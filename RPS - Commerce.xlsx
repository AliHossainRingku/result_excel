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moni Degree College\RPS\RPS 2025\TEST 2025\"/>
    </mc:Choice>
  </mc:AlternateContent>
  <bookViews>
    <workbookView xWindow="0" yWindow="0" windowWidth="19200" windowHeight="7190" tabRatio="655" activeTab="8"/>
  </bookViews>
  <sheets>
    <sheet name="Introduction" sheetId="12" r:id="rId1"/>
    <sheet name="Inputs" sheetId="13" state="hidden" r:id="rId2"/>
    <sheet name="Sheet1" sheetId="11" state="hidden" r:id="rId3"/>
    <sheet name="Student Basic Info" sheetId="14" r:id="rId4"/>
    <sheet name="Prev. Academic" sheetId="15" r:id="rId5"/>
    <sheet name="SubjectList" sheetId="16" r:id="rId6"/>
    <sheet name="Bangla" sheetId="4" r:id="rId7"/>
    <sheet name="English" sheetId="5" r:id="rId8"/>
    <sheet name="ICT" sheetId="3" r:id="rId9"/>
    <sheet name="Accounting" sheetId="21" r:id="rId10"/>
    <sheet name="Business Organization" sheetId="22" r:id="rId11"/>
    <sheet name="Production" sheetId="23" r:id="rId12"/>
    <sheet name="Finance" sheetId="24" r:id="rId13"/>
    <sheet name="Economics" sheetId="27" r:id="rId14"/>
    <sheet name="Optional" sheetId="25" r:id="rId15"/>
    <sheet name="Detailed Summary" sheetId="19" r:id="rId16"/>
    <sheet name="Combined Merit List" sheetId="28" r:id="rId17"/>
    <sheet name="All Subject Pass" sheetId="44" r:id="rId18"/>
    <sheet name="Fail in One Subject" sheetId="45" r:id="rId19"/>
    <sheet name="Fail in Two Subjects" sheetId="46" r:id="rId20"/>
    <sheet name="Fail in Three Subjects" sheetId="47" r:id="rId21"/>
    <sheet name="GPA Calculation Summary Sheet" sheetId="48" r:id="rId22"/>
  </sheets>
  <definedNames>
    <definedName name="_xlnm._FilterDatabase" localSheetId="17" hidden="1">'All Subject Pass'!$N$1:$N$146</definedName>
    <definedName name="_xlnm._FilterDatabase" localSheetId="16" hidden="1">'Combined Merit List'!$D$1:$D$21</definedName>
    <definedName name="_xlnm._FilterDatabase" localSheetId="18" hidden="1">'Fail in One Subject'!$N$1:$N$146</definedName>
    <definedName name="_xlnm._FilterDatabase" localSheetId="20" hidden="1">'Fail in Three Subjects'!$N$1:$N$146</definedName>
    <definedName name="_xlnm._FilterDatabase" localSheetId="19" hidden="1">'Fail in Two Subjects'!$N$1:$N$146</definedName>
    <definedName name="_xlnm.Print_Titles" localSheetId="16">'Combined Merit List'!$1:$1</definedName>
    <definedName name="_xlnm.Print_Titles" localSheetId="21">'GPA Calculation Summary Sheet'!$1:$1</definedName>
    <definedName name="_xlnm.Print_Titles" localSheetId="8">ICT!$1:$1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" i="19" l="1"/>
  <c r="AQ4" i="19"/>
  <c r="AQ5" i="19"/>
  <c r="AQ6" i="19"/>
  <c r="AQ7" i="19"/>
  <c r="AQ8" i="19"/>
  <c r="AQ9" i="19"/>
  <c r="AQ11" i="19"/>
  <c r="AQ12" i="19"/>
  <c r="AQ13" i="19"/>
  <c r="AQ14" i="19"/>
  <c r="AQ15" i="19"/>
  <c r="AQ16" i="19"/>
  <c r="AQ17" i="19"/>
  <c r="AQ18" i="19"/>
  <c r="AQ19" i="19"/>
  <c r="AQ20" i="19"/>
  <c r="AQ21" i="19"/>
  <c r="AQ22" i="19"/>
  <c r="AQ23" i="19"/>
  <c r="AQ24" i="19"/>
  <c r="AQ25" i="19"/>
  <c r="AQ26" i="19"/>
  <c r="AQ27" i="19"/>
  <c r="AQ28" i="19"/>
  <c r="AQ29" i="19"/>
  <c r="AQ30" i="19"/>
  <c r="AQ31" i="19"/>
  <c r="AQ32" i="19"/>
  <c r="AQ33" i="19"/>
  <c r="AQ34" i="19"/>
  <c r="AQ35" i="19"/>
  <c r="AQ36" i="19"/>
  <c r="AQ37" i="19"/>
  <c r="AQ38" i="19"/>
  <c r="AQ39" i="19"/>
  <c r="AQ40" i="19"/>
  <c r="AQ41" i="19"/>
  <c r="AQ42" i="19"/>
  <c r="AQ44" i="19"/>
  <c r="AQ46" i="19"/>
  <c r="AQ47" i="19"/>
  <c r="AQ48" i="19"/>
  <c r="AQ49" i="19"/>
  <c r="AQ50" i="19"/>
  <c r="AQ51" i="19"/>
  <c r="AQ52" i="19"/>
  <c r="AQ53" i="19"/>
  <c r="AQ54" i="19"/>
  <c r="AQ55" i="19"/>
  <c r="AQ56" i="19"/>
  <c r="AQ57" i="19"/>
  <c r="AQ58" i="19"/>
  <c r="AQ59" i="19"/>
  <c r="AQ60" i="19"/>
  <c r="AQ61" i="19"/>
  <c r="AQ62" i="19"/>
  <c r="AQ63" i="19"/>
  <c r="AQ64" i="19"/>
  <c r="AQ65" i="19"/>
  <c r="AQ66" i="19"/>
  <c r="AQ67" i="19"/>
  <c r="AQ68" i="19"/>
  <c r="AQ70" i="19"/>
  <c r="AQ71" i="19"/>
  <c r="AQ72" i="19"/>
  <c r="AQ73" i="19"/>
  <c r="AQ74" i="19"/>
  <c r="AQ75" i="19"/>
  <c r="AQ76" i="19"/>
  <c r="AQ77" i="19"/>
  <c r="AQ78" i="19"/>
  <c r="AQ79" i="19"/>
  <c r="AQ80" i="19"/>
  <c r="AQ81" i="19"/>
  <c r="AQ82" i="19"/>
  <c r="AQ83" i="19"/>
  <c r="AQ84" i="19"/>
  <c r="AQ85" i="19"/>
  <c r="AQ86" i="19"/>
  <c r="AQ87" i="19"/>
  <c r="AQ88" i="19"/>
  <c r="AQ89" i="19"/>
  <c r="AQ90" i="19"/>
  <c r="AQ91" i="19"/>
  <c r="AQ92" i="19"/>
  <c r="AQ93" i="19"/>
  <c r="AQ94" i="19"/>
  <c r="AQ95" i="19"/>
  <c r="AQ96" i="19"/>
  <c r="AQ97" i="19"/>
  <c r="AQ98" i="19"/>
  <c r="AQ99" i="19"/>
  <c r="AQ100" i="19"/>
  <c r="AQ101" i="19"/>
  <c r="AQ102" i="19"/>
  <c r="AQ103" i="19"/>
  <c r="AQ104" i="19"/>
  <c r="AQ105" i="19"/>
  <c r="AQ106" i="19"/>
  <c r="AQ107" i="19"/>
  <c r="AQ108" i="19"/>
  <c r="AQ109" i="19"/>
  <c r="AQ110" i="19"/>
  <c r="AQ111" i="19"/>
  <c r="AQ112" i="19"/>
  <c r="AQ113" i="19"/>
  <c r="AQ114" i="19"/>
  <c r="AQ115" i="19"/>
  <c r="AQ116" i="19"/>
  <c r="AQ117" i="19"/>
  <c r="AQ118" i="19"/>
  <c r="AQ119" i="19"/>
  <c r="AQ120" i="19"/>
  <c r="AQ121" i="19"/>
  <c r="AQ122" i="19"/>
  <c r="AQ123" i="19"/>
  <c r="AQ124" i="19"/>
  <c r="AQ125" i="19"/>
  <c r="AQ126" i="19"/>
  <c r="AQ127" i="19"/>
  <c r="AQ128" i="19"/>
  <c r="AQ129" i="19"/>
  <c r="AQ130" i="19"/>
  <c r="AQ131" i="19"/>
  <c r="AQ132" i="19"/>
  <c r="AQ133" i="19"/>
  <c r="AQ134" i="19"/>
  <c r="AQ135" i="19"/>
  <c r="AQ136" i="19"/>
  <c r="AQ137" i="19"/>
  <c r="AQ138" i="19"/>
  <c r="AQ139" i="19"/>
  <c r="AQ140" i="19"/>
  <c r="AQ141" i="19"/>
  <c r="AQ142" i="19"/>
  <c r="AQ143" i="19"/>
  <c r="AQ144" i="19"/>
  <c r="AQ145" i="19"/>
  <c r="AQ2" i="19"/>
  <c r="E147" i="3" l="1"/>
  <c r="F147" i="3" s="1"/>
  <c r="E146" i="3"/>
  <c r="F146" i="3" s="1"/>
  <c r="G146" i="3" l="1"/>
  <c r="H146" i="3" s="1"/>
  <c r="G147" i="3"/>
  <c r="H147" i="3" s="1"/>
  <c r="D147" i="21"/>
  <c r="E147" i="21"/>
  <c r="F147" i="21" s="1"/>
  <c r="G147" i="21" s="1"/>
  <c r="D146" i="21"/>
  <c r="E146" i="21" s="1"/>
  <c r="D45" i="23"/>
  <c r="D147" i="22"/>
  <c r="E147" i="22" s="1"/>
  <c r="D146" i="22"/>
  <c r="E146" i="22" s="1"/>
  <c r="C148" i="5"/>
  <c r="D148" i="5"/>
  <c r="E148" i="5" s="1"/>
  <c r="F148" i="5" s="1"/>
  <c r="C147" i="5"/>
  <c r="F147" i="5" s="1"/>
  <c r="D147" i="5"/>
  <c r="E147" i="5"/>
  <c r="C146" i="5"/>
  <c r="D146" i="5"/>
  <c r="E146" i="5" s="1"/>
  <c r="F146" i="5" s="1"/>
  <c r="D147" i="4"/>
  <c r="F147" i="4" s="1"/>
  <c r="G147" i="4" s="1"/>
  <c r="E147" i="4"/>
  <c r="D146" i="4"/>
  <c r="E146" i="4" s="1"/>
  <c r="D103" i="4"/>
  <c r="F146" i="21" l="1"/>
  <c r="G146" i="21" s="1"/>
  <c r="F147" i="22"/>
  <c r="G147" i="22" s="1"/>
  <c r="F146" i="22"/>
  <c r="G146" i="22" s="1"/>
  <c r="F146" i="4"/>
  <c r="G146" i="4" s="1"/>
  <c r="X145" i="48"/>
  <c r="W145" i="48"/>
  <c r="U145" i="48"/>
  <c r="T145" i="48"/>
  <c r="R145" i="48"/>
  <c r="Q145" i="48"/>
  <c r="O145" i="48"/>
  <c r="N145" i="48"/>
  <c r="L145" i="48"/>
  <c r="K145" i="48"/>
  <c r="I145" i="48"/>
  <c r="H145" i="48"/>
  <c r="G145" i="48"/>
  <c r="D145" i="48"/>
  <c r="C145" i="48"/>
  <c r="B145" i="48"/>
  <c r="A145" i="48"/>
  <c r="X144" i="48"/>
  <c r="W144" i="48"/>
  <c r="U144" i="48"/>
  <c r="T144" i="48"/>
  <c r="R144" i="48"/>
  <c r="Q144" i="48"/>
  <c r="O144" i="48"/>
  <c r="N144" i="48"/>
  <c r="L144" i="48"/>
  <c r="K144" i="48"/>
  <c r="I144" i="48"/>
  <c r="H144" i="48"/>
  <c r="G144" i="48"/>
  <c r="D144" i="48"/>
  <c r="C144" i="48"/>
  <c r="B144" i="48"/>
  <c r="A144" i="48"/>
  <c r="X143" i="48"/>
  <c r="W143" i="48"/>
  <c r="U143" i="48"/>
  <c r="T143" i="48"/>
  <c r="R143" i="48"/>
  <c r="Q143" i="48"/>
  <c r="O143" i="48"/>
  <c r="N143" i="48"/>
  <c r="L143" i="48"/>
  <c r="K143" i="48"/>
  <c r="I143" i="48"/>
  <c r="H143" i="48"/>
  <c r="G143" i="48"/>
  <c r="D143" i="48"/>
  <c r="C143" i="48"/>
  <c r="B143" i="48"/>
  <c r="A143" i="48"/>
  <c r="X142" i="48"/>
  <c r="W142" i="48"/>
  <c r="U142" i="48"/>
  <c r="T142" i="48"/>
  <c r="R142" i="48"/>
  <c r="Q142" i="48"/>
  <c r="O142" i="48"/>
  <c r="N142" i="48"/>
  <c r="L142" i="48"/>
  <c r="K142" i="48"/>
  <c r="I142" i="48"/>
  <c r="H142" i="48"/>
  <c r="G142" i="48"/>
  <c r="D142" i="48"/>
  <c r="C142" i="48"/>
  <c r="B142" i="48"/>
  <c r="A142" i="48"/>
  <c r="X141" i="48"/>
  <c r="W141" i="48"/>
  <c r="U141" i="48"/>
  <c r="T141" i="48"/>
  <c r="R141" i="48"/>
  <c r="Q141" i="48"/>
  <c r="O141" i="48"/>
  <c r="N141" i="48"/>
  <c r="L141" i="48"/>
  <c r="K141" i="48"/>
  <c r="I141" i="48"/>
  <c r="H141" i="48"/>
  <c r="G141" i="48"/>
  <c r="D141" i="48"/>
  <c r="C141" i="48"/>
  <c r="B141" i="48"/>
  <c r="A141" i="48"/>
  <c r="X140" i="48"/>
  <c r="W140" i="48"/>
  <c r="U140" i="48"/>
  <c r="T140" i="48"/>
  <c r="R140" i="48"/>
  <c r="Q140" i="48"/>
  <c r="O140" i="48"/>
  <c r="N140" i="48"/>
  <c r="L140" i="48"/>
  <c r="K140" i="48"/>
  <c r="I140" i="48"/>
  <c r="H140" i="48"/>
  <c r="G140" i="48"/>
  <c r="D140" i="48"/>
  <c r="C140" i="48"/>
  <c r="B140" i="48"/>
  <c r="A140" i="48"/>
  <c r="X139" i="48"/>
  <c r="W139" i="48"/>
  <c r="U139" i="48"/>
  <c r="T139" i="48"/>
  <c r="R139" i="48"/>
  <c r="Q139" i="48"/>
  <c r="O139" i="48"/>
  <c r="N139" i="48"/>
  <c r="L139" i="48"/>
  <c r="K139" i="48"/>
  <c r="I139" i="48"/>
  <c r="H139" i="48"/>
  <c r="G139" i="48"/>
  <c r="D139" i="48"/>
  <c r="C139" i="48"/>
  <c r="B139" i="48"/>
  <c r="A139" i="48"/>
  <c r="X138" i="48"/>
  <c r="W138" i="48"/>
  <c r="U138" i="48"/>
  <c r="T138" i="48"/>
  <c r="R138" i="48"/>
  <c r="Q138" i="48"/>
  <c r="O138" i="48"/>
  <c r="N138" i="48"/>
  <c r="L138" i="48"/>
  <c r="K138" i="48"/>
  <c r="I138" i="48"/>
  <c r="H138" i="48"/>
  <c r="G138" i="48"/>
  <c r="D138" i="48"/>
  <c r="C138" i="48"/>
  <c r="B138" i="48"/>
  <c r="A138" i="48"/>
  <c r="X137" i="48"/>
  <c r="W137" i="48"/>
  <c r="U137" i="48"/>
  <c r="T137" i="48"/>
  <c r="R137" i="48"/>
  <c r="Q137" i="48"/>
  <c r="O137" i="48"/>
  <c r="N137" i="48"/>
  <c r="L137" i="48"/>
  <c r="K137" i="48"/>
  <c r="I137" i="48"/>
  <c r="H137" i="48"/>
  <c r="G137" i="48"/>
  <c r="D137" i="48"/>
  <c r="C137" i="48"/>
  <c r="B137" i="48"/>
  <c r="A137" i="48"/>
  <c r="X136" i="48"/>
  <c r="W136" i="48"/>
  <c r="U136" i="48"/>
  <c r="T136" i="48"/>
  <c r="R136" i="48"/>
  <c r="Q136" i="48"/>
  <c r="O136" i="48"/>
  <c r="N136" i="48"/>
  <c r="L136" i="48"/>
  <c r="K136" i="48"/>
  <c r="I136" i="48"/>
  <c r="H136" i="48"/>
  <c r="G136" i="48"/>
  <c r="D136" i="48"/>
  <c r="C136" i="48"/>
  <c r="B136" i="48"/>
  <c r="A136" i="48"/>
  <c r="X135" i="48"/>
  <c r="W135" i="48"/>
  <c r="U135" i="48"/>
  <c r="T135" i="48"/>
  <c r="R135" i="48"/>
  <c r="Q135" i="48"/>
  <c r="O135" i="48"/>
  <c r="N135" i="48"/>
  <c r="L135" i="48"/>
  <c r="K135" i="48"/>
  <c r="I135" i="48"/>
  <c r="H135" i="48"/>
  <c r="G135" i="48"/>
  <c r="D135" i="48"/>
  <c r="C135" i="48"/>
  <c r="B135" i="48"/>
  <c r="A135" i="48"/>
  <c r="X134" i="48"/>
  <c r="W134" i="48"/>
  <c r="U134" i="48"/>
  <c r="T134" i="48"/>
  <c r="R134" i="48"/>
  <c r="Q134" i="48"/>
  <c r="O134" i="48"/>
  <c r="N134" i="48"/>
  <c r="L134" i="48"/>
  <c r="K134" i="48"/>
  <c r="I134" i="48"/>
  <c r="H134" i="48"/>
  <c r="G134" i="48"/>
  <c r="D134" i="48"/>
  <c r="C134" i="48"/>
  <c r="B134" i="48"/>
  <c r="A134" i="48"/>
  <c r="X133" i="48"/>
  <c r="W133" i="48"/>
  <c r="U133" i="48"/>
  <c r="T133" i="48"/>
  <c r="R133" i="48"/>
  <c r="Q133" i="48"/>
  <c r="O133" i="48"/>
  <c r="N133" i="48"/>
  <c r="L133" i="48"/>
  <c r="K133" i="48"/>
  <c r="I133" i="48"/>
  <c r="H133" i="48"/>
  <c r="G133" i="48"/>
  <c r="D133" i="48"/>
  <c r="C133" i="48"/>
  <c r="B133" i="48"/>
  <c r="A133" i="48"/>
  <c r="X132" i="48"/>
  <c r="W132" i="48"/>
  <c r="U132" i="48"/>
  <c r="T132" i="48"/>
  <c r="R132" i="48"/>
  <c r="Q132" i="48"/>
  <c r="O132" i="48"/>
  <c r="N132" i="48"/>
  <c r="L132" i="48"/>
  <c r="K132" i="48"/>
  <c r="I132" i="48"/>
  <c r="H132" i="48"/>
  <c r="G132" i="48"/>
  <c r="D132" i="48"/>
  <c r="C132" i="48"/>
  <c r="B132" i="48"/>
  <c r="A132" i="48"/>
  <c r="X131" i="48"/>
  <c r="W131" i="48"/>
  <c r="U131" i="48"/>
  <c r="T131" i="48"/>
  <c r="R131" i="48"/>
  <c r="Q131" i="48"/>
  <c r="O131" i="48"/>
  <c r="N131" i="48"/>
  <c r="L131" i="48"/>
  <c r="K131" i="48"/>
  <c r="I131" i="48"/>
  <c r="H131" i="48"/>
  <c r="G131" i="48"/>
  <c r="D131" i="48"/>
  <c r="C131" i="48"/>
  <c r="B131" i="48"/>
  <c r="A131" i="48"/>
  <c r="X130" i="48"/>
  <c r="W130" i="48"/>
  <c r="U130" i="48"/>
  <c r="T130" i="48"/>
  <c r="R130" i="48"/>
  <c r="Q130" i="48"/>
  <c r="O130" i="48"/>
  <c r="N130" i="48"/>
  <c r="L130" i="48"/>
  <c r="K130" i="48"/>
  <c r="I130" i="48"/>
  <c r="H130" i="48"/>
  <c r="G130" i="48"/>
  <c r="D130" i="48"/>
  <c r="C130" i="48"/>
  <c r="B130" i="48"/>
  <c r="A130" i="48"/>
  <c r="X129" i="48"/>
  <c r="W129" i="48"/>
  <c r="U129" i="48"/>
  <c r="T129" i="48"/>
  <c r="R129" i="48"/>
  <c r="Q129" i="48"/>
  <c r="O129" i="48"/>
  <c r="N129" i="48"/>
  <c r="L129" i="48"/>
  <c r="K129" i="48"/>
  <c r="I129" i="48"/>
  <c r="H129" i="48"/>
  <c r="G129" i="48"/>
  <c r="D129" i="48"/>
  <c r="C129" i="48"/>
  <c r="B129" i="48"/>
  <c r="A129" i="48"/>
  <c r="X128" i="48"/>
  <c r="W128" i="48"/>
  <c r="U128" i="48"/>
  <c r="T128" i="48"/>
  <c r="R128" i="48"/>
  <c r="Q128" i="48"/>
  <c r="O128" i="48"/>
  <c r="N128" i="48"/>
  <c r="L128" i="48"/>
  <c r="K128" i="48"/>
  <c r="I128" i="48"/>
  <c r="H128" i="48"/>
  <c r="G128" i="48"/>
  <c r="D128" i="48"/>
  <c r="C128" i="48"/>
  <c r="B128" i="48"/>
  <c r="A128" i="48"/>
  <c r="X127" i="48"/>
  <c r="W127" i="48"/>
  <c r="U127" i="48"/>
  <c r="T127" i="48"/>
  <c r="R127" i="48"/>
  <c r="Q127" i="48"/>
  <c r="O127" i="48"/>
  <c r="N127" i="48"/>
  <c r="L127" i="48"/>
  <c r="K127" i="48"/>
  <c r="I127" i="48"/>
  <c r="H127" i="48"/>
  <c r="G127" i="48"/>
  <c r="D127" i="48"/>
  <c r="C127" i="48"/>
  <c r="B127" i="48"/>
  <c r="A127" i="48"/>
  <c r="X126" i="48"/>
  <c r="W126" i="48"/>
  <c r="U126" i="48"/>
  <c r="T126" i="48"/>
  <c r="R126" i="48"/>
  <c r="Q126" i="48"/>
  <c r="O126" i="48"/>
  <c r="N126" i="48"/>
  <c r="L126" i="48"/>
  <c r="K126" i="48"/>
  <c r="I126" i="48"/>
  <c r="H126" i="48"/>
  <c r="G126" i="48"/>
  <c r="D126" i="48"/>
  <c r="C126" i="48"/>
  <c r="B126" i="48"/>
  <c r="A126" i="48"/>
  <c r="X125" i="48"/>
  <c r="W125" i="48"/>
  <c r="U125" i="48"/>
  <c r="T125" i="48"/>
  <c r="R125" i="48"/>
  <c r="Q125" i="48"/>
  <c r="O125" i="48"/>
  <c r="N125" i="48"/>
  <c r="L125" i="48"/>
  <c r="K125" i="48"/>
  <c r="I125" i="48"/>
  <c r="H125" i="48"/>
  <c r="G125" i="48"/>
  <c r="D125" i="48"/>
  <c r="C125" i="48"/>
  <c r="B125" i="48"/>
  <c r="A125" i="48"/>
  <c r="X124" i="48"/>
  <c r="W124" i="48"/>
  <c r="U124" i="48"/>
  <c r="T124" i="48"/>
  <c r="R124" i="48"/>
  <c r="Q124" i="48"/>
  <c r="O124" i="48"/>
  <c r="N124" i="48"/>
  <c r="L124" i="48"/>
  <c r="K124" i="48"/>
  <c r="I124" i="48"/>
  <c r="H124" i="48"/>
  <c r="G124" i="48"/>
  <c r="D124" i="48"/>
  <c r="C124" i="48"/>
  <c r="B124" i="48"/>
  <c r="A124" i="48"/>
  <c r="X123" i="48"/>
  <c r="W123" i="48"/>
  <c r="U123" i="48"/>
  <c r="T123" i="48"/>
  <c r="R123" i="48"/>
  <c r="Q123" i="48"/>
  <c r="O123" i="48"/>
  <c r="N123" i="48"/>
  <c r="L123" i="48"/>
  <c r="K123" i="48"/>
  <c r="I123" i="48"/>
  <c r="H123" i="48"/>
  <c r="G123" i="48"/>
  <c r="D123" i="48"/>
  <c r="C123" i="48"/>
  <c r="B123" i="48"/>
  <c r="A123" i="48"/>
  <c r="X122" i="48"/>
  <c r="W122" i="48"/>
  <c r="U122" i="48"/>
  <c r="T122" i="48"/>
  <c r="R122" i="48"/>
  <c r="Q122" i="48"/>
  <c r="O122" i="48"/>
  <c r="N122" i="48"/>
  <c r="L122" i="48"/>
  <c r="K122" i="48"/>
  <c r="I122" i="48"/>
  <c r="H122" i="48"/>
  <c r="G122" i="48"/>
  <c r="D122" i="48"/>
  <c r="C122" i="48"/>
  <c r="B122" i="48"/>
  <c r="A122" i="48"/>
  <c r="X121" i="48"/>
  <c r="W121" i="48"/>
  <c r="U121" i="48"/>
  <c r="T121" i="48"/>
  <c r="R121" i="48"/>
  <c r="Q121" i="48"/>
  <c r="O121" i="48"/>
  <c r="N121" i="48"/>
  <c r="L121" i="48"/>
  <c r="K121" i="48"/>
  <c r="I121" i="48"/>
  <c r="H121" i="48"/>
  <c r="G121" i="48"/>
  <c r="D121" i="48"/>
  <c r="C121" i="48"/>
  <c r="B121" i="48"/>
  <c r="A121" i="48"/>
  <c r="X120" i="48"/>
  <c r="W120" i="48"/>
  <c r="U120" i="48"/>
  <c r="T120" i="48"/>
  <c r="R120" i="48"/>
  <c r="Q120" i="48"/>
  <c r="O120" i="48"/>
  <c r="N120" i="48"/>
  <c r="L120" i="48"/>
  <c r="K120" i="48"/>
  <c r="I120" i="48"/>
  <c r="H120" i="48"/>
  <c r="G120" i="48"/>
  <c r="D120" i="48"/>
  <c r="C120" i="48"/>
  <c r="B120" i="48"/>
  <c r="A120" i="48"/>
  <c r="X119" i="48"/>
  <c r="W119" i="48"/>
  <c r="U119" i="48"/>
  <c r="T119" i="48"/>
  <c r="R119" i="48"/>
  <c r="Q119" i="48"/>
  <c r="O119" i="48"/>
  <c r="N119" i="48"/>
  <c r="L119" i="48"/>
  <c r="K119" i="48"/>
  <c r="I119" i="48"/>
  <c r="H119" i="48"/>
  <c r="G119" i="48"/>
  <c r="D119" i="48"/>
  <c r="C119" i="48"/>
  <c r="B119" i="48"/>
  <c r="A119" i="48"/>
  <c r="X118" i="48"/>
  <c r="W118" i="48"/>
  <c r="U118" i="48"/>
  <c r="T118" i="48"/>
  <c r="R118" i="48"/>
  <c r="Q118" i="48"/>
  <c r="O118" i="48"/>
  <c r="N118" i="48"/>
  <c r="L118" i="48"/>
  <c r="K118" i="48"/>
  <c r="I118" i="48"/>
  <c r="H118" i="48"/>
  <c r="G118" i="48"/>
  <c r="D118" i="48"/>
  <c r="C118" i="48"/>
  <c r="B118" i="48"/>
  <c r="A118" i="48"/>
  <c r="X117" i="48"/>
  <c r="W117" i="48"/>
  <c r="U117" i="48"/>
  <c r="T117" i="48"/>
  <c r="R117" i="48"/>
  <c r="Q117" i="48"/>
  <c r="O117" i="48"/>
  <c r="N117" i="48"/>
  <c r="L117" i="48"/>
  <c r="K117" i="48"/>
  <c r="I117" i="48"/>
  <c r="H117" i="48"/>
  <c r="G117" i="48"/>
  <c r="D117" i="48"/>
  <c r="C117" i="48"/>
  <c r="B117" i="48"/>
  <c r="A117" i="48"/>
  <c r="X116" i="48"/>
  <c r="W116" i="48"/>
  <c r="U116" i="48"/>
  <c r="T116" i="48"/>
  <c r="R116" i="48"/>
  <c r="Q116" i="48"/>
  <c r="O116" i="48"/>
  <c r="N116" i="48"/>
  <c r="L116" i="48"/>
  <c r="K116" i="48"/>
  <c r="I116" i="48"/>
  <c r="H116" i="48"/>
  <c r="G116" i="48"/>
  <c r="D116" i="48"/>
  <c r="C116" i="48"/>
  <c r="B116" i="48"/>
  <c r="A116" i="48"/>
  <c r="X115" i="48"/>
  <c r="W115" i="48"/>
  <c r="U115" i="48"/>
  <c r="T115" i="48"/>
  <c r="R115" i="48"/>
  <c r="Q115" i="48"/>
  <c r="O115" i="48"/>
  <c r="N115" i="48"/>
  <c r="L115" i="48"/>
  <c r="K115" i="48"/>
  <c r="I115" i="48"/>
  <c r="H115" i="48"/>
  <c r="G115" i="48"/>
  <c r="D115" i="48"/>
  <c r="C115" i="48"/>
  <c r="B115" i="48"/>
  <c r="A115" i="48"/>
  <c r="X114" i="48"/>
  <c r="W114" i="48"/>
  <c r="U114" i="48"/>
  <c r="T114" i="48"/>
  <c r="R114" i="48"/>
  <c r="Q114" i="48"/>
  <c r="O114" i="48"/>
  <c r="N114" i="48"/>
  <c r="L114" i="48"/>
  <c r="K114" i="48"/>
  <c r="I114" i="48"/>
  <c r="H114" i="48"/>
  <c r="G114" i="48"/>
  <c r="D114" i="48"/>
  <c r="C114" i="48"/>
  <c r="B114" i="48"/>
  <c r="A114" i="48"/>
  <c r="X113" i="48"/>
  <c r="W113" i="48"/>
  <c r="U113" i="48"/>
  <c r="T113" i="48"/>
  <c r="R113" i="48"/>
  <c r="Q113" i="48"/>
  <c r="O113" i="48"/>
  <c r="N113" i="48"/>
  <c r="L113" i="48"/>
  <c r="K113" i="48"/>
  <c r="I113" i="48"/>
  <c r="H113" i="48"/>
  <c r="G113" i="48"/>
  <c r="D113" i="48"/>
  <c r="C113" i="48"/>
  <c r="B113" i="48"/>
  <c r="A113" i="48"/>
  <c r="X112" i="48"/>
  <c r="W112" i="48"/>
  <c r="U112" i="48"/>
  <c r="T112" i="48"/>
  <c r="R112" i="48"/>
  <c r="Q112" i="48"/>
  <c r="O112" i="48"/>
  <c r="N112" i="48"/>
  <c r="L112" i="48"/>
  <c r="K112" i="48"/>
  <c r="I112" i="48"/>
  <c r="H112" i="48"/>
  <c r="G112" i="48"/>
  <c r="D112" i="48"/>
  <c r="C112" i="48"/>
  <c r="B112" i="48"/>
  <c r="A112" i="48"/>
  <c r="X111" i="48"/>
  <c r="W111" i="48"/>
  <c r="U111" i="48"/>
  <c r="T111" i="48"/>
  <c r="R111" i="48"/>
  <c r="Q111" i="48"/>
  <c r="O111" i="48"/>
  <c r="N111" i="48"/>
  <c r="L111" i="48"/>
  <c r="K111" i="48"/>
  <c r="I111" i="48"/>
  <c r="H111" i="48"/>
  <c r="G111" i="48"/>
  <c r="D111" i="48"/>
  <c r="C111" i="48"/>
  <c r="B111" i="48"/>
  <c r="A111" i="48"/>
  <c r="X110" i="48"/>
  <c r="W110" i="48"/>
  <c r="U110" i="48"/>
  <c r="T110" i="48"/>
  <c r="R110" i="48"/>
  <c r="Q110" i="48"/>
  <c r="O110" i="48"/>
  <c r="N110" i="48"/>
  <c r="L110" i="48"/>
  <c r="K110" i="48"/>
  <c r="I110" i="48"/>
  <c r="H110" i="48"/>
  <c r="G110" i="48"/>
  <c r="D110" i="48"/>
  <c r="C110" i="48"/>
  <c r="B110" i="48"/>
  <c r="A110" i="48"/>
  <c r="X109" i="48"/>
  <c r="W109" i="48"/>
  <c r="U109" i="48"/>
  <c r="T109" i="48"/>
  <c r="R109" i="48"/>
  <c r="Q109" i="48"/>
  <c r="O109" i="48"/>
  <c r="N109" i="48"/>
  <c r="L109" i="48"/>
  <c r="K109" i="48"/>
  <c r="I109" i="48"/>
  <c r="H109" i="48"/>
  <c r="G109" i="48"/>
  <c r="D109" i="48"/>
  <c r="C109" i="48"/>
  <c r="B109" i="48"/>
  <c r="A109" i="48"/>
  <c r="X108" i="48"/>
  <c r="W108" i="48"/>
  <c r="U108" i="48"/>
  <c r="T108" i="48"/>
  <c r="R108" i="48"/>
  <c r="Q108" i="48"/>
  <c r="O108" i="48"/>
  <c r="N108" i="48"/>
  <c r="L108" i="48"/>
  <c r="K108" i="48"/>
  <c r="I108" i="48"/>
  <c r="H108" i="48"/>
  <c r="G108" i="48"/>
  <c r="D108" i="48"/>
  <c r="C108" i="48"/>
  <c r="B108" i="48"/>
  <c r="A108" i="48"/>
  <c r="X107" i="48"/>
  <c r="W107" i="48"/>
  <c r="U107" i="48"/>
  <c r="T107" i="48"/>
  <c r="R107" i="48"/>
  <c r="Q107" i="48"/>
  <c r="O107" i="48"/>
  <c r="N107" i="48"/>
  <c r="L107" i="48"/>
  <c r="K107" i="48"/>
  <c r="I107" i="48"/>
  <c r="H107" i="48"/>
  <c r="G107" i="48"/>
  <c r="D107" i="48"/>
  <c r="C107" i="48"/>
  <c r="B107" i="48"/>
  <c r="A107" i="48"/>
  <c r="X106" i="48"/>
  <c r="W106" i="48"/>
  <c r="U106" i="48"/>
  <c r="T106" i="48"/>
  <c r="R106" i="48"/>
  <c r="Q106" i="48"/>
  <c r="O106" i="48"/>
  <c r="N106" i="48"/>
  <c r="L106" i="48"/>
  <c r="K106" i="48"/>
  <c r="I106" i="48"/>
  <c r="H106" i="48"/>
  <c r="G106" i="48"/>
  <c r="D106" i="48"/>
  <c r="C106" i="48"/>
  <c r="B106" i="48"/>
  <c r="A106" i="48"/>
  <c r="X105" i="48"/>
  <c r="W105" i="48"/>
  <c r="U105" i="48"/>
  <c r="T105" i="48"/>
  <c r="R105" i="48"/>
  <c r="Q105" i="48"/>
  <c r="O105" i="48"/>
  <c r="N105" i="48"/>
  <c r="L105" i="48"/>
  <c r="K105" i="48"/>
  <c r="I105" i="48"/>
  <c r="H105" i="48"/>
  <c r="G105" i="48"/>
  <c r="D105" i="48"/>
  <c r="C105" i="48"/>
  <c r="B105" i="48"/>
  <c r="A105" i="48"/>
  <c r="X104" i="48"/>
  <c r="W104" i="48"/>
  <c r="U104" i="48"/>
  <c r="T104" i="48"/>
  <c r="R104" i="48"/>
  <c r="Q104" i="48"/>
  <c r="O104" i="48"/>
  <c r="N104" i="48"/>
  <c r="L104" i="48"/>
  <c r="K104" i="48"/>
  <c r="I104" i="48"/>
  <c r="H104" i="48"/>
  <c r="G104" i="48"/>
  <c r="D104" i="48"/>
  <c r="C104" i="48"/>
  <c r="B104" i="48"/>
  <c r="A104" i="48"/>
  <c r="X103" i="48"/>
  <c r="W103" i="48"/>
  <c r="U103" i="48"/>
  <c r="T103" i="48"/>
  <c r="R103" i="48"/>
  <c r="Q103" i="48"/>
  <c r="O103" i="48"/>
  <c r="N103" i="48"/>
  <c r="L103" i="48"/>
  <c r="K103" i="48"/>
  <c r="I103" i="48"/>
  <c r="H103" i="48"/>
  <c r="G103" i="48"/>
  <c r="D103" i="48"/>
  <c r="C103" i="48"/>
  <c r="B103" i="48"/>
  <c r="A103" i="48"/>
  <c r="X102" i="48"/>
  <c r="W102" i="48"/>
  <c r="U102" i="48"/>
  <c r="T102" i="48"/>
  <c r="R102" i="48"/>
  <c r="Q102" i="48"/>
  <c r="O102" i="48"/>
  <c r="N102" i="48"/>
  <c r="L102" i="48"/>
  <c r="K102" i="48"/>
  <c r="I102" i="48"/>
  <c r="H102" i="48"/>
  <c r="G102" i="48"/>
  <c r="D102" i="48"/>
  <c r="C102" i="48"/>
  <c r="B102" i="48"/>
  <c r="A102" i="48"/>
  <c r="X101" i="48"/>
  <c r="W101" i="48"/>
  <c r="U101" i="48"/>
  <c r="T101" i="48"/>
  <c r="R101" i="48"/>
  <c r="Q101" i="48"/>
  <c r="O101" i="48"/>
  <c r="N101" i="48"/>
  <c r="L101" i="48"/>
  <c r="K101" i="48"/>
  <c r="I101" i="48"/>
  <c r="H101" i="48"/>
  <c r="G101" i="48"/>
  <c r="D101" i="48"/>
  <c r="C101" i="48"/>
  <c r="B101" i="48"/>
  <c r="A101" i="48"/>
  <c r="X100" i="48"/>
  <c r="W100" i="48"/>
  <c r="U100" i="48"/>
  <c r="T100" i="48"/>
  <c r="R100" i="48"/>
  <c r="Q100" i="48"/>
  <c r="O100" i="48"/>
  <c r="N100" i="48"/>
  <c r="L100" i="48"/>
  <c r="K100" i="48"/>
  <c r="I100" i="48"/>
  <c r="H100" i="48"/>
  <c r="G100" i="48"/>
  <c r="D100" i="48"/>
  <c r="C100" i="48"/>
  <c r="B100" i="48"/>
  <c r="A100" i="48"/>
  <c r="X99" i="48"/>
  <c r="W99" i="48"/>
  <c r="U99" i="48"/>
  <c r="T99" i="48"/>
  <c r="R99" i="48"/>
  <c r="Q99" i="48"/>
  <c r="O99" i="48"/>
  <c r="N99" i="48"/>
  <c r="L99" i="48"/>
  <c r="K99" i="48"/>
  <c r="I99" i="48"/>
  <c r="H99" i="48"/>
  <c r="G99" i="48"/>
  <c r="D99" i="48"/>
  <c r="C99" i="48"/>
  <c r="B99" i="48"/>
  <c r="A99" i="48"/>
  <c r="X98" i="48"/>
  <c r="W98" i="48"/>
  <c r="U98" i="48"/>
  <c r="T98" i="48"/>
  <c r="R98" i="48"/>
  <c r="Q98" i="48"/>
  <c r="O98" i="48"/>
  <c r="N98" i="48"/>
  <c r="L98" i="48"/>
  <c r="K98" i="48"/>
  <c r="I98" i="48"/>
  <c r="H98" i="48"/>
  <c r="G98" i="48"/>
  <c r="D98" i="48"/>
  <c r="C98" i="48"/>
  <c r="B98" i="48"/>
  <c r="A98" i="48"/>
  <c r="X97" i="48"/>
  <c r="W97" i="48"/>
  <c r="U97" i="48"/>
  <c r="T97" i="48"/>
  <c r="R97" i="48"/>
  <c r="Q97" i="48"/>
  <c r="O97" i="48"/>
  <c r="N97" i="48"/>
  <c r="L97" i="48"/>
  <c r="K97" i="48"/>
  <c r="I97" i="48"/>
  <c r="H97" i="48"/>
  <c r="G97" i="48"/>
  <c r="D97" i="48"/>
  <c r="C97" i="48"/>
  <c r="B97" i="48"/>
  <c r="A97" i="48"/>
  <c r="X96" i="48"/>
  <c r="W96" i="48"/>
  <c r="U96" i="48"/>
  <c r="T96" i="48"/>
  <c r="R96" i="48"/>
  <c r="Q96" i="48"/>
  <c r="O96" i="48"/>
  <c r="N96" i="48"/>
  <c r="L96" i="48"/>
  <c r="K96" i="48"/>
  <c r="I96" i="48"/>
  <c r="H96" i="48"/>
  <c r="G96" i="48"/>
  <c r="D96" i="48"/>
  <c r="C96" i="48"/>
  <c r="B96" i="48"/>
  <c r="A96" i="48"/>
  <c r="X95" i="48"/>
  <c r="W95" i="48"/>
  <c r="U95" i="48"/>
  <c r="T95" i="48"/>
  <c r="R95" i="48"/>
  <c r="Q95" i="48"/>
  <c r="O95" i="48"/>
  <c r="N95" i="48"/>
  <c r="L95" i="48"/>
  <c r="K95" i="48"/>
  <c r="I95" i="48"/>
  <c r="H95" i="48"/>
  <c r="G95" i="48"/>
  <c r="D95" i="48"/>
  <c r="C95" i="48"/>
  <c r="B95" i="48"/>
  <c r="A95" i="48"/>
  <c r="X94" i="48"/>
  <c r="W94" i="48"/>
  <c r="U94" i="48"/>
  <c r="T94" i="48"/>
  <c r="R94" i="48"/>
  <c r="Q94" i="48"/>
  <c r="O94" i="48"/>
  <c r="N94" i="48"/>
  <c r="L94" i="48"/>
  <c r="K94" i="48"/>
  <c r="I94" i="48"/>
  <c r="H94" i="48"/>
  <c r="G94" i="48"/>
  <c r="D94" i="48"/>
  <c r="C94" i="48"/>
  <c r="B94" i="48"/>
  <c r="A94" i="48"/>
  <c r="X93" i="48"/>
  <c r="W93" i="48"/>
  <c r="U93" i="48"/>
  <c r="T93" i="48"/>
  <c r="R93" i="48"/>
  <c r="Q93" i="48"/>
  <c r="O93" i="48"/>
  <c r="N93" i="48"/>
  <c r="L93" i="48"/>
  <c r="K93" i="48"/>
  <c r="I93" i="48"/>
  <c r="H93" i="48"/>
  <c r="G93" i="48"/>
  <c r="D93" i="48"/>
  <c r="C93" i="48"/>
  <c r="B93" i="48"/>
  <c r="A93" i="48"/>
  <c r="X92" i="48"/>
  <c r="W92" i="48"/>
  <c r="U92" i="48"/>
  <c r="T92" i="48"/>
  <c r="R92" i="48"/>
  <c r="Q92" i="48"/>
  <c r="O92" i="48"/>
  <c r="N92" i="48"/>
  <c r="L92" i="48"/>
  <c r="K92" i="48"/>
  <c r="I92" i="48"/>
  <c r="H92" i="48"/>
  <c r="G92" i="48"/>
  <c r="D92" i="48"/>
  <c r="C92" i="48"/>
  <c r="B92" i="48"/>
  <c r="A92" i="48"/>
  <c r="X91" i="48"/>
  <c r="W91" i="48"/>
  <c r="U91" i="48"/>
  <c r="T91" i="48"/>
  <c r="R91" i="48"/>
  <c r="Q91" i="48"/>
  <c r="O91" i="48"/>
  <c r="N91" i="48"/>
  <c r="L91" i="48"/>
  <c r="K91" i="48"/>
  <c r="I91" i="48"/>
  <c r="H91" i="48"/>
  <c r="G91" i="48"/>
  <c r="D91" i="48"/>
  <c r="C91" i="48"/>
  <c r="B91" i="48"/>
  <c r="A91" i="48"/>
  <c r="X90" i="48"/>
  <c r="W90" i="48"/>
  <c r="U90" i="48"/>
  <c r="T90" i="48"/>
  <c r="R90" i="48"/>
  <c r="Q90" i="48"/>
  <c r="O90" i="48"/>
  <c r="N90" i="48"/>
  <c r="L90" i="48"/>
  <c r="K90" i="48"/>
  <c r="I90" i="48"/>
  <c r="H90" i="48"/>
  <c r="G90" i="48"/>
  <c r="D90" i="48"/>
  <c r="C90" i="48"/>
  <c r="B90" i="48"/>
  <c r="A90" i="48"/>
  <c r="X89" i="48"/>
  <c r="W89" i="48"/>
  <c r="U89" i="48"/>
  <c r="T89" i="48"/>
  <c r="R89" i="48"/>
  <c r="Q89" i="48"/>
  <c r="O89" i="48"/>
  <c r="N89" i="48"/>
  <c r="L89" i="48"/>
  <c r="K89" i="48"/>
  <c r="I89" i="48"/>
  <c r="H89" i="48"/>
  <c r="G89" i="48"/>
  <c r="D89" i="48"/>
  <c r="C89" i="48"/>
  <c r="B89" i="48"/>
  <c r="A89" i="48"/>
  <c r="X88" i="48"/>
  <c r="W88" i="48"/>
  <c r="U88" i="48"/>
  <c r="T88" i="48"/>
  <c r="R88" i="48"/>
  <c r="Q88" i="48"/>
  <c r="O88" i="48"/>
  <c r="N88" i="48"/>
  <c r="L88" i="48"/>
  <c r="K88" i="48"/>
  <c r="I88" i="48"/>
  <c r="H88" i="48"/>
  <c r="G88" i="48"/>
  <c r="D88" i="48"/>
  <c r="C88" i="48"/>
  <c r="B88" i="48"/>
  <c r="A88" i="48"/>
  <c r="X87" i="48"/>
  <c r="W87" i="48"/>
  <c r="U87" i="48"/>
  <c r="T87" i="48"/>
  <c r="R87" i="48"/>
  <c r="Q87" i="48"/>
  <c r="O87" i="48"/>
  <c r="N87" i="48"/>
  <c r="L87" i="48"/>
  <c r="K87" i="48"/>
  <c r="I87" i="48"/>
  <c r="H87" i="48"/>
  <c r="G87" i="48"/>
  <c r="D87" i="48"/>
  <c r="C87" i="48"/>
  <c r="B87" i="48"/>
  <c r="A87" i="48"/>
  <c r="X86" i="48"/>
  <c r="W86" i="48"/>
  <c r="U86" i="48"/>
  <c r="T86" i="48"/>
  <c r="R86" i="48"/>
  <c r="Q86" i="48"/>
  <c r="O86" i="48"/>
  <c r="N86" i="48"/>
  <c r="L86" i="48"/>
  <c r="K86" i="48"/>
  <c r="I86" i="48"/>
  <c r="H86" i="48"/>
  <c r="G86" i="48"/>
  <c r="D86" i="48"/>
  <c r="C86" i="48"/>
  <c r="B86" i="48"/>
  <c r="A86" i="48"/>
  <c r="X85" i="48"/>
  <c r="W85" i="48"/>
  <c r="U85" i="48"/>
  <c r="T85" i="48"/>
  <c r="R85" i="48"/>
  <c r="Q85" i="48"/>
  <c r="O85" i="48"/>
  <c r="N85" i="48"/>
  <c r="L85" i="48"/>
  <c r="K85" i="48"/>
  <c r="I85" i="48"/>
  <c r="H85" i="48"/>
  <c r="G85" i="48"/>
  <c r="D85" i="48"/>
  <c r="C85" i="48"/>
  <c r="B85" i="48"/>
  <c r="A85" i="48"/>
  <c r="X84" i="48"/>
  <c r="W84" i="48"/>
  <c r="U84" i="48"/>
  <c r="T84" i="48"/>
  <c r="R84" i="48"/>
  <c r="Q84" i="48"/>
  <c r="O84" i="48"/>
  <c r="N84" i="48"/>
  <c r="L84" i="48"/>
  <c r="K84" i="48"/>
  <c r="I84" i="48"/>
  <c r="H84" i="48"/>
  <c r="G84" i="48"/>
  <c r="D84" i="48"/>
  <c r="C84" i="48"/>
  <c r="B84" i="48"/>
  <c r="A84" i="48"/>
  <c r="X83" i="48"/>
  <c r="W83" i="48"/>
  <c r="U83" i="48"/>
  <c r="T83" i="48"/>
  <c r="R83" i="48"/>
  <c r="Q83" i="48"/>
  <c r="O83" i="48"/>
  <c r="N83" i="48"/>
  <c r="L83" i="48"/>
  <c r="K83" i="48"/>
  <c r="I83" i="48"/>
  <c r="H83" i="48"/>
  <c r="G83" i="48"/>
  <c r="D83" i="48"/>
  <c r="C83" i="48"/>
  <c r="B83" i="48"/>
  <c r="A83" i="48"/>
  <c r="X82" i="48"/>
  <c r="W82" i="48"/>
  <c r="U82" i="48"/>
  <c r="T82" i="48"/>
  <c r="R82" i="48"/>
  <c r="Q82" i="48"/>
  <c r="O82" i="48"/>
  <c r="N82" i="48"/>
  <c r="L82" i="48"/>
  <c r="K82" i="48"/>
  <c r="I82" i="48"/>
  <c r="H82" i="48"/>
  <c r="G82" i="48"/>
  <c r="D82" i="48"/>
  <c r="C82" i="48"/>
  <c r="B82" i="48"/>
  <c r="A82" i="48"/>
  <c r="X81" i="48"/>
  <c r="W81" i="48"/>
  <c r="U81" i="48"/>
  <c r="T81" i="48"/>
  <c r="R81" i="48"/>
  <c r="Q81" i="48"/>
  <c r="O81" i="48"/>
  <c r="N81" i="48"/>
  <c r="L81" i="48"/>
  <c r="K81" i="48"/>
  <c r="I81" i="48"/>
  <c r="H81" i="48"/>
  <c r="G81" i="48"/>
  <c r="D81" i="48"/>
  <c r="C81" i="48"/>
  <c r="B81" i="48"/>
  <c r="A81" i="48"/>
  <c r="X80" i="48"/>
  <c r="W80" i="48"/>
  <c r="U80" i="48"/>
  <c r="T80" i="48"/>
  <c r="R80" i="48"/>
  <c r="Q80" i="48"/>
  <c r="O80" i="48"/>
  <c r="N80" i="48"/>
  <c r="L80" i="48"/>
  <c r="K80" i="48"/>
  <c r="I80" i="48"/>
  <c r="H80" i="48"/>
  <c r="G80" i="48"/>
  <c r="D80" i="48"/>
  <c r="C80" i="48"/>
  <c r="B80" i="48"/>
  <c r="A80" i="48"/>
  <c r="X79" i="48"/>
  <c r="W79" i="48"/>
  <c r="U79" i="48"/>
  <c r="T79" i="48"/>
  <c r="R79" i="48"/>
  <c r="Q79" i="48"/>
  <c r="O79" i="48"/>
  <c r="N79" i="48"/>
  <c r="L79" i="48"/>
  <c r="K79" i="48"/>
  <c r="I79" i="48"/>
  <c r="H79" i="48"/>
  <c r="G79" i="48"/>
  <c r="D79" i="48"/>
  <c r="C79" i="48"/>
  <c r="B79" i="48"/>
  <c r="A79" i="48"/>
  <c r="X78" i="48"/>
  <c r="W78" i="48"/>
  <c r="U78" i="48"/>
  <c r="T78" i="48"/>
  <c r="R78" i="48"/>
  <c r="Q78" i="48"/>
  <c r="O78" i="48"/>
  <c r="N78" i="48"/>
  <c r="L78" i="48"/>
  <c r="K78" i="48"/>
  <c r="I78" i="48"/>
  <c r="H78" i="48"/>
  <c r="G78" i="48"/>
  <c r="D78" i="48"/>
  <c r="C78" i="48"/>
  <c r="B78" i="48"/>
  <c r="A78" i="48"/>
  <c r="X77" i="48"/>
  <c r="W77" i="48"/>
  <c r="U77" i="48"/>
  <c r="T77" i="48"/>
  <c r="R77" i="48"/>
  <c r="Q77" i="48"/>
  <c r="O77" i="48"/>
  <c r="N77" i="48"/>
  <c r="L77" i="48"/>
  <c r="K77" i="48"/>
  <c r="I77" i="48"/>
  <c r="H77" i="48"/>
  <c r="G77" i="48"/>
  <c r="D77" i="48"/>
  <c r="C77" i="48"/>
  <c r="B77" i="48"/>
  <c r="A77" i="48"/>
  <c r="X76" i="48"/>
  <c r="W76" i="48"/>
  <c r="U76" i="48"/>
  <c r="T76" i="48"/>
  <c r="R76" i="48"/>
  <c r="Q76" i="48"/>
  <c r="O76" i="48"/>
  <c r="N76" i="48"/>
  <c r="L76" i="48"/>
  <c r="K76" i="48"/>
  <c r="I76" i="48"/>
  <c r="H76" i="48"/>
  <c r="G76" i="48"/>
  <c r="D76" i="48"/>
  <c r="C76" i="48"/>
  <c r="B76" i="48"/>
  <c r="A76" i="48"/>
  <c r="X75" i="48"/>
  <c r="W75" i="48"/>
  <c r="U75" i="48"/>
  <c r="T75" i="48"/>
  <c r="R75" i="48"/>
  <c r="Q75" i="48"/>
  <c r="O75" i="48"/>
  <c r="N75" i="48"/>
  <c r="L75" i="48"/>
  <c r="K75" i="48"/>
  <c r="I75" i="48"/>
  <c r="H75" i="48"/>
  <c r="G75" i="48"/>
  <c r="D75" i="48"/>
  <c r="C75" i="48"/>
  <c r="B75" i="48"/>
  <c r="A75" i="48"/>
  <c r="X74" i="48"/>
  <c r="W74" i="48"/>
  <c r="U74" i="48"/>
  <c r="T74" i="48"/>
  <c r="R74" i="48"/>
  <c r="Q74" i="48"/>
  <c r="O74" i="48"/>
  <c r="N74" i="48"/>
  <c r="L74" i="48"/>
  <c r="K74" i="48"/>
  <c r="I74" i="48"/>
  <c r="H74" i="48"/>
  <c r="G74" i="48"/>
  <c r="D74" i="48"/>
  <c r="C74" i="48"/>
  <c r="B74" i="48"/>
  <c r="A74" i="48"/>
  <c r="X73" i="48"/>
  <c r="W73" i="48"/>
  <c r="U73" i="48"/>
  <c r="T73" i="48"/>
  <c r="R73" i="48"/>
  <c r="Q73" i="48"/>
  <c r="O73" i="48"/>
  <c r="N73" i="48"/>
  <c r="L73" i="48"/>
  <c r="K73" i="48"/>
  <c r="I73" i="48"/>
  <c r="H73" i="48"/>
  <c r="G73" i="48"/>
  <c r="D73" i="48"/>
  <c r="C73" i="48"/>
  <c r="B73" i="48"/>
  <c r="A73" i="48"/>
  <c r="X72" i="48"/>
  <c r="W72" i="48"/>
  <c r="U72" i="48"/>
  <c r="T72" i="48"/>
  <c r="R72" i="48"/>
  <c r="Q72" i="48"/>
  <c r="O72" i="48"/>
  <c r="N72" i="48"/>
  <c r="L72" i="48"/>
  <c r="K72" i="48"/>
  <c r="I72" i="48"/>
  <c r="H72" i="48"/>
  <c r="G72" i="48"/>
  <c r="D72" i="48"/>
  <c r="C72" i="48"/>
  <c r="B72" i="48"/>
  <c r="A72" i="48"/>
  <c r="X71" i="48"/>
  <c r="W71" i="48"/>
  <c r="U71" i="48"/>
  <c r="T71" i="48"/>
  <c r="R71" i="48"/>
  <c r="Q71" i="48"/>
  <c r="O71" i="48"/>
  <c r="N71" i="48"/>
  <c r="L71" i="48"/>
  <c r="K71" i="48"/>
  <c r="I71" i="48"/>
  <c r="H71" i="48"/>
  <c r="G71" i="48"/>
  <c r="D71" i="48"/>
  <c r="C71" i="48"/>
  <c r="B71" i="48"/>
  <c r="A71" i="48"/>
  <c r="X70" i="48"/>
  <c r="W70" i="48"/>
  <c r="U70" i="48"/>
  <c r="T70" i="48"/>
  <c r="R70" i="48"/>
  <c r="Q70" i="48"/>
  <c r="O70" i="48"/>
  <c r="N70" i="48"/>
  <c r="L70" i="48"/>
  <c r="K70" i="48"/>
  <c r="I70" i="48"/>
  <c r="H70" i="48"/>
  <c r="G70" i="48"/>
  <c r="D70" i="48"/>
  <c r="C70" i="48"/>
  <c r="B70" i="48"/>
  <c r="A70" i="48"/>
  <c r="X69" i="48"/>
  <c r="W69" i="48"/>
  <c r="U69" i="48"/>
  <c r="T69" i="48"/>
  <c r="R69" i="48"/>
  <c r="Q69" i="48"/>
  <c r="O69" i="48"/>
  <c r="N69" i="48"/>
  <c r="L69" i="48"/>
  <c r="K69" i="48"/>
  <c r="I69" i="48"/>
  <c r="H69" i="48"/>
  <c r="G69" i="48"/>
  <c r="D69" i="48"/>
  <c r="C69" i="48"/>
  <c r="B69" i="48"/>
  <c r="A69" i="48"/>
  <c r="X68" i="48"/>
  <c r="W68" i="48"/>
  <c r="U68" i="48"/>
  <c r="T68" i="48"/>
  <c r="R68" i="48"/>
  <c r="Q68" i="48"/>
  <c r="O68" i="48"/>
  <c r="N68" i="48"/>
  <c r="L68" i="48"/>
  <c r="K68" i="48"/>
  <c r="I68" i="48"/>
  <c r="H68" i="48"/>
  <c r="G68" i="48"/>
  <c r="D68" i="48"/>
  <c r="C68" i="48"/>
  <c r="B68" i="48"/>
  <c r="A68" i="48"/>
  <c r="X67" i="48"/>
  <c r="W67" i="48"/>
  <c r="U67" i="48"/>
  <c r="T67" i="48"/>
  <c r="R67" i="48"/>
  <c r="Q67" i="48"/>
  <c r="O67" i="48"/>
  <c r="N67" i="48"/>
  <c r="L67" i="48"/>
  <c r="K67" i="48"/>
  <c r="I67" i="48"/>
  <c r="H67" i="48"/>
  <c r="G67" i="48"/>
  <c r="D67" i="48"/>
  <c r="C67" i="48"/>
  <c r="B67" i="48"/>
  <c r="A67" i="48"/>
  <c r="X66" i="48"/>
  <c r="W66" i="48"/>
  <c r="U66" i="48"/>
  <c r="T66" i="48"/>
  <c r="R66" i="48"/>
  <c r="Q66" i="48"/>
  <c r="O66" i="48"/>
  <c r="N66" i="48"/>
  <c r="L66" i="48"/>
  <c r="K66" i="48"/>
  <c r="I66" i="48"/>
  <c r="H66" i="48"/>
  <c r="G66" i="48"/>
  <c r="D66" i="48"/>
  <c r="C66" i="48"/>
  <c r="B66" i="48"/>
  <c r="A66" i="48"/>
  <c r="X65" i="48"/>
  <c r="W65" i="48"/>
  <c r="U65" i="48"/>
  <c r="T65" i="48"/>
  <c r="R65" i="48"/>
  <c r="Q65" i="48"/>
  <c r="O65" i="48"/>
  <c r="N65" i="48"/>
  <c r="L65" i="48"/>
  <c r="K65" i="48"/>
  <c r="I65" i="48"/>
  <c r="H65" i="48"/>
  <c r="G65" i="48"/>
  <c r="D65" i="48"/>
  <c r="C65" i="48"/>
  <c r="B65" i="48"/>
  <c r="A65" i="48"/>
  <c r="X64" i="48"/>
  <c r="W64" i="48"/>
  <c r="U64" i="48"/>
  <c r="T64" i="48"/>
  <c r="R64" i="48"/>
  <c r="Q64" i="48"/>
  <c r="O64" i="48"/>
  <c r="N64" i="48"/>
  <c r="L64" i="48"/>
  <c r="K64" i="48"/>
  <c r="I64" i="48"/>
  <c r="H64" i="48"/>
  <c r="G64" i="48"/>
  <c r="D64" i="48"/>
  <c r="C64" i="48"/>
  <c r="B64" i="48"/>
  <c r="A64" i="48"/>
  <c r="X63" i="48"/>
  <c r="W63" i="48"/>
  <c r="U63" i="48"/>
  <c r="T63" i="48"/>
  <c r="R63" i="48"/>
  <c r="Q63" i="48"/>
  <c r="O63" i="48"/>
  <c r="N63" i="48"/>
  <c r="L63" i="48"/>
  <c r="K63" i="48"/>
  <c r="I63" i="48"/>
  <c r="H63" i="48"/>
  <c r="G63" i="48"/>
  <c r="D63" i="48"/>
  <c r="C63" i="48"/>
  <c r="B63" i="48"/>
  <c r="A63" i="48"/>
  <c r="X62" i="48"/>
  <c r="W62" i="48"/>
  <c r="U62" i="48"/>
  <c r="T62" i="48"/>
  <c r="R62" i="48"/>
  <c r="Q62" i="48"/>
  <c r="O62" i="48"/>
  <c r="N62" i="48"/>
  <c r="L62" i="48"/>
  <c r="K62" i="48"/>
  <c r="I62" i="48"/>
  <c r="H62" i="48"/>
  <c r="G62" i="48"/>
  <c r="D62" i="48"/>
  <c r="C62" i="48"/>
  <c r="B62" i="48"/>
  <c r="A62" i="48"/>
  <c r="X61" i="48"/>
  <c r="W61" i="48"/>
  <c r="U61" i="48"/>
  <c r="T61" i="48"/>
  <c r="R61" i="48"/>
  <c r="Q61" i="48"/>
  <c r="O61" i="48"/>
  <c r="N61" i="48"/>
  <c r="L61" i="48"/>
  <c r="K61" i="48"/>
  <c r="I61" i="48"/>
  <c r="H61" i="48"/>
  <c r="G61" i="48"/>
  <c r="D61" i="48"/>
  <c r="C61" i="48"/>
  <c r="B61" i="48"/>
  <c r="A61" i="48"/>
  <c r="X60" i="48"/>
  <c r="W60" i="48"/>
  <c r="U60" i="48"/>
  <c r="T60" i="48"/>
  <c r="R60" i="48"/>
  <c r="Q60" i="48"/>
  <c r="O60" i="48"/>
  <c r="N60" i="48"/>
  <c r="L60" i="48"/>
  <c r="K60" i="48"/>
  <c r="I60" i="48"/>
  <c r="H60" i="48"/>
  <c r="G60" i="48"/>
  <c r="D60" i="48"/>
  <c r="C60" i="48"/>
  <c r="B60" i="48"/>
  <c r="A60" i="48"/>
  <c r="X59" i="48"/>
  <c r="W59" i="48"/>
  <c r="U59" i="48"/>
  <c r="T59" i="48"/>
  <c r="R59" i="48"/>
  <c r="Q59" i="48"/>
  <c r="O59" i="48"/>
  <c r="N59" i="48"/>
  <c r="L59" i="48"/>
  <c r="K59" i="48"/>
  <c r="I59" i="48"/>
  <c r="H59" i="48"/>
  <c r="G59" i="48"/>
  <c r="D59" i="48"/>
  <c r="C59" i="48"/>
  <c r="B59" i="48"/>
  <c r="A59" i="48"/>
  <c r="X58" i="48"/>
  <c r="W58" i="48"/>
  <c r="U58" i="48"/>
  <c r="T58" i="48"/>
  <c r="R58" i="48"/>
  <c r="Q58" i="48"/>
  <c r="O58" i="48"/>
  <c r="N58" i="48"/>
  <c r="L58" i="48"/>
  <c r="K58" i="48"/>
  <c r="I58" i="48"/>
  <c r="H58" i="48"/>
  <c r="G58" i="48"/>
  <c r="D58" i="48"/>
  <c r="C58" i="48"/>
  <c r="B58" i="48"/>
  <c r="A58" i="48"/>
  <c r="X57" i="48"/>
  <c r="W57" i="48"/>
  <c r="U57" i="48"/>
  <c r="T57" i="48"/>
  <c r="R57" i="48"/>
  <c r="Q57" i="48"/>
  <c r="O57" i="48"/>
  <c r="N57" i="48"/>
  <c r="L57" i="48"/>
  <c r="K57" i="48"/>
  <c r="I57" i="48"/>
  <c r="H57" i="48"/>
  <c r="G57" i="48"/>
  <c r="D57" i="48"/>
  <c r="C57" i="48"/>
  <c r="B57" i="48"/>
  <c r="A57" i="48"/>
  <c r="X56" i="48"/>
  <c r="W56" i="48"/>
  <c r="U56" i="48"/>
  <c r="T56" i="48"/>
  <c r="R56" i="48"/>
  <c r="Q56" i="48"/>
  <c r="O56" i="48"/>
  <c r="N56" i="48"/>
  <c r="L56" i="48"/>
  <c r="K56" i="48"/>
  <c r="I56" i="48"/>
  <c r="H56" i="48"/>
  <c r="G56" i="48"/>
  <c r="D56" i="48"/>
  <c r="C56" i="48"/>
  <c r="B56" i="48"/>
  <c r="A56" i="48"/>
  <c r="X55" i="48"/>
  <c r="W55" i="48"/>
  <c r="U55" i="48"/>
  <c r="T55" i="48"/>
  <c r="R55" i="48"/>
  <c r="Q55" i="48"/>
  <c r="O55" i="48"/>
  <c r="N55" i="48"/>
  <c r="L55" i="48"/>
  <c r="K55" i="48"/>
  <c r="I55" i="48"/>
  <c r="H55" i="48"/>
  <c r="G55" i="48"/>
  <c r="D55" i="48"/>
  <c r="C55" i="48"/>
  <c r="B55" i="48"/>
  <c r="A55" i="48"/>
  <c r="X54" i="48"/>
  <c r="W54" i="48"/>
  <c r="U54" i="48"/>
  <c r="T54" i="48"/>
  <c r="R54" i="48"/>
  <c r="Q54" i="48"/>
  <c r="O54" i="48"/>
  <c r="N54" i="48"/>
  <c r="L54" i="48"/>
  <c r="K54" i="48"/>
  <c r="I54" i="48"/>
  <c r="H54" i="48"/>
  <c r="G54" i="48"/>
  <c r="D54" i="48"/>
  <c r="C54" i="48"/>
  <c r="B54" i="48"/>
  <c r="A54" i="48"/>
  <c r="X53" i="48"/>
  <c r="W53" i="48"/>
  <c r="U53" i="48"/>
  <c r="T53" i="48"/>
  <c r="R53" i="48"/>
  <c r="Q53" i="48"/>
  <c r="O53" i="48"/>
  <c r="N53" i="48"/>
  <c r="L53" i="48"/>
  <c r="K53" i="48"/>
  <c r="I53" i="48"/>
  <c r="H53" i="48"/>
  <c r="G53" i="48"/>
  <c r="D53" i="48"/>
  <c r="C53" i="48"/>
  <c r="B53" i="48"/>
  <c r="A53" i="48"/>
  <c r="X52" i="48"/>
  <c r="W52" i="48"/>
  <c r="U52" i="48"/>
  <c r="T52" i="48"/>
  <c r="R52" i="48"/>
  <c r="Q52" i="48"/>
  <c r="O52" i="48"/>
  <c r="N52" i="48"/>
  <c r="L52" i="48"/>
  <c r="K52" i="48"/>
  <c r="I52" i="48"/>
  <c r="H52" i="48"/>
  <c r="G52" i="48"/>
  <c r="D52" i="48"/>
  <c r="C52" i="48"/>
  <c r="B52" i="48"/>
  <c r="A52" i="48"/>
  <c r="X51" i="48"/>
  <c r="W51" i="48"/>
  <c r="U51" i="48"/>
  <c r="T51" i="48"/>
  <c r="R51" i="48"/>
  <c r="Q51" i="48"/>
  <c r="O51" i="48"/>
  <c r="N51" i="48"/>
  <c r="L51" i="48"/>
  <c r="K51" i="48"/>
  <c r="I51" i="48"/>
  <c r="H51" i="48"/>
  <c r="G51" i="48"/>
  <c r="D51" i="48"/>
  <c r="C51" i="48"/>
  <c r="B51" i="48"/>
  <c r="A51" i="48"/>
  <c r="X50" i="48"/>
  <c r="W50" i="48"/>
  <c r="U50" i="48"/>
  <c r="T50" i="48"/>
  <c r="R50" i="48"/>
  <c r="Q50" i="48"/>
  <c r="O50" i="48"/>
  <c r="N50" i="48"/>
  <c r="L50" i="48"/>
  <c r="K50" i="48"/>
  <c r="I50" i="48"/>
  <c r="H50" i="48"/>
  <c r="G50" i="48"/>
  <c r="D50" i="48"/>
  <c r="C50" i="48"/>
  <c r="B50" i="48"/>
  <c r="A50" i="48"/>
  <c r="X49" i="48"/>
  <c r="W49" i="48"/>
  <c r="U49" i="48"/>
  <c r="T49" i="48"/>
  <c r="R49" i="48"/>
  <c r="Q49" i="48"/>
  <c r="O49" i="48"/>
  <c r="N49" i="48"/>
  <c r="L49" i="48"/>
  <c r="K49" i="48"/>
  <c r="I49" i="48"/>
  <c r="H49" i="48"/>
  <c r="G49" i="48"/>
  <c r="D49" i="48"/>
  <c r="C49" i="48"/>
  <c r="B49" i="48"/>
  <c r="A49" i="48"/>
  <c r="X48" i="48"/>
  <c r="W48" i="48"/>
  <c r="U48" i="48"/>
  <c r="T48" i="48"/>
  <c r="R48" i="48"/>
  <c r="Q48" i="48"/>
  <c r="O48" i="48"/>
  <c r="N48" i="48"/>
  <c r="L48" i="48"/>
  <c r="K48" i="48"/>
  <c r="I48" i="48"/>
  <c r="H48" i="48"/>
  <c r="G48" i="48"/>
  <c r="D48" i="48"/>
  <c r="C48" i="48"/>
  <c r="B48" i="48"/>
  <c r="A48" i="48"/>
  <c r="X47" i="48"/>
  <c r="W47" i="48"/>
  <c r="U47" i="48"/>
  <c r="T47" i="48"/>
  <c r="R47" i="48"/>
  <c r="Q47" i="48"/>
  <c r="O47" i="48"/>
  <c r="N47" i="48"/>
  <c r="L47" i="48"/>
  <c r="K47" i="48"/>
  <c r="I47" i="48"/>
  <c r="H47" i="48"/>
  <c r="G47" i="48"/>
  <c r="D47" i="48"/>
  <c r="C47" i="48"/>
  <c r="B47" i="48"/>
  <c r="A47" i="48"/>
  <c r="X46" i="48"/>
  <c r="W46" i="48"/>
  <c r="U46" i="48"/>
  <c r="T46" i="48"/>
  <c r="R46" i="48"/>
  <c r="Q46" i="48"/>
  <c r="O46" i="48"/>
  <c r="N46" i="48"/>
  <c r="L46" i="48"/>
  <c r="K46" i="48"/>
  <c r="I46" i="48"/>
  <c r="H46" i="48"/>
  <c r="G46" i="48"/>
  <c r="D46" i="48"/>
  <c r="C46" i="48"/>
  <c r="B46" i="48"/>
  <c r="A46" i="48"/>
  <c r="X45" i="48"/>
  <c r="W45" i="48"/>
  <c r="U45" i="48"/>
  <c r="T45" i="48"/>
  <c r="R45" i="48"/>
  <c r="Q45" i="48"/>
  <c r="O45" i="48"/>
  <c r="N45" i="48"/>
  <c r="L45" i="48"/>
  <c r="K45" i="48"/>
  <c r="I45" i="48"/>
  <c r="H45" i="48"/>
  <c r="G45" i="48"/>
  <c r="D45" i="48"/>
  <c r="C45" i="48"/>
  <c r="B45" i="48"/>
  <c r="A45" i="48"/>
  <c r="X44" i="48"/>
  <c r="W44" i="48"/>
  <c r="U44" i="48"/>
  <c r="T44" i="48"/>
  <c r="R44" i="48"/>
  <c r="Q44" i="48"/>
  <c r="O44" i="48"/>
  <c r="N44" i="48"/>
  <c r="L44" i="48"/>
  <c r="K44" i="48"/>
  <c r="I44" i="48"/>
  <c r="H44" i="48"/>
  <c r="G44" i="48"/>
  <c r="D44" i="48"/>
  <c r="C44" i="48"/>
  <c r="B44" i="48"/>
  <c r="A44" i="48"/>
  <c r="X43" i="48"/>
  <c r="W43" i="48"/>
  <c r="U43" i="48"/>
  <c r="T43" i="48"/>
  <c r="R43" i="48"/>
  <c r="Q43" i="48"/>
  <c r="O43" i="48"/>
  <c r="N43" i="48"/>
  <c r="L43" i="48"/>
  <c r="K43" i="48"/>
  <c r="I43" i="48"/>
  <c r="H43" i="48"/>
  <c r="G43" i="48"/>
  <c r="D43" i="48"/>
  <c r="C43" i="48"/>
  <c r="B43" i="48"/>
  <c r="A43" i="48"/>
  <c r="X42" i="48"/>
  <c r="W42" i="48"/>
  <c r="U42" i="48"/>
  <c r="T42" i="48"/>
  <c r="R42" i="48"/>
  <c r="Q42" i="48"/>
  <c r="O42" i="48"/>
  <c r="N42" i="48"/>
  <c r="L42" i="48"/>
  <c r="K42" i="48"/>
  <c r="I42" i="48"/>
  <c r="H42" i="48"/>
  <c r="G42" i="48"/>
  <c r="D42" i="48"/>
  <c r="C42" i="48"/>
  <c r="B42" i="48"/>
  <c r="A42" i="48"/>
  <c r="X41" i="48"/>
  <c r="W41" i="48"/>
  <c r="U41" i="48"/>
  <c r="T41" i="48"/>
  <c r="R41" i="48"/>
  <c r="Q41" i="48"/>
  <c r="O41" i="48"/>
  <c r="N41" i="48"/>
  <c r="L41" i="48"/>
  <c r="K41" i="48"/>
  <c r="I41" i="48"/>
  <c r="H41" i="48"/>
  <c r="G41" i="48"/>
  <c r="D41" i="48"/>
  <c r="C41" i="48"/>
  <c r="B41" i="48"/>
  <c r="A41" i="48"/>
  <c r="X40" i="48"/>
  <c r="W40" i="48"/>
  <c r="U40" i="48"/>
  <c r="T40" i="48"/>
  <c r="R40" i="48"/>
  <c r="Q40" i="48"/>
  <c r="O40" i="48"/>
  <c r="N40" i="48"/>
  <c r="L40" i="48"/>
  <c r="K40" i="48"/>
  <c r="I40" i="48"/>
  <c r="H40" i="48"/>
  <c r="G40" i="48"/>
  <c r="D40" i="48"/>
  <c r="C40" i="48"/>
  <c r="B40" i="48"/>
  <c r="A40" i="48"/>
  <c r="X39" i="48"/>
  <c r="W39" i="48"/>
  <c r="U39" i="48"/>
  <c r="T39" i="48"/>
  <c r="R39" i="48"/>
  <c r="Q39" i="48"/>
  <c r="O39" i="48"/>
  <c r="N39" i="48"/>
  <c r="L39" i="48"/>
  <c r="K39" i="48"/>
  <c r="I39" i="48"/>
  <c r="H39" i="48"/>
  <c r="G39" i="48"/>
  <c r="D39" i="48"/>
  <c r="C39" i="48"/>
  <c r="B39" i="48"/>
  <c r="A39" i="48"/>
  <c r="X38" i="48"/>
  <c r="W38" i="48"/>
  <c r="U38" i="48"/>
  <c r="T38" i="48"/>
  <c r="R38" i="48"/>
  <c r="Q38" i="48"/>
  <c r="O38" i="48"/>
  <c r="N38" i="48"/>
  <c r="L38" i="48"/>
  <c r="K38" i="48"/>
  <c r="I38" i="48"/>
  <c r="H38" i="48"/>
  <c r="G38" i="48"/>
  <c r="D38" i="48"/>
  <c r="C38" i="48"/>
  <c r="B38" i="48"/>
  <c r="A38" i="48"/>
  <c r="X37" i="48"/>
  <c r="W37" i="48"/>
  <c r="U37" i="48"/>
  <c r="T37" i="48"/>
  <c r="R37" i="48"/>
  <c r="Q37" i="48"/>
  <c r="O37" i="48"/>
  <c r="N37" i="48"/>
  <c r="L37" i="48"/>
  <c r="K37" i="48"/>
  <c r="I37" i="48"/>
  <c r="H37" i="48"/>
  <c r="G37" i="48"/>
  <c r="D37" i="48"/>
  <c r="C37" i="48"/>
  <c r="B37" i="48"/>
  <c r="A37" i="48"/>
  <c r="X36" i="48"/>
  <c r="W36" i="48"/>
  <c r="U36" i="48"/>
  <c r="T36" i="48"/>
  <c r="R36" i="48"/>
  <c r="Q36" i="48"/>
  <c r="O36" i="48"/>
  <c r="N36" i="48"/>
  <c r="L36" i="48"/>
  <c r="K36" i="48"/>
  <c r="I36" i="48"/>
  <c r="H36" i="48"/>
  <c r="G36" i="48"/>
  <c r="D36" i="48"/>
  <c r="C36" i="48"/>
  <c r="B36" i="48"/>
  <c r="A36" i="48"/>
  <c r="X35" i="48"/>
  <c r="W35" i="48"/>
  <c r="U35" i="48"/>
  <c r="T35" i="48"/>
  <c r="R35" i="48"/>
  <c r="Q35" i="48"/>
  <c r="O35" i="48"/>
  <c r="N35" i="48"/>
  <c r="L35" i="48"/>
  <c r="K35" i="48"/>
  <c r="I35" i="48"/>
  <c r="H35" i="48"/>
  <c r="G35" i="48"/>
  <c r="D35" i="48"/>
  <c r="C35" i="48"/>
  <c r="B35" i="48"/>
  <c r="A35" i="48"/>
  <c r="X34" i="48"/>
  <c r="W34" i="48"/>
  <c r="U34" i="48"/>
  <c r="T34" i="48"/>
  <c r="R34" i="48"/>
  <c r="Q34" i="48"/>
  <c r="O34" i="48"/>
  <c r="N34" i="48"/>
  <c r="L34" i="48"/>
  <c r="K34" i="48"/>
  <c r="I34" i="48"/>
  <c r="H34" i="48"/>
  <c r="G34" i="48"/>
  <c r="D34" i="48"/>
  <c r="C34" i="48"/>
  <c r="B34" i="48"/>
  <c r="A34" i="48"/>
  <c r="X33" i="48"/>
  <c r="W33" i="48"/>
  <c r="U33" i="48"/>
  <c r="T33" i="48"/>
  <c r="R33" i="48"/>
  <c r="Q33" i="48"/>
  <c r="O33" i="48"/>
  <c r="N33" i="48"/>
  <c r="L33" i="48"/>
  <c r="K33" i="48"/>
  <c r="I33" i="48"/>
  <c r="H33" i="48"/>
  <c r="G33" i="48"/>
  <c r="D33" i="48"/>
  <c r="C33" i="48"/>
  <c r="B33" i="48"/>
  <c r="A33" i="48"/>
  <c r="X32" i="48"/>
  <c r="W32" i="48"/>
  <c r="U32" i="48"/>
  <c r="T32" i="48"/>
  <c r="R32" i="48"/>
  <c r="Q32" i="48"/>
  <c r="O32" i="48"/>
  <c r="N32" i="48"/>
  <c r="L32" i="48"/>
  <c r="K32" i="48"/>
  <c r="I32" i="48"/>
  <c r="H32" i="48"/>
  <c r="G32" i="48"/>
  <c r="D32" i="48"/>
  <c r="C32" i="48"/>
  <c r="B32" i="48"/>
  <c r="A32" i="48"/>
  <c r="X31" i="48"/>
  <c r="W31" i="48"/>
  <c r="U31" i="48"/>
  <c r="T31" i="48"/>
  <c r="R31" i="48"/>
  <c r="Q31" i="48"/>
  <c r="O31" i="48"/>
  <c r="N31" i="48"/>
  <c r="L31" i="48"/>
  <c r="K31" i="48"/>
  <c r="I31" i="48"/>
  <c r="H31" i="48"/>
  <c r="G31" i="48"/>
  <c r="D31" i="48"/>
  <c r="C31" i="48"/>
  <c r="B31" i="48"/>
  <c r="A31" i="48"/>
  <c r="X30" i="48"/>
  <c r="W30" i="48"/>
  <c r="U30" i="48"/>
  <c r="T30" i="48"/>
  <c r="R30" i="48"/>
  <c r="Q30" i="48"/>
  <c r="O30" i="48"/>
  <c r="N30" i="48"/>
  <c r="L30" i="48"/>
  <c r="K30" i="48"/>
  <c r="I30" i="48"/>
  <c r="H30" i="48"/>
  <c r="G30" i="48"/>
  <c r="D30" i="48"/>
  <c r="C30" i="48"/>
  <c r="B30" i="48"/>
  <c r="A30" i="48"/>
  <c r="X29" i="48"/>
  <c r="W29" i="48"/>
  <c r="U29" i="48"/>
  <c r="T29" i="48"/>
  <c r="R29" i="48"/>
  <c r="Q29" i="48"/>
  <c r="O29" i="48"/>
  <c r="N29" i="48"/>
  <c r="L29" i="48"/>
  <c r="K29" i="48"/>
  <c r="I29" i="48"/>
  <c r="H29" i="48"/>
  <c r="G29" i="48"/>
  <c r="D29" i="48"/>
  <c r="C29" i="48"/>
  <c r="B29" i="48"/>
  <c r="A29" i="48"/>
  <c r="X28" i="48"/>
  <c r="W28" i="48"/>
  <c r="U28" i="48"/>
  <c r="T28" i="48"/>
  <c r="R28" i="48"/>
  <c r="Q28" i="48"/>
  <c r="O28" i="48"/>
  <c r="N28" i="48"/>
  <c r="L28" i="48"/>
  <c r="K28" i="48"/>
  <c r="I28" i="48"/>
  <c r="H28" i="48"/>
  <c r="G28" i="48"/>
  <c r="D28" i="48"/>
  <c r="C28" i="48"/>
  <c r="B28" i="48"/>
  <c r="A28" i="48"/>
  <c r="X27" i="48"/>
  <c r="W27" i="48"/>
  <c r="U27" i="48"/>
  <c r="T27" i="48"/>
  <c r="R27" i="48"/>
  <c r="Q27" i="48"/>
  <c r="O27" i="48"/>
  <c r="N27" i="48"/>
  <c r="L27" i="48"/>
  <c r="K27" i="48"/>
  <c r="I27" i="48"/>
  <c r="H27" i="48"/>
  <c r="G27" i="48"/>
  <c r="D27" i="48"/>
  <c r="C27" i="48"/>
  <c r="B27" i="48"/>
  <c r="A27" i="48"/>
  <c r="X26" i="48"/>
  <c r="W26" i="48"/>
  <c r="U26" i="48"/>
  <c r="T26" i="48"/>
  <c r="R26" i="48"/>
  <c r="Q26" i="48"/>
  <c r="O26" i="48"/>
  <c r="N26" i="48"/>
  <c r="L26" i="48"/>
  <c r="K26" i="48"/>
  <c r="I26" i="48"/>
  <c r="H26" i="48"/>
  <c r="G26" i="48"/>
  <c r="D26" i="48"/>
  <c r="C26" i="48"/>
  <c r="B26" i="48"/>
  <c r="A26" i="48"/>
  <c r="X25" i="48"/>
  <c r="W25" i="48"/>
  <c r="U25" i="48"/>
  <c r="T25" i="48"/>
  <c r="R25" i="48"/>
  <c r="Q25" i="48"/>
  <c r="O25" i="48"/>
  <c r="N25" i="48"/>
  <c r="L25" i="48"/>
  <c r="K25" i="48"/>
  <c r="I25" i="48"/>
  <c r="H25" i="48"/>
  <c r="G25" i="48"/>
  <c r="D25" i="48"/>
  <c r="C25" i="48"/>
  <c r="B25" i="48"/>
  <c r="A25" i="48"/>
  <c r="X24" i="48"/>
  <c r="W24" i="48"/>
  <c r="U24" i="48"/>
  <c r="T24" i="48"/>
  <c r="R24" i="48"/>
  <c r="Q24" i="48"/>
  <c r="O24" i="48"/>
  <c r="N24" i="48"/>
  <c r="L24" i="48"/>
  <c r="K24" i="48"/>
  <c r="I24" i="48"/>
  <c r="H24" i="48"/>
  <c r="G24" i="48"/>
  <c r="D24" i="48"/>
  <c r="C24" i="48"/>
  <c r="B24" i="48"/>
  <c r="A24" i="48"/>
  <c r="X23" i="48"/>
  <c r="W23" i="48"/>
  <c r="U23" i="48"/>
  <c r="T23" i="48"/>
  <c r="R23" i="48"/>
  <c r="Q23" i="48"/>
  <c r="O23" i="48"/>
  <c r="N23" i="48"/>
  <c r="L23" i="48"/>
  <c r="K23" i="48"/>
  <c r="I23" i="48"/>
  <c r="H23" i="48"/>
  <c r="G23" i="48"/>
  <c r="D23" i="48"/>
  <c r="C23" i="48"/>
  <c r="B23" i="48"/>
  <c r="A23" i="48"/>
  <c r="X22" i="48"/>
  <c r="W22" i="48"/>
  <c r="U22" i="48"/>
  <c r="T22" i="48"/>
  <c r="R22" i="48"/>
  <c r="Q22" i="48"/>
  <c r="O22" i="48"/>
  <c r="N22" i="48"/>
  <c r="L22" i="48"/>
  <c r="K22" i="48"/>
  <c r="I22" i="48"/>
  <c r="H22" i="48"/>
  <c r="G22" i="48"/>
  <c r="D22" i="48"/>
  <c r="C22" i="48"/>
  <c r="B22" i="48"/>
  <c r="A22" i="48"/>
  <c r="X21" i="48"/>
  <c r="W21" i="48"/>
  <c r="U21" i="48"/>
  <c r="T21" i="48"/>
  <c r="R21" i="48"/>
  <c r="Q21" i="48"/>
  <c r="O21" i="48"/>
  <c r="N21" i="48"/>
  <c r="L21" i="48"/>
  <c r="K21" i="48"/>
  <c r="I21" i="48"/>
  <c r="H21" i="48"/>
  <c r="G21" i="48"/>
  <c r="D21" i="48"/>
  <c r="C21" i="48"/>
  <c r="B21" i="48"/>
  <c r="A21" i="48"/>
  <c r="X20" i="48"/>
  <c r="W20" i="48"/>
  <c r="U20" i="48"/>
  <c r="T20" i="48"/>
  <c r="R20" i="48"/>
  <c r="Q20" i="48"/>
  <c r="O20" i="48"/>
  <c r="N20" i="48"/>
  <c r="L20" i="48"/>
  <c r="K20" i="48"/>
  <c r="I20" i="48"/>
  <c r="H20" i="48"/>
  <c r="G20" i="48"/>
  <c r="D20" i="48"/>
  <c r="C20" i="48"/>
  <c r="B20" i="48"/>
  <c r="A20" i="48"/>
  <c r="X19" i="48"/>
  <c r="W19" i="48"/>
  <c r="U19" i="48"/>
  <c r="T19" i="48"/>
  <c r="R19" i="48"/>
  <c r="Q19" i="48"/>
  <c r="O19" i="48"/>
  <c r="N19" i="48"/>
  <c r="L19" i="48"/>
  <c r="K19" i="48"/>
  <c r="I19" i="48"/>
  <c r="H19" i="48"/>
  <c r="G19" i="48"/>
  <c r="D19" i="48"/>
  <c r="C19" i="48"/>
  <c r="B19" i="48"/>
  <c r="A19" i="48"/>
  <c r="X18" i="48"/>
  <c r="W18" i="48"/>
  <c r="U18" i="48"/>
  <c r="T18" i="48"/>
  <c r="R18" i="48"/>
  <c r="Q18" i="48"/>
  <c r="O18" i="48"/>
  <c r="N18" i="48"/>
  <c r="L18" i="48"/>
  <c r="K18" i="48"/>
  <c r="I18" i="48"/>
  <c r="H18" i="48"/>
  <c r="G18" i="48"/>
  <c r="D18" i="48"/>
  <c r="C18" i="48"/>
  <c r="B18" i="48"/>
  <c r="A18" i="48"/>
  <c r="X17" i="48"/>
  <c r="W17" i="48"/>
  <c r="U17" i="48"/>
  <c r="T17" i="48"/>
  <c r="R17" i="48"/>
  <c r="Q17" i="48"/>
  <c r="O17" i="48"/>
  <c r="N17" i="48"/>
  <c r="L17" i="48"/>
  <c r="K17" i="48"/>
  <c r="I17" i="48"/>
  <c r="H17" i="48"/>
  <c r="G17" i="48"/>
  <c r="D17" i="48"/>
  <c r="C17" i="48"/>
  <c r="B17" i="48"/>
  <c r="A17" i="48"/>
  <c r="X16" i="48"/>
  <c r="W16" i="48"/>
  <c r="U16" i="48"/>
  <c r="T16" i="48"/>
  <c r="R16" i="48"/>
  <c r="Q16" i="48"/>
  <c r="O16" i="48"/>
  <c r="N16" i="48"/>
  <c r="L16" i="48"/>
  <c r="K16" i="48"/>
  <c r="I16" i="48"/>
  <c r="H16" i="48"/>
  <c r="G16" i="48"/>
  <c r="D16" i="48"/>
  <c r="C16" i="48"/>
  <c r="B16" i="48"/>
  <c r="A16" i="48"/>
  <c r="X15" i="48"/>
  <c r="W15" i="48"/>
  <c r="U15" i="48"/>
  <c r="T15" i="48"/>
  <c r="R15" i="48"/>
  <c r="Q15" i="48"/>
  <c r="O15" i="48"/>
  <c r="N15" i="48"/>
  <c r="L15" i="48"/>
  <c r="K15" i="48"/>
  <c r="I15" i="48"/>
  <c r="H15" i="48"/>
  <c r="G15" i="48"/>
  <c r="D15" i="48"/>
  <c r="C15" i="48"/>
  <c r="B15" i="48"/>
  <c r="A15" i="48"/>
  <c r="X14" i="48"/>
  <c r="W14" i="48"/>
  <c r="U14" i="48"/>
  <c r="T14" i="48"/>
  <c r="R14" i="48"/>
  <c r="Q14" i="48"/>
  <c r="O14" i="48"/>
  <c r="N14" i="48"/>
  <c r="L14" i="48"/>
  <c r="K14" i="48"/>
  <c r="I14" i="48"/>
  <c r="H14" i="48"/>
  <c r="G14" i="48"/>
  <c r="D14" i="48"/>
  <c r="C14" i="48"/>
  <c r="B14" i="48"/>
  <c r="A14" i="48"/>
  <c r="X13" i="48"/>
  <c r="W13" i="48"/>
  <c r="U13" i="48"/>
  <c r="T13" i="48"/>
  <c r="R13" i="48"/>
  <c r="Q13" i="48"/>
  <c r="O13" i="48"/>
  <c r="N13" i="48"/>
  <c r="L13" i="48"/>
  <c r="K13" i="48"/>
  <c r="I13" i="48"/>
  <c r="H13" i="48"/>
  <c r="G13" i="48"/>
  <c r="D13" i="48"/>
  <c r="C13" i="48"/>
  <c r="B13" i="48"/>
  <c r="A13" i="48"/>
  <c r="X12" i="48"/>
  <c r="W12" i="48"/>
  <c r="U12" i="48"/>
  <c r="T12" i="48"/>
  <c r="R12" i="48"/>
  <c r="Q12" i="48"/>
  <c r="O12" i="48"/>
  <c r="N12" i="48"/>
  <c r="L12" i="48"/>
  <c r="K12" i="48"/>
  <c r="I12" i="48"/>
  <c r="H12" i="48"/>
  <c r="G12" i="48"/>
  <c r="D12" i="48"/>
  <c r="C12" i="48"/>
  <c r="B12" i="48"/>
  <c r="A12" i="48"/>
  <c r="X11" i="48"/>
  <c r="W11" i="48"/>
  <c r="U11" i="48"/>
  <c r="T11" i="48"/>
  <c r="R11" i="48"/>
  <c r="Q11" i="48"/>
  <c r="O11" i="48"/>
  <c r="N11" i="48"/>
  <c r="L11" i="48"/>
  <c r="K11" i="48"/>
  <c r="I11" i="48"/>
  <c r="H11" i="48"/>
  <c r="G11" i="48"/>
  <c r="D11" i="48"/>
  <c r="C11" i="48"/>
  <c r="B11" i="48"/>
  <c r="A11" i="48"/>
  <c r="X10" i="48"/>
  <c r="W10" i="48"/>
  <c r="U10" i="48"/>
  <c r="T10" i="48"/>
  <c r="R10" i="48"/>
  <c r="Q10" i="48"/>
  <c r="O10" i="48"/>
  <c r="N10" i="48"/>
  <c r="L10" i="48"/>
  <c r="K10" i="48"/>
  <c r="I10" i="48"/>
  <c r="H10" i="48"/>
  <c r="G10" i="48"/>
  <c r="D10" i="48"/>
  <c r="C10" i="48"/>
  <c r="B10" i="48"/>
  <c r="A10" i="48"/>
  <c r="X9" i="48"/>
  <c r="W9" i="48"/>
  <c r="U9" i="48"/>
  <c r="T9" i="48"/>
  <c r="R9" i="48"/>
  <c r="Q9" i="48"/>
  <c r="O9" i="48"/>
  <c r="N9" i="48"/>
  <c r="L9" i="48"/>
  <c r="K9" i="48"/>
  <c r="I9" i="48"/>
  <c r="H9" i="48"/>
  <c r="G9" i="48"/>
  <c r="D9" i="48"/>
  <c r="C9" i="48"/>
  <c r="B9" i="48"/>
  <c r="A9" i="48"/>
  <c r="X8" i="48"/>
  <c r="W8" i="48"/>
  <c r="U8" i="48"/>
  <c r="T8" i="48"/>
  <c r="R8" i="48"/>
  <c r="Q8" i="48"/>
  <c r="O8" i="48"/>
  <c r="N8" i="48"/>
  <c r="L8" i="48"/>
  <c r="K8" i="48"/>
  <c r="I8" i="48"/>
  <c r="H8" i="48"/>
  <c r="G8" i="48"/>
  <c r="D8" i="48"/>
  <c r="C8" i="48"/>
  <c r="B8" i="48"/>
  <c r="A8" i="48"/>
  <c r="X7" i="48"/>
  <c r="W7" i="48"/>
  <c r="U7" i="48"/>
  <c r="T7" i="48"/>
  <c r="R7" i="48"/>
  <c r="Q7" i="48"/>
  <c r="O7" i="48"/>
  <c r="N7" i="48"/>
  <c r="L7" i="48"/>
  <c r="K7" i="48"/>
  <c r="I7" i="48"/>
  <c r="H7" i="48"/>
  <c r="G7" i="48"/>
  <c r="D7" i="48"/>
  <c r="C7" i="48"/>
  <c r="B7" i="48"/>
  <c r="A7" i="48"/>
  <c r="X6" i="48"/>
  <c r="W6" i="48"/>
  <c r="U6" i="48"/>
  <c r="T6" i="48"/>
  <c r="R6" i="48"/>
  <c r="Q6" i="48"/>
  <c r="O6" i="48"/>
  <c r="N6" i="48"/>
  <c r="L6" i="48"/>
  <c r="K6" i="48"/>
  <c r="I6" i="48"/>
  <c r="H6" i="48"/>
  <c r="G6" i="48"/>
  <c r="D6" i="48"/>
  <c r="C6" i="48"/>
  <c r="B6" i="48"/>
  <c r="A6" i="48"/>
  <c r="X5" i="48"/>
  <c r="W5" i="48"/>
  <c r="U5" i="48"/>
  <c r="T5" i="48"/>
  <c r="R5" i="48"/>
  <c r="Q5" i="48"/>
  <c r="O5" i="48"/>
  <c r="N5" i="48"/>
  <c r="L5" i="48"/>
  <c r="K5" i="48"/>
  <c r="I5" i="48"/>
  <c r="H5" i="48"/>
  <c r="G5" i="48"/>
  <c r="D5" i="48"/>
  <c r="C5" i="48"/>
  <c r="B5" i="48"/>
  <c r="A5" i="48"/>
  <c r="X4" i="48"/>
  <c r="W4" i="48"/>
  <c r="U4" i="48"/>
  <c r="T4" i="48"/>
  <c r="R4" i="48"/>
  <c r="Q4" i="48"/>
  <c r="O4" i="48"/>
  <c r="N4" i="48"/>
  <c r="L4" i="48"/>
  <c r="K4" i="48"/>
  <c r="I4" i="48"/>
  <c r="H4" i="48"/>
  <c r="G4" i="48"/>
  <c r="D4" i="48"/>
  <c r="C4" i="48"/>
  <c r="B4" i="48"/>
  <c r="A4" i="48"/>
  <c r="X3" i="48"/>
  <c r="W3" i="48"/>
  <c r="U3" i="48"/>
  <c r="T3" i="48"/>
  <c r="R3" i="48"/>
  <c r="Q3" i="48"/>
  <c r="O3" i="48"/>
  <c r="N3" i="48"/>
  <c r="L3" i="48"/>
  <c r="K3" i="48"/>
  <c r="I3" i="48"/>
  <c r="H3" i="48"/>
  <c r="G3" i="48"/>
  <c r="D3" i="48"/>
  <c r="C3" i="48"/>
  <c r="B3" i="48"/>
  <c r="A3" i="48"/>
  <c r="X2" i="48"/>
  <c r="W2" i="48"/>
  <c r="U2" i="48"/>
  <c r="T2" i="48"/>
  <c r="R2" i="48"/>
  <c r="Q2" i="48"/>
  <c r="O2" i="48"/>
  <c r="N2" i="48"/>
  <c r="L2" i="48"/>
  <c r="K2" i="48"/>
  <c r="I2" i="48"/>
  <c r="H2" i="48"/>
  <c r="G2" i="48"/>
  <c r="D2" i="48"/>
  <c r="C2" i="48"/>
  <c r="B2" i="48"/>
  <c r="A2" i="48"/>
  <c r="C146" i="47" l="1"/>
  <c r="B146" i="47"/>
  <c r="C145" i="47"/>
  <c r="B145" i="47"/>
  <c r="C144" i="47"/>
  <c r="B144" i="47"/>
  <c r="C143" i="47"/>
  <c r="B143" i="47"/>
  <c r="C142" i="47"/>
  <c r="B142" i="47"/>
  <c r="C141" i="47"/>
  <c r="B141" i="47"/>
  <c r="C140" i="47"/>
  <c r="B140" i="47"/>
  <c r="C139" i="47"/>
  <c r="B139" i="47"/>
  <c r="C138" i="47"/>
  <c r="B138" i="47"/>
  <c r="C137" i="47"/>
  <c r="B137" i="47"/>
  <c r="C136" i="47"/>
  <c r="B136" i="47"/>
  <c r="C135" i="47"/>
  <c r="B135" i="47"/>
  <c r="C134" i="47"/>
  <c r="B134" i="47"/>
  <c r="C133" i="47"/>
  <c r="B133" i="47"/>
  <c r="C132" i="47"/>
  <c r="B132" i="47"/>
  <c r="C131" i="47"/>
  <c r="B131" i="47"/>
  <c r="C130" i="47"/>
  <c r="B130" i="47"/>
  <c r="C129" i="47"/>
  <c r="B129" i="47"/>
  <c r="C128" i="47"/>
  <c r="B128" i="47"/>
  <c r="C127" i="47"/>
  <c r="B127" i="47"/>
  <c r="C126" i="47"/>
  <c r="B126" i="47"/>
  <c r="C125" i="47"/>
  <c r="B125" i="47"/>
  <c r="C124" i="47"/>
  <c r="B124" i="47"/>
  <c r="C123" i="47"/>
  <c r="B123" i="47"/>
  <c r="C122" i="47"/>
  <c r="B122" i="47"/>
  <c r="C121" i="47"/>
  <c r="B121" i="47"/>
  <c r="C120" i="47"/>
  <c r="B120" i="47"/>
  <c r="C119" i="47"/>
  <c r="B119" i="47"/>
  <c r="C118" i="47"/>
  <c r="B118" i="47"/>
  <c r="C117" i="47"/>
  <c r="B117" i="47"/>
  <c r="C116" i="47"/>
  <c r="B116" i="47"/>
  <c r="C115" i="47"/>
  <c r="B115" i="47"/>
  <c r="C114" i="47"/>
  <c r="B114" i="47"/>
  <c r="C113" i="47"/>
  <c r="B113" i="47"/>
  <c r="C112" i="47"/>
  <c r="B112" i="47"/>
  <c r="C111" i="47"/>
  <c r="B111" i="47"/>
  <c r="C110" i="47"/>
  <c r="B110" i="47"/>
  <c r="C109" i="47"/>
  <c r="B109" i="47"/>
  <c r="C108" i="47"/>
  <c r="B108" i="47"/>
  <c r="C107" i="47"/>
  <c r="B107" i="47"/>
  <c r="C106" i="47"/>
  <c r="B106" i="47"/>
  <c r="C105" i="47"/>
  <c r="B105" i="47"/>
  <c r="C104" i="47"/>
  <c r="B104" i="47"/>
  <c r="C103" i="47"/>
  <c r="B103" i="47"/>
  <c r="C102" i="47"/>
  <c r="B102" i="47"/>
  <c r="C101" i="47"/>
  <c r="B101" i="47"/>
  <c r="C100" i="47"/>
  <c r="B100" i="47"/>
  <c r="C99" i="47"/>
  <c r="B99" i="47"/>
  <c r="C98" i="47"/>
  <c r="B98" i="47"/>
  <c r="C97" i="47"/>
  <c r="B97" i="47"/>
  <c r="C96" i="47"/>
  <c r="B96" i="47"/>
  <c r="C95" i="47"/>
  <c r="B95" i="47"/>
  <c r="C94" i="47"/>
  <c r="B94" i="47"/>
  <c r="C93" i="47"/>
  <c r="B93" i="47"/>
  <c r="C92" i="47"/>
  <c r="B92" i="47"/>
  <c r="C91" i="47"/>
  <c r="B91" i="47"/>
  <c r="C90" i="47"/>
  <c r="B90" i="47"/>
  <c r="C89" i="47"/>
  <c r="B89" i="47"/>
  <c r="C88" i="47"/>
  <c r="B88" i="47"/>
  <c r="C87" i="47"/>
  <c r="B87" i="47"/>
  <c r="C86" i="47"/>
  <c r="B86" i="47"/>
  <c r="C85" i="47"/>
  <c r="B85" i="47"/>
  <c r="C84" i="47"/>
  <c r="B84" i="47"/>
  <c r="C83" i="47"/>
  <c r="B83" i="47"/>
  <c r="C82" i="47"/>
  <c r="B82" i="47"/>
  <c r="C81" i="47"/>
  <c r="B81" i="47"/>
  <c r="C80" i="47"/>
  <c r="B80" i="47"/>
  <c r="C79" i="47"/>
  <c r="B79" i="47"/>
  <c r="C78" i="47"/>
  <c r="B78" i="47"/>
  <c r="C77" i="47"/>
  <c r="B77" i="47"/>
  <c r="C76" i="47"/>
  <c r="B76" i="47"/>
  <c r="C75" i="47"/>
  <c r="B75" i="47"/>
  <c r="C74" i="47"/>
  <c r="B74" i="47"/>
  <c r="C73" i="47"/>
  <c r="B73" i="47"/>
  <c r="C72" i="47"/>
  <c r="B72" i="47"/>
  <c r="C71" i="47"/>
  <c r="B71" i="47"/>
  <c r="C70" i="47"/>
  <c r="B70" i="47"/>
  <c r="C69" i="47"/>
  <c r="B69" i="47"/>
  <c r="C68" i="47"/>
  <c r="B68" i="47"/>
  <c r="C67" i="47"/>
  <c r="B67" i="47"/>
  <c r="C66" i="47"/>
  <c r="B66" i="47"/>
  <c r="C65" i="47"/>
  <c r="B65" i="47"/>
  <c r="C64" i="47"/>
  <c r="B64" i="47"/>
  <c r="C63" i="47"/>
  <c r="B63" i="47"/>
  <c r="C62" i="47"/>
  <c r="B62" i="47"/>
  <c r="C61" i="47"/>
  <c r="B61" i="47"/>
  <c r="C60" i="47"/>
  <c r="B60" i="47"/>
  <c r="C59" i="47"/>
  <c r="B59" i="47"/>
  <c r="C58" i="47"/>
  <c r="B58" i="47"/>
  <c r="C57" i="47"/>
  <c r="B57" i="47"/>
  <c r="C56" i="47"/>
  <c r="B56" i="47"/>
  <c r="C55" i="47"/>
  <c r="B55" i="47"/>
  <c r="C54" i="47"/>
  <c r="B54" i="47"/>
  <c r="C53" i="47"/>
  <c r="B53" i="47"/>
  <c r="C52" i="47"/>
  <c r="B52" i="47"/>
  <c r="C51" i="47"/>
  <c r="B51" i="47"/>
  <c r="C50" i="47"/>
  <c r="B50" i="47"/>
  <c r="C49" i="47"/>
  <c r="B49" i="47"/>
  <c r="C48" i="47"/>
  <c r="B48" i="47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146" i="46"/>
  <c r="B146" i="46"/>
  <c r="C145" i="46"/>
  <c r="B145" i="46"/>
  <c r="C144" i="46"/>
  <c r="B144" i="46"/>
  <c r="C143" i="46"/>
  <c r="B143" i="46"/>
  <c r="C142" i="46"/>
  <c r="B142" i="46"/>
  <c r="C141" i="46"/>
  <c r="B141" i="46"/>
  <c r="C140" i="46"/>
  <c r="B140" i="46"/>
  <c r="C139" i="46"/>
  <c r="B139" i="46"/>
  <c r="C138" i="46"/>
  <c r="B138" i="46"/>
  <c r="C137" i="46"/>
  <c r="B137" i="46"/>
  <c r="C136" i="46"/>
  <c r="B136" i="46"/>
  <c r="C135" i="46"/>
  <c r="B135" i="46"/>
  <c r="C134" i="46"/>
  <c r="B134" i="46"/>
  <c r="C133" i="46"/>
  <c r="B133" i="46"/>
  <c r="C132" i="46"/>
  <c r="B132" i="46"/>
  <c r="C131" i="46"/>
  <c r="B131" i="46"/>
  <c r="C130" i="46"/>
  <c r="B130" i="46"/>
  <c r="C129" i="46"/>
  <c r="B129" i="46"/>
  <c r="C128" i="46"/>
  <c r="B128" i="46"/>
  <c r="C127" i="46"/>
  <c r="B127" i="46"/>
  <c r="C126" i="46"/>
  <c r="B126" i="46"/>
  <c r="C125" i="46"/>
  <c r="B125" i="46"/>
  <c r="C124" i="46"/>
  <c r="B124" i="46"/>
  <c r="C123" i="46"/>
  <c r="B123" i="46"/>
  <c r="C122" i="46"/>
  <c r="B122" i="46"/>
  <c r="C121" i="46"/>
  <c r="B121" i="46"/>
  <c r="C120" i="46"/>
  <c r="B120" i="46"/>
  <c r="C119" i="46"/>
  <c r="B119" i="46"/>
  <c r="C118" i="46"/>
  <c r="B118" i="46"/>
  <c r="C117" i="46"/>
  <c r="B117" i="46"/>
  <c r="C116" i="46"/>
  <c r="B116" i="46"/>
  <c r="C115" i="46"/>
  <c r="B115" i="46"/>
  <c r="C114" i="46"/>
  <c r="B114" i="46"/>
  <c r="C113" i="46"/>
  <c r="B113" i="46"/>
  <c r="C112" i="46"/>
  <c r="B112" i="46"/>
  <c r="C111" i="46"/>
  <c r="B111" i="46"/>
  <c r="C110" i="46"/>
  <c r="B110" i="46"/>
  <c r="C109" i="46"/>
  <c r="B109" i="46"/>
  <c r="C108" i="46"/>
  <c r="B108" i="46"/>
  <c r="C107" i="46"/>
  <c r="B107" i="46"/>
  <c r="C106" i="46"/>
  <c r="B106" i="46"/>
  <c r="C105" i="46"/>
  <c r="B105" i="46"/>
  <c r="C104" i="46"/>
  <c r="B104" i="46"/>
  <c r="C103" i="46"/>
  <c r="B103" i="46"/>
  <c r="C102" i="46"/>
  <c r="B102" i="46"/>
  <c r="C101" i="46"/>
  <c r="B101" i="46"/>
  <c r="C100" i="46"/>
  <c r="B100" i="46"/>
  <c r="C99" i="46"/>
  <c r="B99" i="46"/>
  <c r="C98" i="46"/>
  <c r="B98" i="46"/>
  <c r="C97" i="46"/>
  <c r="B97" i="46"/>
  <c r="C96" i="46"/>
  <c r="B96" i="46"/>
  <c r="C95" i="46"/>
  <c r="B95" i="46"/>
  <c r="C94" i="46"/>
  <c r="B94" i="46"/>
  <c r="C93" i="46"/>
  <c r="B93" i="46"/>
  <c r="C92" i="46"/>
  <c r="B92" i="46"/>
  <c r="C91" i="46"/>
  <c r="B91" i="46"/>
  <c r="C90" i="46"/>
  <c r="B90" i="46"/>
  <c r="C89" i="46"/>
  <c r="B89" i="46"/>
  <c r="C88" i="46"/>
  <c r="B88" i="46"/>
  <c r="C87" i="46"/>
  <c r="B87" i="46"/>
  <c r="C86" i="46"/>
  <c r="B86" i="46"/>
  <c r="C85" i="46"/>
  <c r="B85" i="46"/>
  <c r="C84" i="46"/>
  <c r="B84" i="46"/>
  <c r="C83" i="46"/>
  <c r="B83" i="46"/>
  <c r="C82" i="46"/>
  <c r="B82" i="46"/>
  <c r="C81" i="46"/>
  <c r="B81" i="46"/>
  <c r="C80" i="46"/>
  <c r="B80" i="46"/>
  <c r="C79" i="46"/>
  <c r="B79" i="46"/>
  <c r="C78" i="46"/>
  <c r="B78" i="46"/>
  <c r="C77" i="46"/>
  <c r="B77" i="46"/>
  <c r="C76" i="46"/>
  <c r="B76" i="46"/>
  <c r="C75" i="46"/>
  <c r="B75" i="46"/>
  <c r="C74" i="46"/>
  <c r="B74" i="46"/>
  <c r="C73" i="46"/>
  <c r="B73" i="46"/>
  <c r="C72" i="46"/>
  <c r="B72" i="46"/>
  <c r="C71" i="46"/>
  <c r="B71" i="46"/>
  <c r="C70" i="46"/>
  <c r="B70" i="46"/>
  <c r="C69" i="46"/>
  <c r="B69" i="46"/>
  <c r="C68" i="46"/>
  <c r="B68" i="46"/>
  <c r="C67" i="46"/>
  <c r="B67" i="46"/>
  <c r="C66" i="46"/>
  <c r="B66" i="46"/>
  <c r="C65" i="46"/>
  <c r="B65" i="46"/>
  <c r="C64" i="46"/>
  <c r="B64" i="46"/>
  <c r="C63" i="46"/>
  <c r="B63" i="46"/>
  <c r="C62" i="46"/>
  <c r="B62" i="46"/>
  <c r="C61" i="46"/>
  <c r="B61" i="46"/>
  <c r="C60" i="46"/>
  <c r="B60" i="46"/>
  <c r="C59" i="46"/>
  <c r="B59" i="46"/>
  <c r="C58" i="46"/>
  <c r="B58" i="46"/>
  <c r="C57" i="46"/>
  <c r="B57" i="46"/>
  <c r="C56" i="46"/>
  <c r="B56" i="46"/>
  <c r="C55" i="46"/>
  <c r="B55" i="46"/>
  <c r="C54" i="46"/>
  <c r="B54" i="46"/>
  <c r="C53" i="46"/>
  <c r="B53" i="46"/>
  <c r="C52" i="46"/>
  <c r="B52" i="46"/>
  <c r="C51" i="46"/>
  <c r="B51" i="46"/>
  <c r="C50" i="46"/>
  <c r="B50" i="46"/>
  <c r="C49" i="46"/>
  <c r="B49" i="46"/>
  <c r="C48" i="46"/>
  <c r="B48" i="46"/>
  <c r="C47" i="46"/>
  <c r="B47" i="46"/>
  <c r="C46" i="46"/>
  <c r="B46" i="46"/>
  <c r="C45" i="46"/>
  <c r="B45" i="46"/>
  <c r="C44" i="46"/>
  <c r="B44" i="46"/>
  <c r="C43" i="46"/>
  <c r="B43" i="46"/>
  <c r="C42" i="46"/>
  <c r="B42" i="46"/>
  <c r="C41" i="46"/>
  <c r="B41" i="46"/>
  <c r="C40" i="46"/>
  <c r="B40" i="46"/>
  <c r="C39" i="46"/>
  <c r="B39" i="46"/>
  <c r="C38" i="46"/>
  <c r="B38" i="46"/>
  <c r="C37" i="46"/>
  <c r="B37" i="46"/>
  <c r="C36" i="46"/>
  <c r="B36" i="46"/>
  <c r="C35" i="46"/>
  <c r="B35" i="46"/>
  <c r="C34" i="46"/>
  <c r="B34" i="46"/>
  <c r="C33" i="46"/>
  <c r="B33" i="46"/>
  <c r="C32" i="46"/>
  <c r="B32" i="46"/>
  <c r="C31" i="46"/>
  <c r="B31" i="46"/>
  <c r="C30" i="46"/>
  <c r="B30" i="46"/>
  <c r="C29" i="46"/>
  <c r="B29" i="46"/>
  <c r="C28" i="46"/>
  <c r="B28" i="46"/>
  <c r="C27" i="46"/>
  <c r="B27" i="46"/>
  <c r="C26" i="46"/>
  <c r="B26" i="46"/>
  <c r="C25" i="46"/>
  <c r="B25" i="46"/>
  <c r="C24" i="46"/>
  <c r="B24" i="46"/>
  <c r="C23" i="46"/>
  <c r="B23" i="46"/>
  <c r="C22" i="46"/>
  <c r="B22" i="46"/>
  <c r="C21" i="46"/>
  <c r="B21" i="46"/>
  <c r="C20" i="46"/>
  <c r="B20" i="46"/>
  <c r="C19" i="46"/>
  <c r="B19" i="46"/>
  <c r="C18" i="46"/>
  <c r="B18" i="46"/>
  <c r="C17" i="46"/>
  <c r="B17" i="46"/>
  <c r="C16" i="46"/>
  <c r="B16" i="46"/>
  <c r="C15" i="46"/>
  <c r="B15" i="46"/>
  <c r="C14" i="46"/>
  <c r="B14" i="46"/>
  <c r="C13" i="46"/>
  <c r="B13" i="46"/>
  <c r="C12" i="46"/>
  <c r="B12" i="46"/>
  <c r="C11" i="46"/>
  <c r="B11" i="46"/>
  <c r="C10" i="46"/>
  <c r="B10" i="46"/>
  <c r="C9" i="46"/>
  <c r="B9" i="46"/>
  <c r="C8" i="46"/>
  <c r="B8" i="46"/>
  <c r="C7" i="46"/>
  <c r="B7" i="46"/>
  <c r="C6" i="46"/>
  <c r="B6" i="46"/>
  <c r="C5" i="46"/>
  <c r="B5" i="46"/>
  <c r="C4" i="46"/>
  <c r="B4" i="46"/>
  <c r="C3" i="46"/>
  <c r="B3" i="46"/>
  <c r="C146" i="45"/>
  <c r="B146" i="45"/>
  <c r="C145" i="45"/>
  <c r="B145" i="45"/>
  <c r="C144" i="45"/>
  <c r="B144" i="45"/>
  <c r="C143" i="45"/>
  <c r="B143" i="45"/>
  <c r="C142" i="45"/>
  <c r="B142" i="45"/>
  <c r="C141" i="45"/>
  <c r="B141" i="45"/>
  <c r="C140" i="45"/>
  <c r="B140" i="45"/>
  <c r="C139" i="45"/>
  <c r="B139" i="45"/>
  <c r="C138" i="45"/>
  <c r="B138" i="45"/>
  <c r="C137" i="45"/>
  <c r="B137" i="45"/>
  <c r="C136" i="45"/>
  <c r="B136" i="45"/>
  <c r="C135" i="45"/>
  <c r="B135" i="45"/>
  <c r="C134" i="45"/>
  <c r="B134" i="45"/>
  <c r="C133" i="45"/>
  <c r="B133" i="45"/>
  <c r="C132" i="45"/>
  <c r="B132" i="45"/>
  <c r="C131" i="45"/>
  <c r="B131" i="45"/>
  <c r="C130" i="45"/>
  <c r="B130" i="45"/>
  <c r="C129" i="45"/>
  <c r="B129" i="45"/>
  <c r="C128" i="45"/>
  <c r="B128" i="45"/>
  <c r="C127" i="45"/>
  <c r="B127" i="45"/>
  <c r="C126" i="45"/>
  <c r="B126" i="45"/>
  <c r="C125" i="45"/>
  <c r="B125" i="45"/>
  <c r="C124" i="45"/>
  <c r="B124" i="45"/>
  <c r="C123" i="45"/>
  <c r="B123" i="45"/>
  <c r="C122" i="45"/>
  <c r="B122" i="45"/>
  <c r="C121" i="45"/>
  <c r="B121" i="45"/>
  <c r="C120" i="45"/>
  <c r="B120" i="45"/>
  <c r="C119" i="45"/>
  <c r="B119" i="45"/>
  <c r="C118" i="45"/>
  <c r="B118" i="45"/>
  <c r="C117" i="45"/>
  <c r="B117" i="45"/>
  <c r="C116" i="45"/>
  <c r="B116" i="45"/>
  <c r="C115" i="45"/>
  <c r="B115" i="45"/>
  <c r="C114" i="45"/>
  <c r="B114" i="45"/>
  <c r="C113" i="45"/>
  <c r="B113" i="45"/>
  <c r="C112" i="45"/>
  <c r="B112" i="45"/>
  <c r="C111" i="45"/>
  <c r="B111" i="45"/>
  <c r="C110" i="45"/>
  <c r="B110" i="45"/>
  <c r="C109" i="45"/>
  <c r="B109" i="45"/>
  <c r="C108" i="45"/>
  <c r="B108" i="45"/>
  <c r="C107" i="45"/>
  <c r="B107" i="45"/>
  <c r="C106" i="45"/>
  <c r="B106" i="45"/>
  <c r="C105" i="45"/>
  <c r="B105" i="45"/>
  <c r="C104" i="45"/>
  <c r="B104" i="45"/>
  <c r="C103" i="45"/>
  <c r="B103" i="45"/>
  <c r="C102" i="45"/>
  <c r="B102" i="45"/>
  <c r="C101" i="45"/>
  <c r="B101" i="45"/>
  <c r="C100" i="45"/>
  <c r="B100" i="45"/>
  <c r="C99" i="45"/>
  <c r="B99" i="45"/>
  <c r="C98" i="45"/>
  <c r="B98" i="45"/>
  <c r="C97" i="45"/>
  <c r="B97" i="45"/>
  <c r="C96" i="45"/>
  <c r="B96" i="45"/>
  <c r="C95" i="45"/>
  <c r="B95" i="45"/>
  <c r="C94" i="45"/>
  <c r="B94" i="45"/>
  <c r="C93" i="45"/>
  <c r="B93" i="45"/>
  <c r="C92" i="45"/>
  <c r="B92" i="45"/>
  <c r="C91" i="45"/>
  <c r="B91" i="45"/>
  <c r="C90" i="45"/>
  <c r="B90" i="45"/>
  <c r="C89" i="45"/>
  <c r="B89" i="45"/>
  <c r="C88" i="45"/>
  <c r="B88" i="45"/>
  <c r="C87" i="45"/>
  <c r="B87" i="45"/>
  <c r="C86" i="45"/>
  <c r="B86" i="45"/>
  <c r="C85" i="45"/>
  <c r="B85" i="45"/>
  <c r="C84" i="45"/>
  <c r="B84" i="45"/>
  <c r="C83" i="45"/>
  <c r="B83" i="45"/>
  <c r="C82" i="45"/>
  <c r="B82" i="45"/>
  <c r="C81" i="45"/>
  <c r="B81" i="45"/>
  <c r="C80" i="45"/>
  <c r="B80" i="45"/>
  <c r="C79" i="45"/>
  <c r="B79" i="45"/>
  <c r="C78" i="45"/>
  <c r="B78" i="45"/>
  <c r="C77" i="45"/>
  <c r="B77" i="45"/>
  <c r="C76" i="45"/>
  <c r="B76" i="45"/>
  <c r="C75" i="45"/>
  <c r="B75" i="45"/>
  <c r="C74" i="45"/>
  <c r="B74" i="45"/>
  <c r="C73" i="45"/>
  <c r="B73" i="45"/>
  <c r="C72" i="45"/>
  <c r="B72" i="45"/>
  <c r="C71" i="45"/>
  <c r="B71" i="45"/>
  <c r="C70" i="45"/>
  <c r="B70" i="45"/>
  <c r="C69" i="45"/>
  <c r="B69" i="45"/>
  <c r="C68" i="45"/>
  <c r="B68" i="45"/>
  <c r="C67" i="45"/>
  <c r="B67" i="45"/>
  <c r="C66" i="45"/>
  <c r="B66" i="45"/>
  <c r="C65" i="45"/>
  <c r="B65" i="45"/>
  <c r="C64" i="45"/>
  <c r="B64" i="45"/>
  <c r="C63" i="45"/>
  <c r="B63" i="45"/>
  <c r="C62" i="45"/>
  <c r="B62" i="45"/>
  <c r="C61" i="45"/>
  <c r="B61" i="45"/>
  <c r="C60" i="45"/>
  <c r="B60" i="45"/>
  <c r="C59" i="45"/>
  <c r="B59" i="45"/>
  <c r="C58" i="45"/>
  <c r="B58" i="45"/>
  <c r="C57" i="45"/>
  <c r="B57" i="45"/>
  <c r="C56" i="45"/>
  <c r="B56" i="45"/>
  <c r="C55" i="45"/>
  <c r="B55" i="45"/>
  <c r="C54" i="45"/>
  <c r="B54" i="45"/>
  <c r="C53" i="45"/>
  <c r="B53" i="45"/>
  <c r="C52" i="45"/>
  <c r="B52" i="45"/>
  <c r="C51" i="45"/>
  <c r="B51" i="45"/>
  <c r="C50" i="45"/>
  <c r="B50" i="45"/>
  <c r="C49" i="45"/>
  <c r="B49" i="45"/>
  <c r="C48" i="45"/>
  <c r="B48" i="45"/>
  <c r="C47" i="45"/>
  <c r="B47" i="45"/>
  <c r="C46" i="45"/>
  <c r="B46" i="45"/>
  <c r="C45" i="45"/>
  <c r="B45" i="45"/>
  <c r="C44" i="45"/>
  <c r="B44" i="45"/>
  <c r="C43" i="45"/>
  <c r="B43" i="45"/>
  <c r="C42" i="45"/>
  <c r="B42" i="45"/>
  <c r="C41" i="45"/>
  <c r="B41" i="45"/>
  <c r="C40" i="45"/>
  <c r="B40" i="45"/>
  <c r="C39" i="45"/>
  <c r="B39" i="45"/>
  <c r="C38" i="45"/>
  <c r="B38" i="45"/>
  <c r="C37" i="45"/>
  <c r="B37" i="45"/>
  <c r="C36" i="45"/>
  <c r="B36" i="45"/>
  <c r="C35" i="45"/>
  <c r="B35" i="45"/>
  <c r="C34" i="45"/>
  <c r="B34" i="45"/>
  <c r="C33" i="45"/>
  <c r="B33" i="45"/>
  <c r="C32" i="45"/>
  <c r="B32" i="45"/>
  <c r="C31" i="45"/>
  <c r="B31" i="45"/>
  <c r="C30" i="45"/>
  <c r="B30" i="45"/>
  <c r="C29" i="45"/>
  <c r="B29" i="45"/>
  <c r="C28" i="45"/>
  <c r="B28" i="45"/>
  <c r="C27" i="45"/>
  <c r="B27" i="45"/>
  <c r="C26" i="45"/>
  <c r="B26" i="45"/>
  <c r="C25" i="45"/>
  <c r="B25" i="45"/>
  <c r="C24" i="45"/>
  <c r="B24" i="45"/>
  <c r="C23" i="45"/>
  <c r="B23" i="45"/>
  <c r="C22" i="45"/>
  <c r="B22" i="45"/>
  <c r="C21" i="45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146" i="44" l="1"/>
  <c r="B146" i="44"/>
  <c r="C145" i="44"/>
  <c r="B145" i="44"/>
  <c r="C144" i="44"/>
  <c r="B144" i="44"/>
  <c r="C143" i="44"/>
  <c r="B143" i="44"/>
  <c r="C142" i="44"/>
  <c r="B142" i="44"/>
  <c r="C141" i="44"/>
  <c r="B141" i="44"/>
  <c r="C140" i="44"/>
  <c r="B140" i="44"/>
  <c r="C139" i="44"/>
  <c r="B139" i="44"/>
  <c r="C138" i="44"/>
  <c r="B138" i="44"/>
  <c r="C137" i="44"/>
  <c r="B137" i="44"/>
  <c r="C136" i="44"/>
  <c r="B136" i="44"/>
  <c r="C135" i="44"/>
  <c r="B135" i="44"/>
  <c r="C134" i="44"/>
  <c r="B134" i="44"/>
  <c r="C133" i="44"/>
  <c r="B133" i="44"/>
  <c r="C132" i="44"/>
  <c r="B132" i="44"/>
  <c r="C131" i="44"/>
  <c r="B131" i="44"/>
  <c r="C130" i="44"/>
  <c r="B130" i="44"/>
  <c r="C129" i="44"/>
  <c r="B129" i="44"/>
  <c r="C128" i="44"/>
  <c r="B128" i="44"/>
  <c r="C127" i="44"/>
  <c r="B127" i="44"/>
  <c r="C126" i="44"/>
  <c r="B126" i="44"/>
  <c r="C125" i="44"/>
  <c r="B125" i="44"/>
  <c r="C124" i="44"/>
  <c r="B124" i="44"/>
  <c r="C123" i="44"/>
  <c r="B123" i="44"/>
  <c r="C122" i="44"/>
  <c r="B122" i="44"/>
  <c r="C121" i="44"/>
  <c r="B121" i="44"/>
  <c r="C120" i="44"/>
  <c r="B120" i="44"/>
  <c r="C119" i="44"/>
  <c r="B119" i="44"/>
  <c r="C118" i="44"/>
  <c r="B118" i="44"/>
  <c r="C117" i="44"/>
  <c r="B117" i="44"/>
  <c r="C24" i="44"/>
  <c r="B24" i="44"/>
  <c r="C115" i="44"/>
  <c r="B115" i="44"/>
  <c r="C114" i="44"/>
  <c r="B114" i="44"/>
  <c r="C113" i="44"/>
  <c r="B113" i="44"/>
  <c r="C112" i="44"/>
  <c r="B112" i="44"/>
  <c r="C111" i="44"/>
  <c r="B111" i="44"/>
  <c r="C110" i="44"/>
  <c r="B110" i="44"/>
  <c r="C109" i="44"/>
  <c r="B109" i="44"/>
  <c r="C108" i="44"/>
  <c r="B108" i="44"/>
  <c r="C107" i="44"/>
  <c r="B107" i="44"/>
  <c r="C106" i="44"/>
  <c r="B106" i="44"/>
  <c r="C105" i="44"/>
  <c r="B105" i="44"/>
  <c r="C104" i="44"/>
  <c r="B104" i="44"/>
  <c r="C103" i="44"/>
  <c r="B103" i="44"/>
  <c r="C102" i="44"/>
  <c r="B102" i="44"/>
  <c r="C101" i="44"/>
  <c r="B101" i="44"/>
  <c r="C100" i="44"/>
  <c r="B100" i="44"/>
  <c r="C99" i="44"/>
  <c r="B99" i="44"/>
  <c r="C98" i="44"/>
  <c r="B98" i="44"/>
  <c r="C97" i="44"/>
  <c r="B97" i="44"/>
  <c r="C96" i="44"/>
  <c r="B96" i="44"/>
  <c r="C95" i="44"/>
  <c r="B95" i="44"/>
  <c r="C94" i="44"/>
  <c r="B94" i="44"/>
  <c r="C93" i="44"/>
  <c r="B93" i="44"/>
  <c r="C92" i="44"/>
  <c r="B92" i="44"/>
  <c r="C91" i="44"/>
  <c r="B91" i="44"/>
  <c r="C90" i="44"/>
  <c r="B90" i="44"/>
  <c r="C89" i="44"/>
  <c r="B89" i="44"/>
  <c r="C88" i="44"/>
  <c r="B88" i="44"/>
  <c r="C87" i="44"/>
  <c r="B87" i="44"/>
  <c r="C86" i="44"/>
  <c r="B86" i="44"/>
  <c r="C85" i="44"/>
  <c r="B85" i="44"/>
  <c r="C84" i="44"/>
  <c r="B84" i="44"/>
  <c r="C83" i="44"/>
  <c r="B83" i="44"/>
  <c r="C82" i="44"/>
  <c r="B82" i="44"/>
  <c r="C81" i="44"/>
  <c r="B81" i="44"/>
  <c r="C80" i="44"/>
  <c r="B80" i="44"/>
  <c r="C79" i="44"/>
  <c r="B79" i="44"/>
  <c r="C78" i="44"/>
  <c r="B78" i="44"/>
  <c r="C77" i="44"/>
  <c r="B77" i="44"/>
  <c r="C76" i="44"/>
  <c r="B76" i="44"/>
  <c r="C75" i="44"/>
  <c r="B75" i="44"/>
  <c r="C74" i="44"/>
  <c r="B74" i="44"/>
  <c r="C73" i="44"/>
  <c r="B73" i="44"/>
  <c r="C72" i="44"/>
  <c r="B72" i="44"/>
  <c r="C71" i="44"/>
  <c r="B71" i="44"/>
  <c r="C70" i="44"/>
  <c r="B70" i="44"/>
  <c r="C69" i="44"/>
  <c r="B69" i="44"/>
  <c r="C68" i="44"/>
  <c r="B68" i="44"/>
  <c r="C67" i="44"/>
  <c r="B67" i="44"/>
  <c r="C66" i="44"/>
  <c r="B66" i="44"/>
  <c r="C65" i="44"/>
  <c r="B65" i="44"/>
  <c r="C64" i="44"/>
  <c r="B64" i="44"/>
  <c r="C63" i="44"/>
  <c r="B63" i="44"/>
  <c r="C62" i="44"/>
  <c r="B62" i="44"/>
  <c r="C60" i="44"/>
  <c r="B60" i="44"/>
  <c r="C26" i="44"/>
  <c r="B26" i="44"/>
  <c r="C61" i="44"/>
  <c r="B61" i="44"/>
  <c r="C58" i="44"/>
  <c r="B58" i="44"/>
  <c r="C57" i="44"/>
  <c r="B57" i="44"/>
  <c r="C56" i="44"/>
  <c r="B56" i="44"/>
  <c r="C55" i="44"/>
  <c r="B55" i="44"/>
  <c r="C54" i="44"/>
  <c r="B54" i="44"/>
  <c r="C53" i="44"/>
  <c r="B53" i="44"/>
  <c r="C52" i="44"/>
  <c r="B52" i="44"/>
  <c r="C51" i="44"/>
  <c r="B51" i="44"/>
  <c r="C50" i="44"/>
  <c r="B50" i="44"/>
  <c r="C49" i="44"/>
  <c r="B49" i="44"/>
  <c r="C48" i="44"/>
  <c r="B48" i="44"/>
  <c r="C47" i="44"/>
  <c r="B47" i="44"/>
  <c r="C46" i="44"/>
  <c r="B46" i="44"/>
  <c r="C45" i="44"/>
  <c r="B45" i="44"/>
  <c r="C44" i="44"/>
  <c r="B44" i="44"/>
  <c r="C43" i="44"/>
  <c r="B43" i="44"/>
  <c r="C42" i="44"/>
  <c r="B42" i="44"/>
  <c r="C41" i="44"/>
  <c r="B41" i="44"/>
  <c r="C40" i="44"/>
  <c r="B40" i="44"/>
  <c r="C39" i="44"/>
  <c r="B39" i="44"/>
  <c r="C38" i="44"/>
  <c r="B38" i="44"/>
  <c r="C37" i="44"/>
  <c r="B37" i="44"/>
  <c r="C36" i="44"/>
  <c r="B36" i="44"/>
  <c r="C35" i="44"/>
  <c r="B35" i="44"/>
  <c r="C34" i="44"/>
  <c r="B34" i="44"/>
  <c r="C33" i="44"/>
  <c r="B33" i="44"/>
  <c r="C32" i="44"/>
  <c r="B32" i="44"/>
  <c r="C31" i="44"/>
  <c r="B31" i="44"/>
  <c r="C9" i="44"/>
  <c r="B9" i="44"/>
  <c r="C29" i="44"/>
  <c r="B29" i="44"/>
  <c r="C59" i="44"/>
  <c r="B59" i="44"/>
  <c r="C27" i="44"/>
  <c r="B27" i="44"/>
  <c r="C30" i="44"/>
  <c r="B30" i="44"/>
  <c r="C25" i="44"/>
  <c r="B25" i="44"/>
  <c r="C5" i="44"/>
  <c r="B5" i="44"/>
  <c r="C23" i="44"/>
  <c r="B23" i="44"/>
  <c r="C22" i="44"/>
  <c r="B22" i="44"/>
  <c r="C21" i="44"/>
  <c r="B21" i="44"/>
  <c r="C20" i="44"/>
  <c r="B20" i="44"/>
  <c r="C19" i="44"/>
  <c r="B19" i="44"/>
  <c r="C10" i="44"/>
  <c r="B10" i="44"/>
  <c r="C17" i="44"/>
  <c r="B17" i="44"/>
  <c r="C16" i="44"/>
  <c r="B16" i="44"/>
  <c r="C15" i="44"/>
  <c r="B15" i="44"/>
  <c r="C14" i="44"/>
  <c r="B14" i="44"/>
  <c r="C13" i="44"/>
  <c r="B13" i="44"/>
  <c r="C12" i="44"/>
  <c r="B12" i="44"/>
  <c r="C11" i="44"/>
  <c r="B11" i="44"/>
  <c r="C28" i="44"/>
  <c r="B28" i="44"/>
  <c r="C18" i="44"/>
  <c r="B18" i="44"/>
  <c r="C8" i="44"/>
  <c r="B8" i="44"/>
  <c r="C7" i="44"/>
  <c r="B7" i="44"/>
  <c r="C6" i="44"/>
  <c r="B6" i="44"/>
  <c r="C116" i="44"/>
  <c r="B116" i="44"/>
  <c r="C4" i="44"/>
  <c r="B4" i="44"/>
  <c r="C3" i="44"/>
  <c r="B3" i="44"/>
  <c r="B3" i="28" l="1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B2" i="28"/>
  <c r="A2" i="28"/>
  <c r="S89" i="19" l="1"/>
  <c r="T89" i="19"/>
  <c r="V89" i="19"/>
  <c r="W89" i="19"/>
  <c r="Y89" i="19"/>
  <c r="Z89" i="19"/>
  <c r="S90" i="19"/>
  <c r="T90" i="19"/>
  <c r="V90" i="19"/>
  <c r="W90" i="19"/>
  <c r="Y90" i="19"/>
  <c r="Z90" i="19"/>
  <c r="S91" i="19"/>
  <c r="T91" i="19"/>
  <c r="V91" i="19"/>
  <c r="W91" i="19"/>
  <c r="Y91" i="19"/>
  <c r="Z91" i="19"/>
  <c r="S92" i="19"/>
  <c r="T92" i="19"/>
  <c r="V92" i="19"/>
  <c r="W92" i="19"/>
  <c r="Y92" i="19"/>
  <c r="Z92" i="19"/>
  <c r="S93" i="19"/>
  <c r="T93" i="19"/>
  <c r="V93" i="19"/>
  <c r="W93" i="19"/>
  <c r="Y93" i="19"/>
  <c r="Z93" i="19"/>
  <c r="S94" i="19"/>
  <c r="T94" i="19"/>
  <c r="V94" i="19"/>
  <c r="W94" i="19"/>
  <c r="Y94" i="19"/>
  <c r="Z94" i="19"/>
  <c r="S95" i="19"/>
  <c r="T95" i="19"/>
  <c r="V95" i="19"/>
  <c r="W95" i="19"/>
  <c r="Y95" i="19"/>
  <c r="Z95" i="19"/>
  <c r="S96" i="19"/>
  <c r="T96" i="19"/>
  <c r="V96" i="19"/>
  <c r="W96" i="19"/>
  <c r="Y96" i="19"/>
  <c r="Z96" i="19"/>
  <c r="S97" i="19"/>
  <c r="T97" i="19"/>
  <c r="V97" i="19"/>
  <c r="W97" i="19"/>
  <c r="Y97" i="19"/>
  <c r="Z97" i="19"/>
  <c r="S98" i="19"/>
  <c r="T98" i="19"/>
  <c r="V98" i="19"/>
  <c r="W98" i="19"/>
  <c r="Y98" i="19"/>
  <c r="Z98" i="19"/>
  <c r="S99" i="19"/>
  <c r="T99" i="19"/>
  <c r="V99" i="19"/>
  <c r="W99" i="19"/>
  <c r="Y99" i="19"/>
  <c r="Z99" i="19"/>
  <c r="S100" i="19"/>
  <c r="T100" i="19"/>
  <c r="V100" i="19"/>
  <c r="W100" i="19"/>
  <c r="Y100" i="19"/>
  <c r="Z100" i="19"/>
  <c r="S101" i="19"/>
  <c r="T101" i="19"/>
  <c r="V101" i="19"/>
  <c r="W101" i="19"/>
  <c r="Y101" i="19"/>
  <c r="Z101" i="19"/>
  <c r="S102" i="19"/>
  <c r="T102" i="19"/>
  <c r="V102" i="19"/>
  <c r="W102" i="19"/>
  <c r="Y102" i="19"/>
  <c r="Z102" i="19"/>
  <c r="S103" i="19"/>
  <c r="T103" i="19"/>
  <c r="V103" i="19"/>
  <c r="W103" i="19"/>
  <c r="Y103" i="19"/>
  <c r="Z103" i="19"/>
  <c r="S104" i="19"/>
  <c r="T104" i="19"/>
  <c r="V104" i="19"/>
  <c r="W104" i="19"/>
  <c r="Y104" i="19"/>
  <c r="Z104" i="19"/>
  <c r="S105" i="19"/>
  <c r="T105" i="19"/>
  <c r="V105" i="19"/>
  <c r="W105" i="19"/>
  <c r="Y105" i="19"/>
  <c r="Z105" i="19"/>
  <c r="S106" i="19"/>
  <c r="T106" i="19"/>
  <c r="V106" i="19"/>
  <c r="W106" i="19"/>
  <c r="Y106" i="19"/>
  <c r="Z106" i="19"/>
  <c r="S107" i="19"/>
  <c r="T107" i="19"/>
  <c r="V107" i="19"/>
  <c r="W107" i="19"/>
  <c r="Y107" i="19"/>
  <c r="Z107" i="19"/>
  <c r="S108" i="19"/>
  <c r="T108" i="19"/>
  <c r="V108" i="19"/>
  <c r="W108" i="19"/>
  <c r="Y108" i="19"/>
  <c r="Z108" i="19"/>
  <c r="S109" i="19"/>
  <c r="T109" i="19"/>
  <c r="V109" i="19"/>
  <c r="W109" i="19"/>
  <c r="Y109" i="19"/>
  <c r="Z109" i="19"/>
  <c r="S110" i="19"/>
  <c r="T110" i="19"/>
  <c r="V110" i="19"/>
  <c r="W110" i="19"/>
  <c r="Y110" i="19"/>
  <c r="Z110" i="19"/>
  <c r="S111" i="19"/>
  <c r="T111" i="19"/>
  <c r="V111" i="19"/>
  <c r="W111" i="19"/>
  <c r="Y111" i="19"/>
  <c r="Z111" i="19"/>
  <c r="S112" i="19"/>
  <c r="T112" i="19"/>
  <c r="V112" i="19"/>
  <c r="W112" i="19"/>
  <c r="Y112" i="19"/>
  <c r="Z112" i="19"/>
  <c r="S113" i="19"/>
  <c r="T113" i="19"/>
  <c r="V113" i="19"/>
  <c r="W113" i="19"/>
  <c r="Y113" i="19"/>
  <c r="Z113" i="19"/>
  <c r="S114" i="19"/>
  <c r="T114" i="19"/>
  <c r="V114" i="19"/>
  <c r="W114" i="19"/>
  <c r="Y114" i="19"/>
  <c r="Z114" i="19"/>
  <c r="S115" i="19"/>
  <c r="T115" i="19"/>
  <c r="V115" i="19"/>
  <c r="W115" i="19"/>
  <c r="Y115" i="19"/>
  <c r="Z115" i="19"/>
  <c r="S116" i="19"/>
  <c r="T116" i="19"/>
  <c r="V116" i="19"/>
  <c r="W116" i="19"/>
  <c r="Y116" i="19"/>
  <c r="Z116" i="19"/>
  <c r="S117" i="19"/>
  <c r="T117" i="19"/>
  <c r="V117" i="19"/>
  <c r="W117" i="19"/>
  <c r="Y117" i="19"/>
  <c r="Z117" i="19"/>
  <c r="S118" i="19"/>
  <c r="T118" i="19"/>
  <c r="V118" i="19"/>
  <c r="W118" i="19"/>
  <c r="Y118" i="19"/>
  <c r="Z118" i="19"/>
  <c r="S119" i="19"/>
  <c r="T119" i="19"/>
  <c r="V119" i="19"/>
  <c r="W119" i="19"/>
  <c r="Y119" i="19"/>
  <c r="Z119" i="19"/>
  <c r="S120" i="19"/>
  <c r="T120" i="19"/>
  <c r="V120" i="19"/>
  <c r="W120" i="19"/>
  <c r="Y120" i="19"/>
  <c r="Z120" i="19"/>
  <c r="S121" i="19"/>
  <c r="T121" i="19"/>
  <c r="V121" i="19"/>
  <c r="W121" i="19"/>
  <c r="Y121" i="19"/>
  <c r="Z121" i="19"/>
  <c r="S122" i="19"/>
  <c r="T122" i="19"/>
  <c r="V122" i="19"/>
  <c r="W122" i="19"/>
  <c r="Y122" i="19"/>
  <c r="Z122" i="19"/>
  <c r="S123" i="19"/>
  <c r="T123" i="19"/>
  <c r="V123" i="19"/>
  <c r="W123" i="19"/>
  <c r="Y123" i="19"/>
  <c r="Z123" i="19"/>
  <c r="S124" i="19"/>
  <c r="T124" i="19"/>
  <c r="V124" i="19"/>
  <c r="W124" i="19"/>
  <c r="Y124" i="19"/>
  <c r="Z124" i="19"/>
  <c r="S125" i="19"/>
  <c r="T125" i="19"/>
  <c r="V125" i="19"/>
  <c r="W125" i="19"/>
  <c r="Y125" i="19"/>
  <c r="Z125" i="19"/>
  <c r="S126" i="19"/>
  <c r="T126" i="19"/>
  <c r="V126" i="19"/>
  <c r="W126" i="19"/>
  <c r="Y126" i="19"/>
  <c r="Z126" i="19"/>
  <c r="S127" i="19"/>
  <c r="T127" i="19"/>
  <c r="V127" i="19"/>
  <c r="W127" i="19"/>
  <c r="Y127" i="19"/>
  <c r="Z127" i="19"/>
  <c r="S128" i="19"/>
  <c r="T128" i="19"/>
  <c r="V128" i="19"/>
  <c r="W128" i="19"/>
  <c r="Y128" i="19"/>
  <c r="Z128" i="19"/>
  <c r="S129" i="19"/>
  <c r="T129" i="19"/>
  <c r="V129" i="19"/>
  <c r="W129" i="19"/>
  <c r="Y129" i="19"/>
  <c r="Z129" i="19"/>
  <c r="S130" i="19"/>
  <c r="T130" i="19"/>
  <c r="V130" i="19"/>
  <c r="W130" i="19"/>
  <c r="Y130" i="19"/>
  <c r="Z130" i="19"/>
  <c r="S131" i="19"/>
  <c r="T131" i="19"/>
  <c r="V131" i="19"/>
  <c r="W131" i="19"/>
  <c r="Y131" i="19"/>
  <c r="Z131" i="19"/>
  <c r="S132" i="19"/>
  <c r="T132" i="19"/>
  <c r="V132" i="19"/>
  <c r="W132" i="19"/>
  <c r="Y132" i="19"/>
  <c r="Z132" i="19"/>
  <c r="S133" i="19"/>
  <c r="T133" i="19"/>
  <c r="V133" i="19"/>
  <c r="W133" i="19"/>
  <c r="Y133" i="19"/>
  <c r="Z133" i="19"/>
  <c r="S134" i="19"/>
  <c r="T134" i="19"/>
  <c r="V134" i="19"/>
  <c r="W134" i="19"/>
  <c r="Y134" i="19"/>
  <c r="Z134" i="19"/>
  <c r="S135" i="19"/>
  <c r="T135" i="19"/>
  <c r="V135" i="19"/>
  <c r="W135" i="19"/>
  <c r="Y135" i="19"/>
  <c r="Z135" i="19"/>
  <c r="S136" i="19"/>
  <c r="T136" i="19"/>
  <c r="V136" i="19"/>
  <c r="W136" i="19"/>
  <c r="Y136" i="19"/>
  <c r="Z136" i="19"/>
  <c r="S137" i="19"/>
  <c r="T137" i="19"/>
  <c r="V137" i="19"/>
  <c r="W137" i="19"/>
  <c r="Y137" i="19"/>
  <c r="Z137" i="19"/>
  <c r="S138" i="19"/>
  <c r="T138" i="19"/>
  <c r="V138" i="19"/>
  <c r="W138" i="19"/>
  <c r="Y138" i="19"/>
  <c r="Z138" i="19"/>
  <c r="S139" i="19"/>
  <c r="T139" i="19"/>
  <c r="V139" i="19"/>
  <c r="W139" i="19"/>
  <c r="Y139" i="19"/>
  <c r="Z139" i="19"/>
  <c r="S140" i="19"/>
  <c r="T140" i="19"/>
  <c r="V140" i="19"/>
  <c r="W140" i="19"/>
  <c r="Y140" i="19"/>
  <c r="Z140" i="19"/>
  <c r="S141" i="19"/>
  <c r="T141" i="19"/>
  <c r="V141" i="19"/>
  <c r="W141" i="19"/>
  <c r="Y141" i="19"/>
  <c r="Z141" i="19"/>
  <c r="S142" i="19"/>
  <c r="T142" i="19"/>
  <c r="V142" i="19"/>
  <c r="W142" i="19"/>
  <c r="Y142" i="19"/>
  <c r="Z142" i="19"/>
  <c r="S143" i="19"/>
  <c r="T143" i="19"/>
  <c r="V143" i="19"/>
  <c r="W143" i="19"/>
  <c r="Y143" i="19"/>
  <c r="Z143" i="19"/>
  <c r="S144" i="19"/>
  <c r="T144" i="19"/>
  <c r="V144" i="19"/>
  <c r="W144" i="19"/>
  <c r="Y144" i="19"/>
  <c r="Z144" i="19"/>
  <c r="S145" i="19"/>
  <c r="T145" i="19"/>
  <c r="V145" i="19"/>
  <c r="W145" i="19"/>
  <c r="Y145" i="19"/>
  <c r="Z145" i="19"/>
  <c r="D101" i="22"/>
  <c r="P101" i="48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J75" i="48" s="1"/>
  <c r="E76" i="3"/>
  <c r="E77" i="3"/>
  <c r="E78" i="3"/>
  <c r="E79" i="3"/>
  <c r="E80" i="3"/>
  <c r="E81" i="3"/>
  <c r="E82" i="3"/>
  <c r="E83" i="3"/>
  <c r="J83" i="48" s="1"/>
  <c r="E84" i="3"/>
  <c r="E85" i="3"/>
  <c r="E86" i="3"/>
  <c r="E87" i="3"/>
  <c r="J87" i="48" s="1"/>
  <c r="E88" i="3"/>
  <c r="E89" i="3"/>
  <c r="E90" i="3"/>
  <c r="E91" i="3"/>
  <c r="E92" i="3"/>
  <c r="E93" i="3"/>
  <c r="E94" i="3"/>
  <c r="E95" i="3"/>
  <c r="J95" i="48" s="1"/>
  <c r="E96" i="3"/>
  <c r="E97" i="3"/>
  <c r="E98" i="3"/>
  <c r="E99" i="3"/>
  <c r="E100" i="3"/>
  <c r="E101" i="3"/>
  <c r="E102" i="3"/>
  <c r="J102" i="48" s="1"/>
  <c r="E103" i="3"/>
  <c r="J103" i="48" s="1"/>
  <c r="E104" i="3"/>
  <c r="E105" i="3"/>
  <c r="E106" i="3"/>
  <c r="J106" i="48" s="1"/>
  <c r="E107" i="3"/>
  <c r="J107" i="48" s="1"/>
  <c r="E108" i="3"/>
  <c r="E109" i="3"/>
  <c r="E110" i="3"/>
  <c r="E111" i="3"/>
  <c r="J111" i="48" s="1"/>
  <c r="E112" i="3"/>
  <c r="E113" i="3"/>
  <c r="E114" i="3"/>
  <c r="J114" i="48" s="1"/>
  <c r="E115" i="3"/>
  <c r="J115" i="48" s="1"/>
  <c r="E116" i="3"/>
  <c r="E117" i="3"/>
  <c r="E118" i="3"/>
  <c r="E119" i="3"/>
  <c r="E120" i="3"/>
  <c r="E121" i="3"/>
  <c r="E122" i="3"/>
  <c r="E123" i="3"/>
  <c r="J123" i="48" s="1"/>
  <c r="E124" i="3"/>
  <c r="E125" i="3"/>
  <c r="E126" i="3"/>
  <c r="J126" i="48" s="1"/>
  <c r="E127" i="3"/>
  <c r="E128" i="3"/>
  <c r="E129" i="3"/>
  <c r="E130" i="3"/>
  <c r="J130" i="48" s="1"/>
  <c r="E131" i="3"/>
  <c r="J131" i="48" s="1"/>
  <c r="E132" i="3"/>
  <c r="E133" i="3"/>
  <c r="E134" i="3"/>
  <c r="E135" i="3"/>
  <c r="J135" i="48" s="1"/>
  <c r="E136" i="3"/>
  <c r="E137" i="3"/>
  <c r="E138" i="3"/>
  <c r="E139" i="3"/>
  <c r="J139" i="48" s="1"/>
  <c r="E140" i="3"/>
  <c r="E141" i="3"/>
  <c r="E142" i="3"/>
  <c r="E143" i="3"/>
  <c r="J143" i="48" s="1"/>
  <c r="E144" i="3"/>
  <c r="E145" i="3"/>
  <c r="E2" i="3"/>
  <c r="C18" i="5"/>
  <c r="C19" i="5"/>
  <c r="F19" i="48" s="1"/>
  <c r="C20" i="5"/>
  <c r="F20" i="48" s="1"/>
  <c r="C21" i="5"/>
  <c r="C22" i="5"/>
  <c r="C23" i="5"/>
  <c r="F23" i="48" s="1"/>
  <c r="C24" i="5"/>
  <c r="F24" i="48" s="1"/>
  <c r="C25" i="5"/>
  <c r="C26" i="5"/>
  <c r="C27" i="5"/>
  <c r="F27" i="48" s="1"/>
  <c r="C28" i="5"/>
  <c r="D28" i="5"/>
  <c r="F28" i="5"/>
  <c r="AG28" i="48" s="1"/>
  <c r="AU28" i="48" s="1"/>
  <c r="C29" i="5"/>
  <c r="C30" i="5"/>
  <c r="C31" i="5"/>
  <c r="F31" i="48" s="1"/>
  <c r="C32" i="5"/>
  <c r="F32" i="48" s="1"/>
  <c r="C33" i="5"/>
  <c r="F33" i="5"/>
  <c r="AG33" i="48" s="1"/>
  <c r="AU33" i="48" s="1"/>
  <c r="C34" i="5"/>
  <c r="C35" i="5"/>
  <c r="F35" i="48" s="1"/>
  <c r="C36" i="5"/>
  <c r="D36" i="5" s="1"/>
  <c r="C37" i="5"/>
  <c r="C38" i="5"/>
  <c r="F38" i="48" s="1"/>
  <c r="C39" i="5"/>
  <c r="F39" i="48" s="1"/>
  <c r="C40" i="5"/>
  <c r="D40" i="5" s="1"/>
  <c r="C41" i="5"/>
  <c r="C42" i="5"/>
  <c r="D42" i="5"/>
  <c r="C43" i="5"/>
  <c r="F43" i="48" s="1"/>
  <c r="C44" i="5"/>
  <c r="F44" i="48" s="1"/>
  <c r="D44" i="5"/>
  <c r="C45" i="5"/>
  <c r="C46" i="5"/>
  <c r="C47" i="5"/>
  <c r="F47" i="48" s="1"/>
  <c r="C48" i="5"/>
  <c r="D48" i="5" s="1"/>
  <c r="C49" i="5"/>
  <c r="F49" i="5"/>
  <c r="AG49" i="48" s="1"/>
  <c r="AU49" i="48" s="1"/>
  <c r="C50" i="5"/>
  <c r="F50" i="48" s="1"/>
  <c r="C51" i="5"/>
  <c r="F51" i="48" s="1"/>
  <c r="C52" i="5"/>
  <c r="D52" i="5" s="1"/>
  <c r="C53" i="5"/>
  <c r="C54" i="5"/>
  <c r="F54" i="48" s="1"/>
  <c r="C55" i="5"/>
  <c r="F55" i="48" s="1"/>
  <c r="C56" i="5"/>
  <c r="F56" i="48" s="1"/>
  <c r="C57" i="5"/>
  <c r="C58" i="5"/>
  <c r="F58" i="48" s="1"/>
  <c r="D58" i="5"/>
  <c r="C59" i="5"/>
  <c r="F59" i="48" s="1"/>
  <c r="C60" i="5"/>
  <c r="F60" i="48" s="1"/>
  <c r="D60" i="5"/>
  <c r="C61" i="5"/>
  <c r="C62" i="5"/>
  <c r="F62" i="48" s="1"/>
  <c r="C63" i="5"/>
  <c r="F63" i="48" s="1"/>
  <c r="C64" i="5"/>
  <c r="D64" i="5" s="1"/>
  <c r="C65" i="5"/>
  <c r="F65" i="5"/>
  <c r="AG65" i="48" s="1"/>
  <c r="AU65" i="48" s="1"/>
  <c r="C66" i="5"/>
  <c r="F66" i="48" s="1"/>
  <c r="C67" i="5"/>
  <c r="F67" i="48" s="1"/>
  <c r="C68" i="5"/>
  <c r="F68" i="48" s="1"/>
  <c r="D68" i="5"/>
  <c r="C69" i="5"/>
  <c r="C70" i="5"/>
  <c r="D70" i="5"/>
  <c r="F70" i="5"/>
  <c r="AG70" i="48" s="1"/>
  <c r="AU70" i="48" s="1"/>
  <c r="C71" i="5"/>
  <c r="F71" i="48" s="1"/>
  <c r="C72" i="5"/>
  <c r="D72" i="5"/>
  <c r="C73" i="5"/>
  <c r="C74" i="5"/>
  <c r="F74" i="48" s="1"/>
  <c r="C75" i="5"/>
  <c r="F75" i="48" s="1"/>
  <c r="C76" i="5"/>
  <c r="D76" i="5" s="1"/>
  <c r="C77" i="5"/>
  <c r="C78" i="5"/>
  <c r="F78" i="48" s="1"/>
  <c r="C79" i="5"/>
  <c r="F79" i="48" s="1"/>
  <c r="C80" i="5"/>
  <c r="D80" i="5"/>
  <c r="C81" i="5"/>
  <c r="F81" i="5" s="1"/>
  <c r="C82" i="5"/>
  <c r="D82" i="5"/>
  <c r="C83" i="5"/>
  <c r="F83" i="48" s="1"/>
  <c r="C84" i="5"/>
  <c r="D84" i="5"/>
  <c r="C85" i="5"/>
  <c r="C86" i="5"/>
  <c r="D86" i="5" s="1"/>
  <c r="C87" i="5"/>
  <c r="F87" i="48" s="1"/>
  <c r="C88" i="5"/>
  <c r="C89" i="5"/>
  <c r="C90" i="5"/>
  <c r="F90" i="48" s="1"/>
  <c r="C91" i="5"/>
  <c r="F91" i="48" s="1"/>
  <c r="C92" i="5"/>
  <c r="D92" i="5"/>
  <c r="C93" i="5"/>
  <c r="C94" i="5"/>
  <c r="F94" i="48" s="1"/>
  <c r="D94" i="5"/>
  <c r="C95" i="5"/>
  <c r="C96" i="5"/>
  <c r="D96" i="5"/>
  <c r="C97" i="5"/>
  <c r="C98" i="5"/>
  <c r="F98" i="5"/>
  <c r="AG98" i="48" s="1"/>
  <c r="AU98" i="48" s="1"/>
  <c r="C99" i="5"/>
  <c r="F99" i="48" s="1"/>
  <c r="C100" i="5"/>
  <c r="D100" i="5"/>
  <c r="C101" i="5"/>
  <c r="F101" i="48" s="1"/>
  <c r="C102" i="5"/>
  <c r="C103" i="5"/>
  <c r="F103" i="48" s="1"/>
  <c r="C104" i="5"/>
  <c r="C105" i="5"/>
  <c r="F105" i="48" s="1"/>
  <c r="C106" i="5"/>
  <c r="F106" i="48" s="1"/>
  <c r="C107" i="5"/>
  <c r="F107" i="48" s="1"/>
  <c r="C108" i="5"/>
  <c r="F108" i="48" s="1"/>
  <c r="C109" i="5"/>
  <c r="F109" i="48" s="1"/>
  <c r="C110" i="5"/>
  <c r="F110" i="48" s="1"/>
  <c r="C111" i="5"/>
  <c r="F111" i="48" s="1"/>
  <c r="C112" i="5"/>
  <c r="F112" i="48" s="1"/>
  <c r="C113" i="5"/>
  <c r="F113" i="48" s="1"/>
  <c r="C114" i="5"/>
  <c r="C115" i="5"/>
  <c r="F115" i="48" s="1"/>
  <c r="C116" i="5"/>
  <c r="F116" i="48" s="1"/>
  <c r="C117" i="5"/>
  <c r="F117" i="48" s="1"/>
  <c r="C118" i="5"/>
  <c r="C119" i="5"/>
  <c r="F119" i="48" s="1"/>
  <c r="C120" i="5"/>
  <c r="C121" i="5"/>
  <c r="F121" i="48" s="1"/>
  <c r="C122" i="5"/>
  <c r="F122" i="48" s="1"/>
  <c r="C123" i="5"/>
  <c r="F123" i="48" s="1"/>
  <c r="C124" i="5"/>
  <c r="C125" i="5"/>
  <c r="F125" i="48" s="1"/>
  <c r="C126" i="5"/>
  <c r="C127" i="5"/>
  <c r="F127" i="48" s="1"/>
  <c r="C128" i="5"/>
  <c r="C129" i="5"/>
  <c r="F129" i="48" s="1"/>
  <c r="C130" i="5"/>
  <c r="C131" i="5"/>
  <c r="F131" i="48" s="1"/>
  <c r="C132" i="5"/>
  <c r="C133" i="5"/>
  <c r="F133" i="48" s="1"/>
  <c r="C134" i="5"/>
  <c r="C135" i="5"/>
  <c r="F135" i="48" s="1"/>
  <c r="C136" i="5"/>
  <c r="C137" i="5"/>
  <c r="F137" i="48" s="1"/>
  <c r="C138" i="5"/>
  <c r="C139" i="5"/>
  <c r="F139" i="48" s="1"/>
  <c r="C140" i="5"/>
  <c r="E140" i="5"/>
  <c r="Z140" i="48" s="1"/>
  <c r="C141" i="5"/>
  <c r="F141" i="5"/>
  <c r="AG141" i="48" s="1"/>
  <c r="AU141" i="48" s="1"/>
  <c r="C142" i="5"/>
  <c r="C143" i="5"/>
  <c r="C144" i="5"/>
  <c r="F144" i="5"/>
  <c r="AG144" i="48" s="1"/>
  <c r="AU144" i="48" s="1"/>
  <c r="C145" i="5"/>
  <c r="J127" i="48" l="1"/>
  <c r="J119" i="48"/>
  <c r="J99" i="48"/>
  <c r="J137" i="48"/>
  <c r="J91" i="48"/>
  <c r="J31" i="48"/>
  <c r="J27" i="48"/>
  <c r="J71" i="48"/>
  <c r="J59" i="48"/>
  <c r="J51" i="48"/>
  <c r="J47" i="48"/>
  <c r="J11" i="48"/>
  <c r="J3" i="48"/>
  <c r="J42" i="48"/>
  <c r="J30" i="48"/>
  <c r="J6" i="48"/>
  <c r="J26" i="48"/>
  <c r="J125" i="48"/>
  <c r="J25" i="48"/>
  <c r="J35" i="48"/>
  <c r="J7" i="48"/>
  <c r="J38" i="48"/>
  <c r="J34" i="48"/>
  <c r="J136" i="48"/>
  <c r="J108" i="48"/>
  <c r="J79" i="48"/>
  <c r="J2" i="48"/>
  <c r="J98" i="48"/>
  <c r="J90" i="48"/>
  <c r="J19" i="48"/>
  <c r="J15" i="48"/>
  <c r="J118" i="48"/>
  <c r="J110" i="48"/>
  <c r="J94" i="48"/>
  <c r="J86" i="48"/>
  <c r="J141" i="48"/>
  <c r="J133" i="48"/>
  <c r="J113" i="48"/>
  <c r="J101" i="48"/>
  <c r="J93" i="48"/>
  <c r="J89" i="48"/>
  <c r="J85" i="48"/>
  <c r="J29" i="48"/>
  <c r="J144" i="48"/>
  <c r="J140" i="48"/>
  <c r="J132" i="48"/>
  <c r="J124" i="48"/>
  <c r="J104" i="48"/>
  <c r="J96" i="48"/>
  <c r="J92" i="48"/>
  <c r="J76" i="48"/>
  <c r="J44" i="48"/>
  <c r="J32" i="48"/>
  <c r="J28" i="48"/>
  <c r="J39" i="48"/>
  <c r="J23" i="48"/>
  <c r="J142" i="48"/>
  <c r="J138" i="48"/>
  <c r="J134" i="48"/>
  <c r="J122" i="48"/>
  <c r="J82" i="48"/>
  <c r="J78" i="48"/>
  <c r="J74" i="48"/>
  <c r="J70" i="48"/>
  <c r="J66" i="48"/>
  <c r="J62" i="48"/>
  <c r="J58" i="48"/>
  <c r="J54" i="48"/>
  <c r="J50" i="48"/>
  <c r="J46" i="48"/>
  <c r="J22" i="48"/>
  <c r="J18" i="48"/>
  <c r="J14" i="48"/>
  <c r="J10" i="48"/>
  <c r="J63" i="48"/>
  <c r="J55" i="48"/>
  <c r="J43" i="48"/>
  <c r="J145" i="48"/>
  <c r="J129" i="48"/>
  <c r="J121" i="48"/>
  <c r="J117" i="48"/>
  <c r="J109" i="48"/>
  <c r="J105" i="48"/>
  <c r="J97" i="48"/>
  <c r="J81" i="48"/>
  <c r="J77" i="48"/>
  <c r="J73" i="48"/>
  <c r="J69" i="48"/>
  <c r="J65" i="48"/>
  <c r="J61" i="48"/>
  <c r="J57" i="48"/>
  <c r="J53" i="48"/>
  <c r="J49" i="48"/>
  <c r="J45" i="48"/>
  <c r="J41" i="48"/>
  <c r="J37" i="48"/>
  <c r="J33" i="48"/>
  <c r="J21" i="48"/>
  <c r="J17" i="48"/>
  <c r="J13" i="48"/>
  <c r="J9" i="48"/>
  <c r="J5" i="48"/>
  <c r="J67" i="48"/>
  <c r="J128" i="48"/>
  <c r="J120" i="48"/>
  <c r="J116" i="48"/>
  <c r="J112" i="48"/>
  <c r="J100" i="48"/>
  <c r="J88" i="48"/>
  <c r="J84" i="48"/>
  <c r="J80" i="48"/>
  <c r="J72" i="48"/>
  <c r="J68" i="48"/>
  <c r="J64" i="48"/>
  <c r="J60" i="48"/>
  <c r="J56" i="48"/>
  <c r="J52" i="48"/>
  <c r="J48" i="48"/>
  <c r="J40" i="48"/>
  <c r="J36" i="48"/>
  <c r="J24" i="48"/>
  <c r="J20" i="48"/>
  <c r="J16" i="48"/>
  <c r="J12" i="48"/>
  <c r="J8" i="48"/>
  <c r="J4" i="48"/>
  <c r="D78" i="5"/>
  <c r="D56" i="5"/>
  <c r="D24" i="5"/>
  <c r="U101" i="19"/>
  <c r="AG81" i="48"/>
  <c r="AU81" i="48" s="1"/>
  <c r="AL81" i="19"/>
  <c r="D144" i="5"/>
  <c r="F144" i="48"/>
  <c r="E114" i="5"/>
  <c r="F114" i="48"/>
  <c r="D143" i="5"/>
  <c r="E143" i="5" s="1"/>
  <c r="F143" i="48"/>
  <c r="D145" i="5"/>
  <c r="F145" i="48"/>
  <c r="D142" i="5"/>
  <c r="E142" i="5" s="1"/>
  <c r="F142" i="48"/>
  <c r="F140" i="5"/>
  <c r="F140" i="48"/>
  <c r="E136" i="5"/>
  <c r="F136" i="48"/>
  <c r="E132" i="5"/>
  <c r="F132" i="48"/>
  <c r="E128" i="5"/>
  <c r="F128" i="48"/>
  <c r="E124" i="5"/>
  <c r="F124" i="48"/>
  <c r="E120" i="5"/>
  <c r="F120" i="48"/>
  <c r="E104" i="5"/>
  <c r="F104" i="48"/>
  <c r="E102" i="5"/>
  <c r="F102" i="5" s="1"/>
  <c r="F102" i="48"/>
  <c r="F99" i="5"/>
  <c r="E98" i="5"/>
  <c r="F98" i="48"/>
  <c r="F95" i="5"/>
  <c r="F95" i="48"/>
  <c r="F93" i="48"/>
  <c r="D90" i="5"/>
  <c r="D69" i="5"/>
  <c r="F69" i="48"/>
  <c r="D66" i="5"/>
  <c r="F57" i="48"/>
  <c r="D54" i="5"/>
  <c r="E46" i="5"/>
  <c r="Z46" i="48" s="1"/>
  <c r="F46" i="48"/>
  <c r="D38" i="5"/>
  <c r="E34" i="5"/>
  <c r="Z34" i="48" s="1"/>
  <c r="F34" i="48"/>
  <c r="E26" i="5"/>
  <c r="Z26" i="48" s="1"/>
  <c r="F26" i="48"/>
  <c r="E18" i="5"/>
  <c r="Z18" i="48" s="1"/>
  <c r="F18" i="48"/>
  <c r="AL98" i="19"/>
  <c r="F97" i="5"/>
  <c r="F97" i="48"/>
  <c r="E85" i="5"/>
  <c r="F85" i="5" s="1"/>
  <c r="F85" i="48"/>
  <c r="E81" i="5"/>
  <c r="F81" i="48"/>
  <c r="E76" i="5"/>
  <c r="Z76" i="48" s="1"/>
  <c r="F76" i="48"/>
  <c r="D73" i="5"/>
  <c r="F73" i="48"/>
  <c r="E64" i="5"/>
  <c r="Z64" i="48" s="1"/>
  <c r="F64" i="48"/>
  <c r="D61" i="5"/>
  <c r="F61" i="48"/>
  <c r="E52" i="5"/>
  <c r="Z52" i="48" s="1"/>
  <c r="F52" i="48"/>
  <c r="E48" i="5"/>
  <c r="Z48" i="48" s="1"/>
  <c r="F48" i="48"/>
  <c r="D45" i="5"/>
  <c r="F45" i="48"/>
  <c r="E36" i="5"/>
  <c r="Z36" i="48" s="1"/>
  <c r="F36" i="48"/>
  <c r="D25" i="5"/>
  <c r="F25" i="48"/>
  <c r="E22" i="5"/>
  <c r="Z22" i="48" s="1"/>
  <c r="F22" i="48"/>
  <c r="AL141" i="19"/>
  <c r="E138" i="5"/>
  <c r="F138" i="48"/>
  <c r="E126" i="5"/>
  <c r="F126" i="48"/>
  <c r="E92" i="5"/>
  <c r="F92" i="5" s="1"/>
  <c r="F92" i="48"/>
  <c r="D89" i="5"/>
  <c r="F89" i="48"/>
  <c r="D53" i="5"/>
  <c r="F53" i="48"/>
  <c r="E49" i="5"/>
  <c r="Z49" i="48" s="1"/>
  <c r="F49" i="48"/>
  <c r="E42" i="5"/>
  <c r="Z42" i="48" s="1"/>
  <c r="F42" i="48"/>
  <c r="E40" i="5"/>
  <c r="F40" i="48"/>
  <c r="D37" i="5"/>
  <c r="E37" i="5" s="1"/>
  <c r="F37" i="48"/>
  <c r="E33" i="5"/>
  <c r="Z33" i="48" s="1"/>
  <c r="F33" i="48"/>
  <c r="D30" i="5"/>
  <c r="F30" i="48"/>
  <c r="E28" i="5"/>
  <c r="Z28" i="48" s="1"/>
  <c r="F28" i="48"/>
  <c r="D21" i="5"/>
  <c r="E21" i="5" s="1"/>
  <c r="F21" i="48"/>
  <c r="F18" i="5"/>
  <c r="AG18" i="48" s="1"/>
  <c r="AU18" i="48" s="1"/>
  <c r="AL144" i="19"/>
  <c r="AE140" i="19"/>
  <c r="D141" i="5"/>
  <c r="F141" i="48"/>
  <c r="E134" i="5"/>
  <c r="F134" i="48"/>
  <c r="E130" i="5"/>
  <c r="F130" i="48"/>
  <c r="E118" i="5"/>
  <c r="F118" i="48"/>
  <c r="D102" i="5"/>
  <c r="E100" i="5"/>
  <c r="F100" i="48"/>
  <c r="D98" i="5"/>
  <c r="E96" i="5"/>
  <c r="F96" i="48"/>
  <c r="D88" i="5"/>
  <c r="F88" i="48"/>
  <c r="E86" i="5"/>
  <c r="F86" i="5" s="1"/>
  <c r="F86" i="48"/>
  <c r="E84" i="5"/>
  <c r="F84" i="48"/>
  <c r="E82" i="5"/>
  <c r="F82" i="5" s="1"/>
  <c r="AG82" i="48" s="1"/>
  <c r="AU82" i="48" s="1"/>
  <c r="F82" i="48"/>
  <c r="E80" i="5"/>
  <c r="F80" i="48"/>
  <c r="D77" i="5"/>
  <c r="F77" i="48"/>
  <c r="D74" i="5"/>
  <c r="E74" i="5" s="1"/>
  <c r="E72" i="5"/>
  <c r="Z72" i="48" s="1"/>
  <c r="F72" i="48"/>
  <c r="E70" i="5"/>
  <c r="Z70" i="48" s="1"/>
  <c r="F70" i="48"/>
  <c r="E65" i="5"/>
  <c r="Z65" i="48" s="1"/>
  <c r="F65" i="48"/>
  <c r="D62" i="5"/>
  <c r="F52" i="5"/>
  <c r="AG52" i="48" s="1"/>
  <c r="AU52" i="48" s="1"/>
  <c r="D50" i="5"/>
  <c r="E50" i="5" s="1"/>
  <c r="F48" i="5"/>
  <c r="AG48" i="48" s="1"/>
  <c r="AU48" i="48" s="1"/>
  <c r="D46" i="5"/>
  <c r="D41" i="5"/>
  <c r="F41" i="48"/>
  <c r="F36" i="5"/>
  <c r="AG36" i="48" s="1"/>
  <c r="AU36" i="48" s="1"/>
  <c r="D34" i="5"/>
  <c r="D32" i="5"/>
  <c r="D29" i="5"/>
  <c r="E29" i="5" s="1"/>
  <c r="F29" i="48"/>
  <c r="D20" i="5"/>
  <c r="D18" i="5"/>
  <c r="AL82" i="19"/>
  <c r="D135" i="5"/>
  <c r="D133" i="5"/>
  <c r="F133" i="5"/>
  <c r="D127" i="5"/>
  <c r="F127" i="5"/>
  <c r="D125" i="5"/>
  <c r="F125" i="5"/>
  <c r="D123" i="5"/>
  <c r="D121" i="5"/>
  <c r="F121" i="5"/>
  <c r="D119" i="5"/>
  <c r="F119" i="5"/>
  <c r="D117" i="5"/>
  <c r="F117" i="5"/>
  <c r="D115" i="5"/>
  <c r="D113" i="5"/>
  <c r="E113" i="5" s="1"/>
  <c r="D111" i="5"/>
  <c r="D109" i="5"/>
  <c r="D107" i="5"/>
  <c r="D105" i="5"/>
  <c r="F105" i="5"/>
  <c r="D103" i="5"/>
  <c r="F103" i="5"/>
  <c r="D87" i="5"/>
  <c r="E87" i="5" s="1"/>
  <c r="E83" i="5"/>
  <c r="D83" i="5"/>
  <c r="F83" i="5"/>
  <c r="E79" i="5"/>
  <c r="D79" i="5"/>
  <c r="F79" i="5"/>
  <c r="E59" i="5"/>
  <c r="D59" i="5"/>
  <c r="D27" i="5"/>
  <c r="E27" i="5" s="1"/>
  <c r="E19" i="5"/>
  <c r="Z19" i="48" s="1"/>
  <c r="D19" i="5"/>
  <c r="F19" i="5"/>
  <c r="AG19" i="48" s="1"/>
  <c r="AU19" i="48" s="1"/>
  <c r="E145" i="5"/>
  <c r="E144" i="5"/>
  <c r="E141" i="5"/>
  <c r="D140" i="5"/>
  <c r="E101" i="5"/>
  <c r="D101" i="5"/>
  <c r="E99" i="5"/>
  <c r="D99" i="5"/>
  <c r="E91" i="5"/>
  <c r="D91" i="5"/>
  <c r="F91" i="5"/>
  <c r="E63" i="5"/>
  <c r="Z63" i="48" s="1"/>
  <c r="D63" i="5"/>
  <c r="F63" i="5"/>
  <c r="AG63" i="48" s="1"/>
  <c r="AU63" i="48" s="1"/>
  <c r="E31" i="5"/>
  <c r="Z31" i="48" s="1"/>
  <c r="D31" i="5"/>
  <c r="F31" i="5"/>
  <c r="AG31" i="48" s="1"/>
  <c r="AU31" i="48" s="1"/>
  <c r="D139" i="5"/>
  <c r="D129" i="5"/>
  <c r="F129" i="5"/>
  <c r="D138" i="5"/>
  <c r="F138" i="5"/>
  <c r="D136" i="5"/>
  <c r="F136" i="5"/>
  <c r="D134" i="5"/>
  <c r="F134" i="5"/>
  <c r="D132" i="5"/>
  <c r="F132" i="5"/>
  <c r="D130" i="5"/>
  <c r="F130" i="5"/>
  <c r="D128" i="5"/>
  <c r="F128" i="5"/>
  <c r="D126" i="5"/>
  <c r="F126" i="5"/>
  <c r="D124" i="5"/>
  <c r="F124" i="5"/>
  <c r="D122" i="5"/>
  <c r="E122" i="5" s="1"/>
  <c r="D120" i="5"/>
  <c r="F120" i="5"/>
  <c r="D118" i="5"/>
  <c r="F118" i="5"/>
  <c r="D116" i="5"/>
  <c r="E116" i="5" s="1"/>
  <c r="D114" i="5"/>
  <c r="F114" i="5"/>
  <c r="D112" i="5"/>
  <c r="E112" i="5" s="1"/>
  <c r="D110" i="5"/>
  <c r="E110" i="5" s="1"/>
  <c r="D108" i="5"/>
  <c r="E108" i="5" s="1"/>
  <c r="D106" i="5"/>
  <c r="E106" i="5" s="1"/>
  <c r="D104" i="5"/>
  <c r="F104" i="5"/>
  <c r="E97" i="5"/>
  <c r="D97" i="5"/>
  <c r="E95" i="5"/>
  <c r="D95" i="5"/>
  <c r="E71" i="5"/>
  <c r="Z71" i="48" s="1"/>
  <c r="D71" i="5"/>
  <c r="F71" i="5"/>
  <c r="AG71" i="48" s="1"/>
  <c r="AU71" i="48" s="1"/>
  <c r="E67" i="5"/>
  <c r="Z67" i="48" s="1"/>
  <c r="D67" i="5"/>
  <c r="F67" i="5"/>
  <c r="AG67" i="48" s="1"/>
  <c r="AU67" i="48" s="1"/>
  <c r="D43" i="5"/>
  <c r="E43" i="5" s="1"/>
  <c r="D39" i="5"/>
  <c r="E39" i="5" s="1"/>
  <c r="E35" i="5"/>
  <c r="Z35" i="48" s="1"/>
  <c r="D35" i="5"/>
  <c r="F35" i="5"/>
  <c r="AG35" i="48" s="1"/>
  <c r="AU35" i="48" s="1"/>
  <c r="D23" i="5"/>
  <c r="E23" i="5" s="1"/>
  <c r="D137" i="5"/>
  <c r="F137" i="5"/>
  <c r="D131" i="5"/>
  <c r="F131" i="5"/>
  <c r="E139" i="5"/>
  <c r="E137" i="5"/>
  <c r="E135" i="5"/>
  <c r="E133" i="5"/>
  <c r="E131" i="5"/>
  <c r="E129" i="5"/>
  <c r="E127" i="5"/>
  <c r="E125" i="5"/>
  <c r="E123" i="5"/>
  <c r="E121" i="5"/>
  <c r="E119" i="5"/>
  <c r="E117" i="5"/>
  <c r="E115" i="5"/>
  <c r="E111" i="5"/>
  <c r="E109" i="5"/>
  <c r="F109" i="5" s="1"/>
  <c r="E107" i="5"/>
  <c r="E105" i="5"/>
  <c r="E103" i="5"/>
  <c r="E75" i="5"/>
  <c r="Z75" i="48" s="1"/>
  <c r="D75" i="5"/>
  <c r="F75" i="5"/>
  <c r="AG75" i="48" s="1"/>
  <c r="AU75" i="48" s="1"/>
  <c r="E55" i="5"/>
  <c r="Z55" i="48" s="1"/>
  <c r="D55" i="5"/>
  <c r="E51" i="5"/>
  <c r="Z51" i="48" s="1"/>
  <c r="D51" i="5"/>
  <c r="F51" i="5"/>
  <c r="AG51" i="48" s="1"/>
  <c r="AU51" i="48" s="1"/>
  <c r="D47" i="5"/>
  <c r="E47" i="5" s="1"/>
  <c r="D93" i="5"/>
  <c r="E93" i="5" s="1"/>
  <c r="F93" i="5" s="1"/>
  <c r="E88" i="5"/>
  <c r="Z88" i="48" s="1"/>
  <c r="D85" i="5"/>
  <c r="D81" i="5"/>
  <c r="E68" i="5"/>
  <c r="Z68" i="48" s="1"/>
  <c r="D65" i="5"/>
  <c r="E60" i="5"/>
  <c r="Z60" i="48" s="1"/>
  <c r="D57" i="5"/>
  <c r="E57" i="5" s="1"/>
  <c r="E56" i="5"/>
  <c r="Z56" i="48" s="1"/>
  <c r="D49" i="5"/>
  <c r="F46" i="5"/>
  <c r="AG46" i="48" s="1"/>
  <c r="AU46" i="48" s="1"/>
  <c r="E44" i="5"/>
  <c r="F42" i="5"/>
  <c r="AG42" i="48" s="1"/>
  <c r="AU42" i="48" s="1"/>
  <c r="F34" i="5"/>
  <c r="AG34" i="48" s="1"/>
  <c r="AU34" i="48" s="1"/>
  <c r="D33" i="5"/>
  <c r="E32" i="5"/>
  <c r="F26" i="5"/>
  <c r="AG26" i="48" s="1"/>
  <c r="AU26" i="48" s="1"/>
  <c r="E24" i="5"/>
  <c r="F22" i="5"/>
  <c r="AG22" i="48" s="1"/>
  <c r="AU22" i="48" s="1"/>
  <c r="E20" i="5"/>
  <c r="E89" i="5"/>
  <c r="E77" i="5"/>
  <c r="E73" i="5"/>
  <c r="E69" i="5"/>
  <c r="E61" i="5"/>
  <c r="E53" i="5"/>
  <c r="E45" i="5"/>
  <c r="E41" i="5"/>
  <c r="D26" i="5"/>
  <c r="E25" i="5"/>
  <c r="D22" i="5"/>
  <c r="F100" i="5"/>
  <c r="F96" i="5"/>
  <c r="E94" i="5"/>
  <c r="E90" i="5"/>
  <c r="F84" i="5"/>
  <c r="F80" i="5"/>
  <c r="E78" i="5"/>
  <c r="F76" i="5"/>
  <c r="AG76" i="48" s="1"/>
  <c r="AU76" i="48" s="1"/>
  <c r="F72" i="5"/>
  <c r="AG72" i="48" s="1"/>
  <c r="AU72" i="48" s="1"/>
  <c r="E66" i="5"/>
  <c r="F64" i="5"/>
  <c r="AG64" i="48" s="1"/>
  <c r="AU64" i="48" s="1"/>
  <c r="E62" i="5"/>
  <c r="F60" i="5"/>
  <c r="AG60" i="48" s="1"/>
  <c r="AU60" i="48" s="1"/>
  <c r="E58" i="5"/>
  <c r="F56" i="5"/>
  <c r="AG56" i="48" s="1"/>
  <c r="AU56" i="48" s="1"/>
  <c r="E54" i="5"/>
  <c r="E38" i="5"/>
  <c r="E30" i="5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2" i="19"/>
  <c r="AG102" i="48" l="1"/>
  <c r="AU102" i="48" s="1"/>
  <c r="AL102" i="19"/>
  <c r="AZ102" i="19" s="1"/>
  <c r="AG86" i="48"/>
  <c r="AU86" i="48" s="1"/>
  <c r="AL86" i="19"/>
  <c r="AG85" i="48"/>
  <c r="AU85" i="48" s="1"/>
  <c r="AL85" i="19"/>
  <c r="F68" i="5"/>
  <c r="AG68" i="48" s="1"/>
  <c r="AU68" i="48" s="1"/>
  <c r="Z57" i="48"/>
  <c r="F57" i="5"/>
  <c r="AG57" i="48" s="1"/>
  <c r="AU57" i="48" s="1"/>
  <c r="F55" i="5"/>
  <c r="AG55" i="48" s="1"/>
  <c r="AU55" i="48" s="1"/>
  <c r="Z40" i="48"/>
  <c r="F40" i="5"/>
  <c r="AG40" i="48" s="1"/>
  <c r="AU40" i="48" s="1"/>
  <c r="F58" i="5"/>
  <c r="AG58" i="48" s="1"/>
  <c r="AU58" i="48" s="1"/>
  <c r="Z58" i="48"/>
  <c r="F66" i="5"/>
  <c r="AG66" i="48" s="1"/>
  <c r="AU66" i="48" s="1"/>
  <c r="Z66" i="48"/>
  <c r="AG100" i="48"/>
  <c r="AU100" i="48" s="1"/>
  <c r="AL100" i="19"/>
  <c r="F45" i="5"/>
  <c r="AG45" i="48" s="1"/>
  <c r="AU45" i="48" s="1"/>
  <c r="Z45" i="48"/>
  <c r="F21" i="5"/>
  <c r="AG21" i="48" s="1"/>
  <c r="AU21" i="48" s="1"/>
  <c r="Z21" i="48"/>
  <c r="F54" i="5"/>
  <c r="AG54" i="48" s="1"/>
  <c r="AU54" i="48" s="1"/>
  <c r="Z54" i="48"/>
  <c r="F62" i="5"/>
  <c r="AG62" i="48" s="1"/>
  <c r="AU62" i="48" s="1"/>
  <c r="Z62" i="48"/>
  <c r="AG80" i="48"/>
  <c r="AU80" i="48" s="1"/>
  <c r="AL80" i="19"/>
  <c r="F94" i="5"/>
  <c r="Z94" i="48"/>
  <c r="AE94" i="19"/>
  <c r="F37" i="5"/>
  <c r="AG37" i="48" s="1"/>
  <c r="AU37" i="48" s="1"/>
  <c r="Z37" i="48"/>
  <c r="F61" i="5"/>
  <c r="AG61" i="48" s="1"/>
  <c r="AU61" i="48" s="1"/>
  <c r="Z61" i="48"/>
  <c r="F89" i="5"/>
  <c r="Z89" i="48"/>
  <c r="AE89" i="19"/>
  <c r="Z103" i="48"/>
  <c r="AE103" i="19"/>
  <c r="F111" i="5"/>
  <c r="Z111" i="48"/>
  <c r="AE111" i="19"/>
  <c r="Z121" i="48"/>
  <c r="AE121" i="19"/>
  <c r="Z129" i="48"/>
  <c r="AE129" i="19"/>
  <c r="Z137" i="48"/>
  <c r="AE137" i="19"/>
  <c r="AG137" i="48"/>
  <c r="AU137" i="48" s="1"/>
  <c r="AL137" i="19"/>
  <c r="F43" i="5"/>
  <c r="AG43" i="48" s="1"/>
  <c r="AU43" i="48" s="1"/>
  <c r="Z43" i="48"/>
  <c r="Z95" i="48"/>
  <c r="AE95" i="19"/>
  <c r="F112" i="5"/>
  <c r="Z112" i="48"/>
  <c r="AE112" i="19"/>
  <c r="AG118" i="48"/>
  <c r="AU118" i="48" s="1"/>
  <c r="AL118" i="19"/>
  <c r="F122" i="5"/>
  <c r="Z122" i="48"/>
  <c r="AE122" i="19"/>
  <c r="Z91" i="48"/>
  <c r="AE91" i="19"/>
  <c r="F101" i="5"/>
  <c r="Z101" i="48"/>
  <c r="AE101" i="19"/>
  <c r="F143" i="5"/>
  <c r="Z143" i="48"/>
  <c r="AE143" i="19"/>
  <c r="Z79" i="48"/>
  <c r="AE79" i="19"/>
  <c r="F87" i="5"/>
  <c r="Z87" i="48"/>
  <c r="AE87" i="19"/>
  <c r="AG127" i="48"/>
  <c r="AU127" i="48" s="1"/>
  <c r="AL127" i="19"/>
  <c r="Z80" i="48"/>
  <c r="AE80" i="19"/>
  <c r="Z84" i="48"/>
  <c r="AE84" i="19"/>
  <c r="Z92" i="48"/>
  <c r="AE92" i="19"/>
  <c r="Z138" i="48"/>
  <c r="AE138" i="19"/>
  <c r="AZ86" i="19"/>
  <c r="E87" i="47"/>
  <c r="E87" i="46"/>
  <c r="E87" i="45"/>
  <c r="E87" i="44"/>
  <c r="D86" i="28"/>
  <c r="Z93" i="48"/>
  <c r="AE93" i="19"/>
  <c r="Z98" i="48"/>
  <c r="AE98" i="19"/>
  <c r="AZ81" i="19"/>
  <c r="E82" i="47"/>
  <c r="E82" i="46"/>
  <c r="E82" i="45"/>
  <c r="E82" i="44"/>
  <c r="D81" i="28"/>
  <c r="F73" i="5"/>
  <c r="AG73" i="48" s="1"/>
  <c r="AU73" i="48" s="1"/>
  <c r="Z73" i="48"/>
  <c r="AG92" i="48"/>
  <c r="AU92" i="48" s="1"/>
  <c r="AL92" i="19"/>
  <c r="F29" i="5"/>
  <c r="AG29" i="48" s="1"/>
  <c r="AU29" i="48" s="1"/>
  <c r="Z29" i="48"/>
  <c r="F77" i="5"/>
  <c r="AG77" i="48" s="1"/>
  <c r="AU77" i="48" s="1"/>
  <c r="Z77" i="48"/>
  <c r="F24" i="5"/>
  <c r="AG24" i="48" s="1"/>
  <c r="AU24" i="48" s="1"/>
  <c r="Z24" i="48"/>
  <c r="F30" i="5"/>
  <c r="AG30" i="48" s="1"/>
  <c r="AU30" i="48" s="1"/>
  <c r="Z30" i="48"/>
  <c r="F74" i="5"/>
  <c r="AG74" i="48" s="1"/>
  <c r="AU74" i="48" s="1"/>
  <c r="Z74" i="48"/>
  <c r="AG84" i="48"/>
  <c r="AU84" i="48" s="1"/>
  <c r="AL84" i="19"/>
  <c r="AG96" i="48"/>
  <c r="AU96" i="48" s="1"/>
  <c r="AL96" i="19"/>
  <c r="F25" i="5"/>
  <c r="AG25" i="48" s="1"/>
  <c r="AU25" i="48" s="1"/>
  <c r="Z25" i="48"/>
  <c r="F41" i="5"/>
  <c r="AG41" i="48" s="1"/>
  <c r="AU41" i="48" s="1"/>
  <c r="Z41" i="48"/>
  <c r="F69" i="5"/>
  <c r="AG69" i="48" s="1"/>
  <c r="AU69" i="48" s="1"/>
  <c r="Z69" i="48"/>
  <c r="F20" i="5"/>
  <c r="AG20" i="48" s="1"/>
  <c r="AU20" i="48" s="1"/>
  <c r="Z20" i="48"/>
  <c r="F32" i="5"/>
  <c r="AG32" i="48" s="1"/>
  <c r="AU32" i="48" s="1"/>
  <c r="Z32" i="48"/>
  <c r="F44" i="5"/>
  <c r="AG44" i="48" s="1"/>
  <c r="AU44" i="48" s="1"/>
  <c r="Z44" i="48"/>
  <c r="Z105" i="48"/>
  <c r="AE105" i="19"/>
  <c r="F115" i="5"/>
  <c r="Z115" i="48"/>
  <c r="AE115" i="19"/>
  <c r="F123" i="5"/>
  <c r="Z123" i="48"/>
  <c r="AE123" i="19"/>
  <c r="Z131" i="48"/>
  <c r="AE131" i="19"/>
  <c r="F139" i="5"/>
  <c r="Z139" i="48"/>
  <c r="AE139" i="19"/>
  <c r="F106" i="5"/>
  <c r="Z106" i="48"/>
  <c r="AE106" i="19"/>
  <c r="AG114" i="48"/>
  <c r="AU114" i="48" s="1"/>
  <c r="AL114" i="19"/>
  <c r="AG124" i="48"/>
  <c r="AU124" i="48" s="1"/>
  <c r="AL124" i="19"/>
  <c r="AG128" i="48"/>
  <c r="AU128" i="48" s="1"/>
  <c r="AL128" i="19"/>
  <c r="AG132" i="48"/>
  <c r="AU132" i="48" s="1"/>
  <c r="AL132" i="19"/>
  <c r="AG136" i="48"/>
  <c r="AU136" i="48" s="1"/>
  <c r="AL136" i="19"/>
  <c r="AG129" i="48"/>
  <c r="AU129" i="48" s="1"/>
  <c r="AL129" i="19"/>
  <c r="Z144" i="48"/>
  <c r="AE144" i="19"/>
  <c r="F59" i="5"/>
  <c r="AG59" i="48" s="1"/>
  <c r="AU59" i="48" s="1"/>
  <c r="Z59" i="48"/>
  <c r="AG83" i="48"/>
  <c r="AU83" i="48" s="1"/>
  <c r="AL83" i="19"/>
  <c r="AG103" i="48"/>
  <c r="AU103" i="48" s="1"/>
  <c r="AL103" i="19"/>
  <c r="F113" i="5"/>
  <c r="Z113" i="48"/>
  <c r="AE113" i="19"/>
  <c r="AG119" i="48"/>
  <c r="AU119" i="48" s="1"/>
  <c r="AL119" i="19"/>
  <c r="F110" i="5"/>
  <c r="Z110" i="48"/>
  <c r="AE110" i="19"/>
  <c r="AG93" i="48"/>
  <c r="AU93" i="48" s="1"/>
  <c r="AL93" i="19"/>
  <c r="Z118" i="48"/>
  <c r="AE118" i="19"/>
  <c r="Z134" i="48"/>
  <c r="AE134" i="19"/>
  <c r="AZ144" i="19"/>
  <c r="E145" i="46"/>
  <c r="E145" i="45"/>
  <c r="E145" i="47"/>
  <c r="E145" i="44"/>
  <c r="D144" i="28"/>
  <c r="AZ141" i="19"/>
  <c r="E142" i="45"/>
  <c r="E142" i="47"/>
  <c r="E142" i="46"/>
  <c r="E142" i="44"/>
  <c r="D141" i="28"/>
  <c r="Z85" i="48"/>
  <c r="AE85" i="19"/>
  <c r="AZ98" i="19"/>
  <c r="E99" i="47"/>
  <c r="E99" i="46"/>
  <c r="E99" i="45"/>
  <c r="E99" i="44"/>
  <c r="D98" i="28"/>
  <c r="AG99" i="48"/>
  <c r="AU99" i="48" s="1"/>
  <c r="AL99" i="19"/>
  <c r="Z104" i="48"/>
  <c r="AE104" i="19"/>
  <c r="Z124" i="48"/>
  <c r="AE124" i="19"/>
  <c r="Z132" i="48"/>
  <c r="AE132" i="19"/>
  <c r="AG140" i="48"/>
  <c r="AU140" i="48" s="1"/>
  <c r="AL140" i="19"/>
  <c r="Z114" i="48"/>
  <c r="AE114" i="19"/>
  <c r="F38" i="5"/>
  <c r="AG38" i="48" s="1"/>
  <c r="AU38" i="48" s="1"/>
  <c r="Z38" i="48"/>
  <c r="F90" i="5"/>
  <c r="Z90" i="48"/>
  <c r="AE90" i="19"/>
  <c r="F47" i="5"/>
  <c r="AG47" i="48" s="1"/>
  <c r="AU47" i="48" s="1"/>
  <c r="Z47" i="48"/>
  <c r="F107" i="5"/>
  <c r="Z107" i="48"/>
  <c r="AE107" i="19"/>
  <c r="Z117" i="48"/>
  <c r="AE117" i="19"/>
  <c r="Z125" i="48"/>
  <c r="AE125" i="19"/>
  <c r="Z133" i="48"/>
  <c r="AE133" i="19"/>
  <c r="AG131" i="48"/>
  <c r="AU131" i="48" s="1"/>
  <c r="AL131" i="19"/>
  <c r="F23" i="5"/>
  <c r="AG23" i="48" s="1"/>
  <c r="AU23" i="48" s="1"/>
  <c r="Z23" i="48"/>
  <c r="F39" i="5"/>
  <c r="AG39" i="48" s="1"/>
  <c r="AU39" i="48" s="1"/>
  <c r="Z39" i="48"/>
  <c r="Z97" i="48"/>
  <c r="AE97" i="19"/>
  <c r="F108" i="5"/>
  <c r="Z108" i="48"/>
  <c r="AE108" i="19"/>
  <c r="AG120" i="48"/>
  <c r="AU120" i="48" s="1"/>
  <c r="AL120" i="19"/>
  <c r="AG91" i="48"/>
  <c r="AU91" i="48" s="1"/>
  <c r="AL91" i="19"/>
  <c r="Z99" i="48"/>
  <c r="AE99" i="19"/>
  <c r="Z141" i="48"/>
  <c r="AE141" i="19"/>
  <c r="F145" i="5"/>
  <c r="Z145" i="48"/>
  <c r="AE145" i="19"/>
  <c r="AG79" i="48"/>
  <c r="AU79" i="48" s="1"/>
  <c r="AL79" i="19"/>
  <c r="AG109" i="48"/>
  <c r="AU109" i="48" s="1"/>
  <c r="AL109" i="19"/>
  <c r="AG125" i="48"/>
  <c r="AU125" i="48" s="1"/>
  <c r="AL125" i="19"/>
  <c r="AG133" i="48"/>
  <c r="AU133" i="48" s="1"/>
  <c r="AL133" i="19"/>
  <c r="AZ82" i="19"/>
  <c r="E83" i="47"/>
  <c r="E83" i="46"/>
  <c r="E83" i="45"/>
  <c r="E83" i="44"/>
  <c r="D82" i="28"/>
  <c r="Z82" i="48"/>
  <c r="AE82" i="19"/>
  <c r="Z86" i="48"/>
  <c r="AE86" i="19"/>
  <c r="Z100" i="48"/>
  <c r="AE100" i="19"/>
  <c r="Z126" i="48"/>
  <c r="AE126" i="19"/>
  <c r="E103" i="45"/>
  <c r="AG95" i="48"/>
  <c r="AU95" i="48" s="1"/>
  <c r="AL95" i="19"/>
  <c r="AZ85" i="19"/>
  <c r="E86" i="47"/>
  <c r="E86" i="46"/>
  <c r="E86" i="45"/>
  <c r="E86" i="44"/>
  <c r="D85" i="28"/>
  <c r="F50" i="5"/>
  <c r="AG50" i="48" s="1"/>
  <c r="AU50" i="48" s="1"/>
  <c r="Z50" i="48"/>
  <c r="F78" i="5"/>
  <c r="AG78" i="48" s="1"/>
  <c r="AU78" i="48" s="1"/>
  <c r="Z78" i="48"/>
  <c r="F53" i="5"/>
  <c r="AG53" i="48" s="1"/>
  <c r="AU53" i="48" s="1"/>
  <c r="Z53" i="48"/>
  <c r="Z109" i="48"/>
  <c r="AE109" i="19"/>
  <c r="Z119" i="48"/>
  <c r="AE119" i="19"/>
  <c r="Z127" i="48"/>
  <c r="AE127" i="19"/>
  <c r="F135" i="5"/>
  <c r="Z135" i="48"/>
  <c r="AE135" i="19"/>
  <c r="AG104" i="48"/>
  <c r="AU104" i="48" s="1"/>
  <c r="AL104" i="19"/>
  <c r="F116" i="5"/>
  <c r="Z116" i="48"/>
  <c r="AE116" i="19"/>
  <c r="AG126" i="48"/>
  <c r="AU126" i="48" s="1"/>
  <c r="AL126" i="19"/>
  <c r="AG130" i="48"/>
  <c r="AU130" i="48" s="1"/>
  <c r="AL130" i="19"/>
  <c r="AG134" i="48"/>
  <c r="AU134" i="48" s="1"/>
  <c r="AL134" i="19"/>
  <c r="AG138" i="48"/>
  <c r="AU138" i="48" s="1"/>
  <c r="AL138" i="19"/>
  <c r="F142" i="5"/>
  <c r="Z142" i="48"/>
  <c r="AE142" i="19"/>
  <c r="F27" i="5"/>
  <c r="AG27" i="48" s="1"/>
  <c r="AU27" i="48" s="1"/>
  <c r="Z27" i="48"/>
  <c r="Z83" i="48"/>
  <c r="AE83" i="19"/>
  <c r="AG105" i="48"/>
  <c r="AU105" i="48" s="1"/>
  <c r="AL105" i="19"/>
  <c r="AG117" i="48"/>
  <c r="AU117" i="48" s="1"/>
  <c r="AL117" i="19"/>
  <c r="AG121" i="48"/>
  <c r="AU121" i="48" s="1"/>
  <c r="AL121" i="19"/>
  <c r="Z96" i="48"/>
  <c r="AE96" i="19"/>
  <c r="Z130" i="48"/>
  <c r="AE130" i="19"/>
  <c r="Z81" i="48"/>
  <c r="AE81" i="19"/>
  <c r="AG97" i="48"/>
  <c r="AU97" i="48" s="1"/>
  <c r="AL97" i="19"/>
  <c r="Z102" i="48"/>
  <c r="AE102" i="19"/>
  <c r="Z120" i="48"/>
  <c r="AE120" i="19"/>
  <c r="Z128" i="48"/>
  <c r="AE128" i="19"/>
  <c r="Z136" i="48"/>
  <c r="AE136" i="19"/>
  <c r="F88" i="5"/>
  <c r="AE88" i="19"/>
  <c r="D22" i="21"/>
  <c r="M22" i="48" s="1"/>
  <c r="E103" i="46" l="1"/>
  <c r="D102" i="28"/>
  <c r="E103" i="47"/>
  <c r="E103" i="44"/>
  <c r="AL88" i="19"/>
  <c r="AG88" i="48"/>
  <c r="AU88" i="48" s="1"/>
  <c r="AZ125" i="19"/>
  <c r="E126" i="45"/>
  <c r="E126" i="47"/>
  <c r="E126" i="46"/>
  <c r="E126" i="44"/>
  <c r="D125" i="28"/>
  <c r="E106" i="45"/>
  <c r="E106" i="47"/>
  <c r="E106" i="46"/>
  <c r="E106" i="44"/>
  <c r="D105" i="28"/>
  <c r="AZ105" i="19"/>
  <c r="E120" i="47"/>
  <c r="E120" i="46"/>
  <c r="E120" i="45"/>
  <c r="E120" i="44"/>
  <c r="D119" i="28"/>
  <c r="AZ119" i="19"/>
  <c r="AZ138" i="19"/>
  <c r="E139" i="47"/>
  <c r="E139" i="46"/>
  <c r="E139" i="45"/>
  <c r="E139" i="44"/>
  <c r="D138" i="28"/>
  <c r="AZ130" i="19"/>
  <c r="E131" i="47"/>
  <c r="E131" i="46"/>
  <c r="E131" i="45"/>
  <c r="E131" i="44"/>
  <c r="D130" i="28"/>
  <c r="AZ133" i="19"/>
  <c r="E134" i="45"/>
  <c r="E134" i="47"/>
  <c r="E134" i="46"/>
  <c r="E134" i="44"/>
  <c r="D133" i="28"/>
  <c r="E110" i="45"/>
  <c r="E110" i="47"/>
  <c r="E110" i="46"/>
  <c r="E110" i="44"/>
  <c r="D109" i="28"/>
  <c r="AZ109" i="19"/>
  <c r="AZ131" i="19"/>
  <c r="E132" i="47"/>
  <c r="E132" i="46"/>
  <c r="E132" i="45"/>
  <c r="E132" i="44"/>
  <c r="D131" i="28"/>
  <c r="AZ140" i="19"/>
  <c r="E141" i="46"/>
  <c r="E141" i="45"/>
  <c r="E141" i="47"/>
  <c r="E141" i="44"/>
  <c r="D140" i="28"/>
  <c r="AZ99" i="19"/>
  <c r="E100" i="47"/>
  <c r="E100" i="46"/>
  <c r="E100" i="45"/>
  <c r="E100" i="44"/>
  <c r="D99" i="28"/>
  <c r="AZ103" i="19"/>
  <c r="E104" i="47"/>
  <c r="E104" i="46"/>
  <c r="E104" i="45"/>
  <c r="E104" i="44"/>
  <c r="D103" i="28"/>
  <c r="AZ129" i="19"/>
  <c r="E130" i="45"/>
  <c r="E130" i="47"/>
  <c r="E130" i="46"/>
  <c r="E130" i="44"/>
  <c r="D129" i="28"/>
  <c r="AZ132" i="19"/>
  <c r="E133" i="46"/>
  <c r="E133" i="45"/>
  <c r="E133" i="47"/>
  <c r="E133" i="44"/>
  <c r="D132" i="28"/>
  <c r="AZ124" i="19"/>
  <c r="E125" i="46"/>
  <c r="E125" i="45"/>
  <c r="E125" i="47"/>
  <c r="E125" i="44"/>
  <c r="D124" i="28"/>
  <c r="AZ96" i="19"/>
  <c r="E97" i="46"/>
  <c r="E97" i="45"/>
  <c r="E97" i="47"/>
  <c r="E97" i="44"/>
  <c r="D96" i="28"/>
  <c r="AZ118" i="19"/>
  <c r="E119" i="47"/>
  <c r="E119" i="46"/>
  <c r="E119" i="45"/>
  <c r="E119" i="44"/>
  <c r="D118" i="28"/>
  <c r="AG112" i="48"/>
  <c r="AU112" i="48" s="1"/>
  <c r="AL112" i="19"/>
  <c r="AG89" i="48"/>
  <c r="AU89" i="48" s="1"/>
  <c r="AL89" i="19"/>
  <c r="AZ80" i="19"/>
  <c r="E81" i="46"/>
  <c r="E81" i="47"/>
  <c r="E81" i="45"/>
  <c r="E81" i="44"/>
  <c r="D80" i="28"/>
  <c r="AZ134" i="19"/>
  <c r="E135" i="47"/>
  <c r="E135" i="46"/>
  <c r="E135" i="45"/>
  <c r="E135" i="44"/>
  <c r="D134" i="28"/>
  <c r="AG116" i="48"/>
  <c r="AU116" i="48" s="1"/>
  <c r="AL116" i="19"/>
  <c r="AZ95" i="19"/>
  <c r="E96" i="47"/>
  <c r="E96" i="46"/>
  <c r="E96" i="45"/>
  <c r="E96" i="44"/>
  <c r="D95" i="28"/>
  <c r="AG145" i="48"/>
  <c r="AU145" i="48" s="1"/>
  <c r="AL145" i="19"/>
  <c r="AG107" i="48"/>
  <c r="AU107" i="48" s="1"/>
  <c r="AL107" i="19"/>
  <c r="AZ97" i="19"/>
  <c r="E98" i="45"/>
  <c r="E98" i="47"/>
  <c r="E98" i="46"/>
  <c r="E98" i="44"/>
  <c r="D97" i="28"/>
  <c r="AZ121" i="19"/>
  <c r="E122" i="45"/>
  <c r="E122" i="47"/>
  <c r="E122" i="46"/>
  <c r="E122" i="44"/>
  <c r="D121" i="28"/>
  <c r="AG142" i="48"/>
  <c r="AU142" i="48" s="1"/>
  <c r="AL142" i="19"/>
  <c r="AG135" i="48"/>
  <c r="AU135" i="48" s="1"/>
  <c r="AL135" i="19"/>
  <c r="AZ91" i="19"/>
  <c r="E92" i="47"/>
  <c r="E92" i="46"/>
  <c r="E92" i="45"/>
  <c r="E92" i="44"/>
  <c r="D91" i="28"/>
  <c r="AG90" i="48"/>
  <c r="AU90" i="48" s="1"/>
  <c r="AL90" i="19"/>
  <c r="AZ117" i="19"/>
  <c r="E118" i="45"/>
  <c r="E118" i="47"/>
  <c r="E118" i="46"/>
  <c r="E118" i="44"/>
  <c r="D117" i="28"/>
  <c r="AZ120" i="19"/>
  <c r="E121" i="46"/>
  <c r="E121" i="45"/>
  <c r="E121" i="47"/>
  <c r="E121" i="44"/>
  <c r="D120" i="28"/>
  <c r="AG108" i="48"/>
  <c r="AU108" i="48" s="1"/>
  <c r="AL108" i="19"/>
  <c r="AG139" i="48"/>
  <c r="AU139" i="48" s="1"/>
  <c r="AL139" i="19"/>
  <c r="AG115" i="48"/>
  <c r="AU115" i="48" s="1"/>
  <c r="AL115" i="19"/>
  <c r="AZ137" i="19"/>
  <c r="E138" i="45"/>
  <c r="E138" i="47"/>
  <c r="E138" i="46"/>
  <c r="E138" i="44"/>
  <c r="D137" i="28"/>
  <c r="AZ126" i="19"/>
  <c r="E127" i="47"/>
  <c r="E127" i="46"/>
  <c r="E127" i="45"/>
  <c r="E127" i="44"/>
  <c r="D126" i="28"/>
  <c r="E80" i="47"/>
  <c r="E80" i="46"/>
  <c r="E80" i="45"/>
  <c r="E80" i="44"/>
  <c r="D79" i="28"/>
  <c r="AZ79" i="19"/>
  <c r="AZ93" i="19"/>
  <c r="E94" i="47"/>
  <c r="E94" i="46"/>
  <c r="E94" i="45"/>
  <c r="E94" i="44"/>
  <c r="D93" i="28"/>
  <c r="AG110" i="48"/>
  <c r="AU110" i="48" s="1"/>
  <c r="AL110" i="19"/>
  <c r="E84" i="47"/>
  <c r="E84" i="46"/>
  <c r="E84" i="45"/>
  <c r="E84" i="44"/>
  <c r="D83" i="28"/>
  <c r="AZ83" i="19"/>
  <c r="AZ136" i="19"/>
  <c r="E137" i="46"/>
  <c r="E137" i="45"/>
  <c r="E137" i="47"/>
  <c r="E137" i="44"/>
  <c r="D136" i="28"/>
  <c r="AZ128" i="19"/>
  <c r="E129" i="46"/>
  <c r="E129" i="45"/>
  <c r="E129" i="47"/>
  <c r="E129" i="44"/>
  <c r="D128" i="28"/>
  <c r="AZ114" i="19"/>
  <c r="E115" i="47"/>
  <c r="E115" i="46"/>
  <c r="E115" i="45"/>
  <c r="E115" i="44"/>
  <c r="D114" i="28"/>
  <c r="AG106" i="48"/>
  <c r="AU106" i="48" s="1"/>
  <c r="AL106" i="19"/>
  <c r="AG123" i="48"/>
  <c r="AU123" i="48" s="1"/>
  <c r="AL123" i="19"/>
  <c r="AZ84" i="19"/>
  <c r="E85" i="46"/>
  <c r="E85" i="47"/>
  <c r="E85" i="45"/>
  <c r="E85" i="44"/>
  <c r="D84" i="28"/>
  <c r="E93" i="46"/>
  <c r="E93" i="47"/>
  <c r="E93" i="45"/>
  <c r="E93" i="44"/>
  <c r="D92" i="28"/>
  <c r="AZ92" i="19"/>
  <c r="AZ127" i="19"/>
  <c r="E128" i="47"/>
  <c r="E128" i="46"/>
  <c r="E128" i="45"/>
  <c r="E128" i="44"/>
  <c r="D127" i="28"/>
  <c r="AG87" i="48"/>
  <c r="AU87" i="48" s="1"/>
  <c r="AL87" i="19"/>
  <c r="AG101" i="48"/>
  <c r="AU101" i="48" s="1"/>
  <c r="AL101" i="19"/>
  <c r="AZ100" i="19"/>
  <c r="E101" i="46"/>
  <c r="E101" i="45"/>
  <c r="E101" i="47"/>
  <c r="E101" i="44"/>
  <c r="D100" i="28"/>
  <c r="AZ104" i="19"/>
  <c r="E105" i="46"/>
  <c r="E105" i="45"/>
  <c r="E105" i="47"/>
  <c r="E105" i="44"/>
  <c r="D104" i="28"/>
  <c r="AG113" i="48"/>
  <c r="AU113" i="48" s="1"/>
  <c r="AL113" i="19"/>
  <c r="AG143" i="48"/>
  <c r="AU143" i="48" s="1"/>
  <c r="AL143" i="19"/>
  <c r="AG122" i="48"/>
  <c r="AU122" i="48" s="1"/>
  <c r="AL122" i="19"/>
  <c r="AG111" i="48"/>
  <c r="AU111" i="48" s="1"/>
  <c r="AL111" i="19"/>
  <c r="AG94" i="48"/>
  <c r="AU94" i="48" s="1"/>
  <c r="AL94" i="19"/>
  <c r="AC131" i="19"/>
  <c r="AC132" i="19"/>
  <c r="AC133" i="19"/>
  <c r="AC134" i="19"/>
  <c r="AC135" i="19"/>
  <c r="AC136" i="19"/>
  <c r="AC137" i="19"/>
  <c r="AC138" i="19"/>
  <c r="AC139" i="19"/>
  <c r="AC140" i="19"/>
  <c r="AC141" i="19"/>
  <c r="AC142" i="19"/>
  <c r="AC143" i="19"/>
  <c r="AC144" i="19"/>
  <c r="AC145" i="19"/>
  <c r="AB131" i="19"/>
  <c r="AB132" i="19"/>
  <c r="AB133" i="19"/>
  <c r="AB134" i="19"/>
  <c r="AB135" i="19"/>
  <c r="AB136" i="19"/>
  <c r="AB137" i="19"/>
  <c r="AB138" i="19"/>
  <c r="AB139" i="19"/>
  <c r="AB140" i="19"/>
  <c r="AB141" i="19"/>
  <c r="AB142" i="19"/>
  <c r="AB143" i="19"/>
  <c r="AB144" i="19"/>
  <c r="AB145" i="19"/>
  <c r="R134" i="19"/>
  <c r="R136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P145" i="19"/>
  <c r="O131" i="19"/>
  <c r="O132" i="19"/>
  <c r="O133" i="19"/>
  <c r="O134" i="19"/>
  <c r="O135" i="19"/>
  <c r="O136" i="19"/>
  <c r="O137" i="19"/>
  <c r="O138" i="19"/>
  <c r="O140" i="19"/>
  <c r="O141" i="19"/>
  <c r="O144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K131" i="19"/>
  <c r="K132" i="19"/>
  <c r="K133" i="19"/>
  <c r="K134" i="19"/>
  <c r="K135" i="19"/>
  <c r="K136" i="19"/>
  <c r="K137" i="19"/>
  <c r="K138" i="19"/>
  <c r="K139" i="19"/>
  <c r="K140" i="19"/>
  <c r="K141" i="19"/>
  <c r="K142" i="19"/>
  <c r="K143" i="19"/>
  <c r="K144" i="19"/>
  <c r="K145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J131" i="19"/>
  <c r="J135" i="19"/>
  <c r="J144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B130" i="25"/>
  <c r="B131" i="25"/>
  <c r="B132" i="25"/>
  <c r="D132" i="25" s="1"/>
  <c r="B133" i="25"/>
  <c r="B134" i="25"/>
  <c r="B135" i="25"/>
  <c r="B136" i="25"/>
  <c r="D136" i="25" s="1"/>
  <c r="B137" i="25"/>
  <c r="B138" i="25"/>
  <c r="B139" i="25"/>
  <c r="B140" i="25"/>
  <c r="D140" i="25" s="1"/>
  <c r="B141" i="25"/>
  <c r="B142" i="25"/>
  <c r="B143" i="25"/>
  <c r="B144" i="25"/>
  <c r="D144" i="25" s="1"/>
  <c r="B145" i="25"/>
  <c r="D131" i="25"/>
  <c r="D133" i="25"/>
  <c r="D134" i="25"/>
  <c r="D135" i="25"/>
  <c r="D137" i="25"/>
  <c r="D138" i="25"/>
  <c r="D139" i="25"/>
  <c r="D141" i="25"/>
  <c r="D142" i="25"/>
  <c r="D143" i="25"/>
  <c r="D145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G134" i="27"/>
  <c r="F132" i="27"/>
  <c r="F136" i="27"/>
  <c r="F140" i="27"/>
  <c r="F145" i="27"/>
  <c r="E134" i="27"/>
  <c r="D131" i="27"/>
  <c r="F131" i="27" s="1"/>
  <c r="D132" i="27"/>
  <c r="G132" i="27" s="1"/>
  <c r="D133" i="27"/>
  <c r="F133" i="27" s="1"/>
  <c r="D134" i="27"/>
  <c r="D135" i="27"/>
  <c r="G135" i="27" s="1"/>
  <c r="D136" i="27"/>
  <c r="G136" i="27" s="1"/>
  <c r="D137" i="27"/>
  <c r="F137" i="27" s="1"/>
  <c r="D138" i="27"/>
  <c r="D139" i="27"/>
  <c r="G139" i="27" s="1"/>
  <c r="D140" i="27"/>
  <c r="G140" i="27" s="1"/>
  <c r="D141" i="27"/>
  <c r="F141" i="27" s="1"/>
  <c r="D142" i="27"/>
  <c r="E142" i="27" s="1"/>
  <c r="D143" i="27"/>
  <c r="D144" i="27"/>
  <c r="G144" i="27" s="1"/>
  <c r="D145" i="27"/>
  <c r="G145" i="27" s="1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G136" i="24"/>
  <c r="G140" i="24"/>
  <c r="G144" i="24"/>
  <c r="F132" i="24"/>
  <c r="F133" i="24"/>
  <c r="E131" i="24"/>
  <c r="E132" i="24"/>
  <c r="E135" i="24"/>
  <c r="F135" i="24" s="1"/>
  <c r="E136" i="24"/>
  <c r="E140" i="24"/>
  <c r="E144" i="24"/>
  <c r="D131" i="24"/>
  <c r="F131" i="24" s="1"/>
  <c r="D132" i="24"/>
  <c r="D133" i="24"/>
  <c r="D134" i="24"/>
  <c r="F134" i="24" s="1"/>
  <c r="D135" i="24"/>
  <c r="D136" i="24"/>
  <c r="D137" i="24"/>
  <c r="D138" i="24"/>
  <c r="D139" i="24"/>
  <c r="E139" i="24" s="1"/>
  <c r="D140" i="24"/>
  <c r="D141" i="24"/>
  <c r="D142" i="24"/>
  <c r="E142" i="24" s="1"/>
  <c r="D143" i="24"/>
  <c r="D144" i="24"/>
  <c r="D145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D131" i="23"/>
  <c r="E131" i="23" s="1"/>
  <c r="D132" i="23"/>
  <c r="D133" i="23"/>
  <c r="D134" i="23"/>
  <c r="D135" i="23"/>
  <c r="E135" i="23" s="1"/>
  <c r="D136" i="23"/>
  <c r="D137" i="23"/>
  <c r="D138" i="23"/>
  <c r="D139" i="23"/>
  <c r="D140" i="23"/>
  <c r="D141" i="23"/>
  <c r="D142" i="23"/>
  <c r="D143" i="23"/>
  <c r="E143" i="23" s="1"/>
  <c r="D144" i="23"/>
  <c r="D145" i="23"/>
  <c r="E132" i="23"/>
  <c r="E136" i="23"/>
  <c r="E140" i="23"/>
  <c r="E144" i="23"/>
  <c r="F132" i="23"/>
  <c r="F136" i="23"/>
  <c r="F140" i="23"/>
  <c r="F141" i="23"/>
  <c r="F144" i="23"/>
  <c r="G132" i="23"/>
  <c r="G136" i="23"/>
  <c r="G140" i="23"/>
  <c r="G141" i="23"/>
  <c r="G144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G134" i="21"/>
  <c r="G136" i="21"/>
  <c r="F131" i="21"/>
  <c r="E134" i="21"/>
  <c r="D131" i="21"/>
  <c r="M131" i="48" s="1"/>
  <c r="D132" i="21"/>
  <c r="D133" i="21"/>
  <c r="M133" i="48" s="1"/>
  <c r="D134" i="21"/>
  <c r="M134" i="48" s="1"/>
  <c r="D135" i="21"/>
  <c r="D136" i="21"/>
  <c r="M136" i="48" s="1"/>
  <c r="D137" i="21"/>
  <c r="M137" i="48" s="1"/>
  <c r="D138" i="21"/>
  <c r="M138" i="48" s="1"/>
  <c r="D139" i="21"/>
  <c r="D140" i="21"/>
  <c r="M140" i="48" s="1"/>
  <c r="D141" i="21"/>
  <c r="M141" i="48" s="1"/>
  <c r="D142" i="21"/>
  <c r="M142" i="48" s="1"/>
  <c r="D143" i="21"/>
  <c r="E143" i="21" s="1"/>
  <c r="D144" i="21"/>
  <c r="M144" i="48" s="1"/>
  <c r="D145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G134" i="4"/>
  <c r="G144" i="4"/>
  <c r="F134" i="4"/>
  <c r="D131" i="4"/>
  <c r="D132" i="4"/>
  <c r="D133" i="4"/>
  <c r="J133" i="19" s="1"/>
  <c r="D134" i="4"/>
  <c r="J134" i="19" s="1"/>
  <c r="D135" i="4"/>
  <c r="D136" i="4"/>
  <c r="D137" i="4"/>
  <c r="D138" i="4"/>
  <c r="J138" i="19" s="1"/>
  <c r="D139" i="4"/>
  <c r="J139" i="19" s="1"/>
  <c r="D140" i="4"/>
  <c r="D141" i="4"/>
  <c r="D142" i="4"/>
  <c r="D143" i="4"/>
  <c r="J143" i="19" s="1"/>
  <c r="D144" i="4"/>
  <c r="D145" i="4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H131" i="3"/>
  <c r="H132" i="3"/>
  <c r="H133" i="3"/>
  <c r="H134" i="3"/>
  <c r="H136" i="3"/>
  <c r="H137" i="3"/>
  <c r="H140" i="3"/>
  <c r="H141" i="3"/>
  <c r="H144" i="3"/>
  <c r="G131" i="3"/>
  <c r="G132" i="3"/>
  <c r="G133" i="3"/>
  <c r="G134" i="3"/>
  <c r="G136" i="3"/>
  <c r="G137" i="3"/>
  <c r="G140" i="3"/>
  <c r="G141" i="3"/>
  <c r="G144" i="3"/>
  <c r="F131" i="3"/>
  <c r="F132" i="3"/>
  <c r="F133" i="3"/>
  <c r="F134" i="3"/>
  <c r="F135" i="3"/>
  <c r="F136" i="3"/>
  <c r="F137" i="3"/>
  <c r="F138" i="3"/>
  <c r="G138" i="3" s="1"/>
  <c r="H138" i="3" s="1"/>
  <c r="F140" i="3"/>
  <c r="F141" i="3"/>
  <c r="F144" i="3"/>
  <c r="F139" i="3"/>
  <c r="F142" i="3"/>
  <c r="O143" i="19"/>
  <c r="O145" i="19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A142" i="16"/>
  <c r="A143" i="16"/>
  <c r="A144" i="16"/>
  <c r="A145" i="16"/>
  <c r="A131" i="16"/>
  <c r="A132" i="16"/>
  <c r="A133" i="16"/>
  <c r="A134" i="16"/>
  <c r="A135" i="16"/>
  <c r="A136" i="16"/>
  <c r="A137" i="16"/>
  <c r="A138" i="16"/>
  <c r="A139" i="16"/>
  <c r="A140" i="16"/>
  <c r="A141" i="16"/>
  <c r="E142" i="21" l="1"/>
  <c r="F142" i="21" s="1"/>
  <c r="E138" i="21"/>
  <c r="E143" i="24"/>
  <c r="F143" i="24" s="1"/>
  <c r="G143" i="24" s="1"/>
  <c r="G139" i="24"/>
  <c r="AL139" i="48" s="1"/>
  <c r="E138" i="27"/>
  <c r="F138" i="27" s="1"/>
  <c r="G138" i="27" s="1"/>
  <c r="V142" i="48"/>
  <c r="AA142" i="19"/>
  <c r="V134" i="48"/>
  <c r="AA134" i="19"/>
  <c r="E145" i="27"/>
  <c r="E141" i="27"/>
  <c r="E137" i="27"/>
  <c r="E133" i="27"/>
  <c r="F144" i="27"/>
  <c r="F139" i="27"/>
  <c r="F135" i="27"/>
  <c r="G141" i="27"/>
  <c r="G137" i="27"/>
  <c r="G133" i="27"/>
  <c r="E142" i="25"/>
  <c r="F142" i="25" s="1"/>
  <c r="G142" i="25" s="1"/>
  <c r="E131" i="25"/>
  <c r="H131" i="25" s="1"/>
  <c r="V131" i="48"/>
  <c r="AA131" i="19"/>
  <c r="E144" i="27"/>
  <c r="E140" i="27"/>
  <c r="E136" i="27"/>
  <c r="E132" i="27"/>
  <c r="F142" i="27"/>
  <c r="G142" i="27" s="1"/>
  <c r="F134" i="27"/>
  <c r="E134" i="25"/>
  <c r="V143" i="48"/>
  <c r="AA143" i="19"/>
  <c r="V136" i="48"/>
  <c r="AA136" i="19"/>
  <c r="E143" i="27"/>
  <c r="F143" i="27" s="1"/>
  <c r="G143" i="27" s="1"/>
  <c r="E139" i="27"/>
  <c r="E135" i="27"/>
  <c r="E131" i="27"/>
  <c r="G131" i="27"/>
  <c r="AE134" i="48"/>
  <c r="AJ134" i="19"/>
  <c r="AE131" i="48"/>
  <c r="AJ131" i="19"/>
  <c r="S138" i="48"/>
  <c r="X138" i="19"/>
  <c r="F142" i="24"/>
  <c r="AE133" i="48"/>
  <c r="AJ133" i="19"/>
  <c r="G134" i="24"/>
  <c r="S145" i="48"/>
  <c r="X145" i="19"/>
  <c r="S141" i="48"/>
  <c r="X141" i="19"/>
  <c r="V137" i="48"/>
  <c r="AA137" i="19"/>
  <c r="S133" i="48"/>
  <c r="X133" i="19"/>
  <c r="G135" i="24"/>
  <c r="AE135" i="48"/>
  <c r="AJ135" i="19"/>
  <c r="F141" i="24"/>
  <c r="F137" i="24"/>
  <c r="AE132" i="48"/>
  <c r="AJ132" i="19"/>
  <c r="G142" i="24"/>
  <c r="G133" i="24"/>
  <c r="S144" i="48"/>
  <c r="X144" i="19"/>
  <c r="S140" i="48"/>
  <c r="X140" i="19"/>
  <c r="S136" i="48"/>
  <c r="X136" i="19"/>
  <c r="S132" i="48"/>
  <c r="X132" i="19"/>
  <c r="E138" i="24"/>
  <c r="F138" i="24" s="1"/>
  <c r="G138" i="24" s="1"/>
  <c r="E134" i="24"/>
  <c r="F144" i="24"/>
  <c r="F140" i="24"/>
  <c r="F136" i="24"/>
  <c r="G141" i="24"/>
  <c r="G137" i="24"/>
  <c r="G132" i="24"/>
  <c r="S143" i="48"/>
  <c r="X143" i="19"/>
  <c r="V139" i="48"/>
  <c r="AA139" i="19"/>
  <c r="S135" i="48"/>
  <c r="X135" i="19"/>
  <c r="S131" i="48"/>
  <c r="X131" i="19"/>
  <c r="E141" i="24"/>
  <c r="E137" i="24"/>
  <c r="E133" i="24"/>
  <c r="F139" i="24"/>
  <c r="AL144" i="48"/>
  <c r="AK144" i="48"/>
  <c r="AY144" i="48" s="1"/>
  <c r="AP144" i="19"/>
  <c r="AL140" i="48"/>
  <c r="AK140" i="48"/>
  <c r="AY140" i="48" s="1"/>
  <c r="AP140" i="19"/>
  <c r="AK136" i="48"/>
  <c r="AY136" i="48" s="1"/>
  <c r="AL136" i="48"/>
  <c r="AP136" i="19"/>
  <c r="G131" i="24"/>
  <c r="E137" i="25"/>
  <c r="H137" i="25" s="1"/>
  <c r="E139" i="25"/>
  <c r="AD132" i="48"/>
  <c r="AI132" i="19"/>
  <c r="S139" i="48"/>
  <c r="X139" i="19"/>
  <c r="G131" i="23"/>
  <c r="AD140" i="48"/>
  <c r="AI140" i="19"/>
  <c r="F131" i="23"/>
  <c r="S142" i="48"/>
  <c r="X142" i="19"/>
  <c r="V138" i="48"/>
  <c r="AA138" i="19"/>
  <c r="G134" i="23"/>
  <c r="S134" i="48"/>
  <c r="X134" i="19"/>
  <c r="AD144" i="48"/>
  <c r="AI144" i="19"/>
  <c r="E145" i="23"/>
  <c r="V145" i="48"/>
  <c r="AA145" i="19"/>
  <c r="F133" i="23"/>
  <c r="V133" i="48"/>
  <c r="AA133" i="19"/>
  <c r="E133" i="25"/>
  <c r="F133" i="25" s="1"/>
  <c r="AD136" i="48"/>
  <c r="AI136" i="19"/>
  <c r="V141" i="48"/>
  <c r="AA141" i="19"/>
  <c r="E137" i="23"/>
  <c r="S137" i="48"/>
  <c r="X137" i="19"/>
  <c r="E141" i="25"/>
  <c r="F141" i="25" s="1"/>
  <c r="E135" i="25"/>
  <c r="H135" i="25" s="1"/>
  <c r="G143" i="23"/>
  <c r="G135" i="23"/>
  <c r="F143" i="23"/>
  <c r="F135" i="23"/>
  <c r="V144" i="48"/>
  <c r="AA144" i="19"/>
  <c r="V140" i="48"/>
  <c r="AA140" i="19"/>
  <c r="V132" i="48"/>
  <c r="AA132" i="19"/>
  <c r="E138" i="25"/>
  <c r="F138" i="25" s="1"/>
  <c r="AD141" i="48"/>
  <c r="AI141" i="19"/>
  <c r="E141" i="23"/>
  <c r="V135" i="48"/>
  <c r="AA135" i="19"/>
  <c r="E141" i="22"/>
  <c r="P141" i="48"/>
  <c r="U141" i="19"/>
  <c r="E137" i="22"/>
  <c r="P137" i="48"/>
  <c r="U137" i="19"/>
  <c r="E133" i="22"/>
  <c r="P133" i="48"/>
  <c r="U133" i="19"/>
  <c r="P144" i="48"/>
  <c r="U144" i="19"/>
  <c r="F140" i="22"/>
  <c r="P140" i="48"/>
  <c r="U140" i="19"/>
  <c r="F136" i="22"/>
  <c r="P136" i="48"/>
  <c r="U136" i="19"/>
  <c r="F132" i="22"/>
  <c r="P132" i="48"/>
  <c r="U132" i="19"/>
  <c r="P139" i="48"/>
  <c r="U139" i="19"/>
  <c r="P143" i="48"/>
  <c r="U143" i="19"/>
  <c r="P135" i="48"/>
  <c r="U135" i="19"/>
  <c r="G131" i="22"/>
  <c r="P131" i="48"/>
  <c r="U131" i="19"/>
  <c r="E142" i="22"/>
  <c r="F142" i="22" s="1"/>
  <c r="P142" i="48"/>
  <c r="U142" i="19"/>
  <c r="E138" i="22"/>
  <c r="P138" i="48"/>
  <c r="U138" i="19"/>
  <c r="E134" i="22"/>
  <c r="P134" i="48"/>
  <c r="U134" i="19"/>
  <c r="E145" i="22"/>
  <c r="F145" i="22" s="1"/>
  <c r="P145" i="48"/>
  <c r="U145" i="19"/>
  <c r="E145" i="21"/>
  <c r="F145" i="21" s="1"/>
  <c r="G145" i="21" s="1"/>
  <c r="M145" i="48"/>
  <c r="AB142" i="48"/>
  <c r="AG142" i="19"/>
  <c r="F137" i="21"/>
  <c r="F133" i="21"/>
  <c r="G141" i="21"/>
  <c r="R132" i="19"/>
  <c r="M132" i="48"/>
  <c r="E133" i="21"/>
  <c r="G140" i="21"/>
  <c r="R143" i="19"/>
  <c r="M143" i="48"/>
  <c r="R139" i="19"/>
  <c r="M139" i="48"/>
  <c r="R135" i="19"/>
  <c r="M135" i="48"/>
  <c r="E141" i="21"/>
  <c r="E136" i="21"/>
  <c r="E131" i="21"/>
  <c r="F140" i="21"/>
  <c r="F135" i="21"/>
  <c r="G144" i="21"/>
  <c r="G133" i="21"/>
  <c r="R144" i="19"/>
  <c r="R138" i="19"/>
  <c r="R133" i="19"/>
  <c r="AI136" i="48"/>
  <c r="AW136" i="48" s="1"/>
  <c r="AN136" i="19"/>
  <c r="R141" i="19"/>
  <c r="E137" i="21"/>
  <c r="F141" i="21"/>
  <c r="F136" i="21"/>
  <c r="AB131" i="48"/>
  <c r="AG131" i="19"/>
  <c r="AI134" i="48"/>
  <c r="AW134" i="48" s="1"/>
  <c r="AN134" i="19"/>
  <c r="AX144" i="19"/>
  <c r="R140" i="19"/>
  <c r="E144" i="21"/>
  <c r="E140" i="21"/>
  <c r="E135" i="21"/>
  <c r="F144" i="21"/>
  <c r="F138" i="21"/>
  <c r="G138" i="21" s="1"/>
  <c r="F134" i="21"/>
  <c r="G142" i="21"/>
  <c r="G137" i="21"/>
  <c r="G131" i="21"/>
  <c r="R142" i="19"/>
  <c r="R137" i="19"/>
  <c r="R131" i="19"/>
  <c r="AH141" i="48"/>
  <c r="AV141" i="48" s="1"/>
  <c r="AM141" i="19"/>
  <c r="AA141" i="48"/>
  <c r="AF141" i="19"/>
  <c r="AZ122" i="19"/>
  <c r="E123" i="47"/>
  <c r="E123" i="46"/>
  <c r="E123" i="45"/>
  <c r="E123" i="44"/>
  <c r="D122" i="28"/>
  <c r="AX131" i="19"/>
  <c r="E112" i="47"/>
  <c r="E112" i="46"/>
  <c r="E112" i="45"/>
  <c r="E112" i="44"/>
  <c r="D111" i="28"/>
  <c r="AZ111" i="19"/>
  <c r="AZ143" i="19"/>
  <c r="E144" i="47"/>
  <c r="E144" i="46"/>
  <c r="E144" i="45"/>
  <c r="E144" i="44"/>
  <c r="D143" i="28"/>
  <c r="E102" i="45"/>
  <c r="E102" i="47"/>
  <c r="E102" i="46"/>
  <c r="E102" i="44"/>
  <c r="D101" i="28"/>
  <c r="AZ101" i="19"/>
  <c r="AZ106" i="19"/>
  <c r="E107" i="47"/>
  <c r="E107" i="46"/>
  <c r="E107" i="45"/>
  <c r="E107" i="44"/>
  <c r="D106" i="28"/>
  <c r="E30" i="47"/>
  <c r="E30" i="46"/>
  <c r="E30" i="45"/>
  <c r="E24" i="44"/>
  <c r="D115" i="28"/>
  <c r="AZ115" i="19"/>
  <c r="E109" i="46"/>
  <c r="E109" i="45"/>
  <c r="E109" i="47"/>
  <c r="E109" i="44"/>
  <c r="D108" i="28"/>
  <c r="AZ108" i="19"/>
  <c r="AZ142" i="19"/>
  <c r="E143" i="47"/>
  <c r="E143" i="46"/>
  <c r="E143" i="45"/>
  <c r="E143" i="44"/>
  <c r="D142" i="28"/>
  <c r="AZ145" i="19"/>
  <c r="E146" i="45"/>
  <c r="E146" i="47"/>
  <c r="E146" i="46"/>
  <c r="E146" i="44"/>
  <c r="D145" i="28"/>
  <c r="AZ116" i="19"/>
  <c r="E117" i="46"/>
  <c r="E117" i="45"/>
  <c r="E117" i="47"/>
  <c r="E117" i="44"/>
  <c r="D116" i="28"/>
  <c r="AZ112" i="19"/>
  <c r="E113" i="46"/>
  <c r="E113" i="45"/>
  <c r="E113" i="47"/>
  <c r="E113" i="44"/>
  <c r="D112" i="28"/>
  <c r="AZ94" i="19"/>
  <c r="E95" i="47"/>
  <c r="E95" i="46"/>
  <c r="E95" i="45"/>
  <c r="E95" i="44"/>
  <c r="D94" i="28"/>
  <c r="AZ113" i="19"/>
  <c r="E114" i="45"/>
  <c r="E114" i="47"/>
  <c r="E114" i="46"/>
  <c r="E114" i="44"/>
  <c r="D113" i="28"/>
  <c r="E88" i="47"/>
  <c r="E88" i="46"/>
  <c r="E88" i="45"/>
  <c r="E88" i="44"/>
  <c r="D87" i="28"/>
  <c r="AZ87" i="19"/>
  <c r="AZ123" i="19"/>
  <c r="E124" i="47"/>
  <c r="E124" i="46"/>
  <c r="E124" i="45"/>
  <c r="E124" i="44"/>
  <c r="D123" i="28"/>
  <c r="AZ110" i="19"/>
  <c r="E111" i="47"/>
  <c r="E111" i="46"/>
  <c r="E111" i="45"/>
  <c r="E111" i="44"/>
  <c r="D110" i="28"/>
  <c r="AZ139" i="19"/>
  <c r="E140" i="47"/>
  <c r="E140" i="46"/>
  <c r="E140" i="45"/>
  <c r="E140" i="44"/>
  <c r="D139" i="28"/>
  <c r="AZ90" i="19"/>
  <c r="E91" i="47"/>
  <c r="E91" i="46"/>
  <c r="E91" i="45"/>
  <c r="E91" i="44"/>
  <c r="D90" i="28"/>
  <c r="AZ135" i="19"/>
  <c r="E136" i="47"/>
  <c r="E136" i="46"/>
  <c r="E136" i="45"/>
  <c r="E136" i="44"/>
  <c r="D135" i="28"/>
  <c r="AZ107" i="19"/>
  <c r="E108" i="47"/>
  <c r="E108" i="46"/>
  <c r="E108" i="45"/>
  <c r="E108" i="44"/>
  <c r="D107" i="28"/>
  <c r="AZ89" i="19"/>
  <c r="E90" i="47"/>
  <c r="E90" i="46"/>
  <c r="E90" i="45"/>
  <c r="E90" i="44"/>
  <c r="D89" i="28"/>
  <c r="AZ88" i="19"/>
  <c r="E89" i="46"/>
  <c r="E89" i="47"/>
  <c r="E89" i="45"/>
  <c r="E89" i="44"/>
  <c r="D88" i="28"/>
  <c r="E137" i="48"/>
  <c r="E137" i="4"/>
  <c r="AF144" i="48"/>
  <c r="AT144" i="48" s="1"/>
  <c r="AK144" i="19"/>
  <c r="E144" i="48"/>
  <c r="E144" i="4"/>
  <c r="E140" i="48"/>
  <c r="E140" i="4"/>
  <c r="E136" i="48"/>
  <c r="E136" i="4"/>
  <c r="E132" i="48"/>
  <c r="E132" i="4"/>
  <c r="F137" i="4"/>
  <c r="F133" i="4"/>
  <c r="G143" i="4"/>
  <c r="G137" i="4"/>
  <c r="G133" i="4"/>
  <c r="E141" i="48"/>
  <c r="E141" i="4"/>
  <c r="AD143" i="19"/>
  <c r="AF134" i="48"/>
  <c r="AT134" i="48" s="1"/>
  <c r="AK134" i="19"/>
  <c r="E143" i="4"/>
  <c r="F143" i="4" s="1"/>
  <c r="Y143" i="48" s="1"/>
  <c r="E143" i="48"/>
  <c r="E139" i="4"/>
  <c r="E139" i="48"/>
  <c r="E135" i="48"/>
  <c r="E135" i="4"/>
  <c r="E131" i="48"/>
  <c r="E131" i="4"/>
  <c r="F141" i="4"/>
  <c r="F136" i="4"/>
  <c r="F132" i="4"/>
  <c r="G141" i="4"/>
  <c r="G136" i="4"/>
  <c r="G132" i="4"/>
  <c r="J141" i="19"/>
  <c r="J137" i="19"/>
  <c r="E145" i="4"/>
  <c r="E145" i="48"/>
  <c r="E133" i="48"/>
  <c r="E133" i="4"/>
  <c r="Y134" i="48"/>
  <c r="AD134" i="19"/>
  <c r="E142" i="4"/>
  <c r="F142" i="4" s="1"/>
  <c r="E142" i="48"/>
  <c r="E138" i="48"/>
  <c r="E138" i="4"/>
  <c r="F138" i="4" s="1"/>
  <c r="Y138" i="48" s="1"/>
  <c r="E134" i="48"/>
  <c r="E134" i="4"/>
  <c r="F144" i="4"/>
  <c r="F140" i="4"/>
  <c r="F135" i="4"/>
  <c r="F131" i="4"/>
  <c r="G140" i="4"/>
  <c r="G135" i="4"/>
  <c r="G131" i="4"/>
  <c r="J140" i="19"/>
  <c r="AX140" i="19" s="1"/>
  <c r="J136" i="19"/>
  <c r="AX136" i="19" s="1"/>
  <c r="J132" i="19"/>
  <c r="AX132" i="19" s="1"/>
  <c r="E132" i="21"/>
  <c r="F132" i="21" s="1"/>
  <c r="AB132" i="48" s="1"/>
  <c r="I137" i="25"/>
  <c r="F139" i="25"/>
  <c r="G139" i="25" s="1"/>
  <c r="F135" i="25"/>
  <c r="F131" i="25"/>
  <c r="F134" i="25"/>
  <c r="H134" i="25"/>
  <c r="I134" i="25"/>
  <c r="G134" i="25"/>
  <c r="I133" i="25"/>
  <c r="H133" i="25"/>
  <c r="G133" i="25"/>
  <c r="O142" i="19"/>
  <c r="O139" i="19"/>
  <c r="G135" i="3"/>
  <c r="AF144" i="19" s="1"/>
  <c r="E143" i="25"/>
  <c r="E145" i="24"/>
  <c r="F145" i="24" s="1"/>
  <c r="R145" i="19"/>
  <c r="F143" i="21"/>
  <c r="E139" i="21"/>
  <c r="F139" i="21" s="1"/>
  <c r="G135" i="21"/>
  <c r="F145" i="4"/>
  <c r="G145" i="4" s="1"/>
  <c r="J145" i="19"/>
  <c r="J142" i="19"/>
  <c r="F139" i="4"/>
  <c r="F145" i="23"/>
  <c r="E145" i="25"/>
  <c r="E139" i="23"/>
  <c r="F139" i="23" s="1"/>
  <c r="E144" i="25"/>
  <c r="E140" i="25"/>
  <c r="E136" i="25"/>
  <c r="E132" i="25"/>
  <c r="E133" i="23"/>
  <c r="G133" i="23"/>
  <c r="G137" i="23"/>
  <c r="F137" i="23"/>
  <c r="E142" i="23"/>
  <c r="F142" i="23" s="1"/>
  <c r="G142" i="23" s="1"/>
  <c r="E138" i="23"/>
  <c r="F138" i="23" s="1"/>
  <c r="G138" i="23" s="1"/>
  <c r="E134" i="23"/>
  <c r="F134" i="23"/>
  <c r="E144" i="22"/>
  <c r="F144" i="22" s="1"/>
  <c r="G144" i="22" s="1"/>
  <c r="E140" i="22"/>
  <c r="E136" i="22"/>
  <c r="E132" i="22"/>
  <c r="F131" i="22"/>
  <c r="G138" i="22"/>
  <c r="G134" i="22"/>
  <c r="E143" i="22"/>
  <c r="F143" i="22" s="1"/>
  <c r="E139" i="22"/>
  <c r="F139" i="22" s="1"/>
  <c r="E135" i="22"/>
  <c r="F135" i="22" s="1"/>
  <c r="E131" i="22"/>
  <c r="F138" i="22"/>
  <c r="F134" i="22"/>
  <c r="G141" i="22"/>
  <c r="G137" i="22"/>
  <c r="G133" i="22"/>
  <c r="F141" i="22"/>
  <c r="F137" i="22"/>
  <c r="F133" i="22"/>
  <c r="G140" i="22"/>
  <c r="G136" i="22"/>
  <c r="G132" i="22"/>
  <c r="F145" i="3"/>
  <c r="G145" i="3" s="1"/>
  <c r="F143" i="3"/>
  <c r="G143" i="3" s="1"/>
  <c r="G142" i="3"/>
  <c r="G139" i="3"/>
  <c r="V2" i="19"/>
  <c r="AA144" i="48" l="1"/>
  <c r="AS135" i="48"/>
  <c r="AS132" i="48"/>
  <c r="AS141" i="48"/>
  <c r="AS134" i="48"/>
  <c r="AP143" i="19"/>
  <c r="BD143" i="19" s="1"/>
  <c r="AL143" i="48"/>
  <c r="AK143" i="48"/>
  <c r="AY143" i="48" s="1"/>
  <c r="H139" i="25"/>
  <c r="I139" i="25" s="1"/>
  <c r="AX143" i="19"/>
  <c r="AS142" i="48"/>
  <c r="H142" i="25"/>
  <c r="I142" i="25" s="1"/>
  <c r="G138" i="25"/>
  <c r="H138" i="25" s="1"/>
  <c r="Y142" i="48"/>
  <c r="AD142" i="19"/>
  <c r="G142" i="4"/>
  <c r="AK142" i="19" s="1"/>
  <c r="AD138" i="19"/>
  <c r="G138" i="4"/>
  <c r="I131" i="25"/>
  <c r="G135" i="25"/>
  <c r="F137" i="25"/>
  <c r="AX135" i="19"/>
  <c r="AX142" i="19"/>
  <c r="G131" i="25"/>
  <c r="I135" i="25"/>
  <c r="G137" i="25"/>
  <c r="AS137" i="48"/>
  <c r="AX134" i="19"/>
  <c r="AX138" i="19"/>
  <c r="AE136" i="48"/>
  <c r="AJ136" i="19"/>
  <c r="G145" i="24"/>
  <c r="AE145" i="48"/>
  <c r="AJ145" i="19"/>
  <c r="G141" i="25"/>
  <c r="AS136" i="48"/>
  <c r="AS144" i="48"/>
  <c r="BD136" i="19"/>
  <c r="I137" i="44"/>
  <c r="I137" i="47"/>
  <c r="H136" i="28"/>
  <c r="I137" i="46"/>
  <c r="I137" i="45"/>
  <c r="BD140" i="19"/>
  <c r="I141" i="44"/>
  <c r="I141" i="47"/>
  <c r="H140" i="28"/>
  <c r="I141" i="46"/>
  <c r="I141" i="45"/>
  <c r="I145" i="47"/>
  <c r="I145" i="45"/>
  <c r="BD144" i="19"/>
  <c r="I145" i="44"/>
  <c r="I145" i="46"/>
  <c r="H144" i="28"/>
  <c r="AE143" i="48"/>
  <c r="AJ143" i="19"/>
  <c r="AK132" i="48"/>
  <c r="AY132" i="48" s="1"/>
  <c r="AL132" i="48"/>
  <c r="AP132" i="19"/>
  <c r="AE140" i="48"/>
  <c r="AJ140" i="19"/>
  <c r="AL133" i="48"/>
  <c r="AK133" i="48"/>
  <c r="AY133" i="48" s="1"/>
  <c r="AP133" i="19"/>
  <c r="AE142" i="48"/>
  <c r="AJ142" i="19"/>
  <c r="AE138" i="48"/>
  <c r="AJ138" i="19"/>
  <c r="H141" i="25"/>
  <c r="AS138" i="48"/>
  <c r="AS133" i="48"/>
  <c r="AX141" i="19"/>
  <c r="AL137" i="48"/>
  <c r="AE144" i="48"/>
  <c r="AJ144" i="19"/>
  <c r="AK138" i="48"/>
  <c r="AY138" i="48" s="1"/>
  <c r="AL138" i="48"/>
  <c r="AP138" i="19"/>
  <c r="AE137" i="48"/>
  <c r="AJ137" i="19"/>
  <c r="AL135" i="48"/>
  <c r="AK135" i="48"/>
  <c r="AY135" i="48" s="1"/>
  <c r="AP135" i="19"/>
  <c r="AE139" i="48"/>
  <c r="AJ139" i="19"/>
  <c r="I141" i="25"/>
  <c r="AN141" i="48" s="1"/>
  <c r="AS145" i="48"/>
  <c r="AS143" i="48"/>
  <c r="AS140" i="48"/>
  <c r="AL131" i="48"/>
  <c r="AK131" i="48"/>
  <c r="AY131" i="48" s="1"/>
  <c r="AP131" i="19"/>
  <c r="AL141" i="48"/>
  <c r="AK141" i="48"/>
  <c r="AY141" i="48" s="1"/>
  <c r="AP141" i="19"/>
  <c r="AL142" i="48"/>
  <c r="AE141" i="48"/>
  <c r="AJ141" i="19"/>
  <c r="AL134" i="48"/>
  <c r="I144" i="46"/>
  <c r="H143" i="28"/>
  <c r="I144" i="45"/>
  <c r="AN134" i="48"/>
  <c r="AS134" i="19"/>
  <c r="AN135" i="48"/>
  <c r="AS135" i="19"/>
  <c r="AD131" i="48"/>
  <c r="AI131" i="19"/>
  <c r="AM134" i="48"/>
  <c r="AR134" i="19"/>
  <c r="AM142" i="48"/>
  <c r="AR142" i="19"/>
  <c r="AM137" i="48"/>
  <c r="AR137" i="19"/>
  <c r="AD133" i="48"/>
  <c r="AI133" i="19"/>
  <c r="AK134" i="48"/>
  <c r="AY134" i="48" s="1"/>
  <c r="AP134" i="19"/>
  <c r="AD138" i="48"/>
  <c r="AI138" i="19"/>
  <c r="AD142" i="48"/>
  <c r="AI142" i="19"/>
  <c r="AD137" i="48"/>
  <c r="AI137" i="19"/>
  <c r="G139" i="23"/>
  <c r="AD139" i="48"/>
  <c r="AI139" i="19"/>
  <c r="AM135" i="48"/>
  <c r="AR135" i="19"/>
  <c r="AK137" i="48"/>
  <c r="AY137" i="48" s="1"/>
  <c r="AP137" i="19"/>
  <c r="AM133" i="48"/>
  <c r="AR133" i="19"/>
  <c r="AN137" i="48"/>
  <c r="AS137" i="19"/>
  <c r="AD135" i="48"/>
  <c r="AI135" i="19"/>
  <c r="AM141" i="48"/>
  <c r="AR141" i="19"/>
  <c r="AM131" i="48"/>
  <c r="AR131" i="19"/>
  <c r="AM139" i="48"/>
  <c r="AD134" i="48"/>
  <c r="AI134" i="19"/>
  <c r="G145" i="23"/>
  <c r="AD145" i="48"/>
  <c r="AI145" i="19"/>
  <c r="AN133" i="48"/>
  <c r="AS133" i="19"/>
  <c r="AN131" i="48"/>
  <c r="AS131" i="19"/>
  <c r="AD143" i="48"/>
  <c r="AI143" i="19"/>
  <c r="AK142" i="48"/>
  <c r="AY142" i="48" s="1"/>
  <c r="AP142" i="19"/>
  <c r="AJ141" i="48"/>
  <c r="AX141" i="48" s="1"/>
  <c r="AO141" i="19"/>
  <c r="AJ144" i="48"/>
  <c r="AX144" i="48" s="1"/>
  <c r="AO144" i="19"/>
  <c r="G145" i="22"/>
  <c r="AC145" i="48"/>
  <c r="AH145" i="19"/>
  <c r="AC134" i="48"/>
  <c r="AH134" i="19"/>
  <c r="G135" i="22"/>
  <c r="AC135" i="48"/>
  <c r="AH135" i="19"/>
  <c r="AJ138" i="48"/>
  <c r="AX138" i="48" s="1"/>
  <c r="AO138" i="19"/>
  <c r="AS131" i="48"/>
  <c r="AJ131" i="48"/>
  <c r="AX131" i="48" s="1"/>
  <c r="AO131" i="19"/>
  <c r="AC136" i="48"/>
  <c r="AH136" i="19"/>
  <c r="AC132" i="48"/>
  <c r="AH132" i="19"/>
  <c r="AJ132" i="48"/>
  <c r="AX132" i="48" s="1"/>
  <c r="AO132" i="19"/>
  <c r="AC133" i="48"/>
  <c r="AH133" i="19"/>
  <c r="AJ133" i="48"/>
  <c r="AX133" i="48" s="1"/>
  <c r="AO133" i="19"/>
  <c r="AC138" i="48"/>
  <c r="AH138" i="19"/>
  <c r="G139" i="22"/>
  <c r="AC139" i="48"/>
  <c r="AH139" i="19"/>
  <c r="AC131" i="48"/>
  <c r="AH131" i="19"/>
  <c r="AJ136" i="48"/>
  <c r="AX136" i="48" s="1"/>
  <c r="AO136" i="19"/>
  <c r="AC137" i="48"/>
  <c r="AH137" i="19"/>
  <c r="AJ137" i="48"/>
  <c r="AX137" i="48" s="1"/>
  <c r="AO137" i="19"/>
  <c r="G142" i="22"/>
  <c r="AC142" i="48"/>
  <c r="AH142" i="19"/>
  <c r="G143" i="22"/>
  <c r="AC143" i="48"/>
  <c r="AH143" i="19"/>
  <c r="AX133" i="19"/>
  <c r="AC144" i="48"/>
  <c r="AH144" i="19"/>
  <c r="AJ140" i="48"/>
  <c r="AX140" i="48" s="1"/>
  <c r="AO140" i="19"/>
  <c r="AC141" i="48"/>
  <c r="AH141" i="19"/>
  <c r="AJ134" i="48"/>
  <c r="AX134" i="48" s="1"/>
  <c r="AO134" i="19"/>
  <c r="AC140" i="48"/>
  <c r="AH140" i="19"/>
  <c r="AI142" i="48"/>
  <c r="AW142" i="48" s="1"/>
  <c r="AN142" i="19"/>
  <c r="AI144" i="48"/>
  <c r="AW144" i="48" s="1"/>
  <c r="AN144" i="19"/>
  <c r="AI140" i="48"/>
  <c r="AW140" i="48" s="1"/>
  <c r="AN140" i="19"/>
  <c r="AI141" i="48"/>
  <c r="AW141" i="48" s="1"/>
  <c r="AN141" i="19"/>
  <c r="AI135" i="48"/>
  <c r="AW135" i="48" s="1"/>
  <c r="AN135" i="19"/>
  <c r="AI145" i="48"/>
  <c r="AW145" i="48" s="1"/>
  <c r="AN145" i="19"/>
  <c r="AB134" i="48"/>
  <c r="AG134" i="19"/>
  <c r="AB136" i="48"/>
  <c r="AG136" i="19"/>
  <c r="BB136" i="19"/>
  <c r="G137" i="46"/>
  <c r="G137" i="45"/>
  <c r="G137" i="47"/>
  <c r="G137" i="44"/>
  <c r="F136" i="28"/>
  <c r="AB135" i="48"/>
  <c r="AG135" i="19"/>
  <c r="G139" i="21"/>
  <c r="AB139" i="48"/>
  <c r="AG139" i="19"/>
  <c r="AB145" i="48"/>
  <c r="AG145" i="19"/>
  <c r="AX139" i="19"/>
  <c r="AI131" i="48"/>
  <c r="AW131" i="48" s="1"/>
  <c r="AN131" i="19"/>
  <c r="AB138" i="48"/>
  <c r="AG138" i="19"/>
  <c r="AB141" i="48"/>
  <c r="AG141" i="19"/>
  <c r="AI133" i="48"/>
  <c r="AW133" i="48" s="1"/>
  <c r="AN133" i="19"/>
  <c r="AB140" i="48"/>
  <c r="AG140" i="19"/>
  <c r="AB137" i="48"/>
  <c r="AG137" i="19"/>
  <c r="BB134" i="19"/>
  <c r="G135" i="46"/>
  <c r="G135" i="47"/>
  <c r="G135" i="45"/>
  <c r="G135" i="44"/>
  <c r="F134" i="28"/>
  <c r="AB133" i="48"/>
  <c r="AG133" i="19"/>
  <c r="AX145" i="19"/>
  <c r="G143" i="21"/>
  <c r="AB143" i="48"/>
  <c r="AG143" i="19"/>
  <c r="AX137" i="19"/>
  <c r="AS139" i="48"/>
  <c r="AI137" i="48"/>
  <c r="AW137" i="48" s="1"/>
  <c r="AN137" i="19"/>
  <c r="AB144" i="48"/>
  <c r="AG144" i="19"/>
  <c r="AI138" i="48"/>
  <c r="AW138" i="48" s="1"/>
  <c r="AN138" i="19"/>
  <c r="H145" i="3"/>
  <c r="AA145" i="48"/>
  <c r="AF145" i="19"/>
  <c r="AF142" i="19"/>
  <c r="AA142" i="48"/>
  <c r="F142" i="47"/>
  <c r="F142" i="45"/>
  <c r="F142" i="46"/>
  <c r="F142" i="44"/>
  <c r="E141" i="28"/>
  <c r="BA141" i="19"/>
  <c r="H143" i="3"/>
  <c r="G139" i="4"/>
  <c r="Y139" i="48"/>
  <c r="AD139" i="19"/>
  <c r="AF133" i="48"/>
  <c r="AT133" i="48" s="1"/>
  <c r="AK133" i="19"/>
  <c r="Y145" i="48"/>
  <c r="AD145" i="19"/>
  <c r="AF140" i="48"/>
  <c r="AT140" i="48" s="1"/>
  <c r="AK140" i="19"/>
  <c r="Y144" i="48"/>
  <c r="AD144" i="19"/>
  <c r="Y132" i="48"/>
  <c r="AD132" i="19"/>
  <c r="AF137" i="48"/>
  <c r="AT137" i="48" s="1"/>
  <c r="AK137" i="19"/>
  <c r="Y140" i="48"/>
  <c r="AD140" i="19"/>
  <c r="AF141" i="48"/>
  <c r="AT141" i="48" s="1"/>
  <c r="AK141" i="19"/>
  <c r="Y137" i="48"/>
  <c r="AD137" i="19"/>
  <c r="AF132" i="48"/>
  <c r="AT132" i="48" s="1"/>
  <c r="AK132" i="19"/>
  <c r="Y136" i="48"/>
  <c r="AD136" i="19"/>
  <c r="AF143" i="48"/>
  <c r="AT143" i="48" s="1"/>
  <c r="AK143" i="19"/>
  <c r="AY144" i="19"/>
  <c r="D145" i="46"/>
  <c r="D145" i="47"/>
  <c r="D145" i="45"/>
  <c r="D145" i="44"/>
  <c r="C144" i="28"/>
  <c r="AF135" i="48"/>
  <c r="AT135" i="48" s="1"/>
  <c r="AK135" i="19"/>
  <c r="AY134" i="19"/>
  <c r="D135" i="47"/>
  <c r="D135" i="46"/>
  <c r="D135" i="45"/>
  <c r="D135" i="44"/>
  <c r="C134" i="28"/>
  <c r="Y131" i="48"/>
  <c r="AD131" i="19"/>
  <c r="AF145" i="48"/>
  <c r="AT145" i="48" s="1"/>
  <c r="AK145" i="19"/>
  <c r="AF131" i="48"/>
  <c r="AT131" i="48" s="1"/>
  <c r="AK131" i="19"/>
  <c r="Y135" i="48"/>
  <c r="AD135" i="19"/>
  <c r="AF136" i="48"/>
  <c r="AT136" i="48" s="1"/>
  <c r="AK136" i="19"/>
  <c r="Y141" i="48"/>
  <c r="AD141" i="19"/>
  <c r="Y133" i="48"/>
  <c r="AD133" i="19"/>
  <c r="AG132" i="19"/>
  <c r="G132" i="21"/>
  <c r="H142" i="3"/>
  <c r="H139" i="3"/>
  <c r="H135" i="3"/>
  <c r="F132" i="25"/>
  <c r="I132" i="25"/>
  <c r="H132" i="25"/>
  <c r="G132" i="25"/>
  <c r="F136" i="25"/>
  <c r="I136" i="25"/>
  <c r="H136" i="25"/>
  <c r="G136" i="25"/>
  <c r="F140" i="25"/>
  <c r="I140" i="25"/>
  <c r="H140" i="25"/>
  <c r="G140" i="25"/>
  <c r="F143" i="25"/>
  <c r="G143" i="25" s="1"/>
  <c r="H143" i="25" s="1"/>
  <c r="F144" i="25"/>
  <c r="I144" i="25"/>
  <c r="H144" i="25"/>
  <c r="G144" i="25"/>
  <c r="F145" i="25"/>
  <c r="G145" i="25" s="1"/>
  <c r="H145" i="25" s="1"/>
  <c r="A3" i="4"/>
  <c r="A2" i="3"/>
  <c r="A20" i="16"/>
  <c r="I20" i="16"/>
  <c r="A21" i="16"/>
  <c r="I21" i="16"/>
  <c r="A22" i="16"/>
  <c r="I22" i="16"/>
  <c r="A23" i="16"/>
  <c r="I23" i="16"/>
  <c r="A24" i="16"/>
  <c r="I24" i="16"/>
  <c r="A25" i="16"/>
  <c r="I25" i="16"/>
  <c r="A26" i="16"/>
  <c r="I26" i="16"/>
  <c r="A27" i="16"/>
  <c r="I27" i="16"/>
  <c r="A28" i="16"/>
  <c r="I28" i="16"/>
  <c r="A29" i="16"/>
  <c r="I29" i="16"/>
  <c r="A30" i="16"/>
  <c r="I30" i="16"/>
  <c r="A31" i="16"/>
  <c r="I31" i="16"/>
  <c r="A32" i="16"/>
  <c r="I32" i="16"/>
  <c r="A33" i="16"/>
  <c r="I33" i="16"/>
  <c r="A34" i="16"/>
  <c r="I34" i="16"/>
  <c r="A35" i="16"/>
  <c r="I35" i="16"/>
  <c r="A36" i="16"/>
  <c r="I36" i="16"/>
  <c r="A37" i="16"/>
  <c r="I37" i="16"/>
  <c r="A38" i="16"/>
  <c r="I38" i="16"/>
  <c r="A39" i="16"/>
  <c r="I39" i="16"/>
  <c r="A40" i="16"/>
  <c r="I40" i="16"/>
  <c r="A41" i="16"/>
  <c r="I41" i="16"/>
  <c r="A42" i="16"/>
  <c r="I42" i="16"/>
  <c r="A43" i="16"/>
  <c r="I43" i="16"/>
  <c r="A44" i="16"/>
  <c r="I44" i="16"/>
  <c r="A45" i="16"/>
  <c r="I45" i="16"/>
  <c r="A46" i="16"/>
  <c r="I46" i="16"/>
  <c r="A47" i="16"/>
  <c r="I47" i="16"/>
  <c r="A48" i="16"/>
  <c r="I48" i="16"/>
  <c r="A49" i="16"/>
  <c r="I49" i="16"/>
  <c r="A50" i="16"/>
  <c r="I50" i="16"/>
  <c r="A51" i="16"/>
  <c r="I51" i="16"/>
  <c r="A52" i="16"/>
  <c r="I52" i="16"/>
  <c r="A53" i="16"/>
  <c r="I53" i="16"/>
  <c r="A54" i="16"/>
  <c r="I54" i="16"/>
  <c r="A55" i="16"/>
  <c r="I55" i="16"/>
  <c r="A56" i="16"/>
  <c r="I56" i="16"/>
  <c r="A57" i="16"/>
  <c r="I57" i="16"/>
  <c r="A58" i="16"/>
  <c r="I58" i="16"/>
  <c r="A59" i="16"/>
  <c r="I59" i="16"/>
  <c r="A60" i="16"/>
  <c r="I60" i="16"/>
  <c r="A61" i="16"/>
  <c r="I61" i="16"/>
  <c r="A62" i="16"/>
  <c r="I62" i="16"/>
  <c r="A63" i="16"/>
  <c r="I63" i="16"/>
  <c r="A64" i="16"/>
  <c r="I64" i="16"/>
  <c r="A65" i="16"/>
  <c r="I65" i="16"/>
  <c r="A66" i="16"/>
  <c r="I66" i="16"/>
  <c r="A67" i="16"/>
  <c r="I67" i="16"/>
  <c r="A68" i="16"/>
  <c r="I68" i="16"/>
  <c r="A69" i="16"/>
  <c r="I69" i="16"/>
  <c r="A70" i="16"/>
  <c r="I70" i="16"/>
  <c r="A71" i="16"/>
  <c r="I71" i="16"/>
  <c r="A72" i="16"/>
  <c r="I72" i="16"/>
  <c r="A73" i="16"/>
  <c r="I73" i="16"/>
  <c r="A74" i="16"/>
  <c r="I74" i="16"/>
  <c r="A75" i="16"/>
  <c r="I75" i="16"/>
  <c r="A76" i="16"/>
  <c r="I76" i="16"/>
  <c r="A77" i="16"/>
  <c r="I77" i="16"/>
  <c r="A78" i="16"/>
  <c r="I78" i="16"/>
  <c r="A79" i="16"/>
  <c r="I79" i="16"/>
  <c r="A80" i="16"/>
  <c r="I80" i="16"/>
  <c r="A81" i="16"/>
  <c r="I81" i="16"/>
  <c r="A82" i="16"/>
  <c r="I82" i="16"/>
  <c r="A83" i="16"/>
  <c r="I83" i="16"/>
  <c r="A84" i="16"/>
  <c r="I84" i="16"/>
  <c r="A85" i="16"/>
  <c r="I85" i="16"/>
  <c r="A86" i="16"/>
  <c r="I86" i="16"/>
  <c r="A87" i="16"/>
  <c r="I87" i="16"/>
  <c r="A88" i="16"/>
  <c r="I88" i="16"/>
  <c r="A89" i="16"/>
  <c r="I89" i="16"/>
  <c r="A90" i="16"/>
  <c r="I90" i="16"/>
  <c r="A91" i="16"/>
  <c r="I91" i="16"/>
  <c r="A92" i="16"/>
  <c r="I92" i="16"/>
  <c r="A93" i="16"/>
  <c r="I93" i="16"/>
  <c r="A94" i="16"/>
  <c r="I94" i="16"/>
  <c r="A95" i="16"/>
  <c r="I95" i="16"/>
  <c r="A96" i="16"/>
  <c r="I96" i="16"/>
  <c r="A97" i="16"/>
  <c r="I97" i="16"/>
  <c r="A98" i="16"/>
  <c r="I98" i="16"/>
  <c r="A99" i="16"/>
  <c r="I99" i="16"/>
  <c r="A100" i="16"/>
  <c r="I100" i="16"/>
  <c r="A101" i="16"/>
  <c r="I101" i="16"/>
  <c r="A102" i="16"/>
  <c r="I102" i="16"/>
  <c r="A103" i="16"/>
  <c r="I103" i="16"/>
  <c r="A104" i="16"/>
  <c r="I104" i="16"/>
  <c r="A105" i="16"/>
  <c r="I105" i="16"/>
  <c r="A106" i="16"/>
  <c r="I106" i="16"/>
  <c r="A107" i="16"/>
  <c r="I107" i="16"/>
  <c r="A108" i="16"/>
  <c r="I108" i="16"/>
  <c r="A109" i="16"/>
  <c r="I109" i="16"/>
  <c r="A110" i="16"/>
  <c r="I110" i="16"/>
  <c r="A111" i="16"/>
  <c r="I111" i="16"/>
  <c r="A112" i="16"/>
  <c r="I112" i="16"/>
  <c r="A113" i="16"/>
  <c r="I113" i="16"/>
  <c r="A114" i="16"/>
  <c r="I114" i="16"/>
  <c r="A115" i="16"/>
  <c r="I115" i="16"/>
  <c r="A116" i="16"/>
  <c r="I116" i="16"/>
  <c r="A117" i="16"/>
  <c r="I117" i="16"/>
  <c r="A118" i="16"/>
  <c r="I118" i="16"/>
  <c r="A119" i="16"/>
  <c r="I119" i="16"/>
  <c r="A120" i="16"/>
  <c r="I120" i="16"/>
  <c r="A121" i="16"/>
  <c r="I121" i="16"/>
  <c r="A122" i="16"/>
  <c r="I122" i="16"/>
  <c r="A123" i="16"/>
  <c r="I123" i="16"/>
  <c r="A124" i="16"/>
  <c r="I124" i="16"/>
  <c r="A125" i="16"/>
  <c r="I125" i="16"/>
  <c r="A126" i="16"/>
  <c r="I126" i="16"/>
  <c r="A127" i="16"/>
  <c r="I127" i="16"/>
  <c r="A128" i="16"/>
  <c r="I128" i="16"/>
  <c r="A129" i="16"/>
  <c r="I129" i="16"/>
  <c r="A130" i="16"/>
  <c r="I130" i="16"/>
  <c r="C3" i="5"/>
  <c r="F3" i="48" s="1"/>
  <c r="C4" i="5"/>
  <c r="F4" i="48" s="1"/>
  <c r="C5" i="5"/>
  <c r="F5" i="48" s="1"/>
  <c r="C6" i="5"/>
  <c r="F6" i="48" s="1"/>
  <c r="C7" i="5"/>
  <c r="F7" i="48" s="1"/>
  <c r="C8" i="5"/>
  <c r="F8" i="48" s="1"/>
  <c r="C9" i="5"/>
  <c r="F9" i="48" s="1"/>
  <c r="C10" i="5"/>
  <c r="F10" i="48" s="1"/>
  <c r="C11" i="5"/>
  <c r="F11" i="48" s="1"/>
  <c r="C12" i="5"/>
  <c r="F12" i="48" s="1"/>
  <c r="C13" i="5"/>
  <c r="F13" i="48" s="1"/>
  <c r="C14" i="5"/>
  <c r="F14" i="48" s="1"/>
  <c r="C15" i="5"/>
  <c r="F15" i="48" s="1"/>
  <c r="C16" i="5"/>
  <c r="F16" i="48" s="1"/>
  <c r="C17" i="5"/>
  <c r="F17" i="48" s="1"/>
  <c r="AM144" i="19" l="1"/>
  <c r="AH144" i="48"/>
  <c r="AV144" i="48" s="1"/>
  <c r="AZ144" i="48" s="1"/>
  <c r="AZ141" i="48"/>
  <c r="AR141" i="48" s="1"/>
  <c r="AR138" i="19"/>
  <c r="J139" i="44" s="1"/>
  <c r="I138" i="25"/>
  <c r="AS138" i="19" s="1"/>
  <c r="K139" i="46" s="1"/>
  <c r="I144" i="47"/>
  <c r="I144" i="44"/>
  <c r="AN139" i="48"/>
  <c r="AS139" i="19"/>
  <c r="AR139" i="19"/>
  <c r="J140" i="44" s="1"/>
  <c r="AN142" i="48"/>
  <c r="AS142" i="19"/>
  <c r="AN138" i="48"/>
  <c r="AF142" i="48"/>
  <c r="AT142" i="48" s="1"/>
  <c r="AF138" i="48"/>
  <c r="AT138" i="48" s="1"/>
  <c r="AK138" i="19"/>
  <c r="AS141" i="19"/>
  <c r="AM138" i="48"/>
  <c r="I133" i="45"/>
  <c r="I133" i="47"/>
  <c r="BD132" i="19"/>
  <c r="I133" i="44"/>
  <c r="H132" i="28"/>
  <c r="I133" i="46"/>
  <c r="BD141" i="19"/>
  <c r="I142" i="44"/>
  <c r="H141" i="28"/>
  <c r="I142" i="47"/>
  <c r="I142" i="46"/>
  <c r="I142" i="45"/>
  <c r="I139" i="45"/>
  <c r="I139" i="46"/>
  <c r="BD138" i="19"/>
  <c r="I139" i="44"/>
  <c r="I139" i="47"/>
  <c r="H138" i="28"/>
  <c r="AL145" i="48"/>
  <c r="AK145" i="48"/>
  <c r="AY145" i="48" s="1"/>
  <c r="AP145" i="19"/>
  <c r="I132" i="46"/>
  <c r="I132" i="45"/>
  <c r="I132" i="44"/>
  <c r="BD131" i="19"/>
  <c r="H131" i="28"/>
  <c r="I132" i="47"/>
  <c r="BD133" i="19"/>
  <c r="I134" i="44"/>
  <c r="I134" i="45"/>
  <c r="H133" i="28"/>
  <c r="I134" i="47"/>
  <c r="I134" i="46"/>
  <c r="I136" i="46"/>
  <c r="I136" i="44"/>
  <c r="BD135" i="19"/>
  <c r="H135" i="28"/>
  <c r="I136" i="47"/>
  <c r="I136" i="45"/>
  <c r="AM144" i="48"/>
  <c r="AR144" i="19"/>
  <c r="BD142" i="19"/>
  <c r="I143" i="47"/>
  <c r="I143" i="45"/>
  <c r="I143" i="46"/>
  <c r="I143" i="44"/>
  <c r="H142" i="28"/>
  <c r="K140" i="47"/>
  <c r="K140" i="46"/>
  <c r="K140" i="45"/>
  <c r="K140" i="44"/>
  <c r="J139" i="28"/>
  <c r="K134" i="47"/>
  <c r="K134" i="46"/>
  <c r="K134" i="45"/>
  <c r="K134" i="44"/>
  <c r="J133" i="28"/>
  <c r="J143" i="47"/>
  <c r="J143" i="46"/>
  <c r="J143" i="45"/>
  <c r="J143" i="44"/>
  <c r="I142" i="28"/>
  <c r="J139" i="47"/>
  <c r="J139" i="46"/>
  <c r="J139" i="45"/>
  <c r="I138" i="28"/>
  <c r="K136" i="47"/>
  <c r="K136" i="46"/>
  <c r="K136" i="45"/>
  <c r="K136" i="44"/>
  <c r="J135" i="28"/>
  <c r="K135" i="46"/>
  <c r="K135" i="47"/>
  <c r="K135" i="45"/>
  <c r="K135" i="44"/>
  <c r="J134" i="28"/>
  <c r="AN144" i="48"/>
  <c r="AS144" i="19"/>
  <c r="AM140" i="48"/>
  <c r="AR140" i="19"/>
  <c r="AM132" i="48"/>
  <c r="AR132" i="19"/>
  <c r="J132" i="46"/>
  <c r="J132" i="47"/>
  <c r="J132" i="45"/>
  <c r="J132" i="44"/>
  <c r="I131" i="28"/>
  <c r="K142" i="47"/>
  <c r="K142" i="46"/>
  <c r="K142" i="45"/>
  <c r="K142" i="44"/>
  <c r="J141" i="28"/>
  <c r="BD137" i="19"/>
  <c r="I138" i="47"/>
  <c r="I138" i="46"/>
  <c r="I138" i="45"/>
  <c r="I138" i="44"/>
  <c r="H137" i="28"/>
  <c r="I145" i="25"/>
  <c r="AM145" i="48"/>
  <c r="AR145" i="19"/>
  <c r="AM136" i="48"/>
  <c r="AR136" i="19"/>
  <c r="AN140" i="48"/>
  <c r="AS140" i="19"/>
  <c r="AN136" i="48"/>
  <c r="AS136" i="19"/>
  <c r="AN132" i="48"/>
  <c r="AS132" i="19"/>
  <c r="K132" i="47"/>
  <c r="K132" i="46"/>
  <c r="K132" i="45"/>
  <c r="K132" i="44"/>
  <c r="J131" i="28"/>
  <c r="BD134" i="19"/>
  <c r="I135" i="47"/>
  <c r="I135" i="45"/>
  <c r="I135" i="46"/>
  <c r="I135" i="44"/>
  <c r="H134" i="28"/>
  <c r="J138" i="47"/>
  <c r="J138" i="45"/>
  <c r="J138" i="46"/>
  <c r="J138" i="44"/>
  <c r="I137" i="28"/>
  <c r="J135" i="47"/>
  <c r="J135" i="46"/>
  <c r="J135" i="45"/>
  <c r="J135" i="44"/>
  <c r="I134" i="28"/>
  <c r="K143" i="47"/>
  <c r="K143" i="46"/>
  <c r="K143" i="45"/>
  <c r="K143" i="44"/>
  <c r="J142" i="28"/>
  <c r="K139" i="45"/>
  <c r="K139" i="47"/>
  <c r="K139" i="44"/>
  <c r="I143" i="25"/>
  <c r="AM143" i="48"/>
  <c r="AR143" i="19"/>
  <c r="J140" i="47"/>
  <c r="J140" i="45"/>
  <c r="I139" i="28"/>
  <c r="J142" i="47"/>
  <c r="J142" i="45"/>
  <c r="J142" i="46"/>
  <c r="J142" i="44"/>
  <c r="I141" i="28"/>
  <c r="K138" i="47"/>
  <c r="K138" i="46"/>
  <c r="K138" i="45"/>
  <c r="K138" i="44"/>
  <c r="J137" i="28"/>
  <c r="J134" i="47"/>
  <c r="J134" i="45"/>
  <c r="J134" i="46"/>
  <c r="J134" i="44"/>
  <c r="I133" i="28"/>
  <c r="J136" i="46"/>
  <c r="J136" i="45"/>
  <c r="J136" i="47"/>
  <c r="J136" i="44"/>
  <c r="I135" i="28"/>
  <c r="AK139" i="48"/>
  <c r="AY139" i="48" s="1"/>
  <c r="AP139" i="19"/>
  <c r="BC132" i="19"/>
  <c r="H133" i="47"/>
  <c r="H133" i="46"/>
  <c r="H133" i="45"/>
  <c r="H133" i="44"/>
  <c r="G132" i="28"/>
  <c r="BC144" i="19"/>
  <c r="H145" i="47"/>
  <c r="H145" i="46"/>
  <c r="H145" i="45"/>
  <c r="H145" i="44"/>
  <c r="G144" i="28"/>
  <c r="AJ139" i="48"/>
  <c r="AX139" i="48" s="1"/>
  <c r="AO139" i="19"/>
  <c r="BC134" i="19"/>
  <c r="H135" i="47"/>
  <c r="H135" i="46"/>
  <c r="H135" i="45"/>
  <c r="H135" i="44"/>
  <c r="G134" i="28"/>
  <c r="BC133" i="19"/>
  <c r="H134" i="47"/>
  <c r="H134" i="46"/>
  <c r="H134" i="45"/>
  <c r="H134" i="44"/>
  <c r="G133" i="28"/>
  <c r="AJ142" i="48"/>
  <c r="AX142" i="48" s="1"/>
  <c r="AO142" i="19"/>
  <c r="BC131" i="19"/>
  <c r="H132" i="47"/>
  <c r="H132" i="46"/>
  <c r="H132" i="45"/>
  <c r="H132" i="44"/>
  <c r="G131" i="28"/>
  <c r="H139" i="47"/>
  <c r="H139" i="46"/>
  <c r="H139" i="45"/>
  <c r="H139" i="44"/>
  <c r="G138" i="28"/>
  <c r="BC138" i="19"/>
  <c r="AJ135" i="48"/>
  <c r="AX135" i="48" s="1"/>
  <c r="AO135" i="19"/>
  <c r="BC141" i="19"/>
  <c r="H142" i="47"/>
  <c r="H142" i="46"/>
  <c r="H142" i="45"/>
  <c r="H142" i="44"/>
  <c r="G141" i="28"/>
  <c r="BC140" i="19"/>
  <c r="H141" i="47"/>
  <c r="H141" i="46"/>
  <c r="H141" i="45"/>
  <c r="H141" i="44"/>
  <c r="G140" i="28"/>
  <c r="AJ143" i="48"/>
  <c r="AX143" i="48" s="1"/>
  <c r="AO143" i="19"/>
  <c r="BC137" i="19"/>
  <c r="H138" i="46"/>
  <c r="H138" i="45"/>
  <c r="H138" i="47"/>
  <c r="H138" i="44"/>
  <c r="G137" i="28"/>
  <c r="BC136" i="19"/>
  <c r="H137" i="47"/>
  <c r="H137" i="46"/>
  <c r="H137" i="45"/>
  <c r="H137" i="44"/>
  <c r="G136" i="28"/>
  <c r="AJ145" i="48"/>
  <c r="AX145" i="48" s="1"/>
  <c r="AO145" i="19"/>
  <c r="BB133" i="19"/>
  <c r="G134" i="47"/>
  <c r="G134" i="45"/>
  <c r="G134" i="46"/>
  <c r="G134" i="44"/>
  <c r="F133" i="28"/>
  <c r="AN132" i="19"/>
  <c r="AI132" i="48"/>
  <c r="AW132" i="48" s="1"/>
  <c r="AI139" i="48"/>
  <c r="AW139" i="48" s="1"/>
  <c r="AN139" i="19"/>
  <c r="BB135" i="19"/>
  <c r="G136" i="45"/>
  <c r="G136" i="47"/>
  <c r="G136" i="46"/>
  <c r="G136" i="44"/>
  <c r="F135" i="28"/>
  <c r="BB140" i="19"/>
  <c r="G141" i="47"/>
  <c r="G141" i="45"/>
  <c r="G141" i="46"/>
  <c r="G141" i="44"/>
  <c r="F140" i="28"/>
  <c r="BB142" i="19"/>
  <c r="G143" i="46"/>
  <c r="G143" i="47"/>
  <c r="G143" i="45"/>
  <c r="G143" i="44"/>
  <c r="F142" i="28"/>
  <c r="BB137" i="19"/>
  <c r="G138" i="47"/>
  <c r="G138" i="45"/>
  <c r="G138" i="46"/>
  <c r="G138" i="44"/>
  <c r="F137" i="28"/>
  <c r="AI143" i="48"/>
  <c r="AW143" i="48" s="1"/>
  <c r="AN143" i="19"/>
  <c r="BB131" i="19"/>
  <c r="G132" i="45"/>
  <c r="G132" i="46"/>
  <c r="G132" i="47"/>
  <c r="G132" i="44"/>
  <c r="F131" i="28"/>
  <c r="G139" i="46"/>
  <c r="G139" i="47"/>
  <c r="G139" i="45"/>
  <c r="G139" i="44"/>
  <c r="F138" i="28"/>
  <c r="BB138" i="19"/>
  <c r="BB145" i="19"/>
  <c r="G146" i="47"/>
  <c r="G146" i="45"/>
  <c r="G146" i="46"/>
  <c r="G146" i="44"/>
  <c r="F145" i="28"/>
  <c r="BB141" i="19"/>
  <c r="G142" i="47"/>
  <c r="G142" i="45"/>
  <c r="G142" i="46"/>
  <c r="G142" i="44"/>
  <c r="F141" i="28"/>
  <c r="BB144" i="19"/>
  <c r="G145" i="46"/>
  <c r="G145" i="45"/>
  <c r="G145" i="47"/>
  <c r="G145" i="44"/>
  <c r="F144" i="28"/>
  <c r="AM142" i="19"/>
  <c r="AH142" i="48"/>
  <c r="AV142" i="48" s="1"/>
  <c r="AH145" i="48"/>
  <c r="AV145" i="48" s="1"/>
  <c r="AM145" i="19"/>
  <c r="AY136" i="19"/>
  <c r="D137" i="46"/>
  <c r="D137" i="47"/>
  <c r="D137" i="45"/>
  <c r="D137" i="44"/>
  <c r="C136" i="28"/>
  <c r="AY131" i="19"/>
  <c r="D132" i="47"/>
  <c r="D132" i="46"/>
  <c r="D132" i="45"/>
  <c r="D132" i="44"/>
  <c r="C131" i="28"/>
  <c r="AY135" i="19"/>
  <c r="D136" i="47"/>
  <c r="D136" i="46"/>
  <c r="D136" i="45"/>
  <c r="D136" i="44"/>
  <c r="C135" i="28"/>
  <c r="AY143" i="19"/>
  <c r="D144" i="47"/>
  <c r="D144" i="46"/>
  <c r="D144" i="45"/>
  <c r="D144" i="44"/>
  <c r="C143" i="28"/>
  <c r="AY132" i="19"/>
  <c r="D133" i="46"/>
  <c r="D133" i="47"/>
  <c r="D133" i="45"/>
  <c r="D133" i="44"/>
  <c r="C132" i="28"/>
  <c r="AY141" i="19"/>
  <c r="D142" i="47"/>
  <c r="D142" i="46"/>
  <c r="D142" i="45"/>
  <c r="D142" i="44"/>
  <c r="C141" i="28"/>
  <c r="D141" i="46"/>
  <c r="D141" i="47"/>
  <c r="D141" i="45"/>
  <c r="D141" i="44"/>
  <c r="C140" i="28"/>
  <c r="AY140" i="19"/>
  <c r="D143" i="47"/>
  <c r="D143" i="46"/>
  <c r="D143" i="45"/>
  <c r="D143" i="44"/>
  <c r="C142" i="28"/>
  <c r="AY142" i="19"/>
  <c r="AY145" i="19"/>
  <c r="D146" i="47"/>
  <c r="D146" i="46"/>
  <c r="D146" i="45"/>
  <c r="D146" i="44"/>
  <c r="C145" i="28"/>
  <c r="AY137" i="19"/>
  <c r="D138" i="47"/>
  <c r="D138" i="46"/>
  <c r="D138" i="45"/>
  <c r="D138" i="44"/>
  <c r="C137" i="28"/>
  <c r="AY133" i="19"/>
  <c r="D134" i="47"/>
  <c r="D134" i="46"/>
  <c r="D134" i="45"/>
  <c r="D134" i="44"/>
  <c r="C133" i="28"/>
  <c r="AF139" i="48"/>
  <c r="AT139" i="48" s="1"/>
  <c r="AK139" i="19"/>
  <c r="BB132" i="19"/>
  <c r="F132" i="28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4" i="19"/>
  <c r="H5" i="19"/>
  <c r="H6" i="19"/>
  <c r="H7" i="19"/>
  <c r="H8" i="19"/>
  <c r="H9" i="19"/>
  <c r="H10" i="19"/>
  <c r="H11" i="19"/>
  <c r="H3" i="19"/>
  <c r="H2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109" i="19"/>
  <c r="K110" i="19"/>
  <c r="K111" i="19"/>
  <c r="K112" i="19"/>
  <c r="K113" i="19"/>
  <c r="K114" i="19"/>
  <c r="K115" i="19"/>
  <c r="K116" i="19"/>
  <c r="K117" i="19"/>
  <c r="K118" i="19"/>
  <c r="K119" i="19"/>
  <c r="K120" i="19"/>
  <c r="K121" i="19"/>
  <c r="K122" i="19"/>
  <c r="K123" i="19"/>
  <c r="K124" i="19"/>
  <c r="K125" i="19"/>
  <c r="K126" i="19"/>
  <c r="K127" i="19"/>
  <c r="K128" i="19"/>
  <c r="K129" i="19"/>
  <c r="K130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E2" i="19"/>
  <c r="D2" i="19"/>
  <c r="AC89" i="19"/>
  <c r="AC90" i="19"/>
  <c r="AC91" i="19"/>
  <c r="AC92" i="19"/>
  <c r="AC93" i="19"/>
  <c r="AC94" i="19"/>
  <c r="AC95" i="19"/>
  <c r="AC96" i="19"/>
  <c r="AC97" i="19"/>
  <c r="AC98" i="19"/>
  <c r="AC99" i="19"/>
  <c r="AC100" i="19"/>
  <c r="AC101" i="19"/>
  <c r="AC102" i="19"/>
  <c r="AC103" i="19"/>
  <c r="AC104" i="19"/>
  <c r="AC105" i="19"/>
  <c r="AC106" i="19"/>
  <c r="AC107" i="19"/>
  <c r="AC108" i="19"/>
  <c r="AC109" i="19"/>
  <c r="AC110" i="19"/>
  <c r="AC111" i="19"/>
  <c r="AC112" i="19"/>
  <c r="AC113" i="19"/>
  <c r="AC114" i="19"/>
  <c r="AC115" i="19"/>
  <c r="AC116" i="19"/>
  <c r="AC117" i="19"/>
  <c r="AC118" i="19"/>
  <c r="AC119" i="19"/>
  <c r="AC120" i="19"/>
  <c r="AC121" i="19"/>
  <c r="AC122" i="19"/>
  <c r="AC123" i="19"/>
  <c r="AC124" i="19"/>
  <c r="AC125" i="19"/>
  <c r="AC126" i="19"/>
  <c r="AC127" i="19"/>
  <c r="AC128" i="19"/>
  <c r="AC129" i="19"/>
  <c r="AC130" i="19"/>
  <c r="AB89" i="19"/>
  <c r="AB90" i="19"/>
  <c r="AB91" i="19"/>
  <c r="AB92" i="19"/>
  <c r="AB93" i="19"/>
  <c r="AB94" i="19"/>
  <c r="AB95" i="19"/>
  <c r="AB96" i="19"/>
  <c r="AB97" i="19"/>
  <c r="AB98" i="19"/>
  <c r="AB99" i="19"/>
  <c r="AB100" i="19"/>
  <c r="AB101" i="19"/>
  <c r="AB102" i="19"/>
  <c r="AB103" i="19"/>
  <c r="AB104" i="19"/>
  <c r="AB105" i="19"/>
  <c r="AB106" i="19"/>
  <c r="AB107" i="19"/>
  <c r="AB108" i="19"/>
  <c r="AB109" i="19"/>
  <c r="AB110" i="19"/>
  <c r="AB111" i="19"/>
  <c r="AB112" i="19"/>
  <c r="AB113" i="19"/>
  <c r="AB114" i="19"/>
  <c r="AB115" i="19"/>
  <c r="AB116" i="19"/>
  <c r="AB117" i="19"/>
  <c r="AB118" i="19"/>
  <c r="AB119" i="19"/>
  <c r="AB120" i="19"/>
  <c r="AB121" i="19"/>
  <c r="AB122" i="19"/>
  <c r="AB123" i="19"/>
  <c r="AB124" i="19"/>
  <c r="AB125" i="19"/>
  <c r="AB126" i="19"/>
  <c r="AB127" i="19"/>
  <c r="AB128" i="19"/>
  <c r="AB129" i="19"/>
  <c r="AB130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AO144" i="48" l="1"/>
  <c r="BA144" i="48"/>
  <c r="AQ144" i="48"/>
  <c r="AR144" i="48"/>
  <c r="BB144" i="48" s="1"/>
  <c r="F145" i="46"/>
  <c r="E144" i="28"/>
  <c r="BA144" i="19"/>
  <c r="BE144" i="19" s="1"/>
  <c r="AT144" i="19" s="1"/>
  <c r="AU144" i="19" s="1"/>
  <c r="L145" i="46" s="1"/>
  <c r="F145" i="44"/>
  <c r="F145" i="47"/>
  <c r="F145" i="45"/>
  <c r="AO141" i="48"/>
  <c r="AP141" i="48" s="1"/>
  <c r="AQ141" i="48"/>
  <c r="BA141" i="48"/>
  <c r="AZ145" i="48"/>
  <c r="BA145" i="48" s="1"/>
  <c r="J138" i="28"/>
  <c r="J140" i="46"/>
  <c r="AY138" i="19"/>
  <c r="D139" i="44"/>
  <c r="D139" i="47"/>
  <c r="C138" i="28"/>
  <c r="D139" i="46"/>
  <c r="D139" i="45"/>
  <c r="I146" i="45"/>
  <c r="BD145" i="19"/>
  <c r="I146" i="44"/>
  <c r="I146" i="47"/>
  <c r="I146" i="46"/>
  <c r="H145" i="28"/>
  <c r="AP144" i="48"/>
  <c r="K133" i="47"/>
  <c r="K133" i="45"/>
  <c r="K133" i="46"/>
  <c r="K133" i="44"/>
  <c r="J132" i="28"/>
  <c r="K141" i="47"/>
  <c r="K141" i="45"/>
  <c r="K141" i="46"/>
  <c r="K141" i="44"/>
  <c r="J140" i="28"/>
  <c r="J133" i="47"/>
  <c r="J133" i="46"/>
  <c r="J133" i="45"/>
  <c r="J133" i="44"/>
  <c r="I132" i="28"/>
  <c r="K145" i="47"/>
  <c r="K145" i="45"/>
  <c r="K145" i="46"/>
  <c r="K145" i="44"/>
  <c r="J144" i="28"/>
  <c r="J144" i="47"/>
  <c r="J144" i="46"/>
  <c r="J144" i="45"/>
  <c r="J144" i="44"/>
  <c r="I143" i="28"/>
  <c r="J146" i="47"/>
  <c r="J146" i="45"/>
  <c r="J146" i="46"/>
  <c r="J146" i="44"/>
  <c r="I145" i="28"/>
  <c r="BD139" i="19"/>
  <c r="I140" i="47"/>
  <c r="I140" i="46"/>
  <c r="I140" i="45"/>
  <c r="I140" i="44"/>
  <c r="H139" i="28"/>
  <c r="K137" i="47"/>
  <c r="K137" i="45"/>
  <c r="K137" i="46"/>
  <c r="K137" i="44"/>
  <c r="J136" i="28"/>
  <c r="J141" i="47"/>
  <c r="J141" i="46"/>
  <c r="J141" i="45"/>
  <c r="J141" i="44"/>
  <c r="I140" i="28"/>
  <c r="J145" i="47"/>
  <c r="J145" i="46"/>
  <c r="J145" i="45"/>
  <c r="J145" i="44"/>
  <c r="I144" i="28"/>
  <c r="AN143" i="48"/>
  <c r="AS143" i="19"/>
  <c r="J137" i="47"/>
  <c r="J137" i="46"/>
  <c r="J137" i="45"/>
  <c r="J137" i="44"/>
  <c r="I136" i="28"/>
  <c r="AN145" i="48"/>
  <c r="AS145" i="19"/>
  <c r="AZ142" i="48"/>
  <c r="AQ142" i="48" s="1"/>
  <c r="BE141" i="19"/>
  <c r="AW141" i="19" s="1"/>
  <c r="BC143" i="19"/>
  <c r="H144" i="47"/>
  <c r="H144" i="45"/>
  <c r="H144" i="46"/>
  <c r="H144" i="44"/>
  <c r="G143" i="28"/>
  <c r="H143" i="47"/>
  <c r="H143" i="46"/>
  <c r="H143" i="45"/>
  <c r="H143" i="44"/>
  <c r="G142" i="28"/>
  <c r="BC142" i="19"/>
  <c r="BC139" i="19"/>
  <c r="H140" i="47"/>
  <c r="H140" i="46"/>
  <c r="H140" i="45"/>
  <c r="H140" i="44"/>
  <c r="G139" i="28"/>
  <c r="BC145" i="19"/>
  <c r="H146" i="46"/>
  <c r="H146" i="45"/>
  <c r="H146" i="47"/>
  <c r="H146" i="44"/>
  <c r="G145" i="28"/>
  <c r="BC135" i="19"/>
  <c r="H136" i="47"/>
  <c r="H136" i="45"/>
  <c r="H136" i="46"/>
  <c r="H136" i="44"/>
  <c r="G135" i="28"/>
  <c r="AW144" i="19"/>
  <c r="O145" i="47" s="1"/>
  <c r="G133" i="46"/>
  <c r="G133" i="47"/>
  <c r="G133" i="45"/>
  <c r="G133" i="44"/>
  <c r="BF144" i="19"/>
  <c r="N145" i="46" s="1"/>
  <c r="BB139" i="19"/>
  <c r="G140" i="45"/>
  <c r="G140" i="46"/>
  <c r="G140" i="47"/>
  <c r="G140" i="44"/>
  <c r="F139" i="28"/>
  <c r="G144" i="45"/>
  <c r="G144" i="47"/>
  <c r="G144" i="46"/>
  <c r="G144" i="44"/>
  <c r="F143" i="28"/>
  <c r="BB143" i="19"/>
  <c r="F146" i="47"/>
  <c r="F146" i="45"/>
  <c r="F146" i="46"/>
  <c r="F146" i="44"/>
  <c r="E145" i="28"/>
  <c r="BA145" i="19"/>
  <c r="BA142" i="19"/>
  <c r="BE142" i="19" s="1"/>
  <c r="AV142" i="19" s="1"/>
  <c r="F143" i="47"/>
  <c r="F143" i="45"/>
  <c r="F143" i="46"/>
  <c r="F143" i="44"/>
  <c r="E142" i="28"/>
  <c r="BC141" i="48"/>
  <c r="BB141" i="48"/>
  <c r="L145" i="45"/>
  <c r="L145" i="44"/>
  <c r="D140" i="47"/>
  <c r="D140" i="46"/>
  <c r="D140" i="45"/>
  <c r="D140" i="44"/>
  <c r="C139" i="28"/>
  <c r="AY139" i="19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G97" i="22"/>
  <c r="G114" i="22"/>
  <c r="G118" i="22"/>
  <c r="E93" i="22"/>
  <c r="E126" i="22"/>
  <c r="E130" i="22"/>
  <c r="D89" i="22"/>
  <c r="D90" i="22"/>
  <c r="D91" i="22"/>
  <c r="D92" i="22"/>
  <c r="D93" i="22"/>
  <c r="D94" i="22"/>
  <c r="D95" i="22"/>
  <c r="D96" i="22"/>
  <c r="D97" i="22"/>
  <c r="D98" i="22"/>
  <c r="G98" i="22" s="1"/>
  <c r="D99" i="22"/>
  <c r="D100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G125" i="22" s="1"/>
  <c r="D126" i="22"/>
  <c r="D127" i="22"/>
  <c r="D128" i="22"/>
  <c r="D129" i="22"/>
  <c r="D130" i="22"/>
  <c r="G120" i="27"/>
  <c r="G126" i="27"/>
  <c r="G130" i="27"/>
  <c r="F128" i="27"/>
  <c r="E92" i="27"/>
  <c r="E100" i="27"/>
  <c r="E108" i="27"/>
  <c r="E125" i="27"/>
  <c r="E129" i="27"/>
  <c r="D89" i="27"/>
  <c r="G89" i="27" s="1"/>
  <c r="D90" i="27"/>
  <c r="D91" i="27"/>
  <c r="G91" i="27" s="1"/>
  <c r="D92" i="27"/>
  <c r="G92" i="27" s="1"/>
  <c r="D93" i="27"/>
  <c r="G93" i="27" s="1"/>
  <c r="D94" i="27"/>
  <c r="F94" i="27" s="1"/>
  <c r="D95" i="27"/>
  <c r="E95" i="27" s="1"/>
  <c r="D96" i="27"/>
  <c r="G96" i="27" s="1"/>
  <c r="D97" i="27"/>
  <c r="G97" i="27" s="1"/>
  <c r="D98" i="27"/>
  <c r="D99" i="27"/>
  <c r="G99" i="27" s="1"/>
  <c r="D100" i="27"/>
  <c r="G100" i="27" s="1"/>
  <c r="D101" i="27"/>
  <c r="G101" i="27" s="1"/>
  <c r="D102" i="27"/>
  <c r="G102" i="27" s="1"/>
  <c r="D103" i="27"/>
  <c r="D104" i="27"/>
  <c r="G104" i="27" s="1"/>
  <c r="D105" i="27"/>
  <c r="G105" i="27" s="1"/>
  <c r="D106" i="27"/>
  <c r="F106" i="27" s="1"/>
  <c r="D107" i="27"/>
  <c r="G107" i="27" s="1"/>
  <c r="D108" i="27"/>
  <c r="G108" i="27" s="1"/>
  <c r="D109" i="27"/>
  <c r="G109" i="27" s="1"/>
  <c r="D110" i="27"/>
  <c r="D111" i="27"/>
  <c r="D112" i="27"/>
  <c r="D113" i="27"/>
  <c r="D114" i="27"/>
  <c r="F114" i="27" s="1"/>
  <c r="D115" i="27"/>
  <c r="G115" i="27" s="1"/>
  <c r="D116" i="27"/>
  <c r="G116" i="27" s="1"/>
  <c r="D117" i="27"/>
  <c r="G117" i="27" s="1"/>
  <c r="D118" i="27"/>
  <c r="G118" i="27" s="1"/>
  <c r="D119" i="27"/>
  <c r="G119" i="27" s="1"/>
  <c r="D120" i="27"/>
  <c r="E120" i="27" s="1"/>
  <c r="D121" i="27"/>
  <c r="G121" i="27" s="1"/>
  <c r="D122" i="27"/>
  <c r="D123" i="27"/>
  <c r="G123" i="27" s="1"/>
  <c r="D124" i="27"/>
  <c r="G124" i="27" s="1"/>
  <c r="D125" i="27"/>
  <c r="F125" i="27" s="1"/>
  <c r="D126" i="27"/>
  <c r="D127" i="27"/>
  <c r="G127" i="27" s="1"/>
  <c r="D128" i="27"/>
  <c r="G128" i="27" s="1"/>
  <c r="D129" i="27"/>
  <c r="F129" i="27" s="1"/>
  <c r="D130" i="27"/>
  <c r="E130" i="27" s="1"/>
  <c r="A3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D89" i="24"/>
  <c r="D90" i="24"/>
  <c r="D91" i="24"/>
  <c r="D92" i="24"/>
  <c r="D93" i="24"/>
  <c r="D94" i="24"/>
  <c r="D95" i="24"/>
  <c r="D96" i="24"/>
  <c r="D97" i="24"/>
  <c r="D98" i="24"/>
  <c r="D99" i="24"/>
  <c r="G99" i="24" s="1"/>
  <c r="D100" i="24"/>
  <c r="G100" i="24" s="1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E112" i="24" s="1"/>
  <c r="D113" i="24"/>
  <c r="D114" i="24"/>
  <c r="D115" i="24"/>
  <c r="D116" i="24"/>
  <c r="E116" i="24" s="1"/>
  <c r="D117" i="24"/>
  <c r="D118" i="24"/>
  <c r="D119" i="24"/>
  <c r="G119" i="24" s="1"/>
  <c r="D120" i="24"/>
  <c r="D121" i="24"/>
  <c r="D122" i="24"/>
  <c r="D123" i="24"/>
  <c r="D124" i="24"/>
  <c r="E124" i="24" s="1"/>
  <c r="D125" i="24"/>
  <c r="D126" i="24"/>
  <c r="F126" i="24" s="1"/>
  <c r="D127" i="24"/>
  <c r="D128" i="24"/>
  <c r="E128" i="25" s="1"/>
  <c r="D129" i="24"/>
  <c r="D130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F127" i="23"/>
  <c r="E90" i="23"/>
  <c r="E130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F111" i="23" s="1"/>
  <c r="D112" i="23"/>
  <c r="D113" i="23"/>
  <c r="F113" i="23" s="1"/>
  <c r="D114" i="23"/>
  <c r="E114" i="23" s="1"/>
  <c r="D115" i="23"/>
  <c r="D116" i="23"/>
  <c r="D117" i="23"/>
  <c r="D118" i="23"/>
  <c r="D119" i="23"/>
  <c r="D120" i="23"/>
  <c r="D121" i="23"/>
  <c r="D122" i="23"/>
  <c r="D123" i="23"/>
  <c r="D124" i="23"/>
  <c r="F124" i="23" s="1"/>
  <c r="D125" i="23"/>
  <c r="D126" i="23"/>
  <c r="D127" i="23"/>
  <c r="D128" i="23"/>
  <c r="D129" i="23"/>
  <c r="E129" i="25" s="1"/>
  <c r="F129" i="25" s="1"/>
  <c r="D130" i="23"/>
  <c r="E130" i="25" s="1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3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2" i="25"/>
  <c r="A2" i="27"/>
  <c r="A2" i="24"/>
  <c r="A2" i="23"/>
  <c r="A2" i="22"/>
  <c r="G121" i="21"/>
  <c r="D89" i="21"/>
  <c r="D90" i="21"/>
  <c r="M90" i="48" s="1"/>
  <c r="D91" i="21"/>
  <c r="M91" i="48" s="1"/>
  <c r="D92" i="21"/>
  <c r="M92" i="48" s="1"/>
  <c r="D93" i="21"/>
  <c r="D94" i="21"/>
  <c r="M94" i="48" s="1"/>
  <c r="D95" i="21"/>
  <c r="M95" i="48" s="1"/>
  <c r="D96" i="21"/>
  <c r="M96" i="48" s="1"/>
  <c r="D97" i="21"/>
  <c r="M97" i="48" s="1"/>
  <c r="D98" i="21"/>
  <c r="M98" i="48" s="1"/>
  <c r="D99" i="21"/>
  <c r="M99" i="48" s="1"/>
  <c r="D100" i="21"/>
  <c r="M100" i="48" s="1"/>
  <c r="D101" i="21"/>
  <c r="D102" i="21"/>
  <c r="M102" i="48" s="1"/>
  <c r="D103" i="21"/>
  <c r="M103" i="48" s="1"/>
  <c r="D104" i="21"/>
  <c r="M104" i="48" s="1"/>
  <c r="D105" i="21"/>
  <c r="D106" i="21"/>
  <c r="M106" i="48" s="1"/>
  <c r="D107" i="21"/>
  <c r="M107" i="48" s="1"/>
  <c r="D108" i="21"/>
  <c r="M108" i="48" s="1"/>
  <c r="D109" i="21"/>
  <c r="D110" i="21"/>
  <c r="M110" i="48" s="1"/>
  <c r="D111" i="21"/>
  <c r="M111" i="48" s="1"/>
  <c r="D112" i="21"/>
  <c r="M112" i="48" s="1"/>
  <c r="D113" i="21"/>
  <c r="M113" i="48" s="1"/>
  <c r="D114" i="21"/>
  <c r="M114" i="48" s="1"/>
  <c r="D115" i="21"/>
  <c r="M115" i="48" s="1"/>
  <c r="D116" i="21"/>
  <c r="M116" i="48" s="1"/>
  <c r="D117" i="21"/>
  <c r="D118" i="21"/>
  <c r="M118" i="48" s="1"/>
  <c r="D119" i="21"/>
  <c r="M119" i="48" s="1"/>
  <c r="D120" i="21"/>
  <c r="M120" i="48" s="1"/>
  <c r="D121" i="21"/>
  <c r="D122" i="21"/>
  <c r="M122" i="48" s="1"/>
  <c r="D123" i="21"/>
  <c r="M123" i="48" s="1"/>
  <c r="D124" i="21"/>
  <c r="M124" i="48" s="1"/>
  <c r="D125" i="21"/>
  <c r="D126" i="21"/>
  <c r="M126" i="48" s="1"/>
  <c r="D127" i="21"/>
  <c r="M127" i="48" s="1"/>
  <c r="D128" i="21"/>
  <c r="M128" i="48" s="1"/>
  <c r="D129" i="21"/>
  <c r="M129" i="48" s="1"/>
  <c r="D130" i="21"/>
  <c r="M130" i="48" s="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2" i="21"/>
  <c r="G95" i="3"/>
  <c r="G127" i="3"/>
  <c r="F3" i="3"/>
  <c r="F7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H96" i="3"/>
  <c r="H100" i="3"/>
  <c r="H104" i="3"/>
  <c r="F120" i="3"/>
  <c r="H128" i="3"/>
  <c r="O129" i="19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2" i="5"/>
  <c r="D89" i="4"/>
  <c r="E89" i="48" s="1"/>
  <c r="D90" i="4"/>
  <c r="E90" i="48" s="1"/>
  <c r="D91" i="4"/>
  <c r="D92" i="4"/>
  <c r="D93" i="4"/>
  <c r="D94" i="4"/>
  <c r="D95" i="4"/>
  <c r="D96" i="4"/>
  <c r="D97" i="4"/>
  <c r="D98" i="4"/>
  <c r="D99" i="4"/>
  <c r="D100" i="4"/>
  <c r="D101" i="4"/>
  <c r="D102" i="4"/>
  <c r="D104" i="4"/>
  <c r="D105" i="4"/>
  <c r="D106" i="4"/>
  <c r="E106" i="48" s="1"/>
  <c r="D107" i="4"/>
  <c r="D108" i="4"/>
  <c r="E108" i="48" s="1"/>
  <c r="D109" i="4"/>
  <c r="D110" i="4"/>
  <c r="D111" i="4"/>
  <c r="D112" i="4"/>
  <c r="E112" i="48" s="1"/>
  <c r="D113" i="4"/>
  <c r="E113" i="48" s="1"/>
  <c r="D114" i="4"/>
  <c r="D115" i="4"/>
  <c r="D116" i="4"/>
  <c r="D117" i="4"/>
  <c r="D118" i="4"/>
  <c r="D119" i="4"/>
  <c r="D120" i="4"/>
  <c r="D121" i="4"/>
  <c r="D122" i="4"/>
  <c r="E122" i="48" s="1"/>
  <c r="D123" i="4"/>
  <c r="D124" i="4"/>
  <c r="D125" i="4"/>
  <c r="D126" i="4"/>
  <c r="D127" i="4"/>
  <c r="D128" i="4"/>
  <c r="D129" i="4"/>
  <c r="D130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2" i="4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" i="16"/>
  <c r="A128" i="15"/>
  <c r="A129" i="15"/>
  <c r="A130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2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" i="16"/>
  <c r="AC3" i="19"/>
  <c r="AC4" i="19"/>
  <c r="AC5" i="19"/>
  <c r="AC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5" i="19"/>
  <c r="AC36" i="19"/>
  <c r="AC37" i="19"/>
  <c r="AC38" i="19"/>
  <c r="AC39" i="19"/>
  <c r="AC40" i="19"/>
  <c r="AC41" i="19"/>
  <c r="AC42" i="19"/>
  <c r="AC43" i="19"/>
  <c r="AC44" i="19"/>
  <c r="AC45" i="19"/>
  <c r="AC46" i="19"/>
  <c r="AC47" i="19"/>
  <c r="AC48" i="19"/>
  <c r="AC49" i="19"/>
  <c r="AC50" i="19"/>
  <c r="AC51" i="19"/>
  <c r="AC52" i="19"/>
  <c r="AC53" i="19"/>
  <c r="AC54" i="19"/>
  <c r="AC55" i="19"/>
  <c r="AC56" i="19"/>
  <c r="AC57" i="19"/>
  <c r="AC58" i="19"/>
  <c r="AC59" i="19"/>
  <c r="AC60" i="19"/>
  <c r="AC61" i="19"/>
  <c r="AC62" i="19"/>
  <c r="AC63" i="19"/>
  <c r="AC64" i="19"/>
  <c r="AC65" i="19"/>
  <c r="AC66" i="19"/>
  <c r="AC67" i="19"/>
  <c r="AC68" i="19"/>
  <c r="AC69" i="19"/>
  <c r="AC70" i="19"/>
  <c r="AC71" i="19"/>
  <c r="AC72" i="19"/>
  <c r="AC73" i="19"/>
  <c r="AC74" i="19"/>
  <c r="AC75" i="19"/>
  <c r="AC76" i="19"/>
  <c r="AC77" i="19"/>
  <c r="AC78" i="19"/>
  <c r="AC79" i="19"/>
  <c r="AC80" i="19"/>
  <c r="AC81" i="19"/>
  <c r="AC82" i="19"/>
  <c r="AC83" i="19"/>
  <c r="AC84" i="19"/>
  <c r="AC85" i="19"/>
  <c r="AC86" i="19"/>
  <c r="AC87" i="19"/>
  <c r="AC88" i="19"/>
  <c r="AC2" i="19"/>
  <c r="AB3" i="19"/>
  <c r="AB4" i="19"/>
  <c r="AB5" i="19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2" i="19"/>
  <c r="Y2" i="19"/>
  <c r="Y20" i="19"/>
  <c r="Z3" i="19"/>
  <c r="Z4" i="19"/>
  <c r="Z5" i="19"/>
  <c r="Z6" i="19"/>
  <c r="Z7" i="19"/>
  <c r="Z8" i="19"/>
  <c r="Z9" i="19"/>
  <c r="Z10" i="19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Y3" i="19"/>
  <c r="Y4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Z2" i="19"/>
  <c r="W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W2" i="19"/>
  <c r="BC144" i="48" l="1"/>
  <c r="AT141" i="19"/>
  <c r="AU141" i="19" s="1"/>
  <c r="L145" i="47"/>
  <c r="AV144" i="19"/>
  <c r="AV141" i="19"/>
  <c r="M142" i="46" s="1"/>
  <c r="BF141" i="19"/>
  <c r="N142" i="46" s="1"/>
  <c r="K144" i="28"/>
  <c r="AO145" i="48"/>
  <c r="AP145" i="48" s="1"/>
  <c r="O145" i="44"/>
  <c r="O145" i="46"/>
  <c r="N144" i="28"/>
  <c r="BJ144" i="19"/>
  <c r="O144" i="28" s="1"/>
  <c r="BH144" i="19"/>
  <c r="BG144" i="19"/>
  <c r="P145" i="45" s="1"/>
  <c r="BI144" i="19"/>
  <c r="R145" i="44" s="1"/>
  <c r="AQ145" i="48"/>
  <c r="AR145" i="48"/>
  <c r="BC145" i="48" s="1"/>
  <c r="BE145" i="19"/>
  <c r="AW145" i="19" s="1"/>
  <c r="E111" i="25"/>
  <c r="V111" i="48"/>
  <c r="AA111" i="19"/>
  <c r="G111" i="27"/>
  <c r="V126" i="48"/>
  <c r="AA126" i="19"/>
  <c r="E128" i="27"/>
  <c r="E124" i="27"/>
  <c r="E116" i="27"/>
  <c r="E107" i="27"/>
  <c r="E99" i="27"/>
  <c r="E91" i="27"/>
  <c r="F127" i="27"/>
  <c r="G129" i="27"/>
  <c r="G125" i="27"/>
  <c r="E119" i="25"/>
  <c r="V119" i="48"/>
  <c r="AA119" i="19"/>
  <c r="E103" i="25"/>
  <c r="V103" i="48"/>
  <c r="AA103" i="19"/>
  <c r="E119" i="27"/>
  <c r="G103" i="27"/>
  <c r="V113" i="48"/>
  <c r="AA113" i="19"/>
  <c r="E127" i="27"/>
  <c r="E123" i="27"/>
  <c r="E115" i="27"/>
  <c r="E104" i="27"/>
  <c r="E96" i="27"/>
  <c r="F130" i="27"/>
  <c r="F126" i="27"/>
  <c r="E99" i="25"/>
  <c r="V99" i="48"/>
  <c r="AA99" i="19"/>
  <c r="G95" i="27"/>
  <c r="E124" i="25"/>
  <c r="V124" i="48"/>
  <c r="AA124" i="19"/>
  <c r="E112" i="25"/>
  <c r="V112" i="48"/>
  <c r="AA112" i="19"/>
  <c r="E100" i="25"/>
  <c r="V100" i="48"/>
  <c r="AA100" i="19"/>
  <c r="E126" i="27"/>
  <c r="E111" i="27"/>
  <c r="E103" i="27"/>
  <c r="E126" i="25"/>
  <c r="N145" i="47"/>
  <c r="AR142" i="48"/>
  <c r="BB142" i="48" s="1"/>
  <c r="F129" i="24"/>
  <c r="S129" i="48"/>
  <c r="X129" i="19"/>
  <c r="F125" i="24"/>
  <c r="S125" i="48"/>
  <c r="X125" i="19"/>
  <c r="F121" i="24"/>
  <c r="S121" i="48"/>
  <c r="X121" i="19"/>
  <c r="F117" i="24"/>
  <c r="S117" i="48"/>
  <c r="X117" i="19"/>
  <c r="S113" i="48"/>
  <c r="X113" i="19"/>
  <c r="V109" i="48"/>
  <c r="AA109" i="19"/>
  <c r="F105" i="24"/>
  <c r="S105" i="48"/>
  <c r="X105" i="19"/>
  <c r="S101" i="48"/>
  <c r="X101" i="19"/>
  <c r="F97" i="24"/>
  <c r="V97" i="48"/>
  <c r="AA97" i="19"/>
  <c r="S93" i="48"/>
  <c r="X93" i="19"/>
  <c r="V89" i="48"/>
  <c r="AA89" i="19"/>
  <c r="E101" i="24"/>
  <c r="E93" i="24"/>
  <c r="F93" i="24" s="1"/>
  <c r="G93" i="24" s="1"/>
  <c r="E96" i="25"/>
  <c r="E92" i="25"/>
  <c r="G128" i="24"/>
  <c r="V128" i="48"/>
  <c r="AA128" i="19"/>
  <c r="G124" i="24"/>
  <c r="S124" i="48"/>
  <c r="X124" i="19"/>
  <c r="G120" i="24"/>
  <c r="S120" i="48"/>
  <c r="X120" i="19"/>
  <c r="S116" i="48"/>
  <c r="X116" i="19"/>
  <c r="E108" i="24"/>
  <c r="F108" i="24" s="1"/>
  <c r="S108" i="48"/>
  <c r="X108" i="19"/>
  <c r="G104" i="24"/>
  <c r="S104" i="48"/>
  <c r="X104" i="19"/>
  <c r="AL100" i="48"/>
  <c r="G96" i="24"/>
  <c r="V96" i="48"/>
  <c r="AA96" i="19"/>
  <c r="V92" i="48"/>
  <c r="AA92" i="19"/>
  <c r="E129" i="24"/>
  <c r="E121" i="24"/>
  <c r="E109" i="24"/>
  <c r="E100" i="24"/>
  <c r="E92" i="24"/>
  <c r="E107" i="25"/>
  <c r="E91" i="25"/>
  <c r="G127" i="24"/>
  <c r="S127" i="48"/>
  <c r="X127" i="19"/>
  <c r="S123" i="48"/>
  <c r="X123" i="19"/>
  <c r="AL119" i="48"/>
  <c r="S115" i="48"/>
  <c r="X115" i="19"/>
  <c r="G111" i="24"/>
  <c r="S111" i="48"/>
  <c r="X111" i="19"/>
  <c r="V107" i="48"/>
  <c r="AA107" i="19"/>
  <c r="G103" i="24"/>
  <c r="S103" i="48"/>
  <c r="X103" i="19"/>
  <c r="AL99" i="48"/>
  <c r="G95" i="24"/>
  <c r="S95" i="48"/>
  <c r="X95" i="19"/>
  <c r="G91" i="24"/>
  <c r="V91" i="48"/>
  <c r="AA91" i="19"/>
  <c r="E128" i="24"/>
  <c r="E120" i="24"/>
  <c r="E105" i="24"/>
  <c r="E97" i="24"/>
  <c r="E98" i="25"/>
  <c r="E90" i="25"/>
  <c r="F130" i="24"/>
  <c r="S130" i="48"/>
  <c r="X130" i="19"/>
  <c r="AE126" i="48"/>
  <c r="AJ126" i="19"/>
  <c r="S122" i="48"/>
  <c r="X122" i="19"/>
  <c r="F118" i="24"/>
  <c r="S118" i="48"/>
  <c r="X118" i="19"/>
  <c r="F114" i="24"/>
  <c r="S114" i="48"/>
  <c r="X114" i="19"/>
  <c r="V110" i="48"/>
  <c r="AA110" i="19"/>
  <c r="S106" i="48"/>
  <c r="X106" i="19"/>
  <c r="S102" i="48"/>
  <c r="X102" i="19"/>
  <c r="F98" i="24"/>
  <c r="V98" i="48"/>
  <c r="AA98" i="19"/>
  <c r="V94" i="48"/>
  <c r="AA94" i="19"/>
  <c r="F90" i="24"/>
  <c r="V90" i="48"/>
  <c r="AA90" i="19"/>
  <c r="E125" i="24"/>
  <c r="E117" i="24"/>
  <c r="E104" i="24"/>
  <c r="E96" i="24"/>
  <c r="O145" i="45"/>
  <c r="M144" i="28"/>
  <c r="AO142" i="48"/>
  <c r="AP142" i="48" s="1"/>
  <c r="F125" i="23"/>
  <c r="V125" i="48"/>
  <c r="AA125" i="19"/>
  <c r="F117" i="23"/>
  <c r="V117" i="48"/>
  <c r="AA117" i="19"/>
  <c r="V101" i="48"/>
  <c r="AA101" i="19"/>
  <c r="S89" i="48"/>
  <c r="X89" i="19"/>
  <c r="F128" i="23"/>
  <c r="S128" i="48"/>
  <c r="X128" i="19"/>
  <c r="AD124" i="48"/>
  <c r="AI124" i="19"/>
  <c r="F120" i="23"/>
  <c r="V120" i="48"/>
  <c r="AA120" i="19"/>
  <c r="V116" i="48"/>
  <c r="AA116" i="19"/>
  <c r="F112" i="23"/>
  <c r="S112" i="48"/>
  <c r="X112" i="19"/>
  <c r="V108" i="48"/>
  <c r="AA108" i="19"/>
  <c r="F104" i="23"/>
  <c r="V104" i="48"/>
  <c r="AA104" i="19"/>
  <c r="F100" i="23"/>
  <c r="S100" i="48"/>
  <c r="X100" i="19"/>
  <c r="F96" i="23"/>
  <c r="S96" i="48"/>
  <c r="X96" i="19"/>
  <c r="S92" i="48"/>
  <c r="X92" i="19"/>
  <c r="AD127" i="48"/>
  <c r="AI127" i="19"/>
  <c r="E125" i="25"/>
  <c r="F129" i="23"/>
  <c r="V129" i="48"/>
  <c r="AA129" i="19"/>
  <c r="F121" i="23"/>
  <c r="V121" i="48"/>
  <c r="AA121" i="19"/>
  <c r="S109" i="48"/>
  <c r="X109" i="19"/>
  <c r="F97" i="23"/>
  <c r="S97" i="48"/>
  <c r="X97" i="19"/>
  <c r="V127" i="48"/>
  <c r="AA127" i="19"/>
  <c r="V123" i="48"/>
  <c r="AA123" i="19"/>
  <c r="S119" i="48"/>
  <c r="X119" i="19"/>
  <c r="V115" i="48"/>
  <c r="AA115" i="19"/>
  <c r="AD111" i="48"/>
  <c r="AI111" i="19"/>
  <c r="S107" i="48"/>
  <c r="X107" i="19"/>
  <c r="S99" i="48"/>
  <c r="X99" i="19"/>
  <c r="V95" i="48"/>
  <c r="AA95" i="19"/>
  <c r="S91" i="48"/>
  <c r="X91" i="19"/>
  <c r="F119" i="23"/>
  <c r="E120" i="25"/>
  <c r="E104" i="25"/>
  <c r="BA142" i="48"/>
  <c r="K144" i="47"/>
  <c r="K144" i="46"/>
  <c r="K144" i="45"/>
  <c r="K144" i="44"/>
  <c r="J143" i="28"/>
  <c r="AD113" i="48"/>
  <c r="AI113" i="19"/>
  <c r="F105" i="23"/>
  <c r="V105" i="48"/>
  <c r="AA105" i="19"/>
  <c r="V93" i="48"/>
  <c r="AA93" i="19"/>
  <c r="G105" i="23"/>
  <c r="G130" i="23"/>
  <c r="V130" i="48"/>
  <c r="AA130" i="19"/>
  <c r="G126" i="23"/>
  <c r="S126" i="48"/>
  <c r="X126" i="19"/>
  <c r="E122" i="23"/>
  <c r="V122" i="48"/>
  <c r="AA122" i="19"/>
  <c r="G118" i="23"/>
  <c r="V118" i="48"/>
  <c r="AA118" i="19"/>
  <c r="G114" i="23"/>
  <c r="V114" i="48"/>
  <c r="AA114" i="19"/>
  <c r="S110" i="48"/>
  <c r="X110" i="19"/>
  <c r="V106" i="48"/>
  <c r="AA106" i="19"/>
  <c r="V102" i="48"/>
  <c r="AA102" i="19"/>
  <c r="G98" i="23"/>
  <c r="S98" i="48"/>
  <c r="X98" i="19"/>
  <c r="S94" i="48"/>
  <c r="X94" i="19"/>
  <c r="G90" i="23"/>
  <c r="S90" i="48"/>
  <c r="X90" i="19"/>
  <c r="E98" i="23"/>
  <c r="G121" i="23"/>
  <c r="E123" i="25"/>
  <c r="E95" i="25"/>
  <c r="E127" i="25"/>
  <c r="F127" i="25" s="1"/>
  <c r="K146" i="47"/>
  <c r="K146" i="46"/>
  <c r="K146" i="45"/>
  <c r="K146" i="44"/>
  <c r="J145" i="28"/>
  <c r="AJ125" i="48"/>
  <c r="AX125" i="48" s="1"/>
  <c r="AO125" i="19"/>
  <c r="AJ98" i="48"/>
  <c r="AX98" i="48" s="1"/>
  <c r="AO98" i="19"/>
  <c r="F129" i="22"/>
  <c r="P129" i="48"/>
  <c r="U129" i="19"/>
  <c r="F117" i="22"/>
  <c r="P117" i="48"/>
  <c r="U117" i="19"/>
  <c r="F100" i="22"/>
  <c r="P100" i="48"/>
  <c r="U100" i="19"/>
  <c r="F130" i="22"/>
  <c r="P130" i="48"/>
  <c r="U130" i="19"/>
  <c r="F126" i="22"/>
  <c r="P126" i="48"/>
  <c r="U126" i="19"/>
  <c r="P122" i="48"/>
  <c r="U122" i="19"/>
  <c r="F118" i="22"/>
  <c r="P118" i="48"/>
  <c r="U118" i="19"/>
  <c r="F114" i="22"/>
  <c r="P114" i="48"/>
  <c r="U114" i="19"/>
  <c r="P110" i="48"/>
  <c r="U110" i="19"/>
  <c r="E106" i="22"/>
  <c r="P106" i="48"/>
  <c r="U106" i="19"/>
  <c r="P102" i="48"/>
  <c r="U102" i="19"/>
  <c r="F97" i="22"/>
  <c r="P97" i="48"/>
  <c r="U97" i="19"/>
  <c r="F93" i="22"/>
  <c r="G93" i="22" s="1"/>
  <c r="P93" i="48"/>
  <c r="U93" i="19"/>
  <c r="E89" i="22"/>
  <c r="P89" i="48"/>
  <c r="U89" i="19"/>
  <c r="E125" i="22"/>
  <c r="E114" i="22"/>
  <c r="E97" i="22"/>
  <c r="G126" i="22"/>
  <c r="G117" i="22"/>
  <c r="AW142" i="19"/>
  <c r="BG142" i="19" s="1"/>
  <c r="F121" i="22"/>
  <c r="P121" i="48"/>
  <c r="U121" i="19"/>
  <c r="P113" i="48"/>
  <c r="U113" i="19"/>
  <c r="F105" i="22"/>
  <c r="P105" i="48"/>
  <c r="U105" i="19"/>
  <c r="F96" i="22"/>
  <c r="P96" i="48"/>
  <c r="U96" i="19"/>
  <c r="P92" i="48"/>
  <c r="U92" i="19"/>
  <c r="E121" i="22"/>
  <c r="E105" i="22"/>
  <c r="AJ114" i="48"/>
  <c r="AX114" i="48" s="1"/>
  <c r="AO114" i="19"/>
  <c r="AJ97" i="48"/>
  <c r="AX97" i="48" s="1"/>
  <c r="AO97" i="19"/>
  <c r="F125" i="22"/>
  <c r="P125" i="48"/>
  <c r="U125" i="19"/>
  <c r="E109" i="22"/>
  <c r="F109" i="22" s="1"/>
  <c r="G109" i="22" s="1"/>
  <c r="P109" i="48"/>
  <c r="U109" i="19"/>
  <c r="F128" i="22"/>
  <c r="P128" i="48"/>
  <c r="U128" i="19"/>
  <c r="F124" i="22"/>
  <c r="P124" i="48"/>
  <c r="U124" i="19"/>
  <c r="F120" i="22"/>
  <c r="P120" i="48"/>
  <c r="U120" i="19"/>
  <c r="P116" i="48"/>
  <c r="U116" i="19"/>
  <c r="P112" i="48"/>
  <c r="AS112" i="48" s="1"/>
  <c r="U112" i="19"/>
  <c r="P108" i="48"/>
  <c r="AS108" i="48" s="1"/>
  <c r="U108" i="19"/>
  <c r="F104" i="22"/>
  <c r="P104" i="48"/>
  <c r="U104" i="19"/>
  <c r="G99" i="22"/>
  <c r="P99" i="48"/>
  <c r="U99" i="19"/>
  <c r="G95" i="22"/>
  <c r="P95" i="48"/>
  <c r="U95" i="19"/>
  <c r="G91" i="22"/>
  <c r="P91" i="48"/>
  <c r="U91" i="19"/>
  <c r="E129" i="22"/>
  <c r="E118" i="22"/>
  <c r="E102" i="22"/>
  <c r="F102" i="22" s="1"/>
  <c r="G102" i="22" s="1"/>
  <c r="G130" i="22"/>
  <c r="G121" i="22"/>
  <c r="G105" i="22"/>
  <c r="G127" i="22"/>
  <c r="P127" i="48"/>
  <c r="U127" i="19"/>
  <c r="P123" i="48"/>
  <c r="U123" i="19"/>
  <c r="G119" i="22"/>
  <c r="P119" i="48"/>
  <c r="U119" i="19"/>
  <c r="P115" i="48"/>
  <c r="U115" i="19"/>
  <c r="G111" i="22"/>
  <c r="P111" i="48"/>
  <c r="U111" i="19"/>
  <c r="P107" i="48"/>
  <c r="U107" i="19"/>
  <c r="G103" i="22"/>
  <c r="P103" i="48"/>
  <c r="U103" i="19"/>
  <c r="F98" i="22"/>
  <c r="P98" i="48"/>
  <c r="U98" i="19"/>
  <c r="P94" i="48"/>
  <c r="U94" i="19"/>
  <c r="E90" i="22"/>
  <c r="P90" i="48"/>
  <c r="U90" i="19"/>
  <c r="E117" i="22"/>
  <c r="E98" i="22"/>
  <c r="G129" i="22"/>
  <c r="AJ118" i="48"/>
  <c r="AX118" i="48" s="1"/>
  <c r="AO118" i="19"/>
  <c r="N145" i="44"/>
  <c r="N145" i="45"/>
  <c r="AI121" i="48"/>
  <c r="AW121" i="48" s="1"/>
  <c r="AN121" i="19"/>
  <c r="E125" i="21"/>
  <c r="M125" i="48"/>
  <c r="E121" i="21"/>
  <c r="M121" i="48"/>
  <c r="G117" i="21"/>
  <c r="M117" i="48"/>
  <c r="E109" i="21"/>
  <c r="M109" i="48"/>
  <c r="G105" i="21"/>
  <c r="M105" i="48"/>
  <c r="M101" i="48"/>
  <c r="E93" i="21"/>
  <c r="M93" i="48"/>
  <c r="E89" i="21"/>
  <c r="M89" i="48"/>
  <c r="BF142" i="19"/>
  <c r="AT142" i="19"/>
  <c r="AU142" i="19" s="1"/>
  <c r="J128" i="19"/>
  <c r="E128" i="48"/>
  <c r="E128" i="4"/>
  <c r="J104" i="19"/>
  <c r="E104" i="48"/>
  <c r="E104" i="4"/>
  <c r="J92" i="19"/>
  <c r="E92" i="48"/>
  <c r="E92" i="4"/>
  <c r="M142" i="44"/>
  <c r="E127" i="48"/>
  <c r="E127" i="4"/>
  <c r="E123" i="4"/>
  <c r="F123" i="4" s="1"/>
  <c r="E123" i="48"/>
  <c r="E119" i="48"/>
  <c r="E119" i="4"/>
  <c r="E115" i="4"/>
  <c r="F115" i="4" s="1"/>
  <c r="E115" i="48"/>
  <c r="E111" i="48"/>
  <c r="AS111" i="48" s="1"/>
  <c r="E111" i="4"/>
  <c r="F111" i="4" s="1"/>
  <c r="G111" i="4" s="1"/>
  <c r="E107" i="4"/>
  <c r="F107" i="4" s="1"/>
  <c r="G107" i="4" s="1"/>
  <c r="E107" i="48"/>
  <c r="AS107" i="48" s="1"/>
  <c r="E103" i="48"/>
  <c r="AS103" i="48" s="1"/>
  <c r="E103" i="4"/>
  <c r="E99" i="48"/>
  <c r="E99" i="4"/>
  <c r="E95" i="48"/>
  <c r="AS95" i="48" s="1"/>
  <c r="E95" i="4"/>
  <c r="E91" i="48"/>
  <c r="E91" i="4"/>
  <c r="F99" i="4"/>
  <c r="BG141" i="19"/>
  <c r="O142" i="47"/>
  <c r="O142" i="46"/>
  <c r="O142" i="45"/>
  <c r="BJ141" i="19"/>
  <c r="BI141" i="19"/>
  <c r="R142" i="44" s="1"/>
  <c r="BH141" i="19"/>
  <c r="O142" i="44"/>
  <c r="N141" i="28"/>
  <c r="J124" i="19"/>
  <c r="E124" i="48"/>
  <c r="AS124" i="48" s="1"/>
  <c r="E124" i="4"/>
  <c r="J120" i="19"/>
  <c r="E120" i="48"/>
  <c r="E120" i="4"/>
  <c r="E116" i="4"/>
  <c r="E116" i="48"/>
  <c r="E100" i="48"/>
  <c r="AS100" i="48" s="1"/>
  <c r="E100" i="4"/>
  <c r="E96" i="48"/>
  <c r="E96" i="4"/>
  <c r="F130" i="4"/>
  <c r="E130" i="48"/>
  <c r="E130" i="4"/>
  <c r="E126" i="48"/>
  <c r="AS126" i="48" s="1"/>
  <c r="E126" i="4"/>
  <c r="E118" i="48"/>
  <c r="E118" i="4"/>
  <c r="F114" i="4"/>
  <c r="E114" i="48"/>
  <c r="E114" i="4"/>
  <c r="E110" i="4"/>
  <c r="E110" i="48"/>
  <c r="E102" i="48"/>
  <c r="E102" i="4"/>
  <c r="F98" i="4"/>
  <c r="E98" i="48"/>
  <c r="AS98" i="48" s="1"/>
  <c r="E98" i="4"/>
  <c r="E94" i="4"/>
  <c r="F94" i="4" s="1"/>
  <c r="G94" i="4" s="1"/>
  <c r="E94" i="48"/>
  <c r="F91" i="4"/>
  <c r="M143" i="47"/>
  <c r="M143" i="46"/>
  <c r="M143" i="45"/>
  <c r="M143" i="44"/>
  <c r="L142" i="28"/>
  <c r="L142" i="47"/>
  <c r="L142" i="46"/>
  <c r="L142" i="45"/>
  <c r="L142" i="44"/>
  <c r="K141" i="28"/>
  <c r="J129" i="19"/>
  <c r="E129" i="48"/>
  <c r="AS129" i="48" s="1"/>
  <c r="E129" i="4"/>
  <c r="E125" i="48"/>
  <c r="E125" i="4"/>
  <c r="J121" i="19"/>
  <c r="E121" i="48"/>
  <c r="E121" i="4"/>
  <c r="E117" i="48"/>
  <c r="E117" i="4"/>
  <c r="E109" i="48"/>
  <c r="E109" i="4"/>
  <c r="F109" i="4" s="1"/>
  <c r="G109" i="4" s="1"/>
  <c r="J105" i="19"/>
  <c r="E105" i="48"/>
  <c r="E105" i="4"/>
  <c r="E101" i="4"/>
  <c r="E101" i="48"/>
  <c r="J97" i="19"/>
  <c r="E97" i="48"/>
  <c r="E97" i="4"/>
  <c r="E93" i="48"/>
  <c r="E93" i="4"/>
  <c r="N142" i="47"/>
  <c r="E122" i="22"/>
  <c r="F122" i="22" s="1"/>
  <c r="E113" i="22"/>
  <c r="F113" i="22" s="1"/>
  <c r="E110" i="22"/>
  <c r="F110" i="22" s="1"/>
  <c r="F106" i="22"/>
  <c r="E101" i="22"/>
  <c r="F101" i="22" s="1"/>
  <c r="E94" i="22"/>
  <c r="F94" i="22" s="1"/>
  <c r="F90" i="22"/>
  <c r="F89" i="22"/>
  <c r="F128" i="25"/>
  <c r="I128" i="25"/>
  <c r="H128" i="25"/>
  <c r="G128" i="25"/>
  <c r="H127" i="25"/>
  <c r="F90" i="25"/>
  <c r="H90" i="25"/>
  <c r="I90" i="25"/>
  <c r="G90" i="25"/>
  <c r="F124" i="25"/>
  <c r="I124" i="25"/>
  <c r="H124" i="25"/>
  <c r="G124" i="25"/>
  <c r="F120" i="25"/>
  <c r="I120" i="25"/>
  <c r="H120" i="25"/>
  <c r="G120" i="25"/>
  <c r="F104" i="25"/>
  <c r="I104" i="25"/>
  <c r="H104" i="25"/>
  <c r="G104" i="25"/>
  <c r="F100" i="25"/>
  <c r="I100" i="25"/>
  <c r="H100" i="25"/>
  <c r="G100" i="25"/>
  <c r="F96" i="25"/>
  <c r="I96" i="25"/>
  <c r="H96" i="25"/>
  <c r="G96" i="25"/>
  <c r="F92" i="25"/>
  <c r="G92" i="25" s="1"/>
  <c r="H92" i="25" s="1"/>
  <c r="I92" i="25" s="1"/>
  <c r="F130" i="25"/>
  <c r="H130" i="25"/>
  <c r="I130" i="25"/>
  <c r="G130" i="25"/>
  <c r="F126" i="25"/>
  <c r="H126" i="25"/>
  <c r="I126" i="25"/>
  <c r="G126" i="25"/>
  <c r="F98" i="25"/>
  <c r="H98" i="25"/>
  <c r="I98" i="25"/>
  <c r="G98" i="25"/>
  <c r="F123" i="25"/>
  <c r="F119" i="25"/>
  <c r="H119" i="25"/>
  <c r="I119" i="25"/>
  <c r="G119" i="25"/>
  <c r="F111" i="25"/>
  <c r="H111" i="25"/>
  <c r="G111" i="25"/>
  <c r="I111" i="25"/>
  <c r="F103" i="25"/>
  <c r="H103" i="25"/>
  <c r="I103" i="25"/>
  <c r="G103" i="25"/>
  <c r="F99" i="25"/>
  <c r="H99" i="25"/>
  <c r="G99" i="25"/>
  <c r="I99" i="25"/>
  <c r="F95" i="25"/>
  <c r="H95" i="25"/>
  <c r="G95" i="25"/>
  <c r="I95" i="25"/>
  <c r="F91" i="25"/>
  <c r="H91" i="25"/>
  <c r="G91" i="25"/>
  <c r="I91" i="25"/>
  <c r="I129" i="25"/>
  <c r="H129" i="25"/>
  <c r="G129" i="25"/>
  <c r="F125" i="25"/>
  <c r="I125" i="25"/>
  <c r="H125" i="25"/>
  <c r="G125" i="25"/>
  <c r="F112" i="25"/>
  <c r="G112" i="25" s="1"/>
  <c r="H112" i="25" s="1"/>
  <c r="E112" i="27"/>
  <c r="E113" i="24"/>
  <c r="F113" i="24" s="1"/>
  <c r="E110" i="25"/>
  <c r="F109" i="24"/>
  <c r="F107" i="25"/>
  <c r="G107" i="25" s="1"/>
  <c r="H107" i="25" s="1"/>
  <c r="F101" i="24"/>
  <c r="E89" i="24"/>
  <c r="F89" i="24" s="1"/>
  <c r="E122" i="4"/>
  <c r="F122" i="4" s="1"/>
  <c r="J113" i="19"/>
  <c r="E113" i="4"/>
  <c r="F113" i="4" s="1"/>
  <c r="J112" i="19"/>
  <c r="E112" i="4"/>
  <c r="J108" i="19"/>
  <c r="E108" i="4"/>
  <c r="F108" i="4" s="1"/>
  <c r="G108" i="4" s="1"/>
  <c r="E106" i="4"/>
  <c r="F106" i="4" s="1"/>
  <c r="E90" i="4"/>
  <c r="F90" i="4" s="1"/>
  <c r="J89" i="19"/>
  <c r="E89" i="4"/>
  <c r="E122" i="25"/>
  <c r="E116" i="25"/>
  <c r="E115" i="25"/>
  <c r="E108" i="25"/>
  <c r="E106" i="23"/>
  <c r="F106" i="23" s="1"/>
  <c r="E129" i="23"/>
  <c r="E121" i="23"/>
  <c r="E113" i="23"/>
  <c r="E105" i="23"/>
  <c r="E97" i="23"/>
  <c r="E89" i="23"/>
  <c r="F89" i="23" s="1"/>
  <c r="G117" i="23"/>
  <c r="E126" i="23"/>
  <c r="E118" i="23"/>
  <c r="E110" i="23"/>
  <c r="F110" i="23" s="1"/>
  <c r="E102" i="23"/>
  <c r="F102" i="23" s="1"/>
  <c r="G102" i="23" s="1"/>
  <c r="E94" i="23"/>
  <c r="F94" i="23" s="1"/>
  <c r="G129" i="23"/>
  <c r="G113" i="23"/>
  <c r="G97" i="23"/>
  <c r="E125" i="23"/>
  <c r="E117" i="23"/>
  <c r="E109" i="23"/>
  <c r="F109" i="23" s="1"/>
  <c r="E101" i="23"/>
  <c r="F101" i="23" s="1"/>
  <c r="E93" i="23"/>
  <c r="F93" i="23" s="1"/>
  <c r="G93" i="23" s="1"/>
  <c r="G125" i="23"/>
  <c r="E105" i="21"/>
  <c r="F127" i="21"/>
  <c r="R127" i="19"/>
  <c r="G119" i="21"/>
  <c r="R119" i="19"/>
  <c r="R111" i="19"/>
  <c r="F103" i="21"/>
  <c r="R103" i="19"/>
  <c r="G95" i="21"/>
  <c r="R95" i="19"/>
  <c r="G126" i="21"/>
  <c r="R126" i="19"/>
  <c r="G118" i="21"/>
  <c r="R118" i="19"/>
  <c r="R110" i="19"/>
  <c r="R102" i="19"/>
  <c r="R94" i="19"/>
  <c r="F129" i="21"/>
  <c r="R129" i="19"/>
  <c r="F125" i="21"/>
  <c r="R125" i="19"/>
  <c r="F121" i="21"/>
  <c r="R121" i="19"/>
  <c r="F117" i="21"/>
  <c r="R117" i="19"/>
  <c r="R113" i="19"/>
  <c r="F109" i="21"/>
  <c r="R109" i="19"/>
  <c r="F105" i="21"/>
  <c r="R105" i="19"/>
  <c r="R101" i="19"/>
  <c r="F97" i="21"/>
  <c r="R97" i="19"/>
  <c r="F93" i="21"/>
  <c r="R93" i="19"/>
  <c r="F89" i="21"/>
  <c r="R89" i="19"/>
  <c r="E117" i="21"/>
  <c r="E101" i="21"/>
  <c r="F101" i="21" s="1"/>
  <c r="G101" i="21" s="1"/>
  <c r="G129" i="21"/>
  <c r="G97" i="21"/>
  <c r="R123" i="19"/>
  <c r="R115" i="19"/>
  <c r="R107" i="19"/>
  <c r="G99" i="21"/>
  <c r="R99" i="19"/>
  <c r="F91" i="21"/>
  <c r="R91" i="19"/>
  <c r="G130" i="21"/>
  <c r="R130" i="19"/>
  <c r="R122" i="19"/>
  <c r="G114" i="21"/>
  <c r="R114" i="19"/>
  <c r="R106" i="19"/>
  <c r="G98" i="21"/>
  <c r="R98" i="19"/>
  <c r="R90" i="19"/>
  <c r="F128" i="21"/>
  <c r="R128" i="19"/>
  <c r="F124" i="21"/>
  <c r="R124" i="19"/>
  <c r="F120" i="21"/>
  <c r="R120" i="19"/>
  <c r="R116" i="19"/>
  <c r="R112" i="19"/>
  <c r="R108" i="19"/>
  <c r="F104" i="21"/>
  <c r="R104" i="19"/>
  <c r="F100" i="21"/>
  <c r="R100" i="19"/>
  <c r="F96" i="21"/>
  <c r="R96" i="19"/>
  <c r="R92" i="19"/>
  <c r="E129" i="21"/>
  <c r="E113" i="21"/>
  <c r="F113" i="21" s="1"/>
  <c r="E97" i="21"/>
  <c r="G125" i="21"/>
  <c r="G93" i="21"/>
  <c r="F117" i="4"/>
  <c r="J117" i="19"/>
  <c r="J109" i="19"/>
  <c r="F93" i="4"/>
  <c r="G93" i="4" s="1"/>
  <c r="J93" i="19"/>
  <c r="J116" i="19"/>
  <c r="G100" i="4"/>
  <c r="J100" i="19"/>
  <c r="G96" i="4"/>
  <c r="J96" i="19"/>
  <c r="G105" i="4"/>
  <c r="F125" i="4"/>
  <c r="J125" i="19"/>
  <c r="F101" i="4"/>
  <c r="J101" i="19"/>
  <c r="J127" i="19"/>
  <c r="J123" i="19"/>
  <c r="J119" i="19"/>
  <c r="J115" i="19"/>
  <c r="J111" i="19"/>
  <c r="J107" i="19"/>
  <c r="J103" i="19"/>
  <c r="J99" i="19"/>
  <c r="J95" i="19"/>
  <c r="J91" i="19"/>
  <c r="F127" i="4"/>
  <c r="F119" i="4"/>
  <c r="F103" i="4"/>
  <c r="F95" i="4"/>
  <c r="G129" i="4"/>
  <c r="G97" i="4"/>
  <c r="G130" i="4"/>
  <c r="J130" i="19"/>
  <c r="G126" i="4"/>
  <c r="J126" i="19"/>
  <c r="J122" i="19"/>
  <c r="G118" i="4"/>
  <c r="J118" i="19"/>
  <c r="G114" i="4"/>
  <c r="J114" i="19"/>
  <c r="J110" i="19"/>
  <c r="J106" i="19"/>
  <c r="G102" i="4"/>
  <c r="J102" i="19"/>
  <c r="G98" i="4"/>
  <c r="J98" i="19"/>
  <c r="J94" i="19"/>
  <c r="J90" i="19"/>
  <c r="F126" i="4"/>
  <c r="F118" i="4"/>
  <c r="F110" i="4"/>
  <c r="F102" i="4"/>
  <c r="G121" i="4"/>
  <c r="H127" i="3"/>
  <c r="O127" i="19"/>
  <c r="O123" i="19"/>
  <c r="H119" i="3"/>
  <c r="O119" i="19"/>
  <c r="O115" i="19"/>
  <c r="O111" i="19"/>
  <c r="O107" i="19"/>
  <c r="H103" i="3"/>
  <c r="O103" i="19"/>
  <c r="H99" i="3"/>
  <c r="O99" i="19"/>
  <c r="H95" i="3"/>
  <c r="O95" i="19"/>
  <c r="H91" i="3"/>
  <c r="O91" i="19"/>
  <c r="F104" i="3"/>
  <c r="G91" i="3"/>
  <c r="G124" i="3"/>
  <c r="O124" i="19"/>
  <c r="O116" i="19"/>
  <c r="O108" i="19"/>
  <c r="G100" i="3"/>
  <c r="O100" i="19"/>
  <c r="O92" i="19"/>
  <c r="F124" i="3"/>
  <c r="F92" i="3"/>
  <c r="G92" i="3" s="1"/>
  <c r="H92" i="3" s="1"/>
  <c r="H130" i="3"/>
  <c r="O130" i="19"/>
  <c r="H126" i="3"/>
  <c r="O126" i="19"/>
  <c r="O122" i="19"/>
  <c r="H118" i="3"/>
  <c r="O118" i="19"/>
  <c r="H114" i="3"/>
  <c r="O114" i="19"/>
  <c r="O110" i="19"/>
  <c r="O106" i="19"/>
  <c r="O102" i="19"/>
  <c r="H98" i="3"/>
  <c r="O98" i="19"/>
  <c r="O94" i="19"/>
  <c r="O90" i="19"/>
  <c r="F116" i="3"/>
  <c r="G116" i="3" s="1"/>
  <c r="F100" i="3"/>
  <c r="G119" i="3"/>
  <c r="G103" i="3"/>
  <c r="G128" i="3"/>
  <c r="O128" i="19"/>
  <c r="G120" i="3"/>
  <c r="O120" i="19"/>
  <c r="O112" i="19"/>
  <c r="G104" i="3"/>
  <c r="O104" i="19"/>
  <c r="G96" i="3"/>
  <c r="O96" i="19"/>
  <c r="F108" i="3"/>
  <c r="G108" i="3" s="1"/>
  <c r="H120" i="3"/>
  <c r="H125" i="3"/>
  <c r="O125" i="19"/>
  <c r="H121" i="3"/>
  <c r="O121" i="19"/>
  <c r="H117" i="3"/>
  <c r="O117" i="19"/>
  <c r="O113" i="19"/>
  <c r="O109" i="19"/>
  <c r="H105" i="3"/>
  <c r="O105" i="19"/>
  <c r="O101" i="19"/>
  <c r="H97" i="3"/>
  <c r="O97" i="19"/>
  <c r="O93" i="19"/>
  <c r="O89" i="19"/>
  <c r="F128" i="3"/>
  <c r="F112" i="3"/>
  <c r="G112" i="3" s="1"/>
  <c r="F96" i="3"/>
  <c r="G99" i="3"/>
  <c r="H124" i="3"/>
  <c r="F118" i="27"/>
  <c r="F102" i="27"/>
  <c r="E118" i="25"/>
  <c r="E106" i="25"/>
  <c r="F121" i="27"/>
  <c r="F117" i="27"/>
  <c r="F109" i="27"/>
  <c r="F105" i="27"/>
  <c r="F101" i="27"/>
  <c r="F97" i="27"/>
  <c r="F93" i="27"/>
  <c r="F89" i="27"/>
  <c r="E121" i="25"/>
  <c r="E117" i="25"/>
  <c r="E113" i="25"/>
  <c r="E109" i="25"/>
  <c r="E105" i="25"/>
  <c r="E101" i="25"/>
  <c r="E97" i="25"/>
  <c r="E93" i="25"/>
  <c r="E89" i="25"/>
  <c r="F122" i="27"/>
  <c r="F110" i="27"/>
  <c r="F98" i="27"/>
  <c r="F90" i="27"/>
  <c r="E114" i="25"/>
  <c r="E102" i="25"/>
  <c r="E94" i="25"/>
  <c r="E122" i="27"/>
  <c r="E118" i="27"/>
  <c r="E114" i="27"/>
  <c r="E110" i="27"/>
  <c r="E106" i="27"/>
  <c r="E102" i="27"/>
  <c r="E98" i="27"/>
  <c r="E94" i="27"/>
  <c r="E90" i="27"/>
  <c r="F124" i="27"/>
  <c r="F120" i="27"/>
  <c r="F116" i="27"/>
  <c r="F112" i="27"/>
  <c r="G112" i="27" s="1"/>
  <c r="F108" i="27"/>
  <c r="F104" i="27"/>
  <c r="F100" i="27"/>
  <c r="F96" i="27"/>
  <c r="F92" i="27"/>
  <c r="G122" i="27"/>
  <c r="G114" i="27"/>
  <c r="G110" i="27"/>
  <c r="G106" i="27"/>
  <c r="G98" i="27"/>
  <c r="G94" i="27"/>
  <c r="G90" i="27"/>
  <c r="E121" i="27"/>
  <c r="E117" i="27"/>
  <c r="E113" i="27"/>
  <c r="F113" i="27" s="1"/>
  <c r="G113" i="27" s="1"/>
  <c r="E109" i="27"/>
  <c r="E105" i="27"/>
  <c r="E101" i="27"/>
  <c r="E97" i="27"/>
  <c r="E93" i="27"/>
  <c r="E89" i="27"/>
  <c r="F123" i="27"/>
  <c r="F119" i="27"/>
  <c r="F115" i="27"/>
  <c r="F111" i="27"/>
  <c r="F107" i="27"/>
  <c r="F103" i="27"/>
  <c r="F99" i="27"/>
  <c r="F95" i="27"/>
  <c r="F91" i="27"/>
  <c r="E130" i="24"/>
  <c r="E126" i="24"/>
  <c r="E122" i="24"/>
  <c r="F122" i="24" s="1"/>
  <c r="E118" i="24"/>
  <c r="E114" i="24"/>
  <c r="E110" i="24"/>
  <c r="F110" i="24" s="1"/>
  <c r="E106" i="24"/>
  <c r="F106" i="24" s="1"/>
  <c r="E102" i="24"/>
  <c r="F102" i="24" s="1"/>
  <c r="G102" i="24" s="1"/>
  <c r="E98" i="24"/>
  <c r="E94" i="24"/>
  <c r="F94" i="24" s="1"/>
  <c r="E90" i="24"/>
  <c r="F128" i="24"/>
  <c r="F124" i="24"/>
  <c r="F120" i="24"/>
  <c r="F116" i="24"/>
  <c r="F112" i="24"/>
  <c r="F104" i="24"/>
  <c r="F100" i="24"/>
  <c r="F96" i="24"/>
  <c r="F92" i="24"/>
  <c r="G92" i="24" s="1"/>
  <c r="G130" i="24"/>
  <c r="G126" i="24"/>
  <c r="G118" i="24"/>
  <c r="G114" i="24"/>
  <c r="G98" i="24"/>
  <c r="G90" i="24"/>
  <c r="F127" i="24"/>
  <c r="F119" i="24"/>
  <c r="F111" i="24"/>
  <c r="F103" i="24"/>
  <c r="F99" i="24"/>
  <c r="F95" i="24"/>
  <c r="F91" i="24"/>
  <c r="G129" i="24"/>
  <c r="G125" i="24"/>
  <c r="G121" i="24"/>
  <c r="G117" i="24"/>
  <c r="G109" i="24"/>
  <c r="G105" i="24"/>
  <c r="G97" i="24"/>
  <c r="E127" i="24"/>
  <c r="E123" i="24"/>
  <c r="F123" i="24" s="1"/>
  <c r="E119" i="24"/>
  <c r="E115" i="24"/>
  <c r="F115" i="24" s="1"/>
  <c r="E111" i="24"/>
  <c r="E107" i="24"/>
  <c r="F107" i="24" s="1"/>
  <c r="E103" i="24"/>
  <c r="E99" i="24"/>
  <c r="E95" i="24"/>
  <c r="E91" i="24"/>
  <c r="G127" i="23"/>
  <c r="E127" i="23"/>
  <c r="E123" i="23"/>
  <c r="F123" i="23" s="1"/>
  <c r="G119" i="23"/>
  <c r="E119" i="23"/>
  <c r="E115" i="23"/>
  <c r="F115" i="23" s="1"/>
  <c r="G111" i="23"/>
  <c r="E111" i="23"/>
  <c r="E107" i="23"/>
  <c r="F107" i="23" s="1"/>
  <c r="G107" i="23" s="1"/>
  <c r="G103" i="23"/>
  <c r="E103" i="23"/>
  <c r="F103" i="23"/>
  <c r="G99" i="23"/>
  <c r="E99" i="23"/>
  <c r="F99" i="23"/>
  <c r="F95" i="23"/>
  <c r="G95" i="23"/>
  <c r="E95" i="23"/>
  <c r="F91" i="23"/>
  <c r="G91" i="23"/>
  <c r="E91" i="23"/>
  <c r="E128" i="23"/>
  <c r="E124" i="23"/>
  <c r="E120" i="23"/>
  <c r="E116" i="23"/>
  <c r="F116" i="23" s="1"/>
  <c r="E112" i="23"/>
  <c r="E108" i="23"/>
  <c r="F108" i="23" s="1"/>
  <c r="E104" i="23"/>
  <c r="E100" i="23"/>
  <c r="E96" i="23"/>
  <c r="E92" i="23"/>
  <c r="F92" i="23" s="1"/>
  <c r="G92" i="23" s="1"/>
  <c r="F130" i="23"/>
  <c r="F126" i="23"/>
  <c r="F122" i="23"/>
  <c r="F118" i="23"/>
  <c r="F114" i="23"/>
  <c r="F98" i="23"/>
  <c r="F90" i="23"/>
  <c r="G128" i="23"/>
  <c r="G124" i="23"/>
  <c r="G120" i="23"/>
  <c r="G112" i="23"/>
  <c r="G104" i="23"/>
  <c r="G100" i="23"/>
  <c r="G96" i="23"/>
  <c r="F95" i="22"/>
  <c r="E128" i="22"/>
  <c r="E124" i="22"/>
  <c r="E120" i="22"/>
  <c r="E116" i="22"/>
  <c r="F116" i="22" s="1"/>
  <c r="E112" i="22"/>
  <c r="F112" i="22" s="1"/>
  <c r="E108" i="22"/>
  <c r="F108" i="22" s="1"/>
  <c r="E104" i="22"/>
  <c r="E100" i="22"/>
  <c r="E96" i="22"/>
  <c r="E92" i="22"/>
  <c r="F92" i="22" s="1"/>
  <c r="G92" i="22" s="1"/>
  <c r="G128" i="22"/>
  <c r="G124" i="22"/>
  <c r="G120" i="22"/>
  <c r="G104" i="22"/>
  <c r="G100" i="22"/>
  <c r="G96" i="22"/>
  <c r="F127" i="22"/>
  <c r="F119" i="22"/>
  <c r="F111" i="22"/>
  <c r="F103" i="22"/>
  <c r="F99" i="22"/>
  <c r="F91" i="22"/>
  <c r="E127" i="22"/>
  <c r="E123" i="22"/>
  <c r="F123" i="22" s="1"/>
  <c r="E119" i="22"/>
  <c r="E115" i="22"/>
  <c r="F115" i="22" s="1"/>
  <c r="E111" i="22"/>
  <c r="E107" i="22"/>
  <c r="F107" i="22" s="1"/>
  <c r="E103" i="22"/>
  <c r="E99" i="22"/>
  <c r="E95" i="22"/>
  <c r="E91" i="22"/>
  <c r="F119" i="21"/>
  <c r="F99" i="21"/>
  <c r="E128" i="21"/>
  <c r="E124" i="21"/>
  <c r="E120" i="21"/>
  <c r="E116" i="21"/>
  <c r="F116" i="21" s="1"/>
  <c r="E112" i="21"/>
  <c r="F112" i="21" s="1"/>
  <c r="E108" i="21"/>
  <c r="F108" i="21" s="1"/>
  <c r="E104" i="21"/>
  <c r="E100" i="21"/>
  <c r="E96" i="21"/>
  <c r="E92" i="21"/>
  <c r="F92" i="21" s="1"/>
  <c r="G92" i="21" s="1"/>
  <c r="F130" i="21"/>
  <c r="F126" i="21"/>
  <c r="F118" i="21"/>
  <c r="F114" i="21"/>
  <c r="F98" i="21"/>
  <c r="F90" i="21"/>
  <c r="G128" i="21"/>
  <c r="G124" i="21"/>
  <c r="G120" i="21"/>
  <c r="G104" i="21"/>
  <c r="G100" i="21"/>
  <c r="G96" i="21"/>
  <c r="F95" i="21"/>
  <c r="E127" i="21"/>
  <c r="E123" i="21"/>
  <c r="F123" i="21" s="1"/>
  <c r="E119" i="21"/>
  <c r="E115" i="21"/>
  <c r="F115" i="21" s="1"/>
  <c r="E111" i="21"/>
  <c r="F111" i="21" s="1"/>
  <c r="G111" i="21" s="1"/>
  <c r="E107" i="21"/>
  <c r="F107" i="21" s="1"/>
  <c r="E103" i="21"/>
  <c r="E99" i="21"/>
  <c r="E95" i="21"/>
  <c r="E91" i="21"/>
  <c r="G127" i="21"/>
  <c r="G103" i="21"/>
  <c r="G91" i="21"/>
  <c r="E130" i="21"/>
  <c r="E126" i="21"/>
  <c r="E122" i="21"/>
  <c r="F122" i="21" s="1"/>
  <c r="E118" i="21"/>
  <c r="E114" i="21"/>
  <c r="E110" i="21"/>
  <c r="F110" i="21" s="1"/>
  <c r="E106" i="21"/>
  <c r="F106" i="21" s="1"/>
  <c r="E102" i="21"/>
  <c r="F102" i="21" s="1"/>
  <c r="G102" i="21" s="1"/>
  <c r="E98" i="21"/>
  <c r="E94" i="21"/>
  <c r="F94" i="21" s="1"/>
  <c r="E90" i="21"/>
  <c r="F127" i="3"/>
  <c r="F123" i="3"/>
  <c r="G123" i="3" s="1"/>
  <c r="F119" i="3"/>
  <c r="F115" i="3"/>
  <c r="G115" i="3" s="1"/>
  <c r="F111" i="3"/>
  <c r="G111" i="3" s="1"/>
  <c r="H111" i="3" s="1"/>
  <c r="F107" i="3"/>
  <c r="G107" i="3" s="1"/>
  <c r="F103" i="3"/>
  <c r="F99" i="3"/>
  <c r="F95" i="3"/>
  <c r="F91" i="3"/>
  <c r="G126" i="3"/>
  <c r="G118" i="3"/>
  <c r="G114" i="3"/>
  <c r="G98" i="3"/>
  <c r="F126" i="3"/>
  <c r="F122" i="3"/>
  <c r="G122" i="3" s="1"/>
  <c r="F118" i="3"/>
  <c r="F114" i="3"/>
  <c r="F110" i="3"/>
  <c r="G110" i="3" s="1"/>
  <c r="F106" i="3"/>
  <c r="G106" i="3" s="1"/>
  <c r="F102" i="3"/>
  <c r="G102" i="3" s="1"/>
  <c r="F98" i="3"/>
  <c r="F94" i="3"/>
  <c r="G94" i="3" s="1"/>
  <c r="F90" i="3"/>
  <c r="G90" i="3" s="1"/>
  <c r="G130" i="3"/>
  <c r="G125" i="3"/>
  <c r="G121" i="3"/>
  <c r="G117" i="3"/>
  <c r="G105" i="3"/>
  <c r="G97" i="3"/>
  <c r="F130" i="3"/>
  <c r="F125" i="3"/>
  <c r="F121" i="3"/>
  <c r="F117" i="3"/>
  <c r="F113" i="3"/>
  <c r="G113" i="3" s="1"/>
  <c r="F109" i="3"/>
  <c r="G109" i="3" s="1"/>
  <c r="F105" i="3"/>
  <c r="F101" i="3"/>
  <c r="G101" i="3" s="1"/>
  <c r="F97" i="3"/>
  <c r="F93" i="3"/>
  <c r="G93" i="3" s="1"/>
  <c r="H93" i="3" s="1"/>
  <c r="F89" i="3"/>
  <c r="G89" i="3" s="1"/>
  <c r="F128" i="4"/>
  <c r="F120" i="4"/>
  <c r="F112" i="4"/>
  <c r="G112" i="4" s="1"/>
  <c r="F104" i="4"/>
  <c r="F92" i="4"/>
  <c r="G128" i="4"/>
  <c r="G120" i="4"/>
  <c r="G104" i="4"/>
  <c r="F124" i="4"/>
  <c r="F116" i="4"/>
  <c r="F100" i="4"/>
  <c r="F96" i="4"/>
  <c r="G124" i="4"/>
  <c r="G92" i="4"/>
  <c r="F129" i="4"/>
  <c r="F121" i="4"/>
  <c r="F105" i="4"/>
  <c r="F97" i="4"/>
  <c r="F89" i="4"/>
  <c r="G89" i="4" s="1"/>
  <c r="G125" i="4"/>
  <c r="G117" i="4"/>
  <c r="G101" i="4"/>
  <c r="G127" i="4"/>
  <c r="G119" i="4"/>
  <c r="G103" i="4"/>
  <c r="G99" i="4"/>
  <c r="G95" i="4"/>
  <c r="G91" i="4"/>
  <c r="F129" i="3"/>
  <c r="G129" i="3" s="1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V76" i="48" s="1"/>
  <c r="D75" i="27"/>
  <c r="V75" i="48" s="1"/>
  <c r="D74" i="27"/>
  <c r="D73" i="27"/>
  <c r="D72" i="27"/>
  <c r="V72" i="48" s="1"/>
  <c r="D71" i="27"/>
  <c r="V71" i="48" s="1"/>
  <c r="D70" i="27"/>
  <c r="V70" i="48" s="1"/>
  <c r="D69" i="27"/>
  <c r="V69" i="48" s="1"/>
  <c r="D68" i="27"/>
  <c r="D67" i="27"/>
  <c r="D66" i="27"/>
  <c r="D65" i="27"/>
  <c r="D64" i="27"/>
  <c r="V64" i="48" s="1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V45" i="48" s="1"/>
  <c r="D44" i="27"/>
  <c r="V44" i="48" s="1"/>
  <c r="D43" i="27"/>
  <c r="V43" i="48" s="1"/>
  <c r="D42" i="27"/>
  <c r="D41" i="27"/>
  <c r="D40" i="27"/>
  <c r="D39" i="27"/>
  <c r="D38" i="27"/>
  <c r="V38" i="48" s="1"/>
  <c r="D37" i="27"/>
  <c r="D36" i="27"/>
  <c r="D35" i="27"/>
  <c r="V35" i="48" s="1"/>
  <c r="D34" i="27"/>
  <c r="D33" i="27"/>
  <c r="D32" i="27"/>
  <c r="D31" i="27"/>
  <c r="D30" i="27"/>
  <c r="V30" i="48" s="1"/>
  <c r="D29" i="27"/>
  <c r="V29" i="48" s="1"/>
  <c r="D28" i="27"/>
  <c r="D27" i="27"/>
  <c r="D26" i="27"/>
  <c r="D25" i="27"/>
  <c r="D24" i="27"/>
  <c r="D23" i="27"/>
  <c r="D22" i="27"/>
  <c r="D21" i="27"/>
  <c r="D20" i="27"/>
  <c r="V20" i="48" s="1"/>
  <c r="D19" i="27"/>
  <c r="D18" i="27"/>
  <c r="D17" i="27"/>
  <c r="D16" i="27"/>
  <c r="D15" i="27"/>
  <c r="D14" i="27"/>
  <c r="D13" i="27"/>
  <c r="D12" i="27"/>
  <c r="D11" i="27"/>
  <c r="D10" i="27"/>
  <c r="V10" i="48" s="1"/>
  <c r="D9" i="27"/>
  <c r="D8" i="27"/>
  <c r="D7" i="27"/>
  <c r="V7" i="48" s="1"/>
  <c r="D6" i="27"/>
  <c r="V6" i="48" s="1"/>
  <c r="D5" i="27"/>
  <c r="V5" i="48" s="1"/>
  <c r="D4" i="27"/>
  <c r="V4" i="48" s="1"/>
  <c r="D3" i="27"/>
  <c r="V3" i="48" s="1"/>
  <c r="D2" i="27"/>
  <c r="D3" i="24"/>
  <c r="D4" i="24"/>
  <c r="E4" i="24" s="1"/>
  <c r="D5" i="24"/>
  <c r="D6" i="24"/>
  <c r="S6" i="48" s="1"/>
  <c r="D7" i="24"/>
  <c r="D8" i="24"/>
  <c r="S8" i="48" s="1"/>
  <c r="D9" i="24"/>
  <c r="V9" i="48" s="1"/>
  <c r="D10" i="24"/>
  <c r="D11" i="24"/>
  <c r="D12" i="24"/>
  <c r="V12" i="48" s="1"/>
  <c r="D13" i="24"/>
  <c r="D14" i="24"/>
  <c r="S14" i="48" s="1"/>
  <c r="D15" i="24"/>
  <c r="D16" i="24"/>
  <c r="D17" i="24"/>
  <c r="D18" i="24"/>
  <c r="D19" i="24"/>
  <c r="D20" i="24"/>
  <c r="E20" i="24" s="1"/>
  <c r="D21" i="24"/>
  <c r="V21" i="48" s="1"/>
  <c r="D22" i="24"/>
  <c r="S22" i="48" s="1"/>
  <c r="D23" i="24"/>
  <c r="D24" i="24"/>
  <c r="E24" i="24" s="1"/>
  <c r="D25" i="24"/>
  <c r="S25" i="48" s="1"/>
  <c r="D26" i="24"/>
  <c r="D27" i="24"/>
  <c r="S27" i="48" s="1"/>
  <c r="D28" i="24"/>
  <c r="V28" i="48" s="1"/>
  <c r="D29" i="24"/>
  <c r="D30" i="24"/>
  <c r="S30" i="48" s="1"/>
  <c r="D31" i="24"/>
  <c r="D32" i="24"/>
  <c r="S32" i="48" s="1"/>
  <c r="D33" i="24"/>
  <c r="D34" i="24"/>
  <c r="S34" i="48" s="1"/>
  <c r="D35" i="24"/>
  <c r="D36" i="24"/>
  <c r="D37" i="24"/>
  <c r="D38" i="24"/>
  <c r="E38" i="24" s="1"/>
  <c r="D39" i="24"/>
  <c r="D40" i="24"/>
  <c r="E40" i="24" s="1"/>
  <c r="D41" i="24"/>
  <c r="D42" i="24"/>
  <c r="S42" i="48" s="1"/>
  <c r="D43" i="24"/>
  <c r="D44" i="24"/>
  <c r="D45" i="24"/>
  <c r="D46" i="24"/>
  <c r="D47" i="24"/>
  <c r="S47" i="48" s="1"/>
  <c r="D48" i="24"/>
  <c r="S48" i="48" s="1"/>
  <c r="D49" i="24"/>
  <c r="D50" i="24"/>
  <c r="S50" i="48" s="1"/>
  <c r="D51" i="24"/>
  <c r="D52" i="24"/>
  <c r="V52" i="48" s="1"/>
  <c r="D53" i="24"/>
  <c r="D54" i="24"/>
  <c r="S54" i="48" s="1"/>
  <c r="D55" i="24"/>
  <c r="S55" i="48" s="1"/>
  <c r="D56" i="24"/>
  <c r="V56" i="48" s="1"/>
  <c r="D57" i="24"/>
  <c r="D58" i="24"/>
  <c r="S58" i="48" s="1"/>
  <c r="D59" i="24"/>
  <c r="S59" i="48" s="1"/>
  <c r="D60" i="24"/>
  <c r="D61" i="24"/>
  <c r="D62" i="24"/>
  <c r="D63" i="24"/>
  <c r="D64" i="24"/>
  <c r="S64" i="48" s="1"/>
  <c r="D65" i="24"/>
  <c r="S65" i="48" s="1"/>
  <c r="D66" i="24"/>
  <c r="V66" i="48" s="1"/>
  <c r="D67" i="24"/>
  <c r="S67" i="48" s="1"/>
  <c r="D68" i="24"/>
  <c r="S68" i="48" s="1"/>
  <c r="D69" i="24"/>
  <c r="E69" i="24" s="1"/>
  <c r="D70" i="24"/>
  <c r="S70" i="48" s="1"/>
  <c r="D71" i="24"/>
  <c r="X71" i="19" s="1"/>
  <c r="D72" i="24"/>
  <c r="D73" i="24"/>
  <c r="D74" i="24"/>
  <c r="V74" i="48" s="1"/>
  <c r="D75" i="24"/>
  <c r="D76" i="24"/>
  <c r="S76" i="48" s="1"/>
  <c r="D77" i="24"/>
  <c r="D78" i="24"/>
  <c r="S78" i="48" s="1"/>
  <c r="D79" i="24"/>
  <c r="S79" i="48" s="1"/>
  <c r="D80" i="24"/>
  <c r="V80" i="48" s="1"/>
  <c r="D81" i="24"/>
  <c r="V81" i="48" s="1"/>
  <c r="D82" i="24"/>
  <c r="V82" i="48" s="1"/>
  <c r="D83" i="24"/>
  <c r="V83" i="48" s="1"/>
  <c r="D84" i="24"/>
  <c r="V84" i="48" s="1"/>
  <c r="D85" i="24"/>
  <c r="V85" i="48" s="1"/>
  <c r="D86" i="24"/>
  <c r="V86" i="48" s="1"/>
  <c r="D87" i="24"/>
  <c r="V87" i="48" s="1"/>
  <c r="D88" i="24"/>
  <c r="V88" i="48" s="1"/>
  <c r="E5" i="24"/>
  <c r="E28" i="24"/>
  <c r="E31" i="24"/>
  <c r="E32" i="24"/>
  <c r="E33" i="24"/>
  <c r="E35" i="24"/>
  <c r="E36" i="24"/>
  <c r="E39" i="24"/>
  <c r="E43" i="24"/>
  <c r="E44" i="24"/>
  <c r="E45" i="24"/>
  <c r="E48" i="24"/>
  <c r="E49" i="24"/>
  <c r="E51" i="24"/>
  <c r="E52" i="24"/>
  <c r="E55" i="24"/>
  <c r="E63" i="24"/>
  <c r="E64" i="24"/>
  <c r="E65" i="24"/>
  <c r="E67" i="24"/>
  <c r="E71" i="24"/>
  <c r="E72" i="24"/>
  <c r="E76" i="24"/>
  <c r="E79" i="24"/>
  <c r="E81" i="24"/>
  <c r="E83" i="24"/>
  <c r="E84" i="24"/>
  <c r="E88" i="24"/>
  <c r="D2" i="24"/>
  <c r="S2" i="48" s="1"/>
  <c r="E79" i="23"/>
  <c r="D3" i="23"/>
  <c r="X3" i="19" s="1"/>
  <c r="D4" i="23"/>
  <c r="D5" i="23"/>
  <c r="S5" i="48" s="1"/>
  <c r="D6" i="23"/>
  <c r="X6" i="19" s="1"/>
  <c r="D7" i="23"/>
  <c r="E7" i="23" s="1"/>
  <c r="D8" i="23"/>
  <c r="D9" i="23"/>
  <c r="S9" i="48" s="1"/>
  <c r="D10" i="23"/>
  <c r="D11" i="23"/>
  <c r="V11" i="48" s="1"/>
  <c r="D12" i="23"/>
  <c r="D13" i="23"/>
  <c r="D14" i="23"/>
  <c r="D15" i="23"/>
  <c r="D16" i="23"/>
  <c r="D17" i="23"/>
  <c r="V17" i="48" s="1"/>
  <c r="D18" i="23"/>
  <c r="D19" i="23"/>
  <c r="D20" i="23"/>
  <c r="E20" i="23" s="1"/>
  <c r="D21" i="23"/>
  <c r="D22" i="23"/>
  <c r="D23" i="23"/>
  <c r="D24" i="23"/>
  <c r="D25" i="23"/>
  <c r="D26" i="23"/>
  <c r="D27" i="23"/>
  <c r="D28" i="23"/>
  <c r="D29" i="23"/>
  <c r="D30" i="23"/>
  <c r="E30" i="23" s="1"/>
  <c r="D31" i="23"/>
  <c r="V31" i="48" s="1"/>
  <c r="D32" i="23"/>
  <c r="D33" i="23"/>
  <c r="D34" i="23"/>
  <c r="D35" i="23"/>
  <c r="D36" i="23"/>
  <c r="D37" i="23"/>
  <c r="D38" i="23"/>
  <c r="D39" i="23"/>
  <c r="S39" i="48" s="1"/>
  <c r="D40" i="23"/>
  <c r="D41" i="23"/>
  <c r="V41" i="48" s="1"/>
  <c r="D42" i="23"/>
  <c r="D43" i="23"/>
  <c r="E43" i="23" s="1"/>
  <c r="D44" i="23"/>
  <c r="D46" i="23"/>
  <c r="D47" i="23"/>
  <c r="D48" i="23"/>
  <c r="D49" i="23"/>
  <c r="V49" i="48" s="1"/>
  <c r="D50" i="23"/>
  <c r="D51" i="23"/>
  <c r="D52" i="23"/>
  <c r="D53" i="23"/>
  <c r="V53" i="48" s="1"/>
  <c r="D54" i="23"/>
  <c r="D55" i="23"/>
  <c r="E55" i="23" s="1"/>
  <c r="D56" i="23"/>
  <c r="D57" i="23"/>
  <c r="V57" i="48" s="1"/>
  <c r="D58" i="23"/>
  <c r="D59" i="23"/>
  <c r="D60" i="23"/>
  <c r="D61" i="23"/>
  <c r="D62" i="23"/>
  <c r="V62" i="48" s="1"/>
  <c r="D63" i="23"/>
  <c r="V63" i="48" s="1"/>
  <c r="D64" i="23"/>
  <c r="X64" i="19" s="1"/>
  <c r="D65" i="23"/>
  <c r="D66" i="23"/>
  <c r="D67" i="23"/>
  <c r="D68" i="23"/>
  <c r="D69" i="23"/>
  <c r="D70" i="23"/>
  <c r="X70" i="19" s="1"/>
  <c r="D71" i="23"/>
  <c r="S71" i="48" s="1"/>
  <c r="D72" i="23"/>
  <c r="D73" i="23"/>
  <c r="D74" i="23"/>
  <c r="D75" i="23"/>
  <c r="X75" i="19" s="1"/>
  <c r="D76" i="23"/>
  <c r="X76" i="19" s="1"/>
  <c r="D77" i="23"/>
  <c r="V77" i="48" s="1"/>
  <c r="D78" i="23"/>
  <c r="D79" i="23"/>
  <c r="D80" i="23"/>
  <c r="D81" i="23"/>
  <c r="D82" i="23"/>
  <c r="D83" i="23"/>
  <c r="D84" i="23"/>
  <c r="D85" i="23"/>
  <c r="D86" i="23"/>
  <c r="D87" i="23"/>
  <c r="E87" i="23" s="1"/>
  <c r="D88" i="23"/>
  <c r="D2" i="23"/>
  <c r="V2" i="48" s="1"/>
  <c r="G35" i="22"/>
  <c r="AJ35" i="48" s="1"/>
  <c r="AX35" i="48" s="1"/>
  <c r="G51" i="22"/>
  <c r="AJ51" i="48" s="1"/>
  <c r="AX51" i="48" s="1"/>
  <c r="G79" i="22"/>
  <c r="G83" i="22"/>
  <c r="E79" i="22"/>
  <c r="E83" i="22"/>
  <c r="D3" i="22"/>
  <c r="D4" i="22"/>
  <c r="D5" i="22"/>
  <c r="P5" i="48" s="1"/>
  <c r="D6" i="22"/>
  <c r="D7" i="22"/>
  <c r="P7" i="48" s="1"/>
  <c r="D8" i="22"/>
  <c r="D9" i="22"/>
  <c r="P9" i="48" s="1"/>
  <c r="D10" i="22"/>
  <c r="P10" i="48" s="1"/>
  <c r="D11" i="22"/>
  <c r="P11" i="48" s="1"/>
  <c r="D12" i="22"/>
  <c r="P12" i="48" s="1"/>
  <c r="D13" i="22"/>
  <c r="P13" i="48" s="1"/>
  <c r="D14" i="22"/>
  <c r="P14" i="48" s="1"/>
  <c r="D15" i="22"/>
  <c r="D16" i="22"/>
  <c r="D17" i="22"/>
  <c r="P17" i="48" s="1"/>
  <c r="D18" i="22"/>
  <c r="P18" i="48" s="1"/>
  <c r="D19" i="22"/>
  <c r="P19" i="48" s="1"/>
  <c r="D20" i="22"/>
  <c r="P20" i="48" s="1"/>
  <c r="D21" i="22"/>
  <c r="P21" i="48" s="1"/>
  <c r="D22" i="22"/>
  <c r="D23" i="22"/>
  <c r="P23" i="48" s="1"/>
  <c r="D24" i="22"/>
  <c r="P24" i="48" s="1"/>
  <c r="D25" i="22"/>
  <c r="P25" i="48" s="1"/>
  <c r="D26" i="22"/>
  <c r="D27" i="22"/>
  <c r="P27" i="48" s="1"/>
  <c r="D28" i="22"/>
  <c r="D29" i="22"/>
  <c r="P29" i="48" s="1"/>
  <c r="D30" i="22"/>
  <c r="P30" i="48" s="1"/>
  <c r="D31" i="22"/>
  <c r="D32" i="22"/>
  <c r="P32" i="48" s="1"/>
  <c r="D33" i="22"/>
  <c r="D34" i="22"/>
  <c r="D35" i="22"/>
  <c r="D36" i="22"/>
  <c r="D37" i="22"/>
  <c r="P37" i="48" s="1"/>
  <c r="D38" i="22"/>
  <c r="P38" i="48" s="1"/>
  <c r="D39" i="22"/>
  <c r="P39" i="48" s="1"/>
  <c r="D40" i="22"/>
  <c r="D41" i="22"/>
  <c r="P41" i="48" s="1"/>
  <c r="D42" i="22"/>
  <c r="D43" i="22"/>
  <c r="D44" i="22"/>
  <c r="D45" i="22"/>
  <c r="P45" i="48" s="1"/>
  <c r="D46" i="22"/>
  <c r="D47" i="22"/>
  <c r="P47" i="48" s="1"/>
  <c r="D48" i="22"/>
  <c r="D49" i="22"/>
  <c r="D50" i="22"/>
  <c r="P50" i="48" s="1"/>
  <c r="D51" i="22"/>
  <c r="D52" i="22"/>
  <c r="G52" i="22" s="1"/>
  <c r="AJ52" i="48" s="1"/>
  <c r="AX52" i="48" s="1"/>
  <c r="D53" i="22"/>
  <c r="P53" i="48" s="1"/>
  <c r="D54" i="22"/>
  <c r="D55" i="22"/>
  <c r="D56" i="22"/>
  <c r="P56" i="48" s="1"/>
  <c r="D57" i="22"/>
  <c r="P57" i="48" s="1"/>
  <c r="D58" i="22"/>
  <c r="P58" i="48" s="1"/>
  <c r="D59" i="22"/>
  <c r="P59" i="48" s="1"/>
  <c r="D60" i="22"/>
  <c r="P60" i="48" s="1"/>
  <c r="D61" i="22"/>
  <c r="P61" i="48" s="1"/>
  <c r="D62" i="22"/>
  <c r="P62" i="48" s="1"/>
  <c r="D63" i="22"/>
  <c r="D64" i="22"/>
  <c r="D65" i="22"/>
  <c r="D66" i="22"/>
  <c r="P66" i="48" s="1"/>
  <c r="D67" i="22"/>
  <c r="D68" i="22"/>
  <c r="D69" i="22"/>
  <c r="P69" i="48" s="1"/>
  <c r="D70" i="22"/>
  <c r="D71" i="22"/>
  <c r="D72" i="22"/>
  <c r="D73" i="22"/>
  <c r="P73" i="48" s="1"/>
  <c r="D74" i="22"/>
  <c r="P74" i="48" s="1"/>
  <c r="D75" i="22"/>
  <c r="D76" i="22"/>
  <c r="G76" i="22" s="1"/>
  <c r="AJ76" i="48" s="1"/>
  <c r="AX76" i="48" s="1"/>
  <c r="D77" i="22"/>
  <c r="P77" i="48" s="1"/>
  <c r="D78" i="22"/>
  <c r="P78" i="48" s="1"/>
  <c r="D79" i="22"/>
  <c r="D80" i="22"/>
  <c r="D81" i="22"/>
  <c r="D82" i="22"/>
  <c r="D83" i="22"/>
  <c r="D84" i="22"/>
  <c r="G84" i="22" s="1"/>
  <c r="D85" i="22"/>
  <c r="D86" i="22"/>
  <c r="D87" i="22"/>
  <c r="E87" i="22" s="1"/>
  <c r="D88" i="22"/>
  <c r="P88" i="48" s="1"/>
  <c r="D2" i="22"/>
  <c r="D3" i="21"/>
  <c r="M3" i="48" s="1"/>
  <c r="D4" i="21"/>
  <c r="M4" i="48" s="1"/>
  <c r="D5" i="21"/>
  <c r="M5" i="48" s="1"/>
  <c r="D6" i="21"/>
  <c r="D7" i="21"/>
  <c r="M7" i="48" s="1"/>
  <c r="D8" i="21"/>
  <c r="D9" i="21"/>
  <c r="M9" i="48" s="1"/>
  <c r="D10" i="21"/>
  <c r="M10" i="48" s="1"/>
  <c r="D11" i="21"/>
  <c r="M11" i="48" s="1"/>
  <c r="D12" i="21"/>
  <c r="D13" i="21"/>
  <c r="M13" i="48" s="1"/>
  <c r="D14" i="21"/>
  <c r="M14" i="48" s="1"/>
  <c r="D15" i="21"/>
  <c r="M15" i="48" s="1"/>
  <c r="D16" i="21"/>
  <c r="M16" i="48" s="1"/>
  <c r="D17" i="21"/>
  <c r="M17" i="48" s="1"/>
  <c r="D18" i="21"/>
  <c r="D19" i="21"/>
  <c r="D20" i="21"/>
  <c r="M20" i="48" s="1"/>
  <c r="D21" i="21"/>
  <c r="M21" i="48" s="1"/>
  <c r="D23" i="21"/>
  <c r="M23" i="48" s="1"/>
  <c r="D24" i="21"/>
  <c r="M24" i="48" s="1"/>
  <c r="D25" i="21"/>
  <c r="M25" i="48" s="1"/>
  <c r="D26" i="21"/>
  <c r="D27" i="21"/>
  <c r="M27" i="48" s="1"/>
  <c r="D28" i="21"/>
  <c r="E28" i="21" s="1"/>
  <c r="D29" i="21"/>
  <c r="M29" i="48" s="1"/>
  <c r="D30" i="21"/>
  <c r="M30" i="48" s="1"/>
  <c r="D31" i="21"/>
  <c r="D32" i="21"/>
  <c r="M32" i="48" s="1"/>
  <c r="D33" i="21"/>
  <c r="D34" i="21"/>
  <c r="D35" i="21"/>
  <c r="D36" i="21"/>
  <c r="D37" i="21"/>
  <c r="M37" i="48" s="1"/>
  <c r="D38" i="21"/>
  <c r="M38" i="48" s="1"/>
  <c r="D39" i="21"/>
  <c r="M39" i="48" s="1"/>
  <c r="D40" i="21"/>
  <c r="D41" i="21"/>
  <c r="M41" i="48" s="1"/>
  <c r="D42" i="21"/>
  <c r="D43" i="21"/>
  <c r="M43" i="48" s="1"/>
  <c r="D44" i="21"/>
  <c r="M44" i="48" s="1"/>
  <c r="D45" i="21"/>
  <c r="M45" i="48" s="1"/>
  <c r="D46" i="21"/>
  <c r="D47" i="21"/>
  <c r="M47" i="48" s="1"/>
  <c r="D48" i="21"/>
  <c r="D49" i="21"/>
  <c r="M49" i="48" s="1"/>
  <c r="D50" i="21"/>
  <c r="M50" i="48" s="1"/>
  <c r="D51" i="21"/>
  <c r="D52" i="21"/>
  <c r="D53" i="21"/>
  <c r="M53" i="48" s="1"/>
  <c r="D54" i="21"/>
  <c r="D55" i="21"/>
  <c r="D56" i="21"/>
  <c r="D57" i="21"/>
  <c r="M57" i="48" s="1"/>
  <c r="D58" i="21"/>
  <c r="M58" i="48" s="1"/>
  <c r="D59" i="21"/>
  <c r="M59" i="48" s="1"/>
  <c r="D60" i="21"/>
  <c r="M60" i="48" s="1"/>
  <c r="D61" i="21"/>
  <c r="M61" i="48" s="1"/>
  <c r="D62" i="21"/>
  <c r="M62" i="48" s="1"/>
  <c r="D63" i="21"/>
  <c r="D64" i="21"/>
  <c r="D65" i="21"/>
  <c r="M65" i="48" s="1"/>
  <c r="D66" i="21"/>
  <c r="M66" i="48" s="1"/>
  <c r="D67" i="21"/>
  <c r="D68" i="21"/>
  <c r="M68" i="48" s="1"/>
  <c r="D69" i="21"/>
  <c r="M69" i="48" s="1"/>
  <c r="D70" i="21"/>
  <c r="D71" i="21"/>
  <c r="D72" i="21"/>
  <c r="D73" i="21"/>
  <c r="M73" i="48" s="1"/>
  <c r="D74" i="21"/>
  <c r="M74" i="48" s="1"/>
  <c r="D75" i="21"/>
  <c r="M75" i="48" s="1"/>
  <c r="D76" i="21"/>
  <c r="D77" i="21"/>
  <c r="M77" i="48" s="1"/>
  <c r="D78" i="21"/>
  <c r="M78" i="48" s="1"/>
  <c r="D79" i="21"/>
  <c r="D80" i="21"/>
  <c r="D81" i="21"/>
  <c r="M81" i="48" s="1"/>
  <c r="D82" i="21"/>
  <c r="D83" i="21"/>
  <c r="D84" i="21"/>
  <c r="D85" i="21"/>
  <c r="D86" i="21"/>
  <c r="D87" i="21"/>
  <c r="D88" i="21"/>
  <c r="D2" i="21"/>
  <c r="P145" i="47" l="1"/>
  <c r="M141" i="28"/>
  <c r="H102" i="3"/>
  <c r="AA143" i="48"/>
  <c r="AF143" i="19"/>
  <c r="N142" i="44"/>
  <c r="M145" i="45"/>
  <c r="M145" i="47"/>
  <c r="M145" i="46"/>
  <c r="L144" i="28"/>
  <c r="AH140" i="48"/>
  <c r="AV140" i="48" s="1"/>
  <c r="AZ140" i="48" s="1"/>
  <c r="AM140" i="19"/>
  <c r="N142" i="45"/>
  <c r="M142" i="47"/>
  <c r="AV145" i="19"/>
  <c r="M146" i="45" s="1"/>
  <c r="M145" i="44"/>
  <c r="M142" i="45"/>
  <c r="AF140" i="19"/>
  <c r="AA140" i="48"/>
  <c r="L141" i="28"/>
  <c r="AF137" i="19"/>
  <c r="AA137" i="48"/>
  <c r="P145" i="46"/>
  <c r="Q145" i="44"/>
  <c r="P144" i="28"/>
  <c r="BB145" i="48"/>
  <c r="AS105" i="48"/>
  <c r="AS91" i="48"/>
  <c r="AS99" i="48"/>
  <c r="AS125" i="48"/>
  <c r="AS118" i="48"/>
  <c r="AS130" i="48"/>
  <c r="AS92" i="48"/>
  <c r="AS114" i="48"/>
  <c r="AS119" i="48"/>
  <c r="AS127" i="48"/>
  <c r="AS97" i="48"/>
  <c r="AS128" i="48"/>
  <c r="AS122" i="48"/>
  <c r="P145" i="44"/>
  <c r="O146" i="45"/>
  <c r="BH145" i="19"/>
  <c r="AT145" i="19"/>
  <c r="AU145" i="19" s="1"/>
  <c r="L146" i="44" s="1"/>
  <c r="BF145" i="19"/>
  <c r="N146" i="44" s="1"/>
  <c r="O143" i="44"/>
  <c r="AX116" i="19"/>
  <c r="AX111" i="19"/>
  <c r="E2" i="21"/>
  <c r="M2" i="48"/>
  <c r="AS110" i="48"/>
  <c r="AS93" i="48"/>
  <c r="E39" i="23"/>
  <c r="O146" i="46"/>
  <c r="G123" i="25"/>
  <c r="H123" i="25" s="1"/>
  <c r="AS123" i="48"/>
  <c r="AS106" i="48"/>
  <c r="AS102" i="48"/>
  <c r="E87" i="24"/>
  <c r="E85" i="24"/>
  <c r="E68" i="24"/>
  <c r="E59" i="24"/>
  <c r="E56" i="24"/>
  <c r="E47" i="24"/>
  <c r="E27" i="24"/>
  <c r="E25" i="24"/>
  <c r="E21" i="24"/>
  <c r="O143" i="46"/>
  <c r="AS116" i="48"/>
  <c r="AS109" i="48"/>
  <c r="AJ102" i="48"/>
  <c r="AX102" i="48" s="1"/>
  <c r="AO102" i="19"/>
  <c r="AS94" i="48"/>
  <c r="E2" i="22"/>
  <c r="P2" i="48"/>
  <c r="AS113" i="48"/>
  <c r="AD123" i="19"/>
  <c r="Y123" i="48"/>
  <c r="G123" i="4"/>
  <c r="AS90" i="48"/>
  <c r="BC142" i="48"/>
  <c r="E62" i="24"/>
  <c r="S62" i="48"/>
  <c r="E46" i="24"/>
  <c r="S46" i="48"/>
  <c r="E26" i="24"/>
  <c r="S26" i="48"/>
  <c r="E18" i="24"/>
  <c r="S18" i="48"/>
  <c r="G115" i="24"/>
  <c r="AE115" i="48"/>
  <c r="AJ115" i="19"/>
  <c r="AK93" i="48"/>
  <c r="AY93" i="48" s="1"/>
  <c r="AL93" i="48"/>
  <c r="AP93" i="19"/>
  <c r="AL117" i="48"/>
  <c r="AK117" i="48"/>
  <c r="AY117" i="48" s="1"/>
  <c r="AP117" i="19"/>
  <c r="AE91" i="48"/>
  <c r="AJ91" i="19"/>
  <c r="G107" i="24"/>
  <c r="AE107" i="48"/>
  <c r="AJ107" i="19"/>
  <c r="AL90" i="48"/>
  <c r="AL118" i="48"/>
  <c r="AK118" i="48"/>
  <c r="AY118" i="48" s="1"/>
  <c r="AP118" i="19"/>
  <c r="AE96" i="48"/>
  <c r="AJ96" i="19"/>
  <c r="G112" i="24"/>
  <c r="AE112" i="48"/>
  <c r="AJ112" i="19"/>
  <c r="AE128" i="48"/>
  <c r="AJ128" i="19"/>
  <c r="G101" i="24"/>
  <c r="AE101" i="48"/>
  <c r="AJ101" i="19"/>
  <c r="G113" i="24"/>
  <c r="AE113" i="48"/>
  <c r="AJ113" i="19"/>
  <c r="AE118" i="48"/>
  <c r="AJ118" i="19"/>
  <c r="AL91" i="48"/>
  <c r="AL103" i="48"/>
  <c r="AK103" i="48"/>
  <c r="AY103" i="48" s="1"/>
  <c r="AP103" i="19"/>
  <c r="AL92" i="48"/>
  <c r="AL104" i="48"/>
  <c r="AK104" i="48"/>
  <c r="AY104" i="48" s="1"/>
  <c r="AP104" i="19"/>
  <c r="AK120" i="48"/>
  <c r="AY120" i="48" s="1"/>
  <c r="AL120" i="48"/>
  <c r="AP120" i="19"/>
  <c r="AE125" i="48"/>
  <c r="AJ125" i="19"/>
  <c r="E77" i="24"/>
  <c r="S77" i="48"/>
  <c r="E73" i="24"/>
  <c r="S73" i="48"/>
  <c r="X61" i="19"/>
  <c r="S61" i="48"/>
  <c r="X57" i="19"/>
  <c r="S57" i="48"/>
  <c r="E53" i="24"/>
  <c r="S53" i="48"/>
  <c r="X49" i="19"/>
  <c r="S49" i="48"/>
  <c r="E41" i="24"/>
  <c r="S41" i="48"/>
  <c r="E37" i="24"/>
  <c r="S37" i="48"/>
  <c r="X33" i="19"/>
  <c r="S33" i="48"/>
  <c r="X29" i="19"/>
  <c r="S29" i="48"/>
  <c r="X17" i="19"/>
  <c r="S17" i="48"/>
  <c r="X13" i="19"/>
  <c r="S13" i="48"/>
  <c r="AL97" i="48"/>
  <c r="AL121" i="48"/>
  <c r="AK121" i="48"/>
  <c r="AY121" i="48" s="1"/>
  <c r="AP121" i="19"/>
  <c r="AE95" i="48"/>
  <c r="AJ95" i="19"/>
  <c r="AE111" i="48"/>
  <c r="AJ111" i="19"/>
  <c r="AL98" i="48"/>
  <c r="AL126" i="48"/>
  <c r="AE100" i="48"/>
  <c r="AJ100" i="19"/>
  <c r="G116" i="24"/>
  <c r="AE116" i="48"/>
  <c r="AJ116" i="19"/>
  <c r="G106" i="24"/>
  <c r="AE106" i="48"/>
  <c r="AJ106" i="19"/>
  <c r="G122" i="24"/>
  <c r="AE122" i="48"/>
  <c r="AJ122" i="19"/>
  <c r="AE114" i="48"/>
  <c r="AJ114" i="19"/>
  <c r="AK111" i="48"/>
  <c r="AY111" i="48" s="1"/>
  <c r="AL111" i="48"/>
  <c r="AP111" i="19"/>
  <c r="AE121" i="48"/>
  <c r="AJ121" i="19"/>
  <c r="E60" i="24"/>
  <c r="S60" i="48"/>
  <c r="X40" i="19"/>
  <c r="S40" i="48"/>
  <c r="X36" i="19"/>
  <c r="S36" i="48"/>
  <c r="X24" i="19"/>
  <c r="S24" i="48"/>
  <c r="X20" i="19"/>
  <c r="S20" i="48"/>
  <c r="X16" i="19"/>
  <c r="S16" i="48"/>
  <c r="G123" i="24"/>
  <c r="AE123" i="48"/>
  <c r="AJ123" i="19"/>
  <c r="AK105" i="48"/>
  <c r="AY105" i="48" s="1"/>
  <c r="AL105" i="48"/>
  <c r="AP105" i="19"/>
  <c r="AL125" i="48"/>
  <c r="AK125" i="48"/>
  <c r="AY125" i="48" s="1"/>
  <c r="AP125" i="19"/>
  <c r="AE99" i="48"/>
  <c r="AJ99" i="19"/>
  <c r="AE119" i="48"/>
  <c r="AJ119" i="19"/>
  <c r="AK102" i="48"/>
  <c r="AY102" i="48" s="1"/>
  <c r="AL102" i="48"/>
  <c r="AP102" i="19"/>
  <c r="AL130" i="48"/>
  <c r="AK130" i="48"/>
  <c r="AY130" i="48" s="1"/>
  <c r="AP130" i="19"/>
  <c r="AE104" i="48"/>
  <c r="AJ104" i="19"/>
  <c r="AE120" i="48"/>
  <c r="AJ120" i="19"/>
  <c r="G94" i="24"/>
  <c r="AE94" i="48"/>
  <c r="AJ94" i="19"/>
  <c r="G110" i="24"/>
  <c r="AE110" i="48"/>
  <c r="AJ110" i="19"/>
  <c r="AE109" i="48"/>
  <c r="AJ109" i="19"/>
  <c r="AE90" i="48"/>
  <c r="AJ90" i="19"/>
  <c r="AE102" i="48"/>
  <c r="AJ102" i="19"/>
  <c r="AL127" i="48"/>
  <c r="AK127" i="48"/>
  <c r="AY127" i="48" s="1"/>
  <c r="AP127" i="19"/>
  <c r="AL128" i="48"/>
  <c r="AE97" i="48"/>
  <c r="AJ97" i="19"/>
  <c r="AE117" i="48"/>
  <c r="AJ117" i="19"/>
  <c r="E75" i="24"/>
  <c r="S75" i="48"/>
  <c r="X63" i="19"/>
  <c r="S63" i="48"/>
  <c r="X51" i="19"/>
  <c r="S51" i="48"/>
  <c r="X43" i="19"/>
  <c r="S43" i="48"/>
  <c r="X39" i="19"/>
  <c r="V39" i="48"/>
  <c r="X31" i="19"/>
  <c r="S31" i="48"/>
  <c r="E23" i="24"/>
  <c r="S23" i="48"/>
  <c r="X19" i="19"/>
  <c r="S19" i="48"/>
  <c r="E15" i="24"/>
  <c r="S15" i="48"/>
  <c r="X11" i="19"/>
  <c r="S11" i="48"/>
  <c r="X7" i="19"/>
  <c r="S7" i="48"/>
  <c r="E3" i="24"/>
  <c r="S3" i="48"/>
  <c r="AL109" i="48"/>
  <c r="AK129" i="48"/>
  <c r="AY129" i="48" s="1"/>
  <c r="AL129" i="48"/>
  <c r="AP129" i="19"/>
  <c r="AE103" i="48"/>
  <c r="AJ103" i="19"/>
  <c r="AE127" i="48"/>
  <c r="AJ127" i="19"/>
  <c r="AL114" i="48"/>
  <c r="AK114" i="48"/>
  <c r="AY114" i="48" s="1"/>
  <c r="AP114" i="19"/>
  <c r="AE92" i="48"/>
  <c r="AJ92" i="19"/>
  <c r="G108" i="24"/>
  <c r="AE108" i="48"/>
  <c r="AJ108" i="19"/>
  <c r="AE124" i="48"/>
  <c r="AJ124" i="19"/>
  <c r="G89" i="24"/>
  <c r="AE89" i="48"/>
  <c r="AJ89" i="19"/>
  <c r="AE98" i="48"/>
  <c r="AJ98" i="19"/>
  <c r="AE130" i="48"/>
  <c r="AJ130" i="19"/>
  <c r="AL95" i="48"/>
  <c r="AK95" i="48"/>
  <c r="AY95" i="48" s="1"/>
  <c r="AP95" i="19"/>
  <c r="AL96" i="48"/>
  <c r="AL124" i="48"/>
  <c r="AK124" i="48"/>
  <c r="AY124" i="48" s="1"/>
  <c r="AP124" i="19"/>
  <c r="AE93" i="48"/>
  <c r="AJ93" i="19"/>
  <c r="AE105" i="48"/>
  <c r="AJ105" i="19"/>
  <c r="AE129" i="48"/>
  <c r="AJ129" i="19"/>
  <c r="X82" i="19"/>
  <c r="S82" i="48"/>
  <c r="E74" i="23"/>
  <c r="S74" i="48"/>
  <c r="X54" i="19"/>
  <c r="V54" i="48"/>
  <c r="X46" i="19"/>
  <c r="V46" i="48"/>
  <c r="X38" i="19"/>
  <c r="S38" i="48"/>
  <c r="E22" i="23"/>
  <c r="V22" i="48"/>
  <c r="AD102" i="48"/>
  <c r="AI102" i="19"/>
  <c r="E85" i="23"/>
  <c r="S85" i="48"/>
  <c r="X81" i="19"/>
  <c r="S81" i="48"/>
  <c r="X73" i="19"/>
  <c r="V73" i="48"/>
  <c r="X65" i="19"/>
  <c r="V65" i="48"/>
  <c r="X45" i="19"/>
  <c r="S45" i="48"/>
  <c r="X37" i="19"/>
  <c r="V37" i="48"/>
  <c r="X25" i="19"/>
  <c r="V25" i="48"/>
  <c r="X21" i="19"/>
  <c r="S21" i="48"/>
  <c r="E13" i="23"/>
  <c r="V13" i="48"/>
  <c r="AK112" i="48"/>
  <c r="AY112" i="48" s="1"/>
  <c r="AP112" i="19"/>
  <c r="G106" i="23"/>
  <c r="AD106" i="48"/>
  <c r="AI106" i="19"/>
  <c r="G116" i="23"/>
  <c r="AD116" i="48"/>
  <c r="AI116" i="19"/>
  <c r="AK99" i="48"/>
  <c r="AY99" i="48" s="1"/>
  <c r="AP99" i="19"/>
  <c r="G123" i="23"/>
  <c r="AD123" i="48"/>
  <c r="AI123" i="19"/>
  <c r="G89" i="23"/>
  <c r="AD89" i="48"/>
  <c r="AI89" i="19"/>
  <c r="AM126" i="48"/>
  <c r="AR126" i="19"/>
  <c r="AN92" i="48"/>
  <c r="AS92" i="19"/>
  <c r="AN100" i="48"/>
  <c r="AS100" i="19"/>
  <c r="AN120" i="48"/>
  <c r="AS120" i="19"/>
  <c r="AM90" i="48"/>
  <c r="AR90" i="19"/>
  <c r="AD97" i="48"/>
  <c r="AI97" i="19"/>
  <c r="AD129" i="48"/>
  <c r="AI129" i="19"/>
  <c r="AD100" i="48"/>
  <c r="AI100" i="19"/>
  <c r="AD112" i="48"/>
  <c r="AI112" i="19"/>
  <c r="E88" i="23"/>
  <c r="S88" i="48"/>
  <c r="E84" i="23"/>
  <c r="S84" i="48"/>
  <c r="E80" i="23"/>
  <c r="S80" i="48"/>
  <c r="E72" i="23"/>
  <c r="S72" i="48"/>
  <c r="X68" i="19"/>
  <c r="V68" i="48"/>
  <c r="X60" i="19"/>
  <c r="V60" i="48"/>
  <c r="X56" i="19"/>
  <c r="S56" i="48"/>
  <c r="E52" i="23"/>
  <c r="S52" i="48"/>
  <c r="X48" i="19"/>
  <c r="V48" i="48"/>
  <c r="X44" i="19"/>
  <c r="S44" i="48"/>
  <c r="E40" i="23"/>
  <c r="V40" i="48"/>
  <c r="E36" i="23"/>
  <c r="V36" i="48"/>
  <c r="X32" i="19"/>
  <c r="V32" i="48"/>
  <c r="X28" i="19"/>
  <c r="S28" i="48"/>
  <c r="E24" i="23"/>
  <c r="V24" i="48"/>
  <c r="E16" i="23"/>
  <c r="V16" i="48"/>
  <c r="X12" i="19"/>
  <c r="S12" i="48"/>
  <c r="X8" i="19"/>
  <c r="V8" i="48"/>
  <c r="X4" i="19"/>
  <c r="S4" i="48"/>
  <c r="E71" i="23"/>
  <c r="E31" i="23"/>
  <c r="AK96" i="48"/>
  <c r="AY96" i="48" s="1"/>
  <c r="AP96" i="19"/>
  <c r="G94" i="23"/>
  <c r="AD94" i="48"/>
  <c r="AI94" i="19"/>
  <c r="AD114" i="48"/>
  <c r="AI114" i="19"/>
  <c r="AD130" i="48"/>
  <c r="AI130" i="19"/>
  <c r="AK91" i="48"/>
  <c r="AY91" i="48" s="1"/>
  <c r="AP91" i="19"/>
  <c r="AD95" i="48"/>
  <c r="AI95" i="19"/>
  <c r="AD103" i="48"/>
  <c r="AI103" i="19"/>
  <c r="AK107" i="48"/>
  <c r="AY107" i="48" s="1"/>
  <c r="AP107" i="19"/>
  <c r="G115" i="23"/>
  <c r="AD115" i="48"/>
  <c r="AI115" i="19"/>
  <c r="AX127" i="19"/>
  <c r="AM125" i="48"/>
  <c r="AR125" i="19"/>
  <c r="AM129" i="48"/>
  <c r="AR129" i="19"/>
  <c r="AM91" i="48"/>
  <c r="AR91" i="19"/>
  <c r="AM95" i="48"/>
  <c r="AR95" i="19"/>
  <c r="AM99" i="48"/>
  <c r="AR99" i="19"/>
  <c r="AM103" i="48"/>
  <c r="AR103" i="19"/>
  <c r="AM111" i="48"/>
  <c r="AR111" i="19"/>
  <c r="AM119" i="48"/>
  <c r="AR119" i="19"/>
  <c r="BH142" i="19"/>
  <c r="O143" i="45"/>
  <c r="AS117" i="48"/>
  <c r="AS120" i="48"/>
  <c r="AS89" i="48"/>
  <c r="AD105" i="48"/>
  <c r="AI105" i="19"/>
  <c r="AD121" i="48"/>
  <c r="AI121" i="19"/>
  <c r="AD96" i="48"/>
  <c r="AI96" i="19"/>
  <c r="AD120" i="48"/>
  <c r="AI120" i="19"/>
  <c r="AD117" i="48"/>
  <c r="AI117" i="19"/>
  <c r="E86" i="23"/>
  <c r="S86" i="48"/>
  <c r="E78" i="23"/>
  <c r="V78" i="48"/>
  <c r="E66" i="23"/>
  <c r="S66" i="48"/>
  <c r="X58" i="19"/>
  <c r="V58" i="48"/>
  <c r="E50" i="23"/>
  <c r="V50" i="48"/>
  <c r="X42" i="19"/>
  <c r="V42" i="48"/>
  <c r="E34" i="23"/>
  <c r="V34" i="48"/>
  <c r="X26" i="19"/>
  <c r="V26" i="48"/>
  <c r="X18" i="19"/>
  <c r="V18" i="48"/>
  <c r="E14" i="23"/>
  <c r="V14" i="48"/>
  <c r="X10" i="19"/>
  <c r="S10" i="48"/>
  <c r="AK128" i="48"/>
  <c r="AY128" i="48" s="1"/>
  <c r="AP128" i="19"/>
  <c r="G122" i="23"/>
  <c r="AD122" i="48"/>
  <c r="AI122" i="19"/>
  <c r="AK119" i="48"/>
  <c r="AY119" i="48" s="1"/>
  <c r="AP119" i="19"/>
  <c r="X69" i="19"/>
  <c r="S69" i="48"/>
  <c r="E61" i="23"/>
  <c r="V61" i="48"/>
  <c r="E33" i="23"/>
  <c r="V33" i="48"/>
  <c r="AK92" i="48"/>
  <c r="AY92" i="48" s="1"/>
  <c r="AP92" i="19"/>
  <c r="AD90" i="48"/>
  <c r="AI90" i="19"/>
  <c r="AD126" i="48"/>
  <c r="AI126" i="19"/>
  <c r="G109" i="23"/>
  <c r="AD109" i="48"/>
  <c r="AI109" i="19"/>
  <c r="G110" i="23"/>
  <c r="AD110" i="48"/>
  <c r="AI110" i="19"/>
  <c r="AN103" i="48"/>
  <c r="AS103" i="19"/>
  <c r="AN119" i="48"/>
  <c r="AS119" i="19"/>
  <c r="AM98" i="48"/>
  <c r="AR98" i="19"/>
  <c r="AM130" i="48"/>
  <c r="AR130" i="19"/>
  <c r="AN96" i="48"/>
  <c r="AS96" i="19"/>
  <c r="AN104" i="48"/>
  <c r="AS104" i="19"/>
  <c r="AN124" i="48"/>
  <c r="AS124" i="19"/>
  <c r="AM127" i="48"/>
  <c r="AR127" i="19"/>
  <c r="AK98" i="48"/>
  <c r="AY98" i="48" s="1"/>
  <c r="AP98" i="19"/>
  <c r="AD125" i="48"/>
  <c r="AI125" i="19"/>
  <c r="X87" i="19"/>
  <c r="S87" i="48"/>
  <c r="X83" i="19"/>
  <c r="S83" i="48"/>
  <c r="X79" i="19"/>
  <c r="V79" i="48"/>
  <c r="X67" i="19"/>
  <c r="V67" i="48"/>
  <c r="X59" i="19"/>
  <c r="V59" i="48"/>
  <c r="X55" i="19"/>
  <c r="V55" i="48"/>
  <c r="E51" i="23"/>
  <c r="V51" i="48"/>
  <c r="X47" i="19"/>
  <c r="V47" i="48"/>
  <c r="X35" i="19"/>
  <c r="S35" i="48"/>
  <c r="X27" i="19"/>
  <c r="V27" i="48"/>
  <c r="X23" i="19"/>
  <c r="V23" i="48"/>
  <c r="E19" i="23"/>
  <c r="V19" i="48"/>
  <c r="X15" i="19"/>
  <c r="V15" i="48"/>
  <c r="E63" i="23"/>
  <c r="AK100" i="48"/>
  <c r="AY100" i="48" s="1"/>
  <c r="AP100" i="19"/>
  <c r="AD98" i="48"/>
  <c r="AI98" i="19"/>
  <c r="AD118" i="48"/>
  <c r="AI118" i="19"/>
  <c r="G108" i="23"/>
  <c r="AD108" i="48"/>
  <c r="AI108" i="19"/>
  <c r="AD91" i="48"/>
  <c r="AI91" i="19"/>
  <c r="AD99" i="48"/>
  <c r="AI99" i="19"/>
  <c r="AD107" i="48"/>
  <c r="AI107" i="19"/>
  <c r="I107" i="25"/>
  <c r="AM107" i="48"/>
  <c r="AR107" i="19"/>
  <c r="AN125" i="48"/>
  <c r="AS125" i="19"/>
  <c r="AN129" i="48"/>
  <c r="AS129" i="19"/>
  <c r="I127" i="25"/>
  <c r="AM128" i="48"/>
  <c r="AR128" i="19"/>
  <c r="BI142" i="19"/>
  <c r="R143" i="44" s="1"/>
  <c r="O143" i="47"/>
  <c r="AD93" i="48"/>
  <c r="AI93" i="19"/>
  <c r="AD92" i="48"/>
  <c r="AI92" i="19"/>
  <c r="AD128" i="48"/>
  <c r="AI128" i="19"/>
  <c r="G101" i="23"/>
  <c r="AD101" i="48"/>
  <c r="AI101" i="19"/>
  <c r="AK97" i="48"/>
  <c r="AY97" i="48" s="1"/>
  <c r="AP97" i="19"/>
  <c r="I112" i="25"/>
  <c r="AM112" i="48"/>
  <c r="AR112" i="19"/>
  <c r="AN91" i="48"/>
  <c r="AS91" i="19"/>
  <c r="AN95" i="48"/>
  <c r="AS95" i="19"/>
  <c r="AN99" i="48"/>
  <c r="AS99" i="19"/>
  <c r="AN111" i="48"/>
  <c r="AS111" i="19"/>
  <c r="AN98" i="48"/>
  <c r="AS98" i="19"/>
  <c r="AN126" i="48"/>
  <c r="AS126" i="19"/>
  <c r="AN130" i="48"/>
  <c r="AS130" i="19"/>
  <c r="AM92" i="48"/>
  <c r="AR92" i="19"/>
  <c r="AM96" i="48"/>
  <c r="AR96" i="19"/>
  <c r="AM100" i="48"/>
  <c r="AR100" i="19"/>
  <c r="AM104" i="48"/>
  <c r="AR104" i="19"/>
  <c r="AM120" i="48"/>
  <c r="AR120" i="19"/>
  <c r="AM124" i="48"/>
  <c r="AR124" i="19"/>
  <c r="AN90" i="48"/>
  <c r="AS90" i="19"/>
  <c r="G127" i="25"/>
  <c r="AN128" i="48"/>
  <c r="AS128" i="19"/>
  <c r="N142" i="28"/>
  <c r="BJ142" i="19"/>
  <c r="O142" i="28" s="1"/>
  <c r="AS121" i="48"/>
  <c r="AS96" i="48"/>
  <c r="AK90" i="48"/>
  <c r="AY90" i="48" s="1"/>
  <c r="AP90" i="19"/>
  <c r="AK126" i="48"/>
  <c r="AY126" i="48" s="1"/>
  <c r="AP126" i="19"/>
  <c r="AD119" i="48"/>
  <c r="AI119" i="19"/>
  <c r="AD104" i="48"/>
  <c r="AI104" i="19"/>
  <c r="AJ84" i="48"/>
  <c r="AX84" i="48" s="1"/>
  <c r="AO84" i="19"/>
  <c r="G82" i="22"/>
  <c r="P82" i="48"/>
  <c r="F70" i="22"/>
  <c r="AC70" i="48" s="1"/>
  <c r="P70" i="48"/>
  <c r="F80" i="22"/>
  <c r="P80" i="48"/>
  <c r="F72" i="22"/>
  <c r="AC72" i="48" s="1"/>
  <c r="P72" i="48"/>
  <c r="F64" i="22"/>
  <c r="AC64" i="48" s="1"/>
  <c r="P64" i="48"/>
  <c r="F48" i="22"/>
  <c r="AC48" i="48" s="1"/>
  <c r="P48" i="48"/>
  <c r="P40" i="48"/>
  <c r="F36" i="22"/>
  <c r="AC36" i="48" s="1"/>
  <c r="P36" i="48"/>
  <c r="F28" i="22"/>
  <c r="AC28" i="48" s="1"/>
  <c r="P28" i="48"/>
  <c r="E16" i="22"/>
  <c r="P16" i="48"/>
  <c r="E8" i="22"/>
  <c r="F8" i="22" s="1"/>
  <c r="P8" i="48"/>
  <c r="F87" i="22"/>
  <c r="G87" i="22" s="1"/>
  <c r="P87" i="48"/>
  <c r="F83" i="22"/>
  <c r="P83" i="48"/>
  <c r="F79" i="22"/>
  <c r="P79" i="48"/>
  <c r="E75" i="22"/>
  <c r="F75" i="22" s="1"/>
  <c r="AC75" i="48" s="1"/>
  <c r="P75" i="48"/>
  <c r="F71" i="22"/>
  <c r="AC71" i="48" s="1"/>
  <c r="P71" i="48"/>
  <c r="F67" i="22"/>
  <c r="AC67" i="48" s="1"/>
  <c r="P67" i="48"/>
  <c r="F63" i="22"/>
  <c r="AC63" i="48" s="1"/>
  <c r="P63" i="48"/>
  <c r="P55" i="48"/>
  <c r="F51" i="22"/>
  <c r="AC51" i="48" s="1"/>
  <c r="P51" i="48"/>
  <c r="E43" i="22"/>
  <c r="F43" i="22" s="1"/>
  <c r="P43" i="48"/>
  <c r="F35" i="22"/>
  <c r="AC35" i="48" s="1"/>
  <c r="P35" i="48"/>
  <c r="F31" i="22"/>
  <c r="AC31" i="48" s="1"/>
  <c r="P31" i="48"/>
  <c r="E15" i="22"/>
  <c r="P15" i="48"/>
  <c r="G3" i="22"/>
  <c r="AJ3" i="48" s="1"/>
  <c r="AX3" i="48" s="1"/>
  <c r="P3" i="48"/>
  <c r="E80" i="22"/>
  <c r="E71" i="22"/>
  <c r="E63" i="22"/>
  <c r="E51" i="22"/>
  <c r="E35" i="22"/>
  <c r="E24" i="22"/>
  <c r="F24" i="22" s="1"/>
  <c r="G80" i="22"/>
  <c r="G71" i="22"/>
  <c r="AJ71" i="48" s="1"/>
  <c r="AX71" i="48" s="1"/>
  <c r="G63" i="22"/>
  <c r="AJ63" i="48" s="1"/>
  <c r="AX63" i="48" s="1"/>
  <c r="G48" i="22"/>
  <c r="AJ48" i="48" s="1"/>
  <c r="AX48" i="48" s="1"/>
  <c r="G31" i="22"/>
  <c r="AJ31" i="48" s="1"/>
  <c r="AX31" i="48" s="1"/>
  <c r="AC111" i="48"/>
  <c r="AH111" i="19"/>
  <c r="AJ96" i="48"/>
  <c r="AX96" i="48" s="1"/>
  <c r="AO96" i="19"/>
  <c r="AJ124" i="48"/>
  <c r="AX124" i="48" s="1"/>
  <c r="AO124" i="19"/>
  <c r="G116" i="22"/>
  <c r="AC116" i="48"/>
  <c r="AH116" i="19"/>
  <c r="AC95" i="48"/>
  <c r="AH95" i="19"/>
  <c r="G90" i="22"/>
  <c r="AC90" i="48"/>
  <c r="AH90" i="19"/>
  <c r="AJ109" i="48"/>
  <c r="AX109" i="48" s="1"/>
  <c r="AO109" i="19"/>
  <c r="G122" i="22"/>
  <c r="AC122" i="48"/>
  <c r="AH122" i="19"/>
  <c r="AJ119" i="48"/>
  <c r="AX119" i="48" s="1"/>
  <c r="AO119" i="19"/>
  <c r="AJ121" i="48"/>
  <c r="AX121" i="48" s="1"/>
  <c r="AO121" i="19"/>
  <c r="AC104" i="48"/>
  <c r="AH104" i="19"/>
  <c r="AC124" i="48"/>
  <c r="AH124" i="19"/>
  <c r="AJ117" i="48"/>
  <c r="AX117" i="48" s="1"/>
  <c r="AO117" i="19"/>
  <c r="AC102" i="48"/>
  <c r="AH102" i="19"/>
  <c r="AC114" i="48"/>
  <c r="AH114" i="19"/>
  <c r="AC126" i="48"/>
  <c r="AH126" i="19"/>
  <c r="AC117" i="48"/>
  <c r="AH117" i="19"/>
  <c r="H99" i="47"/>
  <c r="H99" i="46"/>
  <c r="H99" i="45"/>
  <c r="H99" i="44"/>
  <c r="G98" i="28"/>
  <c r="BC98" i="19"/>
  <c r="G34" i="22"/>
  <c r="AJ34" i="48" s="1"/>
  <c r="AX34" i="48" s="1"/>
  <c r="P34" i="48"/>
  <c r="G26" i="22"/>
  <c r="AJ26" i="48" s="1"/>
  <c r="AX26" i="48" s="1"/>
  <c r="P26" i="48"/>
  <c r="E6" i="22"/>
  <c r="P6" i="48"/>
  <c r="E68" i="22"/>
  <c r="F68" i="22" s="1"/>
  <c r="AC68" i="48" s="1"/>
  <c r="E56" i="22"/>
  <c r="E48" i="22"/>
  <c r="E32" i="22"/>
  <c r="AJ79" i="48"/>
  <c r="AX79" i="48" s="1"/>
  <c r="AO79" i="19"/>
  <c r="G28" i="22"/>
  <c r="AJ28" i="48" s="1"/>
  <c r="AX28" i="48" s="1"/>
  <c r="G115" i="22"/>
  <c r="AC115" i="48"/>
  <c r="AH115" i="19"/>
  <c r="AC91" i="48"/>
  <c r="AH91" i="19"/>
  <c r="AC119" i="48"/>
  <c r="AH119" i="19"/>
  <c r="AJ100" i="48"/>
  <c r="AX100" i="48" s="1"/>
  <c r="AO100" i="19"/>
  <c r="AJ128" i="48"/>
  <c r="AX128" i="48" s="1"/>
  <c r="AO128" i="19"/>
  <c r="G123" i="22"/>
  <c r="AC123" i="48"/>
  <c r="AH123" i="19"/>
  <c r="G94" i="22"/>
  <c r="AC94" i="48"/>
  <c r="AH94" i="19"/>
  <c r="AC109" i="48"/>
  <c r="AH109" i="19"/>
  <c r="BC102" i="19"/>
  <c r="H103" i="47"/>
  <c r="H103" i="46"/>
  <c r="H103" i="45"/>
  <c r="H103" i="44"/>
  <c r="G102" i="28"/>
  <c r="AJ129" i="48"/>
  <c r="AX129" i="48" s="1"/>
  <c r="AO129" i="19"/>
  <c r="AJ127" i="48"/>
  <c r="AX127" i="48" s="1"/>
  <c r="AO127" i="19"/>
  <c r="AJ130" i="48"/>
  <c r="AX130" i="48" s="1"/>
  <c r="AO130" i="19"/>
  <c r="AJ99" i="48"/>
  <c r="AX99" i="48" s="1"/>
  <c r="AO99" i="19"/>
  <c r="AC120" i="48"/>
  <c r="AH120" i="19"/>
  <c r="AC125" i="48"/>
  <c r="AH125" i="19"/>
  <c r="H115" i="47"/>
  <c r="H115" i="46"/>
  <c r="H115" i="45"/>
  <c r="H115" i="44"/>
  <c r="G114" i="28"/>
  <c r="BC114" i="19"/>
  <c r="AC105" i="48"/>
  <c r="AH105" i="19"/>
  <c r="AJ126" i="48"/>
  <c r="AX126" i="48" s="1"/>
  <c r="AO126" i="19"/>
  <c r="AC97" i="48"/>
  <c r="AH97" i="19"/>
  <c r="AC100" i="48"/>
  <c r="AH100" i="19"/>
  <c r="P86" i="48"/>
  <c r="F54" i="22"/>
  <c r="AC54" i="48" s="1"/>
  <c r="P54" i="48"/>
  <c r="F46" i="22"/>
  <c r="AC46" i="48" s="1"/>
  <c r="P46" i="48"/>
  <c r="G42" i="22"/>
  <c r="AJ42" i="48" s="1"/>
  <c r="AX42" i="48" s="1"/>
  <c r="P42" i="48"/>
  <c r="F22" i="22"/>
  <c r="AC22" i="48" s="1"/>
  <c r="P22" i="48"/>
  <c r="G85" i="22"/>
  <c r="P85" i="48"/>
  <c r="G81" i="22"/>
  <c r="P81" i="48"/>
  <c r="G65" i="22"/>
  <c r="AJ65" i="48" s="1"/>
  <c r="AX65" i="48" s="1"/>
  <c r="P65" i="48"/>
  <c r="G49" i="22"/>
  <c r="AJ49" i="48" s="1"/>
  <c r="AX49" i="48" s="1"/>
  <c r="P49" i="48"/>
  <c r="G33" i="22"/>
  <c r="AJ33" i="48" s="1"/>
  <c r="AX33" i="48" s="1"/>
  <c r="P33" i="48"/>
  <c r="E84" i="22"/>
  <c r="E76" i="22"/>
  <c r="E67" i="22"/>
  <c r="E55" i="22"/>
  <c r="F55" i="22" s="1"/>
  <c r="E40" i="22"/>
  <c r="F40" i="22" s="1"/>
  <c r="E31" i="22"/>
  <c r="G67" i="22"/>
  <c r="AJ67" i="48" s="1"/>
  <c r="AX67" i="48" s="1"/>
  <c r="G36" i="22"/>
  <c r="AJ36" i="48" s="1"/>
  <c r="AX36" i="48" s="1"/>
  <c r="AC99" i="48"/>
  <c r="AH99" i="19"/>
  <c r="AC127" i="48"/>
  <c r="AH127" i="19"/>
  <c r="AJ104" i="48"/>
  <c r="AX104" i="48" s="1"/>
  <c r="AO104" i="19"/>
  <c r="G108" i="22"/>
  <c r="AC108" i="48"/>
  <c r="AH108" i="19"/>
  <c r="G101" i="22"/>
  <c r="AC101" i="48"/>
  <c r="AH101" i="19"/>
  <c r="G110" i="22"/>
  <c r="AC110" i="48"/>
  <c r="AH110" i="19"/>
  <c r="AS115" i="48"/>
  <c r="AS104" i="48"/>
  <c r="AJ103" i="48"/>
  <c r="AX103" i="48" s="1"/>
  <c r="AO103" i="19"/>
  <c r="AJ93" i="48"/>
  <c r="AX93" i="48" s="1"/>
  <c r="AO93" i="19"/>
  <c r="AJ95" i="48"/>
  <c r="AX95" i="48" s="1"/>
  <c r="AO95" i="19"/>
  <c r="AC96" i="48"/>
  <c r="AH96" i="19"/>
  <c r="AC121" i="48"/>
  <c r="AH121" i="19"/>
  <c r="AC93" i="48"/>
  <c r="AH93" i="19"/>
  <c r="BC125" i="19"/>
  <c r="H126" i="47"/>
  <c r="H126" i="46"/>
  <c r="H126" i="45"/>
  <c r="H126" i="44"/>
  <c r="G125" i="28"/>
  <c r="F84" i="22"/>
  <c r="P84" i="48"/>
  <c r="F76" i="22"/>
  <c r="AC76" i="48" s="1"/>
  <c r="P76" i="48"/>
  <c r="P68" i="48"/>
  <c r="F52" i="22"/>
  <c r="AC52" i="48" s="1"/>
  <c r="P52" i="48"/>
  <c r="E44" i="22"/>
  <c r="P44" i="48"/>
  <c r="E4" i="22"/>
  <c r="F4" i="22" s="1"/>
  <c r="P4" i="48"/>
  <c r="E72" i="22"/>
  <c r="E64" i="22"/>
  <c r="E52" i="22"/>
  <c r="E36" i="22"/>
  <c r="E28" i="22"/>
  <c r="AJ83" i="48"/>
  <c r="AX83" i="48" s="1"/>
  <c r="AO83" i="19"/>
  <c r="G72" i="22"/>
  <c r="AJ72" i="48" s="1"/>
  <c r="AX72" i="48" s="1"/>
  <c r="G64" i="22"/>
  <c r="AJ64" i="48" s="1"/>
  <c r="AX64" i="48" s="1"/>
  <c r="G107" i="22"/>
  <c r="AC107" i="48"/>
  <c r="AH107" i="19"/>
  <c r="AC103" i="48"/>
  <c r="AH103" i="19"/>
  <c r="AJ92" i="48"/>
  <c r="AX92" i="48" s="1"/>
  <c r="AO92" i="19"/>
  <c r="AJ120" i="48"/>
  <c r="AX120" i="48" s="1"/>
  <c r="AO120" i="19"/>
  <c r="G112" i="22"/>
  <c r="AC112" i="48"/>
  <c r="AH112" i="19"/>
  <c r="G89" i="22"/>
  <c r="AC89" i="48"/>
  <c r="AH89" i="19"/>
  <c r="G106" i="22"/>
  <c r="AC106" i="48"/>
  <c r="AH106" i="19"/>
  <c r="G113" i="22"/>
  <c r="AC113" i="48"/>
  <c r="AH113" i="19"/>
  <c r="H119" i="47"/>
  <c r="H119" i="46"/>
  <c r="H119" i="45"/>
  <c r="H119" i="44"/>
  <c r="G118" i="28"/>
  <c r="BC118" i="19"/>
  <c r="AC98" i="48"/>
  <c r="AH98" i="19"/>
  <c r="AJ111" i="48"/>
  <c r="AX111" i="48" s="1"/>
  <c r="AO111" i="19"/>
  <c r="AJ105" i="48"/>
  <c r="AX105" i="48" s="1"/>
  <c r="AO105" i="19"/>
  <c r="AJ91" i="48"/>
  <c r="AX91" i="48" s="1"/>
  <c r="AO91" i="19"/>
  <c r="AC128" i="48"/>
  <c r="AH128" i="19"/>
  <c r="BC97" i="19"/>
  <c r="H98" i="46"/>
  <c r="H98" i="47"/>
  <c r="H98" i="45"/>
  <c r="H98" i="44"/>
  <c r="G97" i="28"/>
  <c r="AC92" i="48"/>
  <c r="AH92" i="19"/>
  <c r="AC118" i="48"/>
  <c r="AH118" i="19"/>
  <c r="AC130" i="48"/>
  <c r="AH130" i="19"/>
  <c r="AC129" i="48"/>
  <c r="AH129" i="19"/>
  <c r="E80" i="21"/>
  <c r="M80" i="48"/>
  <c r="E72" i="21"/>
  <c r="M72" i="48"/>
  <c r="E64" i="21"/>
  <c r="M64" i="48"/>
  <c r="E19" i="21"/>
  <c r="M19" i="48"/>
  <c r="G122" i="21"/>
  <c r="AB122" i="48"/>
  <c r="AG122" i="19"/>
  <c r="G115" i="21"/>
  <c r="AB115" i="48"/>
  <c r="AG115" i="19"/>
  <c r="AB95" i="48"/>
  <c r="AG95" i="19"/>
  <c r="AI128" i="48"/>
  <c r="AW128" i="48" s="1"/>
  <c r="AN128" i="19"/>
  <c r="AB130" i="48"/>
  <c r="AG130" i="19"/>
  <c r="AB119" i="48"/>
  <c r="AG119" i="19"/>
  <c r="AB100" i="48"/>
  <c r="AG100" i="19"/>
  <c r="AI99" i="48"/>
  <c r="AW99" i="48" s="1"/>
  <c r="AN99" i="19"/>
  <c r="AB121" i="48"/>
  <c r="AG121" i="19"/>
  <c r="AI119" i="48"/>
  <c r="AW119" i="48" s="1"/>
  <c r="AN119" i="19"/>
  <c r="M87" i="48"/>
  <c r="F83" i="21"/>
  <c r="M83" i="48"/>
  <c r="F79" i="21"/>
  <c r="M79" i="48"/>
  <c r="F71" i="21"/>
  <c r="AB71" i="48" s="1"/>
  <c r="M71" i="48"/>
  <c r="F67" i="21"/>
  <c r="AB67" i="48" s="1"/>
  <c r="M67" i="48"/>
  <c r="F63" i="21"/>
  <c r="AB63" i="48" s="1"/>
  <c r="M63" i="48"/>
  <c r="F55" i="21"/>
  <c r="AB55" i="48" s="1"/>
  <c r="M55" i="48"/>
  <c r="F51" i="21"/>
  <c r="AB51" i="48" s="1"/>
  <c r="M51" i="48"/>
  <c r="F35" i="21"/>
  <c r="AB35" i="48" s="1"/>
  <c r="M35" i="48"/>
  <c r="F31" i="21"/>
  <c r="AB31" i="48" s="1"/>
  <c r="M31" i="48"/>
  <c r="E18" i="21"/>
  <c r="M18" i="48"/>
  <c r="E6" i="21"/>
  <c r="F6" i="21" s="1"/>
  <c r="M6" i="48"/>
  <c r="G94" i="21"/>
  <c r="AB94" i="48"/>
  <c r="AG94" i="19"/>
  <c r="AI127" i="48"/>
  <c r="AW127" i="48" s="1"/>
  <c r="AN127" i="19"/>
  <c r="AB111" i="48"/>
  <c r="AG111" i="19"/>
  <c r="AI104" i="48"/>
  <c r="AW104" i="48" s="1"/>
  <c r="AN104" i="19"/>
  <c r="G90" i="21"/>
  <c r="AB90" i="48"/>
  <c r="AG90" i="19"/>
  <c r="AB114" i="48"/>
  <c r="AG114" i="19"/>
  <c r="G108" i="21"/>
  <c r="AB108" i="48"/>
  <c r="AG108" i="19"/>
  <c r="G113" i="21"/>
  <c r="AB113" i="48"/>
  <c r="AG113" i="19"/>
  <c r="AB124" i="48"/>
  <c r="AG124" i="19"/>
  <c r="AI114" i="48"/>
  <c r="AW114" i="48" s="1"/>
  <c r="AN114" i="19"/>
  <c r="AI129" i="48"/>
  <c r="AW129" i="48" s="1"/>
  <c r="AN129" i="19"/>
  <c r="G89" i="21"/>
  <c r="AB89" i="48"/>
  <c r="AG89" i="19"/>
  <c r="AB97" i="48"/>
  <c r="AG97" i="19"/>
  <c r="AB105" i="48"/>
  <c r="AG105" i="19"/>
  <c r="AX113" i="19"/>
  <c r="BI145" i="19"/>
  <c r="R146" i="44" s="1"/>
  <c r="O146" i="47"/>
  <c r="AI101" i="48"/>
  <c r="AW101" i="48" s="1"/>
  <c r="AN101" i="19"/>
  <c r="E88" i="21"/>
  <c r="M88" i="48"/>
  <c r="F76" i="21"/>
  <c r="AB76" i="48" s="1"/>
  <c r="M76" i="48"/>
  <c r="M52" i="48"/>
  <c r="M40" i="48"/>
  <c r="G106" i="21"/>
  <c r="AB106" i="48"/>
  <c r="AG106" i="19"/>
  <c r="AI103" i="48"/>
  <c r="AW103" i="48" s="1"/>
  <c r="AN103" i="19"/>
  <c r="AI100" i="48"/>
  <c r="AW100" i="48" s="1"/>
  <c r="AN100" i="19"/>
  <c r="G110" i="21"/>
  <c r="AB110" i="48"/>
  <c r="AG110" i="19"/>
  <c r="AB92" i="48"/>
  <c r="AG92" i="19"/>
  <c r="AI130" i="48"/>
  <c r="AW130" i="48" s="1"/>
  <c r="AN130" i="19"/>
  <c r="AI97" i="48"/>
  <c r="AW97" i="48" s="1"/>
  <c r="AN97" i="19"/>
  <c r="AB129" i="48"/>
  <c r="AG129" i="19"/>
  <c r="AI126" i="48"/>
  <c r="AW126" i="48" s="1"/>
  <c r="AN126" i="19"/>
  <c r="AB103" i="48"/>
  <c r="AG103" i="19"/>
  <c r="M86" i="48"/>
  <c r="G82" i="21"/>
  <c r="M82" i="48"/>
  <c r="G70" i="21"/>
  <c r="AI70" i="48" s="1"/>
  <c r="AW70" i="48" s="1"/>
  <c r="M70" i="48"/>
  <c r="G54" i="21"/>
  <c r="AI54" i="48" s="1"/>
  <c r="AW54" i="48" s="1"/>
  <c r="M54" i="48"/>
  <c r="G46" i="21"/>
  <c r="AI46" i="48" s="1"/>
  <c r="AW46" i="48" s="1"/>
  <c r="M46" i="48"/>
  <c r="G42" i="21"/>
  <c r="AI42" i="48" s="1"/>
  <c r="AW42" i="48" s="1"/>
  <c r="M42" i="48"/>
  <c r="G34" i="21"/>
  <c r="AI34" i="48" s="1"/>
  <c r="AW34" i="48" s="1"/>
  <c r="M34" i="48"/>
  <c r="G26" i="21"/>
  <c r="AI26" i="48" s="1"/>
  <c r="AW26" i="48" s="1"/>
  <c r="M26" i="48"/>
  <c r="F64" i="21"/>
  <c r="AB64" i="48" s="1"/>
  <c r="G107" i="21"/>
  <c r="AB107" i="48"/>
  <c r="AG107" i="19"/>
  <c r="G123" i="21"/>
  <c r="AB123" i="48"/>
  <c r="AG123" i="19"/>
  <c r="AI92" i="48"/>
  <c r="AW92" i="48" s="1"/>
  <c r="AN92" i="19"/>
  <c r="AI120" i="48"/>
  <c r="AW120" i="48" s="1"/>
  <c r="AN120" i="19"/>
  <c r="AB98" i="48"/>
  <c r="AG98" i="19"/>
  <c r="AB118" i="48"/>
  <c r="AG118" i="19"/>
  <c r="G112" i="21"/>
  <c r="AB112" i="48"/>
  <c r="AG112" i="19"/>
  <c r="AI93" i="48"/>
  <c r="AW93" i="48" s="1"/>
  <c r="AN93" i="19"/>
  <c r="AB96" i="48"/>
  <c r="AG96" i="19"/>
  <c r="AB104" i="48"/>
  <c r="AG104" i="19"/>
  <c r="AI98" i="48"/>
  <c r="AW98" i="48" s="1"/>
  <c r="AN98" i="19"/>
  <c r="AB91" i="48"/>
  <c r="AG91" i="19"/>
  <c r="AB117" i="48"/>
  <c r="AG117" i="19"/>
  <c r="AB125" i="48"/>
  <c r="AG125" i="19"/>
  <c r="AI118" i="48"/>
  <c r="AW118" i="48" s="1"/>
  <c r="AN118" i="19"/>
  <c r="AI95" i="48"/>
  <c r="AW95" i="48" s="1"/>
  <c r="AN95" i="19"/>
  <c r="AI111" i="48"/>
  <c r="AW111" i="48" s="1"/>
  <c r="AN111" i="19"/>
  <c r="AB127" i="48"/>
  <c r="AG127" i="19"/>
  <c r="AS101" i="48"/>
  <c r="AX129" i="19"/>
  <c r="N145" i="28"/>
  <c r="BJ145" i="19"/>
  <c r="P146" i="44" s="1"/>
  <c r="BG145" i="19"/>
  <c r="P146" i="46" s="1"/>
  <c r="G122" i="47"/>
  <c r="G122" i="45"/>
  <c r="G122" i="46"/>
  <c r="G122" i="44"/>
  <c r="F121" i="28"/>
  <c r="BB121" i="19"/>
  <c r="G84" i="21"/>
  <c r="M84" i="48"/>
  <c r="E56" i="21"/>
  <c r="F56" i="21" s="1"/>
  <c r="M56" i="48"/>
  <c r="E48" i="21"/>
  <c r="M48" i="48"/>
  <c r="F36" i="21"/>
  <c r="AB36" i="48" s="1"/>
  <c r="M36" i="48"/>
  <c r="F28" i="21"/>
  <c r="AB28" i="48" s="1"/>
  <c r="M28" i="48"/>
  <c r="F85" i="21"/>
  <c r="G85" i="21" s="1"/>
  <c r="M85" i="48"/>
  <c r="F33" i="21"/>
  <c r="AB33" i="48" s="1"/>
  <c r="M33" i="48"/>
  <c r="E12" i="21"/>
  <c r="M12" i="48"/>
  <c r="E8" i="21"/>
  <c r="M8" i="48"/>
  <c r="G72" i="21"/>
  <c r="AI72" i="48" s="1"/>
  <c r="AW72" i="48" s="1"/>
  <c r="AI91" i="48"/>
  <c r="AW91" i="48" s="1"/>
  <c r="AN91" i="19"/>
  <c r="AI96" i="48"/>
  <c r="AW96" i="48" s="1"/>
  <c r="AN96" i="19"/>
  <c r="AI124" i="48"/>
  <c r="AW124" i="48" s="1"/>
  <c r="AN124" i="19"/>
  <c r="AB102" i="48"/>
  <c r="AG102" i="19"/>
  <c r="AB126" i="48"/>
  <c r="AG126" i="19"/>
  <c r="G116" i="21"/>
  <c r="AB116" i="48"/>
  <c r="AG116" i="19"/>
  <c r="AB99" i="48"/>
  <c r="AG99" i="19"/>
  <c r="AX90" i="19"/>
  <c r="AI125" i="48"/>
  <c r="AW125" i="48" s="1"/>
  <c r="AN125" i="19"/>
  <c r="AB120" i="48"/>
  <c r="AG120" i="19"/>
  <c r="AB128" i="48"/>
  <c r="AG128" i="19"/>
  <c r="AB93" i="48"/>
  <c r="AG93" i="19"/>
  <c r="AB101" i="48"/>
  <c r="AG101" i="19"/>
  <c r="G109" i="21"/>
  <c r="AB109" i="48"/>
  <c r="AG109" i="19"/>
  <c r="AI102" i="48"/>
  <c r="AW102" i="48" s="1"/>
  <c r="AN102" i="19"/>
  <c r="O146" i="44"/>
  <c r="AI105" i="48"/>
  <c r="AW105" i="48" s="1"/>
  <c r="AN105" i="19"/>
  <c r="AI117" i="48"/>
  <c r="AW117" i="48" s="1"/>
  <c r="AN117" i="19"/>
  <c r="H89" i="3"/>
  <c r="AA125" i="48"/>
  <c r="AF125" i="19"/>
  <c r="AA126" i="48"/>
  <c r="AF126" i="19"/>
  <c r="H112" i="3"/>
  <c r="AA130" i="48"/>
  <c r="AF130" i="19"/>
  <c r="H107" i="3"/>
  <c r="H123" i="3"/>
  <c r="AH124" i="48"/>
  <c r="AV124" i="48" s="1"/>
  <c r="AM124" i="19"/>
  <c r="AH130" i="48"/>
  <c r="AV130" i="48" s="1"/>
  <c r="AM130" i="19"/>
  <c r="AX98" i="19"/>
  <c r="AX106" i="19"/>
  <c r="AX118" i="19"/>
  <c r="AX99" i="19"/>
  <c r="AX115" i="19"/>
  <c r="AX101" i="19"/>
  <c r="AX109" i="19"/>
  <c r="AX105" i="19"/>
  <c r="AX120" i="19"/>
  <c r="AX104" i="19"/>
  <c r="H122" i="3"/>
  <c r="AX110" i="19"/>
  <c r="AX130" i="19"/>
  <c r="AX103" i="19"/>
  <c r="AX119" i="19"/>
  <c r="AX96" i="19"/>
  <c r="AX112" i="19"/>
  <c r="AX92" i="19"/>
  <c r="H106" i="3"/>
  <c r="H129" i="3"/>
  <c r="AA129" i="48"/>
  <c r="AF129" i="19"/>
  <c r="H94" i="3"/>
  <c r="H110" i="3"/>
  <c r="AH125" i="48" s="1"/>
  <c r="AV125" i="48" s="1"/>
  <c r="H115" i="3"/>
  <c r="AA124" i="48"/>
  <c r="AF124" i="19"/>
  <c r="AX94" i="19"/>
  <c r="AX102" i="19"/>
  <c r="AX114" i="19"/>
  <c r="AX122" i="19"/>
  <c r="AX91" i="19"/>
  <c r="AX107" i="19"/>
  <c r="AX123" i="19"/>
  <c r="AX125" i="19"/>
  <c r="AX93" i="19"/>
  <c r="AX117" i="19"/>
  <c r="AX89" i="19"/>
  <c r="L143" i="44"/>
  <c r="L143" i="47"/>
  <c r="K142" i="28"/>
  <c r="L143" i="46"/>
  <c r="L143" i="45"/>
  <c r="AA128" i="48"/>
  <c r="AF128" i="19"/>
  <c r="H116" i="3"/>
  <c r="AX126" i="19"/>
  <c r="AX95" i="19"/>
  <c r="AX100" i="19"/>
  <c r="AX108" i="19"/>
  <c r="AX97" i="19"/>
  <c r="AX121" i="19"/>
  <c r="AX124" i="19"/>
  <c r="AX128" i="19"/>
  <c r="N143" i="45"/>
  <c r="N143" i="44"/>
  <c r="N143" i="47"/>
  <c r="M142" i="28"/>
  <c r="N143" i="46"/>
  <c r="AF111" i="48"/>
  <c r="AT111" i="48" s="1"/>
  <c r="AK111" i="19"/>
  <c r="AF120" i="48"/>
  <c r="AT120" i="48" s="1"/>
  <c r="AK120" i="19"/>
  <c r="G106" i="4"/>
  <c r="Y106" i="48"/>
  <c r="AD106" i="19"/>
  <c r="G115" i="4"/>
  <c r="Y115" i="48"/>
  <c r="AD115" i="19"/>
  <c r="AF99" i="48"/>
  <c r="AT99" i="48" s="1"/>
  <c r="AK99" i="19"/>
  <c r="AF119" i="48"/>
  <c r="AT119" i="48" s="1"/>
  <c r="AK119" i="19"/>
  <c r="AF101" i="48"/>
  <c r="AT101" i="48" s="1"/>
  <c r="AK101" i="19"/>
  <c r="Y89" i="48"/>
  <c r="AD89" i="19"/>
  <c r="Y129" i="48"/>
  <c r="AD129" i="19"/>
  <c r="Y96" i="48"/>
  <c r="AD96" i="19"/>
  <c r="Y124" i="48"/>
  <c r="AD124" i="19"/>
  <c r="AF128" i="48"/>
  <c r="AT128" i="48" s="1"/>
  <c r="AK128" i="19"/>
  <c r="Y120" i="48"/>
  <c r="AD120" i="19"/>
  <c r="Y102" i="48"/>
  <c r="AD102" i="19"/>
  <c r="AF98" i="48"/>
  <c r="AT98" i="48" s="1"/>
  <c r="AK98" i="19"/>
  <c r="AF118" i="48"/>
  <c r="AT118" i="48" s="1"/>
  <c r="AK118" i="19"/>
  <c r="Y95" i="48"/>
  <c r="AD95" i="19"/>
  <c r="Y127" i="48"/>
  <c r="AD127" i="19"/>
  <c r="Y101" i="48"/>
  <c r="AD101" i="19"/>
  <c r="Y109" i="48"/>
  <c r="AD109" i="19"/>
  <c r="Y107" i="48"/>
  <c r="AD107" i="19"/>
  <c r="G122" i="4"/>
  <c r="Y122" i="48"/>
  <c r="AD122" i="19"/>
  <c r="P142" i="28"/>
  <c r="P143" i="47"/>
  <c r="P143" i="46"/>
  <c r="P143" i="45"/>
  <c r="Q143" i="44"/>
  <c r="Y98" i="48"/>
  <c r="AD98" i="19"/>
  <c r="Y99" i="48"/>
  <c r="AD99" i="19"/>
  <c r="AF95" i="48"/>
  <c r="AT95" i="48" s="1"/>
  <c r="AK95" i="19"/>
  <c r="AF93" i="48"/>
  <c r="AT93" i="48" s="1"/>
  <c r="AK93" i="19"/>
  <c r="AF125" i="48"/>
  <c r="AT125" i="48" s="1"/>
  <c r="AK125" i="19"/>
  <c r="Y121" i="48"/>
  <c r="AD121" i="19"/>
  <c r="AF124" i="48"/>
  <c r="AT124" i="48" s="1"/>
  <c r="AK124" i="19"/>
  <c r="G116" i="4"/>
  <c r="Y116" i="48"/>
  <c r="AD116" i="19"/>
  <c r="Y112" i="48"/>
  <c r="AD112" i="19"/>
  <c r="Y94" i="48"/>
  <c r="AD94" i="19"/>
  <c r="Y126" i="48"/>
  <c r="AD126" i="19"/>
  <c r="AF126" i="48"/>
  <c r="AT126" i="48" s="1"/>
  <c r="AK126" i="19"/>
  <c r="AF92" i="48"/>
  <c r="AT92" i="48" s="1"/>
  <c r="AK92" i="19"/>
  <c r="AF130" i="48"/>
  <c r="AT130" i="48" s="1"/>
  <c r="AK130" i="19"/>
  <c r="Y103" i="48"/>
  <c r="AD103" i="19"/>
  <c r="AF96" i="48"/>
  <c r="AT96" i="48" s="1"/>
  <c r="AK96" i="19"/>
  <c r="G113" i="4"/>
  <c r="Y113" i="48"/>
  <c r="AD113" i="19"/>
  <c r="P142" i="44"/>
  <c r="O141" i="28"/>
  <c r="P141" i="28"/>
  <c r="P142" i="47"/>
  <c r="P142" i="46"/>
  <c r="P142" i="45"/>
  <c r="Q142" i="44"/>
  <c r="AF129" i="48"/>
  <c r="AT129" i="48" s="1"/>
  <c r="AK129" i="19"/>
  <c r="Y119" i="48"/>
  <c r="AD119" i="19"/>
  <c r="AF105" i="48"/>
  <c r="AT105" i="48" s="1"/>
  <c r="AK105" i="19"/>
  <c r="AF100" i="48"/>
  <c r="AT100" i="48" s="1"/>
  <c r="AK100" i="19"/>
  <c r="Y91" i="48"/>
  <c r="AD91" i="19"/>
  <c r="Y114" i="48"/>
  <c r="AD114" i="19"/>
  <c r="AF103" i="48"/>
  <c r="AT103" i="48" s="1"/>
  <c r="AK103" i="19"/>
  <c r="AF123" i="48"/>
  <c r="AT123" i="48" s="1"/>
  <c r="AK123" i="19"/>
  <c r="AF109" i="48"/>
  <c r="AT109" i="48" s="1"/>
  <c r="AK109" i="19"/>
  <c r="Y97" i="48"/>
  <c r="AD97" i="19"/>
  <c r="Y100" i="48"/>
  <c r="AD100" i="19"/>
  <c r="AF104" i="48"/>
  <c r="AT104" i="48" s="1"/>
  <c r="AK104" i="19"/>
  <c r="Y92" i="48"/>
  <c r="AD92" i="19"/>
  <c r="Y128" i="48"/>
  <c r="AD128" i="19"/>
  <c r="AF89" i="48"/>
  <c r="AT89" i="48" s="1"/>
  <c r="AK89" i="19"/>
  <c r="G110" i="4"/>
  <c r="Y110" i="48"/>
  <c r="AD110" i="19"/>
  <c r="AF91" i="48"/>
  <c r="AT91" i="48" s="1"/>
  <c r="AK91" i="19"/>
  <c r="AF107" i="48"/>
  <c r="AT107" i="48" s="1"/>
  <c r="AK107" i="19"/>
  <c r="AF127" i="48"/>
  <c r="AT127" i="48" s="1"/>
  <c r="AK127" i="19"/>
  <c r="AF117" i="48"/>
  <c r="AT117" i="48" s="1"/>
  <c r="AK117" i="19"/>
  <c r="Y105" i="48"/>
  <c r="AD105" i="19"/>
  <c r="AF108" i="48"/>
  <c r="AT108" i="48" s="1"/>
  <c r="AK108" i="19"/>
  <c r="Y108" i="48"/>
  <c r="AD108" i="19"/>
  <c r="AF112" i="48"/>
  <c r="AT112" i="48" s="1"/>
  <c r="AK112" i="19"/>
  <c r="Y104" i="48"/>
  <c r="AD104" i="19"/>
  <c r="AF121" i="48"/>
  <c r="AT121" i="48" s="1"/>
  <c r="AK121" i="19"/>
  <c r="Y118" i="48"/>
  <c r="AD118" i="19"/>
  <c r="AF94" i="48"/>
  <c r="AT94" i="48" s="1"/>
  <c r="AK94" i="19"/>
  <c r="AF102" i="48"/>
  <c r="AT102" i="48" s="1"/>
  <c r="AK102" i="19"/>
  <c r="AF114" i="48"/>
  <c r="AT114" i="48" s="1"/>
  <c r="AK114" i="19"/>
  <c r="AF97" i="48"/>
  <c r="AT97" i="48" s="1"/>
  <c r="AK97" i="19"/>
  <c r="Y111" i="48"/>
  <c r="AD111" i="19"/>
  <c r="Y125" i="48"/>
  <c r="AD125" i="19"/>
  <c r="Y93" i="48"/>
  <c r="AD93" i="19"/>
  <c r="Y117" i="48"/>
  <c r="AD117" i="19"/>
  <c r="G90" i="4"/>
  <c r="Y90" i="48"/>
  <c r="AD90" i="19"/>
  <c r="Y130" i="48"/>
  <c r="AD130" i="19"/>
  <c r="H113" i="3"/>
  <c r="H109" i="3"/>
  <c r="AH126" i="48" s="1"/>
  <c r="AV126" i="48" s="1"/>
  <c r="H108" i="3"/>
  <c r="AM137" i="19" s="1"/>
  <c r="H101" i="3"/>
  <c r="H90" i="3"/>
  <c r="E88" i="22"/>
  <c r="F88" i="22" s="1"/>
  <c r="E60" i="22"/>
  <c r="F60" i="22" s="1"/>
  <c r="E59" i="22"/>
  <c r="F59" i="22" s="1"/>
  <c r="F56" i="22"/>
  <c r="E47" i="22"/>
  <c r="F47" i="22" s="1"/>
  <c r="F44" i="22"/>
  <c r="E39" i="22"/>
  <c r="F39" i="22" s="1"/>
  <c r="F32" i="22"/>
  <c r="E27" i="22"/>
  <c r="F27" i="22" s="1"/>
  <c r="E23" i="22"/>
  <c r="F23" i="22" s="1"/>
  <c r="E20" i="22"/>
  <c r="F20" i="22" s="1"/>
  <c r="F114" i="25"/>
  <c r="H114" i="25"/>
  <c r="I114" i="25"/>
  <c r="G114" i="25"/>
  <c r="F101" i="25"/>
  <c r="G101" i="25" s="1"/>
  <c r="H101" i="25" s="1"/>
  <c r="F117" i="25"/>
  <c r="I117" i="25"/>
  <c r="H117" i="25"/>
  <c r="G117" i="25"/>
  <c r="F118" i="25"/>
  <c r="H118" i="25"/>
  <c r="I118" i="25"/>
  <c r="G118" i="25"/>
  <c r="F89" i="25"/>
  <c r="G89" i="25" s="1"/>
  <c r="H89" i="25" s="1"/>
  <c r="F105" i="25"/>
  <c r="I105" i="25"/>
  <c r="H105" i="25"/>
  <c r="G105" i="25"/>
  <c r="F121" i="25"/>
  <c r="I121" i="25"/>
  <c r="H121" i="25"/>
  <c r="G121" i="25"/>
  <c r="F115" i="25"/>
  <c r="G115" i="25" s="1"/>
  <c r="H115" i="25" s="1"/>
  <c r="F110" i="25"/>
  <c r="G110" i="25" s="1"/>
  <c r="H110" i="25" s="1"/>
  <c r="F94" i="25"/>
  <c r="G94" i="25" s="1"/>
  <c r="H94" i="25" s="1"/>
  <c r="F93" i="25"/>
  <c r="G93" i="25" s="1"/>
  <c r="H93" i="25" s="1"/>
  <c r="I93" i="25" s="1"/>
  <c r="F109" i="25"/>
  <c r="G109" i="25" s="1"/>
  <c r="H109" i="25" s="1"/>
  <c r="F116" i="25"/>
  <c r="G116" i="25" s="1"/>
  <c r="H116" i="25" s="1"/>
  <c r="F102" i="25"/>
  <c r="G102" i="25"/>
  <c r="H102" i="25" s="1"/>
  <c r="I102" i="25" s="1"/>
  <c r="F97" i="25"/>
  <c r="I97" i="25"/>
  <c r="H97" i="25"/>
  <c r="G97" i="25"/>
  <c r="F113" i="25"/>
  <c r="G113" i="25" s="1"/>
  <c r="H113" i="25" s="1"/>
  <c r="F106" i="25"/>
  <c r="G106" i="25" s="1"/>
  <c r="H106" i="25" s="1"/>
  <c r="F122" i="25"/>
  <c r="G122" i="25"/>
  <c r="H122" i="25" s="1"/>
  <c r="F108" i="25"/>
  <c r="G108" i="25" s="1"/>
  <c r="H108" i="25" s="1"/>
  <c r="X77" i="19"/>
  <c r="X62" i="19"/>
  <c r="E61" i="24"/>
  <c r="E57" i="24"/>
  <c r="X53" i="19"/>
  <c r="X41" i="19"/>
  <c r="E29" i="24"/>
  <c r="X2" i="19"/>
  <c r="E60" i="21"/>
  <c r="F60" i="21" s="1"/>
  <c r="E50" i="21"/>
  <c r="F50" i="21" s="1"/>
  <c r="E47" i="23"/>
  <c r="E23" i="23"/>
  <c r="E9" i="22"/>
  <c r="F9" i="22" s="1"/>
  <c r="E12" i="24"/>
  <c r="AA12" i="19"/>
  <c r="X88" i="19"/>
  <c r="X84" i="19"/>
  <c r="X80" i="19"/>
  <c r="X72" i="19"/>
  <c r="X52" i="19"/>
  <c r="E76" i="23"/>
  <c r="E68" i="23"/>
  <c r="E60" i="23"/>
  <c r="E28" i="23"/>
  <c r="E83" i="23"/>
  <c r="E75" i="23"/>
  <c r="E67" i="23"/>
  <c r="E59" i="23"/>
  <c r="E35" i="23"/>
  <c r="E27" i="23"/>
  <c r="E3" i="23"/>
  <c r="E44" i="23"/>
  <c r="E64" i="23"/>
  <c r="E56" i="23"/>
  <c r="E48" i="23"/>
  <c r="E32" i="23"/>
  <c r="X85" i="19"/>
  <c r="E15" i="23"/>
  <c r="X9" i="19"/>
  <c r="X5" i="19"/>
  <c r="E39" i="21"/>
  <c r="F39" i="21" s="1"/>
  <c r="G35" i="21"/>
  <c r="AI35" i="48" s="1"/>
  <c r="AW35" i="48" s="1"/>
  <c r="E76" i="21"/>
  <c r="E59" i="21"/>
  <c r="F59" i="21" s="1"/>
  <c r="E47" i="21"/>
  <c r="F47" i="21" s="1"/>
  <c r="E35" i="21"/>
  <c r="E27" i="21"/>
  <c r="F27" i="21" s="1"/>
  <c r="G64" i="21"/>
  <c r="AI64" i="48" s="1"/>
  <c r="AW64" i="48" s="1"/>
  <c r="G55" i="21"/>
  <c r="AI55" i="48" s="1"/>
  <c r="AW55" i="48" s="1"/>
  <c r="E66" i="21"/>
  <c r="E55" i="21"/>
  <c r="E44" i="21"/>
  <c r="F44" i="21" s="1"/>
  <c r="E34" i="21"/>
  <c r="E23" i="21"/>
  <c r="F23" i="21" s="1"/>
  <c r="F48" i="21"/>
  <c r="AB48" i="48" s="1"/>
  <c r="G63" i="21"/>
  <c r="AI63" i="48" s="1"/>
  <c r="AW63" i="48" s="1"/>
  <c r="G51" i="21"/>
  <c r="AI51" i="48" s="1"/>
  <c r="AW51" i="48" s="1"/>
  <c r="G31" i="21"/>
  <c r="AI31" i="48" s="1"/>
  <c r="AW31" i="48" s="1"/>
  <c r="E63" i="21"/>
  <c r="E51" i="21"/>
  <c r="E43" i="21"/>
  <c r="F43" i="21" s="1"/>
  <c r="E31" i="21"/>
  <c r="F80" i="21"/>
  <c r="G80" i="21"/>
  <c r="G48" i="21"/>
  <c r="AI48" i="48" s="1"/>
  <c r="AW48" i="48" s="1"/>
  <c r="E87" i="21"/>
  <c r="F87" i="21" s="1"/>
  <c r="G87" i="21" s="1"/>
  <c r="E83" i="21"/>
  <c r="E75" i="21"/>
  <c r="F75" i="21" s="1"/>
  <c r="G71" i="21"/>
  <c r="AI71" i="48" s="1"/>
  <c r="AW71" i="48" s="1"/>
  <c r="E82" i="21"/>
  <c r="E71" i="21"/>
  <c r="G79" i="21"/>
  <c r="G67" i="21"/>
  <c r="AI67" i="48" s="1"/>
  <c r="AW67" i="48" s="1"/>
  <c r="E79" i="21"/>
  <c r="E67" i="21"/>
  <c r="G83" i="21"/>
  <c r="E12" i="23"/>
  <c r="E19" i="24"/>
  <c r="E17" i="24"/>
  <c r="E16" i="24"/>
  <c r="E13" i="24"/>
  <c r="E11" i="24"/>
  <c r="E4" i="23"/>
  <c r="F19" i="21"/>
  <c r="E15" i="21"/>
  <c r="F15" i="21" s="1"/>
  <c r="E19" i="22"/>
  <c r="F19" i="22" s="1"/>
  <c r="F16" i="22"/>
  <c r="AC16" i="48" s="1"/>
  <c r="F15" i="22"/>
  <c r="E12" i="22"/>
  <c r="F12" i="22" s="1"/>
  <c r="E3" i="22"/>
  <c r="F3" i="22"/>
  <c r="AC3" i="48" s="1"/>
  <c r="E7" i="21"/>
  <c r="F7" i="21" s="1"/>
  <c r="E5" i="21"/>
  <c r="F5" i="21" s="1"/>
  <c r="AA45" i="19"/>
  <c r="AA85" i="19"/>
  <c r="AA18" i="19"/>
  <c r="AA26" i="19"/>
  <c r="AA34" i="19"/>
  <c r="AA46" i="19"/>
  <c r="AA62" i="19"/>
  <c r="AA78" i="19"/>
  <c r="AA24" i="19"/>
  <c r="AA28" i="19"/>
  <c r="AA32" i="19"/>
  <c r="AA44" i="19"/>
  <c r="AA48" i="19"/>
  <c r="AA72" i="19"/>
  <c r="AA84" i="19"/>
  <c r="AA88" i="19"/>
  <c r="AA33" i="19"/>
  <c r="AA37" i="19"/>
  <c r="AA61" i="19"/>
  <c r="AA22" i="19"/>
  <c r="AA38" i="19"/>
  <c r="AA74" i="19"/>
  <c r="AA15" i="19"/>
  <c r="AA23" i="19"/>
  <c r="AA31" i="19"/>
  <c r="AA35" i="19"/>
  <c r="AA71" i="19"/>
  <c r="AA75" i="19"/>
  <c r="AA87" i="19"/>
  <c r="AA83" i="19"/>
  <c r="AA79" i="19"/>
  <c r="AA67" i="19"/>
  <c r="AA59" i="19"/>
  <c r="AA55" i="19"/>
  <c r="AA47" i="19"/>
  <c r="AA27" i="19"/>
  <c r="E80" i="24"/>
  <c r="E86" i="24"/>
  <c r="X86" i="19"/>
  <c r="E82" i="24"/>
  <c r="AA82" i="19"/>
  <c r="E78" i="24"/>
  <c r="X78" i="19"/>
  <c r="E74" i="24"/>
  <c r="X74" i="19"/>
  <c r="E70" i="24"/>
  <c r="AA70" i="19"/>
  <c r="E66" i="24"/>
  <c r="X66" i="19"/>
  <c r="E58" i="24"/>
  <c r="AA58" i="19"/>
  <c r="E54" i="24"/>
  <c r="AA54" i="19"/>
  <c r="E50" i="24"/>
  <c r="X50" i="19"/>
  <c r="E42" i="24"/>
  <c r="AA42" i="19"/>
  <c r="E34" i="24"/>
  <c r="X34" i="19"/>
  <c r="E30" i="24"/>
  <c r="X30" i="19"/>
  <c r="E22" i="24"/>
  <c r="X22" i="19"/>
  <c r="E14" i="24"/>
  <c r="X14" i="19"/>
  <c r="AA81" i="19"/>
  <c r="AA77" i="19"/>
  <c r="AA73" i="19"/>
  <c r="AA69" i="19"/>
  <c r="AA65" i="19"/>
  <c r="AA53" i="19"/>
  <c r="AA41" i="19"/>
  <c r="AA25" i="19"/>
  <c r="AA21" i="19"/>
  <c r="AA76" i="19"/>
  <c r="AA68" i="19"/>
  <c r="AA64" i="19"/>
  <c r="AA60" i="19"/>
  <c r="AA56" i="19"/>
  <c r="E10" i="24"/>
  <c r="AA10" i="19"/>
  <c r="E9" i="24"/>
  <c r="AA8" i="19"/>
  <c r="E8" i="24"/>
  <c r="E7" i="24"/>
  <c r="E6" i="24"/>
  <c r="AA6" i="19"/>
  <c r="AA5" i="19"/>
  <c r="AA11" i="19"/>
  <c r="AA7" i="19"/>
  <c r="E11" i="23"/>
  <c r="E5" i="23"/>
  <c r="AA9" i="19"/>
  <c r="E9" i="23"/>
  <c r="E10" i="23"/>
  <c r="AA57" i="19"/>
  <c r="AA49" i="19"/>
  <c r="AA29" i="19"/>
  <c r="AA17" i="19"/>
  <c r="AA80" i="19"/>
  <c r="AA52" i="19"/>
  <c r="AA40" i="19"/>
  <c r="AA36" i="19"/>
  <c r="AA20" i="19"/>
  <c r="AA16" i="19"/>
  <c r="E82" i="23"/>
  <c r="E70" i="23"/>
  <c r="E62" i="23"/>
  <c r="E58" i="23"/>
  <c r="E54" i="23"/>
  <c r="E46" i="23"/>
  <c r="E42" i="23"/>
  <c r="E38" i="23"/>
  <c r="E26" i="23"/>
  <c r="E18" i="23"/>
  <c r="AA63" i="19"/>
  <c r="AA51" i="19"/>
  <c r="AA43" i="19"/>
  <c r="AA39" i="19"/>
  <c r="AA19" i="19"/>
  <c r="E81" i="23"/>
  <c r="E77" i="23"/>
  <c r="E73" i="23"/>
  <c r="E69" i="23"/>
  <c r="E65" i="23"/>
  <c r="E57" i="23"/>
  <c r="E53" i="23"/>
  <c r="E49" i="23"/>
  <c r="E45" i="23"/>
  <c r="E41" i="23"/>
  <c r="E37" i="23"/>
  <c r="E29" i="23"/>
  <c r="E25" i="23"/>
  <c r="E21" i="23"/>
  <c r="E17" i="23"/>
  <c r="AA13" i="19"/>
  <c r="AA86" i="19"/>
  <c r="AA66" i="19"/>
  <c r="AA50" i="19"/>
  <c r="AA30" i="19"/>
  <c r="AA14" i="19"/>
  <c r="E8" i="23"/>
  <c r="E6" i="23"/>
  <c r="E11" i="22"/>
  <c r="F11" i="22" s="1"/>
  <c r="E10" i="22"/>
  <c r="F10" i="22" s="1"/>
  <c r="E7" i="22"/>
  <c r="F7" i="22" s="1"/>
  <c r="F6" i="22"/>
  <c r="E5" i="22"/>
  <c r="F5" i="22" s="1"/>
  <c r="F82" i="22"/>
  <c r="F42" i="22"/>
  <c r="AC42" i="48" s="1"/>
  <c r="F34" i="22"/>
  <c r="AC34" i="48" s="1"/>
  <c r="F26" i="22"/>
  <c r="AC26" i="48" s="1"/>
  <c r="F85" i="22"/>
  <c r="E86" i="22"/>
  <c r="F86" i="22" s="1"/>
  <c r="G86" i="22" s="1"/>
  <c r="E82" i="22"/>
  <c r="E78" i="22"/>
  <c r="F78" i="22" s="1"/>
  <c r="E74" i="22"/>
  <c r="F74" i="22" s="1"/>
  <c r="E70" i="22"/>
  <c r="E66" i="22"/>
  <c r="F66" i="22" s="1"/>
  <c r="E62" i="22"/>
  <c r="F62" i="22" s="1"/>
  <c r="E58" i="22"/>
  <c r="F58" i="22" s="1"/>
  <c r="E54" i="22"/>
  <c r="E50" i="22"/>
  <c r="F50" i="22" s="1"/>
  <c r="E46" i="22"/>
  <c r="E42" i="22"/>
  <c r="E38" i="22"/>
  <c r="F38" i="22" s="1"/>
  <c r="E34" i="22"/>
  <c r="E30" i="22"/>
  <c r="F30" i="22" s="1"/>
  <c r="E26" i="22"/>
  <c r="E22" i="22"/>
  <c r="E18" i="22"/>
  <c r="F18" i="22" s="1"/>
  <c r="E14" i="22"/>
  <c r="F14" i="22" s="1"/>
  <c r="G70" i="22"/>
  <c r="AJ70" i="48" s="1"/>
  <c r="AX70" i="48" s="1"/>
  <c r="G54" i="22"/>
  <c r="AJ54" i="48" s="1"/>
  <c r="AX54" i="48" s="1"/>
  <c r="G46" i="22"/>
  <c r="AJ46" i="48" s="1"/>
  <c r="AX46" i="48" s="1"/>
  <c r="G22" i="22"/>
  <c r="AJ22" i="48" s="1"/>
  <c r="AX22" i="48" s="1"/>
  <c r="F81" i="22"/>
  <c r="F65" i="22"/>
  <c r="AC65" i="48" s="1"/>
  <c r="F49" i="22"/>
  <c r="AC49" i="48" s="1"/>
  <c r="F33" i="22"/>
  <c r="AC33" i="48" s="1"/>
  <c r="E85" i="22"/>
  <c r="E81" i="22"/>
  <c r="E77" i="22"/>
  <c r="F77" i="22" s="1"/>
  <c r="E73" i="22"/>
  <c r="F73" i="22" s="1"/>
  <c r="E69" i="22"/>
  <c r="F69" i="22" s="1"/>
  <c r="E65" i="22"/>
  <c r="E61" i="22"/>
  <c r="F61" i="22" s="1"/>
  <c r="E57" i="22"/>
  <c r="F57" i="22" s="1"/>
  <c r="E53" i="22"/>
  <c r="F53" i="22" s="1"/>
  <c r="E49" i="22"/>
  <c r="E45" i="22"/>
  <c r="F45" i="22" s="1"/>
  <c r="E41" i="22"/>
  <c r="F41" i="22" s="1"/>
  <c r="E37" i="22"/>
  <c r="F37" i="22" s="1"/>
  <c r="E33" i="22"/>
  <c r="E29" i="22"/>
  <c r="F29" i="22" s="1"/>
  <c r="E25" i="22"/>
  <c r="F25" i="22" s="1"/>
  <c r="E21" i="22"/>
  <c r="F21" i="22" s="1"/>
  <c r="E17" i="22"/>
  <c r="F17" i="22" s="1"/>
  <c r="E13" i="22"/>
  <c r="F13" i="22" s="1"/>
  <c r="E3" i="21"/>
  <c r="F3" i="21"/>
  <c r="E9" i="21"/>
  <c r="F9" i="21" s="1"/>
  <c r="E11" i="21"/>
  <c r="F11" i="21" s="1"/>
  <c r="E10" i="21"/>
  <c r="F10" i="21" s="1"/>
  <c r="E4" i="21"/>
  <c r="F4" i="21" s="1"/>
  <c r="F8" i="21"/>
  <c r="E77" i="21"/>
  <c r="F77" i="21" s="1"/>
  <c r="G65" i="21"/>
  <c r="AI65" i="48" s="1"/>
  <c r="AW65" i="48" s="1"/>
  <c r="E65" i="21"/>
  <c r="G49" i="21"/>
  <c r="AI49" i="48" s="1"/>
  <c r="AW49" i="48" s="1"/>
  <c r="E49" i="21"/>
  <c r="E41" i="21"/>
  <c r="F41" i="21" s="1"/>
  <c r="E29" i="21"/>
  <c r="F29" i="21" s="1"/>
  <c r="E13" i="21"/>
  <c r="F13" i="21" s="1"/>
  <c r="F12" i="21"/>
  <c r="E86" i="21"/>
  <c r="F86" i="21" s="1"/>
  <c r="G86" i="21" s="1"/>
  <c r="E70" i="21"/>
  <c r="E54" i="21"/>
  <c r="E38" i="21"/>
  <c r="F38" i="21" s="1"/>
  <c r="E32" i="21"/>
  <c r="F32" i="21" s="1"/>
  <c r="E22" i="21"/>
  <c r="F22" i="21" s="1"/>
  <c r="E16" i="21"/>
  <c r="F16" i="21" s="1"/>
  <c r="F84" i="21"/>
  <c r="F46" i="21"/>
  <c r="AB46" i="48" s="1"/>
  <c r="G81" i="21"/>
  <c r="E81" i="21"/>
  <c r="E69" i="21"/>
  <c r="F69" i="21" s="1"/>
  <c r="E57" i="21"/>
  <c r="F57" i="21" s="1"/>
  <c r="E37" i="21"/>
  <c r="F37" i="21" s="1"/>
  <c r="E25" i="21"/>
  <c r="E17" i="21"/>
  <c r="F17" i="21" s="1"/>
  <c r="F25" i="21"/>
  <c r="E84" i="21"/>
  <c r="E74" i="21"/>
  <c r="F74" i="21" s="1"/>
  <c r="E68" i="21"/>
  <c r="F68" i="21" s="1"/>
  <c r="E58" i="21"/>
  <c r="F58" i="21" s="1"/>
  <c r="E52" i="21"/>
  <c r="F52" i="21" s="1"/>
  <c r="E42" i="21"/>
  <c r="E36" i="21"/>
  <c r="E26" i="21"/>
  <c r="E20" i="21"/>
  <c r="F20" i="21" s="1"/>
  <c r="F88" i="21"/>
  <c r="F82" i="21"/>
  <c r="F72" i="21"/>
  <c r="AB72" i="48" s="1"/>
  <c r="F66" i="21"/>
  <c r="G76" i="21"/>
  <c r="AI76" i="48" s="1"/>
  <c r="AW76" i="48" s="1"/>
  <c r="G36" i="21"/>
  <c r="AI36" i="48" s="1"/>
  <c r="AW36" i="48" s="1"/>
  <c r="G28" i="21"/>
  <c r="AI28" i="48" s="1"/>
  <c r="AW28" i="48" s="1"/>
  <c r="E85" i="21"/>
  <c r="E73" i="21"/>
  <c r="F73" i="21" s="1"/>
  <c r="E61" i="21"/>
  <c r="F61" i="21" s="1"/>
  <c r="E53" i="21"/>
  <c r="F53" i="21" s="1"/>
  <c r="E45" i="21"/>
  <c r="F45" i="21" s="1"/>
  <c r="G33" i="21"/>
  <c r="AI33" i="48" s="1"/>
  <c r="AW33" i="48" s="1"/>
  <c r="E33" i="21"/>
  <c r="E21" i="21"/>
  <c r="F21" i="21" s="1"/>
  <c r="E78" i="21"/>
  <c r="F78" i="21" s="1"/>
  <c r="E62" i="21"/>
  <c r="F62" i="21" s="1"/>
  <c r="E46" i="21"/>
  <c r="E40" i="21"/>
  <c r="F40" i="21" s="1"/>
  <c r="E30" i="21"/>
  <c r="F30" i="21" s="1"/>
  <c r="E24" i="21"/>
  <c r="F24" i="21" s="1"/>
  <c r="E14" i="21"/>
  <c r="F14" i="21" s="1"/>
  <c r="F81" i="21"/>
  <c r="F70" i="21"/>
  <c r="AB70" i="48" s="1"/>
  <c r="F65" i="21"/>
  <c r="AB65" i="48" s="1"/>
  <c r="F54" i="21"/>
  <c r="AB54" i="48" s="1"/>
  <c r="F49" i="21"/>
  <c r="AB49" i="48" s="1"/>
  <c r="F42" i="21"/>
  <c r="AB42" i="48" s="1"/>
  <c r="F34" i="21"/>
  <c r="AB34" i="48" s="1"/>
  <c r="F26" i="21"/>
  <c r="AB26" i="48" s="1"/>
  <c r="F18" i="21"/>
  <c r="AA4" i="19"/>
  <c r="E3" i="27"/>
  <c r="AA3" i="19"/>
  <c r="AA2" i="19"/>
  <c r="E2" i="24"/>
  <c r="E2" i="23"/>
  <c r="E5" i="27"/>
  <c r="F5" i="27" s="1"/>
  <c r="AE5" i="48" s="1"/>
  <c r="E9" i="27"/>
  <c r="F9" i="27" s="1"/>
  <c r="G9" i="27" s="1"/>
  <c r="E13" i="27"/>
  <c r="F13" i="27" s="1"/>
  <c r="G13" i="27" s="1"/>
  <c r="F25" i="27"/>
  <c r="G25" i="27" s="1"/>
  <c r="E25" i="27"/>
  <c r="E29" i="27"/>
  <c r="F29" i="27" s="1"/>
  <c r="G29" i="27" s="1"/>
  <c r="E33" i="27"/>
  <c r="F33" i="27" s="1"/>
  <c r="G33" i="27" s="1"/>
  <c r="E37" i="27"/>
  <c r="F37" i="27" s="1"/>
  <c r="G37" i="27" s="1"/>
  <c r="F41" i="27"/>
  <c r="G41" i="27" s="1"/>
  <c r="E41" i="27"/>
  <c r="E45" i="27"/>
  <c r="F45" i="27" s="1"/>
  <c r="G45" i="27" s="1"/>
  <c r="E49" i="27"/>
  <c r="F49" i="27" s="1"/>
  <c r="G49" i="27" s="1"/>
  <c r="E53" i="27"/>
  <c r="F53" i="27" s="1"/>
  <c r="G53" i="27" s="1"/>
  <c r="F57" i="27"/>
  <c r="G57" i="27" s="1"/>
  <c r="E57" i="27"/>
  <c r="E61" i="27"/>
  <c r="F61" i="27" s="1"/>
  <c r="G61" i="27" s="1"/>
  <c r="E65" i="27"/>
  <c r="F65" i="27" s="1"/>
  <c r="G65" i="27" s="1"/>
  <c r="E69" i="27"/>
  <c r="F69" i="27" s="1"/>
  <c r="G69" i="27" s="1"/>
  <c r="F73" i="27"/>
  <c r="G73" i="27" s="1"/>
  <c r="E73" i="27"/>
  <c r="E77" i="27"/>
  <c r="F77" i="27" s="1"/>
  <c r="G77" i="27" s="1"/>
  <c r="E81" i="27"/>
  <c r="F81" i="27" s="1"/>
  <c r="G81" i="27" s="1"/>
  <c r="E85" i="27"/>
  <c r="F85" i="27" s="1"/>
  <c r="G85" i="27" s="1"/>
  <c r="E2" i="27"/>
  <c r="F2" i="27" s="1"/>
  <c r="G2" i="27" s="1"/>
  <c r="F3" i="27"/>
  <c r="AE3" i="48" s="1"/>
  <c r="E6" i="27"/>
  <c r="F6" i="27" s="1"/>
  <c r="G6" i="27" s="1"/>
  <c r="E10" i="27"/>
  <c r="F10" i="27" s="1"/>
  <c r="AE10" i="48" s="1"/>
  <c r="F14" i="27"/>
  <c r="G14" i="27" s="1"/>
  <c r="E14" i="27"/>
  <c r="E18" i="27"/>
  <c r="F18" i="27" s="1"/>
  <c r="G18" i="27" s="1"/>
  <c r="G22" i="27"/>
  <c r="F22" i="27"/>
  <c r="E22" i="27"/>
  <c r="E26" i="27"/>
  <c r="F26" i="27" s="1"/>
  <c r="G26" i="27" s="1"/>
  <c r="E30" i="27"/>
  <c r="F30" i="27" s="1"/>
  <c r="G30" i="27" s="1"/>
  <c r="E34" i="27"/>
  <c r="F34" i="27" s="1"/>
  <c r="G34" i="27" s="1"/>
  <c r="E38" i="27"/>
  <c r="F38" i="27" s="1"/>
  <c r="G38" i="27" s="1"/>
  <c r="E42" i="27"/>
  <c r="F42" i="27" s="1"/>
  <c r="G42" i="27" s="1"/>
  <c r="F46" i="27"/>
  <c r="G46" i="27" s="1"/>
  <c r="E46" i="27"/>
  <c r="E50" i="27"/>
  <c r="F50" i="27" s="1"/>
  <c r="G50" i="27" s="1"/>
  <c r="E54" i="27"/>
  <c r="F54" i="27" s="1"/>
  <c r="G54" i="27" s="1"/>
  <c r="E58" i="27"/>
  <c r="F58" i="27" s="1"/>
  <c r="G58" i="27" s="1"/>
  <c r="F62" i="27"/>
  <c r="G62" i="27" s="1"/>
  <c r="E62" i="27"/>
  <c r="E66" i="27"/>
  <c r="F66" i="27" s="1"/>
  <c r="G66" i="27" s="1"/>
  <c r="E70" i="27"/>
  <c r="F70" i="27" s="1"/>
  <c r="G70" i="27" s="1"/>
  <c r="E74" i="27"/>
  <c r="F74" i="27" s="1"/>
  <c r="G74" i="27" s="1"/>
  <c r="F78" i="27"/>
  <c r="G78" i="27" s="1"/>
  <c r="E78" i="27"/>
  <c r="G82" i="27"/>
  <c r="F82" i="27"/>
  <c r="E82" i="27"/>
  <c r="E86" i="27"/>
  <c r="F86" i="27" s="1"/>
  <c r="G86" i="27" s="1"/>
  <c r="E17" i="27"/>
  <c r="F17" i="27" s="1"/>
  <c r="G17" i="27" s="1"/>
  <c r="E7" i="27"/>
  <c r="F7" i="27" s="1"/>
  <c r="AE7" i="48" s="1"/>
  <c r="E11" i="27"/>
  <c r="F11" i="27" s="1"/>
  <c r="G11" i="27" s="1"/>
  <c r="F15" i="27"/>
  <c r="G15" i="27" s="1"/>
  <c r="E15" i="27"/>
  <c r="G19" i="27"/>
  <c r="F19" i="27"/>
  <c r="E19" i="27"/>
  <c r="E23" i="27"/>
  <c r="F23" i="27" s="1"/>
  <c r="G23" i="27" s="1"/>
  <c r="E27" i="27"/>
  <c r="F27" i="27" s="1"/>
  <c r="G27" i="27" s="1"/>
  <c r="F31" i="27"/>
  <c r="G31" i="27" s="1"/>
  <c r="E31" i="27"/>
  <c r="E35" i="27"/>
  <c r="F35" i="27" s="1"/>
  <c r="G35" i="27" s="1"/>
  <c r="E39" i="27"/>
  <c r="F39" i="27" s="1"/>
  <c r="G39" i="27" s="1"/>
  <c r="E43" i="27"/>
  <c r="F43" i="27" s="1"/>
  <c r="G43" i="27" s="1"/>
  <c r="F47" i="27"/>
  <c r="G47" i="27" s="1"/>
  <c r="E47" i="27"/>
  <c r="E51" i="27"/>
  <c r="F51" i="27" s="1"/>
  <c r="G51" i="27" s="1"/>
  <c r="E55" i="27"/>
  <c r="F55" i="27" s="1"/>
  <c r="G55" i="27" s="1"/>
  <c r="E59" i="27"/>
  <c r="F59" i="27" s="1"/>
  <c r="G59" i="27" s="1"/>
  <c r="F63" i="27"/>
  <c r="G63" i="27" s="1"/>
  <c r="E63" i="27"/>
  <c r="E67" i="27"/>
  <c r="F67" i="27" s="1"/>
  <c r="G67" i="27" s="1"/>
  <c r="E71" i="27"/>
  <c r="F71" i="27" s="1"/>
  <c r="G71" i="27" s="1"/>
  <c r="E75" i="27"/>
  <c r="F75" i="27" s="1"/>
  <c r="G75" i="27" s="1"/>
  <c r="G79" i="27"/>
  <c r="F79" i="27"/>
  <c r="E79" i="27"/>
  <c r="E83" i="27"/>
  <c r="F83" i="27" s="1"/>
  <c r="G83" i="27" s="1"/>
  <c r="E87" i="27"/>
  <c r="F87" i="27" s="1"/>
  <c r="G87" i="27" s="1"/>
  <c r="E21" i="27"/>
  <c r="F21" i="27" s="1"/>
  <c r="G21" i="27" s="1"/>
  <c r="E4" i="27"/>
  <c r="F4" i="27" s="1"/>
  <c r="AE4" i="48" s="1"/>
  <c r="G8" i="27"/>
  <c r="F8" i="27"/>
  <c r="E8" i="27"/>
  <c r="G12" i="27"/>
  <c r="F12" i="27"/>
  <c r="E12" i="27"/>
  <c r="E16" i="27"/>
  <c r="F16" i="27" s="1"/>
  <c r="G16" i="27" s="1"/>
  <c r="E20" i="27"/>
  <c r="F20" i="27" s="1"/>
  <c r="G20" i="27" s="1"/>
  <c r="E24" i="27"/>
  <c r="F24" i="27" s="1"/>
  <c r="G24" i="27" s="1"/>
  <c r="E28" i="27"/>
  <c r="F28" i="27" s="1"/>
  <c r="G28" i="27" s="1"/>
  <c r="E32" i="27"/>
  <c r="F32" i="27" s="1"/>
  <c r="G32" i="27" s="1"/>
  <c r="F36" i="27"/>
  <c r="G36" i="27" s="1"/>
  <c r="E36" i="27"/>
  <c r="E40" i="27"/>
  <c r="F40" i="27" s="1"/>
  <c r="G40" i="27" s="1"/>
  <c r="E44" i="27"/>
  <c r="F44" i="27" s="1"/>
  <c r="G44" i="27" s="1"/>
  <c r="E48" i="27"/>
  <c r="F48" i="27" s="1"/>
  <c r="G48" i="27" s="1"/>
  <c r="F52" i="27"/>
  <c r="G52" i="27" s="1"/>
  <c r="E52" i="27"/>
  <c r="E56" i="27"/>
  <c r="F56" i="27" s="1"/>
  <c r="G56" i="27" s="1"/>
  <c r="E60" i="27"/>
  <c r="F60" i="27" s="1"/>
  <c r="G60" i="27" s="1"/>
  <c r="E64" i="27"/>
  <c r="F64" i="27" s="1"/>
  <c r="G64" i="27" s="1"/>
  <c r="F68" i="27"/>
  <c r="G68" i="27" s="1"/>
  <c r="E68" i="27"/>
  <c r="E72" i="27"/>
  <c r="F72" i="27" s="1"/>
  <c r="G72" i="27" s="1"/>
  <c r="G76" i="27"/>
  <c r="F76" i="27"/>
  <c r="E76" i="27"/>
  <c r="E80" i="27"/>
  <c r="F80" i="27" s="1"/>
  <c r="G80" i="27" s="1"/>
  <c r="F84" i="27"/>
  <c r="G84" i="27" s="1"/>
  <c r="E84" i="27"/>
  <c r="E88" i="27"/>
  <c r="F88" i="27" s="1"/>
  <c r="G88" i="27" s="1"/>
  <c r="N2" i="19"/>
  <c r="F4" i="3"/>
  <c r="S2" i="19"/>
  <c r="T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S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T2" i="19"/>
  <c r="P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Q2" i="19"/>
  <c r="L2" i="19"/>
  <c r="F5" i="3"/>
  <c r="N7" i="19"/>
  <c r="F8" i="3"/>
  <c r="F9" i="3"/>
  <c r="N14" i="19"/>
  <c r="N15" i="19"/>
  <c r="N18" i="19"/>
  <c r="N19" i="19"/>
  <c r="N22" i="19"/>
  <c r="N23" i="19"/>
  <c r="N26" i="19"/>
  <c r="N27" i="19"/>
  <c r="N30" i="19"/>
  <c r="N34" i="19"/>
  <c r="N35" i="19"/>
  <c r="N38" i="19"/>
  <c r="N39" i="19"/>
  <c r="N42" i="19"/>
  <c r="N43" i="19"/>
  <c r="N46" i="19"/>
  <c r="N50" i="19"/>
  <c r="N51" i="19"/>
  <c r="N54" i="19"/>
  <c r="N55" i="19"/>
  <c r="N58" i="19"/>
  <c r="N59" i="19"/>
  <c r="N62" i="19"/>
  <c r="N66" i="19"/>
  <c r="N67" i="19"/>
  <c r="N70" i="19"/>
  <c r="N71" i="19"/>
  <c r="N74" i="19"/>
  <c r="N75" i="19"/>
  <c r="N78" i="19"/>
  <c r="N82" i="19"/>
  <c r="N83" i="19"/>
  <c r="N86" i="19"/>
  <c r="N87" i="19"/>
  <c r="N3" i="19"/>
  <c r="N8" i="19"/>
  <c r="N12" i="19"/>
  <c r="N13" i="19"/>
  <c r="N16" i="19"/>
  <c r="N17" i="19"/>
  <c r="N20" i="19"/>
  <c r="N21" i="19"/>
  <c r="N24" i="19"/>
  <c r="N25" i="19"/>
  <c r="N28" i="19"/>
  <c r="N29" i="19"/>
  <c r="N31" i="19"/>
  <c r="N32" i="19"/>
  <c r="N33" i="19"/>
  <c r="N36" i="19"/>
  <c r="N37" i="19"/>
  <c r="N40" i="19"/>
  <c r="N41" i="19"/>
  <c r="N44" i="19"/>
  <c r="N45" i="19"/>
  <c r="N47" i="19"/>
  <c r="N48" i="19"/>
  <c r="N49" i="19"/>
  <c r="N52" i="19"/>
  <c r="N53" i="19"/>
  <c r="N56" i="19"/>
  <c r="N57" i="19"/>
  <c r="N60" i="19"/>
  <c r="N61" i="19"/>
  <c r="N63" i="19"/>
  <c r="N64" i="19"/>
  <c r="N65" i="19"/>
  <c r="N68" i="19"/>
  <c r="N69" i="19"/>
  <c r="N72" i="19"/>
  <c r="N73" i="19"/>
  <c r="N76" i="19"/>
  <c r="N77" i="19"/>
  <c r="N79" i="19"/>
  <c r="N80" i="19"/>
  <c r="N81" i="19"/>
  <c r="N84" i="19"/>
  <c r="N85" i="19"/>
  <c r="N88" i="19"/>
  <c r="M3" i="19"/>
  <c r="M4" i="19"/>
  <c r="M5" i="19"/>
  <c r="M6" i="19"/>
  <c r="M7" i="19"/>
  <c r="M8" i="19"/>
  <c r="M9" i="19"/>
  <c r="M10" i="19"/>
  <c r="M11" i="19"/>
  <c r="L3" i="19"/>
  <c r="L4" i="19"/>
  <c r="L5" i="19"/>
  <c r="L6" i="19"/>
  <c r="L7" i="19"/>
  <c r="L8" i="19"/>
  <c r="L9" i="19"/>
  <c r="L10" i="19"/>
  <c r="L11" i="19"/>
  <c r="M2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I3" i="19"/>
  <c r="I4" i="19"/>
  <c r="I5" i="19"/>
  <c r="I6" i="19"/>
  <c r="I7" i="19"/>
  <c r="I8" i="19"/>
  <c r="I9" i="19"/>
  <c r="I10" i="19"/>
  <c r="I11" i="19"/>
  <c r="I2" i="19"/>
  <c r="D4" i="4"/>
  <c r="D3" i="4"/>
  <c r="D5" i="4"/>
  <c r="D6" i="4"/>
  <c r="D7" i="4"/>
  <c r="D8" i="4"/>
  <c r="D9" i="4"/>
  <c r="D10" i="4"/>
  <c r="D11" i="4"/>
  <c r="D12" i="4"/>
  <c r="D13" i="4"/>
  <c r="D14" i="4"/>
  <c r="D15" i="4"/>
  <c r="D16" i="4"/>
  <c r="E16" i="48" s="1"/>
  <c r="D17" i="4"/>
  <c r="D18" i="4"/>
  <c r="D19" i="4"/>
  <c r="D20" i="4"/>
  <c r="E20" i="48" s="1"/>
  <c r="D21" i="4"/>
  <c r="E21" i="48" s="1"/>
  <c r="AS21" i="48" s="1"/>
  <c r="D22" i="4"/>
  <c r="D23" i="4"/>
  <c r="D24" i="4"/>
  <c r="D25" i="4"/>
  <c r="D26" i="4"/>
  <c r="D27" i="4"/>
  <c r="D28" i="4"/>
  <c r="D29" i="4"/>
  <c r="E29" i="48" s="1"/>
  <c r="AS29" i="48" s="1"/>
  <c r="D30" i="4"/>
  <c r="D31" i="4"/>
  <c r="D32" i="4"/>
  <c r="E32" i="48" s="1"/>
  <c r="AS32" i="48" s="1"/>
  <c r="D33" i="4"/>
  <c r="D34" i="4"/>
  <c r="D35" i="4"/>
  <c r="D36" i="4"/>
  <c r="D37" i="4"/>
  <c r="E37" i="48" s="1"/>
  <c r="AS37" i="48" s="1"/>
  <c r="D38" i="4"/>
  <c r="D39" i="4"/>
  <c r="D40" i="4"/>
  <c r="D41" i="4"/>
  <c r="D42" i="4"/>
  <c r="D43" i="4"/>
  <c r="D44" i="4"/>
  <c r="D45" i="4"/>
  <c r="E45" i="48" s="1"/>
  <c r="D46" i="4"/>
  <c r="D47" i="4"/>
  <c r="D48" i="4"/>
  <c r="D49" i="4"/>
  <c r="D50" i="4"/>
  <c r="D51" i="4"/>
  <c r="D52" i="4"/>
  <c r="D53" i="4"/>
  <c r="E53" i="48" s="1"/>
  <c r="AS53" i="48" s="1"/>
  <c r="D54" i="4"/>
  <c r="D55" i="4"/>
  <c r="D56" i="4"/>
  <c r="E56" i="48" s="1"/>
  <c r="D57" i="4"/>
  <c r="D58" i="4"/>
  <c r="D59" i="4"/>
  <c r="D60" i="4"/>
  <c r="D61" i="4"/>
  <c r="E61" i="48" s="1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E88" i="48" s="1"/>
  <c r="AS88" i="48" s="1"/>
  <c r="D2" i="4"/>
  <c r="E2" i="48" s="1"/>
  <c r="AM126" i="19" l="1"/>
  <c r="AH143" i="48"/>
  <c r="AV143" i="48" s="1"/>
  <c r="AZ143" i="48" s="1"/>
  <c r="AM143" i="19"/>
  <c r="K145" i="28"/>
  <c r="L146" i="46"/>
  <c r="AM125" i="19"/>
  <c r="M146" i="47"/>
  <c r="AH137" i="48"/>
  <c r="AV137" i="48" s="1"/>
  <c r="AZ137" i="48" s="1"/>
  <c r="BA137" i="48" s="1"/>
  <c r="AH128" i="48"/>
  <c r="AV128" i="48" s="1"/>
  <c r="AZ128" i="48" s="1"/>
  <c r="BA128" i="48" s="1"/>
  <c r="AM128" i="19"/>
  <c r="L145" i="28"/>
  <c r="M146" i="46"/>
  <c r="L146" i="45"/>
  <c r="AO140" i="48"/>
  <c r="AP140" i="48" s="1"/>
  <c r="BA140" i="48"/>
  <c r="AR140" i="48"/>
  <c r="AQ140" i="48"/>
  <c r="L146" i="47"/>
  <c r="M146" i="44"/>
  <c r="F141" i="46"/>
  <c r="F141" i="47"/>
  <c r="F141" i="45"/>
  <c r="F141" i="44"/>
  <c r="E140" i="28"/>
  <c r="BA140" i="19"/>
  <c r="BE140" i="19" s="1"/>
  <c r="F138" i="44"/>
  <c r="F138" i="47"/>
  <c r="E137" i="28"/>
  <c r="F138" i="45"/>
  <c r="BA137" i="19"/>
  <c r="BE137" i="19" s="1"/>
  <c r="F138" i="46"/>
  <c r="AZ126" i="48"/>
  <c r="BA126" i="48" s="1"/>
  <c r="N146" i="45"/>
  <c r="N146" i="46"/>
  <c r="N146" i="47"/>
  <c r="M145" i="28"/>
  <c r="AB52" i="48"/>
  <c r="G52" i="21"/>
  <c r="AI52" i="48" s="1"/>
  <c r="AW52" i="48" s="1"/>
  <c r="AB41" i="48"/>
  <c r="G41" i="21"/>
  <c r="AI41" i="48" s="1"/>
  <c r="AW41" i="48" s="1"/>
  <c r="AB40" i="48"/>
  <c r="G40" i="21"/>
  <c r="AI40" i="48" s="1"/>
  <c r="AW40" i="48" s="1"/>
  <c r="AM123" i="48"/>
  <c r="AR123" i="19"/>
  <c r="I123" i="25"/>
  <c r="AS61" i="48"/>
  <c r="AS56" i="48"/>
  <c r="AS45" i="48"/>
  <c r="G75" i="22"/>
  <c r="AJ75" i="48" s="1"/>
  <c r="AX75" i="48" s="1"/>
  <c r="G68" i="22"/>
  <c r="AJ68" i="48" s="1"/>
  <c r="AX68" i="48" s="1"/>
  <c r="AC55" i="48"/>
  <c r="G55" i="22"/>
  <c r="AJ55" i="48" s="1"/>
  <c r="AX55" i="48" s="1"/>
  <c r="AC40" i="48"/>
  <c r="G40" i="22"/>
  <c r="AJ40" i="48" s="1"/>
  <c r="AX40" i="48" s="1"/>
  <c r="AS16" i="48"/>
  <c r="G16" i="22"/>
  <c r="AJ16" i="48" s="1"/>
  <c r="AX16" i="48" s="1"/>
  <c r="P143" i="44"/>
  <c r="AS20" i="48"/>
  <c r="O145" i="28"/>
  <c r="P146" i="47"/>
  <c r="P146" i="45"/>
  <c r="P145" i="28"/>
  <c r="Q146" i="44"/>
  <c r="AJ6" i="19"/>
  <c r="AE6" i="48"/>
  <c r="I96" i="45"/>
  <c r="BD95" i="19"/>
  <c r="I96" i="44"/>
  <c r="I96" i="46"/>
  <c r="H95" i="28"/>
  <c r="I96" i="47"/>
  <c r="AL94" i="48"/>
  <c r="AL116" i="48"/>
  <c r="AK116" i="48"/>
  <c r="AY116" i="48" s="1"/>
  <c r="AP116" i="19"/>
  <c r="I122" i="47"/>
  <c r="H121" i="28"/>
  <c r="I122" i="46"/>
  <c r="I122" i="45"/>
  <c r="I122" i="44"/>
  <c r="BD121" i="19"/>
  <c r="I121" i="46"/>
  <c r="BD120" i="19"/>
  <c r="H120" i="28"/>
  <c r="I121" i="47"/>
  <c r="I121" i="45"/>
  <c r="I121" i="44"/>
  <c r="I125" i="46"/>
  <c r="I125" i="45"/>
  <c r="BD124" i="19"/>
  <c r="I125" i="44"/>
  <c r="I125" i="47"/>
  <c r="H124" i="28"/>
  <c r="AL89" i="48"/>
  <c r="BD114" i="19"/>
  <c r="I115" i="44"/>
  <c r="I115" i="47"/>
  <c r="H114" i="28"/>
  <c r="I115" i="46"/>
  <c r="I115" i="45"/>
  <c r="I128" i="46"/>
  <c r="I128" i="47"/>
  <c r="I128" i="45"/>
  <c r="I128" i="44"/>
  <c r="BD127" i="19"/>
  <c r="H127" i="28"/>
  <c r="AL110" i="48"/>
  <c r="BD130" i="19"/>
  <c r="I131" i="44"/>
  <c r="I131" i="47"/>
  <c r="H130" i="28"/>
  <c r="I131" i="45"/>
  <c r="I131" i="46"/>
  <c r="AL106" i="48"/>
  <c r="AK106" i="48"/>
  <c r="AY106" i="48" s="1"/>
  <c r="AP106" i="19"/>
  <c r="I94" i="47"/>
  <c r="H93" i="28"/>
  <c r="I94" i="46"/>
  <c r="I94" i="44"/>
  <c r="BD93" i="19"/>
  <c r="I94" i="45"/>
  <c r="AL108" i="48"/>
  <c r="AK108" i="48"/>
  <c r="AY108" i="48" s="1"/>
  <c r="AP108" i="19"/>
  <c r="BD129" i="19"/>
  <c r="I130" i="44"/>
  <c r="I130" i="46"/>
  <c r="I130" i="45"/>
  <c r="H129" i="28"/>
  <c r="I130" i="47"/>
  <c r="BD102" i="19"/>
  <c r="I103" i="44"/>
  <c r="I103" i="45"/>
  <c r="H102" i="28"/>
  <c r="I103" i="47"/>
  <c r="I103" i="46"/>
  <c r="BD125" i="19"/>
  <c r="I126" i="44"/>
  <c r="I126" i="47"/>
  <c r="H125" i="28"/>
  <c r="I126" i="46"/>
  <c r="I126" i="45"/>
  <c r="BD105" i="19"/>
  <c r="I106" i="45"/>
  <c r="I106" i="44"/>
  <c r="I106" i="47"/>
  <c r="H105" i="28"/>
  <c r="I106" i="46"/>
  <c r="AL122" i="48"/>
  <c r="AK122" i="48"/>
  <c r="AY122" i="48" s="1"/>
  <c r="AP122" i="19"/>
  <c r="I104" i="47"/>
  <c r="H103" i="28"/>
  <c r="I104" i="46"/>
  <c r="I104" i="45"/>
  <c r="I104" i="44"/>
  <c r="BD103" i="19"/>
  <c r="AL101" i="48"/>
  <c r="AK101" i="48"/>
  <c r="AY101" i="48" s="1"/>
  <c r="AP101" i="19"/>
  <c r="AL107" i="48"/>
  <c r="BD117" i="19"/>
  <c r="I118" i="44"/>
  <c r="I118" i="47"/>
  <c r="H117" i="28"/>
  <c r="I118" i="46"/>
  <c r="I118" i="45"/>
  <c r="AL123" i="48"/>
  <c r="AK123" i="48"/>
  <c r="AY123" i="48" s="1"/>
  <c r="AP123" i="19"/>
  <c r="BD111" i="19"/>
  <c r="I112" i="44"/>
  <c r="I112" i="47"/>
  <c r="H111" i="28"/>
  <c r="I112" i="46"/>
  <c r="I112" i="45"/>
  <c r="I105" i="46"/>
  <c r="I105" i="44"/>
  <c r="BD104" i="19"/>
  <c r="H104" i="28"/>
  <c r="I105" i="47"/>
  <c r="I105" i="45"/>
  <c r="AL113" i="48"/>
  <c r="AK113" i="48"/>
  <c r="AY113" i="48" s="1"/>
  <c r="AP113" i="19"/>
  <c r="AL112" i="48"/>
  <c r="BD118" i="19"/>
  <c r="I119" i="45"/>
  <c r="I119" i="44"/>
  <c r="I119" i="47"/>
  <c r="H118" i="28"/>
  <c r="I119" i="46"/>
  <c r="AK115" i="48"/>
  <c r="AY115" i="48" s="1"/>
  <c r="AL115" i="48"/>
  <c r="AP115" i="19"/>
  <c r="I94" i="25"/>
  <c r="AM94" i="48"/>
  <c r="AR94" i="19"/>
  <c r="I89" i="25"/>
  <c r="AM89" i="48"/>
  <c r="AR89" i="19"/>
  <c r="I122" i="25"/>
  <c r="AM122" i="48"/>
  <c r="AR122" i="19"/>
  <c r="AN97" i="48"/>
  <c r="AS97" i="19"/>
  <c r="AM102" i="48"/>
  <c r="AR102" i="19"/>
  <c r="I110" i="25"/>
  <c r="AM110" i="48"/>
  <c r="AR110" i="19"/>
  <c r="AM121" i="48"/>
  <c r="AR121" i="19"/>
  <c r="AM105" i="48"/>
  <c r="AR105" i="19"/>
  <c r="AM114" i="48"/>
  <c r="AR114" i="19"/>
  <c r="I127" i="47"/>
  <c r="I127" i="45"/>
  <c r="I127" i="46"/>
  <c r="I127" i="44"/>
  <c r="H126" i="28"/>
  <c r="BD126" i="19"/>
  <c r="J105" i="47"/>
  <c r="J105" i="46"/>
  <c r="J105" i="45"/>
  <c r="J105" i="44"/>
  <c r="I104" i="28"/>
  <c r="K99" i="47"/>
  <c r="K99" i="46"/>
  <c r="K99" i="45"/>
  <c r="K99" i="44"/>
  <c r="J98" i="28"/>
  <c r="AN112" i="48"/>
  <c r="AS112" i="19"/>
  <c r="J112" i="47"/>
  <c r="J112" i="46"/>
  <c r="J112" i="45"/>
  <c r="J112" i="44"/>
  <c r="I111" i="28"/>
  <c r="J126" i="47"/>
  <c r="J126" i="45"/>
  <c r="J126" i="46"/>
  <c r="J126" i="44"/>
  <c r="I125" i="28"/>
  <c r="AN121" i="48"/>
  <c r="AS121" i="19"/>
  <c r="AN105" i="48"/>
  <c r="AS105" i="19"/>
  <c r="I101" i="25"/>
  <c r="AM101" i="48"/>
  <c r="AR101" i="19"/>
  <c r="BD97" i="19"/>
  <c r="I98" i="47"/>
  <c r="I98" i="46"/>
  <c r="I98" i="45"/>
  <c r="I98" i="44"/>
  <c r="H97" i="28"/>
  <c r="J129" i="47"/>
  <c r="J129" i="46"/>
  <c r="J129" i="45"/>
  <c r="J129" i="44"/>
  <c r="I128" i="28"/>
  <c r="J128" i="47"/>
  <c r="J128" i="46"/>
  <c r="J128" i="45"/>
  <c r="J128" i="44"/>
  <c r="I127" i="28"/>
  <c r="K105" i="47"/>
  <c r="K105" i="46"/>
  <c r="K105" i="45"/>
  <c r="K105" i="44"/>
  <c r="J104" i="28"/>
  <c r="J131" i="47"/>
  <c r="J131" i="46"/>
  <c r="J131" i="45"/>
  <c r="J131" i="44"/>
  <c r="I130" i="28"/>
  <c r="K120" i="47"/>
  <c r="K120" i="46"/>
  <c r="K120" i="45"/>
  <c r="K120" i="44"/>
  <c r="J119" i="28"/>
  <c r="BD96" i="19"/>
  <c r="I97" i="46"/>
  <c r="I97" i="47"/>
  <c r="I97" i="45"/>
  <c r="I97" i="44"/>
  <c r="H96" i="28"/>
  <c r="K121" i="47"/>
  <c r="K121" i="46"/>
  <c r="K121" i="45"/>
  <c r="K121" i="44"/>
  <c r="J120" i="28"/>
  <c r="K93" i="47"/>
  <c r="K93" i="46"/>
  <c r="K93" i="45"/>
  <c r="K93" i="44"/>
  <c r="J92" i="28"/>
  <c r="J124" i="47"/>
  <c r="J124" i="46"/>
  <c r="J124" i="45"/>
  <c r="J124" i="44"/>
  <c r="I123" i="28"/>
  <c r="I113" i="25"/>
  <c r="AM113" i="48"/>
  <c r="AR113" i="19"/>
  <c r="I109" i="25"/>
  <c r="AM109" i="48"/>
  <c r="AR109" i="19"/>
  <c r="AN93" i="48"/>
  <c r="AS93" i="19"/>
  <c r="J125" i="47"/>
  <c r="J125" i="46"/>
  <c r="J125" i="45"/>
  <c r="J125" i="44"/>
  <c r="I124" i="28"/>
  <c r="K131" i="47"/>
  <c r="K131" i="46"/>
  <c r="K131" i="45"/>
  <c r="K131" i="44"/>
  <c r="J130" i="28"/>
  <c r="K92" i="47"/>
  <c r="K92" i="46"/>
  <c r="K92" i="45"/>
  <c r="K92" i="44"/>
  <c r="J91" i="28"/>
  <c r="J108" i="47"/>
  <c r="J108" i="46"/>
  <c r="J108" i="45"/>
  <c r="J108" i="44"/>
  <c r="I107" i="28"/>
  <c r="BD100" i="19"/>
  <c r="I101" i="46"/>
  <c r="I101" i="45"/>
  <c r="I101" i="47"/>
  <c r="I101" i="44"/>
  <c r="H100" i="28"/>
  <c r="BD128" i="19"/>
  <c r="I129" i="46"/>
  <c r="I129" i="47"/>
  <c r="I129" i="45"/>
  <c r="I129" i="44"/>
  <c r="H128" i="28"/>
  <c r="J100" i="46"/>
  <c r="J100" i="47"/>
  <c r="J100" i="45"/>
  <c r="J100" i="44"/>
  <c r="I99" i="28"/>
  <c r="BD91" i="19"/>
  <c r="I92" i="47"/>
  <c r="I92" i="46"/>
  <c r="I92" i="45"/>
  <c r="I92" i="44"/>
  <c r="H91" i="28"/>
  <c r="AK94" i="48"/>
  <c r="AY94" i="48" s="1"/>
  <c r="AP94" i="19"/>
  <c r="I108" i="25"/>
  <c r="AM108" i="48"/>
  <c r="AR108" i="19"/>
  <c r="I106" i="25"/>
  <c r="AM106" i="48"/>
  <c r="AR106" i="19"/>
  <c r="I116" i="25"/>
  <c r="AM116" i="48"/>
  <c r="AR116" i="19"/>
  <c r="I115" i="25"/>
  <c r="AM115" i="48"/>
  <c r="AR115" i="19"/>
  <c r="AN118" i="48"/>
  <c r="AS118" i="19"/>
  <c r="AM117" i="48"/>
  <c r="AR117" i="19"/>
  <c r="BD90" i="19"/>
  <c r="I91" i="47"/>
  <c r="I91" i="46"/>
  <c r="I91" i="45"/>
  <c r="I91" i="44"/>
  <c r="H90" i="28"/>
  <c r="K91" i="46"/>
  <c r="K91" i="45"/>
  <c r="K91" i="47"/>
  <c r="K91" i="44"/>
  <c r="J90" i="28"/>
  <c r="J121" i="47"/>
  <c r="J121" i="46"/>
  <c r="J121" i="45"/>
  <c r="J121" i="44"/>
  <c r="I120" i="28"/>
  <c r="J101" i="47"/>
  <c r="J101" i="46"/>
  <c r="J101" i="45"/>
  <c r="J101" i="44"/>
  <c r="I100" i="28"/>
  <c r="J93" i="47"/>
  <c r="J93" i="46"/>
  <c r="J93" i="45"/>
  <c r="J93" i="44"/>
  <c r="I92" i="28"/>
  <c r="K127" i="47"/>
  <c r="K127" i="46"/>
  <c r="K127" i="45"/>
  <c r="K127" i="44"/>
  <c r="J126" i="28"/>
  <c r="K112" i="47"/>
  <c r="K112" i="46"/>
  <c r="K112" i="45"/>
  <c r="K112" i="44"/>
  <c r="J111" i="28"/>
  <c r="K96" i="47"/>
  <c r="K96" i="46"/>
  <c r="K96" i="45"/>
  <c r="K96" i="44"/>
  <c r="J95" i="28"/>
  <c r="J113" i="47"/>
  <c r="J113" i="46"/>
  <c r="J113" i="45"/>
  <c r="J113" i="44"/>
  <c r="I112" i="28"/>
  <c r="K126" i="47"/>
  <c r="K126" i="46"/>
  <c r="K126" i="45"/>
  <c r="K126" i="44"/>
  <c r="J125" i="28"/>
  <c r="AN107" i="48"/>
  <c r="AS107" i="19"/>
  <c r="AK109" i="48"/>
  <c r="AY109" i="48" s="1"/>
  <c r="AP109" i="19"/>
  <c r="J120" i="46"/>
  <c r="J120" i="47"/>
  <c r="J120" i="45"/>
  <c r="J120" i="44"/>
  <c r="I119" i="28"/>
  <c r="J104" i="46"/>
  <c r="J104" i="45"/>
  <c r="J104" i="47"/>
  <c r="J104" i="44"/>
  <c r="I103" i="28"/>
  <c r="J96" i="47"/>
  <c r="J96" i="46"/>
  <c r="J96" i="45"/>
  <c r="J96" i="44"/>
  <c r="I95" i="28"/>
  <c r="J130" i="47"/>
  <c r="J130" i="45"/>
  <c r="J130" i="46"/>
  <c r="J130" i="44"/>
  <c r="I129" i="28"/>
  <c r="BD107" i="19"/>
  <c r="I108" i="47"/>
  <c r="I108" i="46"/>
  <c r="I108" i="45"/>
  <c r="I108" i="44"/>
  <c r="H107" i="28"/>
  <c r="AK89" i="48"/>
  <c r="AY89" i="48" s="1"/>
  <c r="AP89" i="19"/>
  <c r="BD99" i="19"/>
  <c r="I100" i="47"/>
  <c r="I100" i="46"/>
  <c r="I100" i="45"/>
  <c r="I100" i="44"/>
  <c r="H99" i="28"/>
  <c r="BD112" i="19"/>
  <c r="I113" i="46"/>
  <c r="I113" i="47"/>
  <c r="I113" i="45"/>
  <c r="I113" i="44"/>
  <c r="H112" i="28"/>
  <c r="J97" i="47"/>
  <c r="J97" i="46"/>
  <c r="J97" i="45"/>
  <c r="J97" i="44"/>
  <c r="I96" i="28"/>
  <c r="K100" i="47"/>
  <c r="K100" i="46"/>
  <c r="K100" i="45"/>
  <c r="K100" i="44"/>
  <c r="J99" i="28"/>
  <c r="K130" i="47"/>
  <c r="K130" i="46"/>
  <c r="K130" i="45"/>
  <c r="K130" i="44"/>
  <c r="J129" i="28"/>
  <c r="J92" i="47"/>
  <c r="J92" i="46"/>
  <c r="J92" i="45"/>
  <c r="J92" i="44"/>
  <c r="I91" i="28"/>
  <c r="AM97" i="48"/>
  <c r="AR97" i="19"/>
  <c r="AN102" i="48"/>
  <c r="AS102" i="19"/>
  <c r="AM93" i="48"/>
  <c r="AR93" i="19"/>
  <c r="AM118" i="48"/>
  <c r="AR118" i="19"/>
  <c r="AN117" i="48"/>
  <c r="AS117" i="19"/>
  <c r="AN114" i="48"/>
  <c r="AS114" i="19"/>
  <c r="K129" i="47"/>
  <c r="K129" i="45"/>
  <c r="K129" i="46"/>
  <c r="K129" i="44"/>
  <c r="J128" i="28"/>
  <c r="AN127" i="48"/>
  <c r="AS127" i="19"/>
  <c r="BD98" i="19"/>
  <c r="I99" i="47"/>
  <c r="I99" i="46"/>
  <c r="I99" i="45"/>
  <c r="I99" i="44"/>
  <c r="H98" i="28"/>
  <c r="K125" i="47"/>
  <c r="K125" i="45"/>
  <c r="K125" i="46"/>
  <c r="K125" i="44"/>
  <c r="J124" i="28"/>
  <c r="K97" i="47"/>
  <c r="K97" i="46"/>
  <c r="K97" i="45"/>
  <c r="K97" i="44"/>
  <c r="J96" i="28"/>
  <c r="J99" i="47"/>
  <c r="J99" i="46"/>
  <c r="J99" i="45"/>
  <c r="J99" i="44"/>
  <c r="I98" i="28"/>
  <c r="K104" i="47"/>
  <c r="K104" i="46"/>
  <c r="K104" i="45"/>
  <c r="K104" i="44"/>
  <c r="J103" i="28"/>
  <c r="AK110" i="48"/>
  <c r="AY110" i="48" s="1"/>
  <c r="AP110" i="19"/>
  <c r="BD92" i="19"/>
  <c r="I93" i="47"/>
  <c r="I93" i="46"/>
  <c r="I93" i="45"/>
  <c r="I93" i="44"/>
  <c r="H92" i="28"/>
  <c r="BD119" i="19"/>
  <c r="I120" i="47"/>
  <c r="I120" i="46"/>
  <c r="I120" i="45"/>
  <c r="I120" i="44"/>
  <c r="H119" i="28"/>
  <c r="J91" i="47"/>
  <c r="J91" i="46"/>
  <c r="J91" i="45"/>
  <c r="J91" i="44"/>
  <c r="I90" i="28"/>
  <c r="K101" i="47"/>
  <c r="K101" i="46"/>
  <c r="K101" i="45"/>
  <c r="K101" i="44"/>
  <c r="J100" i="28"/>
  <c r="J127" i="47"/>
  <c r="J127" i="46"/>
  <c r="J127" i="45"/>
  <c r="J127" i="44"/>
  <c r="I126" i="28"/>
  <c r="AN123" i="48"/>
  <c r="AS123" i="19"/>
  <c r="G13" i="22"/>
  <c r="AJ13" i="48" s="1"/>
  <c r="AX13" i="48" s="1"/>
  <c r="AC13" i="48"/>
  <c r="G61" i="22"/>
  <c r="AJ61" i="48" s="1"/>
  <c r="AX61" i="48" s="1"/>
  <c r="AC61" i="48"/>
  <c r="G5" i="22"/>
  <c r="AJ5" i="48" s="1"/>
  <c r="AX5" i="48" s="1"/>
  <c r="AC5" i="48"/>
  <c r="G19" i="22"/>
  <c r="AJ19" i="48" s="1"/>
  <c r="AX19" i="48" s="1"/>
  <c r="AC19" i="48"/>
  <c r="G59" i="22"/>
  <c r="AJ59" i="48" s="1"/>
  <c r="AX59" i="48" s="1"/>
  <c r="AC59" i="48"/>
  <c r="H92" i="47"/>
  <c r="H92" i="46"/>
  <c r="H92" i="45"/>
  <c r="H92" i="44"/>
  <c r="G91" i="28"/>
  <c r="BC91" i="19"/>
  <c r="H93" i="47"/>
  <c r="H93" i="46"/>
  <c r="H93" i="45"/>
  <c r="H93" i="44"/>
  <c r="G92" i="28"/>
  <c r="BC92" i="19"/>
  <c r="H96" i="47"/>
  <c r="H96" i="46"/>
  <c r="H96" i="45"/>
  <c r="H96" i="44"/>
  <c r="G95" i="28"/>
  <c r="BC95" i="19"/>
  <c r="H104" i="47"/>
  <c r="H104" i="46"/>
  <c r="H104" i="45"/>
  <c r="H104" i="44"/>
  <c r="G103" i="28"/>
  <c r="BC103" i="19"/>
  <c r="AC86" i="48"/>
  <c r="AH86" i="19"/>
  <c r="AJ123" i="48"/>
  <c r="AX123" i="48" s="1"/>
  <c r="AO123" i="19"/>
  <c r="AJ87" i="48"/>
  <c r="AX87" i="48" s="1"/>
  <c r="AO87" i="19"/>
  <c r="AJ122" i="48"/>
  <c r="AX122" i="48" s="1"/>
  <c r="AO122" i="19"/>
  <c r="G17" i="22"/>
  <c r="AJ17" i="48" s="1"/>
  <c r="AX17" i="48" s="1"/>
  <c r="AC17" i="48"/>
  <c r="G18" i="22"/>
  <c r="AJ18" i="48" s="1"/>
  <c r="AX18" i="48" s="1"/>
  <c r="AC18" i="48"/>
  <c r="G50" i="22"/>
  <c r="AJ50" i="48" s="1"/>
  <c r="AX50" i="48" s="1"/>
  <c r="AC50" i="48"/>
  <c r="G66" i="22"/>
  <c r="AJ66" i="48" s="1"/>
  <c r="AX66" i="48" s="1"/>
  <c r="AC66" i="48"/>
  <c r="G6" i="22"/>
  <c r="AJ6" i="48" s="1"/>
  <c r="AX6" i="48" s="1"/>
  <c r="AC6" i="48"/>
  <c r="G15" i="22"/>
  <c r="AJ15" i="48" s="1"/>
  <c r="AX15" i="48" s="1"/>
  <c r="AC15" i="48"/>
  <c r="G27" i="22"/>
  <c r="AJ27" i="48" s="1"/>
  <c r="AX27" i="48" s="1"/>
  <c r="AC27" i="48"/>
  <c r="G44" i="22"/>
  <c r="AJ44" i="48" s="1"/>
  <c r="AX44" i="48" s="1"/>
  <c r="AC44" i="48"/>
  <c r="G60" i="22"/>
  <c r="AJ60" i="48" s="1"/>
  <c r="AX60" i="48" s="1"/>
  <c r="AC60" i="48"/>
  <c r="AZ124" i="48"/>
  <c r="AO124" i="48" s="1"/>
  <c r="AP124" i="48" s="1"/>
  <c r="AJ112" i="48"/>
  <c r="AX112" i="48" s="1"/>
  <c r="AO112" i="19"/>
  <c r="H84" i="47"/>
  <c r="H84" i="46"/>
  <c r="H84" i="45"/>
  <c r="H84" i="44"/>
  <c r="G83" i="28"/>
  <c r="BC83" i="19"/>
  <c r="G4" i="22"/>
  <c r="AJ4" i="48" s="1"/>
  <c r="AX4" i="48" s="1"/>
  <c r="AC4" i="48"/>
  <c r="H127" i="47"/>
  <c r="H127" i="46"/>
  <c r="H127" i="45"/>
  <c r="H127" i="44"/>
  <c r="G126" i="28"/>
  <c r="BC126" i="19"/>
  <c r="BC130" i="19"/>
  <c r="H131" i="47"/>
  <c r="H131" i="46"/>
  <c r="H131" i="45"/>
  <c r="H131" i="44"/>
  <c r="G130" i="28"/>
  <c r="BC129" i="19"/>
  <c r="H130" i="46"/>
  <c r="H130" i="47"/>
  <c r="H130" i="45"/>
  <c r="H130" i="44"/>
  <c r="G129" i="28"/>
  <c r="AJ94" i="48"/>
  <c r="AX94" i="48" s="1"/>
  <c r="AO94" i="19"/>
  <c r="BC128" i="19"/>
  <c r="H129" i="47"/>
  <c r="H129" i="46"/>
  <c r="H129" i="45"/>
  <c r="H129" i="44"/>
  <c r="G128" i="28"/>
  <c r="BC117" i="19"/>
  <c r="H118" i="47"/>
  <c r="H118" i="46"/>
  <c r="H118" i="45"/>
  <c r="H118" i="44"/>
  <c r="G117" i="28"/>
  <c r="H120" i="47"/>
  <c r="H120" i="46"/>
  <c r="H120" i="45"/>
  <c r="H120" i="44"/>
  <c r="G119" i="28"/>
  <c r="BC119" i="19"/>
  <c r="H110" i="47"/>
  <c r="H110" i="46"/>
  <c r="H110" i="45"/>
  <c r="H110" i="44"/>
  <c r="G109" i="28"/>
  <c r="BC109" i="19"/>
  <c r="AJ90" i="48"/>
  <c r="AX90" i="48" s="1"/>
  <c r="AO90" i="19"/>
  <c r="BC96" i="19"/>
  <c r="H97" i="47"/>
  <c r="H97" i="46"/>
  <c r="H97" i="45"/>
  <c r="H97" i="44"/>
  <c r="G96" i="28"/>
  <c r="AJ80" i="48"/>
  <c r="AX80" i="48" s="1"/>
  <c r="AO80" i="19"/>
  <c r="AC83" i="48"/>
  <c r="AH83" i="19"/>
  <c r="G8" i="22"/>
  <c r="AJ8" i="48" s="1"/>
  <c r="AX8" i="48" s="1"/>
  <c r="AC8" i="48"/>
  <c r="AC80" i="48"/>
  <c r="AH80" i="19"/>
  <c r="AJ82" i="48"/>
  <c r="AX82" i="48" s="1"/>
  <c r="AO82" i="19"/>
  <c r="G45" i="22"/>
  <c r="AJ45" i="48" s="1"/>
  <c r="AX45" i="48" s="1"/>
  <c r="AC45" i="48"/>
  <c r="G77" i="22"/>
  <c r="AJ77" i="48" s="1"/>
  <c r="AX77" i="48" s="1"/>
  <c r="AC77" i="48"/>
  <c r="G14" i="22"/>
  <c r="AJ14" i="48" s="1"/>
  <c r="AX14" i="48" s="1"/>
  <c r="AC14" i="48"/>
  <c r="G30" i="22"/>
  <c r="AJ30" i="48" s="1"/>
  <c r="AX30" i="48" s="1"/>
  <c r="AC30" i="48"/>
  <c r="G78" i="22"/>
  <c r="AJ78" i="48" s="1"/>
  <c r="AX78" i="48" s="1"/>
  <c r="AC78" i="48"/>
  <c r="G11" i="22"/>
  <c r="AJ11" i="48" s="1"/>
  <c r="AX11" i="48" s="1"/>
  <c r="AC11" i="48"/>
  <c r="G24" i="22"/>
  <c r="AJ24" i="48" s="1"/>
  <c r="AX24" i="48" s="1"/>
  <c r="AC24" i="48"/>
  <c r="G88" i="22"/>
  <c r="AC88" i="48"/>
  <c r="AH88" i="19"/>
  <c r="H112" i="47"/>
  <c r="H112" i="46"/>
  <c r="H112" i="45"/>
  <c r="H112" i="44"/>
  <c r="G111" i="28"/>
  <c r="BC111" i="19"/>
  <c r="AJ113" i="48"/>
  <c r="AX113" i="48" s="1"/>
  <c r="AO113" i="19"/>
  <c r="G21" i="22"/>
  <c r="AJ21" i="48" s="1"/>
  <c r="AX21" i="48" s="1"/>
  <c r="AC21" i="48"/>
  <c r="G37" i="22"/>
  <c r="AJ37" i="48" s="1"/>
  <c r="AX37" i="48" s="1"/>
  <c r="AC37" i="48"/>
  <c r="G53" i="22"/>
  <c r="AJ53" i="48" s="1"/>
  <c r="AX53" i="48" s="1"/>
  <c r="AC53" i="48"/>
  <c r="G69" i="22"/>
  <c r="AJ69" i="48" s="1"/>
  <c r="AX69" i="48" s="1"/>
  <c r="AC69" i="48"/>
  <c r="AC81" i="48"/>
  <c r="AH81" i="19"/>
  <c r="G38" i="22"/>
  <c r="AJ38" i="48" s="1"/>
  <c r="AX38" i="48" s="1"/>
  <c r="AC38" i="48"/>
  <c r="G7" i="22"/>
  <c r="AJ7" i="48" s="1"/>
  <c r="AX7" i="48" s="1"/>
  <c r="AC7" i="48"/>
  <c r="G20" i="22"/>
  <c r="AJ20" i="48" s="1"/>
  <c r="AX20" i="48" s="1"/>
  <c r="AC20" i="48"/>
  <c r="G32" i="22"/>
  <c r="AJ32" i="48" s="1"/>
  <c r="AX32" i="48" s="1"/>
  <c r="AC32" i="48"/>
  <c r="G47" i="22"/>
  <c r="AJ47" i="48" s="1"/>
  <c r="AX47" i="48" s="1"/>
  <c r="AC47" i="48"/>
  <c r="BC105" i="19"/>
  <c r="H106" i="46"/>
  <c r="H106" i="47"/>
  <c r="H106" i="45"/>
  <c r="H106" i="44"/>
  <c r="G105" i="28"/>
  <c r="AJ89" i="48"/>
  <c r="AX89" i="48" s="1"/>
  <c r="AO89" i="19"/>
  <c r="H121" i="47"/>
  <c r="H121" i="46"/>
  <c r="H121" i="45"/>
  <c r="H121" i="44"/>
  <c r="G120" i="28"/>
  <c r="BC120" i="19"/>
  <c r="AJ107" i="48"/>
  <c r="AX107" i="48" s="1"/>
  <c r="AO107" i="19"/>
  <c r="BC93" i="19"/>
  <c r="H94" i="47"/>
  <c r="H94" i="46"/>
  <c r="H94" i="45"/>
  <c r="H94" i="44"/>
  <c r="G93" i="28"/>
  <c r="AJ108" i="48"/>
  <c r="AX108" i="48" s="1"/>
  <c r="AO108" i="19"/>
  <c r="AJ85" i="48"/>
  <c r="AX85" i="48" s="1"/>
  <c r="AO85" i="19"/>
  <c r="BC79" i="19"/>
  <c r="H80" i="47"/>
  <c r="H80" i="46"/>
  <c r="H80" i="45"/>
  <c r="H80" i="44"/>
  <c r="G79" i="28"/>
  <c r="AJ116" i="48"/>
  <c r="AX116" i="48" s="1"/>
  <c r="AO116" i="19"/>
  <c r="H85" i="47"/>
  <c r="H85" i="46"/>
  <c r="H85" i="45"/>
  <c r="H85" i="44"/>
  <c r="G84" i="28"/>
  <c r="BC84" i="19"/>
  <c r="G29" i="22"/>
  <c r="AJ29" i="48" s="1"/>
  <c r="AX29" i="48" s="1"/>
  <c r="AC29" i="48"/>
  <c r="G62" i="22"/>
  <c r="AJ62" i="48" s="1"/>
  <c r="AX62" i="48" s="1"/>
  <c r="AC62" i="48"/>
  <c r="G12" i="22"/>
  <c r="AJ12" i="48" s="1"/>
  <c r="AX12" i="48" s="1"/>
  <c r="AC12" i="48"/>
  <c r="G43" i="22"/>
  <c r="AJ43" i="48" s="1"/>
  <c r="AX43" i="48" s="1"/>
  <c r="AC43" i="48"/>
  <c r="AJ110" i="48"/>
  <c r="AX110" i="48" s="1"/>
  <c r="AO110" i="19"/>
  <c r="AJ81" i="48"/>
  <c r="AX81" i="48" s="1"/>
  <c r="AO81" i="19"/>
  <c r="G25" i="22"/>
  <c r="AJ25" i="48" s="1"/>
  <c r="AX25" i="48" s="1"/>
  <c r="AC25" i="48"/>
  <c r="G41" i="22"/>
  <c r="AJ41" i="48" s="1"/>
  <c r="AX41" i="48" s="1"/>
  <c r="AC41" i="48"/>
  <c r="G57" i="22"/>
  <c r="AJ57" i="48" s="1"/>
  <c r="AX57" i="48" s="1"/>
  <c r="AC57" i="48"/>
  <c r="G73" i="22"/>
  <c r="AJ73" i="48" s="1"/>
  <c r="AX73" i="48" s="1"/>
  <c r="AC73" i="48"/>
  <c r="AJ86" i="48"/>
  <c r="AX86" i="48" s="1"/>
  <c r="AO86" i="19"/>
  <c r="G58" i="22"/>
  <c r="AJ58" i="48" s="1"/>
  <c r="AX58" i="48" s="1"/>
  <c r="AC58" i="48"/>
  <c r="G74" i="22"/>
  <c r="AJ74" i="48" s="1"/>
  <c r="AX74" i="48" s="1"/>
  <c r="AC74" i="48"/>
  <c r="AC85" i="48"/>
  <c r="AH85" i="19"/>
  <c r="AC82" i="48"/>
  <c r="AH82" i="19"/>
  <c r="G10" i="22"/>
  <c r="AJ10" i="48" s="1"/>
  <c r="AX10" i="48" s="1"/>
  <c r="AC10" i="48"/>
  <c r="G9" i="22"/>
  <c r="AJ9" i="48" s="1"/>
  <c r="AX9" i="48" s="1"/>
  <c r="AC9" i="48"/>
  <c r="G23" i="22"/>
  <c r="AJ23" i="48" s="1"/>
  <c r="AX23" i="48" s="1"/>
  <c r="AC23" i="48"/>
  <c r="G39" i="22"/>
  <c r="AJ39" i="48" s="1"/>
  <c r="AX39" i="48" s="1"/>
  <c r="AC39" i="48"/>
  <c r="G56" i="22"/>
  <c r="AJ56" i="48" s="1"/>
  <c r="AX56" i="48" s="1"/>
  <c r="AC56" i="48"/>
  <c r="AJ106" i="48"/>
  <c r="AX106" i="48" s="1"/>
  <c r="AO106" i="19"/>
  <c r="AC84" i="48"/>
  <c r="AH84" i="19"/>
  <c r="AJ101" i="48"/>
  <c r="AX101" i="48" s="1"/>
  <c r="AO101" i="19"/>
  <c r="H105" i="47"/>
  <c r="H105" i="46"/>
  <c r="H105" i="45"/>
  <c r="H105" i="44"/>
  <c r="G104" i="28"/>
  <c r="BC104" i="19"/>
  <c r="H100" i="47"/>
  <c r="H100" i="46"/>
  <c r="H100" i="45"/>
  <c r="H100" i="44"/>
  <c r="G99" i="28"/>
  <c r="BC99" i="19"/>
  <c r="BC127" i="19"/>
  <c r="H128" i="47"/>
  <c r="H128" i="46"/>
  <c r="H128" i="45"/>
  <c r="H128" i="44"/>
  <c r="G127" i="28"/>
  <c r="H101" i="47"/>
  <c r="H101" i="46"/>
  <c r="H101" i="45"/>
  <c r="H101" i="44"/>
  <c r="G100" i="28"/>
  <c r="BC100" i="19"/>
  <c r="AJ115" i="48"/>
  <c r="AX115" i="48" s="1"/>
  <c r="AO115" i="19"/>
  <c r="BC121" i="19"/>
  <c r="H122" i="46"/>
  <c r="H122" i="47"/>
  <c r="H122" i="45"/>
  <c r="H122" i="44"/>
  <c r="G121" i="28"/>
  <c r="BC124" i="19"/>
  <c r="H125" i="47"/>
  <c r="H125" i="46"/>
  <c r="H125" i="45"/>
  <c r="H125" i="44"/>
  <c r="G124" i="28"/>
  <c r="AC79" i="48"/>
  <c r="AH79" i="19"/>
  <c r="AC87" i="48"/>
  <c r="AH87" i="19"/>
  <c r="G18" i="21"/>
  <c r="AI18" i="48" s="1"/>
  <c r="AW18" i="48" s="1"/>
  <c r="AB18" i="48"/>
  <c r="AB81" i="48"/>
  <c r="AG81" i="19"/>
  <c r="G45" i="21"/>
  <c r="AI45" i="48" s="1"/>
  <c r="AW45" i="48" s="1"/>
  <c r="AB45" i="48"/>
  <c r="G10" i="21"/>
  <c r="AI10" i="48" s="1"/>
  <c r="AW10" i="48" s="1"/>
  <c r="AB10" i="48"/>
  <c r="G75" i="21"/>
  <c r="AI75" i="48" s="1"/>
  <c r="AW75" i="48" s="1"/>
  <c r="AB75" i="48"/>
  <c r="BB102" i="19"/>
  <c r="G103" i="46"/>
  <c r="G103" i="47"/>
  <c r="G103" i="45"/>
  <c r="G103" i="44"/>
  <c r="F102" i="28"/>
  <c r="BB103" i="19"/>
  <c r="G104" i="45"/>
  <c r="G104" i="47"/>
  <c r="G104" i="46"/>
  <c r="G104" i="44"/>
  <c r="F103" i="28"/>
  <c r="AI90" i="48"/>
  <c r="AW90" i="48" s="1"/>
  <c r="AN90" i="19"/>
  <c r="AB86" i="48"/>
  <c r="AG86" i="19"/>
  <c r="G21" i="21"/>
  <c r="AI21" i="48" s="1"/>
  <c r="AW21" i="48" s="1"/>
  <c r="AB21" i="48"/>
  <c r="G53" i="21"/>
  <c r="AI53" i="48" s="1"/>
  <c r="AW53" i="48" s="1"/>
  <c r="AB53" i="48"/>
  <c r="AI85" i="48"/>
  <c r="AW85" i="48" s="1"/>
  <c r="AN85" i="19"/>
  <c r="G37" i="21"/>
  <c r="AI37" i="48" s="1"/>
  <c r="AW37" i="48" s="1"/>
  <c r="AB37" i="48"/>
  <c r="AB82" i="48"/>
  <c r="AG82" i="19"/>
  <c r="G68" i="21"/>
  <c r="AI68" i="48" s="1"/>
  <c r="AW68" i="48" s="1"/>
  <c r="AB68" i="48"/>
  <c r="G57" i="21"/>
  <c r="AI57" i="48" s="1"/>
  <c r="AW57" i="48" s="1"/>
  <c r="AB57" i="48"/>
  <c r="G22" i="21"/>
  <c r="AI22" i="48" s="1"/>
  <c r="AW22" i="48" s="1"/>
  <c r="AB22" i="48"/>
  <c r="G13" i="21"/>
  <c r="AI13" i="48" s="1"/>
  <c r="AW13" i="48" s="1"/>
  <c r="AB13" i="48"/>
  <c r="G77" i="21"/>
  <c r="AI77" i="48" s="1"/>
  <c r="AW77" i="48" s="1"/>
  <c r="AB77" i="48"/>
  <c r="G11" i="21"/>
  <c r="AI11" i="48" s="1"/>
  <c r="AW11" i="48" s="1"/>
  <c r="AB11" i="48"/>
  <c r="G5" i="21"/>
  <c r="AI5" i="48" s="1"/>
  <c r="AW5" i="48" s="1"/>
  <c r="AB5" i="48"/>
  <c r="AB80" i="48"/>
  <c r="AG80" i="19"/>
  <c r="G44" i="21"/>
  <c r="AI44" i="48" s="1"/>
  <c r="AW44" i="48" s="1"/>
  <c r="AB44" i="48"/>
  <c r="G59" i="21"/>
  <c r="AI59" i="48" s="1"/>
  <c r="AW59" i="48" s="1"/>
  <c r="AB59" i="48"/>
  <c r="G50" i="21"/>
  <c r="AI50" i="48" s="1"/>
  <c r="AW50" i="48" s="1"/>
  <c r="AB50" i="48"/>
  <c r="BB105" i="19"/>
  <c r="G106" i="47"/>
  <c r="G106" i="45"/>
  <c r="G106" i="46"/>
  <c r="G106" i="44"/>
  <c r="F105" i="28"/>
  <c r="BB125" i="19"/>
  <c r="G126" i="47"/>
  <c r="G126" i="45"/>
  <c r="G126" i="46"/>
  <c r="G126" i="44"/>
  <c r="F125" i="28"/>
  <c r="G125" i="46"/>
  <c r="G125" i="45"/>
  <c r="G125" i="47"/>
  <c r="G125" i="44"/>
  <c r="F124" i="28"/>
  <c r="BB124" i="19"/>
  <c r="G92" i="45"/>
  <c r="G92" i="47"/>
  <c r="G92" i="46"/>
  <c r="G92" i="44"/>
  <c r="F91" i="28"/>
  <c r="BB91" i="19"/>
  <c r="AI84" i="48"/>
  <c r="AW84" i="48" s="1"/>
  <c r="AN84" i="19"/>
  <c r="BB111" i="19"/>
  <c r="G112" i="45"/>
  <c r="G112" i="47"/>
  <c r="G112" i="46"/>
  <c r="G112" i="44"/>
  <c r="F111" i="28"/>
  <c r="G119" i="46"/>
  <c r="G119" i="47"/>
  <c r="G119" i="45"/>
  <c r="G119" i="44"/>
  <c r="F118" i="28"/>
  <c r="BB118" i="19"/>
  <c r="G99" i="46"/>
  <c r="G99" i="47"/>
  <c r="G99" i="45"/>
  <c r="G99" i="44"/>
  <c r="F98" i="28"/>
  <c r="BB98" i="19"/>
  <c r="AI107" i="48"/>
  <c r="AW107" i="48" s="1"/>
  <c r="AN107" i="19"/>
  <c r="G127" i="46"/>
  <c r="G127" i="47"/>
  <c r="G127" i="45"/>
  <c r="G127" i="44"/>
  <c r="F126" i="28"/>
  <c r="BB126" i="19"/>
  <c r="G98" i="47"/>
  <c r="G98" i="45"/>
  <c r="G98" i="46"/>
  <c r="G98" i="44"/>
  <c r="F97" i="28"/>
  <c r="BB97" i="19"/>
  <c r="AI110" i="48"/>
  <c r="AW110" i="48" s="1"/>
  <c r="AN110" i="19"/>
  <c r="BB101" i="19"/>
  <c r="G102" i="47"/>
  <c r="G102" i="45"/>
  <c r="G102" i="46"/>
  <c r="G102" i="44"/>
  <c r="F101" i="28"/>
  <c r="BB104" i="19"/>
  <c r="G105" i="46"/>
  <c r="G105" i="45"/>
  <c r="G105" i="47"/>
  <c r="G105" i="44"/>
  <c r="F104" i="28"/>
  <c r="G128" i="45"/>
  <c r="G128" i="47"/>
  <c r="G128" i="46"/>
  <c r="G128" i="44"/>
  <c r="F127" i="28"/>
  <c r="BB127" i="19"/>
  <c r="AI94" i="48"/>
  <c r="AW94" i="48" s="1"/>
  <c r="AN94" i="19"/>
  <c r="AB79" i="48"/>
  <c r="AG79" i="19"/>
  <c r="AB87" i="48"/>
  <c r="AG87" i="19"/>
  <c r="AI116" i="48"/>
  <c r="AW116" i="48" s="1"/>
  <c r="AN116" i="19"/>
  <c r="BB120" i="19"/>
  <c r="G121" i="47"/>
  <c r="G121" i="45"/>
  <c r="G121" i="46"/>
  <c r="G121" i="44"/>
  <c r="F120" i="28"/>
  <c r="AI82" i="48"/>
  <c r="AW82" i="48" s="1"/>
  <c r="AN82" i="19"/>
  <c r="AI106" i="48"/>
  <c r="AW106" i="48" s="1"/>
  <c r="AN106" i="19"/>
  <c r="BB129" i="19"/>
  <c r="G130" i="47"/>
  <c r="G130" i="45"/>
  <c r="G130" i="46"/>
  <c r="G130" i="44"/>
  <c r="F129" i="28"/>
  <c r="G14" i="21"/>
  <c r="AI14" i="48" s="1"/>
  <c r="AW14" i="48" s="1"/>
  <c r="AB14" i="48"/>
  <c r="G61" i="21"/>
  <c r="AI61" i="48" s="1"/>
  <c r="AW61" i="48" s="1"/>
  <c r="AB61" i="48"/>
  <c r="G56" i="21"/>
  <c r="AI56" i="48" s="1"/>
  <c r="AW56" i="48" s="1"/>
  <c r="AB56" i="48"/>
  <c r="G88" i="21"/>
  <c r="AB88" i="48"/>
  <c r="AG88" i="19"/>
  <c r="G74" i="21"/>
  <c r="AI74" i="48" s="1"/>
  <c r="AW74" i="48" s="1"/>
  <c r="AB74" i="48"/>
  <c r="G17" i="21"/>
  <c r="AI17" i="48" s="1"/>
  <c r="AW17" i="48" s="1"/>
  <c r="AB17" i="48"/>
  <c r="G69" i="21"/>
  <c r="AI69" i="48" s="1"/>
  <c r="AW69" i="48" s="1"/>
  <c r="AB69" i="48"/>
  <c r="G32" i="21"/>
  <c r="AI32" i="48" s="1"/>
  <c r="AW32" i="48" s="1"/>
  <c r="AB32" i="48"/>
  <c r="G29" i="21"/>
  <c r="AI29" i="48" s="1"/>
  <c r="AW29" i="48" s="1"/>
  <c r="AB29" i="48"/>
  <c r="G8" i="21"/>
  <c r="AI8" i="48" s="1"/>
  <c r="AW8" i="48" s="1"/>
  <c r="AB8" i="48"/>
  <c r="G9" i="21"/>
  <c r="AI9" i="48" s="1"/>
  <c r="AW9" i="48" s="1"/>
  <c r="AB9" i="48"/>
  <c r="G7" i="21"/>
  <c r="AI7" i="48" s="1"/>
  <c r="AW7" i="48" s="1"/>
  <c r="AB7" i="48"/>
  <c r="G15" i="21"/>
  <c r="AI15" i="48" s="1"/>
  <c r="AW15" i="48" s="1"/>
  <c r="AB15" i="48"/>
  <c r="G60" i="21"/>
  <c r="AI60" i="48" s="1"/>
  <c r="AW60" i="48" s="1"/>
  <c r="AB60" i="48"/>
  <c r="AZ130" i="48"/>
  <c r="AO130" i="48" s="1"/>
  <c r="AP130" i="48" s="1"/>
  <c r="G93" i="46"/>
  <c r="G93" i="45"/>
  <c r="G93" i="47"/>
  <c r="G93" i="44"/>
  <c r="F92" i="28"/>
  <c r="BB92" i="19"/>
  <c r="AI123" i="48"/>
  <c r="AW123" i="48" s="1"/>
  <c r="AN123" i="19"/>
  <c r="AI86" i="48"/>
  <c r="AW86" i="48" s="1"/>
  <c r="AN86" i="19"/>
  <c r="BB100" i="19"/>
  <c r="G101" i="45"/>
  <c r="G101" i="46"/>
  <c r="G101" i="47"/>
  <c r="G101" i="44"/>
  <c r="F100" i="28"/>
  <c r="G115" i="46"/>
  <c r="G115" i="47"/>
  <c r="G115" i="45"/>
  <c r="G115" i="44"/>
  <c r="F114" i="28"/>
  <c r="BB114" i="19"/>
  <c r="BB119" i="19"/>
  <c r="G120" i="45"/>
  <c r="G120" i="47"/>
  <c r="G120" i="46"/>
  <c r="G120" i="44"/>
  <c r="F119" i="28"/>
  <c r="BB99" i="19"/>
  <c r="G100" i="45"/>
  <c r="G100" i="47"/>
  <c r="G100" i="46"/>
  <c r="G100" i="44"/>
  <c r="F99" i="28"/>
  <c r="BB128" i="19"/>
  <c r="G129" i="47"/>
  <c r="G129" i="45"/>
  <c r="G129" i="46"/>
  <c r="G129" i="44"/>
  <c r="F128" i="28"/>
  <c r="G30" i="21"/>
  <c r="AI30" i="48" s="1"/>
  <c r="AW30" i="48" s="1"/>
  <c r="AB30" i="48"/>
  <c r="G78" i="21"/>
  <c r="AI78" i="48" s="1"/>
  <c r="AW78" i="48" s="1"/>
  <c r="AB78" i="48"/>
  <c r="G58" i="21"/>
  <c r="AI58" i="48" s="1"/>
  <c r="AW58" i="48" s="1"/>
  <c r="AB58" i="48"/>
  <c r="G25" i="21"/>
  <c r="AI25" i="48" s="1"/>
  <c r="AW25" i="48" s="1"/>
  <c r="AB25" i="48"/>
  <c r="AI81" i="48"/>
  <c r="AW81" i="48" s="1"/>
  <c r="AN81" i="19"/>
  <c r="G16" i="21"/>
  <c r="AI16" i="48" s="1"/>
  <c r="AW16" i="48" s="1"/>
  <c r="AB16" i="48"/>
  <c r="G20" i="21"/>
  <c r="AI20" i="48" s="1"/>
  <c r="AW20" i="48" s="1"/>
  <c r="AB20" i="48"/>
  <c r="AI87" i="48"/>
  <c r="AW87" i="48" s="1"/>
  <c r="AN87" i="19"/>
  <c r="AI79" i="48"/>
  <c r="AW79" i="48" s="1"/>
  <c r="AN79" i="19"/>
  <c r="AI80" i="48"/>
  <c r="AW80" i="48" s="1"/>
  <c r="AN80" i="19"/>
  <c r="G39" i="21"/>
  <c r="AI39" i="48" s="1"/>
  <c r="AW39" i="48" s="1"/>
  <c r="AB39" i="48"/>
  <c r="G47" i="21"/>
  <c r="AI47" i="48" s="1"/>
  <c r="AW47" i="48" s="1"/>
  <c r="AB47" i="48"/>
  <c r="AI109" i="48"/>
  <c r="AW109" i="48" s="1"/>
  <c r="AN109" i="19"/>
  <c r="AI113" i="48"/>
  <c r="AW113" i="48" s="1"/>
  <c r="AN113" i="19"/>
  <c r="AI115" i="48"/>
  <c r="AW115" i="48" s="1"/>
  <c r="AN115" i="19"/>
  <c r="G24" i="21"/>
  <c r="AI24" i="48" s="1"/>
  <c r="AW24" i="48" s="1"/>
  <c r="AB24" i="48"/>
  <c r="G62" i="21"/>
  <c r="AI62" i="48" s="1"/>
  <c r="AW62" i="48" s="1"/>
  <c r="AB62" i="48"/>
  <c r="G73" i="21"/>
  <c r="AI73" i="48" s="1"/>
  <c r="AW73" i="48" s="1"/>
  <c r="AB73" i="48"/>
  <c r="G66" i="21"/>
  <c r="AI66" i="48" s="1"/>
  <c r="AW66" i="48" s="1"/>
  <c r="AB66" i="48"/>
  <c r="AB84" i="48"/>
  <c r="AG84" i="19"/>
  <c r="G38" i="21"/>
  <c r="AI38" i="48" s="1"/>
  <c r="AW38" i="48" s="1"/>
  <c r="AB38" i="48"/>
  <c r="G12" i="21"/>
  <c r="AI12" i="48" s="1"/>
  <c r="AW12" i="48" s="1"/>
  <c r="AB12" i="48"/>
  <c r="G4" i="21"/>
  <c r="AI4" i="48" s="1"/>
  <c r="AW4" i="48" s="1"/>
  <c r="AB4" i="48"/>
  <c r="G3" i="21"/>
  <c r="AI3" i="48" s="1"/>
  <c r="AW3" i="48" s="1"/>
  <c r="AB3" i="48"/>
  <c r="G19" i="21"/>
  <c r="AI19" i="48" s="1"/>
  <c r="AW19" i="48" s="1"/>
  <c r="AB19" i="48"/>
  <c r="AI83" i="48"/>
  <c r="AW83" i="48" s="1"/>
  <c r="AN83" i="19"/>
  <c r="G43" i="21"/>
  <c r="AI43" i="48" s="1"/>
  <c r="AW43" i="48" s="1"/>
  <c r="AB43" i="48"/>
  <c r="G23" i="21"/>
  <c r="AI23" i="48" s="1"/>
  <c r="AW23" i="48" s="1"/>
  <c r="AB23" i="48"/>
  <c r="G27" i="21"/>
  <c r="AI27" i="48" s="1"/>
  <c r="AW27" i="48" s="1"/>
  <c r="AB27" i="48"/>
  <c r="G118" i="47"/>
  <c r="G118" i="45"/>
  <c r="G118" i="46"/>
  <c r="G118" i="44"/>
  <c r="F117" i="28"/>
  <c r="BB117" i="19"/>
  <c r="G97" i="46"/>
  <c r="G97" i="45"/>
  <c r="G97" i="47"/>
  <c r="G97" i="44"/>
  <c r="F96" i="28"/>
  <c r="BB96" i="19"/>
  <c r="AB85" i="48"/>
  <c r="AG85" i="19"/>
  <c r="BB95" i="19"/>
  <c r="G96" i="45"/>
  <c r="G96" i="46"/>
  <c r="G96" i="47"/>
  <c r="G96" i="44"/>
  <c r="F95" i="28"/>
  <c r="BB93" i="19"/>
  <c r="G94" i="47"/>
  <c r="G94" i="45"/>
  <c r="G94" i="46"/>
  <c r="G94" i="44"/>
  <c r="F93" i="28"/>
  <c r="AI112" i="48"/>
  <c r="AW112" i="48" s="1"/>
  <c r="AN112" i="19"/>
  <c r="BB130" i="19"/>
  <c r="G131" i="46"/>
  <c r="G131" i="47"/>
  <c r="G131" i="45"/>
  <c r="G131" i="44"/>
  <c r="F130" i="28"/>
  <c r="AI89" i="48"/>
  <c r="AW89" i="48" s="1"/>
  <c r="AN89" i="19"/>
  <c r="AI108" i="48"/>
  <c r="AW108" i="48" s="1"/>
  <c r="AN108" i="19"/>
  <c r="G6" i="21"/>
  <c r="AI6" i="48" s="1"/>
  <c r="AW6" i="48" s="1"/>
  <c r="AB6" i="48"/>
  <c r="AB83" i="48"/>
  <c r="AG83" i="19"/>
  <c r="AI122" i="48"/>
  <c r="AW122" i="48" s="1"/>
  <c r="AN122" i="19"/>
  <c r="BA130" i="19"/>
  <c r="F131" i="47"/>
  <c r="F131" i="45"/>
  <c r="F131" i="46"/>
  <c r="F131" i="44"/>
  <c r="E130" i="28"/>
  <c r="BA124" i="19"/>
  <c r="F125" i="47"/>
  <c r="F125" i="45"/>
  <c r="F125" i="46"/>
  <c r="F125" i="44"/>
  <c r="E124" i="28"/>
  <c r="AZ125" i="48"/>
  <c r="AR125" i="48" s="1"/>
  <c r="AH129" i="48"/>
  <c r="AV129" i="48" s="1"/>
  <c r="AZ129" i="48" s="1"/>
  <c r="AM129" i="19"/>
  <c r="BA125" i="19"/>
  <c r="F126" i="47"/>
  <c r="F126" i="45"/>
  <c r="F126" i="46"/>
  <c r="F126" i="44"/>
  <c r="E125" i="28"/>
  <c r="BA126" i="19"/>
  <c r="F127" i="47"/>
  <c r="F127" i="45"/>
  <c r="F127" i="46"/>
  <c r="F127" i="44"/>
  <c r="E126" i="28"/>
  <c r="E82" i="48"/>
  <c r="AS82" i="48" s="1"/>
  <c r="E82" i="4"/>
  <c r="E58" i="4"/>
  <c r="F58" i="4" s="1"/>
  <c r="AD58" i="19" s="1"/>
  <c r="E58" i="48"/>
  <c r="AS58" i="48" s="1"/>
  <c r="E42" i="48"/>
  <c r="AS42" i="48" s="1"/>
  <c r="E42" i="4"/>
  <c r="E26" i="48"/>
  <c r="AS26" i="48" s="1"/>
  <c r="E26" i="4"/>
  <c r="E78" i="4"/>
  <c r="E78" i="48"/>
  <c r="AS78" i="48" s="1"/>
  <c r="E66" i="4"/>
  <c r="F66" i="4" s="1"/>
  <c r="G66" i="4" s="1"/>
  <c r="E66" i="48"/>
  <c r="AS66" i="48" s="1"/>
  <c r="E38" i="4"/>
  <c r="E38" i="48"/>
  <c r="AS38" i="48" s="1"/>
  <c r="AY114" i="19"/>
  <c r="D115" i="47"/>
  <c r="D115" i="46"/>
  <c r="D115" i="45"/>
  <c r="D115" i="44"/>
  <c r="C114" i="28"/>
  <c r="AY121" i="19"/>
  <c r="D122" i="47"/>
  <c r="D122" i="46"/>
  <c r="D122" i="45"/>
  <c r="D122" i="44"/>
  <c r="C121" i="28"/>
  <c r="D109" i="46"/>
  <c r="D109" i="47"/>
  <c r="D109" i="45"/>
  <c r="D109" i="44"/>
  <c r="C108" i="28"/>
  <c r="AY108" i="19"/>
  <c r="AY129" i="19"/>
  <c r="D130" i="47"/>
  <c r="D130" i="46"/>
  <c r="D130" i="45"/>
  <c r="D130" i="44"/>
  <c r="C129" i="28"/>
  <c r="D126" i="47"/>
  <c r="D126" i="46"/>
  <c r="D126" i="45"/>
  <c r="D126" i="44"/>
  <c r="C125" i="28"/>
  <c r="AY125" i="19"/>
  <c r="D96" i="47"/>
  <c r="D96" i="46"/>
  <c r="D96" i="45"/>
  <c r="D96" i="44"/>
  <c r="C95" i="28"/>
  <c r="AY95" i="19"/>
  <c r="D102" i="47"/>
  <c r="D102" i="46"/>
  <c r="D102" i="45"/>
  <c r="D102" i="44"/>
  <c r="C101" i="28"/>
  <c r="AY101" i="19"/>
  <c r="D100" i="47"/>
  <c r="D100" i="46"/>
  <c r="D100" i="45"/>
  <c r="D100" i="44"/>
  <c r="C99" i="28"/>
  <c r="AY99" i="19"/>
  <c r="AF115" i="48"/>
  <c r="AT115" i="48" s="1"/>
  <c r="AK115" i="19"/>
  <c r="E85" i="48"/>
  <c r="AS85" i="48" s="1"/>
  <c r="E85" i="4"/>
  <c r="E77" i="4"/>
  <c r="E77" i="48"/>
  <c r="AS77" i="48" s="1"/>
  <c r="E57" i="4"/>
  <c r="E57" i="48"/>
  <c r="AS57" i="48" s="1"/>
  <c r="E41" i="4"/>
  <c r="F41" i="4" s="1"/>
  <c r="E41" i="48"/>
  <c r="AS41" i="48" s="1"/>
  <c r="E33" i="48"/>
  <c r="AS33" i="48" s="1"/>
  <c r="E33" i="4"/>
  <c r="E25" i="4"/>
  <c r="F25" i="4" s="1"/>
  <c r="E25" i="48"/>
  <c r="AS25" i="48" s="1"/>
  <c r="E17" i="4"/>
  <c r="E17" i="48"/>
  <c r="AS17" i="48" s="1"/>
  <c r="E9" i="4"/>
  <c r="E9" i="48"/>
  <c r="AS9" i="48" s="1"/>
  <c r="AF90" i="48"/>
  <c r="AT90" i="48" s="1"/>
  <c r="AK90" i="19"/>
  <c r="D124" i="47"/>
  <c r="D124" i="46"/>
  <c r="D124" i="45"/>
  <c r="D124" i="44"/>
  <c r="C123" i="28"/>
  <c r="AY123" i="19"/>
  <c r="AY96" i="19"/>
  <c r="D97" i="47"/>
  <c r="D97" i="46"/>
  <c r="D97" i="45"/>
  <c r="D97" i="44"/>
  <c r="C96" i="28"/>
  <c r="D127" i="47"/>
  <c r="D127" i="46"/>
  <c r="D127" i="45"/>
  <c r="D127" i="44"/>
  <c r="C126" i="28"/>
  <c r="AY126" i="19"/>
  <c r="E84" i="48"/>
  <c r="AS84" i="48" s="1"/>
  <c r="E84" i="4"/>
  <c r="J80" i="19"/>
  <c r="E80" i="48"/>
  <c r="AS80" i="48" s="1"/>
  <c r="E80" i="4"/>
  <c r="E76" i="48"/>
  <c r="AS76" i="48" s="1"/>
  <c r="E76" i="4"/>
  <c r="J72" i="19"/>
  <c r="E72" i="48"/>
  <c r="AS72" i="48" s="1"/>
  <c r="E72" i="4"/>
  <c r="E68" i="4"/>
  <c r="E68" i="48"/>
  <c r="AS68" i="48" s="1"/>
  <c r="J64" i="19"/>
  <c r="E64" i="48"/>
  <c r="AS64" i="48" s="1"/>
  <c r="E64" i="4"/>
  <c r="E60" i="4"/>
  <c r="E60" i="48"/>
  <c r="AS60" i="48" s="1"/>
  <c r="E52" i="48"/>
  <c r="AS52" i="48" s="1"/>
  <c r="E52" i="4"/>
  <c r="J48" i="19"/>
  <c r="E48" i="48"/>
  <c r="AS48" i="48" s="1"/>
  <c r="E48" i="4"/>
  <c r="E44" i="48"/>
  <c r="AS44" i="48" s="1"/>
  <c r="E44" i="4"/>
  <c r="F44" i="4" s="1"/>
  <c r="J40" i="19"/>
  <c r="E40" i="48"/>
  <c r="AS40" i="48" s="1"/>
  <c r="E40" i="4"/>
  <c r="E36" i="48"/>
  <c r="AS36" i="48" s="1"/>
  <c r="E36" i="4"/>
  <c r="E28" i="48"/>
  <c r="AS28" i="48" s="1"/>
  <c r="E28" i="4"/>
  <c r="E24" i="4"/>
  <c r="E24" i="48"/>
  <c r="AS24" i="48" s="1"/>
  <c r="E12" i="4"/>
  <c r="E12" i="48"/>
  <c r="AS12" i="48" s="1"/>
  <c r="E8" i="4"/>
  <c r="E8" i="48"/>
  <c r="AS8" i="48" s="1"/>
  <c r="J3" i="19"/>
  <c r="E3" i="48"/>
  <c r="AS3" i="48" s="1"/>
  <c r="E3" i="4"/>
  <c r="AY97" i="19"/>
  <c r="D98" i="47"/>
  <c r="D98" i="46"/>
  <c r="D98" i="45"/>
  <c r="D98" i="44"/>
  <c r="C97" i="28"/>
  <c r="AY102" i="19"/>
  <c r="D103" i="47"/>
  <c r="D103" i="46"/>
  <c r="D103" i="45"/>
  <c r="D103" i="44"/>
  <c r="C102" i="28"/>
  <c r="AY127" i="19"/>
  <c r="D128" i="47"/>
  <c r="D128" i="46"/>
  <c r="D128" i="45"/>
  <c r="D128" i="44"/>
  <c r="C127" i="28"/>
  <c r="D92" i="47"/>
  <c r="D92" i="46"/>
  <c r="D92" i="45"/>
  <c r="D92" i="44"/>
  <c r="C91" i="28"/>
  <c r="AY91" i="19"/>
  <c r="AF110" i="48"/>
  <c r="AT110" i="48" s="1"/>
  <c r="AK110" i="19"/>
  <c r="D101" i="47"/>
  <c r="D101" i="46"/>
  <c r="D101" i="45"/>
  <c r="D101" i="44"/>
  <c r="C100" i="28"/>
  <c r="AY100" i="19"/>
  <c r="AY93" i="19"/>
  <c r="D94" i="47"/>
  <c r="D94" i="46"/>
  <c r="D94" i="45"/>
  <c r="D94" i="44"/>
  <c r="C93" i="28"/>
  <c r="AY118" i="19"/>
  <c r="D119" i="47"/>
  <c r="D119" i="46"/>
  <c r="D119" i="45"/>
  <c r="D119" i="44"/>
  <c r="C118" i="28"/>
  <c r="AY128" i="19"/>
  <c r="D129" i="46"/>
  <c r="D129" i="47"/>
  <c r="D129" i="45"/>
  <c r="D129" i="44"/>
  <c r="C128" i="28"/>
  <c r="AY119" i="19"/>
  <c r="D120" i="47"/>
  <c r="D120" i="46"/>
  <c r="D120" i="45"/>
  <c r="D120" i="44"/>
  <c r="C119" i="28"/>
  <c r="AY111" i="19"/>
  <c r="D112" i="47"/>
  <c r="D112" i="46"/>
  <c r="D112" i="45"/>
  <c r="D112" i="44"/>
  <c r="C111" i="28"/>
  <c r="E86" i="48"/>
  <c r="AS86" i="48" s="1"/>
  <c r="E86" i="4"/>
  <c r="F86" i="4" s="1"/>
  <c r="G86" i="4" s="1"/>
  <c r="E74" i="4"/>
  <c r="F74" i="4" s="1"/>
  <c r="E74" i="48"/>
  <c r="AS74" i="48" s="1"/>
  <c r="E70" i="48"/>
  <c r="AS70" i="48" s="1"/>
  <c r="E70" i="4"/>
  <c r="E62" i="4"/>
  <c r="F62" i="4" s="1"/>
  <c r="G62" i="4" s="1"/>
  <c r="E62" i="48"/>
  <c r="AS62" i="48" s="1"/>
  <c r="E54" i="48"/>
  <c r="AS54" i="48" s="1"/>
  <c r="E54" i="4"/>
  <c r="E50" i="4"/>
  <c r="F50" i="4" s="1"/>
  <c r="G50" i="4" s="1"/>
  <c r="E50" i="48"/>
  <c r="AS50" i="48" s="1"/>
  <c r="E46" i="48"/>
  <c r="AS46" i="48" s="1"/>
  <c r="E46" i="4"/>
  <c r="E34" i="48"/>
  <c r="AS34" i="48" s="1"/>
  <c r="E34" i="4"/>
  <c r="E30" i="4"/>
  <c r="E30" i="48"/>
  <c r="AS30" i="48" s="1"/>
  <c r="E22" i="48"/>
  <c r="AS22" i="48" s="1"/>
  <c r="E22" i="4"/>
  <c r="E18" i="48"/>
  <c r="AS18" i="48" s="1"/>
  <c r="E18" i="4"/>
  <c r="E14" i="4"/>
  <c r="E14" i="48"/>
  <c r="AS14" i="48" s="1"/>
  <c r="E10" i="4"/>
  <c r="E10" i="48"/>
  <c r="AS10" i="48" s="1"/>
  <c r="E6" i="48"/>
  <c r="AS6" i="48" s="1"/>
  <c r="E6" i="4"/>
  <c r="D95" i="47"/>
  <c r="D95" i="46"/>
  <c r="D95" i="45"/>
  <c r="D95" i="44"/>
  <c r="C94" i="28"/>
  <c r="AY94" i="19"/>
  <c r="D113" i="46"/>
  <c r="D113" i="47"/>
  <c r="D113" i="45"/>
  <c r="D113" i="44"/>
  <c r="C112" i="28"/>
  <c r="AY112" i="19"/>
  <c r="AY117" i="19"/>
  <c r="D118" i="47"/>
  <c r="D118" i="46"/>
  <c r="D118" i="45"/>
  <c r="D118" i="44"/>
  <c r="C117" i="28"/>
  <c r="AY107" i="19"/>
  <c r="D108" i="47"/>
  <c r="D108" i="46"/>
  <c r="D108" i="45"/>
  <c r="D108" i="44"/>
  <c r="C107" i="28"/>
  <c r="AY105" i="19"/>
  <c r="D106" i="47"/>
  <c r="D106" i="46"/>
  <c r="D106" i="45"/>
  <c r="D106" i="44"/>
  <c r="C105" i="28"/>
  <c r="AF113" i="48"/>
  <c r="AT113" i="48" s="1"/>
  <c r="AK113" i="19"/>
  <c r="AY124" i="19"/>
  <c r="BE124" i="19" s="1"/>
  <c r="D125" i="46"/>
  <c r="D125" i="47"/>
  <c r="D125" i="45"/>
  <c r="D125" i="44"/>
  <c r="C124" i="28"/>
  <c r="D99" i="47"/>
  <c r="D99" i="46"/>
  <c r="D99" i="45"/>
  <c r="D99" i="44"/>
  <c r="C98" i="28"/>
  <c r="AY98" i="19"/>
  <c r="D121" i="46"/>
  <c r="D121" i="45"/>
  <c r="D121" i="47"/>
  <c r="D121" i="44"/>
  <c r="C120" i="28"/>
  <c r="AY120" i="19"/>
  <c r="E81" i="48"/>
  <c r="AS81" i="48" s="1"/>
  <c r="E81" i="4"/>
  <c r="E73" i="4"/>
  <c r="E73" i="48"/>
  <c r="AS73" i="48" s="1"/>
  <c r="E69" i="4"/>
  <c r="F69" i="4" s="1"/>
  <c r="E69" i="48"/>
  <c r="AS69" i="48" s="1"/>
  <c r="E65" i="48"/>
  <c r="AS65" i="48" s="1"/>
  <c r="E65" i="4"/>
  <c r="E49" i="48"/>
  <c r="AS49" i="48" s="1"/>
  <c r="E49" i="4"/>
  <c r="E13" i="4"/>
  <c r="E13" i="48"/>
  <c r="AS13" i="48" s="1"/>
  <c r="E5" i="4"/>
  <c r="E5" i="48"/>
  <c r="AS5" i="48" s="1"/>
  <c r="D105" i="46"/>
  <c r="D105" i="47"/>
  <c r="D105" i="45"/>
  <c r="D105" i="44"/>
  <c r="C104" i="28"/>
  <c r="AY104" i="19"/>
  <c r="AY130" i="19"/>
  <c r="D131" i="47"/>
  <c r="D131" i="46"/>
  <c r="D131" i="45"/>
  <c r="D131" i="44"/>
  <c r="C130" i="28"/>
  <c r="E87" i="48"/>
  <c r="AS87" i="48" s="1"/>
  <c r="E87" i="4"/>
  <c r="J83" i="19"/>
  <c r="E83" i="48"/>
  <c r="AS83" i="48" s="1"/>
  <c r="E83" i="4"/>
  <c r="E79" i="48"/>
  <c r="AS79" i="48" s="1"/>
  <c r="E79" i="4"/>
  <c r="E75" i="4"/>
  <c r="E75" i="48"/>
  <c r="AS75" i="48" s="1"/>
  <c r="E71" i="48"/>
  <c r="AS71" i="48" s="1"/>
  <c r="E71" i="4"/>
  <c r="E67" i="48"/>
  <c r="AS67" i="48" s="1"/>
  <c r="E67" i="4"/>
  <c r="E63" i="48"/>
  <c r="AS63" i="48" s="1"/>
  <c r="E63" i="4"/>
  <c r="E59" i="4"/>
  <c r="F59" i="4" s="1"/>
  <c r="E59" i="48"/>
  <c r="AS59" i="48" s="1"/>
  <c r="E55" i="48"/>
  <c r="AS55" i="48" s="1"/>
  <c r="E55" i="4"/>
  <c r="E51" i="48"/>
  <c r="AS51" i="48" s="1"/>
  <c r="E51" i="4"/>
  <c r="E47" i="4"/>
  <c r="E47" i="48"/>
  <c r="AS47" i="48" s="1"/>
  <c r="E43" i="4"/>
  <c r="F43" i="4" s="1"/>
  <c r="E43" i="48"/>
  <c r="AS43" i="48" s="1"/>
  <c r="E39" i="4"/>
  <c r="F39" i="4" s="1"/>
  <c r="E39" i="48"/>
  <c r="AS39" i="48" s="1"/>
  <c r="E35" i="48"/>
  <c r="AS35" i="48" s="1"/>
  <c r="E35" i="4"/>
  <c r="E31" i="48"/>
  <c r="AS31" i="48" s="1"/>
  <c r="E31" i="4"/>
  <c r="E27" i="4"/>
  <c r="E27" i="48"/>
  <c r="AS27" i="48" s="1"/>
  <c r="E23" i="4"/>
  <c r="E23" i="48"/>
  <c r="AS23" i="48" s="1"/>
  <c r="E19" i="48"/>
  <c r="AS19" i="48" s="1"/>
  <c r="E19" i="4"/>
  <c r="J15" i="19"/>
  <c r="E15" i="48"/>
  <c r="AS15" i="48" s="1"/>
  <c r="E15" i="4"/>
  <c r="E11" i="48"/>
  <c r="AS11" i="48" s="1"/>
  <c r="E11" i="4"/>
  <c r="E7" i="48"/>
  <c r="AS7" i="48" s="1"/>
  <c r="E7" i="4"/>
  <c r="E4" i="4"/>
  <c r="E4" i="48"/>
  <c r="AS4" i="48" s="1"/>
  <c r="AY89" i="19"/>
  <c r="D90" i="47"/>
  <c r="D90" i="46"/>
  <c r="D90" i="45"/>
  <c r="D90" i="44"/>
  <c r="C89" i="28"/>
  <c r="D110" i="47"/>
  <c r="D110" i="46"/>
  <c r="D110" i="45"/>
  <c r="D110" i="44"/>
  <c r="C109" i="28"/>
  <c r="AY109" i="19"/>
  <c r="D104" i="47"/>
  <c r="D104" i="46"/>
  <c r="D104" i="45"/>
  <c r="D104" i="44"/>
  <c r="C103" i="28"/>
  <c r="AY103" i="19"/>
  <c r="AY92" i="19"/>
  <c r="D93" i="47"/>
  <c r="D93" i="46"/>
  <c r="D93" i="45"/>
  <c r="D93" i="44"/>
  <c r="C92" i="28"/>
  <c r="AF116" i="48"/>
  <c r="AT116" i="48" s="1"/>
  <c r="AK116" i="19"/>
  <c r="AF122" i="48"/>
  <c r="AT122" i="48" s="1"/>
  <c r="AK122" i="19"/>
  <c r="AF106" i="48"/>
  <c r="AT106" i="48" s="1"/>
  <c r="AK106" i="19"/>
  <c r="J88" i="19"/>
  <c r="E88" i="4"/>
  <c r="J61" i="19"/>
  <c r="E61" i="4"/>
  <c r="F61" i="4" s="1"/>
  <c r="J56" i="19"/>
  <c r="E56" i="4"/>
  <c r="J53" i="19"/>
  <c r="E53" i="4"/>
  <c r="J45" i="19"/>
  <c r="E45" i="4"/>
  <c r="F45" i="4" s="1"/>
  <c r="Y45" i="48" s="1"/>
  <c r="J37" i="19"/>
  <c r="E37" i="4"/>
  <c r="F37" i="4" s="1"/>
  <c r="J32" i="19"/>
  <c r="E32" i="4"/>
  <c r="J29" i="19"/>
  <c r="E29" i="4"/>
  <c r="E21" i="4"/>
  <c r="F21" i="4" s="1"/>
  <c r="Y21" i="48" s="1"/>
  <c r="E20" i="4"/>
  <c r="F20" i="4" s="1"/>
  <c r="Y20" i="48" s="1"/>
  <c r="J16" i="19"/>
  <c r="E16" i="4"/>
  <c r="J2" i="19"/>
  <c r="E2" i="4"/>
  <c r="G4" i="27"/>
  <c r="AJ4" i="19"/>
  <c r="G7" i="27"/>
  <c r="AJ7" i="19"/>
  <c r="G10" i="27"/>
  <c r="AJ10" i="19"/>
  <c r="G3" i="27"/>
  <c r="AJ3" i="19"/>
  <c r="G5" i="27"/>
  <c r="AJ5" i="19"/>
  <c r="N10" i="19"/>
  <c r="F10" i="3"/>
  <c r="N5" i="19"/>
  <c r="N11" i="19"/>
  <c r="F11" i="3"/>
  <c r="N9" i="19"/>
  <c r="N6" i="19"/>
  <c r="F6" i="3"/>
  <c r="N4" i="19"/>
  <c r="J11" i="19"/>
  <c r="F85" i="4"/>
  <c r="G85" i="4" s="1"/>
  <c r="F77" i="4"/>
  <c r="F65" i="4"/>
  <c r="Y65" i="48" s="1"/>
  <c r="G65" i="4"/>
  <c r="F57" i="4"/>
  <c r="G49" i="4"/>
  <c r="AF49" i="48" s="1"/>
  <c r="AT49" i="48" s="1"/>
  <c r="F49" i="4"/>
  <c r="Y49" i="48" s="1"/>
  <c r="G33" i="4"/>
  <c r="AF33" i="48" s="1"/>
  <c r="AT33" i="48" s="1"/>
  <c r="F33" i="4"/>
  <c r="J5" i="19"/>
  <c r="J85" i="19"/>
  <c r="J77" i="19"/>
  <c r="J69" i="19"/>
  <c r="F84" i="4"/>
  <c r="G84" i="4"/>
  <c r="F76" i="4"/>
  <c r="Y76" i="48" s="1"/>
  <c r="G76" i="4"/>
  <c r="AF76" i="48" s="1"/>
  <c r="AT76" i="48" s="1"/>
  <c r="F68" i="4"/>
  <c r="Y68" i="48" s="1"/>
  <c r="F60" i="4"/>
  <c r="G60" i="4" s="1"/>
  <c r="G52" i="4"/>
  <c r="AF52" i="48" s="1"/>
  <c r="AT52" i="48" s="1"/>
  <c r="F52" i="4"/>
  <c r="G36" i="4"/>
  <c r="AF36" i="48" s="1"/>
  <c r="AT36" i="48" s="1"/>
  <c r="F36" i="4"/>
  <c r="Y36" i="48" s="1"/>
  <c r="F28" i="4"/>
  <c r="G28" i="4"/>
  <c r="AF28" i="48" s="1"/>
  <c r="AT28" i="48" s="1"/>
  <c r="F24" i="4"/>
  <c r="J8" i="19"/>
  <c r="F87" i="4"/>
  <c r="G87" i="4" s="1"/>
  <c r="F79" i="4"/>
  <c r="G79" i="4"/>
  <c r="F75" i="4"/>
  <c r="Y75" i="48" s="1"/>
  <c r="F71" i="4"/>
  <c r="Y71" i="48" s="1"/>
  <c r="G71" i="4"/>
  <c r="F67" i="4"/>
  <c r="Y67" i="48" s="1"/>
  <c r="G67" i="4"/>
  <c r="AF67" i="48" s="1"/>
  <c r="AT67" i="48" s="1"/>
  <c r="F63" i="4"/>
  <c r="Y63" i="48" s="1"/>
  <c r="G63" i="4"/>
  <c r="AF63" i="48" s="1"/>
  <c r="AT63" i="48" s="1"/>
  <c r="F55" i="4"/>
  <c r="Y55" i="48" s="1"/>
  <c r="F51" i="4"/>
  <c r="G51" i="4"/>
  <c r="AF51" i="48" s="1"/>
  <c r="AT51" i="48" s="1"/>
  <c r="F47" i="4"/>
  <c r="F35" i="4"/>
  <c r="Y35" i="48" s="1"/>
  <c r="G35" i="4"/>
  <c r="AF35" i="48" s="1"/>
  <c r="AT35" i="48" s="1"/>
  <c r="F31" i="4"/>
  <c r="Y31" i="48" s="1"/>
  <c r="G31" i="4"/>
  <c r="AF31" i="48" s="1"/>
  <c r="AT31" i="48" s="1"/>
  <c r="F27" i="4"/>
  <c r="F23" i="4"/>
  <c r="Y23" i="48" s="1"/>
  <c r="J7" i="19"/>
  <c r="J87" i="19"/>
  <c r="J79" i="19"/>
  <c r="J75" i="19"/>
  <c r="J71" i="19"/>
  <c r="J67" i="19"/>
  <c r="J63" i="19"/>
  <c r="J59" i="19"/>
  <c r="J55" i="19"/>
  <c r="J51" i="19"/>
  <c r="J47" i="19"/>
  <c r="J43" i="19"/>
  <c r="J39" i="19"/>
  <c r="J35" i="19"/>
  <c r="J31" i="19"/>
  <c r="J27" i="19"/>
  <c r="J23" i="19"/>
  <c r="J19" i="19"/>
  <c r="J13" i="19"/>
  <c r="J6" i="19"/>
  <c r="F81" i="4"/>
  <c r="G81" i="4"/>
  <c r="F73" i="4"/>
  <c r="F53" i="4"/>
  <c r="G53" i="4" s="1"/>
  <c r="F29" i="4"/>
  <c r="J9" i="19"/>
  <c r="J81" i="19"/>
  <c r="J73" i="19"/>
  <c r="J65" i="19"/>
  <c r="J57" i="19"/>
  <c r="J49" i="19"/>
  <c r="J41" i="19"/>
  <c r="J33" i="19"/>
  <c r="J25" i="19"/>
  <c r="J21" i="19"/>
  <c r="F88" i="4"/>
  <c r="F80" i="4"/>
  <c r="G80" i="4"/>
  <c r="F72" i="4"/>
  <c r="Y72" i="48" s="1"/>
  <c r="G72" i="4"/>
  <c r="AF72" i="48" s="1"/>
  <c r="AT72" i="48" s="1"/>
  <c r="F64" i="4"/>
  <c r="G64" i="4"/>
  <c r="AF64" i="48" s="1"/>
  <c r="AT64" i="48" s="1"/>
  <c r="F56" i="4"/>
  <c r="F48" i="4"/>
  <c r="Y48" i="48" s="1"/>
  <c r="G48" i="4"/>
  <c r="F40" i="4"/>
  <c r="Y40" i="48" s="1"/>
  <c r="F32" i="4"/>
  <c r="G32" i="4" s="1"/>
  <c r="J84" i="19"/>
  <c r="J76" i="19"/>
  <c r="J68" i="19"/>
  <c r="J60" i="19"/>
  <c r="J52" i="19"/>
  <c r="J44" i="19"/>
  <c r="J36" i="19"/>
  <c r="J28" i="19"/>
  <c r="J24" i="19"/>
  <c r="J20" i="19"/>
  <c r="F83" i="4"/>
  <c r="G83" i="4"/>
  <c r="G82" i="4"/>
  <c r="F82" i="4"/>
  <c r="F78" i="4"/>
  <c r="G70" i="4"/>
  <c r="AF70" i="48" s="1"/>
  <c r="AT70" i="48" s="1"/>
  <c r="F70" i="4"/>
  <c r="G54" i="4"/>
  <c r="AF54" i="48" s="1"/>
  <c r="AT54" i="48" s="1"/>
  <c r="F54" i="4"/>
  <c r="G46" i="4"/>
  <c r="AF46" i="48" s="1"/>
  <c r="AT46" i="48" s="1"/>
  <c r="F46" i="4"/>
  <c r="Y46" i="48" s="1"/>
  <c r="F42" i="4"/>
  <c r="Y42" i="48" s="1"/>
  <c r="G38" i="4"/>
  <c r="F38" i="4"/>
  <c r="G34" i="4"/>
  <c r="AF34" i="48" s="1"/>
  <c r="AT34" i="48" s="1"/>
  <c r="F34" i="4"/>
  <c r="Y34" i="48" s="1"/>
  <c r="F30" i="4"/>
  <c r="G26" i="4"/>
  <c r="F26" i="4"/>
  <c r="Y26" i="48" s="1"/>
  <c r="G22" i="4"/>
  <c r="F22" i="4"/>
  <c r="J18" i="19"/>
  <c r="J14" i="19"/>
  <c r="J10" i="19"/>
  <c r="J86" i="19"/>
  <c r="J82" i="19"/>
  <c r="J78" i="19"/>
  <c r="J74" i="19"/>
  <c r="J70" i="19"/>
  <c r="J66" i="19"/>
  <c r="J62" i="19"/>
  <c r="J58" i="19"/>
  <c r="J54" i="19"/>
  <c r="J50" i="19"/>
  <c r="J46" i="19"/>
  <c r="J42" i="19"/>
  <c r="J38" i="19"/>
  <c r="J34" i="19"/>
  <c r="J30" i="19"/>
  <c r="J26" i="19"/>
  <c r="J22" i="19"/>
  <c r="J17" i="19"/>
  <c r="J12" i="19"/>
  <c r="J4" i="19"/>
  <c r="AK28" i="19"/>
  <c r="AK31" i="19"/>
  <c r="AK34" i="19"/>
  <c r="AK35" i="19"/>
  <c r="AK36" i="19"/>
  <c r="AK49" i="19"/>
  <c r="AK51" i="19"/>
  <c r="AK52" i="19"/>
  <c r="AK64" i="19"/>
  <c r="AK67" i="19"/>
  <c r="AK70" i="19"/>
  <c r="AK72" i="19"/>
  <c r="AK76" i="19"/>
  <c r="AD26" i="19"/>
  <c r="AD31" i="19"/>
  <c r="AD36" i="19"/>
  <c r="AD42" i="19"/>
  <c r="AD46" i="19"/>
  <c r="AD48" i="19"/>
  <c r="AD49" i="19"/>
  <c r="AD57" i="19"/>
  <c r="AD63" i="19"/>
  <c r="AD65" i="19"/>
  <c r="AD68" i="19"/>
  <c r="AD71" i="19"/>
  <c r="AD75" i="19"/>
  <c r="AD77" i="19"/>
  <c r="AD78" i="19"/>
  <c r="BE125" i="19" l="1"/>
  <c r="AR137" i="48"/>
  <c r="BB137" i="48" s="1"/>
  <c r="AQ137" i="48"/>
  <c r="AO137" i="48"/>
  <c r="AP137" i="48" s="1"/>
  <c r="F144" i="46"/>
  <c r="BA143" i="19"/>
  <c r="BE143" i="19" s="1"/>
  <c r="F144" i="44"/>
  <c r="F144" i="47"/>
  <c r="E143" i="28"/>
  <c r="F144" i="45"/>
  <c r="AQ125" i="48"/>
  <c r="F129" i="45"/>
  <c r="BA128" i="19"/>
  <c r="BE128" i="19" s="1"/>
  <c r="AV128" i="19" s="1"/>
  <c r="F129" i="44"/>
  <c r="E128" i="28"/>
  <c r="F129" i="46"/>
  <c r="F129" i="47"/>
  <c r="AR143" i="48"/>
  <c r="BA143" i="48"/>
  <c r="AO143" i="48"/>
  <c r="AP143" i="48" s="1"/>
  <c r="AQ143" i="48"/>
  <c r="AQ126" i="48"/>
  <c r="AV140" i="19"/>
  <c r="AW140" i="19"/>
  <c r="BF140" i="19"/>
  <c r="AT140" i="19"/>
  <c r="AU140" i="19" s="1"/>
  <c r="BB140" i="48"/>
  <c r="BC140" i="48"/>
  <c r="BC137" i="48"/>
  <c r="AW137" i="19"/>
  <c r="AV137" i="19"/>
  <c r="AT137" i="19"/>
  <c r="AU137" i="19" s="1"/>
  <c r="BF137" i="19"/>
  <c r="AQ128" i="48"/>
  <c r="AR128" i="48"/>
  <c r="BB128" i="48" s="1"/>
  <c r="AO128" i="48"/>
  <c r="AP128" i="48" s="1"/>
  <c r="AO126" i="48"/>
  <c r="AP126" i="48" s="1"/>
  <c r="AR126" i="48"/>
  <c r="BB126" i="48" s="1"/>
  <c r="BA130" i="48"/>
  <c r="BA124" i="48"/>
  <c r="Y69" i="48"/>
  <c r="G69" i="4"/>
  <c r="G75" i="4"/>
  <c r="G68" i="4"/>
  <c r="AF66" i="48"/>
  <c r="AT66" i="48" s="1"/>
  <c r="AK66" i="19"/>
  <c r="AF60" i="48"/>
  <c r="AT60" i="48" s="1"/>
  <c r="AK60" i="19"/>
  <c r="Y59" i="48"/>
  <c r="G59" i="4"/>
  <c r="AD59" i="19"/>
  <c r="AD55" i="19"/>
  <c r="G55" i="4"/>
  <c r="Y44" i="48"/>
  <c r="AD44" i="19"/>
  <c r="G44" i="4"/>
  <c r="G42" i="4"/>
  <c r="Y43" i="48"/>
  <c r="G43" i="4"/>
  <c r="AD43" i="19"/>
  <c r="Y41" i="48"/>
  <c r="G41" i="4"/>
  <c r="AD41" i="19"/>
  <c r="G40" i="4"/>
  <c r="AF40" i="48" s="1"/>
  <c r="AT40" i="48" s="1"/>
  <c r="Y39" i="48"/>
  <c r="G39" i="4"/>
  <c r="AD39" i="19"/>
  <c r="G23" i="4"/>
  <c r="AR130" i="48"/>
  <c r="BC130" i="48" s="1"/>
  <c r="AQ130" i="48"/>
  <c r="I30" i="47"/>
  <c r="I30" i="45"/>
  <c r="BD115" i="19"/>
  <c r="I24" i="44"/>
  <c r="I30" i="46"/>
  <c r="H115" i="28"/>
  <c r="BD123" i="19"/>
  <c r="I124" i="45"/>
  <c r="I124" i="44"/>
  <c r="I124" i="47"/>
  <c r="H123" i="28"/>
  <c r="I124" i="46"/>
  <c r="BD113" i="19"/>
  <c r="I114" i="44"/>
  <c r="H113" i="28"/>
  <c r="I114" i="47"/>
  <c r="I114" i="46"/>
  <c r="I114" i="45"/>
  <c r="BD101" i="19"/>
  <c r="I102" i="47"/>
  <c r="H101" i="28"/>
  <c r="I102" i="46"/>
  <c r="I102" i="45"/>
  <c r="I102" i="44"/>
  <c r="I107" i="45"/>
  <c r="I107" i="46"/>
  <c r="BD106" i="19"/>
  <c r="I107" i="44"/>
  <c r="I107" i="47"/>
  <c r="H106" i="28"/>
  <c r="I117" i="46"/>
  <c r="H116" i="28"/>
  <c r="I117" i="45"/>
  <c r="I117" i="47"/>
  <c r="BD116" i="19"/>
  <c r="I117" i="44"/>
  <c r="BD108" i="19"/>
  <c r="I109" i="44"/>
  <c r="I109" i="47"/>
  <c r="H108" i="28"/>
  <c r="I109" i="46"/>
  <c r="I109" i="45"/>
  <c r="BD122" i="19"/>
  <c r="I123" i="44"/>
  <c r="I123" i="47"/>
  <c r="I123" i="45"/>
  <c r="I123" i="46"/>
  <c r="H122" i="28"/>
  <c r="K119" i="46"/>
  <c r="K119" i="47"/>
  <c r="K119" i="45"/>
  <c r="K119" i="44"/>
  <c r="J118" i="28"/>
  <c r="J114" i="47"/>
  <c r="J114" i="46"/>
  <c r="J114" i="45"/>
  <c r="J114" i="44"/>
  <c r="I113" i="28"/>
  <c r="K113" i="47"/>
  <c r="K113" i="46"/>
  <c r="K113" i="45"/>
  <c r="K113" i="44"/>
  <c r="J112" i="28"/>
  <c r="J111" i="47"/>
  <c r="J111" i="46"/>
  <c r="J111" i="45"/>
  <c r="J111" i="44"/>
  <c r="I110" i="28"/>
  <c r="AN89" i="48"/>
  <c r="AS89" i="19"/>
  <c r="AQ124" i="48"/>
  <c r="K118" i="47"/>
  <c r="K118" i="46"/>
  <c r="K118" i="45"/>
  <c r="K118" i="44"/>
  <c r="J117" i="28"/>
  <c r="J94" i="47"/>
  <c r="J94" i="45"/>
  <c r="J94" i="46"/>
  <c r="J94" i="44"/>
  <c r="I93" i="28"/>
  <c r="J98" i="47"/>
  <c r="J98" i="46"/>
  <c r="J98" i="45"/>
  <c r="J98" i="44"/>
  <c r="I97" i="28"/>
  <c r="K108" i="47"/>
  <c r="K108" i="46"/>
  <c r="K108" i="45"/>
  <c r="K108" i="44"/>
  <c r="J107" i="28"/>
  <c r="J117" i="47"/>
  <c r="J117" i="46"/>
  <c r="J117" i="45"/>
  <c r="J117" i="44"/>
  <c r="I116" i="28"/>
  <c r="AN108" i="48"/>
  <c r="AS108" i="19"/>
  <c r="J110" i="47"/>
  <c r="J110" i="46"/>
  <c r="J110" i="45"/>
  <c r="J110" i="44"/>
  <c r="I109" i="28"/>
  <c r="AN101" i="48"/>
  <c r="AS101" i="19"/>
  <c r="K98" i="47"/>
  <c r="K98" i="46"/>
  <c r="K98" i="45"/>
  <c r="K98" i="44"/>
  <c r="J97" i="28"/>
  <c r="AN122" i="48"/>
  <c r="AS122" i="19"/>
  <c r="J95" i="47"/>
  <c r="J95" i="46"/>
  <c r="J95" i="45"/>
  <c r="J95" i="44"/>
  <c r="I94" i="28"/>
  <c r="AN115" i="48"/>
  <c r="AS115" i="19"/>
  <c r="AR124" i="48"/>
  <c r="BB124" i="48" s="1"/>
  <c r="K124" i="47"/>
  <c r="K124" i="46"/>
  <c r="K124" i="45"/>
  <c r="K124" i="44"/>
  <c r="J123" i="28"/>
  <c r="J118" i="47"/>
  <c r="J118" i="46"/>
  <c r="J118" i="45"/>
  <c r="J118" i="44"/>
  <c r="I117" i="28"/>
  <c r="J30" i="47"/>
  <c r="J30" i="46"/>
  <c r="J30" i="45"/>
  <c r="J24" i="44"/>
  <c r="I115" i="28"/>
  <c r="AN106" i="48"/>
  <c r="AS106" i="19"/>
  <c r="BD94" i="19"/>
  <c r="I95" i="47"/>
  <c r="I95" i="46"/>
  <c r="I95" i="45"/>
  <c r="I95" i="44"/>
  <c r="H94" i="28"/>
  <c r="AN113" i="48"/>
  <c r="AS113" i="19"/>
  <c r="K106" i="47"/>
  <c r="K106" i="46"/>
  <c r="K106" i="45"/>
  <c r="K106" i="44"/>
  <c r="J105" i="28"/>
  <c r="J115" i="47"/>
  <c r="J115" i="46"/>
  <c r="J115" i="45"/>
  <c r="J115" i="44"/>
  <c r="I114" i="28"/>
  <c r="J122" i="47"/>
  <c r="J122" i="46"/>
  <c r="J122" i="45"/>
  <c r="J122" i="44"/>
  <c r="I121" i="28"/>
  <c r="AN110" i="48"/>
  <c r="AS110" i="19"/>
  <c r="J90" i="47"/>
  <c r="J90" i="46"/>
  <c r="J90" i="45"/>
  <c r="J90" i="44"/>
  <c r="I89" i="28"/>
  <c r="J107" i="47"/>
  <c r="J107" i="46"/>
  <c r="J107" i="45"/>
  <c r="J107" i="44"/>
  <c r="I106" i="28"/>
  <c r="K122" i="47"/>
  <c r="K122" i="46"/>
  <c r="K122" i="45"/>
  <c r="K122" i="44"/>
  <c r="J121" i="28"/>
  <c r="J106" i="47"/>
  <c r="J106" i="46"/>
  <c r="J106" i="45"/>
  <c r="J106" i="44"/>
  <c r="I105" i="28"/>
  <c r="BD110" i="19"/>
  <c r="I111" i="47"/>
  <c r="I111" i="46"/>
  <c r="I111" i="45"/>
  <c r="I111" i="44"/>
  <c r="H110" i="28"/>
  <c r="K128" i="47"/>
  <c r="K128" i="46"/>
  <c r="K128" i="45"/>
  <c r="K128" i="44"/>
  <c r="J127" i="28"/>
  <c r="K115" i="47"/>
  <c r="K115" i="46"/>
  <c r="K115" i="45"/>
  <c r="K115" i="44"/>
  <c r="J114" i="28"/>
  <c r="J119" i="47"/>
  <c r="J119" i="46"/>
  <c r="J119" i="45"/>
  <c r="J119" i="44"/>
  <c r="I118" i="28"/>
  <c r="K103" i="46"/>
  <c r="K103" i="47"/>
  <c r="K103" i="45"/>
  <c r="K103" i="44"/>
  <c r="J102" i="28"/>
  <c r="BD89" i="19"/>
  <c r="I90" i="47"/>
  <c r="I90" i="46"/>
  <c r="I90" i="45"/>
  <c r="I90" i="44"/>
  <c r="H89" i="28"/>
  <c r="BD109" i="19"/>
  <c r="I110" i="47"/>
  <c r="I110" i="46"/>
  <c r="I110" i="45"/>
  <c r="I110" i="44"/>
  <c r="H109" i="28"/>
  <c r="AN116" i="48"/>
  <c r="AS116" i="19"/>
  <c r="J109" i="47"/>
  <c r="J109" i="46"/>
  <c r="J109" i="45"/>
  <c r="J109" i="44"/>
  <c r="I108" i="28"/>
  <c r="K94" i="47"/>
  <c r="K94" i="46"/>
  <c r="K94" i="45"/>
  <c r="K94" i="44"/>
  <c r="J93" i="28"/>
  <c r="AN109" i="48"/>
  <c r="AS109" i="19"/>
  <c r="J102" i="47"/>
  <c r="J102" i="46"/>
  <c r="J102" i="45"/>
  <c r="J102" i="44"/>
  <c r="I101" i="28"/>
  <c r="J103" i="47"/>
  <c r="J103" i="46"/>
  <c r="J103" i="45"/>
  <c r="J103" i="44"/>
  <c r="I102" i="28"/>
  <c r="J123" i="47"/>
  <c r="J123" i="46"/>
  <c r="J123" i="45"/>
  <c r="J123" i="44"/>
  <c r="I122" i="28"/>
  <c r="AN94" i="48"/>
  <c r="AS94" i="19"/>
  <c r="BC101" i="19"/>
  <c r="H102" i="47"/>
  <c r="H102" i="46"/>
  <c r="H102" i="45"/>
  <c r="H102" i="44"/>
  <c r="G101" i="28"/>
  <c r="BC110" i="19"/>
  <c r="H111" i="47"/>
  <c r="H111" i="46"/>
  <c r="H111" i="45"/>
  <c r="H111" i="44"/>
  <c r="G110" i="28"/>
  <c r="H114" i="46"/>
  <c r="H114" i="47"/>
  <c r="H114" i="45"/>
  <c r="H114" i="44"/>
  <c r="G113" i="28"/>
  <c r="BC113" i="19"/>
  <c r="H88" i="47"/>
  <c r="H88" i="46"/>
  <c r="H88" i="45"/>
  <c r="H88" i="44"/>
  <c r="G87" i="28"/>
  <c r="BC87" i="19"/>
  <c r="BE130" i="19"/>
  <c r="BF130" i="19" s="1"/>
  <c r="BC82" i="19"/>
  <c r="H83" i="47"/>
  <c r="H83" i="46"/>
  <c r="H83" i="45"/>
  <c r="H83" i="44"/>
  <c r="G82" i="28"/>
  <c r="BC80" i="19"/>
  <c r="H81" i="47"/>
  <c r="H81" i="46"/>
  <c r="H81" i="45"/>
  <c r="H81" i="44"/>
  <c r="G80" i="28"/>
  <c r="BC90" i="19"/>
  <c r="H91" i="47"/>
  <c r="H91" i="46"/>
  <c r="H91" i="45"/>
  <c r="H91" i="44"/>
  <c r="G90" i="28"/>
  <c r="H107" i="47"/>
  <c r="H107" i="46"/>
  <c r="H107" i="45"/>
  <c r="H107" i="44"/>
  <c r="G106" i="28"/>
  <c r="BC106" i="19"/>
  <c r="BC86" i="19"/>
  <c r="H87" i="47"/>
  <c r="H87" i="46"/>
  <c r="H87" i="45"/>
  <c r="H87" i="44"/>
  <c r="G86" i="28"/>
  <c r="H117" i="47"/>
  <c r="H117" i="46"/>
  <c r="H117" i="45"/>
  <c r="H117" i="44"/>
  <c r="G116" i="28"/>
  <c r="BC116" i="19"/>
  <c r="BC85" i="19"/>
  <c r="H86" i="47"/>
  <c r="H86" i="46"/>
  <c r="H86" i="45"/>
  <c r="H86" i="44"/>
  <c r="G85" i="28"/>
  <c r="H30" i="47"/>
  <c r="H30" i="46"/>
  <c r="H30" i="45"/>
  <c r="H24" i="44"/>
  <c r="G115" i="28"/>
  <c r="BC115" i="19"/>
  <c r="H82" i="46"/>
  <c r="H82" i="47"/>
  <c r="H82" i="45"/>
  <c r="H82" i="44"/>
  <c r="G81" i="28"/>
  <c r="BC81" i="19"/>
  <c r="BC108" i="19"/>
  <c r="H109" i="47"/>
  <c r="H109" i="46"/>
  <c r="H109" i="45"/>
  <c r="H109" i="44"/>
  <c r="G108" i="28"/>
  <c r="BC107" i="19"/>
  <c r="H108" i="47"/>
  <c r="H108" i="46"/>
  <c r="H108" i="45"/>
  <c r="H108" i="44"/>
  <c r="G107" i="28"/>
  <c r="BC89" i="19"/>
  <c r="H90" i="46"/>
  <c r="H90" i="47"/>
  <c r="H90" i="45"/>
  <c r="H90" i="44"/>
  <c r="G89" i="28"/>
  <c r="AJ88" i="48"/>
  <c r="AX88" i="48" s="1"/>
  <c r="AO88" i="19"/>
  <c r="H123" i="47"/>
  <c r="H123" i="46"/>
  <c r="H123" i="45"/>
  <c r="H123" i="44"/>
  <c r="G122" i="28"/>
  <c r="BC122" i="19"/>
  <c r="H124" i="47"/>
  <c r="H124" i="46"/>
  <c r="H124" i="45"/>
  <c r="H124" i="44"/>
  <c r="G123" i="28"/>
  <c r="BC123" i="19"/>
  <c r="H95" i="47"/>
  <c r="H95" i="46"/>
  <c r="H95" i="45"/>
  <c r="H95" i="44"/>
  <c r="G94" i="28"/>
  <c r="BC94" i="19"/>
  <c r="H113" i="47"/>
  <c r="H113" i="46"/>
  <c r="H113" i="45"/>
  <c r="H113" i="44"/>
  <c r="G112" i="28"/>
  <c r="BC112" i="19"/>
  <c r="BB115" i="19"/>
  <c r="G30" i="47"/>
  <c r="G30" i="45"/>
  <c r="G30" i="46"/>
  <c r="G24" i="44"/>
  <c r="F115" i="28"/>
  <c r="BB106" i="19"/>
  <c r="G107" i="46"/>
  <c r="G107" i="47"/>
  <c r="G107" i="45"/>
  <c r="G107" i="44"/>
  <c r="F106" i="28"/>
  <c r="G95" i="46"/>
  <c r="G95" i="47"/>
  <c r="G95" i="45"/>
  <c r="G95" i="44"/>
  <c r="F94" i="28"/>
  <c r="BB94" i="19"/>
  <c r="BB110" i="19"/>
  <c r="G111" i="46"/>
  <c r="G111" i="47"/>
  <c r="G111" i="45"/>
  <c r="G111" i="44"/>
  <c r="F110" i="28"/>
  <c r="BB85" i="19"/>
  <c r="G86" i="47"/>
  <c r="G86" i="45"/>
  <c r="G86" i="46"/>
  <c r="G86" i="44"/>
  <c r="F85" i="28"/>
  <c r="G91" i="46"/>
  <c r="G91" i="47"/>
  <c r="G91" i="45"/>
  <c r="G91" i="44"/>
  <c r="F90" i="28"/>
  <c r="BB90" i="19"/>
  <c r="BE126" i="19"/>
  <c r="AV126" i="19" s="1"/>
  <c r="BB109" i="19"/>
  <c r="G110" i="47"/>
  <c r="G110" i="45"/>
  <c r="G110" i="46"/>
  <c r="G110" i="44"/>
  <c r="F109" i="28"/>
  <c r="G80" i="45"/>
  <c r="G80" i="46"/>
  <c r="G80" i="47"/>
  <c r="G80" i="44"/>
  <c r="F79" i="28"/>
  <c r="BB79" i="19"/>
  <c r="BB81" i="19"/>
  <c r="G82" i="47"/>
  <c r="G82" i="45"/>
  <c r="G82" i="46"/>
  <c r="G82" i="44"/>
  <c r="F81" i="28"/>
  <c r="G87" i="46"/>
  <c r="G87" i="47"/>
  <c r="G87" i="45"/>
  <c r="G87" i="44"/>
  <c r="F86" i="28"/>
  <c r="BB86" i="19"/>
  <c r="BB122" i="19"/>
  <c r="G123" i="46"/>
  <c r="G123" i="47"/>
  <c r="G123" i="45"/>
  <c r="G123" i="44"/>
  <c r="F122" i="28"/>
  <c r="BB89" i="19"/>
  <c r="G90" i="47"/>
  <c r="G90" i="45"/>
  <c r="G90" i="46"/>
  <c r="G90" i="44"/>
  <c r="F89" i="28"/>
  <c r="G84" i="45"/>
  <c r="G84" i="47"/>
  <c r="G84" i="46"/>
  <c r="G84" i="44"/>
  <c r="F83" i="28"/>
  <c r="BB83" i="19"/>
  <c r="G114" i="47"/>
  <c r="G114" i="45"/>
  <c r="G114" i="46"/>
  <c r="G114" i="44"/>
  <c r="F113" i="28"/>
  <c r="BB113" i="19"/>
  <c r="G83" i="46"/>
  <c r="G83" i="47"/>
  <c r="G83" i="45"/>
  <c r="G83" i="44"/>
  <c r="F82" i="28"/>
  <c r="BB82" i="19"/>
  <c r="BB116" i="19"/>
  <c r="G117" i="45"/>
  <c r="G117" i="46"/>
  <c r="G117" i="47"/>
  <c r="G117" i="44"/>
  <c r="F116" i="28"/>
  <c r="BB107" i="19"/>
  <c r="G108" i="45"/>
  <c r="G108" i="46"/>
  <c r="G108" i="47"/>
  <c r="G108" i="44"/>
  <c r="F107" i="28"/>
  <c r="G85" i="46"/>
  <c r="G85" i="45"/>
  <c r="G85" i="47"/>
  <c r="G85" i="44"/>
  <c r="F84" i="28"/>
  <c r="BB84" i="19"/>
  <c r="BB108" i="19"/>
  <c r="G109" i="45"/>
  <c r="G109" i="46"/>
  <c r="G109" i="47"/>
  <c r="G109" i="44"/>
  <c r="F108" i="28"/>
  <c r="BB112" i="19"/>
  <c r="G113" i="46"/>
  <c r="G113" i="47"/>
  <c r="G113" i="45"/>
  <c r="G113" i="44"/>
  <c r="F112" i="28"/>
  <c r="BB80" i="19"/>
  <c r="G81" i="45"/>
  <c r="G81" i="46"/>
  <c r="G81" i="47"/>
  <c r="G81" i="44"/>
  <c r="F80" i="28"/>
  <c r="BB87" i="19"/>
  <c r="G88" i="45"/>
  <c r="G88" i="46"/>
  <c r="G88" i="47"/>
  <c r="G88" i="44"/>
  <c r="F87" i="28"/>
  <c r="G124" i="45"/>
  <c r="G124" i="46"/>
  <c r="G124" i="47"/>
  <c r="G124" i="44"/>
  <c r="F123" i="28"/>
  <c r="BB123" i="19"/>
  <c r="AI88" i="48"/>
  <c r="AW88" i="48" s="1"/>
  <c r="AN88" i="19"/>
  <c r="AO129" i="48"/>
  <c r="AP129" i="48" s="1"/>
  <c r="AQ129" i="48"/>
  <c r="BA129" i="48"/>
  <c r="AR129" i="48"/>
  <c r="BB129" i="48" s="1"/>
  <c r="BA129" i="19"/>
  <c r="BE129" i="19" s="1"/>
  <c r="F130" i="47"/>
  <c r="F130" i="45"/>
  <c r="F130" i="46"/>
  <c r="F130" i="44"/>
  <c r="E129" i="28"/>
  <c r="BA125" i="48"/>
  <c r="AO125" i="48"/>
  <c r="AP125" i="48" s="1"/>
  <c r="D123" i="47"/>
  <c r="D123" i="46"/>
  <c r="D123" i="45"/>
  <c r="D123" i="44"/>
  <c r="C122" i="28"/>
  <c r="AY122" i="19"/>
  <c r="D114" i="47"/>
  <c r="D114" i="46"/>
  <c r="D114" i="45"/>
  <c r="D114" i="44"/>
  <c r="C113" i="28"/>
  <c r="AY113" i="19"/>
  <c r="BB125" i="48"/>
  <c r="BC125" i="48"/>
  <c r="AY115" i="19"/>
  <c r="D30" i="47"/>
  <c r="D30" i="46"/>
  <c r="D30" i="45"/>
  <c r="D24" i="44"/>
  <c r="C115" i="28"/>
  <c r="BF125" i="19"/>
  <c r="AT125" i="19"/>
  <c r="AU125" i="19" s="1"/>
  <c r="AW125" i="19"/>
  <c r="AV125" i="19"/>
  <c r="AY66" i="19"/>
  <c r="D67" i="47"/>
  <c r="D67" i="46"/>
  <c r="D67" i="45"/>
  <c r="D67" i="44"/>
  <c r="C66" i="28"/>
  <c r="AD37" i="19"/>
  <c r="Y37" i="48"/>
  <c r="AD73" i="19"/>
  <c r="Y73" i="48"/>
  <c r="AD67" i="19"/>
  <c r="AY34" i="19"/>
  <c r="D35" i="47"/>
  <c r="D35" i="46"/>
  <c r="D35" i="45"/>
  <c r="D35" i="44"/>
  <c r="C34" i="28"/>
  <c r="AK22" i="19"/>
  <c r="AF22" i="48"/>
  <c r="AT22" i="48" s="1"/>
  <c r="AK55" i="19"/>
  <c r="AF55" i="48"/>
  <c r="AT55" i="48" s="1"/>
  <c r="AK71" i="19"/>
  <c r="AF71" i="48"/>
  <c r="AT71" i="48" s="1"/>
  <c r="AF79" i="48"/>
  <c r="AT79" i="48" s="1"/>
  <c r="AK79" i="19"/>
  <c r="AD52" i="19"/>
  <c r="Y52" i="48"/>
  <c r="AF84" i="48"/>
  <c r="AT84" i="48" s="1"/>
  <c r="AK84" i="19"/>
  <c r="G57" i="4"/>
  <c r="Y57" i="48"/>
  <c r="AK69" i="19"/>
  <c r="AF69" i="48"/>
  <c r="AT69" i="48" s="1"/>
  <c r="BC128" i="48"/>
  <c r="D91" i="47"/>
  <c r="D91" i="46"/>
  <c r="D91" i="45"/>
  <c r="D91" i="44"/>
  <c r="C90" i="28"/>
  <c r="AY90" i="19"/>
  <c r="AY28" i="19"/>
  <c r="D29" i="47"/>
  <c r="D29" i="46"/>
  <c r="D29" i="45"/>
  <c r="D29" i="44"/>
  <c r="C28" i="28"/>
  <c r="AD22" i="19"/>
  <c r="Y22" i="48"/>
  <c r="AD30" i="19"/>
  <c r="Y30" i="48"/>
  <c r="AK38" i="19"/>
  <c r="AF38" i="48"/>
  <c r="AT38" i="48" s="1"/>
  <c r="AD66" i="19"/>
  <c r="Y66" i="48"/>
  <c r="AD56" i="19"/>
  <c r="Y56" i="48"/>
  <c r="AD51" i="19"/>
  <c r="Y51" i="48"/>
  <c r="AD28" i="19"/>
  <c r="Y28" i="48"/>
  <c r="AD60" i="19"/>
  <c r="Y60" i="48"/>
  <c r="AY70" i="19"/>
  <c r="D71" i="47"/>
  <c r="D71" i="46"/>
  <c r="D71" i="45"/>
  <c r="D71" i="44"/>
  <c r="C70" i="28"/>
  <c r="AY64" i="19"/>
  <c r="D65" i="47"/>
  <c r="D65" i="46"/>
  <c r="D65" i="45"/>
  <c r="D65" i="44"/>
  <c r="C64" i="28"/>
  <c r="AK54" i="19"/>
  <c r="AK46" i="19"/>
  <c r="G78" i="4"/>
  <c r="Y78" i="48"/>
  <c r="AF80" i="48"/>
  <c r="AT80" i="48" s="1"/>
  <c r="AK80" i="19"/>
  <c r="AD53" i="19"/>
  <c r="Y53" i="48"/>
  <c r="AF81" i="48"/>
  <c r="AT81" i="48" s="1"/>
  <c r="AK81" i="19"/>
  <c r="G27" i="4"/>
  <c r="Y27" i="48"/>
  <c r="AD35" i="19"/>
  <c r="AD23" i="19"/>
  <c r="AK63" i="19"/>
  <c r="AY52" i="19"/>
  <c r="D53" i="47"/>
  <c r="D53" i="46"/>
  <c r="D53" i="45"/>
  <c r="D53" i="44"/>
  <c r="C52" i="28"/>
  <c r="AK40" i="19"/>
  <c r="AK33" i="19"/>
  <c r="AK42" i="19"/>
  <c r="AF42" i="48"/>
  <c r="AT42" i="48" s="1"/>
  <c r="AK50" i="19"/>
  <c r="AF50" i="48"/>
  <c r="AT50" i="48" s="1"/>
  <c r="AD62" i="19"/>
  <c r="Y62" i="48"/>
  <c r="AD70" i="19"/>
  <c r="Y70" i="48"/>
  <c r="Y82" i="48"/>
  <c r="AD82" i="19"/>
  <c r="AF83" i="48"/>
  <c r="AT83" i="48" s="1"/>
  <c r="AK83" i="19"/>
  <c r="AK32" i="19"/>
  <c r="AF32" i="48"/>
  <c r="AT32" i="48" s="1"/>
  <c r="AK48" i="19"/>
  <c r="AF48" i="48"/>
  <c r="AT48" i="48" s="1"/>
  <c r="AD64" i="19"/>
  <c r="Y64" i="48"/>
  <c r="Y80" i="48"/>
  <c r="AD80" i="19"/>
  <c r="AD25" i="19"/>
  <c r="Y25" i="48"/>
  <c r="AK53" i="19"/>
  <c r="AF53" i="48"/>
  <c r="AT53" i="48" s="1"/>
  <c r="Y81" i="48"/>
  <c r="AD81" i="19"/>
  <c r="AK39" i="19"/>
  <c r="AF39" i="48"/>
  <c r="AT39" i="48" s="1"/>
  <c r="AD47" i="19"/>
  <c r="Y47" i="48"/>
  <c r="Y79" i="48"/>
  <c r="AD79" i="19"/>
  <c r="AD24" i="19"/>
  <c r="Y24" i="48"/>
  <c r="Y84" i="48"/>
  <c r="AD84" i="19"/>
  <c r="AK41" i="19"/>
  <c r="AF41" i="48"/>
  <c r="AT41" i="48" s="1"/>
  <c r="AK65" i="19"/>
  <c r="AF65" i="48"/>
  <c r="AT65" i="48" s="1"/>
  <c r="G77" i="4"/>
  <c r="Y77" i="48"/>
  <c r="AY106" i="19"/>
  <c r="D107" i="47"/>
  <c r="D107" i="46"/>
  <c r="D107" i="45"/>
  <c r="D107" i="44"/>
  <c r="C106" i="28"/>
  <c r="D117" i="46"/>
  <c r="D117" i="47"/>
  <c r="D117" i="45"/>
  <c r="D117" i="44"/>
  <c r="C116" i="28"/>
  <c r="AY116" i="19"/>
  <c r="AY72" i="19"/>
  <c r="D73" i="46"/>
  <c r="D73" i="47"/>
  <c r="D73" i="45"/>
  <c r="D73" i="44"/>
  <c r="C72" i="28"/>
  <c r="AY49" i="19"/>
  <c r="D50" i="47"/>
  <c r="D50" i="46"/>
  <c r="D50" i="45"/>
  <c r="D50" i="44"/>
  <c r="C49" i="28"/>
  <c r="AY35" i="19"/>
  <c r="D36" i="47"/>
  <c r="D36" i="46"/>
  <c r="D36" i="45"/>
  <c r="D36" i="44"/>
  <c r="C35" i="28"/>
  <c r="G74" i="4"/>
  <c r="Y74" i="48"/>
  <c r="Y86" i="48"/>
  <c r="AD86" i="19"/>
  <c r="AK43" i="19"/>
  <c r="AF43" i="48"/>
  <c r="AT43" i="48" s="1"/>
  <c r="Y87" i="48"/>
  <c r="AD87" i="19"/>
  <c r="AK44" i="19"/>
  <c r="AF44" i="48"/>
  <c r="AT44" i="48" s="1"/>
  <c r="AF85" i="48"/>
  <c r="AT85" i="48" s="1"/>
  <c r="AK85" i="19"/>
  <c r="AD72" i="19"/>
  <c r="AD50" i="19"/>
  <c r="Y50" i="48"/>
  <c r="G58" i="4"/>
  <c r="Y58" i="48"/>
  <c r="AF86" i="48"/>
  <c r="AT86" i="48" s="1"/>
  <c r="AK86" i="19"/>
  <c r="AD76" i="19"/>
  <c r="AD69" i="19"/>
  <c r="AD40" i="19"/>
  <c r="AD34" i="19"/>
  <c r="AY76" i="19"/>
  <c r="D77" i="47"/>
  <c r="D77" i="46"/>
  <c r="D77" i="45"/>
  <c r="D77" i="44"/>
  <c r="C76" i="28"/>
  <c r="AY67" i="19"/>
  <c r="D68" i="47"/>
  <c r="D68" i="46"/>
  <c r="D68" i="45"/>
  <c r="D68" i="44"/>
  <c r="C67" i="28"/>
  <c r="AY60" i="19"/>
  <c r="D61" i="47"/>
  <c r="D61" i="46"/>
  <c r="D61" i="45"/>
  <c r="D60" i="44"/>
  <c r="C60" i="28"/>
  <c r="AY51" i="19"/>
  <c r="D52" i="47"/>
  <c r="D52" i="46"/>
  <c r="D52" i="45"/>
  <c r="D52" i="44"/>
  <c r="C51" i="28"/>
  <c r="AY36" i="19"/>
  <c r="D37" i="47"/>
  <c r="D37" i="46"/>
  <c r="D37" i="45"/>
  <c r="D37" i="44"/>
  <c r="C36" i="28"/>
  <c r="AY31" i="19"/>
  <c r="D32" i="47"/>
  <c r="D32" i="46"/>
  <c r="D32" i="45"/>
  <c r="D32" i="44"/>
  <c r="C31" i="28"/>
  <c r="AK26" i="19"/>
  <c r="AF26" i="48"/>
  <c r="AT26" i="48" s="1"/>
  <c r="AD38" i="19"/>
  <c r="Y38" i="48"/>
  <c r="AD54" i="19"/>
  <c r="Y54" i="48"/>
  <c r="AK62" i="19"/>
  <c r="AF62" i="48"/>
  <c r="AT62" i="48" s="1"/>
  <c r="AF82" i="48"/>
  <c r="AT82" i="48" s="1"/>
  <c r="AK82" i="19"/>
  <c r="Y83" i="48"/>
  <c r="AD83" i="19"/>
  <c r="AD32" i="19"/>
  <c r="Y32" i="48"/>
  <c r="Y88" i="48"/>
  <c r="AD88" i="19"/>
  <c r="AD29" i="19"/>
  <c r="Y29" i="48"/>
  <c r="G61" i="4"/>
  <c r="Y61" i="48"/>
  <c r="AK23" i="19"/>
  <c r="AF23" i="48"/>
  <c r="AT23" i="48" s="1"/>
  <c r="AK75" i="19"/>
  <c r="AF75" i="48"/>
  <c r="AT75" i="48" s="1"/>
  <c r="AF87" i="48"/>
  <c r="AT87" i="48" s="1"/>
  <c r="AK87" i="19"/>
  <c r="AD33" i="19"/>
  <c r="Y33" i="48"/>
  <c r="Y85" i="48"/>
  <c r="AD85" i="19"/>
  <c r="BF124" i="19"/>
  <c r="AW124" i="19"/>
  <c r="AV124" i="19"/>
  <c r="AT124" i="19"/>
  <c r="AU124" i="19" s="1"/>
  <c r="AY110" i="19"/>
  <c r="D111" i="47"/>
  <c r="D111" i="46"/>
  <c r="D111" i="45"/>
  <c r="D111" i="44"/>
  <c r="C110" i="28"/>
  <c r="G88" i="4"/>
  <c r="AD74" i="19"/>
  <c r="G73" i="4"/>
  <c r="AD61" i="19"/>
  <c r="G56" i="4"/>
  <c r="G47" i="4"/>
  <c r="AD45" i="19"/>
  <c r="G45" i="4"/>
  <c r="G37" i="4"/>
  <c r="G30" i="4"/>
  <c r="G29" i="4"/>
  <c r="AD27" i="19"/>
  <c r="G25" i="4"/>
  <c r="G24" i="4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AT128" i="19" l="1"/>
  <c r="AU128" i="19" s="1"/>
  <c r="AT143" i="19"/>
  <c r="AU143" i="19" s="1"/>
  <c r="BF143" i="19"/>
  <c r="AW143" i="19"/>
  <c r="AV143" i="19"/>
  <c r="BC143" i="48"/>
  <c r="BB143" i="48"/>
  <c r="AW126" i="19"/>
  <c r="O127" i="45" s="1"/>
  <c r="M141" i="45"/>
  <c r="M141" i="44"/>
  <c r="M141" i="47"/>
  <c r="M141" i="46"/>
  <c r="L140" i="28"/>
  <c r="L141" i="44"/>
  <c r="L141" i="45"/>
  <c r="L141" i="46"/>
  <c r="K140" i="28"/>
  <c r="L141" i="47"/>
  <c r="N141" i="45"/>
  <c r="M140" i="28"/>
  <c r="N141" i="46"/>
  <c r="N141" i="44"/>
  <c r="N141" i="47"/>
  <c r="O141" i="46"/>
  <c r="BH140" i="19"/>
  <c r="BG140" i="19"/>
  <c r="N140" i="28"/>
  <c r="BI140" i="19"/>
  <c r="R141" i="44" s="1"/>
  <c r="O141" i="45"/>
  <c r="O141" i="44"/>
  <c r="BJ140" i="19"/>
  <c r="O141" i="47"/>
  <c r="M138" i="44"/>
  <c r="M138" i="47"/>
  <c r="L137" i="28"/>
  <c r="M138" i="46"/>
  <c r="M138" i="45"/>
  <c r="O138" i="47"/>
  <c r="BI137" i="19"/>
  <c r="R138" i="44" s="1"/>
  <c r="O138" i="46"/>
  <c r="BH137" i="19"/>
  <c r="O138" i="45"/>
  <c r="O138" i="44"/>
  <c r="N137" i="28"/>
  <c r="BG137" i="19"/>
  <c r="BJ137" i="19"/>
  <c r="N138" i="46"/>
  <c r="M137" i="28"/>
  <c r="N138" i="44"/>
  <c r="N138" i="47"/>
  <c r="N138" i="45"/>
  <c r="L138" i="45"/>
  <c r="L138" i="44"/>
  <c r="L138" i="47"/>
  <c r="K137" i="28"/>
  <c r="L138" i="46"/>
  <c r="AT129" i="19"/>
  <c r="AU129" i="19" s="1"/>
  <c r="AW129" i="19"/>
  <c r="O130" i="47" s="1"/>
  <c r="BF129" i="19"/>
  <c r="N130" i="47" s="1"/>
  <c r="AV129" i="19"/>
  <c r="M130" i="44" s="1"/>
  <c r="BF126" i="19"/>
  <c r="N127" i="46" s="1"/>
  <c r="AW130" i="19"/>
  <c r="O131" i="47" s="1"/>
  <c r="AT130" i="19"/>
  <c r="AU130" i="19" s="1"/>
  <c r="K130" i="28" s="1"/>
  <c r="BB130" i="48"/>
  <c r="BC126" i="48"/>
  <c r="BC129" i="48"/>
  <c r="AF68" i="48"/>
  <c r="AT68" i="48" s="1"/>
  <c r="AK68" i="19"/>
  <c r="AF59" i="48"/>
  <c r="AT59" i="48" s="1"/>
  <c r="AK59" i="19"/>
  <c r="AV130" i="19"/>
  <c r="M131" i="47" s="1"/>
  <c r="K110" i="47"/>
  <c r="K110" i="46"/>
  <c r="K110" i="45"/>
  <c r="K110" i="44"/>
  <c r="J109" i="28"/>
  <c r="K117" i="47"/>
  <c r="K117" i="46"/>
  <c r="K117" i="45"/>
  <c r="K117" i="44"/>
  <c r="J116" i="28"/>
  <c r="K30" i="47"/>
  <c r="K30" i="46"/>
  <c r="K30" i="45"/>
  <c r="K24" i="44"/>
  <c r="J115" i="28"/>
  <c r="K95" i="47"/>
  <c r="K95" i="46"/>
  <c r="K95" i="45"/>
  <c r="K95" i="44"/>
  <c r="J94" i="28"/>
  <c r="K107" i="46"/>
  <c r="K107" i="47"/>
  <c r="K107" i="45"/>
  <c r="K107" i="44"/>
  <c r="J106" i="28"/>
  <c r="K90" i="47"/>
  <c r="K90" i="46"/>
  <c r="K90" i="45"/>
  <c r="K90" i="44"/>
  <c r="J89" i="28"/>
  <c r="BF128" i="19"/>
  <c r="N129" i="45" s="1"/>
  <c r="BC124" i="48"/>
  <c r="AW128" i="19"/>
  <c r="O129" i="47" s="1"/>
  <c r="K109" i="47"/>
  <c r="K109" i="46"/>
  <c r="K109" i="45"/>
  <c r="K109" i="44"/>
  <c r="J108" i="28"/>
  <c r="K114" i="47"/>
  <c r="K114" i="46"/>
  <c r="K114" i="45"/>
  <c r="K114" i="44"/>
  <c r="J113" i="28"/>
  <c r="K123" i="46"/>
  <c r="K123" i="45"/>
  <c r="K123" i="47"/>
  <c r="K123" i="44"/>
  <c r="J122" i="28"/>
  <c r="K111" i="47"/>
  <c r="K111" i="46"/>
  <c r="K111" i="45"/>
  <c r="K111" i="44"/>
  <c r="J110" i="28"/>
  <c r="K102" i="47"/>
  <c r="K102" i="46"/>
  <c r="K102" i="45"/>
  <c r="K102" i="44"/>
  <c r="J101" i="28"/>
  <c r="H89" i="47"/>
  <c r="H89" i="46"/>
  <c r="H89" i="45"/>
  <c r="H89" i="44"/>
  <c r="G88" i="28"/>
  <c r="BC88" i="19"/>
  <c r="AT126" i="19"/>
  <c r="AU126" i="19" s="1"/>
  <c r="L127" i="46" s="1"/>
  <c r="BB88" i="19"/>
  <c r="G89" i="45"/>
  <c r="G89" i="46"/>
  <c r="G89" i="47"/>
  <c r="G89" i="44"/>
  <c r="F88" i="28"/>
  <c r="AY75" i="19"/>
  <c r="D76" i="47"/>
  <c r="D76" i="46"/>
  <c r="D76" i="45"/>
  <c r="D76" i="44"/>
  <c r="C75" i="28"/>
  <c r="AK61" i="19"/>
  <c r="AF61" i="48"/>
  <c r="AT61" i="48" s="1"/>
  <c r="AY62" i="19"/>
  <c r="D63" i="47"/>
  <c r="D63" i="46"/>
  <c r="D63" i="45"/>
  <c r="D63" i="44"/>
  <c r="C62" i="28"/>
  <c r="AY83" i="19"/>
  <c r="D84" i="47"/>
  <c r="D84" i="46"/>
  <c r="D84" i="45"/>
  <c r="D84" i="44"/>
  <c r="C83" i="28"/>
  <c r="AY33" i="19"/>
  <c r="D34" i="47"/>
  <c r="D34" i="46"/>
  <c r="D34" i="45"/>
  <c r="D34" i="44"/>
  <c r="C33" i="28"/>
  <c r="AY63" i="19"/>
  <c r="D64" i="47"/>
  <c r="D64" i="46"/>
  <c r="D64" i="45"/>
  <c r="D64" i="44"/>
  <c r="C63" i="28"/>
  <c r="AY54" i="19"/>
  <c r="D55" i="47"/>
  <c r="D55" i="46"/>
  <c r="D55" i="45"/>
  <c r="D55" i="44"/>
  <c r="C54" i="28"/>
  <c r="AY38" i="19"/>
  <c r="D39" i="47"/>
  <c r="D39" i="46"/>
  <c r="D39" i="45"/>
  <c r="D39" i="44"/>
  <c r="C38" i="28"/>
  <c r="M129" i="47"/>
  <c r="M129" i="46"/>
  <c r="M129" i="45"/>
  <c r="M129" i="44"/>
  <c r="L128" i="28"/>
  <c r="D85" i="47"/>
  <c r="D85" i="46"/>
  <c r="D85" i="45"/>
  <c r="D85" i="44"/>
  <c r="C84" i="28"/>
  <c r="AY84" i="19"/>
  <c r="AY79" i="19"/>
  <c r="D80" i="47"/>
  <c r="D80" i="46"/>
  <c r="D80" i="45"/>
  <c r="D80" i="44"/>
  <c r="C79" i="28"/>
  <c r="N126" i="47"/>
  <c r="N126" i="46"/>
  <c r="N126" i="45"/>
  <c r="N126" i="44"/>
  <c r="M125" i="28"/>
  <c r="AK24" i="19"/>
  <c r="AF24" i="48"/>
  <c r="AT24" i="48" s="1"/>
  <c r="AK47" i="19"/>
  <c r="AF47" i="48"/>
  <c r="AT47" i="48" s="1"/>
  <c r="N130" i="46"/>
  <c r="N130" i="44"/>
  <c r="M127" i="47"/>
  <c r="M127" i="46"/>
  <c r="M127" i="45"/>
  <c r="M127" i="44"/>
  <c r="L126" i="28"/>
  <c r="BG124" i="19"/>
  <c r="O125" i="47"/>
  <c r="O125" i="46"/>
  <c r="O125" i="45"/>
  <c r="BJ124" i="19"/>
  <c r="BI124" i="19"/>
  <c r="R125" i="44" s="1"/>
  <c r="BH124" i="19"/>
  <c r="O125" i="44"/>
  <c r="N124" i="28"/>
  <c r="AK25" i="19"/>
  <c r="AF25" i="48"/>
  <c r="AT25" i="48" s="1"/>
  <c r="AK37" i="19"/>
  <c r="AF37" i="48"/>
  <c r="AT37" i="48" s="1"/>
  <c r="AK56" i="19"/>
  <c r="AF56" i="48"/>
  <c r="AT56" i="48" s="1"/>
  <c r="AF88" i="48"/>
  <c r="AT88" i="48" s="1"/>
  <c r="AK88" i="19"/>
  <c r="L130" i="47"/>
  <c r="N125" i="47"/>
  <c r="N125" i="46"/>
  <c r="N125" i="45"/>
  <c r="N125" i="44"/>
  <c r="M124" i="28"/>
  <c r="AY87" i="19"/>
  <c r="D88" i="47"/>
  <c r="D88" i="46"/>
  <c r="D88" i="45"/>
  <c r="D88" i="44"/>
  <c r="C87" i="28"/>
  <c r="AY82" i="19"/>
  <c r="D83" i="47"/>
  <c r="D83" i="46"/>
  <c r="D83" i="45"/>
  <c r="D83" i="44"/>
  <c r="C82" i="28"/>
  <c r="AY44" i="19"/>
  <c r="D45" i="47"/>
  <c r="D45" i="46"/>
  <c r="D45" i="45"/>
  <c r="D45" i="44"/>
  <c r="C44" i="28"/>
  <c r="AY43" i="19"/>
  <c r="D44" i="47"/>
  <c r="D44" i="46"/>
  <c r="D44" i="45"/>
  <c r="D44" i="44"/>
  <c r="C43" i="28"/>
  <c r="AK74" i="19"/>
  <c r="AF74" i="48"/>
  <c r="AT74" i="48" s="1"/>
  <c r="AY65" i="19"/>
  <c r="D66" i="47"/>
  <c r="D66" i="46"/>
  <c r="D66" i="45"/>
  <c r="D66" i="44"/>
  <c r="C65" i="28"/>
  <c r="AY39" i="19"/>
  <c r="D40" i="47"/>
  <c r="D40" i="46"/>
  <c r="D40" i="45"/>
  <c r="D40" i="44"/>
  <c r="C39" i="28"/>
  <c r="AY53" i="19"/>
  <c r="D54" i="47"/>
  <c r="D54" i="46"/>
  <c r="D54" i="45"/>
  <c r="D54" i="44"/>
  <c r="C53" i="28"/>
  <c r="AY48" i="19"/>
  <c r="D49" i="47"/>
  <c r="D49" i="46"/>
  <c r="D49" i="45"/>
  <c r="D49" i="44"/>
  <c r="C48" i="28"/>
  <c r="AY50" i="19"/>
  <c r="D51" i="47"/>
  <c r="D51" i="46"/>
  <c r="D51" i="45"/>
  <c r="D51" i="44"/>
  <c r="C50" i="28"/>
  <c r="AY40" i="19"/>
  <c r="D41" i="46"/>
  <c r="D41" i="47"/>
  <c r="D41" i="45"/>
  <c r="D41" i="44"/>
  <c r="C40" i="28"/>
  <c r="L129" i="46"/>
  <c r="L129" i="47"/>
  <c r="L129" i="45"/>
  <c r="L129" i="44"/>
  <c r="K128" i="28"/>
  <c r="AY69" i="19"/>
  <c r="D70" i="47"/>
  <c r="D70" i="46"/>
  <c r="D70" i="45"/>
  <c r="D70" i="44"/>
  <c r="C69" i="28"/>
  <c r="AY55" i="19"/>
  <c r="D56" i="47"/>
  <c r="D56" i="46"/>
  <c r="D56" i="45"/>
  <c r="D56" i="44"/>
  <c r="C55" i="28"/>
  <c r="M126" i="46"/>
  <c r="M126" i="47"/>
  <c r="M126" i="45"/>
  <c r="M126" i="44"/>
  <c r="L125" i="28"/>
  <c r="AK45" i="19"/>
  <c r="AF45" i="48"/>
  <c r="AT45" i="48" s="1"/>
  <c r="L125" i="46"/>
  <c r="L125" i="47"/>
  <c r="L125" i="45"/>
  <c r="L125" i="44"/>
  <c r="K124" i="28"/>
  <c r="AY23" i="19"/>
  <c r="D9" i="47"/>
  <c r="D9" i="46"/>
  <c r="D9" i="45"/>
  <c r="D5" i="44"/>
  <c r="C23" i="28"/>
  <c r="AY26" i="19"/>
  <c r="D27" i="47"/>
  <c r="D27" i="46"/>
  <c r="D27" i="45"/>
  <c r="D27" i="44"/>
  <c r="C26" i="28"/>
  <c r="AK58" i="19"/>
  <c r="AF58" i="48"/>
  <c r="AT58" i="48" s="1"/>
  <c r="AY85" i="19"/>
  <c r="D86" i="47"/>
  <c r="D86" i="46"/>
  <c r="D86" i="45"/>
  <c r="D86" i="44"/>
  <c r="C85" i="28"/>
  <c r="AK27" i="19"/>
  <c r="AF27" i="48"/>
  <c r="AT27" i="48" s="1"/>
  <c r="AK78" i="19"/>
  <c r="AF78" i="48"/>
  <c r="AT78" i="48" s="1"/>
  <c r="N129" i="46"/>
  <c r="BG125" i="19"/>
  <c r="O126" i="47"/>
  <c r="O126" i="46"/>
  <c r="O126" i="45"/>
  <c r="BJ125" i="19"/>
  <c r="BI125" i="19"/>
  <c r="R126" i="44" s="1"/>
  <c r="BH125" i="19"/>
  <c r="O126" i="44"/>
  <c r="N125" i="28"/>
  <c r="BG130" i="19"/>
  <c r="O131" i="46"/>
  <c r="BJ130" i="19"/>
  <c r="BH130" i="19"/>
  <c r="N130" i="28"/>
  <c r="AK30" i="19"/>
  <c r="AF30" i="48"/>
  <c r="AT30" i="48" s="1"/>
  <c r="AK29" i="19"/>
  <c r="AF29" i="48"/>
  <c r="AT29" i="48" s="1"/>
  <c r="AK73" i="19"/>
  <c r="AF73" i="48"/>
  <c r="AT73" i="48" s="1"/>
  <c r="BG129" i="19"/>
  <c r="O130" i="46"/>
  <c r="BJ129" i="19"/>
  <c r="BH129" i="19"/>
  <c r="N129" i="28"/>
  <c r="M125" i="47"/>
  <c r="M125" i="45"/>
  <c r="M125" i="46"/>
  <c r="M125" i="44"/>
  <c r="L124" i="28"/>
  <c r="AY86" i="19"/>
  <c r="D87" i="47"/>
  <c r="D87" i="46"/>
  <c r="D87" i="45"/>
  <c r="D87" i="44"/>
  <c r="C86" i="28"/>
  <c r="AK77" i="19"/>
  <c r="AF77" i="48"/>
  <c r="AT77" i="48" s="1"/>
  <c r="AY41" i="19"/>
  <c r="D42" i="47"/>
  <c r="D42" i="46"/>
  <c r="D42" i="45"/>
  <c r="D42" i="44"/>
  <c r="C41" i="28"/>
  <c r="AY32" i="19"/>
  <c r="D33" i="47"/>
  <c r="D33" i="46"/>
  <c r="D33" i="45"/>
  <c r="D33" i="44"/>
  <c r="C32" i="28"/>
  <c r="AY42" i="19"/>
  <c r="D43" i="47"/>
  <c r="D43" i="46"/>
  <c r="D43" i="45"/>
  <c r="D43" i="44"/>
  <c r="C42" i="28"/>
  <c r="D82" i="47"/>
  <c r="D82" i="46"/>
  <c r="D82" i="45"/>
  <c r="D82" i="44"/>
  <c r="C81" i="28"/>
  <c r="AY81" i="19"/>
  <c r="AY80" i="19"/>
  <c r="D81" i="47"/>
  <c r="D81" i="46"/>
  <c r="D81" i="45"/>
  <c r="D81" i="44"/>
  <c r="C80" i="28"/>
  <c r="AY46" i="19"/>
  <c r="D47" i="47"/>
  <c r="D47" i="46"/>
  <c r="D47" i="45"/>
  <c r="D47" i="44"/>
  <c r="C46" i="28"/>
  <c r="BG128" i="19"/>
  <c r="AK57" i="19"/>
  <c r="AF57" i="48"/>
  <c r="AT57" i="48" s="1"/>
  <c r="AY71" i="19"/>
  <c r="D72" i="47"/>
  <c r="D72" i="46"/>
  <c r="D72" i="45"/>
  <c r="D72" i="44"/>
  <c r="C71" i="28"/>
  <c r="AY22" i="19"/>
  <c r="D23" i="47"/>
  <c r="D23" i="46"/>
  <c r="D23" i="45"/>
  <c r="D23" i="44"/>
  <c r="C22" i="28"/>
  <c r="L126" i="47"/>
  <c r="L126" i="46"/>
  <c r="L126" i="45"/>
  <c r="L126" i="44"/>
  <c r="K125" i="28"/>
  <c r="N131" i="46"/>
  <c r="N131" i="47"/>
  <c r="N131" i="45"/>
  <c r="N131" i="44"/>
  <c r="M130" i="28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2" i="19"/>
  <c r="C3" i="19"/>
  <c r="C2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3" i="19"/>
  <c r="A4" i="19"/>
  <c r="A5" i="19"/>
  <c r="A6" i="19"/>
  <c r="A2" i="19"/>
  <c r="O130" i="44" l="1"/>
  <c r="O130" i="45"/>
  <c r="O127" i="47"/>
  <c r="O131" i="44"/>
  <c r="O131" i="45"/>
  <c r="BI129" i="19"/>
  <c r="R130" i="44" s="1"/>
  <c r="BI130" i="19"/>
  <c r="R131" i="44" s="1"/>
  <c r="N128" i="28"/>
  <c r="BI128" i="19"/>
  <c r="R129" i="44" s="1"/>
  <c r="BI126" i="19"/>
  <c r="R127" i="44" s="1"/>
  <c r="M130" i="47"/>
  <c r="BJ128" i="19"/>
  <c r="N126" i="28"/>
  <c r="BG126" i="19"/>
  <c r="P127" i="46" s="1"/>
  <c r="BH128" i="19"/>
  <c r="O129" i="46"/>
  <c r="L127" i="45"/>
  <c r="O127" i="44"/>
  <c r="O127" i="46"/>
  <c r="N130" i="45"/>
  <c r="O129" i="44"/>
  <c r="BJ126" i="19"/>
  <c r="P127" i="44" s="1"/>
  <c r="O129" i="45"/>
  <c r="BH126" i="19"/>
  <c r="M131" i="44"/>
  <c r="M144" i="46"/>
  <c r="M144" i="45"/>
  <c r="M144" i="44"/>
  <c r="M144" i="47"/>
  <c r="L143" i="28"/>
  <c r="M131" i="45"/>
  <c r="BI143" i="19"/>
  <c r="R144" i="44" s="1"/>
  <c r="BJ143" i="19"/>
  <c r="BH143" i="19"/>
  <c r="BG143" i="19"/>
  <c r="O144" i="47"/>
  <c r="N143" i="28"/>
  <c r="O144" i="45"/>
  <c r="O144" i="46"/>
  <c r="O144" i="44"/>
  <c r="M131" i="46"/>
  <c r="N144" i="46"/>
  <c r="N144" i="45"/>
  <c r="M143" i="28"/>
  <c r="N144" i="44"/>
  <c r="N144" i="47"/>
  <c r="L129" i="28"/>
  <c r="L130" i="28"/>
  <c r="L144" i="45"/>
  <c r="L144" i="46"/>
  <c r="L144" i="47"/>
  <c r="K143" i="28"/>
  <c r="L144" i="44"/>
  <c r="P141" i="44"/>
  <c r="O140" i="28"/>
  <c r="P141" i="45"/>
  <c r="P141" i="46"/>
  <c r="P140" i="28"/>
  <c r="Q141" i="44"/>
  <c r="P141" i="47"/>
  <c r="L130" i="46"/>
  <c r="L130" i="44"/>
  <c r="K129" i="28"/>
  <c r="N127" i="45"/>
  <c r="L131" i="46"/>
  <c r="L131" i="47"/>
  <c r="L131" i="45"/>
  <c r="L131" i="44"/>
  <c r="L127" i="44"/>
  <c r="L127" i="47"/>
  <c r="K126" i="28"/>
  <c r="N127" i="47"/>
  <c r="M126" i="28"/>
  <c r="N127" i="44"/>
  <c r="Q138" i="44"/>
  <c r="P138" i="46"/>
  <c r="P137" i="28"/>
  <c r="P138" i="45"/>
  <c r="P138" i="47"/>
  <c r="L130" i="45"/>
  <c r="M130" i="45"/>
  <c r="M130" i="46"/>
  <c r="M129" i="28"/>
  <c r="O137" i="28"/>
  <c r="P138" i="44"/>
  <c r="M128" i="28"/>
  <c r="N129" i="47"/>
  <c r="N129" i="44"/>
  <c r="AY68" i="19"/>
  <c r="D69" i="44"/>
  <c r="D69" i="47"/>
  <c r="C68" i="28"/>
  <c r="D69" i="45"/>
  <c r="D69" i="46"/>
  <c r="D60" i="47"/>
  <c r="C59" i="28"/>
  <c r="D26" i="44"/>
  <c r="D60" i="46"/>
  <c r="AY59" i="19"/>
  <c r="D60" i="45"/>
  <c r="O128" i="28"/>
  <c r="P129" i="44"/>
  <c r="AY77" i="19"/>
  <c r="D78" i="47"/>
  <c r="D78" i="46"/>
  <c r="D78" i="45"/>
  <c r="D78" i="44"/>
  <c r="C77" i="28"/>
  <c r="P130" i="44"/>
  <c r="O129" i="28"/>
  <c r="P129" i="28"/>
  <c r="P130" i="47"/>
  <c r="P130" i="46"/>
  <c r="Q130" i="44"/>
  <c r="P130" i="45"/>
  <c r="AY30" i="19"/>
  <c r="D31" i="47"/>
  <c r="D31" i="46"/>
  <c r="D31" i="45"/>
  <c r="D31" i="44"/>
  <c r="C30" i="28"/>
  <c r="AY58" i="19"/>
  <c r="D59" i="47"/>
  <c r="D59" i="46"/>
  <c r="D59" i="45"/>
  <c r="D61" i="44"/>
  <c r="C58" i="28"/>
  <c r="AY37" i="19"/>
  <c r="D38" i="47"/>
  <c r="D38" i="46"/>
  <c r="D38" i="45"/>
  <c r="D38" i="44"/>
  <c r="C37" i="28"/>
  <c r="AY29" i="19"/>
  <c r="D18" i="47"/>
  <c r="D18" i="46"/>
  <c r="D18" i="45"/>
  <c r="D9" i="44"/>
  <c r="C29" i="28"/>
  <c r="P126" i="44"/>
  <c r="O125" i="28"/>
  <c r="P125" i="28"/>
  <c r="P126" i="47"/>
  <c r="P126" i="46"/>
  <c r="P126" i="45"/>
  <c r="Q126" i="44"/>
  <c r="AY27" i="19"/>
  <c r="D116" i="47"/>
  <c r="D116" i="46"/>
  <c r="D116" i="45"/>
  <c r="D59" i="44"/>
  <c r="C27" i="28"/>
  <c r="AY45" i="19"/>
  <c r="D46" i="47"/>
  <c r="D46" i="46"/>
  <c r="D46" i="45"/>
  <c r="D46" i="44"/>
  <c r="C45" i="28"/>
  <c r="AY47" i="19"/>
  <c r="D48" i="47"/>
  <c r="D48" i="46"/>
  <c r="D48" i="45"/>
  <c r="D48" i="44"/>
  <c r="C47" i="28"/>
  <c r="O130" i="28"/>
  <c r="P131" i="44"/>
  <c r="P130" i="28"/>
  <c r="P131" i="47"/>
  <c r="P131" i="46"/>
  <c r="P131" i="45"/>
  <c r="Q131" i="44"/>
  <c r="AY56" i="19"/>
  <c r="D57" i="46"/>
  <c r="D57" i="45"/>
  <c r="D57" i="47"/>
  <c r="D57" i="44"/>
  <c r="C56" i="28"/>
  <c r="AY25" i="19"/>
  <c r="D26" i="47"/>
  <c r="D26" i="46"/>
  <c r="D26" i="45"/>
  <c r="D30" i="44"/>
  <c r="C25" i="28"/>
  <c r="AY61" i="19"/>
  <c r="D62" i="47"/>
  <c r="D62" i="46"/>
  <c r="D62" i="45"/>
  <c r="D62" i="44"/>
  <c r="C61" i="28"/>
  <c r="AY57" i="19"/>
  <c r="D58" i="47"/>
  <c r="D58" i="46"/>
  <c r="D58" i="45"/>
  <c r="D58" i="44"/>
  <c r="C57" i="28"/>
  <c r="P128" i="28"/>
  <c r="P129" i="46"/>
  <c r="P129" i="47"/>
  <c r="P129" i="45"/>
  <c r="Q129" i="44"/>
  <c r="AY73" i="19"/>
  <c r="D74" i="47"/>
  <c r="D74" i="46"/>
  <c r="D74" i="45"/>
  <c r="D74" i="44"/>
  <c r="C73" i="28"/>
  <c r="AY78" i="19"/>
  <c r="D79" i="47"/>
  <c r="D79" i="46"/>
  <c r="D79" i="45"/>
  <c r="D79" i="44"/>
  <c r="C78" i="28"/>
  <c r="AY74" i="19"/>
  <c r="D75" i="47"/>
  <c r="D75" i="46"/>
  <c r="D75" i="45"/>
  <c r="D75" i="44"/>
  <c r="C74" i="28"/>
  <c r="D89" i="46"/>
  <c r="D89" i="45"/>
  <c r="D89" i="47"/>
  <c r="D89" i="44"/>
  <c r="C88" i="28"/>
  <c r="AY88" i="19"/>
  <c r="O124" i="28"/>
  <c r="P125" i="44"/>
  <c r="P124" i="28"/>
  <c r="P125" i="47"/>
  <c r="P125" i="46"/>
  <c r="P125" i="45"/>
  <c r="Q125" i="44"/>
  <c r="AY24" i="19"/>
  <c r="D25" i="47"/>
  <c r="D25" i="46"/>
  <c r="D25" i="45"/>
  <c r="D25" i="44"/>
  <c r="C24" i="28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" i="25"/>
  <c r="G22" i="24"/>
  <c r="U88" i="19"/>
  <c r="U86" i="19"/>
  <c r="U85" i="19"/>
  <c r="U84" i="19"/>
  <c r="U83" i="19"/>
  <c r="U82" i="19"/>
  <c r="U81" i="19"/>
  <c r="U80" i="19"/>
  <c r="U78" i="19"/>
  <c r="U77" i="19"/>
  <c r="U76" i="19"/>
  <c r="U75" i="19"/>
  <c r="U74" i="19"/>
  <c r="U73" i="19"/>
  <c r="U72" i="19"/>
  <c r="U71" i="19"/>
  <c r="U70" i="19"/>
  <c r="U69" i="19"/>
  <c r="U68" i="19"/>
  <c r="U66" i="19"/>
  <c r="U65" i="19"/>
  <c r="U64" i="19"/>
  <c r="U62" i="19"/>
  <c r="U61" i="19"/>
  <c r="U60" i="19"/>
  <c r="U59" i="19"/>
  <c r="U58" i="19"/>
  <c r="U57" i="19"/>
  <c r="U56" i="19"/>
  <c r="U55" i="19"/>
  <c r="U54" i="19"/>
  <c r="U53" i="19"/>
  <c r="U52" i="19"/>
  <c r="U50" i="19"/>
  <c r="U49" i="19"/>
  <c r="U48" i="19"/>
  <c r="U46" i="19"/>
  <c r="U45" i="19"/>
  <c r="U44" i="19"/>
  <c r="U43" i="19"/>
  <c r="U42" i="19"/>
  <c r="U40" i="19"/>
  <c r="U39" i="19"/>
  <c r="U38" i="19"/>
  <c r="U36" i="19"/>
  <c r="U35" i="19"/>
  <c r="U34" i="19"/>
  <c r="U32" i="19"/>
  <c r="U31" i="19"/>
  <c r="U30" i="19"/>
  <c r="U28" i="19"/>
  <c r="U27" i="19"/>
  <c r="U26" i="19"/>
  <c r="U24" i="19"/>
  <c r="U23" i="19"/>
  <c r="AH22" i="19"/>
  <c r="R88" i="19"/>
  <c r="R87" i="19"/>
  <c r="R85" i="19"/>
  <c r="R84" i="19"/>
  <c r="R81" i="19"/>
  <c r="R79" i="19"/>
  <c r="R77" i="19"/>
  <c r="R73" i="19"/>
  <c r="R71" i="19"/>
  <c r="R69" i="19"/>
  <c r="R68" i="19"/>
  <c r="R67" i="19"/>
  <c r="R65" i="19"/>
  <c r="R64" i="19"/>
  <c r="R61" i="19"/>
  <c r="R57" i="19"/>
  <c r="R55" i="19"/>
  <c r="R53" i="19"/>
  <c r="R52" i="19"/>
  <c r="R51" i="19"/>
  <c r="R49" i="19"/>
  <c r="R48" i="19"/>
  <c r="R45" i="19"/>
  <c r="R41" i="19"/>
  <c r="R39" i="19"/>
  <c r="R37" i="19"/>
  <c r="R36" i="19"/>
  <c r="R35" i="19"/>
  <c r="R33" i="19"/>
  <c r="R31" i="19"/>
  <c r="R29" i="19"/>
  <c r="R27" i="19"/>
  <c r="R26" i="19"/>
  <c r="R25" i="19"/>
  <c r="R23" i="19"/>
  <c r="R22" i="19"/>
  <c r="Q127" i="44" l="1"/>
  <c r="P127" i="47"/>
  <c r="P126" i="28"/>
  <c r="P127" i="45"/>
  <c r="O126" i="28"/>
  <c r="P143" i="28"/>
  <c r="P144" i="45"/>
  <c r="P144" i="46"/>
  <c r="Q144" i="44"/>
  <c r="P144" i="47"/>
  <c r="O143" i="28"/>
  <c r="P144" i="44"/>
  <c r="AL22" i="48"/>
  <c r="AK22" i="48"/>
  <c r="AY22" i="48" s="1"/>
  <c r="AP22" i="19"/>
  <c r="C82" i="25"/>
  <c r="D82" i="25"/>
  <c r="E82" i="25"/>
  <c r="C74" i="25"/>
  <c r="D74" i="25"/>
  <c r="E74" i="25"/>
  <c r="C62" i="25"/>
  <c r="D62" i="25"/>
  <c r="E62" i="25"/>
  <c r="C50" i="25"/>
  <c r="D50" i="25"/>
  <c r="E50" i="25"/>
  <c r="D88" i="25"/>
  <c r="C88" i="25"/>
  <c r="E88" i="25"/>
  <c r="C84" i="25"/>
  <c r="D84" i="25"/>
  <c r="E84" i="25"/>
  <c r="D80" i="25"/>
  <c r="C80" i="25"/>
  <c r="E80" i="25"/>
  <c r="C76" i="25"/>
  <c r="D76" i="25"/>
  <c r="E76" i="25"/>
  <c r="D72" i="25"/>
  <c r="C72" i="25"/>
  <c r="E72" i="25"/>
  <c r="C68" i="25"/>
  <c r="D68" i="25"/>
  <c r="E68" i="25"/>
  <c r="D64" i="25"/>
  <c r="C64" i="25"/>
  <c r="E64" i="25"/>
  <c r="C60" i="25"/>
  <c r="D60" i="25"/>
  <c r="E60" i="25"/>
  <c r="D56" i="25"/>
  <c r="C56" i="25"/>
  <c r="E56" i="25"/>
  <c r="C52" i="25"/>
  <c r="D52" i="25"/>
  <c r="E52" i="25"/>
  <c r="D48" i="25"/>
  <c r="C48" i="25"/>
  <c r="E48" i="25"/>
  <c r="C44" i="25"/>
  <c r="D44" i="25"/>
  <c r="E44" i="25"/>
  <c r="D40" i="25"/>
  <c r="C40" i="25"/>
  <c r="E40" i="25"/>
  <c r="C36" i="25"/>
  <c r="D36" i="25"/>
  <c r="E36" i="25"/>
  <c r="D32" i="25"/>
  <c r="C32" i="25"/>
  <c r="E32" i="25"/>
  <c r="C28" i="25"/>
  <c r="D28" i="25"/>
  <c r="E28" i="25"/>
  <c r="C24" i="25"/>
  <c r="D24" i="25"/>
  <c r="E24" i="25"/>
  <c r="D20" i="25"/>
  <c r="C20" i="25"/>
  <c r="E20" i="25"/>
  <c r="C66" i="25"/>
  <c r="D66" i="25"/>
  <c r="E66" i="25"/>
  <c r="C87" i="25"/>
  <c r="D87" i="25"/>
  <c r="E87" i="25"/>
  <c r="C83" i="25"/>
  <c r="D83" i="25"/>
  <c r="E83" i="25"/>
  <c r="C79" i="25"/>
  <c r="D79" i="25"/>
  <c r="E79" i="25"/>
  <c r="C75" i="25"/>
  <c r="D75" i="25"/>
  <c r="E75" i="25"/>
  <c r="C71" i="25"/>
  <c r="D71" i="25"/>
  <c r="E71" i="25"/>
  <c r="C67" i="25"/>
  <c r="D67" i="25"/>
  <c r="E67" i="25"/>
  <c r="C63" i="25"/>
  <c r="D63" i="25"/>
  <c r="E63" i="25"/>
  <c r="C59" i="25"/>
  <c r="D59" i="25"/>
  <c r="E59" i="25"/>
  <c r="C55" i="25"/>
  <c r="D55" i="25"/>
  <c r="E55" i="25"/>
  <c r="C51" i="25"/>
  <c r="D51" i="25"/>
  <c r="E51" i="25"/>
  <c r="C47" i="25"/>
  <c r="D47" i="25"/>
  <c r="E47" i="25"/>
  <c r="C43" i="25"/>
  <c r="D43" i="25"/>
  <c r="E43" i="25"/>
  <c r="C39" i="25"/>
  <c r="D39" i="25"/>
  <c r="E39" i="25"/>
  <c r="C35" i="25"/>
  <c r="D35" i="25"/>
  <c r="E35" i="25"/>
  <c r="C31" i="25"/>
  <c r="D31" i="25"/>
  <c r="E31" i="25"/>
  <c r="C27" i="25"/>
  <c r="D27" i="25"/>
  <c r="E27" i="25"/>
  <c r="C23" i="25"/>
  <c r="D23" i="25"/>
  <c r="E23" i="25"/>
  <c r="C46" i="25"/>
  <c r="D46" i="25"/>
  <c r="E46" i="25"/>
  <c r="C42" i="25"/>
  <c r="D42" i="25"/>
  <c r="E42" i="25"/>
  <c r="C38" i="25"/>
  <c r="D38" i="25"/>
  <c r="E38" i="25"/>
  <c r="C34" i="25"/>
  <c r="D34" i="25"/>
  <c r="E34" i="25"/>
  <c r="C30" i="25"/>
  <c r="D30" i="25"/>
  <c r="E30" i="25"/>
  <c r="C26" i="25"/>
  <c r="D26" i="25"/>
  <c r="E26" i="25"/>
  <c r="C22" i="25"/>
  <c r="D22" i="25"/>
  <c r="E22" i="25"/>
  <c r="C86" i="25"/>
  <c r="D86" i="25"/>
  <c r="E86" i="25"/>
  <c r="C78" i="25"/>
  <c r="D78" i="25"/>
  <c r="E78" i="25"/>
  <c r="C70" i="25"/>
  <c r="D70" i="25"/>
  <c r="E70" i="25"/>
  <c r="C58" i="25"/>
  <c r="D58" i="25"/>
  <c r="E58" i="25"/>
  <c r="C54" i="25"/>
  <c r="D54" i="25"/>
  <c r="E54" i="25"/>
  <c r="D85" i="25"/>
  <c r="C85" i="25"/>
  <c r="E85" i="25"/>
  <c r="D81" i="25"/>
  <c r="C81" i="25"/>
  <c r="E81" i="25"/>
  <c r="D77" i="25"/>
  <c r="C77" i="25"/>
  <c r="E77" i="25"/>
  <c r="D73" i="25"/>
  <c r="C73" i="25"/>
  <c r="E73" i="25"/>
  <c r="D69" i="25"/>
  <c r="C69" i="25"/>
  <c r="E69" i="25"/>
  <c r="D65" i="25"/>
  <c r="C65" i="25"/>
  <c r="E65" i="25"/>
  <c r="D61" i="25"/>
  <c r="C61" i="25"/>
  <c r="E61" i="25"/>
  <c r="D57" i="25"/>
  <c r="C57" i="25"/>
  <c r="E57" i="25"/>
  <c r="D53" i="25"/>
  <c r="C53" i="25"/>
  <c r="E53" i="25"/>
  <c r="D49" i="25"/>
  <c r="C49" i="25"/>
  <c r="E49" i="25"/>
  <c r="D45" i="25"/>
  <c r="C45" i="25"/>
  <c r="E45" i="25"/>
  <c r="D41" i="25"/>
  <c r="C41" i="25"/>
  <c r="E41" i="25"/>
  <c r="D37" i="25"/>
  <c r="C37" i="25"/>
  <c r="E37" i="25"/>
  <c r="D33" i="25"/>
  <c r="C33" i="25"/>
  <c r="E33" i="25"/>
  <c r="D29" i="25"/>
  <c r="C29" i="25"/>
  <c r="E29" i="25"/>
  <c r="D25" i="25"/>
  <c r="C25" i="25"/>
  <c r="E25" i="25"/>
  <c r="D21" i="25"/>
  <c r="C21" i="25"/>
  <c r="E21" i="25"/>
  <c r="C2" i="25"/>
  <c r="D2" i="25"/>
  <c r="E2" i="25"/>
  <c r="C3" i="25"/>
  <c r="D3" i="25"/>
  <c r="E3" i="25"/>
  <c r="D18" i="25"/>
  <c r="C18" i="25"/>
  <c r="E18" i="25"/>
  <c r="D14" i="25"/>
  <c r="C14" i="25"/>
  <c r="E14" i="25"/>
  <c r="D10" i="25"/>
  <c r="C10" i="25"/>
  <c r="E10" i="25"/>
  <c r="D6" i="25"/>
  <c r="C6" i="25"/>
  <c r="E6" i="25"/>
  <c r="D17" i="25"/>
  <c r="C17" i="25"/>
  <c r="E17" i="25"/>
  <c r="D13" i="25"/>
  <c r="C13" i="25"/>
  <c r="E13" i="25"/>
  <c r="D9" i="25"/>
  <c r="C9" i="25"/>
  <c r="E9" i="25"/>
  <c r="D5" i="25"/>
  <c r="C5" i="25"/>
  <c r="E5" i="25"/>
  <c r="D16" i="25"/>
  <c r="C16" i="25"/>
  <c r="E16" i="25"/>
  <c r="E12" i="25"/>
  <c r="D12" i="25"/>
  <c r="C12" i="25"/>
  <c r="D8" i="25"/>
  <c r="C8" i="25"/>
  <c r="E8" i="25"/>
  <c r="D4" i="25"/>
  <c r="C4" i="25"/>
  <c r="E4" i="25"/>
  <c r="D19" i="25"/>
  <c r="C19" i="25"/>
  <c r="E19" i="25"/>
  <c r="D15" i="25"/>
  <c r="C15" i="25"/>
  <c r="E15" i="25"/>
  <c r="D11" i="25"/>
  <c r="C11" i="25"/>
  <c r="E11" i="25"/>
  <c r="D7" i="25"/>
  <c r="C7" i="25"/>
  <c r="E7" i="25"/>
  <c r="F38" i="24"/>
  <c r="F26" i="24"/>
  <c r="F42" i="24"/>
  <c r="F14" i="24"/>
  <c r="G14" i="24" s="1"/>
  <c r="F30" i="24"/>
  <c r="F18" i="24"/>
  <c r="F34" i="24"/>
  <c r="F27" i="23"/>
  <c r="G79" i="23"/>
  <c r="F7" i="23"/>
  <c r="U12" i="19"/>
  <c r="U18" i="19"/>
  <c r="U37" i="19"/>
  <c r="AH42" i="19"/>
  <c r="U63" i="19"/>
  <c r="U3" i="19"/>
  <c r="AH19" i="19"/>
  <c r="U19" i="19"/>
  <c r="U4" i="19"/>
  <c r="U7" i="19"/>
  <c r="U10" i="19"/>
  <c r="U17" i="19"/>
  <c r="U20" i="19"/>
  <c r="U25" i="19"/>
  <c r="U33" i="19"/>
  <c r="U41" i="19"/>
  <c r="U47" i="19"/>
  <c r="U51" i="19"/>
  <c r="U79" i="19"/>
  <c r="U9" i="19"/>
  <c r="U15" i="19"/>
  <c r="AO22" i="19"/>
  <c r="U22" i="19"/>
  <c r="AH26" i="19"/>
  <c r="U29" i="19"/>
  <c r="AH34" i="19"/>
  <c r="U67" i="19"/>
  <c r="U6" i="19"/>
  <c r="U13" i="19"/>
  <c r="U16" i="19"/>
  <c r="U5" i="19"/>
  <c r="U8" i="19"/>
  <c r="U11" i="19"/>
  <c r="U14" i="19"/>
  <c r="U21" i="19"/>
  <c r="U87" i="19"/>
  <c r="U2" i="19"/>
  <c r="AN22" i="19"/>
  <c r="R3" i="19"/>
  <c r="R2" i="19"/>
  <c r="AG6" i="19"/>
  <c r="AN12" i="19"/>
  <c r="R5" i="19"/>
  <c r="AN6" i="19"/>
  <c r="R9" i="19"/>
  <c r="R14" i="19"/>
  <c r="AN43" i="19"/>
  <c r="R43" i="19"/>
  <c r="R66" i="19"/>
  <c r="R82" i="19"/>
  <c r="R10" i="19"/>
  <c r="R15" i="19"/>
  <c r="R18" i="19"/>
  <c r="R28" i="19"/>
  <c r="R38" i="19"/>
  <c r="R40" i="19"/>
  <c r="R44" i="19"/>
  <c r="R56" i="19"/>
  <c r="R59" i="19"/>
  <c r="R63" i="19"/>
  <c r="R75" i="19"/>
  <c r="R83" i="19"/>
  <c r="AG27" i="19"/>
  <c r="R34" i="19"/>
  <c r="R62" i="19"/>
  <c r="R70" i="19"/>
  <c r="R78" i="19"/>
  <c r="R86" i="19"/>
  <c r="R6" i="19"/>
  <c r="R7" i="19"/>
  <c r="R11" i="19"/>
  <c r="R13" i="19"/>
  <c r="R16" i="19"/>
  <c r="R19" i="19"/>
  <c r="R32" i="19"/>
  <c r="R60" i="19"/>
  <c r="R72" i="19"/>
  <c r="R76" i="19"/>
  <c r="R80" i="19"/>
  <c r="R21" i="19"/>
  <c r="R47" i="19"/>
  <c r="R74" i="19"/>
  <c r="R8" i="19"/>
  <c r="AG12" i="19"/>
  <c r="R12" i="19"/>
  <c r="R17" i="19"/>
  <c r="R20" i="19"/>
  <c r="AG22" i="19"/>
  <c r="R24" i="19"/>
  <c r="R30" i="19"/>
  <c r="R42" i="19"/>
  <c r="R46" i="19"/>
  <c r="R50" i="19"/>
  <c r="R54" i="19"/>
  <c r="R58" i="19"/>
  <c r="R4" i="19"/>
  <c r="F66" i="24"/>
  <c r="AE66" i="48" s="1"/>
  <c r="G79" i="24"/>
  <c r="F22" i="24"/>
  <c r="F82" i="24"/>
  <c r="G82" i="24" s="1"/>
  <c r="AL82" i="48" s="1"/>
  <c r="F19" i="23"/>
  <c r="F86" i="23"/>
  <c r="F38" i="23"/>
  <c r="AD38" i="48" s="1"/>
  <c r="F42" i="23"/>
  <c r="AD42" i="48" s="1"/>
  <c r="F46" i="23"/>
  <c r="AD46" i="48" s="1"/>
  <c r="F54" i="23"/>
  <c r="AD54" i="48" s="1"/>
  <c r="F62" i="23"/>
  <c r="AD62" i="48" s="1"/>
  <c r="F70" i="23"/>
  <c r="AD70" i="48" s="1"/>
  <c r="F82" i="23"/>
  <c r="G82" i="23" s="1"/>
  <c r="AK82" i="48" s="1"/>
  <c r="AY82" i="48" s="1"/>
  <c r="AG8" i="19"/>
  <c r="AG19" i="19"/>
  <c r="AG4" i="19"/>
  <c r="AG5" i="19"/>
  <c r="AG43" i="19"/>
  <c r="AG7" i="19"/>
  <c r="F6" i="24"/>
  <c r="F8" i="24"/>
  <c r="F12" i="24"/>
  <c r="F7" i="24"/>
  <c r="F11" i="24"/>
  <c r="F15" i="24"/>
  <c r="G19" i="24"/>
  <c r="F19" i="24"/>
  <c r="F23" i="24"/>
  <c r="AE23" i="48" s="1"/>
  <c r="G26" i="24"/>
  <c r="F27" i="24"/>
  <c r="AE27" i="48" s="1"/>
  <c r="F31" i="24"/>
  <c r="AE31" i="48" s="1"/>
  <c r="F35" i="24"/>
  <c r="AE35" i="48" s="1"/>
  <c r="F39" i="24"/>
  <c r="AE39" i="48" s="1"/>
  <c r="G43" i="24"/>
  <c r="F43" i="24"/>
  <c r="F80" i="24"/>
  <c r="G76" i="24"/>
  <c r="F76" i="24"/>
  <c r="F5" i="24"/>
  <c r="F9" i="24"/>
  <c r="F13" i="24"/>
  <c r="F25" i="24"/>
  <c r="AE25" i="48" s="1"/>
  <c r="F29" i="24"/>
  <c r="AE29" i="48" s="1"/>
  <c r="F33" i="24"/>
  <c r="AE33" i="48" s="1"/>
  <c r="F37" i="24"/>
  <c r="AE37" i="48" s="1"/>
  <c r="F41" i="24"/>
  <c r="AE41" i="48" s="1"/>
  <c r="F56" i="24"/>
  <c r="AE56" i="48" s="1"/>
  <c r="F47" i="24"/>
  <c r="AE47" i="48" s="1"/>
  <c r="F51" i="24"/>
  <c r="AE51" i="48" s="1"/>
  <c r="F55" i="24"/>
  <c r="AE55" i="48" s="1"/>
  <c r="F59" i="24"/>
  <c r="AE59" i="48" s="1"/>
  <c r="F63" i="24"/>
  <c r="AE63" i="48" s="1"/>
  <c r="F67" i="24"/>
  <c r="F71" i="24"/>
  <c r="AE71" i="48" s="1"/>
  <c r="F75" i="24"/>
  <c r="AE75" i="48" s="1"/>
  <c r="F79" i="24"/>
  <c r="F83" i="24"/>
  <c r="F87" i="24"/>
  <c r="G76" i="23"/>
  <c r="F76" i="23"/>
  <c r="G22" i="23"/>
  <c r="BD22" i="19" s="1"/>
  <c r="F34" i="23"/>
  <c r="AD34" i="48" s="1"/>
  <c r="F84" i="23"/>
  <c r="F32" i="23"/>
  <c r="F6" i="23"/>
  <c r="F10" i="23"/>
  <c r="F14" i="23"/>
  <c r="F22" i="23"/>
  <c r="F30" i="23"/>
  <c r="AD30" i="48" s="1"/>
  <c r="F44" i="23"/>
  <c r="AD44" i="48" s="1"/>
  <c r="F48" i="23"/>
  <c r="AD48" i="48" s="1"/>
  <c r="F52" i="23"/>
  <c r="AD52" i="48" s="1"/>
  <c r="F60" i="23"/>
  <c r="AD60" i="48" s="1"/>
  <c r="F64" i="23"/>
  <c r="F4" i="23"/>
  <c r="F8" i="23"/>
  <c r="F12" i="23"/>
  <c r="F20" i="23"/>
  <c r="G27" i="23"/>
  <c r="F28" i="23"/>
  <c r="AD28" i="48" s="1"/>
  <c r="F43" i="23"/>
  <c r="F51" i="23"/>
  <c r="AD51" i="48" s="1"/>
  <c r="F59" i="23"/>
  <c r="AD59" i="48" s="1"/>
  <c r="F79" i="23"/>
  <c r="F88" i="23"/>
  <c r="AO76" i="19"/>
  <c r="AH76" i="19"/>
  <c r="AH4" i="19"/>
  <c r="AH8" i="19"/>
  <c r="AH12" i="19"/>
  <c r="AO34" i="19"/>
  <c r="AO43" i="19"/>
  <c r="AH43" i="19"/>
  <c r="AH6" i="19"/>
  <c r="AN76" i="19"/>
  <c r="AG76" i="19"/>
  <c r="AP82" i="19" l="1"/>
  <c r="AJ9" i="19"/>
  <c r="AE9" i="48"/>
  <c r="AE80" i="48"/>
  <c r="AJ80" i="19"/>
  <c r="AP14" i="19"/>
  <c r="I15" i="46" s="1"/>
  <c r="AK14" i="48"/>
  <c r="AY14" i="48" s="1"/>
  <c r="AI8" i="19"/>
  <c r="AD8" i="48"/>
  <c r="AJ34" i="19"/>
  <c r="AE34" i="48"/>
  <c r="AJ42" i="19"/>
  <c r="AE42" i="48"/>
  <c r="I23" i="46"/>
  <c r="I23" i="45"/>
  <c r="I23" i="44"/>
  <c r="H22" i="28"/>
  <c r="I23" i="47"/>
  <c r="AJ43" i="19"/>
  <c r="AE43" i="48"/>
  <c r="AI19" i="19"/>
  <c r="AD19" i="48"/>
  <c r="AI11" i="19"/>
  <c r="AD11" i="48"/>
  <c r="AI6" i="19"/>
  <c r="AD6" i="48"/>
  <c r="AE82" i="48"/>
  <c r="AJ82" i="19"/>
  <c r="AI18" i="19"/>
  <c r="AD18" i="48"/>
  <c r="AJ26" i="19"/>
  <c r="AE26" i="48"/>
  <c r="AE87" i="48"/>
  <c r="AJ87" i="19"/>
  <c r="AJ76" i="19"/>
  <c r="AE76" i="48"/>
  <c r="AL43" i="48"/>
  <c r="AK43" i="48"/>
  <c r="AY43" i="48" s="1"/>
  <c r="AP43" i="19"/>
  <c r="AK19" i="48"/>
  <c r="AY19" i="48" s="1"/>
  <c r="AP19" i="19"/>
  <c r="AI7" i="19"/>
  <c r="AD7" i="48"/>
  <c r="AJ22" i="19"/>
  <c r="AE22" i="48"/>
  <c r="AJ30" i="19"/>
  <c r="AE30" i="48"/>
  <c r="AJ38" i="19"/>
  <c r="AE38" i="48"/>
  <c r="AE79" i="48"/>
  <c r="AJ79" i="19"/>
  <c r="AE83" i="48"/>
  <c r="AJ83" i="19"/>
  <c r="AJ67" i="19"/>
  <c r="AE67" i="48"/>
  <c r="AI13" i="19"/>
  <c r="AD13" i="48"/>
  <c r="AL76" i="48"/>
  <c r="AK76" i="48"/>
  <c r="AY76" i="48" s="1"/>
  <c r="AP76" i="19"/>
  <c r="BD76" i="19" s="1"/>
  <c r="AL26" i="48"/>
  <c r="AK26" i="48"/>
  <c r="AY26" i="48" s="1"/>
  <c r="AP26" i="19"/>
  <c r="AI15" i="19"/>
  <c r="AD15" i="48"/>
  <c r="AJ12" i="19"/>
  <c r="AE12" i="48"/>
  <c r="AK79" i="48"/>
  <c r="AY79" i="48" s="1"/>
  <c r="AL79" i="48"/>
  <c r="AP79" i="19"/>
  <c r="AI14" i="19"/>
  <c r="AD14" i="48"/>
  <c r="AI43" i="19"/>
  <c r="AD43" i="48"/>
  <c r="AI4" i="19"/>
  <c r="AD4" i="48"/>
  <c r="AJ14" i="19"/>
  <c r="AE14" i="48"/>
  <c r="AI64" i="19"/>
  <c r="AD64" i="48"/>
  <c r="AI10" i="19"/>
  <c r="AD10" i="48"/>
  <c r="AD88" i="48"/>
  <c r="AI88" i="19"/>
  <c r="AI12" i="19"/>
  <c r="AD12" i="48"/>
  <c r="AD86" i="48"/>
  <c r="AI86" i="19"/>
  <c r="AI27" i="19"/>
  <c r="AD27" i="48"/>
  <c r="AD79" i="48"/>
  <c r="AI79" i="19"/>
  <c r="AJ8" i="19"/>
  <c r="AE8" i="48"/>
  <c r="AI22" i="19"/>
  <c r="AD22" i="48"/>
  <c r="AI32" i="19"/>
  <c r="AD32" i="48"/>
  <c r="AI76" i="19"/>
  <c r="AD76" i="48"/>
  <c r="I15" i="47"/>
  <c r="H14" i="28"/>
  <c r="AD82" i="48"/>
  <c r="AI82" i="19"/>
  <c r="AJ19" i="19"/>
  <c r="AE19" i="48"/>
  <c r="BD82" i="19"/>
  <c r="I83" i="47"/>
  <c r="I83" i="46"/>
  <c r="I83" i="45"/>
  <c r="I83" i="44"/>
  <c r="H82" i="28"/>
  <c r="AD84" i="48"/>
  <c r="AI84" i="19"/>
  <c r="BC34" i="19"/>
  <c r="H35" i="47"/>
  <c r="H35" i="46"/>
  <c r="H35" i="45"/>
  <c r="H35" i="44"/>
  <c r="G34" i="28"/>
  <c r="BC76" i="19"/>
  <c r="H77" i="47"/>
  <c r="H77" i="46"/>
  <c r="H77" i="45"/>
  <c r="H77" i="44"/>
  <c r="G76" i="28"/>
  <c r="BC43" i="19"/>
  <c r="H44" i="47"/>
  <c r="H44" i="46"/>
  <c r="H44" i="45"/>
  <c r="H44" i="44"/>
  <c r="G43" i="28"/>
  <c r="BC22" i="19"/>
  <c r="H23" i="47"/>
  <c r="H23" i="46"/>
  <c r="H23" i="45"/>
  <c r="H23" i="44"/>
  <c r="G22" i="28"/>
  <c r="BB22" i="19"/>
  <c r="G23" i="46"/>
  <c r="G23" i="47"/>
  <c r="G23" i="45"/>
  <c r="G23" i="44"/>
  <c r="F22" i="28"/>
  <c r="BB76" i="19"/>
  <c r="G77" i="46"/>
  <c r="G77" i="45"/>
  <c r="G77" i="47"/>
  <c r="G77" i="44"/>
  <c r="F76" i="28"/>
  <c r="BB6" i="19"/>
  <c r="G7" i="46"/>
  <c r="G7" i="47"/>
  <c r="G7" i="45"/>
  <c r="G7" i="44"/>
  <c r="F6" i="28"/>
  <c r="BB43" i="19"/>
  <c r="G44" i="45"/>
  <c r="G44" i="47"/>
  <c r="G44" i="46"/>
  <c r="G44" i="44"/>
  <c r="F43" i="28"/>
  <c r="BB12" i="19"/>
  <c r="G13" i="46"/>
  <c r="G13" i="45"/>
  <c r="G13" i="47"/>
  <c r="G13" i="44"/>
  <c r="F12" i="28"/>
  <c r="F76" i="25"/>
  <c r="I76" i="25"/>
  <c r="AN76" i="48" s="1"/>
  <c r="H76" i="25"/>
  <c r="AM76" i="48" s="1"/>
  <c r="G76" i="25"/>
  <c r="I15" i="25"/>
  <c r="AN15" i="48" s="1"/>
  <c r="G15" i="25"/>
  <c r="H15" i="25"/>
  <c r="F21" i="25"/>
  <c r="G21" i="25" s="1"/>
  <c r="H21" i="25" s="1"/>
  <c r="F53" i="25"/>
  <c r="G53" i="25" s="1"/>
  <c r="H53" i="25" s="1"/>
  <c r="F69" i="25"/>
  <c r="G69" i="25" s="1"/>
  <c r="H69" i="25" s="1"/>
  <c r="F85" i="25"/>
  <c r="G85" i="25" s="1"/>
  <c r="H85" i="25" s="1"/>
  <c r="I85" i="25" s="1"/>
  <c r="F30" i="25"/>
  <c r="G30" i="25" s="1"/>
  <c r="H30" i="25" s="1"/>
  <c r="F46" i="25"/>
  <c r="H46" i="25"/>
  <c r="AM46" i="48" s="1"/>
  <c r="I46" i="25"/>
  <c r="AN46" i="48" s="1"/>
  <c r="G46" i="25"/>
  <c r="F35" i="25"/>
  <c r="H35" i="25"/>
  <c r="AM35" i="48" s="1"/>
  <c r="I35" i="25"/>
  <c r="AN35" i="48" s="1"/>
  <c r="G35" i="25"/>
  <c r="F51" i="25"/>
  <c r="H51" i="25"/>
  <c r="AM51" i="48" s="1"/>
  <c r="I51" i="25"/>
  <c r="AN51" i="48" s="1"/>
  <c r="G51" i="25"/>
  <c r="F67" i="25"/>
  <c r="H67" i="25"/>
  <c r="AM67" i="48" s="1"/>
  <c r="G67" i="25"/>
  <c r="I67" i="25"/>
  <c r="AN67" i="48" s="1"/>
  <c r="F83" i="25"/>
  <c r="H83" i="25"/>
  <c r="G83" i="25"/>
  <c r="I83" i="25"/>
  <c r="F40" i="25"/>
  <c r="G40" i="25" s="1"/>
  <c r="H40" i="25" s="1"/>
  <c r="F72" i="25"/>
  <c r="I72" i="25"/>
  <c r="AN72" i="48" s="1"/>
  <c r="H72" i="25"/>
  <c r="AM72" i="48" s="1"/>
  <c r="G72" i="25"/>
  <c r="F82" i="25"/>
  <c r="G82" i="25" s="1"/>
  <c r="H82" i="25" s="1"/>
  <c r="I82" i="25" s="1"/>
  <c r="F28" i="25"/>
  <c r="I28" i="25"/>
  <c r="AN28" i="48" s="1"/>
  <c r="G28" i="25"/>
  <c r="H28" i="25"/>
  <c r="AM28" i="48" s="1"/>
  <c r="F60" i="25"/>
  <c r="G60" i="25" s="1"/>
  <c r="H60" i="25" s="1"/>
  <c r="F50" i="25"/>
  <c r="G50" i="25" s="1"/>
  <c r="H50" i="25" s="1"/>
  <c r="I11" i="25"/>
  <c r="AN11" i="48" s="1"/>
  <c r="G11" i="25"/>
  <c r="H11" i="25"/>
  <c r="F10" i="25"/>
  <c r="G10" i="25"/>
  <c r="H10" i="25" s="1"/>
  <c r="F33" i="25"/>
  <c r="I33" i="25"/>
  <c r="AN33" i="48" s="1"/>
  <c r="G33" i="25"/>
  <c r="H33" i="25"/>
  <c r="AM33" i="48" s="1"/>
  <c r="F49" i="25"/>
  <c r="I49" i="25"/>
  <c r="AN49" i="48" s="1"/>
  <c r="G49" i="25"/>
  <c r="H49" i="25"/>
  <c r="AM49" i="48" s="1"/>
  <c r="F65" i="25"/>
  <c r="I65" i="25"/>
  <c r="AN65" i="48" s="1"/>
  <c r="H65" i="25"/>
  <c r="AM65" i="48" s="1"/>
  <c r="G65" i="25"/>
  <c r="F81" i="25"/>
  <c r="I81" i="25"/>
  <c r="H81" i="25"/>
  <c r="G81" i="25"/>
  <c r="F70" i="25"/>
  <c r="H70" i="25"/>
  <c r="AM70" i="48" s="1"/>
  <c r="I70" i="25"/>
  <c r="AN70" i="48" s="1"/>
  <c r="G70" i="25"/>
  <c r="F26" i="25"/>
  <c r="H26" i="25"/>
  <c r="AM26" i="48" s="1"/>
  <c r="I26" i="25"/>
  <c r="AN26" i="48" s="1"/>
  <c r="G26" i="25"/>
  <c r="F42" i="25"/>
  <c r="H42" i="25"/>
  <c r="AM42" i="48" s="1"/>
  <c r="I42" i="25"/>
  <c r="AN42" i="48" s="1"/>
  <c r="G42" i="25"/>
  <c r="F31" i="25"/>
  <c r="H31" i="25"/>
  <c r="AM31" i="48" s="1"/>
  <c r="G31" i="25"/>
  <c r="I31" i="25"/>
  <c r="AN31" i="48" s="1"/>
  <c r="F63" i="25"/>
  <c r="H63" i="25"/>
  <c r="AM63" i="48" s="1"/>
  <c r="G63" i="25"/>
  <c r="I63" i="25"/>
  <c r="AN63" i="48" s="1"/>
  <c r="F79" i="25"/>
  <c r="H79" i="25"/>
  <c r="G79" i="25"/>
  <c r="I79" i="25"/>
  <c r="F20" i="25"/>
  <c r="G20" i="25" s="1"/>
  <c r="H20" i="25" s="1"/>
  <c r="AM20" i="48" s="1"/>
  <c r="F36" i="25"/>
  <c r="I36" i="25"/>
  <c r="AN36" i="48" s="1"/>
  <c r="G36" i="25"/>
  <c r="H36" i="25"/>
  <c r="AM36" i="48" s="1"/>
  <c r="F52" i="25"/>
  <c r="I52" i="25"/>
  <c r="AN52" i="48" s="1"/>
  <c r="G52" i="25"/>
  <c r="H52" i="25"/>
  <c r="AM52" i="48" s="1"/>
  <c r="F84" i="25"/>
  <c r="I84" i="25"/>
  <c r="H84" i="25"/>
  <c r="G84" i="25"/>
  <c r="F74" i="25"/>
  <c r="G74" i="25" s="1"/>
  <c r="H74" i="25" s="1"/>
  <c r="F19" i="25"/>
  <c r="H19" i="25"/>
  <c r="G19" i="25"/>
  <c r="I19" i="25"/>
  <c r="AN19" i="48" s="1"/>
  <c r="F18" i="25"/>
  <c r="H18" i="25"/>
  <c r="I18" i="25"/>
  <c r="AN18" i="48" s="1"/>
  <c r="G18" i="25"/>
  <c r="F41" i="25"/>
  <c r="G41" i="25" s="1"/>
  <c r="H41" i="25" s="1"/>
  <c r="F57" i="25"/>
  <c r="G57" i="25" s="1"/>
  <c r="H57" i="25" s="1"/>
  <c r="F54" i="25"/>
  <c r="H54" i="25"/>
  <c r="AM54" i="48" s="1"/>
  <c r="I54" i="25"/>
  <c r="AN54" i="48" s="1"/>
  <c r="G54" i="25"/>
  <c r="F86" i="25"/>
  <c r="G86" i="25" s="1"/>
  <c r="H86" i="25" s="1"/>
  <c r="I86" i="25" s="1"/>
  <c r="F34" i="25"/>
  <c r="H34" i="25"/>
  <c r="AM34" i="48" s="1"/>
  <c r="I34" i="25"/>
  <c r="AN34" i="48" s="1"/>
  <c r="G34" i="25"/>
  <c r="F23" i="25"/>
  <c r="G23" i="25" s="1"/>
  <c r="H23" i="25" s="1"/>
  <c r="F39" i="25"/>
  <c r="G39" i="25" s="1"/>
  <c r="H39" i="25" s="1"/>
  <c r="F55" i="25"/>
  <c r="G55" i="25" s="1"/>
  <c r="H55" i="25" s="1"/>
  <c r="F71" i="25"/>
  <c r="H71" i="25"/>
  <c r="AM71" i="48" s="1"/>
  <c r="I71" i="25"/>
  <c r="AN71" i="48" s="1"/>
  <c r="G71" i="25"/>
  <c r="F87" i="25"/>
  <c r="G87" i="25" s="1"/>
  <c r="H87" i="25" s="1"/>
  <c r="I87" i="25" s="1"/>
  <c r="F7" i="25"/>
  <c r="G7" i="25" s="1"/>
  <c r="H7" i="25" s="1"/>
  <c r="I7" i="25" s="1"/>
  <c r="AN7" i="48" s="1"/>
  <c r="I3" i="25"/>
  <c r="AN3" i="48" s="1"/>
  <c r="G3" i="25"/>
  <c r="H3" i="25"/>
  <c r="F45" i="25"/>
  <c r="G45" i="25" s="1"/>
  <c r="H45" i="25" s="1"/>
  <c r="G61" i="25"/>
  <c r="H61" i="25" s="1"/>
  <c r="G77" i="25"/>
  <c r="H77" i="25" s="1"/>
  <c r="F22" i="25"/>
  <c r="H22" i="25"/>
  <c r="AM22" i="48" s="1"/>
  <c r="I22" i="25"/>
  <c r="AN22" i="48" s="1"/>
  <c r="G22" i="25"/>
  <c r="F75" i="25"/>
  <c r="H75" i="25"/>
  <c r="AM75" i="48" s="1"/>
  <c r="G75" i="25"/>
  <c r="I75" i="25"/>
  <c r="AN75" i="48" s="1"/>
  <c r="F48" i="25"/>
  <c r="I48" i="25"/>
  <c r="AN48" i="48" s="1"/>
  <c r="G48" i="25"/>
  <c r="H48" i="25"/>
  <c r="AM48" i="48" s="1"/>
  <c r="F64" i="25"/>
  <c r="I64" i="25"/>
  <c r="AN64" i="48" s="1"/>
  <c r="H64" i="25"/>
  <c r="AM64" i="48" s="1"/>
  <c r="G64" i="25"/>
  <c r="F80" i="25"/>
  <c r="I80" i="25"/>
  <c r="H80" i="25"/>
  <c r="G80" i="25"/>
  <c r="F44" i="25"/>
  <c r="G44" i="25" s="1"/>
  <c r="H44" i="25" s="1"/>
  <c r="F43" i="25"/>
  <c r="G43" i="25" s="1"/>
  <c r="H43" i="25" s="1"/>
  <c r="AQ43" i="19" s="1"/>
  <c r="F38" i="25"/>
  <c r="G38" i="25" s="1"/>
  <c r="H38" i="25" s="1"/>
  <c r="F29" i="25"/>
  <c r="G29" i="25" s="1"/>
  <c r="H29" i="25" s="1"/>
  <c r="F5" i="25"/>
  <c r="G5" i="25" s="1"/>
  <c r="H5" i="25" s="1"/>
  <c r="F88" i="25"/>
  <c r="G88" i="25" s="1"/>
  <c r="H88" i="25" s="1"/>
  <c r="F78" i="25"/>
  <c r="G78" i="25" s="1"/>
  <c r="H78" i="25" s="1"/>
  <c r="F73" i="25"/>
  <c r="G73" i="25" s="1"/>
  <c r="H73" i="25" s="1"/>
  <c r="F66" i="25"/>
  <c r="G66" i="25" s="1"/>
  <c r="H66" i="25" s="1"/>
  <c r="F59" i="25"/>
  <c r="G59" i="25" s="1"/>
  <c r="H59" i="25" s="1"/>
  <c r="F56" i="25"/>
  <c r="G56" i="25" s="1"/>
  <c r="H56" i="25" s="1"/>
  <c r="G38" i="24"/>
  <c r="F9" i="25"/>
  <c r="G9" i="25" s="1"/>
  <c r="H9" i="25" s="1"/>
  <c r="F8" i="25"/>
  <c r="G8" i="25" s="1"/>
  <c r="H8" i="25" s="1"/>
  <c r="F77" i="25"/>
  <c r="F68" i="25"/>
  <c r="G68" i="25" s="1"/>
  <c r="H68" i="25" s="1"/>
  <c r="F62" i="25"/>
  <c r="G62" i="25" s="1"/>
  <c r="H62" i="25" s="1"/>
  <c r="F61" i="25"/>
  <c r="F58" i="25"/>
  <c r="G58" i="25" s="1"/>
  <c r="H58" i="25" s="1"/>
  <c r="F47" i="25"/>
  <c r="G47" i="25" s="1"/>
  <c r="H47" i="25" s="1"/>
  <c r="G43" i="23"/>
  <c r="F37" i="25"/>
  <c r="G37" i="25" s="1"/>
  <c r="H37" i="25" s="1"/>
  <c r="F32" i="25"/>
  <c r="G32" i="25" s="1"/>
  <c r="H32" i="25" s="1"/>
  <c r="F27" i="25"/>
  <c r="G27" i="25" s="1"/>
  <c r="H27" i="25" s="1"/>
  <c r="F25" i="25"/>
  <c r="G25" i="25" s="1"/>
  <c r="H25" i="25" s="1"/>
  <c r="F24" i="25"/>
  <c r="G24" i="25" s="1"/>
  <c r="H24" i="25" s="1"/>
  <c r="F16" i="25"/>
  <c r="G16" i="25" s="1"/>
  <c r="H16" i="25" s="1"/>
  <c r="F2" i="25"/>
  <c r="F3" i="25"/>
  <c r="F17" i="25"/>
  <c r="G17" i="25" s="1"/>
  <c r="H17" i="25" s="1"/>
  <c r="F15" i="25"/>
  <c r="F13" i="25"/>
  <c r="G13" i="25" s="1"/>
  <c r="H13" i="25" s="1"/>
  <c r="F14" i="25"/>
  <c r="G14" i="25" s="1"/>
  <c r="H14" i="25" s="1"/>
  <c r="F12" i="25"/>
  <c r="G12" i="25" s="1"/>
  <c r="H12" i="25" s="1"/>
  <c r="F6" i="25"/>
  <c r="G6" i="25" s="1"/>
  <c r="H6" i="25" s="1"/>
  <c r="I6" i="25" s="1"/>
  <c r="AN6" i="48" s="1"/>
  <c r="F4" i="25"/>
  <c r="G4" i="25" s="1"/>
  <c r="H4" i="25" s="1"/>
  <c r="F11" i="25"/>
  <c r="G19" i="23"/>
  <c r="G12" i="23"/>
  <c r="G7" i="23"/>
  <c r="G12" i="24"/>
  <c r="G8" i="24"/>
  <c r="G6" i="24"/>
  <c r="G8" i="23"/>
  <c r="G6" i="23"/>
  <c r="AO26" i="19"/>
  <c r="AH11" i="19"/>
  <c r="AH66" i="19"/>
  <c r="G7" i="24"/>
  <c r="AK7" i="48" s="1"/>
  <c r="AY7" i="48" s="1"/>
  <c r="F73" i="24"/>
  <c r="F21" i="24"/>
  <c r="G34" i="24"/>
  <c r="G15" i="24"/>
  <c r="G11" i="24"/>
  <c r="F44" i="24"/>
  <c r="F58" i="24"/>
  <c r="F61" i="24"/>
  <c r="AE61" i="48" s="1"/>
  <c r="G9" i="24"/>
  <c r="F49" i="24"/>
  <c r="AE49" i="48" s="1"/>
  <c r="G35" i="24"/>
  <c r="AJ35" i="19"/>
  <c r="F3" i="24"/>
  <c r="F70" i="24"/>
  <c r="AE70" i="48" s="1"/>
  <c r="G75" i="24"/>
  <c r="AJ75" i="19"/>
  <c r="G59" i="24"/>
  <c r="AJ59" i="19"/>
  <c r="F88" i="24"/>
  <c r="G37" i="24"/>
  <c r="AJ37" i="19"/>
  <c r="G21" i="24"/>
  <c r="AL21" i="48" s="1"/>
  <c r="G5" i="24"/>
  <c r="F85" i="24"/>
  <c r="G67" i="24"/>
  <c r="F48" i="24"/>
  <c r="AE48" i="48" s="1"/>
  <c r="G42" i="24"/>
  <c r="G18" i="24"/>
  <c r="F84" i="24"/>
  <c r="F57" i="24"/>
  <c r="AE57" i="48" s="1"/>
  <c r="F40" i="24"/>
  <c r="AE40" i="48" s="1"/>
  <c r="F24" i="24"/>
  <c r="AE24" i="48" s="1"/>
  <c r="F62" i="24"/>
  <c r="AE62" i="48" s="1"/>
  <c r="F50" i="24"/>
  <c r="AE50" i="48" s="1"/>
  <c r="F54" i="24"/>
  <c r="AE54" i="48" s="1"/>
  <c r="F10" i="24"/>
  <c r="G63" i="24"/>
  <c r="AJ63" i="19"/>
  <c r="G41" i="24"/>
  <c r="AJ41" i="19"/>
  <c r="F68" i="24"/>
  <c r="AE68" i="48" s="1"/>
  <c r="F74" i="24"/>
  <c r="AE74" i="48" s="1"/>
  <c r="G66" i="24"/>
  <c r="AJ66" i="19"/>
  <c r="G87" i="24"/>
  <c r="G71" i="24"/>
  <c r="AJ71" i="19"/>
  <c r="G55" i="24"/>
  <c r="AJ55" i="19"/>
  <c r="F77" i="24"/>
  <c r="AE77" i="48" s="1"/>
  <c r="G56" i="24"/>
  <c r="AJ56" i="19"/>
  <c r="G33" i="24"/>
  <c r="AJ33" i="19"/>
  <c r="F17" i="24"/>
  <c r="F81" i="24"/>
  <c r="F65" i="24"/>
  <c r="AE65" i="48" s="1"/>
  <c r="F64" i="24"/>
  <c r="AE64" i="48" s="1"/>
  <c r="F45" i="24"/>
  <c r="AE45" i="48" s="1"/>
  <c r="G39" i="24"/>
  <c r="AJ39" i="19"/>
  <c r="G31" i="24"/>
  <c r="AJ31" i="19"/>
  <c r="G23" i="24"/>
  <c r="AJ23" i="19"/>
  <c r="F52" i="24"/>
  <c r="AE52" i="48" s="1"/>
  <c r="F36" i="24"/>
  <c r="AE36" i="48" s="1"/>
  <c r="F20" i="24"/>
  <c r="F78" i="24"/>
  <c r="AE78" i="48" s="1"/>
  <c r="G47" i="24"/>
  <c r="AJ47" i="19"/>
  <c r="G25" i="24"/>
  <c r="AJ25" i="19"/>
  <c r="F69" i="24"/>
  <c r="AE69" i="48" s="1"/>
  <c r="G27" i="24"/>
  <c r="AJ27" i="19"/>
  <c r="F28" i="24"/>
  <c r="AE28" i="48" s="1"/>
  <c r="F4" i="24"/>
  <c r="G83" i="24"/>
  <c r="G51" i="24"/>
  <c r="AJ51" i="19"/>
  <c r="F72" i="24"/>
  <c r="AE72" i="48" s="1"/>
  <c r="F46" i="24"/>
  <c r="AE46" i="48" s="1"/>
  <c r="G29" i="24"/>
  <c r="AJ29" i="19"/>
  <c r="G13" i="24"/>
  <c r="F60" i="24"/>
  <c r="AE60" i="48" s="1"/>
  <c r="G80" i="24"/>
  <c r="F53" i="24"/>
  <c r="AE53" i="48" s="1"/>
  <c r="G30" i="24"/>
  <c r="G73" i="24"/>
  <c r="F32" i="24"/>
  <c r="AE32" i="48" s="1"/>
  <c r="F16" i="24"/>
  <c r="F86" i="24"/>
  <c r="F2" i="24"/>
  <c r="AD2" i="48" s="1"/>
  <c r="G20" i="23"/>
  <c r="F16" i="23"/>
  <c r="F26" i="23"/>
  <c r="AD26" i="48" s="1"/>
  <c r="F67" i="23"/>
  <c r="F39" i="23"/>
  <c r="F24" i="23"/>
  <c r="F56" i="23"/>
  <c r="F74" i="23"/>
  <c r="G64" i="23"/>
  <c r="F77" i="23"/>
  <c r="F65" i="23"/>
  <c r="F49" i="23"/>
  <c r="AD49" i="48" s="1"/>
  <c r="G32" i="23"/>
  <c r="F78" i="23"/>
  <c r="F58" i="23"/>
  <c r="G58" i="23" s="1"/>
  <c r="F81" i="23"/>
  <c r="F73" i="23"/>
  <c r="AD73" i="48" s="1"/>
  <c r="F61" i="23"/>
  <c r="F37" i="23"/>
  <c r="G65" i="23"/>
  <c r="G26" i="23"/>
  <c r="BD26" i="19" s="1"/>
  <c r="F17" i="23"/>
  <c r="G54" i="23"/>
  <c r="AI54" i="19"/>
  <c r="F11" i="23"/>
  <c r="F75" i="23"/>
  <c r="AD75" i="48" s="1"/>
  <c r="G51" i="23"/>
  <c r="AI51" i="19"/>
  <c r="F33" i="23"/>
  <c r="AD33" i="48" s="1"/>
  <c r="G4" i="23"/>
  <c r="G52" i="23"/>
  <c r="AI52" i="19"/>
  <c r="F36" i="23"/>
  <c r="AD36" i="48" s="1"/>
  <c r="F18" i="23"/>
  <c r="F68" i="23"/>
  <c r="AD68" i="48" s="1"/>
  <c r="F69" i="23"/>
  <c r="AD69" i="48" s="1"/>
  <c r="F41" i="23"/>
  <c r="AD41" i="48" s="1"/>
  <c r="F25" i="23"/>
  <c r="AD25" i="48" s="1"/>
  <c r="F29" i="23"/>
  <c r="AD29" i="48" s="1"/>
  <c r="F66" i="23"/>
  <c r="AD66" i="48" s="1"/>
  <c r="F50" i="23"/>
  <c r="AD50" i="48" s="1"/>
  <c r="G86" i="23"/>
  <c r="F83" i="23"/>
  <c r="F15" i="23"/>
  <c r="F31" i="23"/>
  <c r="AD31" i="48" s="1"/>
  <c r="G59" i="23"/>
  <c r="AI59" i="19"/>
  <c r="F45" i="23"/>
  <c r="AD45" i="48" s="1"/>
  <c r="F13" i="23"/>
  <c r="F35" i="23"/>
  <c r="AD35" i="48" s="1"/>
  <c r="G88" i="23"/>
  <c r="F71" i="23"/>
  <c r="AD71" i="48" s="1"/>
  <c r="F47" i="23"/>
  <c r="AD47" i="48" s="1"/>
  <c r="G28" i="23"/>
  <c r="AI28" i="19"/>
  <c r="G60" i="23"/>
  <c r="AI60" i="19"/>
  <c r="G48" i="23"/>
  <c r="AI48" i="19"/>
  <c r="G14" i="23"/>
  <c r="G81" i="23"/>
  <c r="G84" i="23"/>
  <c r="F63" i="23"/>
  <c r="AD63" i="48" s="1"/>
  <c r="F40" i="23"/>
  <c r="AD40" i="48" s="1"/>
  <c r="F57" i="23"/>
  <c r="AD57" i="48" s="1"/>
  <c r="F85" i="23"/>
  <c r="F5" i="23"/>
  <c r="F9" i="23"/>
  <c r="G62" i="23"/>
  <c r="AI62" i="19"/>
  <c r="G46" i="23"/>
  <c r="AI46" i="19"/>
  <c r="BD19" i="19"/>
  <c r="F87" i="23"/>
  <c r="G49" i="23"/>
  <c r="AI49" i="19"/>
  <c r="G70" i="23"/>
  <c r="AI70" i="19"/>
  <c r="G38" i="23"/>
  <c r="AI38" i="19"/>
  <c r="G67" i="23"/>
  <c r="G44" i="23"/>
  <c r="AK44" i="48" s="1"/>
  <c r="AY44" i="48" s="1"/>
  <c r="AI44" i="19"/>
  <c r="G30" i="23"/>
  <c r="AI30" i="19"/>
  <c r="G10" i="23"/>
  <c r="F80" i="23"/>
  <c r="F72" i="23"/>
  <c r="AD72" i="48" s="1"/>
  <c r="F55" i="23"/>
  <c r="AD55" i="48" s="1"/>
  <c r="G34" i="23"/>
  <c r="AI34" i="19"/>
  <c r="F53" i="23"/>
  <c r="AD53" i="48" s="1"/>
  <c r="F21" i="23"/>
  <c r="AD21" i="48" s="1"/>
  <c r="F3" i="23"/>
  <c r="G42" i="23"/>
  <c r="AI42" i="19"/>
  <c r="F23" i="23"/>
  <c r="AD23" i="48" s="1"/>
  <c r="AO51" i="19"/>
  <c r="AO53" i="19"/>
  <c r="AH45" i="19"/>
  <c r="AH35" i="19"/>
  <c r="AO47" i="19"/>
  <c r="AH47" i="19"/>
  <c r="AO33" i="19"/>
  <c r="AH33" i="19"/>
  <c r="AO4" i="19"/>
  <c r="AH5" i="19"/>
  <c r="AO75" i="19"/>
  <c r="AH75" i="19"/>
  <c r="AO59" i="19"/>
  <c r="AH59" i="19"/>
  <c r="AO19" i="19"/>
  <c r="AO8" i="19"/>
  <c r="AO42" i="19"/>
  <c r="AH17" i="19"/>
  <c r="AO63" i="19"/>
  <c r="AH63" i="19"/>
  <c r="AO55" i="19"/>
  <c r="AH55" i="19"/>
  <c r="AO41" i="19"/>
  <c r="AH41" i="19"/>
  <c r="AO25" i="19"/>
  <c r="AH25" i="19"/>
  <c r="AO39" i="19"/>
  <c r="AH39" i="19"/>
  <c r="AO31" i="19"/>
  <c r="AH31" i="19"/>
  <c r="AH13" i="19"/>
  <c r="AO6" i="19"/>
  <c r="AO71" i="19"/>
  <c r="AH71" i="19"/>
  <c r="AH51" i="19"/>
  <c r="AO37" i="19"/>
  <c r="AH37" i="19"/>
  <c r="AO12" i="19"/>
  <c r="AO23" i="19"/>
  <c r="AH23" i="19"/>
  <c r="AH9" i="19"/>
  <c r="F2" i="22"/>
  <c r="AC2" i="48" s="1"/>
  <c r="AN32" i="19"/>
  <c r="AG54" i="19"/>
  <c r="AN27" i="19"/>
  <c r="AN44" i="19"/>
  <c r="AN78" i="19"/>
  <c r="AN74" i="19"/>
  <c r="AN62" i="19"/>
  <c r="F2" i="21"/>
  <c r="AB2" i="48" s="1"/>
  <c r="AG73" i="19"/>
  <c r="AG33" i="19"/>
  <c r="AG50" i="19"/>
  <c r="AN5" i="19"/>
  <c r="AN60" i="19"/>
  <c r="AG60" i="19"/>
  <c r="AN66" i="19"/>
  <c r="AG66" i="19"/>
  <c r="AN40" i="19"/>
  <c r="AG40" i="19"/>
  <c r="AN19" i="19"/>
  <c r="AG78" i="19"/>
  <c r="AG21" i="19"/>
  <c r="AN51" i="19"/>
  <c r="AG51" i="19"/>
  <c r="AN33" i="19"/>
  <c r="AN72" i="19"/>
  <c r="AG72" i="19"/>
  <c r="AN46" i="19"/>
  <c r="AG46" i="19"/>
  <c r="AN42" i="19"/>
  <c r="AG42" i="19"/>
  <c r="AN8" i="19"/>
  <c r="AN28" i="19"/>
  <c r="AG28" i="19"/>
  <c r="AG20" i="19"/>
  <c r="AG32" i="19"/>
  <c r="AN4" i="19"/>
  <c r="F2" i="23"/>
  <c r="AR22" i="19"/>
  <c r="AM69" i="48" l="1"/>
  <c r="AQ69" i="19"/>
  <c r="I69" i="25"/>
  <c r="AN69" i="48" s="1"/>
  <c r="AM45" i="48"/>
  <c r="AQ45" i="19"/>
  <c r="I45" i="25"/>
  <c r="AN45" i="48" s="1"/>
  <c r="BD43" i="19"/>
  <c r="AQ10" i="19"/>
  <c r="I10" i="25"/>
  <c r="AN10" i="48" s="1"/>
  <c r="AM55" i="48"/>
  <c r="I55" i="25"/>
  <c r="AN55" i="48" s="1"/>
  <c r="AM53" i="48"/>
  <c r="I53" i="25"/>
  <c r="AN53" i="48" s="1"/>
  <c r="AM41" i="48"/>
  <c r="I41" i="25"/>
  <c r="AN41" i="48" s="1"/>
  <c r="AM40" i="48"/>
  <c r="I40" i="25"/>
  <c r="AN40" i="48" s="1"/>
  <c r="I15" i="44"/>
  <c r="AI2" i="19"/>
  <c r="AE2" i="48"/>
  <c r="AL80" i="48"/>
  <c r="AK25" i="48"/>
  <c r="AY25" i="48" s="1"/>
  <c r="AL25" i="48"/>
  <c r="AE81" i="48"/>
  <c r="AJ81" i="19"/>
  <c r="AL27" i="48"/>
  <c r="AK27" i="48"/>
  <c r="AY27" i="48" s="1"/>
  <c r="AL75" i="48"/>
  <c r="AK75" i="48"/>
  <c r="AY75" i="48" s="1"/>
  <c r="AJ58" i="19"/>
  <c r="AE58" i="48"/>
  <c r="AE86" i="48"/>
  <c r="AJ86" i="19"/>
  <c r="AL30" i="48"/>
  <c r="AK30" i="48"/>
  <c r="AY30" i="48" s="1"/>
  <c r="AP13" i="19"/>
  <c r="I14" i="45" s="1"/>
  <c r="AK13" i="48"/>
  <c r="AY13" i="48" s="1"/>
  <c r="AL47" i="48"/>
  <c r="AK47" i="48"/>
  <c r="AY47" i="48" s="1"/>
  <c r="AL31" i="48"/>
  <c r="AK31" i="48"/>
  <c r="AY31" i="48" s="1"/>
  <c r="AP31" i="19"/>
  <c r="AL71" i="48"/>
  <c r="G44" i="24"/>
  <c r="AE44" i="48"/>
  <c r="AJ21" i="19"/>
  <c r="AE21" i="48"/>
  <c r="AP6" i="19"/>
  <c r="I7" i="46" s="1"/>
  <c r="AK6" i="48"/>
  <c r="AY6" i="48" s="1"/>
  <c r="I15" i="45"/>
  <c r="I44" i="47"/>
  <c r="H43" i="28"/>
  <c r="I44" i="46"/>
  <c r="I44" i="45"/>
  <c r="I44" i="44"/>
  <c r="AK29" i="48"/>
  <c r="AY29" i="48" s="1"/>
  <c r="AL29" i="48"/>
  <c r="AL23" i="48"/>
  <c r="AK23" i="48"/>
  <c r="AY23" i="48" s="1"/>
  <c r="AL73" i="48"/>
  <c r="AK73" i="48"/>
  <c r="AY73" i="48" s="1"/>
  <c r="AL83" i="48"/>
  <c r="AI17" i="19"/>
  <c r="AD17" i="48"/>
  <c r="AI16" i="19"/>
  <c r="AD16" i="48"/>
  <c r="AL33" i="48"/>
  <c r="AK33" i="48"/>
  <c r="AY33" i="48" s="1"/>
  <c r="AP33" i="19"/>
  <c r="AL87" i="48"/>
  <c r="AL63" i="48"/>
  <c r="AK63" i="48"/>
  <c r="AY63" i="48" s="1"/>
  <c r="AP63" i="19"/>
  <c r="AE84" i="48"/>
  <c r="AJ84" i="19"/>
  <c r="AL67" i="48"/>
  <c r="AK67" i="48"/>
  <c r="AY67" i="48" s="1"/>
  <c r="AP67" i="19"/>
  <c r="AL59" i="48"/>
  <c r="AK59" i="48"/>
  <c r="AY59" i="48" s="1"/>
  <c r="AD3" i="48"/>
  <c r="AI3" i="19"/>
  <c r="AP11" i="19"/>
  <c r="AK11" i="48"/>
  <c r="AY11" i="48" s="1"/>
  <c r="AJ73" i="19"/>
  <c r="AE73" i="48"/>
  <c r="AP8" i="19"/>
  <c r="I18" i="44" s="1"/>
  <c r="AK8" i="48"/>
  <c r="AY8" i="48" s="1"/>
  <c r="AL51" i="48"/>
  <c r="AK51" i="48"/>
  <c r="AY51" i="48" s="1"/>
  <c r="AP51" i="19"/>
  <c r="AI20" i="19"/>
  <c r="AE20" i="48"/>
  <c r="AD20" i="48"/>
  <c r="AL39" i="48"/>
  <c r="AL55" i="48"/>
  <c r="AK55" i="48"/>
  <c r="AY55" i="48" s="1"/>
  <c r="AP55" i="19"/>
  <c r="AP18" i="19"/>
  <c r="AK18" i="48"/>
  <c r="AY18" i="48" s="1"/>
  <c r="AE85" i="48"/>
  <c r="AJ85" i="19"/>
  <c r="AK37" i="48"/>
  <c r="AY37" i="48" s="1"/>
  <c r="AL37" i="48"/>
  <c r="AP15" i="19"/>
  <c r="AK15" i="48"/>
  <c r="AY15" i="48" s="1"/>
  <c r="I27" i="45"/>
  <c r="I27" i="46"/>
  <c r="I27" i="44"/>
  <c r="I27" i="47"/>
  <c r="H26" i="28"/>
  <c r="I77" i="47"/>
  <c r="H76" i="28"/>
  <c r="I77" i="46"/>
  <c r="I77" i="45"/>
  <c r="I77" i="44"/>
  <c r="I20" i="46"/>
  <c r="H19" i="28"/>
  <c r="I20" i="45"/>
  <c r="I20" i="44"/>
  <c r="I20" i="47"/>
  <c r="BD67" i="19"/>
  <c r="AL56" i="48"/>
  <c r="AL66" i="48"/>
  <c r="AL41" i="48"/>
  <c r="AK41" i="48"/>
  <c r="AY41" i="48" s="1"/>
  <c r="AL42" i="48"/>
  <c r="AK42" i="48"/>
  <c r="AY42" i="48" s="1"/>
  <c r="AP42" i="19"/>
  <c r="BD42" i="19" s="1"/>
  <c r="AE88" i="48"/>
  <c r="AJ88" i="19"/>
  <c r="AL35" i="48"/>
  <c r="AL34" i="48"/>
  <c r="AK34" i="48"/>
  <c r="AY34" i="48" s="1"/>
  <c r="AP34" i="19"/>
  <c r="AL38" i="48"/>
  <c r="BD79" i="19"/>
  <c r="I80" i="44"/>
  <c r="I80" i="47"/>
  <c r="H79" i="28"/>
  <c r="I80" i="46"/>
  <c r="I80" i="45"/>
  <c r="I29" i="25"/>
  <c r="AN29" i="48" s="1"/>
  <c r="AM29" i="48"/>
  <c r="I88" i="25"/>
  <c r="AM88" i="48"/>
  <c r="AR88" i="19"/>
  <c r="I56" i="25"/>
  <c r="AN56" i="48" s="1"/>
  <c r="AM56" i="48"/>
  <c r="I21" i="25"/>
  <c r="AN21" i="48" s="1"/>
  <c r="AM21" i="48"/>
  <c r="J23" i="47"/>
  <c r="J23" i="46"/>
  <c r="J23" i="45"/>
  <c r="J23" i="44"/>
  <c r="I22" i="28"/>
  <c r="AD85" i="48"/>
  <c r="AI85" i="19"/>
  <c r="AP4" i="19"/>
  <c r="AK4" i="48"/>
  <c r="AY4" i="48" s="1"/>
  <c r="AJ17" i="19"/>
  <c r="AE17" i="48"/>
  <c r="I7" i="47"/>
  <c r="I7" i="44"/>
  <c r="H6" i="28"/>
  <c r="AJ15" i="19"/>
  <c r="AE15" i="48"/>
  <c r="I19" i="47"/>
  <c r="I19" i="46"/>
  <c r="I19" i="45"/>
  <c r="I19" i="44"/>
  <c r="H18" i="28"/>
  <c r="AD80" i="48"/>
  <c r="AI80" i="19"/>
  <c r="AK38" i="48"/>
  <c r="AY38" i="48" s="1"/>
  <c r="AP38" i="19"/>
  <c r="BD38" i="19" s="1"/>
  <c r="AI5" i="19"/>
  <c r="AD5" i="48"/>
  <c r="AK88" i="48"/>
  <c r="AY88" i="48" s="1"/>
  <c r="AP88" i="19"/>
  <c r="AD83" i="48"/>
  <c r="AI83" i="19"/>
  <c r="AK52" i="48"/>
  <c r="AY52" i="48" s="1"/>
  <c r="AP52" i="19"/>
  <c r="BD52" i="19" s="1"/>
  <c r="AD81" i="48"/>
  <c r="AI81" i="19"/>
  <c r="G74" i="23"/>
  <c r="AK74" i="48" s="1"/>
  <c r="AY74" i="48" s="1"/>
  <c r="AD74" i="48"/>
  <c r="AI67" i="19"/>
  <c r="AD67" i="48"/>
  <c r="I4" i="25"/>
  <c r="AN4" i="48" s="1"/>
  <c r="AL4" i="48"/>
  <c r="AM4" i="48"/>
  <c r="I13" i="25"/>
  <c r="AN13" i="48" s="1"/>
  <c r="AM13" i="48"/>
  <c r="AL13" i="48"/>
  <c r="I27" i="25"/>
  <c r="AN27" i="48" s="1"/>
  <c r="AM27" i="48"/>
  <c r="I47" i="25"/>
  <c r="AN47" i="48" s="1"/>
  <c r="AM47" i="48"/>
  <c r="I68" i="25"/>
  <c r="AN68" i="48" s="1"/>
  <c r="AM68" i="48"/>
  <c r="I73" i="25"/>
  <c r="AN73" i="48" s="1"/>
  <c r="AM73" i="48"/>
  <c r="I32" i="25"/>
  <c r="AN32" i="48" s="1"/>
  <c r="AM32" i="48"/>
  <c r="AL7" i="48"/>
  <c r="AM7" i="48"/>
  <c r="I39" i="25"/>
  <c r="AN39" i="48" s="1"/>
  <c r="AM39" i="48"/>
  <c r="AM86" i="48"/>
  <c r="AR86" i="19"/>
  <c r="AM19" i="48"/>
  <c r="AL19" i="48"/>
  <c r="AM84" i="48"/>
  <c r="AR84" i="19"/>
  <c r="AN79" i="48"/>
  <c r="AS79" i="19"/>
  <c r="I8" i="25"/>
  <c r="AN8" i="48" s="1"/>
  <c r="AL8" i="48"/>
  <c r="AM8" i="48"/>
  <c r="I50" i="25"/>
  <c r="AN50" i="48" s="1"/>
  <c r="AM50" i="48"/>
  <c r="AM82" i="48"/>
  <c r="AR82" i="19"/>
  <c r="AN83" i="48"/>
  <c r="AS83" i="19"/>
  <c r="I30" i="25"/>
  <c r="AN30" i="48" s="1"/>
  <c r="AM30" i="48"/>
  <c r="AN85" i="48"/>
  <c r="AS85" i="19"/>
  <c r="I17" i="25"/>
  <c r="AN17" i="48" s="1"/>
  <c r="AM17" i="48"/>
  <c r="AL17" i="48"/>
  <c r="AN84" i="48"/>
  <c r="AS84" i="19"/>
  <c r="AM81" i="48"/>
  <c r="AR81" i="19"/>
  <c r="AM11" i="48"/>
  <c r="AL11" i="48"/>
  <c r="I60" i="25"/>
  <c r="AN60" i="48" s="1"/>
  <c r="AM60" i="48"/>
  <c r="I78" i="25"/>
  <c r="AN78" i="48" s="1"/>
  <c r="AM78" i="48"/>
  <c r="AP10" i="19"/>
  <c r="BD10" i="19" s="1"/>
  <c r="AK10" i="48"/>
  <c r="AY10" i="48" s="1"/>
  <c r="AI58" i="19"/>
  <c r="AD58" i="48"/>
  <c r="AI65" i="19"/>
  <c r="AD65" i="48"/>
  <c r="AP12" i="19"/>
  <c r="AK12" i="48"/>
  <c r="AY12" i="48" s="1"/>
  <c r="I58" i="25"/>
  <c r="AN58" i="48" s="1"/>
  <c r="AM58" i="48"/>
  <c r="I38" i="25"/>
  <c r="AN38" i="48" s="1"/>
  <c r="AM38" i="48"/>
  <c r="AM80" i="48"/>
  <c r="AR80" i="19"/>
  <c r="AL3" i="48"/>
  <c r="AM3" i="48"/>
  <c r="AN87" i="48"/>
  <c r="AS87" i="19"/>
  <c r="I23" i="25"/>
  <c r="AN23" i="48" s="1"/>
  <c r="AM23" i="48"/>
  <c r="AK81" i="48"/>
  <c r="AY81" i="48" s="1"/>
  <c r="AP81" i="19"/>
  <c r="AJ13" i="19"/>
  <c r="AE13" i="48"/>
  <c r="AJ11" i="19"/>
  <c r="AE11" i="48"/>
  <c r="AI26" i="19"/>
  <c r="AI61" i="19"/>
  <c r="AD61" i="48"/>
  <c r="AI78" i="19"/>
  <c r="AD78" i="48"/>
  <c r="G77" i="23"/>
  <c r="AD77" i="48"/>
  <c r="AI24" i="19"/>
  <c r="AD24" i="48"/>
  <c r="AJ16" i="19"/>
  <c r="AE16" i="48"/>
  <c r="I12" i="47"/>
  <c r="I12" i="46"/>
  <c r="I12" i="45"/>
  <c r="I12" i="44"/>
  <c r="H11" i="28"/>
  <c r="I28" i="47"/>
  <c r="I28" i="46"/>
  <c r="I28" i="45"/>
  <c r="H8" i="28"/>
  <c r="I24" i="25"/>
  <c r="AN24" i="48" s="1"/>
  <c r="AM24" i="48"/>
  <c r="I59" i="25"/>
  <c r="AN59" i="48" s="1"/>
  <c r="AM59" i="48"/>
  <c r="I43" i="25"/>
  <c r="AN43" i="48" s="1"/>
  <c r="AM43" i="48"/>
  <c r="AN80" i="48"/>
  <c r="AS80" i="19"/>
  <c r="I77" i="25"/>
  <c r="AN77" i="48" s="1"/>
  <c r="AM77" i="48"/>
  <c r="AM6" i="48"/>
  <c r="AL6" i="48"/>
  <c r="AM87" i="48"/>
  <c r="AR87" i="19"/>
  <c r="I57" i="25"/>
  <c r="AN57" i="48" s="1"/>
  <c r="AM57" i="48"/>
  <c r="I74" i="25"/>
  <c r="AN74" i="48" s="1"/>
  <c r="AM74" i="48"/>
  <c r="AM79" i="48"/>
  <c r="AR79" i="19"/>
  <c r="AN81" i="48"/>
  <c r="AS81" i="19"/>
  <c r="AM10" i="48"/>
  <c r="AL10" i="48"/>
  <c r="AM83" i="48"/>
  <c r="AR83" i="19"/>
  <c r="I37" i="25"/>
  <c r="AN37" i="48" s="1"/>
  <c r="AM37" i="48"/>
  <c r="AM15" i="48"/>
  <c r="AL15" i="48"/>
  <c r="AD87" i="48"/>
  <c r="AI87" i="19"/>
  <c r="AK84" i="48"/>
  <c r="AY84" i="48" s="1"/>
  <c r="AP84" i="19"/>
  <c r="AK28" i="48"/>
  <c r="AY28" i="48" s="1"/>
  <c r="AP28" i="19"/>
  <c r="AK86" i="48"/>
  <c r="AY86" i="48" s="1"/>
  <c r="AP86" i="19"/>
  <c r="AJ18" i="19"/>
  <c r="AE18" i="48"/>
  <c r="AI37" i="19"/>
  <c r="AD37" i="48"/>
  <c r="AI56" i="19"/>
  <c r="AD56" i="48"/>
  <c r="I16" i="25"/>
  <c r="AN16" i="48" s="1"/>
  <c r="AL16" i="48"/>
  <c r="AM16" i="48"/>
  <c r="AI9" i="19"/>
  <c r="AD9" i="48"/>
  <c r="AI39" i="19"/>
  <c r="AD39" i="48"/>
  <c r="I16" i="47"/>
  <c r="I16" i="46"/>
  <c r="I16" i="45"/>
  <c r="I16" i="44"/>
  <c r="H15" i="28"/>
  <c r="I14" i="25"/>
  <c r="AN14" i="48" s="1"/>
  <c r="AM14" i="48"/>
  <c r="AL14" i="48"/>
  <c r="I25" i="25"/>
  <c r="AN25" i="48" s="1"/>
  <c r="AM25" i="48"/>
  <c r="I62" i="25"/>
  <c r="AN62" i="48" s="1"/>
  <c r="AM62" i="48"/>
  <c r="I9" i="25"/>
  <c r="AN9" i="48" s="1"/>
  <c r="AM9" i="48"/>
  <c r="AL9" i="48"/>
  <c r="I66" i="25"/>
  <c r="AN66" i="48" s="1"/>
  <c r="AM66" i="48"/>
  <c r="I5" i="25"/>
  <c r="AN5" i="48" s="1"/>
  <c r="AM5" i="48"/>
  <c r="AL5" i="48"/>
  <c r="I44" i="25"/>
  <c r="AN44" i="48" s="1"/>
  <c r="AM44" i="48"/>
  <c r="I61" i="25"/>
  <c r="AN61" i="48" s="1"/>
  <c r="AM61" i="48"/>
  <c r="I12" i="25"/>
  <c r="AN12" i="48" s="1"/>
  <c r="AL12" i="48"/>
  <c r="AM12" i="48"/>
  <c r="AN86" i="48"/>
  <c r="AS86" i="19"/>
  <c r="AM18" i="48"/>
  <c r="AL18" i="48"/>
  <c r="AN82" i="48"/>
  <c r="AS82" i="19"/>
  <c r="AM85" i="48"/>
  <c r="AR85" i="19"/>
  <c r="BC12" i="19"/>
  <c r="H13" i="47"/>
  <c r="H13" i="46"/>
  <c r="H13" i="45"/>
  <c r="H13" i="44"/>
  <c r="G12" i="28"/>
  <c r="BC53" i="19"/>
  <c r="H54" i="47"/>
  <c r="H54" i="46"/>
  <c r="H54" i="45"/>
  <c r="H54" i="44"/>
  <c r="G53" i="28"/>
  <c r="BC71" i="19"/>
  <c r="H72" i="47"/>
  <c r="H72" i="46"/>
  <c r="H72" i="45"/>
  <c r="H72" i="44"/>
  <c r="G71" i="28"/>
  <c r="BC31" i="19"/>
  <c r="H32" i="47"/>
  <c r="H32" i="46"/>
  <c r="H32" i="45"/>
  <c r="H32" i="44"/>
  <c r="G31" i="28"/>
  <c r="BC25" i="19"/>
  <c r="H26" i="46"/>
  <c r="H26" i="47"/>
  <c r="H26" i="45"/>
  <c r="H30" i="44"/>
  <c r="G25" i="28"/>
  <c r="BC55" i="19"/>
  <c r="H56" i="47"/>
  <c r="H56" i="46"/>
  <c r="H56" i="45"/>
  <c r="H56" i="44"/>
  <c r="G55" i="28"/>
  <c r="BC42" i="19"/>
  <c r="H43" i="47"/>
  <c r="H43" i="46"/>
  <c r="H43" i="45"/>
  <c r="H43" i="44"/>
  <c r="G42" i="28"/>
  <c r="BC59" i="19"/>
  <c r="H60" i="47"/>
  <c r="H60" i="46"/>
  <c r="H60" i="45"/>
  <c r="H26" i="44"/>
  <c r="G59" i="28"/>
  <c r="BC4" i="19"/>
  <c r="H5" i="47"/>
  <c r="H5" i="46"/>
  <c r="H5" i="45"/>
  <c r="H116" i="44"/>
  <c r="G4" i="28"/>
  <c r="BC47" i="19"/>
  <c r="H48" i="47"/>
  <c r="H48" i="46"/>
  <c r="H48" i="45"/>
  <c r="H48" i="44"/>
  <c r="G47" i="28"/>
  <c r="BC51" i="19"/>
  <c r="H52" i="47"/>
  <c r="H52" i="46"/>
  <c r="H52" i="45"/>
  <c r="H52" i="44"/>
  <c r="G51" i="28"/>
  <c r="BC37" i="19"/>
  <c r="H38" i="47"/>
  <c r="H38" i="46"/>
  <c r="H38" i="45"/>
  <c r="H38" i="44"/>
  <c r="G37" i="28"/>
  <c r="BC6" i="19"/>
  <c r="H7" i="47"/>
  <c r="H7" i="46"/>
  <c r="H7" i="45"/>
  <c r="H7" i="44"/>
  <c r="G6" i="28"/>
  <c r="BC8" i="19"/>
  <c r="H28" i="47"/>
  <c r="H28" i="46"/>
  <c r="H28" i="45"/>
  <c r="H18" i="44"/>
  <c r="G8" i="28"/>
  <c r="BC23" i="19"/>
  <c r="H9" i="47"/>
  <c r="H9" i="46"/>
  <c r="H9" i="45"/>
  <c r="H5" i="44"/>
  <c r="G23" i="28"/>
  <c r="BC39" i="19"/>
  <c r="H40" i="47"/>
  <c r="H40" i="46"/>
  <c r="H40" i="45"/>
  <c r="H40" i="44"/>
  <c r="G39" i="28"/>
  <c r="BC41" i="19"/>
  <c r="H42" i="46"/>
  <c r="H42" i="47"/>
  <c r="H42" i="45"/>
  <c r="H42" i="44"/>
  <c r="G41" i="28"/>
  <c r="BC63" i="19"/>
  <c r="H64" i="47"/>
  <c r="H64" i="46"/>
  <c r="H64" i="45"/>
  <c r="H64" i="44"/>
  <c r="G63" i="28"/>
  <c r="BC19" i="19"/>
  <c r="H20" i="47"/>
  <c r="H20" i="46"/>
  <c r="H20" i="45"/>
  <c r="H20" i="44"/>
  <c r="G19" i="28"/>
  <c r="BC75" i="19"/>
  <c r="H76" i="47"/>
  <c r="H76" i="46"/>
  <c r="H76" i="45"/>
  <c r="H76" i="44"/>
  <c r="G75" i="28"/>
  <c r="BC33" i="19"/>
  <c r="H34" i="46"/>
  <c r="H34" i="47"/>
  <c r="H34" i="45"/>
  <c r="H34" i="44"/>
  <c r="G33" i="28"/>
  <c r="BC26" i="19"/>
  <c r="H27" i="47"/>
  <c r="H27" i="46"/>
  <c r="H27" i="45"/>
  <c r="H27" i="44"/>
  <c r="G26" i="28"/>
  <c r="BB4" i="19"/>
  <c r="G5" i="45"/>
  <c r="G5" i="46"/>
  <c r="G5" i="47"/>
  <c r="G116" i="44"/>
  <c r="F4" i="28"/>
  <c r="BB28" i="19"/>
  <c r="G29" i="45"/>
  <c r="G29" i="46"/>
  <c r="G29" i="47"/>
  <c r="G29" i="44"/>
  <c r="F28" i="28"/>
  <c r="BB33" i="19"/>
  <c r="G34" i="47"/>
  <c r="G34" i="45"/>
  <c r="G34" i="46"/>
  <c r="G34" i="44"/>
  <c r="F33" i="28"/>
  <c r="BB5" i="19"/>
  <c r="G6" i="47"/>
  <c r="G6" i="45"/>
  <c r="G6" i="46"/>
  <c r="G6" i="44"/>
  <c r="F5" i="28"/>
  <c r="BB44" i="19"/>
  <c r="G45" i="46"/>
  <c r="G45" i="45"/>
  <c r="G45" i="47"/>
  <c r="G45" i="44"/>
  <c r="F44" i="28"/>
  <c r="BB8" i="19"/>
  <c r="G28" i="45"/>
  <c r="G28" i="46"/>
  <c r="G28" i="47"/>
  <c r="G18" i="44"/>
  <c r="F8" i="28"/>
  <c r="BB46" i="19"/>
  <c r="G47" i="46"/>
  <c r="G47" i="47"/>
  <c r="G47" i="45"/>
  <c r="G47" i="44"/>
  <c r="F46" i="28"/>
  <c r="BB19" i="19"/>
  <c r="G20" i="45"/>
  <c r="G20" i="47"/>
  <c r="G20" i="46"/>
  <c r="G20" i="44"/>
  <c r="F19" i="28"/>
  <c r="BB66" i="19"/>
  <c r="G67" i="46"/>
  <c r="G67" i="47"/>
  <c r="G67" i="45"/>
  <c r="G67" i="44"/>
  <c r="F66" i="28"/>
  <c r="BB62" i="19"/>
  <c r="G63" i="46"/>
  <c r="G63" i="47"/>
  <c r="G63" i="45"/>
  <c r="G63" i="44"/>
  <c r="F62" i="28"/>
  <c r="BB27" i="19"/>
  <c r="G116" i="45"/>
  <c r="G116" i="46"/>
  <c r="G116" i="47"/>
  <c r="G59" i="44"/>
  <c r="F27" i="28"/>
  <c r="BB51" i="19"/>
  <c r="G52" i="45"/>
  <c r="G52" i="47"/>
  <c r="G52" i="46"/>
  <c r="G52" i="44"/>
  <c r="F51" i="28"/>
  <c r="BB74" i="19"/>
  <c r="G75" i="46"/>
  <c r="G75" i="47"/>
  <c r="G75" i="45"/>
  <c r="G75" i="44"/>
  <c r="F74" i="28"/>
  <c r="BB42" i="19"/>
  <c r="G43" i="46"/>
  <c r="G43" i="47"/>
  <c r="G43" i="45"/>
  <c r="G43" i="44"/>
  <c r="F42" i="28"/>
  <c r="BB72" i="19"/>
  <c r="G73" i="46"/>
  <c r="G73" i="45"/>
  <c r="G73" i="47"/>
  <c r="G73" i="44"/>
  <c r="F72" i="28"/>
  <c r="BB40" i="19"/>
  <c r="G41" i="45"/>
  <c r="G41" i="46"/>
  <c r="G41" i="47"/>
  <c r="G41" i="44"/>
  <c r="F40" i="28"/>
  <c r="BB60" i="19"/>
  <c r="G61" i="46"/>
  <c r="G61" i="45"/>
  <c r="G61" i="47"/>
  <c r="G60" i="44"/>
  <c r="F60" i="28"/>
  <c r="BB78" i="19"/>
  <c r="G79" i="46"/>
  <c r="G79" i="47"/>
  <c r="G79" i="45"/>
  <c r="G79" i="44"/>
  <c r="F78" i="28"/>
  <c r="BB32" i="19"/>
  <c r="G33" i="46"/>
  <c r="G33" i="45"/>
  <c r="G33" i="47"/>
  <c r="G33" i="44"/>
  <c r="F32" i="28"/>
  <c r="I20" i="25"/>
  <c r="AN20" i="48" s="1"/>
  <c r="AR20" i="19"/>
  <c r="AP75" i="19"/>
  <c r="AP73" i="19"/>
  <c r="AP59" i="19"/>
  <c r="G58" i="24"/>
  <c r="AP47" i="19"/>
  <c r="AP41" i="19"/>
  <c r="AP37" i="19"/>
  <c r="AP30" i="19"/>
  <c r="AP29" i="19"/>
  <c r="AP27" i="19"/>
  <c r="AP25" i="19"/>
  <c r="AP23" i="19"/>
  <c r="G78" i="23"/>
  <c r="AI77" i="19"/>
  <c r="AP74" i="19"/>
  <c r="G61" i="23"/>
  <c r="G56" i="23"/>
  <c r="AK56" i="48" s="1"/>
  <c r="AY56" i="48" s="1"/>
  <c r="AP44" i="19"/>
  <c r="G39" i="23"/>
  <c r="AK39" i="48" s="1"/>
  <c r="AY39" i="48" s="1"/>
  <c r="G37" i="23"/>
  <c r="G16" i="23"/>
  <c r="AJ2" i="19"/>
  <c r="BD8" i="19"/>
  <c r="AP7" i="19"/>
  <c r="AR6" i="19"/>
  <c r="AS6" i="19"/>
  <c r="BD6" i="19"/>
  <c r="AJ44" i="19"/>
  <c r="G24" i="23"/>
  <c r="AO45" i="19"/>
  <c r="AO66" i="19"/>
  <c r="AO35" i="19"/>
  <c r="AO11" i="19"/>
  <c r="AN54" i="19"/>
  <c r="AS69" i="19"/>
  <c r="AR45" i="19"/>
  <c r="AS22" i="19"/>
  <c r="AS70" i="19"/>
  <c r="G53" i="24"/>
  <c r="AJ53" i="19"/>
  <c r="G60" i="24"/>
  <c r="AJ60" i="19"/>
  <c r="G72" i="24"/>
  <c r="AJ72" i="19"/>
  <c r="G28" i="24"/>
  <c r="AJ28" i="19"/>
  <c r="G69" i="24"/>
  <c r="AJ69" i="19"/>
  <c r="G36" i="24"/>
  <c r="AJ36" i="19"/>
  <c r="G64" i="24"/>
  <c r="AJ64" i="19"/>
  <c r="G81" i="24"/>
  <c r="G62" i="24"/>
  <c r="AJ62" i="19"/>
  <c r="G40" i="24"/>
  <c r="AJ40" i="19"/>
  <c r="G84" i="24"/>
  <c r="G48" i="24"/>
  <c r="AJ48" i="19"/>
  <c r="G86" i="24"/>
  <c r="G32" i="24"/>
  <c r="AJ32" i="19"/>
  <c r="G17" i="24"/>
  <c r="G74" i="24"/>
  <c r="AJ74" i="19"/>
  <c r="G54" i="24"/>
  <c r="AJ54" i="19"/>
  <c r="G70" i="24"/>
  <c r="AJ70" i="19"/>
  <c r="G3" i="24"/>
  <c r="G46" i="24"/>
  <c r="AJ46" i="19"/>
  <c r="G4" i="24"/>
  <c r="G78" i="24"/>
  <c r="AJ78" i="19"/>
  <c r="G20" i="24"/>
  <c r="AJ20" i="19"/>
  <c r="G52" i="24"/>
  <c r="AJ52" i="19"/>
  <c r="G45" i="24"/>
  <c r="AJ45" i="19"/>
  <c r="G65" i="24"/>
  <c r="AJ65" i="19"/>
  <c r="AJ50" i="19"/>
  <c r="G50" i="24"/>
  <c r="G24" i="24"/>
  <c r="AJ24" i="19"/>
  <c r="G57" i="24"/>
  <c r="AJ57" i="19"/>
  <c r="G16" i="24"/>
  <c r="G77" i="24"/>
  <c r="AJ77" i="19"/>
  <c r="G68" i="24"/>
  <c r="AJ68" i="19"/>
  <c r="G10" i="24"/>
  <c r="G85" i="24"/>
  <c r="G88" i="24"/>
  <c r="G49" i="24"/>
  <c r="AJ49" i="19"/>
  <c r="G61" i="24"/>
  <c r="AJ61" i="19"/>
  <c r="G2" i="24"/>
  <c r="AK2" i="48" s="1"/>
  <c r="AY2" i="48" s="1"/>
  <c r="AI74" i="19"/>
  <c r="AI73" i="19"/>
  <c r="G73" i="23"/>
  <c r="G55" i="23"/>
  <c r="AI55" i="19"/>
  <c r="G11" i="23"/>
  <c r="G17" i="23"/>
  <c r="G50" i="23"/>
  <c r="AI50" i="19"/>
  <c r="G25" i="23"/>
  <c r="AI25" i="19"/>
  <c r="G69" i="23"/>
  <c r="AK69" i="48" s="1"/>
  <c r="AY69" i="48" s="1"/>
  <c r="AI69" i="19"/>
  <c r="G68" i="23"/>
  <c r="AI68" i="19"/>
  <c r="G3" i="23"/>
  <c r="G80" i="23"/>
  <c r="G87" i="23"/>
  <c r="G57" i="23"/>
  <c r="AI57" i="19"/>
  <c r="G35" i="23"/>
  <c r="AI35" i="19"/>
  <c r="G15" i="23"/>
  <c r="BD4" i="19"/>
  <c r="G21" i="23"/>
  <c r="AI21" i="19"/>
  <c r="G72" i="23"/>
  <c r="AI72" i="19"/>
  <c r="G9" i="23"/>
  <c r="G85" i="23"/>
  <c r="G40" i="23"/>
  <c r="AI40" i="19"/>
  <c r="G13" i="23"/>
  <c r="AI31" i="19"/>
  <c r="G31" i="23"/>
  <c r="BD31" i="19" s="1"/>
  <c r="G83" i="23"/>
  <c r="G66" i="23"/>
  <c r="AK66" i="48" s="1"/>
  <c r="AY66" i="48" s="1"/>
  <c r="AI66" i="19"/>
  <c r="G18" i="23"/>
  <c r="G75" i="23"/>
  <c r="AI75" i="19"/>
  <c r="AI23" i="19"/>
  <c r="G23" i="23"/>
  <c r="BD23" i="19" s="1"/>
  <c r="G53" i="23"/>
  <c r="AI53" i="19"/>
  <c r="G5" i="23"/>
  <c r="G63" i="23"/>
  <c r="BD63" i="19" s="1"/>
  <c r="AI63" i="19"/>
  <c r="BD14" i="19"/>
  <c r="G71" i="23"/>
  <c r="AI71" i="19"/>
  <c r="G45" i="23"/>
  <c r="AK45" i="48" s="1"/>
  <c r="AY45" i="48" s="1"/>
  <c r="AI45" i="19"/>
  <c r="G47" i="23"/>
  <c r="AI47" i="19"/>
  <c r="G29" i="23"/>
  <c r="AI29" i="19"/>
  <c r="G41" i="23"/>
  <c r="BD41" i="19" s="1"/>
  <c r="AI41" i="19"/>
  <c r="AI36" i="19"/>
  <c r="G36" i="23"/>
  <c r="G33" i="23"/>
  <c r="BD33" i="19" s="1"/>
  <c r="AI33" i="19"/>
  <c r="AH53" i="19"/>
  <c r="AH16" i="19"/>
  <c r="AH28" i="19"/>
  <c r="AO28" i="19"/>
  <c r="AO78" i="19"/>
  <c r="AH78" i="19"/>
  <c r="AH3" i="19"/>
  <c r="AH14" i="19"/>
  <c r="AO17" i="19"/>
  <c r="AO58" i="19"/>
  <c r="AH58" i="19"/>
  <c r="AH38" i="19"/>
  <c r="AO38" i="19"/>
  <c r="AO24" i="19"/>
  <c r="AH24" i="19"/>
  <c r="AO57" i="19"/>
  <c r="AH57" i="19"/>
  <c r="AH15" i="19"/>
  <c r="AO54" i="19"/>
  <c r="AH54" i="19"/>
  <c r="AO74" i="19"/>
  <c r="AH74" i="19"/>
  <c r="AO67" i="19"/>
  <c r="AH67" i="19"/>
  <c r="AH20" i="19"/>
  <c r="AH18" i="19"/>
  <c r="AO64" i="19"/>
  <c r="AH64" i="19"/>
  <c r="AO29" i="19"/>
  <c r="AH29" i="19"/>
  <c r="AO32" i="19"/>
  <c r="AH32" i="19"/>
  <c r="AH7" i="19"/>
  <c r="AO49" i="19"/>
  <c r="AH49" i="19"/>
  <c r="AO60" i="19"/>
  <c r="AH60" i="19"/>
  <c r="AO77" i="19"/>
  <c r="AH77" i="19"/>
  <c r="AH21" i="19"/>
  <c r="AO69" i="19"/>
  <c r="AH69" i="19"/>
  <c r="AO48" i="19"/>
  <c r="AH48" i="19"/>
  <c r="AO68" i="19"/>
  <c r="AH68" i="19"/>
  <c r="AO13" i="19"/>
  <c r="AO40" i="19"/>
  <c r="AH40" i="19"/>
  <c r="AH10" i="19"/>
  <c r="AO61" i="19"/>
  <c r="AH61" i="19"/>
  <c r="AO72" i="19"/>
  <c r="AH72" i="19"/>
  <c r="AO27" i="19"/>
  <c r="AH27" i="19"/>
  <c r="AO56" i="19"/>
  <c r="AH56" i="19"/>
  <c r="AO50" i="19"/>
  <c r="AH50" i="19"/>
  <c r="AO62" i="19"/>
  <c r="AH62" i="19"/>
  <c r="AO65" i="19"/>
  <c r="AH65" i="19"/>
  <c r="AH30" i="19"/>
  <c r="AO30" i="19"/>
  <c r="AO9" i="19"/>
  <c r="AO36" i="19"/>
  <c r="AH36" i="19"/>
  <c r="AO70" i="19"/>
  <c r="AH70" i="19"/>
  <c r="AO52" i="19"/>
  <c r="AH52" i="19"/>
  <c r="AO44" i="19"/>
  <c r="AH44" i="19"/>
  <c r="AO46" i="19"/>
  <c r="AH46" i="19"/>
  <c r="AO5" i="19"/>
  <c r="AO73" i="19"/>
  <c r="AH73" i="19"/>
  <c r="AH2" i="19"/>
  <c r="G2" i="22"/>
  <c r="AJ2" i="48" s="1"/>
  <c r="AX2" i="48" s="1"/>
  <c r="AG13" i="19"/>
  <c r="AN73" i="19"/>
  <c r="AG16" i="19"/>
  <c r="AN50" i="19"/>
  <c r="AG74" i="19"/>
  <c r="AG44" i="19"/>
  <c r="AG62" i="19"/>
  <c r="AG3" i="19"/>
  <c r="G2" i="21"/>
  <c r="AI2" i="48" s="1"/>
  <c r="AW2" i="48" s="1"/>
  <c r="AG2" i="19"/>
  <c r="AG47" i="19"/>
  <c r="AN47" i="19"/>
  <c r="AN61" i="19"/>
  <c r="AG61" i="19"/>
  <c r="AN48" i="19"/>
  <c r="AG48" i="19"/>
  <c r="AG75" i="19"/>
  <c r="AN75" i="19"/>
  <c r="AG17" i="19"/>
  <c r="AN67" i="19"/>
  <c r="AG67" i="19"/>
  <c r="AG10" i="19"/>
  <c r="AG18" i="19"/>
  <c r="AN64" i="19"/>
  <c r="AG64" i="19"/>
  <c r="AN7" i="19"/>
  <c r="AN65" i="19"/>
  <c r="AG65" i="19"/>
  <c r="AN25" i="19"/>
  <c r="AG25" i="19"/>
  <c r="AG11" i="19"/>
  <c r="AG35" i="19"/>
  <c r="AN35" i="19"/>
  <c r="AN21" i="19"/>
  <c r="AN26" i="19"/>
  <c r="AG26" i="19"/>
  <c r="AN56" i="19"/>
  <c r="AG56" i="19"/>
  <c r="AN36" i="19"/>
  <c r="AG36" i="19"/>
  <c r="AG14" i="19"/>
  <c r="AN70" i="19"/>
  <c r="AG70" i="19"/>
  <c r="AN69" i="19"/>
  <c r="AG69" i="19"/>
  <c r="AG34" i="19"/>
  <c r="AN34" i="19"/>
  <c r="AN68" i="19"/>
  <c r="AG68" i="19"/>
  <c r="AG38" i="19"/>
  <c r="AN38" i="19"/>
  <c r="AN57" i="19"/>
  <c r="AG57" i="19"/>
  <c r="AN37" i="19"/>
  <c r="AG37" i="19"/>
  <c r="AN24" i="19"/>
  <c r="AG24" i="19"/>
  <c r="AG59" i="19"/>
  <c r="AN59" i="19"/>
  <c r="AN13" i="19"/>
  <c r="AG9" i="19"/>
  <c r="AN29" i="19"/>
  <c r="AG29" i="19"/>
  <c r="AN53" i="19"/>
  <c r="AG53" i="19"/>
  <c r="AN41" i="19"/>
  <c r="AG41" i="19"/>
  <c r="AG15" i="19"/>
  <c r="AN71" i="19"/>
  <c r="AG71" i="19"/>
  <c r="AN58" i="19"/>
  <c r="AG58" i="19"/>
  <c r="AN55" i="19"/>
  <c r="AG55" i="19"/>
  <c r="AN30" i="19"/>
  <c r="AG30" i="19"/>
  <c r="AN20" i="19"/>
  <c r="AN45" i="19"/>
  <c r="AG45" i="19"/>
  <c r="AG63" i="19"/>
  <c r="AN63" i="19"/>
  <c r="AG23" i="19"/>
  <c r="AN23" i="19"/>
  <c r="AN77" i="19"/>
  <c r="AG77" i="19"/>
  <c r="AN52" i="19"/>
  <c r="AG52" i="19"/>
  <c r="AG31" i="19"/>
  <c r="AN31" i="19"/>
  <c r="AG39" i="19"/>
  <c r="AN39" i="19"/>
  <c r="AN16" i="19"/>
  <c r="AN49" i="19"/>
  <c r="AG49" i="19"/>
  <c r="O88" i="19"/>
  <c r="AX88" i="19" s="1"/>
  <c r="O80" i="19"/>
  <c r="AX80" i="19" s="1"/>
  <c r="O72" i="19"/>
  <c r="AX72" i="19" s="1"/>
  <c r="O60" i="19"/>
  <c r="AX60" i="19" s="1"/>
  <c r="O48" i="19"/>
  <c r="AX48" i="19" s="1"/>
  <c r="O36" i="19"/>
  <c r="AX36" i="19" s="1"/>
  <c r="O24" i="19"/>
  <c r="AX24" i="19" s="1"/>
  <c r="O8" i="19"/>
  <c r="H79" i="3"/>
  <c r="O79" i="19"/>
  <c r="AX79" i="19" s="1"/>
  <c r="O75" i="19"/>
  <c r="AX75" i="19" s="1"/>
  <c r="O71" i="19"/>
  <c r="AX71" i="19" s="1"/>
  <c r="O67" i="19"/>
  <c r="AX67" i="19" s="1"/>
  <c r="O63" i="19"/>
  <c r="AX63" i="19" s="1"/>
  <c r="G59" i="3"/>
  <c r="O59" i="19"/>
  <c r="AX59" i="19" s="1"/>
  <c r="O55" i="19"/>
  <c r="AX55" i="19" s="1"/>
  <c r="O51" i="19"/>
  <c r="AX51" i="19" s="1"/>
  <c r="O47" i="19"/>
  <c r="AX47" i="19" s="1"/>
  <c r="O43" i="19"/>
  <c r="AX43" i="19" s="1"/>
  <c r="O39" i="19"/>
  <c r="AX39" i="19" s="1"/>
  <c r="O35" i="19"/>
  <c r="AX35" i="19" s="1"/>
  <c r="O31" i="19"/>
  <c r="AX31" i="19" s="1"/>
  <c r="O27" i="19"/>
  <c r="AX27" i="19" s="1"/>
  <c r="O23" i="19"/>
  <c r="AX23" i="19" s="1"/>
  <c r="O19" i="19"/>
  <c r="AX19" i="19" s="1"/>
  <c r="O15" i="19"/>
  <c r="AX15" i="19" s="1"/>
  <c r="O11" i="19"/>
  <c r="O84" i="19"/>
  <c r="AX84" i="19" s="1"/>
  <c r="O64" i="19"/>
  <c r="AX64" i="19" s="1"/>
  <c r="O52" i="19"/>
  <c r="AX52" i="19" s="1"/>
  <c r="O40" i="19"/>
  <c r="AX40" i="19" s="1"/>
  <c r="O28" i="19"/>
  <c r="AX28" i="19" s="1"/>
  <c r="O20" i="19"/>
  <c r="AX20" i="19" s="1"/>
  <c r="O16" i="19"/>
  <c r="AX16" i="19" s="1"/>
  <c r="O83" i="19"/>
  <c r="AX83" i="19" s="1"/>
  <c r="O86" i="19"/>
  <c r="AX86" i="19" s="1"/>
  <c r="O74" i="19"/>
  <c r="AX74" i="19" s="1"/>
  <c r="O66" i="19"/>
  <c r="AX66" i="19" s="1"/>
  <c r="O58" i="19"/>
  <c r="AX58" i="19" s="1"/>
  <c r="O50" i="19"/>
  <c r="AX50" i="19" s="1"/>
  <c r="O42" i="19"/>
  <c r="AX42" i="19" s="1"/>
  <c r="O38" i="19"/>
  <c r="AX38" i="19" s="1"/>
  <c r="O34" i="19"/>
  <c r="AX34" i="19" s="1"/>
  <c r="O30" i="19"/>
  <c r="AX30" i="19" s="1"/>
  <c r="O26" i="19"/>
  <c r="AX26" i="19" s="1"/>
  <c r="O18" i="19"/>
  <c r="AX18" i="19" s="1"/>
  <c r="O10" i="19"/>
  <c r="O76" i="19"/>
  <c r="AX76" i="19" s="1"/>
  <c r="O68" i="19"/>
  <c r="AX68" i="19" s="1"/>
  <c r="O56" i="19"/>
  <c r="AX56" i="19" s="1"/>
  <c r="O44" i="19"/>
  <c r="AX44" i="19" s="1"/>
  <c r="O32" i="19"/>
  <c r="AX32" i="19" s="1"/>
  <c r="O12" i="19"/>
  <c r="AX12" i="19" s="1"/>
  <c r="O87" i="19"/>
  <c r="AX87" i="19" s="1"/>
  <c r="O82" i="19"/>
  <c r="AX82" i="19" s="1"/>
  <c r="O78" i="19"/>
  <c r="AX78" i="19" s="1"/>
  <c r="O70" i="19"/>
  <c r="AX70" i="19" s="1"/>
  <c r="O62" i="19"/>
  <c r="AX62" i="19" s="1"/>
  <c r="O54" i="19"/>
  <c r="AX54" i="19" s="1"/>
  <c r="O46" i="19"/>
  <c r="AX46" i="19" s="1"/>
  <c r="O22" i="19"/>
  <c r="AX22" i="19" s="1"/>
  <c r="O14" i="19"/>
  <c r="AX14" i="19" s="1"/>
  <c r="O85" i="19"/>
  <c r="AX85" i="19" s="1"/>
  <c r="O81" i="19"/>
  <c r="AX81" i="19" s="1"/>
  <c r="O77" i="19"/>
  <c r="AX77" i="19" s="1"/>
  <c r="O73" i="19"/>
  <c r="AX73" i="19" s="1"/>
  <c r="O69" i="19"/>
  <c r="AX69" i="19" s="1"/>
  <c r="O65" i="19"/>
  <c r="AX65" i="19" s="1"/>
  <c r="O61" i="19"/>
  <c r="AX61" i="19" s="1"/>
  <c r="O57" i="19"/>
  <c r="AX57" i="19" s="1"/>
  <c r="O53" i="19"/>
  <c r="AX53" i="19" s="1"/>
  <c r="O49" i="19"/>
  <c r="AX49" i="19" s="1"/>
  <c r="O45" i="19"/>
  <c r="AX45" i="19" s="1"/>
  <c r="O41" i="19"/>
  <c r="AX41" i="19" s="1"/>
  <c r="O37" i="19"/>
  <c r="AX37" i="19" s="1"/>
  <c r="O33" i="19"/>
  <c r="AX33" i="19" s="1"/>
  <c r="O29" i="19"/>
  <c r="AX29" i="19" s="1"/>
  <c r="O25" i="19"/>
  <c r="AX25" i="19" s="1"/>
  <c r="O21" i="19"/>
  <c r="AX21" i="19" s="1"/>
  <c r="O17" i="19"/>
  <c r="AX17" i="19" s="1"/>
  <c r="O13" i="19"/>
  <c r="AX13" i="19" s="1"/>
  <c r="O9" i="19"/>
  <c r="O5" i="19"/>
  <c r="G4" i="3"/>
  <c r="O4" i="19"/>
  <c r="O3" i="19"/>
  <c r="O6" i="19"/>
  <c r="O7" i="19"/>
  <c r="AS25" i="19"/>
  <c r="G2" i="23"/>
  <c r="AP2" i="19" s="1"/>
  <c r="G43" i="3"/>
  <c r="G11" i="3"/>
  <c r="G7" i="3"/>
  <c r="G79" i="3"/>
  <c r="G19" i="3"/>
  <c r="G76" i="3"/>
  <c r="G12" i="3"/>
  <c r="G80" i="3"/>
  <c r="G36" i="3"/>
  <c r="G8" i="3"/>
  <c r="G82" i="3"/>
  <c r="H82" i="3" s="1"/>
  <c r="G74" i="3"/>
  <c r="G66" i="3"/>
  <c r="AA66" i="48" s="1"/>
  <c r="G58" i="3"/>
  <c r="G42" i="3"/>
  <c r="H22" i="3"/>
  <c r="G22" i="3"/>
  <c r="G56" i="3"/>
  <c r="G32" i="3"/>
  <c r="G73" i="3"/>
  <c r="G65" i="3"/>
  <c r="G57" i="3"/>
  <c r="G53" i="3"/>
  <c r="G49" i="3"/>
  <c r="G33" i="3"/>
  <c r="G78" i="3"/>
  <c r="G70" i="3"/>
  <c r="G54" i="3"/>
  <c r="G46" i="3"/>
  <c r="G6" i="3"/>
  <c r="K4" i="19"/>
  <c r="K5" i="19"/>
  <c r="K6" i="19"/>
  <c r="AX6" i="19" s="1"/>
  <c r="K7" i="19"/>
  <c r="AX7" i="19" s="1"/>
  <c r="K8" i="19"/>
  <c r="AX8" i="19" s="1"/>
  <c r="K9" i="19"/>
  <c r="K10" i="19"/>
  <c r="AX10" i="19" s="1"/>
  <c r="K11" i="19"/>
  <c r="AX11" i="19" s="1"/>
  <c r="C2" i="5"/>
  <c r="F2" i="48" s="1"/>
  <c r="AS2" i="48" s="1"/>
  <c r="K3" i="19"/>
  <c r="AX3" i="19" s="1"/>
  <c r="AF135" i="19" l="1"/>
  <c r="AA135" i="48"/>
  <c r="AA114" i="48"/>
  <c r="AF114" i="19"/>
  <c r="AF117" i="19"/>
  <c r="AA117" i="48"/>
  <c r="AF119" i="19"/>
  <c r="AA119" i="48"/>
  <c r="AF89" i="19"/>
  <c r="AA89" i="48"/>
  <c r="AA42" i="48"/>
  <c r="AA93" i="48"/>
  <c r="AF93" i="19"/>
  <c r="H76" i="3"/>
  <c r="AF99" i="19"/>
  <c r="AA99" i="48"/>
  <c r="AS45" i="19"/>
  <c r="AX9" i="19"/>
  <c r="AX5" i="19"/>
  <c r="AS57" i="19"/>
  <c r="K58" i="47" s="1"/>
  <c r="I14" i="47"/>
  <c r="H13" i="28"/>
  <c r="I14" i="46"/>
  <c r="I14" i="44"/>
  <c r="AP58" i="19"/>
  <c r="I59" i="46" s="1"/>
  <c r="BD55" i="19"/>
  <c r="BD29" i="19"/>
  <c r="I3" i="47"/>
  <c r="I3" i="46"/>
  <c r="I3" i="45"/>
  <c r="I3" i="44"/>
  <c r="H2" i="28"/>
  <c r="AS20" i="19"/>
  <c r="K21" i="44" s="1"/>
  <c r="AL61" i="48"/>
  <c r="AK61" i="48"/>
  <c r="AY61" i="48" s="1"/>
  <c r="AL68" i="48"/>
  <c r="AK68" i="48"/>
  <c r="AY68" i="48" s="1"/>
  <c r="AL50" i="48"/>
  <c r="AK50" i="48"/>
  <c r="AY50" i="48" s="1"/>
  <c r="AK32" i="48"/>
  <c r="AY32" i="48" s="1"/>
  <c r="AL32" i="48"/>
  <c r="AL84" i="48"/>
  <c r="AK62" i="48"/>
  <c r="AY62" i="48" s="1"/>
  <c r="AL62" i="48"/>
  <c r="I7" i="45"/>
  <c r="I68" i="44"/>
  <c r="I68" i="47"/>
  <c r="H67" i="28"/>
  <c r="I68" i="46"/>
  <c r="I68" i="45"/>
  <c r="I34" i="45"/>
  <c r="I34" i="46"/>
  <c r="I34" i="44"/>
  <c r="I34" i="47"/>
  <c r="H33" i="28"/>
  <c r="AL85" i="48"/>
  <c r="AL57" i="48"/>
  <c r="AK57" i="48"/>
  <c r="AY57" i="48" s="1"/>
  <c r="AL45" i="48"/>
  <c r="AP20" i="19"/>
  <c r="I21" i="46" s="1"/>
  <c r="AK20" i="48"/>
  <c r="AY20" i="48" s="1"/>
  <c r="AL20" i="48"/>
  <c r="AK70" i="48"/>
  <c r="AY70" i="48" s="1"/>
  <c r="AL70" i="48"/>
  <c r="AP70" i="19"/>
  <c r="AL74" i="48"/>
  <c r="AL86" i="48"/>
  <c r="AL81" i="48"/>
  <c r="AL36" i="48"/>
  <c r="AK36" i="48"/>
  <c r="AY36" i="48" s="1"/>
  <c r="AP36" i="19"/>
  <c r="AL28" i="48"/>
  <c r="AL60" i="48"/>
  <c r="AK60" i="48"/>
  <c r="AY60" i="48" s="1"/>
  <c r="AK58" i="48"/>
  <c r="AY58" i="48" s="1"/>
  <c r="AL58" i="48"/>
  <c r="I56" i="45"/>
  <c r="I56" i="44"/>
  <c r="I56" i="47"/>
  <c r="H55" i="28"/>
  <c r="I56" i="46"/>
  <c r="AL49" i="48"/>
  <c r="AK49" i="48"/>
  <c r="AY49" i="48" s="1"/>
  <c r="AP49" i="19"/>
  <c r="AL77" i="48"/>
  <c r="AK77" i="48"/>
  <c r="AY77" i="48" s="1"/>
  <c r="AL46" i="48"/>
  <c r="AK46" i="48"/>
  <c r="AY46" i="48" s="1"/>
  <c r="AP46" i="19"/>
  <c r="AP17" i="19"/>
  <c r="I24" i="47" s="1"/>
  <c r="AK17" i="48"/>
  <c r="AY17" i="48" s="1"/>
  <c r="AL40" i="48"/>
  <c r="AK40" i="48"/>
  <c r="AY40" i="48" s="1"/>
  <c r="AP40" i="19"/>
  <c r="I52" i="46"/>
  <c r="H51" i="28"/>
  <c r="I52" i="45"/>
  <c r="I52" i="44"/>
  <c r="I52" i="47"/>
  <c r="I64" i="45"/>
  <c r="I64" i="46"/>
  <c r="I64" i="44"/>
  <c r="I64" i="47"/>
  <c r="H63" i="28"/>
  <c r="I32" i="45"/>
  <c r="I32" i="46"/>
  <c r="I32" i="44"/>
  <c r="I32" i="47"/>
  <c r="H31" i="28"/>
  <c r="AL88" i="48"/>
  <c r="AP16" i="19"/>
  <c r="I17" i="46" s="1"/>
  <c r="AK16" i="48"/>
  <c r="AY16" i="48" s="1"/>
  <c r="AL24" i="48"/>
  <c r="AK24" i="48"/>
  <c r="AY24" i="48" s="1"/>
  <c r="AK65" i="48"/>
  <c r="AY65" i="48" s="1"/>
  <c r="AL65" i="48"/>
  <c r="AP65" i="19"/>
  <c r="AL52" i="48"/>
  <c r="AL78" i="48"/>
  <c r="AK78" i="48"/>
  <c r="AY78" i="48" s="1"/>
  <c r="AK3" i="48"/>
  <c r="AY3" i="48" s="1"/>
  <c r="AP3" i="19"/>
  <c r="AK54" i="48"/>
  <c r="AY54" i="48" s="1"/>
  <c r="AL54" i="48"/>
  <c r="AP54" i="19"/>
  <c r="AK48" i="48"/>
  <c r="AY48" i="48" s="1"/>
  <c r="AL48" i="48"/>
  <c r="AP48" i="19"/>
  <c r="AL64" i="48"/>
  <c r="AK64" i="48"/>
  <c r="AY64" i="48" s="1"/>
  <c r="AP64" i="19"/>
  <c r="AL69" i="48"/>
  <c r="AL72" i="48"/>
  <c r="AK53" i="48"/>
  <c r="AY53" i="48" s="1"/>
  <c r="AL53" i="48"/>
  <c r="I35" i="45"/>
  <c r="I35" i="46"/>
  <c r="I35" i="44"/>
  <c r="I35" i="47"/>
  <c r="H34" i="28"/>
  <c r="I43" i="47"/>
  <c r="H42" i="28"/>
  <c r="I43" i="46"/>
  <c r="I43" i="45"/>
  <c r="I43" i="44"/>
  <c r="BD34" i="19"/>
  <c r="AL44" i="48"/>
  <c r="BD51" i="19"/>
  <c r="K46" i="47"/>
  <c r="K46" i="46"/>
  <c r="K46" i="45"/>
  <c r="K46" i="44"/>
  <c r="J45" i="28"/>
  <c r="AK83" i="48"/>
  <c r="AY83" i="48" s="1"/>
  <c r="AP83" i="19"/>
  <c r="AP21" i="19"/>
  <c r="BD21" i="19" s="1"/>
  <c r="AK21" i="48"/>
  <c r="AY21" i="48" s="1"/>
  <c r="AK35" i="48"/>
  <c r="AY35" i="48" s="1"/>
  <c r="AP35" i="19"/>
  <c r="AK80" i="48"/>
  <c r="AY80" i="48" s="1"/>
  <c r="AP80" i="19"/>
  <c r="I21" i="47"/>
  <c r="K23" i="47"/>
  <c r="K23" i="46"/>
  <c r="K23" i="45"/>
  <c r="K23" i="44"/>
  <c r="J22" i="28"/>
  <c r="BD44" i="19"/>
  <c r="I45" i="47"/>
  <c r="I45" i="46"/>
  <c r="I45" i="45"/>
  <c r="I45" i="44"/>
  <c r="H44" i="28"/>
  <c r="I26" i="46"/>
  <c r="I26" i="47"/>
  <c r="I26" i="45"/>
  <c r="I30" i="44"/>
  <c r="H25" i="28"/>
  <c r="I18" i="46"/>
  <c r="I18" i="47"/>
  <c r="I18" i="45"/>
  <c r="I9" i="44"/>
  <c r="H29" i="28"/>
  <c r="I38" i="47"/>
  <c r="I38" i="46"/>
  <c r="I38" i="45"/>
  <c r="I38" i="44"/>
  <c r="H37" i="28"/>
  <c r="I48" i="47"/>
  <c r="I48" i="46"/>
  <c r="I48" i="45"/>
  <c r="I48" i="44"/>
  <c r="H47" i="28"/>
  <c r="BD84" i="19"/>
  <c r="I85" i="46"/>
  <c r="I85" i="45"/>
  <c r="I85" i="47"/>
  <c r="I85" i="44"/>
  <c r="H84" i="28"/>
  <c r="J84" i="46"/>
  <c r="J84" i="47"/>
  <c r="J84" i="45"/>
  <c r="J84" i="44"/>
  <c r="I83" i="28"/>
  <c r="K82" i="47"/>
  <c r="K82" i="46"/>
  <c r="K82" i="45"/>
  <c r="K82" i="44"/>
  <c r="J81" i="28"/>
  <c r="J88" i="46"/>
  <c r="J88" i="45"/>
  <c r="J88" i="47"/>
  <c r="J88" i="44"/>
  <c r="I87" i="28"/>
  <c r="J82" i="47"/>
  <c r="J82" i="46"/>
  <c r="J82" i="45"/>
  <c r="J82" i="44"/>
  <c r="I81" i="28"/>
  <c r="K80" i="47"/>
  <c r="K80" i="46"/>
  <c r="K80" i="45"/>
  <c r="K80" i="44"/>
  <c r="J79" i="28"/>
  <c r="K21" i="46"/>
  <c r="K21" i="45"/>
  <c r="I24" i="45"/>
  <c r="I10" i="44"/>
  <c r="J46" i="47"/>
  <c r="J46" i="45"/>
  <c r="J46" i="46"/>
  <c r="J46" i="44"/>
  <c r="I45" i="28"/>
  <c r="J7" i="47"/>
  <c r="J7" i="46"/>
  <c r="J7" i="45"/>
  <c r="J7" i="44"/>
  <c r="I6" i="28"/>
  <c r="BD59" i="19"/>
  <c r="I60" i="47"/>
  <c r="I60" i="46"/>
  <c r="I60" i="45"/>
  <c r="I26" i="44"/>
  <c r="H59" i="28"/>
  <c r="I76" i="47"/>
  <c r="I76" i="46"/>
  <c r="I76" i="45"/>
  <c r="I76" i="44"/>
  <c r="H75" i="28"/>
  <c r="K83" i="47"/>
  <c r="K83" i="46"/>
  <c r="K83" i="45"/>
  <c r="K83" i="44"/>
  <c r="J82" i="28"/>
  <c r="K87" i="46"/>
  <c r="K87" i="47"/>
  <c r="K87" i="45"/>
  <c r="K87" i="44"/>
  <c r="J86" i="28"/>
  <c r="I29" i="47"/>
  <c r="I29" i="46"/>
  <c r="I29" i="45"/>
  <c r="I29" i="44"/>
  <c r="H28" i="28"/>
  <c r="I11" i="47"/>
  <c r="I11" i="46"/>
  <c r="I11" i="45"/>
  <c r="I11" i="44"/>
  <c r="H10" i="28"/>
  <c r="J83" i="47"/>
  <c r="J83" i="46"/>
  <c r="J83" i="45"/>
  <c r="J83" i="44"/>
  <c r="I82" i="28"/>
  <c r="AN88" i="48"/>
  <c r="AS88" i="19"/>
  <c r="K58" i="46"/>
  <c r="K58" i="45"/>
  <c r="K58" i="44"/>
  <c r="AK71" i="48"/>
  <c r="AY71" i="48" s="1"/>
  <c r="AP71" i="19"/>
  <c r="AP5" i="19"/>
  <c r="BD5" i="19" s="1"/>
  <c r="AK5" i="48"/>
  <c r="AY5" i="48" s="1"/>
  <c r="AK85" i="48"/>
  <c r="AY85" i="48" s="1"/>
  <c r="AP85" i="19"/>
  <c r="AK72" i="48"/>
  <c r="AY72" i="48" s="1"/>
  <c r="AP72" i="19"/>
  <c r="I17" i="47"/>
  <c r="K70" i="47"/>
  <c r="K70" i="46"/>
  <c r="K70" i="45"/>
  <c r="K70" i="44"/>
  <c r="J69" i="28"/>
  <c r="BD7" i="19"/>
  <c r="I8" i="47"/>
  <c r="I8" i="46"/>
  <c r="I8" i="45"/>
  <c r="I8" i="44"/>
  <c r="H7" i="28"/>
  <c r="I9" i="47"/>
  <c r="I9" i="46"/>
  <c r="I9" i="45"/>
  <c r="I5" i="44"/>
  <c r="H23" i="28"/>
  <c r="BD27" i="19"/>
  <c r="I116" i="47"/>
  <c r="I116" i="46"/>
  <c r="I116" i="45"/>
  <c r="I59" i="44"/>
  <c r="H27" i="28"/>
  <c r="BD30" i="19"/>
  <c r="I31" i="47"/>
  <c r="I31" i="46"/>
  <c r="I31" i="45"/>
  <c r="I31" i="44"/>
  <c r="H30" i="28"/>
  <c r="I42" i="47"/>
  <c r="I42" i="46"/>
  <c r="I42" i="45"/>
  <c r="I42" i="44"/>
  <c r="H41" i="28"/>
  <c r="BD58" i="19"/>
  <c r="I59" i="47"/>
  <c r="I59" i="45"/>
  <c r="H58" i="28"/>
  <c r="J80" i="47"/>
  <c r="J80" i="46"/>
  <c r="J80" i="45"/>
  <c r="J80" i="44"/>
  <c r="I79" i="28"/>
  <c r="K81" i="47"/>
  <c r="K81" i="46"/>
  <c r="K81" i="45"/>
  <c r="K81" i="44"/>
  <c r="J80" i="28"/>
  <c r="BD12" i="19"/>
  <c r="I13" i="47"/>
  <c r="I13" i="46"/>
  <c r="I13" i="45"/>
  <c r="I13" i="44"/>
  <c r="H12" i="28"/>
  <c r="K85" i="47"/>
  <c r="K85" i="46"/>
  <c r="K85" i="45"/>
  <c r="K85" i="44"/>
  <c r="J84" i="28"/>
  <c r="J85" i="47"/>
  <c r="J85" i="46"/>
  <c r="J85" i="45"/>
  <c r="J85" i="44"/>
  <c r="I84" i="28"/>
  <c r="J87" i="47"/>
  <c r="J87" i="46"/>
  <c r="J87" i="45"/>
  <c r="J87" i="44"/>
  <c r="I86" i="28"/>
  <c r="I53" i="46"/>
  <c r="I53" i="45"/>
  <c r="I53" i="47"/>
  <c r="I53" i="44"/>
  <c r="H52" i="28"/>
  <c r="K26" i="47"/>
  <c r="K26" i="46"/>
  <c r="K26" i="45"/>
  <c r="K30" i="44"/>
  <c r="J25" i="28"/>
  <c r="AP9" i="19"/>
  <c r="BD9" i="19" s="1"/>
  <c r="AK9" i="48"/>
  <c r="AY9" i="48" s="1"/>
  <c r="AK87" i="48"/>
  <c r="AY87" i="48" s="1"/>
  <c r="AP87" i="19"/>
  <c r="K71" i="46"/>
  <c r="K71" i="47"/>
  <c r="K71" i="45"/>
  <c r="K71" i="44"/>
  <c r="J70" i="28"/>
  <c r="K7" i="47"/>
  <c r="K7" i="46"/>
  <c r="K7" i="45"/>
  <c r="K7" i="44"/>
  <c r="J6" i="28"/>
  <c r="BD74" i="19"/>
  <c r="I75" i="47"/>
  <c r="I75" i="46"/>
  <c r="I75" i="45"/>
  <c r="I75" i="44"/>
  <c r="H74" i="28"/>
  <c r="I74" i="47"/>
  <c r="I74" i="46"/>
  <c r="I74" i="45"/>
  <c r="I74" i="44"/>
  <c r="H73" i="28"/>
  <c r="J21" i="46"/>
  <c r="J21" i="47"/>
  <c r="J21" i="45"/>
  <c r="J21" i="44"/>
  <c r="I20" i="28"/>
  <c r="J86" i="47"/>
  <c r="J86" i="46"/>
  <c r="J86" i="45"/>
  <c r="J86" i="44"/>
  <c r="I85" i="28"/>
  <c r="BD86" i="19"/>
  <c r="I87" i="47"/>
  <c r="I87" i="46"/>
  <c r="I87" i="45"/>
  <c r="I87" i="44"/>
  <c r="H86" i="28"/>
  <c r="BD28" i="19"/>
  <c r="BD81" i="19"/>
  <c r="I82" i="47"/>
  <c r="I82" i="46"/>
  <c r="I82" i="45"/>
  <c r="I82" i="44"/>
  <c r="H81" i="28"/>
  <c r="K88" i="47"/>
  <c r="K88" i="46"/>
  <c r="K88" i="45"/>
  <c r="K88" i="44"/>
  <c r="J87" i="28"/>
  <c r="J81" i="47"/>
  <c r="J81" i="46"/>
  <c r="J81" i="45"/>
  <c r="J81" i="44"/>
  <c r="I80" i="28"/>
  <c r="K86" i="47"/>
  <c r="K86" i="46"/>
  <c r="K86" i="45"/>
  <c r="K86" i="44"/>
  <c r="J85" i="28"/>
  <c r="K84" i="47"/>
  <c r="K84" i="46"/>
  <c r="K84" i="45"/>
  <c r="K84" i="44"/>
  <c r="J83" i="28"/>
  <c r="BD88" i="19"/>
  <c r="I89" i="47"/>
  <c r="I89" i="46"/>
  <c r="I89" i="45"/>
  <c r="I89" i="44"/>
  <c r="H88" i="28"/>
  <c r="I39" i="47"/>
  <c r="I39" i="46"/>
  <c r="I39" i="45"/>
  <c r="I39" i="44"/>
  <c r="H38" i="28"/>
  <c r="I5" i="47"/>
  <c r="I5" i="46"/>
  <c r="I5" i="45"/>
  <c r="I116" i="44"/>
  <c r="H4" i="28"/>
  <c r="J89" i="47"/>
  <c r="J89" i="46"/>
  <c r="J89" i="45"/>
  <c r="J89" i="44"/>
  <c r="I88" i="28"/>
  <c r="BC70" i="19"/>
  <c r="H71" i="47"/>
  <c r="H71" i="46"/>
  <c r="H71" i="45"/>
  <c r="H71" i="44"/>
  <c r="G70" i="28"/>
  <c r="BC49" i="19"/>
  <c r="H50" i="46"/>
  <c r="H50" i="47"/>
  <c r="H50" i="45"/>
  <c r="H50" i="44"/>
  <c r="G49" i="28"/>
  <c r="BC24" i="19"/>
  <c r="H25" i="47"/>
  <c r="H25" i="46"/>
  <c r="H25" i="45"/>
  <c r="H25" i="44"/>
  <c r="G24" i="28"/>
  <c r="BC45" i="19"/>
  <c r="H46" i="47"/>
  <c r="H46" i="46"/>
  <c r="H46" i="45"/>
  <c r="H46" i="44"/>
  <c r="G45" i="28"/>
  <c r="BC62" i="19"/>
  <c r="H63" i="47"/>
  <c r="H63" i="46"/>
  <c r="H63" i="45"/>
  <c r="H63" i="44"/>
  <c r="G62" i="28"/>
  <c r="BC56" i="19"/>
  <c r="H57" i="47"/>
  <c r="H57" i="46"/>
  <c r="H57" i="45"/>
  <c r="H57" i="44"/>
  <c r="G56" i="28"/>
  <c r="BC72" i="19"/>
  <c r="H73" i="47"/>
  <c r="H73" i="46"/>
  <c r="H73" i="45"/>
  <c r="H73" i="44"/>
  <c r="G72" i="28"/>
  <c r="BC68" i="19"/>
  <c r="H69" i="47"/>
  <c r="H69" i="46"/>
  <c r="H69" i="45"/>
  <c r="H69" i="44"/>
  <c r="G68" i="28"/>
  <c r="BC69" i="19"/>
  <c r="H70" i="47"/>
  <c r="H70" i="46"/>
  <c r="H70" i="45"/>
  <c r="H70" i="44"/>
  <c r="G69" i="28"/>
  <c r="BC29" i="19"/>
  <c r="H18" i="46"/>
  <c r="H18" i="47"/>
  <c r="H18" i="45"/>
  <c r="H9" i="44"/>
  <c r="G29" i="28"/>
  <c r="BC74" i="19"/>
  <c r="H75" i="47"/>
  <c r="H75" i="46"/>
  <c r="H75" i="45"/>
  <c r="H75" i="44"/>
  <c r="G74" i="28"/>
  <c r="BC38" i="19"/>
  <c r="H39" i="47"/>
  <c r="H39" i="46"/>
  <c r="H39" i="45"/>
  <c r="H39" i="44"/>
  <c r="G38" i="28"/>
  <c r="BC17" i="19"/>
  <c r="H24" i="47"/>
  <c r="H24" i="46"/>
  <c r="H24" i="45"/>
  <c r="H10" i="44"/>
  <c r="G17" i="28"/>
  <c r="BC78" i="19"/>
  <c r="H79" i="47"/>
  <c r="H79" i="46"/>
  <c r="H79" i="45"/>
  <c r="H79" i="44"/>
  <c r="G78" i="28"/>
  <c r="BC11" i="19"/>
  <c r="H12" i="47"/>
  <c r="H12" i="46"/>
  <c r="H12" i="45"/>
  <c r="H12" i="44"/>
  <c r="G11" i="28"/>
  <c r="BC44" i="19"/>
  <c r="H45" i="47"/>
  <c r="H45" i="46"/>
  <c r="H45" i="45"/>
  <c r="H45" i="44"/>
  <c r="G44" i="28"/>
  <c r="BC30" i="19"/>
  <c r="H31" i="47"/>
  <c r="H31" i="46"/>
  <c r="H31" i="45"/>
  <c r="H31" i="44"/>
  <c r="G30" i="28"/>
  <c r="BC46" i="19"/>
  <c r="H47" i="47"/>
  <c r="H47" i="46"/>
  <c r="H47" i="45"/>
  <c r="H47" i="44"/>
  <c r="G46" i="28"/>
  <c r="BC52" i="19"/>
  <c r="H53" i="47"/>
  <c r="H53" i="46"/>
  <c r="H53" i="45"/>
  <c r="H53" i="44"/>
  <c r="G52" i="28"/>
  <c r="BC36" i="19"/>
  <c r="H37" i="47"/>
  <c r="H37" i="46"/>
  <c r="H37" i="45"/>
  <c r="H37" i="44"/>
  <c r="G36" i="28"/>
  <c r="BC40" i="19"/>
  <c r="H41" i="47"/>
  <c r="H41" i="46"/>
  <c r="H41" i="45"/>
  <c r="H41" i="44"/>
  <c r="G40" i="28"/>
  <c r="BC60" i="19"/>
  <c r="H61" i="47"/>
  <c r="H61" i="46"/>
  <c r="H61" i="45"/>
  <c r="H60" i="44"/>
  <c r="G60" i="28"/>
  <c r="BC57" i="19"/>
  <c r="H58" i="46"/>
  <c r="H58" i="47"/>
  <c r="H58" i="45"/>
  <c r="H58" i="44"/>
  <c r="G57" i="28"/>
  <c r="BC28" i="19"/>
  <c r="H29" i="47"/>
  <c r="H29" i="46"/>
  <c r="H29" i="45"/>
  <c r="H29" i="44"/>
  <c r="G28" i="28"/>
  <c r="BC35" i="19"/>
  <c r="H36" i="47"/>
  <c r="H36" i="46"/>
  <c r="H36" i="45"/>
  <c r="H36" i="44"/>
  <c r="G35" i="28"/>
  <c r="BC5" i="19"/>
  <c r="H6" i="47"/>
  <c r="H6" i="46"/>
  <c r="H6" i="45"/>
  <c r="H6" i="44"/>
  <c r="G5" i="28"/>
  <c r="BC77" i="19"/>
  <c r="H78" i="47"/>
  <c r="H78" i="46"/>
  <c r="H78" i="45"/>
  <c r="H78" i="44"/>
  <c r="G77" i="28"/>
  <c r="BC58" i="19"/>
  <c r="H59" i="47"/>
  <c r="H59" i="46"/>
  <c r="H59" i="45"/>
  <c r="H61" i="44"/>
  <c r="G58" i="28"/>
  <c r="BC73" i="19"/>
  <c r="H74" i="46"/>
  <c r="H74" i="47"/>
  <c r="H74" i="45"/>
  <c r="H74" i="44"/>
  <c r="G73" i="28"/>
  <c r="BC9" i="19"/>
  <c r="H10" i="46"/>
  <c r="H10" i="47"/>
  <c r="H10" i="45"/>
  <c r="H28" i="44"/>
  <c r="G9" i="28"/>
  <c r="BC65" i="19"/>
  <c r="H66" i="46"/>
  <c r="H66" i="47"/>
  <c r="H66" i="45"/>
  <c r="H66" i="44"/>
  <c r="G65" i="28"/>
  <c r="BC50" i="19"/>
  <c r="H51" i="47"/>
  <c r="H51" i="46"/>
  <c r="H51" i="45"/>
  <c r="H51" i="44"/>
  <c r="G50" i="28"/>
  <c r="BC27" i="19"/>
  <c r="H116" i="47"/>
  <c r="H116" i="46"/>
  <c r="H116" i="45"/>
  <c r="H59" i="44"/>
  <c r="G27" i="28"/>
  <c r="BC61" i="19"/>
  <c r="H62" i="47"/>
  <c r="H62" i="46"/>
  <c r="H62" i="45"/>
  <c r="H62" i="44"/>
  <c r="G61" i="28"/>
  <c r="BC13" i="19"/>
  <c r="H14" i="47"/>
  <c r="H14" i="46"/>
  <c r="H14" i="45"/>
  <c r="H14" i="44"/>
  <c r="G13" i="28"/>
  <c r="BC48" i="19"/>
  <c r="H49" i="47"/>
  <c r="H49" i="46"/>
  <c r="H49" i="45"/>
  <c r="H49" i="44"/>
  <c r="G48" i="28"/>
  <c r="BC32" i="19"/>
  <c r="H33" i="47"/>
  <c r="H33" i="46"/>
  <c r="H33" i="45"/>
  <c r="H33" i="44"/>
  <c r="G32" i="28"/>
  <c r="BC64" i="19"/>
  <c r="H65" i="47"/>
  <c r="H65" i="46"/>
  <c r="H65" i="45"/>
  <c r="H65" i="44"/>
  <c r="G64" i="28"/>
  <c r="BC67" i="19"/>
  <c r="H68" i="47"/>
  <c r="H68" i="46"/>
  <c r="H68" i="45"/>
  <c r="H68" i="44"/>
  <c r="G67" i="28"/>
  <c r="BC54" i="19"/>
  <c r="H55" i="47"/>
  <c r="H55" i="46"/>
  <c r="H55" i="45"/>
  <c r="H55" i="44"/>
  <c r="G54" i="28"/>
  <c r="BC66" i="19"/>
  <c r="H67" i="47"/>
  <c r="H67" i="46"/>
  <c r="H67" i="45"/>
  <c r="H67" i="44"/>
  <c r="G66" i="28"/>
  <c r="BB77" i="19"/>
  <c r="G78" i="47"/>
  <c r="G78" i="45"/>
  <c r="G78" i="46"/>
  <c r="G78" i="44"/>
  <c r="F77" i="28"/>
  <c r="BB53" i="19"/>
  <c r="G54" i="47"/>
  <c r="G54" i="45"/>
  <c r="G54" i="46"/>
  <c r="G54" i="44"/>
  <c r="F53" i="28"/>
  <c r="BB13" i="19"/>
  <c r="G14" i="47"/>
  <c r="G14" i="45"/>
  <c r="G14" i="46"/>
  <c r="G14" i="44"/>
  <c r="F13" i="28"/>
  <c r="BB24" i="19"/>
  <c r="G25" i="46"/>
  <c r="G25" i="45"/>
  <c r="G25" i="47"/>
  <c r="G25" i="44"/>
  <c r="F24" i="28"/>
  <c r="BB57" i="19"/>
  <c r="G58" i="47"/>
  <c r="G58" i="45"/>
  <c r="G58" i="46"/>
  <c r="G58" i="44"/>
  <c r="F57" i="28"/>
  <c r="BB68" i="19"/>
  <c r="G69" i="45"/>
  <c r="G69" i="46"/>
  <c r="G69" i="47"/>
  <c r="G69" i="44"/>
  <c r="F68" i="28"/>
  <c r="BB69" i="19"/>
  <c r="G70" i="47"/>
  <c r="G70" i="45"/>
  <c r="G70" i="46"/>
  <c r="G70" i="44"/>
  <c r="F69" i="28"/>
  <c r="BB64" i="19"/>
  <c r="G65" i="45"/>
  <c r="G65" i="46"/>
  <c r="G65" i="47"/>
  <c r="G65" i="44"/>
  <c r="F64" i="28"/>
  <c r="BB67" i="19"/>
  <c r="G68" i="45"/>
  <c r="G68" i="47"/>
  <c r="G68" i="46"/>
  <c r="G68" i="44"/>
  <c r="F67" i="28"/>
  <c r="BB47" i="19"/>
  <c r="G48" i="45"/>
  <c r="G48" i="46"/>
  <c r="G48" i="47"/>
  <c r="G48" i="44"/>
  <c r="F47" i="28"/>
  <c r="BB50" i="19"/>
  <c r="G51" i="46"/>
  <c r="G51" i="47"/>
  <c r="G51" i="45"/>
  <c r="G51" i="44"/>
  <c r="F50" i="28"/>
  <c r="BB54" i="19"/>
  <c r="G55" i="46"/>
  <c r="G55" i="47"/>
  <c r="G55" i="45"/>
  <c r="G55" i="44"/>
  <c r="F54" i="28"/>
  <c r="BB16" i="19"/>
  <c r="G17" i="45"/>
  <c r="G17" i="46"/>
  <c r="G17" i="47"/>
  <c r="G17" i="44"/>
  <c r="F16" i="28"/>
  <c r="BB39" i="19"/>
  <c r="G40" i="45"/>
  <c r="G40" i="47"/>
  <c r="G40" i="46"/>
  <c r="G40" i="44"/>
  <c r="F39" i="28"/>
  <c r="BB23" i="19"/>
  <c r="G9" i="46"/>
  <c r="G9" i="45"/>
  <c r="G9" i="47"/>
  <c r="G5" i="44"/>
  <c r="F23" i="28"/>
  <c r="BB30" i="19"/>
  <c r="G31" i="46"/>
  <c r="G31" i="47"/>
  <c r="G31" i="45"/>
  <c r="G31" i="44"/>
  <c r="F30" i="28"/>
  <c r="BB58" i="19"/>
  <c r="G59" i="46"/>
  <c r="G59" i="47"/>
  <c r="G59" i="45"/>
  <c r="G61" i="44"/>
  <c r="F58" i="28"/>
  <c r="BB59" i="19"/>
  <c r="G60" i="45"/>
  <c r="G60" i="47"/>
  <c r="G60" i="46"/>
  <c r="G26" i="44"/>
  <c r="F59" i="28"/>
  <c r="BB38" i="19"/>
  <c r="G39" i="46"/>
  <c r="G39" i="47"/>
  <c r="G39" i="45"/>
  <c r="G39" i="44"/>
  <c r="F38" i="28"/>
  <c r="BB34" i="19"/>
  <c r="G35" i="46"/>
  <c r="G35" i="47"/>
  <c r="G35" i="45"/>
  <c r="G35" i="44"/>
  <c r="F34" i="28"/>
  <c r="BB36" i="19"/>
  <c r="G37" i="46"/>
  <c r="G37" i="45"/>
  <c r="G37" i="47"/>
  <c r="G37" i="44"/>
  <c r="F36" i="28"/>
  <c r="BB26" i="19"/>
  <c r="G27" i="46"/>
  <c r="G27" i="47"/>
  <c r="G27" i="45"/>
  <c r="G27" i="44"/>
  <c r="F26" i="28"/>
  <c r="BB65" i="19"/>
  <c r="G66" i="47"/>
  <c r="G66" i="45"/>
  <c r="G66" i="46"/>
  <c r="G66" i="44"/>
  <c r="F65" i="28"/>
  <c r="BB48" i="19"/>
  <c r="G49" i="45"/>
  <c r="G49" i="46"/>
  <c r="G49" i="47"/>
  <c r="G49" i="44"/>
  <c r="F48" i="28"/>
  <c r="BB52" i="19"/>
  <c r="G53" i="46"/>
  <c r="G53" i="45"/>
  <c r="G53" i="47"/>
  <c r="G53" i="44"/>
  <c r="F52" i="28"/>
  <c r="BB45" i="19"/>
  <c r="G46" i="47"/>
  <c r="G46" i="45"/>
  <c r="G46" i="46"/>
  <c r="G46" i="44"/>
  <c r="F45" i="28"/>
  <c r="BB41" i="19"/>
  <c r="G42" i="47"/>
  <c r="G42" i="45"/>
  <c r="G42" i="46"/>
  <c r="G42" i="44"/>
  <c r="F41" i="28"/>
  <c r="BB29" i="19"/>
  <c r="G18" i="47"/>
  <c r="G18" i="45"/>
  <c r="G18" i="46"/>
  <c r="G9" i="44"/>
  <c r="F29" i="28"/>
  <c r="BB37" i="19"/>
  <c r="G38" i="47"/>
  <c r="G38" i="45"/>
  <c r="G38" i="46"/>
  <c r="G38" i="44"/>
  <c r="F37" i="28"/>
  <c r="BB70" i="19"/>
  <c r="G71" i="46"/>
  <c r="G71" i="47"/>
  <c r="G71" i="45"/>
  <c r="G71" i="44"/>
  <c r="F70" i="28"/>
  <c r="BB21" i="19"/>
  <c r="G22" i="47"/>
  <c r="G22" i="45"/>
  <c r="G22" i="46"/>
  <c r="G22" i="44"/>
  <c r="F21" i="28"/>
  <c r="BB7" i="19"/>
  <c r="G8" i="45"/>
  <c r="G8" i="46"/>
  <c r="G8" i="47"/>
  <c r="G8" i="44"/>
  <c r="F7" i="28"/>
  <c r="BB75" i="19"/>
  <c r="G76" i="45"/>
  <c r="G76" i="47"/>
  <c r="G76" i="46"/>
  <c r="G76" i="44"/>
  <c r="F75" i="28"/>
  <c r="BB73" i="19"/>
  <c r="G74" i="47"/>
  <c r="G74" i="45"/>
  <c r="G74" i="46"/>
  <c r="G74" i="44"/>
  <c r="F73" i="28"/>
  <c r="BB49" i="19"/>
  <c r="G50" i="47"/>
  <c r="G50" i="45"/>
  <c r="G50" i="46"/>
  <c r="G50" i="44"/>
  <c r="F49" i="28"/>
  <c r="BB31" i="19"/>
  <c r="G32" i="45"/>
  <c r="G32" i="47"/>
  <c r="G32" i="46"/>
  <c r="G32" i="44"/>
  <c r="F31" i="28"/>
  <c r="BB63" i="19"/>
  <c r="G64" i="45"/>
  <c r="G64" i="46"/>
  <c r="G64" i="47"/>
  <c r="G64" i="44"/>
  <c r="F63" i="28"/>
  <c r="BB20" i="19"/>
  <c r="G21" i="46"/>
  <c r="G21" i="45"/>
  <c r="G21" i="47"/>
  <c r="G21" i="44"/>
  <c r="F20" i="28"/>
  <c r="BB55" i="19"/>
  <c r="G56" i="45"/>
  <c r="G56" i="46"/>
  <c r="G56" i="47"/>
  <c r="G56" i="44"/>
  <c r="F55" i="28"/>
  <c r="BB71" i="19"/>
  <c r="G72" i="45"/>
  <c r="G72" i="46"/>
  <c r="G72" i="47"/>
  <c r="G72" i="44"/>
  <c r="F71" i="28"/>
  <c r="BB56" i="19"/>
  <c r="G57" i="45"/>
  <c r="G57" i="46"/>
  <c r="G57" i="47"/>
  <c r="G57" i="44"/>
  <c r="F56" i="28"/>
  <c r="BB35" i="19"/>
  <c r="G36" i="45"/>
  <c r="G36" i="46"/>
  <c r="G36" i="47"/>
  <c r="G36" i="44"/>
  <c r="F35" i="28"/>
  <c r="BB25" i="19"/>
  <c r="G26" i="47"/>
  <c r="G26" i="45"/>
  <c r="G26" i="46"/>
  <c r="G30" i="44"/>
  <c r="F25" i="28"/>
  <c r="BB61" i="19"/>
  <c r="G62" i="47"/>
  <c r="G62" i="45"/>
  <c r="G62" i="46"/>
  <c r="G62" i="44"/>
  <c r="F61" i="28"/>
  <c r="AF22" i="19"/>
  <c r="AA22" i="48"/>
  <c r="AX4" i="19"/>
  <c r="AF19" i="19"/>
  <c r="AA19" i="48"/>
  <c r="BD75" i="19"/>
  <c r="H43" i="3"/>
  <c r="BD47" i="19"/>
  <c r="BD73" i="19"/>
  <c r="AP78" i="19"/>
  <c r="AP77" i="19"/>
  <c r="AP68" i="19"/>
  <c r="AP62" i="19"/>
  <c r="AP61" i="19"/>
  <c r="AP60" i="19"/>
  <c r="AP57" i="19"/>
  <c r="AP53" i="19"/>
  <c r="AP50" i="19"/>
  <c r="BD37" i="19"/>
  <c r="AP32" i="19"/>
  <c r="BD25" i="19"/>
  <c r="AP24" i="19"/>
  <c r="AP69" i="19"/>
  <c r="AP66" i="19"/>
  <c r="AP56" i="19"/>
  <c r="AP45" i="19"/>
  <c r="AP39" i="19"/>
  <c r="AR18" i="19"/>
  <c r="AR14" i="19"/>
  <c r="AR10" i="19"/>
  <c r="AR17" i="19"/>
  <c r="AR9" i="19"/>
  <c r="H19" i="3"/>
  <c r="H12" i="3"/>
  <c r="D2" i="5"/>
  <c r="K2" i="19"/>
  <c r="H8" i="3"/>
  <c r="H6" i="3"/>
  <c r="H4" i="3"/>
  <c r="G72" i="3"/>
  <c r="G24" i="3"/>
  <c r="AA102" i="48" s="1"/>
  <c r="G88" i="3"/>
  <c r="G35" i="3"/>
  <c r="G47" i="3"/>
  <c r="H47" i="3" s="1"/>
  <c r="G75" i="3"/>
  <c r="G81" i="3"/>
  <c r="G84" i="3"/>
  <c r="H59" i="3"/>
  <c r="G28" i="3"/>
  <c r="G48" i="3"/>
  <c r="G52" i="3"/>
  <c r="AA33" i="48" s="1"/>
  <c r="AR69" i="19"/>
  <c r="AS9" i="19"/>
  <c r="AS10" i="19"/>
  <c r="AR57" i="19"/>
  <c r="AS14" i="19"/>
  <c r="AR70" i="19"/>
  <c r="AR25" i="19"/>
  <c r="AS18" i="19"/>
  <c r="AR32" i="19"/>
  <c r="AS40" i="19"/>
  <c r="BD11" i="19"/>
  <c r="BD18" i="19"/>
  <c r="BD13" i="19"/>
  <c r="BD15" i="19"/>
  <c r="BD3" i="19"/>
  <c r="BD17" i="19"/>
  <c r="AO16" i="19"/>
  <c r="AO10" i="19"/>
  <c r="AO18" i="19"/>
  <c r="AO3" i="19"/>
  <c r="AO21" i="19"/>
  <c r="AO7" i="19"/>
  <c r="AO20" i="19"/>
  <c r="AO15" i="19"/>
  <c r="AO14" i="19"/>
  <c r="AO2" i="19"/>
  <c r="AN2" i="19"/>
  <c r="AN3" i="19"/>
  <c r="AN11" i="19"/>
  <c r="AN14" i="19"/>
  <c r="AN18" i="19"/>
  <c r="AN15" i="19"/>
  <c r="AN9" i="19"/>
  <c r="AN10" i="19"/>
  <c r="AN17" i="19"/>
  <c r="G85" i="3"/>
  <c r="G83" i="3"/>
  <c r="G31" i="3"/>
  <c r="G37" i="3"/>
  <c r="G60" i="3"/>
  <c r="G40" i="3"/>
  <c r="G23" i="3"/>
  <c r="AA73" i="48" s="1"/>
  <c r="G14" i="3"/>
  <c r="AA57" i="48" s="1"/>
  <c r="G86" i="3"/>
  <c r="AA49" i="48" s="1"/>
  <c r="G69" i="3"/>
  <c r="G18" i="3"/>
  <c r="G20" i="3"/>
  <c r="AA7" i="48" s="1"/>
  <c r="G63" i="3"/>
  <c r="AA110" i="48" s="1"/>
  <c r="G30" i="3"/>
  <c r="G62" i="3"/>
  <c r="G50" i="3"/>
  <c r="AA109" i="48" s="1"/>
  <c r="G64" i="3"/>
  <c r="G38" i="3"/>
  <c r="G9" i="3"/>
  <c r="G17" i="3"/>
  <c r="AF6" i="19" s="1"/>
  <c r="G25" i="3"/>
  <c r="G41" i="3"/>
  <c r="G68" i="3"/>
  <c r="AF76" i="19" s="1"/>
  <c r="G27" i="3"/>
  <c r="G15" i="3"/>
  <c r="AA82" i="48" s="1"/>
  <c r="G39" i="3"/>
  <c r="AA39" i="48" s="1"/>
  <c r="G55" i="3"/>
  <c r="AA43" i="48" s="1"/>
  <c r="G71" i="3"/>
  <c r="G10" i="3"/>
  <c r="G77" i="3"/>
  <c r="G51" i="3"/>
  <c r="G67" i="3"/>
  <c r="G29" i="3"/>
  <c r="G45" i="3"/>
  <c r="G61" i="3"/>
  <c r="G44" i="3"/>
  <c r="G26" i="3"/>
  <c r="G13" i="3"/>
  <c r="AA56" i="48" s="1"/>
  <c r="G21" i="3"/>
  <c r="AF58" i="19" s="1"/>
  <c r="G34" i="3"/>
  <c r="G16" i="3"/>
  <c r="AF80" i="19" s="1"/>
  <c r="G87" i="3"/>
  <c r="AF118" i="19" s="1"/>
  <c r="H46" i="3"/>
  <c r="H58" i="3"/>
  <c r="H54" i="3"/>
  <c r="H33" i="3"/>
  <c r="AF33" i="19"/>
  <c r="H49" i="3"/>
  <c r="H65" i="3"/>
  <c r="AF65" i="19"/>
  <c r="H81" i="3"/>
  <c r="H56" i="3"/>
  <c r="AF56" i="19"/>
  <c r="H66" i="3"/>
  <c r="AF66" i="19"/>
  <c r="H11" i="3"/>
  <c r="H53" i="3"/>
  <c r="H72" i="3"/>
  <c r="H42" i="3"/>
  <c r="AF42" i="19"/>
  <c r="H74" i="3"/>
  <c r="AF74" i="19"/>
  <c r="AF52" i="19"/>
  <c r="H57" i="3"/>
  <c r="AF57" i="19"/>
  <c r="H73" i="3"/>
  <c r="H32" i="3"/>
  <c r="H84" i="3"/>
  <c r="H70" i="3"/>
  <c r="AF70" i="19"/>
  <c r="H78" i="3"/>
  <c r="H18" i="3"/>
  <c r="H36" i="3"/>
  <c r="H80" i="3"/>
  <c r="G5" i="3"/>
  <c r="H7" i="3"/>
  <c r="G3" i="3"/>
  <c r="AA3" i="48" s="1"/>
  <c r="AS24" i="19"/>
  <c r="AR24" i="19"/>
  <c r="AS17" i="19"/>
  <c r="AS33" i="19"/>
  <c r="AR33" i="19"/>
  <c r="AR31" i="19"/>
  <c r="AS61" i="19"/>
  <c r="AR61" i="19"/>
  <c r="BD2" i="19"/>
  <c r="AL77" i="19"/>
  <c r="AE77" i="19"/>
  <c r="AE53" i="19"/>
  <c r="AL53" i="19"/>
  <c r="AL29" i="19"/>
  <c r="D13" i="5"/>
  <c r="D5" i="5"/>
  <c r="E5" i="5" s="1"/>
  <c r="Z5" i="48" s="1"/>
  <c r="AL76" i="19"/>
  <c r="AE76" i="19"/>
  <c r="AL44" i="19"/>
  <c r="AE44" i="19"/>
  <c r="D16" i="5"/>
  <c r="E16" i="5" s="1"/>
  <c r="Z16" i="48" s="1"/>
  <c r="D4" i="5"/>
  <c r="E4" i="5" s="1"/>
  <c r="AL55" i="19"/>
  <c r="AE55" i="19"/>
  <c r="AL47" i="19"/>
  <c r="AE47" i="19"/>
  <c r="AL27" i="19"/>
  <c r="AE27" i="19"/>
  <c r="D15" i="5"/>
  <c r="D11" i="5"/>
  <c r="E11" i="5" s="1"/>
  <c r="Z11" i="48" s="1"/>
  <c r="D7" i="5"/>
  <c r="AE57" i="19"/>
  <c r="AL57" i="19"/>
  <c r="AL49" i="19"/>
  <c r="AE49" i="19"/>
  <c r="AE25" i="19"/>
  <c r="AL25" i="19"/>
  <c r="D17" i="5"/>
  <c r="D9" i="5"/>
  <c r="D3" i="5"/>
  <c r="E3" i="5" s="1"/>
  <c r="Z3" i="48" s="1"/>
  <c r="AL40" i="19"/>
  <c r="AE40" i="19"/>
  <c r="AE28" i="19"/>
  <c r="AL28" i="19"/>
  <c r="D12" i="5"/>
  <c r="E12" i="5" s="1"/>
  <c r="Z12" i="48" s="1"/>
  <c r="D8" i="5"/>
  <c r="AE42" i="19"/>
  <c r="AL42" i="19"/>
  <c r="AE38" i="19"/>
  <c r="AL38" i="19"/>
  <c r="AL30" i="19"/>
  <c r="AE30" i="19"/>
  <c r="D14" i="5"/>
  <c r="E14" i="5" s="1"/>
  <c r="Z14" i="48" s="1"/>
  <c r="D10" i="5"/>
  <c r="E10" i="5" s="1"/>
  <c r="Z10" i="48" s="1"/>
  <c r="D6" i="5"/>
  <c r="E2" i="5"/>
  <c r="Z2" i="48" s="1"/>
  <c r="AF7" i="19" l="1"/>
  <c r="AA11" i="48"/>
  <c r="AF46" i="19"/>
  <c r="AA58" i="48"/>
  <c r="AF4" i="19"/>
  <c r="AA80" i="48"/>
  <c r="AF49" i="19"/>
  <c r="AA79" i="48"/>
  <c r="AA76" i="48"/>
  <c r="AA15" i="48"/>
  <c r="AA92" i="48"/>
  <c r="AF132" i="19"/>
  <c r="AA132" i="48"/>
  <c r="AF107" i="19"/>
  <c r="AA5" i="48"/>
  <c r="AH135" i="48"/>
  <c r="AV135" i="48" s="1"/>
  <c r="AZ135" i="48" s="1"/>
  <c r="AM135" i="19"/>
  <c r="AM22" i="19"/>
  <c r="BA22" i="19" s="1"/>
  <c r="AF41" i="19"/>
  <c r="AF134" i="19"/>
  <c r="AA134" i="48"/>
  <c r="AF131" i="19"/>
  <c r="AA131" i="48"/>
  <c r="AF32" i="19"/>
  <c r="AA123" i="48"/>
  <c r="AF123" i="19"/>
  <c r="AA139" i="48"/>
  <c r="AF139" i="19"/>
  <c r="AF104" i="19"/>
  <c r="AF102" i="19"/>
  <c r="AF94" i="19"/>
  <c r="AA75" i="48"/>
  <c r="AF133" i="19"/>
  <c r="AA133" i="48"/>
  <c r="AF73" i="19"/>
  <c r="AF136" i="19"/>
  <c r="AA136" i="48"/>
  <c r="H85" i="3"/>
  <c r="AA127" i="48"/>
  <c r="AF127" i="19"/>
  <c r="AF109" i="19"/>
  <c r="AA104" i="48"/>
  <c r="AA94" i="48"/>
  <c r="AF43" i="19"/>
  <c r="AA138" i="48"/>
  <c r="AF138" i="19"/>
  <c r="AF96" i="19"/>
  <c r="AA118" i="48"/>
  <c r="AF110" i="19"/>
  <c r="AF11" i="19"/>
  <c r="AF115" i="19"/>
  <c r="AA115" i="48"/>
  <c r="AF120" i="19"/>
  <c r="AA120" i="48"/>
  <c r="AF79" i="19"/>
  <c r="AH22" i="48"/>
  <c r="AV22" i="48" s="1"/>
  <c r="AZ22" i="48" s="1"/>
  <c r="AA107" i="48"/>
  <c r="AM122" i="19"/>
  <c r="AH122" i="48"/>
  <c r="AV122" i="48" s="1"/>
  <c r="AZ122" i="48" s="1"/>
  <c r="AA54" i="48"/>
  <c r="AA46" i="48"/>
  <c r="AF8" i="19"/>
  <c r="AA59" i="48"/>
  <c r="AA96" i="48"/>
  <c r="AA70" i="48"/>
  <c r="AA78" i="48"/>
  <c r="AF122" i="19"/>
  <c r="AA122" i="48"/>
  <c r="AM119" i="19"/>
  <c r="AH119" i="48"/>
  <c r="AV119" i="48" s="1"/>
  <c r="AZ119" i="48" s="1"/>
  <c r="AH114" i="48"/>
  <c r="AV114" i="48" s="1"/>
  <c r="AZ114" i="48" s="1"/>
  <c r="AM114" i="19"/>
  <c r="AH116" i="48"/>
  <c r="AV116" i="48" s="1"/>
  <c r="AZ116" i="48" s="1"/>
  <c r="AM116" i="19"/>
  <c r="AM120" i="19"/>
  <c r="AH120" i="48"/>
  <c r="AV120" i="48" s="1"/>
  <c r="AZ120" i="48" s="1"/>
  <c r="AA12" i="48"/>
  <c r="AA121" i="48"/>
  <c r="AF121" i="19"/>
  <c r="AA116" i="48"/>
  <c r="AF116" i="19"/>
  <c r="AF59" i="19"/>
  <c r="AM117" i="19"/>
  <c r="AH117" i="48"/>
  <c r="AV117" i="48" s="1"/>
  <c r="AZ117" i="48" s="1"/>
  <c r="AF92" i="19"/>
  <c r="AA65" i="48"/>
  <c r="AA74" i="48"/>
  <c r="AF38" i="19"/>
  <c r="AM89" i="19"/>
  <c r="AH89" i="48"/>
  <c r="AV89" i="48" s="1"/>
  <c r="AZ89" i="48" s="1"/>
  <c r="AA63" i="48"/>
  <c r="AA100" i="48"/>
  <c r="AF100" i="19"/>
  <c r="AF98" i="19"/>
  <c r="AA98" i="48"/>
  <c r="AF12" i="19"/>
  <c r="AF54" i="19"/>
  <c r="AA90" i="48"/>
  <c r="AF90" i="19"/>
  <c r="AA67" i="48"/>
  <c r="AA103" i="48"/>
  <c r="AF103" i="19"/>
  <c r="AA71" i="48"/>
  <c r="AF105" i="19"/>
  <c r="AA105" i="48"/>
  <c r="AA95" i="48"/>
  <c r="AF95" i="19"/>
  <c r="AF111" i="19"/>
  <c r="AA111" i="48"/>
  <c r="AA4" i="48"/>
  <c r="AA8" i="48"/>
  <c r="AA6" i="48"/>
  <c r="AA36" i="48"/>
  <c r="AF108" i="19"/>
  <c r="AA108" i="48"/>
  <c r="AA112" i="48"/>
  <c r="AF112" i="19"/>
  <c r="AA72" i="48"/>
  <c r="AF106" i="19"/>
  <c r="AA106" i="48"/>
  <c r="AA32" i="48"/>
  <c r="AM93" i="19"/>
  <c r="AH93" i="48"/>
  <c r="AV93" i="48" s="1"/>
  <c r="AZ93" i="48" s="1"/>
  <c r="AA101" i="48"/>
  <c r="AF101" i="19"/>
  <c r="AF113" i="19"/>
  <c r="AA113" i="48"/>
  <c r="AF78" i="19"/>
  <c r="AF36" i="19"/>
  <c r="AF53" i="19"/>
  <c r="AM99" i="19"/>
  <c r="AH99" i="48"/>
  <c r="AV99" i="48" s="1"/>
  <c r="AZ99" i="48" s="1"/>
  <c r="AM94" i="19"/>
  <c r="AH94" i="48"/>
  <c r="AV94" i="48" s="1"/>
  <c r="AZ94" i="48" s="1"/>
  <c r="AA51" i="48"/>
  <c r="AA97" i="48"/>
  <c r="AF97" i="19"/>
  <c r="AA55" i="48"/>
  <c r="AF82" i="19"/>
  <c r="AA53" i="48"/>
  <c r="BB2" i="19"/>
  <c r="G3" i="46"/>
  <c r="G3" i="47"/>
  <c r="G3" i="45"/>
  <c r="G3" i="44"/>
  <c r="F2" i="28"/>
  <c r="I61" i="44"/>
  <c r="J57" i="28"/>
  <c r="H16" i="28"/>
  <c r="BD16" i="19"/>
  <c r="I17" i="44"/>
  <c r="H20" i="28"/>
  <c r="I21" i="45"/>
  <c r="I24" i="46"/>
  <c r="H17" i="28"/>
  <c r="I17" i="45"/>
  <c r="BC2" i="19"/>
  <c r="H3" i="47"/>
  <c r="H3" i="45"/>
  <c r="H3" i="46"/>
  <c r="H3" i="44"/>
  <c r="G2" i="28"/>
  <c r="J20" i="28"/>
  <c r="K21" i="47"/>
  <c r="I21" i="44"/>
  <c r="BD20" i="19"/>
  <c r="I66" i="45"/>
  <c r="I66" i="44"/>
  <c r="I66" i="47"/>
  <c r="H65" i="28"/>
  <c r="I66" i="46"/>
  <c r="BD65" i="19"/>
  <c r="I41" i="44"/>
  <c r="I41" i="47"/>
  <c r="H40" i="28"/>
  <c r="I41" i="46"/>
  <c r="I41" i="45"/>
  <c r="I50" i="46"/>
  <c r="H49" i="28"/>
  <c r="I50" i="45"/>
  <c r="I50" i="44"/>
  <c r="I50" i="47"/>
  <c r="BD49" i="19"/>
  <c r="BD40" i="19"/>
  <c r="I37" i="44"/>
  <c r="I37" i="46"/>
  <c r="H36" i="28"/>
  <c r="I37" i="45"/>
  <c r="I37" i="47"/>
  <c r="I65" i="46"/>
  <c r="H64" i="28"/>
  <c r="I65" i="44"/>
  <c r="I65" i="47"/>
  <c r="I65" i="45"/>
  <c r="BD64" i="19"/>
  <c r="I49" i="46"/>
  <c r="H48" i="28"/>
  <c r="I49" i="47"/>
  <c r="I49" i="45"/>
  <c r="I49" i="44"/>
  <c r="BD48" i="19"/>
  <c r="I55" i="46"/>
  <c r="H54" i="28"/>
  <c r="I55" i="45"/>
  <c r="I55" i="44"/>
  <c r="I55" i="47"/>
  <c r="BD54" i="19"/>
  <c r="I4" i="44"/>
  <c r="I4" i="47"/>
  <c r="H3" i="28"/>
  <c r="I4" i="46"/>
  <c r="I4" i="45"/>
  <c r="I47" i="44"/>
  <c r="I47" i="45"/>
  <c r="I47" i="47"/>
  <c r="H46" i="28"/>
  <c r="I47" i="46"/>
  <c r="BD46" i="19"/>
  <c r="I71" i="44"/>
  <c r="I71" i="47"/>
  <c r="H70" i="28"/>
  <c r="I71" i="46"/>
  <c r="I71" i="45"/>
  <c r="BD70" i="19"/>
  <c r="BD36" i="19"/>
  <c r="K24" i="46"/>
  <c r="K24" i="47"/>
  <c r="K24" i="45"/>
  <c r="K10" i="44"/>
  <c r="J17" i="28"/>
  <c r="J32" i="47"/>
  <c r="J32" i="46"/>
  <c r="J32" i="45"/>
  <c r="J32" i="44"/>
  <c r="I31" i="28"/>
  <c r="J25" i="46"/>
  <c r="J25" i="47"/>
  <c r="J25" i="45"/>
  <c r="J25" i="44"/>
  <c r="I24" i="28"/>
  <c r="J33" i="46"/>
  <c r="J33" i="47"/>
  <c r="J33" i="45"/>
  <c r="J33" i="44"/>
  <c r="I32" i="28"/>
  <c r="K15" i="47"/>
  <c r="K15" i="46"/>
  <c r="K15" i="45"/>
  <c r="K15" i="44"/>
  <c r="J14" i="28"/>
  <c r="J70" i="47"/>
  <c r="J70" i="46"/>
  <c r="J70" i="45"/>
  <c r="J70" i="44"/>
  <c r="I69" i="28"/>
  <c r="BD56" i="19"/>
  <c r="I57" i="47"/>
  <c r="I57" i="46"/>
  <c r="I57" i="45"/>
  <c r="I57" i="44"/>
  <c r="H56" i="28"/>
  <c r="BD85" i="19"/>
  <c r="I86" i="47"/>
  <c r="I86" i="46"/>
  <c r="I86" i="45"/>
  <c r="I86" i="44"/>
  <c r="H85" i="28"/>
  <c r="I72" i="47"/>
  <c r="I72" i="46"/>
  <c r="I72" i="45"/>
  <c r="I72" i="44"/>
  <c r="H71" i="28"/>
  <c r="K89" i="47"/>
  <c r="K89" i="46"/>
  <c r="K89" i="45"/>
  <c r="K89" i="44"/>
  <c r="J88" i="28"/>
  <c r="I36" i="47"/>
  <c r="I36" i="46"/>
  <c r="I36" i="45"/>
  <c r="I36" i="44"/>
  <c r="H35" i="28"/>
  <c r="I22" i="46"/>
  <c r="I22" i="47"/>
  <c r="I22" i="45"/>
  <c r="I22" i="44"/>
  <c r="H21" i="28"/>
  <c r="J34" i="47"/>
  <c r="J34" i="46"/>
  <c r="J34" i="45"/>
  <c r="J34" i="44"/>
  <c r="I33" i="28"/>
  <c r="K19" i="47"/>
  <c r="K19" i="46"/>
  <c r="K19" i="45"/>
  <c r="K19" i="44"/>
  <c r="J18" i="28"/>
  <c r="J58" i="47"/>
  <c r="J58" i="46"/>
  <c r="J58" i="45"/>
  <c r="J58" i="44"/>
  <c r="I57" i="28"/>
  <c r="J10" i="47"/>
  <c r="J10" i="46"/>
  <c r="J10" i="45"/>
  <c r="J28" i="44"/>
  <c r="I9" i="28"/>
  <c r="J11" i="47"/>
  <c r="J11" i="46"/>
  <c r="J11" i="45"/>
  <c r="J11" i="44"/>
  <c r="I10" i="28"/>
  <c r="J19" i="47"/>
  <c r="J19" i="46"/>
  <c r="J19" i="45"/>
  <c r="J19" i="44"/>
  <c r="I18" i="28"/>
  <c r="BD66" i="19"/>
  <c r="I67" i="47"/>
  <c r="I67" i="46"/>
  <c r="I67" i="45"/>
  <c r="I67" i="44"/>
  <c r="H66" i="28"/>
  <c r="BD50" i="19"/>
  <c r="I51" i="47"/>
  <c r="I51" i="46"/>
  <c r="I51" i="45"/>
  <c r="I51" i="44"/>
  <c r="H50" i="28"/>
  <c r="BD57" i="19"/>
  <c r="I58" i="47"/>
  <c r="I58" i="46"/>
  <c r="I58" i="45"/>
  <c r="I58" i="44"/>
  <c r="H57" i="28"/>
  <c r="BD61" i="19"/>
  <c r="I62" i="47"/>
  <c r="I62" i="46"/>
  <c r="I62" i="45"/>
  <c r="I62" i="44"/>
  <c r="H61" i="28"/>
  <c r="BD68" i="19"/>
  <c r="I69" i="46"/>
  <c r="I69" i="47"/>
  <c r="I69" i="45"/>
  <c r="I69" i="44"/>
  <c r="H68" i="28"/>
  <c r="BD78" i="19"/>
  <c r="I79" i="47"/>
  <c r="I79" i="46"/>
  <c r="I79" i="45"/>
  <c r="I79" i="44"/>
  <c r="H78" i="28"/>
  <c r="I73" i="47"/>
  <c r="I73" i="46"/>
  <c r="I73" i="45"/>
  <c r="I73" i="44"/>
  <c r="H72" i="28"/>
  <c r="I84" i="47"/>
  <c r="I84" i="46"/>
  <c r="I84" i="45"/>
  <c r="I84" i="44"/>
  <c r="H83" i="28"/>
  <c r="BD83" i="19"/>
  <c r="K25" i="47"/>
  <c r="K25" i="46"/>
  <c r="K25" i="45"/>
  <c r="K25" i="44"/>
  <c r="J24" i="28"/>
  <c r="J62" i="47"/>
  <c r="J62" i="46"/>
  <c r="J62" i="45"/>
  <c r="J62" i="44"/>
  <c r="I61" i="28"/>
  <c r="K34" i="47"/>
  <c r="K34" i="46"/>
  <c r="K34" i="45"/>
  <c r="K34" i="44"/>
  <c r="J33" i="28"/>
  <c r="J26" i="47"/>
  <c r="J26" i="46"/>
  <c r="J26" i="45"/>
  <c r="J30" i="44"/>
  <c r="I25" i="28"/>
  <c r="K11" i="47"/>
  <c r="K11" i="46"/>
  <c r="K11" i="45"/>
  <c r="K11" i="44"/>
  <c r="J10" i="28"/>
  <c r="BD39" i="19"/>
  <c r="I40" i="47"/>
  <c r="I40" i="46"/>
  <c r="I40" i="45"/>
  <c r="I40" i="44"/>
  <c r="H39" i="28"/>
  <c r="BD69" i="19"/>
  <c r="I70" i="47"/>
  <c r="I70" i="46"/>
  <c r="I70" i="45"/>
  <c r="I70" i="44"/>
  <c r="H69" i="28"/>
  <c r="BD32" i="19"/>
  <c r="I33" i="47"/>
  <c r="I33" i="46"/>
  <c r="I33" i="45"/>
  <c r="I33" i="44"/>
  <c r="H32" i="28"/>
  <c r="I10" i="46"/>
  <c r="I10" i="47"/>
  <c r="I10" i="45"/>
  <c r="I28" i="44"/>
  <c r="H9" i="28"/>
  <c r="BD71" i="19"/>
  <c r="BD80" i="19"/>
  <c r="I81" i="46"/>
  <c r="I81" i="47"/>
  <c r="I81" i="45"/>
  <c r="I81" i="44"/>
  <c r="H80" i="28"/>
  <c r="BD35" i="19"/>
  <c r="K62" i="47"/>
  <c r="K62" i="46"/>
  <c r="K62" i="45"/>
  <c r="K62" i="44"/>
  <c r="J61" i="28"/>
  <c r="K41" i="47"/>
  <c r="K41" i="46"/>
  <c r="K41" i="45"/>
  <c r="K41" i="44"/>
  <c r="J40" i="28"/>
  <c r="J71" i="47"/>
  <c r="J71" i="46"/>
  <c r="J71" i="45"/>
  <c r="J71" i="44"/>
  <c r="I70" i="28"/>
  <c r="K10" i="47"/>
  <c r="K10" i="46"/>
  <c r="K10" i="45"/>
  <c r="K28" i="44"/>
  <c r="J9" i="28"/>
  <c r="J24" i="47"/>
  <c r="J24" i="46"/>
  <c r="J24" i="45"/>
  <c r="J10" i="44"/>
  <c r="I17" i="28"/>
  <c r="J15" i="47"/>
  <c r="J15" i="46"/>
  <c r="J15" i="45"/>
  <c r="J15" i="44"/>
  <c r="I14" i="28"/>
  <c r="BD45" i="19"/>
  <c r="I46" i="47"/>
  <c r="I46" i="46"/>
  <c r="I46" i="45"/>
  <c r="I46" i="44"/>
  <c r="H45" i="28"/>
  <c r="BD24" i="19"/>
  <c r="I25" i="47"/>
  <c r="I25" i="46"/>
  <c r="I25" i="45"/>
  <c r="I25" i="44"/>
  <c r="H24" i="28"/>
  <c r="BD53" i="19"/>
  <c r="I54" i="47"/>
  <c r="I54" i="46"/>
  <c r="I54" i="45"/>
  <c r="I54" i="44"/>
  <c r="H53" i="28"/>
  <c r="BD60" i="19"/>
  <c r="I61" i="47"/>
  <c r="I61" i="46"/>
  <c r="I61" i="45"/>
  <c r="I60" i="44"/>
  <c r="H60" i="28"/>
  <c r="BD62" i="19"/>
  <c r="I63" i="47"/>
  <c r="I63" i="46"/>
  <c r="I63" i="45"/>
  <c r="I63" i="44"/>
  <c r="H62" i="28"/>
  <c r="BD77" i="19"/>
  <c r="I78" i="47"/>
  <c r="I78" i="46"/>
  <c r="I78" i="45"/>
  <c r="I78" i="44"/>
  <c r="H77" i="28"/>
  <c r="I88" i="47"/>
  <c r="I88" i="46"/>
  <c r="I88" i="45"/>
  <c r="I88" i="44"/>
  <c r="H87" i="28"/>
  <c r="BD87" i="19"/>
  <c r="BD72" i="19"/>
  <c r="I6" i="46"/>
  <c r="I6" i="47"/>
  <c r="I6" i="45"/>
  <c r="I6" i="44"/>
  <c r="H5" i="28"/>
  <c r="BC18" i="19"/>
  <c r="H19" i="47"/>
  <c r="H19" i="46"/>
  <c r="H19" i="45"/>
  <c r="H19" i="44"/>
  <c r="G18" i="28"/>
  <c r="BC7" i="19"/>
  <c r="H8" i="47"/>
  <c r="H8" i="46"/>
  <c r="H8" i="45"/>
  <c r="H8" i="44"/>
  <c r="G7" i="28"/>
  <c r="BC10" i="19"/>
  <c r="H11" i="47"/>
  <c r="H11" i="46"/>
  <c r="H11" i="45"/>
  <c r="H11" i="44"/>
  <c r="G10" i="28"/>
  <c r="BC20" i="19"/>
  <c r="H21" i="47"/>
  <c r="H21" i="46"/>
  <c r="H21" i="45"/>
  <c r="H21" i="44"/>
  <c r="G20" i="28"/>
  <c r="BC14" i="19"/>
  <c r="H15" i="47"/>
  <c r="H15" i="46"/>
  <c r="H15" i="45"/>
  <c r="H15" i="44"/>
  <c r="G14" i="28"/>
  <c r="BC21" i="19"/>
  <c r="H22" i="47"/>
  <c r="H22" i="46"/>
  <c r="H22" i="45"/>
  <c r="H22" i="44"/>
  <c r="G21" i="28"/>
  <c r="BC16" i="19"/>
  <c r="H17" i="47"/>
  <c r="H17" i="46"/>
  <c r="H17" i="45"/>
  <c r="H17" i="44"/>
  <c r="G16" i="28"/>
  <c r="BC15" i="19"/>
  <c r="H16" i="47"/>
  <c r="H16" i="46"/>
  <c r="H16" i="45"/>
  <c r="H16" i="44"/>
  <c r="G15" i="28"/>
  <c r="BC3" i="19"/>
  <c r="H4" i="47"/>
  <c r="H4" i="46"/>
  <c r="H4" i="45"/>
  <c r="H4" i="44"/>
  <c r="G3" i="28"/>
  <c r="BB9" i="19"/>
  <c r="G10" i="47"/>
  <c r="G10" i="45"/>
  <c r="G10" i="46"/>
  <c r="G28" i="44"/>
  <c r="F9" i="28"/>
  <c r="BB15" i="19"/>
  <c r="G16" i="45"/>
  <c r="G16" i="46"/>
  <c r="G16" i="47"/>
  <c r="G16" i="44"/>
  <c r="F15" i="28"/>
  <c r="BB3" i="19"/>
  <c r="G4" i="45"/>
  <c r="G4" i="46"/>
  <c r="G4" i="47"/>
  <c r="G4" i="44"/>
  <c r="F3" i="28"/>
  <c r="BB11" i="19"/>
  <c r="G12" i="45"/>
  <c r="G12" i="47"/>
  <c r="G12" i="46"/>
  <c r="G12" i="44"/>
  <c r="F11" i="28"/>
  <c r="BB17" i="19"/>
  <c r="G24" i="45"/>
  <c r="G24" i="47"/>
  <c r="G24" i="46"/>
  <c r="G10" i="44"/>
  <c r="F17" i="28"/>
  <c r="BB18" i="19"/>
  <c r="G19" i="46"/>
  <c r="G19" i="47"/>
  <c r="G19" i="45"/>
  <c r="G19" i="44"/>
  <c r="F18" i="28"/>
  <c r="BB10" i="19"/>
  <c r="G11" i="46"/>
  <c r="G11" i="47"/>
  <c r="G11" i="45"/>
  <c r="G11" i="44"/>
  <c r="F10" i="28"/>
  <c r="BB14" i="19"/>
  <c r="G15" i="46"/>
  <c r="G15" i="47"/>
  <c r="G15" i="45"/>
  <c r="G15" i="44"/>
  <c r="F14" i="28"/>
  <c r="H44" i="3"/>
  <c r="AA44" i="48"/>
  <c r="H26" i="3"/>
  <c r="AA26" i="48"/>
  <c r="H64" i="3"/>
  <c r="AM111" i="19" s="1"/>
  <c r="AA64" i="48"/>
  <c r="AM49" i="19"/>
  <c r="H27" i="3"/>
  <c r="AA27" i="48"/>
  <c r="H50" i="3"/>
  <c r="AM109" i="19" s="1"/>
  <c r="BA109" i="19" s="1"/>
  <c r="BE109" i="19" s="1"/>
  <c r="AA50" i="48"/>
  <c r="H20" i="3"/>
  <c r="AA20" i="48"/>
  <c r="AF60" i="19"/>
  <c r="AA60" i="48"/>
  <c r="H52" i="3"/>
  <c r="AA52" i="48"/>
  <c r="AF72" i="19"/>
  <c r="AM53" i="19"/>
  <c r="AH53" i="48"/>
  <c r="AV53" i="48" s="1"/>
  <c r="AZ53" i="48" s="1"/>
  <c r="AM66" i="19"/>
  <c r="AH66" i="48"/>
  <c r="AV66" i="48" s="1"/>
  <c r="AZ66" i="48" s="1"/>
  <c r="AF21" i="19"/>
  <c r="AA21" i="48"/>
  <c r="AF61" i="19"/>
  <c r="AA61" i="48"/>
  <c r="AF68" i="19"/>
  <c r="AA68" i="48"/>
  <c r="AF9" i="19"/>
  <c r="AA9" i="48"/>
  <c r="AF62" i="19"/>
  <c r="AA62" i="48"/>
  <c r="AF18" i="19"/>
  <c r="AA18" i="48"/>
  <c r="H23" i="3"/>
  <c r="AA23" i="48"/>
  <c r="AF37" i="19"/>
  <c r="AA37" i="48"/>
  <c r="H48" i="3"/>
  <c r="AA48" i="48"/>
  <c r="AA81" i="48"/>
  <c r="AF81" i="19"/>
  <c r="H88" i="3"/>
  <c r="AA88" i="48"/>
  <c r="AF88" i="19"/>
  <c r="AH85" i="48"/>
  <c r="AV85" i="48" s="1"/>
  <c r="AZ85" i="48" s="1"/>
  <c r="AM85" i="19"/>
  <c r="H29" i="3"/>
  <c r="AA29" i="48"/>
  <c r="H10" i="3"/>
  <c r="AA10" i="48"/>
  <c r="AF25" i="19"/>
  <c r="AA25" i="48"/>
  <c r="H86" i="3"/>
  <c r="AH49" i="48" s="1"/>
  <c r="AV49" i="48" s="1"/>
  <c r="AZ49" i="48" s="1"/>
  <c r="AA86" i="48"/>
  <c r="AF86" i="19"/>
  <c r="AA83" i="48"/>
  <c r="AF83" i="19"/>
  <c r="AF47" i="19"/>
  <c r="AA47" i="48"/>
  <c r="AQ22" i="48"/>
  <c r="AO22" i="48"/>
  <c r="AP22" i="48" s="1"/>
  <c r="AR22" i="48"/>
  <c r="BA22" i="48"/>
  <c r="AM42" i="19"/>
  <c r="AH42" i="48"/>
  <c r="AV42" i="48" s="1"/>
  <c r="AZ42" i="48" s="1"/>
  <c r="H34" i="3"/>
  <c r="AA34" i="48"/>
  <c r="H17" i="3"/>
  <c r="AA17" i="48"/>
  <c r="H14" i="3"/>
  <c r="AM57" i="19" s="1"/>
  <c r="AA14" i="48"/>
  <c r="AA85" i="48"/>
  <c r="AF85" i="19"/>
  <c r="AA84" i="48"/>
  <c r="AF84" i="19"/>
  <c r="AF35" i="19"/>
  <c r="AA35" i="48"/>
  <c r="F23" i="45"/>
  <c r="AM7" i="19"/>
  <c r="AM33" i="19"/>
  <c r="AH33" i="48"/>
  <c r="AV33" i="48" s="1"/>
  <c r="AZ33" i="48" s="1"/>
  <c r="AA87" i="48"/>
  <c r="AF87" i="19"/>
  <c r="H13" i="3"/>
  <c r="AA13" i="48"/>
  <c r="H45" i="3"/>
  <c r="AM12" i="19" s="1"/>
  <c r="AA45" i="48"/>
  <c r="H77" i="3"/>
  <c r="H41" i="3"/>
  <c r="AA41" i="48"/>
  <c r="H38" i="3"/>
  <c r="AA38" i="48"/>
  <c r="H30" i="3"/>
  <c r="AM104" i="19" s="1"/>
  <c r="AA30" i="48"/>
  <c r="H69" i="3"/>
  <c r="AH72" i="48" s="1"/>
  <c r="AV72" i="48" s="1"/>
  <c r="AZ72" i="48" s="1"/>
  <c r="AA69" i="48"/>
  <c r="AF40" i="19"/>
  <c r="AA40" i="48"/>
  <c r="AF31" i="19"/>
  <c r="AA31" i="48"/>
  <c r="AF28" i="19"/>
  <c r="AA28" i="48"/>
  <c r="AF24" i="19"/>
  <c r="AA24" i="48"/>
  <c r="AM19" i="19"/>
  <c r="AH19" i="48"/>
  <c r="AV19" i="48" s="1"/>
  <c r="AZ38" i="19"/>
  <c r="E39" i="47"/>
  <c r="E39" i="46"/>
  <c r="E39" i="45"/>
  <c r="E39" i="44"/>
  <c r="D38" i="28"/>
  <c r="AZ29" i="19"/>
  <c r="E18" i="47"/>
  <c r="E18" i="46"/>
  <c r="E18" i="45"/>
  <c r="E9" i="44"/>
  <c r="D29" i="28"/>
  <c r="AZ40" i="19"/>
  <c r="E41" i="46"/>
  <c r="E41" i="47"/>
  <c r="E41" i="45"/>
  <c r="E41" i="44"/>
  <c r="D40" i="28"/>
  <c r="AZ25" i="19"/>
  <c r="E26" i="47"/>
  <c r="E26" i="46"/>
  <c r="E26" i="45"/>
  <c r="E30" i="44"/>
  <c r="D25" i="28"/>
  <c r="AZ57" i="19"/>
  <c r="E58" i="47"/>
  <c r="E58" i="46"/>
  <c r="E58" i="45"/>
  <c r="E58" i="44"/>
  <c r="D57" i="28"/>
  <c r="AZ47" i="19"/>
  <c r="E48" i="47"/>
  <c r="E48" i="46"/>
  <c r="E48" i="45"/>
  <c r="E48" i="44"/>
  <c r="D47" i="28"/>
  <c r="AZ76" i="19"/>
  <c r="E77" i="46"/>
  <c r="E77" i="47"/>
  <c r="E77" i="45"/>
  <c r="E77" i="44"/>
  <c r="D76" i="28"/>
  <c r="AZ53" i="19"/>
  <c r="E54" i="47"/>
  <c r="E54" i="46"/>
  <c r="E54" i="45"/>
  <c r="E54" i="44"/>
  <c r="D53" i="28"/>
  <c r="AE4" i="19"/>
  <c r="Z4" i="48"/>
  <c r="AZ77" i="19"/>
  <c r="E78" i="47"/>
  <c r="E78" i="46"/>
  <c r="E78" i="45"/>
  <c r="E78" i="44"/>
  <c r="D77" i="28"/>
  <c r="AZ42" i="19"/>
  <c r="E43" i="47"/>
  <c r="E43" i="46"/>
  <c r="E43" i="45"/>
  <c r="E43" i="44"/>
  <c r="D42" i="28"/>
  <c r="AZ28" i="19"/>
  <c r="E29" i="46"/>
  <c r="E29" i="47"/>
  <c r="E29" i="45"/>
  <c r="E29" i="44"/>
  <c r="D28" i="28"/>
  <c r="AZ49" i="19"/>
  <c r="E50" i="47"/>
  <c r="E50" i="46"/>
  <c r="E50" i="45"/>
  <c r="E50" i="44"/>
  <c r="D49" i="28"/>
  <c r="AZ30" i="19"/>
  <c r="E31" i="47"/>
  <c r="E31" i="46"/>
  <c r="E31" i="45"/>
  <c r="E31" i="44"/>
  <c r="D30" i="28"/>
  <c r="AZ27" i="19"/>
  <c r="E116" i="47"/>
  <c r="E116" i="46"/>
  <c r="E116" i="45"/>
  <c r="E59" i="44"/>
  <c r="D27" i="28"/>
  <c r="AZ55" i="19"/>
  <c r="E56" i="47"/>
  <c r="E56" i="46"/>
  <c r="E56" i="45"/>
  <c r="E56" i="44"/>
  <c r="D55" i="28"/>
  <c r="AZ44" i="19"/>
  <c r="E45" i="46"/>
  <c r="E45" i="47"/>
  <c r="E45" i="45"/>
  <c r="E45" i="44"/>
  <c r="D44" i="28"/>
  <c r="H40" i="3"/>
  <c r="AF30" i="19"/>
  <c r="H9" i="3"/>
  <c r="AH7" i="48" s="1"/>
  <c r="AV7" i="48" s="1"/>
  <c r="AR43" i="19"/>
  <c r="AS43" i="19"/>
  <c r="H68" i="3"/>
  <c r="H62" i="3"/>
  <c r="H61" i="3"/>
  <c r="AM18" i="19" s="1"/>
  <c r="H60" i="3"/>
  <c r="H37" i="3"/>
  <c r="H28" i="3"/>
  <c r="H24" i="3"/>
  <c r="AM102" i="19" s="1"/>
  <c r="AF23" i="19"/>
  <c r="H21" i="3"/>
  <c r="AM58" i="19" s="1"/>
  <c r="AR13" i="19"/>
  <c r="AR4" i="19"/>
  <c r="AR15" i="19"/>
  <c r="AR12" i="19"/>
  <c r="AR5" i="19"/>
  <c r="AR11" i="19"/>
  <c r="AR19" i="19"/>
  <c r="AR16" i="19"/>
  <c r="AR7" i="19"/>
  <c r="AR8" i="19"/>
  <c r="AR3" i="19"/>
  <c r="AS12" i="19"/>
  <c r="AS19" i="19"/>
  <c r="AE18" i="19"/>
  <c r="AL18" i="19"/>
  <c r="AE16" i="19"/>
  <c r="F16" i="5"/>
  <c r="AE12" i="19"/>
  <c r="F12" i="5"/>
  <c r="AE11" i="19"/>
  <c r="F11" i="5"/>
  <c r="F3" i="5"/>
  <c r="AE3" i="19"/>
  <c r="F5" i="5"/>
  <c r="AE5" i="19"/>
  <c r="F2" i="5"/>
  <c r="AE2" i="19"/>
  <c r="F10" i="5"/>
  <c r="AE10" i="19"/>
  <c r="AS8" i="19"/>
  <c r="AF48" i="19"/>
  <c r="AF14" i="19"/>
  <c r="AF50" i="19"/>
  <c r="E13" i="5"/>
  <c r="Z13" i="48" s="1"/>
  <c r="E17" i="5"/>
  <c r="Z17" i="48" s="1"/>
  <c r="F14" i="5"/>
  <c r="AE14" i="19"/>
  <c r="AE29" i="19"/>
  <c r="AL71" i="19"/>
  <c r="AE71" i="19"/>
  <c r="E15" i="5"/>
  <c r="Z15" i="48" s="1"/>
  <c r="AL24" i="19"/>
  <c r="AE24" i="19"/>
  <c r="E9" i="5"/>
  <c r="Z9" i="48" s="1"/>
  <c r="E8" i="5"/>
  <c r="Z8" i="48" s="1"/>
  <c r="E7" i="5"/>
  <c r="Z7" i="48" s="1"/>
  <c r="E6" i="5"/>
  <c r="Z6" i="48" s="1"/>
  <c r="F4" i="5"/>
  <c r="AF26" i="19"/>
  <c r="AF20" i="19"/>
  <c r="AF29" i="19"/>
  <c r="H83" i="3"/>
  <c r="H35" i="3"/>
  <c r="AF75" i="19"/>
  <c r="H75" i="3"/>
  <c r="H16" i="3"/>
  <c r="AM8" i="19" s="1"/>
  <c r="AS32" i="19"/>
  <c r="AR40" i="19"/>
  <c r="AR41" i="19"/>
  <c r="AS41" i="19"/>
  <c r="AF27" i="19"/>
  <c r="AF64" i="19"/>
  <c r="AF17" i="19"/>
  <c r="AF69" i="19"/>
  <c r="AF34" i="19"/>
  <c r="H31" i="3"/>
  <c r="AF44" i="19"/>
  <c r="H25" i="3"/>
  <c r="AH84" i="48" s="1"/>
  <c r="AV84" i="48" s="1"/>
  <c r="AZ84" i="48" s="1"/>
  <c r="AF63" i="19"/>
  <c r="H63" i="3"/>
  <c r="AM110" i="19" s="1"/>
  <c r="H87" i="3"/>
  <c r="AF15" i="19"/>
  <c r="H15" i="3"/>
  <c r="AF10" i="19"/>
  <c r="AF13" i="19"/>
  <c r="AF45" i="19"/>
  <c r="AF67" i="19"/>
  <c r="H67" i="3"/>
  <c r="AM113" i="19" s="1"/>
  <c r="AF71" i="19"/>
  <c r="H71" i="3"/>
  <c r="AF39" i="19"/>
  <c r="H39" i="3"/>
  <c r="AM36" i="19" s="1"/>
  <c r="AF51" i="19"/>
  <c r="H51" i="3"/>
  <c r="AM107" i="19" s="1"/>
  <c r="AF55" i="19"/>
  <c r="H55" i="3"/>
  <c r="AM54" i="19" s="1"/>
  <c r="O2" i="19"/>
  <c r="AX2" i="19" s="1"/>
  <c r="F2" i="3"/>
  <c r="H3" i="3"/>
  <c r="AM78" i="19" s="1"/>
  <c r="AF3" i="19"/>
  <c r="H5" i="3"/>
  <c r="AF5" i="19"/>
  <c r="AR37" i="19"/>
  <c r="AS37" i="19"/>
  <c r="AS65" i="19"/>
  <c r="AR65" i="19"/>
  <c r="AS46" i="19"/>
  <c r="AR46" i="19"/>
  <c r="AS5" i="19"/>
  <c r="AS58" i="19"/>
  <c r="AR58" i="19"/>
  <c r="AS39" i="19"/>
  <c r="AR39" i="19"/>
  <c r="AS74" i="19"/>
  <c r="AR74" i="19"/>
  <c r="AS7" i="19"/>
  <c r="AS13" i="19"/>
  <c r="AS51" i="19"/>
  <c r="AR51" i="19"/>
  <c r="AS31" i="19"/>
  <c r="AR36" i="19"/>
  <c r="AS50" i="19"/>
  <c r="AR50" i="19"/>
  <c r="AS55" i="19"/>
  <c r="AR55" i="19"/>
  <c r="AS35" i="19"/>
  <c r="AR35" i="19"/>
  <c r="AS27" i="19"/>
  <c r="AR27" i="19"/>
  <c r="AS38" i="19"/>
  <c r="AR38" i="19"/>
  <c r="AS75" i="19"/>
  <c r="AR75" i="19"/>
  <c r="AS16" i="19"/>
  <c r="AS30" i="19"/>
  <c r="AR30" i="19"/>
  <c r="AS66" i="19"/>
  <c r="AR66" i="19"/>
  <c r="AR47" i="19"/>
  <c r="AS73" i="19"/>
  <c r="AR73" i="19"/>
  <c r="AS56" i="19"/>
  <c r="AR56" i="19"/>
  <c r="AS72" i="19"/>
  <c r="AR72" i="19"/>
  <c r="AS63" i="19"/>
  <c r="AR63" i="19"/>
  <c r="AS11" i="19"/>
  <c r="AS29" i="19"/>
  <c r="AR29" i="19"/>
  <c r="AS21" i="19"/>
  <c r="AR21" i="19"/>
  <c r="AS4" i="19"/>
  <c r="AR28" i="19"/>
  <c r="AS23" i="19"/>
  <c r="AR23" i="19"/>
  <c r="AS49" i="19"/>
  <c r="AR49" i="19"/>
  <c r="AS71" i="19"/>
  <c r="AR71" i="19"/>
  <c r="AS78" i="19"/>
  <c r="AR78" i="19"/>
  <c r="AS77" i="19"/>
  <c r="AR77" i="19"/>
  <c r="AS15" i="19"/>
  <c r="AS42" i="19"/>
  <c r="AR42" i="19"/>
  <c r="AR76" i="19"/>
  <c r="AS59" i="19"/>
  <c r="AR59" i="19"/>
  <c r="AS62" i="19"/>
  <c r="AR62" i="19"/>
  <c r="AS53" i="19"/>
  <c r="AR53" i="19"/>
  <c r="AS34" i="19"/>
  <c r="AR34" i="19"/>
  <c r="AS54" i="19"/>
  <c r="AR54" i="19"/>
  <c r="AS67" i="19"/>
  <c r="AR67" i="19"/>
  <c r="AS26" i="19"/>
  <c r="AR26" i="19"/>
  <c r="AS3" i="19"/>
  <c r="C10" i="13"/>
  <c r="C18" i="13"/>
  <c r="AH4" i="48" l="1"/>
  <c r="AV4" i="48" s="1"/>
  <c r="AM4" i="19"/>
  <c r="AH18" i="48"/>
  <c r="AV18" i="48" s="1"/>
  <c r="AH57" i="48"/>
  <c r="AV57" i="48" s="1"/>
  <c r="AZ57" i="48" s="1"/>
  <c r="AH78" i="48"/>
  <c r="AV78" i="48" s="1"/>
  <c r="AZ78" i="48" s="1"/>
  <c r="F23" i="46"/>
  <c r="AH54" i="48"/>
  <c r="AV54" i="48" s="1"/>
  <c r="AZ54" i="48" s="1"/>
  <c r="BA54" i="48" s="1"/>
  <c r="AH110" i="48"/>
  <c r="AV110" i="48" s="1"/>
  <c r="AZ110" i="48" s="1"/>
  <c r="AQ110" i="48" s="1"/>
  <c r="AM46" i="19"/>
  <c r="F47" i="45" s="1"/>
  <c r="AH107" i="48"/>
  <c r="AV107" i="48" s="1"/>
  <c r="AZ107" i="48" s="1"/>
  <c r="AH76" i="48"/>
  <c r="AV76" i="48" s="1"/>
  <c r="AZ76" i="48" s="1"/>
  <c r="AM76" i="19"/>
  <c r="AM72" i="19"/>
  <c r="F73" i="45" s="1"/>
  <c r="E22" i="28"/>
  <c r="F23" i="47"/>
  <c r="AH12" i="48"/>
  <c r="AV12" i="48" s="1"/>
  <c r="AH113" i="48"/>
  <c r="AV113" i="48" s="1"/>
  <c r="AZ113" i="48" s="1"/>
  <c r="BA113" i="48" s="1"/>
  <c r="AM73" i="19"/>
  <c r="AM92" i="19"/>
  <c r="E92" i="28" s="1"/>
  <c r="AH81" i="48"/>
  <c r="AV81" i="48" s="1"/>
  <c r="AZ81" i="48" s="1"/>
  <c r="AR81" i="48" s="1"/>
  <c r="F23" i="44"/>
  <c r="AM6" i="19"/>
  <c r="AM81" i="19"/>
  <c r="F82" i="46" s="1"/>
  <c r="AM84" i="19"/>
  <c r="BA84" i="19" s="1"/>
  <c r="BE84" i="19" s="1"/>
  <c r="AM136" i="19"/>
  <c r="AH136" i="48"/>
  <c r="AV136" i="48" s="1"/>
  <c r="AZ136" i="48" s="1"/>
  <c r="AH102" i="48"/>
  <c r="AV102" i="48" s="1"/>
  <c r="AZ102" i="48" s="1"/>
  <c r="BA102" i="48" s="1"/>
  <c r="F110" i="47"/>
  <c r="F110" i="45"/>
  <c r="AH127" i="48"/>
  <c r="AV127" i="48" s="1"/>
  <c r="AZ127" i="48" s="1"/>
  <c r="AM127" i="19"/>
  <c r="AH109" i="48"/>
  <c r="AV109" i="48" s="1"/>
  <c r="AZ109" i="48" s="1"/>
  <c r="AH79" i="48"/>
  <c r="AV79" i="48" s="1"/>
  <c r="AZ79" i="48" s="1"/>
  <c r="AR79" i="48" s="1"/>
  <c r="AH118" i="48"/>
  <c r="AV118" i="48" s="1"/>
  <c r="AZ118" i="48" s="1"/>
  <c r="AM118" i="19"/>
  <c r="AM74" i="19"/>
  <c r="F75" i="47" s="1"/>
  <c r="AM133" i="19"/>
  <c r="AH133" i="48"/>
  <c r="AV133" i="48" s="1"/>
  <c r="AZ133" i="48" s="1"/>
  <c r="AM139" i="19"/>
  <c r="AH139" i="48"/>
  <c r="AV139" i="48" s="1"/>
  <c r="AZ139" i="48" s="1"/>
  <c r="AH32" i="48"/>
  <c r="AV32" i="48" s="1"/>
  <c r="AZ32" i="48" s="1"/>
  <c r="BA32" i="48" s="1"/>
  <c r="AM65" i="19"/>
  <c r="AH134" i="48"/>
  <c r="AV134" i="48" s="1"/>
  <c r="AZ134" i="48" s="1"/>
  <c r="AM134" i="19"/>
  <c r="AH46" i="48"/>
  <c r="AV46" i="48" s="1"/>
  <c r="AZ46" i="48" s="1"/>
  <c r="BA46" i="48" s="1"/>
  <c r="AH73" i="48"/>
  <c r="AV73" i="48" s="1"/>
  <c r="AZ73" i="48" s="1"/>
  <c r="AM132" i="19"/>
  <c r="AH132" i="48"/>
  <c r="AV132" i="48" s="1"/>
  <c r="AZ132" i="48" s="1"/>
  <c r="AM96" i="19"/>
  <c r="BA96" i="19" s="1"/>
  <c r="BE96" i="19" s="1"/>
  <c r="AH104" i="48"/>
  <c r="AV104" i="48" s="1"/>
  <c r="AZ104" i="48" s="1"/>
  <c r="F110" i="46"/>
  <c r="AH106" i="48"/>
  <c r="AV106" i="48" s="1"/>
  <c r="AZ106" i="48" s="1"/>
  <c r="BA106" i="48" s="1"/>
  <c r="AH43" i="48"/>
  <c r="AV43" i="48" s="1"/>
  <c r="AZ43" i="48" s="1"/>
  <c r="AQ43" i="48" s="1"/>
  <c r="AM138" i="19"/>
  <c r="AH138" i="48"/>
  <c r="AV138" i="48" s="1"/>
  <c r="AZ138" i="48" s="1"/>
  <c r="AM80" i="19"/>
  <c r="BA80" i="19" s="1"/>
  <c r="BE80" i="19" s="1"/>
  <c r="AH96" i="48"/>
  <c r="AV96" i="48" s="1"/>
  <c r="AZ96" i="48" s="1"/>
  <c r="BA96" i="48" s="1"/>
  <c r="F110" i="44"/>
  <c r="AM106" i="19"/>
  <c r="F107" i="46" s="1"/>
  <c r="F136" i="45"/>
  <c r="F136" i="44"/>
  <c r="F136" i="46"/>
  <c r="E135" i="28"/>
  <c r="F136" i="47"/>
  <c r="BA135" i="19"/>
  <c r="BE135" i="19" s="1"/>
  <c r="AM47" i="19"/>
  <c r="AM123" i="19"/>
  <c r="AH123" i="48"/>
  <c r="AV123" i="48" s="1"/>
  <c r="AZ123" i="48" s="1"/>
  <c r="AH131" i="48"/>
  <c r="AV131" i="48" s="1"/>
  <c r="AZ131" i="48" s="1"/>
  <c r="AM131" i="19"/>
  <c r="AM32" i="19"/>
  <c r="F33" i="47" s="1"/>
  <c r="AH80" i="48"/>
  <c r="AV80" i="48" s="1"/>
  <c r="AZ80" i="48" s="1"/>
  <c r="AQ80" i="48" s="1"/>
  <c r="E109" i="28"/>
  <c r="BA135" i="48"/>
  <c r="AR135" i="48"/>
  <c r="AQ135" i="48"/>
  <c r="AO135" i="48"/>
  <c r="AP135" i="48" s="1"/>
  <c r="AQ79" i="48"/>
  <c r="AH8" i="48"/>
  <c r="AV8" i="48" s="1"/>
  <c r="AH59" i="48"/>
  <c r="AV59" i="48" s="1"/>
  <c r="AZ59" i="48" s="1"/>
  <c r="AO59" i="48" s="1"/>
  <c r="AP59" i="48" s="1"/>
  <c r="AR59" i="48" s="1"/>
  <c r="AH111" i="48"/>
  <c r="AV111" i="48" s="1"/>
  <c r="AZ111" i="48" s="1"/>
  <c r="AO111" i="48" s="1"/>
  <c r="AP111" i="48" s="1"/>
  <c r="AM79" i="19"/>
  <c r="AH92" i="48"/>
  <c r="AV92" i="48" s="1"/>
  <c r="AZ92" i="48" s="1"/>
  <c r="AR92" i="48" s="1"/>
  <c r="AR117" i="48"/>
  <c r="AQ117" i="48"/>
  <c r="AO117" i="48"/>
  <c r="AP117" i="48" s="1"/>
  <c r="BA117" i="48"/>
  <c r="BA120" i="48"/>
  <c r="AR120" i="48"/>
  <c r="AO120" i="48"/>
  <c r="AP120" i="48" s="1"/>
  <c r="AQ120" i="48"/>
  <c r="F115" i="46"/>
  <c r="BA114" i="19"/>
  <c r="BE114" i="19" s="1"/>
  <c r="F115" i="44"/>
  <c r="E114" i="28"/>
  <c r="F115" i="45"/>
  <c r="F115" i="47"/>
  <c r="BA119" i="19"/>
  <c r="BE119" i="19" s="1"/>
  <c r="F120" i="44"/>
  <c r="F120" i="45"/>
  <c r="F120" i="47"/>
  <c r="E119" i="28"/>
  <c r="F120" i="46"/>
  <c r="AH58" i="48"/>
  <c r="AV58" i="48" s="1"/>
  <c r="AZ58" i="48" s="1"/>
  <c r="AH65" i="48"/>
  <c r="AV65" i="48" s="1"/>
  <c r="AZ65" i="48" s="1"/>
  <c r="AR65" i="48" s="1"/>
  <c r="AH74" i="48"/>
  <c r="AV74" i="48" s="1"/>
  <c r="AZ74" i="48" s="1"/>
  <c r="BA74" i="48" s="1"/>
  <c r="AH70" i="48"/>
  <c r="AV70" i="48" s="1"/>
  <c r="AZ70" i="48" s="1"/>
  <c r="AO70" i="48" s="1"/>
  <c r="AP70" i="48" s="1"/>
  <c r="AM56" i="19"/>
  <c r="AM59" i="19"/>
  <c r="BA59" i="19" s="1"/>
  <c r="F118" i="46"/>
  <c r="BA117" i="19"/>
  <c r="BE117" i="19" s="1"/>
  <c r="F118" i="44"/>
  <c r="F118" i="47"/>
  <c r="E117" i="28"/>
  <c r="F118" i="45"/>
  <c r="F121" i="46"/>
  <c r="F121" i="47"/>
  <c r="E120" i="28"/>
  <c r="F121" i="45"/>
  <c r="BA120" i="19"/>
  <c r="BE120" i="19" s="1"/>
  <c r="F121" i="44"/>
  <c r="AO114" i="48"/>
  <c r="AP114" i="48" s="1"/>
  <c r="BA114" i="48"/>
  <c r="AQ114" i="48"/>
  <c r="AR114" i="48"/>
  <c r="AO122" i="48"/>
  <c r="AP122" i="48" s="1"/>
  <c r="AR122" i="48"/>
  <c r="BA122" i="48"/>
  <c r="AQ122" i="48"/>
  <c r="AR116" i="48"/>
  <c r="AO116" i="48"/>
  <c r="AP116" i="48" s="1"/>
  <c r="BA116" i="48"/>
  <c r="AQ116" i="48"/>
  <c r="AH115" i="48"/>
  <c r="AV115" i="48" s="1"/>
  <c r="AZ115" i="48" s="1"/>
  <c r="AM115" i="19"/>
  <c r="AH121" i="48"/>
  <c r="AV121" i="48" s="1"/>
  <c r="AZ121" i="48" s="1"/>
  <c r="AM121" i="19"/>
  <c r="AM11" i="19"/>
  <c r="F12" i="47" s="1"/>
  <c r="AM70" i="19"/>
  <c r="F71" i="46" s="1"/>
  <c r="BA116" i="19"/>
  <c r="BE116" i="19" s="1"/>
  <c r="F117" i="44"/>
  <c r="F117" i="47"/>
  <c r="E116" i="28"/>
  <c r="F117" i="46"/>
  <c r="F117" i="45"/>
  <c r="AO119" i="48"/>
  <c r="AP119" i="48" s="1"/>
  <c r="AR119" i="48"/>
  <c r="BA119" i="48"/>
  <c r="AQ119" i="48"/>
  <c r="F123" i="47"/>
  <c r="E122" i="28"/>
  <c r="F123" i="44"/>
  <c r="F123" i="45"/>
  <c r="F123" i="46"/>
  <c r="BA122" i="19"/>
  <c r="BE122" i="19" s="1"/>
  <c r="AM43" i="19"/>
  <c r="F44" i="47" s="1"/>
  <c r="AH47" i="48"/>
  <c r="AV47" i="48" s="1"/>
  <c r="AZ47" i="48" s="1"/>
  <c r="AO47" i="48" s="1"/>
  <c r="AP47" i="48" s="1"/>
  <c r="F97" i="45"/>
  <c r="F97" i="47"/>
  <c r="F94" i="46"/>
  <c r="F94" i="45"/>
  <c r="E93" i="28"/>
  <c r="BA93" i="19"/>
  <c r="BE93" i="19" s="1"/>
  <c r="F94" i="44"/>
  <c r="F94" i="47"/>
  <c r="AW109" i="19"/>
  <c r="BF109" i="19"/>
  <c r="AT109" i="19"/>
  <c r="AU109" i="19" s="1"/>
  <c r="AV109" i="19"/>
  <c r="E106" i="28"/>
  <c r="F107" i="44"/>
  <c r="AH36" i="48"/>
  <c r="AV36" i="48" s="1"/>
  <c r="AZ36" i="48" s="1"/>
  <c r="BA36" i="48" s="1"/>
  <c r="BA107" i="19"/>
  <c r="BE107" i="19" s="1"/>
  <c r="F108" i="44"/>
  <c r="F108" i="47"/>
  <c r="E107" i="28"/>
  <c r="F108" i="46"/>
  <c r="F108" i="45"/>
  <c r="AO96" i="48"/>
  <c r="AP96" i="48" s="1"/>
  <c r="F111" i="47"/>
  <c r="E110" i="28"/>
  <c r="F111" i="46"/>
  <c r="BA110" i="19"/>
  <c r="BE110" i="19" s="1"/>
  <c r="F111" i="45"/>
  <c r="F111" i="44"/>
  <c r="F105" i="46"/>
  <c r="F105" i="45"/>
  <c r="F105" i="47"/>
  <c r="BA104" i="19"/>
  <c r="BE104" i="19" s="1"/>
  <c r="F105" i="44"/>
  <c r="E104" i="28"/>
  <c r="AH97" i="48"/>
  <c r="AV97" i="48" s="1"/>
  <c r="AZ97" i="48" s="1"/>
  <c r="AM97" i="19"/>
  <c r="AH105" i="48"/>
  <c r="AV105" i="48" s="1"/>
  <c r="AZ105" i="48" s="1"/>
  <c r="AM105" i="19"/>
  <c r="AH112" i="48"/>
  <c r="AV112" i="48" s="1"/>
  <c r="AZ112" i="48" s="1"/>
  <c r="AM112" i="19"/>
  <c r="AH6" i="48"/>
  <c r="AV6" i="48" s="1"/>
  <c r="AM95" i="19"/>
  <c r="AH95" i="48"/>
  <c r="AV95" i="48" s="1"/>
  <c r="AZ95" i="48" s="1"/>
  <c r="AH11" i="48"/>
  <c r="AV11" i="48" s="1"/>
  <c r="AH56" i="48"/>
  <c r="AV56" i="48" s="1"/>
  <c r="AZ56" i="48" s="1"/>
  <c r="AR56" i="48" s="1"/>
  <c r="BA107" i="48"/>
  <c r="AR107" i="48"/>
  <c r="AQ107" i="48"/>
  <c r="AO107" i="48"/>
  <c r="AP107" i="48" s="1"/>
  <c r="BA99" i="48"/>
  <c r="AQ99" i="48"/>
  <c r="AO99" i="48"/>
  <c r="AP99" i="48" s="1"/>
  <c r="AR99" i="48"/>
  <c r="F112" i="45"/>
  <c r="BA111" i="19"/>
  <c r="BE111" i="19" s="1"/>
  <c r="F112" i="44"/>
  <c r="F112" i="46"/>
  <c r="F112" i="47"/>
  <c r="E111" i="28"/>
  <c r="AO113" i="48"/>
  <c r="AP113" i="48" s="1"/>
  <c r="F103" i="47"/>
  <c r="E102" i="28"/>
  <c r="BA102" i="19"/>
  <c r="BE102" i="19" s="1"/>
  <c r="F103" i="46"/>
  <c r="F103" i="44"/>
  <c r="F103" i="45"/>
  <c r="AQ104" i="48"/>
  <c r="AR104" i="48"/>
  <c r="AO104" i="48"/>
  <c r="AP104" i="48" s="1"/>
  <c r="BA104" i="48"/>
  <c r="F93" i="45"/>
  <c r="F93" i="47"/>
  <c r="AH103" i="48"/>
  <c r="AV103" i="48" s="1"/>
  <c r="AZ103" i="48" s="1"/>
  <c r="AM103" i="19"/>
  <c r="AH100" i="48"/>
  <c r="AV100" i="48" s="1"/>
  <c r="AZ100" i="48" s="1"/>
  <c r="AM100" i="19"/>
  <c r="AM108" i="19"/>
  <c r="AH108" i="48"/>
  <c r="AV108" i="48" s="1"/>
  <c r="AZ108" i="48" s="1"/>
  <c r="AM90" i="19"/>
  <c r="AH90" i="48"/>
  <c r="AV90" i="48" s="1"/>
  <c r="AZ90" i="48" s="1"/>
  <c r="AR94" i="48"/>
  <c r="BA94" i="48"/>
  <c r="AO94" i="48"/>
  <c r="AP94" i="48" s="1"/>
  <c r="AQ94" i="48"/>
  <c r="F90" i="46"/>
  <c r="F90" i="45"/>
  <c r="F90" i="47"/>
  <c r="E89" i="28"/>
  <c r="BA89" i="19"/>
  <c r="BE89" i="19" s="1"/>
  <c r="F90" i="44"/>
  <c r="AM82" i="19"/>
  <c r="AH82" i="48"/>
  <c r="AV82" i="48" s="1"/>
  <c r="AZ82" i="48" s="1"/>
  <c r="F95" i="46"/>
  <c r="F95" i="45"/>
  <c r="F95" i="47"/>
  <c r="E94" i="28"/>
  <c r="BA94" i="19"/>
  <c r="BE94" i="19" s="1"/>
  <c r="F95" i="44"/>
  <c r="AO102" i="48"/>
  <c r="AP102" i="48" s="1"/>
  <c r="AM98" i="19"/>
  <c r="AH98" i="48"/>
  <c r="AV98" i="48" s="1"/>
  <c r="AZ98" i="48" s="1"/>
  <c r="AH101" i="48"/>
  <c r="AV101" i="48" s="1"/>
  <c r="AZ101" i="48" s="1"/>
  <c r="AM101" i="19"/>
  <c r="BA99" i="19"/>
  <c r="BE99" i="19" s="1"/>
  <c r="F100" i="44"/>
  <c r="F100" i="47"/>
  <c r="E99" i="28"/>
  <c r="F100" i="46"/>
  <c r="F100" i="45"/>
  <c r="AR111" i="48"/>
  <c r="AQ111" i="48"/>
  <c r="F114" i="46"/>
  <c r="F114" i="45"/>
  <c r="E113" i="28"/>
  <c r="BA113" i="19"/>
  <c r="BE113" i="19" s="1"/>
  <c r="F114" i="44"/>
  <c r="F114" i="47"/>
  <c r="BA93" i="48"/>
  <c r="AO93" i="48"/>
  <c r="AP93" i="48" s="1"/>
  <c r="AQ93" i="48"/>
  <c r="AR93" i="48"/>
  <c r="AR89" i="48"/>
  <c r="BA89" i="48"/>
  <c r="AO89" i="48"/>
  <c r="AP89" i="48" s="1"/>
  <c r="AQ89" i="48"/>
  <c r="BA92" i="48"/>
  <c r="AL2" i="19"/>
  <c r="AG2" i="48"/>
  <c r="AU2" i="48" s="1"/>
  <c r="J55" i="47"/>
  <c r="J55" i="46"/>
  <c r="J55" i="45"/>
  <c r="J55" i="44"/>
  <c r="I54" i="28"/>
  <c r="J60" i="47"/>
  <c r="J60" i="46"/>
  <c r="J60" i="45"/>
  <c r="J26" i="44"/>
  <c r="I59" i="28"/>
  <c r="J79" i="47"/>
  <c r="J79" i="46"/>
  <c r="J79" i="45"/>
  <c r="J79" i="44"/>
  <c r="I78" i="28"/>
  <c r="J29" i="46"/>
  <c r="J29" i="47"/>
  <c r="J29" i="45"/>
  <c r="J29" i="44"/>
  <c r="I28" i="28"/>
  <c r="J18" i="47"/>
  <c r="J18" i="46"/>
  <c r="J18" i="45"/>
  <c r="J9" i="44"/>
  <c r="I29" i="28"/>
  <c r="K57" i="47"/>
  <c r="K57" i="46"/>
  <c r="K57" i="45"/>
  <c r="K57" i="44"/>
  <c r="J56" i="28"/>
  <c r="K17" i="47"/>
  <c r="K17" i="46"/>
  <c r="K17" i="45"/>
  <c r="K17" i="44"/>
  <c r="J16" i="28"/>
  <c r="K36" i="47"/>
  <c r="K36" i="46"/>
  <c r="K36" i="45"/>
  <c r="K36" i="44"/>
  <c r="J35" i="28"/>
  <c r="K51" i="47"/>
  <c r="K51" i="46"/>
  <c r="K51" i="45"/>
  <c r="K51" i="44"/>
  <c r="J50" i="28"/>
  <c r="K75" i="46"/>
  <c r="K75" i="45"/>
  <c r="K75" i="47"/>
  <c r="K75" i="44"/>
  <c r="J74" i="28"/>
  <c r="J66" i="47"/>
  <c r="J66" i="46"/>
  <c r="J66" i="45"/>
  <c r="J66" i="44"/>
  <c r="I65" i="28"/>
  <c r="K42" i="47"/>
  <c r="K42" i="46"/>
  <c r="K42" i="45"/>
  <c r="K42" i="44"/>
  <c r="J41" i="28"/>
  <c r="K13" i="47"/>
  <c r="K13" i="46"/>
  <c r="K13" i="45"/>
  <c r="K13" i="44"/>
  <c r="J12" i="28"/>
  <c r="J5" i="46"/>
  <c r="J5" i="47"/>
  <c r="J5" i="45"/>
  <c r="J116" i="44"/>
  <c r="I4" i="28"/>
  <c r="K27" i="47"/>
  <c r="K27" i="46"/>
  <c r="K27" i="45"/>
  <c r="K27" i="44"/>
  <c r="J26" i="28"/>
  <c r="K55" i="46"/>
  <c r="K55" i="47"/>
  <c r="K55" i="45"/>
  <c r="K55" i="44"/>
  <c r="J54" i="28"/>
  <c r="K54" i="47"/>
  <c r="K54" i="46"/>
  <c r="K54" i="45"/>
  <c r="K54" i="44"/>
  <c r="J53" i="28"/>
  <c r="K60" i="47"/>
  <c r="K60" i="46"/>
  <c r="K60" i="45"/>
  <c r="K26" i="44"/>
  <c r="J59" i="28"/>
  <c r="K16" i="46"/>
  <c r="K16" i="47"/>
  <c r="K16" i="45"/>
  <c r="K16" i="44"/>
  <c r="J15" i="28"/>
  <c r="K79" i="47"/>
  <c r="K79" i="46"/>
  <c r="K79" i="45"/>
  <c r="K79" i="44"/>
  <c r="J78" i="28"/>
  <c r="K50" i="47"/>
  <c r="K50" i="46"/>
  <c r="K50" i="45"/>
  <c r="K50" i="44"/>
  <c r="J49" i="28"/>
  <c r="K5" i="47"/>
  <c r="K5" i="46"/>
  <c r="K5" i="45"/>
  <c r="K116" i="44"/>
  <c r="J4" i="28"/>
  <c r="K18" i="47"/>
  <c r="K18" i="46"/>
  <c r="K18" i="45"/>
  <c r="K9" i="44"/>
  <c r="J29" i="28"/>
  <c r="J73" i="47"/>
  <c r="J73" i="46"/>
  <c r="J73" i="45"/>
  <c r="J73" i="44"/>
  <c r="I72" i="28"/>
  <c r="J74" i="47"/>
  <c r="J74" i="46"/>
  <c r="J74" i="45"/>
  <c r="J74" i="44"/>
  <c r="I73" i="28"/>
  <c r="K67" i="47"/>
  <c r="K67" i="46"/>
  <c r="K67" i="45"/>
  <c r="K67" i="44"/>
  <c r="J66" i="28"/>
  <c r="J76" i="47"/>
  <c r="J76" i="46"/>
  <c r="J76" i="45"/>
  <c r="J76" i="44"/>
  <c r="I75" i="28"/>
  <c r="J116" i="46"/>
  <c r="J116" i="47"/>
  <c r="J116" i="45"/>
  <c r="J59" i="44"/>
  <c r="I27" i="28"/>
  <c r="J56" i="46"/>
  <c r="J56" i="47"/>
  <c r="J56" i="45"/>
  <c r="J56" i="44"/>
  <c r="I55" i="28"/>
  <c r="J37" i="47"/>
  <c r="J37" i="46"/>
  <c r="J37" i="45"/>
  <c r="J37" i="44"/>
  <c r="I36" i="28"/>
  <c r="K14" i="47"/>
  <c r="K14" i="46"/>
  <c r="K14" i="45"/>
  <c r="K14" i="44"/>
  <c r="J13" i="28"/>
  <c r="J40" i="46"/>
  <c r="J40" i="45"/>
  <c r="J40" i="47"/>
  <c r="J40" i="44"/>
  <c r="I39" i="28"/>
  <c r="K6" i="47"/>
  <c r="K6" i="46"/>
  <c r="K6" i="45"/>
  <c r="K6" i="44"/>
  <c r="J5" i="28"/>
  <c r="K66" i="47"/>
  <c r="K66" i="46"/>
  <c r="K66" i="45"/>
  <c r="K66" i="44"/>
  <c r="J65" i="28"/>
  <c r="J42" i="47"/>
  <c r="J42" i="46"/>
  <c r="J42" i="45"/>
  <c r="J42" i="44"/>
  <c r="I41" i="28"/>
  <c r="J8" i="47"/>
  <c r="J8" i="46"/>
  <c r="J8" i="45"/>
  <c r="J8" i="44"/>
  <c r="I7" i="28"/>
  <c r="J17" i="46"/>
  <c r="J17" i="47"/>
  <c r="J17" i="45"/>
  <c r="J17" i="44"/>
  <c r="I16" i="28"/>
  <c r="J13" i="46"/>
  <c r="J13" i="47"/>
  <c r="J13" i="45"/>
  <c r="J13" i="44"/>
  <c r="I12" i="28"/>
  <c r="J35" i="47"/>
  <c r="J35" i="46"/>
  <c r="J35" i="45"/>
  <c r="J35" i="44"/>
  <c r="I34" i="28"/>
  <c r="J77" i="47"/>
  <c r="J77" i="46"/>
  <c r="J77" i="45"/>
  <c r="J77" i="44"/>
  <c r="I76" i="28"/>
  <c r="J72" i="46"/>
  <c r="J72" i="45"/>
  <c r="J72" i="47"/>
  <c r="J72" i="44"/>
  <c r="I71" i="28"/>
  <c r="J22" i="47"/>
  <c r="J22" i="46"/>
  <c r="J22" i="45"/>
  <c r="J22" i="44"/>
  <c r="I21" i="28"/>
  <c r="K73" i="47"/>
  <c r="K73" i="46"/>
  <c r="K73" i="45"/>
  <c r="K73" i="44"/>
  <c r="J72" i="28"/>
  <c r="J31" i="47"/>
  <c r="J31" i="46"/>
  <c r="J31" i="45"/>
  <c r="J31" i="44"/>
  <c r="I30" i="28"/>
  <c r="K116" i="47"/>
  <c r="K116" i="46"/>
  <c r="K116" i="45"/>
  <c r="K59" i="44"/>
  <c r="J27" i="28"/>
  <c r="K8" i="46"/>
  <c r="K8" i="47"/>
  <c r="K8" i="45"/>
  <c r="K8" i="44"/>
  <c r="J7" i="28"/>
  <c r="K38" i="47"/>
  <c r="K38" i="46"/>
  <c r="K38" i="45"/>
  <c r="K38" i="44"/>
  <c r="J37" i="28"/>
  <c r="J16" i="47"/>
  <c r="J16" i="46"/>
  <c r="J16" i="45"/>
  <c r="J16" i="44"/>
  <c r="I15" i="28"/>
  <c r="J68" i="46"/>
  <c r="J68" i="47"/>
  <c r="J68" i="45"/>
  <c r="J68" i="44"/>
  <c r="I67" i="28"/>
  <c r="J63" i="47"/>
  <c r="J63" i="46"/>
  <c r="J63" i="45"/>
  <c r="J63" i="44"/>
  <c r="I62" i="28"/>
  <c r="J78" i="47"/>
  <c r="J78" i="45"/>
  <c r="J78" i="46"/>
  <c r="J78" i="44"/>
  <c r="I77" i="28"/>
  <c r="J9" i="46"/>
  <c r="J9" i="47"/>
  <c r="J9" i="45"/>
  <c r="J5" i="44"/>
  <c r="I23" i="28"/>
  <c r="K12" i="46"/>
  <c r="K12" i="47"/>
  <c r="K12" i="45"/>
  <c r="K12" i="44"/>
  <c r="J11" i="28"/>
  <c r="K74" i="47"/>
  <c r="K74" i="46"/>
  <c r="K74" i="45"/>
  <c r="K74" i="44"/>
  <c r="J73" i="28"/>
  <c r="K76" i="47"/>
  <c r="K76" i="46"/>
  <c r="K76" i="45"/>
  <c r="K76" i="44"/>
  <c r="J75" i="28"/>
  <c r="K56" i="47"/>
  <c r="K56" i="46"/>
  <c r="K56" i="45"/>
  <c r="K56" i="44"/>
  <c r="J55" i="28"/>
  <c r="K32" i="46"/>
  <c r="K32" i="47"/>
  <c r="K32" i="45"/>
  <c r="K32" i="44"/>
  <c r="J31" i="28"/>
  <c r="K40" i="47"/>
  <c r="K40" i="46"/>
  <c r="K40" i="45"/>
  <c r="K40" i="44"/>
  <c r="J39" i="28"/>
  <c r="J47" i="47"/>
  <c r="J47" i="46"/>
  <c r="J47" i="45"/>
  <c r="J47" i="44"/>
  <c r="I46" i="28"/>
  <c r="J41" i="47"/>
  <c r="J41" i="46"/>
  <c r="J41" i="45"/>
  <c r="J41" i="44"/>
  <c r="I40" i="28"/>
  <c r="K28" i="46"/>
  <c r="K28" i="47"/>
  <c r="K28" i="45"/>
  <c r="K18" i="44"/>
  <c r="J8" i="28"/>
  <c r="J4" i="47"/>
  <c r="J4" i="46"/>
  <c r="J4" i="45"/>
  <c r="J4" i="44"/>
  <c r="I3" i="28"/>
  <c r="J20" i="47"/>
  <c r="J20" i="46"/>
  <c r="J20" i="45"/>
  <c r="J20" i="44"/>
  <c r="I19" i="28"/>
  <c r="K44" i="47"/>
  <c r="K44" i="46"/>
  <c r="K44" i="45"/>
  <c r="K44" i="44"/>
  <c r="J43" i="28"/>
  <c r="K4" i="46"/>
  <c r="K4" i="47"/>
  <c r="K4" i="45"/>
  <c r="K4" i="44"/>
  <c r="J3" i="28"/>
  <c r="K68" i="47"/>
  <c r="K68" i="46"/>
  <c r="K68" i="45"/>
  <c r="K68" i="44"/>
  <c r="J67" i="28"/>
  <c r="K35" i="47"/>
  <c r="K35" i="46"/>
  <c r="K35" i="45"/>
  <c r="K35" i="44"/>
  <c r="J34" i="28"/>
  <c r="K63" i="47"/>
  <c r="K63" i="46"/>
  <c r="K63" i="45"/>
  <c r="K63" i="44"/>
  <c r="J62" i="28"/>
  <c r="J43" i="47"/>
  <c r="J43" i="46"/>
  <c r="J43" i="45"/>
  <c r="J43" i="44"/>
  <c r="I42" i="28"/>
  <c r="K78" i="47"/>
  <c r="K78" i="46"/>
  <c r="K78" i="45"/>
  <c r="K78" i="44"/>
  <c r="J77" i="28"/>
  <c r="K72" i="47"/>
  <c r="K72" i="46"/>
  <c r="K72" i="45"/>
  <c r="K72" i="44"/>
  <c r="J71" i="28"/>
  <c r="K9" i="47"/>
  <c r="K9" i="46"/>
  <c r="K9" i="45"/>
  <c r="K5" i="44"/>
  <c r="J23" i="28"/>
  <c r="K22" i="47"/>
  <c r="K22" i="46"/>
  <c r="K22" i="45"/>
  <c r="K22" i="44"/>
  <c r="J21" i="28"/>
  <c r="J64" i="47"/>
  <c r="J64" i="46"/>
  <c r="J64" i="45"/>
  <c r="J64" i="44"/>
  <c r="I63" i="28"/>
  <c r="J57" i="47"/>
  <c r="J57" i="46"/>
  <c r="J57" i="45"/>
  <c r="J57" i="44"/>
  <c r="I56" i="28"/>
  <c r="J48" i="47"/>
  <c r="J48" i="46"/>
  <c r="J48" i="45"/>
  <c r="J48" i="44"/>
  <c r="I47" i="28"/>
  <c r="K31" i="47"/>
  <c r="K31" i="46"/>
  <c r="K31" i="45"/>
  <c r="K31" i="44"/>
  <c r="J30" i="28"/>
  <c r="J39" i="47"/>
  <c r="J39" i="46"/>
  <c r="J39" i="45"/>
  <c r="J39" i="44"/>
  <c r="I38" i="28"/>
  <c r="J36" i="46"/>
  <c r="J36" i="47"/>
  <c r="J36" i="45"/>
  <c r="J36" i="44"/>
  <c r="I35" i="28"/>
  <c r="J51" i="47"/>
  <c r="J51" i="46"/>
  <c r="J51" i="45"/>
  <c r="J51" i="44"/>
  <c r="I50" i="28"/>
  <c r="J52" i="46"/>
  <c r="J52" i="47"/>
  <c r="J52" i="45"/>
  <c r="J52" i="44"/>
  <c r="I51" i="28"/>
  <c r="J75" i="47"/>
  <c r="J75" i="46"/>
  <c r="J75" i="45"/>
  <c r="J75" i="44"/>
  <c r="I74" i="28"/>
  <c r="J59" i="47"/>
  <c r="J59" i="46"/>
  <c r="J59" i="45"/>
  <c r="J61" i="44"/>
  <c r="I58" i="28"/>
  <c r="K47" i="47"/>
  <c r="K47" i="46"/>
  <c r="K47" i="45"/>
  <c r="K47" i="44"/>
  <c r="J46" i="28"/>
  <c r="J38" i="47"/>
  <c r="J38" i="46"/>
  <c r="J38" i="45"/>
  <c r="J38" i="44"/>
  <c r="I37" i="28"/>
  <c r="K33" i="47"/>
  <c r="K33" i="45"/>
  <c r="K33" i="46"/>
  <c r="K33" i="44"/>
  <c r="J32" i="28"/>
  <c r="K20" i="46"/>
  <c r="K20" i="47"/>
  <c r="K20" i="45"/>
  <c r="K20" i="44"/>
  <c r="J19" i="28"/>
  <c r="J6" i="47"/>
  <c r="J6" i="46"/>
  <c r="J6" i="45"/>
  <c r="J6" i="44"/>
  <c r="I5" i="28"/>
  <c r="J14" i="47"/>
  <c r="J14" i="45"/>
  <c r="J14" i="46"/>
  <c r="J14" i="44"/>
  <c r="I13" i="28"/>
  <c r="J44" i="47"/>
  <c r="J44" i="46"/>
  <c r="J44" i="45"/>
  <c r="J44" i="44"/>
  <c r="I43" i="28"/>
  <c r="J27" i="47"/>
  <c r="J27" i="46"/>
  <c r="J27" i="45"/>
  <c r="J27" i="44"/>
  <c r="I26" i="28"/>
  <c r="J54" i="47"/>
  <c r="J54" i="46"/>
  <c r="J54" i="45"/>
  <c r="J54" i="44"/>
  <c r="I53" i="28"/>
  <c r="K43" i="46"/>
  <c r="K43" i="47"/>
  <c r="K43" i="45"/>
  <c r="K43" i="44"/>
  <c r="J42" i="28"/>
  <c r="J50" i="47"/>
  <c r="J50" i="46"/>
  <c r="J50" i="45"/>
  <c r="J50" i="44"/>
  <c r="I49" i="28"/>
  <c r="K64" i="47"/>
  <c r="K64" i="46"/>
  <c r="K64" i="45"/>
  <c r="K64" i="44"/>
  <c r="J63" i="28"/>
  <c r="J67" i="47"/>
  <c r="J67" i="46"/>
  <c r="J67" i="45"/>
  <c r="J67" i="44"/>
  <c r="I66" i="28"/>
  <c r="K39" i="46"/>
  <c r="K39" i="47"/>
  <c r="K39" i="45"/>
  <c r="K39" i="44"/>
  <c r="J38" i="28"/>
  <c r="K52" i="47"/>
  <c r="K52" i="46"/>
  <c r="K52" i="45"/>
  <c r="K52" i="44"/>
  <c r="J51" i="28"/>
  <c r="K59" i="46"/>
  <c r="K59" i="45"/>
  <c r="K59" i="47"/>
  <c r="K61" i="44"/>
  <c r="J58" i="28"/>
  <c r="J28" i="47"/>
  <c r="J28" i="46"/>
  <c r="J28" i="45"/>
  <c r="J18" i="44"/>
  <c r="I8" i="28"/>
  <c r="J12" i="47"/>
  <c r="J12" i="46"/>
  <c r="J12" i="45"/>
  <c r="J12" i="44"/>
  <c r="I11" i="28"/>
  <c r="AM15" i="19"/>
  <c r="AH15" i="48"/>
  <c r="AV15" i="48" s="1"/>
  <c r="AM69" i="19"/>
  <c r="AH69" i="48"/>
  <c r="AV69" i="48" s="1"/>
  <c r="AZ69" i="48" s="1"/>
  <c r="BA65" i="19"/>
  <c r="F66" i="47"/>
  <c r="F66" i="46"/>
  <c r="F66" i="45"/>
  <c r="F66" i="44"/>
  <c r="E65" i="28"/>
  <c r="BA32" i="19"/>
  <c r="F33" i="44"/>
  <c r="AQ81" i="48"/>
  <c r="BA70" i="48"/>
  <c r="BA66" i="19"/>
  <c r="F67" i="47"/>
  <c r="F67" i="46"/>
  <c r="F67" i="45"/>
  <c r="F67" i="44"/>
  <c r="E66" i="28"/>
  <c r="BA78" i="48"/>
  <c r="AQ78" i="48"/>
  <c r="AO78" i="48"/>
  <c r="AP78" i="48" s="1"/>
  <c r="AR78" i="48"/>
  <c r="AO46" i="48"/>
  <c r="AP46" i="48" s="1"/>
  <c r="AO73" i="48"/>
  <c r="AP73" i="48" s="1"/>
  <c r="AQ73" i="48"/>
  <c r="BA73" i="48"/>
  <c r="AR73" i="48"/>
  <c r="BA47" i="48"/>
  <c r="AM51" i="19"/>
  <c r="AH51" i="48"/>
  <c r="AV51" i="48" s="1"/>
  <c r="AZ51" i="48" s="1"/>
  <c r="AM71" i="19"/>
  <c r="AH71" i="48"/>
  <c r="AV71" i="48" s="1"/>
  <c r="AZ71" i="48" s="1"/>
  <c r="AM25" i="19"/>
  <c r="AH25" i="48"/>
  <c r="AV25" i="48" s="1"/>
  <c r="AZ25" i="48" s="1"/>
  <c r="AH83" i="48"/>
  <c r="AV83" i="48" s="1"/>
  <c r="AZ83" i="48" s="1"/>
  <c r="AM83" i="19"/>
  <c r="AM24" i="19"/>
  <c r="AH24" i="48"/>
  <c r="AV24" i="48" s="1"/>
  <c r="AZ24" i="48" s="1"/>
  <c r="AM61" i="19"/>
  <c r="AH61" i="48"/>
  <c r="AV61" i="48" s="1"/>
  <c r="AZ61" i="48" s="1"/>
  <c r="AM40" i="19"/>
  <c r="AH40" i="48"/>
  <c r="AV40" i="48" s="1"/>
  <c r="AZ40" i="48" s="1"/>
  <c r="AQ33" i="48"/>
  <c r="AO33" i="48"/>
  <c r="AP33" i="48" s="1"/>
  <c r="AR33" i="48"/>
  <c r="BA33" i="48"/>
  <c r="AO72" i="48"/>
  <c r="AP72" i="48" s="1"/>
  <c r="AR72" i="48"/>
  <c r="AQ72" i="48"/>
  <c r="BA72" i="48"/>
  <c r="AR57" i="48"/>
  <c r="AO57" i="48"/>
  <c r="AP57" i="48" s="1"/>
  <c r="AQ57" i="48"/>
  <c r="BA57" i="48"/>
  <c r="AR54" i="48"/>
  <c r="AR42" i="48"/>
  <c r="BA42" i="48"/>
  <c r="AQ42" i="48"/>
  <c r="AO42" i="48"/>
  <c r="AP42" i="48" s="1"/>
  <c r="AM29" i="19"/>
  <c r="AH29" i="48"/>
  <c r="AV29" i="48" s="1"/>
  <c r="AZ29" i="48" s="1"/>
  <c r="F71" i="47"/>
  <c r="E70" i="28"/>
  <c r="BA12" i="19"/>
  <c r="F13" i="47"/>
  <c r="F13" i="46"/>
  <c r="F13" i="45"/>
  <c r="F13" i="44"/>
  <c r="E12" i="28"/>
  <c r="BA53" i="48"/>
  <c r="AO53" i="48"/>
  <c r="AP53" i="48" s="1"/>
  <c r="AQ53" i="48"/>
  <c r="AR53" i="48"/>
  <c r="BA78" i="19"/>
  <c r="F79" i="47"/>
  <c r="F79" i="46"/>
  <c r="F79" i="45"/>
  <c r="F79" i="44"/>
  <c r="E78" i="28"/>
  <c r="BA4" i="19"/>
  <c r="F5" i="47"/>
  <c r="F5" i="46"/>
  <c r="F5" i="45"/>
  <c r="F116" i="44"/>
  <c r="E4" i="28"/>
  <c r="AM50" i="19"/>
  <c r="AH50" i="48"/>
  <c r="AV50" i="48" s="1"/>
  <c r="AZ50" i="48" s="1"/>
  <c r="F47" i="46"/>
  <c r="BA73" i="19"/>
  <c r="F74" i="47"/>
  <c r="F74" i="46"/>
  <c r="F74" i="45"/>
  <c r="F74" i="44"/>
  <c r="E73" i="28"/>
  <c r="BA47" i="19"/>
  <c r="BE47" i="19" s="1"/>
  <c r="BF47" i="19" s="1"/>
  <c r="N48" i="44" s="1"/>
  <c r="F48" i="47"/>
  <c r="F48" i="46"/>
  <c r="F48" i="45"/>
  <c r="F48" i="44"/>
  <c r="E47" i="28"/>
  <c r="AM26" i="19"/>
  <c r="AH26" i="48"/>
  <c r="AV26" i="48" s="1"/>
  <c r="AZ26" i="48" s="1"/>
  <c r="BA18" i="19"/>
  <c r="F19" i="47"/>
  <c r="F19" i="46"/>
  <c r="F19" i="45"/>
  <c r="F19" i="44"/>
  <c r="E18" i="28"/>
  <c r="BA80" i="48"/>
  <c r="AM14" i="19"/>
  <c r="AH14" i="48"/>
  <c r="AV14" i="48" s="1"/>
  <c r="BA8" i="19"/>
  <c r="F28" i="47"/>
  <c r="F28" i="46"/>
  <c r="F28" i="45"/>
  <c r="F18" i="44"/>
  <c r="E8" i="28"/>
  <c r="AM30" i="19"/>
  <c r="AH30" i="48"/>
  <c r="AV30" i="48" s="1"/>
  <c r="AZ30" i="48" s="1"/>
  <c r="AM41" i="19"/>
  <c r="AH41" i="48"/>
  <c r="AV41" i="48" s="1"/>
  <c r="AZ41" i="48" s="1"/>
  <c r="AM45" i="19"/>
  <c r="AH45" i="48"/>
  <c r="AV45" i="48" s="1"/>
  <c r="AZ45" i="48" s="1"/>
  <c r="BA33" i="19"/>
  <c r="F34" i="47"/>
  <c r="F34" i="46"/>
  <c r="F34" i="45"/>
  <c r="F34" i="44"/>
  <c r="E33" i="28"/>
  <c r="F73" i="46"/>
  <c r="BA57" i="19"/>
  <c r="BE57" i="19" s="1"/>
  <c r="BF57" i="19" s="1"/>
  <c r="N58" i="47" s="1"/>
  <c r="F58" i="47"/>
  <c r="F58" i="46"/>
  <c r="F58" i="45"/>
  <c r="F58" i="44"/>
  <c r="E57" i="28"/>
  <c r="BA36" i="19"/>
  <c r="F37" i="47"/>
  <c r="F37" i="46"/>
  <c r="F37" i="45"/>
  <c r="F37" i="44"/>
  <c r="E36" i="28"/>
  <c r="AM17" i="19"/>
  <c r="AH17" i="48"/>
  <c r="AV17" i="48" s="1"/>
  <c r="BA54" i="19"/>
  <c r="F55" i="47"/>
  <c r="F55" i="46"/>
  <c r="F55" i="45"/>
  <c r="F55" i="44"/>
  <c r="E54" i="28"/>
  <c r="BA42" i="19"/>
  <c r="BE42" i="19" s="1"/>
  <c r="BF42" i="19" s="1"/>
  <c r="N43" i="44" s="1"/>
  <c r="F43" i="47"/>
  <c r="F43" i="46"/>
  <c r="F43" i="45"/>
  <c r="F43" i="44"/>
  <c r="E42" i="28"/>
  <c r="BB22" i="48"/>
  <c r="BC22" i="48"/>
  <c r="BA85" i="19"/>
  <c r="BE85" i="19" s="1"/>
  <c r="F86" i="47"/>
  <c r="F86" i="46"/>
  <c r="F86" i="45"/>
  <c r="F86" i="44"/>
  <c r="E85" i="28"/>
  <c r="AH88" i="48"/>
  <c r="AV88" i="48" s="1"/>
  <c r="AZ88" i="48" s="1"/>
  <c r="AM88" i="19"/>
  <c r="AM48" i="19"/>
  <c r="AH48" i="48"/>
  <c r="AV48" i="48" s="1"/>
  <c r="AZ48" i="48" s="1"/>
  <c r="AM23" i="19"/>
  <c r="AH23" i="48"/>
  <c r="AV23" i="48" s="1"/>
  <c r="AZ23" i="48" s="1"/>
  <c r="BA53" i="19"/>
  <c r="BE53" i="19" s="1"/>
  <c r="BF53" i="19" s="1"/>
  <c r="F54" i="47"/>
  <c r="F54" i="46"/>
  <c r="F54" i="45"/>
  <c r="F54" i="44"/>
  <c r="E53" i="28"/>
  <c r="AQ49" i="48"/>
  <c r="AR49" i="48"/>
  <c r="BA49" i="48"/>
  <c r="AO49" i="48"/>
  <c r="AP49" i="48" s="1"/>
  <c r="BA59" i="48"/>
  <c r="AQ56" i="48"/>
  <c r="AM3" i="19"/>
  <c r="AH3" i="48"/>
  <c r="AV3" i="48" s="1"/>
  <c r="AM35" i="19"/>
  <c r="AH35" i="48"/>
  <c r="AV35" i="48" s="1"/>
  <c r="AZ35" i="48" s="1"/>
  <c r="AM60" i="19"/>
  <c r="AH60" i="48"/>
  <c r="AV60" i="48" s="1"/>
  <c r="AZ60" i="48" s="1"/>
  <c r="BA19" i="19"/>
  <c r="F20" i="47"/>
  <c r="F20" i="46"/>
  <c r="F20" i="45"/>
  <c r="F20" i="44"/>
  <c r="E19" i="28"/>
  <c r="AM38" i="19"/>
  <c r="AH38" i="48"/>
  <c r="AV38" i="48" s="1"/>
  <c r="AZ38" i="48" s="1"/>
  <c r="AM13" i="19"/>
  <c r="AH13" i="48"/>
  <c r="AV13" i="48" s="1"/>
  <c r="BA58" i="19"/>
  <c r="F59" i="47"/>
  <c r="F59" i="46"/>
  <c r="F59" i="45"/>
  <c r="F61" i="44"/>
  <c r="E58" i="28"/>
  <c r="BA74" i="19"/>
  <c r="F75" i="45"/>
  <c r="F75" i="44"/>
  <c r="BA7" i="19"/>
  <c r="F8" i="47"/>
  <c r="F8" i="46"/>
  <c r="F8" i="45"/>
  <c r="F8" i="44"/>
  <c r="E7" i="28"/>
  <c r="BA43" i="19"/>
  <c r="AM34" i="19"/>
  <c r="AH34" i="48"/>
  <c r="AV34" i="48" s="1"/>
  <c r="AZ34" i="48" s="1"/>
  <c r="BA84" i="48"/>
  <c r="AR84" i="48"/>
  <c r="AO84" i="48"/>
  <c r="AP84" i="48" s="1"/>
  <c r="AQ84" i="48"/>
  <c r="AM5" i="19"/>
  <c r="AH5" i="48"/>
  <c r="AV5" i="48" s="1"/>
  <c r="AH87" i="48"/>
  <c r="AV87" i="48" s="1"/>
  <c r="AZ87" i="48" s="1"/>
  <c r="AM87" i="19"/>
  <c r="AM75" i="19"/>
  <c r="AH75" i="48"/>
  <c r="AV75" i="48" s="1"/>
  <c r="AZ75" i="48" s="1"/>
  <c r="AM28" i="19"/>
  <c r="BA28" i="19" s="1"/>
  <c r="BE28" i="19" s="1"/>
  <c r="AW28" i="19" s="1"/>
  <c r="AH28" i="48"/>
  <c r="AV28" i="48" s="1"/>
  <c r="AZ28" i="48" s="1"/>
  <c r="AM62" i="19"/>
  <c r="AH62" i="48"/>
  <c r="AV62" i="48" s="1"/>
  <c r="AZ62" i="48" s="1"/>
  <c r="AM55" i="19"/>
  <c r="AH55" i="48"/>
  <c r="AV55" i="48" s="1"/>
  <c r="AZ55" i="48" s="1"/>
  <c r="AM39" i="19"/>
  <c r="AH39" i="48"/>
  <c r="AV39" i="48" s="1"/>
  <c r="AZ39" i="48" s="1"/>
  <c r="AM67" i="19"/>
  <c r="AH67" i="48"/>
  <c r="AV67" i="48" s="1"/>
  <c r="AZ67" i="48" s="1"/>
  <c r="AM63" i="19"/>
  <c r="AH63" i="48"/>
  <c r="AV63" i="48" s="1"/>
  <c r="AZ63" i="48" s="1"/>
  <c r="AM31" i="19"/>
  <c r="AH31" i="48"/>
  <c r="AV31" i="48" s="1"/>
  <c r="AZ31" i="48" s="1"/>
  <c r="AM21" i="19"/>
  <c r="AH21" i="48"/>
  <c r="AV21" i="48" s="1"/>
  <c r="AM37" i="19"/>
  <c r="AH37" i="48"/>
  <c r="AV37" i="48" s="1"/>
  <c r="AZ37" i="48" s="1"/>
  <c r="AM68" i="19"/>
  <c r="AH68" i="48"/>
  <c r="AV68" i="48" s="1"/>
  <c r="AZ68" i="48" s="1"/>
  <c r="AM9" i="19"/>
  <c r="AH9" i="48"/>
  <c r="AV9" i="48" s="1"/>
  <c r="AO58" i="48"/>
  <c r="AP58" i="48" s="1"/>
  <c r="AR58" i="48" s="1"/>
  <c r="BA58" i="48"/>
  <c r="AQ65" i="48"/>
  <c r="AO65" i="48"/>
  <c r="AP65" i="48" s="1"/>
  <c r="AQ32" i="48"/>
  <c r="AR43" i="48"/>
  <c r="F82" i="47"/>
  <c r="E81" i="28"/>
  <c r="F85" i="46"/>
  <c r="F85" i="45"/>
  <c r="AH86" i="48"/>
  <c r="AV86" i="48" s="1"/>
  <c r="AZ86" i="48" s="1"/>
  <c r="AM86" i="19"/>
  <c r="AM10" i="19"/>
  <c r="AH10" i="48"/>
  <c r="AV10" i="48" s="1"/>
  <c r="AO85" i="48"/>
  <c r="AP85" i="48" s="1"/>
  <c r="AQ85" i="48"/>
  <c r="AR85" i="48"/>
  <c r="BA85" i="48"/>
  <c r="BA6" i="19"/>
  <c r="F7" i="47"/>
  <c r="F7" i="46"/>
  <c r="F7" i="45"/>
  <c r="F7" i="44"/>
  <c r="E6" i="28"/>
  <c r="BA66" i="48"/>
  <c r="AQ66" i="48"/>
  <c r="AR66" i="48"/>
  <c r="AO66" i="48"/>
  <c r="AP66" i="48" s="1"/>
  <c r="AM52" i="19"/>
  <c r="AH52" i="48"/>
  <c r="AV52" i="48" s="1"/>
  <c r="AZ52" i="48" s="1"/>
  <c r="AM20" i="19"/>
  <c r="AH20" i="48"/>
  <c r="AV20" i="48" s="1"/>
  <c r="AM27" i="19"/>
  <c r="AH27" i="48"/>
  <c r="AV27" i="48" s="1"/>
  <c r="AZ27" i="48" s="1"/>
  <c r="BA49" i="19"/>
  <c r="BE49" i="19" s="1"/>
  <c r="AV49" i="19" s="1"/>
  <c r="F50" i="47"/>
  <c r="F50" i="46"/>
  <c r="F50" i="45"/>
  <c r="F50" i="44"/>
  <c r="E49" i="28"/>
  <c r="F60" i="46"/>
  <c r="F60" i="45"/>
  <c r="AM64" i="19"/>
  <c r="AH64" i="48"/>
  <c r="AV64" i="48" s="1"/>
  <c r="AZ64" i="48" s="1"/>
  <c r="AM44" i="19"/>
  <c r="AH44" i="48"/>
  <c r="AV44" i="48" s="1"/>
  <c r="AZ44" i="48" s="1"/>
  <c r="BA56" i="19"/>
  <c r="F57" i="47"/>
  <c r="F57" i="46"/>
  <c r="F57" i="45"/>
  <c r="F57" i="44"/>
  <c r="E56" i="28"/>
  <c r="AL14" i="19"/>
  <c r="AG14" i="48"/>
  <c r="AU14" i="48" s="1"/>
  <c r="AL11" i="19"/>
  <c r="AG11" i="48"/>
  <c r="AU11" i="48" s="1"/>
  <c r="AL12" i="19"/>
  <c r="AG12" i="48"/>
  <c r="AU12" i="48" s="1"/>
  <c r="AZ18" i="19"/>
  <c r="E19" i="47"/>
  <c r="E19" i="46"/>
  <c r="E19" i="45"/>
  <c r="E19" i="44"/>
  <c r="D18" i="28"/>
  <c r="AL4" i="19"/>
  <c r="AG4" i="48"/>
  <c r="AU4" i="48" s="1"/>
  <c r="AZ71" i="19"/>
  <c r="E72" i="47"/>
  <c r="E72" i="46"/>
  <c r="E72" i="45"/>
  <c r="E72" i="44"/>
  <c r="D71" i="28"/>
  <c r="AL10" i="19"/>
  <c r="AG10" i="48"/>
  <c r="AU10" i="48" s="1"/>
  <c r="AL5" i="19"/>
  <c r="AG5" i="48"/>
  <c r="AU5" i="48" s="1"/>
  <c r="AL3" i="19"/>
  <c r="AG3" i="48"/>
  <c r="AU3" i="48" s="1"/>
  <c r="AZ24" i="19"/>
  <c r="E25" i="46"/>
  <c r="E25" i="47"/>
  <c r="E25" i="45"/>
  <c r="E25" i="44"/>
  <c r="D24" i="28"/>
  <c r="AL16" i="19"/>
  <c r="AG16" i="48"/>
  <c r="AU16" i="48" s="1"/>
  <c r="AS76" i="19"/>
  <c r="AS47" i="19"/>
  <c r="AT42" i="19"/>
  <c r="AU42" i="19" s="1"/>
  <c r="AL59" i="19"/>
  <c r="AE59" i="19"/>
  <c r="AL21" i="19"/>
  <c r="AE21" i="19"/>
  <c r="AL58" i="19"/>
  <c r="AE58" i="19"/>
  <c r="AL19" i="19"/>
  <c r="AE19" i="19"/>
  <c r="AL68" i="19"/>
  <c r="AE68" i="19"/>
  <c r="AL48" i="19"/>
  <c r="AE48" i="19"/>
  <c r="AL22" i="19"/>
  <c r="AE22" i="19"/>
  <c r="AL75" i="19"/>
  <c r="AE75" i="19"/>
  <c r="AL41" i="19"/>
  <c r="AE41" i="19"/>
  <c r="AL69" i="19"/>
  <c r="AE69" i="19"/>
  <c r="AL50" i="19"/>
  <c r="AE50" i="19"/>
  <c r="AL54" i="19"/>
  <c r="AE54" i="19"/>
  <c r="AL67" i="19"/>
  <c r="AE67" i="19"/>
  <c r="AL34" i="19"/>
  <c r="AE34" i="19"/>
  <c r="AL66" i="19"/>
  <c r="AE66" i="19"/>
  <c r="AL33" i="19"/>
  <c r="AE33" i="19"/>
  <c r="AL20" i="19"/>
  <c r="AE20" i="19"/>
  <c r="AL56" i="19"/>
  <c r="AE56" i="19"/>
  <c r="F15" i="5"/>
  <c r="AE15" i="19"/>
  <c r="AL63" i="19"/>
  <c r="AE63" i="19"/>
  <c r="AL52" i="19"/>
  <c r="AE52" i="19"/>
  <c r="AL39" i="19"/>
  <c r="AE39" i="19"/>
  <c r="F17" i="5"/>
  <c r="AE17" i="19"/>
  <c r="AL70" i="19"/>
  <c r="AE70" i="19"/>
  <c r="AL62" i="19"/>
  <c r="AE62" i="19"/>
  <c r="AL51" i="19"/>
  <c r="AE51" i="19"/>
  <c r="AL37" i="19"/>
  <c r="AE37" i="19"/>
  <c r="AL26" i="19"/>
  <c r="AE26" i="19"/>
  <c r="F13" i="5"/>
  <c r="AE13" i="19"/>
  <c r="AL78" i="19"/>
  <c r="AE78" i="19"/>
  <c r="AL65" i="19"/>
  <c r="AE65" i="19"/>
  <c r="AL43" i="19"/>
  <c r="AE43" i="19"/>
  <c r="AL74" i="19"/>
  <c r="AE74" i="19"/>
  <c r="AL46" i="19"/>
  <c r="AE46" i="19"/>
  <c r="AL73" i="19"/>
  <c r="AE73" i="19"/>
  <c r="AL45" i="19"/>
  <c r="AE45" i="19"/>
  <c r="AL72" i="19"/>
  <c r="AE72" i="19"/>
  <c r="AL32" i="19"/>
  <c r="AE32" i="19"/>
  <c r="AL60" i="19"/>
  <c r="AE60" i="19"/>
  <c r="AL31" i="19"/>
  <c r="AE31" i="19"/>
  <c r="AL64" i="19"/>
  <c r="AE64" i="19"/>
  <c r="AL23" i="19"/>
  <c r="AE23" i="19"/>
  <c r="AL61" i="19"/>
  <c r="AE61" i="19"/>
  <c r="AL36" i="19"/>
  <c r="AE36" i="19"/>
  <c r="AL35" i="19"/>
  <c r="AE35" i="19"/>
  <c r="AE9" i="19"/>
  <c r="F9" i="5"/>
  <c r="AE8" i="19"/>
  <c r="F8" i="5"/>
  <c r="AE7" i="19"/>
  <c r="F7" i="5"/>
  <c r="AE6" i="19"/>
  <c r="F6" i="5"/>
  <c r="G2" i="3"/>
  <c r="AS68" i="19"/>
  <c r="AR68" i="19"/>
  <c r="AR44" i="19"/>
  <c r="AS48" i="19"/>
  <c r="AR48" i="19"/>
  <c r="AS64" i="19"/>
  <c r="AR64" i="19"/>
  <c r="AS60" i="19"/>
  <c r="AR60" i="19"/>
  <c r="AS52" i="19"/>
  <c r="AR52" i="19"/>
  <c r="AS36" i="19"/>
  <c r="F81" i="45" l="1"/>
  <c r="AO81" i="48"/>
  <c r="AP81" i="48" s="1"/>
  <c r="AR110" i="48"/>
  <c r="AR36" i="48"/>
  <c r="F81" i="46"/>
  <c r="AQ106" i="48"/>
  <c r="BA110" i="48"/>
  <c r="F44" i="44"/>
  <c r="AR80" i="48"/>
  <c r="AO106" i="48"/>
  <c r="AP106" i="48" s="1"/>
  <c r="F82" i="44"/>
  <c r="BA81" i="19"/>
  <c r="BE81" i="19" s="1"/>
  <c r="F71" i="44"/>
  <c r="BA70" i="19"/>
  <c r="AQ54" i="48"/>
  <c r="AQ70" i="48"/>
  <c r="F33" i="45"/>
  <c r="AO92" i="48"/>
  <c r="AP92" i="48" s="1"/>
  <c r="AR102" i="48"/>
  <c r="F93" i="44"/>
  <c r="F93" i="46"/>
  <c r="F107" i="45"/>
  <c r="F107" i="47"/>
  <c r="F82" i="45"/>
  <c r="F71" i="45"/>
  <c r="AO54" i="48"/>
  <c r="AP54" i="48" s="1"/>
  <c r="AR70" i="48"/>
  <c r="F33" i="46"/>
  <c r="AQ92" i="48"/>
  <c r="AQ102" i="48"/>
  <c r="BA92" i="19"/>
  <c r="BE92" i="19" s="1"/>
  <c r="BA106" i="19"/>
  <c r="BE106" i="19" s="1"/>
  <c r="AW106" i="19" s="1"/>
  <c r="E32" i="28"/>
  <c r="BC79" i="48"/>
  <c r="BB79" i="48"/>
  <c r="AR32" i="48"/>
  <c r="BB32" i="48" s="1"/>
  <c r="F73" i="47"/>
  <c r="E46" i="28"/>
  <c r="AR46" i="48"/>
  <c r="F12" i="44"/>
  <c r="E59" i="28"/>
  <c r="F60" i="47"/>
  <c r="E84" i="28"/>
  <c r="F85" i="47"/>
  <c r="BA43" i="48"/>
  <c r="AO32" i="48"/>
  <c r="AP32" i="48" s="1"/>
  <c r="AR74" i="48"/>
  <c r="BA65" i="48"/>
  <c r="F75" i="46"/>
  <c r="F73" i="44"/>
  <c r="BA72" i="19"/>
  <c r="AO80" i="48"/>
  <c r="AP80" i="48" s="1"/>
  <c r="F47" i="44"/>
  <c r="BA46" i="19"/>
  <c r="E80" i="28"/>
  <c r="F81" i="47"/>
  <c r="AQ46" i="48"/>
  <c r="BA81" i="48"/>
  <c r="AR106" i="48"/>
  <c r="BA111" i="48"/>
  <c r="AO110" i="48"/>
  <c r="AP110" i="48" s="1"/>
  <c r="AR113" i="48"/>
  <c r="BC113" i="48" s="1"/>
  <c r="AR96" i="48"/>
  <c r="F97" i="44"/>
  <c r="BA79" i="48"/>
  <c r="AQ76" i="48"/>
  <c r="BA76" i="48"/>
  <c r="AO76" i="48"/>
  <c r="AP76" i="48" s="1"/>
  <c r="AR76" i="48"/>
  <c r="AO43" i="48"/>
  <c r="AP43" i="48" s="1"/>
  <c r="E72" i="28"/>
  <c r="F47" i="47"/>
  <c r="AQ113" i="48"/>
  <c r="AQ96" i="48"/>
  <c r="F97" i="46"/>
  <c r="AO79" i="48"/>
  <c r="AP79" i="48" s="1"/>
  <c r="F77" i="45"/>
  <c r="F77" i="47"/>
  <c r="BA76" i="19"/>
  <c r="BE76" i="19" s="1"/>
  <c r="F77" i="44"/>
  <c r="E76" i="28"/>
  <c r="F77" i="46"/>
  <c r="BA11" i="19"/>
  <c r="F26" i="44"/>
  <c r="F85" i="44"/>
  <c r="E74" i="28"/>
  <c r="BA56" i="48"/>
  <c r="F81" i="44"/>
  <c r="E96" i="28"/>
  <c r="AF16" i="19"/>
  <c r="AA16" i="48"/>
  <c r="N43" i="47"/>
  <c r="AO56" i="48"/>
  <c r="AP56" i="48" s="1"/>
  <c r="AR47" i="48"/>
  <c r="BB47" i="48" s="1"/>
  <c r="AO131" i="48"/>
  <c r="AP131" i="48" s="1"/>
  <c r="BA131" i="48"/>
  <c r="AR131" i="48"/>
  <c r="AQ131" i="48"/>
  <c r="BF135" i="19"/>
  <c r="AT135" i="19"/>
  <c r="AU135" i="19" s="1"/>
  <c r="AV135" i="19"/>
  <c r="AW135" i="19"/>
  <c r="F134" i="44"/>
  <c r="F134" i="45"/>
  <c r="F134" i="47"/>
  <c r="F134" i="46"/>
  <c r="E133" i="28"/>
  <c r="BA133" i="19"/>
  <c r="BE133" i="19" s="1"/>
  <c r="F137" i="45"/>
  <c r="F137" i="44"/>
  <c r="BA136" i="19"/>
  <c r="BE136" i="19" s="1"/>
  <c r="F137" i="47"/>
  <c r="F137" i="46"/>
  <c r="E136" i="28"/>
  <c r="AQ47" i="48"/>
  <c r="AR123" i="48"/>
  <c r="AQ123" i="48"/>
  <c r="AO123" i="48"/>
  <c r="AP123" i="48" s="1"/>
  <c r="BA123" i="48"/>
  <c r="BA132" i="48"/>
  <c r="AO132" i="48"/>
  <c r="AP132" i="48" s="1"/>
  <c r="AQ132" i="48"/>
  <c r="AR132" i="48"/>
  <c r="E134" i="28"/>
  <c r="F135" i="46"/>
  <c r="F135" i="45"/>
  <c r="BA134" i="19"/>
  <c r="BE134" i="19" s="1"/>
  <c r="F135" i="47"/>
  <c r="F135" i="44"/>
  <c r="AO139" i="48"/>
  <c r="AP139" i="48" s="1"/>
  <c r="AQ139" i="48"/>
  <c r="AR139" i="48"/>
  <c r="BA139" i="48"/>
  <c r="AR109" i="48"/>
  <c r="AQ109" i="48"/>
  <c r="AO109" i="48"/>
  <c r="AP109" i="48" s="1"/>
  <c r="BA109" i="48"/>
  <c r="E28" i="28"/>
  <c r="BC135" i="48"/>
  <c r="BB135" i="48"/>
  <c r="F124" i="47"/>
  <c r="E123" i="28"/>
  <c r="BA123" i="19"/>
  <c r="BE123" i="19" s="1"/>
  <c r="F124" i="44"/>
  <c r="F124" i="45"/>
  <c r="F124" i="46"/>
  <c r="AO138" i="48"/>
  <c r="AP138" i="48" s="1"/>
  <c r="AR138" i="48"/>
  <c r="AQ138" i="48"/>
  <c r="BA138" i="48"/>
  <c r="E132" i="28"/>
  <c r="F133" i="47"/>
  <c r="F133" i="46"/>
  <c r="F133" i="45"/>
  <c r="F133" i="44"/>
  <c r="BA132" i="19"/>
  <c r="BE132" i="19" s="1"/>
  <c r="BA134" i="48"/>
  <c r="AR134" i="48"/>
  <c r="AO134" i="48"/>
  <c r="AP134" i="48" s="1"/>
  <c r="AQ134" i="48"/>
  <c r="F140" i="47"/>
  <c r="F140" i="45"/>
  <c r="BA139" i="19"/>
  <c r="BE139" i="19" s="1"/>
  <c r="E139" i="28"/>
  <c r="F140" i="44"/>
  <c r="F140" i="46"/>
  <c r="E118" i="28"/>
  <c r="F119" i="46"/>
  <c r="BA118" i="19"/>
  <c r="BE118" i="19" s="1"/>
  <c r="F119" i="44"/>
  <c r="F119" i="45"/>
  <c r="F119" i="47"/>
  <c r="F128" i="45"/>
  <c r="BA127" i="19"/>
  <c r="BE127" i="19" s="1"/>
  <c r="E127" i="28"/>
  <c r="F128" i="46"/>
  <c r="F128" i="44"/>
  <c r="F128" i="47"/>
  <c r="F132" i="46"/>
  <c r="F132" i="47"/>
  <c r="F132" i="44"/>
  <c r="F132" i="45"/>
  <c r="E131" i="28"/>
  <c r="BA131" i="19"/>
  <c r="BE131" i="19" s="1"/>
  <c r="F139" i="47"/>
  <c r="F139" i="46"/>
  <c r="E138" i="28"/>
  <c r="F139" i="44"/>
  <c r="F139" i="45"/>
  <c r="BA138" i="19"/>
  <c r="BE138" i="19" s="1"/>
  <c r="AQ133" i="48"/>
  <c r="AO133" i="48"/>
  <c r="AP133" i="48" s="1"/>
  <c r="BA133" i="48"/>
  <c r="AR133" i="48"/>
  <c r="AQ118" i="48"/>
  <c r="AR118" i="48"/>
  <c r="BA118" i="48"/>
  <c r="AO118" i="48"/>
  <c r="AP118" i="48" s="1"/>
  <c r="BA127" i="48"/>
  <c r="AQ127" i="48"/>
  <c r="AR127" i="48"/>
  <c r="AO127" i="48"/>
  <c r="AP127" i="48" s="1"/>
  <c r="AQ136" i="48"/>
  <c r="BA136" i="48"/>
  <c r="AR136" i="48"/>
  <c r="AO136" i="48"/>
  <c r="AP136" i="48" s="1"/>
  <c r="BA115" i="48"/>
  <c r="AO115" i="48"/>
  <c r="AP115" i="48" s="1"/>
  <c r="AR115" i="48" s="1"/>
  <c r="BC115" i="48" s="1"/>
  <c r="F122" i="47"/>
  <c r="E121" i="28"/>
  <c r="F122" i="46"/>
  <c r="F122" i="45"/>
  <c r="BA121" i="19"/>
  <c r="BE121" i="19" s="1"/>
  <c r="F122" i="44"/>
  <c r="BB114" i="48"/>
  <c r="BC114" i="48"/>
  <c r="AT114" i="19"/>
  <c r="AU114" i="19" s="1"/>
  <c r="AW114" i="19"/>
  <c r="BF114" i="19"/>
  <c r="AV114" i="19"/>
  <c r="BC120" i="48"/>
  <c r="BB120" i="48"/>
  <c r="F80" i="46"/>
  <c r="F80" i="47"/>
  <c r="F80" i="45"/>
  <c r="E79" i="28"/>
  <c r="BA79" i="19"/>
  <c r="BE79" i="19" s="1"/>
  <c r="F80" i="44"/>
  <c r="F12" i="45"/>
  <c r="AO74" i="48"/>
  <c r="AP74" i="48" s="1"/>
  <c r="AA91" i="48"/>
  <c r="AF91" i="19"/>
  <c r="F12" i="46"/>
  <c r="AQ74" i="48"/>
  <c r="F44" i="46"/>
  <c r="AO36" i="48"/>
  <c r="AP36" i="48" s="1"/>
  <c r="BF116" i="19"/>
  <c r="AV116" i="19"/>
  <c r="AT116" i="19"/>
  <c r="AU116" i="19" s="1"/>
  <c r="AW116" i="19"/>
  <c r="AQ121" i="48"/>
  <c r="AR121" i="48"/>
  <c r="AO121" i="48"/>
  <c r="AP121" i="48" s="1"/>
  <c r="BA121" i="48"/>
  <c r="AW120" i="19"/>
  <c r="AV120" i="19"/>
  <c r="AT120" i="19"/>
  <c r="AU120" i="19" s="1"/>
  <c r="BF120" i="19"/>
  <c r="BC117" i="48"/>
  <c r="BB117" i="48"/>
  <c r="BC116" i="48"/>
  <c r="BB116" i="48"/>
  <c r="AW119" i="19"/>
  <c r="AV119" i="19"/>
  <c r="AT119" i="19"/>
  <c r="AU119" i="19" s="1"/>
  <c r="BF119" i="19"/>
  <c r="F44" i="45"/>
  <c r="AQ36" i="48"/>
  <c r="E11" i="28"/>
  <c r="E43" i="28"/>
  <c r="AW122" i="19"/>
  <c r="AV122" i="19"/>
  <c r="AT122" i="19"/>
  <c r="AU122" i="19" s="1"/>
  <c r="BF122" i="19"/>
  <c r="BC119" i="48"/>
  <c r="BB119" i="48"/>
  <c r="F30" i="46"/>
  <c r="F30" i="45"/>
  <c r="E115" i="28"/>
  <c r="BA115" i="19"/>
  <c r="BE115" i="19" s="1"/>
  <c r="F24" i="44"/>
  <c r="F30" i="47"/>
  <c r="BB122" i="48"/>
  <c r="BC122" i="48"/>
  <c r="AT117" i="19"/>
  <c r="AU117" i="19" s="1"/>
  <c r="AW117" i="19"/>
  <c r="AV117" i="19"/>
  <c r="BF117" i="19"/>
  <c r="F106" i="47"/>
  <c r="E105" i="28"/>
  <c r="F106" i="44"/>
  <c r="F106" i="46"/>
  <c r="F106" i="45"/>
  <c r="BA105" i="19"/>
  <c r="BE105" i="19" s="1"/>
  <c r="AW110" i="19"/>
  <c r="AT110" i="19"/>
  <c r="AU110" i="19" s="1"/>
  <c r="BF110" i="19"/>
  <c r="AV110" i="19"/>
  <c r="O110" i="46"/>
  <c r="BJ109" i="19"/>
  <c r="O110" i="44"/>
  <c r="BH109" i="19"/>
  <c r="N109" i="28"/>
  <c r="O110" i="45"/>
  <c r="O110" i="47"/>
  <c r="BI109" i="19"/>
  <c r="R110" i="44" s="1"/>
  <c r="BG109" i="19"/>
  <c r="N48" i="47"/>
  <c r="M42" i="28"/>
  <c r="BC93" i="48"/>
  <c r="BB93" i="48"/>
  <c r="BC111" i="48"/>
  <c r="BB111" i="48"/>
  <c r="BA101" i="19"/>
  <c r="BE101" i="19" s="1"/>
  <c r="F102" i="44"/>
  <c r="F102" i="47"/>
  <c r="E101" i="28"/>
  <c r="F102" i="45"/>
  <c r="F102" i="46"/>
  <c r="AR82" i="48"/>
  <c r="BA82" i="48"/>
  <c r="AQ82" i="48"/>
  <c r="AO82" i="48"/>
  <c r="AP82" i="48" s="1"/>
  <c r="BA90" i="48"/>
  <c r="AQ90" i="48"/>
  <c r="AO90" i="48"/>
  <c r="AP90" i="48" s="1"/>
  <c r="AR90" i="48"/>
  <c r="F101" i="47"/>
  <c r="E100" i="28"/>
  <c r="F101" i="44"/>
  <c r="F101" i="46"/>
  <c r="F101" i="45"/>
  <c r="BA100" i="19"/>
  <c r="BE100" i="19" s="1"/>
  <c r="BC104" i="48"/>
  <c r="BB104" i="48"/>
  <c r="AT111" i="19"/>
  <c r="AU111" i="19" s="1"/>
  <c r="AV111" i="19"/>
  <c r="AW111" i="19"/>
  <c r="BF111" i="19"/>
  <c r="AQ105" i="48"/>
  <c r="AR105" i="48"/>
  <c r="BA105" i="48"/>
  <c r="AO105" i="48"/>
  <c r="AP105" i="48" s="1"/>
  <c r="BF107" i="19"/>
  <c r="AW107" i="19"/>
  <c r="AT107" i="19"/>
  <c r="AU107" i="19" s="1"/>
  <c r="AV107" i="19"/>
  <c r="M110" i="46"/>
  <c r="M110" i="44"/>
  <c r="L109" i="28"/>
  <c r="M110" i="47"/>
  <c r="M110" i="45"/>
  <c r="AV113" i="19"/>
  <c r="AW113" i="19"/>
  <c r="BF113" i="19"/>
  <c r="AT113" i="19"/>
  <c r="AU113" i="19" s="1"/>
  <c r="BA98" i="48"/>
  <c r="AO98" i="48"/>
  <c r="AP98" i="48" s="1"/>
  <c r="AR98" i="48"/>
  <c r="AQ98" i="48"/>
  <c r="AQ108" i="48"/>
  <c r="BA108" i="48"/>
  <c r="AO108" i="48"/>
  <c r="AP108" i="48" s="1"/>
  <c r="AR108" i="48"/>
  <c r="F104" i="47"/>
  <c r="E103" i="28"/>
  <c r="F104" i="44"/>
  <c r="F104" i="46"/>
  <c r="F104" i="45"/>
  <c r="BA103" i="19"/>
  <c r="BE103" i="19" s="1"/>
  <c r="AW92" i="19"/>
  <c r="BF92" i="19"/>
  <c r="AT92" i="19"/>
  <c r="AU92" i="19" s="1"/>
  <c r="AV92" i="19"/>
  <c r="BB99" i="48"/>
  <c r="BC99" i="48"/>
  <c r="BC107" i="48"/>
  <c r="BB107" i="48"/>
  <c r="BA95" i="48"/>
  <c r="AQ95" i="48"/>
  <c r="AO95" i="48"/>
  <c r="AP95" i="48" s="1"/>
  <c r="AR95" i="48"/>
  <c r="BA112" i="48"/>
  <c r="AQ112" i="48"/>
  <c r="AR112" i="48"/>
  <c r="AO112" i="48"/>
  <c r="AP112" i="48" s="1"/>
  <c r="AO97" i="48"/>
  <c r="AP97" i="48" s="1"/>
  <c r="BA97" i="48"/>
  <c r="AR97" i="48"/>
  <c r="AQ97" i="48"/>
  <c r="N110" i="47"/>
  <c r="N110" i="45"/>
  <c r="M109" i="28"/>
  <c r="N110" i="44"/>
  <c r="N110" i="46"/>
  <c r="AW93" i="19"/>
  <c r="AT93" i="19"/>
  <c r="AU93" i="19" s="1"/>
  <c r="BF93" i="19"/>
  <c r="AV93" i="19"/>
  <c r="AV96" i="19"/>
  <c r="BF96" i="19"/>
  <c r="AW96" i="19"/>
  <c r="AT96" i="19"/>
  <c r="AU96" i="19" s="1"/>
  <c r="AA2" i="48"/>
  <c r="AA77" i="48"/>
  <c r="AF77" i="19"/>
  <c r="AW42" i="19"/>
  <c r="O43" i="47" s="1"/>
  <c r="BC89" i="48"/>
  <c r="BB89" i="48"/>
  <c r="BF99" i="19"/>
  <c r="AT99" i="19"/>
  <c r="AU99" i="19" s="1"/>
  <c r="AW99" i="19"/>
  <c r="AV99" i="19"/>
  <c r="BA98" i="19"/>
  <c r="BE98" i="19" s="1"/>
  <c r="F99" i="44"/>
  <c r="F99" i="47"/>
  <c r="E98" i="28"/>
  <c r="F99" i="45"/>
  <c r="F99" i="46"/>
  <c r="BC102" i="48"/>
  <c r="BB102" i="48"/>
  <c r="AT89" i="19"/>
  <c r="AU89" i="19" s="1"/>
  <c r="AV89" i="19"/>
  <c r="AW89" i="19"/>
  <c r="BF89" i="19"/>
  <c r="BB94" i="48"/>
  <c r="BC94" i="48"/>
  <c r="F109" i="47"/>
  <c r="E108" i="28"/>
  <c r="F109" i="46"/>
  <c r="F109" i="45"/>
  <c r="BA108" i="19"/>
  <c r="BE108" i="19" s="1"/>
  <c r="F109" i="44"/>
  <c r="AR103" i="48"/>
  <c r="AQ103" i="48"/>
  <c r="BA103" i="48"/>
  <c r="AO103" i="48"/>
  <c r="AP103" i="48" s="1"/>
  <c r="BB113" i="48"/>
  <c r="F96" i="46"/>
  <c r="F96" i="47"/>
  <c r="F96" i="45"/>
  <c r="E95" i="28"/>
  <c r="BA95" i="19"/>
  <c r="BE95" i="19" s="1"/>
  <c r="F96" i="44"/>
  <c r="N43" i="45"/>
  <c r="BB92" i="48"/>
  <c r="BC92" i="48"/>
  <c r="BB106" i="48"/>
  <c r="BC106" i="48"/>
  <c r="AQ101" i="48"/>
  <c r="AR101" i="48"/>
  <c r="AO101" i="48"/>
  <c r="AP101" i="48" s="1"/>
  <c r="BA101" i="48"/>
  <c r="AV94" i="19"/>
  <c r="BF94" i="19"/>
  <c r="AW94" i="19"/>
  <c r="AT94" i="19"/>
  <c r="AU94" i="19" s="1"/>
  <c r="BA82" i="19"/>
  <c r="BE82" i="19" s="1"/>
  <c r="F83" i="44"/>
  <c r="F83" i="46"/>
  <c r="F83" i="47"/>
  <c r="E82" i="28"/>
  <c r="F83" i="45"/>
  <c r="F91" i="45"/>
  <c r="BA90" i="19"/>
  <c r="BE90" i="19" s="1"/>
  <c r="F91" i="44"/>
  <c r="F91" i="46"/>
  <c r="F91" i="47"/>
  <c r="E90" i="28"/>
  <c r="BA100" i="48"/>
  <c r="AO100" i="48"/>
  <c r="AP100" i="48" s="1"/>
  <c r="AR100" i="48"/>
  <c r="AQ100" i="48"/>
  <c r="AV102" i="19"/>
  <c r="BF102" i="19"/>
  <c r="AT102" i="19"/>
  <c r="AU102" i="19" s="1"/>
  <c r="AW102" i="19"/>
  <c r="BC110" i="48"/>
  <c r="BB110" i="48"/>
  <c r="F113" i="45"/>
  <c r="BA112" i="19"/>
  <c r="BE112" i="19" s="1"/>
  <c r="F113" i="44"/>
  <c r="F113" i="47"/>
  <c r="E112" i="28"/>
  <c r="F113" i="46"/>
  <c r="BA97" i="19"/>
  <c r="BE97" i="19" s="1"/>
  <c r="F98" i="44"/>
  <c r="F98" i="47"/>
  <c r="E97" i="28"/>
  <c r="F98" i="46"/>
  <c r="F98" i="45"/>
  <c r="AV104" i="19"/>
  <c r="BF104" i="19"/>
  <c r="AW104" i="19"/>
  <c r="AT104" i="19"/>
  <c r="AU104" i="19" s="1"/>
  <c r="BC96" i="48"/>
  <c r="BB96" i="48"/>
  <c r="L110" i="45"/>
  <c r="L110" i="44"/>
  <c r="L110" i="47"/>
  <c r="K109" i="28"/>
  <c r="L110" i="46"/>
  <c r="AQ59" i="48"/>
  <c r="AQ58" i="48"/>
  <c r="AW53" i="19"/>
  <c r="O54" i="45" s="1"/>
  <c r="N58" i="44"/>
  <c r="N48" i="45"/>
  <c r="AT57" i="19"/>
  <c r="AU57" i="19" s="1"/>
  <c r="L58" i="45" s="1"/>
  <c r="AT47" i="19"/>
  <c r="AU47" i="19" s="1"/>
  <c r="M47" i="28"/>
  <c r="AT53" i="19"/>
  <c r="AU53" i="19" s="1"/>
  <c r="L54" i="45" s="1"/>
  <c r="AZ2" i="19"/>
  <c r="E3" i="47"/>
  <c r="E3" i="45"/>
  <c r="E3" i="46"/>
  <c r="E3" i="44"/>
  <c r="D2" i="28"/>
  <c r="N58" i="46"/>
  <c r="AV53" i="19"/>
  <c r="M54" i="45" s="1"/>
  <c r="BF49" i="19"/>
  <c r="N50" i="46" s="1"/>
  <c r="K37" i="47"/>
  <c r="K37" i="46"/>
  <c r="K37" i="45"/>
  <c r="K37" i="44"/>
  <c r="J36" i="28"/>
  <c r="K53" i="47"/>
  <c r="K53" i="46"/>
  <c r="K53" i="45"/>
  <c r="K53" i="44"/>
  <c r="J52" i="28"/>
  <c r="J69" i="47"/>
  <c r="J69" i="46"/>
  <c r="J69" i="45"/>
  <c r="J69" i="44"/>
  <c r="I68" i="28"/>
  <c r="J61" i="47"/>
  <c r="J61" i="46"/>
  <c r="J61" i="45"/>
  <c r="J60" i="44"/>
  <c r="I60" i="28"/>
  <c r="J49" i="47"/>
  <c r="J49" i="46"/>
  <c r="J49" i="45"/>
  <c r="J49" i="44"/>
  <c r="I48" i="28"/>
  <c r="K69" i="47"/>
  <c r="K69" i="46"/>
  <c r="K69" i="45"/>
  <c r="K69" i="44"/>
  <c r="J68" i="28"/>
  <c r="AT49" i="19"/>
  <c r="AU49" i="19" s="1"/>
  <c r="L50" i="46" s="1"/>
  <c r="AV42" i="19"/>
  <c r="M43" i="47" s="1"/>
  <c r="AW47" i="19"/>
  <c r="BG47" i="19" s="1"/>
  <c r="AW57" i="19"/>
  <c r="O58" i="47" s="1"/>
  <c r="N48" i="46"/>
  <c r="N58" i="45"/>
  <c r="AW49" i="19"/>
  <c r="O50" i="46" s="1"/>
  <c r="N43" i="46"/>
  <c r="K61" i="47"/>
  <c r="K61" i="46"/>
  <c r="K61" i="45"/>
  <c r="K60" i="44"/>
  <c r="J60" i="28"/>
  <c r="K48" i="47"/>
  <c r="K48" i="46"/>
  <c r="K48" i="45"/>
  <c r="K48" i="44"/>
  <c r="J47" i="28"/>
  <c r="K49" i="47"/>
  <c r="K49" i="46"/>
  <c r="K49" i="45"/>
  <c r="K49" i="44"/>
  <c r="J48" i="28"/>
  <c r="J53" i="47"/>
  <c r="J53" i="46"/>
  <c r="J53" i="45"/>
  <c r="J53" i="44"/>
  <c r="I52" i="28"/>
  <c r="J65" i="47"/>
  <c r="J65" i="46"/>
  <c r="J65" i="45"/>
  <c r="J65" i="44"/>
  <c r="I64" i="28"/>
  <c r="J45" i="47"/>
  <c r="J45" i="46"/>
  <c r="J45" i="45"/>
  <c r="J45" i="44"/>
  <c r="I44" i="28"/>
  <c r="AV57" i="19"/>
  <c r="M58" i="45" s="1"/>
  <c r="AV47" i="19"/>
  <c r="M48" i="45" s="1"/>
  <c r="K77" i="47"/>
  <c r="K77" i="46"/>
  <c r="K77" i="45"/>
  <c r="K77" i="44"/>
  <c r="J76" i="28"/>
  <c r="M57" i="28"/>
  <c r="K65" i="47"/>
  <c r="K65" i="45"/>
  <c r="K65" i="46"/>
  <c r="K65" i="44"/>
  <c r="J64" i="28"/>
  <c r="AT28" i="19"/>
  <c r="BA52" i="19"/>
  <c r="F53" i="47"/>
  <c r="F53" i="46"/>
  <c r="F53" i="45"/>
  <c r="F53" i="44"/>
  <c r="E52" i="28"/>
  <c r="BC85" i="48"/>
  <c r="BB85" i="48"/>
  <c r="AR63" i="48"/>
  <c r="AO63" i="48"/>
  <c r="AP63" i="48" s="1"/>
  <c r="BA63" i="48"/>
  <c r="AQ63" i="48"/>
  <c r="AO87" i="48"/>
  <c r="AP87" i="48" s="1"/>
  <c r="AR87" i="48"/>
  <c r="BA87" i="48"/>
  <c r="AQ87" i="48"/>
  <c r="BA34" i="19"/>
  <c r="F35" i="47"/>
  <c r="F35" i="46"/>
  <c r="F35" i="45"/>
  <c r="F35" i="44"/>
  <c r="E34" i="28"/>
  <c r="BA38" i="19"/>
  <c r="BE38" i="19" s="1"/>
  <c r="F39" i="47"/>
  <c r="F39" i="46"/>
  <c r="F39" i="45"/>
  <c r="F39" i="44"/>
  <c r="E38" i="28"/>
  <c r="BA60" i="19"/>
  <c r="F61" i="47"/>
  <c r="F61" i="46"/>
  <c r="F61" i="45"/>
  <c r="F60" i="44"/>
  <c r="E60" i="28"/>
  <c r="AR88" i="48"/>
  <c r="AO88" i="48"/>
  <c r="AP88" i="48" s="1"/>
  <c r="AQ88" i="48"/>
  <c r="BA88" i="48"/>
  <c r="BA30" i="19"/>
  <c r="BE30" i="19" s="1"/>
  <c r="F31" i="47"/>
  <c r="F31" i="46"/>
  <c r="F31" i="45"/>
  <c r="F31" i="44"/>
  <c r="E30" i="28"/>
  <c r="BA14" i="19"/>
  <c r="F15" i="47"/>
  <c r="F15" i="46"/>
  <c r="F15" i="45"/>
  <c r="F15" i="44"/>
  <c r="E14" i="28"/>
  <c r="BA26" i="19"/>
  <c r="F27" i="47"/>
  <c r="F27" i="46"/>
  <c r="F27" i="45"/>
  <c r="F27" i="44"/>
  <c r="E26" i="28"/>
  <c r="AQ44" i="48"/>
  <c r="BA44" i="48"/>
  <c r="AR44" i="48"/>
  <c r="AO44" i="48"/>
  <c r="AP44" i="48" s="1"/>
  <c r="BA44" i="19"/>
  <c r="BE44" i="19" s="1"/>
  <c r="F45" i="47"/>
  <c r="F45" i="46"/>
  <c r="F45" i="45"/>
  <c r="F45" i="44"/>
  <c r="E44" i="28"/>
  <c r="BA27" i="19"/>
  <c r="BE27" i="19" s="1"/>
  <c r="F116" i="47"/>
  <c r="F116" i="46"/>
  <c r="F116" i="45"/>
  <c r="F59" i="44"/>
  <c r="E27" i="28"/>
  <c r="BA10" i="19"/>
  <c r="F11" i="47"/>
  <c r="F11" i="46"/>
  <c r="F11" i="45"/>
  <c r="F11" i="44"/>
  <c r="E10" i="28"/>
  <c r="AT84" i="19"/>
  <c r="AU84" i="19" s="1"/>
  <c r="BF84" i="19"/>
  <c r="AW84" i="19"/>
  <c r="AV84" i="19"/>
  <c r="BC74" i="48"/>
  <c r="BB74" i="48"/>
  <c r="BA68" i="19"/>
  <c r="F69" i="47"/>
  <c r="F69" i="46"/>
  <c r="F69" i="45"/>
  <c r="F69" i="44"/>
  <c r="E68" i="28"/>
  <c r="BA21" i="19"/>
  <c r="F22" i="47"/>
  <c r="F22" i="46"/>
  <c r="F22" i="45"/>
  <c r="F22" i="44"/>
  <c r="E21" i="28"/>
  <c r="AQ39" i="48"/>
  <c r="AO39" i="48"/>
  <c r="AP39" i="48" s="1"/>
  <c r="BA39" i="48"/>
  <c r="AR39" i="48"/>
  <c r="F29" i="47"/>
  <c r="F29" i="46"/>
  <c r="F29" i="45"/>
  <c r="F29" i="44"/>
  <c r="BA3" i="19"/>
  <c r="F4" i="47"/>
  <c r="F4" i="46"/>
  <c r="F4" i="45"/>
  <c r="F4" i="44"/>
  <c r="E3" i="28"/>
  <c r="BA23" i="19"/>
  <c r="F9" i="47"/>
  <c r="F9" i="46"/>
  <c r="F9" i="45"/>
  <c r="F5" i="44"/>
  <c r="E23" i="28"/>
  <c r="BA45" i="19"/>
  <c r="F46" i="47"/>
  <c r="F46" i="46"/>
  <c r="F46" i="45"/>
  <c r="F46" i="44"/>
  <c r="E45" i="28"/>
  <c r="F18" i="47"/>
  <c r="F18" i="46"/>
  <c r="F18" i="45"/>
  <c r="F9" i="44"/>
  <c r="BA29" i="19"/>
  <c r="BE29" i="19" s="1"/>
  <c r="E29" i="28"/>
  <c r="BB42" i="48"/>
  <c r="BC42" i="48"/>
  <c r="BC36" i="48"/>
  <c r="BB36" i="48"/>
  <c r="BB57" i="48"/>
  <c r="BC57" i="48"/>
  <c r="AO61" i="48"/>
  <c r="AP61" i="48" s="1"/>
  <c r="AQ61" i="48"/>
  <c r="AR61" i="48"/>
  <c r="BA61" i="48"/>
  <c r="BA83" i="19"/>
  <c r="BE83" i="19" s="1"/>
  <c r="F84" i="47"/>
  <c r="F84" i="46"/>
  <c r="F84" i="45"/>
  <c r="F84" i="44"/>
  <c r="E83" i="28"/>
  <c r="BA25" i="48"/>
  <c r="AO25" i="48"/>
  <c r="AP25" i="48" s="1"/>
  <c r="AQ25" i="48" s="1"/>
  <c r="AQ51" i="48"/>
  <c r="AO51" i="48"/>
  <c r="AP51" i="48" s="1"/>
  <c r="BA51" i="48"/>
  <c r="AR51" i="48"/>
  <c r="BC73" i="48"/>
  <c r="BB73" i="48"/>
  <c r="BC46" i="48"/>
  <c r="BB46" i="48"/>
  <c r="BB78" i="48"/>
  <c r="BC78" i="48"/>
  <c r="AO69" i="48"/>
  <c r="AP69" i="48" s="1"/>
  <c r="AQ69" i="48"/>
  <c r="AR69" i="48"/>
  <c r="BA69" i="48"/>
  <c r="AQ64" i="48"/>
  <c r="AO64" i="48"/>
  <c r="AP64" i="48" s="1"/>
  <c r="AR64" i="48"/>
  <c r="BA64" i="48"/>
  <c r="BA86" i="19"/>
  <c r="BE86" i="19" s="1"/>
  <c r="F87" i="47"/>
  <c r="F87" i="46"/>
  <c r="F87" i="45"/>
  <c r="F87" i="44"/>
  <c r="E86" i="28"/>
  <c r="BB43" i="48"/>
  <c r="BC43" i="48"/>
  <c r="BC58" i="48"/>
  <c r="AQ37" i="48"/>
  <c r="AR37" i="48"/>
  <c r="AO37" i="48"/>
  <c r="AP37" i="48" s="1"/>
  <c r="BA37" i="48"/>
  <c r="BA63" i="19"/>
  <c r="F64" i="47"/>
  <c r="F64" i="46"/>
  <c r="F64" i="45"/>
  <c r="F64" i="44"/>
  <c r="E63" i="28"/>
  <c r="BA39" i="19"/>
  <c r="F40" i="47"/>
  <c r="F40" i="46"/>
  <c r="F40" i="45"/>
  <c r="F40" i="44"/>
  <c r="E39" i="28"/>
  <c r="BA62" i="48"/>
  <c r="AR62" i="48"/>
  <c r="AQ62" i="48"/>
  <c r="AO62" i="48"/>
  <c r="AP62" i="48" s="1"/>
  <c r="BA75" i="48"/>
  <c r="AQ75" i="48"/>
  <c r="AR75" i="48"/>
  <c r="AO75" i="48"/>
  <c r="AP75" i="48" s="1"/>
  <c r="BC84" i="48"/>
  <c r="BB84" i="48"/>
  <c r="BA35" i="48"/>
  <c r="AQ35" i="48"/>
  <c r="AO35" i="48"/>
  <c r="AP35" i="48" s="1"/>
  <c r="AR35" i="48"/>
  <c r="BA48" i="48"/>
  <c r="AQ48" i="48"/>
  <c r="AR48" i="48"/>
  <c r="AO48" i="48"/>
  <c r="AP48" i="48" s="1"/>
  <c r="AO41" i="48"/>
  <c r="AP41" i="48" s="1"/>
  <c r="AR41" i="48"/>
  <c r="BA41" i="48"/>
  <c r="AQ41" i="48"/>
  <c r="AQ50" i="48"/>
  <c r="AR50" i="48"/>
  <c r="AO50" i="48"/>
  <c r="AP50" i="48" s="1"/>
  <c r="BA50" i="48"/>
  <c r="BC54" i="48"/>
  <c r="BB54" i="48"/>
  <c r="BA61" i="19"/>
  <c r="F62" i="47"/>
  <c r="F62" i="46"/>
  <c r="F62" i="45"/>
  <c r="F62" i="44"/>
  <c r="E61" i="28"/>
  <c r="AQ83" i="48"/>
  <c r="AO83" i="48"/>
  <c r="AP83" i="48" s="1"/>
  <c r="AR83" i="48"/>
  <c r="BA83" i="48"/>
  <c r="BA25" i="19"/>
  <c r="BE25" i="19" s="1"/>
  <c r="F26" i="47"/>
  <c r="F26" i="46"/>
  <c r="F26" i="45"/>
  <c r="F30" i="44"/>
  <c r="E25" i="28"/>
  <c r="BA51" i="19"/>
  <c r="F52" i="47"/>
  <c r="F52" i="46"/>
  <c r="F52" i="45"/>
  <c r="F52" i="44"/>
  <c r="E51" i="28"/>
  <c r="BA69" i="19"/>
  <c r="F70" i="47"/>
  <c r="F70" i="46"/>
  <c r="F70" i="45"/>
  <c r="F70" i="44"/>
  <c r="E69" i="28"/>
  <c r="BA64" i="19"/>
  <c r="F65" i="47"/>
  <c r="F65" i="46"/>
  <c r="F65" i="45"/>
  <c r="F65" i="44"/>
  <c r="E64" i="28"/>
  <c r="BA20" i="19"/>
  <c r="F21" i="47"/>
  <c r="F21" i="46"/>
  <c r="F21" i="45"/>
  <c r="F21" i="44"/>
  <c r="E20" i="28"/>
  <c r="BC66" i="48"/>
  <c r="BB66" i="48"/>
  <c r="BA86" i="48"/>
  <c r="AO86" i="48"/>
  <c r="AP86" i="48" s="1"/>
  <c r="AR86" i="48"/>
  <c r="AQ86" i="48"/>
  <c r="AT81" i="19"/>
  <c r="AU81" i="19" s="1"/>
  <c r="AW81" i="19"/>
  <c r="AV81" i="19"/>
  <c r="BF81" i="19"/>
  <c r="BA9" i="19"/>
  <c r="F10" i="47"/>
  <c r="F10" i="46"/>
  <c r="F10" i="45"/>
  <c r="F28" i="44"/>
  <c r="E9" i="28"/>
  <c r="BA37" i="19"/>
  <c r="F38" i="47"/>
  <c r="F38" i="46"/>
  <c r="F38" i="45"/>
  <c r="F38" i="44"/>
  <c r="E37" i="28"/>
  <c r="AQ31" i="48"/>
  <c r="BA31" i="48"/>
  <c r="AR31" i="48"/>
  <c r="AO31" i="48"/>
  <c r="AP31" i="48" s="1"/>
  <c r="AQ67" i="48"/>
  <c r="BA67" i="48"/>
  <c r="AR67" i="48"/>
  <c r="AO67" i="48"/>
  <c r="AP67" i="48" s="1"/>
  <c r="AO55" i="48"/>
  <c r="AP55" i="48" s="1"/>
  <c r="AQ55" i="48"/>
  <c r="BA55" i="48"/>
  <c r="AR55" i="48"/>
  <c r="BA62" i="19"/>
  <c r="F63" i="47"/>
  <c r="F63" i="46"/>
  <c r="F63" i="45"/>
  <c r="F63" i="44"/>
  <c r="E62" i="28"/>
  <c r="BA75" i="19"/>
  <c r="F76" i="47"/>
  <c r="F76" i="46"/>
  <c r="F76" i="45"/>
  <c r="F76" i="44"/>
  <c r="E75" i="28"/>
  <c r="BA5" i="19"/>
  <c r="F6" i="47"/>
  <c r="F6" i="46"/>
  <c r="F6" i="45"/>
  <c r="F6" i="44"/>
  <c r="E5" i="28"/>
  <c r="BA13" i="19"/>
  <c r="F14" i="47"/>
  <c r="F14" i="46"/>
  <c r="F14" i="45"/>
  <c r="F14" i="44"/>
  <c r="E13" i="28"/>
  <c r="BA35" i="19"/>
  <c r="F36" i="47"/>
  <c r="F36" i="46"/>
  <c r="F36" i="45"/>
  <c r="F36" i="44"/>
  <c r="E35" i="28"/>
  <c r="BB56" i="48"/>
  <c r="BC56" i="48"/>
  <c r="BA48" i="19"/>
  <c r="F49" i="47"/>
  <c r="F49" i="46"/>
  <c r="F49" i="45"/>
  <c r="F49" i="44"/>
  <c r="E48" i="28"/>
  <c r="AV85" i="19"/>
  <c r="AW85" i="19"/>
  <c r="BF85" i="19"/>
  <c r="AT85" i="19"/>
  <c r="AU85" i="19" s="1"/>
  <c r="BA17" i="19"/>
  <c r="F24" i="47"/>
  <c r="F24" i="46"/>
  <c r="F24" i="45"/>
  <c r="F10" i="44"/>
  <c r="E17" i="28"/>
  <c r="BA41" i="19"/>
  <c r="F42" i="47"/>
  <c r="F42" i="46"/>
  <c r="F42" i="45"/>
  <c r="F42" i="44"/>
  <c r="E41" i="28"/>
  <c r="BA50" i="19"/>
  <c r="F51" i="47"/>
  <c r="F51" i="46"/>
  <c r="F51" i="45"/>
  <c r="F51" i="44"/>
  <c r="E50" i="28"/>
  <c r="BB33" i="48"/>
  <c r="BC33" i="48"/>
  <c r="AR40" i="48"/>
  <c r="AO40" i="48"/>
  <c r="AP40" i="48" s="1"/>
  <c r="AQ40" i="48"/>
  <c r="BA40" i="48"/>
  <c r="AQ24" i="48"/>
  <c r="AO24" i="48"/>
  <c r="AP24" i="48" s="1"/>
  <c r="BA24" i="48"/>
  <c r="AR24" i="48"/>
  <c r="AR71" i="48"/>
  <c r="AQ71" i="48"/>
  <c r="BA71" i="48"/>
  <c r="AO71" i="48"/>
  <c r="AP71" i="48" s="1"/>
  <c r="BB81" i="48"/>
  <c r="BC81" i="48"/>
  <c r="AO27" i="48"/>
  <c r="AP27" i="48" s="1"/>
  <c r="AR27" i="48" s="1"/>
  <c r="BA27" i="48"/>
  <c r="AR52" i="48"/>
  <c r="BA52" i="48"/>
  <c r="AO52" i="48"/>
  <c r="AP52" i="48" s="1"/>
  <c r="AQ52" i="48"/>
  <c r="BB65" i="48"/>
  <c r="BC65" i="48"/>
  <c r="AO68" i="48"/>
  <c r="AP68" i="48" s="1"/>
  <c r="AQ68" i="48"/>
  <c r="BA68" i="48"/>
  <c r="AR68" i="48"/>
  <c r="BA31" i="19"/>
  <c r="F32" i="47"/>
  <c r="F32" i="46"/>
  <c r="F32" i="45"/>
  <c r="F32" i="44"/>
  <c r="E31" i="28"/>
  <c r="BA67" i="19"/>
  <c r="F68" i="47"/>
  <c r="F68" i="46"/>
  <c r="F68" i="45"/>
  <c r="F68" i="44"/>
  <c r="E67" i="28"/>
  <c r="BA55" i="19"/>
  <c r="BE55" i="19" s="1"/>
  <c r="F56" i="47"/>
  <c r="F56" i="46"/>
  <c r="F56" i="45"/>
  <c r="F56" i="44"/>
  <c r="E55" i="28"/>
  <c r="AQ28" i="48"/>
  <c r="AO28" i="48"/>
  <c r="AP28" i="48" s="1"/>
  <c r="BA28" i="48"/>
  <c r="AR28" i="48"/>
  <c r="BA87" i="19"/>
  <c r="BE87" i="19" s="1"/>
  <c r="F88" i="47"/>
  <c r="F88" i="46"/>
  <c r="F88" i="45"/>
  <c r="F88" i="44"/>
  <c r="E87" i="28"/>
  <c r="AR34" i="48"/>
  <c r="AQ34" i="48"/>
  <c r="BA34" i="48"/>
  <c r="AO34" i="48"/>
  <c r="AP34" i="48" s="1"/>
  <c r="AQ38" i="48"/>
  <c r="AO38" i="48"/>
  <c r="AP38" i="48" s="1"/>
  <c r="BA38" i="48"/>
  <c r="AR38" i="48"/>
  <c r="AO60" i="48"/>
  <c r="AP60" i="48" s="1"/>
  <c r="AQ60" i="48" s="1"/>
  <c r="BA60" i="48"/>
  <c r="BC59" i="48"/>
  <c r="BC49" i="48"/>
  <c r="BB49" i="48"/>
  <c r="AO23" i="48"/>
  <c r="AP23" i="48" s="1"/>
  <c r="AR23" i="48" s="1"/>
  <c r="BA23" i="48"/>
  <c r="BA88" i="19"/>
  <c r="BE88" i="19" s="1"/>
  <c r="F89" i="47"/>
  <c r="F89" i="46"/>
  <c r="F89" i="45"/>
  <c r="F89" i="44"/>
  <c r="E88" i="28"/>
  <c r="AQ45" i="48"/>
  <c r="AO45" i="48"/>
  <c r="AP45" i="48" s="1"/>
  <c r="BA45" i="48"/>
  <c r="AR45" i="48"/>
  <c r="AQ30" i="48"/>
  <c r="AR30" i="48"/>
  <c r="AO30" i="48"/>
  <c r="AP30" i="48" s="1"/>
  <c r="BA30" i="48"/>
  <c r="BC80" i="48"/>
  <c r="BB80" i="48"/>
  <c r="AR26" i="48"/>
  <c r="AO26" i="48"/>
  <c r="AP26" i="48" s="1"/>
  <c r="BA26" i="48"/>
  <c r="AQ26" i="48"/>
  <c r="BB53" i="48"/>
  <c r="BC53" i="48"/>
  <c r="AO29" i="48"/>
  <c r="AP29" i="48" s="1"/>
  <c r="AR29" i="48" s="1"/>
  <c r="BA29" i="48"/>
  <c r="BB72" i="48"/>
  <c r="BC72" i="48"/>
  <c r="BA40" i="19"/>
  <c r="BE40" i="19" s="1"/>
  <c r="F41" i="47"/>
  <c r="F41" i="46"/>
  <c r="F41" i="45"/>
  <c r="F41" i="44"/>
  <c r="E40" i="28"/>
  <c r="BA24" i="19"/>
  <c r="BE24" i="19" s="1"/>
  <c r="AW24" i="19" s="1"/>
  <c r="F25" i="47"/>
  <c r="F25" i="46"/>
  <c r="F25" i="45"/>
  <c r="F25" i="44"/>
  <c r="E24" i="28"/>
  <c r="BA71" i="19"/>
  <c r="BE71" i="19" s="1"/>
  <c r="BF71" i="19" s="1"/>
  <c r="N72" i="44" s="1"/>
  <c r="F72" i="47"/>
  <c r="F72" i="46"/>
  <c r="F72" i="45"/>
  <c r="F72" i="44"/>
  <c r="E71" i="28"/>
  <c r="AV80" i="19"/>
  <c r="AT80" i="19"/>
  <c r="AU80" i="19" s="1"/>
  <c r="AW80" i="19"/>
  <c r="BF80" i="19"/>
  <c r="BC47" i="48"/>
  <c r="BC70" i="48"/>
  <c r="BB70" i="48"/>
  <c r="BA15" i="19"/>
  <c r="F16" i="47"/>
  <c r="F16" i="46"/>
  <c r="F16" i="45"/>
  <c r="F16" i="44"/>
  <c r="E15" i="28"/>
  <c r="AZ36" i="19"/>
  <c r="BE36" i="19" s="1"/>
  <c r="AW36" i="19" s="1"/>
  <c r="E37" i="46"/>
  <c r="E37" i="47"/>
  <c r="E37" i="45"/>
  <c r="E37" i="44"/>
  <c r="D36" i="28"/>
  <c r="AZ31" i="19"/>
  <c r="E32" i="47"/>
  <c r="E32" i="46"/>
  <c r="E32" i="45"/>
  <c r="E32" i="44"/>
  <c r="D31" i="28"/>
  <c r="AZ72" i="19"/>
  <c r="BE72" i="19" s="1"/>
  <c r="BF72" i="19" s="1"/>
  <c r="N73" i="45" s="1"/>
  <c r="E73" i="46"/>
  <c r="E73" i="47"/>
  <c r="E73" i="45"/>
  <c r="E73" i="44"/>
  <c r="D72" i="28"/>
  <c r="AZ74" i="19"/>
  <c r="BE74" i="19" s="1"/>
  <c r="BF74" i="19" s="1"/>
  <c r="N75" i="46" s="1"/>
  <c r="E75" i="47"/>
  <c r="E75" i="46"/>
  <c r="E75" i="45"/>
  <c r="E75" i="44"/>
  <c r="D74" i="28"/>
  <c r="AZ65" i="19"/>
  <c r="BE65" i="19" s="1"/>
  <c r="BF65" i="19" s="1"/>
  <c r="N66" i="46" s="1"/>
  <c r="E66" i="47"/>
  <c r="E66" i="46"/>
  <c r="E66" i="45"/>
  <c r="E66" i="44"/>
  <c r="D65" i="28"/>
  <c r="AL13" i="19"/>
  <c r="AG13" i="48"/>
  <c r="AU13" i="48" s="1"/>
  <c r="AZ37" i="19"/>
  <c r="E38" i="47"/>
  <c r="E38" i="46"/>
  <c r="E38" i="45"/>
  <c r="E38" i="44"/>
  <c r="D37" i="28"/>
  <c r="AZ62" i="19"/>
  <c r="E63" i="47"/>
  <c r="E63" i="46"/>
  <c r="E63" i="45"/>
  <c r="E63" i="44"/>
  <c r="D62" i="28"/>
  <c r="AL17" i="19"/>
  <c r="AG17" i="48"/>
  <c r="AU17" i="48" s="1"/>
  <c r="AZ52" i="19"/>
  <c r="BE52" i="19" s="1"/>
  <c r="BF52" i="19" s="1"/>
  <c r="N53" i="47" s="1"/>
  <c r="E53" i="46"/>
  <c r="E53" i="47"/>
  <c r="E53" i="45"/>
  <c r="E53" i="44"/>
  <c r="D52" i="28"/>
  <c r="AL15" i="19"/>
  <c r="AG15" i="48"/>
  <c r="AU15" i="48" s="1"/>
  <c r="AZ56" i="19"/>
  <c r="BE56" i="19" s="1"/>
  <c r="BF56" i="19" s="1"/>
  <c r="N57" i="45" s="1"/>
  <c r="E57" i="46"/>
  <c r="E57" i="47"/>
  <c r="E57" i="45"/>
  <c r="E57" i="44"/>
  <c r="D56" i="28"/>
  <c r="AZ33" i="19"/>
  <c r="BE33" i="19" s="1"/>
  <c r="AT33" i="19" s="1"/>
  <c r="AU33" i="19" s="1"/>
  <c r="E34" i="47"/>
  <c r="E34" i="46"/>
  <c r="E34" i="45"/>
  <c r="E34" i="44"/>
  <c r="D33" i="28"/>
  <c r="AZ34" i="19"/>
  <c r="BE34" i="19" s="1"/>
  <c r="AW34" i="19" s="1"/>
  <c r="E35" i="47"/>
  <c r="E35" i="46"/>
  <c r="E35" i="45"/>
  <c r="E35" i="44"/>
  <c r="D34" i="28"/>
  <c r="AZ54" i="19"/>
  <c r="BE54" i="19" s="1"/>
  <c r="BF54" i="19" s="1"/>
  <c r="N55" i="44" s="1"/>
  <c r="E55" i="47"/>
  <c r="E55" i="46"/>
  <c r="E55" i="45"/>
  <c r="E55" i="44"/>
  <c r="D54" i="28"/>
  <c r="AZ69" i="19"/>
  <c r="E70" i="47"/>
  <c r="E70" i="46"/>
  <c r="E70" i="45"/>
  <c r="E70" i="44"/>
  <c r="D69" i="28"/>
  <c r="AZ75" i="19"/>
  <c r="E76" i="47"/>
  <c r="E76" i="46"/>
  <c r="E76" i="45"/>
  <c r="E76" i="44"/>
  <c r="D75" i="28"/>
  <c r="AZ48" i="19"/>
  <c r="E49" i="46"/>
  <c r="E49" i="47"/>
  <c r="E49" i="45"/>
  <c r="E49" i="44"/>
  <c r="D48" i="28"/>
  <c r="AZ19" i="19"/>
  <c r="E20" i="47"/>
  <c r="E20" i="46"/>
  <c r="E20" i="45"/>
  <c r="E20" i="44"/>
  <c r="D19" i="28"/>
  <c r="AZ21" i="19"/>
  <c r="E22" i="47"/>
  <c r="E22" i="46"/>
  <c r="E22" i="45"/>
  <c r="E22" i="44"/>
  <c r="D21" i="28"/>
  <c r="AZ5" i="19"/>
  <c r="E6" i="47"/>
  <c r="E6" i="46"/>
  <c r="E6" i="45"/>
  <c r="E6" i="44"/>
  <c r="D5" i="28"/>
  <c r="AZ11" i="19"/>
  <c r="E12" i="47"/>
  <c r="E12" i="46"/>
  <c r="E12" i="45"/>
  <c r="E12" i="44"/>
  <c r="D11" i="28"/>
  <c r="AL9" i="19"/>
  <c r="AG9" i="48"/>
  <c r="AU9" i="48" s="1"/>
  <c r="AL7" i="19"/>
  <c r="AG7" i="48"/>
  <c r="AU7" i="48" s="1"/>
  <c r="AZ23" i="19"/>
  <c r="E9" i="46"/>
  <c r="E9" i="47"/>
  <c r="E9" i="45"/>
  <c r="E5" i="44"/>
  <c r="D23" i="28"/>
  <c r="AZ73" i="19"/>
  <c r="BE73" i="19" s="1"/>
  <c r="BF73" i="19" s="1"/>
  <c r="N74" i="47" s="1"/>
  <c r="E74" i="47"/>
  <c r="E74" i="46"/>
  <c r="E74" i="45"/>
  <c r="E74" i="44"/>
  <c r="D73" i="28"/>
  <c r="AL6" i="19"/>
  <c r="AG6" i="48"/>
  <c r="AU6" i="48" s="1"/>
  <c r="AL8" i="19"/>
  <c r="AG8" i="48"/>
  <c r="AU8" i="48" s="1"/>
  <c r="AZ35" i="19"/>
  <c r="BE35" i="19" s="1"/>
  <c r="AW35" i="19" s="1"/>
  <c r="E36" i="47"/>
  <c r="E36" i="46"/>
  <c r="E36" i="45"/>
  <c r="E36" i="44"/>
  <c r="D35" i="28"/>
  <c r="AZ61" i="19"/>
  <c r="E62" i="47"/>
  <c r="E62" i="46"/>
  <c r="E62" i="45"/>
  <c r="E62" i="44"/>
  <c r="D61" i="28"/>
  <c r="AZ64" i="19"/>
  <c r="E65" i="46"/>
  <c r="E65" i="47"/>
  <c r="E65" i="45"/>
  <c r="E65" i="44"/>
  <c r="D64" i="28"/>
  <c r="AZ60" i="19"/>
  <c r="E61" i="46"/>
  <c r="E61" i="47"/>
  <c r="E61" i="45"/>
  <c r="E60" i="44"/>
  <c r="D60" i="28"/>
  <c r="AZ32" i="19"/>
  <c r="BE32" i="19" s="1"/>
  <c r="BF32" i="19" s="1"/>
  <c r="E33" i="46"/>
  <c r="E33" i="47"/>
  <c r="E33" i="45"/>
  <c r="E33" i="44"/>
  <c r="D32" i="28"/>
  <c r="AZ45" i="19"/>
  <c r="BE45" i="19" s="1"/>
  <c r="AT45" i="19" s="1"/>
  <c r="AU45" i="19" s="1"/>
  <c r="E46" i="47"/>
  <c r="E46" i="46"/>
  <c r="E46" i="45"/>
  <c r="E46" i="44"/>
  <c r="D45" i="28"/>
  <c r="AZ46" i="19"/>
  <c r="E47" i="47"/>
  <c r="E47" i="46"/>
  <c r="E47" i="45"/>
  <c r="E47" i="44"/>
  <c r="D46" i="28"/>
  <c r="AZ43" i="19"/>
  <c r="BE43" i="19" s="1"/>
  <c r="AW43" i="19" s="1"/>
  <c r="E44" i="47"/>
  <c r="E44" i="46"/>
  <c r="E44" i="45"/>
  <c r="E44" i="44"/>
  <c r="D43" i="28"/>
  <c r="AZ78" i="19"/>
  <c r="BE78" i="19" s="1"/>
  <c r="BF78" i="19" s="1"/>
  <c r="N79" i="46" s="1"/>
  <c r="E79" i="47"/>
  <c r="E79" i="46"/>
  <c r="E79" i="45"/>
  <c r="E79" i="44"/>
  <c r="D78" i="28"/>
  <c r="AZ26" i="19"/>
  <c r="E27" i="47"/>
  <c r="E27" i="46"/>
  <c r="E27" i="45"/>
  <c r="E27" i="44"/>
  <c r="D26" i="28"/>
  <c r="AZ51" i="19"/>
  <c r="E52" i="47"/>
  <c r="E52" i="46"/>
  <c r="E52" i="45"/>
  <c r="E52" i="44"/>
  <c r="D51" i="28"/>
  <c r="AZ70" i="19"/>
  <c r="BE70" i="19" s="1"/>
  <c r="BF70" i="19" s="1"/>
  <c r="N71" i="47" s="1"/>
  <c r="E71" i="47"/>
  <c r="E71" i="46"/>
  <c r="E71" i="45"/>
  <c r="E71" i="44"/>
  <c r="D70" i="28"/>
  <c r="AZ39" i="19"/>
  <c r="E40" i="47"/>
  <c r="E40" i="46"/>
  <c r="E40" i="45"/>
  <c r="E40" i="44"/>
  <c r="D39" i="28"/>
  <c r="AZ63" i="19"/>
  <c r="E64" i="47"/>
  <c r="E64" i="46"/>
  <c r="E64" i="45"/>
  <c r="E64" i="44"/>
  <c r="D63" i="28"/>
  <c r="AZ20" i="19"/>
  <c r="E21" i="46"/>
  <c r="E21" i="47"/>
  <c r="E21" i="45"/>
  <c r="E21" i="44"/>
  <c r="D20" i="28"/>
  <c r="AZ66" i="19"/>
  <c r="BE66" i="19" s="1"/>
  <c r="BF66" i="19" s="1"/>
  <c r="N67" i="46" s="1"/>
  <c r="E67" i="47"/>
  <c r="E67" i="46"/>
  <c r="E67" i="45"/>
  <c r="E67" i="44"/>
  <c r="D66" i="28"/>
  <c r="AZ67" i="19"/>
  <c r="E68" i="47"/>
  <c r="E68" i="46"/>
  <c r="E68" i="45"/>
  <c r="E68" i="44"/>
  <c r="D67" i="28"/>
  <c r="AZ50" i="19"/>
  <c r="E51" i="47"/>
  <c r="E51" i="46"/>
  <c r="E51" i="45"/>
  <c r="E51" i="44"/>
  <c r="D50" i="28"/>
  <c r="AZ41" i="19"/>
  <c r="BE41" i="19" s="1"/>
  <c r="BF41" i="19" s="1"/>
  <c r="E42" i="47"/>
  <c r="E42" i="46"/>
  <c r="E42" i="45"/>
  <c r="E42" i="44"/>
  <c r="D41" i="28"/>
  <c r="AZ22" i="19"/>
  <c r="BE22" i="19" s="1"/>
  <c r="AW22" i="19" s="1"/>
  <c r="E23" i="47"/>
  <c r="E23" i="46"/>
  <c r="E23" i="45"/>
  <c r="E23" i="44"/>
  <c r="D22" i="28"/>
  <c r="AZ68" i="19"/>
  <c r="BE68" i="19" s="1"/>
  <c r="BF68" i="19" s="1"/>
  <c r="N69" i="46" s="1"/>
  <c r="E69" i="46"/>
  <c r="E69" i="47"/>
  <c r="E69" i="45"/>
  <c r="E69" i="44"/>
  <c r="D68" i="28"/>
  <c r="AZ58" i="19"/>
  <c r="BE58" i="19" s="1"/>
  <c r="BF58" i="19" s="1"/>
  <c r="N61" i="44" s="1"/>
  <c r="E59" i="47"/>
  <c r="E59" i="46"/>
  <c r="E59" i="45"/>
  <c r="E61" i="44"/>
  <c r="D58" i="28"/>
  <c r="AZ59" i="19"/>
  <c r="BE59" i="19" s="1"/>
  <c r="BF59" i="19" s="1"/>
  <c r="N26" i="44" s="1"/>
  <c r="E60" i="47"/>
  <c r="E60" i="46"/>
  <c r="E60" i="45"/>
  <c r="E26" i="44"/>
  <c r="D59" i="28"/>
  <c r="AZ16" i="19"/>
  <c r="E17" i="46"/>
  <c r="E17" i="47"/>
  <c r="E17" i="45"/>
  <c r="E17" i="44"/>
  <c r="D16" i="28"/>
  <c r="AZ3" i="19"/>
  <c r="E4" i="47"/>
  <c r="E4" i="46"/>
  <c r="E4" i="45"/>
  <c r="E4" i="44"/>
  <c r="D3" i="28"/>
  <c r="AZ10" i="19"/>
  <c r="E11" i="47"/>
  <c r="E11" i="46"/>
  <c r="E11" i="45"/>
  <c r="E11" i="44"/>
  <c r="D10" i="28"/>
  <c r="AZ4" i="19"/>
  <c r="E5" i="46"/>
  <c r="E5" i="47"/>
  <c r="E5" i="45"/>
  <c r="E116" i="44"/>
  <c r="D4" i="28"/>
  <c r="AZ12" i="19"/>
  <c r="E13" i="46"/>
  <c r="E13" i="47"/>
  <c r="E13" i="45"/>
  <c r="E13" i="44"/>
  <c r="D12" i="28"/>
  <c r="AZ14" i="19"/>
  <c r="E15" i="47"/>
  <c r="E15" i="46"/>
  <c r="E15" i="45"/>
  <c r="E15" i="44"/>
  <c r="D14" i="28"/>
  <c r="O29" i="47"/>
  <c r="O29" i="46"/>
  <c r="O29" i="45"/>
  <c r="BJ28" i="19"/>
  <c r="BI28" i="19"/>
  <c r="R29" i="44" s="1"/>
  <c r="BH28" i="19"/>
  <c r="O29" i="44"/>
  <c r="M50" i="47"/>
  <c r="M50" i="46"/>
  <c r="M50" i="45"/>
  <c r="M50" i="44"/>
  <c r="L49" i="28"/>
  <c r="M43" i="45"/>
  <c r="M43" i="44"/>
  <c r="N54" i="47"/>
  <c r="N54" i="46"/>
  <c r="N54" i="45"/>
  <c r="N54" i="44"/>
  <c r="M53" i="28"/>
  <c r="O50" i="47"/>
  <c r="N66" i="47"/>
  <c r="L43" i="47"/>
  <c r="L43" i="46"/>
  <c r="L43" i="45"/>
  <c r="L43" i="44"/>
  <c r="K42" i="28"/>
  <c r="BG42" i="19"/>
  <c r="O54" i="46"/>
  <c r="N50" i="47"/>
  <c r="N50" i="44"/>
  <c r="M49" i="28"/>
  <c r="BG28" i="19"/>
  <c r="N28" i="28"/>
  <c r="AV28" i="19"/>
  <c r="BF28" i="19"/>
  <c r="AS28" i="19"/>
  <c r="AS44" i="19"/>
  <c r="H2" i="3"/>
  <c r="AF2" i="19"/>
  <c r="F12" i="4"/>
  <c r="F16" i="4"/>
  <c r="Y16" i="48" s="1"/>
  <c r="F5" i="4"/>
  <c r="Y5" i="48" s="1"/>
  <c r="F9" i="4"/>
  <c r="Y9" i="48" s="1"/>
  <c r="F13" i="4"/>
  <c r="Y13" i="48" s="1"/>
  <c r="F14" i="4"/>
  <c r="Y14" i="48" s="1"/>
  <c r="F18" i="4"/>
  <c r="Y18" i="48" s="1"/>
  <c r="F3" i="4"/>
  <c r="Y3" i="48" s="1"/>
  <c r="F7" i="4"/>
  <c r="Y7" i="48" s="1"/>
  <c r="F11" i="4"/>
  <c r="Y11" i="48" s="1"/>
  <c r="F19" i="4"/>
  <c r="F17" i="4"/>
  <c r="Y17" i="48" s="1"/>
  <c r="F15" i="4"/>
  <c r="Y15" i="48" s="1"/>
  <c r="AV72" i="19" l="1"/>
  <c r="N49" i="28"/>
  <c r="BG49" i="19"/>
  <c r="BF106" i="19"/>
  <c r="N107" i="45" s="1"/>
  <c r="AV106" i="19"/>
  <c r="AT106" i="19"/>
  <c r="AU106" i="19" s="1"/>
  <c r="BI49" i="19"/>
  <c r="R50" i="44" s="1"/>
  <c r="N55" i="47"/>
  <c r="N66" i="45"/>
  <c r="BJ49" i="19"/>
  <c r="BC32" i="48"/>
  <c r="AQ115" i="48"/>
  <c r="AT32" i="19"/>
  <c r="AU32" i="19" s="1"/>
  <c r="BF36" i="19"/>
  <c r="BE48" i="19"/>
  <c r="AV48" i="19" s="1"/>
  <c r="BE62" i="19"/>
  <c r="BF62" i="19" s="1"/>
  <c r="N63" i="44" s="1"/>
  <c r="AW54" i="19"/>
  <c r="AV33" i="19"/>
  <c r="N55" i="45"/>
  <c r="AW70" i="19"/>
  <c r="O71" i="47" s="1"/>
  <c r="BE46" i="19"/>
  <c r="N42" i="28"/>
  <c r="BJ42" i="19"/>
  <c r="O42" i="28" s="1"/>
  <c r="O54" i="47"/>
  <c r="AT54" i="19"/>
  <c r="AU54" i="19" s="1"/>
  <c r="AT35" i="19"/>
  <c r="AU35" i="19" s="1"/>
  <c r="AW72" i="19"/>
  <c r="BG72" i="19" s="1"/>
  <c r="N50" i="45"/>
  <c r="BH53" i="19"/>
  <c r="N73" i="44"/>
  <c r="M43" i="46"/>
  <c r="BF76" i="19"/>
  <c r="AW76" i="19"/>
  <c r="AV76" i="19"/>
  <c r="AT76" i="19"/>
  <c r="AU76" i="19" s="1"/>
  <c r="K76" i="28" s="1"/>
  <c r="BB76" i="48"/>
  <c r="BC76" i="48"/>
  <c r="AT65" i="19"/>
  <c r="AU65" i="19" s="1"/>
  <c r="AT36" i="19"/>
  <c r="AU36" i="19" s="1"/>
  <c r="L37" i="46" s="1"/>
  <c r="M54" i="28"/>
  <c r="BI53" i="19"/>
  <c r="R54" i="44" s="1"/>
  <c r="M65" i="28"/>
  <c r="N73" i="46"/>
  <c r="L42" i="28"/>
  <c r="BE26" i="19"/>
  <c r="AW26" i="19" s="1"/>
  <c r="BC136" i="48"/>
  <c r="BB136" i="48"/>
  <c r="BC127" i="48"/>
  <c r="BB127" i="48"/>
  <c r="AW118" i="19"/>
  <c r="AT118" i="19"/>
  <c r="AU118" i="19" s="1"/>
  <c r="BF118" i="19"/>
  <c r="AV118" i="19"/>
  <c r="M136" i="46"/>
  <c r="M136" i="45"/>
  <c r="M136" i="44"/>
  <c r="M136" i="47"/>
  <c r="L135" i="28"/>
  <c r="BB131" i="48"/>
  <c r="BC131" i="48"/>
  <c r="AM16" i="19"/>
  <c r="AH16" i="48"/>
  <c r="AV16" i="48" s="1"/>
  <c r="BB118" i="48"/>
  <c r="BC118" i="48"/>
  <c r="AT131" i="19"/>
  <c r="AU131" i="19" s="1"/>
  <c r="BF131" i="19"/>
  <c r="AW131" i="19"/>
  <c r="AV131" i="19"/>
  <c r="AT132" i="19"/>
  <c r="AU132" i="19" s="1"/>
  <c r="BF132" i="19"/>
  <c r="AV132" i="19"/>
  <c r="AW132" i="19"/>
  <c r="BC138" i="48"/>
  <c r="BB138" i="48"/>
  <c r="BC139" i="48"/>
  <c r="BB139" i="48"/>
  <c r="BC123" i="48"/>
  <c r="BB123" i="48"/>
  <c r="AV133" i="19"/>
  <c r="AT133" i="19"/>
  <c r="AU133" i="19" s="1"/>
  <c r="BF133" i="19"/>
  <c r="AW133" i="19"/>
  <c r="L136" i="47"/>
  <c r="L136" i="44"/>
  <c r="K135" i="28"/>
  <c r="L136" i="45"/>
  <c r="L136" i="46"/>
  <c r="N53" i="28"/>
  <c r="BJ53" i="19"/>
  <c r="BG53" i="19"/>
  <c r="L77" i="46"/>
  <c r="O48" i="45"/>
  <c r="AT139" i="19"/>
  <c r="AU139" i="19" s="1"/>
  <c r="AV139" i="19"/>
  <c r="AW139" i="19"/>
  <c r="BF139" i="19"/>
  <c r="BF123" i="19"/>
  <c r="AW123" i="19"/>
  <c r="AT123" i="19"/>
  <c r="AU123" i="19" s="1"/>
  <c r="AV123" i="19"/>
  <c r="BF134" i="19"/>
  <c r="AV134" i="19"/>
  <c r="AT134" i="19"/>
  <c r="AU134" i="19" s="1"/>
  <c r="AW134" i="19"/>
  <c r="BB132" i="48"/>
  <c r="BC132" i="48"/>
  <c r="AW136" i="19"/>
  <c r="AV136" i="19"/>
  <c r="BF136" i="19"/>
  <c r="AT136" i="19"/>
  <c r="AU136" i="19" s="1"/>
  <c r="N136" i="47"/>
  <c r="N136" i="44"/>
  <c r="N136" i="45"/>
  <c r="M135" i="28"/>
  <c r="N136" i="46"/>
  <c r="BE69" i="19"/>
  <c r="BF69" i="19" s="1"/>
  <c r="N70" i="46" s="1"/>
  <c r="O54" i="44"/>
  <c r="BC133" i="48"/>
  <c r="BB133" i="48"/>
  <c r="AW138" i="19"/>
  <c r="AV138" i="19"/>
  <c r="AT138" i="19"/>
  <c r="AU138" i="19" s="1"/>
  <c r="BF138" i="19"/>
  <c r="AV127" i="19"/>
  <c r="AT127" i="19"/>
  <c r="AU127" i="19" s="1"/>
  <c r="BF127" i="19"/>
  <c r="AW127" i="19"/>
  <c r="BC134" i="48"/>
  <c r="BB134" i="48"/>
  <c r="BB109" i="48"/>
  <c r="BC109" i="48"/>
  <c r="O136" i="46"/>
  <c r="BI135" i="19"/>
  <c r="R136" i="44" s="1"/>
  <c r="BJ135" i="19"/>
  <c r="BH135" i="19"/>
  <c r="O136" i="44"/>
  <c r="BG135" i="19"/>
  <c r="O136" i="45"/>
  <c r="O136" i="47"/>
  <c r="N135" i="28"/>
  <c r="L118" i="47"/>
  <c r="K117" i="28"/>
  <c r="L118" i="46"/>
  <c r="L118" i="44"/>
  <c r="L118" i="45"/>
  <c r="N123" i="45"/>
  <c r="N123" i="46"/>
  <c r="N123" i="44"/>
  <c r="N123" i="47"/>
  <c r="M122" i="28"/>
  <c r="O120" i="46"/>
  <c r="BI119" i="19"/>
  <c r="R120" i="44" s="1"/>
  <c r="BJ119" i="19"/>
  <c r="O120" i="47"/>
  <c r="BH119" i="19"/>
  <c r="BG119" i="19"/>
  <c r="O120" i="45"/>
  <c r="O120" i="44"/>
  <c r="N119" i="28"/>
  <c r="BJ120" i="19"/>
  <c r="O121" i="44"/>
  <c r="O121" i="46"/>
  <c r="BG120" i="19"/>
  <c r="BI120" i="19"/>
  <c r="R121" i="44" s="1"/>
  <c r="N120" i="28"/>
  <c r="BH120" i="19"/>
  <c r="O121" i="47"/>
  <c r="O121" i="45"/>
  <c r="BC121" i="48"/>
  <c r="BB121" i="48"/>
  <c r="M117" i="47"/>
  <c r="M117" i="45"/>
  <c r="M117" i="44"/>
  <c r="L116" i="28"/>
  <c r="M117" i="46"/>
  <c r="BF79" i="19"/>
  <c r="AW79" i="19"/>
  <c r="AV79" i="19"/>
  <c r="AT79" i="19"/>
  <c r="AU79" i="19" s="1"/>
  <c r="M115" i="45"/>
  <c r="M115" i="46"/>
  <c r="M115" i="44"/>
  <c r="M115" i="47"/>
  <c r="L114" i="28"/>
  <c r="AT121" i="19"/>
  <c r="AU121" i="19" s="1"/>
  <c r="AV121" i="19"/>
  <c r="BF121" i="19"/>
  <c r="AW121" i="19"/>
  <c r="BF35" i="19"/>
  <c r="N118" i="44"/>
  <c r="N118" i="47"/>
  <c r="M117" i="28"/>
  <c r="N118" i="45"/>
  <c r="N118" i="46"/>
  <c r="L123" i="45"/>
  <c r="L123" i="47"/>
  <c r="L123" i="44"/>
  <c r="K122" i="28"/>
  <c r="L123" i="46"/>
  <c r="N120" i="46"/>
  <c r="M119" i="28"/>
  <c r="N120" i="45"/>
  <c r="N120" i="47"/>
  <c r="N120" i="44"/>
  <c r="N121" i="45"/>
  <c r="N121" i="46"/>
  <c r="N121" i="44"/>
  <c r="N121" i="47"/>
  <c r="M120" i="28"/>
  <c r="N117" i="46"/>
  <c r="N117" i="45"/>
  <c r="M116" i="28"/>
  <c r="N117" i="44"/>
  <c r="N117" i="47"/>
  <c r="N115" i="46"/>
  <c r="M114" i="28"/>
  <c r="N115" i="44"/>
  <c r="N115" i="47"/>
  <c r="N115" i="45"/>
  <c r="AH91" i="48"/>
  <c r="AV91" i="48" s="1"/>
  <c r="AZ91" i="48" s="1"/>
  <c r="AM91" i="19"/>
  <c r="BE64" i="19"/>
  <c r="AT64" i="19" s="1"/>
  <c r="AU64" i="19" s="1"/>
  <c r="M118" i="45"/>
  <c r="M118" i="44"/>
  <c r="M118" i="47"/>
  <c r="M118" i="46"/>
  <c r="L117" i="28"/>
  <c r="AT115" i="19"/>
  <c r="AU115" i="19" s="1"/>
  <c r="AV115" i="19" s="1"/>
  <c r="BF115" i="19"/>
  <c r="M123" i="45"/>
  <c r="M123" i="44"/>
  <c r="M123" i="46"/>
  <c r="L122" i="28"/>
  <c r="M123" i="47"/>
  <c r="L120" i="46"/>
  <c r="L120" i="45"/>
  <c r="K119" i="28"/>
  <c r="L120" i="44"/>
  <c r="L120" i="47"/>
  <c r="L121" i="45"/>
  <c r="L121" i="47"/>
  <c r="K120" i="28"/>
  <c r="L121" i="44"/>
  <c r="L121" i="46"/>
  <c r="O117" i="46"/>
  <c r="N116" i="28"/>
  <c r="O117" i="45"/>
  <c r="O117" i="47"/>
  <c r="BG116" i="19"/>
  <c r="BH116" i="19"/>
  <c r="BI116" i="19"/>
  <c r="R117" i="44" s="1"/>
  <c r="BJ116" i="19"/>
  <c r="O117" i="44"/>
  <c r="O115" i="46"/>
  <c r="BH114" i="19"/>
  <c r="BI114" i="19"/>
  <c r="R115" i="44" s="1"/>
  <c r="O115" i="45"/>
  <c r="O115" i="44"/>
  <c r="O115" i="47"/>
  <c r="BG114" i="19"/>
  <c r="BJ114" i="19"/>
  <c r="N114" i="28"/>
  <c r="BJ117" i="19"/>
  <c r="BI117" i="19"/>
  <c r="R118" i="44" s="1"/>
  <c r="O118" i="46"/>
  <c r="N117" i="28"/>
  <c r="BH117" i="19"/>
  <c r="BG117" i="19"/>
  <c r="O118" i="47"/>
  <c r="O118" i="45"/>
  <c r="O118" i="44"/>
  <c r="O123" i="46"/>
  <c r="BH122" i="19"/>
  <c r="BI122" i="19"/>
  <c r="R123" i="44" s="1"/>
  <c r="O123" i="45"/>
  <c r="O123" i="44"/>
  <c r="O123" i="47"/>
  <c r="BG122" i="19"/>
  <c r="BJ122" i="19"/>
  <c r="N122" i="28"/>
  <c r="M120" i="45"/>
  <c r="M120" i="46"/>
  <c r="M120" i="44"/>
  <c r="M120" i="47"/>
  <c r="L119" i="28"/>
  <c r="M121" i="44"/>
  <c r="M121" i="47"/>
  <c r="L120" i="28"/>
  <c r="M121" i="45"/>
  <c r="M121" i="46"/>
  <c r="L117" i="44"/>
  <c r="L117" i="47"/>
  <c r="L117" i="45"/>
  <c r="K116" i="28"/>
  <c r="L117" i="46"/>
  <c r="L115" i="44"/>
  <c r="L115" i="45"/>
  <c r="L115" i="47"/>
  <c r="K114" i="28"/>
  <c r="L115" i="46"/>
  <c r="L105" i="46"/>
  <c r="K104" i="28"/>
  <c r="L105" i="47"/>
  <c r="L105" i="44"/>
  <c r="L105" i="45"/>
  <c r="N95" i="45"/>
  <c r="N95" i="46"/>
  <c r="N95" i="47"/>
  <c r="M94" i="28"/>
  <c r="N95" i="44"/>
  <c r="BB101" i="48"/>
  <c r="BC101" i="48"/>
  <c r="BG89" i="19"/>
  <c r="BH89" i="19"/>
  <c r="O90" i="44"/>
  <c r="O90" i="46"/>
  <c r="BI89" i="19"/>
  <c r="R90" i="44" s="1"/>
  <c r="N89" i="28"/>
  <c r="O90" i="47"/>
  <c r="BJ89" i="19"/>
  <c r="O90" i="45"/>
  <c r="O100" i="46"/>
  <c r="BH99" i="19"/>
  <c r="BJ99" i="19"/>
  <c r="BG99" i="19"/>
  <c r="BI99" i="19"/>
  <c r="R100" i="44" s="1"/>
  <c r="O100" i="47"/>
  <c r="O100" i="44"/>
  <c r="N99" i="28"/>
  <c r="O100" i="45"/>
  <c r="M94" i="47"/>
  <c r="L93" i="28"/>
  <c r="M94" i="46"/>
  <c r="M94" i="45"/>
  <c r="M94" i="44"/>
  <c r="O93" i="46"/>
  <c r="O93" i="47"/>
  <c r="BH92" i="19"/>
  <c r="O93" i="45"/>
  <c r="O93" i="44"/>
  <c r="BG92" i="19"/>
  <c r="BI92" i="19"/>
  <c r="R93" i="44" s="1"/>
  <c r="N92" i="28"/>
  <c r="BJ92" i="19"/>
  <c r="N107" i="28"/>
  <c r="BG107" i="19"/>
  <c r="BH107" i="19"/>
  <c r="BJ107" i="19"/>
  <c r="O108" i="47"/>
  <c r="O108" i="44"/>
  <c r="O108" i="45"/>
  <c r="O108" i="46"/>
  <c r="BI107" i="19"/>
  <c r="R108" i="44" s="1"/>
  <c r="AW100" i="19"/>
  <c r="BF100" i="19"/>
  <c r="AT100" i="19"/>
  <c r="AU100" i="19" s="1"/>
  <c r="AV100" i="19"/>
  <c r="O43" i="44"/>
  <c r="K49" i="28"/>
  <c r="BB82" i="48"/>
  <c r="BC82" i="48"/>
  <c r="P110" i="45"/>
  <c r="P110" i="47"/>
  <c r="Q110" i="44"/>
  <c r="P110" i="46"/>
  <c r="P109" i="28"/>
  <c r="BH42" i="19"/>
  <c r="O43" i="46"/>
  <c r="L50" i="47"/>
  <c r="O50" i="44"/>
  <c r="O50" i="45"/>
  <c r="N105" i="44"/>
  <c r="N105" i="47"/>
  <c r="M104" i="28"/>
  <c r="N105" i="46"/>
  <c r="N105" i="45"/>
  <c r="AW112" i="19"/>
  <c r="BF112" i="19"/>
  <c r="AT112" i="19"/>
  <c r="AU112" i="19" s="1"/>
  <c r="AV112" i="19"/>
  <c r="O103" i="46"/>
  <c r="BH102" i="19"/>
  <c r="BJ102" i="19"/>
  <c r="BG102" i="19"/>
  <c r="BI102" i="19"/>
  <c r="R103" i="44" s="1"/>
  <c r="O103" i="44"/>
  <c r="N102" i="28"/>
  <c r="O103" i="47"/>
  <c r="O103" i="45"/>
  <c r="AV90" i="19"/>
  <c r="BF90" i="19"/>
  <c r="AT90" i="19"/>
  <c r="AU90" i="19" s="1"/>
  <c r="AW90" i="19"/>
  <c r="L95" i="44"/>
  <c r="L95" i="45"/>
  <c r="L95" i="46"/>
  <c r="K94" i="28"/>
  <c r="L95" i="47"/>
  <c r="BC103" i="48"/>
  <c r="BB103" i="48"/>
  <c r="L90" i="47"/>
  <c r="L90" i="46"/>
  <c r="L90" i="44"/>
  <c r="K89" i="28"/>
  <c r="L90" i="45"/>
  <c r="AV98" i="19"/>
  <c r="AW98" i="19"/>
  <c r="BF98" i="19"/>
  <c r="AT98" i="19"/>
  <c r="AU98" i="19" s="1"/>
  <c r="N100" i="44"/>
  <c r="N100" i="47"/>
  <c r="M99" i="28"/>
  <c r="N100" i="45"/>
  <c r="N100" i="46"/>
  <c r="N97" i="45"/>
  <c r="N97" i="44"/>
  <c r="N97" i="46"/>
  <c r="M96" i="28"/>
  <c r="N97" i="47"/>
  <c r="L94" i="45"/>
  <c r="L94" i="46"/>
  <c r="K93" i="28"/>
  <c r="L94" i="47"/>
  <c r="L94" i="44"/>
  <c r="BB97" i="48"/>
  <c r="BC97" i="48"/>
  <c r="BB112" i="48"/>
  <c r="BC112" i="48"/>
  <c r="L93" i="47"/>
  <c r="L93" i="45"/>
  <c r="L93" i="46"/>
  <c r="K92" i="28"/>
  <c r="L93" i="44"/>
  <c r="BC98" i="48"/>
  <c r="BB98" i="48"/>
  <c r="N114" i="46"/>
  <c r="M113" i="28"/>
  <c r="N114" i="45"/>
  <c r="N114" i="44"/>
  <c r="N114" i="47"/>
  <c r="M107" i="46"/>
  <c r="M107" i="45"/>
  <c r="M107" i="47"/>
  <c r="M107" i="44"/>
  <c r="L106" i="28"/>
  <c r="M108" i="45"/>
  <c r="L107" i="28"/>
  <c r="M108" i="44"/>
  <c r="M108" i="46"/>
  <c r="M108" i="47"/>
  <c r="N112" i="46"/>
  <c r="M111" i="28"/>
  <c r="N112" i="47"/>
  <c r="N112" i="45"/>
  <c r="N112" i="44"/>
  <c r="BC90" i="48"/>
  <c r="BB90" i="48"/>
  <c r="M111" i="44"/>
  <c r="M111" i="46"/>
  <c r="M111" i="45"/>
  <c r="L110" i="28"/>
  <c r="M111" i="47"/>
  <c r="AW105" i="19"/>
  <c r="AT105" i="19"/>
  <c r="AU105" i="19" s="1"/>
  <c r="AV105" i="19"/>
  <c r="BF105" i="19"/>
  <c r="N103" i="46"/>
  <c r="N103" i="45"/>
  <c r="M102" i="28"/>
  <c r="N103" i="44"/>
  <c r="N103" i="47"/>
  <c r="AV95" i="19"/>
  <c r="BF95" i="19"/>
  <c r="AT95" i="19"/>
  <c r="AU95" i="19" s="1"/>
  <c r="AW95" i="19"/>
  <c r="AV108" i="19"/>
  <c r="AW108" i="19"/>
  <c r="BF108" i="19"/>
  <c r="AT108" i="19"/>
  <c r="AU108" i="19" s="1"/>
  <c r="L97" i="44"/>
  <c r="K96" i="28"/>
  <c r="L97" i="47"/>
  <c r="L97" i="46"/>
  <c r="L97" i="45"/>
  <c r="M114" i="45"/>
  <c r="M114" i="44"/>
  <c r="M114" i="46"/>
  <c r="L113" i="28"/>
  <c r="M114" i="47"/>
  <c r="L107" i="44"/>
  <c r="L107" i="47"/>
  <c r="L107" i="46"/>
  <c r="L107" i="45"/>
  <c r="K106" i="28"/>
  <c r="BB105" i="48"/>
  <c r="BC105" i="48"/>
  <c r="M112" i="44"/>
  <c r="M112" i="47"/>
  <c r="L111" i="28"/>
  <c r="M112" i="46"/>
  <c r="M112" i="45"/>
  <c r="O109" i="28"/>
  <c r="P110" i="44"/>
  <c r="L111" i="45"/>
  <c r="L111" i="44"/>
  <c r="L111" i="46"/>
  <c r="K110" i="28"/>
  <c r="L111" i="47"/>
  <c r="O43" i="45"/>
  <c r="BJ104" i="19"/>
  <c r="O105" i="44"/>
  <c r="BG104" i="19"/>
  <c r="O105" i="45"/>
  <c r="O105" i="47"/>
  <c r="BH104" i="19"/>
  <c r="O105" i="46"/>
  <c r="BI104" i="19"/>
  <c r="R105" i="44" s="1"/>
  <c r="N104" i="28"/>
  <c r="AV97" i="19"/>
  <c r="BF97" i="19"/>
  <c r="AT97" i="19"/>
  <c r="AU97" i="19" s="1"/>
  <c r="AW97" i="19"/>
  <c r="M103" i="44"/>
  <c r="M103" i="45"/>
  <c r="L102" i="28"/>
  <c r="M103" i="47"/>
  <c r="M103" i="46"/>
  <c r="AT82" i="19"/>
  <c r="AU82" i="19" s="1"/>
  <c r="AW82" i="19"/>
  <c r="BF82" i="19"/>
  <c r="AV82" i="19"/>
  <c r="M95" i="46"/>
  <c r="M95" i="47"/>
  <c r="M95" i="45"/>
  <c r="L94" i="28"/>
  <c r="M95" i="44"/>
  <c r="M90" i="44"/>
  <c r="L89" i="28"/>
  <c r="M90" i="47"/>
  <c r="M90" i="45"/>
  <c r="M90" i="46"/>
  <c r="L100" i="45"/>
  <c r="L100" i="44"/>
  <c r="K99" i="28"/>
  <c r="L100" i="46"/>
  <c r="L100" i="47"/>
  <c r="O97" i="47"/>
  <c r="O97" i="45"/>
  <c r="O97" i="46"/>
  <c r="BH96" i="19"/>
  <c r="O97" i="44"/>
  <c r="BG96" i="19"/>
  <c r="N96" i="28"/>
  <c r="BJ96" i="19"/>
  <c r="BI96" i="19"/>
  <c r="R97" i="44" s="1"/>
  <c r="N94" i="44"/>
  <c r="M93" i="28"/>
  <c r="N94" i="47"/>
  <c r="N94" i="45"/>
  <c r="N94" i="46"/>
  <c r="BC95" i="48"/>
  <c r="BB95" i="48"/>
  <c r="M93" i="45"/>
  <c r="M93" i="46"/>
  <c r="M93" i="44"/>
  <c r="L92" i="28"/>
  <c r="M93" i="47"/>
  <c r="AT103" i="19"/>
  <c r="AU103" i="19" s="1"/>
  <c r="BF103" i="19"/>
  <c r="AV103" i="19"/>
  <c r="AW103" i="19"/>
  <c r="L114" i="46"/>
  <c r="L114" i="47"/>
  <c r="K113" i="28"/>
  <c r="L114" i="44"/>
  <c r="L114" i="45"/>
  <c r="N107" i="47"/>
  <c r="N108" i="45"/>
  <c r="N108" i="44"/>
  <c r="N108" i="47"/>
  <c r="N108" i="46"/>
  <c r="M107" i="28"/>
  <c r="L112" i="47"/>
  <c r="K111" i="28"/>
  <c r="L112" i="46"/>
  <c r="L112" i="44"/>
  <c r="L112" i="45"/>
  <c r="BJ110" i="19"/>
  <c r="O111" i="44"/>
  <c r="BG110" i="19"/>
  <c r="O111" i="46"/>
  <c r="N110" i="28"/>
  <c r="O111" i="47"/>
  <c r="O111" i="45"/>
  <c r="BI110" i="19"/>
  <c r="R111" i="44" s="1"/>
  <c r="BH110" i="19"/>
  <c r="AM77" i="19"/>
  <c r="AH77" i="48"/>
  <c r="AV77" i="48" s="1"/>
  <c r="AZ77" i="48" s="1"/>
  <c r="AT48" i="19"/>
  <c r="AU48" i="19" s="1"/>
  <c r="L49" i="44" s="1"/>
  <c r="BI42" i="19"/>
  <c r="R43" i="44" s="1"/>
  <c r="BH49" i="19"/>
  <c r="M58" i="47"/>
  <c r="M105" i="46"/>
  <c r="L104" i="28"/>
  <c r="M105" i="47"/>
  <c r="M105" i="45"/>
  <c r="M105" i="44"/>
  <c r="L103" i="47"/>
  <c r="K102" i="28"/>
  <c r="L103" i="46"/>
  <c r="L103" i="45"/>
  <c r="L103" i="44"/>
  <c r="BB100" i="48"/>
  <c r="BC100" i="48"/>
  <c r="O95" i="47"/>
  <c r="O95" i="45"/>
  <c r="BG94" i="19"/>
  <c r="BH94" i="19"/>
  <c r="O95" i="44"/>
  <c r="O95" i="46"/>
  <c r="BJ94" i="19"/>
  <c r="N94" i="28"/>
  <c r="BI94" i="19"/>
  <c r="R95" i="44" s="1"/>
  <c r="N90" i="47"/>
  <c r="N90" i="44"/>
  <c r="N90" i="45"/>
  <c r="N90" i="46"/>
  <c r="M89" i="28"/>
  <c r="M100" i="45"/>
  <c r="M100" i="46"/>
  <c r="M100" i="44"/>
  <c r="L99" i="28"/>
  <c r="M100" i="47"/>
  <c r="M97" i="47"/>
  <c r="L96" i="28"/>
  <c r="M97" i="45"/>
  <c r="M97" i="44"/>
  <c r="M97" i="46"/>
  <c r="O94" i="46"/>
  <c r="BH93" i="19"/>
  <c r="O94" i="45"/>
  <c r="O94" i="44"/>
  <c r="BJ93" i="19"/>
  <c r="O94" i="47"/>
  <c r="BI93" i="19"/>
  <c r="R94" i="44" s="1"/>
  <c r="BG93" i="19"/>
  <c r="N93" i="28"/>
  <c r="N93" i="47"/>
  <c r="N93" i="45"/>
  <c r="N93" i="46"/>
  <c r="N93" i="44"/>
  <c r="M92" i="28"/>
  <c r="BB108" i="48"/>
  <c r="BC108" i="48"/>
  <c r="BG113" i="19"/>
  <c r="BJ113" i="19"/>
  <c r="N113" i="28"/>
  <c r="O114" i="47"/>
  <c r="BI113" i="19"/>
  <c r="R114" i="44" s="1"/>
  <c r="O114" i="45"/>
  <c r="BH113" i="19"/>
  <c r="O114" i="44"/>
  <c r="O114" i="46"/>
  <c r="BG106" i="19"/>
  <c r="O107" i="44"/>
  <c r="O107" i="46"/>
  <c r="O107" i="47"/>
  <c r="BJ106" i="19"/>
  <c r="O107" i="45"/>
  <c r="BH106" i="19"/>
  <c r="BI106" i="19"/>
  <c r="R107" i="44" s="1"/>
  <c r="N106" i="28"/>
  <c r="K107" i="28"/>
  <c r="L108" i="44"/>
  <c r="L108" i="46"/>
  <c r="L108" i="45"/>
  <c r="L108" i="47"/>
  <c r="O112" i="45"/>
  <c r="BH111" i="19"/>
  <c r="O112" i="46"/>
  <c r="BI111" i="19"/>
  <c r="R112" i="44" s="1"/>
  <c r="O112" i="47"/>
  <c r="BG111" i="19"/>
  <c r="N111" i="28"/>
  <c r="O112" i="44"/>
  <c r="BJ111" i="19"/>
  <c r="AW101" i="19"/>
  <c r="BF101" i="19"/>
  <c r="AV101" i="19"/>
  <c r="AT101" i="19"/>
  <c r="AU101" i="19" s="1"/>
  <c r="N111" i="44"/>
  <c r="M110" i="28"/>
  <c r="N111" i="45"/>
  <c r="N111" i="46"/>
  <c r="N111" i="47"/>
  <c r="L50" i="44"/>
  <c r="L54" i="47"/>
  <c r="BE63" i="19"/>
  <c r="BE31" i="19"/>
  <c r="L50" i="45"/>
  <c r="BE67" i="19"/>
  <c r="AT67" i="19" s="1"/>
  <c r="AU67" i="19" s="1"/>
  <c r="BE51" i="19"/>
  <c r="AQ27" i="48"/>
  <c r="AR25" i="48"/>
  <c r="BC25" i="48" s="1"/>
  <c r="AT52" i="19"/>
  <c r="AU52" i="19" s="1"/>
  <c r="L53" i="45" s="1"/>
  <c r="AR60" i="48"/>
  <c r="BC60" i="48" s="1"/>
  <c r="O48" i="46"/>
  <c r="O48" i="44"/>
  <c r="BH47" i="19"/>
  <c r="AQ29" i="48"/>
  <c r="AQ23" i="48"/>
  <c r="BI47" i="19"/>
  <c r="R48" i="44" s="1"/>
  <c r="O48" i="47"/>
  <c r="N47" i="28"/>
  <c r="BJ47" i="19"/>
  <c r="P48" i="44" s="1"/>
  <c r="BE39" i="19"/>
  <c r="AW39" i="19" s="1"/>
  <c r="O40" i="47" s="1"/>
  <c r="BE75" i="19"/>
  <c r="BF75" i="19" s="1"/>
  <c r="N76" i="45" s="1"/>
  <c r="BE61" i="19"/>
  <c r="BF61" i="19" s="1"/>
  <c r="N62" i="47" s="1"/>
  <c r="BE60" i="19"/>
  <c r="BF60" i="19" s="1"/>
  <c r="N60" i="44" s="1"/>
  <c r="BE50" i="19"/>
  <c r="BF50" i="19" s="1"/>
  <c r="N51" i="45" s="1"/>
  <c r="BE37" i="19"/>
  <c r="AW37" i="19" s="1"/>
  <c r="O38" i="45" s="1"/>
  <c r="BE23" i="19"/>
  <c r="AM2" i="19"/>
  <c r="AH2" i="48"/>
  <c r="AV2" i="48" s="1"/>
  <c r="L58" i="46"/>
  <c r="BJ57" i="19"/>
  <c r="P58" i="44" s="1"/>
  <c r="AW73" i="19"/>
  <c r="O74" i="45" s="1"/>
  <c r="K57" i="28"/>
  <c r="L58" i="47"/>
  <c r="L58" i="44"/>
  <c r="L53" i="28"/>
  <c r="L54" i="46"/>
  <c r="AT41" i="19"/>
  <c r="AU41" i="19" s="1"/>
  <c r="L42" i="45" s="1"/>
  <c r="N57" i="44"/>
  <c r="M54" i="46"/>
  <c r="M54" i="47"/>
  <c r="K53" i="28"/>
  <c r="M54" i="44"/>
  <c r="L54" i="44"/>
  <c r="M74" i="28"/>
  <c r="N57" i="28"/>
  <c r="O58" i="45"/>
  <c r="L57" i="28"/>
  <c r="O58" i="44"/>
  <c r="O58" i="46"/>
  <c r="M58" i="44"/>
  <c r="BH57" i="19"/>
  <c r="BG57" i="19"/>
  <c r="Q58" i="44" s="1"/>
  <c r="M58" i="46"/>
  <c r="M48" i="46"/>
  <c r="M78" i="28"/>
  <c r="AT78" i="19"/>
  <c r="AU78" i="19" s="1"/>
  <c r="L79" i="45" s="1"/>
  <c r="AW78" i="19"/>
  <c r="O79" i="46" s="1"/>
  <c r="N79" i="47"/>
  <c r="AT68" i="19"/>
  <c r="AU68" i="19" s="1"/>
  <c r="L69" i="46" s="1"/>
  <c r="AW68" i="19"/>
  <c r="O69" i="46" s="1"/>
  <c r="AT59" i="19"/>
  <c r="AU59" i="19" s="1"/>
  <c r="L60" i="47" s="1"/>
  <c r="BI57" i="19"/>
  <c r="R58" i="44" s="1"/>
  <c r="L47" i="28"/>
  <c r="M48" i="47"/>
  <c r="M48" i="44"/>
  <c r="AT43" i="19"/>
  <c r="AU43" i="19" s="1"/>
  <c r="L44" i="44" s="1"/>
  <c r="BF24" i="19"/>
  <c r="N25" i="45" s="1"/>
  <c r="BF39" i="19"/>
  <c r="N40" i="45" s="1"/>
  <c r="N79" i="45"/>
  <c r="N69" i="44"/>
  <c r="BF26" i="19"/>
  <c r="N27" i="47" s="1"/>
  <c r="AW32" i="19"/>
  <c r="O33" i="46" s="1"/>
  <c r="BF33" i="19"/>
  <c r="N34" i="44" s="1"/>
  <c r="K45" i="47"/>
  <c r="K45" i="46"/>
  <c r="K45" i="45"/>
  <c r="K45" i="44"/>
  <c r="J44" i="28"/>
  <c r="N71" i="46"/>
  <c r="N63" i="45"/>
  <c r="AU28" i="19"/>
  <c r="K28" i="28" s="1"/>
  <c r="K29" i="47"/>
  <c r="K29" i="46"/>
  <c r="K29" i="45"/>
  <c r="K29" i="44"/>
  <c r="J28" i="28"/>
  <c r="AW41" i="19"/>
  <c r="O42" i="47" s="1"/>
  <c r="M66" i="28"/>
  <c r="AV70" i="19"/>
  <c r="M71" i="46" s="1"/>
  <c r="AV45" i="19"/>
  <c r="M46" i="47" s="1"/>
  <c r="AV62" i="19"/>
  <c r="M63" i="46" s="1"/>
  <c r="AT74" i="19"/>
  <c r="AU74" i="19" s="1"/>
  <c r="L75" i="46" s="1"/>
  <c r="AV71" i="19"/>
  <c r="M72" i="45" s="1"/>
  <c r="AT24" i="19"/>
  <c r="AU24" i="19" s="1"/>
  <c r="L25" i="45" s="1"/>
  <c r="N75" i="45"/>
  <c r="M71" i="28"/>
  <c r="N57" i="46"/>
  <c r="N60" i="46"/>
  <c r="BF22" i="19"/>
  <c r="N23" i="44" s="1"/>
  <c r="N67" i="45"/>
  <c r="BF43" i="19"/>
  <c r="N44" i="45" s="1"/>
  <c r="BF34" i="19"/>
  <c r="N35" i="45" s="1"/>
  <c r="AV26" i="19"/>
  <c r="M27" i="46" s="1"/>
  <c r="AT73" i="19"/>
  <c r="AU73" i="19" s="1"/>
  <c r="L74" i="47" s="1"/>
  <c r="AT58" i="19"/>
  <c r="AU58" i="19" s="1"/>
  <c r="L61" i="44" s="1"/>
  <c r="BF48" i="19"/>
  <c r="N49" i="47" s="1"/>
  <c r="N53" i="44"/>
  <c r="N75" i="47"/>
  <c r="N72" i="45"/>
  <c r="M58" i="28"/>
  <c r="AW63" i="19"/>
  <c r="O64" i="47" s="1"/>
  <c r="BF45" i="19"/>
  <c r="N46" i="44" s="1"/>
  <c r="N74" i="44"/>
  <c r="AT56" i="19"/>
  <c r="AU56" i="19" s="1"/>
  <c r="L57" i="46" s="1"/>
  <c r="AV66" i="19"/>
  <c r="M67" i="46" s="1"/>
  <c r="AV61" i="19"/>
  <c r="M62" i="44" s="1"/>
  <c r="AT34" i="19"/>
  <c r="AU34" i="19" s="1"/>
  <c r="L35" i="44" s="1"/>
  <c r="AT22" i="19"/>
  <c r="AU22" i="19" s="1"/>
  <c r="L23" i="47" s="1"/>
  <c r="N53" i="46"/>
  <c r="N72" i="47"/>
  <c r="N59" i="45"/>
  <c r="N71" i="44"/>
  <c r="N62" i="46"/>
  <c r="N74" i="46"/>
  <c r="N59" i="47"/>
  <c r="N67" i="47"/>
  <c r="BC27" i="48"/>
  <c r="L86" i="44"/>
  <c r="L86" i="47"/>
  <c r="K85" i="28"/>
  <c r="L86" i="46"/>
  <c r="L86" i="45"/>
  <c r="N82" i="44"/>
  <c r="N82" i="47"/>
  <c r="M81" i="28"/>
  <c r="N82" i="45"/>
  <c r="N82" i="46"/>
  <c r="BB50" i="48"/>
  <c r="BC50" i="48"/>
  <c r="BC41" i="48"/>
  <c r="BB41" i="48"/>
  <c r="BC64" i="48"/>
  <c r="BB64" i="48"/>
  <c r="M85" i="47"/>
  <c r="L84" i="28"/>
  <c r="M85" i="46"/>
  <c r="M85" i="45"/>
  <c r="M85" i="44"/>
  <c r="BF27" i="19"/>
  <c r="AT27" i="19"/>
  <c r="AU27" i="19" s="1"/>
  <c r="AV27" i="19" s="1"/>
  <c r="M81" i="47"/>
  <c r="L80" i="28"/>
  <c r="M81" i="44"/>
  <c r="M81" i="46"/>
  <c r="M81" i="45"/>
  <c r="AT40" i="19"/>
  <c r="AU40" i="19" s="1"/>
  <c r="BF40" i="19"/>
  <c r="AV40" i="19"/>
  <c r="AW40" i="19"/>
  <c r="BC29" i="48"/>
  <c r="BC30" i="48"/>
  <c r="BB30" i="48"/>
  <c r="AT87" i="19"/>
  <c r="AU87" i="19" s="1"/>
  <c r="BF87" i="19"/>
  <c r="AW87" i="19"/>
  <c r="AV87" i="19"/>
  <c r="BB24" i="48"/>
  <c r="BC24" i="48"/>
  <c r="AV52" i="19"/>
  <c r="M53" i="47" s="1"/>
  <c r="AT26" i="19"/>
  <c r="AU26" i="19" s="1"/>
  <c r="L27" i="44" s="1"/>
  <c r="AV46" i="19"/>
  <c r="M47" i="46" s="1"/>
  <c r="AV32" i="19"/>
  <c r="M33" i="44" s="1"/>
  <c r="AV50" i="19"/>
  <c r="M51" i="46" s="1"/>
  <c r="AT61" i="19"/>
  <c r="AU61" i="19" s="1"/>
  <c r="L62" i="46" s="1"/>
  <c r="AV34" i="19"/>
  <c r="M35" i="44" s="1"/>
  <c r="AV41" i="19"/>
  <c r="M42" i="45" s="1"/>
  <c r="AV43" i="19"/>
  <c r="M44" i="47" s="1"/>
  <c r="AV73" i="19"/>
  <c r="M74" i="45" s="1"/>
  <c r="AV59" i="19"/>
  <c r="M26" i="44" s="1"/>
  <c r="AV22" i="19"/>
  <c r="M23" i="44" s="1"/>
  <c r="AV35" i="19"/>
  <c r="M36" i="44" s="1"/>
  <c r="AT71" i="19"/>
  <c r="AU71" i="19" s="1"/>
  <c r="L72" i="47" s="1"/>
  <c r="AW56" i="19"/>
  <c r="BG56" i="19" s="1"/>
  <c r="AW61" i="19"/>
  <c r="O62" i="46" s="1"/>
  <c r="AW71" i="19"/>
  <c r="O72" i="45" s="1"/>
  <c r="AW52" i="19"/>
  <c r="BG52" i="19" s="1"/>
  <c r="AV24" i="19"/>
  <c r="M25" i="46" s="1"/>
  <c r="AW48" i="19"/>
  <c r="O49" i="46" s="1"/>
  <c r="N55" i="46"/>
  <c r="N53" i="45"/>
  <c r="N75" i="44"/>
  <c r="AW27" i="19"/>
  <c r="BJ27" i="19" s="1"/>
  <c r="AW51" i="19"/>
  <c r="O52" i="46" s="1"/>
  <c r="N79" i="44"/>
  <c r="N72" i="46"/>
  <c r="M56" i="28"/>
  <c r="N57" i="47"/>
  <c r="N66" i="44"/>
  <c r="M72" i="28"/>
  <c r="N73" i="47"/>
  <c r="N60" i="45"/>
  <c r="N59" i="46"/>
  <c r="N69" i="47"/>
  <c r="N67" i="44"/>
  <c r="BF63" i="19"/>
  <c r="N64" i="46" s="1"/>
  <c r="N71" i="45"/>
  <c r="AW45" i="19"/>
  <c r="O46" i="47" s="1"/>
  <c r="N62" i="45"/>
  <c r="AW33" i="19"/>
  <c r="O34" i="47" s="1"/>
  <c r="N74" i="45"/>
  <c r="N81" i="46"/>
  <c r="N81" i="45"/>
  <c r="N81" i="47"/>
  <c r="N81" i="44"/>
  <c r="M80" i="28"/>
  <c r="BC28" i="48"/>
  <c r="BB28" i="48"/>
  <c r="BC52" i="48"/>
  <c r="BB52" i="48"/>
  <c r="N86" i="45"/>
  <c r="N86" i="44"/>
  <c r="N86" i="47"/>
  <c r="M85" i="28"/>
  <c r="N86" i="46"/>
  <c r="M82" i="45"/>
  <c r="M82" i="44"/>
  <c r="M82" i="46"/>
  <c r="M82" i="47"/>
  <c r="L81" i="28"/>
  <c r="BC86" i="48"/>
  <c r="BB86" i="48"/>
  <c r="BF25" i="19"/>
  <c r="AT25" i="19"/>
  <c r="AU25" i="19" s="1"/>
  <c r="AW25" i="19" s="1"/>
  <c r="BC75" i="48"/>
  <c r="BB75" i="48"/>
  <c r="AV86" i="19"/>
  <c r="AW86" i="19"/>
  <c r="AT86" i="19"/>
  <c r="AU86" i="19" s="1"/>
  <c r="BF86" i="19"/>
  <c r="BC69" i="48"/>
  <c r="BB69" i="48"/>
  <c r="BC61" i="48"/>
  <c r="BB61" i="48"/>
  <c r="O85" i="45"/>
  <c r="O85" i="44"/>
  <c r="BH84" i="19"/>
  <c r="BG84" i="19"/>
  <c r="BJ84" i="19"/>
  <c r="N84" i="28"/>
  <c r="O85" i="47"/>
  <c r="BI84" i="19"/>
  <c r="R85" i="44" s="1"/>
  <c r="O85" i="46"/>
  <c r="BB44" i="48"/>
  <c r="BC44" i="48"/>
  <c r="AT30" i="19"/>
  <c r="AU30" i="19" s="1"/>
  <c r="BF30" i="19"/>
  <c r="AW30" i="19"/>
  <c r="AV30" i="19"/>
  <c r="BC88" i="48"/>
  <c r="BB88" i="48"/>
  <c r="BF38" i="19"/>
  <c r="AV38" i="19"/>
  <c r="AW38" i="19"/>
  <c r="AT38" i="19"/>
  <c r="AU38" i="19" s="1"/>
  <c r="BF46" i="19"/>
  <c r="N47" i="45" s="1"/>
  <c r="BG80" i="19"/>
  <c r="BI80" i="19"/>
  <c r="R81" i="44" s="1"/>
  <c r="N80" i="28"/>
  <c r="BJ80" i="19"/>
  <c r="O81" i="47"/>
  <c r="O81" i="45"/>
  <c r="O81" i="46"/>
  <c r="BH80" i="19"/>
  <c r="O81" i="44"/>
  <c r="BB45" i="48"/>
  <c r="BC45" i="48"/>
  <c r="AW55" i="19"/>
  <c r="AV55" i="19"/>
  <c r="AT55" i="19"/>
  <c r="AU55" i="19" s="1"/>
  <c r="BF55" i="19"/>
  <c r="O86" i="45"/>
  <c r="O86" i="44"/>
  <c r="O86" i="46"/>
  <c r="BG85" i="19"/>
  <c r="BJ85" i="19"/>
  <c r="N85" i="28"/>
  <c r="O86" i="47"/>
  <c r="BI85" i="19"/>
  <c r="R86" i="44" s="1"/>
  <c r="BH85" i="19"/>
  <c r="O82" i="47"/>
  <c r="BI81" i="19"/>
  <c r="R82" i="44" s="1"/>
  <c r="O82" i="46"/>
  <c r="BH81" i="19"/>
  <c r="BG81" i="19"/>
  <c r="N81" i="28"/>
  <c r="O82" i="45"/>
  <c r="O82" i="44"/>
  <c r="BJ81" i="19"/>
  <c r="BB35" i="48"/>
  <c r="BC35" i="48"/>
  <c r="BC62" i="48"/>
  <c r="BB62" i="48"/>
  <c r="BC37" i="48"/>
  <c r="BB37" i="48"/>
  <c r="BC51" i="48"/>
  <c r="BB51" i="48"/>
  <c r="BB39" i="48"/>
  <c r="BC39" i="48"/>
  <c r="N85" i="47"/>
  <c r="M84" i="28"/>
  <c r="N85" i="46"/>
  <c r="N85" i="44"/>
  <c r="N85" i="45"/>
  <c r="BF44" i="19"/>
  <c r="AV44" i="19"/>
  <c r="AW44" i="19"/>
  <c r="AT44" i="19"/>
  <c r="AU44" i="19" s="1"/>
  <c r="BB87" i="48"/>
  <c r="BC87" i="48"/>
  <c r="BC23" i="48"/>
  <c r="BC34" i="48"/>
  <c r="BB34" i="48"/>
  <c r="BB55" i="48"/>
  <c r="BC55" i="48"/>
  <c r="AV68" i="19"/>
  <c r="M69" i="46" s="1"/>
  <c r="AT70" i="19"/>
  <c r="AU70" i="19" s="1"/>
  <c r="L71" i="47" s="1"/>
  <c r="AV65" i="19"/>
  <c r="M66" i="44" s="1"/>
  <c r="AV56" i="19"/>
  <c r="M57" i="46" s="1"/>
  <c r="AV54" i="19"/>
  <c r="M55" i="46" s="1"/>
  <c r="AT66" i="19"/>
  <c r="AU66" i="19" s="1"/>
  <c r="L67" i="46" s="1"/>
  <c r="AV36" i="19"/>
  <c r="M37" i="44" s="1"/>
  <c r="AT62" i="19"/>
  <c r="AU62" i="19" s="1"/>
  <c r="L63" i="45" s="1"/>
  <c r="AV78" i="19"/>
  <c r="M79" i="44" s="1"/>
  <c r="AV74" i="19"/>
  <c r="M75" i="44" s="1"/>
  <c r="AT72" i="19"/>
  <c r="AU72" i="19" s="1"/>
  <c r="L73" i="45" s="1"/>
  <c r="AV58" i="19"/>
  <c r="M59" i="46" s="1"/>
  <c r="AW59" i="19"/>
  <c r="O60" i="47" s="1"/>
  <c r="AW66" i="19"/>
  <c r="O67" i="45" s="1"/>
  <c r="AW74" i="19"/>
  <c r="O75" i="46" s="1"/>
  <c r="AW65" i="19"/>
  <c r="O66" i="46" s="1"/>
  <c r="M52" i="28"/>
  <c r="M68" i="28"/>
  <c r="M70" i="28"/>
  <c r="M61" i="28"/>
  <c r="M73" i="28"/>
  <c r="L81" i="44"/>
  <c r="L81" i="47"/>
  <c r="K80" i="28"/>
  <c r="L81" i="46"/>
  <c r="L81" i="45"/>
  <c r="BB26" i="48"/>
  <c r="BC26" i="48"/>
  <c r="BF88" i="19"/>
  <c r="AV88" i="19"/>
  <c r="AT88" i="19"/>
  <c r="AU88" i="19" s="1"/>
  <c r="AW88" i="19"/>
  <c r="BB38" i="48"/>
  <c r="BC38" i="48"/>
  <c r="BB68" i="48"/>
  <c r="BC68" i="48"/>
  <c r="BC71" i="48"/>
  <c r="BB71" i="48"/>
  <c r="BB40" i="48"/>
  <c r="BC40" i="48"/>
  <c r="M86" i="44"/>
  <c r="M86" i="45"/>
  <c r="M86" i="47"/>
  <c r="L85" i="28"/>
  <c r="M86" i="46"/>
  <c r="BB67" i="48"/>
  <c r="BC67" i="48"/>
  <c r="BB31" i="48"/>
  <c r="BC31" i="48"/>
  <c r="L82" i="47"/>
  <c r="K81" i="28"/>
  <c r="L82" i="44"/>
  <c r="L82" i="46"/>
  <c r="L82" i="45"/>
  <c r="BC83" i="48"/>
  <c r="BB83" i="48"/>
  <c r="BB48" i="48"/>
  <c r="BC48" i="48"/>
  <c r="AW83" i="19"/>
  <c r="AT83" i="19"/>
  <c r="AU83" i="19" s="1"/>
  <c r="AV83" i="19"/>
  <c r="BF83" i="19"/>
  <c r="BF29" i="19"/>
  <c r="AT29" i="19"/>
  <c r="AU29" i="19" s="1"/>
  <c r="AW29" i="19" s="1"/>
  <c r="L85" i="47"/>
  <c r="K84" i="28"/>
  <c r="L85" i="46"/>
  <c r="L85" i="45"/>
  <c r="L85" i="44"/>
  <c r="BC63" i="48"/>
  <c r="BB63" i="48"/>
  <c r="M59" i="28"/>
  <c r="N60" i="47"/>
  <c r="N69" i="45"/>
  <c r="AZ8" i="19"/>
  <c r="E28" i="47"/>
  <c r="E28" i="46"/>
  <c r="E28" i="45"/>
  <c r="E18" i="44"/>
  <c r="D8" i="28"/>
  <c r="AZ7" i="19"/>
  <c r="E8" i="47"/>
  <c r="E8" i="46"/>
  <c r="E8" i="45"/>
  <c r="E8" i="44"/>
  <c r="D7" i="28"/>
  <c r="AZ13" i="19"/>
  <c r="E14" i="47"/>
  <c r="E14" i="46"/>
  <c r="E14" i="45"/>
  <c r="E14" i="44"/>
  <c r="D13" i="28"/>
  <c r="AZ6" i="19"/>
  <c r="E7" i="47"/>
  <c r="E7" i="46"/>
  <c r="E7" i="45"/>
  <c r="E7" i="44"/>
  <c r="D6" i="28"/>
  <c r="AZ9" i="19"/>
  <c r="E10" i="47"/>
  <c r="E10" i="46"/>
  <c r="E10" i="45"/>
  <c r="E28" i="44"/>
  <c r="D9" i="28"/>
  <c r="AZ15" i="19"/>
  <c r="E16" i="47"/>
  <c r="E16" i="46"/>
  <c r="E16" i="45"/>
  <c r="E16" i="44"/>
  <c r="D15" i="28"/>
  <c r="AZ17" i="19"/>
  <c r="E24" i="47"/>
  <c r="E24" i="46"/>
  <c r="E24" i="45"/>
  <c r="E10" i="44"/>
  <c r="D17" i="28"/>
  <c r="L46" i="47"/>
  <c r="L46" i="46"/>
  <c r="L46" i="45"/>
  <c r="L46" i="44"/>
  <c r="K45" i="28"/>
  <c r="M49" i="47"/>
  <c r="M49" i="46"/>
  <c r="M49" i="45"/>
  <c r="M49" i="44"/>
  <c r="L48" i="28"/>
  <c r="L48" i="47"/>
  <c r="L48" i="46"/>
  <c r="L48" i="45"/>
  <c r="L48" i="44"/>
  <c r="K47" i="28"/>
  <c r="P28" i="28"/>
  <c r="P29" i="47"/>
  <c r="P29" i="46"/>
  <c r="P29" i="45"/>
  <c r="Q29" i="44"/>
  <c r="P42" i="28"/>
  <c r="P43" i="47"/>
  <c r="P43" i="46"/>
  <c r="P43" i="45"/>
  <c r="Q43" i="44"/>
  <c r="BG35" i="19"/>
  <c r="O36" i="47"/>
  <c r="O36" i="46"/>
  <c r="O36" i="45"/>
  <c r="BJ35" i="19"/>
  <c r="BI35" i="19"/>
  <c r="R36" i="44" s="1"/>
  <c r="BH35" i="19"/>
  <c r="O36" i="44"/>
  <c r="N35" i="28"/>
  <c r="N42" i="47"/>
  <c r="N42" i="46"/>
  <c r="N42" i="45"/>
  <c r="N42" i="44"/>
  <c r="M41" i="28"/>
  <c r="BG34" i="19"/>
  <c r="O35" i="47"/>
  <c r="O35" i="46"/>
  <c r="O35" i="45"/>
  <c r="BJ34" i="19"/>
  <c r="BI34" i="19"/>
  <c r="R35" i="44" s="1"/>
  <c r="BH34" i="19"/>
  <c r="O35" i="44"/>
  <c r="N34" i="28"/>
  <c r="AD12" i="19"/>
  <c r="Y12" i="48"/>
  <c r="M66" i="45"/>
  <c r="L34" i="47"/>
  <c r="L34" i="46"/>
  <c r="L34" i="45"/>
  <c r="L34" i="44"/>
  <c r="K33" i="28"/>
  <c r="M79" i="47"/>
  <c r="P43" i="44"/>
  <c r="M27" i="44"/>
  <c r="L33" i="47"/>
  <c r="L33" i="46"/>
  <c r="L33" i="45"/>
  <c r="L33" i="44"/>
  <c r="K32" i="28"/>
  <c r="L55" i="47"/>
  <c r="L55" i="46"/>
  <c r="L55" i="45"/>
  <c r="L55" i="44"/>
  <c r="K54" i="28"/>
  <c r="BG54" i="19"/>
  <c r="O55" i="47"/>
  <c r="O55" i="46"/>
  <c r="O55" i="45"/>
  <c r="BJ54" i="19"/>
  <c r="BI54" i="19"/>
  <c r="R55" i="44" s="1"/>
  <c r="BH54" i="19"/>
  <c r="O55" i="44"/>
  <c r="N54" i="28"/>
  <c r="P54" i="44"/>
  <c r="O53" i="28"/>
  <c r="P53" i="28"/>
  <c r="P54" i="47"/>
  <c r="P54" i="46"/>
  <c r="P54" i="45"/>
  <c r="Q54" i="44"/>
  <c r="N37" i="47"/>
  <c r="N37" i="46"/>
  <c r="N37" i="45"/>
  <c r="N37" i="44"/>
  <c r="M36" i="28"/>
  <c r="O42" i="44"/>
  <c r="N64" i="47"/>
  <c r="M63" i="28"/>
  <c r="BG43" i="19"/>
  <c r="O44" i="47"/>
  <c r="O44" i="46"/>
  <c r="O44" i="45"/>
  <c r="BJ43" i="19"/>
  <c r="BI43" i="19"/>
  <c r="R44" i="44" s="1"/>
  <c r="BH43" i="19"/>
  <c r="O44" i="44"/>
  <c r="N43" i="28"/>
  <c r="P47" i="28"/>
  <c r="P48" i="47"/>
  <c r="P48" i="46"/>
  <c r="P48" i="45"/>
  <c r="Q48" i="44"/>
  <c r="P29" i="44"/>
  <c r="O28" i="28"/>
  <c r="N34" i="45"/>
  <c r="BG48" i="19"/>
  <c r="O49" i="47"/>
  <c r="BJ48" i="19"/>
  <c r="BI48" i="19"/>
  <c r="R49" i="44" s="1"/>
  <c r="O49" i="45"/>
  <c r="O49" i="44"/>
  <c r="N48" i="28"/>
  <c r="BG24" i="19"/>
  <c r="O25" i="47"/>
  <c r="O25" i="46"/>
  <c r="BJ24" i="19"/>
  <c r="BI24" i="19"/>
  <c r="R25" i="44" s="1"/>
  <c r="O25" i="45"/>
  <c r="BH24" i="19"/>
  <c r="O25" i="44"/>
  <c r="N24" i="28"/>
  <c r="L36" i="47"/>
  <c r="L36" i="46"/>
  <c r="L36" i="45"/>
  <c r="L36" i="44"/>
  <c r="K35" i="28"/>
  <c r="O73" i="46"/>
  <c r="AD19" i="19"/>
  <c r="Y19" i="48"/>
  <c r="K26" i="28"/>
  <c r="L46" i="28"/>
  <c r="M36" i="45"/>
  <c r="L72" i="45"/>
  <c r="O72" i="46"/>
  <c r="N71" i="28"/>
  <c r="O53" i="45"/>
  <c r="L28" i="28"/>
  <c r="M29" i="46"/>
  <c r="M29" i="47"/>
  <c r="M29" i="45"/>
  <c r="M29" i="44"/>
  <c r="O40" i="44"/>
  <c r="BG26" i="19"/>
  <c r="O27" i="47"/>
  <c r="O27" i="46"/>
  <c r="O27" i="45"/>
  <c r="BJ26" i="19"/>
  <c r="BI26" i="19"/>
  <c r="R27" i="44" s="1"/>
  <c r="BH26" i="19"/>
  <c r="O27" i="44"/>
  <c r="N26" i="28"/>
  <c r="BG36" i="19"/>
  <c r="O37" i="47"/>
  <c r="O37" i="46"/>
  <c r="O37" i="45"/>
  <c r="BJ36" i="19"/>
  <c r="BI36" i="19"/>
  <c r="R37" i="44" s="1"/>
  <c r="BH36" i="19"/>
  <c r="O37" i="44"/>
  <c r="N36" i="28"/>
  <c r="BG63" i="19"/>
  <c r="N63" i="28"/>
  <c r="N47" i="47"/>
  <c r="N47" i="46"/>
  <c r="M46" i="28"/>
  <c r="BG33" i="19"/>
  <c r="M37" i="45"/>
  <c r="L73" i="47"/>
  <c r="N33" i="46"/>
  <c r="N33" i="47"/>
  <c r="N33" i="45"/>
  <c r="N33" i="44"/>
  <c r="M32" i="28"/>
  <c r="M28" i="28"/>
  <c r="N29" i="47"/>
  <c r="N29" i="46"/>
  <c r="N29" i="45"/>
  <c r="N29" i="44"/>
  <c r="L66" i="47"/>
  <c r="L66" i="46"/>
  <c r="L66" i="45"/>
  <c r="L66" i="44"/>
  <c r="K65" i="28"/>
  <c r="M62" i="46"/>
  <c r="M34" i="47"/>
  <c r="M34" i="46"/>
  <c r="M34" i="45"/>
  <c r="M34" i="44"/>
  <c r="L33" i="28"/>
  <c r="K78" i="28"/>
  <c r="M73" i="47"/>
  <c r="M73" i="46"/>
  <c r="M73" i="45"/>
  <c r="M73" i="44"/>
  <c r="L72" i="28"/>
  <c r="L23" i="44"/>
  <c r="M72" i="46"/>
  <c r="BG70" i="19"/>
  <c r="BJ70" i="19"/>
  <c r="N70" i="28"/>
  <c r="N36" i="47"/>
  <c r="N36" i="46"/>
  <c r="N36" i="45"/>
  <c r="N36" i="44"/>
  <c r="M35" i="28"/>
  <c r="P50" i="44"/>
  <c r="O49" i="28"/>
  <c r="P49" i="28"/>
  <c r="P50" i="47"/>
  <c r="Q50" i="44"/>
  <c r="P50" i="46"/>
  <c r="P50" i="45"/>
  <c r="BG22" i="19"/>
  <c r="O23" i="46"/>
  <c r="O23" i="45"/>
  <c r="O23" i="47"/>
  <c r="BJ22" i="19"/>
  <c r="BI22" i="19"/>
  <c r="R23" i="44" s="1"/>
  <c r="BH22" i="19"/>
  <c r="O23" i="44"/>
  <c r="N22" i="28"/>
  <c r="G19" i="4"/>
  <c r="G12" i="4"/>
  <c r="F10" i="4"/>
  <c r="F8" i="4"/>
  <c r="Y8" i="48" s="1"/>
  <c r="F6" i="4"/>
  <c r="Y6" i="48" s="1"/>
  <c r="F4" i="4"/>
  <c r="Y4" i="48" s="1"/>
  <c r="G21" i="4"/>
  <c r="AD21" i="19"/>
  <c r="F2" i="4"/>
  <c r="Y2" i="48" s="1"/>
  <c r="O71" i="44" l="1"/>
  <c r="O71" i="45"/>
  <c r="L79" i="46"/>
  <c r="BJ39" i="19"/>
  <c r="P40" i="44" s="1"/>
  <c r="N64" i="44"/>
  <c r="AW62" i="19"/>
  <c r="O63" i="47" s="1"/>
  <c r="AV69" i="19"/>
  <c r="M70" i="46" s="1"/>
  <c r="N107" i="46"/>
  <c r="N35" i="46"/>
  <c r="BH70" i="19"/>
  <c r="O71" i="46"/>
  <c r="L79" i="47"/>
  <c r="N33" i="28"/>
  <c r="O40" i="45"/>
  <c r="N64" i="45"/>
  <c r="N51" i="47"/>
  <c r="AT69" i="19"/>
  <c r="AU69" i="19" s="1"/>
  <c r="L70" i="47" s="1"/>
  <c r="M62" i="28"/>
  <c r="N70" i="47"/>
  <c r="M69" i="28"/>
  <c r="N107" i="44"/>
  <c r="BI70" i="19"/>
  <c r="R71" i="44" s="1"/>
  <c r="BJ33" i="19"/>
  <c r="N63" i="46"/>
  <c r="N70" i="44"/>
  <c r="AW69" i="19"/>
  <c r="BG69" i="19" s="1"/>
  <c r="N70" i="45"/>
  <c r="N63" i="47"/>
  <c r="M106" i="28"/>
  <c r="O64" i="44"/>
  <c r="BH71" i="19"/>
  <c r="O72" i="47"/>
  <c r="L72" i="46"/>
  <c r="M47" i="44"/>
  <c r="L49" i="45"/>
  <c r="O42" i="45"/>
  <c r="N25" i="46"/>
  <c r="BH73" i="19"/>
  <c r="BJ63" i="19"/>
  <c r="BG71" i="19"/>
  <c r="P72" i="46" s="1"/>
  <c r="N62" i="44"/>
  <c r="L35" i="45"/>
  <c r="BI71" i="19"/>
  <c r="R72" i="44" s="1"/>
  <c r="M47" i="45"/>
  <c r="N25" i="47"/>
  <c r="L35" i="46"/>
  <c r="O64" i="45"/>
  <c r="BJ71" i="19"/>
  <c r="O71" i="28" s="1"/>
  <c r="L72" i="44"/>
  <c r="L70" i="44"/>
  <c r="M47" i="47"/>
  <c r="N27" i="46"/>
  <c r="BI51" i="19"/>
  <c r="R52" i="44" s="1"/>
  <c r="L65" i="44"/>
  <c r="L65" i="45"/>
  <c r="K36" i="28"/>
  <c r="L53" i="46"/>
  <c r="BI37" i="19"/>
  <c r="R38" i="44" s="1"/>
  <c r="O73" i="44"/>
  <c r="N34" i="46"/>
  <c r="O52" i="47"/>
  <c r="AV67" i="19"/>
  <c r="L37" i="44"/>
  <c r="BH72" i="19"/>
  <c r="BG51" i="19"/>
  <c r="P52" i="46" s="1"/>
  <c r="AW46" i="19"/>
  <c r="AT46" i="19"/>
  <c r="AU46" i="19" s="1"/>
  <c r="L37" i="47"/>
  <c r="BJ72" i="19"/>
  <c r="O72" i="28" s="1"/>
  <c r="L42" i="46"/>
  <c r="O52" i="44"/>
  <c r="AW64" i="19"/>
  <c r="BG64" i="19" s="1"/>
  <c r="L65" i="46"/>
  <c r="L70" i="28"/>
  <c r="N47" i="44"/>
  <c r="O65" i="45"/>
  <c r="L65" i="47"/>
  <c r="L29" i="45"/>
  <c r="BJ51" i="19"/>
  <c r="O51" i="28" s="1"/>
  <c r="M77" i="47"/>
  <c r="M77" i="46"/>
  <c r="M77" i="45"/>
  <c r="L76" i="28"/>
  <c r="M77" i="44"/>
  <c r="L71" i="28"/>
  <c r="M72" i="47"/>
  <c r="M23" i="45"/>
  <c r="L27" i="45"/>
  <c r="L44" i="45"/>
  <c r="M27" i="45"/>
  <c r="L77" i="47"/>
  <c r="L77" i="44"/>
  <c r="M72" i="44"/>
  <c r="L37" i="45"/>
  <c r="K64" i="28"/>
  <c r="L27" i="46"/>
  <c r="O73" i="45"/>
  <c r="O73" i="47"/>
  <c r="M33" i="28"/>
  <c r="N34" i="47"/>
  <c r="M27" i="47"/>
  <c r="M55" i="47"/>
  <c r="AV25" i="19"/>
  <c r="M26" i="45" s="1"/>
  <c r="M62" i="45"/>
  <c r="M71" i="47"/>
  <c r="O67" i="46"/>
  <c r="N23" i="45"/>
  <c r="N39" i="28"/>
  <c r="BG39" i="19"/>
  <c r="O72" i="44"/>
  <c r="K71" i="28"/>
  <c r="L27" i="47"/>
  <c r="N72" i="28"/>
  <c r="BI72" i="19"/>
  <c r="R73" i="44" s="1"/>
  <c r="BH48" i="19"/>
  <c r="L26" i="28"/>
  <c r="N51" i="28"/>
  <c r="O52" i="45"/>
  <c r="O77" i="46"/>
  <c r="BI76" i="19"/>
  <c r="R77" i="44" s="1"/>
  <c r="O77" i="44"/>
  <c r="BG76" i="19"/>
  <c r="BH76" i="19"/>
  <c r="BJ76" i="19"/>
  <c r="O77" i="45"/>
  <c r="N76" i="28"/>
  <c r="O77" i="47"/>
  <c r="L77" i="45"/>
  <c r="N77" i="46"/>
  <c r="N77" i="45"/>
  <c r="N77" i="44"/>
  <c r="M76" i="28"/>
  <c r="N77" i="47"/>
  <c r="O128" i="46"/>
  <c r="BI127" i="19"/>
  <c r="R128" i="44" s="1"/>
  <c r="O128" i="47"/>
  <c r="BH127" i="19"/>
  <c r="BG127" i="19"/>
  <c r="N127" i="28"/>
  <c r="O128" i="45"/>
  <c r="O128" i="44"/>
  <c r="BJ127" i="19"/>
  <c r="N139" i="45"/>
  <c r="M138" i="28"/>
  <c r="N139" i="47"/>
  <c r="N139" i="46"/>
  <c r="N139" i="44"/>
  <c r="N137" i="47"/>
  <c r="N137" i="44"/>
  <c r="N137" i="45"/>
  <c r="M136" i="28"/>
  <c r="N137" i="46"/>
  <c r="N135" i="44"/>
  <c r="N135" i="45"/>
  <c r="N135" i="47"/>
  <c r="N135" i="46"/>
  <c r="M134" i="28"/>
  <c r="M123" i="28"/>
  <c r="N124" i="46"/>
  <c r="N124" i="45"/>
  <c r="N124" i="44"/>
  <c r="N124" i="47"/>
  <c r="L140" i="44"/>
  <c r="K139" i="28"/>
  <c r="L140" i="45"/>
  <c r="L140" i="46"/>
  <c r="L140" i="47"/>
  <c r="M133" i="28"/>
  <c r="N134" i="44"/>
  <c r="N134" i="46"/>
  <c r="N134" i="45"/>
  <c r="N134" i="47"/>
  <c r="L133" i="46"/>
  <c r="L133" i="44"/>
  <c r="L133" i="47"/>
  <c r="L133" i="45"/>
  <c r="K132" i="28"/>
  <c r="L132" i="47"/>
  <c r="L132" i="44"/>
  <c r="L132" i="45"/>
  <c r="K131" i="28"/>
  <c r="L132" i="46"/>
  <c r="F17" i="46"/>
  <c r="F17" i="45"/>
  <c r="F17" i="47"/>
  <c r="BA16" i="19"/>
  <c r="F17" i="44"/>
  <c r="E16" i="28"/>
  <c r="M119" i="47"/>
  <c r="L118" i="28"/>
  <c r="M119" i="45"/>
  <c r="M119" i="44"/>
  <c r="M119" i="46"/>
  <c r="P136" i="44"/>
  <c r="O135" i="28"/>
  <c r="N128" i="45"/>
  <c r="N128" i="44"/>
  <c r="N128" i="46"/>
  <c r="N128" i="47"/>
  <c r="M127" i="28"/>
  <c r="L139" i="47"/>
  <c r="L139" i="45"/>
  <c r="L139" i="46"/>
  <c r="L139" i="44"/>
  <c r="K138" i="28"/>
  <c r="M137" i="45"/>
  <c r="M137" i="44"/>
  <c r="L136" i="28"/>
  <c r="M137" i="46"/>
  <c r="M137" i="47"/>
  <c r="O135" i="45"/>
  <c r="BG134" i="19"/>
  <c r="O135" i="44"/>
  <c r="BJ134" i="19"/>
  <c r="BH134" i="19"/>
  <c r="N134" i="28"/>
  <c r="O135" i="46"/>
  <c r="BI134" i="19"/>
  <c r="R135" i="44" s="1"/>
  <c r="O135" i="47"/>
  <c r="M124" i="46"/>
  <c r="M124" i="45"/>
  <c r="M124" i="47"/>
  <c r="M124" i="44"/>
  <c r="L123" i="28"/>
  <c r="N140" i="45"/>
  <c r="N140" i="46"/>
  <c r="M139" i="28"/>
  <c r="N140" i="44"/>
  <c r="N140" i="47"/>
  <c r="L134" i="45"/>
  <c r="L134" i="47"/>
  <c r="L134" i="44"/>
  <c r="L134" i="46"/>
  <c r="K133" i="28"/>
  <c r="O133" i="44"/>
  <c r="N132" i="28"/>
  <c r="O133" i="46"/>
  <c r="O133" i="47"/>
  <c r="BH132" i="19"/>
  <c r="BI132" i="19"/>
  <c r="R133" i="44" s="1"/>
  <c r="BJ132" i="19"/>
  <c r="BG132" i="19"/>
  <c r="O133" i="45"/>
  <c r="L131" i="28"/>
  <c r="M132" i="46"/>
  <c r="M132" i="47"/>
  <c r="M132" i="44"/>
  <c r="M132" i="45"/>
  <c r="N119" i="46"/>
  <c r="N119" i="44"/>
  <c r="N119" i="47"/>
  <c r="N119" i="45"/>
  <c r="M118" i="28"/>
  <c r="Q136" i="44"/>
  <c r="P135" i="28"/>
  <c r="P136" i="46"/>
  <c r="P136" i="45"/>
  <c r="P136" i="47"/>
  <c r="L128" i="44"/>
  <c r="L128" i="47"/>
  <c r="K127" i="28"/>
  <c r="L128" i="46"/>
  <c r="L128" i="45"/>
  <c r="L138" i="28"/>
  <c r="M139" i="44"/>
  <c r="M139" i="47"/>
  <c r="M139" i="46"/>
  <c r="M139" i="45"/>
  <c r="O137" i="44"/>
  <c r="O137" i="47"/>
  <c r="BG136" i="19"/>
  <c r="O137" i="45"/>
  <c r="BI136" i="19"/>
  <c r="R137" i="44" s="1"/>
  <c r="O137" i="46"/>
  <c r="BJ136" i="19"/>
  <c r="N136" i="28"/>
  <c r="BH136" i="19"/>
  <c r="K134" i="28"/>
  <c r="L135" i="44"/>
  <c r="L135" i="47"/>
  <c r="L135" i="46"/>
  <c r="L135" i="45"/>
  <c r="L124" i="45"/>
  <c r="L124" i="47"/>
  <c r="L124" i="44"/>
  <c r="L124" i="46"/>
  <c r="K123" i="28"/>
  <c r="O140" i="45"/>
  <c r="O140" i="47"/>
  <c r="N139" i="28"/>
  <c r="O140" i="46"/>
  <c r="O140" i="44"/>
  <c r="BI139" i="19"/>
  <c r="R140" i="44" s="1"/>
  <c r="BH139" i="19"/>
  <c r="BG139" i="19"/>
  <c r="BJ139" i="19"/>
  <c r="M134" i="45"/>
  <c r="M134" i="47"/>
  <c r="M134" i="44"/>
  <c r="M134" i="46"/>
  <c r="L133" i="28"/>
  <c r="M133" i="46"/>
  <c r="M133" i="47"/>
  <c r="L132" i="28"/>
  <c r="M133" i="45"/>
  <c r="M133" i="44"/>
  <c r="O132" i="46"/>
  <c r="BJ131" i="19"/>
  <c r="BI131" i="19"/>
  <c r="R132" i="44" s="1"/>
  <c r="BH131" i="19"/>
  <c r="N131" i="28"/>
  <c r="O132" i="47"/>
  <c r="O132" i="45"/>
  <c r="BG131" i="19"/>
  <c r="O132" i="44"/>
  <c r="L119" i="47"/>
  <c r="K118" i="28"/>
  <c r="L119" i="45"/>
  <c r="L119" i="46"/>
  <c r="L119" i="44"/>
  <c r="M128" i="47"/>
  <c r="L127" i="28"/>
  <c r="M128" i="46"/>
  <c r="M128" i="44"/>
  <c r="M128" i="45"/>
  <c r="O139" i="44"/>
  <c r="BJ138" i="19"/>
  <c r="BG138" i="19"/>
  <c r="BI138" i="19"/>
  <c r="R139" i="44" s="1"/>
  <c r="O139" i="46"/>
  <c r="N138" i="28"/>
  <c r="O139" i="45"/>
  <c r="O139" i="47"/>
  <c r="BH138" i="19"/>
  <c r="L137" i="44"/>
  <c r="L137" i="45"/>
  <c r="L137" i="46"/>
  <c r="L137" i="47"/>
  <c r="K136" i="28"/>
  <c r="M135" i="45"/>
  <c r="M135" i="46"/>
  <c r="M135" i="47"/>
  <c r="M135" i="44"/>
  <c r="L134" i="28"/>
  <c r="O124" i="46"/>
  <c r="O124" i="45"/>
  <c r="O124" i="47"/>
  <c r="BH123" i="19"/>
  <c r="BI123" i="19"/>
  <c r="R124" i="44" s="1"/>
  <c r="O124" i="44"/>
  <c r="BJ123" i="19"/>
  <c r="BG123" i="19"/>
  <c r="N123" i="28"/>
  <c r="M140" i="44"/>
  <c r="L139" i="28"/>
  <c r="M140" i="47"/>
  <c r="M140" i="45"/>
  <c r="M140" i="46"/>
  <c r="O134" i="44"/>
  <c r="O134" i="47"/>
  <c r="N133" i="28"/>
  <c r="O134" i="46"/>
  <c r="BG133" i="19"/>
  <c r="BI133" i="19"/>
  <c r="R134" i="44" s="1"/>
  <c r="BH133" i="19"/>
  <c r="BJ133" i="19"/>
  <c r="O134" i="45"/>
  <c r="N133" i="47"/>
  <c r="N133" i="46"/>
  <c r="M132" i="28"/>
  <c r="N133" i="45"/>
  <c r="N133" i="44"/>
  <c r="N132" i="45"/>
  <c r="N132" i="46"/>
  <c r="N132" i="44"/>
  <c r="M131" i="28"/>
  <c r="N132" i="47"/>
  <c r="O119" i="44"/>
  <c r="N118" i="28"/>
  <c r="O119" i="45"/>
  <c r="O119" i="47"/>
  <c r="BI118" i="19"/>
  <c r="R119" i="44" s="1"/>
  <c r="BH118" i="19"/>
  <c r="BG118" i="19"/>
  <c r="O119" i="46"/>
  <c r="BJ118" i="19"/>
  <c r="P118" i="47"/>
  <c r="Q118" i="44"/>
  <c r="P118" i="45"/>
  <c r="P117" i="28"/>
  <c r="P118" i="46"/>
  <c r="P115" i="47"/>
  <c r="P114" i="28"/>
  <c r="Q115" i="44"/>
  <c r="P115" i="46"/>
  <c r="P115" i="45"/>
  <c r="O116" i="28"/>
  <c r="P117" i="44"/>
  <c r="N30" i="45"/>
  <c r="M115" i="28"/>
  <c r="N30" i="46"/>
  <c r="N30" i="47"/>
  <c r="N24" i="44"/>
  <c r="BF64" i="19"/>
  <c r="AV64" i="19"/>
  <c r="O122" i="46"/>
  <c r="BH121" i="19"/>
  <c r="O122" i="47"/>
  <c r="O122" i="45"/>
  <c r="O122" i="44"/>
  <c r="BG121" i="19"/>
  <c r="BJ121" i="19"/>
  <c r="N121" i="28"/>
  <c r="BI121" i="19"/>
  <c r="R122" i="44" s="1"/>
  <c r="N80" i="45"/>
  <c r="N80" i="47"/>
  <c r="N80" i="44"/>
  <c r="N80" i="46"/>
  <c r="M79" i="28"/>
  <c r="O120" i="28"/>
  <c r="P121" i="44"/>
  <c r="P120" i="47"/>
  <c r="Q120" i="44"/>
  <c r="P120" i="46"/>
  <c r="P119" i="28"/>
  <c r="P120" i="45"/>
  <c r="P123" i="44"/>
  <c r="O122" i="28"/>
  <c r="P118" i="44"/>
  <c r="O117" i="28"/>
  <c r="AW115" i="19"/>
  <c r="L30" i="45"/>
  <c r="L30" i="46"/>
  <c r="L30" i="47"/>
  <c r="K115" i="28"/>
  <c r="L24" i="44"/>
  <c r="E91" i="28"/>
  <c r="BA91" i="19"/>
  <c r="BE91" i="19" s="1"/>
  <c r="F92" i="46"/>
  <c r="F92" i="44"/>
  <c r="F92" i="45"/>
  <c r="F92" i="47"/>
  <c r="N122" i="47"/>
  <c r="N122" i="44"/>
  <c r="N122" i="46"/>
  <c r="N122" i="45"/>
  <c r="M121" i="28"/>
  <c r="L80" i="47"/>
  <c r="L80" i="45"/>
  <c r="K79" i="28"/>
  <c r="L80" i="44"/>
  <c r="L80" i="46"/>
  <c r="P121" i="47"/>
  <c r="P121" i="45"/>
  <c r="P121" i="46"/>
  <c r="P120" i="28"/>
  <c r="Q121" i="44"/>
  <c r="P123" i="47"/>
  <c r="P123" i="46"/>
  <c r="P123" i="45"/>
  <c r="P122" i="28"/>
  <c r="Q123" i="44"/>
  <c r="BA91" i="48"/>
  <c r="AQ91" i="48"/>
  <c r="AO91" i="48"/>
  <c r="AP91" i="48" s="1"/>
  <c r="AR91" i="48"/>
  <c r="M122" i="47"/>
  <c r="M122" i="45"/>
  <c r="L121" i="28"/>
  <c r="M122" i="44"/>
  <c r="M122" i="46"/>
  <c r="M80" i="47"/>
  <c r="L79" i="28"/>
  <c r="M80" i="44"/>
  <c r="M80" i="46"/>
  <c r="M80" i="45"/>
  <c r="P115" i="44"/>
  <c r="O114" i="28"/>
  <c r="P116" i="28"/>
  <c r="P117" i="47"/>
  <c r="P117" i="45"/>
  <c r="P117" i="46"/>
  <c r="Q117" i="44"/>
  <c r="M30" i="47"/>
  <c r="M24" i="44"/>
  <c r="M30" i="45"/>
  <c r="M30" i="46"/>
  <c r="L115" i="28"/>
  <c r="L122" i="44"/>
  <c r="L122" i="47"/>
  <c r="K121" i="28"/>
  <c r="L122" i="45"/>
  <c r="L122" i="46"/>
  <c r="O80" i="45"/>
  <c r="BJ79" i="19"/>
  <c r="O80" i="44"/>
  <c r="N79" i="28"/>
  <c r="O80" i="46"/>
  <c r="BI79" i="19"/>
  <c r="R80" i="44" s="1"/>
  <c r="O80" i="47"/>
  <c r="BH79" i="19"/>
  <c r="BG79" i="19"/>
  <c r="O119" i="28"/>
  <c r="P120" i="44"/>
  <c r="M102" i="47"/>
  <c r="M102" i="45"/>
  <c r="L101" i="28"/>
  <c r="M102" i="46"/>
  <c r="M102" i="44"/>
  <c r="M83" i="47"/>
  <c r="L82" i="28"/>
  <c r="M83" i="46"/>
  <c r="M83" i="45"/>
  <c r="M83" i="44"/>
  <c r="M98" i="44"/>
  <c r="M98" i="45"/>
  <c r="L97" i="28"/>
  <c r="M98" i="46"/>
  <c r="M98" i="47"/>
  <c r="O96" i="45"/>
  <c r="O96" i="44"/>
  <c r="O96" i="46"/>
  <c r="N95" i="28"/>
  <c r="BJ95" i="19"/>
  <c r="BG95" i="19"/>
  <c r="O96" i="47"/>
  <c r="BI95" i="19"/>
  <c r="R96" i="44" s="1"/>
  <c r="BH95" i="19"/>
  <c r="O106" i="46"/>
  <c r="BH105" i="19"/>
  <c r="O106" i="45"/>
  <c r="O106" i="44"/>
  <c r="BI105" i="19"/>
  <c r="R106" i="44" s="1"/>
  <c r="BG105" i="19"/>
  <c r="N105" i="28"/>
  <c r="O106" i="47"/>
  <c r="BJ105" i="19"/>
  <c r="N91" i="46"/>
  <c r="N91" i="47"/>
  <c r="M90" i="28"/>
  <c r="N91" i="44"/>
  <c r="N91" i="45"/>
  <c r="L113" i="47"/>
  <c r="K112" i="28"/>
  <c r="L113" i="44"/>
  <c r="L113" i="46"/>
  <c r="L113" i="45"/>
  <c r="L23" i="45"/>
  <c r="K52" i="28"/>
  <c r="L73" i="46"/>
  <c r="M37" i="46"/>
  <c r="O38" i="46"/>
  <c r="L42" i="47"/>
  <c r="N102" i="46"/>
  <c r="N102" i="45"/>
  <c r="N102" i="47"/>
  <c r="M101" i="28"/>
  <c r="N102" i="44"/>
  <c r="O106" i="28"/>
  <c r="P107" i="44"/>
  <c r="P110" i="28"/>
  <c r="Q111" i="44"/>
  <c r="P111" i="45"/>
  <c r="P111" i="47"/>
  <c r="P111" i="46"/>
  <c r="M104" i="45"/>
  <c r="M104" i="44"/>
  <c r="L103" i="28"/>
  <c r="M104" i="46"/>
  <c r="M104" i="47"/>
  <c r="N83" i="47"/>
  <c r="N83" i="46"/>
  <c r="M82" i="28"/>
  <c r="N83" i="45"/>
  <c r="N83" i="44"/>
  <c r="P105" i="44"/>
  <c r="O104" i="28"/>
  <c r="L96" i="47"/>
  <c r="L96" i="44"/>
  <c r="L96" i="46"/>
  <c r="K95" i="28"/>
  <c r="L96" i="45"/>
  <c r="M91" i="44"/>
  <c r="M91" i="47"/>
  <c r="L90" i="28"/>
  <c r="M91" i="46"/>
  <c r="M91" i="45"/>
  <c r="N113" i="47"/>
  <c r="N113" i="44"/>
  <c r="N113" i="45"/>
  <c r="N113" i="46"/>
  <c r="M112" i="28"/>
  <c r="N101" i="46"/>
  <c r="N101" i="45"/>
  <c r="N101" i="44"/>
  <c r="M100" i="28"/>
  <c r="N101" i="47"/>
  <c r="N35" i="44"/>
  <c r="L62" i="28"/>
  <c r="K34" i="28"/>
  <c r="L73" i="44"/>
  <c r="M37" i="47"/>
  <c r="BH63" i="19"/>
  <c r="O40" i="46"/>
  <c r="L42" i="44"/>
  <c r="AT39" i="19"/>
  <c r="AU39" i="19" s="1"/>
  <c r="L40" i="44" s="1"/>
  <c r="M75" i="28"/>
  <c r="AV39" i="19"/>
  <c r="M40" i="46" s="1"/>
  <c r="O102" i="47"/>
  <c r="BH101" i="19"/>
  <c r="BG101" i="19"/>
  <c r="BI101" i="19"/>
  <c r="R102" i="44" s="1"/>
  <c r="O102" i="44"/>
  <c r="N101" i="28"/>
  <c r="O102" i="45"/>
  <c r="O102" i="46"/>
  <c r="BJ101" i="19"/>
  <c r="P112" i="46"/>
  <c r="P112" i="47"/>
  <c r="P111" i="28"/>
  <c r="P112" i="45"/>
  <c r="Q112" i="44"/>
  <c r="P113" i="28"/>
  <c r="P114" i="45"/>
  <c r="Q114" i="44"/>
  <c r="P114" i="47"/>
  <c r="P114" i="46"/>
  <c r="P94" i="44"/>
  <c r="O93" i="28"/>
  <c r="P95" i="44"/>
  <c r="O94" i="28"/>
  <c r="P95" i="47"/>
  <c r="P95" i="45"/>
  <c r="P95" i="46"/>
  <c r="P94" i="28"/>
  <c r="Q95" i="44"/>
  <c r="BA77" i="19"/>
  <c r="BE77" i="19" s="1"/>
  <c r="F78" i="44"/>
  <c r="F78" i="46"/>
  <c r="F78" i="47"/>
  <c r="E77" i="28"/>
  <c r="F78" i="45"/>
  <c r="N104" i="47"/>
  <c r="M103" i="28"/>
  <c r="N104" i="46"/>
  <c r="N104" i="44"/>
  <c r="N104" i="45"/>
  <c r="O83" i="47"/>
  <c r="BH82" i="19"/>
  <c r="BJ82" i="19"/>
  <c r="O83" i="45"/>
  <c r="N82" i="28"/>
  <c r="BG82" i="19"/>
  <c r="BI82" i="19"/>
  <c r="R83" i="44" s="1"/>
  <c r="O83" i="44"/>
  <c r="O83" i="46"/>
  <c r="L98" i="45"/>
  <c r="L98" i="44"/>
  <c r="L98" i="47"/>
  <c r="K97" i="28"/>
  <c r="L98" i="46"/>
  <c r="O109" i="46"/>
  <c r="BI108" i="19"/>
  <c r="R109" i="44" s="1"/>
  <c r="BG108" i="19"/>
  <c r="BJ108" i="19"/>
  <c r="O109" i="47"/>
  <c r="N108" i="28"/>
  <c r="BH108" i="19"/>
  <c r="O109" i="45"/>
  <c r="O109" i="44"/>
  <c r="N96" i="47"/>
  <c r="M95" i="28"/>
  <c r="N96" i="46"/>
  <c r="N96" i="44"/>
  <c r="N96" i="45"/>
  <c r="M106" i="44"/>
  <c r="L105" i="28"/>
  <c r="M106" i="47"/>
  <c r="M106" i="46"/>
  <c r="M106" i="45"/>
  <c r="L99" i="44"/>
  <c r="L99" i="47"/>
  <c r="K98" i="28"/>
  <c r="L99" i="45"/>
  <c r="L99" i="46"/>
  <c r="O91" i="45"/>
  <c r="BH90" i="19"/>
  <c r="O91" i="46"/>
  <c r="BI90" i="19"/>
  <c r="R91" i="44" s="1"/>
  <c r="BG90" i="19"/>
  <c r="N90" i="28"/>
  <c r="O91" i="44"/>
  <c r="BJ90" i="19"/>
  <c r="O91" i="47"/>
  <c r="BG112" i="19"/>
  <c r="O113" i="47"/>
  <c r="BH112" i="19"/>
  <c r="N112" i="28"/>
  <c r="O113" i="44"/>
  <c r="O113" i="46"/>
  <c r="BI112" i="19"/>
  <c r="R113" i="44" s="1"/>
  <c r="BJ112" i="19"/>
  <c r="O113" i="45"/>
  <c r="O101" i="47"/>
  <c r="BI100" i="19"/>
  <c r="R101" i="44" s="1"/>
  <c r="O101" i="46"/>
  <c r="BH100" i="19"/>
  <c r="O101" i="45"/>
  <c r="N100" i="28"/>
  <c r="BJ100" i="19"/>
  <c r="O101" i="44"/>
  <c r="BG100" i="19"/>
  <c r="P108" i="47"/>
  <c r="Q108" i="44"/>
  <c r="P108" i="46"/>
  <c r="P108" i="45"/>
  <c r="P107" i="28"/>
  <c r="O104" i="46"/>
  <c r="BH103" i="19"/>
  <c r="O104" i="45"/>
  <c r="O104" i="44"/>
  <c r="BJ103" i="19"/>
  <c r="BI103" i="19"/>
  <c r="R104" i="44" s="1"/>
  <c r="N103" i="28"/>
  <c r="BG103" i="19"/>
  <c r="O104" i="47"/>
  <c r="L109" i="46"/>
  <c r="L109" i="44"/>
  <c r="K108" i="28"/>
  <c r="L109" i="45"/>
  <c r="L109" i="47"/>
  <c r="O99" i="46"/>
  <c r="BH98" i="19"/>
  <c r="BJ98" i="19"/>
  <c r="BG98" i="19"/>
  <c r="BI98" i="19"/>
  <c r="R99" i="44" s="1"/>
  <c r="N98" i="28"/>
  <c r="O99" i="45"/>
  <c r="O99" i="44"/>
  <c r="O99" i="47"/>
  <c r="O102" i="28"/>
  <c r="P103" i="44"/>
  <c r="L101" i="46"/>
  <c r="L101" i="44"/>
  <c r="K100" i="28"/>
  <c r="L101" i="45"/>
  <c r="L101" i="47"/>
  <c r="O107" i="28"/>
  <c r="P108" i="44"/>
  <c r="P93" i="44"/>
  <c r="O92" i="28"/>
  <c r="O99" i="28"/>
  <c r="P100" i="44"/>
  <c r="P90" i="44"/>
  <c r="O89" i="28"/>
  <c r="M34" i="28"/>
  <c r="N35" i="47"/>
  <c r="O63" i="46"/>
  <c r="L53" i="47"/>
  <c r="K72" i="28"/>
  <c r="L49" i="46"/>
  <c r="K41" i="28"/>
  <c r="M66" i="47"/>
  <c r="P107" i="47"/>
  <c r="P107" i="46"/>
  <c r="P107" i="45"/>
  <c r="P106" i="28"/>
  <c r="Q107" i="44"/>
  <c r="P114" i="44"/>
  <c r="O113" i="28"/>
  <c r="AR77" i="48"/>
  <c r="BA77" i="48"/>
  <c r="AQ77" i="48"/>
  <c r="AO77" i="48"/>
  <c r="AP77" i="48" s="1"/>
  <c r="O96" i="28"/>
  <c r="P97" i="44"/>
  <c r="BG97" i="19"/>
  <c r="BJ97" i="19"/>
  <c r="N97" i="28"/>
  <c r="O98" i="47"/>
  <c r="BI97" i="19"/>
  <c r="R98" i="44" s="1"/>
  <c r="O98" i="44"/>
  <c r="O98" i="46"/>
  <c r="O98" i="45"/>
  <c r="BH97" i="19"/>
  <c r="M108" i="28"/>
  <c r="N109" i="45"/>
  <c r="N109" i="46"/>
  <c r="N109" i="44"/>
  <c r="N109" i="47"/>
  <c r="N106" i="44"/>
  <c r="N106" i="45"/>
  <c r="N106" i="46"/>
  <c r="M105" i="28"/>
  <c r="N106" i="47"/>
  <c r="M99" i="44"/>
  <c r="M99" i="47"/>
  <c r="M99" i="46"/>
  <c r="L98" i="28"/>
  <c r="M99" i="45"/>
  <c r="L23" i="46"/>
  <c r="L79" i="44"/>
  <c r="L35" i="47"/>
  <c r="L53" i="44"/>
  <c r="L36" i="28"/>
  <c r="O64" i="46"/>
  <c r="O38" i="47"/>
  <c r="BH39" i="19"/>
  <c r="BI64" i="19"/>
  <c r="R65" i="44" s="1"/>
  <c r="O70" i="45"/>
  <c r="M53" i="46"/>
  <c r="K48" i="28"/>
  <c r="L49" i="47"/>
  <c r="AV37" i="19"/>
  <c r="M38" i="44" s="1"/>
  <c r="M24" i="28"/>
  <c r="K22" i="28"/>
  <c r="M63" i="44"/>
  <c r="N66" i="28"/>
  <c r="L71" i="44"/>
  <c r="BI63" i="19"/>
  <c r="R64" i="44" s="1"/>
  <c r="BH37" i="19"/>
  <c r="BI39" i="19"/>
  <c r="R40" i="44" s="1"/>
  <c r="O53" i="44"/>
  <c r="M35" i="45"/>
  <c r="N27" i="44"/>
  <c r="BH51" i="19"/>
  <c r="L65" i="28"/>
  <c r="AW50" i="19"/>
  <c r="O51" i="46" s="1"/>
  <c r="L102" i="44"/>
  <c r="L102" i="47"/>
  <c r="L102" i="46"/>
  <c r="L102" i="45"/>
  <c r="K101" i="28"/>
  <c r="O111" i="28"/>
  <c r="P112" i="44"/>
  <c r="P93" i="28"/>
  <c r="Q94" i="44"/>
  <c r="P94" i="47"/>
  <c r="P94" i="46"/>
  <c r="P94" i="45"/>
  <c r="P111" i="44"/>
  <c r="O110" i="28"/>
  <c r="L104" i="46"/>
  <c r="L104" i="45"/>
  <c r="L104" i="44"/>
  <c r="K103" i="28"/>
  <c r="L104" i="47"/>
  <c r="P97" i="45"/>
  <c r="P96" i="28"/>
  <c r="Q97" i="44"/>
  <c r="P97" i="47"/>
  <c r="P97" i="46"/>
  <c r="L83" i="47"/>
  <c r="L83" i="44"/>
  <c r="L83" i="46"/>
  <c r="L83" i="45"/>
  <c r="K82" i="28"/>
  <c r="N98" i="46"/>
  <c r="N98" i="47"/>
  <c r="N98" i="45"/>
  <c r="N98" i="44"/>
  <c r="M97" i="28"/>
  <c r="P105" i="45"/>
  <c r="P104" i="28"/>
  <c r="Q105" i="44"/>
  <c r="P105" i="47"/>
  <c r="P105" i="46"/>
  <c r="M109" i="44"/>
  <c r="M109" i="47"/>
  <c r="M109" i="46"/>
  <c r="L108" i="28"/>
  <c r="M109" i="45"/>
  <c r="M96" i="45"/>
  <c r="M96" i="44"/>
  <c r="L95" i="28"/>
  <c r="M96" i="47"/>
  <c r="M96" i="46"/>
  <c r="L106" i="46"/>
  <c r="L106" i="47"/>
  <c r="L106" i="45"/>
  <c r="L106" i="44"/>
  <c r="K105" i="28"/>
  <c r="N99" i="46"/>
  <c r="N99" i="45"/>
  <c r="N99" i="44"/>
  <c r="N99" i="47"/>
  <c r="M98" i="28"/>
  <c r="L91" i="46"/>
  <c r="L91" i="45"/>
  <c r="L91" i="47"/>
  <c r="K90" i="28"/>
  <c r="L91" i="44"/>
  <c r="P103" i="47"/>
  <c r="P103" i="46"/>
  <c r="P102" i="28"/>
  <c r="P103" i="45"/>
  <c r="Q103" i="44"/>
  <c r="M113" i="45"/>
  <c r="M113" i="46"/>
  <c r="L112" i="28"/>
  <c r="M113" i="47"/>
  <c r="M113" i="44"/>
  <c r="M101" i="45"/>
  <c r="M101" i="47"/>
  <c r="M101" i="46"/>
  <c r="M101" i="44"/>
  <c r="L100" i="28"/>
  <c r="P93" i="45"/>
  <c r="P92" i="28"/>
  <c r="Q93" i="44"/>
  <c r="P93" i="47"/>
  <c r="P93" i="46"/>
  <c r="P100" i="46"/>
  <c r="P100" i="45"/>
  <c r="P100" i="47"/>
  <c r="Q100" i="44"/>
  <c r="P99" i="28"/>
  <c r="P90" i="45"/>
  <c r="Q90" i="44"/>
  <c r="P89" i="28"/>
  <c r="P90" i="47"/>
  <c r="P90" i="46"/>
  <c r="AV31" i="19"/>
  <c r="AT31" i="19"/>
  <c r="AU31" i="19" s="1"/>
  <c r="N49" i="44"/>
  <c r="BI73" i="19"/>
  <c r="R74" i="44" s="1"/>
  <c r="M71" i="44"/>
  <c r="BI65" i="19"/>
  <c r="R66" i="44" s="1"/>
  <c r="N23" i="46"/>
  <c r="M36" i="46"/>
  <c r="L29" i="46"/>
  <c r="AT51" i="19"/>
  <c r="AU51" i="19" s="1"/>
  <c r="AV51" i="19"/>
  <c r="BF51" i="19"/>
  <c r="AT63" i="19"/>
  <c r="AU63" i="19" s="1"/>
  <c r="AV63" i="19"/>
  <c r="M71" i="45"/>
  <c r="O66" i="47"/>
  <c r="M22" i="28"/>
  <c r="N23" i="47"/>
  <c r="L35" i="28"/>
  <c r="M36" i="47"/>
  <c r="L29" i="47"/>
  <c r="K68" i="28"/>
  <c r="L54" i="28"/>
  <c r="AW31" i="19"/>
  <c r="BF67" i="19"/>
  <c r="AW67" i="19"/>
  <c r="M25" i="47"/>
  <c r="L29" i="44"/>
  <c r="L69" i="44"/>
  <c r="M55" i="45"/>
  <c r="BF31" i="19"/>
  <c r="AW58" i="19"/>
  <c r="O59" i="46" s="1"/>
  <c r="AV75" i="19"/>
  <c r="L75" i="28" s="1"/>
  <c r="N76" i="46"/>
  <c r="O57" i="28"/>
  <c r="N51" i="44"/>
  <c r="AT50" i="19"/>
  <c r="AU50" i="19" s="1"/>
  <c r="L51" i="46" s="1"/>
  <c r="N37" i="28"/>
  <c r="BJ37" i="19"/>
  <c r="O37" i="28" s="1"/>
  <c r="BG37" i="19"/>
  <c r="P38" i="47" s="1"/>
  <c r="O38" i="44"/>
  <c r="AT37" i="19"/>
  <c r="AU37" i="19" s="1"/>
  <c r="BF37" i="19"/>
  <c r="N38" i="46" s="1"/>
  <c r="O18" i="46"/>
  <c r="O9" i="44"/>
  <c r="N29" i="28"/>
  <c r="O18" i="47"/>
  <c r="O18" i="45"/>
  <c r="BJ29" i="19"/>
  <c r="P9" i="44" s="1"/>
  <c r="BI29" i="19"/>
  <c r="R9" i="44" s="1"/>
  <c r="BH29" i="19"/>
  <c r="AV29" i="19"/>
  <c r="L29" i="28" s="1"/>
  <c r="M116" i="45"/>
  <c r="M116" i="46"/>
  <c r="M59" i="44"/>
  <c r="M116" i="47"/>
  <c r="L27" i="28"/>
  <c r="O74" i="47"/>
  <c r="BG73" i="19"/>
  <c r="P73" i="28" s="1"/>
  <c r="L69" i="28"/>
  <c r="O67" i="47"/>
  <c r="BI66" i="19"/>
  <c r="R67" i="44" s="1"/>
  <c r="BG66" i="19"/>
  <c r="P66" i="28" s="1"/>
  <c r="BH66" i="19"/>
  <c r="BJ66" i="19"/>
  <c r="P67" i="44" s="1"/>
  <c r="BI61" i="19"/>
  <c r="R62" i="44" s="1"/>
  <c r="BJ61" i="19"/>
  <c r="P62" i="44" s="1"/>
  <c r="O62" i="47"/>
  <c r="M60" i="28"/>
  <c r="N61" i="46"/>
  <c r="AT60" i="19"/>
  <c r="AU60" i="19" s="1"/>
  <c r="L61" i="47" s="1"/>
  <c r="N61" i="45"/>
  <c r="O57" i="44"/>
  <c r="BJ56" i="19"/>
  <c r="O56" i="28" s="1"/>
  <c r="M50" i="28"/>
  <c r="N51" i="46"/>
  <c r="O47" i="28"/>
  <c r="N45" i="28"/>
  <c r="N27" i="45"/>
  <c r="M26" i="28"/>
  <c r="BG78" i="19"/>
  <c r="P79" i="46" s="1"/>
  <c r="N76" i="44"/>
  <c r="AT75" i="19"/>
  <c r="AU75" i="19" s="1"/>
  <c r="L76" i="47" s="1"/>
  <c r="N76" i="47"/>
  <c r="AW75" i="19"/>
  <c r="BH75" i="19" s="1"/>
  <c r="N61" i="28"/>
  <c r="BG61" i="19"/>
  <c r="P62" i="46" s="1"/>
  <c r="N61" i="47"/>
  <c r="M46" i="45"/>
  <c r="BF23" i="19"/>
  <c r="AT23" i="19"/>
  <c r="AU23" i="19" s="1"/>
  <c r="AW23" i="19" s="1"/>
  <c r="BI23" i="19" s="1"/>
  <c r="R5" i="44" s="1"/>
  <c r="BA2" i="19"/>
  <c r="F3" i="47"/>
  <c r="F3" i="46"/>
  <c r="F3" i="45"/>
  <c r="F3" i="44"/>
  <c r="E2" i="28"/>
  <c r="N78" i="28"/>
  <c r="BJ78" i="19"/>
  <c r="P79" i="44" s="1"/>
  <c r="O79" i="47"/>
  <c r="BJ73" i="19"/>
  <c r="P74" i="44" s="1"/>
  <c r="N73" i="28"/>
  <c r="O74" i="46"/>
  <c r="M70" i="47"/>
  <c r="M67" i="47"/>
  <c r="L66" i="28"/>
  <c r="O67" i="44"/>
  <c r="L67" i="47"/>
  <c r="O63" i="44"/>
  <c r="N59" i="28"/>
  <c r="M53" i="44"/>
  <c r="M53" i="45"/>
  <c r="L52" i="28"/>
  <c r="L50" i="28"/>
  <c r="M51" i="47"/>
  <c r="M42" i="47"/>
  <c r="O42" i="46"/>
  <c r="N41" i="28"/>
  <c r="BJ32" i="19"/>
  <c r="P33" i="44" s="1"/>
  <c r="L24" i="28"/>
  <c r="M79" i="45"/>
  <c r="O74" i="44"/>
  <c r="L68" i="28"/>
  <c r="L69" i="47"/>
  <c r="BG62" i="19"/>
  <c r="P63" i="47" s="1"/>
  <c r="BJ62" i="19"/>
  <c r="O62" i="28" s="1"/>
  <c r="BH62" i="19"/>
  <c r="N62" i="28"/>
  <c r="O63" i="45"/>
  <c r="L63" i="44"/>
  <c r="M63" i="47"/>
  <c r="L58" i="28"/>
  <c r="L56" i="28"/>
  <c r="L57" i="44"/>
  <c r="M57" i="47"/>
  <c r="BH41" i="19"/>
  <c r="BG41" i="19"/>
  <c r="Q42" i="44" s="1"/>
  <c r="BJ41" i="19"/>
  <c r="O41" i="28" s="1"/>
  <c r="M40" i="47"/>
  <c r="N40" i="46"/>
  <c r="N25" i="44"/>
  <c r="L78" i="28"/>
  <c r="L75" i="45"/>
  <c r="L75" i="47"/>
  <c r="K74" i="28"/>
  <c r="L75" i="44"/>
  <c r="L74" i="44"/>
  <c r="M74" i="46"/>
  <c r="L26" i="44"/>
  <c r="L59" i="28"/>
  <c r="L60" i="45"/>
  <c r="M60" i="45"/>
  <c r="M60" i="46"/>
  <c r="L60" i="46"/>
  <c r="K59" i="28"/>
  <c r="M60" i="47"/>
  <c r="L59" i="45"/>
  <c r="M51" i="44"/>
  <c r="M51" i="45"/>
  <c r="BI41" i="19"/>
  <c r="R42" i="44" s="1"/>
  <c r="L25" i="46"/>
  <c r="BI78" i="19"/>
  <c r="R79" i="44" s="1"/>
  <c r="N74" i="28"/>
  <c r="O75" i="45"/>
  <c r="L70" i="46"/>
  <c r="L70" i="45"/>
  <c r="O70" i="44"/>
  <c r="BI68" i="19"/>
  <c r="R69" i="44" s="1"/>
  <c r="O69" i="47"/>
  <c r="L69" i="45"/>
  <c r="K66" i="28"/>
  <c r="M63" i="45"/>
  <c r="M59" i="47"/>
  <c r="M57" i="44"/>
  <c r="M57" i="45"/>
  <c r="L57" i="45"/>
  <c r="L57" i="47"/>
  <c r="K56" i="28"/>
  <c r="M46" i="44"/>
  <c r="M43" i="28"/>
  <c r="N44" i="47"/>
  <c r="L41" i="28"/>
  <c r="M42" i="46"/>
  <c r="M42" i="44"/>
  <c r="M39" i="28"/>
  <c r="N40" i="47"/>
  <c r="N40" i="44"/>
  <c r="O33" i="47"/>
  <c r="BG32" i="19"/>
  <c r="P33" i="45" s="1"/>
  <c r="N32" i="28"/>
  <c r="BI32" i="19"/>
  <c r="R33" i="44" s="1"/>
  <c r="O59" i="44"/>
  <c r="O116" i="45"/>
  <c r="M25" i="44"/>
  <c r="M25" i="45"/>
  <c r="M44" i="45"/>
  <c r="M44" i="44"/>
  <c r="N44" i="46"/>
  <c r="M44" i="46"/>
  <c r="N44" i="44"/>
  <c r="L43" i="28"/>
  <c r="O75" i="44"/>
  <c r="O75" i="47"/>
  <c r="BI74" i="19"/>
  <c r="R75" i="44" s="1"/>
  <c r="BG74" i="19"/>
  <c r="P75" i="45" s="1"/>
  <c r="BJ74" i="19"/>
  <c r="O74" i="28" s="1"/>
  <c r="L73" i="28"/>
  <c r="M74" i="47"/>
  <c r="L74" i="45"/>
  <c r="M74" i="44"/>
  <c r="L74" i="46"/>
  <c r="K73" i="28"/>
  <c r="BH69" i="19"/>
  <c r="O70" i="46"/>
  <c r="K69" i="28"/>
  <c r="BI69" i="19"/>
  <c r="R70" i="44" s="1"/>
  <c r="O70" i="47"/>
  <c r="N69" i="28"/>
  <c r="BJ69" i="19"/>
  <c r="P70" i="44" s="1"/>
  <c r="N68" i="28"/>
  <c r="BJ68" i="19"/>
  <c r="P69" i="44" s="1"/>
  <c r="BG68" i="19"/>
  <c r="P69" i="45" s="1"/>
  <c r="O69" i="44"/>
  <c r="O69" i="45"/>
  <c r="BH68" i="19"/>
  <c r="L62" i="47"/>
  <c r="BJ59" i="19"/>
  <c r="O59" i="28" s="1"/>
  <c r="M61" i="44"/>
  <c r="P58" i="45"/>
  <c r="M59" i="45"/>
  <c r="P58" i="47"/>
  <c r="P58" i="46"/>
  <c r="P57" i="28"/>
  <c r="O46" i="44"/>
  <c r="BJ45" i="19"/>
  <c r="O45" i="28" s="1"/>
  <c r="N46" i="45"/>
  <c r="BG45" i="19"/>
  <c r="P46" i="46" s="1"/>
  <c r="L44" i="46"/>
  <c r="K43" i="28"/>
  <c r="L44" i="47"/>
  <c r="N38" i="44"/>
  <c r="M33" i="45"/>
  <c r="BH27" i="19"/>
  <c r="O116" i="46"/>
  <c r="BI27" i="19"/>
  <c r="R59" i="44" s="1"/>
  <c r="O116" i="47"/>
  <c r="N27" i="28"/>
  <c r="K24" i="28"/>
  <c r="L25" i="47"/>
  <c r="L25" i="44"/>
  <c r="O79" i="44"/>
  <c r="O79" i="45"/>
  <c r="BH78" i="19"/>
  <c r="M75" i="45"/>
  <c r="M69" i="45"/>
  <c r="M69" i="47"/>
  <c r="BI62" i="19"/>
  <c r="R63" i="44" s="1"/>
  <c r="L63" i="46"/>
  <c r="L63" i="47"/>
  <c r="K62" i="28"/>
  <c r="L61" i="28"/>
  <c r="M62" i="47"/>
  <c r="O62" i="44"/>
  <c r="O62" i="45"/>
  <c r="BH61" i="19"/>
  <c r="K61" i="28"/>
  <c r="L62" i="44"/>
  <c r="L62" i="45"/>
  <c r="L59" i="46"/>
  <c r="K58" i="28"/>
  <c r="L59" i="47"/>
  <c r="M46" i="46"/>
  <c r="M45" i="28"/>
  <c r="N46" i="47"/>
  <c r="N46" i="46"/>
  <c r="L45" i="28"/>
  <c r="O33" i="44"/>
  <c r="O33" i="45"/>
  <c r="BH32" i="19"/>
  <c r="M79" i="46"/>
  <c r="M55" i="44"/>
  <c r="M66" i="46"/>
  <c r="M69" i="44"/>
  <c r="O46" i="45"/>
  <c r="BH74" i="19"/>
  <c r="O26" i="44"/>
  <c r="O60" i="45"/>
  <c r="M75" i="46"/>
  <c r="L67" i="44"/>
  <c r="N49" i="45"/>
  <c r="O34" i="44"/>
  <c r="BH56" i="19"/>
  <c r="N49" i="46"/>
  <c r="M70" i="45"/>
  <c r="M67" i="45"/>
  <c r="O66" i="44"/>
  <c r="O66" i="45"/>
  <c r="L71" i="46"/>
  <c r="BH33" i="19"/>
  <c r="O34" i="46"/>
  <c r="BI52" i="19"/>
  <c r="R53" i="44" s="1"/>
  <c r="O53" i="47"/>
  <c r="O57" i="45"/>
  <c r="O57" i="47"/>
  <c r="L22" i="28"/>
  <c r="M23" i="47"/>
  <c r="M38" i="47"/>
  <c r="L34" i="28"/>
  <c r="M35" i="47"/>
  <c r="L32" i="28"/>
  <c r="M33" i="47"/>
  <c r="BH45" i="19"/>
  <c r="O46" i="46"/>
  <c r="BH59" i="19"/>
  <c r="O60" i="46"/>
  <c r="L74" i="28"/>
  <c r="M75" i="47"/>
  <c r="L67" i="45"/>
  <c r="M70" i="44"/>
  <c r="M67" i="44"/>
  <c r="N65" i="28"/>
  <c r="BJ65" i="19"/>
  <c r="P66" i="44" s="1"/>
  <c r="BG65" i="19"/>
  <c r="Q66" i="44" s="1"/>
  <c r="L71" i="45"/>
  <c r="O34" i="45"/>
  <c r="BH52" i="19"/>
  <c r="O53" i="46"/>
  <c r="O57" i="46"/>
  <c r="M23" i="46"/>
  <c r="M38" i="46"/>
  <c r="M35" i="46"/>
  <c r="M33" i="46"/>
  <c r="M48" i="28"/>
  <c r="BH65" i="19"/>
  <c r="K70" i="28"/>
  <c r="BI33" i="19"/>
  <c r="R34" i="44" s="1"/>
  <c r="N52" i="28"/>
  <c r="BJ52" i="19"/>
  <c r="P53" i="44" s="1"/>
  <c r="N56" i="28"/>
  <c r="BI56" i="19"/>
  <c r="R57" i="44" s="1"/>
  <c r="BI45" i="19"/>
  <c r="R46" i="44" s="1"/>
  <c r="BI59" i="19"/>
  <c r="R26" i="44" s="1"/>
  <c r="L45" i="45"/>
  <c r="L45" i="44"/>
  <c r="L45" i="47"/>
  <c r="K44" i="28"/>
  <c r="L45" i="46"/>
  <c r="L18" i="47"/>
  <c r="L18" i="46"/>
  <c r="L18" i="45"/>
  <c r="K29" i="28"/>
  <c r="L9" i="44"/>
  <c r="L84" i="47"/>
  <c r="K83" i="28"/>
  <c r="L84" i="46"/>
  <c r="L84" i="44"/>
  <c r="L84" i="45"/>
  <c r="N89" i="45"/>
  <c r="N89" i="44"/>
  <c r="N89" i="47"/>
  <c r="M88" i="28"/>
  <c r="N89" i="46"/>
  <c r="O56" i="46"/>
  <c r="BH55" i="19"/>
  <c r="O56" i="45"/>
  <c r="O56" i="44"/>
  <c r="BI55" i="19"/>
  <c r="R56" i="44" s="1"/>
  <c r="BG55" i="19"/>
  <c r="BJ55" i="19"/>
  <c r="N55" i="28"/>
  <c r="O56" i="47"/>
  <c r="O80" i="28"/>
  <c r="P81" i="44"/>
  <c r="BG38" i="19"/>
  <c r="BJ38" i="19"/>
  <c r="N38" i="28"/>
  <c r="O39" i="47"/>
  <c r="BI38" i="19"/>
  <c r="R39" i="44" s="1"/>
  <c r="O39" i="46"/>
  <c r="BH38" i="19"/>
  <c r="O39" i="44"/>
  <c r="O39" i="45"/>
  <c r="L31" i="44"/>
  <c r="L31" i="47"/>
  <c r="K30" i="28"/>
  <c r="L31" i="46"/>
  <c r="L31" i="45"/>
  <c r="P85" i="46"/>
  <c r="P85" i="45"/>
  <c r="P84" i="28"/>
  <c r="Q85" i="44"/>
  <c r="P85" i="47"/>
  <c r="O87" i="47"/>
  <c r="BI86" i="19"/>
  <c r="R87" i="44" s="1"/>
  <c r="BG86" i="19"/>
  <c r="O87" i="46"/>
  <c r="BH86" i="19"/>
  <c r="BJ86" i="19"/>
  <c r="O87" i="45"/>
  <c r="O87" i="44"/>
  <c r="N86" i="28"/>
  <c r="O26" i="46"/>
  <c r="BH25" i="19"/>
  <c r="O26" i="45"/>
  <c r="O30" i="44"/>
  <c r="BJ25" i="19"/>
  <c r="N25" i="28"/>
  <c r="O26" i="47"/>
  <c r="BI25" i="19"/>
  <c r="R30" i="44" s="1"/>
  <c r="N88" i="47"/>
  <c r="M87" i="28"/>
  <c r="N88" i="46"/>
  <c r="N88" i="45"/>
  <c r="N88" i="44"/>
  <c r="N41" i="46"/>
  <c r="N41" i="45"/>
  <c r="N41" i="44"/>
  <c r="N41" i="47"/>
  <c r="M40" i="28"/>
  <c r="N116" i="47"/>
  <c r="M27" i="28"/>
  <c r="N116" i="46"/>
  <c r="N116" i="45"/>
  <c r="N59" i="44"/>
  <c r="N18" i="47"/>
  <c r="N18" i="45"/>
  <c r="N18" i="46"/>
  <c r="M29" i="28"/>
  <c r="N9" i="44"/>
  <c r="O84" i="45"/>
  <c r="O84" i="44"/>
  <c r="BH83" i="19"/>
  <c r="BG83" i="19"/>
  <c r="BJ83" i="19"/>
  <c r="N83" i="28"/>
  <c r="O84" i="46"/>
  <c r="O84" i="47"/>
  <c r="BI83" i="19"/>
  <c r="R84" i="44" s="1"/>
  <c r="BJ88" i="19"/>
  <c r="O89" i="44"/>
  <c r="BG88" i="19"/>
  <c r="BI88" i="19"/>
  <c r="R89" i="44" s="1"/>
  <c r="N88" i="28"/>
  <c r="O89" i="47"/>
  <c r="O89" i="45"/>
  <c r="O89" i="46"/>
  <c r="BH88" i="19"/>
  <c r="O45" i="45"/>
  <c r="O45" i="44"/>
  <c r="BG44" i="19"/>
  <c r="N44" i="28"/>
  <c r="BJ44" i="19"/>
  <c r="O45" i="47"/>
  <c r="BI44" i="19"/>
  <c r="R45" i="44" s="1"/>
  <c r="O45" i="46"/>
  <c r="BH44" i="19"/>
  <c r="O81" i="28"/>
  <c r="P82" i="44"/>
  <c r="P82" i="46"/>
  <c r="P81" i="28"/>
  <c r="P82" i="45"/>
  <c r="P82" i="47"/>
  <c r="Q82" i="44"/>
  <c r="N56" i="45"/>
  <c r="N56" i="44"/>
  <c r="N56" i="47"/>
  <c r="M55" i="28"/>
  <c r="N56" i="46"/>
  <c r="M39" i="45"/>
  <c r="M39" i="44"/>
  <c r="M39" i="47"/>
  <c r="L38" i="28"/>
  <c r="M39" i="46"/>
  <c r="M31" i="47"/>
  <c r="L30" i="28"/>
  <c r="M31" i="45"/>
  <c r="M31" i="46"/>
  <c r="M31" i="44"/>
  <c r="M87" i="46"/>
  <c r="M87" i="47"/>
  <c r="M87" i="45"/>
  <c r="L86" i="28"/>
  <c r="M87" i="44"/>
  <c r="L26" i="47"/>
  <c r="K25" i="28"/>
  <c r="L26" i="46"/>
  <c r="L26" i="45"/>
  <c r="L30" i="44"/>
  <c r="L88" i="44"/>
  <c r="L88" i="45"/>
  <c r="L88" i="47"/>
  <c r="K87" i="28"/>
  <c r="L88" i="46"/>
  <c r="L41" i="46"/>
  <c r="K40" i="28"/>
  <c r="L41" i="47"/>
  <c r="L41" i="45"/>
  <c r="L41" i="44"/>
  <c r="N84" i="46"/>
  <c r="N84" i="45"/>
  <c r="N84" i="44"/>
  <c r="N84" i="47"/>
  <c r="M83" i="28"/>
  <c r="L89" i="47"/>
  <c r="L89" i="44"/>
  <c r="L89" i="46"/>
  <c r="K88" i="28"/>
  <c r="L89" i="45"/>
  <c r="M45" i="47"/>
  <c r="L44" i="28"/>
  <c r="M45" i="46"/>
  <c r="M45" i="45"/>
  <c r="M45" i="44"/>
  <c r="P86" i="44"/>
  <c r="O85" i="28"/>
  <c r="L56" i="44"/>
  <c r="L56" i="47"/>
  <c r="K55" i="28"/>
  <c r="L56" i="46"/>
  <c r="L56" i="45"/>
  <c r="N39" i="44"/>
  <c r="N39" i="47"/>
  <c r="M38" i="28"/>
  <c r="N39" i="45"/>
  <c r="N39" i="46"/>
  <c r="O31" i="47"/>
  <c r="O31" i="44"/>
  <c r="BG30" i="19"/>
  <c r="BJ30" i="19"/>
  <c r="N30" i="28"/>
  <c r="O31" i="46"/>
  <c r="BI30" i="19"/>
  <c r="R31" i="44" s="1"/>
  <c r="BH30" i="19"/>
  <c r="O31" i="45"/>
  <c r="N87" i="47"/>
  <c r="M86" i="28"/>
  <c r="N87" i="46"/>
  <c r="N87" i="44"/>
  <c r="N87" i="45"/>
  <c r="L25" i="28"/>
  <c r="M88" i="45"/>
  <c r="M88" i="46"/>
  <c r="M88" i="44"/>
  <c r="M88" i="47"/>
  <c r="L87" i="28"/>
  <c r="O41" i="46"/>
  <c r="BH40" i="19"/>
  <c r="O41" i="44"/>
  <c r="BJ40" i="19"/>
  <c r="BG40" i="19"/>
  <c r="BI40" i="19"/>
  <c r="R41" i="44" s="1"/>
  <c r="N40" i="28"/>
  <c r="O41" i="45"/>
  <c r="O41" i="47"/>
  <c r="M84" i="45"/>
  <c r="M84" i="44"/>
  <c r="M84" i="46"/>
  <c r="M84" i="47"/>
  <c r="L83" i="28"/>
  <c r="M89" i="46"/>
  <c r="M89" i="45"/>
  <c r="M89" i="44"/>
  <c r="M89" i="47"/>
  <c r="L88" i="28"/>
  <c r="N45" i="47"/>
  <c r="M44" i="28"/>
  <c r="N45" i="46"/>
  <c r="N45" i="45"/>
  <c r="N45" i="44"/>
  <c r="P86" i="45"/>
  <c r="P85" i="28"/>
  <c r="Q86" i="44"/>
  <c r="P86" i="47"/>
  <c r="P86" i="46"/>
  <c r="M56" i="44"/>
  <c r="M56" i="47"/>
  <c r="L55" i="28"/>
  <c r="M56" i="46"/>
  <c r="M56" i="45"/>
  <c r="P81" i="45"/>
  <c r="P80" i="28"/>
  <c r="Q81" i="44"/>
  <c r="P81" i="47"/>
  <c r="P81" i="46"/>
  <c r="L39" i="46"/>
  <c r="L39" i="45"/>
  <c r="L39" i="44"/>
  <c r="K38" i="28"/>
  <c r="L39" i="47"/>
  <c r="N31" i="46"/>
  <c r="N31" i="45"/>
  <c r="N31" i="44"/>
  <c r="M30" i="28"/>
  <c r="N31" i="47"/>
  <c r="O84" i="28"/>
  <c r="P85" i="44"/>
  <c r="L87" i="45"/>
  <c r="L87" i="44"/>
  <c r="L87" i="46"/>
  <c r="L87" i="47"/>
  <c r="K86" i="28"/>
  <c r="N26" i="45"/>
  <c r="N30" i="44"/>
  <c r="N26" i="46"/>
  <c r="M25" i="28"/>
  <c r="N26" i="47"/>
  <c r="O88" i="47"/>
  <c r="BI87" i="19"/>
  <c r="R88" i="44" s="1"/>
  <c r="BG87" i="19"/>
  <c r="O88" i="46"/>
  <c r="BH87" i="19"/>
  <c r="N87" i="28"/>
  <c r="O88" i="45"/>
  <c r="O88" i="44"/>
  <c r="BJ87" i="19"/>
  <c r="M41" i="47"/>
  <c r="L40" i="28"/>
  <c r="M41" i="46"/>
  <c r="M41" i="45"/>
  <c r="M41" i="44"/>
  <c r="L116" i="46"/>
  <c r="L116" i="45"/>
  <c r="L59" i="44"/>
  <c r="L116" i="47"/>
  <c r="K27" i="28"/>
  <c r="P39" i="28"/>
  <c r="P40" i="47"/>
  <c r="P40" i="46"/>
  <c r="P40" i="45"/>
  <c r="Q40" i="44"/>
  <c r="P69" i="28"/>
  <c r="P70" i="47"/>
  <c r="P70" i="46"/>
  <c r="P70" i="45"/>
  <c r="Q70" i="44"/>
  <c r="O24" i="28"/>
  <c r="P25" i="44"/>
  <c r="AK19" i="19"/>
  <c r="AF19" i="48"/>
  <c r="AT19" i="48" s="1"/>
  <c r="AZ19" i="48" s="1"/>
  <c r="P34" i="44"/>
  <c r="O33" i="28"/>
  <c r="L68" i="47"/>
  <c r="L68" i="46"/>
  <c r="L68" i="45"/>
  <c r="L68" i="44"/>
  <c r="K67" i="28"/>
  <c r="O70" i="28"/>
  <c r="P71" i="44"/>
  <c r="P70" i="28"/>
  <c r="P71" i="47"/>
  <c r="P71" i="46"/>
  <c r="P71" i="45"/>
  <c r="Q71" i="44"/>
  <c r="P38" i="44"/>
  <c r="P52" i="28"/>
  <c r="P53" i="47"/>
  <c r="P53" i="46"/>
  <c r="P53" i="45"/>
  <c r="Q53" i="44"/>
  <c r="P56" i="28"/>
  <c r="P57" i="47"/>
  <c r="P57" i="46"/>
  <c r="P57" i="45"/>
  <c r="Q57" i="44"/>
  <c r="P73" i="44"/>
  <c r="P52" i="44"/>
  <c r="P52" i="45"/>
  <c r="AK12" i="19"/>
  <c r="AF12" i="48"/>
  <c r="AT12" i="48" s="1"/>
  <c r="AZ12" i="48" s="1"/>
  <c r="P33" i="28"/>
  <c r="P34" i="47"/>
  <c r="Q34" i="44"/>
  <c r="P34" i="45"/>
  <c r="P34" i="46"/>
  <c r="P37" i="44"/>
  <c r="O36" i="28"/>
  <c r="P36" i="28"/>
  <c r="P37" i="47"/>
  <c r="P37" i="46"/>
  <c r="P37" i="45"/>
  <c r="Q37" i="44"/>
  <c r="AK21" i="19"/>
  <c r="AF21" i="48"/>
  <c r="AT21" i="48" s="1"/>
  <c r="AZ21" i="48" s="1"/>
  <c r="G10" i="4"/>
  <c r="Y10" i="48"/>
  <c r="M68" i="47"/>
  <c r="M68" i="46"/>
  <c r="M68" i="45"/>
  <c r="M68" i="44"/>
  <c r="L67" i="28"/>
  <c r="P23" i="44"/>
  <c r="O22" i="28"/>
  <c r="P22" i="28"/>
  <c r="P23" i="47"/>
  <c r="P23" i="46"/>
  <c r="P23" i="45"/>
  <c r="Q23" i="44"/>
  <c r="BJ23" i="19"/>
  <c r="O63" i="28"/>
  <c r="P64" i="44"/>
  <c r="P63" i="28"/>
  <c r="P64" i="47"/>
  <c r="P64" i="46"/>
  <c r="P64" i="45"/>
  <c r="Q64" i="44"/>
  <c r="P27" i="44"/>
  <c r="O26" i="28"/>
  <c r="P26" i="28"/>
  <c r="P27" i="47"/>
  <c r="P27" i="46"/>
  <c r="P27" i="45"/>
  <c r="Q27" i="44"/>
  <c r="P72" i="47"/>
  <c r="P24" i="28"/>
  <c r="P25" i="47"/>
  <c r="P25" i="46"/>
  <c r="P25" i="45"/>
  <c r="Q25" i="44"/>
  <c r="O54" i="28"/>
  <c r="P55" i="44"/>
  <c r="P54" i="28"/>
  <c r="P55" i="47"/>
  <c r="P55" i="46"/>
  <c r="P55" i="45"/>
  <c r="Q55" i="44"/>
  <c r="P35" i="44"/>
  <c r="O34" i="28"/>
  <c r="P34" i="28"/>
  <c r="P35" i="47"/>
  <c r="P35" i="46"/>
  <c r="P35" i="45"/>
  <c r="Q35" i="44"/>
  <c r="P44" i="44"/>
  <c r="O43" i="28"/>
  <c r="P43" i="28"/>
  <c r="P44" i="47"/>
  <c r="P44" i="46"/>
  <c r="P44" i="45"/>
  <c r="Q44" i="44"/>
  <c r="P36" i="44"/>
  <c r="O35" i="28"/>
  <c r="P35" i="28"/>
  <c r="P36" i="47"/>
  <c r="P36" i="46"/>
  <c r="P36" i="45"/>
  <c r="Q36" i="44"/>
  <c r="P48" i="28"/>
  <c r="P49" i="47"/>
  <c r="P49" i="46"/>
  <c r="P49" i="45"/>
  <c r="Q49" i="44"/>
  <c r="P72" i="28"/>
  <c r="P73" i="47"/>
  <c r="P73" i="46"/>
  <c r="P73" i="45"/>
  <c r="Q73" i="44"/>
  <c r="P49" i="44"/>
  <c r="O48" i="28"/>
  <c r="P59" i="44"/>
  <c r="O27" i="28"/>
  <c r="G8" i="4"/>
  <c r="AD8" i="19"/>
  <c r="G6" i="4"/>
  <c r="AD6" i="19"/>
  <c r="AD10" i="19"/>
  <c r="G15" i="4"/>
  <c r="AF15" i="48" s="1"/>
  <c r="AT15" i="48" s="1"/>
  <c r="AZ15" i="48" s="1"/>
  <c r="AD15" i="19"/>
  <c r="G18" i="4"/>
  <c r="AF18" i="48" s="1"/>
  <c r="AT18" i="48" s="1"/>
  <c r="AZ18" i="48" s="1"/>
  <c r="AD18" i="19"/>
  <c r="G16" i="4"/>
  <c r="AF16" i="48" s="1"/>
  <c r="AT16" i="48" s="1"/>
  <c r="AZ16" i="48" s="1"/>
  <c r="AD16" i="19"/>
  <c r="G9" i="4"/>
  <c r="AF9" i="48" s="1"/>
  <c r="AT9" i="48" s="1"/>
  <c r="AZ9" i="48" s="1"/>
  <c r="AD9" i="19"/>
  <c r="G11" i="4"/>
  <c r="AF11" i="48" s="1"/>
  <c r="AT11" i="48" s="1"/>
  <c r="AZ11" i="48" s="1"/>
  <c r="AD11" i="19"/>
  <c r="G14" i="4"/>
  <c r="AF14" i="48" s="1"/>
  <c r="AT14" i="48" s="1"/>
  <c r="AZ14" i="48" s="1"/>
  <c r="AD14" i="19"/>
  <c r="G20" i="4"/>
  <c r="AF20" i="48" s="1"/>
  <c r="AT20" i="48" s="1"/>
  <c r="AZ20" i="48" s="1"/>
  <c r="AD20" i="19"/>
  <c r="G13" i="4"/>
  <c r="AF13" i="48" s="1"/>
  <c r="AT13" i="48" s="1"/>
  <c r="AZ13" i="48" s="1"/>
  <c r="AD13" i="19"/>
  <c r="G7" i="4"/>
  <c r="AF7" i="48" s="1"/>
  <c r="AT7" i="48" s="1"/>
  <c r="AZ7" i="48" s="1"/>
  <c r="AD7" i="19"/>
  <c r="G17" i="4"/>
  <c r="AF17" i="48" s="1"/>
  <c r="AT17" i="48" s="1"/>
  <c r="AZ17" i="48" s="1"/>
  <c r="AD17" i="19"/>
  <c r="G5" i="4"/>
  <c r="AF5" i="48" s="1"/>
  <c r="AT5" i="48" s="1"/>
  <c r="AZ5" i="48" s="1"/>
  <c r="AD5" i="19"/>
  <c r="G3" i="4"/>
  <c r="AF3" i="48" s="1"/>
  <c r="AT3" i="48" s="1"/>
  <c r="AZ3" i="48" s="1"/>
  <c r="AD3" i="19"/>
  <c r="AD4" i="19"/>
  <c r="G4" i="4"/>
  <c r="AF4" i="48" s="1"/>
  <c r="AT4" i="48" s="1"/>
  <c r="AZ4" i="48" s="1"/>
  <c r="G2" i="4"/>
  <c r="AF2" i="48" s="1"/>
  <c r="AT2" i="48" s="1"/>
  <c r="AZ2" i="48" s="1"/>
  <c r="AD2" i="19"/>
  <c r="P65" i="47" l="1"/>
  <c r="Q65" i="44"/>
  <c r="Q72" i="44"/>
  <c r="P71" i="28"/>
  <c r="O39" i="28"/>
  <c r="O65" i="44"/>
  <c r="N64" i="28"/>
  <c r="O65" i="46"/>
  <c r="BH64" i="19"/>
  <c r="M76" i="46"/>
  <c r="P72" i="45"/>
  <c r="P72" i="44"/>
  <c r="O66" i="28"/>
  <c r="P64" i="28"/>
  <c r="P42" i="44"/>
  <c r="O52" i="28"/>
  <c r="BJ50" i="19"/>
  <c r="P51" i="44" s="1"/>
  <c r="P52" i="47"/>
  <c r="O51" i="45"/>
  <c r="BI50" i="19"/>
  <c r="R51" i="44" s="1"/>
  <c r="M18" i="46"/>
  <c r="L39" i="28"/>
  <c r="P65" i="45"/>
  <c r="Q52" i="44"/>
  <c r="P51" i="28"/>
  <c r="O51" i="44"/>
  <c r="N50" i="28"/>
  <c r="N38" i="45"/>
  <c r="BJ64" i="19"/>
  <c r="O65" i="47"/>
  <c r="L40" i="47"/>
  <c r="L47" i="47"/>
  <c r="K46" i="28"/>
  <c r="L47" i="44"/>
  <c r="L47" i="46"/>
  <c r="L47" i="45"/>
  <c r="P65" i="46"/>
  <c r="BH50" i="19"/>
  <c r="BG50" i="19"/>
  <c r="P51" i="47" s="1"/>
  <c r="O51" i="47"/>
  <c r="K39" i="28"/>
  <c r="O47" i="47"/>
  <c r="BI46" i="19"/>
  <c r="R47" i="44" s="1"/>
  <c r="BJ46" i="19"/>
  <c r="O47" i="46"/>
  <c r="BH46" i="19"/>
  <c r="O47" i="45"/>
  <c r="O47" i="44"/>
  <c r="BG46" i="19"/>
  <c r="N46" i="28"/>
  <c r="P77" i="47"/>
  <c r="P77" i="45"/>
  <c r="Q77" i="44"/>
  <c r="P77" i="46"/>
  <c r="P76" i="28"/>
  <c r="O73" i="28"/>
  <c r="M26" i="47"/>
  <c r="M30" i="44"/>
  <c r="K50" i="28"/>
  <c r="O61" i="44"/>
  <c r="M40" i="44"/>
  <c r="O76" i="28"/>
  <c r="P77" i="44"/>
  <c r="P26" i="44"/>
  <c r="O32" i="28"/>
  <c r="M26" i="46"/>
  <c r="L51" i="45"/>
  <c r="BJ58" i="19"/>
  <c r="BI58" i="19"/>
  <c r="R61" i="44" s="1"/>
  <c r="M40" i="45"/>
  <c r="P133" i="44"/>
  <c r="O132" i="28"/>
  <c r="P118" i="28"/>
  <c r="P119" i="46"/>
  <c r="Q119" i="44"/>
  <c r="P119" i="45"/>
  <c r="P119" i="47"/>
  <c r="P124" i="47"/>
  <c r="P124" i="45"/>
  <c r="P123" i="28"/>
  <c r="Q124" i="44"/>
  <c r="P124" i="46"/>
  <c r="P139" i="46"/>
  <c r="Q139" i="44"/>
  <c r="P139" i="47"/>
  <c r="P139" i="45"/>
  <c r="P138" i="28"/>
  <c r="P132" i="44"/>
  <c r="O131" i="28"/>
  <c r="O139" i="28"/>
  <c r="P140" i="44"/>
  <c r="P135" i="47"/>
  <c r="P134" i="28"/>
  <c r="Q135" i="44"/>
  <c r="P135" i="46"/>
  <c r="P135" i="45"/>
  <c r="P134" i="46"/>
  <c r="P134" i="47"/>
  <c r="P133" i="28"/>
  <c r="P134" i="45"/>
  <c r="Q134" i="44"/>
  <c r="O123" i="28"/>
  <c r="P124" i="44"/>
  <c r="P139" i="44"/>
  <c r="O138" i="28"/>
  <c r="P140" i="47"/>
  <c r="Q140" i="44"/>
  <c r="P140" i="45"/>
  <c r="P139" i="28"/>
  <c r="P140" i="46"/>
  <c r="P137" i="44"/>
  <c r="O136" i="28"/>
  <c r="P137" i="45"/>
  <c r="P137" i="46"/>
  <c r="Q137" i="44"/>
  <c r="P137" i="47"/>
  <c r="P136" i="28"/>
  <c r="P119" i="44"/>
  <c r="O118" i="28"/>
  <c r="O133" i="28"/>
  <c r="P134" i="44"/>
  <c r="P132" i="47"/>
  <c r="P132" i="45"/>
  <c r="P132" i="46"/>
  <c r="P131" i="28"/>
  <c r="Q132" i="44"/>
  <c r="P132" i="28"/>
  <c r="P133" i="45"/>
  <c r="Q133" i="44"/>
  <c r="P133" i="46"/>
  <c r="P133" i="47"/>
  <c r="O134" i="28"/>
  <c r="P135" i="44"/>
  <c r="O127" i="28"/>
  <c r="P128" i="44"/>
  <c r="P128" i="47"/>
  <c r="P127" i="28"/>
  <c r="Q128" i="44"/>
  <c r="P128" i="46"/>
  <c r="P128" i="45"/>
  <c r="P80" i="46"/>
  <c r="P79" i="28"/>
  <c r="P80" i="45"/>
  <c r="Q80" i="44"/>
  <c r="P80" i="47"/>
  <c r="BC91" i="48"/>
  <c r="BB91" i="48"/>
  <c r="BF91" i="19"/>
  <c r="AT91" i="19"/>
  <c r="AU91" i="19" s="1"/>
  <c r="AV91" i="19"/>
  <c r="AW91" i="19"/>
  <c r="M65" i="47"/>
  <c r="L64" i="28"/>
  <c r="M65" i="46"/>
  <c r="M65" i="45"/>
  <c r="M65" i="44"/>
  <c r="P122" i="44"/>
  <c r="O121" i="28"/>
  <c r="N65" i="47"/>
  <c r="N65" i="46"/>
  <c r="N65" i="44"/>
  <c r="N65" i="45"/>
  <c r="M64" i="28"/>
  <c r="O79" i="28"/>
  <c r="P80" i="44"/>
  <c r="O30" i="45"/>
  <c r="BH115" i="19"/>
  <c r="BJ115" i="19"/>
  <c r="O24" i="44"/>
  <c r="O30" i="47"/>
  <c r="N115" i="28"/>
  <c r="O30" i="46"/>
  <c r="BI115" i="19"/>
  <c r="R24" i="44" s="1"/>
  <c r="P122" i="47"/>
  <c r="P122" i="45"/>
  <c r="P122" i="46"/>
  <c r="P121" i="28"/>
  <c r="Q122" i="44"/>
  <c r="P103" i="28"/>
  <c r="Q104" i="44"/>
  <c r="P104" i="47"/>
  <c r="P104" i="46"/>
  <c r="P104" i="45"/>
  <c r="O108" i="28"/>
  <c r="P109" i="44"/>
  <c r="P83" i="45"/>
  <c r="P83" i="46"/>
  <c r="P82" i="28"/>
  <c r="Q83" i="44"/>
  <c r="P83" i="47"/>
  <c r="O65" i="28"/>
  <c r="K75" i="28"/>
  <c r="N38" i="47"/>
  <c r="L61" i="46"/>
  <c r="P101" i="47"/>
  <c r="P101" i="46"/>
  <c r="P100" i="28"/>
  <c r="P101" i="45"/>
  <c r="Q101" i="44"/>
  <c r="O61" i="28"/>
  <c r="P57" i="44"/>
  <c r="L37" i="28"/>
  <c r="M38" i="45"/>
  <c r="M37" i="28"/>
  <c r="P98" i="44"/>
  <c r="O97" i="28"/>
  <c r="BB77" i="48"/>
  <c r="BC77" i="48"/>
  <c r="P99" i="45"/>
  <c r="P98" i="28"/>
  <c r="Q99" i="44"/>
  <c r="P99" i="46"/>
  <c r="P99" i="47"/>
  <c r="P113" i="47"/>
  <c r="P113" i="45"/>
  <c r="P112" i="28"/>
  <c r="P113" i="46"/>
  <c r="Q113" i="44"/>
  <c r="P106" i="44"/>
  <c r="O105" i="28"/>
  <c r="P96" i="45"/>
  <c r="P95" i="28"/>
  <c r="Q96" i="44"/>
  <c r="P96" i="47"/>
  <c r="P96" i="46"/>
  <c r="P91" i="44"/>
  <c r="O90" i="28"/>
  <c r="P108" i="28"/>
  <c r="P109" i="45"/>
  <c r="P109" i="47"/>
  <c r="Q109" i="44"/>
  <c r="P109" i="46"/>
  <c r="BF77" i="19"/>
  <c r="AV77" i="19"/>
  <c r="AT77" i="19"/>
  <c r="AU77" i="19" s="1"/>
  <c r="AW77" i="19"/>
  <c r="P102" i="44"/>
  <c r="O101" i="28"/>
  <c r="P105" i="28"/>
  <c r="P106" i="45"/>
  <c r="P106" i="47"/>
  <c r="P106" i="46"/>
  <c r="Q106" i="44"/>
  <c r="BH23" i="19"/>
  <c r="L40" i="46"/>
  <c r="L40" i="45"/>
  <c r="P98" i="47"/>
  <c r="Q98" i="44"/>
  <c r="P97" i="28"/>
  <c r="P98" i="46"/>
  <c r="P98" i="45"/>
  <c r="O98" i="28"/>
  <c r="P99" i="44"/>
  <c r="O103" i="28"/>
  <c r="P104" i="44"/>
  <c r="P101" i="44"/>
  <c r="O100" i="28"/>
  <c r="O112" i="28"/>
  <c r="P113" i="44"/>
  <c r="P91" i="47"/>
  <c r="P91" i="45"/>
  <c r="P90" i="28"/>
  <c r="Q91" i="44"/>
  <c r="P91" i="46"/>
  <c r="P83" i="44"/>
  <c r="O82" i="28"/>
  <c r="P101" i="28"/>
  <c r="Q102" i="44"/>
  <c r="P102" i="47"/>
  <c r="P102" i="45"/>
  <c r="P102" i="46"/>
  <c r="P96" i="44"/>
  <c r="O95" i="28"/>
  <c r="O32" i="46"/>
  <c r="BH31" i="19"/>
  <c r="O32" i="47"/>
  <c r="O32" i="45"/>
  <c r="O32" i="44"/>
  <c r="BI31" i="19"/>
  <c r="R32" i="44" s="1"/>
  <c r="BG31" i="19"/>
  <c r="BJ31" i="19"/>
  <c r="N31" i="28"/>
  <c r="O9" i="46"/>
  <c r="O9" i="47"/>
  <c r="M9" i="44"/>
  <c r="O59" i="47"/>
  <c r="L76" i="44"/>
  <c r="M18" i="45"/>
  <c r="N32" i="46"/>
  <c r="N32" i="45"/>
  <c r="M31" i="28"/>
  <c r="N32" i="44"/>
  <c r="N32" i="47"/>
  <c r="M52" i="46"/>
  <c r="M52" i="47"/>
  <c r="M52" i="45"/>
  <c r="M52" i="44"/>
  <c r="L51" i="28"/>
  <c r="N23" i="28"/>
  <c r="O9" i="45"/>
  <c r="N58" i="28"/>
  <c r="M18" i="47"/>
  <c r="O68" i="45"/>
  <c r="O68" i="44"/>
  <c r="BH67" i="19"/>
  <c r="BG67" i="19"/>
  <c r="BJ67" i="19"/>
  <c r="N67" i="28"/>
  <c r="O68" i="47"/>
  <c r="BI67" i="19"/>
  <c r="R68" i="44" s="1"/>
  <c r="O68" i="46"/>
  <c r="M64" i="44"/>
  <c r="M64" i="45"/>
  <c r="M64" i="47"/>
  <c r="L63" i="28"/>
  <c r="M64" i="46"/>
  <c r="L52" i="45"/>
  <c r="L52" i="44"/>
  <c r="L52" i="47"/>
  <c r="K51" i="28"/>
  <c r="L52" i="46"/>
  <c r="L32" i="47"/>
  <c r="K31" i="28"/>
  <c r="L32" i="44"/>
  <c r="L32" i="46"/>
  <c r="L32" i="45"/>
  <c r="N52" i="46"/>
  <c r="M51" i="28"/>
  <c r="N52" i="45"/>
  <c r="N52" i="44"/>
  <c r="N52" i="47"/>
  <c r="O5" i="44"/>
  <c r="L76" i="46"/>
  <c r="BH58" i="19"/>
  <c r="O59" i="45"/>
  <c r="AV60" i="19"/>
  <c r="M61" i="47" s="1"/>
  <c r="N68" i="44"/>
  <c r="N68" i="45"/>
  <c r="M67" i="28"/>
  <c r="N68" i="46"/>
  <c r="N68" i="47"/>
  <c r="L64" i="45"/>
  <c r="L64" i="46"/>
  <c r="L64" i="44"/>
  <c r="L64" i="47"/>
  <c r="K63" i="28"/>
  <c r="M32" i="47"/>
  <c r="L31" i="28"/>
  <c r="M32" i="44"/>
  <c r="M32" i="46"/>
  <c r="M32" i="45"/>
  <c r="M76" i="47"/>
  <c r="M76" i="45"/>
  <c r="M76" i="44"/>
  <c r="Q38" i="44"/>
  <c r="P38" i="45"/>
  <c r="P37" i="28"/>
  <c r="P38" i="46"/>
  <c r="L61" i="45"/>
  <c r="AW60" i="19"/>
  <c r="O61" i="47" s="1"/>
  <c r="L51" i="47"/>
  <c r="L51" i="44"/>
  <c r="L38" i="46"/>
  <c r="L38" i="45"/>
  <c r="L38" i="44"/>
  <c r="L38" i="47"/>
  <c r="K37" i="28"/>
  <c r="O29" i="28"/>
  <c r="AV23" i="19"/>
  <c r="Q74" i="44"/>
  <c r="P74" i="45"/>
  <c r="P67" i="46"/>
  <c r="P74" i="47"/>
  <c r="P74" i="46"/>
  <c r="L76" i="45"/>
  <c r="P67" i="47"/>
  <c r="P67" i="45"/>
  <c r="Q67" i="44"/>
  <c r="P63" i="44"/>
  <c r="BJ60" i="19"/>
  <c r="O60" i="28" s="1"/>
  <c r="L60" i="44"/>
  <c r="K60" i="28"/>
  <c r="P78" i="28"/>
  <c r="Q62" i="44"/>
  <c r="P79" i="47"/>
  <c r="P62" i="45"/>
  <c r="Q79" i="44"/>
  <c r="P79" i="45"/>
  <c r="O78" i="28"/>
  <c r="BG75" i="19"/>
  <c r="O76" i="44"/>
  <c r="BJ75" i="19"/>
  <c r="BI75" i="19"/>
  <c r="R76" i="44" s="1"/>
  <c r="N75" i="28"/>
  <c r="O76" i="47"/>
  <c r="O76" i="46"/>
  <c r="O76" i="45"/>
  <c r="P75" i="44"/>
  <c r="P61" i="28"/>
  <c r="P62" i="47"/>
  <c r="P46" i="44"/>
  <c r="L9" i="45"/>
  <c r="K23" i="28"/>
  <c r="L5" i="44"/>
  <c r="L9" i="47"/>
  <c r="L9" i="46"/>
  <c r="N9" i="47"/>
  <c r="N9" i="46"/>
  <c r="M23" i="28"/>
  <c r="N5" i="44"/>
  <c r="N9" i="45"/>
  <c r="O69" i="28"/>
  <c r="Q63" i="44"/>
  <c r="P63" i="45"/>
  <c r="P62" i="28"/>
  <c r="P42" i="47"/>
  <c r="P63" i="46"/>
  <c r="P41" i="28"/>
  <c r="P42" i="45"/>
  <c r="P42" i="46"/>
  <c r="P32" i="28"/>
  <c r="O68" i="28"/>
  <c r="Q33" i="44"/>
  <c r="P33" i="46"/>
  <c r="P33" i="47"/>
  <c r="P69" i="46"/>
  <c r="P75" i="46"/>
  <c r="P75" i="47"/>
  <c r="P74" i="28"/>
  <c r="Q75" i="44"/>
  <c r="P69" i="47"/>
  <c r="Q69" i="44"/>
  <c r="P68" i="28"/>
  <c r="P46" i="47"/>
  <c r="Q46" i="44"/>
  <c r="P45" i="28"/>
  <c r="P46" i="45"/>
  <c r="P66" i="47"/>
  <c r="P65" i="28"/>
  <c r="P66" i="45"/>
  <c r="P66" i="46"/>
  <c r="Q51" i="44"/>
  <c r="P50" i="28"/>
  <c r="BA2" i="48"/>
  <c r="AO2" i="48"/>
  <c r="AR2" i="48"/>
  <c r="AQ2" i="48"/>
  <c r="P51" i="45"/>
  <c r="P51" i="46"/>
  <c r="P45" i="44"/>
  <c r="O44" i="28"/>
  <c r="O86" i="28"/>
  <c r="P87" i="44"/>
  <c r="P39" i="46"/>
  <c r="P39" i="45"/>
  <c r="P38" i="28"/>
  <c r="Q39" i="44"/>
  <c r="P39" i="47"/>
  <c r="P88" i="46"/>
  <c r="P88" i="45"/>
  <c r="P87" i="28"/>
  <c r="Q88" i="44"/>
  <c r="P88" i="47"/>
  <c r="P41" i="46"/>
  <c r="P41" i="45"/>
  <c r="P40" i="28"/>
  <c r="Q41" i="44"/>
  <c r="P41" i="47"/>
  <c r="P89" i="44"/>
  <c r="O88" i="28"/>
  <c r="O55" i="28"/>
  <c r="P56" i="44"/>
  <c r="O40" i="28"/>
  <c r="P41" i="44"/>
  <c r="P31" i="44"/>
  <c r="O30" i="28"/>
  <c r="P44" i="28"/>
  <c r="Q45" i="44"/>
  <c r="P45" i="47"/>
  <c r="P45" i="46"/>
  <c r="P45" i="45"/>
  <c r="P84" i="44"/>
  <c r="O83" i="28"/>
  <c r="P56" i="46"/>
  <c r="P56" i="45"/>
  <c r="P55" i="28"/>
  <c r="Q56" i="44"/>
  <c r="P56" i="47"/>
  <c r="O87" i="28"/>
  <c r="P88" i="44"/>
  <c r="P31" i="46"/>
  <c r="P31" i="45"/>
  <c r="P30" i="28"/>
  <c r="Q31" i="44"/>
  <c r="P31" i="47"/>
  <c r="P88" i="28"/>
  <c r="Q89" i="44"/>
  <c r="P89" i="47"/>
  <c r="P89" i="46"/>
  <c r="P89" i="45"/>
  <c r="P84" i="45"/>
  <c r="P83" i="28"/>
  <c r="Q84" i="44"/>
  <c r="P84" i="47"/>
  <c r="P84" i="46"/>
  <c r="P30" i="44"/>
  <c r="O25" i="28"/>
  <c r="P87" i="45"/>
  <c r="P86" i="28"/>
  <c r="Q87" i="44"/>
  <c r="P87" i="47"/>
  <c r="P87" i="46"/>
  <c r="O38" i="28"/>
  <c r="P39" i="44"/>
  <c r="AK8" i="19"/>
  <c r="AF8" i="48"/>
  <c r="AT8" i="48" s="1"/>
  <c r="AZ8" i="48" s="1"/>
  <c r="BA20" i="48"/>
  <c r="AO20" i="48"/>
  <c r="AP20" i="48" s="1"/>
  <c r="AR20" i="48"/>
  <c r="AQ20" i="48"/>
  <c r="BA15" i="48"/>
  <c r="AQ15" i="48"/>
  <c r="AR15" i="48"/>
  <c r="AO15" i="48"/>
  <c r="AP15" i="48" s="1"/>
  <c r="AK6" i="19"/>
  <c r="AF6" i="48"/>
  <c r="AT6" i="48" s="1"/>
  <c r="AZ6" i="48" s="1"/>
  <c r="AK10" i="19"/>
  <c r="AF10" i="48"/>
  <c r="AT10" i="48" s="1"/>
  <c r="AZ10" i="48" s="1"/>
  <c r="BA4" i="48"/>
  <c r="AO4" i="48"/>
  <c r="AP4" i="48" s="1"/>
  <c r="AR4" i="48" s="1"/>
  <c r="BA7" i="48"/>
  <c r="AO7" i="48"/>
  <c r="AP7" i="48" s="1"/>
  <c r="AR7" i="48"/>
  <c r="AQ7" i="48"/>
  <c r="BA11" i="48"/>
  <c r="AQ11" i="48"/>
  <c r="AR11" i="48"/>
  <c r="AO11" i="48"/>
  <c r="AP11" i="48" s="1"/>
  <c r="BA3" i="48"/>
  <c r="AO3" i="48"/>
  <c r="AP3" i="48" s="1"/>
  <c r="AQ3" i="48"/>
  <c r="AR3" i="48"/>
  <c r="BA17" i="48"/>
  <c r="AO17" i="48"/>
  <c r="AP17" i="48" s="1"/>
  <c r="AR17" i="48" s="1"/>
  <c r="BA13" i="48"/>
  <c r="AQ13" i="48"/>
  <c r="AO13" i="48"/>
  <c r="AP13" i="48" s="1"/>
  <c r="AR13" i="48"/>
  <c r="BA14" i="48"/>
  <c r="AR14" i="48"/>
  <c r="AQ14" i="48"/>
  <c r="AO14" i="48"/>
  <c r="AP14" i="48" s="1"/>
  <c r="AO9" i="48"/>
  <c r="AP9" i="48" s="1"/>
  <c r="AR9" i="48" s="1"/>
  <c r="BA9" i="48"/>
  <c r="AO18" i="48"/>
  <c r="AP18" i="48" s="1"/>
  <c r="BA18" i="48"/>
  <c r="AQ18" i="48"/>
  <c r="AR18" i="48"/>
  <c r="BA21" i="48"/>
  <c r="AO21" i="48"/>
  <c r="AP21" i="48" s="1"/>
  <c r="AR21" i="48"/>
  <c r="AQ21" i="48"/>
  <c r="BA19" i="48"/>
  <c r="AQ19" i="48"/>
  <c r="AO19" i="48"/>
  <c r="AP19" i="48" s="1"/>
  <c r="AR19" i="48"/>
  <c r="P5" i="44"/>
  <c r="O23" i="28"/>
  <c r="AY21" i="19"/>
  <c r="BE21" i="19" s="1"/>
  <c r="D22" i="47"/>
  <c r="D22" i="46"/>
  <c r="D22" i="45"/>
  <c r="D22" i="44"/>
  <c r="C21" i="28"/>
  <c r="BA12" i="48"/>
  <c r="AR12" i="48"/>
  <c r="AQ12" i="48"/>
  <c r="AO12" i="48"/>
  <c r="AP12" i="48" s="1"/>
  <c r="AY19" i="19"/>
  <c r="BE19" i="19" s="1"/>
  <c r="D20" i="47"/>
  <c r="D20" i="45"/>
  <c r="D20" i="46"/>
  <c r="D20" i="44"/>
  <c r="C19" i="28"/>
  <c r="AR5" i="48"/>
  <c r="AQ5" i="48"/>
  <c r="AO5" i="48"/>
  <c r="AP5" i="48" s="1"/>
  <c r="BA5" i="48"/>
  <c r="BA16" i="48"/>
  <c r="AQ16" i="48"/>
  <c r="AR16" i="48"/>
  <c r="AO16" i="48"/>
  <c r="AP16" i="48" s="1"/>
  <c r="AY12" i="19"/>
  <c r="BE12" i="19" s="1"/>
  <c r="D13" i="47"/>
  <c r="D13" i="46"/>
  <c r="D13" i="45"/>
  <c r="D13" i="44"/>
  <c r="C12" i="28"/>
  <c r="AK17" i="19"/>
  <c r="AK13" i="19"/>
  <c r="AK9" i="19"/>
  <c r="AK7" i="19"/>
  <c r="AK20" i="19"/>
  <c r="AK11" i="19"/>
  <c r="AK18" i="19"/>
  <c r="AK16" i="19"/>
  <c r="AK14" i="19"/>
  <c r="AK15" i="19"/>
  <c r="AK5" i="19"/>
  <c r="AK3" i="19"/>
  <c r="AK4" i="19"/>
  <c r="AK2" i="19"/>
  <c r="O50" i="28" l="1"/>
  <c r="L60" i="28"/>
  <c r="BH60" i="19"/>
  <c r="O61" i="45"/>
  <c r="P46" i="28"/>
  <c r="Q47" i="44"/>
  <c r="P47" i="47"/>
  <c r="P47" i="45"/>
  <c r="P47" i="46"/>
  <c r="O64" i="28"/>
  <c r="P65" i="44"/>
  <c r="P47" i="44"/>
  <c r="O46" i="28"/>
  <c r="P60" i="44"/>
  <c r="M60" i="44"/>
  <c r="O58" i="28"/>
  <c r="P61" i="44"/>
  <c r="BI60" i="19"/>
  <c r="R60" i="44" s="1"/>
  <c r="M61" i="46"/>
  <c r="M61" i="45"/>
  <c r="N60" i="28"/>
  <c r="O60" i="44"/>
  <c r="O115" i="28"/>
  <c r="P24" i="44"/>
  <c r="N92" i="46"/>
  <c r="N92" i="45"/>
  <c r="N92" i="44"/>
  <c r="M91" i="28"/>
  <c r="N92" i="47"/>
  <c r="BH91" i="19"/>
  <c r="BI91" i="19"/>
  <c r="R92" i="44" s="1"/>
  <c r="O92" i="45"/>
  <c r="BG91" i="19"/>
  <c r="O92" i="44"/>
  <c r="O92" i="47"/>
  <c r="O92" i="46"/>
  <c r="BJ91" i="19"/>
  <c r="N91" i="28"/>
  <c r="M92" i="44"/>
  <c r="M92" i="47"/>
  <c r="L91" i="28"/>
  <c r="M92" i="45"/>
  <c r="M92" i="46"/>
  <c r="L92" i="46"/>
  <c r="K91" i="28"/>
  <c r="L92" i="44"/>
  <c r="L92" i="47"/>
  <c r="L92" i="45"/>
  <c r="K77" i="28"/>
  <c r="L78" i="46"/>
  <c r="L78" i="45"/>
  <c r="L78" i="44"/>
  <c r="L78" i="47"/>
  <c r="M78" i="47"/>
  <c r="M78" i="46"/>
  <c r="M78" i="44"/>
  <c r="L77" i="28"/>
  <c r="M78" i="45"/>
  <c r="N78" i="46"/>
  <c r="M77" i="28"/>
  <c r="N78" i="44"/>
  <c r="N78" i="47"/>
  <c r="N78" i="45"/>
  <c r="BJ77" i="19"/>
  <c r="O78" i="44"/>
  <c r="O78" i="47"/>
  <c r="BG77" i="19"/>
  <c r="BI77" i="19"/>
  <c r="R78" i="44" s="1"/>
  <c r="O78" i="45"/>
  <c r="N77" i="28"/>
  <c r="O78" i="46"/>
  <c r="BH77" i="19"/>
  <c r="P32" i="44"/>
  <c r="O31" i="28"/>
  <c r="P32" i="47"/>
  <c r="P32" i="45"/>
  <c r="P32" i="46"/>
  <c r="P31" i="28"/>
  <c r="Q32" i="44"/>
  <c r="O67" i="28"/>
  <c r="P68" i="44"/>
  <c r="P67" i="28"/>
  <c r="Q68" i="44"/>
  <c r="P68" i="47"/>
  <c r="P68" i="45"/>
  <c r="P68" i="46"/>
  <c r="AQ17" i="48"/>
  <c r="AQ4" i="48"/>
  <c r="O61" i="46"/>
  <c r="M9" i="46"/>
  <c r="M9" i="47"/>
  <c r="M9" i="45"/>
  <c r="L23" i="28"/>
  <c r="M5" i="44"/>
  <c r="AQ9" i="48"/>
  <c r="P76" i="44"/>
  <c r="O75" i="28"/>
  <c r="P76" i="46"/>
  <c r="P76" i="47"/>
  <c r="P76" i="45"/>
  <c r="P75" i="28"/>
  <c r="Q76" i="44"/>
  <c r="BB2" i="48"/>
  <c r="BC2" i="48"/>
  <c r="AY2" i="19"/>
  <c r="BE2" i="19" s="1"/>
  <c r="D3" i="47"/>
  <c r="D3" i="46"/>
  <c r="D3" i="45"/>
  <c r="D3" i="44"/>
  <c r="C2" i="28"/>
  <c r="AY11" i="19"/>
  <c r="BE11" i="19" s="1"/>
  <c r="BF11" i="19" s="1"/>
  <c r="D12" i="47"/>
  <c r="D12" i="46"/>
  <c r="D12" i="45"/>
  <c r="D12" i="44"/>
  <c r="C11" i="28"/>
  <c r="BF12" i="19"/>
  <c r="AT12" i="19"/>
  <c r="AU12" i="19" s="1"/>
  <c r="AV12" i="19"/>
  <c r="AW12" i="19"/>
  <c r="BB5" i="48"/>
  <c r="BC5" i="48"/>
  <c r="BF21" i="19"/>
  <c r="AT21" i="19"/>
  <c r="AU21" i="19" s="1"/>
  <c r="AW21" i="19"/>
  <c r="AV21" i="19"/>
  <c r="BB21" i="48"/>
  <c r="BC21" i="48"/>
  <c r="BC17" i="48"/>
  <c r="AR6" i="48"/>
  <c r="AO6" i="48"/>
  <c r="AP6" i="48" s="1"/>
  <c r="AQ6" i="48"/>
  <c r="BA6" i="48"/>
  <c r="AY15" i="19"/>
  <c r="BE15" i="19" s="1"/>
  <c r="BF15" i="19" s="1"/>
  <c r="D16" i="47"/>
  <c r="D16" i="46"/>
  <c r="D16" i="45"/>
  <c r="D16" i="44"/>
  <c r="C15" i="28"/>
  <c r="AY13" i="19"/>
  <c r="BE13" i="19" s="1"/>
  <c r="BF13" i="19" s="1"/>
  <c r="D14" i="47"/>
  <c r="D14" i="46"/>
  <c r="D14" i="45"/>
  <c r="D14" i="44"/>
  <c r="C13" i="28"/>
  <c r="AY4" i="19"/>
  <c r="BE4" i="19" s="1"/>
  <c r="BF4" i="19" s="1"/>
  <c r="D5" i="47"/>
  <c r="D5" i="46"/>
  <c r="D5" i="45"/>
  <c r="D116" i="44"/>
  <c r="C4" i="28"/>
  <c r="AY14" i="19"/>
  <c r="BE14" i="19" s="1"/>
  <c r="BF14" i="19" s="1"/>
  <c r="D15" i="47"/>
  <c r="D15" i="46"/>
  <c r="D15" i="45"/>
  <c r="D15" i="44"/>
  <c r="C14" i="28"/>
  <c r="AY20" i="19"/>
  <c r="BE20" i="19" s="1"/>
  <c r="BF20" i="19" s="1"/>
  <c r="D21" i="47"/>
  <c r="D21" i="46"/>
  <c r="D21" i="45"/>
  <c r="D21" i="44"/>
  <c r="C20" i="28"/>
  <c r="AY17" i="19"/>
  <c r="BE17" i="19" s="1"/>
  <c r="BF17" i="19" s="1"/>
  <c r="D24" i="47"/>
  <c r="D24" i="45"/>
  <c r="D24" i="46"/>
  <c r="D10" i="44"/>
  <c r="C17" i="28"/>
  <c r="BC12" i="48"/>
  <c r="BB12" i="48"/>
  <c r="BC9" i="48"/>
  <c r="BC14" i="48"/>
  <c r="BB14" i="48"/>
  <c r="AY6" i="19"/>
  <c r="BE6" i="19" s="1"/>
  <c r="D7" i="47"/>
  <c r="D7" i="46"/>
  <c r="D7" i="45"/>
  <c r="D7" i="44"/>
  <c r="C6" i="28"/>
  <c r="AY16" i="19"/>
  <c r="BE16" i="19" s="1"/>
  <c r="BF16" i="19" s="1"/>
  <c r="D17" i="47"/>
  <c r="D17" i="46"/>
  <c r="D17" i="45"/>
  <c r="D17" i="44"/>
  <c r="C16" i="28"/>
  <c r="BC16" i="48"/>
  <c r="BB16" i="48"/>
  <c r="BF19" i="19"/>
  <c r="AW19" i="19"/>
  <c r="AV19" i="19"/>
  <c r="AT19" i="19"/>
  <c r="AU19" i="19" s="1"/>
  <c r="BB3" i="48"/>
  <c r="BC3" i="48"/>
  <c r="BC4" i="48"/>
  <c r="BA10" i="48"/>
  <c r="AQ10" i="48"/>
  <c r="AO10" i="48"/>
  <c r="AP10" i="48" s="1"/>
  <c r="AR10" i="48"/>
  <c r="BA8" i="48"/>
  <c r="AO8" i="48"/>
  <c r="AP8" i="48" s="1"/>
  <c r="AR8" i="48" s="1"/>
  <c r="AY3" i="19"/>
  <c r="BE3" i="19" s="1"/>
  <c r="BF3" i="19" s="1"/>
  <c r="D4" i="47"/>
  <c r="D4" i="46"/>
  <c r="D4" i="45"/>
  <c r="D4" i="44"/>
  <c r="C3" i="28"/>
  <c r="AY7" i="19"/>
  <c r="BE7" i="19" s="1"/>
  <c r="BF7" i="19" s="1"/>
  <c r="D8" i="47"/>
  <c r="D8" i="46"/>
  <c r="D8" i="45"/>
  <c r="D8" i="44"/>
  <c r="C7" i="28"/>
  <c r="AY5" i="19"/>
  <c r="BE5" i="19" s="1"/>
  <c r="BF5" i="19" s="1"/>
  <c r="D6" i="47"/>
  <c r="D6" i="46"/>
  <c r="D6" i="45"/>
  <c r="D6" i="44"/>
  <c r="C5" i="28"/>
  <c r="AY18" i="19"/>
  <c r="BE18" i="19" s="1"/>
  <c r="BF18" i="19" s="1"/>
  <c r="D19" i="47"/>
  <c r="D19" i="46"/>
  <c r="D19" i="45"/>
  <c r="D19" i="44"/>
  <c r="C18" i="28"/>
  <c r="AY9" i="19"/>
  <c r="BE9" i="19" s="1"/>
  <c r="BF9" i="19" s="1"/>
  <c r="D10" i="47"/>
  <c r="D10" i="46"/>
  <c r="D10" i="45"/>
  <c r="D28" i="44"/>
  <c r="C9" i="28"/>
  <c r="BC19" i="48"/>
  <c r="BB19" i="48"/>
  <c r="BC18" i="48"/>
  <c r="BB18" i="48"/>
  <c r="BC13" i="48"/>
  <c r="BB13" i="48"/>
  <c r="BC11" i="48"/>
  <c r="BB11" i="48"/>
  <c r="BC7" i="48"/>
  <c r="BB7" i="48"/>
  <c r="AY10" i="19"/>
  <c r="BE10" i="19" s="1"/>
  <c r="D11" i="47"/>
  <c r="D11" i="46"/>
  <c r="D11" i="45"/>
  <c r="D11" i="44"/>
  <c r="C10" i="28"/>
  <c r="BB15" i="48"/>
  <c r="BC15" i="48"/>
  <c r="BB20" i="48"/>
  <c r="BC20" i="48"/>
  <c r="AY8" i="19"/>
  <c r="BE8" i="19" s="1"/>
  <c r="D28" i="46"/>
  <c r="D28" i="47"/>
  <c r="D28" i="45"/>
  <c r="D18" i="44"/>
  <c r="C8" i="28"/>
  <c r="AT15" i="19"/>
  <c r="AU15" i="19" s="1"/>
  <c r="AW11" i="19"/>
  <c r="AT2" i="19"/>
  <c r="O91" i="28" l="1"/>
  <c r="P92" i="44"/>
  <c r="P92" i="47"/>
  <c r="P92" i="45"/>
  <c r="P91" i="28"/>
  <c r="P92" i="46"/>
  <c r="Q92" i="44"/>
  <c r="P78" i="46"/>
  <c r="P78" i="47"/>
  <c r="P78" i="45"/>
  <c r="P77" i="28"/>
  <c r="Q78" i="44"/>
  <c r="O77" i="28"/>
  <c r="P78" i="44"/>
  <c r="BB9" i="48"/>
  <c r="AQ8" i="48"/>
  <c r="BB17" i="48"/>
  <c r="BB4" i="48"/>
  <c r="BB115" i="48"/>
  <c r="BB60" i="48"/>
  <c r="BB23" i="48"/>
  <c r="BB27" i="48"/>
  <c r="BB25" i="48"/>
  <c r="BB29" i="48"/>
  <c r="BB59" i="48"/>
  <c r="BB58" i="48"/>
  <c r="AT9" i="19"/>
  <c r="AU9" i="19" s="1"/>
  <c r="AW9" i="19" s="1"/>
  <c r="O10" i="45" s="1"/>
  <c r="AV14" i="19"/>
  <c r="M15" i="45" s="1"/>
  <c r="AV20" i="19"/>
  <c r="M21" i="46" s="1"/>
  <c r="AT14" i="19"/>
  <c r="AU14" i="19" s="1"/>
  <c r="L15" i="47" s="1"/>
  <c r="AT17" i="19"/>
  <c r="AU17" i="19" s="1"/>
  <c r="L24" i="47" s="1"/>
  <c r="AV13" i="19"/>
  <c r="M14" i="44" s="1"/>
  <c r="AW2" i="19"/>
  <c r="BF2" i="19"/>
  <c r="AV7" i="19"/>
  <c r="M8" i="47" s="1"/>
  <c r="AT5" i="19"/>
  <c r="AU5" i="19" s="1"/>
  <c r="L6" i="45" s="1"/>
  <c r="AT20" i="19"/>
  <c r="AU20" i="19" s="1"/>
  <c r="L21" i="46" s="1"/>
  <c r="AW3" i="19"/>
  <c r="O4" i="47" s="1"/>
  <c r="AV9" i="19"/>
  <c r="M10" i="47" s="1"/>
  <c r="AV11" i="19"/>
  <c r="M12" i="44" s="1"/>
  <c r="AW18" i="19"/>
  <c r="BG18" i="19" s="1"/>
  <c r="AT7" i="19"/>
  <c r="AU7" i="19" s="1"/>
  <c r="L8" i="47" s="1"/>
  <c r="AT18" i="19"/>
  <c r="AU18" i="19" s="1"/>
  <c r="L19" i="45" s="1"/>
  <c r="AW7" i="19"/>
  <c r="BG7" i="19" s="1"/>
  <c r="AV18" i="19"/>
  <c r="M19" i="47" s="1"/>
  <c r="AT13" i="19"/>
  <c r="AU13" i="19" s="1"/>
  <c r="L14" i="46" s="1"/>
  <c r="AW16" i="19"/>
  <c r="BJ16" i="19" s="1"/>
  <c r="AW15" i="19"/>
  <c r="O16" i="46" s="1"/>
  <c r="AT16" i="19"/>
  <c r="AU16" i="19" s="1"/>
  <c r="L17" i="47" s="1"/>
  <c r="BG11" i="19"/>
  <c r="O12" i="47"/>
  <c r="O12" i="46"/>
  <c r="O12" i="45"/>
  <c r="BJ11" i="19"/>
  <c r="BI11" i="19"/>
  <c r="R12" i="44" s="1"/>
  <c r="BH11" i="19"/>
  <c r="O12" i="44"/>
  <c r="N11" i="28"/>
  <c r="BH18" i="19"/>
  <c r="BF10" i="19"/>
  <c r="AV10" i="19"/>
  <c r="AT10" i="19"/>
  <c r="AU10" i="19" s="1"/>
  <c r="AW10" i="19"/>
  <c r="N6" i="47"/>
  <c r="N6" i="46"/>
  <c r="N6" i="45"/>
  <c r="N6" i="44"/>
  <c r="M5" i="28"/>
  <c r="N17" i="47"/>
  <c r="N17" i="46"/>
  <c r="N17" i="45"/>
  <c r="N17" i="44"/>
  <c r="M16" i="28"/>
  <c r="BC6" i="48"/>
  <c r="BB6" i="48"/>
  <c r="M13" i="47"/>
  <c r="M13" i="46"/>
  <c r="M13" i="45"/>
  <c r="M13" i="44"/>
  <c r="L12" i="28"/>
  <c r="N12" i="47"/>
  <c r="N12" i="45"/>
  <c r="N12" i="46"/>
  <c r="N12" i="44"/>
  <c r="M11" i="28"/>
  <c r="AW5" i="19"/>
  <c r="AT3" i="19"/>
  <c r="AU3" i="19" s="1"/>
  <c r="M19" i="46"/>
  <c r="AT4" i="19"/>
  <c r="AU4" i="19" s="1"/>
  <c r="AV4" i="19" s="1"/>
  <c r="M5" i="46" s="1"/>
  <c r="AT11" i="19"/>
  <c r="AU11" i="19" s="1"/>
  <c r="BC10" i="48"/>
  <c r="BB10" i="48"/>
  <c r="L20" i="47"/>
  <c r="L20" i="45"/>
  <c r="L20" i="46"/>
  <c r="L20" i="44"/>
  <c r="K19" i="28"/>
  <c r="M22" i="47"/>
  <c r="M22" i="46"/>
  <c r="M22" i="45"/>
  <c r="M22" i="44"/>
  <c r="L21" i="28"/>
  <c r="L13" i="47"/>
  <c r="L13" i="46"/>
  <c r="L13" i="45"/>
  <c r="L13" i="44"/>
  <c r="K12" i="28"/>
  <c r="BG19" i="19"/>
  <c r="O20" i="47"/>
  <c r="O20" i="46"/>
  <c r="O20" i="45"/>
  <c r="BJ19" i="19"/>
  <c r="BI19" i="19"/>
  <c r="R20" i="44" s="1"/>
  <c r="BH19" i="19"/>
  <c r="O20" i="44"/>
  <c r="N19" i="28"/>
  <c r="M5" i="47"/>
  <c r="N4" i="47"/>
  <c r="N4" i="46"/>
  <c r="N4" i="45"/>
  <c r="N4" i="44"/>
  <c r="M3" i="28"/>
  <c r="N20" i="47"/>
  <c r="N20" i="46"/>
  <c r="N20" i="45"/>
  <c r="N20" i="44"/>
  <c r="M19" i="28"/>
  <c r="N21" i="47"/>
  <c r="N21" i="46"/>
  <c r="N21" i="45"/>
  <c r="N21" i="44"/>
  <c r="M20" i="28"/>
  <c r="N5" i="47"/>
  <c r="N5" i="46"/>
  <c r="N5" i="45"/>
  <c r="N116" i="44"/>
  <c r="M4" i="28"/>
  <c r="N16" i="47"/>
  <c r="N16" i="46"/>
  <c r="N16" i="45"/>
  <c r="N16" i="44"/>
  <c r="M15" i="28"/>
  <c r="N22" i="47"/>
  <c r="N22" i="46"/>
  <c r="N22" i="45"/>
  <c r="N22" i="44"/>
  <c r="M21" i="28"/>
  <c r="AW20" i="19"/>
  <c r="AV3" i="19"/>
  <c r="AV16" i="19"/>
  <c r="AV5" i="19"/>
  <c r="BF8" i="19"/>
  <c r="AT8" i="19"/>
  <c r="AU8" i="19" s="1"/>
  <c r="AW8" i="19" s="1"/>
  <c r="N19" i="47"/>
  <c r="N19" i="46"/>
  <c r="N19" i="45"/>
  <c r="N19" i="44"/>
  <c r="M18" i="28"/>
  <c r="N8" i="47"/>
  <c r="N8" i="46"/>
  <c r="N8" i="45"/>
  <c r="N8" i="44"/>
  <c r="M7" i="28"/>
  <c r="BB8" i="48"/>
  <c r="BC8" i="48"/>
  <c r="M20" i="47"/>
  <c r="M20" i="46"/>
  <c r="M20" i="45"/>
  <c r="M20" i="44"/>
  <c r="L19" i="28"/>
  <c r="BF6" i="19"/>
  <c r="AW6" i="19"/>
  <c r="AV6" i="19"/>
  <c r="AT6" i="19"/>
  <c r="AU6" i="19" s="1"/>
  <c r="N24" i="47"/>
  <c r="N24" i="46"/>
  <c r="N24" i="45"/>
  <c r="N10" i="44"/>
  <c r="M17" i="28"/>
  <c r="N15" i="47"/>
  <c r="N15" i="46"/>
  <c r="N15" i="45"/>
  <c r="N15" i="44"/>
  <c r="M14" i="28"/>
  <c r="N14" i="47"/>
  <c r="N14" i="46"/>
  <c r="N14" i="45"/>
  <c r="N14" i="44"/>
  <c r="M13" i="28"/>
  <c r="BG21" i="19"/>
  <c r="O22" i="47"/>
  <c r="O22" i="46"/>
  <c r="O22" i="45"/>
  <c r="BJ21" i="19"/>
  <c r="BI21" i="19"/>
  <c r="R22" i="44" s="1"/>
  <c r="BH21" i="19"/>
  <c r="O22" i="44"/>
  <c r="N21" i="28"/>
  <c r="N13" i="47"/>
  <c r="N13" i="46"/>
  <c r="N13" i="45"/>
  <c r="N13" i="44"/>
  <c r="M12" i="28"/>
  <c r="L22" i="47"/>
  <c r="L22" i="46"/>
  <c r="L22" i="45"/>
  <c r="L22" i="44"/>
  <c r="K21" i="28"/>
  <c r="BG12" i="19"/>
  <c r="O13" i="47"/>
  <c r="O13" i="46"/>
  <c r="O13" i="45"/>
  <c r="BJ12" i="19"/>
  <c r="BI12" i="19"/>
  <c r="R13" i="44" s="1"/>
  <c r="BH12" i="19"/>
  <c r="O13" i="44"/>
  <c r="N12" i="28"/>
  <c r="AV15" i="19"/>
  <c r="L16" i="47"/>
  <c r="L16" i="46"/>
  <c r="L16" i="45"/>
  <c r="L16" i="44"/>
  <c r="K15" i="28"/>
  <c r="BG3" i="19"/>
  <c r="N10" i="47"/>
  <c r="N10" i="46"/>
  <c r="N10" i="45"/>
  <c r="N28" i="44"/>
  <c r="M9" i="28"/>
  <c r="AW13" i="19"/>
  <c r="AW14" i="19"/>
  <c r="M19" i="44" l="1"/>
  <c r="O19" i="45"/>
  <c r="M19" i="45"/>
  <c r="O19" i="46"/>
  <c r="L11" i="28"/>
  <c r="L14" i="28"/>
  <c r="L18" i="28"/>
  <c r="AW4" i="19"/>
  <c r="O5" i="47" s="1"/>
  <c r="M15" i="47"/>
  <c r="O8" i="44"/>
  <c r="M12" i="45"/>
  <c r="L19" i="47"/>
  <c r="L10" i="46"/>
  <c r="M12" i="47"/>
  <c r="L4" i="28"/>
  <c r="M116" i="44"/>
  <c r="M5" i="45"/>
  <c r="O19" i="44"/>
  <c r="K9" i="28"/>
  <c r="L10" i="47"/>
  <c r="N3" i="28"/>
  <c r="L28" i="44"/>
  <c r="L8" i="46"/>
  <c r="K18" i="28"/>
  <c r="M8" i="44"/>
  <c r="BJ3" i="19"/>
  <c r="O3" i="28" s="1"/>
  <c r="L10" i="45"/>
  <c r="L19" i="46"/>
  <c r="AV8" i="19"/>
  <c r="M28" i="45" s="1"/>
  <c r="BH3" i="19"/>
  <c r="O4" i="46"/>
  <c r="BI18" i="19"/>
  <c r="R19" i="44" s="1"/>
  <c r="O19" i="47"/>
  <c r="O4" i="44"/>
  <c r="O4" i="45"/>
  <c r="BI3" i="19"/>
  <c r="R4" i="44" s="1"/>
  <c r="L8" i="44"/>
  <c r="N18" i="28"/>
  <c r="BJ18" i="19"/>
  <c r="P19" i="44" s="1"/>
  <c r="BG23" i="19"/>
  <c r="P9" i="46" s="1"/>
  <c r="AW17" i="19"/>
  <c r="O24" i="45" s="1"/>
  <c r="AV17" i="19"/>
  <c r="BJ8" i="19"/>
  <c r="O8" i="28" s="1"/>
  <c r="N8" i="28"/>
  <c r="O28" i="47"/>
  <c r="BI8" i="19"/>
  <c r="R18" i="44" s="1"/>
  <c r="O18" i="44"/>
  <c r="O28" i="46"/>
  <c r="BH8" i="19"/>
  <c r="O28" i="45"/>
  <c r="M15" i="44"/>
  <c r="M15" i="46"/>
  <c r="L20" i="28"/>
  <c r="M21" i="45"/>
  <c r="M21" i="47"/>
  <c r="L21" i="47"/>
  <c r="BH17" i="19"/>
  <c r="L17" i="46"/>
  <c r="L10" i="44"/>
  <c r="L24" i="46"/>
  <c r="L17" i="44"/>
  <c r="L15" i="44"/>
  <c r="L15" i="45"/>
  <c r="N9" i="28"/>
  <c r="O10" i="46"/>
  <c r="M21" i="44"/>
  <c r="O17" i="47"/>
  <c r="M14" i="46"/>
  <c r="M10" i="45"/>
  <c r="L24" i="45"/>
  <c r="K17" i="28"/>
  <c r="L17" i="45"/>
  <c r="K16" i="28"/>
  <c r="L15" i="46"/>
  <c r="K14" i="28"/>
  <c r="M14" i="45"/>
  <c r="L13" i="28"/>
  <c r="M14" i="47"/>
  <c r="L14" i="47"/>
  <c r="BH9" i="19"/>
  <c r="M10" i="46"/>
  <c r="M28" i="44"/>
  <c r="BJ9" i="19"/>
  <c r="O9" i="28" s="1"/>
  <c r="L6" i="46"/>
  <c r="K20" i="28"/>
  <c r="L21" i="44"/>
  <c r="L21" i="45"/>
  <c r="M8" i="45"/>
  <c r="M8" i="46"/>
  <c r="L7" i="28"/>
  <c r="BG16" i="19"/>
  <c r="P16" i="28" s="1"/>
  <c r="N16" i="28"/>
  <c r="BI9" i="19"/>
  <c r="R28" i="44" s="1"/>
  <c r="O10" i="47"/>
  <c r="O28" i="44"/>
  <c r="L6" i="47"/>
  <c r="K5" i="28"/>
  <c r="L6" i="44"/>
  <c r="K13" i="28"/>
  <c r="L14" i="45"/>
  <c r="L9" i="28"/>
  <c r="BI2" i="19"/>
  <c r="R3" i="44" s="1"/>
  <c r="O3" i="46"/>
  <c r="O3" i="45"/>
  <c r="BJ2" i="19"/>
  <c r="O3" i="47"/>
  <c r="BH2" i="19"/>
  <c r="O3" i="44"/>
  <c r="N2" i="28"/>
  <c r="BG2" i="19"/>
  <c r="N3" i="47"/>
  <c r="N3" i="45"/>
  <c r="N3" i="46"/>
  <c r="N3" i="44"/>
  <c r="M2" i="28"/>
  <c r="L14" i="44"/>
  <c r="L8" i="45"/>
  <c r="M12" i="46"/>
  <c r="O16" i="47"/>
  <c r="K7" i="28"/>
  <c r="O8" i="45"/>
  <c r="BG15" i="19"/>
  <c r="P16" i="47" s="1"/>
  <c r="BI7" i="19"/>
  <c r="R8" i="44" s="1"/>
  <c r="O8" i="47"/>
  <c r="BI15" i="19"/>
  <c r="R16" i="44" s="1"/>
  <c r="O17" i="45"/>
  <c r="L19" i="44"/>
  <c r="BH7" i="19"/>
  <c r="O8" i="46"/>
  <c r="N15" i="28"/>
  <c r="N7" i="28"/>
  <c r="BJ7" i="19"/>
  <c r="P8" i="44" s="1"/>
  <c r="BJ15" i="19"/>
  <c r="O15" i="28" s="1"/>
  <c r="O17" i="46"/>
  <c r="O16" i="44"/>
  <c r="O16" i="45"/>
  <c r="O17" i="44"/>
  <c r="BI16" i="19"/>
  <c r="R17" i="44" s="1"/>
  <c r="BH15" i="19"/>
  <c r="BH16" i="19"/>
  <c r="M16" i="47"/>
  <c r="M16" i="46"/>
  <c r="M16" i="45"/>
  <c r="M16" i="44"/>
  <c r="L15" i="28"/>
  <c r="M7" i="47"/>
  <c r="M7" i="46"/>
  <c r="M7" i="45"/>
  <c r="M7" i="44"/>
  <c r="L6" i="28"/>
  <c r="L11" i="47"/>
  <c r="L11" i="46"/>
  <c r="L11" i="45"/>
  <c r="L11" i="44"/>
  <c r="K10" i="28"/>
  <c r="P3" i="28"/>
  <c r="P4" i="47"/>
  <c r="P4" i="46"/>
  <c r="P4" i="45"/>
  <c r="Q4" i="44"/>
  <c r="P13" i="44"/>
  <c r="O12" i="28"/>
  <c r="BG6" i="19"/>
  <c r="O7" i="46"/>
  <c r="O7" i="45"/>
  <c r="O7" i="47"/>
  <c r="BJ6" i="19"/>
  <c r="BI6" i="19"/>
  <c r="R7" i="44" s="1"/>
  <c r="BH6" i="19"/>
  <c r="O7" i="44"/>
  <c r="N6" i="28"/>
  <c r="M28" i="46"/>
  <c r="N7" i="47"/>
  <c r="N7" i="46"/>
  <c r="N7" i="45"/>
  <c r="N7" i="44"/>
  <c r="M6" i="28"/>
  <c r="N28" i="47"/>
  <c r="N28" i="46"/>
  <c r="N28" i="45"/>
  <c r="N18" i="44"/>
  <c r="M8" i="28"/>
  <c r="M17" i="47"/>
  <c r="M17" i="46"/>
  <c r="M17" i="45"/>
  <c r="M17" i="44"/>
  <c r="L16" i="28"/>
  <c r="O7" i="28"/>
  <c r="P7" i="28"/>
  <c r="P8" i="47"/>
  <c r="P8" i="46"/>
  <c r="P8" i="45"/>
  <c r="Q8" i="44"/>
  <c r="P20" i="44"/>
  <c r="O19" i="28"/>
  <c r="P19" i="28"/>
  <c r="P20" i="47"/>
  <c r="P20" i="46"/>
  <c r="P20" i="45"/>
  <c r="Q20" i="44"/>
  <c r="P17" i="44"/>
  <c r="O16" i="28"/>
  <c r="L12" i="47"/>
  <c r="L12" i="46"/>
  <c r="L12" i="45"/>
  <c r="L12" i="44"/>
  <c r="K11" i="28"/>
  <c r="N11" i="47"/>
  <c r="N11" i="46"/>
  <c r="N11" i="45"/>
  <c r="N11" i="44"/>
  <c r="M10" i="28"/>
  <c r="P18" i="28"/>
  <c r="P19" i="47"/>
  <c r="P19" i="46"/>
  <c r="P19" i="45"/>
  <c r="Q19" i="44"/>
  <c r="L28" i="46"/>
  <c r="L28" i="47"/>
  <c r="L28" i="45"/>
  <c r="L18" i="44"/>
  <c r="K8" i="28"/>
  <c r="BG5" i="19"/>
  <c r="O6" i="47"/>
  <c r="O6" i="46"/>
  <c r="O6" i="45"/>
  <c r="BJ5" i="19"/>
  <c r="BI5" i="19"/>
  <c r="R6" i="44" s="1"/>
  <c r="BH5" i="19"/>
  <c r="O6" i="44"/>
  <c r="N5" i="28"/>
  <c r="O11" i="28"/>
  <c r="P12" i="44"/>
  <c r="P11" i="28"/>
  <c r="P12" i="47"/>
  <c r="P12" i="46"/>
  <c r="P12" i="45"/>
  <c r="Q12" i="44"/>
  <c r="P12" i="28"/>
  <c r="P13" i="47"/>
  <c r="P13" i="46"/>
  <c r="P13" i="45"/>
  <c r="Q13" i="44"/>
  <c r="M11" i="47"/>
  <c r="M11" i="46"/>
  <c r="M11" i="45"/>
  <c r="M11" i="44"/>
  <c r="L10" i="28"/>
  <c r="O116" i="44"/>
  <c r="BG14" i="19"/>
  <c r="O15" i="46"/>
  <c r="O15" i="45"/>
  <c r="O15" i="47"/>
  <c r="BJ14" i="19"/>
  <c r="BI14" i="19"/>
  <c r="R15" i="44" s="1"/>
  <c r="BH14" i="19"/>
  <c r="O15" i="44"/>
  <c r="N14" i="28"/>
  <c r="P22" i="44"/>
  <c r="O21" i="28"/>
  <c r="P21" i="28"/>
  <c r="P22" i="47"/>
  <c r="P22" i="46"/>
  <c r="P22" i="45"/>
  <c r="Q22" i="44"/>
  <c r="L7" i="47"/>
  <c r="L7" i="46"/>
  <c r="L7" i="45"/>
  <c r="L7" i="44"/>
  <c r="K6" i="28"/>
  <c r="M6" i="47"/>
  <c r="M6" i="46"/>
  <c r="M6" i="45"/>
  <c r="M6" i="44"/>
  <c r="L5" i="28"/>
  <c r="L5" i="47"/>
  <c r="L5" i="46"/>
  <c r="L5" i="45"/>
  <c r="L116" i="44"/>
  <c r="K4" i="28"/>
  <c r="L4" i="47"/>
  <c r="L4" i="46"/>
  <c r="L4" i="45"/>
  <c r="L4" i="44"/>
  <c r="K3" i="28"/>
  <c r="BG10" i="19"/>
  <c r="O11" i="47"/>
  <c r="O11" i="46"/>
  <c r="O11" i="45"/>
  <c r="BI10" i="19"/>
  <c r="R11" i="44" s="1"/>
  <c r="BJ10" i="19"/>
  <c r="BH10" i="19"/>
  <c r="O11" i="44"/>
  <c r="N10" i="28"/>
  <c r="BG13" i="19"/>
  <c r="O14" i="47"/>
  <c r="O14" i="46"/>
  <c r="O14" i="45"/>
  <c r="BJ13" i="19"/>
  <c r="BI13" i="19"/>
  <c r="R14" i="44" s="1"/>
  <c r="BH13" i="19"/>
  <c r="O14" i="44"/>
  <c r="N13" i="28"/>
  <c r="M4" i="47"/>
  <c r="M4" i="46"/>
  <c r="M4" i="45"/>
  <c r="M4" i="44"/>
  <c r="L3" i="28"/>
  <c r="BG20" i="19"/>
  <c r="O21" i="47"/>
  <c r="O21" i="46"/>
  <c r="O21" i="45"/>
  <c r="BJ20" i="19"/>
  <c r="BI20" i="19"/>
  <c r="R21" i="44" s="1"/>
  <c r="BH20" i="19"/>
  <c r="O21" i="44"/>
  <c r="N20" i="28"/>
  <c r="BG17" i="19"/>
  <c r="G2" i="25"/>
  <c r="H2" i="25" s="1"/>
  <c r="BI4" i="19" l="1"/>
  <c r="R116" i="44" s="1"/>
  <c r="O5" i="45"/>
  <c r="BG4" i="19"/>
  <c r="BH4" i="19"/>
  <c r="O5" i="46"/>
  <c r="N4" i="28"/>
  <c r="BJ4" i="19"/>
  <c r="O4" i="28" s="1"/>
  <c r="L8" i="28"/>
  <c r="M28" i="47"/>
  <c r="M18" i="44"/>
  <c r="P18" i="44"/>
  <c r="O18" i="28"/>
  <c r="P4" i="44"/>
  <c r="BG60" i="19"/>
  <c r="P60" i="28" s="1"/>
  <c r="BG25" i="19"/>
  <c r="P25" i="28" s="1"/>
  <c r="BJ17" i="19"/>
  <c r="P10" i="44" s="1"/>
  <c r="BG9" i="19"/>
  <c r="Q28" i="44" s="1"/>
  <c r="O24" i="46"/>
  <c r="O24" i="47"/>
  <c r="BG27" i="19"/>
  <c r="P27" i="28" s="1"/>
  <c r="BG29" i="19"/>
  <c r="Q9" i="44" s="1"/>
  <c r="BG115" i="19"/>
  <c r="BG8" i="19"/>
  <c r="P28" i="45" s="1"/>
  <c r="O10" i="44"/>
  <c r="N17" i="28"/>
  <c r="BI17" i="19"/>
  <c r="R10" i="44" s="1"/>
  <c r="BG59" i="19"/>
  <c r="P60" i="47" s="1"/>
  <c r="BG58" i="19"/>
  <c r="P59" i="47" s="1"/>
  <c r="P9" i="47"/>
  <c r="P23" i="28"/>
  <c r="Q5" i="44"/>
  <c r="P9" i="45"/>
  <c r="P61" i="45"/>
  <c r="M24" i="46"/>
  <c r="M24" i="45"/>
  <c r="M10" i="44"/>
  <c r="M24" i="47"/>
  <c r="L17" i="28"/>
  <c r="AL2" i="48"/>
  <c r="AM2" i="48"/>
  <c r="P28" i="44"/>
  <c r="P17" i="46"/>
  <c r="P17" i="45"/>
  <c r="P17" i="47"/>
  <c r="Q17" i="44"/>
  <c r="P16" i="45"/>
  <c r="P16" i="46"/>
  <c r="Q16" i="44"/>
  <c r="P15" i="28"/>
  <c r="P3" i="44"/>
  <c r="O2" i="28"/>
  <c r="P3" i="45"/>
  <c r="P2" i="28"/>
  <c r="Q3" i="44"/>
  <c r="P3" i="47"/>
  <c r="P3" i="46"/>
  <c r="P16" i="44"/>
  <c r="P10" i="28"/>
  <c r="P11" i="47"/>
  <c r="P11" i="46"/>
  <c r="P11" i="45"/>
  <c r="Q11" i="44"/>
  <c r="P116" i="44"/>
  <c r="P21" i="44"/>
  <c r="O20" i="28"/>
  <c r="P4" i="28"/>
  <c r="P5" i="47"/>
  <c r="P5" i="46"/>
  <c r="P5" i="45"/>
  <c r="Q116" i="44"/>
  <c r="P20" i="28"/>
  <c r="P21" i="47"/>
  <c r="P21" i="46"/>
  <c r="P21" i="45"/>
  <c r="Q21" i="44"/>
  <c r="P6" i="44"/>
  <c r="O5" i="28"/>
  <c r="P14" i="44"/>
  <c r="O13" i="28"/>
  <c r="P13" i="28"/>
  <c r="P14" i="47"/>
  <c r="P14" i="46"/>
  <c r="P14" i="45"/>
  <c r="Q14" i="44"/>
  <c r="P11" i="44"/>
  <c r="O10" i="28"/>
  <c r="P15" i="44"/>
  <c r="O14" i="28"/>
  <c r="P14" i="28"/>
  <c r="P15" i="47"/>
  <c r="P15" i="46"/>
  <c r="P15" i="45"/>
  <c r="Q15" i="44"/>
  <c r="P7" i="44"/>
  <c r="O6" i="28"/>
  <c r="P6" i="28"/>
  <c r="P7" i="47"/>
  <c r="P7" i="46"/>
  <c r="P7" i="45"/>
  <c r="Q7" i="44"/>
  <c r="P17" i="28"/>
  <c r="P24" i="46"/>
  <c r="P24" i="47"/>
  <c r="P24" i="45"/>
  <c r="Q10" i="44"/>
  <c r="P5" i="28"/>
  <c r="P6" i="47"/>
  <c r="P6" i="46"/>
  <c r="P6" i="45"/>
  <c r="Q6" i="44"/>
  <c r="AR2" i="19"/>
  <c r="I2" i="25"/>
  <c r="P28" i="46" l="1"/>
  <c r="P10" i="45"/>
  <c r="Q30" i="44"/>
  <c r="P28" i="47"/>
  <c r="P10" i="47"/>
  <c r="P18" i="46"/>
  <c r="P61" i="46"/>
  <c r="P9" i="28"/>
  <c r="P61" i="47"/>
  <c r="P10" i="46"/>
  <c r="Q60" i="44"/>
  <c r="P8" i="28"/>
  <c r="P60" i="46"/>
  <c r="P26" i="45"/>
  <c r="Q18" i="44"/>
  <c r="P26" i="47"/>
  <c r="P18" i="45"/>
  <c r="P18" i="47"/>
  <c r="P29" i="28"/>
  <c r="P60" i="45"/>
  <c r="O17" i="28"/>
  <c r="P59" i="28"/>
  <c r="P59" i="45"/>
  <c r="Q61" i="44"/>
  <c r="Q26" i="44"/>
  <c r="P116" i="47"/>
  <c r="P116" i="45"/>
  <c r="P30" i="46"/>
  <c r="P115" i="28"/>
  <c r="Q24" i="44"/>
  <c r="P30" i="47"/>
  <c r="P30" i="45"/>
  <c r="P58" i="28"/>
  <c r="P59" i="46"/>
  <c r="P26" i="46"/>
  <c r="Q59" i="44"/>
  <c r="P116" i="46"/>
  <c r="AS2" i="19"/>
  <c r="AN2" i="48"/>
  <c r="AP2" i="48" s="1"/>
  <c r="J3" i="46"/>
  <c r="J3" i="45"/>
  <c r="J3" i="47"/>
  <c r="J3" i="44"/>
  <c r="I2" i="28"/>
  <c r="AV2" i="19"/>
  <c r="AU2" i="19" l="1"/>
  <c r="K3" i="45"/>
  <c r="K3" i="47"/>
  <c r="K3" i="46"/>
  <c r="K3" i="44"/>
  <c r="J2" i="28"/>
  <c r="M3" i="47"/>
  <c r="M3" i="46"/>
  <c r="M3" i="45"/>
  <c r="M3" i="44"/>
  <c r="L2" i="28"/>
  <c r="L3" i="46" l="1"/>
  <c r="L3" i="45"/>
  <c r="L3" i="44"/>
  <c r="L3" i="47"/>
  <c r="K2" i="28"/>
</calcChain>
</file>

<file path=xl/sharedStrings.xml><?xml version="1.0" encoding="utf-8"?>
<sst xmlns="http://schemas.openxmlformats.org/spreadsheetml/2006/main" count="3059" uniqueCount="906">
  <si>
    <t>Roll</t>
  </si>
  <si>
    <t>Group</t>
  </si>
  <si>
    <t>Science</t>
  </si>
  <si>
    <t>Commerce</t>
  </si>
  <si>
    <t>Marks MCQ</t>
  </si>
  <si>
    <t>Marks CQ</t>
  </si>
  <si>
    <t>Total Marks</t>
  </si>
  <si>
    <t>Result</t>
  </si>
  <si>
    <t>Grade</t>
  </si>
  <si>
    <t>GPA</t>
  </si>
  <si>
    <t xml:space="preserve"> </t>
  </si>
  <si>
    <t>Arts</t>
  </si>
  <si>
    <t>Bangla</t>
  </si>
  <si>
    <t>English</t>
  </si>
  <si>
    <t>ICT</t>
  </si>
  <si>
    <t>GPA after minus 2</t>
  </si>
  <si>
    <t>Subject1</t>
  </si>
  <si>
    <t>Subject2</t>
  </si>
  <si>
    <t>Subject3</t>
  </si>
  <si>
    <t>Subject4</t>
  </si>
  <si>
    <t>BSc. in Computer Science &amp; Enginnering, University of Chittagong</t>
  </si>
  <si>
    <t>Lecturer in Information &amp; Communication Technology, Bamni Degree College</t>
  </si>
  <si>
    <t>Number of Science Students</t>
  </si>
  <si>
    <t>Number of Commerce Students</t>
  </si>
  <si>
    <t>Number of Arts Students</t>
  </si>
  <si>
    <t>Total Number of Students</t>
  </si>
  <si>
    <t>CQ Mark</t>
  </si>
  <si>
    <t>Practical Mark</t>
  </si>
  <si>
    <t>MCQ Mark</t>
  </si>
  <si>
    <t>Title of Exam</t>
  </si>
  <si>
    <t>First Year - Term Exam 2024</t>
  </si>
  <si>
    <r>
      <rPr>
        <sz val="28"/>
        <color rgb="FFFF0000"/>
        <rFont val="Calibri"/>
        <family val="2"/>
        <scheme val="minor"/>
      </rPr>
      <t>RESULT PROCESSING SYSTEM</t>
    </r>
    <r>
      <rPr>
        <sz val="18"/>
        <color rgb="FF00B050"/>
        <rFont val="Calibri"/>
        <family val="2"/>
        <scheme val="minor"/>
      </rPr>
      <t xml:space="preserve">
</t>
    </r>
    <r>
      <rPr>
        <sz val="18"/>
        <color theme="4" tint="-0.249977111117893"/>
        <rFont val="Calibri"/>
        <family val="2"/>
        <scheme val="minor"/>
      </rPr>
      <t xml:space="preserve">Developed by </t>
    </r>
    <r>
      <rPr>
        <sz val="18"/>
        <color rgb="FFC00000"/>
        <rFont val="Calibri"/>
        <family val="2"/>
        <scheme val="minor"/>
      </rPr>
      <t>ALI HOSSAIN</t>
    </r>
  </si>
  <si>
    <t>ID</t>
  </si>
  <si>
    <t>Father</t>
  </si>
  <si>
    <t>Name</t>
  </si>
  <si>
    <t>Mother</t>
  </si>
  <si>
    <t>Session</t>
  </si>
  <si>
    <t>Contact</t>
  </si>
  <si>
    <t>Address</t>
  </si>
  <si>
    <t>2023-24</t>
  </si>
  <si>
    <t>01737859493</t>
  </si>
  <si>
    <t>Bamni Bank Road, Companiganj, Noakhali</t>
  </si>
  <si>
    <t xml:space="preserve">ID </t>
  </si>
  <si>
    <t xml:space="preserve">Optioinal </t>
  </si>
  <si>
    <t>Bamni High School</t>
  </si>
  <si>
    <t>2022-23</t>
  </si>
  <si>
    <t>Institution Name</t>
  </si>
  <si>
    <t>Compulsory1</t>
  </si>
  <si>
    <t>Compulsory2</t>
  </si>
  <si>
    <t xml:space="preserve">Subject1 </t>
  </si>
  <si>
    <t>Remarks</t>
  </si>
  <si>
    <t>Reg No</t>
  </si>
  <si>
    <t>Board Name</t>
  </si>
  <si>
    <t>Cumilla</t>
  </si>
  <si>
    <t>Practical</t>
  </si>
  <si>
    <t>Bangla MCQ</t>
  </si>
  <si>
    <t>Bangla CQ</t>
  </si>
  <si>
    <t>ICT CQ</t>
  </si>
  <si>
    <t>ICT MCQ</t>
  </si>
  <si>
    <t>ICT Practical</t>
  </si>
  <si>
    <t>ICT Total</t>
  </si>
  <si>
    <t>Bangla Total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</si>
  <si>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</si>
  <si>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</si>
  <si>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</si>
  <si>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</si>
  <si>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</si>
  <si>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</si>
  <si>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</si>
  <si>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</si>
  <si>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</si>
  <si>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</si>
  <si>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</si>
  <si>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</si>
  <si>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</si>
  <si>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</si>
  <si>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</si>
  <si>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</si>
  <si>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</si>
  <si>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</si>
  <si>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</si>
  <si>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</si>
  <si>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</si>
  <si>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</si>
  <si>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</si>
  <si>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</si>
  <si>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</si>
  <si>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</si>
  <si>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</si>
  <si>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</si>
  <si>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</si>
  <si>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2022-53</t>
  </si>
  <si>
    <t>2022-54</t>
  </si>
  <si>
    <t>2022-55</t>
  </si>
  <si>
    <t>2022-56</t>
  </si>
  <si>
    <t>2022-57</t>
  </si>
  <si>
    <t>2022-58</t>
  </si>
  <si>
    <t>2022-59</t>
  </si>
  <si>
    <t>2022-60</t>
  </si>
  <si>
    <t>2022-61</t>
  </si>
  <si>
    <t>2022-62</t>
  </si>
  <si>
    <t>2022-63</t>
  </si>
  <si>
    <t>2022-64</t>
  </si>
  <si>
    <t>2022-65</t>
  </si>
  <si>
    <t>2022-66</t>
  </si>
  <si>
    <t>2022-67</t>
  </si>
  <si>
    <t>2022-68</t>
  </si>
  <si>
    <t>2022-69</t>
  </si>
  <si>
    <t>2022-70</t>
  </si>
  <si>
    <t>2022-71</t>
  </si>
  <si>
    <t>2022-72</t>
  </si>
  <si>
    <t>2022-73</t>
  </si>
  <si>
    <t>2022-74</t>
  </si>
  <si>
    <t>2022-75</t>
  </si>
  <si>
    <t>2022-76</t>
  </si>
  <si>
    <t>2022-77</t>
  </si>
  <si>
    <t>2022-78</t>
  </si>
  <si>
    <t>2022-79</t>
  </si>
  <si>
    <t>2022-80</t>
  </si>
  <si>
    <t>2022-81</t>
  </si>
  <si>
    <t>2022-82</t>
  </si>
  <si>
    <t>2022-83</t>
  </si>
  <si>
    <t>2022-84</t>
  </si>
  <si>
    <t>2022-85</t>
  </si>
  <si>
    <t>2022-86</t>
  </si>
  <si>
    <t>2022-87</t>
  </si>
  <si>
    <t>2022-88</t>
  </si>
  <si>
    <t>2022-89</t>
  </si>
  <si>
    <t>2022-90</t>
  </si>
  <si>
    <t>2022-91</t>
  </si>
  <si>
    <t>2022-92</t>
  </si>
  <si>
    <t>2022-93</t>
  </si>
  <si>
    <t>2022-94</t>
  </si>
  <si>
    <t>2022-95</t>
  </si>
  <si>
    <t>2022-96</t>
  </si>
  <si>
    <t>2022-97</t>
  </si>
  <si>
    <t>2022-98</t>
  </si>
  <si>
    <t>2022-99</t>
  </si>
  <si>
    <t>2022-100</t>
  </si>
  <si>
    <t>2022-101</t>
  </si>
  <si>
    <t>2022-102</t>
  </si>
  <si>
    <t>2022-103</t>
  </si>
  <si>
    <t>2022-104</t>
  </si>
  <si>
    <t>2022-105</t>
  </si>
  <si>
    <t>2022-106</t>
  </si>
  <si>
    <t>2022-107</t>
  </si>
  <si>
    <t>2022-108</t>
  </si>
  <si>
    <t>2022-109</t>
  </si>
  <si>
    <t>Subject</t>
  </si>
  <si>
    <t>English Total</t>
  </si>
  <si>
    <t>Bangla Grade</t>
  </si>
  <si>
    <t>English Grade</t>
  </si>
  <si>
    <t>ICT Grade</t>
  </si>
  <si>
    <t>Bangla Point</t>
  </si>
  <si>
    <t>English Point</t>
  </si>
  <si>
    <t>ICT Point</t>
  </si>
  <si>
    <t>Optional Point</t>
  </si>
  <si>
    <t>Optional after - 2</t>
  </si>
  <si>
    <t>GPA without 4th</t>
  </si>
  <si>
    <t>Total Point</t>
  </si>
  <si>
    <t>Total w.o 4th</t>
  </si>
  <si>
    <t>Third Subject</t>
  </si>
  <si>
    <t>Optional Subject</t>
  </si>
  <si>
    <t>B_Flag</t>
  </si>
  <si>
    <t>E_Flag</t>
  </si>
  <si>
    <t>I_Flag</t>
  </si>
  <si>
    <t>Total_Flag</t>
  </si>
  <si>
    <t>Status</t>
  </si>
  <si>
    <t>S1_Flag</t>
  </si>
  <si>
    <t>S2_Flag</t>
  </si>
  <si>
    <t>S3_Flag</t>
  </si>
  <si>
    <t>Subject3 MCQ</t>
  </si>
  <si>
    <t>Subject3 CQ</t>
  </si>
  <si>
    <t>Subject3 Total</t>
  </si>
  <si>
    <t>Subject4 MCQ</t>
  </si>
  <si>
    <t>Subject4 CQ</t>
  </si>
  <si>
    <t>Subject4 Total</t>
  </si>
  <si>
    <t>Subject3 Grade</t>
  </si>
  <si>
    <t>Subject4 Grade</t>
  </si>
  <si>
    <t>Subject3 Point</t>
  </si>
  <si>
    <t>Subject4 Point</t>
  </si>
  <si>
    <t>Accounting</t>
  </si>
  <si>
    <t>Production</t>
  </si>
  <si>
    <t>Finance</t>
  </si>
  <si>
    <t>Economics</t>
  </si>
  <si>
    <t>01737859494</t>
  </si>
  <si>
    <t>01737859495</t>
  </si>
  <si>
    <t>01737859496</t>
  </si>
  <si>
    <t>01737859497</t>
  </si>
  <si>
    <t>01737859498</t>
  </si>
  <si>
    <t>01737859499</t>
  </si>
  <si>
    <t>01737859500</t>
  </si>
  <si>
    <t>01737859501</t>
  </si>
  <si>
    <t>01737859502</t>
  </si>
  <si>
    <t>01737859503</t>
  </si>
  <si>
    <t>01737859504</t>
  </si>
  <si>
    <t>01737859505</t>
  </si>
  <si>
    <t>01737859506</t>
  </si>
  <si>
    <t>01737859507</t>
  </si>
  <si>
    <t>01737859508</t>
  </si>
  <si>
    <t>01737859509</t>
  </si>
  <si>
    <t>01737859510</t>
  </si>
  <si>
    <t>01737859511</t>
  </si>
  <si>
    <t>01737859512</t>
  </si>
  <si>
    <t>01737859513</t>
  </si>
  <si>
    <t>01737859514</t>
  </si>
  <si>
    <t>01737859515</t>
  </si>
  <si>
    <t>01737859516</t>
  </si>
  <si>
    <t>01737859517</t>
  </si>
  <si>
    <t>01737859518</t>
  </si>
  <si>
    <t>01737859519</t>
  </si>
  <si>
    <t>01737859520</t>
  </si>
  <si>
    <t>01737859521</t>
  </si>
  <si>
    <t>01737859522</t>
  </si>
  <si>
    <t>01737859523</t>
  </si>
  <si>
    <t>01737859524</t>
  </si>
  <si>
    <t>01737859525</t>
  </si>
  <si>
    <t>01737859526</t>
  </si>
  <si>
    <t>01737859527</t>
  </si>
  <si>
    <t>01737859528</t>
  </si>
  <si>
    <t>01737859529</t>
  </si>
  <si>
    <t>01737859530</t>
  </si>
  <si>
    <t>01737859531</t>
  </si>
  <si>
    <t>01737859532</t>
  </si>
  <si>
    <t>01737859533</t>
  </si>
  <si>
    <t>01737859534</t>
  </si>
  <si>
    <t>01737859535</t>
  </si>
  <si>
    <t>01737859536</t>
  </si>
  <si>
    <t>01737859537</t>
  </si>
  <si>
    <t>01737859538</t>
  </si>
  <si>
    <t>01737859539</t>
  </si>
  <si>
    <t>01737859540</t>
  </si>
  <si>
    <t>01737859541</t>
  </si>
  <si>
    <t>01737859542</t>
  </si>
  <si>
    <t>01737859543</t>
  </si>
  <si>
    <t>01737859544</t>
  </si>
  <si>
    <t>01737859545</t>
  </si>
  <si>
    <t>01737859546</t>
  </si>
  <si>
    <t>01737859547</t>
  </si>
  <si>
    <t>01737859548</t>
  </si>
  <si>
    <t>01737859549</t>
  </si>
  <si>
    <t>01737859550</t>
  </si>
  <si>
    <t>01737859551</t>
  </si>
  <si>
    <t>01737859552</t>
  </si>
  <si>
    <t>01737859553</t>
  </si>
  <si>
    <t>01737859554</t>
  </si>
  <si>
    <t>01737859555</t>
  </si>
  <si>
    <t>01737859556</t>
  </si>
  <si>
    <t>01737859557</t>
  </si>
  <si>
    <t>01737859558</t>
  </si>
  <si>
    <t>01737859559</t>
  </si>
  <si>
    <t>01737859560</t>
  </si>
  <si>
    <t>01737859561</t>
  </si>
  <si>
    <t>01737859562</t>
  </si>
  <si>
    <t>01737859563</t>
  </si>
  <si>
    <t>01737859564</t>
  </si>
  <si>
    <t>01737859565</t>
  </si>
  <si>
    <t>01737859566</t>
  </si>
  <si>
    <t>01737859567</t>
  </si>
  <si>
    <t>01737859568</t>
  </si>
  <si>
    <t>01737859569</t>
  </si>
  <si>
    <t>01737859570</t>
  </si>
  <si>
    <t>01737859571</t>
  </si>
  <si>
    <t>01737859572</t>
  </si>
  <si>
    <t>01737859573</t>
  </si>
  <si>
    <t>01737859574</t>
  </si>
  <si>
    <t>01737859575</t>
  </si>
  <si>
    <t>01737859576</t>
  </si>
  <si>
    <t>01737859577</t>
  </si>
  <si>
    <t>01737859578</t>
  </si>
  <si>
    <t>01737859579</t>
  </si>
  <si>
    <t>01737859580</t>
  </si>
  <si>
    <t>01737859581</t>
  </si>
  <si>
    <t>01737859582</t>
  </si>
  <si>
    <t>01737859583</t>
  </si>
  <si>
    <t>01737859584</t>
  </si>
  <si>
    <t>01737859585</t>
  </si>
  <si>
    <t>01737859586</t>
  </si>
  <si>
    <t>01737859587</t>
  </si>
  <si>
    <t>01737859588</t>
  </si>
  <si>
    <t>01737859589</t>
  </si>
  <si>
    <t>01737859590</t>
  </si>
  <si>
    <t>01737859591</t>
  </si>
  <si>
    <t>01737859592</t>
  </si>
  <si>
    <t>01737859593</t>
  </si>
  <si>
    <t>01737859594</t>
  </si>
  <si>
    <t>01737859595</t>
  </si>
  <si>
    <t>01737859596</t>
  </si>
  <si>
    <t>01737859597</t>
  </si>
  <si>
    <t>01737859598</t>
  </si>
  <si>
    <t>01737859599</t>
  </si>
  <si>
    <t>01737859600</t>
  </si>
  <si>
    <t>01737859601</t>
  </si>
  <si>
    <t>01737859602</t>
  </si>
  <si>
    <t>01737859603</t>
  </si>
  <si>
    <t>01737859604</t>
  </si>
  <si>
    <t>01737859605</t>
  </si>
  <si>
    <t>01737859606</t>
  </si>
  <si>
    <t>01737859607</t>
  </si>
  <si>
    <t>01737859608</t>
  </si>
  <si>
    <t>01737859609</t>
  </si>
  <si>
    <t>01737859610</t>
  </si>
  <si>
    <t>01737859611</t>
  </si>
  <si>
    <t>01737859612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</si>
  <si>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</si>
  <si>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</si>
  <si>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</si>
  <si>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</si>
  <si>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</si>
  <si>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</si>
  <si>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</si>
  <si>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</si>
  <si>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</si>
  <si>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</si>
  <si>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</si>
  <si>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</si>
  <si>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</si>
  <si>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</si>
  <si>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</si>
  <si>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</si>
  <si>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</si>
  <si>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</si>
  <si>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</si>
  <si>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</si>
  <si>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</si>
  <si>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</si>
  <si>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</si>
  <si>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</si>
  <si>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</si>
  <si>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</si>
  <si>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</si>
  <si>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</si>
  <si>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2023-53</t>
  </si>
  <si>
    <t>2023-54</t>
  </si>
  <si>
    <t>2023-55</t>
  </si>
  <si>
    <t>2023-56</t>
  </si>
  <si>
    <t>2023-57</t>
  </si>
  <si>
    <t>2023-58</t>
  </si>
  <si>
    <t>2023-59</t>
  </si>
  <si>
    <t>2023-60</t>
  </si>
  <si>
    <t>2023-61</t>
  </si>
  <si>
    <t>2023-62</t>
  </si>
  <si>
    <t>2023-63</t>
  </si>
  <si>
    <t>2023-64</t>
  </si>
  <si>
    <t>2023-65</t>
  </si>
  <si>
    <t>2023-66</t>
  </si>
  <si>
    <t>2023-67</t>
  </si>
  <si>
    <t>2023-68</t>
  </si>
  <si>
    <t>2023-69</t>
  </si>
  <si>
    <t>2023-70</t>
  </si>
  <si>
    <t>2023-71</t>
  </si>
  <si>
    <t>2023-72</t>
  </si>
  <si>
    <t>2023-73</t>
  </si>
  <si>
    <t>2023-74</t>
  </si>
  <si>
    <t>2023-75</t>
  </si>
  <si>
    <t>2023-76</t>
  </si>
  <si>
    <t>2023-77</t>
  </si>
  <si>
    <t>2023-78</t>
  </si>
  <si>
    <t>2023-79</t>
  </si>
  <si>
    <t>2023-80</t>
  </si>
  <si>
    <t>2023-81</t>
  </si>
  <si>
    <t>2023-82</t>
  </si>
  <si>
    <t>2023-83</t>
  </si>
  <si>
    <t>2023-84</t>
  </si>
  <si>
    <t>2023-85</t>
  </si>
  <si>
    <t>2023-86</t>
  </si>
  <si>
    <t>2023-87</t>
  </si>
  <si>
    <t>2023-88</t>
  </si>
  <si>
    <t>2023-89</t>
  </si>
  <si>
    <t>2023-90</t>
  </si>
  <si>
    <t>2023-91</t>
  </si>
  <si>
    <t>2023-92</t>
  </si>
  <si>
    <t>2023-93</t>
  </si>
  <si>
    <t>2023-94</t>
  </si>
  <si>
    <t>2023-95</t>
  </si>
  <si>
    <t>2023-96</t>
  </si>
  <si>
    <t>2023-97</t>
  </si>
  <si>
    <t>2023-98</t>
  </si>
  <si>
    <t>2023-99</t>
  </si>
  <si>
    <t>2023-100</t>
  </si>
  <si>
    <t>2023-101</t>
  </si>
  <si>
    <t>2023-102</t>
  </si>
  <si>
    <t>2023-103</t>
  </si>
  <si>
    <t>2023-104</t>
  </si>
  <si>
    <t>2023-105</t>
  </si>
  <si>
    <t>2023-106</t>
  </si>
  <si>
    <t>2023-107</t>
  </si>
  <si>
    <t>2023-108</t>
  </si>
  <si>
    <t>2023-109</t>
  </si>
  <si>
    <t>2023-110</t>
  </si>
  <si>
    <t>2023-111</t>
  </si>
  <si>
    <t>2023-112</t>
  </si>
  <si>
    <t>2023-113</t>
  </si>
  <si>
    <t>2023-114</t>
  </si>
  <si>
    <t>2023-115</t>
  </si>
  <si>
    <t>2023-116</t>
  </si>
  <si>
    <t>2023-117</t>
  </si>
  <si>
    <t>2023-118</t>
  </si>
  <si>
    <t>2023-119</t>
  </si>
  <si>
    <t>2023-120</t>
  </si>
  <si>
    <t>2023-121</t>
  </si>
  <si>
    <t>2023-122</t>
  </si>
  <si>
    <t>2023-123</t>
  </si>
  <si>
    <t>2023-124</t>
  </si>
  <si>
    <t>2023-125</t>
  </si>
  <si>
    <t>2023-126</t>
  </si>
  <si>
    <t>2023-127</t>
  </si>
  <si>
    <t>2023-128</t>
  </si>
  <si>
    <t>2023-129</t>
  </si>
  <si>
    <t>2023-130</t>
  </si>
  <si>
    <t>2023-131</t>
  </si>
  <si>
    <t>2023-132</t>
  </si>
  <si>
    <t>2023-133</t>
  </si>
  <si>
    <t>Compulsory3</t>
  </si>
  <si>
    <t>Gender</t>
  </si>
  <si>
    <t>Female</t>
  </si>
  <si>
    <t>Male</t>
  </si>
  <si>
    <t>Accounting Point</t>
  </si>
  <si>
    <t>Management Point</t>
  </si>
  <si>
    <t>Accounting MCQ</t>
  </si>
  <si>
    <t>Accounting CQ</t>
  </si>
  <si>
    <t>Accounting Total</t>
  </si>
  <si>
    <t>Management Grade</t>
  </si>
  <si>
    <t>Accounting Grade</t>
  </si>
  <si>
    <t xml:space="preserve">Robiul Sani </t>
  </si>
  <si>
    <t>Md. Mobarok Hosain</t>
  </si>
  <si>
    <t>Sweety Begum</t>
  </si>
  <si>
    <t>Islam</t>
  </si>
  <si>
    <t>Shakhawat Hosain</t>
  </si>
  <si>
    <t>Abdul Sattar</t>
  </si>
  <si>
    <t>Nur Zanan Begum</t>
  </si>
  <si>
    <t>Nusrat Sultana</t>
  </si>
  <si>
    <t>Golan Sarwar</t>
  </si>
  <si>
    <t>Anowara Begum</t>
  </si>
  <si>
    <t>Nusrat Zahan</t>
  </si>
  <si>
    <t>Md. Ibrahim</t>
  </si>
  <si>
    <t>Mst. Marjahan</t>
  </si>
  <si>
    <t>Istiaque Mahmud</t>
  </si>
  <si>
    <t>Samsuddin Rumu</t>
  </si>
  <si>
    <t>Nur Nahar Begum</t>
  </si>
  <si>
    <t>Naznin Aktar</t>
  </si>
  <si>
    <t>Ruhul Amin</t>
  </si>
  <si>
    <t>Hasina Aktar</t>
  </si>
  <si>
    <t>Fariha Islam</t>
  </si>
  <si>
    <t>Mohammad Selim</t>
  </si>
  <si>
    <t>Parvin Aktar</t>
  </si>
  <si>
    <t>Suraiya Aktar</t>
  </si>
  <si>
    <t>Nur Alom</t>
  </si>
  <si>
    <t>Selina Aktar</t>
  </si>
  <si>
    <t>Muntasir Ahamml Siyam</t>
  </si>
  <si>
    <t>Hannan Ahmed</t>
  </si>
  <si>
    <t>Nilufa Yeasmin</t>
  </si>
  <si>
    <t>Tanbir Ahammed Alif</t>
  </si>
  <si>
    <t>Daud Ahamod</t>
  </si>
  <si>
    <t>Shokhina Khatun</t>
  </si>
  <si>
    <t xml:space="preserve">Asifuz Zaman </t>
  </si>
  <si>
    <t>Abul Hosain</t>
  </si>
  <si>
    <t>Arzu Begum</t>
  </si>
  <si>
    <t>Md. Arfatuzzaman</t>
  </si>
  <si>
    <t xml:space="preserve">Md. Alomgir </t>
  </si>
  <si>
    <t>Joinob Bibi</t>
  </si>
  <si>
    <t>Meherab Hosain</t>
  </si>
  <si>
    <t>Zaker Hosain</t>
  </si>
  <si>
    <t>Roksana Aktar</t>
  </si>
  <si>
    <t>Amirul Islam</t>
  </si>
  <si>
    <t>Sana Ullah</t>
  </si>
  <si>
    <t>Gol Sanara Begum</t>
  </si>
  <si>
    <t>Bibi Amena Begum Sraboni</t>
  </si>
  <si>
    <t>Md. Helal Uddin</t>
  </si>
  <si>
    <t>Bibi Zoynob</t>
  </si>
  <si>
    <t>Zannatul Nayem</t>
  </si>
  <si>
    <t>Md. Khaked Saifullah</t>
  </si>
  <si>
    <t>Hazera Aktar</t>
  </si>
  <si>
    <t>Imam Hosain Apurbo</t>
  </si>
  <si>
    <t>Kausar Alom</t>
  </si>
  <si>
    <t>Fency</t>
  </si>
  <si>
    <t>Mowasser Hosain</t>
  </si>
  <si>
    <t>Mostofa Kamal</t>
  </si>
  <si>
    <t>Rokeya Begum</t>
  </si>
  <si>
    <t>Tanvir</t>
  </si>
  <si>
    <t>Shahab Uddin</t>
  </si>
  <si>
    <t>Bibi Amena</t>
  </si>
  <si>
    <t>Md. Shakib</t>
  </si>
  <si>
    <t>Md. Hanif</t>
  </si>
  <si>
    <t>Gunai Bibi</t>
  </si>
  <si>
    <t>Farzana Aktar Zitu</t>
  </si>
  <si>
    <t>Abdul Mannan</t>
  </si>
  <si>
    <t>Monowara Begum</t>
  </si>
  <si>
    <t>Sumaiya Ferdaus Neha</t>
  </si>
  <si>
    <t>Md. Nizam Uddin</t>
  </si>
  <si>
    <t>Ferdaus Ara Begum</t>
  </si>
  <si>
    <t>Zannatul Mawa Prema</t>
  </si>
  <si>
    <t>Abul Kalam</t>
  </si>
  <si>
    <t>Lutfun Nahar</t>
  </si>
  <si>
    <t>Zannatul Ferdaus</t>
  </si>
  <si>
    <t>Abdul Barik Miya</t>
  </si>
  <si>
    <t>Momtaz Begum</t>
  </si>
  <si>
    <t>Narkis Aktar Nupur</t>
  </si>
  <si>
    <t>Zoynal Abdin</t>
  </si>
  <si>
    <t>Zahanara Begum</t>
  </si>
  <si>
    <t>Sidratul Muntaha</t>
  </si>
  <si>
    <t>Md. Ismail Harun</t>
  </si>
  <si>
    <t>Anjuman Ara Rosi</t>
  </si>
  <si>
    <t>Sanzida Aktar</t>
  </si>
  <si>
    <t>Azizul Haque</t>
  </si>
  <si>
    <t>Rabeya Begum</t>
  </si>
  <si>
    <t>Mazhar Uddin</t>
  </si>
  <si>
    <t>Main Uddin</t>
  </si>
  <si>
    <t>Aleya Begum</t>
  </si>
  <si>
    <t>Nahid Hasan</t>
  </si>
  <si>
    <t>Neyamot Ullah</t>
  </si>
  <si>
    <t>Dawlat Ara Begum</t>
  </si>
  <si>
    <t>Mahmud Hasan Fuad</t>
  </si>
  <si>
    <t>Mohammod Mahfuzul Haqueq</t>
  </si>
  <si>
    <t>Rahima Aktar</t>
  </si>
  <si>
    <t>Zabeb Hosain</t>
  </si>
  <si>
    <t>Zahangir Hosain</t>
  </si>
  <si>
    <t>Rahela Begum</t>
  </si>
  <si>
    <t>Shahinur Islam</t>
  </si>
  <si>
    <t>Dulal</t>
  </si>
  <si>
    <t>Gulnahar Begum</t>
  </si>
  <si>
    <t>Md. Al Amin Haydar</t>
  </si>
  <si>
    <t>Misul Haydar</t>
  </si>
  <si>
    <t>Rehena Haydar</t>
  </si>
  <si>
    <t>Md. Hasanain Hosain</t>
  </si>
  <si>
    <t>Altap Hosain</t>
  </si>
  <si>
    <t>Bibi Kulsum</t>
  </si>
  <si>
    <t>Md. Abu Taher Zitu</t>
  </si>
  <si>
    <t>Md. Abul Kashem</t>
  </si>
  <si>
    <t>Khalid Bin Alom</t>
  </si>
  <si>
    <t>Sairul Alom</t>
  </si>
  <si>
    <t>Kanrun Nahar</t>
  </si>
  <si>
    <t>Mobarok Hosain</t>
  </si>
  <si>
    <t>Md. Mosharof Hosain</t>
  </si>
  <si>
    <t>Nazmun Nahar</t>
  </si>
  <si>
    <t>Jomir Hosain</t>
  </si>
  <si>
    <t>Md. Zosim Uddin</t>
  </si>
  <si>
    <t>Walid Hasan Anol</t>
  </si>
  <si>
    <t>Osman Goni</t>
  </si>
  <si>
    <t>Ankurer Nesa</t>
  </si>
  <si>
    <t>Golam Mahnud</t>
  </si>
  <si>
    <t>Gius Uddin</t>
  </si>
  <si>
    <t>Md. Samir Hosain</t>
  </si>
  <si>
    <t>Ismail Hosain</t>
  </si>
  <si>
    <t>Masum Ara Begum</t>
  </si>
  <si>
    <t>Md. Imran Hosain</t>
  </si>
  <si>
    <t>Md. Faruk Hosain</t>
  </si>
  <si>
    <t>Rehana Aktar</t>
  </si>
  <si>
    <t>Mohammad Yeasin</t>
  </si>
  <si>
    <t>Shariyat Ullah</t>
  </si>
  <si>
    <t>Josna Bagum</t>
  </si>
  <si>
    <t>Abdur Rahman</t>
  </si>
  <si>
    <t>Zamal Uddin</t>
  </si>
  <si>
    <t>Shamsun Nahar</t>
  </si>
  <si>
    <t>Md. Osman Goni</t>
  </si>
  <si>
    <t xml:space="preserve">Ala Uddin Manik </t>
  </si>
  <si>
    <t>Tanvir Hosain</t>
  </si>
  <si>
    <t>Belayet Hosain</t>
  </si>
  <si>
    <t>Moriyum Runa</t>
  </si>
  <si>
    <t>Monowar Hosain</t>
  </si>
  <si>
    <t>Delwar Hosain</t>
  </si>
  <si>
    <t>Rojina Sultana</t>
  </si>
  <si>
    <t>Mehedi Hasan</t>
  </si>
  <si>
    <t>Ala Uddin</t>
  </si>
  <si>
    <t>Mia Md. Mahrup Murshid</t>
  </si>
  <si>
    <t>Zohirul Haque</t>
  </si>
  <si>
    <t>Mishu Alom Suddik</t>
  </si>
  <si>
    <t>Abu Bokkor Siddik</t>
  </si>
  <si>
    <t>Md. Dulal</t>
  </si>
  <si>
    <t>Abu Taher</t>
  </si>
  <si>
    <t>Zannatul Ferdous</t>
  </si>
  <si>
    <t>Nowshad Ali</t>
  </si>
  <si>
    <t>Iqbal Hosain</t>
  </si>
  <si>
    <t>Md. Musa</t>
  </si>
  <si>
    <t>Md. Younus</t>
  </si>
  <si>
    <t>Najmun Nahar</t>
  </si>
  <si>
    <t>Setara Bagum</t>
  </si>
  <si>
    <t>Tahamina Tabassum</t>
  </si>
  <si>
    <t>Md. Hasan Sabuj</t>
  </si>
  <si>
    <t>Bibi Marjahan Rosi</t>
  </si>
  <si>
    <t>Tanjila Akrar</t>
  </si>
  <si>
    <t>Muzammel Haque</t>
  </si>
  <si>
    <t>Zahan Ara Begum</t>
  </si>
  <si>
    <t>Nusrat Zahan Evana</t>
  </si>
  <si>
    <t>Golam Sarowar</t>
  </si>
  <si>
    <t>Laily Begum</t>
  </si>
  <si>
    <t>Nahat Binte Raju</t>
  </si>
  <si>
    <t>Sharmin Aktar</t>
  </si>
  <si>
    <t>Nadiya Tasmin Nipu</t>
  </si>
  <si>
    <t>Nurul Haque</t>
  </si>
  <si>
    <t>Hasina Khatun</t>
  </si>
  <si>
    <t>Umme Habiba Niha</t>
  </si>
  <si>
    <t>Imam Uddin</t>
  </si>
  <si>
    <t>Md. Ridwan Hosain</t>
  </si>
  <si>
    <t>Md. Roisul Haque</t>
  </si>
  <si>
    <t>Ferdous Aktar</t>
  </si>
  <si>
    <t>Mehedi Hasan Rahim</t>
  </si>
  <si>
    <t>Shahid Ullah</t>
  </si>
  <si>
    <t>Mominul Haque</t>
  </si>
  <si>
    <t>Mahfuzur Rahman</t>
  </si>
  <si>
    <t>Kohinur Aktar</t>
  </si>
  <si>
    <t>Farhana Islam</t>
  </si>
  <si>
    <t>Rafiq Ullah</t>
  </si>
  <si>
    <t>Rowshon Ara Begum</t>
  </si>
  <si>
    <t>Md. Mushfiqul Alom</t>
  </si>
  <si>
    <t>Mofiz Alom</t>
  </si>
  <si>
    <t>Fokhrul Alom</t>
  </si>
  <si>
    <t>Firoz Alom</t>
  </si>
  <si>
    <t>Sanzida Aktar Ruhi</t>
  </si>
  <si>
    <t>Abul Kasen Mintu</t>
  </si>
  <si>
    <t>Marzahan Begum</t>
  </si>
  <si>
    <t>Miheraz Hosain</t>
  </si>
  <si>
    <t xml:space="preserve">Md. Yousuf </t>
  </si>
  <si>
    <t>Bibi Tahera</t>
  </si>
  <si>
    <t>Md. Naymul Islam</t>
  </si>
  <si>
    <t>Md. Zafor Ullah</t>
  </si>
  <si>
    <t>Aklima Begum</t>
  </si>
  <si>
    <t>Nirob Chandra Dhupi</t>
  </si>
  <si>
    <t>Samir Chandra Dhupi</t>
  </si>
  <si>
    <t>Shilpi Rani Das</t>
  </si>
  <si>
    <t>Mohammad Ibrahim</t>
  </si>
  <si>
    <t>Setara Begum</t>
  </si>
  <si>
    <t>Sultan Ahammed Nafiz</t>
  </si>
  <si>
    <t>Abul Kasem</t>
  </si>
  <si>
    <t>Mahmuda Khatum</t>
  </si>
  <si>
    <t xml:space="preserve">Mehedi Hasan </t>
  </si>
  <si>
    <t>Md. Jebal Haque</t>
  </si>
  <si>
    <t>Fatema Khatun</t>
  </si>
  <si>
    <t>Torikul Islam</t>
  </si>
  <si>
    <t>Jahangir Hosain</t>
  </si>
  <si>
    <t>Irin Aktar</t>
  </si>
  <si>
    <t>Hamidul Haque</t>
  </si>
  <si>
    <t>Zohura Khatun</t>
  </si>
  <si>
    <t>Karimul Islam</t>
  </si>
  <si>
    <t>Fokhrul Islam</t>
  </si>
  <si>
    <t>Omor Faruque</t>
  </si>
  <si>
    <t>Marzahan Aktar</t>
  </si>
  <si>
    <t xml:space="preserve">Yousup Ashraf </t>
  </si>
  <si>
    <t>Kamruzzaman</t>
  </si>
  <si>
    <t>Golapi Khatun</t>
  </si>
  <si>
    <t>Zoshim Uddin</t>
  </si>
  <si>
    <t>Taslima Khatun</t>
  </si>
  <si>
    <t>Meheraz Hasan</t>
  </si>
  <si>
    <t>Emdad Hosain</t>
  </si>
  <si>
    <t>Imran Hosain</t>
  </si>
  <si>
    <t>Kohinur Begum</t>
  </si>
  <si>
    <t>Raihanul Haque</t>
  </si>
  <si>
    <t>Enamul Haque</t>
  </si>
  <si>
    <t>Bibi Hazera</t>
  </si>
  <si>
    <t>Mohammad Tahmid</t>
  </si>
  <si>
    <t>Abu Sufiyan</t>
  </si>
  <si>
    <t xml:space="preserve">Imam Hosain </t>
  </si>
  <si>
    <t>Shah Alom</t>
  </si>
  <si>
    <t>Nur Nahar</t>
  </si>
  <si>
    <t>Abdul Kader</t>
  </si>
  <si>
    <t>Zibon Ara Begum</t>
  </si>
  <si>
    <t xml:space="preserve">Romana Aktar </t>
  </si>
  <si>
    <t>Abdur Rob</t>
  </si>
  <si>
    <t>Prithika Rani Debi</t>
  </si>
  <si>
    <t>Manik Chandra Nath</t>
  </si>
  <si>
    <t>Konika Rani Debi</t>
  </si>
  <si>
    <t>Hindu</t>
  </si>
  <si>
    <t>Mohammad Shahriyar Nafiz</t>
  </si>
  <si>
    <t>Md. Golam Sarowar</t>
  </si>
  <si>
    <t>Kamrun Nahar</t>
  </si>
  <si>
    <t>Rumpa Rani Debi</t>
  </si>
  <si>
    <t>Kantilal Debnath</t>
  </si>
  <si>
    <t>Shobita Rani Debi</t>
  </si>
  <si>
    <t>Saiful Islam</t>
  </si>
  <si>
    <t>Nur Islam</t>
  </si>
  <si>
    <t>Khotiza Khatun</t>
  </si>
  <si>
    <t>Zohirul Islam</t>
  </si>
  <si>
    <t>Md. Nur Nobi</t>
  </si>
  <si>
    <t>Nur Zahan Begum</t>
  </si>
  <si>
    <t>Jahedul Islam</t>
  </si>
  <si>
    <t>Shahid Uddal</t>
  </si>
  <si>
    <t>Rupali</t>
  </si>
  <si>
    <t>Ali Hosain</t>
  </si>
  <si>
    <t>Alauddin</t>
  </si>
  <si>
    <t>Lakima Begum</t>
  </si>
  <si>
    <t>Md. Saiful Islam</t>
  </si>
  <si>
    <t>Mohammad Ibrahim Faruk</t>
  </si>
  <si>
    <t>Ajima Khatun</t>
  </si>
  <si>
    <t>Ashiqur Rahman</t>
  </si>
  <si>
    <t>Md. Abul Hosain</t>
  </si>
  <si>
    <t>Md. Shahadat Hosain Shakib</t>
  </si>
  <si>
    <t>Md. Belal Hossain</t>
  </si>
  <si>
    <t>Bibi Marjahan</t>
  </si>
  <si>
    <t>Shekh Shourov</t>
  </si>
  <si>
    <t>Shekh Forid</t>
  </si>
  <si>
    <t>Maliha Aktar</t>
  </si>
  <si>
    <t>Salim Ullah Babul</t>
  </si>
  <si>
    <t>Nazmun Sabik Siyam</t>
  </si>
  <si>
    <t>Fokhor Uddin</t>
  </si>
  <si>
    <t>Nur Jahan Begum</t>
  </si>
  <si>
    <t>Md. Ali Ashraf</t>
  </si>
  <si>
    <t>Md. Zebol Haque</t>
  </si>
  <si>
    <t>Abu Sufiyan Noyon</t>
  </si>
  <si>
    <t>Abul Bashar</t>
  </si>
  <si>
    <t>Md. Omor Ali Zidan</t>
  </si>
  <si>
    <t>Mohammad Ali Babul</t>
  </si>
  <si>
    <t>Eti</t>
  </si>
  <si>
    <t>Nironzon Mozumdar</t>
  </si>
  <si>
    <t>Taposhi Rani Das</t>
  </si>
  <si>
    <t>Jhumur Mojumdar</t>
  </si>
  <si>
    <t>Gopal Chandra Mojumdar</t>
  </si>
  <si>
    <t>Joshna Rani Mojumdar</t>
  </si>
  <si>
    <t>Boishakhi Mojumdar</t>
  </si>
  <si>
    <t>Priyolal Mojumdar</t>
  </si>
  <si>
    <t>Chiku Rani Mojumdar</t>
  </si>
  <si>
    <t>Shekh Shahriyar Aziz</t>
  </si>
  <si>
    <t>Shekh Jamal</t>
  </si>
  <si>
    <t>Forida Yeasmin</t>
  </si>
  <si>
    <t xml:space="preserve">Zahidul Islam </t>
  </si>
  <si>
    <t>Ayesha Siddika</t>
  </si>
  <si>
    <t>Jorina Aktar</t>
  </si>
  <si>
    <t>Md. Boshir Ullah</t>
  </si>
  <si>
    <t>Asmaul Hosna</t>
  </si>
  <si>
    <t>Youhidul Islam</t>
  </si>
  <si>
    <t>Aman Ullah</t>
  </si>
  <si>
    <t>Shiraj Ullah Bahar</t>
  </si>
  <si>
    <t>Ajharul Islam</t>
  </si>
  <si>
    <t>Zafor Ullah</t>
  </si>
  <si>
    <t>umme Salma</t>
  </si>
  <si>
    <t>Fokkrul Islam</t>
  </si>
  <si>
    <t>Md. A</t>
  </si>
  <si>
    <t>Moumita Tabassum</t>
  </si>
  <si>
    <t>Delowar Hossain</t>
  </si>
  <si>
    <t>Mahera Aktar</t>
  </si>
  <si>
    <t>Tasfia Atrar</t>
  </si>
  <si>
    <t>Md. Hamidul Haqqur</t>
  </si>
  <si>
    <t>Sultana Aktar</t>
  </si>
  <si>
    <t>Farzana Aktar Mili</t>
  </si>
  <si>
    <t>Md. Alomgir Hossain</t>
  </si>
  <si>
    <t>Marjahan Begum</t>
  </si>
  <si>
    <t>Tanvir Hossain</t>
  </si>
  <si>
    <t>Ayesha Aktar</t>
  </si>
  <si>
    <t>Mizanur Rahman</t>
  </si>
  <si>
    <t>Obaydul Haque</t>
  </si>
  <si>
    <t>Yeasin Arafat</t>
  </si>
  <si>
    <t>Golam Mawla</t>
  </si>
  <si>
    <t>Bibi Ayesha</t>
  </si>
  <si>
    <t>Abdullah Al Noman</t>
  </si>
  <si>
    <t>Delower Hossain</t>
  </si>
  <si>
    <t>Zahangir Alam</t>
  </si>
  <si>
    <t>Ashrafun Nesa</t>
  </si>
  <si>
    <t>Md. Alamgir Hossain</t>
  </si>
  <si>
    <t>Anayet Ullah</t>
  </si>
  <si>
    <t xml:space="preserve">Dawlat Ara </t>
  </si>
  <si>
    <t>Nurul Afsar Ashraf</t>
  </si>
  <si>
    <t>Mofiz Ullah</t>
  </si>
  <si>
    <t>Marjahan Aktar</t>
  </si>
  <si>
    <t>Ahsan Ullahq</t>
  </si>
  <si>
    <t>Nur Jahan</t>
  </si>
  <si>
    <t>Abul Hasim</t>
  </si>
  <si>
    <t>Israt Jahan</t>
  </si>
  <si>
    <t>Shah Jamal</t>
  </si>
  <si>
    <t>Moriumer Nesa</t>
  </si>
  <si>
    <t>Md. Nur Nabi Hasan Roni</t>
  </si>
  <si>
    <t>Md. Alomgir</t>
  </si>
  <si>
    <t>Ruma Begum</t>
  </si>
  <si>
    <t>Khaled Bin Rahmat</t>
  </si>
  <si>
    <t>Zosim Uddin</t>
  </si>
  <si>
    <t>Taslima Aktar</t>
  </si>
  <si>
    <t>Md. Omor Faruk</t>
  </si>
  <si>
    <t>Nasima Aktar</t>
  </si>
  <si>
    <t>Zihad Hossain</t>
  </si>
  <si>
    <t>Mosharrof Hossain</t>
  </si>
  <si>
    <t>Gol Nahar Begum</t>
  </si>
  <si>
    <t>Ayesha Khatun</t>
  </si>
  <si>
    <t>Manik Miya</t>
  </si>
  <si>
    <t>Ismail Hossain</t>
  </si>
  <si>
    <t>Ali Ahmed</t>
  </si>
  <si>
    <t>Zahanara Khatun</t>
  </si>
  <si>
    <t>Md. Shahadat Hossain</t>
  </si>
  <si>
    <t>Md. Sobuj</t>
  </si>
  <si>
    <t>Shahnara Begum</t>
  </si>
  <si>
    <t>Tabzid Mahmud</t>
  </si>
  <si>
    <t>Zohir Uddin</t>
  </si>
  <si>
    <t>Md. Ariful Islam</t>
  </si>
  <si>
    <t>Md. Tajul Islam</t>
  </si>
  <si>
    <t>Arju Islam</t>
  </si>
  <si>
    <t>Mostafizur Rahman</t>
  </si>
  <si>
    <t>Mofijul Haque</t>
  </si>
  <si>
    <t>Senowara Begum</t>
  </si>
  <si>
    <t xml:space="preserve">Md. Al Amin </t>
  </si>
  <si>
    <t>Nur Mohammad</t>
  </si>
  <si>
    <t>Bibi Fatema Khatun</t>
  </si>
  <si>
    <t>Sazzad Hossain Sanzid</t>
  </si>
  <si>
    <t>Md. Shohel</t>
  </si>
  <si>
    <t>Nazmun Nahar Shopna</t>
  </si>
  <si>
    <t>Religion</t>
  </si>
  <si>
    <t>01737859613</t>
  </si>
  <si>
    <t>2023-134</t>
  </si>
  <si>
    <t>01737859614</t>
  </si>
  <si>
    <t>2023-135</t>
  </si>
  <si>
    <t>01737859615</t>
  </si>
  <si>
    <t>2023-136</t>
  </si>
  <si>
    <t>01737859616</t>
  </si>
  <si>
    <t>2023-137</t>
  </si>
  <si>
    <t>01737859617</t>
  </si>
  <si>
    <t>2023-138</t>
  </si>
  <si>
    <t>01737859618</t>
  </si>
  <si>
    <t>2023-139</t>
  </si>
  <si>
    <t>01737859619</t>
  </si>
  <si>
    <t>2023-140</t>
  </si>
  <si>
    <t>01737859620</t>
  </si>
  <si>
    <t>2023-141</t>
  </si>
  <si>
    <t>01737859621</t>
  </si>
  <si>
    <t>2023-142</t>
  </si>
  <si>
    <t>01737859622</t>
  </si>
  <si>
    <t>2023-143</t>
  </si>
  <si>
    <t>01737859623</t>
  </si>
  <si>
    <t>2023-144</t>
  </si>
  <si>
    <t>Md. Sohrab Hossain</t>
  </si>
  <si>
    <t>Jannatul Nure Hafsa</t>
  </si>
  <si>
    <t>Khadiza Aktar</t>
  </si>
  <si>
    <t>01737859624</t>
  </si>
  <si>
    <t>2023-145</t>
  </si>
  <si>
    <t>01737859625</t>
  </si>
  <si>
    <t>2023-146</t>
  </si>
  <si>
    <t>01737859626</t>
  </si>
  <si>
    <t>2023-147</t>
  </si>
  <si>
    <t>01737859627</t>
  </si>
  <si>
    <t>2023-148</t>
  </si>
  <si>
    <t>Business Organization</t>
  </si>
  <si>
    <t>Mobile</t>
  </si>
  <si>
    <t>01819-676754</t>
  </si>
  <si>
    <t>01610-912995</t>
  </si>
  <si>
    <t>01860-122275</t>
  </si>
  <si>
    <t>01816-398009</t>
  </si>
  <si>
    <t>01815-510589</t>
  </si>
  <si>
    <t>01744-210040</t>
  </si>
  <si>
    <t>01879-665025</t>
  </si>
  <si>
    <t>01815-077814</t>
  </si>
  <si>
    <t>01815-807350</t>
  </si>
  <si>
    <t>01319-298374</t>
  </si>
  <si>
    <t>01875-729210</t>
  </si>
  <si>
    <t>01869-187587</t>
  </si>
  <si>
    <t>01716-267323</t>
  </si>
  <si>
    <t>01818-348753</t>
  </si>
  <si>
    <t>01850-832208</t>
  </si>
  <si>
    <t>01890-146457</t>
  </si>
  <si>
    <t>01871-319362</t>
  </si>
  <si>
    <t>01832-881457</t>
  </si>
  <si>
    <t>01867-651702</t>
  </si>
  <si>
    <t>01604-890687</t>
  </si>
  <si>
    <t>01851-311960</t>
  </si>
  <si>
    <t>01747-110412</t>
  </si>
  <si>
    <t>01870-998792</t>
  </si>
  <si>
    <t>01856-624208</t>
  </si>
  <si>
    <t>01321-874573</t>
  </si>
  <si>
    <t>01819-416787</t>
  </si>
  <si>
    <t>01824-472033</t>
  </si>
  <si>
    <t>01852-616960</t>
  </si>
  <si>
    <t>01873-749109</t>
  </si>
  <si>
    <t>01830-41149</t>
  </si>
  <si>
    <t>01839-316739</t>
  </si>
  <si>
    <t>01828-789221</t>
  </si>
  <si>
    <t>01818-788169</t>
  </si>
  <si>
    <t>01822-283145</t>
  </si>
  <si>
    <t>Combined Total Marks</t>
  </si>
  <si>
    <t>Business Org. MCQ</t>
  </si>
  <si>
    <t>Business Org. CQ</t>
  </si>
  <si>
    <t>Business Org. Total</t>
  </si>
  <si>
    <t>Rank</t>
  </si>
  <si>
    <t>T. Point</t>
  </si>
  <si>
    <t xml:space="preserve">GPA W 4th </t>
  </si>
  <si>
    <t>Merit Position</t>
  </si>
  <si>
    <t>After -2</t>
  </si>
  <si>
    <t>Business Org.</t>
  </si>
  <si>
    <t>SL</t>
  </si>
  <si>
    <t>Comment</t>
  </si>
  <si>
    <t>Business Studies</t>
  </si>
  <si>
    <t>Comment2</t>
  </si>
  <si>
    <r>
      <t xml:space="preserve">
</t>
    </r>
    <r>
      <rPr>
        <u/>
        <sz val="14"/>
        <color theme="1"/>
        <rFont val="Calibri"/>
        <family val="2"/>
        <scheme val="minor"/>
      </rPr>
      <t>Result (Fail in One Subject)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</si>
  <si>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
</t>
    </r>
    <r>
      <rPr>
        <u/>
        <sz val="14"/>
        <color theme="1"/>
        <rFont val="Calibri"/>
        <family val="2"/>
        <scheme val="minor"/>
      </rPr>
      <t>Result (Fail in Two Subjects)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</si>
  <si>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
</t>
    </r>
    <r>
      <rPr>
        <u/>
        <sz val="14"/>
        <color theme="1"/>
        <rFont val="Calibri"/>
        <family val="2"/>
        <scheme val="minor"/>
      </rPr>
      <t>Result (Fail in Three Subjects)</t>
    </r>
    <r>
      <rPr>
        <sz val="11"/>
        <color theme="1"/>
        <rFont val="Calibri"/>
        <family val="2"/>
        <scheme val="minor"/>
      </rPr>
      <t xml:space="preserve">
</t>
    </r>
  </si>
  <si>
    <t>BAN</t>
  </si>
  <si>
    <t>ENG</t>
  </si>
  <si>
    <t>I-M</t>
  </si>
  <si>
    <t>I-C</t>
  </si>
  <si>
    <t>I-Pr</t>
  </si>
  <si>
    <t>Ac-M</t>
  </si>
  <si>
    <t>Ac-C</t>
  </si>
  <si>
    <t>ACC</t>
  </si>
  <si>
    <t>BO-M</t>
  </si>
  <si>
    <t>BO-C</t>
  </si>
  <si>
    <t>BO</t>
  </si>
  <si>
    <t>S3-M</t>
  </si>
  <si>
    <t>S3-C</t>
  </si>
  <si>
    <t>SUB3</t>
  </si>
  <si>
    <t>S4-M</t>
  </si>
  <si>
    <t>S4-C</t>
  </si>
  <si>
    <t>SUB4</t>
  </si>
  <si>
    <t>S3-Name</t>
  </si>
  <si>
    <t>S4-Name</t>
  </si>
  <si>
    <t>AC-P</t>
  </si>
  <si>
    <t>BO-P</t>
  </si>
  <si>
    <t>S3-P</t>
  </si>
  <si>
    <t>S4-P</t>
  </si>
  <si>
    <t>TOT W/4</t>
  </si>
  <si>
    <t>TOT-P</t>
  </si>
  <si>
    <t>W4</t>
  </si>
  <si>
    <t>ST</t>
  </si>
  <si>
    <t>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</si>
</sst>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C00000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sz val="18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4" tint="-0.249977111117893"/>
      <name val="Calibri"/>
      <family val="2"/>
      <scheme val="minor"/>
    </font>
    <font>
      <sz val="28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theme="1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10" fillId="4" borderId="0" xfId="0" applyFont="1" applyFill="1" applyProtection="1"/>
    <xf numFmtId="0" fontId="0" fillId="4" borderId="0" xfId="0" applyFill="1" applyProtection="1"/>
    <xf numFmtId="0" fontId="4" fillId="5" borderId="0" xfId="0" applyFont="1" applyFill="1" applyProtection="1"/>
    <xf numFmtId="0" fontId="4" fillId="4" borderId="0" xfId="0" applyFont="1" applyFill="1" applyProtection="1"/>
    <xf numFmtId="0" fontId="11" fillId="5" borderId="0" xfId="0" applyFont="1" applyFill="1" applyAlignment="1" applyProtection="1">
      <alignment horizontal="center"/>
    </xf>
    <xf numFmtId="0" fontId="4" fillId="5" borderId="0" xfId="0" applyFont="1" applyFill="1" applyAlignment="1" applyProtection="1">
      <alignment horizontal="center"/>
    </xf>
    <xf numFmtId="0" fontId="12" fillId="6" borderId="0" xfId="0" applyFont="1" applyFill="1" applyAlignment="1">
      <alignment horizontal="center"/>
    </xf>
    <xf numFmtId="49" fontId="12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 applyProtection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7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12" fillId="6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2" fontId="0" fillId="2" borderId="0" xfId="0" applyNumberFormat="1" applyFill="1" applyBorder="1" applyAlignment="1" applyProtection="1">
      <alignment horizontal="center"/>
    </xf>
    <xf numFmtId="0" fontId="0" fillId="10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14" borderId="0" xfId="0" applyFill="1" applyBorder="1"/>
    <xf numFmtId="0" fontId="0" fillId="9" borderId="0" xfId="0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2" fillId="3" borderId="1" xfId="0" applyFon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0" xfId="0" applyAlignment="1">
      <alignment horizontal="left"/>
    </xf>
    <xf numFmtId="0" fontId="0" fillId="0" borderId="3" xfId="0" applyFill="1" applyBorder="1" applyAlignme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0" xfId="0" applyFont="1"/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wrapText="1"/>
    </xf>
    <xf numFmtId="0" fontId="17" fillId="0" borderId="5" xfId="0" applyFont="1" applyBorder="1" applyAlignment="1">
      <alignment horizontal="left" wrapText="1"/>
    </xf>
    <xf numFmtId="0" fontId="17" fillId="0" borderId="0" xfId="0" applyFont="1" applyAlignment="1">
      <alignment horizontal="left"/>
    </xf>
    <xf numFmtId="0" fontId="18" fillId="0" borderId="5" xfId="0" applyFont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0" fillId="0" borderId="2" xfId="0" applyBorder="1"/>
    <xf numFmtId="2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" xfId="0" applyFont="1" applyFill="1" applyBorder="1" applyAlignment="1" applyProtection="1">
      <alignment horizontal="center"/>
    </xf>
    <xf numFmtId="0" fontId="17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2" fontId="17" fillId="2" borderId="1" xfId="0" applyNumberFormat="1" applyFont="1" applyFill="1" applyBorder="1" applyAlignment="1">
      <alignment horizontal="center"/>
    </xf>
    <xf numFmtId="1" fontId="17" fillId="7" borderId="1" xfId="0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1" fontId="0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23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1" fontId="24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2" fontId="21" fillId="0" borderId="1" xfId="0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1" fillId="0" borderId="0" xfId="0" applyFont="1"/>
    <xf numFmtId="164" fontId="21" fillId="0" borderId="1" xfId="0" applyNumberFormat="1" applyFont="1" applyBorder="1" applyAlignment="1">
      <alignment horizontal="center"/>
    </xf>
    <xf numFmtId="1" fontId="21" fillId="0" borderId="1" xfId="0" applyNumberFormat="1" applyFont="1" applyFill="1" applyBorder="1" applyAlignment="1">
      <alignment horizontal="center"/>
    </xf>
    <xf numFmtId="164" fontId="21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15" borderId="1" xfId="0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0" fillId="15" borderId="1" xfId="0" applyFill="1" applyBorder="1" applyAlignment="1" applyProtection="1">
      <alignment horizontal="center"/>
    </xf>
    <xf numFmtId="0" fontId="0" fillId="15" borderId="1" xfId="0" applyFill="1" applyBorder="1"/>
    <xf numFmtId="0" fontId="0" fillId="15" borderId="0" xfId="0" applyFill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6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5" borderId="0" xfId="0" applyFont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17" fillId="0" borderId="6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15" borderId="0" xfId="0" applyFill="1" applyBorder="1" applyAlignment="1" applyProtection="1">
      <alignment horizontal="center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114300</xdr:rowOff>
    </xdr:from>
    <xdr:to>
      <xdr:col>14</xdr:col>
      <xdr:colOff>705035</xdr:colOff>
      <xdr:row>0</xdr:row>
      <xdr:rowOff>1244658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14300"/>
          <a:ext cx="3606985" cy="1130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114300</xdr:rowOff>
    </xdr:from>
    <xdr:to>
      <xdr:col>14</xdr:col>
      <xdr:colOff>705035</xdr:colOff>
      <xdr:row>0</xdr:row>
      <xdr:rowOff>1244658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14300"/>
          <a:ext cx="3606985" cy="11303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114300</xdr:rowOff>
    </xdr:from>
    <xdr:to>
      <xdr:col>14</xdr:col>
      <xdr:colOff>705035</xdr:colOff>
      <xdr:row>0</xdr:row>
      <xdr:rowOff>1244658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14300"/>
          <a:ext cx="3606985" cy="1130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O10"/>
  <sheetViews>
    <sheetView workbookViewId="0">
      <selection activeCell="J15" sqref="J15"/>
    </sheetView>
  </sheetViews>
  <sheetFormatPr defaultRowHeight="14.5" x14ac:dyDescent="0.35"/>
  <cols>
    <col min="1" max="16384" width="8.7265625" style="18"/>
  </cols>
  <sheetData>
    <row r="8" spans="4:15" ht="55" customHeight="1" x14ac:dyDescent="0.55000000000000004">
      <c r="D8" s="149" t="s">
        <v>31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</row>
    <row r="9" spans="4:15" ht="23.5" x14ac:dyDescent="0.55000000000000004">
      <c r="D9" s="150" t="s">
        <v>20</v>
      </c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</row>
    <row r="10" spans="4:15" ht="23.5" x14ac:dyDescent="0.55000000000000004">
      <c r="D10" s="151" t="s">
        <v>21</v>
      </c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</row>
  </sheetData>
  <sheetProtection formatCells="0" formatColumns="0" formatRows="0" insertColumns="0" insertRows="0" insertHyperlinks="0" deleteColumns="0" deleteRows="0" sort="0" autoFilter="0" pivotTables="0"/>
  <mergeCells count="3">
    <mergeCell ref="D8:O8"/>
    <mergeCell ref="D9:O9"/>
    <mergeCell ref="D10:O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zoomScale="85" zoomScaleNormal="85" workbookViewId="0">
      <selection activeCell="E1" sqref="E1"/>
    </sheetView>
  </sheetViews>
  <sheetFormatPr defaultRowHeight="14.5" x14ac:dyDescent="0.35"/>
  <cols>
    <col min="1" max="1" width="44.26953125" style="20" bestFit="1" customWidth="1"/>
    <col min="2" max="2" width="6.36328125" style="20" customWidth="1"/>
    <col min="3" max="3" width="13.08984375" style="20" customWidth="1"/>
    <col min="4" max="4" width="17.26953125" style="20" customWidth="1"/>
    <col min="5" max="5" width="15.26953125" style="20" customWidth="1"/>
    <col min="6" max="16384" width="8.7265625" style="20"/>
  </cols>
  <sheetData>
    <row r="2" spans="1:5" ht="23.5" x14ac:dyDescent="0.55000000000000004">
      <c r="A2" s="19" t="s">
        <v>29</v>
      </c>
      <c r="C2" s="152" t="s">
        <v>30</v>
      </c>
      <c r="D2" s="153"/>
      <c r="E2" s="153"/>
    </row>
    <row r="4" spans="1:5" ht="21" x14ac:dyDescent="0.5">
      <c r="A4" s="19" t="s">
        <v>22</v>
      </c>
      <c r="B4" s="19"/>
      <c r="C4" s="21"/>
      <c r="E4" s="21"/>
    </row>
    <row r="5" spans="1:5" ht="21" x14ac:dyDescent="0.5">
      <c r="A5" s="22"/>
      <c r="B5" s="22"/>
      <c r="C5" s="22"/>
    </row>
    <row r="6" spans="1:5" ht="21" x14ac:dyDescent="0.5">
      <c r="A6" s="19" t="s">
        <v>23</v>
      </c>
      <c r="B6" s="19"/>
      <c r="C6" s="21"/>
    </row>
    <row r="7" spans="1:5" ht="21" x14ac:dyDescent="0.5">
      <c r="A7" s="22"/>
      <c r="B7" s="22"/>
      <c r="C7" s="22"/>
    </row>
    <row r="8" spans="1:5" ht="21" x14ac:dyDescent="0.5">
      <c r="A8" s="19" t="s">
        <v>24</v>
      </c>
      <c r="B8" s="19"/>
      <c r="C8" s="21"/>
    </row>
    <row r="9" spans="1:5" ht="21" x14ac:dyDescent="0.5">
      <c r="A9" s="22"/>
      <c r="B9" s="22"/>
      <c r="C9" s="22"/>
    </row>
    <row r="10" spans="1:5" ht="21" x14ac:dyDescent="0.5">
      <c r="A10" s="19" t="s">
        <v>25</v>
      </c>
      <c r="B10" s="19"/>
      <c r="C10" s="23">
        <f>C4+C6+C8</f>
        <v>0</v>
      </c>
    </row>
    <row r="11" spans="1:5" ht="21" x14ac:dyDescent="0.5">
      <c r="A11" s="22"/>
      <c r="B11" s="22"/>
      <c r="C11" s="22"/>
    </row>
    <row r="12" spans="1:5" ht="21" x14ac:dyDescent="0.5">
      <c r="A12" s="19" t="s">
        <v>28</v>
      </c>
      <c r="B12" s="19"/>
      <c r="C12" s="24">
        <v>25</v>
      </c>
    </row>
    <row r="13" spans="1:5" ht="21" x14ac:dyDescent="0.5">
      <c r="A13" s="22"/>
      <c r="B13" s="22"/>
      <c r="C13" s="22"/>
    </row>
    <row r="14" spans="1:5" ht="21" x14ac:dyDescent="0.5">
      <c r="A14" s="19" t="s">
        <v>26</v>
      </c>
      <c r="B14" s="19"/>
      <c r="C14" s="24">
        <v>50</v>
      </c>
    </row>
    <row r="15" spans="1:5" ht="21" x14ac:dyDescent="0.5">
      <c r="A15" s="22"/>
      <c r="B15" s="22"/>
      <c r="C15" s="22"/>
    </row>
    <row r="16" spans="1:5" ht="21" x14ac:dyDescent="0.5">
      <c r="A16" s="19" t="s">
        <v>27</v>
      </c>
      <c r="B16" s="19"/>
      <c r="C16" s="24">
        <v>25</v>
      </c>
    </row>
    <row r="17" spans="1:3" ht="21" x14ac:dyDescent="0.5">
      <c r="A17" s="22"/>
      <c r="B17" s="22"/>
      <c r="C17" s="22"/>
    </row>
    <row r="18" spans="1:3" ht="21" x14ac:dyDescent="0.5">
      <c r="A18" s="19" t="s">
        <v>6</v>
      </c>
      <c r="B18" s="19"/>
      <c r="C18" s="23">
        <f>C12+C14+C16</f>
        <v>100</v>
      </c>
    </row>
  </sheetData>
  <mergeCells count="1"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0" sqref="F20"/>
    </sheetView>
  </sheetViews>
  <sheetFormatPr defaultRowHeight="14.5" x14ac:dyDescent="0.35"/>
  <cols>
    <col min="1" max="1" width="9.81640625" style="1" bestFit="1" customWidth="1"/>
    <col min="2" max="6" width="8.7265625" style="1"/>
  </cols>
  <sheetData>
    <row r="1" spans="1:6" x14ac:dyDescent="0.35">
      <c r="A1" s="17" t="s">
        <v>1</v>
      </c>
      <c r="B1" s="17" t="s">
        <v>0</v>
      </c>
      <c r="C1" s="17" t="s">
        <v>16</v>
      </c>
      <c r="D1" s="17" t="s">
        <v>17</v>
      </c>
      <c r="E1" s="17" t="s">
        <v>18</v>
      </c>
      <c r="F1" s="17" t="s">
        <v>19</v>
      </c>
    </row>
    <row r="2" spans="1:6" x14ac:dyDescent="0.35">
      <c r="A2" s="1" t="s">
        <v>2</v>
      </c>
      <c r="B2" s="1">
        <v>701</v>
      </c>
    </row>
    <row r="3" spans="1:6" x14ac:dyDescent="0.35">
      <c r="A3" s="1" t="s">
        <v>2</v>
      </c>
      <c r="B3" s="1">
        <v>702</v>
      </c>
    </row>
    <row r="4" spans="1:6" x14ac:dyDescent="0.35">
      <c r="A4" s="1" t="s">
        <v>2</v>
      </c>
      <c r="B4" s="1">
        <v>703</v>
      </c>
    </row>
    <row r="5" spans="1:6" x14ac:dyDescent="0.35">
      <c r="A5" s="1" t="s">
        <v>2</v>
      </c>
      <c r="B5" s="1">
        <v>704</v>
      </c>
    </row>
    <row r="6" spans="1:6" x14ac:dyDescent="0.35">
      <c r="A6" s="1" t="s">
        <v>2</v>
      </c>
      <c r="B6" s="1">
        <v>705</v>
      </c>
    </row>
    <row r="7" spans="1:6" x14ac:dyDescent="0.35">
      <c r="A7" s="1" t="s">
        <v>2</v>
      </c>
      <c r="B7" s="1">
        <v>706</v>
      </c>
    </row>
    <row r="8" spans="1:6" x14ac:dyDescent="0.35">
      <c r="A8" s="1" t="s">
        <v>2</v>
      </c>
      <c r="B8" s="1">
        <v>707</v>
      </c>
    </row>
    <row r="9" spans="1:6" x14ac:dyDescent="0.35">
      <c r="A9" s="1" t="s">
        <v>2</v>
      </c>
      <c r="B9" s="1">
        <v>708</v>
      </c>
    </row>
    <row r="10" spans="1:6" x14ac:dyDescent="0.35">
      <c r="A10" s="1" t="s">
        <v>2</v>
      </c>
      <c r="B10" s="1">
        <v>709</v>
      </c>
    </row>
    <row r="11" spans="1:6" x14ac:dyDescent="0.35">
      <c r="A11" s="1" t="s">
        <v>2</v>
      </c>
      <c r="B11" s="1">
        <v>710</v>
      </c>
    </row>
    <row r="12" spans="1:6" x14ac:dyDescent="0.35">
      <c r="A12" s="1" t="s">
        <v>3</v>
      </c>
    </row>
    <row r="13" spans="1:6" x14ac:dyDescent="0.35">
      <c r="A13" s="1" t="s">
        <v>3</v>
      </c>
    </row>
    <row r="14" spans="1:6" x14ac:dyDescent="0.35">
      <c r="A14" s="1" t="s">
        <v>3</v>
      </c>
    </row>
    <row r="15" spans="1:6" x14ac:dyDescent="0.35">
      <c r="A15" s="1" t="s">
        <v>3</v>
      </c>
    </row>
    <row r="16" spans="1:6" x14ac:dyDescent="0.35">
      <c r="A16" s="1" t="s">
        <v>3</v>
      </c>
    </row>
    <row r="17" spans="1:4" x14ac:dyDescent="0.35">
      <c r="A17" s="1" t="s">
        <v>11</v>
      </c>
    </row>
    <row r="18" spans="1:4" x14ac:dyDescent="0.35">
      <c r="A18" s="1" t="s">
        <v>11</v>
      </c>
      <c r="D18" s="1" t="s">
        <v>10</v>
      </c>
    </row>
    <row r="19" spans="1:4" x14ac:dyDescent="0.35">
      <c r="A19" s="1" t="s">
        <v>11</v>
      </c>
    </row>
    <row r="20" spans="1:4" x14ac:dyDescent="0.35">
      <c r="A20" s="1" t="s">
        <v>11</v>
      </c>
    </row>
    <row r="21" spans="1:4" x14ac:dyDescent="0.35">
      <c r="A21" s="1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2"/>
  <sheetViews>
    <sheetView workbookViewId="0">
      <selection activeCell="A146" sqref="A146"/>
    </sheetView>
  </sheetViews>
  <sheetFormatPr defaultRowHeight="14.5" x14ac:dyDescent="0.35"/>
  <cols>
    <col min="1" max="1" width="5" style="1" customWidth="1"/>
    <col min="2" max="2" width="14.54296875" style="1" bestFit="1" customWidth="1"/>
    <col min="3" max="3" width="24.81640625" style="1" bestFit="1" customWidth="1"/>
    <col min="4" max="4" width="26.90625" style="1" bestFit="1" customWidth="1"/>
    <col min="5" max="5" width="20.1796875" style="1" bestFit="1" customWidth="1"/>
    <col min="6" max="7" width="14.36328125" style="1" customWidth="1"/>
    <col min="8" max="8" width="35.90625" style="1" bestFit="1" customWidth="1"/>
    <col min="9" max="9" width="12.36328125" style="27" customWidth="1"/>
    <col min="10" max="10" width="8.26953125" style="1" customWidth="1"/>
  </cols>
  <sheetData>
    <row r="1" spans="1:11" x14ac:dyDescent="0.35">
      <c r="A1" s="25" t="s">
        <v>0</v>
      </c>
      <c r="B1" s="25" t="s">
        <v>1</v>
      </c>
      <c r="C1" s="25" t="s">
        <v>34</v>
      </c>
      <c r="D1" s="25" t="s">
        <v>33</v>
      </c>
      <c r="E1" s="25" t="s">
        <v>35</v>
      </c>
      <c r="F1" s="25" t="s">
        <v>414</v>
      </c>
      <c r="G1" s="25" t="s">
        <v>791</v>
      </c>
      <c r="H1" s="25" t="s">
        <v>38</v>
      </c>
      <c r="I1" s="26" t="s">
        <v>37</v>
      </c>
      <c r="J1" s="25" t="s">
        <v>36</v>
      </c>
      <c r="K1" s="25" t="s">
        <v>50</v>
      </c>
    </row>
    <row r="2" spans="1:11" x14ac:dyDescent="0.35">
      <c r="A2" s="3">
        <v>501</v>
      </c>
      <c r="B2" s="3" t="s">
        <v>873</v>
      </c>
      <c r="C2" s="69" t="s">
        <v>424</v>
      </c>
      <c r="D2" s="70" t="s">
        <v>425</v>
      </c>
      <c r="E2" s="69" t="s">
        <v>426</v>
      </c>
      <c r="F2" s="3" t="s">
        <v>416</v>
      </c>
      <c r="G2" s="3" t="s">
        <v>427</v>
      </c>
      <c r="H2" s="3" t="s">
        <v>41</v>
      </c>
      <c r="I2" s="28" t="s">
        <v>40</v>
      </c>
      <c r="J2" s="3" t="s">
        <v>39</v>
      </c>
      <c r="K2" s="17"/>
    </row>
    <row r="3" spans="1:11" x14ac:dyDescent="0.35">
      <c r="A3" s="3">
        <v>502</v>
      </c>
      <c r="B3" s="3" t="s">
        <v>873</v>
      </c>
      <c r="C3" s="69" t="s">
        <v>428</v>
      </c>
      <c r="D3" s="70" t="s">
        <v>429</v>
      </c>
      <c r="E3" s="69" t="s">
        <v>430</v>
      </c>
      <c r="F3" s="3" t="s">
        <v>416</v>
      </c>
      <c r="G3" s="3" t="s">
        <v>427</v>
      </c>
      <c r="H3" s="3" t="s">
        <v>41</v>
      </c>
      <c r="I3" s="28" t="s">
        <v>40</v>
      </c>
      <c r="J3" s="3" t="s">
        <v>39</v>
      </c>
    </row>
    <row r="4" spans="1:11" x14ac:dyDescent="0.35">
      <c r="A4" s="3">
        <v>503</v>
      </c>
      <c r="B4" s="3" t="s">
        <v>873</v>
      </c>
      <c r="C4" s="69" t="s">
        <v>431</v>
      </c>
      <c r="D4" s="70" t="s">
        <v>432</v>
      </c>
      <c r="E4" s="69" t="s">
        <v>433</v>
      </c>
      <c r="F4" s="3" t="s">
        <v>415</v>
      </c>
      <c r="G4" s="3" t="s">
        <v>427</v>
      </c>
      <c r="H4" s="3" t="s">
        <v>41</v>
      </c>
      <c r="I4" s="28" t="s">
        <v>40</v>
      </c>
      <c r="J4" s="3" t="s">
        <v>39</v>
      </c>
    </row>
    <row r="5" spans="1:11" x14ac:dyDescent="0.35">
      <c r="A5" s="3">
        <v>504</v>
      </c>
      <c r="B5" s="3" t="s">
        <v>873</v>
      </c>
      <c r="C5" s="69" t="s">
        <v>434</v>
      </c>
      <c r="D5" s="70" t="s">
        <v>435</v>
      </c>
      <c r="E5" s="69" t="s">
        <v>436</v>
      </c>
      <c r="F5" s="3" t="s">
        <v>415</v>
      </c>
      <c r="G5" s="3" t="s">
        <v>427</v>
      </c>
      <c r="H5" s="3" t="s">
        <v>41</v>
      </c>
      <c r="I5" s="28" t="s">
        <v>40</v>
      </c>
      <c r="J5" s="3" t="s">
        <v>39</v>
      </c>
    </row>
    <row r="6" spans="1:11" x14ac:dyDescent="0.35">
      <c r="A6" s="3">
        <v>505</v>
      </c>
      <c r="B6" s="3" t="s">
        <v>873</v>
      </c>
      <c r="C6" s="69" t="s">
        <v>437</v>
      </c>
      <c r="D6" s="70" t="s">
        <v>438</v>
      </c>
      <c r="E6" s="69" t="s">
        <v>439</v>
      </c>
      <c r="F6" s="3" t="s">
        <v>416</v>
      </c>
      <c r="G6" s="3" t="s">
        <v>427</v>
      </c>
      <c r="H6" s="3" t="s">
        <v>41</v>
      </c>
      <c r="I6" s="28" t="s">
        <v>40</v>
      </c>
      <c r="J6" s="3" t="s">
        <v>39</v>
      </c>
    </row>
    <row r="7" spans="1:11" x14ac:dyDescent="0.35">
      <c r="A7" s="3">
        <v>506</v>
      </c>
      <c r="B7" s="3" t="s">
        <v>873</v>
      </c>
      <c r="C7" s="69" t="s">
        <v>440</v>
      </c>
      <c r="D7" s="70" t="s">
        <v>441</v>
      </c>
      <c r="E7" s="69" t="s">
        <v>442</v>
      </c>
      <c r="F7" s="3" t="s">
        <v>415</v>
      </c>
      <c r="G7" s="3" t="s">
        <v>427</v>
      </c>
      <c r="H7" s="3" t="s">
        <v>41</v>
      </c>
      <c r="I7" s="28" t="s">
        <v>40</v>
      </c>
      <c r="J7" s="3" t="s">
        <v>39</v>
      </c>
    </row>
    <row r="8" spans="1:11" x14ac:dyDescent="0.35">
      <c r="A8" s="3">
        <v>507</v>
      </c>
      <c r="B8" s="3" t="s">
        <v>873</v>
      </c>
      <c r="C8" s="69" t="s">
        <v>443</v>
      </c>
      <c r="D8" s="70" t="s">
        <v>444</v>
      </c>
      <c r="E8" s="69" t="s">
        <v>445</v>
      </c>
      <c r="F8" s="3" t="s">
        <v>415</v>
      </c>
      <c r="G8" s="3" t="s">
        <v>427</v>
      </c>
      <c r="H8" s="3" t="s">
        <v>41</v>
      </c>
      <c r="I8" s="28" t="s">
        <v>40</v>
      </c>
      <c r="J8" s="3" t="s">
        <v>39</v>
      </c>
    </row>
    <row r="9" spans="1:11" x14ac:dyDescent="0.35">
      <c r="A9" s="3">
        <v>508</v>
      </c>
      <c r="B9" s="3" t="s">
        <v>873</v>
      </c>
      <c r="C9" s="69" t="s">
        <v>446</v>
      </c>
      <c r="D9" s="70" t="s">
        <v>447</v>
      </c>
      <c r="E9" s="69" t="s">
        <v>448</v>
      </c>
      <c r="F9" s="3" t="s">
        <v>415</v>
      </c>
      <c r="G9" s="3" t="s">
        <v>427</v>
      </c>
      <c r="H9" s="3" t="s">
        <v>41</v>
      </c>
      <c r="I9" s="28" t="s">
        <v>40</v>
      </c>
      <c r="J9" s="3" t="s">
        <v>39</v>
      </c>
    </row>
    <row r="10" spans="1:11" x14ac:dyDescent="0.35">
      <c r="A10" s="3">
        <v>509</v>
      </c>
      <c r="B10" s="3" t="s">
        <v>873</v>
      </c>
      <c r="C10" s="69" t="s">
        <v>449</v>
      </c>
      <c r="D10" s="70" t="s">
        <v>450</v>
      </c>
      <c r="E10" s="69" t="s">
        <v>451</v>
      </c>
      <c r="F10" s="3" t="s">
        <v>416</v>
      </c>
      <c r="G10" s="3" t="s">
        <v>427</v>
      </c>
      <c r="H10" s="3" t="s">
        <v>41</v>
      </c>
      <c r="I10" s="28" t="s">
        <v>40</v>
      </c>
      <c r="J10" s="3" t="s">
        <v>39</v>
      </c>
    </row>
    <row r="11" spans="1:11" x14ac:dyDescent="0.35">
      <c r="A11" s="3">
        <v>510</v>
      </c>
      <c r="B11" s="3" t="s">
        <v>873</v>
      </c>
      <c r="C11" s="69" t="s">
        <v>452</v>
      </c>
      <c r="D11" s="70" t="s">
        <v>453</v>
      </c>
      <c r="E11" s="69" t="s">
        <v>454</v>
      </c>
      <c r="F11" s="3" t="s">
        <v>416</v>
      </c>
      <c r="G11" s="3" t="s">
        <v>427</v>
      </c>
      <c r="H11" s="3" t="s">
        <v>41</v>
      </c>
      <c r="I11" s="28" t="s">
        <v>40</v>
      </c>
      <c r="J11" s="3" t="s">
        <v>39</v>
      </c>
    </row>
    <row r="12" spans="1:11" x14ac:dyDescent="0.35">
      <c r="A12" s="3">
        <v>511</v>
      </c>
      <c r="B12" s="3" t="s">
        <v>873</v>
      </c>
      <c r="C12" s="69" t="s">
        <v>455</v>
      </c>
      <c r="D12" s="70" t="s">
        <v>456</v>
      </c>
      <c r="E12" s="69" t="s">
        <v>457</v>
      </c>
      <c r="F12" s="3" t="s">
        <v>416</v>
      </c>
      <c r="G12" s="3" t="s">
        <v>427</v>
      </c>
      <c r="H12" s="3" t="s">
        <v>41</v>
      </c>
      <c r="I12" s="28" t="s">
        <v>185</v>
      </c>
      <c r="J12" s="3" t="s">
        <v>39</v>
      </c>
    </row>
    <row r="13" spans="1:11" x14ac:dyDescent="0.35">
      <c r="A13" s="3">
        <v>512</v>
      </c>
      <c r="B13" s="3" t="s">
        <v>873</v>
      </c>
      <c r="C13" s="69" t="s">
        <v>458</v>
      </c>
      <c r="D13" s="70" t="s">
        <v>459</v>
      </c>
      <c r="E13" s="69" t="s">
        <v>460</v>
      </c>
      <c r="F13" s="3" t="s">
        <v>416</v>
      </c>
      <c r="G13" s="3" t="s">
        <v>427</v>
      </c>
      <c r="H13" s="3" t="s">
        <v>41</v>
      </c>
      <c r="I13" s="28" t="s">
        <v>186</v>
      </c>
      <c r="J13" s="3" t="s">
        <v>39</v>
      </c>
    </row>
    <row r="14" spans="1:11" x14ac:dyDescent="0.35">
      <c r="A14" s="3">
        <v>513</v>
      </c>
      <c r="B14" s="3" t="s">
        <v>873</v>
      </c>
      <c r="C14" s="69" t="s">
        <v>461</v>
      </c>
      <c r="D14" s="70" t="s">
        <v>462</v>
      </c>
      <c r="E14" s="69" t="s">
        <v>463</v>
      </c>
      <c r="F14" s="3" t="s">
        <v>416</v>
      </c>
      <c r="G14" s="3" t="s">
        <v>427</v>
      </c>
      <c r="H14" s="3" t="s">
        <v>41</v>
      </c>
      <c r="I14" s="28" t="s">
        <v>187</v>
      </c>
      <c r="J14" s="3" t="s">
        <v>39</v>
      </c>
    </row>
    <row r="15" spans="1:11" x14ac:dyDescent="0.35">
      <c r="A15" s="3">
        <v>514</v>
      </c>
      <c r="B15" s="3" t="s">
        <v>873</v>
      </c>
      <c r="C15" s="69" t="s">
        <v>464</v>
      </c>
      <c r="D15" s="70" t="s">
        <v>465</v>
      </c>
      <c r="E15" s="69" t="s">
        <v>466</v>
      </c>
      <c r="F15" s="3" t="s">
        <v>416</v>
      </c>
      <c r="G15" s="3" t="s">
        <v>427</v>
      </c>
      <c r="H15" s="3" t="s">
        <v>41</v>
      </c>
      <c r="I15" s="28" t="s">
        <v>188</v>
      </c>
      <c r="J15" s="3" t="s">
        <v>39</v>
      </c>
    </row>
    <row r="16" spans="1:11" x14ac:dyDescent="0.35">
      <c r="A16" s="3">
        <v>515</v>
      </c>
      <c r="B16" s="3" t="s">
        <v>873</v>
      </c>
      <c r="C16" s="69" t="s">
        <v>467</v>
      </c>
      <c r="D16" s="70" t="s">
        <v>468</v>
      </c>
      <c r="E16" s="69" t="s">
        <v>469</v>
      </c>
      <c r="F16" s="3" t="s">
        <v>415</v>
      </c>
      <c r="G16" s="3" t="s">
        <v>427</v>
      </c>
      <c r="H16" s="3" t="s">
        <v>41</v>
      </c>
      <c r="I16" s="28" t="s">
        <v>189</v>
      </c>
      <c r="J16" s="3" t="s">
        <v>39</v>
      </c>
    </row>
    <row r="17" spans="1:10" x14ac:dyDescent="0.35">
      <c r="A17" s="3">
        <v>516</v>
      </c>
      <c r="B17" s="3" t="s">
        <v>873</v>
      </c>
      <c r="C17" s="69" t="s">
        <v>470</v>
      </c>
      <c r="D17" s="70" t="s">
        <v>471</v>
      </c>
      <c r="E17" s="69" t="s">
        <v>472</v>
      </c>
      <c r="F17" s="3" t="s">
        <v>415</v>
      </c>
      <c r="G17" s="3" t="s">
        <v>427</v>
      </c>
      <c r="H17" s="3" t="s">
        <v>41</v>
      </c>
      <c r="I17" s="28" t="s">
        <v>190</v>
      </c>
      <c r="J17" s="3" t="s">
        <v>39</v>
      </c>
    </row>
    <row r="18" spans="1:10" x14ac:dyDescent="0.35">
      <c r="A18" s="3">
        <v>517</v>
      </c>
      <c r="B18" s="3" t="s">
        <v>873</v>
      </c>
      <c r="C18" s="69" t="s">
        <v>473</v>
      </c>
      <c r="D18" s="70" t="s">
        <v>474</v>
      </c>
      <c r="E18" s="69" t="s">
        <v>475</v>
      </c>
      <c r="F18" s="3" t="s">
        <v>416</v>
      </c>
      <c r="G18" s="3" t="s">
        <v>427</v>
      </c>
      <c r="H18" s="3" t="s">
        <v>41</v>
      </c>
      <c r="I18" s="28" t="s">
        <v>191</v>
      </c>
      <c r="J18" s="3" t="s">
        <v>39</v>
      </c>
    </row>
    <row r="19" spans="1:10" x14ac:dyDescent="0.35">
      <c r="A19" s="3">
        <v>518</v>
      </c>
      <c r="B19" s="3" t="s">
        <v>873</v>
      </c>
      <c r="C19" s="69" t="s">
        <v>476</v>
      </c>
      <c r="D19" s="70" t="s">
        <v>477</v>
      </c>
      <c r="E19" s="69" t="s">
        <v>478</v>
      </c>
      <c r="F19" s="3" t="s">
        <v>416</v>
      </c>
      <c r="G19" s="3" t="s">
        <v>427</v>
      </c>
      <c r="H19" s="3" t="s">
        <v>41</v>
      </c>
      <c r="I19" s="28" t="s">
        <v>192</v>
      </c>
      <c r="J19" s="3" t="s">
        <v>39</v>
      </c>
    </row>
    <row r="20" spans="1:10" x14ac:dyDescent="0.35">
      <c r="A20" s="3">
        <v>519</v>
      </c>
      <c r="B20" s="3" t="s">
        <v>873</v>
      </c>
      <c r="C20" s="69" t="s">
        <v>479</v>
      </c>
      <c r="D20" s="70" t="s">
        <v>480</v>
      </c>
      <c r="E20" s="69" t="s">
        <v>481</v>
      </c>
      <c r="F20" s="3" t="s">
        <v>416</v>
      </c>
      <c r="G20" s="3" t="s">
        <v>427</v>
      </c>
      <c r="H20" s="3" t="s">
        <v>41</v>
      </c>
      <c r="I20" s="28" t="s">
        <v>193</v>
      </c>
      <c r="J20" s="3" t="s">
        <v>39</v>
      </c>
    </row>
    <row r="21" spans="1:10" x14ac:dyDescent="0.35">
      <c r="A21" s="3">
        <v>520</v>
      </c>
      <c r="B21" s="3" t="s">
        <v>873</v>
      </c>
      <c r="C21" s="69" t="s">
        <v>482</v>
      </c>
      <c r="D21" s="70" t="s">
        <v>483</v>
      </c>
      <c r="E21" s="69" t="s">
        <v>484</v>
      </c>
      <c r="F21" s="3" t="s">
        <v>416</v>
      </c>
      <c r="G21" s="3" t="s">
        <v>427</v>
      </c>
      <c r="H21" s="3" t="s">
        <v>41</v>
      </c>
      <c r="I21" s="28" t="s">
        <v>194</v>
      </c>
      <c r="J21" s="3" t="s">
        <v>39</v>
      </c>
    </row>
    <row r="22" spans="1:10" x14ac:dyDescent="0.35">
      <c r="A22" s="3">
        <v>521</v>
      </c>
      <c r="B22" s="3" t="s">
        <v>873</v>
      </c>
      <c r="C22" s="69" t="s">
        <v>485</v>
      </c>
      <c r="D22" s="70" t="s">
        <v>486</v>
      </c>
      <c r="E22" s="69" t="s">
        <v>487</v>
      </c>
      <c r="F22" s="3" t="s">
        <v>415</v>
      </c>
      <c r="G22" s="3" t="s">
        <v>427</v>
      </c>
      <c r="H22" s="3" t="s">
        <v>41</v>
      </c>
      <c r="I22" s="28" t="s">
        <v>195</v>
      </c>
      <c r="J22" s="3" t="s">
        <v>304</v>
      </c>
    </row>
    <row r="23" spans="1:10" x14ac:dyDescent="0.35">
      <c r="A23" s="3">
        <v>522</v>
      </c>
      <c r="B23" s="3" t="s">
        <v>873</v>
      </c>
      <c r="C23" s="69" t="s">
        <v>488</v>
      </c>
      <c r="D23" s="70" t="s">
        <v>489</v>
      </c>
      <c r="E23" s="69" t="s">
        <v>490</v>
      </c>
      <c r="F23" s="3" t="s">
        <v>415</v>
      </c>
      <c r="G23" s="3" t="s">
        <v>427</v>
      </c>
      <c r="H23" s="3" t="s">
        <v>41</v>
      </c>
      <c r="I23" s="28" t="s">
        <v>196</v>
      </c>
      <c r="J23" s="3" t="s">
        <v>305</v>
      </c>
    </row>
    <row r="24" spans="1:10" x14ac:dyDescent="0.35">
      <c r="A24" s="3">
        <v>523</v>
      </c>
      <c r="B24" s="3" t="s">
        <v>873</v>
      </c>
      <c r="C24" s="69" t="s">
        <v>491</v>
      </c>
      <c r="D24" s="70" t="s">
        <v>492</v>
      </c>
      <c r="E24" s="69" t="s">
        <v>493</v>
      </c>
      <c r="F24" s="3" t="s">
        <v>415</v>
      </c>
      <c r="G24" s="3" t="s">
        <v>427</v>
      </c>
      <c r="H24" s="3" t="s">
        <v>41</v>
      </c>
      <c r="I24" s="28" t="s">
        <v>197</v>
      </c>
      <c r="J24" s="3" t="s">
        <v>306</v>
      </c>
    </row>
    <row r="25" spans="1:10" x14ac:dyDescent="0.35">
      <c r="A25" s="3">
        <v>524</v>
      </c>
      <c r="B25" s="3" t="s">
        <v>873</v>
      </c>
      <c r="C25" s="69" t="s">
        <v>494</v>
      </c>
      <c r="D25" s="70" t="s">
        <v>495</v>
      </c>
      <c r="E25" s="69" t="s">
        <v>496</v>
      </c>
      <c r="F25" s="3" t="s">
        <v>415</v>
      </c>
      <c r="G25" s="3" t="s">
        <v>427</v>
      </c>
      <c r="H25" s="3" t="s">
        <v>41</v>
      </c>
      <c r="I25" s="28" t="s">
        <v>198</v>
      </c>
      <c r="J25" s="3" t="s">
        <v>307</v>
      </c>
    </row>
    <row r="26" spans="1:10" x14ac:dyDescent="0.35">
      <c r="A26" s="3">
        <v>525</v>
      </c>
      <c r="B26" s="3" t="s">
        <v>873</v>
      </c>
      <c r="C26" s="69" t="s">
        <v>497</v>
      </c>
      <c r="D26" s="70" t="s">
        <v>498</v>
      </c>
      <c r="E26" s="69" t="s">
        <v>499</v>
      </c>
      <c r="F26" s="3" t="s">
        <v>415</v>
      </c>
      <c r="G26" s="3" t="s">
        <v>427</v>
      </c>
      <c r="H26" s="3" t="s">
        <v>41</v>
      </c>
      <c r="I26" s="28" t="s">
        <v>199</v>
      </c>
      <c r="J26" s="3" t="s">
        <v>308</v>
      </c>
    </row>
    <row r="27" spans="1:10" x14ac:dyDescent="0.35">
      <c r="A27" s="3">
        <v>526</v>
      </c>
      <c r="B27" s="3" t="s">
        <v>873</v>
      </c>
      <c r="C27" s="69" t="s">
        <v>500</v>
      </c>
      <c r="D27" s="70" t="s">
        <v>501</v>
      </c>
      <c r="E27" s="69" t="s">
        <v>502</v>
      </c>
      <c r="F27" s="3" t="s">
        <v>415</v>
      </c>
      <c r="G27" s="3" t="s">
        <v>427</v>
      </c>
      <c r="H27" s="3" t="s">
        <v>41</v>
      </c>
      <c r="I27" s="28" t="s">
        <v>200</v>
      </c>
      <c r="J27" s="3" t="s">
        <v>309</v>
      </c>
    </row>
    <row r="28" spans="1:10" x14ac:dyDescent="0.35">
      <c r="A28" s="3">
        <v>527</v>
      </c>
      <c r="B28" s="3" t="s">
        <v>873</v>
      </c>
      <c r="C28" s="69" t="s">
        <v>503</v>
      </c>
      <c r="D28" s="70" t="s">
        <v>504</v>
      </c>
      <c r="E28" s="69" t="s">
        <v>505</v>
      </c>
      <c r="F28" s="3" t="s">
        <v>415</v>
      </c>
      <c r="G28" s="3" t="s">
        <v>427</v>
      </c>
      <c r="H28" s="3" t="s">
        <v>41</v>
      </c>
      <c r="I28" s="28" t="s">
        <v>201</v>
      </c>
      <c r="J28" s="3" t="s">
        <v>310</v>
      </c>
    </row>
    <row r="29" spans="1:10" x14ac:dyDescent="0.35">
      <c r="A29" s="3">
        <v>528</v>
      </c>
      <c r="B29" s="3" t="s">
        <v>873</v>
      </c>
      <c r="C29" s="69" t="s">
        <v>506</v>
      </c>
      <c r="D29" s="70" t="s">
        <v>507</v>
      </c>
      <c r="E29" s="69" t="s">
        <v>508</v>
      </c>
      <c r="F29" s="3" t="s">
        <v>416</v>
      </c>
      <c r="G29" s="3" t="s">
        <v>427</v>
      </c>
      <c r="H29" s="3" t="s">
        <v>41</v>
      </c>
      <c r="I29" s="28" t="s">
        <v>202</v>
      </c>
      <c r="J29" s="3" t="s">
        <v>311</v>
      </c>
    </row>
    <row r="30" spans="1:10" x14ac:dyDescent="0.35">
      <c r="A30" s="3">
        <v>529</v>
      </c>
      <c r="B30" s="3" t="s">
        <v>873</v>
      </c>
      <c r="C30" s="69" t="s">
        <v>509</v>
      </c>
      <c r="D30" s="70" t="s">
        <v>510</v>
      </c>
      <c r="E30" s="69" t="s">
        <v>511</v>
      </c>
      <c r="F30" s="3" t="s">
        <v>416</v>
      </c>
      <c r="G30" s="3" t="s">
        <v>427</v>
      </c>
      <c r="H30" s="3" t="s">
        <v>41</v>
      </c>
      <c r="I30" s="28" t="s">
        <v>203</v>
      </c>
      <c r="J30" s="3" t="s">
        <v>312</v>
      </c>
    </row>
    <row r="31" spans="1:10" x14ac:dyDescent="0.35">
      <c r="A31" s="3">
        <v>530</v>
      </c>
      <c r="B31" s="3" t="s">
        <v>873</v>
      </c>
      <c r="C31" s="69" t="s">
        <v>512</v>
      </c>
      <c r="D31" s="70" t="s">
        <v>513</v>
      </c>
      <c r="E31" s="69" t="s">
        <v>514</v>
      </c>
      <c r="F31" s="3" t="s">
        <v>416</v>
      </c>
      <c r="G31" s="3" t="s">
        <v>427</v>
      </c>
      <c r="H31" s="3" t="s">
        <v>41</v>
      </c>
      <c r="I31" s="28" t="s">
        <v>204</v>
      </c>
      <c r="J31" s="3" t="s">
        <v>313</v>
      </c>
    </row>
    <row r="32" spans="1:10" x14ac:dyDescent="0.35">
      <c r="A32" s="3">
        <v>531</v>
      </c>
      <c r="B32" s="3" t="s">
        <v>873</v>
      </c>
      <c r="C32" s="69" t="s">
        <v>515</v>
      </c>
      <c r="D32" s="70" t="s">
        <v>516</v>
      </c>
      <c r="E32" s="69" t="s">
        <v>517</v>
      </c>
      <c r="F32" s="3" t="s">
        <v>416</v>
      </c>
      <c r="G32" s="3" t="s">
        <v>427</v>
      </c>
      <c r="H32" s="3" t="s">
        <v>41</v>
      </c>
      <c r="I32" s="28" t="s">
        <v>205</v>
      </c>
      <c r="J32" s="3" t="s">
        <v>314</v>
      </c>
    </row>
    <row r="33" spans="1:10" x14ac:dyDescent="0.35">
      <c r="A33" s="3">
        <v>532</v>
      </c>
      <c r="B33" s="3" t="s">
        <v>873</v>
      </c>
      <c r="C33" s="69" t="s">
        <v>518</v>
      </c>
      <c r="D33" s="70" t="s">
        <v>519</v>
      </c>
      <c r="E33" s="69" t="s">
        <v>520</v>
      </c>
      <c r="F33" s="3" t="s">
        <v>416</v>
      </c>
      <c r="G33" s="3" t="s">
        <v>427</v>
      </c>
      <c r="H33" s="3" t="s">
        <v>41</v>
      </c>
      <c r="I33" s="28" t="s">
        <v>206</v>
      </c>
      <c r="J33" s="3" t="s">
        <v>315</v>
      </c>
    </row>
    <row r="34" spans="1:10" x14ac:dyDescent="0.35">
      <c r="A34" s="3">
        <v>533</v>
      </c>
      <c r="B34" s="3" t="s">
        <v>873</v>
      </c>
      <c r="C34" s="69" t="s">
        <v>521</v>
      </c>
      <c r="D34" s="70" t="s">
        <v>522</v>
      </c>
      <c r="E34" s="69" t="s">
        <v>523</v>
      </c>
      <c r="F34" s="3" t="s">
        <v>416</v>
      </c>
      <c r="G34" s="3" t="s">
        <v>427</v>
      </c>
      <c r="H34" s="3" t="s">
        <v>41</v>
      </c>
      <c r="I34" s="28" t="s">
        <v>207</v>
      </c>
      <c r="J34" s="3" t="s">
        <v>316</v>
      </c>
    </row>
    <row r="35" spans="1:10" x14ac:dyDescent="0.35">
      <c r="A35" s="3">
        <v>534</v>
      </c>
      <c r="B35" s="3" t="s">
        <v>873</v>
      </c>
      <c r="C35" s="69" t="s">
        <v>524</v>
      </c>
      <c r="D35" s="70" t="s">
        <v>525</v>
      </c>
      <c r="E35" s="69" t="s">
        <v>526</v>
      </c>
      <c r="F35" s="3" t="s">
        <v>416</v>
      </c>
      <c r="G35" s="3" t="s">
        <v>427</v>
      </c>
      <c r="H35" s="3" t="s">
        <v>41</v>
      </c>
      <c r="I35" s="28" t="s">
        <v>208</v>
      </c>
      <c r="J35" s="3" t="s">
        <v>317</v>
      </c>
    </row>
    <row r="36" spans="1:10" x14ac:dyDescent="0.35">
      <c r="A36" s="3">
        <v>535</v>
      </c>
      <c r="B36" s="3" t="s">
        <v>873</v>
      </c>
      <c r="C36" s="69" t="s">
        <v>527</v>
      </c>
      <c r="D36" s="70" t="s">
        <v>528</v>
      </c>
      <c r="E36" s="69" t="s">
        <v>445</v>
      </c>
      <c r="F36" s="3" t="s">
        <v>416</v>
      </c>
      <c r="G36" s="3" t="s">
        <v>427</v>
      </c>
      <c r="H36" s="3" t="s">
        <v>41</v>
      </c>
      <c r="I36" s="28" t="s">
        <v>209</v>
      </c>
      <c r="J36" s="3" t="s">
        <v>318</v>
      </c>
    </row>
    <row r="37" spans="1:10" x14ac:dyDescent="0.35">
      <c r="A37" s="3">
        <v>536</v>
      </c>
      <c r="B37" s="3" t="s">
        <v>873</v>
      </c>
      <c r="C37" s="69" t="s">
        <v>529</v>
      </c>
      <c r="D37" s="70" t="s">
        <v>530</v>
      </c>
      <c r="E37" s="69" t="s">
        <v>531</v>
      </c>
      <c r="F37" s="3" t="s">
        <v>416</v>
      </c>
      <c r="G37" s="3" t="s">
        <v>427</v>
      </c>
      <c r="H37" s="3" t="s">
        <v>41</v>
      </c>
      <c r="I37" s="28" t="s">
        <v>210</v>
      </c>
      <c r="J37" s="3" t="s">
        <v>319</v>
      </c>
    </row>
    <row r="38" spans="1:10" x14ac:dyDescent="0.35">
      <c r="A38" s="3">
        <v>537</v>
      </c>
      <c r="B38" s="3" t="s">
        <v>873</v>
      </c>
      <c r="C38" s="69" t="s">
        <v>532</v>
      </c>
      <c r="D38" s="70" t="s">
        <v>533</v>
      </c>
      <c r="E38" s="69" t="s">
        <v>534</v>
      </c>
      <c r="F38" s="3" t="s">
        <v>416</v>
      </c>
      <c r="G38" s="3" t="s">
        <v>427</v>
      </c>
      <c r="H38" s="3" t="s">
        <v>41</v>
      </c>
      <c r="I38" s="28" t="s">
        <v>211</v>
      </c>
      <c r="J38" s="3" t="s">
        <v>320</v>
      </c>
    </row>
    <row r="39" spans="1:10" x14ac:dyDescent="0.35">
      <c r="A39" s="3">
        <v>538</v>
      </c>
      <c r="B39" s="3" t="s">
        <v>873</v>
      </c>
      <c r="C39" s="69" t="s">
        <v>535</v>
      </c>
      <c r="D39" s="70" t="s">
        <v>536</v>
      </c>
      <c r="E39" s="69" t="s">
        <v>478</v>
      </c>
      <c r="F39" s="3" t="s">
        <v>416</v>
      </c>
      <c r="G39" s="3" t="s">
        <v>427</v>
      </c>
      <c r="H39" s="3" t="s">
        <v>41</v>
      </c>
      <c r="I39" s="28" t="s">
        <v>212</v>
      </c>
      <c r="J39" s="3" t="s">
        <v>321</v>
      </c>
    </row>
    <row r="40" spans="1:10" x14ac:dyDescent="0.35">
      <c r="A40" s="3">
        <v>539</v>
      </c>
      <c r="B40" s="3" t="s">
        <v>873</v>
      </c>
      <c r="C40" s="69" t="s">
        <v>537</v>
      </c>
      <c r="D40" s="70" t="s">
        <v>538</v>
      </c>
      <c r="E40" s="69" t="s">
        <v>539</v>
      </c>
      <c r="F40" s="3" t="s">
        <v>416</v>
      </c>
      <c r="G40" s="3" t="s">
        <v>427</v>
      </c>
      <c r="H40" s="3" t="s">
        <v>41</v>
      </c>
      <c r="I40" s="28" t="s">
        <v>213</v>
      </c>
      <c r="J40" s="3" t="s">
        <v>322</v>
      </c>
    </row>
    <row r="41" spans="1:10" x14ac:dyDescent="0.35">
      <c r="A41" s="3">
        <v>540</v>
      </c>
      <c r="B41" s="3" t="s">
        <v>873</v>
      </c>
      <c r="C41" s="69" t="s">
        <v>540</v>
      </c>
      <c r="D41" s="70" t="s">
        <v>541</v>
      </c>
      <c r="E41" s="69" t="s">
        <v>433</v>
      </c>
      <c r="F41" s="3" t="s">
        <v>416</v>
      </c>
      <c r="G41" s="3" t="s">
        <v>427</v>
      </c>
      <c r="H41" s="3" t="s">
        <v>41</v>
      </c>
      <c r="I41" s="28" t="s">
        <v>214</v>
      </c>
      <c r="J41" s="3" t="s">
        <v>323</v>
      </c>
    </row>
    <row r="42" spans="1:10" x14ac:dyDescent="0.35">
      <c r="A42" s="3">
        <v>541</v>
      </c>
      <c r="B42" s="3" t="s">
        <v>873</v>
      </c>
      <c r="C42" s="69" t="s">
        <v>542</v>
      </c>
      <c r="D42" s="70" t="s">
        <v>543</v>
      </c>
      <c r="E42" s="69" t="s">
        <v>544</v>
      </c>
      <c r="F42" s="3" t="s">
        <v>416</v>
      </c>
      <c r="G42" s="3" t="s">
        <v>427</v>
      </c>
      <c r="H42" s="3" t="s">
        <v>41</v>
      </c>
      <c r="I42" s="28" t="s">
        <v>215</v>
      </c>
      <c r="J42" s="3" t="s">
        <v>324</v>
      </c>
    </row>
    <row r="43" spans="1:10" x14ac:dyDescent="0.35">
      <c r="A43" s="3">
        <v>542</v>
      </c>
      <c r="B43" s="3" t="s">
        <v>873</v>
      </c>
      <c r="C43" s="69" t="s">
        <v>545</v>
      </c>
      <c r="D43" s="70" t="s">
        <v>546</v>
      </c>
      <c r="E43" s="69" t="s">
        <v>547</v>
      </c>
      <c r="F43" s="3" t="s">
        <v>416</v>
      </c>
      <c r="G43" s="3" t="s">
        <v>427</v>
      </c>
      <c r="H43" s="3" t="s">
        <v>41</v>
      </c>
      <c r="I43" s="28" t="s">
        <v>216</v>
      </c>
      <c r="J43" s="3" t="s">
        <v>325</v>
      </c>
    </row>
    <row r="44" spans="1:10" x14ac:dyDescent="0.35">
      <c r="A44" s="3">
        <v>543</v>
      </c>
      <c r="B44" s="3" t="s">
        <v>873</v>
      </c>
      <c r="C44" s="69" t="s">
        <v>548</v>
      </c>
      <c r="D44" s="70" t="s">
        <v>549</v>
      </c>
      <c r="E44" s="69" t="s">
        <v>550</v>
      </c>
      <c r="F44" s="3" t="s">
        <v>416</v>
      </c>
      <c r="G44" s="3" t="s">
        <v>427</v>
      </c>
      <c r="H44" s="3" t="s">
        <v>41</v>
      </c>
      <c r="I44" s="28" t="s">
        <v>217</v>
      </c>
      <c r="J44" s="3" t="s">
        <v>326</v>
      </c>
    </row>
    <row r="45" spans="1:10" x14ac:dyDescent="0.35">
      <c r="A45" s="3">
        <v>544</v>
      </c>
      <c r="B45" s="3" t="s">
        <v>873</v>
      </c>
      <c r="C45" s="69" t="s">
        <v>551</v>
      </c>
      <c r="D45" s="70" t="s">
        <v>552</v>
      </c>
      <c r="E45" s="69" t="s">
        <v>553</v>
      </c>
      <c r="F45" s="3" t="s">
        <v>416</v>
      </c>
      <c r="G45" s="3" t="s">
        <v>427</v>
      </c>
      <c r="H45" s="3" t="s">
        <v>41</v>
      </c>
      <c r="I45" s="28" t="s">
        <v>218</v>
      </c>
      <c r="J45" s="3" t="s">
        <v>327</v>
      </c>
    </row>
    <row r="46" spans="1:10" x14ac:dyDescent="0.35">
      <c r="A46" s="3">
        <v>545</v>
      </c>
      <c r="B46" s="3" t="s">
        <v>873</v>
      </c>
      <c r="C46" s="69" t="s">
        <v>554</v>
      </c>
      <c r="D46" s="70" t="s">
        <v>555</v>
      </c>
      <c r="E46" s="69" t="s">
        <v>481</v>
      </c>
      <c r="F46" s="3" t="s">
        <v>416</v>
      </c>
      <c r="G46" s="3" t="s">
        <v>427</v>
      </c>
      <c r="H46" s="3" t="s">
        <v>41</v>
      </c>
      <c r="I46" s="28" t="s">
        <v>219</v>
      </c>
      <c r="J46" s="3" t="s">
        <v>328</v>
      </c>
    </row>
    <row r="47" spans="1:10" x14ac:dyDescent="0.35">
      <c r="A47" s="3">
        <v>546</v>
      </c>
      <c r="B47" s="3" t="s">
        <v>873</v>
      </c>
      <c r="C47" s="69" t="s">
        <v>556</v>
      </c>
      <c r="D47" s="70" t="s">
        <v>557</v>
      </c>
      <c r="E47" s="69" t="s">
        <v>558</v>
      </c>
      <c r="F47" s="3" t="s">
        <v>416</v>
      </c>
      <c r="G47" s="3" t="s">
        <v>427</v>
      </c>
      <c r="H47" s="3" t="s">
        <v>41</v>
      </c>
      <c r="I47" s="28" t="s">
        <v>220</v>
      </c>
      <c r="J47" s="3" t="s">
        <v>329</v>
      </c>
    </row>
    <row r="48" spans="1:10" x14ac:dyDescent="0.35">
      <c r="A48" s="3">
        <v>547</v>
      </c>
      <c r="B48" s="3" t="s">
        <v>873</v>
      </c>
      <c r="C48" s="69" t="s">
        <v>559</v>
      </c>
      <c r="D48" s="70" t="s">
        <v>560</v>
      </c>
      <c r="E48" s="69" t="s">
        <v>561</v>
      </c>
      <c r="F48" s="3" t="s">
        <v>416</v>
      </c>
      <c r="G48" s="3" t="s">
        <v>427</v>
      </c>
      <c r="H48" s="3" t="s">
        <v>41</v>
      </c>
      <c r="I48" s="28" t="s">
        <v>221</v>
      </c>
      <c r="J48" s="3" t="s">
        <v>330</v>
      </c>
    </row>
    <row r="49" spans="1:10" x14ac:dyDescent="0.35">
      <c r="A49" s="3">
        <v>548</v>
      </c>
      <c r="B49" s="3" t="s">
        <v>873</v>
      </c>
      <c r="C49" s="69" t="s">
        <v>562</v>
      </c>
      <c r="D49" s="70" t="s">
        <v>563</v>
      </c>
      <c r="E49" s="69" t="s">
        <v>445</v>
      </c>
      <c r="F49" s="3" t="s">
        <v>416</v>
      </c>
      <c r="G49" s="3" t="s">
        <v>427</v>
      </c>
      <c r="H49" s="3" t="s">
        <v>41</v>
      </c>
      <c r="I49" s="28" t="s">
        <v>222</v>
      </c>
      <c r="J49" s="3" t="s">
        <v>331</v>
      </c>
    </row>
    <row r="50" spans="1:10" x14ac:dyDescent="0.35">
      <c r="A50" s="3">
        <v>549</v>
      </c>
      <c r="B50" s="3" t="s">
        <v>873</v>
      </c>
      <c r="C50" s="69" t="s">
        <v>564</v>
      </c>
      <c r="D50" s="70" t="s">
        <v>565</v>
      </c>
      <c r="E50" s="69" t="s">
        <v>433</v>
      </c>
      <c r="F50" s="3" t="s">
        <v>416</v>
      </c>
      <c r="G50" s="3" t="s">
        <v>427</v>
      </c>
      <c r="H50" s="3" t="s">
        <v>41</v>
      </c>
      <c r="I50" s="28" t="s">
        <v>223</v>
      </c>
      <c r="J50" s="3" t="s">
        <v>332</v>
      </c>
    </row>
    <row r="51" spans="1:10" x14ac:dyDescent="0.35">
      <c r="A51" s="3">
        <v>550</v>
      </c>
      <c r="B51" s="3" t="s">
        <v>873</v>
      </c>
      <c r="C51" s="69" t="s">
        <v>566</v>
      </c>
      <c r="D51" s="70" t="s">
        <v>567</v>
      </c>
      <c r="E51" s="69" t="s">
        <v>448</v>
      </c>
      <c r="F51" s="3" t="s">
        <v>416</v>
      </c>
      <c r="G51" s="3" t="s">
        <v>427</v>
      </c>
      <c r="H51" s="3" t="s">
        <v>41</v>
      </c>
      <c r="I51" s="28" t="s">
        <v>224</v>
      </c>
      <c r="J51" s="3" t="s">
        <v>333</v>
      </c>
    </row>
    <row r="52" spans="1:10" x14ac:dyDescent="0.35">
      <c r="A52" s="3">
        <v>551</v>
      </c>
      <c r="B52" s="3" t="s">
        <v>873</v>
      </c>
      <c r="C52" s="69" t="s">
        <v>543</v>
      </c>
      <c r="D52" s="70" t="s">
        <v>568</v>
      </c>
      <c r="E52" s="69" t="s">
        <v>531</v>
      </c>
      <c r="F52" s="3" t="s">
        <v>416</v>
      </c>
      <c r="G52" s="3" t="s">
        <v>427</v>
      </c>
      <c r="H52" s="3" t="s">
        <v>41</v>
      </c>
      <c r="I52" s="28" t="s">
        <v>225</v>
      </c>
      <c r="J52" s="3" t="s">
        <v>334</v>
      </c>
    </row>
    <row r="53" spans="1:10" x14ac:dyDescent="0.35">
      <c r="A53" s="3">
        <v>552</v>
      </c>
      <c r="B53" s="3" t="s">
        <v>873</v>
      </c>
      <c r="C53" s="69" t="s">
        <v>567</v>
      </c>
      <c r="D53" s="70" t="s">
        <v>569</v>
      </c>
      <c r="E53" s="69" t="s">
        <v>570</v>
      </c>
      <c r="F53" s="3" t="s">
        <v>416</v>
      </c>
      <c r="G53" s="3" t="s">
        <v>427</v>
      </c>
      <c r="H53" s="3" t="s">
        <v>41</v>
      </c>
      <c r="I53" s="28" t="s">
        <v>226</v>
      </c>
      <c r="J53" s="3" t="s">
        <v>335</v>
      </c>
    </row>
    <row r="54" spans="1:10" x14ac:dyDescent="0.35">
      <c r="A54" s="3">
        <v>553</v>
      </c>
      <c r="B54" s="3" t="s">
        <v>873</v>
      </c>
      <c r="C54" s="71" t="s">
        <v>571</v>
      </c>
      <c r="D54" s="72" t="s">
        <v>572</v>
      </c>
      <c r="E54" s="71" t="s">
        <v>526</v>
      </c>
      <c r="F54" s="1" t="s">
        <v>416</v>
      </c>
      <c r="G54" s="1" t="s">
        <v>427</v>
      </c>
      <c r="H54" s="3" t="s">
        <v>41</v>
      </c>
      <c r="I54" s="28" t="s">
        <v>227</v>
      </c>
      <c r="J54" s="3" t="s">
        <v>336</v>
      </c>
    </row>
    <row r="55" spans="1:10" x14ac:dyDescent="0.35">
      <c r="A55" s="3">
        <v>554</v>
      </c>
      <c r="B55" s="3" t="s">
        <v>873</v>
      </c>
      <c r="C55" s="69" t="s">
        <v>573</v>
      </c>
      <c r="D55" s="70" t="s">
        <v>574</v>
      </c>
      <c r="E55" s="69" t="s">
        <v>575</v>
      </c>
      <c r="F55" s="3" t="s">
        <v>416</v>
      </c>
      <c r="G55" s="3" t="s">
        <v>427</v>
      </c>
      <c r="H55" s="3" t="s">
        <v>41</v>
      </c>
      <c r="I55" s="28" t="s">
        <v>228</v>
      </c>
      <c r="J55" s="3" t="s">
        <v>337</v>
      </c>
    </row>
    <row r="56" spans="1:10" x14ac:dyDescent="0.35">
      <c r="A56" s="3">
        <v>555</v>
      </c>
      <c r="B56" s="3" t="s">
        <v>873</v>
      </c>
      <c r="C56" s="69" t="s">
        <v>576</v>
      </c>
      <c r="D56" s="70" t="s">
        <v>557</v>
      </c>
      <c r="E56" s="69" t="s">
        <v>433</v>
      </c>
      <c r="F56" s="3" t="s">
        <v>415</v>
      </c>
      <c r="G56" s="3" t="s">
        <v>427</v>
      </c>
      <c r="H56" s="3" t="s">
        <v>41</v>
      </c>
      <c r="I56" s="28" t="s">
        <v>229</v>
      </c>
      <c r="J56" s="3" t="s">
        <v>338</v>
      </c>
    </row>
    <row r="57" spans="1:10" x14ac:dyDescent="0.35">
      <c r="A57" s="3">
        <v>556</v>
      </c>
      <c r="B57" s="3" t="s">
        <v>873</v>
      </c>
      <c r="C57" s="69" t="s">
        <v>577</v>
      </c>
      <c r="D57" s="70" t="s">
        <v>578</v>
      </c>
      <c r="E57" s="69" t="s">
        <v>579</v>
      </c>
      <c r="F57" s="3" t="s">
        <v>415</v>
      </c>
      <c r="G57" s="3" t="s">
        <v>427</v>
      </c>
      <c r="H57" s="3" t="s">
        <v>41</v>
      </c>
      <c r="I57" s="28" t="s">
        <v>230</v>
      </c>
      <c r="J57" s="3" t="s">
        <v>339</v>
      </c>
    </row>
    <row r="58" spans="1:10" x14ac:dyDescent="0.35">
      <c r="A58" s="3">
        <v>557</v>
      </c>
      <c r="B58" s="3" t="s">
        <v>873</v>
      </c>
      <c r="C58" s="69" t="s">
        <v>580</v>
      </c>
      <c r="D58" s="70" t="s">
        <v>581</v>
      </c>
      <c r="E58" s="69" t="s">
        <v>582</v>
      </c>
      <c r="F58" s="3" t="s">
        <v>415</v>
      </c>
      <c r="G58" s="3" t="s">
        <v>427</v>
      </c>
      <c r="H58" s="3" t="s">
        <v>41</v>
      </c>
      <c r="I58" s="28" t="s">
        <v>231</v>
      </c>
      <c r="J58" s="3" t="s">
        <v>340</v>
      </c>
    </row>
    <row r="59" spans="1:10" x14ac:dyDescent="0.35">
      <c r="A59" s="3">
        <v>558</v>
      </c>
      <c r="B59" s="3" t="s">
        <v>873</v>
      </c>
      <c r="C59" s="69" t="s">
        <v>583</v>
      </c>
      <c r="D59" s="70" t="s">
        <v>584</v>
      </c>
      <c r="E59" s="69" t="s">
        <v>585</v>
      </c>
      <c r="F59" s="3" t="s">
        <v>415</v>
      </c>
      <c r="G59" s="3" t="s">
        <v>427</v>
      </c>
      <c r="H59" s="3" t="s">
        <v>41</v>
      </c>
      <c r="I59" s="28" t="s">
        <v>232</v>
      </c>
      <c r="J59" s="3" t="s">
        <v>341</v>
      </c>
    </row>
    <row r="60" spans="1:10" x14ac:dyDescent="0.35">
      <c r="A60" s="3">
        <v>559</v>
      </c>
      <c r="B60" s="3" t="s">
        <v>873</v>
      </c>
      <c r="C60" s="69" t="s">
        <v>586</v>
      </c>
      <c r="D60" s="70" t="s">
        <v>480</v>
      </c>
      <c r="E60" s="69" t="s">
        <v>587</v>
      </c>
      <c r="F60" s="3" t="s">
        <v>415</v>
      </c>
      <c r="G60" s="3" t="s">
        <v>427</v>
      </c>
      <c r="H60" s="3" t="s">
        <v>41</v>
      </c>
      <c r="I60" s="28" t="s">
        <v>233</v>
      </c>
      <c r="J60" s="3" t="s">
        <v>342</v>
      </c>
    </row>
    <row r="61" spans="1:10" x14ac:dyDescent="0.35">
      <c r="A61" s="3">
        <v>560</v>
      </c>
      <c r="B61" s="3" t="s">
        <v>873</v>
      </c>
      <c r="C61" s="69" t="s">
        <v>588</v>
      </c>
      <c r="D61" s="70" t="s">
        <v>589</v>
      </c>
      <c r="E61" s="69" t="s">
        <v>590</v>
      </c>
      <c r="F61" s="3" t="s">
        <v>415</v>
      </c>
      <c r="G61" s="3" t="s">
        <v>427</v>
      </c>
      <c r="H61" s="3" t="s">
        <v>41</v>
      </c>
      <c r="I61" s="28" t="s">
        <v>234</v>
      </c>
      <c r="J61" s="3" t="s">
        <v>343</v>
      </c>
    </row>
    <row r="62" spans="1:10" x14ac:dyDescent="0.35">
      <c r="A62" s="3">
        <v>561</v>
      </c>
      <c r="B62" s="3" t="s">
        <v>873</v>
      </c>
      <c r="C62" s="69" t="s">
        <v>591</v>
      </c>
      <c r="D62" s="70" t="s">
        <v>592</v>
      </c>
      <c r="E62" s="69" t="s">
        <v>570</v>
      </c>
      <c r="F62" s="3" t="s">
        <v>415</v>
      </c>
      <c r="G62" s="3" t="s">
        <v>427</v>
      </c>
      <c r="H62" s="3" t="s">
        <v>41</v>
      </c>
      <c r="I62" s="28" t="s">
        <v>235</v>
      </c>
      <c r="J62" s="3" t="s">
        <v>344</v>
      </c>
    </row>
    <row r="63" spans="1:10" x14ac:dyDescent="0.35">
      <c r="A63" s="3">
        <v>562</v>
      </c>
      <c r="B63" s="3" t="s">
        <v>873</v>
      </c>
      <c r="C63" s="69" t="s">
        <v>593</v>
      </c>
      <c r="D63" s="70" t="s">
        <v>594</v>
      </c>
      <c r="E63" s="69" t="s">
        <v>595</v>
      </c>
      <c r="F63" s="3" t="s">
        <v>416</v>
      </c>
      <c r="G63" s="3" t="s">
        <v>427</v>
      </c>
      <c r="H63" s="3" t="s">
        <v>41</v>
      </c>
      <c r="I63" s="28" t="s">
        <v>236</v>
      </c>
      <c r="J63" s="3" t="s">
        <v>345</v>
      </c>
    </row>
    <row r="64" spans="1:10" x14ac:dyDescent="0.35">
      <c r="A64" s="3">
        <v>563</v>
      </c>
      <c r="B64" s="3" t="s">
        <v>873</v>
      </c>
      <c r="C64" s="69" t="s">
        <v>596</v>
      </c>
      <c r="D64" s="70" t="s">
        <v>597</v>
      </c>
      <c r="E64" s="69" t="s">
        <v>439</v>
      </c>
      <c r="F64" s="3" t="s">
        <v>416</v>
      </c>
      <c r="G64" s="3" t="s">
        <v>427</v>
      </c>
      <c r="H64" s="3" t="s">
        <v>41</v>
      </c>
      <c r="I64" s="28" t="s">
        <v>237</v>
      </c>
      <c r="J64" s="3" t="s">
        <v>346</v>
      </c>
    </row>
    <row r="65" spans="1:10" x14ac:dyDescent="0.35">
      <c r="A65" s="3">
        <v>564</v>
      </c>
      <c r="B65" s="3" t="s">
        <v>873</v>
      </c>
      <c r="C65" s="69" t="s">
        <v>598</v>
      </c>
      <c r="D65" s="70" t="s">
        <v>599</v>
      </c>
      <c r="E65" s="69" t="s">
        <v>600</v>
      </c>
      <c r="F65" s="3" t="s">
        <v>416</v>
      </c>
      <c r="G65" s="3" t="s">
        <v>427</v>
      </c>
      <c r="H65" s="3" t="s">
        <v>41</v>
      </c>
      <c r="I65" s="28" t="s">
        <v>238</v>
      </c>
      <c r="J65" s="3" t="s">
        <v>347</v>
      </c>
    </row>
    <row r="66" spans="1:10" x14ac:dyDescent="0.35">
      <c r="A66" s="3">
        <v>565</v>
      </c>
      <c r="B66" s="3" t="s">
        <v>873</v>
      </c>
      <c r="C66" s="69" t="s">
        <v>601</v>
      </c>
      <c r="D66" s="70" t="s">
        <v>602</v>
      </c>
      <c r="E66" s="69" t="s">
        <v>603</v>
      </c>
      <c r="F66" s="3" t="s">
        <v>415</v>
      </c>
      <c r="G66" s="3" t="s">
        <v>427</v>
      </c>
      <c r="H66" s="3" t="s">
        <v>41</v>
      </c>
      <c r="I66" s="28" t="s">
        <v>239</v>
      </c>
      <c r="J66" s="3" t="s">
        <v>348</v>
      </c>
    </row>
    <row r="67" spans="1:10" x14ac:dyDescent="0.35">
      <c r="A67" s="3">
        <v>566</v>
      </c>
      <c r="B67" s="3" t="s">
        <v>873</v>
      </c>
      <c r="C67" s="69" t="s">
        <v>604</v>
      </c>
      <c r="D67" s="70" t="s">
        <v>605</v>
      </c>
      <c r="E67" s="69" t="s">
        <v>487</v>
      </c>
      <c r="F67" s="3" t="s">
        <v>416</v>
      </c>
      <c r="G67" s="3" t="s">
        <v>427</v>
      </c>
      <c r="H67" s="3" t="s">
        <v>41</v>
      </c>
      <c r="I67" s="28" t="s">
        <v>240</v>
      </c>
      <c r="J67" s="3" t="s">
        <v>349</v>
      </c>
    </row>
    <row r="68" spans="1:10" x14ac:dyDescent="0.35">
      <c r="A68" s="3">
        <v>567</v>
      </c>
      <c r="B68" s="3" t="s">
        <v>873</v>
      </c>
      <c r="C68" s="69" t="s">
        <v>606</v>
      </c>
      <c r="D68" s="70" t="s">
        <v>607</v>
      </c>
      <c r="E68" s="69" t="s">
        <v>445</v>
      </c>
      <c r="F68" s="3" t="s">
        <v>416</v>
      </c>
      <c r="G68" s="3" t="s">
        <v>427</v>
      </c>
      <c r="H68" s="3" t="s">
        <v>41</v>
      </c>
      <c r="I68" s="28" t="s">
        <v>241</v>
      </c>
      <c r="J68" s="3" t="s">
        <v>350</v>
      </c>
    </row>
    <row r="69" spans="1:10" x14ac:dyDescent="0.35">
      <c r="A69" s="3">
        <v>568</v>
      </c>
      <c r="B69" s="3" t="s">
        <v>873</v>
      </c>
      <c r="C69" s="69" t="s">
        <v>608</v>
      </c>
      <c r="D69" s="70" t="s">
        <v>609</v>
      </c>
      <c r="E69" s="69" t="s">
        <v>610</v>
      </c>
      <c r="F69" s="3" t="s">
        <v>415</v>
      </c>
      <c r="G69" s="3" t="s">
        <v>427</v>
      </c>
      <c r="H69" s="3" t="s">
        <v>41</v>
      </c>
      <c r="I69" s="28" t="s">
        <v>242</v>
      </c>
      <c r="J69" s="3" t="s">
        <v>351</v>
      </c>
    </row>
    <row r="70" spans="1:10" x14ac:dyDescent="0.35">
      <c r="A70" s="3">
        <v>569</v>
      </c>
      <c r="B70" s="3" t="s">
        <v>873</v>
      </c>
      <c r="C70" s="69" t="s">
        <v>611</v>
      </c>
      <c r="D70" s="70" t="s">
        <v>612</v>
      </c>
      <c r="E70" s="69" t="s">
        <v>613</v>
      </c>
      <c r="F70" s="3" t="s">
        <v>416</v>
      </c>
      <c r="G70" s="3" t="s">
        <v>427</v>
      </c>
      <c r="H70" s="3" t="s">
        <v>41</v>
      </c>
      <c r="I70" s="28" t="s">
        <v>243</v>
      </c>
      <c r="J70" s="3" t="s">
        <v>352</v>
      </c>
    </row>
    <row r="71" spans="1:10" x14ac:dyDescent="0.35">
      <c r="A71" s="3">
        <v>570</v>
      </c>
      <c r="B71" s="3" t="s">
        <v>873</v>
      </c>
      <c r="C71" s="69" t="s">
        <v>614</v>
      </c>
      <c r="D71" s="70" t="s">
        <v>615</v>
      </c>
      <c r="E71" s="69" t="s">
        <v>616</v>
      </c>
      <c r="F71" s="3" t="s">
        <v>416</v>
      </c>
      <c r="G71" s="3" t="s">
        <v>427</v>
      </c>
      <c r="H71" s="3" t="s">
        <v>41</v>
      </c>
      <c r="I71" s="28" t="s">
        <v>244</v>
      </c>
      <c r="J71" s="3" t="s">
        <v>353</v>
      </c>
    </row>
    <row r="72" spans="1:10" x14ac:dyDescent="0.35">
      <c r="A72" s="3">
        <v>571</v>
      </c>
      <c r="B72" s="3" t="s">
        <v>873</v>
      </c>
      <c r="C72" s="69" t="s">
        <v>617</v>
      </c>
      <c r="D72" s="70" t="s">
        <v>618</v>
      </c>
      <c r="E72" s="69" t="s">
        <v>619</v>
      </c>
      <c r="F72" s="3" t="s">
        <v>416</v>
      </c>
      <c r="G72" s="3" t="s">
        <v>427</v>
      </c>
      <c r="H72" s="3" t="s">
        <v>41</v>
      </c>
      <c r="I72" s="28" t="s">
        <v>245</v>
      </c>
      <c r="J72" s="3" t="s">
        <v>354</v>
      </c>
    </row>
    <row r="73" spans="1:10" x14ac:dyDescent="0.35">
      <c r="A73" s="3">
        <v>572</v>
      </c>
      <c r="B73" s="3" t="s">
        <v>873</v>
      </c>
      <c r="C73" s="69" t="s">
        <v>567</v>
      </c>
      <c r="D73" s="70" t="s">
        <v>620</v>
      </c>
      <c r="E73" s="69" t="s">
        <v>621</v>
      </c>
      <c r="F73" s="3" t="s">
        <v>416</v>
      </c>
      <c r="G73" s="3" t="s">
        <v>427</v>
      </c>
      <c r="H73" s="3" t="s">
        <v>41</v>
      </c>
      <c r="I73" s="28" t="s">
        <v>246</v>
      </c>
      <c r="J73" s="3" t="s">
        <v>355</v>
      </c>
    </row>
    <row r="74" spans="1:10" x14ac:dyDescent="0.35">
      <c r="A74" s="3">
        <v>573</v>
      </c>
      <c r="B74" s="3" t="s">
        <v>873</v>
      </c>
      <c r="C74" s="69" t="s">
        <v>622</v>
      </c>
      <c r="D74" s="70" t="s">
        <v>623</v>
      </c>
      <c r="E74" s="69" t="s">
        <v>624</v>
      </c>
      <c r="F74" s="3" t="s">
        <v>416</v>
      </c>
      <c r="G74" s="3" t="s">
        <v>427</v>
      </c>
      <c r="H74" s="3" t="s">
        <v>41</v>
      </c>
      <c r="I74" s="28" t="s">
        <v>247</v>
      </c>
      <c r="J74" s="3" t="s">
        <v>356</v>
      </c>
    </row>
    <row r="75" spans="1:10" x14ac:dyDescent="0.35">
      <c r="A75" s="3">
        <v>574</v>
      </c>
      <c r="B75" s="3" t="s">
        <v>873</v>
      </c>
      <c r="C75" s="69" t="s">
        <v>625</v>
      </c>
      <c r="D75" s="70" t="s">
        <v>626</v>
      </c>
      <c r="E75" s="69" t="s">
        <v>627</v>
      </c>
      <c r="F75" s="3" t="s">
        <v>416</v>
      </c>
      <c r="G75" s="3" t="s">
        <v>427</v>
      </c>
      <c r="H75" s="3" t="s">
        <v>41</v>
      </c>
      <c r="I75" s="28" t="s">
        <v>248</v>
      </c>
      <c r="J75" s="3" t="s">
        <v>357</v>
      </c>
    </row>
    <row r="76" spans="1:10" x14ac:dyDescent="0.35">
      <c r="A76" s="3">
        <v>575</v>
      </c>
      <c r="B76" s="3" t="s">
        <v>873</v>
      </c>
      <c r="C76" s="69" t="s">
        <v>628</v>
      </c>
      <c r="D76" s="70" t="s">
        <v>629</v>
      </c>
      <c r="E76" s="69" t="s">
        <v>496</v>
      </c>
      <c r="F76" s="3" t="s">
        <v>416</v>
      </c>
      <c r="G76" s="3" t="s">
        <v>427</v>
      </c>
      <c r="H76" s="3" t="s">
        <v>41</v>
      </c>
      <c r="I76" s="28" t="s">
        <v>249</v>
      </c>
      <c r="J76" s="3" t="s">
        <v>358</v>
      </c>
    </row>
    <row r="77" spans="1:10" x14ac:dyDescent="0.35">
      <c r="A77" s="3">
        <v>576</v>
      </c>
      <c r="B77" s="3" t="s">
        <v>873</v>
      </c>
      <c r="C77" s="69" t="s">
        <v>630</v>
      </c>
      <c r="D77" s="70" t="s">
        <v>631</v>
      </c>
      <c r="E77" s="69" t="s">
        <v>632</v>
      </c>
      <c r="F77" s="3" t="s">
        <v>415</v>
      </c>
      <c r="G77" s="3" t="s">
        <v>427</v>
      </c>
      <c r="H77" s="3" t="s">
        <v>41</v>
      </c>
      <c r="I77" s="28" t="s">
        <v>250</v>
      </c>
      <c r="J77" s="3" t="s">
        <v>359</v>
      </c>
    </row>
    <row r="78" spans="1:10" x14ac:dyDescent="0.35">
      <c r="A78" s="3">
        <v>577</v>
      </c>
      <c r="B78" s="3" t="s">
        <v>873</v>
      </c>
      <c r="C78" s="69" t="s">
        <v>633</v>
      </c>
      <c r="D78" s="70" t="s">
        <v>634</v>
      </c>
      <c r="E78" s="69" t="s">
        <v>493</v>
      </c>
      <c r="F78" s="3" t="s">
        <v>416</v>
      </c>
      <c r="G78" s="3" t="s">
        <v>427</v>
      </c>
      <c r="H78" s="3" t="s">
        <v>41</v>
      </c>
      <c r="I78" s="28" t="s">
        <v>251</v>
      </c>
      <c r="J78" s="3" t="s">
        <v>360</v>
      </c>
    </row>
    <row r="79" spans="1:10" x14ac:dyDescent="0.35">
      <c r="A79" s="3">
        <v>578</v>
      </c>
      <c r="B79" s="3" t="s">
        <v>873</v>
      </c>
      <c r="C79" s="69" t="s">
        <v>635</v>
      </c>
      <c r="D79" s="70" t="s">
        <v>483</v>
      </c>
      <c r="E79" s="69" t="s">
        <v>636</v>
      </c>
      <c r="F79" s="3" t="s">
        <v>416</v>
      </c>
      <c r="G79" s="3" t="s">
        <v>427</v>
      </c>
      <c r="H79" s="3" t="s">
        <v>41</v>
      </c>
      <c r="I79" s="28" t="s">
        <v>252</v>
      </c>
      <c r="J79" s="3" t="s">
        <v>361</v>
      </c>
    </row>
    <row r="80" spans="1:10" x14ac:dyDescent="0.35">
      <c r="A80" s="3">
        <v>579</v>
      </c>
      <c r="B80" s="3" t="s">
        <v>873</v>
      </c>
      <c r="C80" s="69" t="s">
        <v>637</v>
      </c>
      <c r="D80" s="70" t="s">
        <v>638</v>
      </c>
      <c r="E80" s="69" t="s">
        <v>639</v>
      </c>
      <c r="F80" s="3" t="s">
        <v>416</v>
      </c>
      <c r="G80" s="3" t="s">
        <v>427</v>
      </c>
      <c r="H80" s="3" t="s">
        <v>41</v>
      </c>
      <c r="I80" s="28" t="s">
        <v>253</v>
      </c>
      <c r="J80" s="3" t="s">
        <v>362</v>
      </c>
    </row>
    <row r="81" spans="1:10" x14ac:dyDescent="0.35">
      <c r="A81" s="3">
        <v>580</v>
      </c>
      <c r="B81" s="3" t="s">
        <v>873</v>
      </c>
      <c r="C81" s="69" t="s">
        <v>563</v>
      </c>
      <c r="D81" s="70" t="s">
        <v>640</v>
      </c>
      <c r="E81" s="69" t="s">
        <v>641</v>
      </c>
      <c r="F81" s="3" t="s">
        <v>416</v>
      </c>
      <c r="G81" s="3" t="s">
        <v>427</v>
      </c>
      <c r="H81" s="3" t="s">
        <v>41</v>
      </c>
      <c r="I81" s="28" t="s">
        <v>254</v>
      </c>
      <c r="J81" s="3" t="s">
        <v>363</v>
      </c>
    </row>
    <row r="82" spans="1:10" x14ac:dyDescent="0.35">
      <c r="A82" s="3">
        <v>581</v>
      </c>
      <c r="B82" s="3" t="s">
        <v>873</v>
      </c>
      <c r="C82" s="69" t="s">
        <v>642</v>
      </c>
      <c r="D82" s="70" t="s">
        <v>643</v>
      </c>
      <c r="E82" s="69" t="s">
        <v>511</v>
      </c>
      <c r="F82" s="3" t="s">
        <v>416</v>
      </c>
      <c r="G82" s="3" t="s">
        <v>427</v>
      </c>
      <c r="H82" s="3" t="s">
        <v>41</v>
      </c>
      <c r="I82" s="28" t="s">
        <v>255</v>
      </c>
      <c r="J82" s="3" t="s">
        <v>364</v>
      </c>
    </row>
    <row r="83" spans="1:10" x14ac:dyDescent="0.35">
      <c r="A83" s="3">
        <v>582</v>
      </c>
      <c r="B83" s="3" t="s">
        <v>873</v>
      </c>
      <c r="C83" s="69" t="s">
        <v>644</v>
      </c>
      <c r="D83" s="70" t="s">
        <v>447</v>
      </c>
      <c r="E83" s="69" t="s">
        <v>645</v>
      </c>
      <c r="F83" s="3" t="s">
        <v>416</v>
      </c>
      <c r="G83" s="3" t="s">
        <v>427</v>
      </c>
      <c r="H83" s="3" t="s">
        <v>41</v>
      </c>
      <c r="I83" s="28" t="s">
        <v>256</v>
      </c>
      <c r="J83" s="3" t="s">
        <v>365</v>
      </c>
    </row>
    <row r="84" spans="1:10" x14ac:dyDescent="0.35">
      <c r="A84" s="3">
        <v>583</v>
      </c>
      <c r="B84" s="3" t="s">
        <v>873</v>
      </c>
      <c r="C84" s="69" t="s">
        <v>646</v>
      </c>
      <c r="D84" s="70" t="s">
        <v>647</v>
      </c>
      <c r="E84" s="69" t="s">
        <v>648</v>
      </c>
      <c r="F84" s="3" t="s">
        <v>416</v>
      </c>
      <c r="G84" s="3" t="s">
        <v>427</v>
      </c>
      <c r="H84" s="3" t="s">
        <v>41</v>
      </c>
      <c r="I84" s="28" t="s">
        <v>257</v>
      </c>
      <c r="J84" s="3" t="s">
        <v>366</v>
      </c>
    </row>
    <row r="85" spans="1:10" x14ac:dyDescent="0.35">
      <c r="A85" s="3">
        <v>584</v>
      </c>
      <c r="B85" s="3" t="s">
        <v>873</v>
      </c>
      <c r="C85" s="69" t="s">
        <v>649</v>
      </c>
      <c r="D85" s="70" t="s">
        <v>650</v>
      </c>
      <c r="E85" s="69" t="s">
        <v>547</v>
      </c>
      <c r="F85" s="3" t="s">
        <v>416</v>
      </c>
      <c r="G85" s="3" t="s">
        <v>427</v>
      </c>
      <c r="H85" s="3" t="s">
        <v>41</v>
      </c>
      <c r="I85" s="28" t="s">
        <v>258</v>
      </c>
      <c r="J85" s="3" t="s">
        <v>367</v>
      </c>
    </row>
    <row r="86" spans="1:10" x14ac:dyDescent="0.35">
      <c r="A86" s="3">
        <v>585</v>
      </c>
      <c r="B86" s="3" t="s">
        <v>873</v>
      </c>
      <c r="C86" s="69" t="s">
        <v>651</v>
      </c>
      <c r="D86" s="70" t="s">
        <v>652</v>
      </c>
      <c r="E86" s="69" t="s">
        <v>653</v>
      </c>
      <c r="F86" s="3" t="s">
        <v>416</v>
      </c>
      <c r="G86" s="3" t="s">
        <v>427</v>
      </c>
      <c r="H86" s="3" t="s">
        <v>41</v>
      </c>
      <c r="I86" s="28" t="s">
        <v>259</v>
      </c>
      <c r="J86" s="3" t="s">
        <v>368</v>
      </c>
    </row>
    <row r="87" spans="1:10" x14ac:dyDescent="0.35">
      <c r="A87" s="3">
        <v>586</v>
      </c>
      <c r="B87" s="3" t="s">
        <v>873</v>
      </c>
      <c r="C87" s="69" t="s">
        <v>551</v>
      </c>
      <c r="D87" s="70" t="s">
        <v>654</v>
      </c>
      <c r="E87" s="69" t="s">
        <v>655</v>
      </c>
      <c r="F87" s="3" t="s">
        <v>416</v>
      </c>
      <c r="G87" s="3" t="s">
        <v>427</v>
      </c>
      <c r="H87" s="3" t="s">
        <v>41</v>
      </c>
      <c r="I87" s="28" t="s">
        <v>260</v>
      </c>
      <c r="J87" s="3" t="s">
        <v>369</v>
      </c>
    </row>
    <row r="88" spans="1:10" x14ac:dyDescent="0.35">
      <c r="A88" s="3">
        <v>587</v>
      </c>
      <c r="B88" s="3" t="s">
        <v>873</v>
      </c>
      <c r="C88" s="69" t="s">
        <v>656</v>
      </c>
      <c r="D88" s="70" t="s">
        <v>657</v>
      </c>
      <c r="E88" s="69" t="s">
        <v>547</v>
      </c>
      <c r="F88" s="3" t="s">
        <v>415</v>
      </c>
      <c r="G88" s="3" t="s">
        <v>427</v>
      </c>
      <c r="H88" s="3" t="s">
        <v>41</v>
      </c>
      <c r="I88" s="28" t="s">
        <v>261</v>
      </c>
      <c r="J88" s="3" t="s">
        <v>370</v>
      </c>
    </row>
    <row r="89" spans="1:10" x14ac:dyDescent="0.35">
      <c r="A89" s="3">
        <v>588</v>
      </c>
      <c r="B89" s="3" t="s">
        <v>873</v>
      </c>
      <c r="C89" s="69" t="s">
        <v>658</v>
      </c>
      <c r="D89" s="70" t="s">
        <v>659</v>
      </c>
      <c r="E89" s="69" t="s">
        <v>660</v>
      </c>
      <c r="F89" s="3" t="s">
        <v>415</v>
      </c>
      <c r="G89" s="3" t="s">
        <v>661</v>
      </c>
      <c r="H89" s="3" t="s">
        <v>41</v>
      </c>
      <c r="I89" s="28" t="s">
        <v>262</v>
      </c>
      <c r="J89" s="3" t="s">
        <v>371</v>
      </c>
    </row>
    <row r="90" spans="1:10" x14ac:dyDescent="0.35">
      <c r="A90" s="3">
        <v>589</v>
      </c>
      <c r="B90" s="3" t="s">
        <v>873</v>
      </c>
      <c r="C90" s="69" t="s">
        <v>662</v>
      </c>
      <c r="D90" s="70" t="s">
        <v>663</v>
      </c>
      <c r="E90" s="69" t="s">
        <v>664</v>
      </c>
      <c r="F90" s="3" t="s">
        <v>416</v>
      </c>
      <c r="G90" s="3" t="s">
        <v>427</v>
      </c>
      <c r="H90" s="3" t="s">
        <v>41</v>
      </c>
      <c r="I90" s="28" t="s">
        <v>263</v>
      </c>
      <c r="J90" s="3" t="s">
        <v>372</v>
      </c>
    </row>
    <row r="91" spans="1:10" x14ac:dyDescent="0.35">
      <c r="A91" s="3">
        <v>590</v>
      </c>
      <c r="B91" s="3" t="s">
        <v>873</v>
      </c>
      <c r="C91" s="69" t="s">
        <v>665</v>
      </c>
      <c r="D91" s="70" t="s">
        <v>666</v>
      </c>
      <c r="E91" s="69" t="s">
        <v>667</v>
      </c>
      <c r="F91" s="3" t="s">
        <v>415</v>
      </c>
      <c r="G91" s="3" t="s">
        <v>661</v>
      </c>
      <c r="H91" s="3" t="s">
        <v>41</v>
      </c>
      <c r="I91" s="28" t="s">
        <v>264</v>
      </c>
      <c r="J91" s="3" t="s">
        <v>373</v>
      </c>
    </row>
    <row r="92" spans="1:10" x14ac:dyDescent="0.35">
      <c r="A92" s="3">
        <v>591</v>
      </c>
      <c r="B92" s="3" t="s">
        <v>873</v>
      </c>
      <c r="C92" s="69" t="s">
        <v>668</v>
      </c>
      <c r="D92" s="70" t="s">
        <v>669</v>
      </c>
      <c r="E92" s="69" t="s">
        <v>670</v>
      </c>
      <c r="F92" s="3" t="s">
        <v>416</v>
      </c>
      <c r="G92" s="3" t="s">
        <v>427</v>
      </c>
      <c r="H92" s="3" t="s">
        <v>41</v>
      </c>
      <c r="I92" s="28" t="s">
        <v>265</v>
      </c>
      <c r="J92" s="3" t="s">
        <v>374</v>
      </c>
    </row>
    <row r="93" spans="1:10" x14ac:dyDescent="0.35">
      <c r="A93" s="3">
        <v>592</v>
      </c>
      <c r="B93" s="3" t="s">
        <v>873</v>
      </c>
      <c r="C93" s="69" t="s">
        <v>671</v>
      </c>
      <c r="D93" s="70" t="s">
        <v>672</v>
      </c>
      <c r="E93" s="69" t="s">
        <v>673</v>
      </c>
      <c r="F93" s="3" t="s">
        <v>416</v>
      </c>
      <c r="G93" s="3" t="s">
        <v>427</v>
      </c>
      <c r="H93" s="3" t="s">
        <v>41</v>
      </c>
      <c r="I93" s="28" t="s">
        <v>266</v>
      </c>
      <c r="J93" s="3" t="s">
        <v>375</v>
      </c>
    </row>
    <row r="94" spans="1:10" x14ac:dyDescent="0.35">
      <c r="A94" s="3">
        <v>593</v>
      </c>
      <c r="B94" s="3" t="s">
        <v>873</v>
      </c>
      <c r="C94" s="69" t="s">
        <v>674</v>
      </c>
      <c r="D94" s="70" t="s">
        <v>675</v>
      </c>
      <c r="E94" s="69" t="s">
        <v>676</v>
      </c>
      <c r="F94" s="3" t="s">
        <v>416</v>
      </c>
      <c r="G94" s="3" t="s">
        <v>427</v>
      </c>
      <c r="H94" s="3" t="s">
        <v>41</v>
      </c>
      <c r="I94" s="28" t="s">
        <v>267</v>
      </c>
      <c r="J94" s="3" t="s">
        <v>376</v>
      </c>
    </row>
    <row r="95" spans="1:10" x14ac:dyDescent="0.35">
      <c r="A95" s="3">
        <v>594</v>
      </c>
      <c r="B95" s="3" t="s">
        <v>873</v>
      </c>
      <c r="C95" s="69" t="s">
        <v>677</v>
      </c>
      <c r="D95" s="70" t="s">
        <v>678</v>
      </c>
      <c r="E95" s="69" t="s">
        <v>679</v>
      </c>
      <c r="F95" s="3" t="s">
        <v>416</v>
      </c>
      <c r="G95" s="3" t="s">
        <v>427</v>
      </c>
      <c r="H95" s="3" t="s">
        <v>41</v>
      </c>
      <c r="I95" s="28" t="s">
        <v>268</v>
      </c>
      <c r="J95" s="3" t="s">
        <v>377</v>
      </c>
    </row>
    <row r="96" spans="1:10" x14ac:dyDescent="0.35">
      <c r="A96" s="3">
        <v>595</v>
      </c>
      <c r="B96" s="3" t="s">
        <v>873</v>
      </c>
      <c r="C96" s="69" t="s">
        <v>680</v>
      </c>
      <c r="D96" s="70" t="s">
        <v>681</v>
      </c>
      <c r="E96" s="69" t="s">
        <v>682</v>
      </c>
      <c r="F96" s="3" t="s">
        <v>416</v>
      </c>
      <c r="G96" s="3" t="s">
        <v>427</v>
      </c>
      <c r="H96" s="3" t="s">
        <v>41</v>
      </c>
      <c r="I96" s="28" t="s">
        <v>269</v>
      </c>
      <c r="J96" s="3" t="s">
        <v>378</v>
      </c>
    </row>
    <row r="97" spans="1:10" x14ac:dyDescent="0.35">
      <c r="A97" s="3">
        <v>596</v>
      </c>
      <c r="B97" s="3" t="s">
        <v>873</v>
      </c>
      <c r="C97" s="69" t="s">
        <v>683</v>
      </c>
      <c r="D97" s="70" t="s">
        <v>684</v>
      </c>
      <c r="E97" s="69" t="s">
        <v>526</v>
      </c>
      <c r="F97" s="3" t="s">
        <v>416</v>
      </c>
      <c r="G97" s="3" t="s">
        <v>427</v>
      </c>
      <c r="H97" s="3" t="s">
        <v>41</v>
      </c>
      <c r="I97" s="28" t="s">
        <v>270</v>
      </c>
      <c r="J97" s="3" t="s">
        <v>379</v>
      </c>
    </row>
    <row r="98" spans="1:10" x14ac:dyDescent="0.35">
      <c r="A98" s="3">
        <v>597</v>
      </c>
      <c r="B98" s="3" t="s">
        <v>873</v>
      </c>
      <c r="C98" s="69" t="s">
        <v>685</v>
      </c>
      <c r="D98" s="70" t="s">
        <v>686</v>
      </c>
      <c r="E98" s="69" t="s">
        <v>687</v>
      </c>
      <c r="F98" s="3" t="s">
        <v>416</v>
      </c>
      <c r="G98" s="3" t="s">
        <v>427</v>
      </c>
      <c r="H98" s="3" t="s">
        <v>41</v>
      </c>
      <c r="I98" s="28" t="s">
        <v>271</v>
      </c>
      <c r="J98" s="3" t="s">
        <v>380</v>
      </c>
    </row>
    <row r="99" spans="1:10" x14ac:dyDescent="0.35">
      <c r="A99" s="3">
        <v>598</v>
      </c>
      <c r="B99" s="3" t="s">
        <v>873</v>
      </c>
      <c r="C99" s="69" t="s">
        <v>688</v>
      </c>
      <c r="D99" s="70" t="s">
        <v>689</v>
      </c>
      <c r="E99" s="69" t="s">
        <v>553</v>
      </c>
      <c r="F99" s="3" t="s">
        <v>416</v>
      </c>
      <c r="G99" s="3" t="s">
        <v>427</v>
      </c>
      <c r="H99" s="3" t="s">
        <v>41</v>
      </c>
      <c r="I99" s="28" t="s">
        <v>272</v>
      </c>
      <c r="J99" s="3" t="s">
        <v>381</v>
      </c>
    </row>
    <row r="100" spans="1:10" x14ac:dyDescent="0.35">
      <c r="A100" s="3">
        <v>599</v>
      </c>
      <c r="B100" s="3" t="s">
        <v>873</v>
      </c>
      <c r="C100" s="69" t="s">
        <v>690</v>
      </c>
      <c r="D100" s="70" t="s">
        <v>691</v>
      </c>
      <c r="E100" s="69" t="s">
        <v>664</v>
      </c>
      <c r="F100" s="3" t="s">
        <v>415</v>
      </c>
      <c r="G100" s="3" t="s">
        <v>427</v>
      </c>
      <c r="H100" s="3" t="s">
        <v>41</v>
      </c>
      <c r="I100" s="28" t="s">
        <v>273</v>
      </c>
      <c r="J100" s="3" t="s">
        <v>382</v>
      </c>
    </row>
    <row r="101" spans="1:10" x14ac:dyDescent="0.35">
      <c r="A101" s="3">
        <v>600</v>
      </c>
      <c r="B101" s="3" t="s">
        <v>873</v>
      </c>
      <c r="C101" s="69" t="s">
        <v>692</v>
      </c>
      <c r="D101" s="70" t="s">
        <v>693</v>
      </c>
      <c r="E101" s="69" t="s">
        <v>694</v>
      </c>
      <c r="F101" s="3" t="s">
        <v>416</v>
      </c>
      <c r="G101" s="3" t="s">
        <v>427</v>
      </c>
      <c r="H101" s="3" t="s">
        <v>41</v>
      </c>
      <c r="I101" s="28" t="s">
        <v>274</v>
      </c>
      <c r="J101" s="3" t="s">
        <v>383</v>
      </c>
    </row>
    <row r="102" spans="1:10" x14ac:dyDescent="0.35">
      <c r="A102" s="3">
        <v>601</v>
      </c>
      <c r="B102" s="3" t="s">
        <v>873</v>
      </c>
      <c r="C102" s="69" t="s">
        <v>695</v>
      </c>
      <c r="D102" s="70" t="s">
        <v>696</v>
      </c>
      <c r="E102" s="69" t="s">
        <v>487</v>
      </c>
      <c r="F102" s="3" t="s">
        <v>416</v>
      </c>
      <c r="G102" s="3" t="s">
        <v>427</v>
      </c>
      <c r="H102" s="3" t="s">
        <v>41</v>
      </c>
      <c r="I102" s="28" t="s">
        <v>275</v>
      </c>
      <c r="J102" s="3" t="s">
        <v>384</v>
      </c>
    </row>
    <row r="103" spans="1:10" x14ac:dyDescent="0.35">
      <c r="A103" s="3">
        <v>602</v>
      </c>
      <c r="B103" s="3" t="s">
        <v>873</v>
      </c>
      <c r="C103" s="69" t="s">
        <v>697</v>
      </c>
      <c r="D103" s="70" t="s">
        <v>698</v>
      </c>
      <c r="E103" s="69" t="s">
        <v>585</v>
      </c>
      <c r="F103" s="3" t="s">
        <v>416</v>
      </c>
      <c r="G103" s="3" t="s">
        <v>427</v>
      </c>
      <c r="H103" s="3" t="s">
        <v>41</v>
      </c>
      <c r="I103" s="28" t="s">
        <v>276</v>
      </c>
      <c r="J103" s="3" t="s">
        <v>385</v>
      </c>
    </row>
    <row r="104" spans="1:10" x14ac:dyDescent="0.35">
      <c r="A104" s="3">
        <v>603</v>
      </c>
      <c r="B104" s="3" t="s">
        <v>873</v>
      </c>
      <c r="C104" s="69" t="s">
        <v>699</v>
      </c>
      <c r="D104" s="70" t="s">
        <v>700</v>
      </c>
      <c r="E104" s="69" t="s">
        <v>463</v>
      </c>
      <c r="F104" s="3" t="s">
        <v>416</v>
      </c>
      <c r="G104" s="3" t="s">
        <v>427</v>
      </c>
      <c r="H104" s="3" t="s">
        <v>41</v>
      </c>
      <c r="I104" s="28" t="s">
        <v>277</v>
      </c>
      <c r="J104" s="3" t="s">
        <v>386</v>
      </c>
    </row>
    <row r="105" spans="1:10" x14ac:dyDescent="0.35">
      <c r="A105" s="3">
        <v>604</v>
      </c>
      <c r="B105" s="3" t="s">
        <v>873</v>
      </c>
      <c r="C105" s="69" t="s">
        <v>701</v>
      </c>
      <c r="D105" s="70" t="s">
        <v>702</v>
      </c>
      <c r="E105" s="69" t="s">
        <v>703</v>
      </c>
      <c r="F105" s="3" t="s">
        <v>415</v>
      </c>
      <c r="G105" s="3" t="s">
        <v>661</v>
      </c>
      <c r="H105" s="3" t="s">
        <v>41</v>
      </c>
      <c r="I105" s="28" t="s">
        <v>278</v>
      </c>
      <c r="J105" s="3" t="s">
        <v>387</v>
      </c>
    </row>
    <row r="106" spans="1:10" x14ac:dyDescent="0.35">
      <c r="A106" s="3">
        <v>605</v>
      </c>
      <c r="B106" s="3" t="s">
        <v>873</v>
      </c>
      <c r="C106" s="69" t="s">
        <v>704</v>
      </c>
      <c r="D106" s="70" t="s">
        <v>705</v>
      </c>
      <c r="E106" s="69" t="s">
        <v>706</v>
      </c>
      <c r="F106" s="3" t="s">
        <v>415</v>
      </c>
      <c r="G106" s="3" t="s">
        <v>661</v>
      </c>
      <c r="H106" s="3" t="s">
        <v>41</v>
      </c>
      <c r="I106" s="28" t="s">
        <v>279</v>
      </c>
      <c r="J106" s="3" t="s">
        <v>388</v>
      </c>
    </row>
    <row r="107" spans="1:10" x14ac:dyDescent="0.35">
      <c r="A107" s="3">
        <v>606</v>
      </c>
      <c r="B107" s="3" t="s">
        <v>873</v>
      </c>
      <c r="C107" s="69" t="s">
        <v>707</v>
      </c>
      <c r="D107" s="70" t="s">
        <v>708</v>
      </c>
      <c r="E107" s="69" t="s">
        <v>709</v>
      </c>
      <c r="F107" s="3" t="s">
        <v>415</v>
      </c>
      <c r="G107" s="3" t="s">
        <v>661</v>
      </c>
      <c r="H107" s="3" t="s">
        <v>41</v>
      </c>
      <c r="I107" s="28" t="s">
        <v>280</v>
      </c>
      <c r="J107" s="3" t="s">
        <v>389</v>
      </c>
    </row>
    <row r="108" spans="1:10" x14ac:dyDescent="0.35">
      <c r="A108" s="3">
        <v>607</v>
      </c>
      <c r="B108" s="3" t="s">
        <v>873</v>
      </c>
      <c r="C108" s="69" t="s">
        <v>710</v>
      </c>
      <c r="D108" s="70" t="s">
        <v>711</v>
      </c>
      <c r="E108" s="69" t="s">
        <v>712</v>
      </c>
      <c r="F108" s="3" t="s">
        <v>416</v>
      </c>
      <c r="G108" s="3" t="s">
        <v>427</v>
      </c>
      <c r="H108" s="3" t="s">
        <v>41</v>
      </c>
      <c r="I108" s="28" t="s">
        <v>281</v>
      </c>
      <c r="J108" s="3" t="s">
        <v>390</v>
      </c>
    </row>
    <row r="109" spans="1:10" x14ac:dyDescent="0.35">
      <c r="A109" s="3">
        <v>608</v>
      </c>
      <c r="B109" s="3" t="s">
        <v>873</v>
      </c>
      <c r="C109" s="69" t="s">
        <v>713</v>
      </c>
      <c r="D109" s="70" t="s">
        <v>672</v>
      </c>
      <c r="E109" s="69" t="s">
        <v>714</v>
      </c>
      <c r="F109" s="3" t="s">
        <v>416</v>
      </c>
      <c r="G109" s="3" t="s">
        <v>427</v>
      </c>
      <c r="H109" s="3" t="s">
        <v>41</v>
      </c>
      <c r="I109" s="28" t="s">
        <v>282</v>
      </c>
      <c r="J109" s="3" t="s">
        <v>391</v>
      </c>
    </row>
    <row r="110" spans="1:10" x14ac:dyDescent="0.35">
      <c r="A110" s="3">
        <v>609</v>
      </c>
      <c r="B110" s="3" t="s">
        <v>873</v>
      </c>
      <c r="C110" s="69" t="s">
        <v>715</v>
      </c>
      <c r="D110" s="70" t="s">
        <v>716</v>
      </c>
      <c r="E110" s="69" t="s">
        <v>717</v>
      </c>
      <c r="F110" s="3" t="s">
        <v>415</v>
      </c>
      <c r="G110" s="3" t="s">
        <v>427</v>
      </c>
      <c r="H110" s="3" t="s">
        <v>41</v>
      </c>
      <c r="I110" s="28" t="s">
        <v>283</v>
      </c>
      <c r="J110" s="3" t="s">
        <v>392</v>
      </c>
    </row>
    <row r="111" spans="1:10" x14ac:dyDescent="0.35">
      <c r="A111" s="3">
        <v>610</v>
      </c>
      <c r="B111" s="3" t="s">
        <v>873</v>
      </c>
      <c r="C111" s="69" t="s">
        <v>718</v>
      </c>
      <c r="D111" s="70" t="s">
        <v>668</v>
      </c>
      <c r="E111" s="69" t="s">
        <v>610</v>
      </c>
      <c r="F111" s="3" t="s">
        <v>416</v>
      </c>
      <c r="G111" s="3" t="s">
        <v>427</v>
      </c>
      <c r="H111" s="3" t="s">
        <v>41</v>
      </c>
      <c r="I111" s="28" t="s">
        <v>284</v>
      </c>
      <c r="J111" s="3" t="s">
        <v>393</v>
      </c>
    </row>
    <row r="112" spans="1:10" x14ac:dyDescent="0.35">
      <c r="A112" s="3">
        <v>611</v>
      </c>
      <c r="B112" s="3" t="s">
        <v>873</v>
      </c>
      <c r="C112" s="69" t="s">
        <v>719</v>
      </c>
      <c r="D112" s="70" t="s">
        <v>720</v>
      </c>
      <c r="E112" s="69" t="s">
        <v>641</v>
      </c>
      <c r="F112" s="3" t="s">
        <v>416</v>
      </c>
      <c r="G112" s="3" t="s">
        <v>427</v>
      </c>
      <c r="H112" s="3" t="s">
        <v>41</v>
      </c>
      <c r="I112" s="28" t="s">
        <v>285</v>
      </c>
      <c r="J112" s="3" t="s">
        <v>394</v>
      </c>
    </row>
    <row r="113" spans="1:10" x14ac:dyDescent="0.35">
      <c r="A113" s="3">
        <v>612</v>
      </c>
      <c r="B113" s="3" t="s">
        <v>873</v>
      </c>
      <c r="C113" s="69" t="s">
        <v>721</v>
      </c>
      <c r="D113" s="70" t="s">
        <v>722</v>
      </c>
      <c r="E113" s="69" t="s">
        <v>723</v>
      </c>
      <c r="F113" s="3" t="s">
        <v>416</v>
      </c>
      <c r="G113" s="3" t="s">
        <v>427</v>
      </c>
      <c r="H113" s="3" t="s">
        <v>41</v>
      </c>
      <c r="I113" s="28" t="s">
        <v>286</v>
      </c>
      <c r="J113" s="3" t="s">
        <v>395</v>
      </c>
    </row>
    <row r="114" spans="1:10" x14ac:dyDescent="0.35">
      <c r="A114" s="3">
        <v>613</v>
      </c>
      <c r="B114" s="3" t="s">
        <v>873</v>
      </c>
      <c r="C114" s="69" t="s">
        <v>724</v>
      </c>
      <c r="D114" s="70" t="s">
        <v>725</v>
      </c>
      <c r="E114" s="69" t="s">
        <v>526</v>
      </c>
      <c r="F114" s="3" t="s">
        <v>416</v>
      </c>
      <c r="G114" s="3" t="s">
        <v>427</v>
      </c>
      <c r="H114" s="3" t="s">
        <v>41</v>
      </c>
      <c r="I114" s="28" t="s">
        <v>287</v>
      </c>
      <c r="J114" s="3" t="s">
        <v>396</v>
      </c>
    </row>
    <row r="115" spans="1:10" x14ac:dyDescent="0.35">
      <c r="A115" s="3">
        <v>614</v>
      </c>
      <c r="B115" s="3" t="s">
        <v>873</v>
      </c>
      <c r="C115" s="69" t="s">
        <v>726</v>
      </c>
      <c r="D115" s="70" t="s">
        <v>727</v>
      </c>
      <c r="E115" s="69" t="s">
        <v>728</v>
      </c>
      <c r="F115" s="3" t="s">
        <v>415</v>
      </c>
      <c r="G115" s="3" t="s">
        <v>427</v>
      </c>
      <c r="H115" s="3" t="s">
        <v>41</v>
      </c>
      <c r="I115" s="28" t="s">
        <v>288</v>
      </c>
      <c r="J115" s="3" t="s">
        <v>397</v>
      </c>
    </row>
    <row r="116" spans="1:10" x14ac:dyDescent="0.35">
      <c r="A116" s="3">
        <v>615</v>
      </c>
      <c r="B116" s="3" t="s">
        <v>873</v>
      </c>
      <c r="C116" s="69" t="s">
        <v>729</v>
      </c>
      <c r="D116" s="70" t="s">
        <v>730</v>
      </c>
      <c r="E116" s="69" t="s">
        <v>731</v>
      </c>
      <c r="F116" s="3" t="s">
        <v>415</v>
      </c>
      <c r="G116" s="3" t="s">
        <v>427</v>
      </c>
      <c r="H116" s="3" t="s">
        <v>41</v>
      </c>
      <c r="I116" s="28" t="s">
        <v>289</v>
      </c>
      <c r="J116" s="3" t="s">
        <v>398</v>
      </c>
    </row>
    <row r="117" spans="1:10" x14ac:dyDescent="0.35">
      <c r="A117" s="3">
        <v>616</v>
      </c>
      <c r="B117" s="3" t="s">
        <v>873</v>
      </c>
      <c r="C117" s="69" t="s">
        <v>732</v>
      </c>
      <c r="D117" s="70" t="s">
        <v>733</v>
      </c>
      <c r="E117" s="69" t="s">
        <v>734</v>
      </c>
      <c r="F117" s="3" t="s">
        <v>415</v>
      </c>
      <c r="G117" s="3" t="s">
        <v>427</v>
      </c>
      <c r="H117" s="3" t="s">
        <v>41</v>
      </c>
      <c r="I117" s="28" t="s">
        <v>290</v>
      </c>
      <c r="J117" s="3" t="s">
        <v>399</v>
      </c>
    </row>
    <row r="118" spans="1:10" x14ac:dyDescent="0.35">
      <c r="A118" s="3">
        <v>617</v>
      </c>
      <c r="B118" s="3" t="s">
        <v>873</v>
      </c>
      <c r="C118" s="69" t="s">
        <v>735</v>
      </c>
      <c r="D118" s="70" t="s">
        <v>507</v>
      </c>
      <c r="E118" s="69" t="s">
        <v>736</v>
      </c>
      <c r="F118" s="3" t="s">
        <v>416</v>
      </c>
      <c r="G118" s="3" t="s">
        <v>427</v>
      </c>
      <c r="H118" s="3" t="s">
        <v>41</v>
      </c>
      <c r="I118" s="28" t="s">
        <v>291</v>
      </c>
      <c r="J118" s="3" t="s">
        <v>400</v>
      </c>
    </row>
    <row r="119" spans="1:10" x14ac:dyDescent="0.35">
      <c r="A119" s="3">
        <v>618</v>
      </c>
      <c r="B119" s="3" t="s">
        <v>873</v>
      </c>
      <c r="C119" s="69" t="s">
        <v>737</v>
      </c>
      <c r="D119" s="70" t="s">
        <v>738</v>
      </c>
      <c r="E119" s="69" t="s">
        <v>610</v>
      </c>
      <c r="F119" s="3" t="s">
        <v>416</v>
      </c>
      <c r="G119" s="3" t="s">
        <v>427</v>
      </c>
      <c r="H119" s="3" t="s">
        <v>41</v>
      </c>
      <c r="I119" s="28" t="s">
        <v>292</v>
      </c>
      <c r="J119" s="3" t="s">
        <v>401</v>
      </c>
    </row>
    <row r="120" spans="1:10" x14ac:dyDescent="0.35">
      <c r="A120" s="3">
        <v>619</v>
      </c>
      <c r="B120" s="3" t="s">
        <v>873</v>
      </c>
      <c r="C120" s="69" t="s">
        <v>739</v>
      </c>
      <c r="D120" s="70" t="s">
        <v>740</v>
      </c>
      <c r="E120" s="69" t="s">
        <v>741</v>
      </c>
      <c r="F120" s="3" t="s">
        <v>416</v>
      </c>
      <c r="G120" s="3" t="s">
        <v>427</v>
      </c>
      <c r="H120" s="3" t="s">
        <v>41</v>
      </c>
      <c r="I120" s="28" t="s">
        <v>293</v>
      </c>
      <c r="J120" s="3" t="s">
        <v>402</v>
      </c>
    </row>
    <row r="121" spans="1:10" x14ac:dyDescent="0.35">
      <c r="A121" s="3">
        <v>620</v>
      </c>
      <c r="B121" s="3" t="s">
        <v>873</v>
      </c>
      <c r="C121" s="69" t="s">
        <v>742</v>
      </c>
      <c r="D121" s="70" t="s">
        <v>551</v>
      </c>
      <c r="E121" s="69" t="s">
        <v>496</v>
      </c>
      <c r="F121" s="3" t="s">
        <v>416</v>
      </c>
      <c r="G121" s="3" t="s">
        <v>427</v>
      </c>
      <c r="H121" s="3" t="s">
        <v>41</v>
      </c>
      <c r="I121" s="28" t="s">
        <v>294</v>
      </c>
      <c r="J121" s="3" t="s">
        <v>403</v>
      </c>
    </row>
    <row r="122" spans="1:10" x14ac:dyDescent="0.35">
      <c r="A122" s="3">
        <v>621</v>
      </c>
      <c r="B122" s="3" t="s">
        <v>873</v>
      </c>
      <c r="C122" s="69" t="s">
        <v>743</v>
      </c>
      <c r="D122" s="70" t="s">
        <v>744</v>
      </c>
      <c r="E122" s="69" t="s">
        <v>745</v>
      </c>
      <c r="F122" s="3" t="s">
        <v>416</v>
      </c>
      <c r="G122" s="3" t="s">
        <v>427</v>
      </c>
      <c r="H122" s="3" t="s">
        <v>41</v>
      </c>
      <c r="I122" s="28" t="s">
        <v>295</v>
      </c>
      <c r="J122" s="3" t="s">
        <v>404</v>
      </c>
    </row>
    <row r="123" spans="1:10" x14ac:dyDescent="0.35">
      <c r="A123" s="3">
        <v>622</v>
      </c>
      <c r="B123" s="3" t="s">
        <v>873</v>
      </c>
      <c r="C123" s="69" t="s">
        <v>669</v>
      </c>
      <c r="D123" s="70" t="s">
        <v>746</v>
      </c>
      <c r="E123" s="69" t="s">
        <v>734</v>
      </c>
      <c r="F123" s="3" t="s">
        <v>416</v>
      </c>
      <c r="G123" s="3" t="s">
        <v>427</v>
      </c>
      <c r="H123" s="3" t="s">
        <v>41</v>
      </c>
      <c r="I123" s="28" t="s">
        <v>296</v>
      </c>
      <c r="J123" s="3" t="s">
        <v>405</v>
      </c>
    </row>
    <row r="124" spans="1:10" x14ac:dyDescent="0.35">
      <c r="A124" s="3">
        <v>623</v>
      </c>
      <c r="B124" s="3" t="s">
        <v>873</v>
      </c>
      <c r="C124" s="69" t="s">
        <v>562</v>
      </c>
      <c r="D124" s="70" t="s">
        <v>747</v>
      </c>
      <c r="E124" s="69" t="s">
        <v>748</v>
      </c>
      <c r="F124" s="3" t="s">
        <v>416</v>
      </c>
      <c r="G124" s="3" t="s">
        <v>427</v>
      </c>
      <c r="H124" s="3" t="s">
        <v>41</v>
      </c>
      <c r="I124" s="28" t="s">
        <v>297</v>
      </c>
      <c r="J124" s="3" t="s">
        <v>406</v>
      </c>
    </row>
    <row r="125" spans="1:10" x14ac:dyDescent="0.35">
      <c r="A125" s="3">
        <v>624</v>
      </c>
      <c r="B125" s="3" t="s">
        <v>873</v>
      </c>
      <c r="C125" s="69" t="s">
        <v>749</v>
      </c>
      <c r="D125" s="70" t="s">
        <v>750</v>
      </c>
      <c r="E125" s="69" t="s">
        <v>439</v>
      </c>
      <c r="F125" s="3" t="s">
        <v>416</v>
      </c>
      <c r="G125" s="3" t="s">
        <v>427</v>
      </c>
      <c r="H125" s="3" t="s">
        <v>41</v>
      </c>
      <c r="I125" s="28" t="s">
        <v>298</v>
      </c>
      <c r="J125" s="3" t="s">
        <v>407</v>
      </c>
    </row>
    <row r="126" spans="1:10" x14ac:dyDescent="0.35">
      <c r="A126" s="3">
        <v>625</v>
      </c>
      <c r="B126" s="3" t="s">
        <v>873</v>
      </c>
      <c r="C126" s="69" t="s">
        <v>751</v>
      </c>
      <c r="D126" s="70" t="s">
        <v>752</v>
      </c>
      <c r="E126" s="69" t="s">
        <v>753</v>
      </c>
      <c r="F126" s="3" t="s">
        <v>415</v>
      </c>
      <c r="G126" s="3" t="s">
        <v>427</v>
      </c>
      <c r="H126" s="3" t="s">
        <v>41</v>
      </c>
      <c r="I126" s="28" t="s">
        <v>299</v>
      </c>
      <c r="J126" s="3" t="s">
        <v>408</v>
      </c>
    </row>
    <row r="127" spans="1:10" x14ac:dyDescent="0.35">
      <c r="A127" s="3">
        <v>626</v>
      </c>
      <c r="B127" s="3" t="s">
        <v>873</v>
      </c>
      <c r="C127" s="69" t="s">
        <v>634</v>
      </c>
      <c r="D127" s="70" t="s">
        <v>754</v>
      </c>
      <c r="E127" s="69" t="s">
        <v>493</v>
      </c>
      <c r="F127" s="3" t="s">
        <v>416</v>
      </c>
      <c r="G127" s="3" t="s">
        <v>427</v>
      </c>
      <c r="H127" s="3" t="s">
        <v>41</v>
      </c>
      <c r="I127" s="28" t="s">
        <v>300</v>
      </c>
      <c r="J127" s="3" t="s">
        <v>409</v>
      </c>
    </row>
    <row r="128" spans="1:10" x14ac:dyDescent="0.35">
      <c r="A128" s="3">
        <v>627</v>
      </c>
      <c r="B128" s="3" t="s">
        <v>873</v>
      </c>
      <c r="C128" s="69" t="s">
        <v>755</v>
      </c>
      <c r="D128" s="70" t="s">
        <v>756</v>
      </c>
      <c r="E128" s="69" t="s">
        <v>757</v>
      </c>
      <c r="F128" s="3" t="s">
        <v>415</v>
      </c>
      <c r="G128" s="3" t="s">
        <v>427</v>
      </c>
      <c r="H128" s="3" t="s">
        <v>41</v>
      </c>
      <c r="I128" s="28" t="s">
        <v>301</v>
      </c>
      <c r="J128" s="3" t="s">
        <v>410</v>
      </c>
    </row>
    <row r="129" spans="1:10" x14ac:dyDescent="0.35">
      <c r="A129" s="3">
        <v>628</v>
      </c>
      <c r="B129" s="3" t="s">
        <v>873</v>
      </c>
      <c r="C129" s="69" t="s">
        <v>758</v>
      </c>
      <c r="D129" s="70" t="s">
        <v>759</v>
      </c>
      <c r="E129" s="69" t="s">
        <v>760</v>
      </c>
      <c r="F129" s="3" t="s">
        <v>416</v>
      </c>
      <c r="G129" s="3" t="s">
        <v>427</v>
      </c>
      <c r="H129" s="3" t="s">
        <v>41</v>
      </c>
      <c r="I129" s="28" t="s">
        <v>302</v>
      </c>
      <c r="J129" s="3" t="s">
        <v>411</v>
      </c>
    </row>
    <row r="130" spans="1:10" x14ac:dyDescent="0.35">
      <c r="A130" s="3">
        <v>629</v>
      </c>
      <c r="B130" s="3" t="s">
        <v>873</v>
      </c>
      <c r="C130" s="69" t="s">
        <v>761</v>
      </c>
      <c r="D130" s="70" t="s">
        <v>762</v>
      </c>
      <c r="E130" s="69" t="s">
        <v>763</v>
      </c>
      <c r="F130" s="3" t="s">
        <v>416</v>
      </c>
      <c r="G130" s="3" t="s">
        <v>427</v>
      </c>
      <c r="H130" s="3" t="s">
        <v>41</v>
      </c>
      <c r="I130" s="28" t="s">
        <v>303</v>
      </c>
      <c r="J130" s="3" t="s">
        <v>412</v>
      </c>
    </row>
    <row r="131" spans="1:10" x14ac:dyDescent="0.35">
      <c r="A131" s="3">
        <v>630</v>
      </c>
      <c r="B131" s="3" t="s">
        <v>873</v>
      </c>
      <c r="C131" s="69" t="s">
        <v>634</v>
      </c>
      <c r="D131" s="70" t="s">
        <v>764</v>
      </c>
      <c r="E131" s="69" t="s">
        <v>765</v>
      </c>
      <c r="F131" s="3" t="s">
        <v>416</v>
      </c>
      <c r="G131" s="3" t="s">
        <v>427</v>
      </c>
      <c r="H131" s="3" t="s">
        <v>41</v>
      </c>
      <c r="I131" s="28" t="s">
        <v>792</v>
      </c>
      <c r="J131" s="3" t="s">
        <v>793</v>
      </c>
    </row>
    <row r="132" spans="1:10" x14ac:dyDescent="0.35">
      <c r="A132" s="3">
        <v>631</v>
      </c>
      <c r="B132" s="3" t="s">
        <v>873</v>
      </c>
      <c r="C132" s="69" t="s">
        <v>766</v>
      </c>
      <c r="D132" s="70" t="s">
        <v>767</v>
      </c>
      <c r="E132" s="69" t="s">
        <v>768</v>
      </c>
      <c r="F132" s="3" t="s">
        <v>416</v>
      </c>
      <c r="G132" s="3" t="s">
        <v>427</v>
      </c>
      <c r="H132" s="3" t="s">
        <v>41</v>
      </c>
      <c r="I132" s="28" t="s">
        <v>794</v>
      </c>
      <c r="J132" s="3" t="s">
        <v>795</v>
      </c>
    </row>
    <row r="133" spans="1:10" x14ac:dyDescent="0.35">
      <c r="A133" s="3">
        <v>632</v>
      </c>
      <c r="B133" s="3" t="s">
        <v>873</v>
      </c>
      <c r="C133" s="69" t="s">
        <v>769</v>
      </c>
      <c r="D133" s="70" t="s">
        <v>770</v>
      </c>
      <c r="E133" s="69" t="s">
        <v>670</v>
      </c>
      <c r="F133" s="3" t="s">
        <v>415</v>
      </c>
      <c r="G133" s="3" t="s">
        <v>427</v>
      </c>
      <c r="H133" s="3" t="s">
        <v>41</v>
      </c>
      <c r="I133" s="28" t="s">
        <v>796</v>
      </c>
      <c r="J133" s="3" t="s">
        <v>797</v>
      </c>
    </row>
    <row r="134" spans="1:10" x14ac:dyDescent="0.35">
      <c r="A134" s="3">
        <v>633</v>
      </c>
      <c r="B134" s="3" t="s">
        <v>873</v>
      </c>
      <c r="C134" s="69" t="s">
        <v>771</v>
      </c>
      <c r="D134" s="70" t="s">
        <v>772</v>
      </c>
      <c r="E134" s="69" t="s">
        <v>773</v>
      </c>
      <c r="F134" s="3" t="s">
        <v>416</v>
      </c>
      <c r="G134" s="3" t="s">
        <v>427</v>
      </c>
      <c r="H134" s="3" t="s">
        <v>41</v>
      </c>
      <c r="I134" s="28" t="s">
        <v>798</v>
      </c>
      <c r="J134" s="3" t="s">
        <v>799</v>
      </c>
    </row>
    <row r="135" spans="1:10" x14ac:dyDescent="0.35">
      <c r="A135" s="3">
        <v>634</v>
      </c>
      <c r="B135" s="3" t="s">
        <v>873</v>
      </c>
      <c r="C135" s="69" t="s">
        <v>774</v>
      </c>
      <c r="D135" s="70" t="s">
        <v>775</v>
      </c>
      <c r="E135" s="69" t="s">
        <v>776</v>
      </c>
      <c r="F135" s="3" t="s">
        <v>416</v>
      </c>
      <c r="G135" s="3" t="s">
        <v>427</v>
      </c>
      <c r="H135" s="3" t="s">
        <v>41</v>
      </c>
      <c r="I135" s="28" t="s">
        <v>800</v>
      </c>
      <c r="J135" s="3" t="s">
        <v>801</v>
      </c>
    </row>
    <row r="136" spans="1:10" x14ac:dyDescent="0.35">
      <c r="A136" s="3">
        <v>635</v>
      </c>
      <c r="B136" s="3" t="s">
        <v>873</v>
      </c>
      <c r="C136" s="69" t="s">
        <v>777</v>
      </c>
      <c r="D136" s="70" t="s">
        <v>778</v>
      </c>
      <c r="E136" s="69" t="s">
        <v>736</v>
      </c>
      <c r="F136" s="3" t="s">
        <v>416</v>
      </c>
      <c r="G136" s="3" t="s">
        <v>427</v>
      </c>
      <c r="H136" s="3" t="s">
        <v>41</v>
      </c>
      <c r="I136" s="28" t="s">
        <v>802</v>
      </c>
      <c r="J136" s="3" t="s">
        <v>803</v>
      </c>
    </row>
    <row r="137" spans="1:10" x14ac:dyDescent="0.35">
      <c r="A137" s="3">
        <v>636</v>
      </c>
      <c r="B137" s="3" t="s">
        <v>873</v>
      </c>
      <c r="C137" s="69" t="s">
        <v>779</v>
      </c>
      <c r="D137" s="70" t="s">
        <v>780</v>
      </c>
      <c r="E137" s="69" t="s">
        <v>781</v>
      </c>
      <c r="F137" s="3" t="s">
        <v>416</v>
      </c>
      <c r="G137" s="3" t="s">
        <v>427</v>
      </c>
      <c r="H137" s="3" t="s">
        <v>41</v>
      </c>
      <c r="I137" s="28" t="s">
        <v>804</v>
      </c>
      <c r="J137" s="3" t="s">
        <v>805</v>
      </c>
    </row>
    <row r="138" spans="1:10" x14ac:dyDescent="0.35">
      <c r="A138" s="3">
        <v>637</v>
      </c>
      <c r="B138" s="3" t="s">
        <v>873</v>
      </c>
      <c r="C138" s="69" t="s">
        <v>782</v>
      </c>
      <c r="D138" s="70" t="s">
        <v>783</v>
      </c>
      <c r="E138" s="69" t="s">
        <v>784</v>
      </c>
      <c r="F138" s="3" t="s">
        <v>416</v>
      </c>
      <c r="G138" s="3" t="s">
        <v>427</v>
      </c>
      <c r="H138" s="3" t="s">
        <v>41</v>
      </c>
      <c r="I138" s="28" t="s">
        <v>806</v>
      </c>
      <c r="J138" s="3" t="s">
        <v>807</v>
      </c>
    </row>
    <row r="139" spans="1:10" x14ac:dyDescent="0.35">
      <c r="A139" s="3">
        <v>638</v>
      </c>
      <c r="B139" s="3" t="s">
        <v>873</v>
      </c>
      <c r="C139" s="69" t="s">
        <v>785</v>
      </c>
      <c r="D139" s="70" t="s">
        <v>786</v>
      </c>
      <c r="E139" s="69" t="s">
        <v>673</v>
      </c>
      <c r="F139" s="3" t="s">
        <v>416</v>
      </c>
      <c r="G139" s="3" t="s">
        <v>427</v>
      </c>
      <c r="H139" s="3" t="s">
        <v>41</v>
      </c>
      <c r="I139" s="28" t="s">
        <v>808</v>
      </c>
      <c r="J139" s="3" t="s">
        <v>809</v>
      </c>
    </row>
    <row r="140" spans="1:10" x14ac:dyDescent="0.35">
      <c r="A140" s="3">
        <v>639</v>
      </c>
      <c r="B140" s="3" t="s">
        <v>873</v>
      </c>
      <c r="C140" s="69" t="s">
        <v>787</v>
      </c>
      <c r="D140" s="70" t="s">
        <v>486</v>
      </c>
      <c r="E140" s="69" t="s">
        <v>496</v>
      </c>
      <c r="F140" s="3" t="s">
        <v>415</v>
      </c>
      <c r="G140" s="3" t="s">
        <v>427</v>
      </c>
      <c r="H140" s="3" t="s">
        <v>41</v>
      </c>
      <c r="I140" s="28" t="s">
        <v>810</v>
      </c>
      <c r="J140" s="3" t="s">
        <v>811</v>
      </c>
    </row>
    <row r="141" spans="1:10" x14ac:dyDescent="0.35">
      <c r="A141" s="3">
        <v>640</v>
      </c>
      <c r="B141" s="3" t="s">
        <v>873</v>
      </c>
      <c r="C141" s="69" t="s">
        <v>788</v>
      </c>
      <c r="D141" s="70" t="s">
        <v>789</v>
      </c>
      <c r="E141" s="69" t="s">
        <v>790</v>
      </c>
      <c r="F141" s="3" t="s">
        <v>416</v>
      </c>
      <c r="G141" s="3" t="s">
        <v>427</v>
      </c>
      <c r="H141" s="3" t="s">
        <v>41</v>
      </c>
      <c r="I141" s="28" t="s">
        <v>812</v>
      </c>
      <c r="J141" s="3" t="s">
        <v>813</v>
      </c>
    </row>
    <row r="142" spans="1:10" x14ac:dyDescent="0.35">
      <c r="A142" s="74">
        <v>641</v>
      </c>
      <c r="B142" s="3" t="s">
        <v>873</v>
      </c>
      <c r="C142" s="75" t="s">
        <v>814</v>
      </c>
      <c r="D142" s="70"/>
      <c r="E142" s="69"/>
      <c r="F142" s="3" t="s">
        <v>416</v>
      </c>
      <c r="G142" s="3" t="s">
        <v>427</v>
      </c>
      <c r="H142" s="3" t="s">
        <v>41</v>
      </c>
      <c r="I142" s="28" t="s">
        <v>817</v>
      </c>
      <c r="J142" s="3" t="s">
        <v>818</v>
      </c>
    </row>
    <row r="143" spans="1:10" x14ac:dyDescent="0.35">
      <c r="A143" s="74">
        <v>642</v>
      </c>
      <c r="B143" s="3" t="s">
        <v>873</v>
      </c>
      <c r="C143" s="75" t="s">
        <v>815</v>
      </c>
      <c r="D143" s="70"/>
      <c r="E143" s="69"/>
      <c r="F143" s="3"/>
      <c r="G143" s="3"/>
      <c r="H143" s="3" t="s">
        <v>41</v>
      </c>
      <c r="I143" s="28" t="s">
        <v>819</v>
      </c>
      <c r="J143" s="3" t="s">
        <v>820</v>
      </c>
    </row>
    <row r="144" spans="1:10" x14ac:dyDescent="0.35">
      <c r="A144" s="74">
        <v>643</v>
      </c>
      <c r="B144" s="3" t="s">
        <v>873</v>
      </c>
      <c r="C144" s="75"/>
      <c r="D144" s="70"/>
      <c r="E144" s="69"/>
      <c r="F144" s="3" t="s">
        <v>415</v>
      </c>
      <c r="G144" s="3" t="s">
        <v>427</v>
      </c>
      <c r="H144" s="3" t="s">
        <v>41</v>
      </c>
      <c r="I144" s="28" t="s">
        <v>821</v>
      </c>
      <c r="J144" s="3" t="s">
        <v>822</v>
      </c>
    </row>
    <row r="145" spans="1:10" x14ac:dyDescent="0.35">
      <c r="A145" s="74">
        <v>644</v>
      </c>
      <c r="B145" s="3" t="s">
        <v>873</v>
      </c>
      <c r="C145" s="75" t="s">
        <v>816</v>
      </c>
      <c r="D145" s="70"/>
      <c r="E145" s="69"/>
      <c r="F145" s="3" t="s">
        <v>415</v>
      </c>
      <c r="G145" s="3" t="s">
        <v>427</v>
      </c>
      <c r="H145" s="3" t="s">
        <v>41</v>
      </c>
      <c r="I145" s="28" t="s">
        <v>823</v>
      </c>
      <c r="J145" s="3" t="s">
        <v>824</v>
      </c>
    </row>
    <row r="146" spans="1:10" x14ac:dyDescent="0.35">
      <c r="A146" s="46"/>
      <c r="B146" s="47"/>
      <c r="C146" s="47"/>
      <c r="D146" s="47"/>
      <c r="E146" s="47"/>
      <c r="F146" s="47"/>
      <c r="G146" s="47"/>
      <c r="H146" s="47"/>
      <c r="I146" s="48"/>
      <c r="J146" s="47"/>
    </row>
    <row r="147" spans="1:10" x14ac:dyDescent="0.35">
      <c r="A147" s="46"/>
      <c r="B147" s="47"/>
      <c r="C147" s="47"/>
      <c r="D147" s="47"/>
      <c r="E147" s="47"/>
      <c r="F147" s="47"/>
      <c r="G147" s="47"/>
      <c r="H147" s="47"/>
      <c r="I147" s="48"/>
      <c r="J147" s="47"/>
    </row>
    <row r="148" spans="1:10" x14ac:dyDescent="0.35">
      <c r="A148" s="46"/>
      <c r="B148" s="47"/>
      <c r="C148" s="47"/>
      <c r="D148" s="47"/>
      <c r="E148" s="47"/>
      <c r="F148" s="47"/>
      <c r="G148" s="47"/>
      <c r="H148" s="47"/>
      <c r="I148" s="48"/>
      <c r="J148" s="47"/>
    </row>
    <row r="149" spans="1:10" x14ac:dyDescent="0.35">
      <c r="A149" s="46"/>
      <c r="B149" s="47"/>
      <c r="C149" s="47"/>
      <c r="D149" s="47"/>
      <c r="E149" s="47"/>
      <c r="F149" s="47"/>
      <c r="G149" s="47"/>
      <c r="H149" s="47"/>
      <c r="I149" s="48"/>
      <c r="J149" s="47"/>
    </row>
    <row r="150" spans="1:10" x14ac:dyDescent="0.35">
      <c r="A150" s="46"/>
      <c r="B150" s="47"/>
      <c r="C150" s="47"/>
      <c r="D150" s="47"/>
      <c r="E150" s="47"/>
      <c r="F150" s="47"/>
      <c r="G150" s="47"/>
      <c r="H150" s="47"/>
      <c r="I150" s="48"/>
      <c r="J150" s="47"/>
    </row>
    <row r="151" spans="1:10" x14ac:dyDescent="0.35">
      <c r="A151" s="46"/>
      <c r="B151" s="47"/>
      <c r="C151" s="47"/>
      <c r="D151" s="47"/>
      <c r="E151" s="47"/>
      <c r="F151" s="47"/>
      <c r="G151" s="47"/>
      <c r="H151" s="47"/>
      <c r="I151" s="48"/>
      <c r="J151" s="47"/>
    </row>
    <row r="152" spans="1:10" x14ac:dyDescent="0.35">
      <c r="A152" s="49"/>
      <c r="B152" s="49"/>
      <c r="C152" s="49"/>
      <c r="D152" s="49"/>
      <c r="E152" s="49"/>
      <c r="F152" s="49"/>
      <c r="G152" s="49"/>
      <c r="H152" s="49"/>
      <c r="I152" s="49"/>
      <c r="J152" s="49"/>
    </row>
    <row r="153" spans="1:10" x14ac:dyDescent="0.35">
      <c r="A153"/>
      <c r="B153"/>
      <c r="C153"/>
      <c r="D153"/>
      <c r="E153"/>
      <c r="F153"/>
      <c r="G153"/>
      <c r="H153"/>
      <c r="I153"/>
      <c r="J153"/>
    </row>
    <row r="154" spans="1:10" x14ac:dyDescent="0.35">
      <c r="A154"/>
      <c r="B154"/>
      <c r="C154"/>
      <c r="D154"/>
      <c r="E154"/>
      <c r="F154"/>
      <c r="G154"/>
      <c r="H154"/>
      <c r="I154"/>
      <c r="J154"/>
    </row>
    <row r="155" spans="1:10" x14ac:dyDescent="0.35">
      <c r="A155"/>
      <c r="B155"/>
      <c r="C155"/>
      <c r="D155"/>
      <c r="E155"/>
      <c r="F155"/>
      <c r="G155"/>
      <c r="H155"/>
      <c r="I155"/>
      <c r="J155"/>
    </row>
    <row r="156" spans="1:10" x14ac:dyDescent="0.35">
      <c r="A156"/>
      <c r="B156"/>
      <c r="C156"/>
      <c r="D156"/>
      <c r="E156"/>
      <c r="F156"/>
      <c r="G156"/>
      <c r="H156"/>
      <c r="I156"/>
      <c r="J156"/>
    </row>
    <row r="157" spans="1:10" x14ac:dyDescent="0.35">
      <c r="A157"/>
      <c r="B157"/>
      <c r="C157"/>
      <c r="D157"/>
      <c r="E157"/>
      <c r="F157"/>
      <c r="G157"/>
      <c r="H157"/>
      <c r="I157"/>
      <c r="J157"/>
    </row>
    <row r="158" spans="1:10" x14ac:dyDescent="0.35">
      <c r="A158"/>
      <c r="B158"/>
      <c r="C158"/>
      <c r="D158"/>
      <c r="E158"/>
      <c r="F158"/>
      <c r="G158"/>
      <c r="H158"/>
      <c r="I158"/>
      <c r="J158"/>
    </row>
    <row r="159" spans="1:10" x14ac:dyDescent="0.35">
      <c r="A159"/>
      <c r="B159"/>
      <c r="C159"/>
      <c r="D159"/>
      <c r="E159"/>
      <c r="F159"/>
      <c r="G159"/>
      <c r="H159"/>
      <c r="I159"/>
      <c r="J159"/>
    </row>
    <row r="160" spans="1:10" x14ac:dyDescent="0.35">
      <c r="A160"/>
      <c r="B160"/>
      <c r="C160"/>
      <c r="D160"/>
      <c r="E160"/>
      <c r="F160"/>
      <c r="G160"/>
      <c r="H160"/>
      <c r="I160"/>
      <c r="J160"/>
    </row>
    <row r="161" spans="1:10" x14ac:dyDescent="0.35">
      <c r="A161"/>
      <c r="B161"/>
      <c r="C161"/>
      <c r="D161"/>
      <c r="E161"/>
      <c r="F161"/>
      <c r="G161"/>
      <c r="H161"/>
      <c r="I161"/>
      <c r="J161"/>
    </row>
    <row r="162" spans="1:10" x14ac:dyDescent="0.35">
      <c r="A162"/>
      <c r="B162"/>
      <c r="C162"/>
      <c r="D162"/>
      <c r="E162"/>
      <c r="F162"/>
      <c r="G162"/>
      <c r="H162"/>
      <c r="I162"/>
      <c r="J162"/>
    </row>
    <row r="163" spans="1:10" x14ac:dyDescent="0.35">
      <c r="A163"/>
      <c r="B163"/>
      <c r="C163"/>
      <c r="D163"/>
      <c r="E163"/>
      <c r="F163"/>
      <c r="G163"/>
      <c r="H163"/>
      <c r="I163"/>
      <c r="J163"/>
    </row>
    <row r="164" spans="1:10" x14ac:dyDescent="0.35">
      <c r="A164"/>
      <c r="B164"/>
      <c r="C164"/>
      <c r="D164"/>
      <c r="E164"/>
      <c r="F164"/>
      <c r="G164"/>
      <c r="H164"/>
      <c r="I164"/>
      <c r="J164"/>
    </row>
    <row r="165" spans="1:10" x14ac:dyDescent="0.35">
      <c r="A165"/>
      <c r="B165"/>
      <c r="C165"/>
      <c r="D165"/>
      <c r="E165"/>
      <c r="F165"/>
      <c r="G165"/>
      <c r="H165"/>
      <c r="I165"/>
      <c r="J165"/>
    </row>
    <row r="166" spans="1:10" x14ac:dyDescent="0.35">
      <c r="A166"/>
      <c r="B166"/>
      <c r="C166"/>
      <c r="D166"/>
      <c r="E166"/>
      <c r="F166"/>
      <c r="G166"/>
      <c r="H166"/>
      <c r="I166"/>
      <c r="J166"/>
    </row>
    <row r="167" spans="1:10" x14ac:dyDescent="0.35">
      <c r="A167"/>
      <c r="B167"/>
      <c r="C167"/>
      <c r="D167"/>
      <c r="E167"/>
      <c r="F167"/>
      <c r="G167"/>
      <c r="H167"/>
      <c r="I167"/>
      <c r="J167"/>
    </row>
    <row r="168" spans="1:10" x14ac:dyDescent="0.35">
      <c r="A168"/>
      <c r="B168"/>
      <c r="C168"/>
      <c r="D168"/>
      <c r="E168"/>
      <c r="F168"/>
      <c r="G168"/>
      <c r="H168"/>
      <c r="I168"/>
      <c r="J168"/>
    </row>
    <row r="169" spans="1:10" x14ac:dyDescent="0.35">
      <c r="A169"/>
      <c r="B169"/>
      <c r="C169"/>
      <c r="D169"/>
      <c r="E169"/>
      <c r="F169"/>
      <c r="G169"/>
      <c r="H169"/>
      <c r="I169"/>
      <c r="J169"/>
    </row>
    <row r="170" spans="1:10" x14ac:dyDescent="0.35">
      <c r="A170"/>
      <c r="B170"/>
      <c r="C170"/>
      <c r="D170"/>
      <c r="E170"/>
      <c r="F170"/>
      <c r="G170"/>
      <c r="H170"/>
      <c r="I170"/>
      <c r="J170"/>
    </row>
    <row r="171" spans="1:10" x14ac:dyDescent="0.35">
      <c r="A171"/>
      <c r="B171"/>
      <c r="C171"/>
      <c r="D171"/>
      <c r="E171"/>
      <c r="F171"/>
      <c r="G171"/>
      <c r="H171"/>
      <c r="I171"/>
      <c r="J171"/>
    </row>
    <row r="172" spans="1:10" x14ac:dyDescent="0.35">
      <c r="A172"/>
      <c r="B172"/>
      <c r="C172"/>
      <c r="D172"/>
      <c r="E172"/>
      <c r="F172"/>
      <c r="G172"/>
      <c r="H172"/>
      <c r="I172"/>
      <c r="J172"/>
    </row>
    <row r="173" spans="1:10" x14ac:dyDescent="0.35">
      <c r="A173"/>
      <c r="B173"/>
      <c r="C173"/>
      <c r="D173"/>
      <c r="E173"/>
      <c r="F173"/>
      <c r="G173"/>
      <c r="H173"/>
      <c r="I173"/>
      <c r="J173"/>
    </row>
    <row r="174" spans="1:10" x14ac:dyDescent="0.35">
      <c r="A174"/>
      <c r="B174"/>
      <c r="C174"/>
      <c r="D174"/>
      <c r="E174"/>
      <c r="F174"/>
      <c r="G174"/>
      <c r="H174"/>
      <c r="I174"/>
      <c r="J174"/>
    </row>
    <row r="175" spans="1:10" x14ac:dyDescent="0.35">
      <c r="A175"/>
      <c r="B175"/>
      <c r="C175"/>
      <c r="D175"/>
      <c r="E175"/>
      <c r="F175"/>
      <c r="G175"/>
      <c r="H175"/>
      <c r="I175"/>
      <c r="J175"/>
    </row>
    <row r="176" spans="1:10" x14ac:dyDescent="0.35">
      <c r="A176"/>
      <c r="B176"/>
      <c r="C176"/>
      <c r="D176"/>
      <c r="E176"/>
      <c r="F176"/>
      <c r="G176"/>
      <c r="H176"/>
      <c r="I176"/>
      <c r="J176"/>
    </row>
    <row r="177" spans="1:10" x14ac:dyDescent="0.35">
      <c r="A177"/>
      <c r="B177"/>
      <c r="C177"/>
      <c r="D177"/>
      <c r="E177"/>
      <c r="F177"/>
      <c r="G177"/>
      <c r="H177"/>
      <c r="I177"/>
      <c r="J177"/>
    </row>
    <row r="178" spans="1:10" x14ac:dyDescent="0.35">
      <c r="A178"/>
      <c r="B178"/>
      <c r="C178"/>
      <c r="D178"/>
      <c r="E178"/>
      <c r="F178"/>
      <c r="G178"/>
      <c r="H178"/>
      <c r="I178"/>
      <c r="J178"/>
    </row>
    <row r="179" spans="1:10" x14ac:dyDescent="0.35">
      <c r="A179"/>
      <c r="B179"/>
      <c r="C179"/>
      <c r="D179"/>
      <c r="E179"/>
      <c r="F179"/>
      <c r="G179"/>
      <c r="H179"/>
      <c r="I179"/>
      <c r="J179"/>
    </row>
    <row r="180" spans="1:10" x14ac:dyDescent="0.35">
      <c r="A180"/>
      <c r="B180"/>
      <c r="C180"/>
      <c r="D180"/>
      <c r="E180"/>
      <c r="F180"/>
      <c r="G180"/>
      <c r="H180"/>
      <c r="I180"/>
      <c r="J180"/>
    </row>
    <row r="181" spans="1:10" x14ac:dyDescent="0.35">
      <c r="A181"/>
      <c r="B181"/>
      <c r="C181"/>
      <c r="D181"/>
      <c r="E181"/>
      <c r="F181"/>
      <c r="G181"/>
      <c r="H181"/>
      <c r="I181"/>
      <c r="J181"/>
    </row>
    <row r="182" spans="1:10" x14ac:dyDescent="0.35">
      <c r="A182"/>
      <c r="B182"/>
      <c r="C182"/>
      <c r="D182"/>
      <c r="E182"/>
      <c r="F182"/>
      <c r="G182"/>
      <c r="H182"/>
      <c r="I182"/>
      <c r="J182"/>
    </row>
    <row r="183" spans="1:10" x14ac:dyDescent="0.35">
      <c r="A183"/>
      <c r="B183"/>
      <c r="C183"/>
      <c r="D183"/>
      <c r="E183"/>
      <c r="F183"/>
      <c r="G183"/>
      <c r="H183"/>
      <c r="I183"/>
      <c r="J183"/>
    </row>
    <row r="184" spans="1:10" x14ac:dyDescent="0.35">
      <c r="A184"/>
      <c r="B184"/>
      <c r="C184"/>
      <c r="D184"/>
      <c r="E184"/>
      <c r="F184"/>
      <c r="G184"/>
      <c r="H184"/>
      <c r="I184"/>
      <c r="J184"/>
    </row>
    <row r="185" spans="1:10" x14ac:dyDescent="0.35">
      <c r="A185"/>
      <c r="B185"/>
      <c r="C185"/>
      <c r="D185"/>
      <c r="E185"/>
      <c r="F185"/>
      <c r="G185"/>
      <c r="H185"/>
      <c r="I185"/>
      <c r="J185"/>
    </row>
    <row r="186" spans="1:10" x14ac:dyDescent="0.35">
      <c r="A186"/>
      <c r="B186"/>
      <c r="C186"/>
      <c r="D186"/>
      <c r="E186"/>
      <c r="F186"/>
      <c r="G186"/>
      <c r="H186"/>
      <c r="I186"/>
      <c r="J186"/>
    </row>
    <row r="187" spans="1:10" x14ac:dyDescent="0.35">
      <c r="A187"/>
      <c r="B187"/>
      <c r="C187"/>
      <c r="D187"/>
      <c r="E187"/>
      <c r="F187"/>
      <c r="G187"/>
      <c r="H187"/>
      <c r="I187"/>
      <c r="J187"/>
    </row>
    <row r="188" spans="1:10" x14ac:dyDescent="0.35">
      <c r="A188"/>
      <c r="B188"/>
      <c r="C188"/>
      <c r="D188"/>
      <c r="E188"/>
      <c r="F188"/>
      <c r="G188"/>
      <c r="H188"/>
      <c r="I188"/>
      <c r="J188"/>
    </row>
    <row r="189" spans="1:10" x14ac:dyDescent="0.35">
      <c r="A189"/>
      <c r="B189"/>
      <c r="C189"/>
      <c r="D189"/>
      <c r="E189"/>
      <c r="F189"/>
      <c r="G189"/>
      <c r="H189"/>
      <c r="I189"/>
      <c r="J189"/>
    </row>
    <row r="190" spans="1:10" x14ac:dyDescent="0.35">
      <c r="A190"/>
      <c r="B190"/>
      <c r="C190"/>
      <c r="D190"/>
      <c r="E190"/>
      <c r="F190"/>
      <c r="G190"/>
      <c r="H190"/>
      <c r="I190"/>
      <c r="J190"/>
    </row>
    <row r="191" spans="1:10" x14ac:dyDescent="0.35">
      <c r="A191"/>
      <c r="B191"/>
      <c r="C191"/>
      <c r="D191"/>
      <c r="E191"/>
      <c r="F191"/>
      <c r="G191"/>
      <c r="H191"/>
      <c r="I191"/>
      <c r="J191"/>
    </row>
    <row r="192" spans="1:10" x14ac:dyDescent="0.35">
      <c r="A192"/>
      <c r="B192"/>
      <c r="C192"/>
      <c r="D192"/>
      <c r="E192"/>
      <c r="F192"/>
      <c r="G192"/>
      <c r="H192"/>
      <c r="I192"/>
      <c r="J192"/>
    </row>
    <row r="193" spans="1:10" x14ac:dyDescent="0.35">
      <c r="A193"/>
      <c r="B193"/>
      <c r="C193"/>
      <c r="D193"/>
      <c r="E193"/>
      <c r="F193"/>
      <c r="G193"/>
      <c r="H193"/>
      <c r="I193"/>
      <c r="J193"/>
    </row>
    <row r="194" spans="1:10" x14ac:dyDescent="0.35">
      <c r="A194"/>
      <c r="B194"/>
      <c r="C194"/>
      <c r="D194"/>
      <c r="E194"/>
      <c r="F194"/>
      <c r="G194"/>
      <c r="H194"/>
      <c r="I194"/>
      <c r="J194"/>
    </row>
    <row r="195" spans="1:10" x14ac:dyDescent="0.35">
      <c r="A195"/>
      <c r="B195"/>
      <c r="C195"/>
      <c r="D195"/>
      <c r="E195"/>
      <c r="F195"/>
      <c r="G195"/>
      <c r="H195"/>
      <c r="I195"/>
      <c r="J195"/>
    </row>
    <row r="196" spans="1:10" x14ac:dyDescent="0.35">
      <c r="A196"/>
      <c r="B196"/>
      <c r="C196"/>
      <c r="D196"/>
      <c r="E196"/>
      <c r="F196"/>
      <c r="G196"/>
      <c r="H196"/>
      <c r="I196"/>
      <c r="J196"/>
    </row>
    <row r="197" spans="1:10" x14ac:dyDescent="0.35">
      <c r="A197"/>
      <c r="B197"/>
      <c r="C197"/>
      <c r="D197"/>
      <c r="E197"/>
      <c r="F197"/>
      <c r="G197"/>
      <c r="H197"/>
      <c r="I197"/>
      <c r="J197"/>
    </row>
    <row r="198" spans="1:10" x14ac:dyDescent="0.35">
      <c r="A198"/>
      <c r="B198"/>
      <c r="C198"/>
      <c r="D198"/>
      <c r="E198"/>
      <c r="F198"/>
      <c r="G198"/>
      <c r="H198"/>
      <c r="I198"/>
      <c r="J198"/>
    </row>
    <row r="199" spans="1:10" x14ac:dyDescent="0.35">
      <c r="A199"/>
      <c r="B199"/>
      <c r="C199"/>
      <c r="D199"/>
      <c r="E199"/>
      <c r="F199"/>
      <c r="G199"/>
      <c r="H199"/>
      <c r="I199"/>
      <c r="J199"/>
    </row>
    <row r="200" spans="1:10" x14ac:dyDescent="0.35">
      <c r="A200"/>
      <c r="B200"/>
      <c r="C200"/>
      <c r="D200"/>
      <c r="E200"/>
      <c r="F200"/>
      <c r="G200"/>
      <c r="H200"/>
      <c r="I200"/>
      <c r="J200"/>
    </row>
    <row r="201" spans="1:10" x14ac:dyDescent="0.35">
      <c r="A201"/>
      <c r="B201"/>
      <c r="C201"/>
      <c r="D201"/>
      <c r="E201"/>
      <c r="F201"/>
      <c r="G201"/>
      <c r="H201"/>
      <c r="I201"/>
      <c r="J201"/>
    </row>
    <row r="202" spans="1:10" x14ac:dyDescent="0.35">
      <c r="A202"/>
      <c r="B202"/>
      <c r="C202"/>
      <c r="D202"/>
      <c r="E202"/>
      <c r="F202"/>
      <c r="G202"/>
      <c r="H202"/>
      <c r="I202"/>
      <c r="J202"/>
    </row>
    <row r="203" spans="1:10" x14ac:dyDescent="0.35">
      <c r="A203"/>
      <c r="B203"/>
      <c r="C203"/>
      <c r="D203"/>
      <c r="E203"/>
      <c r="F203"/>
      <c r="G203"/>
      <c r="H203"/>
      <c r="I203"/>
      <c r="J203"/>
    </row>
    <row r="204" spans="1:10" x14ac:dyDescent="0.35">
      <c r="A204"/>
      <c r="B204"/>
      <c r="C204"/>
      <c r="D204"/>
      <c r="E204"/>
      <c r="F204"/>
      <c r="G204"/>
      <c r="H204"/>
      <c r="I204"/>
      <c r="J204"/>
    </row>
    <row r="205" spans="1:10" x14ac:dyDescent="0.35">
      <c r="A205"/>
      <c r="B205"/>
      <c r="C205"/>
      <c r="D205"/>
      <c r="E205"/>
      <c r="F205"/>
      <c r="G205"/>
      <c r="H205"/>
      <c r="I205"/>
      <c r="J205"/>
    </row>
    <row r="206" spans="1:10" x14ac:dyDescent="0.35">
      <c r="A206"/>
      <c r="B206"/>
      <c r="C206"/>
      <c r="D206"/>
      <c r="E206"/>
      <c r="F206"/>
      <c r="G206"/>
      <c r="H206"/>
      <c r="I206"/>
      <c r="J206"/>
    </row>
    <row r="207" spans="1:10" x14ac:dyDescent="0.35">
      <c r="A207"/>
      <c r="B207"/>
      <c r="C207"/>
      <c r="D207"/>
      <c r="E207"/>
      <c r="F207"/>
      <c r="G207"/>
      <c r="H207"/>
      <c r="I207"/>
      <c r="J207"/>
    </row>
    <row r="208" spans="1:10" x14ac:dyDescent="0.35">
      <c r="A208"/>
      <c r="B208"/>
      <c r="C208"/>
      <c r="D208"/>
      <c r="E208"/>
      <c r="F208"/>
      <c r="G208"/>
      <c r="H208"/>
      <c r="I208"/>
      <c r="J208"/>
    </row>
    <row r="209" spans="1:10" x14ac:dyDescent="0.35">
      <c r="A209"/>
      <c r="B209"/>
      <c r="C209"/>
      <c r="D209"/>
      <c r="E209"/>
      <c r="F209"/>
      <c r="G209"/>
      <c r="H209"/>
      <c r="I209"/>
      <c r="J209"/>
    </row>
    <row r="210" spans="1:10" x14ac:dyDescent="0.35">
      <c r="A210"/>
      <c r="B210"/>
      <c r="C210"/>
      <c r="D210"/>
      <c r="E210"/>
      <c r="F210"/>
      <c r="G210"/>
      <c r="H210"/>
      <c r="I210"/>
      <c r="J210"/>
    </row>
    <row r="211" spans="1:10" x14ac:dyDescent="0.35">
      <c r="A211"/>
      <c r="B211"/>
      <c r="C211"/>
      <c r="D211"/>
      <c r="E211"/>
      <c r="F211"/>
      <c r="G211"/>
      <c r="H211"/>
      <c r="I211"/>
      <c r="J211"/>
    </row>
    <row r="212" spans="1:10" x14ac:dyDescent="0.35">
      <c r="A212"/>
      <c r="B212"/>
      <c r="C212"/>
      <c r="D212"/>
      <c r="E212"/>
      <c r="F212"/>
      <c r="G212"/>
      <c r="H212"/>
      <c r="I212"/>
      <c r="J212"/>
    </row>
    <row r="213" spans="1:10" x14ac:dyDescent="0.35">
      <c r="A213"/>
      <c r="B213"/>
      <c r="C213"/>
      <c r="D213"/>
      <c r="E213"/>
      <c r="F213"/>
      <c r="G213"/>
      <c r="H213"/>
      <c r="I213"/>
      <c r="J213"/>
    </row>
    <row r="214" spans="1:10" x14ac:dyDescent="0.35">
      <c r="A214"/>
      <c r="B214"/>
      <c r="C214"/>
      <c r="D214"/>
      <c r="E214"/>
      <c r="F214"/>
      <c r="G214"/>
      <c r="H214"/>
      <c r="I214"/>
      <c r="J214"/>
    </row>
    <row r="215" spans="1:10" x14ac:dyDescent="0.35">
      <c r="A215"/>
      <c r="B215"/>
      <c r="C215"/>
      <c r="D215"/>
      <c r="E215"/>
      <c r="F215"/>
      <c r="G215"/>
      <c r="H215"/>
      <c r="I215"/>
      <c r="J215"/>
    </row>
    <row r="216" spans="1:10" x14ac:dyDescent="0.35">
      <c r="A216"/>
      <c r="B216"/>
      <c r="C216"/>
      <c r="D216"/>
      <c r="E216"/>
      <c r="F216"/>
      <c r="G216"/>
      <c r="H216"/>
      <c r="I216"/>
      <c r="J216"/>
    </row>
    <row r="217" spans="1:10" x14ac:dyDescent="0.35">
      <c r="A217"/>
      <c r="B217"/>
      <c r="C217"/>
      <c r="D217"/>
      <c r="E217"/>
      <c r="F217"/>
      <c r="G217"/>
      <c r="H217"/>
      <c r="I217"/>
      <c r="J217"/>
    </row>
    <row r="218" spans="1:10" x14ac:dyDescent="0.35">
      <c r="A218"/>
      <c r="B218"/>
      <c r="C218"/>
      <c r="D218"/>
      <c r="E218"/>
      <c r="F218"/>
      <c r="G218"/>
      <c r="H218"/>
      <c r="I218"/>
      <c r="J218"/>
    </row>
    <row r="219" spans="1:10" x14ac:dyDescent="0.35">
      <c r="A219"/>
      <c r="B219"/>
      <c r="C219"/>
      <c r="D219"/>
      <c r="E219"/>
      <c r="F219"/>
      <c r="G219"/>
      <c r="H219"/>
      <c r="I219"/>
      <c r="J219"/>
    </row>
    <row r="220" spans="1:10" x14ac:dyDescent="0.35">
      <c r="A220"/>
      <c r="B220"/>
      <c r="C220"/>
      <c r="D220"/>
      <c r="E220"/>
      <c r="F220"/>
      <c r="G220"/>
      <c r="H220"/>
      <c r="I220"/>
      <c r="J220"/>
    </row>
    <row r="221" spans="1:10" x14ac:dyDescent="0.35">
      <c r="A221"/>
      <c r="B221"/>
      <c r="C221"/>
      <c r="D221"/>
      <c r="E221"/>
      <c r="F221"/>
      <c r="G221"/>
      <c r="H221"/>
      <c r="I221"/>
      <c r="J221"/>
    </row>
    <row r="222" spans="1:10" x14ac:dyDescent="0.35">
      <c r="A222"/>
      <c r="B222"/>
      <c r="C222"/>
      <c r="D222"/>
      <c r="E222"/>
      <c r="F222"/>
      <c r="G222"/>
      <c r="H222"/>
      <c r="I222"/>
      <c r="J222"/>
    </row>
    <row r="223" spans="1:10" x14ac:dyDescent="0.35">
      <c r="A223"/>
      <c r="B223"/>
      <c r="C223"/>
      <c r="D223"/>
      <c r="E223"/>
      <c r="F223"/>
      <c r="G223"/>
      <c r="H223"/>
      <c r="I223"/>
      <c r="J223"/>
    </row>
    <row r="224" spans="1:10" x14ac:dyDescent="0.35">
      <c r="A224"/>
      <c r="B224"/>
      <c r="C224"/>
      <c r="D224"/>
      <c r="E224"/>
      <c r="F224"/>
      <c r="G224"/>
      <c r="H224"/>
      <c r="I224"/>
      <c r="J224"/>
    </row>
    <row r="225" spans="1:10" x14ac:dyDescent="0.35">
      <c r="A225"/>
      <c r="B225"/>
      <c r="C225"/>
      <c r="D225"/>
      <c r="E225"/>
      <c r="F225"/>
      <c r="G225"/>
      <c r="H225"/>
      <c r="I225"/>
      <c r="J225"/>
    </row>
    <row r="226" spans="1:10" x14ac:dyDescent="0.35">
      <c r="A226"/>
      <c r="B226"/>
      <c r="C226"/>
      <c r="D226"/>
      <c r="E226"/>
      <c r="F226"/>
      <c r="G226"/>
      <c r="H226"/>
      <c r="I226"/>
      <c r="J226"/>
    </row>
    <row r="227" spans="1:10" x14ac:dyDescent="0.35">
      <c r="A227"/>
      <c r="B227"/>
      <c r="C227"/>
      <c r="D227"/>
      <c r="E227"/>
      <c r="F227"/>
      <c r="G227"/>
      <c r="H227"/>
      <c r="I227"/>
      <c r="J227"/>
    </row>
    <row r="228" spans="1:10" x14ac:dyDescent="0.35">
      <c r="A228"/>
      <c r="B228"/>
      <c r="C228"/>
      <c r="D228"/>
      <c r="E228"/>
      <c r="F228"/>
      <c r="G228"/>
      <c r="H228"/>
      <c r="I228"/>
      <c r="J228"/>
    </row>
    <row r="229" spans="1:10" x14ac:dyDescent="0.35">
      <c r="A229"/>
      <c r="B229"/>
      <c r="C229"/>
      <c r="D229"/>
      <c r="E229"/>
      <c r="F229"/>
      <c r="G229"/>
      <c r="H229"/>
      <c r="I229"/>
      <c r="J229"/>
    </row>
    <row r="230" spans="1:10" x14ac:dyDescent="0.35">
      <c r="A230"/>
      <c r="B230"/>
      <c r="C230"/>
      <c r="D230"/>
      <c r="E230"/>
      <c r="F230"/>
      <c r="G230"/>
      <c r="H230"/>
      <c r="I230"/>
      <c r="J230"/>
    </row>
    <row r="231" spans="1:10" x14ac:dyDescent="0.35">
      <c r="A231"/>
      <c r="B231"/>
      <c r="C231"/>
      <c r="D231"/>
      <c r="E231"/>
      <c r="F231"/>
      <c r="G231"/>
      <c r="H231"/>
      <c r="I231"/>
      <c r="J231"/>
    </row>
    <row r="232" spans="1:10" x14ac:dyDescent="0.35">
      <c r="A232"/>
      <c r="B232"/>
      <c r="C232"/>
      <c r="D232"/>
      <c r="E232"/>
      <c r="F232"/>
      <c r="G232"/>
      <c r="H232"/>
      <c r="I232"/>
      <c r="J232"/>
    </row>
    <row r="233" spans="1:10" x14ac:dyDescent="0.35">
      <c r="A233"/>
      <c r="B233"/>
      <c r="C233"/>
      <c r="D233"/>
      <c r="E233"/>
      <c r="F233"/>
      <c r="G233"/>
      <c r="H233"/>
      <c r="I233"/>
      <c r="J233"/>
    </row>
    <row r="234" spans="1:10" x14ac:dyDescent="0.35">
      <c r="A234"/>
      <c r="B234"/>
      <c r="C234"/>
      <c r="D234"/>
      <c r="E234"/>
      <c r="F234"/>
      <c r="G234"/>
      <c r="H234"/>
      <c r="I234"/>
      <c r="J234"/>
    </row>
    <row r="235" spans="1:10" x14ac:dyDescent="0.35">
      <c r="A235"/>
      <c r="B235"/>
      <c r="C235"/>
      <c r="D235"/>
      <c r="E235"/>
      <c r="F235"/>
      <c r="G235"/>
      <c r="H235"/>
      <c r="I235"/>
      <c r="J235"/>
    </row>
    <row r="236" spans="1:10" x14ac:dyDescent="0.35">
      <c r="A236"/>
      <c r="B236"/>
      <c r="C236"/>
      <c r="D236"/>
      <c r="E236"/>
      <c r="F236"/>
      <c r="G236"/>
      <c r="H236"/>
      <c r="I236"/>
      <c r="J236"/>
    </row>
    <row r="237" spans="1:10" x14ac:dyDescent="0.35">
      <c r="A237"/>
      <c r="B237"/>
      <c r="C237"/>
      <c r="D237"/>
      <c r="E237"/>
      <c r="F237"/>
      <c r="G237"/>
      <c r="H237"/>
      <c r="I237"/>
      <c r="J237"/>
    </row>
    <row r="238" spans="1:10" x14ac:dyDescent="0.35">
      <c r="A238"/>
      <c r="B238"/>
      <c r="C238"/>
      <c r="D238"/>
      <c r="E238"/>
      <c r="F238"/>
      <c r="G238"/>
      <c r="H238"/>
      <c r="I238"/>
      <c r="J238"/>
    </row>
    <row r="239" spans="1:10" x14ac:dyDescent="0.35">
      <c r="A239"/>
      <c r="B239"/>
      <c r="C239"/>
      <c r="D239"/>
      <c r="E239"/>
      <c r="F239"/>
      <c r="G239"/>
      <c r="H239"/>
      <c r="I239"/>
      <c r="J239"/>
    </row>
    <row r="240" spans="1:10" x14ac:dyDescent="0.35">
      <c r="A240"/>
      <c r="B240"/>
      <c r="C240"/>
      <c r="D240"/>
      <c r="E240"/>
      <c r="F240"/>
      <c r="G240"/>
      <c r="H240"/>
      <c r="I240"/>
      <c r="J240"/>
    </row>
    <row r="241" spans="1:10" x14ac:dyDescent="0.35">
      <c r="A241"/>
      <c r="B241"/>
      <c r="C241"/>
      <c r="D241"/>
      <c r="E241"/>
      <c r="F241"/>
      <c r="G241"/>
      <c r="H241"/>
      <c r="I241"/>
      <c r="J241"/>
    </row>
    <row r="242" spans="1:10" x14ac:dyDescent="0.35">
      <c r="A242"/>
      <c r="B242"/>
      <c r="C242"/>
      <c r="D242"/>
      <c r="E242"/>
      <c r="F242"/>
      <c r="G242"/>
      <c r="H242"/>
      <c r="I242"/>
      <c r="J242"/>
    </row>
    <row r="243" spans="1:10" x14ac:dyDescent="0.35">
      <c r="A243"/>
      <c r="B243"/>
      <c r="C243"/>
      <c r="D243"/>
      <c r="E243"/>
      <c r="F243"/>
      <c r="G243"/>
      <c r="H243"/>
      <c r="I243"/>
      <c r="J243"/>
    </row>
    <row r="244" spans="1:10" x14ac:dyDescent="0.35">
      <c r="A244"/>
      <c r="B244"/>
      <c r="C244"/>
      <c r="D244"/>
      <c r="E244"/>
      <c r="F244"/>
      <c r="G244"/>
      <c r="H244"/>
      <c r="I244"/>
      <c r="J244"/>
    </row>
    <row r="245" spans="1:10" x14ac:dyDescent="0.35">
      <c r="A245"/>
      <c r="B245"/>
      <c r="C245"/>
      <c r="D245"/>
      <c r="E245"/>
      <c r="F245"/>
      <c r="G245"/>
      <c r="H245"/>
      <c r="I245"/>
      <c r="J245"/>
    </row>
    <row r="246" spans="1:10" x14ac:dyDescent="0.35">
      <c r="A246"/>
      <c r="B246"/>
      <c r="C246"/>
      <c r="D246"/>
      <c r="E246"/>
      <c r="F246"/>
      <c r="G246"/>
      <c r="H246"/>
      <c r="I246"/>
      <c r="J246"/>
    </row>
    <row r="247" spans="1:10" x14ac:dyDescent="0.35">
      <c r="A247"/>
      <c r="B247"/>
      <c r="C247"/>
      <c r="D247"/>
      <c r="E247"/>
      <c r="F247"/>
      <c r="G247"/>
      <c r="H247"/>
      <c r="I247"/>
      <c r="J247"/>
    </row>
    <row r="248" spans="1:10" x14ac:dyDescent="0.35">
      <c r="A248"/>
      <c r="B248"/>
      <c r="C248"/>
      <c r="D248"/>
      <c r="E248"/>
      <c r="F248"/>
      <c r="G248"/>
      <c r="H248"/>
      <c r="I248"/>
      <c r="J248"/>
    </row>
    <row r="249" spans="1:10" x14ac:dyDescent="0.35">
      <c r="A249"/>
      <c r="B249"/>
      <c r="C249"/>
      <c r="D249"/>
      <c r="E249"/>
      <c r="F249"/>
      <c r="G249"/>
      <c r="H249"/>
      <c r="I249"/>
      <c r="J249"/>
    </row>
    <row r="250" spans="1:10" x14ac:dyDescent="0.35">
      <c r="A250"/>
      <c r="B250"/>
      <c r="C250"/>
      <c r="D250"/>
      <c r="E250"/>
      <c r="F250"/>
      <c r="G250"/>
      <c r="H250"/>
      <c r="I250"/>
      <c r="J250"/>
    </row>
    <row r="251" spans="1:10" x14ac:dyDescent="0.35">
      <c r="A251"/>
      <c r="B251"/>
      <c r="C251"/>
      <c r="D251"/>
      <c r="E251"/>
      <c r="F251"/>
      <c r="G251"/>
      <c r="H251"/>
      <c r="I251"/>
      <c r="J251"/>
    </row>
    <row r="252" spans="1:10" x14ac:dyDescent="0.35">
      <c r="A252"/>
      <c r="B252"/>
      <c r="C252"/>
      <c r="D252"/>
      <c r="E252"/>
      <c r="F252"/>
      <c r="G252"/>
      <c r="H252"/>
      <c r="I252"/>
      <c r="J252"/>
    </row>
    <row r="253" spans="1:10" x14ac:dyDescent="0.35">
      <c r="A253"/>
      <c r="B253"/>
      <c r="C253"/>
      <c r="D253"/>
      <c r="E253"/>
      <c r="F253"/>
      <c r="G253"/>
      <c r="H253"/>
      <c r="I253"/>
      <c r="J253"/>
    </row>
    <row r="254" spans="1:10" x14ac:dyDescent="0.35">
      <c r="A254"/>
      <c r="B254"/>
      <c r="C254"/>
      <c r="D254"/>
      <c r="E254"/>
      <c r="F254"/>
      <c r="G254"/>
      <c r="H254"/>
      <c r="I254"/>
      <c r="J254"/>
    </row>
    <row r="255" spans="1:10" x14ac:dyDescent="0.35">
      <c r="A255"/>
      <c r="B255"/>
      <c r="C255"/>
      <c r="D255"/>
      <c r="E255"/>
      <c r="F255"/>
      <c r="G255"/>
      <c r="H255"/>
      <c r="I255"/>
      <c r="J255"/>
    </row>
    <row r="256" spans="1:10" x14ac:dyDescent="0.35">
      <c r="A256"/>
      <c r="B256"/>
      <c r="C256"/>
      <c r="D256"/>
      <c r="E256"/>
      <c r="F256"/>
      <c r="G256"/>
      <c r="H256"/>
      <c r="I256"/>
      <c r="J256"/>
    </row>
    <row r="257" spans="1:10" x14ac:dyDescent="0.35">
      <c r="A257"/>
      <c r="B257"/>
      <c r="C257"/>
      <c r="D257"/>
      <c r="E257"/>
      <c r="F257"/>
      <c r="G257"/>
      <c r="H257"/>
      <c r="I257"/>
      <c r="J257"/>
    </row>
    <row r="258" spans="1:10" x14ac:dyDescent="0.35">
      <c r="A258"/>
      <c r="B258"/>
      <c r="C258"/>
      <c r="D258"/>
      <c r="E258"/>
      <c r="F258"/>
      <c r="G258"/>
      <c r="H258"/>
      <c r="I258"/>
      <c r="J258"/>
    </row>
    <row r="259" spans="1:10" x14ac:dyDescent="0.35">
      <c r="A259"/>
      <c r="B259"/>
      <c r="C259"/>
      <c r="D259"/>
      <c r="E259"/>
      <c r="F259"/>
      <c r="G259"/>
      <c r="H259"/>
      <c r="I259"/>
      <c r="J259"/>
    </row>
    <row r="260" spans="1:10" x14ac:dyDescent="0.35">
      <c r="A260"/>
      <c r="B260"/>
      <c r="C260"/>
      <c r="D260"/>
      <c r="E260"/>
      <c r="F260"/>
      <c r="G260"/>
      <c r="H260"/>
      <c r="I260"/>
      <c r="J260"/>
    </row>
    <row r="261" spans="1:10" x14ac:dyDescent="0.35">
      <c r="A261"/>
      <c r="B261"/>
      <c r="C261"/>
      <c r="D261"/>
      <c r="E261"/>
      <c r="F261"/>
      <c r="G261"/>
      <c r="H261"/>
      <c r="I261"/>
      <c r="J261"/>
    </row>
    <row r="262" spans="1:10" x14ac:dyDescent="0.35">
      <c r="A262"/>
      <c r="B262"/>
      <c r="C262"/>
      <c r="D262"/>
      <c r="E262"/>
      <c r="F262"/>
      <c r="G262"/>
      <c r="H262"/>
      <c r="I262"/>
      <c r="J262"/>
    </row>
    <row r="263" spans="1:10" x14ac:dyDescent="0.35">
      <c r="A263"/>
      <c r="B263"/>
      <c r="C263"/>
      <c r="D263"/>
      <c r="E263"/>
      <c r="F263"/>
      <c r="G263"/>
      <c r="H263"/>
      <c r="I263"/>
      <c r="J263"/>
    </row>
    <row r="264" spans="1:10" x14ac:dyDescent="0.35">
      <c r="A264"/>
      <c r="B264"/>
      <c r="C264"/>
      <c r="D264"/>
      <c r="E264"/>
      <c r="F264"/>
      <c r="G264"/>
      <c r="H264"/>
      <c r="I264"/>
      <c r="J264"/>
    </row>
    <row r="265" spans="1:10" x14ac:dyDescent="0.35">
      <c r="A265"/>
      <c r="B265"/>
      <c r="C265"/>
      <c r="D265"/>
      <c r="E265"/>
      <c r="F265"/>
      <c r="G265"/>
      <c r="H265"/>
      <c r="I265"/>
      <c r="J265"/>
    </row>
    <row r="266" spans="1:10" x14ac:dyDescent="0.35">
      <c r="A266"/>
      <c r="B266"/>
      <c r="C266"/>
      <c r="D266"/>
      <c r="E266"/>
      <c r="F266"/>
      <c r="G266"/>
      <c r="H266"/>
      <c r="I266"/>
      <c r="J266"/>
    </row>
    <row r="267" spans="1:10" x14ac:dyDescent="0.35">
      <c r="A267"/>
      <c r="B267"/>
      <c r="C267"/>
      <c r="D267"/>
      <c r="E267"/>
      <c r="F267"/>
      <c r="G267"/>
      <c r="H267"/>
      <c r="I267"/>
      <c r="J267"/>
    </row>
    <row r="268" spans="1:10" x14ac:dyDescent="0.35">
      <c r="A268"/>
      <c r="B268"/>
      <c r="C268"/>
      <c r="D268"/>
      <c r="E268"/>
      <c r="F268"/>
      <c r="G268"/>
      <c r="H268"/>
      <c r="I268"/>
      <c r="J268"/>
    </row>
    <row r="269" spans="1:10" x14ac:dyDescent="0.35">
      <c r="A269"/>
      <c r="B269"/>
      <c r="C269"/>
      <c r="D269"/>
      <c r="E269"/>
      <c r="F269"/>
      <c r="G269"/>
      <c r="H269"/>
      <c r="I269"/>
      <c r="J269"/>
    </row>
    <row r="270" spans="1:10" x14ac:dyDescent="0.35">
      <c r="A270"/>
      <c r="B270"/>
      <c r="C270"/>
      <c r="D270"/>
      <c r="E270"/>
      <c r="F270"/>
      <c r="G270"/>
      <c r="H270"/>
      <c r="I270"/>
      <c r="J270"/>
    </row>
    <row r="271" spans="1:10" x14ac:dyDescent="0.35">
      <c r="A271"/>
      <c r="B271"/>
      <c r="C271"/>
      <c r="D271"/>
      <c r="E271"/>
      <c r="F271"/>
      <c r="G271"/>
      <c r="H271"/>
      <c r="I271"/>
      <c r="J271"/>
    </row>
    <row r="272" spans="1:10" x14ac:dyDescent="0.35">
      <c r="A272"/>
      <c r="B272"/>
      <c r="C272"/>
      <c r="D272"/>
      <c r="E272"/>
      <c r="F272"/>
      <c r="G272"/>
      <c r="H272"/>
      <c r="I272"/>
      <c r="J272"/>
    </row>
    <row r="273" spans="1:10" x14ac:dyDescent="0.35">
      <c r="A273"/>
      <c r="B273"/>
      <c r="C273"/>
      <c r="D273"/>
      <c r="E273"/>
      <c r="F273"/>
      <c r="G273"/>
      <c r="H273"/>
      <c r="I273"/>
      <c r="J273"/>
    </row>
    <row r="274" spans="1:10" x14ac:dyDescent="0.35">
      <c r="A274"/>
      <c r="B274"/>
      <c r="C274"/>
      <c r="D274"/>
      <c r="E274"/>
      <c r="F274"/>
      <c r="G274"/>
      <c r="H274"/>
      <c r="I274"/>
      <c r="J274"/>
    </row>
    <row r="275" spans="1:10" x14ac:dyDescent="0.35">
      <c r="A275"/>
      <c r="B275"/>
      <c r="C275"/>
      <c r="D275"/>
      <c r="E275"/>
      <c r="F275"/>
      <c r="G275"/>
      <c r="H275"/>
      <c r="I275"/>
      <c r="J275"/>
    </row>
    <row r="276" spans="1:10" x14ac:dyDescent="0.35">
      <c r="A276"/>
      <c r="B276"/>
      <c r="C276"/>
      <c r="D276"/>
      <c r="E276"/>
      <c r="F276"/>
      <c r="G276"/>
      <c r="H276"/>
      <c r="I276"/>
      <c r="J276"/>
    </row>
    <row r="277" spans="1:10" x14ac:dyDescent="0.35">
      <c r="A277"/>
      <c r="B277"/>
      <c r="C277"/>
      <c r="D277"/>
      <c r="E277"/>
      <c r="F277"/>
      <c r="G277"/>
      <c r="H277"/>
      <c r="I277"/>
      <c r="J277"/>
    </row>
    <row r="278" spans="1:10" x14ac:dyDescent="0.35">
      <c r="A278"/>
      <c r="B278"/>
      <c r="C278"/>
      <c r="D278"/>
      <c r="E278"/>
      <c r="F278"/>
      <c r="G278"/>
      <c r="H278"/>
      <c r="I278"/>
      <c r="J278"/>
    </row>
    <row r="279" spans="1:10" x14ac:dyDescent="0.35">
      <c r="A279"/>
      <c r="B279"/>
      <c r="C279"/>
      <c r="D279"/>
      <c r="E279"/>
      <c r="F279"/>
      <c r="G279"/>
      <c r="H279"/>
      <c r="I279"/>
      <c r="J279"/>
    </row>
    <row r="280" spans="1:10" x14ac:dyDescent="0.35">
      <c r="A280"/>
      <c r="B280"/>
      <c r="C280"/>
      <c r="D280"/>
      <c r="E280"/>
      <c r="F280"/>
      <c r="G280"/>
      <c r="H280"/>
      <c r="I280"/>
      <c r="J280"/>
    </row>
    <row r="281" spans="1:10" x14ac:dyDescent="0.35">
      <c r="A281"/>
      <c r="B281"/>
      <c r="C281"/>
      <c r="D281"/>
      <c r="E281"/>
      <c r="F281"/>
      <c r="G281"/>
      <c r="H281"/>
      <c r="I281"/>
      <c r="J281"/>
    </row>
    <row r="282" spans="1:10" x14ac:dyDescent="0.35">
      <c r="A282"/>
      <c r="B282"/>
      <c r="C282"/>
      <c r="D282"/>
      <c r="E282"/>
      <c r="F282"/>
      <c r="G282"/>
      <c r="H282"/>
      <c r="I282"/>
      <c r="J282"/>
    </row>
    <row r="283" spans="1:10" x14ac:dyDescent="0.35">
      <c r="A283"/>
      <c r="B283"/>
      <c r="C283"/>
      <c r="D283"/>
      <c r="E283"/>
      <c r="F283"/>
      <c r="G283"/>
      <c r="H283"/>
      <c r="I283"/>
      <c r="J283"/>
    </row>
    <row r="284" spans="1:10" x14ac:dyDescent="0.35">
      <c r="A284"/>
      <c r="B284"/>
      <c r="C284"/>
      <c r="D284"/>
      <c r="E284"/>
      <c r="F284"/>
      <c r="G284"/>
      <c r="H284"/>
      <c r="I284"/>
      <c r="J284"/>
    </row>
    <row r="285" spans="1:10" x14ac:dyDescent="0.35">
      <c r="A285"/>
      <c r="B285"/>
      <c r="C285"/>
      <c r="D285"/>
      <c r="E285"/>
      <c r="F285"/>
      <c r="G285"/>
      <c r="H285"/>
      <c r="I285"/>
      <c r="J285"/>
    </row>
    <row r="286" spans="1:10" x14ac:dyDescent="0.35">
      <c r="A286"/>
      <c r="B286"/>
      <c r="C286"/>
      <c r="D286"/>
      <c r="E286"/>
      <c r="F286"/>
      <c r="G286"/>
      <c r="H286"/>
      <c r="I286"/>
      <c r="J286"/>
    </row>
    <row r="287" spans="1:10" x14ac:dyDescent="0.35">
      <c r="A287"/>
      <c r="B287"/>
      <c r="C287"/>
      <c r="D287"/>
      <c r="E287"/>
      <c r="F287"/>
      <c r="G287"/>
      <c r="H287"/>
      <c r="I287"/>
      <c r="J287"/>
    </row>
    <row r="288" spans="1:10" x14ac:dyDescent="0.35">
      <c r="A288"/>
      <c r="B288"/>
      <c r="C288"/>
      <c r="D288"/>
      <c r="E288"/>
      <c r="F288"/>
      <c r="G288"/>
      <c r="H288"/>
      <c r="I288"/>
      <c r="J288"/>
    </row>
    <row r="289" spans="1:10" x14ac:dyDescent="0.35">
      <c r="A289"/>
      <c r="B289"/>
      <c r="C289"/>
      <c r="D289"/>
      <c r="E289"/>
      <c r="F289"/>
      <c r="G289"/>
      <c r="H289"/>
      <c r="I289"/>
      <c r="J289"/>
    </row>
    <row r="290" spans="1:10" x14ac:dyDescent="0.35">
      <c r="A290"/>
      <c r="B290"/>
      <c r="C290"/>
      <c r="D290"/>
      <c r="E290"/>
      <c r="F290"/>
      <c r="G290"/>
      <c r="H290"/>
      <c r="I290"/>
      <c r="J290"/>
    </row>
    <row r="291" spans="1:10" x14ac:dyDescent="0.35">
      <c r="A291"/>
      <c r="B291"/>
      <c r="C291"/>
      <c r="D291"/>
      <c r="E291"/>
      <c r="F291"/>
      <c r="G291"/>
      <c r="H291"/>
      <c r="I291"/>
      <c r="J291"/>
    </row>
    <row r="292" spans="1:10" x14ac:dyDescent="0.35">
      <c r="A292"/>
      <c r="B292"/>
      <c r="C292"/>
      <c r="D292"/>
      <c r="E292"/>
      <c r="F292"/>
      <c r="G292"/>
      <c r="H292"/>
      <c r="I292"/>
      <c r="J292"/>
    </row>
    <row r="293" spans="1:10" x14ac:dyDescent="0.35">
      <c r="A293"/>
      <c r="B293"/>
      <c r="C293"/>
      <c r="D293"/>
      <c r="E293"/>
      <c r="F293"/>
      <c r="G293"/>
      <c r="H293"/>
      <c r="I293"/>
      <c r="J293"/>
    </row>
    <row r="294" spans="1:10" x14ac:dyDescent="0.35">
      <c r="A294"/>
      <c r="B294"/>
      <c r="C294"/>
      <c r="D294"/>
      <c r="E294"/>
      <c r="F294"/>
      <c r="G294"/>
      <c r="H294"/>
      <c r="I294"/>
      <c r="J294"/>
    </row>
    <row r="295" spans="1:10" x14ac:dyDescent="0.35">
      <c r="A295"/>
      <c r="B295"/>
      <c r="C295"/>
      <c r="D295"/>
      <c r="E295"/>
      <c r="F295"/>
      <c r="G295"/>
      <c r="H295"/>
      <c r="I295"/>
      <c r="J295"/>
    </row>
    <row r="296" spans="1:10" x14ac:dyDescent="0.35">
      <c r="A296"/>
      <c r="B296"/>
      <c r="C296"/>
      <c r="D296"/>
      <c r="E296"/>
      <c r="F296"/>
      <c r="G296"/>
      <c r="H296"/>
      <c r="I296"/>
      <c r="J296"/>
    </row>
    <row r="297" spans="1:10" x14ac:dyDescent="0.35">
      <c r="A297"/>
      <c r="B297"/>
      <c r="C297"/>
      <c r="D297"/>
      <c r="E297"/>
      <c r="F297"/>
      <c r="G297"/>
      <c r="H297"/>
      <c r="I297"/>
      <c r="J297"/>
    </row>
    <row r="298" spans="1:10" x14ac:dyDescent="0.35">
      <c r="A298"/>
      <c r="B298"/>
      <c r="C298"/>
      <c r="D298"/>
      <c r="E298"/>
      <c r="F298"/>
      <c r="G298"/>
      <c r="H298"/>
      <c r="I298"/>
      <c r="J298"/>
    </row>
    <row r="299" spans="1:10" x14ac:dyDescent="0.35">
      <c r="A299"/>
      <c r="B299"/>
      <c r="C299"/>
      <c r="D299"/>
      <c r="E299"/>
      <c r="F299"/>
      <c r="G299"/>
      <c r="H299"/>
      <c r="I299"/>
      <c r="J299"/>
    </row>
    <row r="300" spans="1:10" x14ac:dyDescent="0.35">
      <c r="A300"/>
      <c r="B300"/>
      <c r="C300"/>
      <c r="D300"/>
      <c r="E300"/>
      <c r="F300"/>
      <c r="G300"/>
      <c r="H300"/>
      <c r="I300"/>
      <c r="J300"/>
    </row>
    <row r="301" spans="1:10" x14ac:dyDescent="0.35">
      <c r="A301"/>
      <c r="B301"/>
      <c r="C301"/>
      <c r="D301"/>
      <c r="E301"/>
      <c r="F301"/>
      <c r="G301"/>
      <c r="H301"/>
      <c r="I301"/>
      <c r="J301"/>
    </row>
    <row r="302" spans="1:10" x14ac:dyDescent="0.35">
      <c r="A302"/>
      <c r="B302"/>
      <c r="C302"/>
      <c r="D302"/>
      <c r="E302"/>
      <c r="F302"/>
      <c r="G302"/>
      <c r="H302"/>
      <c r="I302"/>
      <c r="J302"/>
    </row>
    <row r="303" spans="1:10" x14ac:dyDescent="0.35">
      <c r="A303"/>
      <c r="B303"/>
      <c r="C303"/>
      <c r="D303"/>
      <c r="E303"/>
      <c r="F303"/>
      <c r="G303"/>
      <c r="H303"/>
      <c r="I303"/>
      <c r="J303"/>
    </row>
    <row r="304" spans="1:10" x14ac:dyDescent="0.35">
      <c r="A304"/>
      <c r="B304"/>
      <c r="C304"/>
      <c r="D304"/>
      <c r="E304"/>
      <c r="F304"/>
      <c r="G304"/>
      <c r="H304"/>
      <c r="I304"/>
      <c r="J304"/>
    </row>
    <row r="305" spans="1:10" x14ac:dyDescent="0.35">
      <c r="A305"/>
      <c r="B305"/>
      <c r="C305"/>
      <c r="D305"/>
      <c r="E305"/>
      <c r="F305"/>
      <c r="G305"/>
      <c r="H305"/>
      <c r="I305"/>
      <c r="J305"/>
    </row>
    <row r="306" spans="1:10" x14ac:dyDescent="0.35">
      <c r="A306"/>
      <c r="B306"/>
      <c r="C306"/>
      <c r="D306"/>
      <c r="E306"/>
      <c r="F306"/>
      <c r="G306"/>
      <c r="H306"/>
      <c r="I306"/>
      <c r="J306"/>
    </row>
    <row r="307" spans="1:10" x14ac:dyDescent="0.35">
      <c r="A307"/>
      <c r="B307"/>
      <c r="C307"/>
      <c r="D307"/>
      <c r="E307"/>
      <c r="F307"/>
      <c r="G307"/>
      <c r="H307"/>
      <c r="I307"/>
      <c r="J307"/>
    </row>
    <row r="308" spans="1:10" x14ac:dyDescent="0.35">
      <c r="A308"/>
      <c r="B308"/>
      <c r="C308"/>
      <c r="D308"/>
      <c r="E308"/>
      <c r="F308"/>
      <c r="G308"/>
      <c r="H308"/>
      <c r="I308"/>
      <c r="J308"/>
    </row>
    <row r="309" spans="1:10" x14ac:dyDescent="0.35">
      <c r="A309"/>
      <c r="B309"/>
      <c r="C309"/>
      <c r="D309"/>
      <c r="E309"/>
      <c r="F309"/>
      <c r="G309"/>
      <c r="H309"/>
      <c r="I309"/>
      <c r="J309"/>
    </row>
    <row r="310" spans="1:10" x14ac:dyDescent="0.35">
      <c r="A310"/>
      <c r="B310"/>
      <c r="C310"/>
      <c r="D310"/>
      <c r="E310"/>
      <c r="F310"/>
      <c r="G310"/>
      <c r="H310"/>
      <c r="I310"/>
      <c r="J310"/>
    </row>
    <row r="311" spans="1:10" x14ac:dyDescent="0.35">
      <c r="A311"/>
      <c r="B311"/>
      <c r="C311"/>
      <c r="D311"/>
      <c r="E311"/>
      <c r="F311"/>
      <c r="G311"/>
      <c r="H311"/>
      <c r="I311"/>
      <c r="J311"/>
    </row>
    <row r="312" spans="1:10" x14ac:dyDescent="0.35">
      <c r="A312"/>
      <c r="B312"/>
      <c r="C312"/>
      <c r="D312"/>
      <c r="E312"/>
      <c r="F312"/>
      <c r="G312"/>
      <c r="H312"/>
      <c r="I312"/>
      <c r="J312"/>
    </row>
    <row r="313" spans="1:10" x14ac:dyDescent="0.35">
      <c r="A313"/>
      <c r="B313"/>
      <c r="C313"/>
      <c r="D313"/>
      <c r="E313"/>
      <c r="F313"/>
      <c r="G313"/>
      <c r="H313"/>
      <c r="I313"/>
      <c r="J313"/>
    </row>
    <row r="314" spans="1:10" x14ac:dyDescent="0.35">
      <c r="A314"/>
      <c r="B314"/>
      <c r="C314"/>
      <c r="D314"/>
      <c r="E314"/>
      <c r="F314"/>
      <c r="G314"/>
      <c r="H314"/>
      <c r="I314"/>
      <c r="J314"/>
    </row>
    <row r="315" spans="1:10" x14ac:dyDescent="0.35">
      <c r="A315"/>
      <c r="B315"/>
      <c r="C315"/>
      <c r="D315"/>
      <c r="E315"/>
      <c r="F315"/>
      <c r="G315"/>
      <c r="H315"/>
      <c r="I315"/>
      <c r="J315"/>
    </row>
    <row r="316" spans="1:10" x14ac:dyDescent="0.35">
      <c r="A316"/>
      <c r="B316"/>
      <c r="C316"/>
      <c r="D316"/>
      <c r="E316"/>
      <c r="F316"/>
      <c r="G316"/>
      <c r="H316"/>
      <c r="I316"/>
      <c r="J316"/>
    </row>
    <row r="317" spans="1:10" x14ac:dyDescent="0.35">
      <c r="A317"/>
      <c r="B317"/>
      <c r="C317"/>
      <c r="D317"/>
      <c r="E317"/>
      <c r="F317"/>
      <c r="G317"/>
      <c r="H317"/>
      <c r="I317"/>
      <c r="J317"/>
    </row>
    <row r="318" spans="1:10" x14ac:dyDescent="0.35">
      <c r="A318"/>
      <c r="B318"/>
      <c r="C318"/>
      <c r="D318"/>
      <c r="E318"/>
      <c r="F318"/>
      <c r="G318"/>
      <c r="H318"/>
      <c r="I318"/>
      <c r="J318"/>
    </row>
    <row r="319" spans="1:10" x14ac:dyDescent="0.35">
      <c r="A319"/>
      <c r="B319"/>
      <c r="C319"/>
      <c r="D319"/>
      <c r="E319"/>
      <c r="F319"/>
      <c r="G319"/>
      <c r="H319"/>
      <c r="I319"/>
      <c r="J319"/>
    </row>
    <row r="320" spans="1:10" x14ac:dyDescent="0.35">
      <c r="A320"/>
      <c r="B320"/>
      <c r="C320"/>
      <c r="D320"/>
      <c r="E320"/>
      <c r="F320"/>
      <c r="G320"/>
      <c r="H320"/>
      <c r="I320"/>
      <c r="J320"/>
    </row>
    <row r="321" spans="1:10" x14ac:dyDescent="0.35">
      <c r="A321"/>
      <c r="B321"/>
      <c r="C321"/>
      <c r="D321"/>
      <c r="E321"/>
      <c r="F321"/>
      <c r="G321"/>
      <c r="H321"/>
      <c r="I321"/>
      <c r="J321"/>
    </row>
    <row r="322" spans="1:10" x14ac:dyDescent="0.35">
      <c r="A322"/>
      <c r="B322"/>
      <c r="C322"/>
      <c r="D322"/>
      <c r="E322"/>
      <c r="F322"/>
      <c r="G322"/>
      <c r="H322"/>
      <c r="I322"/>
      <c r="J322"/>
    </row>
    <row r="323" spans="1:10" x14ac:dyDescent="0.35">
      <c r="A323"/>
      <c r="B323"/>
      <c r="C323"/>
      <c r="D323"/>
      <c r="E323"/>
      <c r="F323"/>
      <c r="G323"/>
      <c r="H323"/>
      <c r="I323"/>
      <c r="J323"/>
    </row>
    <row r="324" spans="1:10" x14ac:dyDescent="0.35">
      <c r="A324"/>
      <c r="B324"/>
      <c r="C324"/>
      <c r="D324"/>
      <c r="E324"/>
      <c r="F324"/>
      <c r="G324"/>
      <c r="H324"/>
      <c r="I324"/>
      <c r="J324"/>
    </row>
    <row r="325" spans="1:10" x14ac:dyDescent="0.35">
      <c r="A325"/>
      <c r="B325"/>
      <c r="C325"/>
      <c r="D325"/>
      <c r="E325"/>
      <c r="F325"/>
      <c r="G325"/>
      <c r="H325"/>
      <c r="I325"/>
      <c r="J325"/>
    </row>
    <row r="326" spans="1:10" x14ac:dyDescent="0.35">
      <c r="A326"/>
      <c r="B326"/>
      <c r="C326"/>
      <c r="D326"/>
      <c r="E326"/>
      <c r="F326"/>
      <c r="G326"/>
      <c r="H326"/>
      <c r="I326"/>
      <c r="J326"/>
    </row>
    <row r="327" spans="1:10" x14ac:dyDescent="0.35">
      <c r="A327"/>
      <c r="B327"/>
      <c r="C327"/>
      <c r="D327"/>
      <c r="E327"/>
      <c r="F327"/>
      <c r="G327"/>
      <c r="H327"/>
      <c r="I327"/>
      <c r="J327"/>
    </row>
    <row r="328" spans="1:10" x14ac:dyDescent="0.35">
      <c r="A328"/>
      <c r="B328"/>
      <c r="C328"/>
      <c r="D328"/>
      <c r="E328"/>
      <c r="F328"/>
      <c r="G328"/>
      <c r="H328"/>
      <c r="I328"/>
      <c r="J328"/>
    </row>
    <row r="329" spans="1:10" x14ac:dyDescent="0.35">
      <c r="A329"/>
      <c r="B329"/>
      <c r="C329"/>
      <c r="D329"/>
      <c r="E329"/>
      <c r="F329"/>
      <c r="G329"/>
      <c r="H329"/>
      <c r="I329"/>
      <c r="J329"/>
    </row>
    <row r="330" spans="1:10" x14ac:dyDescent="0.35">
      <c r="A330"/>
      <c r="B330"/>
      <c r="C330"/>
      <c r="D330"/>
      <c r="E330"/>
      <c r="F330"/>
      <c r="G330"/>
      <c r="H330"/>
      <c r="I330"/>
      <c r="J330"/>
    </row>
    <row r="331" spans="1:10" x14ac:dyDescent="0.35">
      <c r="A331"/>
      <c r="B331"/>
      <c r="C331"/>
      <c r="D331"/>
      <c r="E331"/>
      <c r="F331"/>
      <c r="G331"/>
      <c r="H331"/>
      <c r="I331"/>
      <c r="J331"/>
    </row>
    <row r="332" spans="1:10" x14ac:dyDescent="0.35">
      <c r="A332"/>
      <c r="B332"/>
      <c r="C332"/>
      <c r="D332"/>
      <c r="E332"/>
      <c r="F332"/>
      <c r="G332"/>
      <c r="H332"/>
      <c r="I332"/>
      <c r="J332"/>
    </row>
    <row r="333" spans="1:10" x14ac:dyDescent="0.35">
      <c r="A333"/>
      <c r="B333"/>
      <c r="C333"/>
      <c r="D333"/>
      <c r="E333"/>
      <c r="F333"/>
      <c r="G333"/>
      <c r="H333"/>
      <c r="I333"/>
      <c r="J333"/>
    </row>
    <row r="334" spans="1:10" x14ac:dyDescent="0.35">
      <c r="A334"/>
      <c r="B334"/>
      <c r="C334"/>
      <c r="D334"/>
      <c r="E334"/>
      <c r="F334"/>
      <c r="G334"/>
      <c r="H334"/>
      <c r="I334"/>
      <c r="J334"/>
    </row>
    <row r="335" spans="1:10" x14ac:dyDescent="0.35">
      <c r="A335"/>
      <c r="B335"/>
      <c r="C335"/>
      <c r="D335"/>
      <c r="E335"/>
      <c r="F335"/>
      <c r="G335"/>
      <c r="H335"/>
      <c r="I335"/>
      <c r="J335"/>
    </row>
    <row r="336" spans="1:10" x14ac:dyDescent="0.35">
      <c r="A336"/>
      <c r="B336"/>
      <c r="C336"/>
      <c r="D336"/>
      <c r="E336"/>
      <c r="F336"/>
      <c r="G336"/>
      <c r="H336"/>
      <c r="I336"/>
      <c r="J336"/>
    </row>
    <row r="337" spans="1:10" x14ac:dyDescent="0.35">
      <c r="A337"/>
      <c r="B337"/>
      <c r="C337"/>
      <c r="D337"/>
      <c r="E337"/>
      <c r="F337"/>
      <c r="G337"/>
      <c r="H337"/>
      <c r="I337"/>
      <c r="J337"/>
    </row>
    <row r="338" spans="1:10" x14ac:dyDescent="0.35">
      <c r="A338"/>
      <c r="B338"/>
      <c r="C338"/>
      <c r="D338"/>
      <c r="E338"/>
      <c r="F338"/>
      <c r="G338"/>
      <c r="H338"/>
      <c r="I338"/>
      <c r="J338"/>
    </row>
    <row r="339" spans="1:10" x14ac:dyDescent="0.35">
      <c r="A339"/>
      <c r="B339"/>
      <c r="C339"/>
      <c r="D339"/>
      <c r="E339"/>
      <c r="F339"/>
      <c r="G339"/>
      <c r="H339"/>
      <c r="I339"/>
      <c r="J339"/>
    </row>
    <row r="340" spans="1:10" x14ac:dyDescent="0.35">
      <c r="A340"/>
      <c r="B340"/>
      <c r="C340"/>
      <c r="D340"/>
      <c r="E340"/>
      <c r="F340"/>
      <c r="G340"/>
      <c r="H340"/>
      <c r="I340"/>
      <c r="J340"/>
    </row>
    <row r="341" spans="1:10" x14ac:dyDescent="0.35">
      <c r="A341"/>
      <c r="B341"/>
      <c r="C341"/>
      <c r="D341"/>
      <c r="E341"/>
      <c r="F341"/>
      <c r="G341"/>
      <c r="H341"/>
      <c r="I341"/>
      <c r="J341"/>
    </row>
    <row r="342" spans="1:10" x14ac:dyDescent="0.35">
      <c r="A342"/>
      <c r="B342"/>
      <c r="C342"/>
      <c r="D342"/>
      <c r="E342"/>
      <c r="F342"/>
      <c r="G342"/>
      <c r="H342"/>
      <c r="I342"/>
      <c r="J342"/>
    </row>
    <row r="343" spans="1:10" x14ac:dyDescent="0.35">
      <c r="A343"/>
      <c r="B343"/>
      <c r="C343"/>
      <c r="D343"/>
      <c r="E343"/>
      <c r="F343"/>
      <c r="G343"/>
      <c r="H343"/>
      <c r="I343"/>
      <c r="J343"/>
    </row>
    <row r="344" spans="1:10" x14ac:dyDescent="0.35">
      <c r="A344"/>
      <c r="B344"/>
      <c r="C344"/>
      <c r="D344"/>
      <c r="E344"/>
      <c r="F344"/>
      <c r="G344"/>
      <c r="H344"/>
      <c r="I344"/>
      <c r="J344"/>
    </row>
    <row r="345" spans="1:10" x14ac:dyDescent="0.35">
      <c r="A345"/>
      <c r="B345"/>
      <c r="C345"/>
      <c r="D345"/>
      <c r="E345"/>
      <c r="F345"/>
      <c r="G345"/>
      <c r="H345"/>
      <c r="I345"/>
      <c r="J345"/>
    </row>
    <row r="346" spans="1:10" x14ac:dyDescent="0.35">
      <c r="A346"/>
      <c r="B346"/>
      <c r="C346"/>
      <c r="D346"/>
      <c r="E346"/>
      <c r="F346"/>
      <c r="G346"/>
      <c r="H346"/>
      <c r="I346"/>
      <c r="J346"/>
    </row>
    <row r="347" spans="1:10" x14ac:dyDescent="0.35">
      <c r="A347"/>
      <c r="B347"/>
      <c r="C347"/>
      <c r="D347"/>
      <c r="E347"/>
      <c r="F347"/>
      <c r="G347"/>
      <c r="H347"/>
      <c r="I347"/>
      <c r="J347"/>
    </row>
    <row r="348" spans="1:10" x14ac:dyDescent="0.35">
      <c r="A348"/>
      <c r="B348"/>
      <c r="C348"/>
      <c r="D348"/>
      <c r="E348"/>
      <c r="F348"/>
      <c r="G348"/>
      <c r="H348"/>
      <c r="I348"/>
      <c r="J348"/>
    </row>
    <row r="349" spans="1:10" x14ac:dyDescent="0.35">
      <c r="A349"/>
      <c r="B349"/>
      <c r="C349"/>
      <c r="D349"/>
      <c r="E349"/>
      <c r="F349"/>
      <c r="G349"/>
      <c r="H349"/>
      <c r="I349"/>
      <c r="J349"/>
    </row>
    <row r="350" spans="1:10" x14ac:dyDescent="0.35">
      <c r="A350"/>
      <c r="B350"/>
      <c r="C350"/>
      <c r="D350"/>
      <c r="E350"/>
      <c r="F350"/>
      <c r="G350"/>
      <c r="H350"/>
      <c r="I350"/>
      <c r="J350"/>
    </row>
    <row r="351" spans="1:10" x14ac:dyDescent="0.35">
      <c r="A351"/>
      <c r="B351"/>
      <c r="C351"/>
      <c r="D351"/>
      <c r="E351"/>
      <c r="F351"/>
      <c r="G351"/>
      <c r="H351"/>
      <c r="I351"/>
      <c r="J351"/>
    </row>
    <row r="352" spans="1:10" x14ac:dyDescent="0.35">
      <c r="A352"/>
      <c r="B352"/>
      <c r="C352"/>
      <c r="D352"/>
      <c r="E352"/>
      <c r="F352"/>
      <c r="G352"/>
      <c r="H352"/>
      <c r="I352"/>
      <c r="J352"/>
    </row>
    <row r="353" spans="1:10" x14ac:dyDescent="0.35">
      <c r="A353"/>
      <c r="B353"/>
      <c r="C353"/>
      <c r="D353"/>
      <c r="E353"/>
      <c r="F353"/>
      <c r="G353"/>
      <c r="H353"/>
      <c r="I353"/>
      <c r="J353"/>
    </row>
    <row r="354" spans="1:10" x14ac:dyDescent="0.35">
      <c r="A354"/>
      <c r="B354"/>
      <c r="C354"/>
      <c r="D354"/>
      <c r="E354"/>
      <c r="F354"/>
      <c r="G354"/>
      <c r="H354"/>
      <c r="I354"/>
      <c r="J354"/>
    </row>
    <row r="355" spans="1:10" x14ac:dyDescent="0.35">
      <c r="A355"/>
      <c r="B355"/>
      <c r="C355"/>
      <c r="D355"/>
      <c r="E355"/>
      <c r="F355"/>
      <c r="G355"/>
      <c r="H355"/>
      <c r="I355"/>
      <c r="J355"/>
    </row>
    <row r="356" spans="1:10" x14ac:dyDescent="0.35">
      <c r="A356"/>
      <c r="B356"/>
      <c r="C356"/>
      <c r="D356"/>
      <c r="E356"/>
      <c r="F356"/>
      <c r="G356"/>
      <c r="H356"/>
      <c r="I356"/>
      <c r="J356"/>
    </row>
    <row r="357" spans="1:10" x14ac:dyDescent="0.35">
      <c r="A357"/>
      <c r="B357"/>
      <c r="C357"/>
      <c r="D357"/>
      <c r="E357"/>
      <c r="F357"/>
      <c r="G357"/>
      <c r="H357"/>
      <c r="I357"/>
      <c r="J357"/>
    </row>
    <row r="358" spans="1:10" x14ac:dyDescent="0.35">
      <c r="A358"/>
      <c r="B358"/>
      <c r="C358"/>
      <c r="D358"/>
      <c r="E358"/>
      <c r="F358"/>
      <c r="G358"/>
      <c r="H358"/>
      <c r="I358"/>
      <c r="J358"/>
    </row>
    <row r="359" spans="1:10" x14ac:dyDescent="0.35">
      <c r="A359"/>
      <c r="B359"/>
      <c r="C359"/>
      <c r="D359"/>
      <c r="E359"/>
      <c r="F359"/>
      <c r="G359"/>
      <c r="H359"/>
      <c r="I359"/>
      <c r="J359"/>
    </row>
    <row r="360" spans="1:10" x14ac:dyDescent="0.35">
      <c r="A360"/>
      <c r="B360"/>
      <c r="C360"/>
      <c r="D360"/>
      <c r="E360"/>
      <c r="F360"/>
      <c r="G360"/>
      <c r="H360"/>
      <c r="I360"/>
      <c r="J360"/>
    </row>
    <row r="361" spans="1:10" x14ac:dyDescent="0.35">
      <c r="A361"/>
      <c r="B361"/>
      <c r="C361"/>
      <c r="D361"/>
      <c r="E361"/>
      <c r="F361"/>
      <c r="G361"/>
      <c r="H361"/>
      <c r="I361"/>
      <c r="J361"/>
    </row>
    <row r="362" spans="1:10" x14ac:dyDescent="0.35">
      <c r="A362"/>
      <c r="B362"/>
      <c r="C362"/>
      <c r="D362"/>
      <c r="E362"/>
      <c r="F362"/>
      <c r="G362"/>
      <c r="H362"/>
      <c r="I362"/>
      <c r="J362"/>
    </row>
    <row r="363" spans="1:10" x14ac:dyDescent="0.35">
      <c r="A363"/>
      <c r="B363"/>
      <c r="C363"/>
      <c r="D363"/>
      <c r="E363"/>
      <c r="F363"/>
      <c r="G363"/>
      <c r="H363"/>
      <c r="I363"/>
      <c r="J363"/>
    </row>
    <row r="364" spans="1:10" x14ac:dyDescent="0.35">
      <c r="A364"/>
      <c r="B364"/>
      <c r="C364"/>
      <c r="D364"/>
      <c r="E364"/>
      <c r="F364"/>
      <c r="G364"/>
      <c r="H364"/>
      <c r="I364"/>
      <c r="J364"/>
    </row>
    <row r="365" spans="1:10" x14ac:dyDescent="0.35">
      <c r="A365"/>
      <c r="B365"/>
      <c r="C365"/>
      <c r="D365"/>
      <c r="E365"/>
      <c r="F365"/>
      <c r="G365"/>
      <c r="H365"/>
      <c r="I365"/>
      <c r="J365"/>
    </row>
    <row r="366" spans="1:10" x14ac:dyDescent="0.35">
      <c r="A366"/>
      <c r="B366"/>
      <c r="C366"/>
      <c r="D366"/>
      <c r="E366"/>
      <c r="F366"/>
      <c r="G366"/>
      <c r="H366"/>
      <c r="I366"/>
      <c r="J366"/>
    </row>
    <row r="367" spans="1:10" x14ac:dyDescent="0.35">
      <c r="A367"/>
      <c r="B367"/>
      <c r="C367"/>
      <c r="D367"/>
      <c r="E367"/>
      <c r="F367"/>
      <c r="G367"/>
      <c r="H367"/>
      <c r="I367"/>
      <c r="J367"/>
    </row>
    <row r="368" spans="1:10" x14ac:dyDescent="0.35">
      <c r="A368"/>
      <c r="B368"/>
      <c r="C368"/>
      <c r="D368"/>
      <c r="E368"/>
      <c r="F368"/>
      <c r="G368"/>
      <c r="H368"/>
      <c r="I368"/>
      <c r="J368"/>
    </row>
    <row r="369" spans="1:10" x14ac:dyDescent="0.35">
      <c r="A369"/>
      <c r="B369"/>
      <c r="C369"/>
      <c r="D369"/>
      <c r="E369"/>
      <c r="F369"/>
      <c r="G369"/>
      <c r="H369"/>
      <c r="I369"/>
      <c r="J369"/>
    </row>
    <row r="370" spans="1:10" x14ac:dyDescent="0.35">
      <c r="A370"/>
      <c r="B370"/>
      <c r="C370"/>
      <c r="D370"/>
      <c r="E370"/>
      <c r="F370"/>
      <c r="G370"/>
      <c r="H370"/>
      <c r="I370"/>
      <c r="J370"/>
    </row>
    <row r="371" spans="1:10" x14ac:dyDescent="0.35">
      <c r="A371"/>
      <c r="B371"/>
      <c r="C371"/>
      <c r="D371"/>
      <c r="E371"/>
      <c r="F371"/>
      <c r="G371"/>
      <c r="H371"/>
      <c r="I371"/>
      <c r="J371"/>
    </row>
    <row r="372" spans="1:10" x14ac:dyDescent="0.35">
      <c r="A372"/>
      <c r="B372"/>
      <c r="C372"/>
      <c r="D372"/>
      <c r="E372"/>
      <c r="F372"/>
      <c r="G372"/>
      <c r="H372"/>
      <c r="I372"/>
      <c r="J372"/>
    </row>
    <row r="373" spans="1:10" x14ac:dyDescent="0.35">
      <c r="A373"/>
      <c r="B373"/>
      <c r="C373"/>
      <c r="D373"/>
      <c r="E373"/>
      <c r="F373"/>
      <c r="G373"/>
      <c r="H373"/>
      <c r="I373"/>
      <c r="J373"/>
    </row>
    <row r="374" spans="1:10" x14ac:dyDescent="0.35">
      <c r="A374"/>
      <c r="B374"/>
      <c r="C374"/>
      <c r="D374"/>
      <c r="E374"/>
      <c r="F374"/>
      <c r="G374"/>
      <c r="H374"/>
      <c r="I374"/>
      <c r="J374"/>
    </row>
    <row r="375" spans="1:10" x14ac:dyDescent="0.35">
      <c r="A375"/>
      <c r="B375"/>
      <c r="C375"/>
      <c r="D375"/>
      <c r="E375"/>
      <c r="F375"/>
      <c r="G375"/>
      <c r="H375"/>
      <c r="I375"/>
      <c r="J375"/>
    </row>
    <row r="376" spans="1:10" x14ac:dyDescent="0.35">
      <c r="A376"/>
      <c r="B376"/>
      <c r="C376"/>
      <c r="D376"/>
      <c r="E376"/>
      <c r="F376"/>
      <c r="G376"/>
      <c r="H376"/>
      <c r="I376"/>
      <c r="J376"/>
    </row>
    <row r="377" spans="1:10" x14ac:dyDescent="0.35">
      <c r="A377"/>
      <c r="B377"/>
      <c r="C377"/>
      <c r="D377"/>
      <c r="E377"/>
      <c r="F377"/>
      <c r="G377"/>
      <c r="H377"/>
      <c r="I377"/>
      <c r="J377"/>
    </row>
    <row r="378" spans="1:10" x14ac:dyDescent="0.35">
      <c r="A378"/>
      <c r="B378"/>
      <c r="C378"/>
      <c r="D378"/>
      <c r="E378"/>
      <c r="F378"/>
      <c r="G378"/>
      <c r="H378"/>
      <c r="I378"/>
      <c r="J378"/>
    </row>
    <row r="379" spans="1:10" x14ac:dyDescent="0.35">
      <c r="A379"/>
      <c r="B379"/>
      <c r="C379"/>
      <c r="D379"/>
      <c r="E379"/>
      <c r="F379"/>
      <c r="G379"/>
      <c r="H379"/>
      <c r="I379"/>
      <c r="J379"/>
    </row>
    <row r="380" spans="1:10" x14ac:dyDescent="0.35">
      <c r="A380"/>
      <c r="B380"/>
      <c r="C380"/>
      <c r="D380"/>
      <c r="E380"/>
      <c r="F380"/>
      <c r="G380"/>
      <c r="H380"/>
      <c r="I380"/>
      <c r="J380"/>
    </row>
    <row r="381" spans="1:10" x14ac:dyDescent="0.35">
      <c r="A381"/>
      <c r="B381"/>
      <c r="C381"/>
      <c r="D381"/>
      <c r="E381"/>
      <c r="F381"/>
      <c r="G381"/>
      <c r="H381"/>
      <c r="I381"/>
      <c r="J381"/>
    </row>
    <row r="382" spans="1:10" x14ac:dyDescent="0.35">
      <c r="A382"/>
      <c r="B382"/>
      <c r="C382"/>
      <c r="D382"/>
      <c r="E382"/>
      <c r="F382"/>
      <c r="G382"/>
      <c r="H382"/>
      <c r="I382"/>
      <c r="J382"/>
    </row>
    <row r="383" spans="1:10" x14ac:dyDescent="0.35">
      <c r="A383"/>
      <c r="B383"/>
      <c r="C383"/>
      <c r="D383"/>
      <c r="E383"/>
      <c r="F383"/>
      <c r="G383"/>
      <c r="H383"/>
      <c r="I383"/>
      <c r="J383"/>
    </row>
    <row r="384" spans="1:10" x14ac:dyDescent="0.35">
      <c r="A384"/>
      <c r="B384"/>
      <c r="C384"/>
      <c r="D384"/>
      <c r="E384"/>
      <c r="F384"/>
      <c r="G384"/>
      <c r="H384"/>
      <c r="I384"/>
      <c r="J384"/>
    </row>
    <row r="385" spans="1:10" x14ac:dyDescent="0.35">
      <c r="A385"/>
      <c r="B385"/>
      <c r="C385"/>
      <c r="D385"/>
      <c r="E385"/>
      <c r="F385"/>
      <c r="G385"/>
      <c r="H385"/>
      <c r="I385"/>
      <c r="J385"/>
    </row>
    <row r="386" spans="1:10" x14ac:dyDescent="0.35">
      <c r="A386"/>
      <c r="B386"/>
      <c r="C386"/>
      <c r="D386"/>
      <c r="E386"/>
      <c r="F386"/>
      <c r="G386"/>
      <c r="H386"/>
      <c r="I386"/>
      <c r="J386"/>
    </row>
    <row r="387" spans="1:10" x14ac:dyDescent="0.35">
      <c r="A387"/>
      <c r="B387"/>
      <c r="C387"/>
      <c r="D387"/>
      <c r="E387"/>
      <c r="F387"/>
      <c r="G387"/>
      <c r="H387"/>
      <c r="I387"/>
      <c r="J387"/>
    </row>
    <row r="388" spans="1:10" x14ac:dyDescent="0.35">
      <c r="A388"/>
      <c r="B388"/>
      <c r="C388"/>
      <c r="D388"/>
      <c r="E388"/>
      <c r="F388"/>
      <c r="G388"/>
      <c r="H388"/>
      <c r="I388"/>
      <c r="J388"/>
    </row>
    <row r="389" spans="1:10" x14ac:dyDescent="0.35">
      <c r="A389"/>
      <c r="B389"/>
      <c r="C389"/>
      <c r="D389"/>
      <c r="E389"/>
      <c r="F389"/>
      <c r="G389"/>
      <c r="H389"/>
      <c r="I389"/>
      <c r="J389"/>
    </row>
    <row r="390" spans="1:10" x14ac:dyDescent="0.35">
      <c r="A390"/>
      <c r="B390"/>
      <c r="C390"/>
      <c r="D390"/>
      <c r="E390"/>
      <c r="F390"/>
      <c r="G390"/>
      <c r="H390"/>
      <c r="I390"/>
      <c r="J390"/>
    </row>
    <row r="391" spans="1:10" x14ac:dyDescent="0.35">
      <c r="A391"/>
      <c r="B391"/>
      <c r="C391"/>
      <c r="D391"/>
      <c r="E391"/>
      <c r="F391"/>
      <c r="G391"/>
      <c r="H391"/>
      <c r="I391"/>
      <c r="J391"/>
    </row>
    <row r="392" spans="1:10" x14ac:dyDescent="0.35">
      <c r="A392"/>
      <c r="B392"/>
      <c r="C392"/>
      <c r="D392"/>
      <c r="E392"/>
      <c r="F392"/>
      <c r="G392"/>
      <c r="H392"/>
      <c r="I392"/>
      <c r="J392"/>
    </row>
    <row r="393" spans="1:10" x14ac:dyDescent="0.35">
      <c r="A393"/>
      <c r="B393"/>
      <c r="C393"/>
      <c r="D393"/>
      <c r="E393"/>
      <c r="F393"/>
      <c r="G393"/>
      <c r="H393"/>
      <c r="I393"/>
      <c r="J393"/>
    </row>
    <row r="394" spans="1:10" x14ac:dyDescent="0.35">
      <c r="A394"/>
      <c r="B394"/>
      <c r="C394"/>
      <c r="D394"/>
      <c r="E394"/>
      <c r="F394"/>
      <c r="G394"/>
      <c r="H394"/>
      <c r="I394"/>
      <c r="J394"/>
    </row>
    <row r="395" spans="1:10" x14ac:dyDescent="0.35">
      <c r="A395"/>
      <c r="B395"/>
      <c r="C395"/>
      <c r="D395"/>
      <c r="E395"/>
      <c r="F395"/>
      <c r="G395"/>
      <c r="H395"/>
      <c r="I395"/>
      <c r="J395"/>
    </row>
    <row r="396" spans="1:10" x14ac:dyDescent="0.35">
      <c r="A396"/>
      <c r="B396"/>
      <c r="C396"/>
      <c r="D396"/>
      <c r="E396"/>
      <c r="F396"/>
      <c r="G396"/>
      <c r="H396"/>
      <c r="I396"/>
      <c r="J396"/>
    </row>
    <row r="397" spans="1:10" x14ac:dyDescent="0.35">
      <c r="A397"/>
      <c r="B397"/>
      <c r="C397"/>
      <c r="D397"/>
      <c r="E397"/>
      <c r="F397"/>
      <c r="G397"/>
      <c r="H397"/>
      <c r="I397"/>
      <c r="J397"/>
    </row>
    <row r="398" spans="1:10" x14ac:dyDescent="0.35">
      <c r="A398"/>
      <c r="B398"/>
      <c r="C398"/>
      <c r="D398"/>
      <c r="E398"/>
      <c r="F398"/>
      <c r="G398"/>
      <c r="H398"/>
      <c r="I398"/>
      <c r="J398"/>
    </row>
    <row r="399" spans="1:10" x14ac:dyDescent="0.35">
      <c r="A399"/>
      <c r="B399"/>
      <c r="C399"/>
      <c r="D399"/>
      <c r="E399"/>
      <c r="F399"/>
      <c r="G399"/>
      <c r="H399"/>
      <c r="I399"/>
      <c r="J399"/>
    </row>
    <row r="400" spans="1:10" x14ac:dyDescent="0.35">
      <c r="A400"/>
      <c r="B400"/>
      <c r="C400"/>
      <c r="D400"/>
      <c r="E400"/>
      <c r="F400"/>
      <c r="G400"/>
      <c r="H400"/>
      <c r="I400"/>
      <c r="J400"/>
    </row>
    <row r="401" spans="1:10" x14ac:dyDescent="0.35">
      <c r="A401"/>
      <c r="B401"/>
      <c r="C401"/>
      <c r="D401"/>
      <c r="E401"/>
      <c r="F401"/>
      <c r="G401"/>
      <c r="H401"/>
      <c r="I401"/>
      <c r="J401"/>
    </row>
    <row r="402" spans="1:10" x14ac:dyDescent="0.35">
      <c r="A402"/>
      <c r="B402"/>
      <c r="C402"/>
      <c r="D402"/>
      <c r="E402"/>
      <c r="F402"/>
      <c r="G402"/>
      <c r="H402"/>
      <c r="I402"/>
      <c r="J402"/>
    </row>
    <row r="403" spans="1:10" x14ac:dyDescent="0.35">
      <c r="A403"/>
      <c r="B403"/>
      <c r="C403"/>
      <c r="D403"/>
      <c r="E403"/>
      <c r="F403"/>
      <c r="G403"/>
      <c r="H403"/>
      <c r="I403"/>
      <c r="J403"/>
    </row>
    <row r="404" spans="1:10" x14ac:dyDescent="0.35">
      <c r="A404"/>
      <c r="B404"/>
      <c r="C404"/>
      <c r="D404"/>
      <c r="E404"/>
      <c r="F404"/>
      <c r="G404"/>
      <c r="H404"/>
      <c r="I404"/>
      <c r="J404"/>
    </row>
    <row r="405" spans="1:10" x14ac:dyDescent="0.35">
      <c r="A405"/>
      <c r="B405"/>
      <c r="C405"/>
      <c r="D405"/>
      <c r="E405"/>
      <c r="F405"/>
      <c r="G405"/>
      <c r="H405"/>
      <c r="I405"/>
      <c r="J405"/>
    </row>
    <row r="406" spans="1:10" x14ac:dyDescent="0.35">
      <c r="A406"/>
      <c r="B406"/>
      <c r="C406"/>
      <c r="D406"/>
      <c r="E406"/>
      <c r="F406"/>
      <c r="G406"/>
      <c r="H406"/>
      <c r="I406"/>
      <c r="J406"/>
    </row>
    <row r="407" spans="1:10" x14ac:dyDescent="0.35">
      <c r="A407"/>
      <c r="B407"/>
      <c r="C407"/>
      <c r="D407"/>
      <c r="E407"/>
      <c r="F407"/>
      <c r="G407"/>
      <c r="H407"/>
      <c r="I407"/>
      <c r="J407"/>
    </row>
    <row r="408" spans="1:10" x14ac:dyDescent="0.35">
      <c r="A408"/>
      <c r="B408"/>
      <c r="C408"/>
      <c r="D408"/>
      <c r="E408"/>
      <c r="F408"/>
      <c r="G408"/>
      <c r="H408"/>
      <c r="I408"/>
      <c r="J408"/>
    </row>
    <row r="409" spans="1:10" x14ac:dyDescent="0.35">
      <c r="A409"/>
      <c r="B409"/>
      <c r="C409"/>
      <c r="D409"/>
      <c r="E409"/>
      <c r="F409"/>
      <c r="G409"/>
      <c r="H409"/>
      <c r="I409"/>
      <c r="J409"/>
    </row>
    <row r="410" spans="1:10" x14ac:dyDescent="0.35">
      <c r="A410"/>
      <c r="B410"/>
      <c r="C410"/>
      <c r="D410"/>
      <c r="E410"/>
      <c r="F410"/>
      <c r="G410"/>
      <c r="H410"/>
      <c r="I410"/>
      <c r="J410"/>
    </row>
    <row r="411" spans="1:10" x14ac:dyDescent="0.35">
      <c r="A411"/>
      <c r="B411"/>
      <c r="C411"/>
      <c r="D411"/>
      <c r="E411"/>
      <c r="F411"/>
      <c r="G411"/>
      <c r="H411"/>
      <c r="I411"/>
      <c r="J411"/>
    </row>
    <row r="412" spans="1:10" x14ac:dyDescent="0.35">
      <c r="A412"/>
      <c r="B412"/>
      <c r="C412"/>
      <c r="D412"/>
      <c r="E412"/>
      <c r="F412"/>
      <c r="G412"/>
      <c r="H412"/>
      <c r="I412"/>
      <c r="J412"/>
    </row>
    <row r="413" spans="1:10" x14ac:dyDescent="0.35">
      <c r="A413"/>
      <c r="B413"/>
      <c r="C413"/>
      <c r="D413"/>
      <c r="E413"/>
      <c r="F413"/>
      <c r="G413"/>
      <c r="H413"/>
      <c r="I413"/>
      <c r="J413"/>
    </row>
    <row r="414" spans="1:10" x14ac:dyDescent="0.35">
      <c r="A414"/>
      <c r="B414"/>
      <c r="C414"/>
      <c r="D414"/>
      <c r="E414"/>
      <c r="F414"/>
      <c r="G414"/>
      <c r="H414"/>
      <c r="I414"/>
      <c r="J414"/>
    </row>
    <row r="415" spans="1:10" x14ac:dyDescent="0.35">
      <c r="A415"/>
      <c r="B415"/>
      <c r="C415"/>
      <c r="D415"/>
      <c r="E415"/>
      <c r="F415"/>
      <c r="G415"/>
      <c r="H415"/>
      <c r="I415"/>
      <c r="J415"/>
    </row>
    <row r="416" spans="1:10" x14ac:dyDescent="0.35">
      <c r="A416"/>
      <c r="B416"/>
      <c r="C416"/>
      <c r="D416"/>
      <c r="E416"/>
      <c r="F416"/>
      <c r="G416"/>
      <c r="H416"/>
      <c r="I416"/>
      <c r="J416"/>
    </row>
    <row r="417" spans="1:10" x14ac:dyDescent="0.35">
      <c r="A417"/>
      <c r="B417"/>
      <c r="C417"/>
      <c r="D417"/>
      <c r="E417"/>
      <c r="F417"/>
      <c r="G417"/>
      <c r="H417"/>
      <c r="I417"/>
      <c r="J417"/>
    </row>
    <row r="418" spans="1:10" x14ac:dyDescent="0.35">
      <c r="A418"/>
      <c r="B418"/>
      <c r="C418"/>
      <c r="D418"/>
      <c r="E418"/>
      <c r="F418"/>
      <c r="G418"/>
      <c r="H418"/>
      <c r="I418"/>
      <c r="J418"/>
    </row>
    <row r="419" spans="1:10" x14ac:dyDescent="0.35">
      <c r="A419"/>
      <c r="B419"/>
      <c r="C419"/>
      <c r="D419"/>
      <c r="E419"/>
      <c r="F419"/>
      <c r="G419"/>
      <c r="H419"/>
      <c r="I419"/>
      <c r="J419"/>
    </row>
    <row r="420" spans="1:10" x14ac:dyDescent="0.35">
      <c r="A420"/>
      <c r="B420"/>
      <c r="C420"/>
      <c r="D420"/>
      <c r="E420"/>
      <c r="F420"/>
      <c r="G420"/>
      <c r="H420"/>
      <c r="I420"/>
      <c r="J420"/>
    </row>
    <row r="421" spans="1:10" x14ac:dyDescent="0.35">
      <c r="A421"/>
      <c r="B421"/>
      <c r="C421"/>
      <c r="D421"/>
      <c r="E421"/>
      <c r="F421"/>
      <c r="G421"/>
      <c r="H421"/>
      <c r="I421"/>
      <c r="J421"/>
    </row>
    <row r="422" spans="1:10" x14ac:dyDescent="0.35">
      <c r="A422"/>
      <c r="B422"/>
      <c r="C422"/>
      <c r="D422"/>
      <c r="E422"/>
      <c r="F422"/>
      <c r="G422"/>
      <c r="H422"/>
      <c r="I422"/>
      <c r="J422"/>
    </row>
    <row r="423" spans="1:10" x14ac:dyDescent="0.35">
      <c r="A423"/>
      <c r="B423"/>
      <c r="C423"/>
      <c r="D423"/>
      <c r="E423"/>
      <c r="F423"/>
      <c r="G423"/>
      <c r="H423"/>
      <c r="I423"/>
      <c r="J423"/>
    </row>
    <row r="424" spans="1:10" x14ac:dyDescent="0.35">
      <c r="A424"/>
      <c r="B424"/>
      <c r="C424"/>
      <c r="D424"/>
      <c r="E424"/>
      <c r="F424"/>
      <c r="G424"/>
      <c r="H424"/>
      <c r="I424"/>
      <c r="J424"/>
    </row>
    <row r="425" spans="1:10" x14ac:dyDescent="0.35">
      <c r="A425"/>
      <c r="B425"/>
      <c r="C425"/>
      <c r="D425"/>
      <c r="E425"/>
      <c r="F425"/>
      <c r="G425"/>
      <c r="H425"/>
      <c r="I425"/>
      <c r="J425"/>
    </row>
    <row r="426" spans="1:10" x14ac:dyDescent="0.35">
      <c r="A426"/>
      <c r="B426"/>
      <c r="C426"/>
      <c r="D426"/>
      <c r="E426"/>
      <c r="F426"/>
      <c r="G426"/>
      <c r="H426"/>
      <c r="I426"/>
      <c r="J426"/>
    </row>
    <row r="427" spans="1:10" x14ac:dyDescent="0.35">
      <c r="A427"/>
      <c r="B427"/>
      <c r="C427"/>
      <c r="D427"/>
      <c r="E427"/>
      <c r="F427"/>
      <c r="G427"/>
      <c r="H427"/>
      <c r="I427"/>
      <c r="J427"/>
    </row>
    <row r="428" spans="1:10" x14ac:dyDescent="0.35">
      <c r="A428"/>
      <c r="B428"/>
      <c r="C428"/>
      <c r="D428"/>
      <c r="E428"/>
      <c r="F428"/>
      <c r="G428"/>
      <c r="H428"/>
      <c r="I428"/>
      <c r="J428"/>
    </row>
    <row r="429" spans="1:10" x14ac:dyDescent="0.35">
      <c r="A429"/>
      <c r="B429"/>
      <c r="C429"/>
      <c r="D429"/>
      <c r="E429"/>
      <c r="F429"/>
      <c r="G429"/>
      <c r="H429"/>
      <c r="I429"/>
      <c r="J429"/>
    </row>
    <row r="430" spans="1:10" x14ac:dyDescent="0.35">
      <c r="A430"/>
      <c r="B430"/>
      <c r="C430"/>
      <c r="D430"/>
      <c r="E430"/>
      <c r="F430"/>
      <c r="G430"/>
      <c r="H430"/>
      <c r="I430"/>
      <c r="J430"/>
    </row>
    <row r="431" spans="1:10" x14ac:dyDescent="0.35">
      <c r="A431"/>
      <c r="B431"/>
      <c r="C431"/>
      <c r="D431"/>
      <c r="E431"/>
      <c r="F431"/>
      <c r="G431"/>
      <c r="H431"/>
      <c r="I431"/>
      <c r="J431"/>
    </row>
    <row r="432" spans="1:10" x14ac:dyDescent="0.35">
      <c r="A432"/>
      <c r="B432"/>
      <c r="C432"/>
      <c r="D432"/>
      <c r="E432"/>
      <c r="F432"/>
      <c r="G432"/>
      <c r="H432"/>
      <c r="I432"/>
      <c r="J432"/>
    </row>
    <row r="433" spans="1:10" x14ac:dyDescent="0.35">
      <c r="A433"/>
      <c r="B433"/>
      <c r="C433"/>
      <c r="D433"/>
      <c r="E433"/>
      <c r="F433"/>
      <c r="G433"/>
      <c r="H433"/>
      <c r="I433"/>
      <c r="J433"/>
    </row>
    <row r="434" spans="1:10" x14ac:dyDescent="0.35">
      <c r="A434"/>
      <c r="B434"/>
      <c r="C434"/>
      <c r="D434"/>
      <c r="E434"/>
      <c r="F434"/>
      <c r="G434"/>
      <c r="H434"/>
      <c r="I434"/>
      <c r="J434"/>
    </row>
    <row r="435" spans="1:10" x14ac:dyDescent="0.35">
      <c r="A435"/>
      <c r="B435"/>
      <c r="C435"/>
      <c r="D435"/>
      <c r="E435"/>
      <c r="F435"/>
      <c r="G435"/>
      <c r="H435"/>
      <c r="I435"/>
      <c r="J435"/>
    </row>
    <row r="436" spans="1:10" x14ac:dyDescent="0.35">
      <c r="A436"/>
      <c r="B436"/>
      <c r="C436"/>
      <c r="D436"/>
      <c r="E436"/>
      <c r="F436"/>
      <c r="G436"/>
      <c r="H436"/>
      <c r="I436"/>
      <c r="J436"/>
    </row>
    <row r="437" spans="1:10" x14ac:dyDescent="0.35">
      <c r="A437"/>
      <c r="B437"/>
      <c r="C437"/>
      <c r="D437"/>
      <c r="E437"/>
      <c r="F437"/>
      <c r="G437"/>
      <c r="H437"/>
      <c r="I437"/>
      <c r="J437"/>
    </row>
    <row r="438" spans="1:10" x14ac:dyDescent="0.35">
      <c r="A438"/>
      <c r="B438"/>
      <c r="C438"/>
      <c r="D438"/>
      <c r="E438"/>
      <c r="F438"/>
      <c r="G438"/>
      <c r="H438"/>
      <c r="I438"/>
      <c r="J438"/>
    </row>
    <row r="439" spans="1:10" x14ac:dyDescent="0.35">
      <c r="A439"/>
      <c r="B439"/>
      <c r="C439"/>
      <c r="D439"/>
      <c r="E439"/>
      <c r="F439"/>
      <c r="G439"/>
      <c r="H439"/>
      <c r="I439"/>
      <c r="J439"/>
    </row>
    <row r="440" spans="1:10" x14ac:dyDescent="0.35">
      <c r="A440"/>
      <c r="B440"/>
      <c r="C440"/>
      <c r="D440"/>
      <c r="E440"/>
      <c r="F440"/>
      <c r="G440"/>
      <c r="H440"/>
      <c r="I440"/>
      <c r="J440"/>
    </row>
    <row r="441" spans="1:10" x14ac:dyDescent="0.35">
      <c r="A441"/>
      <c r="B441"/>
      <c r="C441"/>
      <c r="D441"/>
      <c r="E441"/>
      <c r="F441"/>
      <c r="G441"/>
      <c r="H441"/>
      <c r="I441"/>
      <c r="J441"/>
    </row>
    <row r="442" spans="1:10" x14ac:dyDescent="0.35">
      <c r="A442"/>
      <c r="B442"/>
      <c r="C442"/>
      <c r="D442"/>
      <c r="E442"/>
      <c r="F442"/>
      <c r="G442"/>
      <c r="H442"/>
      <c r="I442"/>
      <c r="J442"/>
    </row>
    <row r="443" spans="1:10" x14ac:dyDescent="0.35">
      <c r="A443"/>
      <c r="B443"/>
      <c r="C443"/>
      <c r="D443"/>
      <c r="E443"/>
      <c r="F443"/>
      <c r="G443"/>
      <c r="H443"/>
      <c r="I443"/>
      <c r="J443"/>
    </row>
    <row r="444" spans="1:10" x14ac:dyDescent="0.35">
      <c r="A444"/>
      <c r="B444"/>
      <c r="C444"/>
      <c r="D444"/>
      <c r="E444"/>
      <c r="F444"/>
      <c r="G444"/>
      <c r="H444"/>
      <c r="I444"/>
      <c r="J444"/>
    </row>
    <row r="445" spans="1:10" x14ac:dyDescent="0.35">
      <c r="A445"/>
      <c r="B445"/>
      <c r="C445"/>
      <c r="D445"/>
      <c r="E445"/>
      <c r="F445"/>
      <c r="G445"/>
      <c r="H445"/>
      <c r="I445"/>
      <c r="J445"/>
    </row>
    <row r="446" spans="1:10" x14ac:dyDescent="0.35">
      <c r="A446"/>
      <c r="B446"/>
      <c r="C446"/>
      <c r="D446"/>
      <c r="E446"/>
      <c r="F446"/>
      <c r="G446"/>
      <c r="H446"/>
      <c r="I446"/>
      <c r="J446"/>
    </row>
    <row r="447" spans="1:10" x14ac:dyDescent="0.35">
      <c r="A447"/>
      <c r="B447"/>
      <c r="C447"/>
      <c r="D447"/>
      <c r="E447"/>
      <c r="F447"/>
      <c r="G447"/>
      <c r="H447"/>
      <c r="I447"/>
      <c r="J447"/>
    </row>
    <row r="448" spans="1:10" x14ac:dyDescent="0.35">
      <c r="A448"/>
      <c r="B448"/>
      <c r="C448"/>
      <c r="D448"/>
      <c r="E448"/>
      <c r="F448"/>
      <c r="G448"/>
      <c r="H448"/>
      <c r="I448"/>
      <c r="J448"/>
    </row>
    <row r="449" spans="1:10" x14ac:dyDescent="0.35">
      <c r="A449"/>
      <c r="B449"/>
      <c r="C449"/>
      <c r="D449"/>
      <c r="E449"/>
      <c r="F449"/>
      <c r="G449"/>
      <c r="H449"/>
      <c r="I449"/>
      <c r="J449"/>
    </row>
    <row r="450" spans="1:10" x14ac:dyDescent="0.35">
      <c r="A450"/>
      <c r="B450"/>
      <c r="C450"/>
      <c r="D450"/>
      <c r="E450"/>
      <c r="F450"/>
      <c r="G450"/>
      <c r="H450"/>
      <c r="I450"/>
      <c r="J450"/>
    </row>
    <row r="451" spans="1:10" x14ac:dyDescent="0.35">
      <c r="A451"/>
      <c r="B451"/>
      <c r="C451"/>
      <c r="D451"/>
      <c r="E451"/>
      <c r="F451"/>
      <c r="G451"/>
      <c r="H451"/>
      <c r="I451"/>
      <c r="J451"/>
    </row>
    <row r="452" spans="1:10" x14ac:dyDescent="0.35">
      <c r="A452"/>
      <c r="B452"/>
      <c r="C452"/>
      <c r="D452"/>
      <c r="E452"/>
      <c r="F452"/>
      <c r="G452"/>
      <c r="H452"/>
      <c r="I452"/>
      <c r="J452"/>
    </row>
    <row r="453" spans="1:10" x14ac:dyDescent="0.35">
      <c r="A453"/>
      <c r="B453"/>
      <c r="C453"/>
      <c r="D453"/>
      <c r="E453"/>
      <c r="F453"/>
      <c r="G453"/>
      <c r="H453"/>
      <c r="I453"/>
      <c r="J453"/>
    </row>
    <row r="454" spans="1:10" x14ac:dyDescent="0.35">
      <c r="A454"/>
      <c r="B454"/>
      <c r="C454"/>
      <c r="D454"/>
      <c r="E454"/>
      <c r="F454"/>
      <c r="G454"/>
      <c r="H454"/>
      <c r="I454"/>
      <c r="J454"/>
    </row>
    <row r="455" spans="1:10" x14ac:dyDescent="0.35">
      <c r="A455"/>
      <c r="B455"/>
      <c r="C455"/>
      <c r="D455"/>
      <c r="E455"/>
      <c r="F455"/>
      <c r="G455"/>
      <c r="H455"/>
      <c r="I455"/>
      <c r="J455"/>
    </row>
    <row r="456" spans="1:10" x14ac:dyDescent="0.35">
      <c r="A456"/>
      <c r="B456"/>
      <c r="C456"/>
      <c r="D456"/>
      <c r="E456"/>
      <c r="F456"/>
      <c r="G456"/>
      <c r="H456"/>
      <c r="I456"/>
      <c r="J456"/>
    </row>
    <row r="457" spans="1:10" x14ac:dyDescent="0.35">
      <c r="A457"/>
      <c r="B457"/>
      <c r="C457"/>
      <c r="D457"/>
      <c r="E457"/>
      <c r="F457"/>
      <c r="G457"/>
      <c r="H457"/>
      <c r="I457"/>
      <c r="J457"/>
    </row>
    <row r="458" spans="1:10" x14ac:dyDescent="0.35">
      <c r="A458"/>
      <c r="B458"/>
      <c r="C458"/>
      <c r="D458"/>
      <c r="E458"/>
      <c r="F458"/>
      <c r="G458"/>
      <c r="H458"/>
      <c r="I458"/>
      <c r="J458"/>
    </row>
    <row r="459" spans="1:10" x14ac:dyDescent="0.35">
      <c r="A459"/>
      <c r="B459"/>
      <c r="C459"/>
      <c r="D459"/>
      <c r="E459"/>
      <c r="F459"/>
      <c r="G459"/>
      <c r="H459"/>
      <c r="I459"/>
      <c r="J459"/>
    </row>
    <row r="460" spans="1:10" x14ac:dyDescent="0.35">
      <c r="A460"/>
      <c r="B460"/>
      <c r="C460"/>
      <c r="D460"/>
      <c r="E460"/>
      <c r="F460"/>
      <c r="G460"/>
      <c r="H460"/>
      <c r="I460"/>
      <c r="J460"/>
    </row>
    <row r="461" spans="1:10" x14ac:dyDescent="0.35">
      <c r="A461"/>
      <c r="B461"/>
      <c r="C461"/>
      <c r="D461"/>
      <c r="E461"/>
      <c r="F461"/>
      <c r="G461"/>
      <c r="H461"/>
      <c r="I461"/>
      <c r="J461"/>
    </row>
    <row r="462" spans="1:10" x14ac:dyDescent="0.35">
      <c r="A462"/>
      <c r="B462"/>
      <c r="C462"/>
      <c r="D462"/>
      <c r="E462"/>
      <c r="F462"/>
      <c r="G462"/>
      <c r="H462"/>
      <c r="I462"/>
      <c r="J462"/>
    </row>
    <row r="463" spans="1:10" x14ac:dyDescent="0.35">
      <c r="A463"/>
      <c r="B463"/>
      <c r="C463"/>
      <c r="D463"/>
      <c r="E463"/>
      <c r="F463"/>
      <c r="G463"/>
      <c r="H463"/>
      <c r="I463"/>
      <c r="J463"/>
    </row>
    <row r="464" spans="1:10" x14ac:dyDescent="0.35">
      <c r="A464"/>
      <c r="B464"/>
      <c r="C464"/>
      <c r="D464"/>
      <c r="E464"/>
      <c r="F464"/>
      <c r="G464"/>
      <c r="H464"/>
      <c r="I464"/>
      <c r="J464"/>
    </row>
    <row r="465" spans="1:10" x14ac:dyDescent="0.35">
      <c r="A465"/>
      <c r="B465"/>
      <c r="C465"/>
      <c r="D465"/>
      <c r="E465"/>
      <c r="F465"/>
      <c r="G465"/>
      <c r="H465"/>
      <c r="I465"/>
      <c r="J465"/>
    </row>
    <row r="466" spans="1:10" x14ac:dyDescent="0.35">
      <c r="A466"/>
      <c r="B466"/>
      <c r="C466"/>
      <c r="D466"/>
      <c r="E466"/>
      <c r="F466"/>
      <c r="G466"/>
      <c r="H466"/>
      <c r="I466"/>
      <c r="J466"/>
    </row>
    <row r="467" spans="1:10" x14ac:dyDescent="0.35">
      <c r="A467"/>
      <c r="B467"/>
      <c r="C467"/>
      <c r="D467"/>
      <c r="E467"/>
      <c r="F467"/>
      <c r="G467"/>
      <c r="H467"/>
      <c r="I467"/>
      <c r="J467"/>
    </row>
    <row r="468" spans="1:10" x14ac:dyDescent="0.35">
      <c r="A468"/>
      <c r="B468"/>
      <c r="C468"/>
      <c r="D468"/>
      <c r="E468"/>
      <c r="F468"/>
      <c r="G468"/>
      <c r="H468"/>
      <c r="I468"/>
      <c r="J468"/>
    </row>
    <row r="469" spans="1:10" x14ac:dyDescent="0.35">
      <c r="A469"/>
      <c r="B469"/>
      <c r="C469"/>
      <c r="D469"/>
      <c r="E469"/>
      <c r="F469"/>
      <c r="G469"/>
      <c r="H469"/>
      <c r="I469"/>
      <c r="J469"/>
    </row>
    <row r="470" spans="1:10" x14ac:dyDescent="0.35">
      <c r="A470"/>
      <c r="B470"/>
      <c r="C470"/>
      <c r="D470"/>
      <c r="E470"/>
      <c r="F470"/>
      <c r="G470"/>
      <c r="H470"/>
      <c r="I470"/>
      <c r="J470"/>
    </row>
    <row r="471" spans="1:10" x14ac:dyDescent="0.35">
      <c r="A471"/>
      <c r="B471"/>
      <c r="C471"/>
      <c r="D471"/>
      <c r="E471"/>
      <c r="F471"/>
      <c r="G471"/>
      <c r="H471"/>
      <c r="I471"/>
      <c r="J471"/>
    </row>
    <row r="472" spans="1:10" x14ac:dyDescent="0.35">
      <c r="A472"/>
      <c r="B472"/>
      <c r="C472"/>
      <c r="D472"/>
      <c r="E472"/>
      <c r="F472"/>
      <c r="G472"/>
      <c r="H472"/>
      <c r="I472"/>
      <c r="J472"/>
    </row>
    <row r="473" spans="1:10" x14ac:dyDescent="0.35">
      <c r="A473"/>
      <c r="B473"/>
      <c r="C473"/>
      <c r="D473"/>
      <c r="E473"/>
      <c r="F473"/>
      <c r="G473"/>
      <c r="H473"/>
      <c r="I473"/>
      <c r="J473"/>
    </row>
    <row r="474" spans="1:10" x14ac:dyDescent="0.35">
      <c r="A474"/>
      <c r="B474"/>
      <c r="C474"/>
      <c r="D474"/>
      <c r="E474"/>
      <c r="F474"/>
      <c r="G474"/>
      <c r="H474"/>
      <c r="I474"/>
      <c r="J474"/>
    </row>
    <row r="475" spans="1:10" x14ac:dyDescent="0.35">
      <c r="A475"/>
      <c r="B475"/>
      <c r="C475"/>
      <c r="D475"/>
      <c r="E475"/>
      <c r="F475"/>
      <c r="G475"/>
      <c r="H475"/>
      <c r="I475"/>
      <c r="J475"/>
    </row>
    <row r="476" spans="1:10" x14ac:dyDescent="0.35">
      <c r="A476"/>
      <c r="B476"/>
      <c r="C476"/>
      <c r="D476"/>
      <c r="E476"/>
      <c r="F476"/>
      <c r="G476"/>
      <c r="H476"/>
      <c r="I476"/>
      <c r="J476"/>
    </row>
    <row r="477" spans="1:10" x14ac:dyDescent="0.35">
      <c r="A477"/>
      <c r="B477"/>
      <c r="C477"/>
      <c r="D477"/>
      <c r="E477"/>
      <c r="F477"/>
      <c r="G477"/>
      <c r="H477"/>
      <c r="I477"/>
      <c r="J477"/>
    </row>
    <row r="478" spans="1:10" x14ac:dyDescent="0.35">
      <c r="A478"/>
      <c r="B478"/>
      <c r="C478"/>
      <c r="D478"/>
      <c r="E478"/>
      <c r="F478"/>
      <c r="G478"/>
      <c r="H478"/>
      <c r="I478"/>
      <c r="J478"/>
    </row>
    <row r="479" spans="1:10" x14ac:dyDescent="0.35">
      <c r="A479"/>
      <c r="B479"/>
      <c r="C479"/>
      <c r="D479"/>
      <c r="E479"/>
      <c r="F479"/>
      <c r="G479"/>
      <c r="H479"/>
      <c r="I479"/>
      <c r="J479"/>
    </row>
    <row r="480" spans="1:10" x14ac:dyDescent="0.35">
      <c r="A480"/>
      <c r="B480"/>
      <c r="C480"/>
      <c r="D480"/>
      <c r="E480"/>
      <c r="F480"/>
      <c r="G480"/>
      <c r="H480"/>
      <c r="I480"/>
      <c r="J480"/>
    </row>
    <row r="481" spans="1:10" x14ac:dyDescent="0.35">
      <c r="A481"/>
      <c r="B481"/>
      <c r="C481"/>
      <c r="D481"/>
      <c r="E481"/>
      <c r="F481"/>
      <c r="G481"/>
      <c r="H481"/>
      <c r="I481"/>
      <c r="J481"/>
    </row>
    <row r="482" spans="1:10" x14ac:dyDescent="0.35">
      <c r="A482"/>
      <c r="B482"/>
      <c r="C482"/>
      <c r="D482"/>
      <c r="E482"/>
      <c r="F482"/>
      <c r="G482"/>
      <c r="H482"/>
      <c r="I482"/>
      <c r="J482"/>
    </row>
    <row r="483" spans="1:10" x14ac:dyDescent="0.35">
      <c r="A483"/>
      <c r="B483"/>
      <c r="C483"/>
      <c r="D483"/>
      <c r="E483"/>
      <c r="F483"/>
      <c r="G483"/>
      <c r="H483"/>
      <c r="I483"/>
      <c r="J483"/>
    </row>
    <row r="484" spans="1:10" x14ac:dyDescent="0.35">
      <c r="A484"/>
      <c r="B484"/>
      <c r="C484"/>
      <c r="D484"/>
      <c r="E484"/>
      <c r="F484"/>
      <c r="G484"/>
      <c r="H484"/>
      <c r="I484"/>
      <c r="J484"/>
    </row>
    <row r="485" spans="1:10" x14ac:dyDescent="0.35">
      <c r="A485"/>
      <c r="B485"/>
      <c r="C485"/>
      <c r="D485"/>
      <c r="E485"/>
      <c r="F485"/>
      <c r="G485"/>
      <c r="H485"/>
      <c r="I485"/>
      <c r="J485"/>
    </row>
    <row r="486" spans="1:10" x14ac:dyDescent="0.35">
      <c r="A486"/>
      <c r="B486"/>
      <c r="C486"/>
      <c r="D486"/>
      <c r="E486"/>
      <c r="F486"/>
      <c r="G486"/>
      <c r="H486"/>
      <c r="I486"/>
      <c r="J486"/>
    </row>
    <row r="487" spans="1:10" x14ac:dyDescent="0.35">
      <c r="A487"/>
      <c r="B487"/>
      <c r="C487"/>
      <c r="D487"/>
      <c r="E487"/>
      <c r="F487"/>
      <c r="G487"/>
      <c r="H487"/>
      <c r="I487"/>
      <c r="J487"/>
    </row>
    <row r="488" spans="1:10" x14ac:dyDescent="0.35">
      <c r="A488"/>
      <c r="B488"/>
      <c r="C488"/>
      <c r="D488"/>
      <c r="E488"/>
      <c r="F488"/>
      <c r="G488"/>
      <c r="H488"/>
      <c r="I488"/>
      <c r="J488"/>
    </row>
    <row r="489" spans="1:10" x14ac:dyDescent="0.35">
      <c r="A489"/>
      <c r="B489"/>
      <c r="C489"/>
      <c r="D489"/>
      <c r="E489"/>
      <c r="F489"/>
      <c r="G489"/>
      <c r="H489"/>
      <c r="I489"/>
      <c r="J489"/>
    </row>
    <row r="490" spans="1:10" x14ac:dyDescent="0.35">
      <c r="A490"/>
      <c r="B490"/>
      <c r="C490"/>
      <c r="D490"/>
      <c r="E490"/>
      <c r="F490"/>
      <c r="G490"/>
      <c r="H490"/>
      <c r="I490"/>
      <c r="J490"/>
    </row>
    <row r="491" spans="1:10" x14ac:dyDescent="0.35">
      <c r="A491"/>
      <c r="B491"/>
      <c r="C491"/>
      <c r="D491"/>
      <c r="E491"/>
      <c r="F491"/>
      <c r="G491"/>
      <c r="H491"/>
      <c r="I491"/>
      <c r="J491"/>
    </row>
    <row r="492" spans="1:10" x14ac:dyDescent="0.35">
      <c r="A492"/>
      <c r="B492"/>
      <c r="C492"/>
      <c r="D492"/>
      <c r="E492"/>
      <c r="F492"/>
      <c r="G492"/>
      <c r="H492"/>
      <c r="I492"/>
      <c r="J492"/>
    </row>
    <row r="493" spans="1:10" x14ac:dyDescent="0.35">
      <c r="A493"/>
      <c r="B493"/>
      <c r="C493"/>
      <c r="D493"/>
      <c r="E493"/>
      <c r="F493"/>
      <c r="G493"/>
      <c r="H493"/>
      <c r="I493"/>
      <c r="J493"/>
    </row>
    <row r="494" spans="1:10" x14ac:dyDescent="0.35">
      <c r="A494"/>
      <c r="B494"/>
      <c r="C494"/>
      <c r="D494"/>
      <c r="E494"/>
      <c r="F494"/>
      <c r="G494"/>
      <c r="H494"/>
      <c r="I494"/>
      <c r="J494"/>
    </row>
    <row r="495" spans="1:10" x14ac:dyDescent="0.35">
      <c r="A495"/>
      <c r="B495"/>
      <c r="C495"/>
      <c r="D495"/>
      <c r="E495"/>
      <c r="F495"/>
      <c r="G495"/>
      <c r="H495"/>
      <c r="I495"/>
      <c r="J495"/>
    </row>
    <row r="496" spans="1:10" x14ac:dyDescent="0.35">
      <c r="A496"/>
      <c r="B496"/>
      <c r="C496"/>
      <c r="D496"/>
      <c r="E496"/>
      <c r="F496"/>
      <c r="G496"/>
      <c r="H496"/>
      <c r="I496"/>
      <c r="J496"/>
    </row>
    <row r="497" spans="1:10" x14ac:dyDescent="0.35">
      <c r="A497"/>
      <c r="B497"/>
      <c r="C497"/>
      <c r="D497"/>
      <c r="E497"/>
      <c r="F497"/>
      <c r="G497"/>
      <c r="H497"/>
      <c r="I497"/>
      <c r="J497"/>
    </row>
    <row r="498" spans="1:10" x14ac:dyDescent="0.35">
      <c r="A498"/>
      <c r="B498"/>
      <c r="C498"/>
      <c r="D498"/>
      <c r="E498"/>
      <c r="F498"/>
      <c r="G498"/>
      <c r="H498"/>
      <c r="I498"/>
      <c r="J498"/>
    </row>
    <row r="499" spans="1:10" x14ac:dyDescent="0.35">
      <c r="A499"/>
      <c r="B499"/>
      <c r="C499"/>
      <c r="D499"/>
      <c r="E499"/>
      <c r="F499"/>
      <c r="G499"/>
      <c r="H499"/>
      <c r="I499"/>
      <c r="J499"/>
    </row>
    <row r="500" spans="1:10" x14ac:dyDescent="0.35">
      <c r="A500"/>
      <c r="B500"/>
      <c r="C500"/>
      <c r="D500"/>
      <c r="E500"/>
      <c r="F500"/>
      <c r="G500"/>
      <c r="H500"/>
      <c r="I500"/>
      <c r="J500"/>
    </row>
    <row r="501" spans="1:10" x14ac:dyDescent="0.35">
      <c r="A501"/>
      <c r="B501"/>
      <c r="C501"/>
      <c r="D501"/>
      <c r="E501"/>
      <c r="F501"/>
      <c r="G501"/>
      <c r="H501"/>
      <c r="I501"/>
      <c r="J501"/>
    </row>
    <row r="502" spans="1:10" x14ac:dyDescent="0.35">
      <c r="A502"/>
      <c r="B502"/>
      <c r="C502"/>
      <c r="D502"/>
      <c r="E502"/>
      <c r="F502"/>
      <c r="G502"/>
      <c r="H502"/>
      <c r="I502"/>
      <c r="J502"/>
    </row>
    <row r="503" spans="1:10" x14ac:dyDescent="0.35">
      <c r="A503"/>
      <c r="B503"/>
      <c r="C503"/>
      <c r="D503"/>
      <c r="E503"/>
      <c r="F503"/>
      <c r="G503"/>
      <c r="H503"/>
      <c r="I503"/>
      <c r="J503"/>
    </row>
    <row r="504" spans="1:10" x14ac:dyDescent="0.35">
      <c r="A504"/>
      <c r="B504"/>
      <c r="C504"/>
      <c r="D504"/>
      <c r="E504"/>
      <c r="F504"/>
      <c r="G504"/>
      <c r="H504"/>
      <c r="I504"/>
      <c r="J504"/>
    </row>
    <row r="505" spans="1:10" x14ac:dyDescent="0.35">
      <c r="A505"/>
      <c r="B505"/>
      <c r="C505"/>
      <c r="D505"/>
      <c r="E505"/>
      <c r="F505"/>
      <c r="G505"/>
      <c r="H505"/>
      <c r="I505"/>
      <c r="J505"/>
    </row>
    <row r="506" spans="1:10" x14ac:dyDescent="0.35">
      <c r="A506"/>
      <c r="B506"/>
      <c r="C506"/>
      <c r="D506"/>
      <c r="E506"/>
      <c r="F506"/>
      <c r="G506"/>
      <c r="H506"/>
      <c r="I506"/>
      <c r="J506"/>
    </row>
    <row r="507" spans="1:10" x14ac:dyDescent="0.35">
      <c r="A507"/>
      <c r="B507"/>
      <c r="C507"/>
      <c r="D507"/>
      <c r="E507"/>
      <c r="F507"/>
      <c r="G507"/>
      <c r="H507"/>
      <c r="I507"/>
      <c r="J507"/>
    </row>
    <row r="508" spans="1:10" x14ac:dyDescent="0.35">
      <c r="A508"/>
      <c r="B508"/>
      <c r="C508"/>
      <c r="D508"/>
      <c r="E508"/>
      <c r="F508"/>
      <c r="G508"/>
      <c r="H508"/>
      <c r="I508"/>
      <c r="J508"/>
    </row>
    <row r="509" spans="1:10" x14ac:dyDescent="0.35">
      <c r="A509"/>
      <c r="B509"/>
      <c r="C509"/>
      <c r="D509"/>
      <c r="E509"/>
      <c r="F509"/>
      <c r="G509"/>
      <c r="H509"/>
      <c r="I509"/>
      <c r="J509"/>
    </row>
    <row r="510" spans="1:10" x14ac:dyDescent="0.35">
      <c r="A510"/>
      <c r="B510"/>
      <c r="C510"/>
      <c r="D510"/>
      <c r="E510"/>
      <c r="F510"/>
      <c r="G510"/>
      <c r="H510"/>
      <c r="I510"/>
      <c r="J510"/>
    </row>
    <row r="511" spans="1:10" x14ac:dyDescent="0.35">
      <c r="A511"/>
      <c r="B511"/>
      <c r="C511"/>
      <c r="D511"/>
      <c r="E511"/>
      <c r="F511"/>
      <c r="G511"/>
      <c r="H511"/>
      <c r="I511"/>
      <c r="J511"/>
    </row>
    <row r="512" spans="1:10" x14ac:dyDescent="0.35">
      <c r="A512"/>
      <c r="B512"/>
      <c r="C512"/>
      <c r="D512"/>
      <c r="E512"/>
      <c r="F512"/>
      <c r="G512"/>
      <c r="H512"/>
      <c r="I512"/>
      <c r="J512"/>
    </row>
    <row r="513" spans="1:10" x14ac:dyDescent="0.35">
      <c r="A513"/>
      <c r="B513"/>
      <c r="C513"/>
      <c r="D513"/>
      <c r="E513"/>
      <c r="F513"/>
      <c r="G513"/>
      <c r="H513"/>
      <c r="I513"/>
      <c r="J513"/>
    </row>
    <row r="514" spans="1:10" x14ac:dyDescent="0.35">
      <c r="A514"/>
      <c r="B514"/>
      <c r="C514"/>
      <c r="D514"/>
      <c r="E514"/>
      <c r="F514"/>
      <c r="G514"/>
      <c r="H514"/>
      <c r="I514"/>
      <c r="J514"/>
    </row>
    <row r="515" spans="1:10" x14ac:dyDescent="0.35">
      <c r="A515"/>
      <c r="B515"/>
      <c r="C515"/>
      <c r="D515"/>
      <c r="E515"/>
      <c r="F515"/>
      <c r="G515"/>
      <c r="H515"/>
      <c r="I515"/>
      <c r="J515"/>
    </row>
    <row r="516" spans="1:10" x14ac:dyDescent="0.35">
      <c r="A516"/>
      <c r="B516"/>
      <c r="C516"/>
      <c r="D516"/>
      <c r="E516"/>
      <c r="F516"/>
      <c r="G516"/>
      <c r="H516"/>
      <c r="I516"/>
      <c r="J516"/>
    </row>
    <row r="517" spans="1:10" x14ac:dyDescent="0.35">
      <c r="A517"/>
      <c r="B517"/>
      <c r="C517"/>
      <c r="D517"/>
      <c r="E517"/>
      <c r="F517"/>
      <c r="G517"/>
      <c r="H517"/>
      <c r="I517"/>
      <c r="J517"/>
    </row>
    <row r="518" spans="1:10" x14ac:dyDescent="0.35">
      <c r="A518"/>
      <c r="B518"/>
      <c r="C518"/>
      <c r="D518"/>
      <c r="E518"/>
      <c r="F518"/>
      <c r="G518"/>
      <c r="H518"/>
      <c r="I518"/>
      <c r="J518"/>
    </row>
    <row r="519" spans="1:10" x14ac:dyDescent="0.35">
      <c r="A519"/>
      <c r="B519"/>
      <c r="C519"/>
      <c r="D519"/>
      <c r="E519"/>
      <c r="F519"/>
      <c r="G519"/>
      <c r="H519"/>
      <c r="I519"/>
      <c r="J519"/>
    </row>
    <row r="520" spans="1:10" x14ac:dyDescent="0.35">
      <c r="A520"/>
      <c r="B520"/>
      <c r="C520"/>
      <c r="D520"/>
      <c r="E520"/>
      <c r="F520"/>
      <c r="G520"/>
      <c r="H520"/>
      <c r="I520"/>
      <c r="J520"/>
    </row>
    <row r="521" spans="1:10" x14ac:dyDescent="0.35">
      <c r="A521"/>
      <c r="B521"/>
      <c r="C521"/>
      <c r="D521"/>
      <c r="E521"/>
      <c r="F521"/>
      <c r="G521"/>
      <c r="H521"/>
      <c r="I521"/>
      <c r="J521"/>
    </row>
    <row r="522" spans="1:10" x14ac:dyDescent="0.35">
      <c r="A522"/>
      <c r="B522"/>
      <c r="C522"/>
      <c r="D522"/>
      <c r="E522"/>
      <c r="F522"/>
      <c r="G522"/>
      <c r="H522"/>
      <c r="I522"/>
      <c r="J522"/>
    </row>
    <row r="523" spans="1:10" x14ac:dyDescent="0.35">
      <c r="A523"/>
      <c r="B523"/>
      <c r="C523"/>
      <c r="D523"/>
      <c r="E523"/>
      <c r="F523"/>
      <c r="G523"/>
      <c r="H523"/>
      <c r="I523"/>
      <c r="J523"/>
    </row>
    <row r="524" spans="1:10" x14ac:dyDescent="0.35">
      <c r="A524"/>
      <c r="B524"/>
      <c r="C524"/>
      <c r="D524"/>
      <c r="E524"/>
      <c r="F524"/>
      <c r="G524"/>
      <c r="H524"/>
      <c r="I524"/>
      <c r="J524"/>
    </row>
    <row r="525" spans="1:10" x14ac:dyDescent="0.35">
      <c r="A525"/>
      <c r="B525"/>
      <c r="C525"/>
      <c r="D525"/>
      <c r="E525"/>
      <c r="F525"/>
      <c r="G525"/>
      <c r="H525"/>
      <c r="I525"/>
      <c r="J525"/>
    </row>
    <row r="526" spans="1:10" x14ac:dyDescent="0.35">
      <c r="A526"/>
      <c r="B526"/>
      <c r="C526"/>
      <c r="D526"/>
      <c r="E526"/>
      <c r="F526"/>
      <c r="G526"/>
      <c r="H526"/>
      <c r="I526"/>
      <c r="J526"/>
    </row>
    <row r="527" spans="1:10" x14ac:dyDescent="0.35">
      <c r="A527"/>
      <c r="B527"/>
      <c r="C527"/>
      <c r="D527"/>
      <c r="E527"/>
      <c r="F527"/>
      <c r="G527"/>
      <c r="H527"/>
      <c r="I527"/>
      <c r="J527"/>
    </row>
    <row r="528" spans="1:10" x14ac:dyDescent="0.35">
      <c r="A528"/>
      <c r="B528"/>
      <c r="C528"/>
      <c r="D528"/>
      <c r="E528"/>
      <c r="F528"/>
      <c r="G528"/>
      <c r="H528"/>
      <c r="I528"/>
      <c r="J528"/>
    </row>
    <row r="529" spans="1:10" x14ac:dyDescent="0.35">
      <c r="A529"/>
      <c r="B529"/>
      <c r="C529"/>
      <c r="D529"/>
      <c r="E529"/>
      <c r="F529"/>
      <c r="G529"/>
      <c r="H529"/>
      <c r="I529"/>
      <c r="J529"/>
    </row>
    <row r="530" spans="1:10" x14ac:dyDescent="0.35">
      <c r="A530"/>
      <c r="B530"/>
      <c r="C530"/>
      <c r="D530"/>
      <c r="E530"/>
      <c r="F530"/>
      <c r="G530"/>
      <c r="H530"/>
      <c r="I530"/>
      <c r="J530"/>
    </row>
    <row r="531" spans="1:10" x14ac:dyDescent="0.35">
      <c r="A531"/>
      <c r="B531"/>
      <c r="C531"/>
      <c r="D531"/>
      <c r="E531"/>
      <c r="F531"/>
      <c r="G531"/>
      <c r="H531"/>
      <c r="I531"/>
      <c r="J531"/>
    </row>
    <row r="532" spans="1:10" x14ac:dyDescent="0.35">
      <c r="A532"/>
      <c r="B532"/>
      <c r="C532"/>
      <c r="D532"/>
      <c r="E532"/>
      <c r="F532"/>
      <c r="G532"/>
      <c r="H532"/>
      <c r="I532"/>
      <c r="J532"/>
    </row>
    <row r="533" spans="1:10" x14ac:dyDescent="0.35">
      <c r="A533"/>
      <c r="B533"/>
      <c r="C533"/>
      <c r="D533"/>
      <c r="E533"/>
      <c r="F533"/>
      <c r="G533"/>
      <c r="H533"/>
      <c r="I533"/>
      <c r="J533"/>
    </row>
    <row r="534" spans="1:10" x14ac:dyDescent="0.35">
      <c r="A534"/>
      <c r="B534"/>
      <c r="C534"/>
      <c r="D534"/>
      <c r="E534"/>
      <c r="F534"/>
      <c r="G534"/>
      <c r="H534"/>
      <c r="I534"/>
      <c r="J534"/>
    </row>
    <row r="535" spans="1:10" x14ac:dyDescent="0.35">
      <c r="A535"/>
      <c r="B535"/>
      <c r="C535"/>
      <c r="D535"/>
      <c r="E535"/>
      <c r="F535"/>
      <c r="G535"/>
      <c r="H535"/>
      <c r="I535"/>
      <c r="J535"/>
    </row>
    <row r="536" spans="1:10" x14ac:dyDescent="0.35">
      <c r="A536"/>
      <c r="B536"/>
      <c r="C536"/>
      <c r="D536"/>
      <c r="E536"/>
      <c r="F536"/>
      <c r="G536"/>
      <c r="H536"/>
      <c r="I536"/>
      <c r="J536"/>
    </row>
    <row r="537" spans="1:10" x14ac:dyDescent="0.35">
      <c r="A537"/>
      <c r="B537"/>
      <c r="C537"/>
      <c r="D537"/>
      <c r="E537"/>
      <c r="F537"/>
      <c r="G537"/>
      <c r="H537"/>
      <c r="I537"/>
      <c r="J537"/>
    </row>
    <row r="538" spans="1:10" x14ac:dyDescent="0.35">
      <c r="A538"/>
      <c r="B538"/>
      <c r="C538"/>
      <c r="D538"/>
      <c r="E538"/>
      <c r="F538"/>
      <c r="G538"/>
      <c r="H538"/>
      <c r="I538"/>
      <c r="J538"/>
    </row>
    <row r="539" spans="1:10" x14ac:dyDescent="0.35">
      <c r="A539"/>
      <c r="B539"/>
      <c r="C539"/>
      <c r="D539"/>
      <c r="E539"/>
      <c r="F539"/>
      <c r="G539"/>
      <c r="H539"/>
      <c r="I539"/>
      <c r="J539"/>
    </row>
    <row r="540" spans="1:10" x14ac:dyDescent="0.35">
      <c r="A540"/>
      <c r="B540"/>
      <c r="C540"/>
      <c r="D540"/>
      <c r="E540"/>
      <c r="F540"/>
      <c r="G540"/>
      <c r="H540"/>
      <c r="I540"/>
      <c r="J540"/>
    </row>
    <row r="541" spans="1:10" x14ac:dyDescent="0.35">
      <c r="A541"/>
      <c r="B541"/>
      <c r="C541"/>
      <c r="D541"/>
      <c r="E541"/>
      <c r="F541"/>
      <c r="G541"/>
      <c r="H541"/>
      <c r="I541"/>
      <c r="J541"/>
    </row>
    <row r="542" spans="1:10" x14ac:dyDescent="0.35">
      <c r="A542"/>
      <c r="B542"/>
      <c r="C542"/>
      <c r="D542"/>
      <c r="E542"/>
      <c r="F542"/>
      <c r="G542"/>
      <c r="H542"/>
      <c r="I542"/>
      <c r="J542"/>
    </row>
    <row r="543" spans="1:10" x14ac:dyDescent="0.35">
      <c r="A543"/>
      <c r="B543"/>
      <c r="C543"/>
      <c r="D543"/>
      <c r="E543"/>
      <c r="F543"/>
      <c r="G543"/>
      <c r="H543"/>
      <c r="I543"/>
      <c r="J543"/>
    </row>
    <row r="544" spans="1:10" x14ac:dyDescent="0.35">
      <c r="A544"/>
      <c r="B544"/>
      <c r="C544"/>
      <c r="D544"/>
      <c r="E544"/>
      <c r="F544"/>
      <c r="G544"/>
      <c r="H544"/>
      <c r="I544"/>
      <c r="J544"/>
    </row>
    <row r="545" spans="1:10" x14ac:dyDescent="0.35">
      <c r="A545"/>
      <c r="B545"/>
      <c r="C545"/>
      <c r="D545"/>
      <c r="E545"/>
      <c r="F545"/>
      <c r="G545"/>
      <c r="H545"/>
      <c r="I545"/>
      <c r="J545"/>
    </row>
    <row r="546" spans="1:10" x14ac:dyDescent="0.35">
      <c r="A546"/>
      <c r="B546"/>
      <c r="C546"/>
      <c r="D546"/>
      <c r="E546"/>
      <c r="F546"/>
      <c r="G546"/>
      <c r="H546"/>
      <c r="I546"/>
      <c r="J546"/>
    </row>
    <row r="547" spans="1:10" x14ac:dyDescent="0.35">
      <c r="A547"/>
      <c r="B547"/>
      <c r="C547"/>
      <c r="D547"/>
      <c r="E547"/>
      <c r="F547"/>
      <c r="G547"/>
      <c r="H547"/>
      <c r="I547"/>
      <c r="J547"/>
    </row>
    <row r="548" spans="1:10" x14ac:dyDescent="0.35">
      <c r="A548"/>
      <c r="B548"/>
      <c r="C548"/>
      <c r="D548"/>
      <c r="E548"/>
      <c r="F548"/>
      <c r="G548"/>
      <c r="H548"/>
      <c r="I548"/>
      <c r="J548"/>
    </row>
    <row r="549" spans="1:10" x14ac:dyDescent="0.35">
      <c r="A549"/>
      <c r="B549"/>
      <c r="C549"/>
      <c r="D549"/>
      <c r="E549"/>
      <c r="F549"/>
      <c r="G549"/>
      <c r="H549"/>
      <c r="I549"/>
      <c r="J549"/>
    </row>
    <row r="550" spans="1:10" x14ac:dyDescent="0.35">
      <c r="A550"/>
      <c r="B550"/>
      <c r="C550"/>
      <c r="D550"/>
      <c r="E550"/>
      <c r="F550"/>
      <c r="G550"/>
      <c r="H550"/>
      <c r="I550"/>
      <c r="J550"/>
    </row>
    <row r="551" spans="1:10" x14ac:dyDescent="0.35">
      <c r="A551"/>
      <c r="B551"/>
      <c r="C551"/>
      <c r="D551"/>
      <c r="E551"/>
      <c r="F551"/>
      <c r="G551"/>
      <c r="H551"/>
      <c r="I551"/>
      <c r="J551"/>
    </row>
    <row r="552" spans="1:10" x14ac:dyDescent="0.35">
      <c r="A552"/>
      <c r="B552"/>
      <c r="C552"/>
      <c r="D552"/>
      <c r="E552"/>
      <c r="F552"/>
      <c r="G552"/>
      <c r="H552"/>
      <c r="I552"/>
      <c r="J552"/>
    </row>
    <row r="553" spans="1:10" x14ac:dyDescent="0.35">
      <c r="A553"/>
      <c r="B553"/>
      <c r="C553"/>
      <c r="D553"/>
      <c r="E553"/>
      <c r="F553"/>
      <c r="G553"/>
      <c r="H553"/>
      <c r="I553"/>
      <c r="J553"/>
    </row>
    <row r="554" spans="1:10" x14ac:dyDescent="0.35">
      <c r="A554"/>
      <c r="B554"/>
      <c r="C554"/>
      <c r="D554"/>
      <c r="E554"/>
      <c r="F554"/>
      <c r="G554"/>
      <c r="H554"/>
      <c r="I554"/>
      <c r="J554"/>
    </row>
    <row r="555" spans="1:10" x14ac:dyDescent="0.35">
      <c r="A555"/>
      <c r="B555"/>
      <c r="C555"/>
      <c r="D555"/>
      <c r="E555"/>
      <c r="F555"/>
      <c r="G555"/>
      <c r="H555"/>
      <c r="I555"/>
      <c r="J555"/>
    </row>
    <row r="556" spans="1:10" x14ac:dyDescent="0.35">
      <c r="A556"/>
      <c r="B556"/>
      <c r="C556"/>
      <c r="D556"/>
      <c r="E556"/>
      <c r="F556"/>
      <c r="G556"/>
      <c r="H556"/>
      <c r="I556"/>
      <c r="J556"/>
    </row>
    <row r="557" spans="1:10" x14ac:dyDescent="0.35">
      <c r="A557"/>
      <c r="B557"/>
      <c r="C557"/>
      <c r="D557"/>
      <c r="E557"/>
      <c r="F557"/>
      <c r="G557"/>
      <c r="H557"/>
      <c r="I557"/>
      <c r="J557"/>
    </row>
    <row r="558" spans="1:10" x14ac:dyDescent="0.35">
      <c r="A558"/>
      <c r="B558"/>
      <c r="C558"/>
      <c r="D558"/>
      <c r="E558"/>
      <c r="F558"/>
      <c r="G558"/>
      <c r="H558"/>
      <c r="I558"/>
      <c r="J558"/>
    </row>
    <row r="559" spans="1:10" x14ac:dyDescent="0.35">
      <c r="A559"/>
      <c r="B559"/>
      <c r="C559"/>
      <c r="D559"/>
      <c r="E559"/>
      <c r="F559"/>
      <c r="G559"/>
      <c r="H559"/>
      <c r="I559"/>
      <c r="J559"/>
    </row>
    <row r="560" spans="1:10" x14ac:dyDescent="0.35">
      <c r="A560"/>
      <c r="B560"/>
      <c r="C560"/>
      <c r="D560"/>
      <c r="E560"/>
      <c r="F560"/>
      <c r="G560"/>
      <c r="H560"/>
      <c r="I560"/>
      <c r="J560"/>
    </row>
    <row r="561" spans="1:10" x14ac:dyDescent="0.35">
      <c r="A561"/>
      <c r="B561"/>
      <c r="C561"/>
      <c r="D561"/>
      <c r="E561"/>
      <c r="F561"/>
      <c r="G561"/>
      <c r="H561"/>
      <c r="I561"/>
      <c r="J561"/>
    </row>
    <row r="562" spans="1:10" x14ac:dyDescent="0.35">
      <c r="A562"/>
      <c r="B562"/>
      <c r="C562"/>
      <c r="D562"/>
      <c r="E562"/>
      <c r="F562"/>
      <c r="G562"/>
      <c r="H562"/>
      <c r="I562"/>
      <c r="J562"/>
    </row>
    <row r="563" spans="1:10" x14ac:dyDescent="0.35">
      <c r="A563"/>
      <c r="B563"/>
      <c r="C563"/>
      <c r="D563"/>
      <c r="E563"/>
      <c r="F563"/>
      <c r="G563"/>
      <c r="H563"/>
      <c r="I563"/>
      <c r="J563"/>
    </row>
    <row r="564" spans="1:10" x14ac:dyDescent="0.35">
      <c r="A564"/>
      <c r="B564"/>
      <c r="C564"/>
      <c r="D564"/>
      <c r="E564"/>
      <c r="F564"/>
      <c r="G564"/>
      <c r="H564"/>
      <c r="I564"/>
      <c r="J564"/>
    </row>
    <row r="565" spans="1:10" x14ac:dyDescent="0.35">
      <c r="A565"/>
      <c r="B565"/>
      <c r="C565"/>
      <c r="D565"/>
      <c r="E565"/>
      <c r="F565"/>
      <c r="G565"/>
      <c r="H565"/>
      <c r="I565"/>
      <c r="J565"/>
    </row>
    <row r="566" spans="1:10" x14ac:dyDescent="0.35">
      <c r="A566"/>
      <c r="B566"/>
      <c r="C566"/>
      <c r="D566"/>
      <c r="E566"/>
      <c r="F566"/>
      <c r="G566"/>
      <c r="H566"/>
      <c r="I566"/>
      <c r="J566"/>
    </row>
    <row r="567" spans="1:10" x14ac:dyDescent="0.35">
      <c r="A567"/>
      <c r="B567"/>
      <c r="C567"/>
      <c r="D567"/>
      <c r="E567"/>
      <c r="F567"/>
      <c r="G567"/>
      <c r="H567"/>
      <c r="I567"/>
      <c r="J567"/>
    </row>
    <row r="568" spans="1:10" x14ac:dyDescent="0.35">
      <c r="A568"/>
      <c r="B568"/>
      <c r="C568"/>
      <c r="D568"/>
      <c r="E568"/>
      <c r="F568"/>
      <c r="G568"/>
      <c r="H568"/>
      <c r="I568"/>
      <c r="J568"/>
    </row>
    <row r="569" spans="1:10" x14ac:dyDescent="0.35">
      <c r="A569"/>
      <c r="B569"/>
      <c r="C569"/>
      <c r="D569"/>
      <c r="E569"/>
      <c r="F569"/>
      <c r="G569"/>
      <c r="H569"/>
      <c r="I569"/>
      <c r="J569"/>
    </row>
    <row r="570" spans="1:10" x14ac:dyDescent="0.35">
      <c r="A570"/>
      <c r="B570"/>
      <c r="C570"/>
      <c r="D570"/>
      <c r="E570"/>
      <c r="F570"/>
      <c r="G570"/>
      <c r="H570"/>
      <c r="I570"/>
      <c r="J570"/>
    </row>
    <row r="571" spans="1:10" x14ac:dyDescent="0.35">
      <c r="A571"/>
      <c r="B571"/>
      <c r="C571"/>
      <c r="D571"/>
      <c r="E571"/>
      <c r="F571"/>
      <c r="G571"/>
      <c r="H571"/>
      <c r="I571"/>
      <c r="J571"/>
    </row>
    <row r="572" spans="1:10" x14ac:dyDescent="0.35">
      <c r="A572"/>
      <c r="B572"/>
      <c r="C572"/>
      <c r="D572"/>
      <c r="E572"/>
      <c r="F572"/>
      <c r="G572"/>
      <c r="H572"/>
      <c r="I572"/>
      <c r="J572"/>
    </row>
    <row r="573" spans="1:10" x14ac:dyDescent="0.35">
      <c r="A573"/>
      <c r="B573"/>
      <c r="C573"/>
      <c r="D573"/>
      <c r="E573"/>
      <c r="F573"/>
      <c r="G573"/>
      <c r="H573"/>
      <c r="I573"/>
      <c r="J573"/>
    </row>
    <row r="574" spans="1:10" x14ac:dyDescent="0.35">
      <c r="A574"/>
      <c r="B574"/>
      <c r="C574"/>
      <c r="D574"/>
      <c r="E574"/>
      <c r="F574"/>
      <c r="G574"/>
      <c r="H574"/>
      <c r="I574"/>
      <c r="J574"/>
    </row>
    <row r="575" spans="1:10" x14ac:dyDescent="0.35">
      <c r="A575"/>
      <c r="B575"/>
      <c r="C575"/>
      <c r="D575"/>
      <c r="E575"/>
      <c r="F575"/>
      <c r="G575"/>
      <c r="H575"/>
      <c r="I575"/>
      <c r="J575"/>
    </row>
    <row r="576" spans="1:10" x14ac:dyDescent="0.35">
      <c r="A576"/>
      <c r="B576"/>
      <c r="C576"/>
      <c r="D576"/>
      <c r="E576"/>
      <c r="F576"/>
      <c r="G576"/>
      <c r="H576"/>
      <c r="I576"/>
      <c r="J576"/>
    </row>
    <row r="577" spans="1:10" x14ac:dyDescent="0.35">
      <c r="A577"/>
      <c r="B577"/>
      <c r="C577"/>
      <c r="D577"/>
      <c r="E577"/>
      <c r="F577"/>
      <c r="G577"/>
      <c r="H577"/>
      <c r="I577"/>
      <c r="J577"/>
    </row>
    <row r="578" spans="1:10" x14ac:dyDescent="0.35">
      <c r="A578"/>
      <c r="B578"/>
      <c r="C578"/>
      <c r="D578"/>
      <c r="E578"/>
      <c r="F578"/>
      <c r="G578"/>
      <c r="H578"/>
      <c r="I578"/>
      <c r="J578"/>
    </row>
    <row r="579" spans="1:10" x14ac:dyDescent="0.35">
      <c r="A579"/>
      <c r="B579"/>
      <c r="C579"/>
      <c r="D579"/>
      <c r="E579"/>
      <c r="F579"/>
      <c r="G579"/>
      <c r="H579"/>
      <c r="I579"/>
      <c r="J579"/>
    </row>
    <row r="580" spans="1:10" x14ac:dyDescent="0.35">
      <c r="A580"/>
      <c r="B580"/>
      <c r="C580"/>
      <c r="D580"/>
      <c r="E580"/>
      <c r="F580"/>
      <c r="G580"/>
      <c r="H580"/>
      <c r="I580"/>
      <c r="J580"/>
    </row>
    <row r="581" spans="1:10" x14ac:dyDescent="0.35">
      <c r="A581"/>
      <c r="B581"/>
      <c r="C581"/>
      <c r="D581"/>
      <c r="E581"/>
      <c r="F581"/>
      <c r="G581"/>
      <c r="H581"/>
      <c r="I581"/>
      <c r="J581"/>
    </row>
    <row r="582" spans="1:10" x14ac:dyDescent="0.35">
      <c r="A582"/>
      <c r="B582"/>
      <c r="C582"/>
      <c r="D582"/>
      <c r="E582"/>
      <c r="F582"/>
      <c r="G582"/>
      <c r="H582"/>
      <c r="I582"/>
      <c r="J582"/>
    </row>
    <row r="583" spans="1:10" x14ac:dyDescent="0.35">
      <c r="A583"/>
      <c r="B583"/>
      <c r="C583"/>
      <c r="D583"/>
      <c r="E583"/>
      <c r="F583"/>
      <c r="G583"/>
      <c r="H583"/>
      <c r="I583"/>
      <c r="J583"/>
    </row>
    <row r="584" spans="1:10" x14ac:dyDescent="0.35">
      <c r="A584"/>
      <c r="B584"/>
      <c r="C584"/>
      <c r="D584"/>
      <c r="E584"/>
      <c r="F584"/>
      <c r="G584"/>
      <c r="H584"/>
      <c r="I584"/>
      <c r="J584"/>
    </row>
    <row r="585" spans="1:10" x14ac:dyDescent="0.35">
      <c r="A585"/>
      <c r="B585"/>
      <c r="C585"/>
      <c r="D585"/>
      <c r="E585"/>
      <c r="F585"/>
      <c r="G585"/>
      <c r="H585"/>
      <c r="I585"/>
      <c r="J585"/>
    </row>
    <row r="586" spans="1:10" x14ac:dyDescent="0.35">
      <c r="A586"/>
      <c r="B586"/>
      <c r="C586"/>
      <c r="D586"/>
      <c r="E586"/>
      <c r="F586"/>
      <c r="G586"/>
      <c r="H586"/>
      <c r="I586"/>
      <c r="J586"/>
    </row>
    <row r="587" spans="1:10" x14ac:dyDescent="0.35">
      <c r="A587"/>
      <c r="B587"/>
      <c r="C587"/>
      <c r="D587"/>
      <c r="E587"/>
      <c r="F587"/>
      <c r="G587"/>
      <c r="H587"/>
      <c r="I587"/>
      <c r="J587"/>
    </row>
    <row r="588" spans="1:10" x14ac:dyDescent="0.35">
      <c r="A588"/>
      <c r="B588"/>
      <c r="C588"/>
      <c r="D588"/>
      <c r="E588"/>
      <c r="F588"/>
      <c r="G588"/>
      <c r="H588"/>
      <c r="I588"/>
      <c r="J588"/>
    </row>
    <row r="589" spans="1:10" x14ac:dyDescent="0.35">
      <c r="A589"/>
      <c r="B589"/>
      <c r="C589"/>
      <c r="D589"/>
      <c r="E589"/>
      <c r="F589"/>
      <c r="G589"/>
      <c r="H589"/>
      <c r="I589"/>
      <c r="J589"/>
    </row>
    <row r="590" spans="1:10" x14ac:dyDescent="0.35">
      <c r="A590"/>
      <c r="B590"/>
      <c r="C590"/>
      <c r="D590"/>
      <c r="E590"/>
      <c r="F590"/>
      <c r="G590"/>
      <c r="H590"/>
      <c r="I590"/>
      <c r="J590"/>
    </row>
    <row r="591" spans="1:10" x14ac:dyDescent="0.35">
      <c r="A591"/>
      <c r="B591"/>
      <c r="C591"/>
      <c r="D591"/>
      <c r="E591"/>
      <c r="F591"/>
      <c r="G591"/>
      <c r="H591"/>
      <c r="I591"/>
      <c r="J591"/>
    </row>
    <row r="592" spans="1:10" x14ac:dyDescent="0.35">
      <c r="A592"/>
      <c r="B592"/>
      <c r="C592"/>
      <c r="D592"/>
      <c r="E592"/>
      <c r="F592"/>
      <c r="G592"/>
      <c r="H592"/>
      <c r="I592"/>
      <c r="J592"/>
    </row>
    <row r="593" spans="1:10" x14ac:dyDescent="0.35">
      <c r="A593"/>
      <c r="B593"/>
      <c r="C593"/>
      <c r="D593"/>
      <c r="E593"/>
      <c r="F593"/>
      <c r="G593"/>
      <c r="H593"/>
      <c r="I593"/>
      <c r="J593"/>
    </row>
    <row r="594" spans="1:10" x14ac:dyDescent="0.35">
      <c r="A594"/>
      <c r="B594"/>
      <c r="C594"/>
      <c r="D594"/>
      <c r="E594"/>
      <c r="F594"/>
      <c r="G594"/>
      <c r="H594"/>
      <c r="I594"/>
      <c r="J594"/>
    </row>
    <row r="595" spans="1:10" x14ac:dyDescent="0.35">
      <c r="A595"/>
      <c r="B595"/>
      <c r="C595"/>
      <c r="D595"/>
      <c r="E595"/>
      <c r="F595"/>
      <c r="G595"/>
      <c r="H595"/>
      <c r="I595"/>
      <c r="J595"/>
    </row>
    <row r="596" spans="1:10" x14ac:dyDescent="0.35">
      <c r="A596"/>
      <c r="B596"/>
      <c r="C596"/>
      <c r="D596"/>
      <c r="E596"/>
      <c r="F596"/>
      <c r="G596"/>
      <c r="H596"/>
      <c r="I596"/>
      <c r="J596"/>
    </row>
    <row r="597" spans="1:10" x14ac:dyDescent="0.35">
      <c r="A597"/>
      <c r="B597"/>
      <c r="C597"/>
      <c r="D597"/>
      <c r="E597"/>
      <c r="F597"/>
      <c r="G597"/>
      <c r="H597"/>
      <c r="I597"/>
      <c r="J597"/>
    </row>
    <row r="598" spans="1:10" x14ac:dyDescent="0.35">
      <c r="A598"/>
      <c r="B598"/>
      <c r="C598"/>
      <c r="D598"/>
      <c r="E598"/>
      <c r="F598"/>
      <c r="G598"/>
      <c r="H598"/>
      <c r="I598"/>
      <c r="J598"/>
    </row>
    <row r="599" spans="1:10" x14ac:dyDescent="0.35">
      <c r="A599"/>
      <c r="B599"/>
      <c r="C599"/>
      <c r="D599"/>
      <c r="E599"/>
      <c r="F599"/>
      <c r="G599"/>
      <c r="H599"/>
      <c r="I599"/>
      <c r="J599"/>
    </row>
    <row r="600" spans="1:10" x14ac:dyDescent="0.35">
      <c r="A600"/>
      <c r="B600"/>
      <c r="C600"/>
      <c r="D600"/>
      <c r="E600"/>
      <c r="F600"/>
      <c r="G600"/>
      <c r="H600"/>
      <c r="I600"/>
      <c r="J600"/>
    </row>
    <row r="601" spans="1:10" x14ac:dyDescent="0.35">
      <c r="A601"/>
      <c r="B601"/>
      <c r="C601"/>
      <c r="D601"/>
      <c r="E601"/>
      <c r="F601"/>
      <c r="G601"/>
      <c r="H601"/>
      <c r="I601"/>
      <c r="J601"/>
    </row>
    <row r="602" spans="1:10" x14ac:dyDescent="0.35">
      <c r="A602"/>
      <c r="B602"/>
      <c r="C602"/>
      <c r="D602"/>
      <c r="E602"/>
      <c r="F602"/>
      <c r="G602"/>
      <c r="H602"/>
      <c r="I602"/>
      <c r="J602"/>
    </row>
    <row r="603" spans="1:10" x14ac:dyDescent="0.35">
      <c r="A603"/>
      <c r="B603"/>
      <c r="C603"/>
      <c r="D603"/>
      <c r="E603"/>
      <c r="F603"/>
      <c r="G603"/>
      <c r="H603"/>
      <c r="I603"/>
      <c r="J603"/>
    </row>
    <row r="604" spans="1:10" x14ac:dyDescent="0.35">
      <c r="A604"/>
      <c r="B604"/>
      <c r="C604"/>
      <c r="D604"/>
      <c r="E604"/>
      <c r="F604"/>
      <c r="G604"/>
      <c r="H604"/>
      <c r="I604"/>
      <c r="J604"/>
    </row>
    <row r="605" spans="1:10" x14ac:dyDescent="0.35">
      <c r="A605"/>
      <c r="B605"/>
      <c r="C605"/>
      <c r="D605"/>
      <c r="E605"/>
      <c r="F605"/>
      <c r="G605"/>
      <c r="H605"/>
      <c r="I605"/>
      <c r="J605"/>
    </row>
    <row r="606" spans="1:10" x14ac:dyDescent="0.35">
      <c r="A606"/>
      <c r="B606"/>
      <c r="C606"/>
      <c r="D606"/>
      <c r="E606"/>
      <c r="F606"/>
      <c r="G606"/>
      <c r="H606"/>
      <c r="I606"/>
      <c r="J606"/>
    </row>
    <row r="607" spans="1:10" x14ac:dyDescent="0.35">
      <c r="A607"/>
      <c r="B607"/>
      <c r="C607"/>
      <c r="D607"/>
      <c r="E607"/>
      <c r="F607"/>
      <c r="G607"/>
      <c r="H607"/>
      <c r="I607"/>
      <c r="J607"/>
    </row>
    <row r="608" spans="1:10" x14ac:dyDescent="0.35">
      <c r="A608"/>
      <c r="B608"/>
      <c r="C608"/>
      <c r="D608"/>
      <c r="E608"/>
      <c r="F608"/>
      <c r="G608"/>
      <c r="H608"/>
      <c r="I608"/>
      <c r="J608"/>
    </row>
    <row r="609" spans="1:10" x14ac:dyDescent="0.35">
      <c r="A609"/>
      <c r="B609"/>
      <c r="C609"/>
      <c r="D609"/>
      <c r="E609"/>
      <c r="F609"/>
      <c r="G609"/>
      <c r="H609"/>
      <c r="I609"/>
      <c r="J609"/>
    </row>
    <row r="610" spans="1:10" x14ac:dyDescent="0.35">
      <c r="A610"/>
      <c r="B610"/>
      <c r="C610"/>
      <c r="D610"/>
      <c r="E610"/>
      <c r="F610"/>
      <c r="G610"/>
      <c r="H610"/>
      <c r="I610"/>
      <c r="J610"/>
    </row>
    <row r="611" spans="1:10" x14ac:dyDescent="0.35">
      <c r="A611"/>
      <c r="B611"/>
      <c r="C611"/>
      <c r="D611"/>
      <c r="E611"/>
      <c r="F611"/>
      <c r="G611"/>
      <c r="H611"/>
      <c r="I611"/>
      <c r="J611"/>
    </row>
    <row r="612" spans="1:10" x14ac:dyDescent="0.35">
      <c r="A612"/>
      <c r="B612"/>
      <c r="C612"/>
      <c r="D612"/>
      <c r="E612"/>
      <c r="F612"/>
      <c r="G612"/>
      <c r="H612"/>
      <c r="I612"/>
      <c r="J612"/>
    </row>
    <row r="613" spans="1:10" x14ac:dyDescent="0.35">
      <c r="A613"/>
      <c r="B613"/>
      <c r="C613"/>
      <c r="D613"/>
      <c r="E613"/>
      <c r="F613"/>
      <c r="G613"/>
      <c r="H613"/>
      <c r="I613"/>
      <c r="J613"/>
    </row>
    <row r="614" spans="1:10" x14ac:dyDescent="0.35">
      <c r="A614"/>
      <c r="B614"/>
      <c r="C614"/>
      <c r="D614"/>
      <c r="E614"/>
      <c r="F614"/>
      <c r="G614"/>
      <c r="H614"/>
      <c r="I614"/>
      <c r="J614"/>
    </row>
    <row r="615" spans="1:10" x14ac:dyDescent="0.35">
      <c r="A615"/>
      <c r="B615"/>
      <c r="C615"/>
      <c r="D615"/>
      <c r="E615"/>
      <c r="F615"/>
      <c r="G615"/>
      <c r="H615"/>
      <c r="I615"/>
      <c r="J615"/>
    </row>
    <row r="616" spans="1:10" x14ac:dyDescent="0.35">
      <c r="A616"/>
      <c r="B616"/>
      <c r="C616"/>
      <c r="D616"/>
      <c r="E616"/>
      <c r="F616"/>
      <c r="G616"/>
      <c r="H616"/>
      <c r="I616"/>
      <c r="J616"/>
    </row>
    <row r="617" spans="1:10" x14ac:dyDescent="0.35">
      <c r="A617"/>
      <c r="B617"/>
      <c r="C617"/>
      <c r="D617"/>
      <c r="E617"/>
      <c r="F617"/>
      <c r="G617"/>
      <c r="H617"/>
      <c r="I617"/>
      <c r="J617"/>
    </row>
    <row r="618" spans="1:10" x14ac:dyDescent="0.35">
      <c r="A618"/>
      <c r="B618"/>
      <c r="C618"/>
      <c r="D618"/>
      <c r="E618"/>
      <c r="F618"/>
      <c r="G618"/>
      <c r="H618"/>
      <c r="I618"/>
      <c r="J618"/>
    </row>
    <row r="619" spans="1:10" x14ac:dyDescent="0.35">
      <c r="A619"/>
      <c r="B619"/>
      <c r="C619"/>
      <c r="D619"/>
      <c r="E619"/>
      <c r="F619"/>
      <c r="G619"/>
      <c r="H619"/>
      <c r="I619"/>
      <c r="J619"/>
    </row>
    <row r="620" spans="1:10" x14ac:dyDescent="0.35">
      <c r="A620"/>
      <c r="B620"/>
      <c r="C620"/>
      <c r="D620"/>
      <c r="E620"/>
      <c r="F620"/>
      <c r="G620"/>
      <c r="H620"/>
      <c r="I620"/>
      <c r="J620"/>
    </row>
    <row r="621" spans="1:10" x14ac:dyDescent="0.35">
      <c r="A621"/>
      <c r="B621"/>
      <c r="C621"/>
      <c r="D621"/>
      <c r="E621"/>
      <c r="F621"/>
      <c r="G621"/>
      <c r="H621"/>
      <c r="I621"/>
      <c r="J621"/>
    </row>
    <row r="622" spans="1:10" x14ac:dyDescent="0.35">
      <c r="A622"/>
      <c r="B622"/>
      <c r="C622"/>
      <c r="D622"/>
      <c r="E622"/>
      <c r="F622"/>
      <c r="G622"/>
      <c r="H622"/>
      <c r="I622"/>
      <c r="J622"/>
    </row>
    <row r="623" spans="1:10" x14ac:dyDescent="0.35">
      <c r="A623"/>
      <c r="B623"/>
      <c r="C623"/>
      <c r="D623"/>
      <c r="E623"/>
      <c r="F623"/>
      <c r="G623"/>
      <c r="H623"/>
      <c r="I623"/>
      <c r="J623"/>
    </row>
    <row r="624" spans="1:10" x14ac:dyDescent="0.35">
      <c r="A624"/>
      <c r="B624"/>
      <c r="C624"/>
      <c r="D624"/>
      <c r="E624"/>
      <c r="F624"/>
      <c r="G624"/>
      <c r="H624"/>
      <c r="I624"/>
      <c r="J624"/>
    </row>
    <row r="625" spans="1:10" x14ac:dyDescent="0.35">
      <c r="A625"/>
      <c r="B625"/>
      <c r="C625"/>
      <c r="D625"/>
      <c r="E625"/>
      <c r="F625"/>
      <c r="G625"/>
      <c r="H625"/>
      <c r="I625"/>
      <c r="J625"/>
    </row>
    <row r="626" spans="1:10" x14ac:dyDescent="0.35">
      <c r="A626"/>
      <c r="B626"/>
      <c r="C626"/>
      <c r="D626"/>
      <c r="E626"/>
      <c r="F626"/>
      <c r="G626"/>
      <c r="H626"/>
      <c r="I626"/>
      <c r="J626"/>
    </row>
    <row r="627" spans="1:10" x14ac:dyDescent="0.35">
      <c r="A627"/>
      <c r="B627"/>
      <c r="C627"/>
      <c r="D627"/>
      <c r="E627"/>
      <c r="F627"/>
      <c r="G627"/>
      <c r="H627"/>
      <c r="I627"/>
      <c r="J627"/>
    </row>
    <row r="628" spans="1:10" x14ac:dyDescent="0.35">
      <c r="A628"/>
      <c r="B628"/>
      <c r="C628"/>
      <c r="D628"/>
      <c r="E628"/>
      <c r="F628"/>
      <c r="G628"/>
      <c r="H628"/>
      <c r="I628"/>
      <c r="J628"/>
    </row>
    <row r="629" spans="1:10" x14ac:dyDescent="0.35">
      <c r="A629"/>
      <c r="B629"/>
      <c r="C629"/>
      <c r="D629"/>
      <c r="E629"/>
      <c r="F629"/>
      <c r="G629"/>
      <c r="H629"/>
      <c r="I629"/>
      <c r="J629"/>
    </row>
    <row r="630" spans="1:10" x14ac:dyDescent="0.35">
      <c r="A630"/>
      <c r="B630"/>
      <c r="C630"/>
      <c r="D630"/>
      <c r="E630"/>
      <c r="F630"/>
      <c r="G630"/>
      <c r="H630"/>
      <c r="I630"/>
      <c r="J630"/>
    </row>
    <row r="631" spans="1:10" x14ac:dyDescent="0.35">
      <c r="A631"/>
      <c r="B631"/>
      <c r="C631"/>
      <c r="D631"/>
      <c r="E631"/>
      <c r="F631"/>
      <c r="G631"/>
      <c r="H631"/>
      <c r="I631"/>
      <c r="J631"/>
    </row>
    <row r="632" spans="1:10" x14ac:dyDescent="0.35">
      <c r="A632"/>
      <c r="B632"/>
      <c r="C632"/>
      <c r="D632"/>
      <c r="E632"/>
      <c r="F632"/>
      <c r="G632"/>
      <c r="H632"/>
      <c r="I632"/>
      <c r="J632"/>
    </row>
    <row r="633" spans="1:10" x14ac:dyDescent="0.35">
      <c r="A633"/>
      <c r="B633"/>
      <c r="C633"/>
      <c r="D633"/>
      <c r="E633"/>
      <c r="F633"/>
      <c r="G633"/>
      <c r="H633"/>
      <c r="I633"/>
      <c r="J633"/>
    </row>
    <row r="634" spans="1:10" x14ac:dyDescent="0.35">
      <c r="A634"/>
      <c r="B634"/>
      <c r="C634"/>
      <c r="D634"/>
      <c r="E634"/>
      <c r="F634"/>
      <c r="G634"/>
      <c r="H634"/>
      <c r="I634"/>
      <c r="J634"/>
    </row>
    <row r="635" spans="1:10" x14ac:dyDescent="0.35">
      <c r="A635"/>
      <c r="B635"/>
      <c r="C635"/>
      <c r="D635"/>
      <c r="E635"/>
      <c r="F635"/>
      <c r="G635"/>
      <c r="H635"/>
      <c r="I635"/>
      <c r="J635"/>
    </row>
    <row r="636" spans="1:10" x14ac:dyDescent="0.35">
      <c r="A636"/>
      <c r="B636"/>
      <c r="C636"/>
      <c r="D636"/>
      <c r="E636"/>
      <c r="F636"/>
      <c r="G636"/>
      <c r="H636"/>
      <c r="I636"/>
      <c r="J636"/>
    </row>
    <row r="637" spans="1:10" x14ac:dyDescent="0.35">
      <c r="A637"/>
      <c r="B637"/>
      <c r="C637"/>
      <c r="D637"/>
      <c r="E637"/>
      <c r="F637"/>
      <c r="G637"/>
      <c r="H637"/>
      <c r="I637"/>
      <c r="J637"/>
    </row>
    <row r="638" spans="1:10" x14ac:dyDescent="0.35">
      <c r="A638"/>
      <c r="B638"/>
      <c r="C638"/>
      <c r="D638"/>
      <c r="E638"/>
      <c r="F638"/>
      <c r="G638"/>
      <c r="H638"/>
      <c r="I638"/>
      <c r="J638"/>
    </row>
    <row r="639" spans="1:10" x14ac:dyDescent="0.35">
      <c r="A639"/>
      <c r="B639"/>
      <c r="C639"/>
      <c r="D639"/>
      <c r="E639"/>
      <c r="F639"/>
      <c r="G639"/>
      <c r="H639"/>
      <c r="I639"/>
      <c r="J639"/>
    </row>
    <row r="640" spans="1:10" x14ac:dyDescent="0.35">
      <c r="A640"/>
      <c r="B640"/>
      <c r="C640"/>
      <c r="D640"/>
      <c r="E640"/>
      <c r="F640"/>
      <c r="G640"/>
      <c r="H640"/>
      <c r="I640"/>
      <c r="J640"/>
    </row>
    <row r="641" spans="1:10" x14ac:dyDescent="0.35">
      <c r="A641"/>
      <c r="B641"/>
      <c r="C641"/>
      <c r="D641"/>
      <c r="E641"/>
      <c r="F641"/>
      <c r="G641"/>
      <c r="H641"/>
      <c r="I641"/>
      <c r="J641"/>
    </row>
    <row r="642" spans="1:10" x14ac:dyDescent="0.35">
      <c r="A642"/>
      <c r="B642"/>
      <c r="C642"/>
      <c r="D642"/>
      <c r="E642"/>
      <c r="F642"/>
      <c r="G642"/>
      <c r="H642"/>
      <c r="I642"/>
      <c r="J642"/>
    </row>
    <row r="643" spans="1:10" x14ac:dyDescent="0.35">
      <c r="A643"/>
      <c r="B643"/>
      <c r="C643"/>
      <c r="D643"/>
      <c r="E643"/>
      <c r="F643"/>
      <c r="G643"/>
      <c r="H643"/>
      <c r="I643"/>
      <c r="J643"/>
    </row>
    <row r="644" spans="1:10" x14ac:dyDescent="0.35">
      <c r="A644"/>
      <c r="B644"/>
      <c r="C644"/>
      <c r="D644"/>
      <c r="E644"/>
      <c r="F644"/>
      <c r="G644"/>
      <c r="H644"/>
      <c r="I644"/>
      <c r="J644"/>
    </row>
    <row r="645" spans="1:10" x14ac:dyDescent="0.35">
      <c r="A645"/>
      <c r="B645"/>
      <c r="C645"/>
      <c r="D645"/>
      <c r="E645"/>
      <c r="F645"/>
      <c r="G645"/>
      <c r="H645"/>
      <c r="I645"/>
      <c r="J645"/>
    </row>
    <row r="646" spans="1:10" x14ac:dyDescent="0.35">
      <c r="A646"/>
      <c r="B646"/>
      <c r="C646"/>
      <c r="D646"/>
      <c r="E646"/>
      <c r="F646"/>
      <c r="G646"/>
      <c r="H646"/>
      <c r="I646"/>
      <c r="J646"/>
    </row>
    <row r="647" spans="1:10" x14ac:dyDescent="0.35">
      <c r="A647"/>
      <c r="B647"/>
      <c r="C647"/>
      <c r="D647"/>
      <c r="E647"/>
      <c r="F647"/>
      <c r="G647"/>
      <c r="H647"/>
      <c r="I647"/>
      <c r="J647"/>
    </row>
    <row r="648" spans="1:10" x14ac:dyDescent="0.35">
      <c r="A648"/>
      <c r="B648"/>
      <c r="C648"/>
      <c r="D648"/>
      <c r="E648"/>
      <c r="F648"/>
      <c r="G648"/>
      <c r="H648"/>
      <c r="I648"/>
      <c r="J648"/>
    </row>
    <row r="649" spans="1:10" x14ac:dyDescent="0.35">
      <c r="A649"/>
      <c r="B649"/>
      <c r="C649"/>
      <c r="D649"/>
      <c r="E649"/>
      <c r="F649"/>
      <c r="G649"/>
      <c r="H649"/>
      <c r="I649"/>
      <c r="J649"/>
    </row>
    <row r="650" spans="1:10" x14ac:dyDescent="0.35">
      <c r="A650"/>
      <c r="B650"/>
      <c r="C650"/>
      <c r="D650"/>
      <c r="E650"/>
      <c r="F650"/>
      <c r="G650"/>
      <c r="H650"/>
      <c r="I650"/>
      <c r="J650"/>
    </row>
    <row r="651" spans="1:10" x14ac:dyDescent="0.35">
      <c r="A651"/>
      <c r="B651"/>
      <c r="C651"/>
      <c r="D651"/>
      <c r="E651"/>
      <c r="F651"/>
      <c r="G651"/>
      <c r="H651"/>
      <c r="I651"/>
      <c r="J651"/>
    </row>
    <row r="652" spans="1:10" x14ac:dyDescent="0.35">
      <c r="A652"/>
      <c r="B652"/>
      <c r="C652"/>
      <c r="D652"/>
      <c r="E652"/>
      <c r="F652"/>
      <c r="G652"/>
      <c r="H652"/>
      <c r="I652"/>
      <c r="J652"/>
    </row>
    <row r="653" spans="1:10" x14ac:dyDescent="0.35">
      <c r="A653"/>
      <c r="B653"/>
      <c r="C653"/>
      <c r="D653"/>
      <c r="E653"/>
      <c r="F653"/>
      <c r="G653"/>
      <c r="H653"/>
      <c r="I653"/>
      <c r="J653"/>
    </row>
    <row r="654" spans="1:10" x14ac:dyDescent="0.35">
      <c r="A654"/>
      <c r="B654"/>
      <c r="C654"/>
      <c r="D654"/>
      <c r="E654"/>
      <c r="F654"/>
      <c r="G654"/>
      <c r="H654"/>
      <c r="I654"/>
      <c r="J654"/>
    </row>
    <row r="655" spans="1:10" x14ac:dyDescent="0.35">
      <c r="A655"/>
      <c r="B655"/>
      <c r="C655"/>
      <c r="D655"/>
      <c r="E655"/>
      <c r="F655"/>
      <c r="G655"/>
      <c r="H655"/>
      <c r="I655"/>
      <c r="J655"/>
    </row>
    <row r="656" spans="1:10" x14ac:dyDescent="0.35">
      <c r="A656"/>
      <c r="B656"/>
      <c r="C656"/>
      <c r="D656"/>
      <c r="E656"/>
      <c r="F656"/>
      <c r="G656"/>
      <c r="H656"/>
      <c r="I656"/>
      <c r="J656"/>
    </row>
    <row r="657" spans="1:10" x14ac:dyDescent="0.35">
      <c r="A657"/>
      <c r="B657"/>
      <c r="C657"/>
      <c r="D657"/>
      <c r="E657"/>
      <c r="F657"/>
      <c r="G657"/>
      <c r="H657"/>
      <c r="I657"/>
      <c r="J657"/>
    </row>
    <row r="658" spans="1:10" x14ac:dyDescent="0.35">
      <c r="A658"/>
      <c r="B658"/>
      <c r="C658"/>
      <c r="D658"/>
      <c r="E658"/>
      <c r="F658"/>
      <c r="G658"/>
      <c r="H658"/>
      <c r="I658"/>
      <c r="J658"/>
    </row>
    <row r="659" spans="1:10" x14ac:dyDescent="0.35">
      <c r="A659"/>
      <c r="B659"/>
      <c r="C659"/>
      <c r="D659"/>
      <c r="E659"/>
      <c r="F659"/>
      <c r="G659"/>
      <c r="H659"/>
      <c r="I659"/>
      <c r="J659"/>
    </row>
    <row r="660" spans="1:10" x14ac:dyDescent="0.35">
      <c r="A660"/>
      <c r="B660"/>
      <c r="C660"/>
      <c r="D660"/>
      <c r="E660"/>
      <c r="F660"/>
      <c r="G660"/>
      <c r="H660"/>
      <c r="I660"/>
      <c r="J660"/>
    </row>
    <row r="661" spans="1:10" x14ac:dyDescent="0.35">
      <c r="A661"/>
      <c r="B661"/>
      <c r="C661"/>
      <c r="D661"/>
      <c r="E661"/>
      <c r="F661"/>
      <c r="G661"/>
      <c r="H661"/>
      <c r="I661"/>
      <c r="J661"/>
    </row>
    <row r="662" spans="1:10" x14ac:dyDescent="0.35">
      <c r="A662"/>
      <c r="B662"/>
      <c r="C662"/>
      <c r="D662"/>
      <c r="E662"/>
      <c r="F662"/>
      <c r="G662"/>
      <c r="H662"/>
      <c r="I662"/>
      <c r="J662"/>
    </row>
    <row r="663" spans="1:10" x14ac:dyDescent="0.35">
      <c r="A663"/>
      <c r="B663"/>
      <c r="C663"/>
      <c r="D663"/>
      <c r="E663"/>
      <c r="F663"/>
      <c r="G663"/>
      <c r="H663"/>
      <c r="I663"/>
      <c r="J663"/>
    </row>
    <row r="664" spans="1:10" x14ac:dyDescent="0.35">
      <c r="A664"/>
      <c r="B664"/>
      <c r="C664"/>
      <c r="D664"/>
      <c r="E664"/>
      <c r="F664"/>
      <c r="G664"/>
      <c r="H664"/>
      <c r="I664"/>
      <c r="J664"/>
    </row>
    <row r="665" spans="1:10" x14ac:dyDescent="0.35">
      <c r="A665"/>
      <c r="B665"/>
      <c r="C665"/>
      <c r="D665"/>
      <c r="E665"/>
      <c r="F665"/>
      <c r="G665"/>
      <c r="H665"/>
      <c r="I665"/>
      <c r="J665"/>
    </row>
    <row r="666" spans="1:10" x14ac:dyDescent="0.35">
      <c r="A666"/>
      <c r="B666"/>
      <c r="C666"/>
      <c r="D666"/>
      <c r="E666"/>
      <c r="F666"/>
      <c r="G666"/>
      <c r="H666"/>
      <c r="I666"/>
      <c r="J666"/>
    </row>
    <row r="667" spans="1:10" x14ac:dyDescent="0.35">
      <c r="A667"/>
      <c r="B667"/>
      <c r="C667"/>
      <c r="D667"/>
      <c r="E667"/>
      <c r="F667"/>
      <c r="G667"/>
      <c r="H667"/>
      <c r="I667"/>
      <c r="J667"/>
    </row>
    <row r="668" spans="1:10" x14ac:dyDescent="0.35">
      <c r="A668"/>
      <c r="B668"/>
      <c r="C668"/>
      <c r="D668"/>
      <c r="E668"/>
      <c r="F668"/>
      <c r="G668"/>
      <c r="H668"/>
      <c r="I668"/>
      <c r="J668"/>
    </row>
    <row r="669" spans="1:10" x14ac:dyDescent="0.35">
      <c r="A669"/>
      <c r="B669"/>
      <c r="C669"/>
      <c r="D669"/>
      <c r="E669"/>
      <c r="F669"/>
      <c r="G669"/>
      <c r="H669"/>
      <c r="I669"/>
      <c r="J669"/>
    </row>
    <row r="670" spans="1:10" x14ac:dyDescent="0.35">
      <c r="A670"/>
      <c r="B670"/>
      <c r="C670"/>
      <c r="D670"/>
      <c r="E670"/>
      <c r="F670"/>
      <c r="G670"/>
      <c r="H670"/>
      <c r="I670"/>
      <c r="J670"/>
    </row>
    <row r="671" spans="1:10" x14ac:dyDescent="0.35">
      <c r="A671"/>
      <c r="B671"/>
      <c r="C671"/>
      <c r="D671"/>
      <c r="E671"/>
      <c r="F671"/>
      <c r="G671"/>
      <c r="H671"/>
      <c r="I671"/>
      <c r="J671"/>
    </row>
    <row r="672" spans="1:10" x14ac:dyDescent="0.35">
      <c r="A672"/>
      <c r="B672"/>
      <c r="C672"/>
      <c r="D672"/>
      <c r="E672"/>
      <c r="F672"/>
      <c r="G672"/>
      <c r="H672"/>
      <c r="I672"/>
      <c r="J672"/>
    </row>
    <row r="673" spans="1:10" x14ac:dyDescent="0.35">
      <c r="A673"/>
      <c r="B673"/>
      <c r="C673"/>
      <c r="D673"/>
      <c r="E673"/>
      <c r="F673"/>
      <c r="G673"/>
      <c r="H673"/>
      <c r="I673"/>
      <c r="J673"/>
    </row>
    <row r="674" spans="1:10" x14ac:dyDescent="0.35">
      <c r="A674"/>
      <c r="B674"/>
      <c r="C674"/>
      <c r="D674"/>
      <c r="E674"/>
      <c r="F674"/>
      <c r="G674"/>
      <c r="H674"/>
      <c r="I674"/>
      <c r="J674"/>
    </row>
    <row r="675" spans="1:10" x14ac:dyDescent="0.35">
      <c r="A675"/>
      <c r="B675"/>
      <c r="C675"/>
      <c r="D675"/>
      <c r="E675"/>
      <c r="F675"/>
      <c r="G675"/>
      <c r="H675"/>
      <c r="I675"/>
      <c r="J675"/>
    </row>
    <row r="676" spans="1:10" x14ac:dyDescent="0.35">
      <c r="A676"/>
      <c r="B676"/>
      <c r="C676"/>
      <c r="D676"/>
      <c r="E676"/>
      <c r="F676"/>
      <c r="G676"/>
      <c r="H676"/>
      <c r="I676"/>
      <c r="J676"/>
    </row>
    <row r="677" spans="1:10" x14ac:dyDescent="0.35">
      <c r="A677"/>
      <c r="B677"/>
      <c r="C677"/>
      <c r="D677"/>
      <c r="E677"/>
      <c r="F677"/>
      <c r="G677"/>
      <c r="H677"/>
      <c r="I677"/>
      <c r="J677"/>
    </row>
    <row r="678" spans="1:10" x14ac:dyDescent="0.35">
      <c r="A678"/>
      <c r="B678"/>
      <c r="C678"/>
      <c r="D678"/>
      <c r="E678"/>
      <c r="F678"/>
      <c r="G678"/>
      <c r="H678"/>
      <c r="I678"/>
      <c r="J678"/>
    </row>
    <row r="679" spans="1:10" x14ac:dyDescent="0.35">
      <c r="A679"/>
      <c r="B679"/>
      <c r="C679"/>
      <c r="D679"/>
      <c r="E679"/>
      <c r="F679"/>
      <c r="G679"/>
      <c r="H679"/>
      <c r="I679"/>
      <c r="J679"/>
    </row>
    <row r="680" spans="1:10" x14ac:dyDescent="0.35">
      <c r="A680"/>
      <c r="B680"/>
      <c r="C680"/>
      <c r="D680"/>
      <c r="E680"/>
      <c r="F680"/>
      <c r="G680"/>
      <c r="H680"/>
      <c r="I680"/>
      <c r="J680"/>
    </row>
    <row r="681" spans="1:10" x14ac:dyDescent="0.35">
      <c r="A681"/>
      <c r="B681"/>
      <c r="C681"/>
      <c r="D681"/>
      <c r="E681"/>
      <c r="F681"/>
      <c r="G681"/>
      <c r="H681"/>
      <c r="I681"/>
      <c r="J681"/>
    </row>
    <row r="682" spans="1:10" x14ac:dyDescent="0.35">
      <c r="A682"/>
      <c r="B682"/>
      <c r="C682"/>
      <c r="D682"/>
      <c r="E682"/>
      <c r="F682"/>
      <c r="G682"/>
      <c r="H682"/>
      <c r="I682"/>
      <c r="J682"/>
    </row>
    <row r="683" spans="1:10" x14ac:dyDescent="0.35">
      <c r="A683"/>
      <c r="B683"/>
      <c r="C683"/>
      <c r="D683"/>
      <c r="E683"/>
      <c r="F683"/>
      <c r="G683"/>
      <c r="H683"/>
      <c r="I683"/>
      <c r="J683"/>
    </row>
    <row r="684" spans="1:10" x14ac:dyDescent="0.35">
      <c r="A684"/>
      <c r="B684"/>
      <c r="C684"/>
      <c r="D684"/>
      <c r="E684"/>
      <c r="F684"/>
      <c r="G684"/>
      <c r="H684"/>
      <c r="I684"/>
      <c r="J684"/>
    </row>
    <row r="685" spans="1:10" x14ac:dyDescent="0.35">
      <c r="A685"/>
      <c r="B685"/>
      <c r="C685"/>
      <c r="D685"/>
      <c r="E685"/>
      <c r="F685"/>
      <c r="G685"/>
      <c r="H685"/>
      <c r="I685"/>
      <c r="J685"/>
    </row>
    <row r="686" spans="1:10" x14ac:dyDescent="0.35">
      <c r="A686"/>
      <c r="B686"/>
      <c r="C686"/>
      <c r="D686"/>
      <c r="E686"/>
      <c r="F686"/>
      <c r="G686"/>
      <c r="H686"/>
      <c r="I686"/>
      <c r="J686"/>
    </row>
    <row r="687" spans="1:10" x14ac:dyDescent="0.35">
      <c r="A687"/>
      <c r="B687"/>
      <c r="C687"/>
      <c r="D687"/>
      <c r="E687"/>
      <c r="F687"/>
      <c r="G687"/>
      <c r="H687"/>
      <c r="I687"/>
      <c r="J687"/>
    </row>
    <row r="688" spans="1:10" x14ac:dyDescent="0.35">
      <c r="A688"/>
      <c r="B688"/>
      <c r="C688"/>
      <c r="D688"/>
      <c r="E688"/>
      <c r="F688"/>
      <c r="G688"/>
      <c r="H688"/>
      <c r="I688"/>
      <c r="J688"/>
    </row>
    <row r="689" spans="1:10" x14ac:dyDescent="0.35">
      <c r="A689"/>
      <c r="B689"/>
      <c r="C689"/>
      <c r="D689"/>
      <c r="E689"/>
      <c r="F689"/>
      <c r="G689"/>
      <c r="H689"/>
      <c r="I689"/>
      <c r="J689"/>
    </row>
    <row r="690" spans="1:10" x14ac:dyDescent="0.35">
      <c r="A690"/>
      <c r="B690"/>
      <c r="C690"/>
      <c r="D690"/>
      <c r="E690"/>
      <c r="F690"/>
      <c r="G690"/>
      <c r="H690"/>
      <c r="I690"/>
      <c r="J690"/>
    </row>
    <row r="691" spans="1:10" x14ac:dyDescent="0.35">
      <c r="A691"/>
      <c r="B691"/>
      <c r="C691"/>
      <c r="D691"/>
      <c r="E691"/>
      <c r="F691"/>
      <c r="G691"/>
      <c r="H691"/>
      <c r="I691"/>
      <c r="J691"/>
    </row>
    <row r="692" spans="1:10" x14ac:dyDescent="0.35">
      <c r="A692"/>
      <c r="B692"/>
      <c r="C692"/>
      <c r="D692"/>
      <c r="E692"/>
      <c r="F692"/>
      <c r="G692"/>
      <c r="H692"/>
      <c r="I692"/>
      <c r="J692"/>
    </row>
    <row r="693" spans="1:10" x14ac:dyDescent="0.35">
      <c r="A693"/>
      <c r="B693"/>
      <c r="C693"/>
      <c r="D693"/>
      <c r="E693"/>
      <c r="F693"/>
      <c r="G693"/>
      <c r="H693"/>
      <c r="I693"/>
      <c r="J693"/>
    </row>
    <row r="694" spans="1:10" x14ac:dyDescent="0.35">
      <c r="A694"/>
      <c r="B694"/>
      <c r="C694"/>
      <c r="D694"/>
      <c r="E694"/>
      <c r="F694"/>
      <c r="G694"/>
      <c r="H694"/>
      <c r="I694"/>
      <c r="J694"/>
    </row>
    <row r="695" spans="1:10" x14ac:dyDescent="0.35">
      <c r="A695"/>
      <c r="B695"/>
      <c r="C695"/>
      <c r="D695"/>
      <c r="E695"/>
      <c r="F695"/>
      <c r="G695"/>
      <c r="H695"/>
      <c r="I695"/>
      <c r="J695"/>
    </row>
    <row r="696" spans="1:10" x14ac:dyDescent="0.35">
      <c r="A696"/>
      <c r="B696"/>
      <c r="C696"/>
      <c r="D696"/>
      <c r="E696"/>
      <c r="F696"/>
      <c r="G696"/>
      <c r="H696"/>
      <c r="I696"/>
      <c r="J696"/>
    </row>
    <row r="697" spans="1:10" x14ac:dyDescent="0.35">
      <c r="A697"/>
      <c r="B697"/>
      <c r="C697"/>
      <c r="D697"/>
      <c r="E697"/>
      <c r="F697"/>
      <c r="G697"/>
      <c r="H697"/>
      <c r="I697"/>
      <c r="J697"/>
    </row>
    <row r="698" spans="1:10" x14ac:dyDescent="0.35">
      <c r="A698"/>
      <c r="B698"/>
      <c r="C698"/>
      <c r="D698"/>
      <c r="E698"/>
      <c r="F698"/>
      <c r="G698"/>
      <c r="H698"/>
      <c r="I698"/>
      <c r="J698"/>
    </row>
    <row r="699" spans="1:10" x14ac:dyDescent="0.35">
      <c r="A699"/>
      <c r="B699"/>
      <c r="C699"/>
      <c r="D699"/>
      <c r="E699"/>
      <c r="F699"/>
      <c r="G699"/>
      <c r="H699"/>
      <c r="I699"/>
      <c r="J699"/>
    </row>
    <row r="700" spans="1:10" x14ac:dyDescent="0.35">
      <c r="A700"/>
      <c r="B700"/>
      <c r="C700"/>
      <c r="D700"/>
      <c r="E700"/>
      <c r="F700"/>
      <c r="G700"/>
      <c r="H700"/>
      <c r="I700"/>
      <c r="J700"/>
    </row>
    <row r="701" spans="1:10" x14ac:dyDescent="0.35">
      <c r="A701"/>
      <c r="B701"/>
      <c r="C701"/>
      <c r="D701"/>
      <c r="E701"/>
      <c r="F701"/>
      <c r="G701"/>
      <c r="H701"/>
      <c r="I701"/>
      <c r="J701"/>
    </row>
    <row r="702" spans="1:10" x14ac:dyDescent="0.35">
      <c r="A702"/>
      <c r="B702"/>
      <c r="C702"/>
      <c r="D702"/>
      <c r="E702"/>
      <c r="F702"/>
      <c r="G702"/>
      <c r="H702"/>
      <c r="I702"/>
      <c r="J702"/>
    </row>
    <row r="703" spans="1:10" x14ac:dyDescent="0.35">
      <c r="A703"/>
      <c r="B703"/>
      <c r="C703"/>
      <c r="D703"/>
      <c r="E703"/>
      <c r="F703"/>
      <c r="G703"/>
      <c r="H703"/>
      <c r="I703"/>
      <c r="J703"/>
    </row>
    <row r="704" spans="1:10" x14ac:dyDescent="0.35">
      <c r="A704"/>
      <c r="B704"/>
      <c r="C704"/>
      <c r="D704"/>
      <c r="E704"/>
      <c r="F704"/>
      <c r="G704"/>
      <c r="H704"/>
      <c r="I704"/>
      <c r="J704"/>
    </row>
    <row r="705" spans="1:10" x14ac:dyDescent="0.35">
      <c r="A705"/>
      <c r="B705"/>
      <c r="C705"/>
      <c r="D705"/>
      <c r="E705"/>
      <c r="F705"/>
      <c r="G705"/>
      <c r="H705"/>
      <c r="I705"/>
      <c r="J705"/>
    </row>
    <row r="706" spans="1:10" x14ac:dyDescent="0.35">
      <c r="A706"/>
      <c r="B706"/>
      <c r="C706"/>
      <c r="D706"/>
      <c r="E706"/>
      <c r="F706"/>
      <c r="G706"/>
      <c r="H706"/>
      <c r="I706"/>
      <c r="J706"/>
    </row>
    <row r="707" spans="1:10" x14ac:dyDescent="0.35">
      <c r="A707"/>
      <c r="B707"/>
      <c r="C707"/>
      <c r="D707"/>
      <c r="E707"/>
      <c r="F707"/>
      <c r="G707"/>
      <c r="H707"/>
      <c r="I707"/>
      <c r="J707"/>
    </row>
    <row r="708" spans="1:10" x14ac:dyDescent="0.35">
      <c r="A708"/>
      <c r="B708"/>
      <c r="C708"/>
      <c r="D708"/>
      <c r="E708"/>
      <c r="F708"/>
      <c r="G708"/>
      <c r="H708"/>
      <c r="I708"/>
      <c r="J708"/>
    </row>
    <row r="709" spans="1:10" x14ac:dyDescent="0.35">
      <c r="A709"/>
      <c r="B709"/>
      <c r="C709"/>
      <c r="D709"/>
      <c r="E709"/>
      <c r="F709"/>
      <c r="G709"/>
      <c r="H709"/>
      <c r="I709"/>
      <c r="J709"/>
    </row>
    <row r="710" spans="1:10" x14ac:dyDescent="0.35">
      <c r="A710"/>
      <c r="B710"/>
      <c r="C710"/>
      <c r="D710"/>
      <c r="E710"/>
      <c r="F710"/>
      <c r="G710"/>
      <c r="H710"/>
      <c r="I710"/>
      <c r="J710"/>
    </row>
    <row r="711" spans="1:10" x14ac:dyDescent="0.35">
      <c r="A711"/>
      <c r="B711"/>
      <c r="C711"/>
      <c r="D711"/>
      <c r="E711"/>
      <c r="F711"/>
      <c r="G711"/>
      <c r="H711"/>
      <c r="I711"/>
      <c r="J711"/>
    </row>
    <row r="712" spans="1:10" x14ac:dyDescent="0.35">
      <c r="A712"/>
      <c r="B712"/>
      <c r="C712"/>
      <c r="D712"/>
      <c r="E712"/>
      <c r="F712"/>
      <c r="G712"/>
      <c r="H712"/>
      <c r="I712"/>
      <c r="J712"/>
    </row>
    <row r="713" spans="1:10" x14ac:dyDescent="0.35">
      <c r="A713"/>
      <c r="B713"/>
      <c r="C713"/>
      <c r="D713"/>
      <c r="E713"/>
      <c r="F713"/>
      <c r="G713"/>
      <c r="H713"/>
      <c r="I713"/>
      <c r="J713"/>
    </row>
    <row r="714" spans="1:10" x14ac:dyDescent="0.35">
      <c r="A714"/>
      <c r="B714"/>
      <c r="C714"/>
      <c r="D714"/>
      <c r="E714"/>
      <c r="F714"/>
      <c r="G714"/>
      <c r="H714"/>
      <c r="I714"/>
      <c r="J714"/>
    </row>
    <row r="715" spans="1:10" x14ac:dyDescent="0.35">
      <c r="A715"/>
      <c r="B715"/>
      <c r="C715"/>
      <c r="D715"/>
      <c r="E715"/>
      <c r="F715"/>
      <c r="G715"/>
      <c r="H715"/>
      <c r="I715"/>
      <c r="J715"/>
    </row>
    <row r="716" spans="1:10" x14ac:dyDescent="0.35">
      <c r="A716"/>
      <c r="B716"/>
      <c r="C716"/>
      <c r="D716"/>
      <c r="E716"/>
      <c r="F716"/>
      <c r="G716"/>
      <c r="H716"/>
      <c r="I716"/>
      <c r="J716"/>
    </row>
    <row r="717" spans="1:10" x14ac:dyDescent="0.35">
      <c r="A717"/>
      <c r="B717"/>
      <c r="C717"/>
      <c r="D717"/>
      <c r="E717"/>
      <c r="F717"/>
      <c r="G717"/>
      <c r="H717"/>
      <c r="I717"/>
      <c r="J717"/>
    </row>
    <row r="718" spans="1:10" x14ac:dyDescent="0.35">
      <c r="A718"/>
      <c r="B718"/>
      <c r="C718"/>
      <c r="D718"/>
      <c r="E718"/>
      <c r="F718"/>
      <c r="G718"/>
      <c r="H718"/>
      <c r="I718"/>
      <c r="J718"/>
    </row>
    <row r="719" spans="1:10" x14ac:dyDescent="0.35">
      <c r="A719"/>
      <c r="B719"/>
      <c r="C719"/>
      <c r="D719"/>
      <c r="E719"/>
      <c r="F719"/>
      <c r="G719"/>
      <c r="H719"/>
      <c r="I719"/>
      <c r="J719"/>
    </row>
    <row r="720" spans="1:10" x14ac:dyDescent="0.35">
      <c r="A720"/>
      <c r="B720"/>
      <c r="C720"/>
      <c r="D720"/>
      <c r="E720"/>
      <c r="F720"/>
      <c r="G720"/>
      <c r="H720"/>
      <c r="I720"/>
      <c r="J720"/>
    </row>
    <row r="721" spans="1:10" x14ac:dyDescent="0.35">
      <c r="A721"/>
      <c r="B721"/>
      <c r="C721"/>
      <c r="D721"/>
      <c r="E721"/>
      <c r="F721"/>
      <c r="G721"/>
      <c r="H721"/>
      <c r="I721"/>
      <c r="J721"/>
    </row>
    <row r="722" spans="1:10" x14ac:dyDescent="0.35">
      <c r="A722"/>
      <c r="B722"/>
      <c r="C722"/>
      <c r="D722"/>
      <c r="E722"/>
      <c r="F722"/>
      <c r="G722"/>
      <c r="H722"/>
      <c r="I722"/>
      <c r="J722"/>
    </row>
    <row r="723" spans="1:10" x14ac:dyDescent="0.35">
      <c r="A723"/>
      <c r="B723"/>
      <c r="C723"/>
      <c r="D723"/>
      <c r="E723"/>
      <c r="F723"/>
      <c r="G723"/>
      <c r="H723"/>
      <c r="I723"/>
      <c r="J723"/>
    </row>
    <row r="724" spans="1:10" x14ac:dyDescent="0.35">
      <c r="A724"/>
      <c r="B724"/>
      <c r="C724"/>
      <c r="D724"/>
      <c r="E724"/>
      <c r="F724"/>
      <c r="G724"/>
      <c r="H724"/>
      <c r="I724"/>
      <c r="J724"/>
    </row>
    <row r="725" spans="1:10" x14ac:dyDescent="0.35">
      <c r="A725"/>
      <c r="B725"/>
      <c r="C725"/>
      <c r="D725"/>
      <c r="E725"/>
      <c r="F725"/>
      <c r="G725"/>
      <c r="H725"/>
      <c r="I725"/>
      <c r="J725"/>
    </row>
    <row r="726" spans="1:10" x14ac:dyDescent="0.35">
      <c r="A726"/>
      <c r="B726"/>
      <c r="C726"/>
      <c r="D726"/>
      <c r="E726"/>
      <c r="F726"/>
      <c r="G726"/>
      <c r="H726"/>
      <c r="I726"/>
      <c r="J726"/>
    </row>
    <row r="727" spans="1:10" x14ac:dyDescent="0.35">
      <c r="A727"/>
      <c r="B727"/>
      <c r="C727"/>
      <c r="D727"/>
      <c r="E727"/>
      <c r="F727"/>
      <c r="G727"/>
      <c r="H727"/>
      <c r="I727"/>
      <c r="J727"/>
    </row>
    <row r="728" spans="1:10" x14ac:dyDescent="0.35">
      <c r="A728"/>
      <c r="B728"/>
      <c r="C728"/>
      <c r="D728"/>
      <c r="E728"/>
      <c r="F728"/>
      <c r="G728"/>
      <c r="H728"/>
      <c r="I728"/>
      <c r="J728"/>
    </row>
    <row r="729" spans="1:10" x14ac:dyDescent="0.35">
      <c r="A729"/>
      <c r="B729"/>
      <c r="C729"/>
      <c r="D729"/>
      <c r="E729"/>
      <c r="F729"/>
      <c r="G729"/>
      <c r="H729"/>
      <c r="I729"/>
      <c r="J729"/>
    </row>
    <row r="730" spans="1:10" x14ac:dyDescent="0.35">
      <c r="A730"/>
      <c r="B730"/>
      <c r="C730"/>
      <c r="D730"/>
      <c r="E730"/>
      <c r="F730"/>
      <c r="G730"/>
      <c r="H730"/>
      <c r="I730"/>
      <c r="J730"/>
    </row>
    <row r="731" spans="1:10" x14ac:dyDescent="0.35">
      <c r="A731"/>
      <c r="B731"/>
      <c r="C731"/>
      <c r="D731"/>
      <c r="E731"/>
      <c r="F731"/>
      <c r="G731"/>
      <c r="H731"/>
      <c r="I731"/>
      <c r="J731"/>
    </row>
    <row r="732" spans="1:10" x14ac:dyDescent="0.35">
      <c r="A732"/>
      <c r="B732"/>
      <c r="C732"/>
      <c r="D732"/>
      <c r="E732"/>
      <c r="F732"/>
      <c r="G732"/>
      <c r="H732"/>
      <c r="I732"/>
      <c r="J732"/>
    </row>
    <row r="733" spans="1:10" x14ac:dyDescent="0.35">
      <c r="A733"/>
      <c r="B733"/>
      <c r="C733"/>
      <c r="D733"/>
      <c r="E733"/>
      <c r="F733"/>
      <c r="G733"/>
      <c r="H733"/>
      <c r="I733"/>
      <c r="J733"/>
    </row>
    <row r="734" spans="1:10" x14ac:dyDescent="0.35">
      <c r="A734"/>
      <c r="B734"/>
      <c r="C734"/>
      <c r="D734"/>
      <c r="E734"/>
      <c r="F734"/>
      <c r="G734"/>
      <c r="H734"/>
      <c r="I734"/>
      <c r="J734"/>
    </row>
    <row r="735" spans="1:10" x14ac:dyDescent="0.35">
      <c r="A735"/>
      <c r="B735"/>
      <c r="C735"/>
      <c r="D735"/>
      <c r="E735"/>
      <c r="F735"/>
      <c r="G735"/>
      <c r="H735"/>
      <c r="I735"/>
      <c r="J735"/>
    </row>
    <row r="736" spans="1:10" x14ac:dyDescent="0.35">
      <c r="A736"/>
      <c r="B736"/>
      <c r="C736"/>
      <c r="D736"/>
      <c r="E736"/>
      <c r="F736"/>
      <c r="G736"/>
      <c r="H736"/>
      <c r="I736"/>
      <c r="J736"/>
    </row>
    <row r="737" spans="1:10" x14ac:dyDescent="0.35">
      <c r="A737"/>
      <c r="B737"/>
      <c r="C737"/>
      <c r="D737"/>
      <c r="E737"/>
      <c r="F737"/>
      <c r="G737"/>
      <c r="H737"/>
      <c r="I737"/>
      <c r="J737"/>
    </row>
    <row r="738" spans="1:10" x14ac:dyDescent="0.35">
      <c r="A738"/>
      <c r="B738"/>
      <c r="C738"/>
      <c r="D738"/>
      <c r="E738"/>
      <c r="F738"/>
      <c r="G738"/>
      <c r="H738"/>
      <c r="I738"/>
      <c r="J738"/>
    </row>
    <row r="739" spans="1:10" x14ac:dyDescent="0.35">
      <c r="A739"/>
      <c r="B739"/>
      <c r="C739"/>
      <c r="D739"/>
      <c r="E739"/>
      <c r="F739"/>
      <c r="G739"/>
      <c r="H739"/>
      <c r="I739"/>
      <c r="J739"/>
    </row>
    <row r="740" spans="1:10" x14ac:dyDescent="0.35">
      <c r="A740"/>
      <c r="B740"/>
      <c r="C740"/>
      <c r="D740"/>
      <c r="E740"/>
      <c r="F740"/>
      <c r="G740"/>
      <c r="H740"/>
      <c r="I740"/>
      <c r="J740"/>
    </row>
    <row r="741" spans="1:10" x14ac:dyDescent="0.35">
      <c r="A741"/>
      <c r="B741"/>
      <c r="C741"/>
      <c r="D741"/>
      <c r="E741"/>
      <c r="F741"/>
      <c r="G741"/>
      <c r="H741"/>
      <c r="I741"/>
      <c r="J741"/>
    </row>
    <row r="742" spans="1:10" x14ac:dyDescent="0.35">
      <c r="A742"/>
      <c r="B742"/>
      <c r="C742"/>
      <c r="D742"/>
      <c r="E742"/>
      <c r="F742"/>
      <c r="G742"/>
      <c r="H742"/>
      <c r="I742"/>
      <c r="J742"/>
    </row>
    <row r="743" spans="1:10" x14ac:dyDescent="0.35">
      <c r="A743"/>
      <c r="B743"/>
      <c r="C743"/>
      <c r="D743"/>
      <c r="E743"/>
      <c r="F743"/>
      <c r="G743"/>
      <c r="H743"/>
      <c r="I743"/>
      <c r="J743"/>
    </row>
    <row r="744" spans="1:10" x14ac:dyDescent="0.35">
      <c r="A744"/>
      <c r="B744"/>
      <c r="C744"/>
      <c r="D744"/>
      <c r="E744"/>
      <c r="F744"/>
      <c r="G744"/>
      <c r="H744"/>
      <c r="I744"/>
      <c r="J744"/>
    </row>
    <row r="745" spans="1:10" x14ac:dyDescent="0.35">
      <c r="A745"/>
      <c r="B745"/>
      <c r="C745"/>
      <c r="D745"/>
      <c r="E745"/>
      <c r="F745"/>
      <c r="G745"/>
      <c r="H745"/>
      <c r="I745"/>
      <c r="J745"/>
    </row>
    <row r="746" spans="1:10" x14ac:dyDescent="0.35">
      <c r="A746"/>
      <c r="B746"/>
      <c r="C746"/>
      <c r="D746"/>
      <c r="E746"/>
      <c r="F746"/>
      <c r="G746"/>
      <c r="H746"/>
      <c r="I746"/>
      <c r="J746"/>
    </row>
    <row r="747" spans="1:10" x14ac:dyDescent="0.35">
      <c r="A747"/>
      <c r="B747"/>
      <c r="C747"/>
      <c r="D747"/>
      <c r="E747"/>
      <c r="F747"/>
      <c r="G747"/>
      <c r="H747"/>
      <c r="I747"/>
      <c r="J747"/>
    </row>
    <row r="748" spans="1:10" x14ac:dyDescent="0.35">
      <c r="A748"/>
      <c r="B748"/>
      <c r="C748"/>
      <c r="D748"/>
      <c r="E748"/>
      <c r="F748"/>
      <c r="G748"/>
      <c r="H748"/>
      <c r="I748"/>
      <c r="J748"/>
    </row>
    <row r="749" spans="1:10" x14ac:dyDescent="0.35">
      <c r="A749"/>
      <c r="B749"/>
      <c r="C749"/>
      <c r="D749"/>
      <c r="E749"/>
      <c r="F749"/>
      <c r="G749"/>
      <c r="H749"/>
      <c r="I749"/>
      <c r="J749"/>
    </row>
    <row r="750" spans="1:10" x14ac:dyDescent="0.35">
      <c r="A750"/>
      <c r="B750"/>
      <c r="C750"/>
      <c r="D750"/>
      <c r="E750"/>
      <c r="F750"/>
      <c r="G750"/>
      <c r="H750"/>
      <c r="I750"/>
      <c r="J750"/>
    </row>
    <row r="751" spans="1:10" x14ac:dyDescent="0.35">
      <c r="A751"/>
      <c r="B751"/>
      <c r="C751"/>
      <c r="D751"/>
      <c r="E751"/>
      <c r="F751"/>
      <c r="G751"/>
      <c r="H751"/>
      <c r="I751"/>
      <c r="J751"/>
    </row>
    <row r="752" spans="1:10" x14ac:dyDescent="0.35">
      <c r="A752"/>
      <c r="B752"/>
      <c r="C752"/>
      <c r="D752"/>
      <c r="E752"/>
      <c r="F752"/>
      <c r="G752"/>
      <c r="H752"/>
      <c r="I752"/>
      <c r="J752"/>
    </row>
    <row r="753" spans="1:10" x14ac:dyDescent="0.35">
      <c r="A753"/>
      <c r="B753"/>
      <c r="C753"/>
      <c r="D753"/>
      <c r="E753"/>
      <c r="F753"/>
      <c r="G753"/>
      <c r="H753"/>
      <c r="I753"/>
      <c r="J753"/>
    </row>
    <row r="754" spans="1:10" x14ac:dyDescent="0.35">
      <c r="A754"/>
      <c r="B754"/>
      <c r="C754"/>
      <c r="D754"/>
      <c r="E754"/>
      <c r="F754"/>
      <c r="G754"/>
      <c r="H754"/>
      <c r="I754"/>
      <c r="J754"/>
    </row>
    <row r="755" spans="1:10" x14ac:dyDescent="0.35">
      <c r="A755"/>
      <c r="B755"/>
      <c r="C755"/>
      <c r="D755"/>
      <c r="E755"/>
      <c r="F755"/>
      <c r="G755"/>
      <c r="H755"/>
      <c r="I755"/>
      <c r="J755"/>
    </row>
    <row r="756" spans="1:10" x14ac:dyDescent="0.35">
      <c r="A756"/>
      <c r="B756"/>
      <c r="C756"/>
      <c r="D756"/>
      <c r="E756"/>
      <c r="F756"/>
      <c r="G756"/>
      <c r="H756"/>
      <c r="I756"/>
      <c r="J756"/>
    </row>
    <row r="757" spans="1:10" x14ac:dyDescent="0.35">
      <c r="A757"/>
      <c r="B757"/>
      <c r="C757"/>
      <c r="D757"/>
      <c r="E757"/>
      <c r="F757"/>
      <c r="G757"/>
      <c r="H757"/>
      <c r="I757"/>
      <c r="J757"/>
    </row>
    <row r="758" spans="1:10" x14ac:dyDescent="0.35">
      <c r="A758"/>
      <c r="B758"/>
      <c r="C758"/>
      <c r="D758"/>
      <c r="E758"/>
      <c r="F758"/>
      <c r="G758"/>
      <c r="H758"/>
      <c r="I758"/>
      <c r="J758"/>
    </row>
    <row r="759" spans="1:10" x14ac:dyDescent="0.35">
      <c r="A759"/>
      <c r="B759"/>
      <c r="C759"/>
      <c r="D759"/>
      <c r="E759"/>
      <c r="F759"/>
      <c r="G759"/>
      <c r="H759"/>
      <c r="I759"/>
      <c r="J759"/>
    </row>
    <row r="760" spans="1:10" x14ac:dyDescent="0.35">
      <c r="A760"/>
      <c r="B760"/>
      <c r="C760"/>
      <c r="D760"/>
      <c r="E760"/>
      <c r="F760"/>
      <c r="G760"/>
      <c r="H760"/>
      <c r="I760"/>
      <c r="J760"/>
    </row>
    <row r="761" spans="1:10" x14ac:dyDescent="0.35">
      <c r="A761"/>
      <c r="B761"/>
      <c r="C761"/>
      <c r="D761"/>
      <c r="E761"/>
      <c r="F761"/>
      <c r="G761"/>
      <c r="H761"/>
      <c r="I761"/>
      <c r="J761"/>
    </row>
    <row r="762" spans="1:10" x14ac:dyDescent="0.35">
      <c r="A762"/>
      <c r="B762"/>
      <c r="C762"/>
      <c r="D762"/>
      <c r="E762"/>
      <c r="F762"/>
      <c r="G762"/>
      <c r="H762"/>
      <c r="I762"/>
      <c r="J762"/>
    </row>
    <row r="763" spans="1:10" x14ac:dyDescent="0.35">
      <c r="A763"/>
      <c r="B763"/>
      <c r="C763"/>
      <c r="D763"/>
      <c r="E763"/>
      <c r="F763"/>
      <c r="G763"/>
      <c r="H763"/>
      <c r="I763"/>
      <c r="J763"/>
    </row>
    <row r="764" spans="1:10" x14ac:dyDescent="0.35">
      <c r="A764"/>
      <c r="B764"/>
      <c r="C764"/>
      <c r="D764"/>
      <c r="E764"/>
      <c r="F764"/>
      <c r="G764"/>
      <c r="H764"/>
      <c r="I764"/>
      <c r="J764"/>
    </row>
    <row r="765" spans="1:10" x14ac:dyDescent="0.35">
      <c r="A765"/>
      <c r="B765"/>
      <c r="C765"/>
      <c r="D765"/>
      <c r="E765"/>
      <c r="F765"/>
      <c r="G765"/>
      <c r="H765"/>
      <c r="I765"/>
      <c r="J765"/>
    </row>
    <row r="766" spans="1:10" x14ac:dyDescent="0.35">
      <c r="A766"/>
      <c r="B766"/>
      <c r="C766"/>
      <c r="D766"/>
      <c r="E766"/>
      <c r="F766"/>
      <c r="G766"/>
      <c r="H766"/>
      <c r="I766"/>
      <c r="J766"/>
    </row>
    <row r="767" spans="1:10" x14ac:dyDescent="0.35">
      <c r="A767"/>
      <c r="B767"/>
      <c r="C767"/>
      <c r="D767"/>
      <c r="E767"/>
      <c r="F767"/>
      <c r="G767"/>
      <c r="H767"/>
      <c r="I767"/>
      <c r="J767"/>
    </row>
    <row r="768" spans="1:10" x14ac:dyDescent="0.35">
      <c r="A768"/>
      <c r="B768"/>
      <c r="C768"/>
      <c r="D768"/>
      <c r="E768"/>
      <c r="F768"/>
      <c r="G768"/>
      <c r="H768"/>
      <c r="I768"/>
      <c r="J768"/>
    </row>
    <row r="769" spans="1:10" x14ac:dyDescent="0.35">
      <c r="A769"/>
      <c r="B769"/>
      <c r="C769"/>
      <c r="D769"/>
      <c r="E769"/>
      <c r="F769"/>
      <c r="G769"/>
      <c r="H769"/>
      <c r="I769"/>
      <c r="J769"/>
    </row>
    <row r="770" spans="1:10" x14ac:dyDescent="0.35">
      <c r="A770"/>
      <c r="B770"/>
      <c r="C770"/>
      <c r="D770"/>
      <c r="E770"/>
      <c r="F770"/>
      <c r="G770"/>
      <c r="H770"/>
      <c r="I770"/>
      <c r="J770"/>
    </row>
    <row r="771" spans="1:10" x14ac:dyDescent="0.35">
      <c r="A771"/>
      <c r="B771"/>
      <c r="C771"/>
      <c r="D771"/>
      <c r="E771"/>
      <c r="F771"/>
      <c r="G771"/>
      <c r="H771"/>
      <c r="I771"/>
      <c r="J771"/>
    </row>
    <row r="772" spans="1:10" x14ac:dyDescent="0.35">
      <c r="A772"/>
      <c r="B772"/>
      <c r="C772"/>
      <c r="D772"/>
      <c r="E772"/>
      <c r="F772"/>
      <c r="G772"/>
      <c r="H772"/>
      <c r="I772"/>
      <c r="J772"/>
    </row>
    <row r="773" spans="1:10" x14ac:dyDescent="0.35">
      <c r="A773"/>
      <c r="B773"/>
      <c r="C773"/>
      <c r="D773"/>
      <c r="E773"/>
      <c r="F773"/>
      <c r="G773"/>
      <c r="H773"/>
      <c r="I773"/>
      <c r="J773"/>
    </row>
    <row r="774" spans="1:10" x14ac:dyDescent="0.35">
      <c r="A774"/>
      <c r="B774"/>
      <c r="C774"/>
      <c r="D774"/>
      <c r="E774"/>
      <c r="F774"/>
      <c r="G774"/>
      <c r="H774"/>
      <c r="I774"/>
      <c r="J774"/>
    </row>
    <row r="775" spans="1:10" x14ac:dyDescent="0.35">
      <c r="A775"/>
      <c r="B775"/>
      <c r="C775"/>
      <c r="D775"/>
      <c r="E775"/>
      <c r="F775"/>
      <c r="G775"/>
      <c r="H775"/>
      <c r="I775"/>
      <c r="J775"/>
    </row>
    <row r="776" spans="1:10" x14ac:dyDescent="0.35">
      <c r="A776"/>
      <c r="B776"/>
      <c r="C776"/>
      <c r="D776"/>
      <c r="E776"/>
      <c r="F776"/>
      <c r="G776"/>
      <c r="H776"/>
      <c r="I776"/>
      <c r="J776"/>
    </row>
    <row r="777" spans="1:10" x14ac:dyDescent="0.35">
      <c r="A777"/>
      <c r="B777"/>
      <c r="C777"/>
      <c r="D777"/>
      <c r="E777"/>
      <c r="F777"/>
      <c r="G777"/>
      <c r="H777"/>
      <c r="I777"/>
      <c r="J777"/>
    </row>
    <row r="778" spans="1:10" x14ac:dyDescent="0.35">
      <c r="A778"/>
      <c r="B778"/>
      <c r="C778"/>
      <c r="D778"/>
      <c r="E778"/>
      <c r="F778"/>
      <c r="G778"/>
      <c r="H778"/>
      <c r="I778"/>
      <c r="J778"/>
    </row>
    <row r="779" spans="1:10" x14ac:dyDescent="0.35">
      <c r="A779"/>
      <c r="B779"/>
      <c r="C779"/>
      <c r="D779"/>
      <c r="E779"/>
      <c r="F779"/>
      <c r="G779"/>
      <c r="H779"/>
      <c r="I779"/>
      <c r="J779"/>
    </row>
    <row r="780" spans="1:10" x14ac:dyDescent="0.35">
      <c r="A780"/>
      <c r="B780"/>
      <c r="C780"/>
      <c r="D780"/>
      <c r="E780"/>
      <c r="F780"/>
      <c r="G780"/>
      <c r="H780"/>
      <c r="I780"/>
      <c r="J780"/>
    </row>
    <row r="781" spans="1:10" x14ac:dyDescent="0.35">
      <c r="A781"/>
      <c r="B781"/>
      <c r="C781"/>
      <c r="D781"/>
      <c r="E781"/>
      <c r="F781"/>
      <c r="G781"/>
      <c r="H781"/>
      <c r="I781"/>
      <c r="J781"/>
    </row>
    <row r="782" spans="1:10" x14ac:dyDescent="0.35">
      <c r="A782"/>
      <c r="B782"/>
      <c r="C782"/>
      <c r="D782"/>
      <c r="E782"/>
      <c r="F782"/>
      <c r="G782"/>
      <c r="H782"/>
      <c r="I782"/>
      <c r="J782"/>
    </row>
    <row r="783" spans="1:10" x14ac:dyDescent="0.35">
      <c r="A783"/>
      <c r="B783"/>
      <c r="C783"/>
      <c r="D783"/>
      <c r="E783"/>
      <c r="F783"/>
      <c r="G783"/>
      <c r="H783"/>
      <c r="I783"/>
      <c r="J783"/>
    </row>
    <row r="784" spans="1:10" x14ac:dyDescent="0.35">
      <c r="A784"/>
      <c r="B784"/>
      <c r="C784"/>
      <c r="D784"/>
      <c r="E784"/>
      <c r="F784"/>
      <c r="G784"/>
      <c r="H784"/>
      <c r="I784"/>
      <c r="J784"/>
    </row>
    <row r="785" spans="1:10" x14ac:dyDescent="0.35">
      <c r="A785"/>
      <c r="B785"/>
      <c r="C785"/>
      <c r="D785"/>
      <c r="E785"/>
      <c r="F785"/>
      <c r="G785"/>
      <c r="H785"/>
      <c r="I785"/>
      <c r="J785"/>
    </row>
    <row r="786" spans="1:10" x14ac:dyDescent="0.35">
      <c r="A786"/>
      <c r="B786"/>
      <c r="C786"/>
      <c r="D786"/>
      <c r="E786"/>
      <c r="F786"/>
      <c r="G786"/>
      <c r="H786"/>
      <c r="I786"/>
      <c r="J786"/>
    </row>
    <row r="787" spans="1:10" x14ac:dyDescent="0.35">
      <c r="A787"/>
      <c r="B787"/>
      <c r="C787"/>
      <c r="D787"/>
      <c r="E787"/>
      <c r="F787"/>
      <c r="G787"/>
      <c r="H787"/>
      <c r="I787"/>
      <c r="J787"/>
    </row>
    <row r="788" spans="1:10" x14ac:dyDescent="0.35">
      <c r="A788"/>
      <c r="B788"/>
      <c r="C788"/>
      <c r="D788"/>
      <c r="E788"/>
      <c r="F788"/>
      <c r="G788"/>
      <c r="H788"/>
      <c r="I788"/>
      <c r="J788"/>
    </row>
    <row r="789" spans="1:10" x14ac:dyDescent="0.35">
      <c r="A789"/>
      <c r="B789"/>
      <c r="C789"/>
      <c r="D789"/>
      <c r="E789"/>
      <c r="F789"/>
      <c r="G789"/>
      <c r="H789"/>
      <c r="I789"/>
      <c r="J789"/>
    </row>
    <row r="790" spans="1:10" x14ac:dyDescent="0.35">
      <c r="A790"/>
      <c r="B790"/>
      <c r="C790"/>
      <c r="D790"/>
      <c r="E790"/>
      <c r="F790"/>
      <c r="G790"/>
      <c r="H790"/>
      <c r="I790"/>
      <c r="J790"/>
    </row>
    <row r="791" spans="1:10" x14ac:dyDescent="0.35">
      <c r="A791"/>
      <c r="B791"/>
      <c r="C791"/>
      <c r="D791"/>
      <c r="E791"/>
      <c r="F791"/>
      <c r="G791"/>
      <c r="H791"/>
      <c r="I791"/>
      <c r="J791"/>
    </row>
    <row r="792" spans="1:10" x14ac:dyDescent="0.35">
      <c r="A792"/>
      <c r="B792"/>
      <c r="C792"/>
      <c r="D792"/>
      <c r="E792"/>
      <c r="F792"/>
      <c r="G792"/>
      <c r="H792"/>
      <c r="I792"/>
      <c r="J792"/>
    </row>
    <row r="793" spans="1:10" x14ac:dyDescent="0.35">
      <c r="A793"/>
      <c r="B793"/>
      <c r="C793"/>
      <c r="D793"/>
      <c r="E793"/>
      <c r="F793"/>
      <c r="G793"/>
      <c r="H793"/>
      <c r="I793"/>
      <c r="J793"/>
    </row>
    <row r="794" spans="1:10" x14ac:dyDescent="0.35">
      <c r="A794"/>
      <c r="B794"/>
      <c r="C794"/>
      <c r="D794"/>
      <c r="E794"/>
      <c r="F794"/>
      <c r="G794"/>
      <c r="H794"/>
      <c r="I794"/>
      <c r="J794"/>
    </row>
    <row r="795" spans="1:10" x14ac:dyDescent="0.35">
      <c r="A795"/>
      <c r="B795"/>
      <c r="C795"/>
      <c r="D795"/>
      <c r="E795"/>
      <c r="F795"/>
      <c r="G795"/>
      <c r="H795"/>
      <c r="I795"/>
      <c r="J795"/>
    </row>
    <row r="796" spans="1:10" x14ac:dyDescent="0.35">
      <c r="A796"/>
      <c r="B796"/>
      <c r="C796"/>
      <c r="D796"/>
      <c r="E796"/>
      <c r="F796"/>
      <c r="G796"/>
      <c r="H796"/>
      <c r="I796"/>
      <c r="J796"/>
    </row>
    <row r="797" spans="1:10" x14ac:dyDescent="0.35">
      <c r="A797"/>
      <c r="B797"/>
      <c r="C797"/>
      <c r="D797"/>
      <c r="E797"/>
      <c r="F797"/>
      <c r="G797"/>
      <c r="H797"/>
      <c r="I797"/>
      <c r="J797"/>
    </row>
    <row r="798" spans="1:10" x14ac:dyDescent="0.35">
      <c r="A798"/>
      <c r="B798"/>
      <c r="C798"/>
      <c r="D798"/>
      <c r="E798"/>
      <c r="F798"/>
      <c r="G798"/>
      <c r="H798"/>
      <c r="I798"/>
      <c r="J798"/>
    </row>
    <row r="799" spans="1:10" x14ac:dyDescent="0.35">
      <c r="A799"/>
      <c r="B799"/>
      <c r="C799"/>
      <c r="D799"/>
      <c r="E799"/>
      <c r="F799"/>
      <c r="G799"/>
      <c r="H799"/>
      <c r="I799"/>
      <c r="J799"/>
    </row>
    <row r="800" spans="1:10" x14ac:dyDescent="0.35">
      <c r="A800"/>
      <c r="B800"/>
      <c r="C800"/>
      <c r="D800"/>
      <c r="E800"/>
      <c r="F800"/>
      <c r="G800"/>
      <c r="H800"/>
      <c r="I800"/>
      <c r="J800"/>
    </row>
    <row r="801" spans="1:10" x14ac:dyDescent="0.35">
      <c r="A801"/>
      <c r="B801"/>
      <c r="C801"/>
      <c r="D801"/>
      <c r="E801"/>
      <c r="F801"/>
      <c r="G801"/>
      <c r="H801"/>
      <c r="I801"/>
      <c r="J801"/>
    </row>
    <row r="802" spans="1:10" x14ac:dyDescent="0.35">
      <c r="A802"/>
      <c r="B802"/>
      <c r="C802"/>
      <c r="D802"/>
      <c r="E802"/>
      <c r="F802"/>
      <c r="G802"/>
      <c r="H802"/>
      <c r="I802"/>
      <c r="J802"/>
    </row>
    <row r="803" spans="1:10" x14ac:dyDescent="0.35">
      <c r="A803"/>
      <c r="B803"/>
      <c r="C803"/>
      <c r="D803"/>
      <c r="E803"/>
      <c r="F803"/>
      <c r="G803"/>
      <c r="H803"/>
      <c r="I803"/>
      <c r="J803"/>
    </row>
    <row r="804" spans="1:10" x14ac:dyDescent="0.35">
      <c r="A804"/>
      <c r="B804"/>
      <c r="C804"/>
      <c r="D804"/>
      <c r="E804"/>
      <c r="F804"/>
      <c r="G804"/>
      <c r="H804"/>
      <c r="I804"/>
      <c r="J804"/>
    </row>
    <row r="805" spans="1:10" x14ac:dyDescent="0.35">
      <c r="A805"/>
      <c r="B805"/>
      <c r="C805"/>
      <c r="D805"/>
      <c r="E805"/>
      <c r="F805"/>
      <c r="G805"/>
      <c r="H805"/>
      <c r="I805"/>
      <c r="J805"/>
    </row>
    <row r="806" spans="1:10" x14ac:dyDescent="0.35">
      <c r="A806"/>
      <c r="B806"/>
      <c r="C806"/>
      <c r="D806"/>
      <c r="E806"/>
      <c r="F806"/>
      <c r="G806"/>
      <c r="H806"/>
      <c r="I806"/>
      <c r="J806"/>
    </row>
    <row r="807" spans="1:10" x14ac:dyDescent="0.35">
      <c r="A807"/>
      <c r="B807"/>
      <c r="C807"/>
      <c r="D807"/>
      <c r="E807"/>
      <c r="F807"/>
      <c r="G807"/>
      <c r="H807"/>
      <c r="I807"/>
      <c r="J807"/>
    </row>
    <row r="808" spans="1:10" x14ac:dyDescent="0.35">
      <c r="A808"/>
      <c r="B808"/>
      <c r="C808"/>
      <c r="D808"/>
      <c r="E808"/>
      <c r="F808"/>
      <c r="G808"/>
      <c r="H808"/>
      <c r="I808"/>
      <c r="J808"/>
    </row>
    <row r="809" spans="1:10" x14ac:dyDescent="0.35">
      <c r="A809"/>
      <c r="B809"/>
      <c r="C809"/>
      <c r="D809"/>
      <c r="E809"/>
      <c r="F809"/>
      <c r="G809"/>
      <c r="H809"/>
      <c r="I809"/>
      <c r="J809"/>
    </row>
    <row r="810" spans="1:10" x14ac:dyDescent="0.35">
      <c r="A810"/>
      <c r="B810"/>
      <c r="C810"/>
      <c r="D810"/>
      <c r="E810"/>
      <c r="F810"/>
      <c r="G810"/>
      <c r="H810"/>
      <c r="I810"/>
      <c r="J810"/>
    </row>
    <row r="811" spans="1:10" x14ac:dyDescent="0.35">
      <c r="A811"/>
      <c r="B811"/>
      <c r="C811"/>
      <c r="D811"/>
      <c r="E811"/>
      <c r="F811"/>
      <c r="G811"/>
      <c r="H811"/>
      <c r="I811"/>
      <c r="J811"/>
    </row>
    <row r="812" spans="1:10" x14ac:dyDescent="0.35">
      <c r="A812"/>
      <c r="B812"/>
      <c r="C812"/>
      <c r="D812"/>
      <c r="E812"/>
      <c r="F812"/>
      <c r="G812"/>
      <c r="H812"/>
      <c r="I812"/>
      <c r="J812"/>
    </row>
    <row r="813" spans="1:10" x14ac:dyDescent="0.35">
      <c r="A813"/>
      <c r="B813"/>
      <c r="C813"/>
      <c r="D813"/>
      <c r="E813"/>
      <c r="F813"/>
      <c r="G813"/>
      <c r="H813"/>
      <c r="I813"/>
      <c r="J813"/>
    </row>
    <row r="814" spans="1:10" x14ac:dyDescent="0.35">
      <c r="A814"/>
      <c r="B814"/>
      <c r="C814"/>
      <c r="D814"/>
      <c r="E814"/>
      <c r="F814"/>
      <c r="G814"/>
      <c r="H814"/>
      <c r="I814"/>
      <c r="J814"/>
    </row>
    <row r="815" spans="1:10" x14ac:dyDescent="0.35">
      <c r="A815"/>
      <c r="B815"/>
      <c r="C815"/>
      <c r="D815"/>
      <c r="E815"/>
      <c r="F815"/>
      <c r="G815"/>
      <c r="H815"/>
      <c r="I815"/>
      <c r="J815"/>
    </row>
    <row r="816" spans="1:10" x14ac:dyDescent="0.35">
      <c r="A816"/>
      <c r="B816"/>
      <c r="C816"/>
      <c r="D816"/>
      <c r="E816"/>
      <c r="F816"/>
      <c r="G816"/>
      <c r="H816"/>
      <c r="I816"/>
      <c r="J816"/>
    </row>
    <row r="817" spans="1:10" x14ac:dyDescent="0.35">
      <c r="A817"/>
      <c r="B817"/>
      <c r="C817"/>
      <c r="D817"/>
      <c r="E817"/>
      <c r="F817"/>
      <c r="G817"/>
      <c r="H817"/>
      <c r="I817"/>
      <c r="J817"/>
    </row>
    <row r="818" spans="1:10" x14ac:dyDescent="0.35">
      <c r="A818"/>
      <c r="B818"/>
      <c r="C818"/>
      <c r="D818"/>
      <c r="E818"/>
      <c r="F818"/>
      <c r="G818"/>
      <c r="H818"/>
      <c r="I818"/>
      <c r="J818"/>
    </row>
    <row r="819" spans="1:10" x14ac:dyDescent="0.35">
      <c r="A819"/>
      <c r="B819"/>
      <c r="C819"/>
      <c r="D819"/>
      <c r="E819"/>
      <c r="F819"/>
      <c r="G819"/>
      <c r="H819"/>
      <c r="I819"/>
      <c r="J819"/>
    </row>
    <row r="820" spans="1:10" x14ac:dyDescent="0.35">
      <c r="A820"/>
      <c r="B820"/>
      <c r="C820"/>
      <c r="D820"/>
      <c r="E820"/>
      <c r="F820"/>
      <c r="G820"/>
      <c r="H820"/>
      <c r="I820"/>
      <c r="J820"/>
    </row>
    <row r="821" spans="1:10" x14ac:dyDescent="0.35">
      <c r="A821"/>
      <c r="B821"/>
      <c r="C821"/>
      <c r="D821"/>
      <c r="E821"/>
      <c r="F821"/>
      <c r="G821"/>
      <c r="H821"/>
      <c r="I821"/>
      <c r="J821"/>
    </row>
    <row r="822" spans="1:10" x14ac:dyDescent="0.35">
      <c r="A822"/>
      <c r="B822"/>
      <c r="C822"/>
      <c r="D822"/>
      <c r="E822"/>
      <c r="F822"/>
      <c r="G822"/>
      <c r="H822"/>
      <c r="I822"/>
      <c r="J822"/>
    </row>
    <row r="823" spans="1:10" x14ac:dyDescent="0.35">
      <c r="A823"/>
      <c r="B823"/>
      <c r="C823"/>
      <c r="D823"/>
      <c r="E823"/>
      <c r="F823"/>
      <c r="G823"/>
      <c r="H823"/>
      <c r="I823"/>
      <c r="J823"/>
    </row>
    <row r="824" spans="1:10" x14ac:dyDescent="0.35">
      <c r="A824"/>
      <c r="B824"/>
      <c r="C824"/>
      <c r="D824"/>
      <c r="E824"/>
      <c r="F824"/>
      <c r="G824"/>
      <c r="H824"/>
      <c r="I824"/>
      <c r="J824"/>
    </row>
    <row r="825" spans="1:10" x14ac:dyDescent="0.35">
      <c r="A825"/>
      <c r="B825"/>
      <c r="C825"/>
      <c r="D825"/>
      <c r="E825"/>
      <c r="F825"/>
      <c r="G825"/>
      <c r="H825"/>
      <c r="I825"/>
      <c r="J825"/>
    </row>
    <row r="826" spans="1:10" x14ac:dyDescent="0.35">
      <c r="A826"/>
      <c r="B826"/>
      <c r="C826"/>
      <c r="D826"/>
      <c r="E826"/>
      <c r="F826"/>
      <c r="G826"/>
      <c r="H826"/>
      <c r="I826"/>
      <c r="J826"/>
    </row>
    <row r="827" spans="1:10" x14ac:dyDescent="0.35">
      <c r="A827"/>
      <c r="B827"/>
      <c r="C827"/>
      <c r="D827"/>
      <c r="E827"/>
      <c r="F827"/>
      <c r="G827"/>
      <c r="H827"/>
      <c r="I827"/>
      <c r="J827"/>
    </row>
    <row r="828" spans="1:10" x14ac:dyDescent="0.35">
      <c r="A828"/>
      <c r="B828"/>
      <c r="C828"/>
      <c r="D828"/>
      <c r="E828"/>
      <c r="F828"/>
      <c r="G828"/>
      <c r="H828"/>
      <c r="I828"/>
      <c r="J828"/>
    </row>
    <row r="829" spans="1:10" x14ac:dyDescent="0.35">
      <c r="A829"/>
      <c r="B829"/>
      <c r="C829"/>
      <c r="D829"/>
      <c r="E829"/>
      <c r="F829"/>
      <c r="G829"/>
      <c r="H829"/>
      <c r="I829"/>
      <c r="J829"/>
    </row>
    <row r="830" spans="1:10" x14ac:dyDescent="0.35">
      <c r="A830"/>
      <c r="B830"/>
      <c r="C830"/>
      <c r="D830"/>
      <c r="E830"/>
      <c r="F830"/>
      <c r="G830"/>
      <c r="H830"/>
      <c r="I830"/>
      <c r="J830"/>
    </row>
    <row r="831" spans="1:10" x14ac:dyDescent="0.35">
      <c r="A831"/>
      <c r="B831"/>
      <c r="C831"/>
      <c r="D831"/>
      <c r="E831"/>
      <c r="F831"/>
      <c r="G831"/>
      <c r="H831"/>
      <c r="I831"/>
      <c r="J831"/>
    </row>
    <row r="832" spans="1:10" x14ac:dyDescent="0.35">
      <c r="A832"/>
      <c r="B832"/>
      <c r="C832"/>
      <c r="D832"/>
      <c r="E832"/>
      <c r="F832"/>
      <c r="G832"/>
      <c r="H832"/>
      <c r="I832"/>
      <c r="J832"/>
    </row>
    <row r="833" spans="1:10" x14ac:dyDescent="0.35">
      <c r="A833"/>
      <c r="B833"/>
      <c r="C833"/>
      <c r="D833"/>
      <c r="E833"/>
      <c r="F833"/>
      <c r="G833"/>
      <c r="H833"/>
      <c r="I833"/>
      <c r="J833"/>
    </row>
    <row r="834" spans="1:10" x14ac:dyDescent="0.35">
      <c r="A834"/>
      <c r="B834"/>
      <c r="C834"/>
      <c r="D834"/>
      <c r="E834"/>
      <c r="F834"/>
      <c r="G834"/>
      <c r="H834"/>
      <c r="I834"/>
      <c r="J834"/>
    </row>
    <row r="835" spans="1:10" x14ac:dyDescent="0.35">
      <c r="A835"/>
      <c r="B835"/>
      <c r="C835"/>
      <c r="D835"/>
      <c r="E835"/>
      <c r="F835"/>
      <c r="G835"/>
      <c r="H835"/>
      <c r="I835"/>
      <c r="J835"/>
    </row>
    <row r="836" spans="1:10" x14ac:dyDescent="0.35">
      <c r="A836"/>
      <c r="B836"/>
      <c r="C836"/>
      <c r="D836"/>
      <c r="E836"/>
      <c r="F836"/>
      <c r="G836"/>
      <c r="H836"/>
      <c r="I836"/>
      <c r="J836"/>
    </row>
    <row r="837" spans="1:10" x14ac:dyDescent="0.35">
      <c r="A837"/>
      <c r="B837"/>
      <c r="C837"/>
      <c r="D837"/>
      <c r="E837"/>
      <c r="F837"/>
      <c r="G837"/>
      <c r="H837"/>
      <c r="I837"/>
      <c r="J837"/>
    </row>
    <row r="838" spans="1:10" x14ac:dyDescent="0.35">
      <c r="A838"/>
      <c r="B838"/>
      <c r="C838"/>
      <c r="D838"/>
      <c r="E838"/>
      <c r="F838"/>
      <c r="G838"/>
      <c r="H838"/>
      <c r="I838"/>
      <c r="J838"/>
    </row>
    <row r="839" spans="1:10" x14ac:dyDescent="0.35">
      <c r="A839"/>
      <c r="B839"/>
      <c r="C839"/>
      <c r="D839"/>
      <c r="E839"/>
      <c r="F839"/>
      <c r="G839"/>
      <c r="H839"/>
      <c r="I839"/>
      <c r="J839"/>
    </row>
    <row r="840" spans="1:10" x14ac:dyDescent="0.35">
      <c r="A840"/>
      <c r="B840"/>
      <c r="C840"/>
      <c r="D840"/>
      <c r="E840"/>
      <c r="F840"/>
      <c r="G840"/>
      <c r="H840"/>
      <c r="I840"/>
      <c r="J840"/>
    </row>
    <row r="841" spans="1:10" x14ac:dyDescent="0.35">
      <c r="A841"/>
      <c r="B841"/>
      <c r="C841"/>
      <c r="D841"/>
      <c r="E841"/>
      <c r="F841"/>
      <c r="G841"/>
      <c r="H841"/>
      <c r="I841"/>
      <c r="J841"/>
    </row>
    <row r="842" spans="1:10" x14ac:dyDescent="0.35">
      <c r="A842"/>
      <c r="B842"/>
      <c r="C842"/>
      <c r="D842"/>
      <c r="E842"/>
      <c r="F842"/>
      <c r="G842"/>
      <c r="H842"/>
      <c r="I842"/>
      <c r="J842"/>
    </row>
    <row r="843" spans="1:10" x14ac:dyDescent="0.35">
      <c r="A843"/>
      <c r="B843"/>
      <c r="C843"/>
      <c r="D843"/>
      <c r="E843"/>
      <c r="F843"/>
      <c r="G843"/>
      <c r="H843"/>
      <c r="I843"/>
      <c r="J843"/>
    </row>
    <row r="844" spans="1:10" x14ac:dyDescent="0.35">
      <c r="A844"/>
      <c r="B844"/>
      <c r="C844"/>
      <c r="D844"/>
      <c r="E844"/>
      <c r="F844"/>
      <c r="G844"/>
      <c r="H844"/>
      <c r="I844"/>
      <c r="J844"/>
    </row>
    <row r="845" spans="1:10" x14ac:dyDescent="0.35">
      <c r="A845"/>
      <c r="B845"/>
      <c r="C845"/>
      <c r="D845"/>
      <c r="E845"/>
      <c r="F845"/>
      <c r="G845"/>
      <c r="H845"/>
      <c r="I845"/>
      <c r="J845"/>
    </row>
    <row r="846" spans="1:10" x14ac:dyDescent="0.35">
      <c r="A846"/>
      <c r="B846"/>
      <c r="C846"/>
      <c r="D846"/>
      <c r="E846"/>
      <c r="F846"/>
      <c r="G846"/>
      <c r="H846"/>
      <c r="I846"/>
      <c r="J846"/>
    </row>
    <row r="847" spans="1:10" x14ac:dyDescent="0.35">
      <c r="A847"/>
      <c r="B847"/>
      <c r="C847"/>
      <c r="D847"/>
      <c r="E847"/>
      <c r="F847"/>
      <c r="G847"/>
      <c r="H847"/>
      <c r="I847"/>
      <c r="J847"/>
    </row>
    <row r="848" spans="1:10" x14ac:dyDescent="0.35">
      <c r="A848"/>
      <c r="B848"/>
      <c r="C848"/>
      <c r="D848"/>
      <c r="E848"/>
      <c r="F848"/>
      <c r="G848"/>
      <c r="H848"/>
      <c r="I848"/>
      <c r="J848"/>
    </row>
    <row r="849" spans="1:10" x14ac:dyDescent="0.35">
      <c r="A849"/>
      <c r="B849"/>
      <c r="C849"/>
      <c r="D849"/>
      <c r="E849"/>
      <c r="F849"/>
      <c r="G849"/>
      <c r="H849"/>
      <c r="I849"/>
      <c r="J849"/>
    </row>
    <row r="850" spans="1:10" x14ac:dyDescent="0.35">
      <c r="A850"/>
      <c r="B850"/>
      <c r="C850"/>
      <c r="D850"/>
      <c r="E850"/>
      <c r="F850"/>
      <c r="G850"/>
      <c r="H850"/>
      <c r="I850"/>
      <c r="J850"/>
    </row>
    <row r="851" spans="1:10" x14ac:dyDescent="0.35">
      <c r="A851"/>
      <c r="B851"/>
      <c r="C851"/>
      <c r="D851"/>
      <c r="E851"/>
      <c r="F851"/>
      <c r="G851"/>
      <c r="H851"/>
      <c r="I851"/>
      <c r="J851"/>
    </row>
    <row r="852" spans="1:10" x14ac:dyDescent="0.35">
      <c r="A852"/>
      <c r="B852"/>
      <c r="C852"/>
      <c r="D852"/>
      <c r="E852"/>
      <c r="F852"/>
      <c r="G852"/>
      <c r="H852"/>
      <c r="I852"/>
      <c r="J852"/>
    </row>
    <row r="853" spans="1:10" x14ac:dyDescent="0.35">
      <c r="A853"/>
      <c r="B853"/>
      <c r="C853"/>
      <c r="D853"/>
      <c r="E853"/>
      <c r="F853"/>
      <c r="G853"/>
      <c r="H853"/>
      <c r="I853"/>
      <c r="J853"/>
    </row>
    <row r="854" spans="1:10" x14ac:dyDescent="0.35">
      <c r="A854"/>
      <c r="B854"/>
      <c r="C854"/>
      <c r="D854"/>
      <c r="E854"/>
      <c r="F854"/>
      <c r="G854"/>
      <c r="H854"/>
      <c r="I854"/>
      <c r="J854"/>
    </row>
    <row r="855" spans="1:10" x14ac:dyDescent="0.35">
      <c r="A855"/>
      <c r="B855"/>
      <c r="C855"/>
      <c r="D855"/>
      <c r="E855"/>
      <c r="F855"/>
      <c r="G855"/>
      <c r="H855"/>
      <c r="I855"/>
      <c r="J855"/>
    </row>
    <row r="856" spans="1:10" x14ac:dyDescent="0.35">
      <c r="A856"/>
      <c r="B856"/>
      <c r="C856"/>
      <c r="D856"/>
      <c r="E856"/>
      <c r="F856"/>
      <c r="G856"/>
      <c r="H856"/>
      <c r="I856"/>
      <c r="J856"/>
    </row>
    <row r="857" spans="1:10" x14ac:dyDescent="0.35">
      <c r="A857"/>
      <c r="B857"/>
      <c r="C857"/>
      <c r="D857"/>
      <c r="E857"/>
      <c r="F857"/>
      <c r="G857"/>
      <c r="H857"/>
      <c r="I857"/>
      <c r="J857"/>
    </row>
    <row r="858" spans="1:10" x14ac:dyDescent="0.35">
      <c r="A858"/>
      <c r="B858"/>
      <c r="C858"/>
      <c r="D858"/>
      <c r="E858"/>
      <c r="F858"/>
      <c r="G858"/>
      <c r="H858"/>
      <c r="I858"/>
      <c r="J858"/>
    </row>
    <row r="859" spans="1:10" x14ac:dyDescent="0.35">
      <c r="A859"/>
      <c r="B859"/>
      <c r="C859"/>
      <c r="D859"/>
      <c r="E859"/>
      <c r="F859"/>
      <c r="G859"/>
      <c r="H859"/>
      <c r="I859"/>
      <c r="J859"/>
    </row>
    <row r="860" spans="1:10" x14ac:dyDescent="0.35">
      <c r="A860"/>
      <c r="B860"/>
      <c r="C860"/>
      <c r="D860"/>
      <c r="E860"/>
      <c r="F860"/>
      <c r="G860"/>
      <c r="H860"/>
      <c r="I860"/>
      <c r="J860"/>
    </row>
    <row r="861" spans="1:10" x14ac:dyDescent="0.35">
      <c r="A861"/>
      <c r="B861"/>
      <c r="C861"/>
      <c r="D861"/>
      <c r="E861"/>
      <c r="F861"/>
      <c r="G861"/>
      <c r="H861"/>
      <c r="I861"/>
      <c r="J861"/>
    </row>
    <row r="862" spans="1:10" x14ac:dyDescent="0.35">
      <c r="A862"/>
      <c r="B862"/>
      <c r="C862"/>
      <c r="D862"/>
      <c r="E862"/>
      <c r="F862"/>
      <c r="G862"/>
      <c r="H862"/>
      <c r="I862"/>
      <c r="J862"/>
    </row>
    <row r="863" spans="1:10" x14ac:dyDescent="0.35">
      <c r="A863"/>
      <c r="B863"/>
      <c r="C863"/>
      <c r="D863"/>
      <c r="E863"/>
      <c r="F863"/>
      <c r="G863"/>
      <c r="H863"/>
      <c r="I863"/>
      <c r="J863"/>
    </row>
    <row r="864" spans="1:10" x14ac:dyDescent="0.35">
      <c r="A864"/>
      <c r="B864"/>
      <c r="C864"/>
      <c r="D864"/>
      <c r="E864"/>
      <c r="F864"/>
      <c r="G864"/>
      <c r="H864"/>
      <c r="I864"/>
      <c r="J864"/>
    </row>
    <row r="865" spans="1:10" x14ac:dyDescent="0.35">
      <c r="A865"/>
      <c r="B865"/>
      <c r="C865"/>
      <c r="D865"/>
      <c r="E865"/>
      <c r="F865"/>
      <c r="G865"/>
      <c r="H865"/>
      <c r="I865"/>
      <c r="J865"/>
    </row>
    <row r="866" spans="1:10" x14ac:dyDescent="0.35">
      <c r="A866"/>
      <c r="B866"/>
      <c r="C866"/>
      <c r="D866"/>
      <c r="E866"/>
      <c r="F866"/>
      <c r="G866"/>
      <c r="H866"/>
      <c r="I866"/>
      <c r="J866"/>
    </row>
    <row r="867" spans="1:10" x14ac:dyDescent="0.35">
      <c r="A867"/>
      <c r="B867"/>
      <c r="C867"/>
      <c r="D867"/>
      <c r="E867"/>
      <c r="F867"/>
      <c r="G867"/>
      <c r="H867"/>
      <c r="I867"/>
      <c r="J867"/>
    </row>
    <row r="868" spans="1:10" x14ac:dyDescent="0.35">
      <c r="A868"/>
      <c r="B868"/>
      <c r="C868"/>
      <c r="D868"/>
      <c r="E868"/>
      <c r="F868"/>
      <c r="G868"/>
      <c r="H868"/>
      <c r="I868"/>
      <c r="J868"/>
    </row>
    <row r="869" spans="1:10" x14ac:dyDescent="0.35">
      <c r="A869"/>
      <c r="B869"/>
      <c r="C869"/>
      <c r="D869"/>
      <c r="E869"/>
      <c r="F869"/>
      <c r="G869"/>
      <c r="H869"/>
      <c r="I869"/>
      <c r="J869"/>
    </row>
    <row r="870" spans="1:10" x14ac:dyDescent="0.35">
      <c r="A870"/>
      <c r="B870"/>
      <c r="C870"/>
      <c r="D870"/>
      <c r="E870"/>
      <c r="F870"/>
      <c r="G870"/>
      <c r="H870"/>
      <c r="I870"/>
      <c r="J870"/>
    </row>
    <row r="871" spans="1:10" x14ac:dyDescent="0.35">
      <c r="A871"/>
      <c r="B871"/>
      <c r="C871"/>
      <c r="D871"/>
      <c r="E871"/>
      <c r="F871"/>
      <c r="G871"/>
      <c r="H871"/>
      <c r="I871"/>
      <c r="J871"/>
    </row>
    <row r="872" spans="1:10" x14ac:dyDescent="0.35">
      <c r="A872"/>
      <c r="B872"/>
      <c r="C872"/>
      <c r="D872"/>
      <c r="E872"/>
      <c r="F872"/>
      <c r="G872"/>
      <c r="H872"/>
      <c r="I872"/>
      <c r="J872"/>
    </row>
    <row r="873" spans="1:10" x14ac:dyDescent="0.35">
      <c r="A873"/>
      <c r="B873"/>
      <c r="C873"/>
      <c r="D873"/>
      <c r="E873"/>
      <c r="F873"/>
      <c r="G873"/>
      <c r="H873"/>
      <c r="I873"/>
      <c r="J873"/>
    </row>
    <row r="874" spans="1:10" x14ac:dyDescent="0.35">
      <c r="A874"/>
      <c r="B874"/>
      <c r="C874"/>
      <c r="D874"/>
      <c r="E874"/>
      <c r="F874"/>
      <c r="G874"/>
      <c r="H874"/>
      <c r="I874"/>
      <c r="J874"/>
    </row>
    <row r="875" spans="1:10" x14ac:dyDescent="0.35">
      <c r="A875"/>
      <c r="B875"/>
      <c r="C875"/>
      <c r="D875"/>
      <c r="E875"/>
      <c r="F875"/>
      <c r="G875"/>
      <c r="H875"/>
      <c r="I875"/>
      <c r="J875"/>
    </row>
    <row r="876" spans="1:10" x14ac:dyDescent="0.35">
      <c r="A876"/>
      <c r="B876"/>
      <c r="C876"/>
      <c r="D876"/>
      <c r="E876"/>
      <c r="F876"/>
      <c r="G876"/>
      <c r="H876"/>
      <c r="I876"/>
      <c r="J876"/>
    </row>
    <row r="877" spans="1:10" x14ac:dyDescent="0.35">
      <c r="A877"/>
      <c r="B877"/>
      <c r="C877"/>
      <c r="D877"/>
      <c r="E877"/>
      <c r="F877"/>
      <c r="G877"/>
      <c r="H877"/>
      <c r="I877"/>
      <c r="J877"/>
    </row>
    <row r="878" spans="1:10" x14ac:dyDescent="0.35">
      <c r="A878"/>
      <c r="B878"/>
      <c r="C878"/>
      <c r="D878"/>
      <c r="E878"/>
      <c r="F878"/>
      <c r="G878"/>
      <c r="H878"/>
      <c r="I878"/>
      <c r="J878"/>
    </row>
    <row r="879" spans="1:10" x14ac:dyDescent="0.35">
      <c r="A879"/>
      <c r="B879"/>
      <c r="C879"/>
      <c r="D879"/>
      <c r="E879"/>
      <c r="F879"/>
      <c r="G879"/>
      <c r="H879"/>
      <c r="I879"/>
      <c r="J879"/>
    </row>
    <row r="880" spans="1:10" x14ac:dyDescent="0.35">
      <c r="A880"/>
      <c r="B880"/>
      <c r="C880"/>
      <c r="D880"/>
      <c r="E880"/>
      <c r="F880"/>
      <c r="G880"/>
      <c r="H880"/>
      <c r="I880"/>
      <c r="J880"/>
    </row>
    <row r="881" spans="1:10" x14ac:dyDescent="0.35">
      <c r="A881"/>
      <c r="B881"/>
      <c r="C881"/>
      <c r="D881"/>
      <c r="E881"/>
      <c r="F881"/>
      <c r="G881"/>
      <c r="H881"/>
      <c r="I881"/>
      <c r="J881"/>
    </row>
    <row r="882" spans="1:10" x14ac:dyDescent="0.35">
      <c r="A882"/>
      <c r="B882"/>
      <c r="C882"/>
      <c r="D882"/>
      <c r="E882"/>
      <c r="F882"/>
      <c r="G882"/>
      <c r="H882"/>
      <c r="I882"/>
      <c r="J882"/>
    </row>
    <row r="883" spans="1:10" x14ac:dyDescent="0.35">
      <c r="A883"/>
      <c r="B883"/>
      <c r="C883"/>
      <c r="D883"/>
      <c r="E883"/>
      <c r="F883"/>
      <c r="G883"/>
      <c r="H883"/>
      <c r="I883"/>
      <c r="J883"/>
    </row>
    <row r="884" spans="1:10" x14ac:dyDescent="0.35">
      <c r="A884"/>
      <c r="B884"/>
      <c r="C884"/>
      <c r="D884"/>
      <c r="E884"/>
      <c r="F884"/>
      <c r="G884"/>
      <c r="H884"/>
      <c r="I884"/>
      <c r="J884"/>
    </row>
    <row r="885" spans="1:10" x14ac:dyDescent="0.35">
      <c r="A885"/>
      <c r="B885"/>
      <c r="C885"/>
      <c r="D885"/>
      <c r="E885"/>
      <c r="F885"/>
      <c r="G885"/>
      <c r="H885"/>
      <c r="I885"/>
      <c r="J885"/>
    </row>
    <row r="886" spans="1:10" x14ac:dyDescent="0.35">
      <c r="A886"/>
      <c r="B886"/>
      <c r="C886"/>
      <c r="D886"/>
      <c r="E886"/>
      <c r="F886"/>
      <c r="G886"/>
      <c r="H886"/>
      <c r="I886"/>
      <c r="J886"/>
    </row>
    <row r="887" spans="1:10" x14ac:dyDescent="0.35">
      <c r="A887"/>
      <c r="B887"/>
      <c r="C887"/>
      <c r="D887"/>
      <c r="E887"/>
      <c r="F887"/>
      <c r="G887"/>
      <c r="H887"/>
      <c r="I887"/>
      <c r="J887"/>
    </row>
    <row r="888" spans="1:10" x14ac:dyDescent="0.35">
      <c r="A888"/>
      <c r="B888"/>
      <c r="C888"/>
      <c r="D888"/>
      <c r="E888"/>
      <c r="F888"/>
      <c r="G888"/>
      <c r="H888"/>
      <c r="I888"/>
      <c r="J888"/>
    </row>
    <row r="889" spans="1:10" x14ac:dyDescent="0.35">
      <c r="A889"/>
      <c r="B889"/>
      <c r="C889"/>
      <c r="D889"/>
      <c r="E889"/>
      <c r="F889"/>
      <c r="G889"/>
      <c r="H889"/>
      <c r="I889"/>
      <c r="J889"/>
    </row>
    <row r="890" spans="1:10" x14ac:dyDescent="0.35">
      <c r="A890"/>
      <c r="B890"/>
      <c r="C890"/>
      <c r="D890"/>
      <c r="E890"/>
      <c r="F890"/>
      <c r="G890"/>
      <c r="H890"/>
      <c r="I890"/>
      <c r="J890"/>
    </row>
    <row r="891" spans="1:10" x14ac:dyDescent="0.35">
      <c r="A891"/>
      <c r="B891"/>
      <c r="C891"/>
      <c r="D891"/>
      <c r="E891"/>
      <c r="F891"/>
      <c r="G891"/>
      <c r="H891"/>
      <c r="I891"/>
      <c r="J891"/>
    </row>
    <row r="892" spans="1:10" x14ac:dyDescent="0.35">
      <c r="A892"/>
      <c r="B892"/>
      <c r="C892"/>
      <c r="D892"/>
      <c r="E892"/>
      <c r="F892"/>
      <c r="G892"/>
      <c r="H892"/>
      <c r="I892"/>
      <c r="J892"/>
    </row>
    <row r="893" spans="1:10" x14ac:dyDescent="0.35">
      <c r="A893"/>
      <c r="B893"/>
      <c r="C893"/>
      <c r="D893"/>
      <c r="E893"/>
      <c r="F893"/>
      <c r="G893"/>
      <c r="H893"/>
      <c r="I893"/>
      <c r="J893"/>
    </row>
    <row r="894" spans="1:10" x14ac:dyDescent="0.35">
      <c r="A894"/>
      <c r="B894"/>
      <c r="C894"/>
      <c r="D894"/>
      <c r="E894"/>
      <c r="F894"/>
      <c r="G894"/>
      <c r="H894"/>
      <c r="I894"/>
      <c r="J894"/>
    </row>
    <row r="895" spans="1:10" x14ac:dyDescent="0.35">
      <c r="A895"/>
      <c r="B895"/>
      <c r="C895"/>
      <c r="D895"/>
      <c r="E895"/>
      <c r="F895"/>
      <c r="G895"/>
      <c r="H895"/>
      <c r="I895"/>
      <c r="J895"/>
    </row>
    <row r="896" spans="1:10" x14ac:dyDescent="0.35">
      <c r="A896"/>
      <c r="B896"/>
      <c r="C896"/>
      <c r="D896"/>
      <c r="E896"/>
      <c r="F896"/>
      <c r="G896"/>
      <c r="H896"/>
      <c r="I896"/>
      <c r="J896"/>
    </row>
    <row r="897" spans="1:10" x14ac:dyDescent="0.35">
      <c r="A897"/>
      <c r="B897"/>
      <c r="C897"/>
      <c r="D897"/>
      <c r="E897"/>
      <c r="F897"/>
      <c r="G897"/>
      <c r="H897"/>
      <c r="I897"/>
      <c r="J897"/>
    </row>
    <row r="898" spans="1:10" x14ac:dyDescent="0.35">
      <c r="A898"/>
      <c r="B898"/>
      <c r="C898"/>
      <c r="D898"/>
      <c r="E898"/>
      <c r="F898"/>
      <c r="G898"/>
      <c r="H898"/>
      <c r="I898"/>
      <c r="J898"/>
    </row>
    <row r="899" spans="1:10" x14ac:dyDescent="0.35">
      <c r="A899"/>
      <c r="B899"/>
      <c r="C899"/>
      <c r="D899"/>
      <c r="E899"/>
      <c r="F899"/>
      <c r="G899"/>
      <c r="H899"/>
      <c r="I899"/>
      <c r="J899"/>
    </row>
    <row r="900" spans="1:10" x14ac:dyDescent="0.35">
      <c r="A900"/>
      <c r="B900"/>
      <c r="C900"/>
      <c r="D900"/>
      <c r="E900"/>
      <c r="F900"/>
      <c r="G900"/>
      <c r="H900"/>
      <c r="I900"/>
      <c r="J900"/>
    </row>
    <row r="901" spans="1:10" x14ac:dyDescent="0.35">
      <c r="A901"/>
      <c r="B901"/>
      <c r="C901"/>
      <c r="D901"/>
      <c r="E901"/>
      <c r="F901"/>
      <c r="G901"/>
      <c r="H901"/>
      <c r="I901"/>
      <c r="J901"/>
    </row>
    <row r="902" spans="1:10" x14ac:dyDescent="0.35">
      <c r="A902"/>
      <c r="B902"/>
      <c r="C902"/>
      <c r="D902"/>
      <c r="E902"/>
      <c r="F902"/>
      <c r="G902"/>
      <c r="H902"/>
      <c r="I902"/>
      <c r="J902"/>
    </row>
    <row r="903" spans="1:10" x14ac:dyDescent="0.35">
      <c r="A903"/>
      <c r="B903"/>
      <c r="C903"/>
      <c r="D903"/>
      <c r="E903"/>
      <c r="F903"/>
      <c r="G903"/>
      <c r="H903"/>
      <c r="I903"/>
      <c r="J903"/>
    </row>
    <row r="904" spans="1:10" x14ac:dyDescent="0.35">
      <c r="A904"/>
      <c r="B904"/>
      <c r="C904"/>
      <c r="D904"/>
      <c r="E904"/>
      <c r="F904"/>
      <c r="G904"/>
      <c r="H904"/>
      <c r="I904"/>
      <c r="J904"/>
    </row>
    <row r="905" spans="1:10" x14ac:dyDescent="0.35">
      <c r="A905"/>
      <c r="B905"/>
      <c r="C905"/>
      <c r="D905"/>
      <c r="E905"/>
      <c r="F905"/>
      <c r="G905"/>
      <c r="H905"/>
      <c r="I905"/>
      <c r="J905"/>
    </row>
    <row r="906" spans="1:10" x14ac:dyDescent="0.35">
      <c r="A906"/>
      <c r="B906"/>
      <c r="C906"/>
      <c r="D906"/>
      <c r="E906"/>
      <c r="F906"/>
      <c r="G906"/>
      <c r="H906"/>
      <c r="I906"/>
      <c r="J906"/>
    </row>
    <row r="907" spans="1:10" x14ac:dyDescent="0.35">
      <c r="A907"/>
      <c r="B907"/>
      <c r="C907"/>
      <c r="D907"/>
      <c r="E907"/>
      <c r="F907"/>
      <c r="G907"/>
      <c r="H907"/>
      <c r="I907"/>
      <c r="J907"/>
    </row>
    <row r="908" spans="1:10" x14ac:dyDescent="0.35">
      <c r="A908"/>
      <c r="B908"/>
      <c r="C908"/>
      <c r="D908"/>
      <c r="E908"/>
      <c r="F908"/>
      <c r="G908"/>
      <c r="H908"/>
      <c r="I908"/>
      <c r="J908"/>
    </row>
    <row r="909" spans="1:10" x14ac:dyDescent="0.35">
      <c r="A909"/>
      <c r="B909"/>
      <c r="C909"/>
      <c r="D909"/>
      <c r="E909"/>
      <c r="F909"/>
      <c r="G909"/>
      <c r="H909"/>
      <c r="I909"/>
      <c r="J909"/>
    </row>
    <row r="910" spans="1:10" x14ac:dyDescent="0.35">
      <c r="A910"/>
      <c r="B910"/>
      <c r="C910"/>
      <c r="D910"/>
      <c r="E910"/>
      <c r="F910"/>
      <c r="G910"/>
      <c r="H910"/>
      <c r="I910"/>
      <c r="J910"/>
    </row>
    <row r="911" spans="1:10" x14ac:dyDescent="0.35">
      <c r="A911"/>
      <c r="B911"/>
      <c r="C911"/>
      <c r="D911"/>
      <c r="E911"/>
      <c r="F911"/>
      <c r="G911"/>
      <c r="H911"/>
      <c r="I911"/>
      <c r="J911"/>
    </row>
    <row r="912" spans="1:10" x14ac:dyDescent="0.35">
      <c r="A912"/>
      <c r="B912"/>
      <c r="C912"/>
      <c r="D912"/>
      <c r="E912"/>
      <c r="F912"/>
      <c r="G912"/>
      <c r="H912"/>
      <c r="I912"/>
      <c r="J912"/>
    </row>
    <row r="913" spans="1:10" x14ac:dyDescent="0.35">
      <c r="A913"/>
      <c r="B913"/>
      <c r="C913"/>
      <c r="D913"/>
      <c r="E913"/>
      <c r="F913"/>
      <c r="G913"/>
      <c r="H913"/>
      <c r="I913"/>
      <c r="J913"/>
    </row>
    <row r="914" spans="1:10" x14ac:dyDescent="0.35">
      <c r="A914"/>
      <c r="B914"/>
      <c r="C914"/>
      <c r="D914"/>
      <c r="E914"/>
      <c r="F914"/>
      <c r="G914"/>
      <c r="H914"/>
      <c r="I914"/>
      <c r="J914"/>
    </row>
    <row r="915" spans="1:10" x14ac:dyDescent="0.35">
      <c r="A915"/>
      <c r="B915"/>
      <c r="C915"/>
      <c r="D915"/>
      <c r="E915"/>
      <c r="F915"/>
      <c r="G915"/>
      <c r="H915"/>
      <c r="I915"/>
      <c r="J915"/>
    </row>
    <row r="916" spans="1:10" x14ac:dyDescent="0.35">
      <c r="A916"/>
      <c r="B916"/>
      <c r="C916"/>
      <c r="D916"/>
      <c r="E916"/>
      <c r="F916"/>
      <c r="G916"/>
      <c r="H916"/>
      <c r="I916"/>
      <c r="J916"/>
    </row>
    <row r="917" spans="1:10" x14ac:dyDescent="0.35">
      <c r="A917"/>
      <c r="B917"/>
      <c r="C917"/>
      <c r="D917"/>
      <c r="E917"/>
      <c r="F917"/>
      <c r="G917"/>
      <c r="H917"/>
      <c r="I917"/>
      <c r="J917"/>
    </row>
    <row r="918" spans="1:10" x14ac:dyDescent="0.35">
      <c r="A918"/>
      <c r="B918"/>
      <c r="C918"/>
      <c r="D918"/>
      <c r="E918"/>
      <c r="F918"/>
      <c r="G918"/>
      <c r="H918"/>
      <c r="I918"/>
      <c r="J918"/>
    </row>
    <row r="919" spans="1:10" x14ac:dyDescent="0.35">
      <c r="A919"/>
      <c r="B919"/>
      <c r="C919"/>
      <c r="D919"/>
      <c r="E919"/>
      <c r="F919"/>
      <c r="G919"/>
      <c r="H919"/>
      <c r="I919"/>
      <c r="J919"/>
    </row>
    <row r="920" spans="1:10" x14ac:dyDescent="0.35">
      <c r="A920"/>
      <c r="B920"/>
      <c r="C920"/>
      <c r="D920"/>
      <c r="E920"/>
      <c r="F920"/>
      <c r="G920"/>
      <c r="H920"/>
      <c r="I920"/>
      <c r="J920"/>
    </row>
    <row r="921" spans="1:10" x14ac:dyDescent="0.35">
      <c r="A921"/>
      <c r="B921"/>
      <c r="C921"/>
      <c r="D921"/>
      <c r="E921"/>
      <c r="F921"/>
      <c r="G921"/>
      <c r="H921"/>
      <c r="I921"/>
      <c r="J921"/>
    </row>
    <row r="922" spans="1:10" x14ac:dyDescent="0.35">
      <c r="A922"/>
      <c r="B922"/>
      <c r="C922"/>
      <c r="D922"/>
      <c r="E922"/>
      <c r="F922"/>
      <c r="G922"/>
      <c r="H922"/>
      <c r="I922"/>
      <c r="J9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opLeftCell="A37" workbookViewId="0">
      <selection activeCell="C23" sqref="C23"/>
    </sheetView>
  </sheetViews>
  <sheetFormatPr defaultRowHeight="14.5" x14ac:dyDescent="0.35"/>
  <cols>
    <col min="1" max="1" width="5.7265625" style="1" customWidth="1"/>
    <col min="2" max="2" width="16.90625" style="1" customWidth="1"/>
    <col min="3" max="3" width="9.81640625" style="1" bestFit="1" customWidth="1"/>
    <col min="4" max="4" width="8.453125" style="1" customWidth="1"/>
    <col min="5" max="5" width="7.453125" style="1" customWidth="1"/>
    <col min="6" max="6" width="11.1796875" bestFit="1" customWidth="1"/>
    <col min="7" max="7" width="10.81640625" customWidth="1"/>
    <col min="8" max="8" width="10.81640625" bestFit="1" customWidth="1"/>
  </cols>
  <sheetData>
    <row r="1" spans="1:8" x14ac:dyDescent="0.35">
      <c r="A1" s="25" t="s">
        <v>32</v>
      </c>
      <c r="B1" s="25" t="s">
        <v>46</v>
      </c>
      <c r="C1" s="25" t="s">
        <v>1</v>
      </c>
      <c r="D1" s="25" t="s">
        <v>36</v>
      </c>
      <c r="E1" s="25" t="s">
        <v>9</v>
      </c>
      <c r="F1" s="25" t="s">
        <v>52</v>
      </c>
      <c r="G1" s="25" t="s">
        <v>0</v>
      </c>
      <c r="H1" s="25" t="s">
        <v>51</v>
      </c>
    </row>
    <row r="2" spans="1:8" x14ac:dyDescent="0.35">
      <c r="A2" s="3">
        <f>'Student Basic Info'!A2</f>
        <v>501</v>
      </c>
      <c r="B2" s="3" t="s">
        <v>44</v>
      </c>
      <c r="C2" s="3" t="s">
        <v>3</v>
      </c>
      <c r="D2" s="3" t="s">
        <v>45</v>
      </c>
      <c r="E2" s="39">
        <v>5</v>
      </c>
      <c r="F2" s="3" t="s">
        <v>53</v>
      </c>
      <c r="G2" s="2"/>
      <c r="H2" s="3">
        <v>2111897195</v>
      </c>
    </row>
    <row r="3" spans="1:8" x14ac:dyDescent="0.35">
      <c r="A3" s="3">
        <f>'Student Basic Info'!A3</f>
        <v>502</v>
      </c>
      <c r="B3" s="3" t="s">
        <v>44</v>
      </c>
      <c r="C3" s="3" t="s">
        <v>3</v>
      </c>
      <c r="D3" s="3" t="s">
        <v>62</v>
      </c>
      <c r="E3" s="39">
        <v>5</v>
      </c>
      <c r="F3" s="3" t="s">
        <v>53</v>
      </c>
      <c r="G3" s="2"/>
      <c r="H3" s="3">
        <v>2111897230</v>
      </c>
    </row>
    <row r="4" spans="1:8" x14ac:dyDescent="0.35">
      <c r="A4" s="3">
        <f>'Student Basic Info'!A4</f>
        <v>503</v>
      </c>
      <c r="B4" s="3" t="s">
        <v>44</v>
      </c>
      <c r="C4" s="3" t="s">
        <v>3</v>
      </c>
      <c r="D4" s="3" t="s">
        <v>63</v>
      </c>
      <c r="E4" s="39">
        <v>5</v>
      </c>
      <c r="F4" s="3" t="s">
        <v>53</v>
      </c>
      <c r="G4" s="2"/>
      <c r="H4" s="3">
        <v>2111896557</v>
      </c>
    </row>
    <row r="5" spans="1:8" x14ac:dyDescent="0.35">
      <c r="A5" s="3">
        <f>'Student Basic Info'!A5</f>
        <v>504</v>
      </c>
      <c r="B5" s="3" t="s">
        <v>44</v>
      </c>
      <c r="C5" s="3" t="s">
        <v>3</v>
      </c>
      <c r="D5" s="3" t="s">
        <v>64</v>
      </c>
      <c r="E5" s="39">
        <v>5</v>
      </c>
      <c r="F5" s="3" t="s">
        <v>53</v>
      </c>
      <c r="G5" s="2"/>
      <c r="H5" s="3">
        <v>2011600400</v>
      </c>
    </row>
    <row r="6" spans="1:8" x14ac:dyDescent="0.35">
      <c r="A6" s="3">
        <f>'Student Basic Info'!A6</f>
        <v>505</v>
      </c>
      <c r="B6" s="3" t="s">
        <v>44</v>
      </c>
      <c r="C6" s="3" t="s">
        <v>3</v>
      </c>
      <c r="D6" s="3" t="s">
        <v>65</v>
      </c>
      <c r="E6" s="39">
        <v>5</v>
      </c>
      <c r="F6" s="3" t="s">
        <v>53</v>
      </c>
      <c r="G6" s="2"/>
      <c r="H6" s="3">
        <v>2111896454</v>
      </c>
    </row>
    <row r="7" spans="1:8" x14ac:dyDescent="0.35">
      <c r="A7" s="3">
        <f>'Student Basic Info'!A7</f>
        <v>506</v>
      </c>
      <c r="B7" s="3" t="s">
        <v>44</v>
      </c>
      <c r="C7" s="3" t="s">
        <v>3</v>
      </c>
      <c r="D7" s="3" t="s">
        <v>66</v>
      </c>
      <c r="E7" s="39">
        <v>5</v>
      </c>
      <c r="F7" s="3" t="s">
        <v>53</v>
      </c>
      <c r="G7" s="2"/>
      <c r="H7" s="3">
        <v>2111897040</v>
      </c>
    </row>
    <row r="8" spans="1:8" x14ac:dyDescent="0.35">
      <c r="A8" s="3">
        <f>'Student Basic Info'!A8</f>
        <v>507</v>
      </c>
      <c r="B8" s="3" t="s">
        <v>44</v>
      </c>
      <c r="C8" s="3" t="s">
        <v>3</v>
      </c>
      <c r="D8" s="3" t="s">
        <v>67</v>
      </c>
      <c r="E8" s="39">
        <v>5</v>
      </c>
      <c r="F8" s="3" t="s">
        <v>53</v>
      </c>
      <c r="G8" s="2"/>
      <c r="H8" s="45">
        <v>2111895023</v>
      </c>
    </row>
    <row r="9" spans="1:8" x14ac:dyDescent="0.35">
      <c r="A9" s="3">
        <f>'Student Basic Info'!A9</f>
        <v>508</v>
      </c>
      <c r="B9" s="3" t="s">
        <v>44</v>
      </c>
      <c r="C9" s="3" t="s">
        <v>3</v>
      </c>
      <c r="D9" s="3" t="s">
        <v>68</v>
      </c>
      <c r="E9" s="39">
        <v>5</v>
      </c>
      <c r="F9" s="3" t="s">
        <v>53</v>
      </c>
      <c r="G9" s="2"/>
      <c r="H9" s="3">
        <v>2011602371</v>
      </c>
    </row>
    <row r="10" spans="1:8" x14ac:dyDescent="0.35">
      <c r="A10" s="3">
        <f>'Student Basic Info'!A10</f>
        <v>509</v>
      </c>
      <c r="B10" s="3" t="s">
        <v>44</v>
      </c>
      <c r="C10" s="3" t="s">
        <v>3</v>
      </c>
      <c r="D10" s="3" t="s">
        <v>69</v>
      </c>
      <c r="E10" s="39">
        <v>5</v>
      </c>
      <c r="F10" s="3" t="s">
        <v>53</v>
      </c>
      <c r="G10" s="2"/>
      <c r="H10" s="3">
        <v>2011600444</v>
      </c>
    </row>
    <row r="11" spans="1:8" x14ac:dyDescent="0.35">
      <c r="A11" s="3">
        <f>'Student Basic Info'!A11</f>
        <v>510</v>
      </c>
      <c r="B11" s="3" t="s">
        <v>44</v>
      </c>
      <c r="C11" s="3" t="s">
        <v>3</v>
      </c>
      <c r="D11" s="3" t="s">
        <v>70</v>
      </c>
      <c r="E11" s="39">
        <v>5</v>
      </c>
      <c r="F11" s="3" t="s">
        <v>53</v>
      </c>
      <c r="G11" s="2"/>
      <c r="H11" s="3">
        <v>2111895048</v>
      </c>
    </row>
    <row r="12" spans="1:8" x14ac:dyDescent="0.35">
      <c r="A12" s="3">
        <f>'Student Basic Info'!A12</f>
        <v>511</v>
      </c>
      <c r="B12" s="3" t="s">
        <v>44</v>
      </c>
      <c r="C12" s="3" t="s">
        <v>3</v>
      </c>
      <c r="D12" s="3" t="s">
        <v>71</v>
      </c>
      <c r="E12" s="39">
        <v>5</v>
      </c>
      <c r="F12" s="3" t="s">
        <v>53</v>
      </c>
      <c r="G12" s="2"/>
      <c r="H12" s="3">
        <v>2011600142</v>
      </c>
    </row>
    <row r="13" spans="1:8" x14ac:dyDescent="0.35">
      <c r="A13" s="3">
        <f>'Student Basic Info'!A13</f>
        <v>512</v>
      </c>
      <c r="B13" s="3" t="s">
        <v>44</v>
      </c>
      <c r="C13" s="3" t="s">
        <v>3</v>
      </c>
      <c r="D13" s="3" t="s">
        <v>72</v>
      </c>
      <c r="E13" s="39">
        <v>5</v>
      </c>
      <c r="F13" s="3" t="s">
        <v>53</v>
      </c>
      <c r="G13" s="2"/>
      <c r="H13" s="45">
        <v>2111897198</v>
      </c>
    </row>
    <row r="14" spans="1:8" x14ac:dyDescent="0.35">
      <c r="A14" s="3">
        <f>'Student Basic Info'!A14</f>
        <v>513</v>
      </c>
      <c r="B14" s="3" t="s">
        <v>44</v>
      </c>
      <c r="C14" s="3" t="s">
        <v>3</v>
      </c>
      <c r="D14" s="3" t="s">
        <v>73</v>
      </c>
      <c r="E14" s="39">
        <v>5</v>
      </c>
      <c r="F14" s="3" t="s">
        <v>53</v>
      </c>
      <c r="G14" s="2"/>
      <c r="H14" s="45">
        <v>2111897036</v>
      </c>
    </row>
    <row r="15" spans="1:8" x14ac:dyDescent="0.35">
      <c r="A15" s="3">
        <f>'Student Basic Info'!A15</f>
        <v>514</v>
      </c>
      <c r="B15" s="3" t="s">
        <v>44</v>
      </c>
      <c r="C15" s="3" t="s">
        <v>3</v>
      </c>
      <c r="D15" s="3" t="s">
        <v>74</v>
      </c>
      <c r="E15" s="39">
        <v>5</v>
      </c>
      <c r="F15" s="3" t="s">
        <v>53</v>
      </c>
      <c r="G15" s="2"/>
      <c r="H15" s="45">
        <v>2111849101</v>
      </c>
    </row>
    <row r="16" spans="1:8" x14ac:dyDescent="0.35">
      <c r="A16" s="3">
        <f>'Student Basic Info'!A16</f>
        <v>515</v>
      </c>
      <c r="B16" s="3" t="s">
        <v>44</v>
      </c>
      <c r="C16" s="3" t="s">
        <v>3</v>
      </c>
      <c r="D16" s="3" t="s">
        <v>75</v>
      </c>
      <c r="E16" s="39">
        <v>5</v>
      </c>
      <c r="F16" s="3" t="s">
        <v>53</v>
      </c>
      <c r="G16" s="2"/>
      <c r="H16" s="45">
        <v>2011602227</v>
      </c>
    </row>
    <row r="17" spans="1:8" x14ac:dyDescent="0.35">
      <c r="A17" s="3">
        <f>'Student Basic Info'!A17</f>
        <v>516</v>
      </c>
      <c r="B17" s="3" t="s">
        <v>44</v>
      </c>
      <c r="C17" s="3" t="s">
        <v>3</v>
      </c>
      <c r="D17" s="3" t="s">
        <v>76</v>
      </c>
      <c r="E17" s="39">
        <v>5</v>
      </c>
      <c r="F17" s="3" t="s">
        <v>53</v>
      </c>
      <c r="G17" s="2"/>
      <c r="H17" s="45">
        <v>2111896346</v>
      </c>
    </row>
    <row r="18" spans="1:8" x14ac:dyDescent="0.35">
      <c r="A18" s="3">
        <f>'Student Basic Info'!A18</f>
        <v>517</v>
      </c>
      <c r="B18" s="3" t="s">
        <v>44</v>
      </c>
      <c r="C18" s="3" t="s">
        <v>3</v>
      </c>
      <c r="D18" s="3" t="s">
        <v>77</v>
      </c>
      <c r="E18" s="39">
        <v>5</v>
      </c>
      <c r="F18" s="3" t="s">
        <v>53</v>
      </c>
      <c r="G18" s="2"/>
      <c r="H18" s="45">
        <v>2111897153</v>
      </c>
    </row>
    <row r="19" spans="1:8" x14ac:dyDescent="0.35">
      <c r="A19" s="3">
        <f>'Student Basic Info'!A19</f>
        <v>518</v>
      </c>
      <c r="B19" s="3" t="s">
        <v>44</v>
      </c>
      <c r="C19" s="3" t="s">
        <v>3</v>
      </c>
      <c r="D19" s="3" t="s">
        <v>78</v>
      </c>
      <c r="E19" s="39">
        <v>5</v>
      </c>
      <c r="F19" s="3" t="s">
        <v>53</v>
      </c>
      <c r="G19" s="2"/>
      <c r="H19" s="45">
        <v>2118689689</v>
      </c>
    </row>
    <row r="20" spans="1:8" x14ac:dyDescent="0.35">
      <c r="A20" s="3">
        <f>'Student Basic Info'!A20</f>
        <v>519</v>
      </c>
      <c r="B20" s="3" t="s">
        <v>44</v>
      </c>
      <c r="C20" s="3" t="s">
        <v>3</v>
      </c>
      <c r="D20" s="3" t="s">
        <v>79</v>
      </c>
      <c r="E20" s="39">
        <v>5</v>
      </c>
      <c r="F20" s="3" t="s">
        <v>53</v>
      </c>
      <c r="G20" s="2"/>
      <c r="H20" s="45">
        <v>2111896379</v>
      </c>
    </row>
    <row r="21" spans="1:8" x14ac:dyDescent="0.35">
      <c r="A21" s="3">
        <f>'Student Basic Info'!A21</f>
        <v>520</v>
      </c>
      <c r="B21" s="3" t="s">
        <v>44</v>
      </c>
      <c r="C21" s="3" t="s">
        <v>3</v>
      </c>
      <c r="D21" s="3" t="s">
        <v>80</v>
      </c>
      <c r="E21" s="39">
        <v>5</v>
      </c>
      <c r="F21" s="3" t="s">
        <v>53</v>
      </c>
      <c r="G21" s="2"/>
      <c r="H21" s="45">
        <v>2111897067</v>
      </c>
    </row>
    <row r="22" spans="1:8" x14ac:dyDescent="0.35">
      <c r="A22" s="3">
        <f>'Student Basic Info'!A22</f>
        <v>521</v>
      </c>
      <c r="B22" s="3" t="s">
        <v>44</v>
      </c>
      <c r="C22" s="3" t="s">
        <v>3</v>
      </c>
      <c r="D22" s="3" t="s">
        <v>81</v>
      </c>
      <c r="E22" s="39">
        <v>5</v>
      </c>
      <c r="F22" s="3" t="s">
        <v>53</v>
      </c>
      <c r="G22" s="2"/>
      <c r="H22" s="3">
        <v>2111896332</v>
      </c>
    </row>
    <row r="23" spans="1:8" x14ac:dyDescent="0.35">
      <c r="A23" s="3">
        <f>'Student Basic Info'!A23</f>
        <v>522</v>
      </c>
      <c r="B23" s="3" t="s">
        <v>44</v>
      </c>
      <c r="C23" s="3" t="s">
        <v>3</v>
      </c>
      <c r="D23" s="3" t="s">
        <v>82</v>
      </c>
      <c r="E23" s="39">
        <v>5</v>
      </c>
      <c r="F23" s="3" t="s">
        <v>53</v>
      </c>
      <c r="G23" s="2"/>
      <c r="H23" s="3">
        <v>2111897240</v>
      </c>
    </row>
    <row r="24" spans="1:8" x14ac:dyDescent="0.35">
      <c r="A24" s="3">
        <f>'Student Basic Info'!A24</f>
        <v>523</v>
      </c>
      <c r="B24" s="3" t="s">
        <v>44</v>
      </c>
      <c r="C24" s="3" t="s">
        <v>3</v>
      </c>
      <c r="D24" s="3" t="s">
        <v>83</v>
      </c>
      <c r="E24" s="39">
        <v>5</v>
      </c>
      <c r="F24" s="3" t="s">
        <v>53</v>
      </c>
      <c r="G24" s="2"/>
      <c r="H24" s="3">
        <v>2111897249</v>
      </c>
    </row>
    <row r="25" spans="1:8" x14ac:dyDescent="0.35">
      <c r="A25" s="3">
        <f>'Student Basic Info'!A25</f>
        <v>524</v>
      </c>
      <c r="B25" s="3" t="s">
        <v>44</v>
      </c>
      <c r="C25" s="3" t="s">
        <v>3</v>
      </c>
      <c r="D25" s="3" t="s">
        <v>84</v>
      </c>
      <c r="E25" s="39">
        <v>5</v>
      </c>
      <c r="F25" s="3" t="s">
        <v>53</v>
      </c>
      <c r="G25" s="2"/>
      <c r="H25" s="3">
        <v>2111895541</v>
      </c>
    </row>
    <row r="26" spans="1:8" x14ac:dyDescent="0.35">
      <c r="A26" s="3">
        <f>'Student Basic Info'!A26</f>
        <v>525</v>
      </c>
      <c r="B26" s="3" t="s">
        <v>44</v>
      </c>
      <c r="C26" s="3" t="s">
        <v>3</v>
      </c>
      <c r="D26" s="3" t="s">
        <v>85</v>
      </c>
      <c r="E26" s="39">
        <v>5</v>
      </c>
      <c r="F26" s="3" t="s">
        <v>53</v>
      </c>
      <c r="G26" s="2"/>
      <c r="H26" s="3">
        <v>2111895020</v>
      </c>
    </row>
    <row r="27" spans="1:8" x14ac:dyDescent="0.35">
      <c r="A27" s="3">
        <f>'Student Basic Info'!A27</f>
        <v>526</v>
      </c>
      <c r="B27" s="3" t="s">
        <v>44</v>
      </c>
      <c r="C27" s="3" t="s">
        <v>3</v>
      </c>
      <c r="D27" s="3" t="s">
        <v>86</v>
      </c>
      <c r="E27" s="39">
        <v>5</v>
      </c>
      <c r="F27" s="3" t="s">
        <v>53</v>
      </c>
      <c r="G27" s="2"/>
      <c r="H27" s="3">
        <v>2111896450</v>
      </c>
    </row>
    <row r="28" spans="1:8" x14ac:dyDescent="0.35">
      <c r="A28" s="3">
        <f>'Student Basic Info'!A28</f>
        <v>527</v>
      </c>
      <c r="B28" s="3" t="s">
        <v>44</v>
      </c>
      <c r="C28" s="3" t="s">
        <v>3</v>
      </c>
      <c r="D28" s="3" t="s">
        <v>87</v>
      </c>
      <c r="E28" s="39">
        <v>5</v>
      </c>
      <c r="F28" s="3" t="s">
        <v>53</v>
      </c>
      <c r="G28" s="2"/>
      <c r="H28" s="3">
        <v>2111897026</v>
      </c>
    </row>
    <row r="29" spans="1:8" x14ac:dyDescent="0.35">
      <c r="A29" s="3">
        <f>'Student Basic Info'!A29</f>
        <v>528</v>
      </c>
      <c r="B29" s="3" t="s">
        <v>44</v>
      </c>
      <c r="C29" s="3" t="s">
        <v>3</v>
      </c>
      <c r="D29" s="3" t="s">
        <v>88</v>
      </c>
      <c r="E29" s="39">
        <v>5</v>
      </c>
      <c r="F29" s="3" t="s">
        <v>53</v>
      </c>
      <c r="G29" s="2"/>
      <c r="H29" s="45">
        <v>2111897868</v>
      </c>
    </row>
    <row r="30" spans="1:8" x14ac:dyDescent="0.35">
      <c r="A30" s="3">
        <f>'Student Basic Info'!A30</f>
        <v>529</v>
      </c>
      <c r="B30" s="3" t="s">
        <v>44</v>
      </c>
      <c r="C30" s="3" t="s">
        <v>3</v>
      </c>
      <c r="D30" s="3" t="s">
        <v>89</v>
      </c>
      <c r="E30" s="39">
        <v>5</v>
      </c>
      <c r="F30" s="3" t="s">
        <v>53</v>
      </c>
      <c r="G30" s="2"/>
      <c r="H30" s="45">
        <v>2111897278</v>
      </c>
    </row>
    <row r="31" spans="1:8" x14ac:dyDescent="0.35">
      <c r="A31" s="3">
        <f>'Student Basic Info'!A31</f>
        <v>530</v>
      </c>
      <c r="B31" s="3" t="s">
        <v>44</v>
      </c>
      <c r="C31" s="3" t="s">
        <v>3</v>
      </c>
      <c r="D31" s="3" t="s">
        <v>90</v>
      </c>
      <c r="E31" s="39">
        <v>5</v>
      </c>
      <c r="F31" s="3" t="s">
        <v>53</v>
      </c>
      <c r="G31" s="2"/>
      <c r="H31" s="45">
        <v>2111896298</v>
      </c>
    </row>
    <row r="32" spans="1:8" x14ac:dyDescent="0.35">
      <c r="A32" s="3">
        <f>'Student Basic Info'!A32</f>
        <v>531</v>
      </c>
      <c r="B32" s="3" t="s">
        <v>44</v>
      </c>
      <c r="C32" s="3" t="s">
        <v>3</v>
      </c>
      <c r="D32" s="3" t="s">
        <v>91</v>
      </c>
      <c r="E32" s="39">
        <v>5</v>
      </c>
      <c r="F32" s="3" t="s">
        <v>53</v>
      </c>
      <c r="G32" s="2"/>
      <c r="H32" s="3">
        <v>2111897022</v>
      </c>
    </row>
    <row r="33" spans="1:8" x14ac:dyDescent="0.35">
      <c r="A33" s="3">
        <f>'Student Basic Info'!A33</f>
        <v>532</v>
      </c>
      <c r="B33" s="3" t="s">
        <v>44</v>
      </c>
      <c r="C33" s="3" t="s">
        <v>3</v>
      </c>
      <c r="D33" s="3" t="s">
        <v>92</v>
      </c>
      <c r="E33" s="39">
        <v>5</v>
      </c>
      <c r="F33" s="3" t="s">
        <v>53</v>
      </c>
      <c r="G33" s="2"/>
      <c r="H33" s="3">
        <v>2111896313</v>
      </c>
    </row>
    <row r="34" spans="1:8" x14ac:dyDescent="0.35">
      <c r="A34" s="3">
        <f>'Student Basic Info'!A34</f>
        <v>533</v>
      </c>
      <c r="B34" s="3" t="s">
        <v>44</v>
      </c>
      <c r="C34" s="3" t="s">
        <v>3</v>
      </c>
      <c r="D34" s="3" t="s">
        <v>93</v>
      </c>
      <c r="E34" s="39">
        <v>5</v>
      </c>
      <c r="F34" s="3" t="s">
        <v>53</v>
      </c>
      <c r="G34" s="2"/>
      <c r="H34" s="3">
        <v>2111914426</v>
      </c>
    </row>
    <row r="35" spans="1:8" x14ac:dyDescent="0.35">
      <c r="A35" s="3">
        <f>'Student Basic Info'!A35</f>
        <v>534</v>
      </c>
      <c r="B35" s="3" t="s">
        <v>44</v>
      </c>
      <c r="C35" s="3" t="s">
        <v>3</v>
      </c>
      <c r="D35" s="3" t="s">
        <v>94</v>
      </c>
      <c r="E35" s="39">
        <v>5</v>
      </c>
      <c r="F35" s="3" t="s">
        <v>53</v>
      </c>
      <c r="G35" s="2"/>
      <c r="H35" s="3">
        <v>2111895512</v>
      </c>
    </row>
    <row r="36" spans="1:8" x14ac:dyDescent="0.35">
      <c r="A36" s="3">
        <f>'Student Basic Info'!A36</f>
        <v>535</v>
      </c>
      <c r="B36" s="3" t="s">
        <v>44</v>
      </c>
      <c r="C36" s="3" t="s">
        <v>3</v>
      </c>
      <c r="D36" s="3" t="s">
        <v>95</v>
      </c>
      <c r="E36" s="39">
        <v>5</v>
      </c>
      <c r="F36" s="3" t="s">
        <v>53</v>
      </c>
      <c r="G36" s="2"/>
      <c r="H36" s="3">
        <v>2111897420</v>
      </c>
    </row>
    <row r="37" spans="1:8" x14ac:dyDescent="0.35">
      <c r="A37" s="3">
        <f>'Student Basic Info'!A37</f>
        <v>536</v>
      </c>
      <c r="B37" s="3" t="s">
        <v>44</v>
      </c>
      <c r="C37" s="3" t="s">
        <v>3</v>
      </c>
      <c r="D37" s="3" t="s">
        <v>96</v>
      </c>
      <c r="E37" s="39">
        <v>5</v>
      </c>
      <c r="F37" s="3" t="s">
        <v>53</v>
      </c>
      <c r="G37" s="2"/>
      <c r="H37" s="3">
        <v>2011602372</v>
      </c>
    </row>
    <row r="38" spans="1:8" x14ac:dyDescent="0.35">
      <c r="A38" s="3">
        <f>'Student Basic Info'!A38</f>
        <v>537</v>
      </c>
      <c r="B38" s="3" t="s">
        <v>44</v>
      </c>
      <c r="C38" s="3" t="s">
        <v>3</v>
      </c>
      <c r="D38" s="3" t="s">
        <v>97</v>
      </c>
      <c r="E38" s="39">
        <v>5</v>
      </c>
      <c r="F38" s="3" t="s">
        <v>53</v>
      </c>
      <c r="G38" s="2"/>
      <c r="H38" s="3">
        <v>2111897057</v>
      </c>
    </row>
    <row r="39" spans="1:8" x14ac:dyDescent="0.35">
      <c r="A39" s="3">
        <f>'Student Basic Info'!A39</f>
        <v>538</v>
      </c>
      <c r="B39" s="3" t="s">
        <v>44</v>
      </c>
      <c r="C39" s="3" t="s">
        <v>3</v>
      </c>
      <c r="D39" s="3" t="s">
        <v>98</v>
      </c>
      <c r="E39" s="39">
        <v>5</v>
      </c>
      <c r="F39" s="3" t="s">
        <v>53</v>
      </c>
      <c r="G39" s="2"/>
      <c r="H39" s="3">
        <v>2111895057</v>
      </c>
    </row>
    <row r="40" spans="1:8" x14ac:dyDescent="0.35">
      <c r="A40" s="3">
        <f>'Student Basic Info'!A40</f>
        <v>539</v>
      </c>
      <c r="B40" s="3" t="s">
        <v>44</v>
      </c>
      <c r="C40" s="3" t="s">
        <v>3</v>
      </c>
      <c r="D40" s="3" t="s">
        <v>99</v>
      </c>
      <c r="E40" s="39">
        <v>5</v>
      </c>
      <c r="F40" s="3" t="s">
        <v>53</v>
      </c>
      <c r="G40" s="2"/>
      <c r="H40" s="3">
        <v>2111895032</v>
      </c>
    </row>
    <row r="41" spans="1:8" x14ac:dyDescent="0.35">
      <c r="A41" s="3">
        <f>'Student Basic Info'!A41</f>
        <v>540</v>
      </c>
      <c r="B41" s="3" t="s">
        <v>44</v>
      </c>
      <c r="C41" s="3" t="s">
        <v>3</v>
      </c>
      <c r="D41" s="3" t="s">
        <v>100</v>
      </c>
      <c r="E41" s="39">
        <v>5</v>
      </c>
      <c r="F41" s="3" t="s">
        <v>53</v>
      </c>
      <c r="G41" s="2"/>
      <c r="H41" s="45">
        <v>1911313436</v>
      </c>
    </row>
    <row r="42" spans="1:8" x14ac:dyDescent="0.35">
      <c r="A42" s="3">
        <f>'Student Basic Info'!A42</f>
        <v>541</v>
      </c>
      <c r="B42" s="3" t="s">
        <v>44</v>
      </c>
      <c r="C42" s="3" t="s">
        <v>3</v>
      </c>
      <c r="D42" s="3" t="s">
        <v>101</v>
      </c>
      <c r="E42" s="39">
        <v>5</v>
      </c>
      <c r="F42" s="3" t="s">
        <v>53</v>
      </c>
      <c r="G42" s="2"/>
      <c r="H42" s="45">
        <v>2111896312</v>
      </c>
    </row>
    <row r="43" spans="1:8" x14ac:dyDescent="0.35">
      <c r="A43" s="3">
        <f>'Student Basic Info'!A43</f>
        <v>542</v>
      </c>
      <c r="B43" s="3" t="s">
        <v>44</v>
      </c>
      <c r="C43" s="3" t="s">
        <v>3</v>
      </c>
      <c r="D43" s="3" t="s">
        <v>102</v>
      </c>
      <c r="E43" s="39">
        <v>5</v>
      </c>
      <c r="F43" s="3" t="s">
        <v>53</v>
      </c>
      <c r="G43" s="2"/>
      <c r="H43" s="45">
        <v>2118689684</v>
      </c>
    </row>
    <row r="44" spans="1:8" x14ac:dyDescent="0.35">
      <c r="A44" s="3">
        <f>'Student Basic Info'!A44</f>
        <v>543</v>
      </c>
      <c r="B44" s="3" t="s">
        <v>44</v>
      </c>
      <c r="C44" s="3" t="s">
        <v>3</v>
      </c>
      <c r="D44" s="3" t="s">
        <v>103</v>
      </c>
      <c r="E44" s="39">
        <v>5</v>
      </c>
      <c r="F44" s="3" t="s">
        <v>53</v>
      </c>
      <c r="G44" s="2"/>
      <c r="H44" s="45">
        <v>2011602393</v>
      </c>
    </row>
    <row r="45" spans="1:8" x14ac:dyDescent="0.35">
      <c r="A45" s="3">
        <f>'Student Basic Info'!A45</f>
        <v>544</v>
      </c>
      <c r="B45" s="3" t="s">
        <v>44</v>
      </c>
      <c r="C45" s="3" t="s">
        <v>3</v>
      </c>
      <c r="D45" s="3" t="s">
        <v>104</v>
      </c>
      <c r="E45" s="39">
        <v>5</v>
      </c>
      <c r="F45" s="3" t="s">
        <v>53</v>
      </c>
      <c r="G45" s="2"/>
      <c r="H45" s="45">
        <v>2011602312</v>
      </c>
    </row>
    <row r="46" spans="1:8" x14ac:dyDescent="0.35">
      <c r="A46" s="3">
        <f>'Student Basic Info'!A46</f>
        <v>545</v>
      </c>
      <c r="B46" s="3" t="s">
        <v>44</v>
      </c>
      <c r="C46" s="3" t="s">
        <v>3</v>
      </c>
      <c r="D46" s="3" t="s">
        <v>105</v>
      </c>
      <c r="E46" s="39">
        <v>5</v>
      </c>
      <c r="F46" s="3" t="s">
        <v>53</v>
      </c>
      <c r="G46" s="2"/>
      <c r="H46" s="45">
        <v>2111894946</v>
      </c>
    </row>
    <row r="47" spans="1:8" x14ac:dyDescent="0.35">
      <c r="A47" s="3">
        <f>'Student Basic Info'!A47</f>
        <v>546</v>
      </c>
      <c r="B47" s="3" t="s">
        <v>44</v>
      </c>
      <c r="C47" s="3" t="s">
        <v>3</v>
      </c>
      <c r="D47" s="3" t="s">
        <v>106</v>
      </c>
      <c r="E47" s="39">
        <v>5</v>
      </c>
      <c r="F47" s="3" t="s">
        <v>53</v>
      </c>
      <c r="G47" s="2"/>
      <c r="H47" s="45">
        <v>2111896458</v>
      </c>
    </row>
    <row r="48" spans="1:8" x14ac:dyDescent="0.35">
      <c r="A48" s="3">
        <f>'Student Basic Info'!A48</f>
        <v>547</v>
      </c>
      <c r="B48" s="3" t="s">
        <v>44</v>
      </c>
      <c r="C48" s="3" t="s">
        <v>3</v>
      </c>
      <c r="D48" s="3" t="s">
        <v>107</v>
      </c>
      <c r="E48" s="39">
        <v>5</v>
      </c>
      <c r="F48" s="3" t="s">
        <v>53</v>
      </c>
      <c r="G48" s="2"/>
      <c r="H48" s="45">
        <v>2111896863</v>
      </c>
    </row>
    <row r="49" spans="1:8" x14ac:dyDescent="0.35">
      <c r="A49" s="3">
        <f>'Student Basic Info'!A49</f>
        <v>548</v>
      </c>
      <c r="B49" s="3" t="s">
        <v>44</v>
      </c>
      <c r="C49" s="3" t="s">
        <v>3</v>
      </c>
      <c r="D49" s="3" t="s">
        <v>108</v>
      </c>
      <c r="E49" s="39">
        <v>5</v>
      </c>
      <c r="F49" s="3" t="s">
        <v>53</v>
      </c>
      <c r="G49" s="2"/>
      <c r="H49" s="45">
        <v>2111896453</v>
      </c>
    </row>
    <row r="50" spans="1:8" x14ac:dyDescent="0.35">
      <c r="A50" s="3">
        <f>'Student Basic Info'!A50</f>
        <v>549</v>
      </c>
      <c r="B50" s="3" t="s">
        <v>44</v>
      </c>
      <c r="C50" s="3" t="s">
        <v>3</v>
      </c>
      <c r="D50" s="3" t="s">
        <v>109</v>
      </c>
      <c r="E50" s="39">
        <v>5</v>
      </c>
      <c r="F50" s="3" t="s">
        <v>53</v>
      </c>
      <c r="G50" s="2"/>
      <c r="H50" s="45">
        <v>2111896463</v>
      </c>
    </row>
    <row r="51" spans="1:8" x14ac:dyDescent="0.35">
      <c r="A51" s="3">
        <f>'Student Basic Info'!A51</f>
        <v>550</v>
      </c>
      <c r="B51" s="3" t="s">
        <v>44</v>
      </c>
      <c r="C51" s="3" t="s">
        <v>3</v>
      </c>
      <c r="D51" s="3" t="s">
        <v>110</v>
      </c>
      <c r="E51" s="39">
        <v>5</v>
      </c>
      <c r="F51" s="3" t="s">
        <v>53</v>
      </c>
      <c r="G51" s="2"/>
      <c r="H51" s="45">
        <v>2118689683</v>
      </c>
    </row>
    <row r="52" spans="1:8" x14ac:dyDescent="0.35">
      <c r="A52" s="3">
        <f>'Student Basic Info'!A52</f>
        <v>551</v>
      </c>
      <c r="B52" s="3" t="s">
        <v>44</v>
      </c>
      <c r="C52" s="3" t="s">
        <v>3</v>
      </c>
      <c r="D52" s="3" t="s">
        <v>111</v>
      </c>
      <c r="E52" s="39">
        <v>5</v>
      </c>
      <c r="F52" s="3" t="s">
        <v>53</v>
      </c>
      <c r="G52" s="2"/>
      <c r="H52" s="45">
        <v>2111896456</v>
      </c>
    </row>
    <row r="53" spans="1:8" x14ac:dyDescent="0.35">
      <c r="A53" s="3">
        <f>'Student Basic Info'!A53</f>
        <v>552</v>
      </c>
      <c r="B53" s="3" t="s">
        <v>44</v>
      </c>
      <c r="C53" s="3" t="s">
        <v>3</v>
      </c>
      <c r="D53" s="3" t="s">
        <v>112</v>
      </c>
      <c r="E53" s="39">
        <v>5</v>
      </c>
      <c r="F53" s="3" t="s">
        <v>53</v>
      </c>
      <c r="G53" s="2"/>
      <c r="H53" s="45">
        <v>2011602282</v>
      </c>
    </row>
    <row r="54" spans="1:8" x14ac:dyDescent="0.35">
      <c r="A54" s="3">
        <f>'Student Basic Info'!A54</f>
        <v>553</v>
      </c>
      <c r="B54" s="3" t="s">
        <v>44</v>
      </c>
      <c r="C54" s="3" t="s">
        <v>3</v>
      </c>
      <c r="D54" s="3" t="s">
        <v>113</v>
      </c>
      <c r="E54" s="39">
        <v>5</v>
      </c>
      <c r="F54" s="3" t="s">
        <v>53</v>
      </c>
      <c r="G54" s="2"/>
      <c r="H54" s="45">
        <v>2111897162</v>
      </c>
    </row>
    <row r="55" spans="1:8" x14ac:dyDescent="0.35">
      <c r="A55" s="3">
        <f>'Student Basic Info'!A55</f>
        <v>554</v>
      </c>
      <c r="B55" s="3" t="s">
        <v>44</v>
      </c>
      <c r="C55" s="3" t="s">
        <v>3</v>
      </c>
      <c r="D55" s="3" t="s">
        <v>114</v>
      </c>
      <c r="E55" s="39">
        <v>5</v>
      </c>
      <c r="F55" s="3" t="s">
        <v>53</v>
      </c>
      <c r="G55" s="2"/>
      <c r="H55" s="45">
        <v>1911316205</v>
      </c>
    </row>
    <row r="56" spans="1:8" x14ac:dyDescent="0.35">
      <c r="A56" s="3">
        <f>'Student Basic Info'!A56</f>
        <v>555</v>
      </c>
      <c r="B56" s="3" t="s">
        <v>44</v>
      </c>
      <c r="C56" s="3" t="s">
        <v>3</v>
      </c>
      <c r="D56" s="3" t="s">
        <v>115</v>
      </c>
      <c r="E56" s="39">
        <v>5</v>
      </c>
      <c r="F56" s="3" t="s">
        <v>53</v>
      </c>
      <c r="G56" s="2"/>
      <c r="H56" s="45">
        <v>2111896327</v>
      </c>
    </row>
    <row r="57" spans="1:8" x14ac:dyDescent="0.35">
      <c r="A57" s="3">
        <f>'Student Basic Info'!A57</f>
        <v>556</v>
      </c>
      <c r="B57" s="3" t="s">
        <v>44</v>
      </c>
      <c r="C57" s="3" t="s">
        <v>3</v>
      </c>
      <c r="D57" s="3" t="s">
        <v>116</v>
      </c>
      <c r="E57" s="39">
        <v>5</v>
      </c>
      <c r="F57" s="3" t="s">
        <v>53</v>
      </c>
      <c r="G57" s="2"/>
      <c r="H57" s="45">
        <v>2111896352</v>
      </c>
    </row>
    <row r="58" spans="1:8" x14ac:dyDescent="0.35">
      <c r="A58" s="3">
        <f>'Student Basic Info'!A58</f>
        <v>557</v>
      </c>
      <c r="B58" s="3" t="s">
        <v>44</v>
      </c>
      <c r="C58" s="3" t="s">
        <v>3</v>
      </c>
      <c r="D58" s="3" t="s">
        <v>117</v>
      </c>
      <c r="E58" s="39">
        <v>5</v>
      </c>
      <c r="F58" s="3" t="s">
        <v>53</v>
      </c>
      <c r="G58" s="2"/>
      <c r="H58" s="45">
        <v>2111944013</v>
      </c>
    </row>
    <row r="59" spans="1:8" x14ac:dyDescent="0.35">
      <c r="A59" s="3">
        <f>'Student Basic Info'!A59</f>
        <v>558</v>
      </c>
      <c r="B59" s="3" t="s">
        <v>44</v>
      </c>
      <c r="C59" s="3" t="s">
        <v>3</v>
      </c>
      <c r="D59" s="3" t="s">
        <v>118</v>
      </c>
      <c r="E59" s="39">
        <v>5</v>
      </c>
      <c r="F59" s="3" t="s">
        <v>53</v>
      </c>
      <c r="G59" s="2"/>
      <c r="H59" s="45">
        <v>2111944028</v>
      </c>
    </row>
    <row r="60" spans="1:8" x14ac:dyDescent="0.35">
      <c r="A60" s="3">
        <f>'Student Basic Info'!A60</f>
        <v>559</v>
      </c>
      <c r="B60" s="3" t="s">
        <v>44</v>
      </c>
      <c r="C60" s="3" t="s">
        <v>3</v>
      </c>
      <c r="D60" s="3" t="s">
        <v>119</v>
      </c>
      <c r="E60" s="39">
        <v>5</v>
      </c>
      <c r="F60" s="3" t="s">
        <v>53</v>
      </c>
      <c r="G60" s="2"/>
      <c r="H60" s="45">
        <v>2111896319</v>
      </c>
    </row>
    <row r="61" spans="1:8" x14ac:dyDescent="0.35">
      <c r="A61" s="3">
        <f>'Student Basic Info'!A61</f>
        <v>560</v>
      </c>
      <c r="B61" s="3" t="s">
        <v>44</v>
      </c>
      <c r="C61" s="3" t="s">
        <v>3</v>
      </c>
      <c r="D61" s="3" t="s">
        <v>120</v>
      </c>
      <c r="E61" s="39">
        <v>5</v>
      </c>
      <c r="F61" s="3" t="s">
        <v>53</v>
      </c>
      <c r="G61" s="2"/>
      <c r="H61" s="45">
        <v>2111895521</v>
      </c>
    </row>
    <row r="62" spans="1:8" x14ac:dyDescent="0.35">
      <c r="A62" s="3">
        <f>'Student Basic Info'!A62</f>
        <v>561</v>
      </c>
      <c r="B62" s="3" t="s">
        <v>44</v>
      </c>
      <c r="C62" s="3" t="s">
        <v>3</v>
      </c>
      <c r="D62" s="3" t="s">
        <v>121</v>
      </c>
      <c r="E62" s="39">
        <v>5</v>
      </c>
      <c r="F62" s="3" t="s">
        <v>53</v>
      </c>
      <c r="G62" s="2"/>
      <c r="H62" s="45">
        <v>2111896366</v>
      </c>
    </row>
    <row r="63" spans="1:8" x14ac:dyDescent="0.35">
      <c r="A63" s="3">
        <f>'Student Basic Info'!A63</f>
        <v>562</v>
      </c>
      <c r="B63" s="3" t="s">
        <v>44</v>
      </c>
      <c r="C63" s="3" t="s">
        <v>3</v>
      </c>
      <c r="D63" s="3" t="s">
        <v>122</v>
      </c>
      <c r="E63" s="39">
        <v>5</v>
      </c>
      <c r="F63" s="3" t="s">
        <v>53</v>
      </c>
      <c r="G63" s="2"/>
      <c r="H63" s="45">
        <v>2011601663</v>
      </c>
    </row>
    <row r="64" spans="1:8" x14ac:dyDescent="0.35">
      <c r="A64" s="3">
        <f>'Student Basic Info'!A64</f>
        <v>563</v>
      </c>
      <c r="B64" s="3" t="s">
        <v>44</v>
      </c>
      <c r="C64" s="3" t="s">
        <v>3</v>
      </c>
      <c r="D64" s="3" t="s">
        <v>123</v>
      </c>
      <c r="E64" s="39">
        <v>5</v>
      </c>
      <c r="F64" s="3" t="s">
        <v>53</v>
      </c>
      <c r="G64" s="2"/>
      <c r="H64" s="45">
        <v>2111896343</v>
      </c>
    </row>
    <row r="65" spans="1:8" x14ac:dyDescent="0.35">
      <c r="A65" s="3">
        <f>'Student Basic Info'!A65</f>
        <v>564</v>
      </c>
      <c r="B65" s="3" t="s">
        <v>44</v>
      </c>
      <c r="C65" s="3" t="s">
        <v>3</v>
      </c>
      <c r="D65" s="3" t="s">
        <v>124</v>
      </c>
      <c r="E65" s="39">
        <v>5</v>
      </c>
      <c r="F65" s="3" t="s">
        <v>53</v>
      </c>
      <c r="G65" s="2"/>
      <c r="H65" s="45">
        <v>2111896348</v>
      </c>
    </row>
    <row r="66" spans="1:8" x14ac:dyDescent="0.35">
      <c r="A66" s="3">
        <f>'Student Basic Info'!A66</f>
        <v>565</v>
      </c>
      <c r="B66" s="3" t="s">
        <v>44</v>
      </c>
      <c r="C66" s="3" t="s">
        <v>3</v>
      </c>
      <c r="D66" s="3" t="s">
        <v>125</v>
      </c>
      <c r="E66" s="39">
        <v>5</v>
      </c>
      <c r="F66" s="3" t="s">
        <v>53</v>
      </c>
      <c r="G66" s="2"/>
      <c r="H66" s="45">
        <v>1911315993</v>
      </c>
    </row>
    <row r="67" spans="1:8" x14ac:dyDescent="0.35">
      <c r="A67" s="3">
        <f>'Student Basic Info'!A67</f>
        <v>566</v>
      </c>
      <c r="B67" s="3" t="s">
        <v>44</v>
      </c>
      <c r="C67" s="3" t="s">
        <v>3</v>
      </c>
      <c r="D67" s="3" t="s">
        <v>126</v>
      </c>
      <c r="E67" s="39">
        <v>5</v>
      </c>
      <c r="F67" s="3" t="s">
        <v>53</v>
      </c>
      <c r="G67" s="2"/>
      <c r="H67" s="45">
        <v>2111896347</v>
      </c>
    </row>
    <row r="68" spans="1:8" x14ac:dyDescent="0.35">
      <c r="A68" s="3">
        <f>'Student Basic Info'!A68</f>
        <v>567</v>
      </c>
      <c r="B68" s="3" t="s">
        <v>44</v>
      </c>
      <c r="C68" s="3" t="s">
        <v>3</v>
      </c>
      <c r="D68" s="3" t="s">
        <v>127</v>
      </c>
      <c r="E68" s="39">
        <v>5</v>
      </c>
      <c r="F68" s="3" t="s">
        <v>53</v>
      </c>
      <c r="G68" s="2"/>
      <c r="H68" s="45">
        <v>2111896344</v>
      </c>
    </row>
    <row r="69" spans="1:8" x14ac:dyDescent="0.35">
      <c r="A69" s="3">
        <f>'Student Basic Info'!A69</f>
        <v>568</v>
      </c>
      <c r="B69" s="3" t="s">
        <v>44</v>
      </c>
      <c r="C69" s="3" t="s">
        <v>3</v>
      </c>
      <c r="D69" s="3" t="s">
        <v>128</v>
      </c>
      <c r="E69" s="39">
        <v>5</v>
      </c>
      <c r="F69" s="3" t="s">
        <v>53</v>
      </c>
      <c r="G69" s="2"/>
      <c r="H69" s="45">
        <v>2111896349</v>
      </c>
    </row>
    <row r="70" spans="1:8" x14ac:dyDescent="0.35">
      <c r="A70" s="3">
        <f>'Student Basic Info'!A70</f>
        <v>569</v>
      </c>
      <c r="B70" s="3" t="s">
        <v>44</v>
      </c>
      <c r="C70" s="3" t="s">
        <v>3</v>
      </c>
      <c r="D70" s="3" t="s">
        <v>129</v>
      </c>
      <c r="E70" s="39">
        <v>5</v>
      </c>
      <c r="F70" s="3" t="s">
        <v>53</v>
      </c>
      <c r="G70" s="2"/>
      <c r="H70" s="45">
        <v>2111896350</v>
      </c>
    </row>
    <row r="71" spans="1:8" x14ac:dyDescent="0.35">
      <c r="A71" s="3">
        <f>'Student Basic Info'!A71</f>
        <v>570</v>
      </c>
      <c r="B71" s="3" t="s">
        <v>44</v>
      </c>
      <c r="C71" s="3" t="s">
        <v>3</v>
      </c>
      <c r="D71" s="3" t="s">
        <v>130</v>
      </c>
      <c r="E71" s="39">
        <v>5</v>
      </c>
      <c r="F71" s="3" t="s">
        <v>53</v>
      </c>
      <c r="G71" s="2"/>
      <c r="H71" s="45">
        <v>2111896342</v>
      </c>
    </row>
    <row r="72" spans="1:8" x14ac:dyDescent="0.35">
      <c r="A72" s="3">
        <f>'Student Basic Info'!A72</f>
        <v>571</v>
      </c>
      <c r="B72" s="3" t="s">
        <v>44</v>
      </c>
      <c r="C72" s="3" t="s">
        <v>3</v>
      </c>
      <c r="D72" s="3" t="s">
        <v>131</v>
      </c>
      <c r="E72" s="39">
        <v>5</v>
      </c>
      <c r="F72" s="3" t="s">
        <v>53</v>
      </c>
      <c r="G72" s="2"/>
      <c r="H72" s="45">
        <v>2111897161</v>
      </c>
    </row>
    <row r="73" spans="1:8" x14ac:dyDescent="0.35">
      <c r="A73" s="3">
        <f>'Student Basic Info'!A73</f>
        <v>572</v>
      </c>
      <c r="B73" s="3" t="s">
        <v>44</v>
      </c>
      <c r="C73" s="3" t="s">
        <v>3</v>
      </c>
      <c r="D73" s="3" t="s">
        <v>132</v>
      </c>
      <c r="E73" s="39">
        <v>5</v>
      </c>
      <c r="F73" s="3" t="s">
        <v>53</v>
      </c>
      <c r="G73" s="2"/>
      <c r="H73" s="45">
        <v>2111897159</v>
      </c>
    </row>
    <row r="74" spans="1:8" x14ac:dyDescent="0.35">
      <c r="A74" s="3">
        <f>'Student Basic Info'!A74</f>
        <v>573</v>
      </c>
      <c r="B74" s="3" t="s">
        <v>44</v>
      </c>
      <c r="C74" s="3" t="s">
        <v>3</v>
      </c>
      <c r="D74" s="3" t="s">
        <v>133</v>
      </c>
      <c r="E74" s="39">
        <v>5</v>
      </c>
      <c r="F74" s="3" t="s">
        <v>53</v>
      </c>
      <c r="G74" s="2"/>
      <c r="H74" s="45">
        <v>2111896291</v>
      </c>
    </row>
    <row r="75" spans="1:8" x14ac:dyDescent="0.35">
      <c r="A75" s="3">
        <f>'Student Basic Info'!A75</f>
        <v>574</v>
      </c>
      <c r="B75" s="3" t="s">
        <v>44</v>
      </c>
      <c r="C75" s="3" t="s">
        <v>3</v>
      </c>
      <c r="D75" s="3" t="s">
        <v>134</v>
      </c>
      <c r="E75" s="39">
        <v>5</v>
      </c>
      <c r="F75" s="3" t="s">
        <v>53</v>
      </c>
      <c r="G75" s="2"/>
      <c r="H75" s="45">
        <v>2011601799</v>
      </c>
    </row>
    <row r="76" spans="1:8" x14ac:dyDescent="0.35">
      <c r="A76" s="3">
        <f>'Student Basic Info'!A76</f>
        <v>575</v>
      </c>
      <c r="B76" s="3" t="s">
        <v>44</v>
      </c>
      <c r="C76" s="3" t="s">
        <v>3</v>
      </c>
      <c r="D76" s="3" t="s">
        <v>135</v>
      </c>
      <c r="E76" s="39">
        <v>5</v>
      </c>
      <c r="F76" s="3" t="s">
        <v>53</v>
      </c>
      <c r="G76" s="2"/>
      <c r="H76" s="3">
        <v>2111896320</v>
      </c>
    </row>
    <row r="77" spans="1:8" x14ac:dyDescent="0.35">
      <c r="A77" s="3">
        <f>'Student Basic Info'!A77</f>
        <v>576</v>
      </c>
      <c r="B77" s="3" t="s">
        <v>44</v>
      </c>
      <c r="C77" s="3" t="s">
        <v>3</v>
      </c>
      <c r="D77" s="3" t="s">
        <v>136</v>
      </c>
      <c r="E77" s="39">
        <v>5</v>
      </c>
      <c r="F77" s="3" t="s">
        <v>53</v>
      </c>
      <c r="G77" s="2"/>
      <c r="H77" s="3">
        <v>2111895544</v>
      </c>
    </row>
    <row r="78" spans="1:8" x14ac:dyDescent="0.35">
      <c r="A78" s="3">
        <f>'Student Basic Info'!A78</f>
        <v>577</v>
      </c>
      <c r="B78" s="3" t="s">
        <v>44</v>
      </c>
      <c r="C78" s="3" t="s">
        <v>3</v>
      </c>
      <c r="D78" s="3" t="s">
        <v>137</v>
      </c>
      <c r="E78" s="39">
        <v>5</v>
      </c>
      <c r="F78" s="3" t="s">
        <v>53</v>
      </c>
      <c r="G78" s="2"/>
      <c r="H78" s="3">
        <v>2111944011</v>
      </c>
    </row>
    <row r="79" spans="1:8" x14ac:dyDescent="0.35">
      <c r="A79" s="3">
        <f>'Student Basic Info'!A79</f>
        <v>578</v>
      </c>
      <c r="B79" s="3" t="s">
        <v>44</v>
      </c>
      <c r="C79" s="3" t="s">
        <v>3</v>
      </c>
      <c r="D79" s="3" t="s">
        <v>138</v>
      </c>
      <c r="E79" s="39">
        <v>5</v>
      </c>
      <c r="F79" s="3" t="s">
        <v>53</v>
      </c>
      <c r="G79" s="2"/>
      <c r="H79" s="3">
        <v>2111896375</v>
      </c>
    </row>
    <row r="80" spans="1:8" x14ac:dyDescent="0.35">
      <c r="A80" s="3">
        <f>'Student Basic Info'!A80</f>
        <v>579</v>
      </c>
      <c r="B80" s="3" t="s">
        <v>44</v>
      </c>
      <c r="C80" s="3" t="s">
        <v>3</v>
      </c>
      <c r="D80" s="3" t="s">
        <v>139</v>
      </c>
      <c r="E80" s="39">
        <v>5</v>
      </c>
      <c r="F80" s="3" t="s">
        <v>53</v>
      </c>
      <c r="G80" s="2"/>
      <c r="H80" s="45">
        <v>2111896443</v>
      </c>
    </row>
    <row r="81" spans="1:8" x14ac:dyDescent="0.35">
      <c r="A81" s="3">
        <f>'Student Basic Info'!A81</f>
        <v>580</v>
      </c>
      <c r="B81" s="3" t="s">
        <v>44</v>
      </c>
      <c r="C81" s="3" t="s">
        <v>3</v>
      </c>
      <c r="D81" s="3" t="s">
        <v>140</v>
      </c>
      <c r="E81" s="39">
        <v>5</v>
      </c>
      <c r="F81" s="3" t="s">
        <v>53</v>
      </c>
      <c r="G81" s="2"/>
      <c r="H81" s="45">
        <v>2111897267</v>
      </c>
    </row>
    <row r="82" spans="1:8" x14ac:dyDescent="0.35">
      <c r="A82" s="3">
        <f>'Student Basic Info'!A82</f>
        <v>581</v>
      </c>
      <c r="B82" s="3" t="s">
        <v>44</v>
      </c>
      <c r="C82" s="3" t="s">
        <v>3</v>
      </c>
      <c r="D82" s="3" t="s">
        <v>141</v>
      </c>
      <c r="E82" s="39">
        <v>5</v>
      </c>
      <c r="F82" s="3" t="s">
        <v>53</v>
      </c>
      <c r="G82" s="2"/>
      <c r="H82" s="3">
        <v>2111897270</v>
      </c>
    </row>
    <row r="83" spans="1:8" x14ac:dyDescent="0.35">
      <c r="A83" s="3">
        <f>'Student Basic Info'!A83</f>
        <v>582</v>
      </c>
      <c r="B83" s="3" t="s">
        <v>44</v>
      </c>
      <c r="C83" s="3" t="s">
        <v>3</v>
      </c>
      <c r="D83" s="3" t="s">
        <v>142</v>
      </c>
      <c r="E83" s="39">
        <v>5</v>
      </c>
      <c r="F83" s="3" t="s">
        <v>53</v>
      </c>
      <c r="G83" s="2"/>
      <c r="H83" s="3">
        <v>2111897269</v>
      </c>
    </row>
    <row r="84" spans="1:8" x14ac:dyDescent="0.35">
      <c r="A84" s="3">
        <f>'Student Basic Info'!A84</f>
        <v>583</v>
      </c>
      <c r="B84" s="3" t="s">
        <v>44</v>
      </c>
      <c r="C84" s="3" t="s">
        <v>3</v>
      </c>
      <c r="D84" s="3" t="s">
        <v>143</v>
      </c>
      <c r="E84" s="39">
        <v>5</v>
      </c>
      <c r="F84" s="3" t="s">
        <v>53</v>
      </c>
      <c r="G84" s="2"/>
      <c r="H84" s="3">
        <v>2111812221</v>
      </c>
    </row>
    <row r="85" spans="1:8" x14ac:dyDescent="0.35">
      <c r="A85" s="3">
        <f>'Student Basic Info'!A85</f>
        <v>584</v>
      </c>
      <c r="B85" s="3" t="s">
        <v>44</v>
      </c>
      <c r="C85" s="3" t="s">
        <v>3</v>
      </c>
      <c r="D85" s="3" t="s">
        <v>144</v>
      </c>
      <c r="E85" s="39">
        <v>5</v>
      </c>
      <c r="F85" s="3" t="s">
        <v>53</v>
      </c>
      <c r="G85" s="2"/>
      <c r="H85" s="3">
        <v>2011602547</v>
      </c>
    </row>
    <row r="86" spans="1:8" x14ac:dyDescent="0.35">
      <c r="A86" s="3">
        <f>'Student Basic Info'!A86</f>
        <v>585</v>
      </c>
      <c r="B86" s="3" t="s">
        <v>44</v>
      </c>
      <c r="C86" s="3" t="s">
        <v>3</v>
      </c>
      <c r="D86" s="3" t="s">
        <v>145</v>
      </c>
      <c r="E86" s="39">
        <v>5</v>
      </c>
      <c r="F86" s="3" t="s">
        <v>53</v>
      </c>
      <c r="G86" s="2"/>
      <c r="H86" s="3">
        <v>2111897004</v>
      </c>
    </row>
    <row r="87" spans="1:8" x14ac:dyDescent="0.35">
      <c r="A87" s="3">
        <f>'Student Basic Info'!A87</f>
        <v>586</v>
      </c>
      <c r="B87" s="3" t="s">
        <v>44</v>
      </c>
      <c r="C87" s="3" t="s">
        <v>3</v>
      </c>
      <c r="D87" s="3" t="s">
        <v>146</v>
      </c>
      <c r="E87" s="39">
        <v>5</v>
      </c>
      <c r="F87" s="3" t="s">
        <v>53</v>
      </c>
      <c r="G87" s="2"/>
      <c r="H87" s="3">
        <v>2011602267</v>
      </c>
    </row>
    <row r="88" spans="1:8" x14ac:dyDescent="0.35">
      <c r="A88" s="3">
        <f>'Student Basic Info'!A88</f>
        <v>587</v>
      </c>
      <c r="B88" s="3" t="s">
        <v>44</v>
      </c>
      <c r="C88" s="3" t="s">
        <v>3</v>
      </c>
      <c r="D88" s="3" t="s">
        <v>147</v>
      </c>
      <c r="E88" s="39">
        <v>5</v>
      </c>
      <c r="F88" s="3" t="s">
        <v>53</v>
      </c>
      <c r="G88" s="2"/>
      <c r="H88" s="3">
        <v>2011601550</v>
      </c>
    </row>
    <row r="89" spans="1:8" x14ac:dyDescent="0.35">
      <c r="A89" s="3">
        <f>'Student Basic Info'!A89</f>
        <v>588</v>
      </c>
      <c r="B89" s="3"/>
      <c r="C89" s="3" t="s">
        <v>3</v>
      </c>
      <c r="D89" s="3"/>
      <c r="E89" s="3"/>
      <c r="F89" s="2"/>
      <c r="G89" s="2"/>
      <c r="H89" s="3">
        <v>2011601552</v>
      </c>
    </row>
    <row r="90" spans="1:8" x14ac:dyDescent="0.35">
      <c r="A90" s="3">
        <f>'Student Basic Info'!A90</f>
        <v>589</v>
      </c>
      <c r="B90" s="3"/>
      <c r="C90" s="3" t="s">
        <v>3</v>
      </c>
      <c r="D90" s="3"/>
      <c r="E90" s="3"/>
      <c r="F90" s="2"/>
      <c r="G90" s="2"/>
      <c r="H90" s="3">
        <v>2011601562</v>
      </c>
    </row>
    <row r="91" spans="1:8" x14ac:dyDescent="0.35">
      <c r="A91" s="3">
        <f>'Student Basic Info'!A91</f>
        <v>590</v>
      </c>
      <c r="B91" s="3"/>
      <c r="C91" s="3" t="s">
        <v>3</v>
      </c>
      <c r="D91" s="3"/>
      <c r="E91" s="3"/>
      <c r="F91" s="2"/>
      <c r="G91" s="2"/>
      <c r="H91" s="3">
        <v>2111897242</v>
      </c>
    </row>
    <row r="92" spans="1:8" x14ac:dyDescent="0.35">
      <c r="A92" s="3">
        <f>'Student Basic Info'!A92</f>
        <v>591</v>
      </c>
      <c r="B92" s="3"/>
      <c r="C92" s="3" t="s">
        <v>3</v>
      </c>
      <c r="D92" s="3"/>
      <c r="E92" s="3"/>
      <c r="F92" s="2"/>
      <c r="G92" s="2"/>
      <c r="H92" s="3">
        <v>2011599834</v>
      </c>
    </row>
    <row r="93" spans="1:8" x14ac:dyDescent="0.35">
      <c r="A93" s="3">
        <f>'Student Basic Info'!A93</f>
        <v>592</v>
      </c>
      <c r="B93" s="3"/>
      <c r="C93" s="3" t="s">
        <v>3</v>
      </c>
      <c r="D93" s="3"/>
      <c r="E93" s="3"/>
      <c r="F93" s="2"/>
      <c r="G93" s="2"/>
      <c r="H93" s="3">
        <v>2111897172</v>
      </c>
    </row>
    <row r="94" spans="1:8" x14ac:dyDescent="0.35">
      <c r="A94" s="3">
        <f>'Student Basic Info'!A94</f>
        <v>593</v>
      </c>
      <c r="B94" s="3"/>
      <c r="C94" s="3" t="s">
        <v>3</v>
      </c>
      <c r="D94" s="3"/>
      <c r="E94" s="3"/>
      <c r="F94" s="2"/>
      <c r="G94" s="2"/>
      <c r="H94" s="3">
        <v>2111896300</v>
      </c>
    </row>
    <row r="95" spans="1:8" x14ac:dyDescent="0.35">
      <c r="A95" s="3">
        <f>'Student Basic Info'!A95</f>
        <v>594</v>
      </c>
      <c r="B95" s="3"/>
      <c r="C95" s="3" t="s">
        <v>3</v>
      </c>
      <c r="D95" s="3"/>
      <c r="E95" s="3"/>
      <c r="F95" s="2"/>
      <c r="G95" s="2"/>
      <c r="H95" s="3">
        <v>2011602370</v>
      </c>
    </row>
    <row r="96" spans="1:8" x14ac:dyDescent="0.35">
      <c r="A96" s="3">
        <f>'Student Basic Info'!A96</f>
        <v>595</v>
      </c>
      <c r="B96" s="3"/>
      <c r="C96" s="3" t="s">
        <v>3</v>
      </c>
      <c r="D96" s="3"/>
      <c r="E96" s="3"/>
      <c r="F96" s="2"/>
      <c r="G96" s="2"/>
      <c r="H96" s="3">
        <v>2011600458</v>
      </c>
    </row>
    <row r="97" spans="1:8" x14ac:dyDescent="0.35">
      <c r="A97" s="3">
        <f>'Student Basic Info'!A97</f>
        <v>596</v>
      </c>
      <c r="B97" s="3"/>
      <c r="C97" s="3" t="s">
        <v>3</v>
      </c>
      <c r="D97" s="3"/>
      <c r="E97" s="3"/>
      <c r="F97" s="2"/>
      <c r="G97" s="2"/>
      <c r="H97" s="3">
        <v>2111896294</v>
      </c>
    </row>
    <row r="98" spans="1:8" x14ac:dyDescent="0.35">
      <c r="A98" s="3">
        <f>'Student Basic Info'!A98</f>
        <v>597</v>
      </c>
      <c r="B98" s="3"/>
      <c r="C98" s="3" t="s">
        <v>3</v>
      </c>
      <c r="D98" s="3"/>
      <c r="E98" s="3"/>
      <c r="F98" s="2"/>
      <c r="G98" s="2"/>
      <c r="H98" s="45">
        <v>2111849077</v>
      </c>
    </row>
    <row r="99" spans="1:8" x14ac:dyDescent="0.35">
      <c r="A99" s="3">
        <f>'Student Basic Info'!A99</f>
        <v>598</v>
      </c>
      <c r="B99" s="3"/>
      <c r="C99" s="3" t="s">
        <v>3</v>
      </c>
      <c r="D99" s="3"/>
      <c r="E99" s="3"/>
      <c r="F99" s="2"/>
      <c r="G99" s="2"/>
      <c r="H99" s="45">
        <v>2111897012</v>
      </c>
    </row>
    <row r="100" spans="1:8" x14ac:dyDescent="0.35">
      <c r="A100" s="3">
        <f>'Student Basic Info'!A100</f>
        <v>599</v>
      </c>
      <c r="B100" s="3"/>
      <c r="C100" s="3" t="s">
        <v>3</v>
      </c>
      <c r="D100" s="3"/>
      <c r="E100" s="3"/>
      <c r="F100" s="2"/>
      <c r="G100" s="2"/>
      <c r="H100" s="45">
        <v>2011602540</v>
      </c>
    </row>
    <row r="101" spans="1:8" x14ac:dyDescent="0.35">
      <c r="A101" s="3">
        <f>'Student Basic Info'!A101</f>
        <v>600</v>
      </c>
      <c r="B101" s="3"/>
      <c r="C101" s="3" t="s">
        <v>3</v>
      </c>
      <c r="D101" s="3"/>
      <c r="E101" s="3"/>
      <c r="F101" s="2"/>
      <c r="G101" s="2"/>
      <c r="H101" s="45">
        <v>2111896373</v>
      </c>
    </row>
    <row r="102" spans="1:8" x14ac:dyDescent="0.35">
      <c r="A102" s="3">
        <f>'Student Basic Info'!A102</f>
        <v>601</v>
      </c>
      <c r="B102" s="3"/>
      <c r="C102" s="3" t="s">
        <v>3</v>
      </c>
      <c r="D102" s="3"/>
      <c r="E102" s="3"/>
      <c r="F102" s="2"/>
      <c r="G102" s="2"/>
      <c r="H102" s="45">
        <v>2111896387</v>
      </c>
    </row>
    <row r="103" spans="1:8" x14ac:dyDescent="0.35">
      <c r="A103" s="3">
        <f>'Student Basic Info'!A103</f>
        <v>602</v>
      </c>
      <c r="B103" s="3"/>
      <c r="C103" s="3" t="s">
        <v>3</v>
      </c>
      <c r="D103" s="3"/>
      <c r="E103" s="3"/>
      <c r="F103" s="2"/>
      <c r="G103" s="2"/>
      <c r="H103" s="45">
        <v>2111897286</v>
      </c>
    </row>
    <row r="104" spans="1:8" x14ac:dyDescent="0.35">
      <c r="A104" s="3">
        <f>'Student Basic Info'!A104</f>
        <v>603</v>
      </c>
      <c r="B104" s="3"/>
      <c r="C104" s="3" t="s">
        <v>3</v>
      </c>
      <c r="D104" s="3"/>
      <c r="E104" s="3"/>
      <c r="F104" s="2"/>
      <c r="G104" s="2"/>
      <c r="H104" s="45">
        <v>2111897201</v>
      </c>
    </row>
    <row r="105" spans="1:8" x14ac:dyDescent="0.35">
      <c r="A105" s="3">
        <f>'Student Basic Info'!A105</f>
        <v>604</v>
      </c>
      <c r="B105" s="3"/>
      <c r="C105" s="3" t="s">
        <v>3</v>
      </c>
      <c r="D105" s="3"/>
      <c r="E105" s="3"/>
      <c r="F105" s="2"/>
      <c r="G105" s="2"/>
      <c r="H105" s="45">
        <v>2011602244</v>
      </c>
    </row>
    <row r="106" spans="1:8" x14ac:dyDescent="0.35">
      <c r="A106" s="3">
        <f>'Student Basic Info'!A106</f>
        <v>605</v>
      </c>
      <c r="B106" s="3"/>
      <c r="C106" s="3" t="s">
        <v>3</v>
      </c>
      <c r="D106" s="3"/>
      <c r="E106" s="3"/>
      <c r="F106" s="2"/>
      <c r="G106" s="2"/>
      <c r="H106" s="45">
        <v>2011602362</v>
      </c>
    </row>
    <row r="107" spans="1:8" x14ac:dyDescent="0.35">
      <c r="A107" s="3">
        <f>'Student Basic Info'!A107</f>
        <v>606</v>
      </c>
      <c r="B107" s="3"/>
      <c r="C107" s="3" t="s">
        <v>3</v>
      </c>
      <c r="D107" s="3"/>
      <c r="E107" s="3"/>
      <c r="F107" s="2"/>
      <c r="G107" s="2"/>
      <c r="H107" s="45">
        <v>2011601578</v>
      </c>
    </row>
    <row r="108" spans="1:8" x14ac:dyDescent="0.35">
      <c r="A108" s="3">
        <f>'Student Basic Info'!A108</f>
        <v>607</v>
      </c>
      <c r="B108" s="3"/>
      <c r="C108" s="3" t="s">
        <v>3</v>
      </c>
      <c r="D108" s="3"/>
      <c r="E108" s="3"/>
      <c r="F108" s="2"/>
      <c r="G108" s="2"/>
      <c r="H108" s="45">
        <v>2011601536</v>
      </c>
    </row>
    <row r="109" spans="1:8" x14ac:dyDescent="0.35">
      <c r="A109" s="3">
        <f>'Student Basic Info'!A109</f>
        <v>608</v>
      </c>
      <c r="B109" s="3"/>
      <c r="C109" s="3" t="s">
        <v>3</v>
      </c>
      <c r="D109" s="3"/>
      <c r="E109" s="3"/>
      <c r="F109" s="2"/>
      <c r="G109" s="2"/>
      <c r="H109" s="45">
        <v>2111897196</v>
      </c>
    </row>
    <row r="110" spans="1:8" x14ac:dyDescent="0.35">
      <c r="A110" s="3">
        <f>'Student Basic Info'!A110</f>
        <v>609</v>
      </c>
      <c r="B110" s="3"/>
      <c r="C110" s="3" t="s">
        <v>3</v>
      </c>
      <c r="D110" s="3"/>
      <c r="E110" s="3"/>
      <c r="F110" s="2"/>
      <c r="G110" s="2"/>
      <c r="H110" s="45">
        <v>2111896335</v>
      </c>
    </row>
    <row r="111" spans="1:8" x14ac:dyDescent="0.35">
      <c r="A111" s="3">
        <f>'Student Basic Info'!A111</f>
        <v>610</v>
      </c>
      <c r="B111" s="3"/>
      <c r="C111" s="3" t="s">
        <v>3</v>
      </c>
      <c r="D111" s="3"/>
      <c r="E111" s="3"/>
      <c r="F111" s="2"/>
      <c r="G111" s="2"/>
      <c r="H111" s="45">
        <v>2111896289</v>
      </c>
    </row>
    <row r="112" spans="1:8" x14ac:dyDescent="0.35">
      <c r="A112" s="3">
        <f>'Student Basic Info'!A112</f>
        <v>611</v>
      </c>
      <c r="B112" s="3"/>
      <c r="C112" s="3" t="s">
        <v>3</v>
      </c>
      <c r="D112" s="3"/>
      <c r="E112" s="3"/>
      <c r="F112" s="2"/>
      <c r="G112" s="2"/>
      <c r="H112" s="45">
        <v>2111896306</v>
      </c>
    </row>
    <row r="113" spans="1:8" x14ac:dyDescent="0.35">
      <c r="A113" s="3">
        <f>'Student Basic Info'!A113</f>
        <v>612</v>
      </c>
      <c r="B113" s="3"/>
      <c r="C113" s="3" t="s">
        <v>3</v>
      </c>
      <c r="D113" s="3"/>
      <c r="E113" s="3"/>
      <c r="F113" s="2"/>
      <c r="G113" s="2"/>
      <c r="H113" s="3">
        <v>1911314063</v>
      </c>
    </row>
    <row r="114" spans="1:8" x14ac:dyDescent="0.35">
      <c r="A114" s="3">
        <f>'Student Basic Info'!A114</f>
        <v>613</v>
      </c>
      <c r="B114" s="3"/>
      <c r="C114" s="3" t="s">
        <v>3</v>
      </c>
      <c r="D114" s="3"/>
      <c r="E114" s="3"/>
      <c r="F114" s="2"/>
      <c r="G114" s="2"/>
      <c r="H114" s="3">
        <v>2111896872</v>
      </c>
    </row>
    <row r="115" spans="1:8" x14ac:dyDescent="0.35">
      <c r="A115" s="3">
        <f>'Student Basic Info'!A115</f>
        <v>614</v>
      </c>
      <c r="B115" s="3"/>
      <c r="C115" s="3" t="s">
        <v>3</v>
      </c>
      <c r="D115" s="3"/>
      <c r="E115" s="3"/>
      <c r="F115" s="2"/>
      <c r="G115" s="2"/>
      <c r="H115" s="3">
        <v>2111896846</v>
      </c>
    </row>
    <row r="116" spans="1:8" x14ac:dyDescent="0.35">
      <c r="A116" s="3">
        <f>'Student Basic Info'!A116</f>
        <v>615</v>
      </c>
      <c r="B116" s="3"/>
      <c r="C116" s="3" t="s">
        <v>3</v>
      </c>
      <c r="D116" s="3"/>
      <c r="E116" s="3"/>
      <c r="F116" s="2"/>
      <c r="G116" s="2"/>
      <c r="H116" s="3">
        <v>2111896447</v>
      </c>
    </row>
    <row r="117" spans="1:8" x14ac:dyDescent="0.35">
      <c r="A117" s="3">
        <f>'Student Basic Info'!A117</f>
        <v>616</v>
      </c>
      <c r="B117" s="3"/>
      <c r="C117" s="3" t="s">
        <v>3</v>
      </c>
      <c r="D117" s="3"/>
      <c r="E117" s="3"/>
      <c r="F117" s="2"/>
      <c r="G117" s="2"/>
      <c r="H117" s="3">
        <v>2011602109</v>
      </c>
    </row>
    <row r="118" spans="1:8" x14ac:dyDescent="0.35">
      <c r="A118" s="3">
        <f>'Student Basic Info'!A118</f>
        <v>617</v>
      </c>
      <c r="B118" s="3"/>
      <c r="C118" s="3" t="s">
        <v>3</v>
      </c>
      <c r="D118" s="3"/>
      <c r="E118" s="3"/>
      <c r="F118" s="2"/>
      <c r="G118" s="2"/>
      <c r="H118" s="3">
        <v>2111944000</v>
      </c>
    </row>
    <row r="119" spans="1:8" x14ac:dyDescent="0.35">
      <c r="A119" s="3">
        <f>'Student Basic Info'!A119</f>
        <v>618</v>
      </c>
      <c r="B119" s="3"/>
      <c r="C119" s="3" t="s">
        <v>3</v>
      </c>
      <c r="D119" s="3"/>
      <c r="E119" s="3"/>
      <c r="F119" s="2"/>
      <c r="G119" s="2"/>
      <c r="H119" s="45">
        <v>2011600434</v>
      </c>
    </row>
    <row r="120" spans="1:8" x14ac:dyDescent="0.35">
      <c r="A120" s="3">
        <f>'Student Basic Info'!A120</f>
        <v>619</v>
      </c>
      <c r="B120" s="3"/>
      <c r="C120" s="3" t="s">
        <v>3</v>
      </c>
      <c r="D120" s="3"/>
      <c r="E120" s="3"/>
      <c r="F120" s="2"/>
      <c r="G120" s="2"/>
      <c r="H120" s="45">
        <v>2111896299</v>
      </c>
    </row>
    <row r="121" spans="1:8" x14ac:dyDescent="0.35">
      <c r="A121" s="3">
        <f>'Student Basic Info'!A121</f>
        <v>620</v>
      </c>
      <c r="B121" s="3"/>
      <c r="C121" s="3" t="s">
        <v>3</v>
      </c>
      <c r="D121" s="3"/>
      <c r="E121" s="3"/>
      <c r="F121" s="2"/>
      <c r="G121" s="2"/>
      <c r="H121" s="3">
        <v>2011602248</v>
      </c>
    </row>
    <row r="122" spans="1:8" x14ac:dyDescent="0.35">
      <c r="A122" s="3">
        <f>'Student Basic Info'!A122</f>
        <v>621</v>
      </c>
      <c r="B122" s="3"/>
      <c r="C122" s="3" t="s">
        <v>3</v>
      </c>
      <c r="D122" s="3"/>
      <c r="E122" s="3"/>
      <c r="F122" s="2"/>
      <c r="G122" s="2"/>
      <c r="H122" s="45">
        <v>2118690032</v>
      </c>
    </row>
    <row r="123" spans="1:8" x14ac:dyDescent="0.35">
      <c r="A123" s="3">
        <f>'Student Basic Info'!A123</f>
        <v>622</v>
      </c>
      <c r="B123" s="3"/>
      <c r="C123" s="3" t="s">
        <v>3</v>
      </c>
      <c r="D123" s="3"/>
      <c r="E123" s="3"/>
      <c r="F123" s="2"/>
      <c r="G123" s="2"/>
      <c r="H123" s="45">
        <v>2111896310</v>
      </c>
    </row>
    <row r="124" spans="1:8" x14ac:dyDescent="0.35">
      <c r="A124" s="3">
        <f>'Student Basic Info'!A124</f>
        <v>623</v>
      </c>
      <c r="B124" s="3"/>
      <c r="C124" s="3" t="s">
        <v>3</v>
      </c>
      <c r="D124" s="3"/>
      <c r="E124" s="3"/>
      <c r="F124" s="2"/>
      <c r="G124" s="2"/>
      <c r="H124" s="45">
        <v>2111896399</v>
      </c>
    </row>
    <row r="125" spans="1:8" x14ac:dyDescent="0.35">
      <c r="A125" s="3">
        <f>'Student Basic Info'!A125</f>
        <v>624</v>
      </c>
      <c r="B125" s="3"/>
      <c r="C125" s="3" t="s">
        <v>3</v>
      </c>
      <c r="D125" s="3"/>
      <c r="E125" s="3"/>
      <c r="F125" s="2"/>
      <c r="G125" s="2"/>
      <c r="H125" s="45">
        <v>2111895550</v>
      </c>
    </row>
    <row r="126" spans="1:8" x14ac:dyDescent="0.35">
      <c r="A126" s="3">
        <f>'Student Basic Info'!A126</f>
        <v>625</v>
      </c>
      <c r="B126" s="3"/>
      <c r="C126" s="3" t="s">
        <v>3</v>
      </c>
      <c r="D126" s="3"/>
      <c r="E126" s="3"/>
      <c r="F126" s="2"/>
      <c r="G126" s="2"/>
      <c r="H126" s="3">
        <v>2011601564</v>
      </c>
    </row>
    <row r="127" spans="1:8" x14ac:dyDescent="0.35">
      <c r="A127" s="3">
        <f>'Student Basic Info'!A127</f>
        <v>626</v>
      </c>
      <c r="B127" s="3"/>
      <c r="C127" s="3" t="s">
        <v>3</v>
      </c>
      <c r="D127" s="3"/>
      <c r="E127" s="3"/>
      <c r="F127" s="2"/>
      <c r="G127" s="2"/>
      <c r="H127" s="3">
        <v>2111897200</v>
      </c>
    </row>
    <row r="128" spans="1:8" x14ac:dyDescent="0.35">
      <c r="A128" s="3">
        <f>'Student Basic Info'!A128</f>
        <v>627</v>
      </c>
      <c r="B128" s="3"/>
      <c r="C128" s="3" t="s">
        <v>3</v>
      </c>
      <c r="D128" s="3"/>
      <c r="E128" s="3"/>
      <c r="F128" s="2"/>
      <c r="G128" s="2"/>
      <c r="H128" s="3">
        <v>2111895540</v>
      </c>
    </row>
    <row r="129" spans="1:8" x14ac:dyDescent="0.35">
      <c r="A129" s="3">
        <f>'Student Basic Info'!A129</f>
        <v>628</v>
      </c>
      <c r="B129" s="3"/>
      <c r="C129" s="3" t="s">
        <v>3</v>
      </c>
      <c r="D129" s="3"/>
      <c r="E129" s="3"/>
      <c r="F129" s="2"/>
      <c r="G129" s="2"/>
      <c r="H129" s="3">
        <v>2011600747</v>
      </c>
    </row>
    <row r="130" spans="1:8" x14ac:dyDescent="0.35">
      <c r="A130" s="3">
        <f>'Student Basic Info'!A130</f>
        <v>629</v>
      </c>
      <c r="B130" s="3"/>
      <c r="C130" s="3" t="s">
        <v>3</v>
      </c>
      <c r="D130" s="3"/>
      <c r="E130" s="3"/>
      <c r="F130" s="2"/>
      <c r="G130" s="2"/>
      <c r="H130" s="3">
        <v>2011602105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opLeftCell="A127" workbookViewId="0">
      <selection activeCell="G113" sqref="G113"/>
    </sheetView>
  </sheetViews>
  <sheetFormatPr defaultRowHeight="14.5" x14ac:dyDescent="0.35"/>
  <cols>
    <col min="1" max="1" width="8.7265625" style="1"/>
    <col min="2" max="4" width="11.81640625" style="1" bestFit="1" customWidth="1"/>
    <col min="5" max="5" width="10" style="1" bestFit="1" customWidth="1"/>
    <col min="6" max="6" width="19.26953125" style="1" bestFit="1" customWidth="1"/>
    <col min="7" max="9" width="9.90625" style="1" bestFit="1" customWidth="1"/>
  </cols>
  <sheetData>
    <row r="1" spans="1:9" x14ac:dyDescent="0.35">
      <c r="A1" s="50" t="s">
        <v>42</v>
      </c>
      <c r="B1" s="50" t="s">
        <v>47</v>
      </c>
      <c r="C1" s="50" t="s">
        <v>48</v>
      </c>
      <c r="D1" s="50" t="s">
        <v>413</v>
      </c>
      <c r="E1" s="50" t="s">
        <v>49</v>
      </c>
      <c r="F1" s="50" t="s">
        <v>17</v>
      </c>
      <c r="G1" s="50" t="s">
        <v>18</v>
      </c>
      <c r="H1" s="50" t="s">
        <v>19</v>
      </c>
      <c r="I1" s="50" t="s">
        <v>43</v>
      </c>
    </row>
    <row r="2" spans="1:9" x14ac:dyDescent="0.35">
      <c r="A2" s="3">
        <f>'Student Basic Info'!A2</f>
        <v>501</v>
      </c>
      <c r="B2" s="3" t="s">
        <v>12</v>
      </c>
      <c r="C2" s="3" t="s">
        <v>13</v>
      </c>
      <c r="D2" s="3" t="s">
        <v>14</v>
      </c>
      <c r="E2" s="3" t="s">
        <v>181</v>
      </c>
      <c r="F2" s="3" t="s">
        <v>825</v>
      </c>
      <c r="G2" s="73" t="s">
        <v>183</v>
      </c>
      <c r="H2" s="3" t="s">
        <v>182</v>
      </c>
      <c r="I2" s="3" t="str">
        <f>H2</f>
        <v>Production</v>
      </c>
    </row>
    <row r="3" spans="1:9" x14ac:dyDescent="0.35">
      <c r="A3" s="3">
        <f>'Student Basic Info'!A3</f>
        <v>502</v>
      </c>
      <c r="B3" s="3" t="s">
        <v>12</v>
      </c>
      <c r="C3" s="3" t="s">
        <v>13</v>
      </c>
      <c r="D3" s="3" t="s">
        <v>14</v>
      </c>
      <c r="E3" s="3" t="s">
        <v>181</v>
      </c>
      <c r="F3" s="3" t="s">
        <v>825</v>
      </c>
      <c r="G3" s="73" t="s">
        <v>183</v>
      </c>
      <c r="H3" s="3" t="s">
        <v>184</v>
      </c>
      <c r="I3" s="3" t="str">
        <f t="shared" ref="I3:I66" si="0">H3</f>
        <v>Economics</v>
      </c>
    </row>
    <row r="4" spans="1:9" x14ac:dyDescent="0.35">
      <c r="A4" s="3">
        <f>'Student Basic Info'!A4</f>
        <v>503</v>
      </c>
      <c r="B4" s="3" t="s">
        <v>12</v>
      </c>
      <c r="C4" s="3" t="s">
        <v>13</v>
      </c>
      <c r="D4" s="3" t="s">
        <v>14</v>
      </c>
      <c r="E4" s="3" t="s">
        <v>181</v>
      </c>
      <c r="F4" s="3" t="s">
        <v>825</v>
      </c>
      <c r="G4" s="73" t="s">
        <v>182</v>
      </c>
      <c r="H4" s="3" t="s">
        <v>184</v>
      </c>
      <c r="I4" s="3" t="str">
        <f t="shared" si="0"/>
        <v>Economics</v>
      </c>
    </row>
    <row r="5" spans="1:9" x14ac:dyDescent="0.35">
      <c r="A5" s="3">
        <f>'Student Basic Info'!A5</f>
        <v>504</v>
      </c>
      <c r="B5" s="3" t="s">
        <v>12</v>
      </c>
      <c r="C5" s="3" t="s">
        <v>13</v>
      </c>
      <c r="D5" s="3" t="s">
        <v>14</v>
      </c>
      <c r="E5" s="3" t="s">
        <v>181</v>
      </c>
      <c r="F5" s="3" t="s">
        <v>825</v>
      </c>
      <c r="G5" s="73" t="s">
        <v>182</v>
      </c>
      <c r="H5" s="3" t="s">
        <v>184</v>
      </c>
      <c r="I5" s="3" t="str">
        <f t="shared" si="0"/>
        <v>Economics</v>
      </c>
    </row>
    <row r="6" spans="1:9" x14ac:dyDescent="0.35">
      <c r="A6" s="3">
        <f>'Student Basic Info'!A6</f>
        <v>505</v>
      </c>
      <c r="B6" s="3" t="s">
        <v>12</v>
      </c>
      <c r="C6" s="3" t="s">
        <v>13</v>
      </c>
      <c r="D6" s="3" t="s">
        <v>14</v>
      </c>
      <c r="E6" s="3" t="s">
        <v>181</v>
      </c>
      <c r="F6" s="3" t="s">
        <v>825</v>
      </c>
      <c r="G6" s="73" t="s">
        <v>183</v>
      </c>
      <c r="H6" s="3" t="s">
        <v>184</v>
      </c>
      <c r="I6" s="3" t="str">
        <f t="shared" si="0"/>
        <v>Economics</v>
      </c>
    </row>
    <row r="7" spans="1:9" x14ac:dyDescent="0.35">
      <c r="A7" s="3">
        <f>'Student Basic Info'!A7</f>
        <v>506</v>
      </c>
      <c r="B7" s="3" t="s">
        <v>12</v>
      </c>
      <c r="C7" s="3" t="s">
        <v>13</v>
      </c>
      <c r="D7" s="3" t="s">
        <v>14</v>
      </c>
      <c r="E7" s="3" t="s">
        <v>181</v>
      </c>
      <c r="F7" s="3" t="s">
        <v>825</v>
      </c>
      <c r="G7" s="73" t="s">
        <v>183</v>
      </c>
      <c r="H7" s="3" t="s">
        <v>184</v>
      </c>
      <c r="I7" s="3" t="str">
        <f t="shared" si="0"/>
        <v>Economics</v>
      </c>
    </row>
    <row r="8" spans="1:9" x14ac:dyDescent="0.35">
      <c r="A8" s="3">
        <f>'Student Basic Info'!A8</f>
        <v>507</v>
      </c>
      <c r="B8" s="3" t="s">
        <v>12</v>
      </c>
      <c r="C8" s="3" t="s">
        <v>13</v>
      </c>
      <c r="D8" s="3" t="s">
        <v>14</v>
      </c>
      <c r="E8" s="3" t="s">
        <v>181</v>
      </c>
      <c r="F8" s="3" t="s">
        <v>825</v>
      </c>
      <c r="G8" s="73" t="s">
        <v>183</v>
      </c>
      <c r="H8" s="3" t="s">
        <v>182</v>
      </c>
      <c r="I8" s="3" t="str">
        <f t="shared" si="0"/>
        <v>Production</v>
      </c>
    </row>
    <row r="9" spans="1:9" x14ac:dyDescent="0.35">
      <c r="A9" s="3">
        <f>'Student Basic Info'!A9</f>
        <v>508</v>
      </c>
      <c r="B9" s="3" t="s">
        <v>12</v>
      </c>
      <c r="C9" s="3" t="s">
        <v>13</v>
      </c>
      <c r="D9" s="3" t="s">
        <v>14</v>
      </c>
      <c r="E9" s="3" t="s">
        <v>181</v>
      </c>
      <c r="F9" s="3" t="s">
        <v>825</v>
      </c>
      <c r="G9" s="73" t="s">
        <v>182</v>
      </c>
      <c r="H9" s="3" t="s">
        <v>183</v>
      </c>
      <c r="I9" s="3" t="str">
        <f t="shared" si="0"/>
        <v>Finance</v>
      </c>
    </row>
    <row r="10" spans="1:9" x14ac:dyDescent="0.35">
      <c r="A10" s="3">
        <f>'Student Basic Info'!A10</f>
        <v>509</v>
      </c>
      <c r="B10" s="3" t="s">
        <v>12</v>
      </c>
      <c r="C10" s="3" t="s">
        <v>13</v>
      </c>
      <c r="D10" s="3" t="s">
        <v>14</v>
      </c>
      <c r="E10" s="3" t="s">
        <v>181</v>
      </c>
      <c r="F10" s="3" t="s">
        <v>825</v>
      </c>
      <c r="G10" s="73" t="s">
        <v>183</v>
      </c>
      <c r="H10" s="3" t="s">
        <v>182</v>
      </c>
      <c r="I10" s="3" t="str">
        <f t="shared" si="0"/>
        <v>Production</v>
      </c>
    </row>
    <row r="11" spans="1:9" x14ac:dyDescent="0.35">
      <c r="A11" s="3">
        <f>'Student Basic Info'!A11</f>
        <v>510</v>
      </c>
      <c r="B11" s="3" t="s">
        <v>12</v>
      </c>
      <c r="C11" s="3" t="s">
        <v>13</v>
      </c>
      <c r="D11" s="3" t="s">
        <v>14</v>
      </c>
      <c r="E11" s="3" t="s">
        <v>181</v>
      </c>
      <c r="F11" s="3" t="s">
        <v>825</v>
      </c>
      <c r="G11" s="74" t="s">
        <v>183</v>
      </c>
      <c r="H11" s="74" t="s">
        <v>182</v>
      </c>
      <c r="I11" s="3" t="str">
        <f t="shared" si="0"/>
        <v>Production</v>
      </c>
    </row>
    <row r="12" spans="1:9" x14ac:dyDescent="0.35">
      <c r="A12" s="3">
        <f>'Student Basic Info'!A12</f>
        <v>511</v>
      </c>
      <c r="B12" s="3" t="s">
        <v>12</v>
      </c>
      <c r="C12" s="3" t="s">
        <v>13</v>
      </c>
      <c r="D12" s="3" t="s">
        <v>14</v>
      </c>
      <c r="E12" s="3" t="s">
        <v>181</v>
      </c>
      <c r="F12" s="3" t="s">
        <v>825</v>
      </c>
      <c r="G12" s="73" t="s">
        <v>182</v>
      </c>
      <c r="H12" s="3" t="s">
        <v>183</v>
      </c>
      <c r="I12" s="3" t="str">
        <f t="shared" si="0"/>
        <v>Finance</v>
      </c>
    </row>
    <row r="13" spans="1:9" x14ac:dyDescent="0.35">
      <c r="A13" s="3">
        <f>'Student Basic Info'!A13</f>
        <v>512</v>
      </c>
      <c r="B13" s="3" t="s">
        <v>12</v>
      </c>
      <c r="C13" s="3" t="s">
        <v>13</v>
      </c>
      <c r="D13" s="3" t="s">
        <v>14</v>
      </c>
      <c r="E13" s="3" t="s">
        <v>181</v>
      </c>
      <c r="F13" s="3" t="s">
        <v>825</v>
      </c>
      <c r="G13" s="73" t="s">
        <v>183</v>
      </c>
      <c r="H13" s="3" t="s">
        <v>182</v>
      </c>
      <c r="I13" s="3" t="str">
        <f t="shared" si="0"/>
        <v>Production</v>
      </c>
    </row>
    <row r="14" spans="1:9" x14ac:dyDescent="0.35">
      <c r="A14" s="3">
        <f>'Student Basic Info'!A14</f>
        <v>513</v>
      </c>
      <c r="B14" s="3" t="s">
        <v>12</v>
      </c>
      <c r="C14" s="3" t="s">
        <v>13</v>
      </c>
      <c r="D14" s="3" t="s">
        <v>14</v>
      </c>
      <c r="E14" s="3" t="s">
        <v>181</v>
      </c>
      <c r="F14" s="3" t="s">
        <v>825</v>
      </c>
      <c r="G14" s="73" t="s">
        <v>183</v>
      </c>
      <c r="H14" s="3" t="s">
        <v>182</v>
      </c>
      <c r="I14" s="3" t="str">
        <f t="shared" si="0"/>
        <v>Production</v>
      </c>
    </row>
    <row r="15" spans="1:9" x14ac:dyDescent="0.35">
      <c r="A15" s="3">
        <f>'Student Basic Info'!A15</f>
        <v>514</v>
      </c>
      <c r="B15" s="3" t="s">
        <v>12</v>
      </c>
      <c r="C15" s="3" t="s">
        <v>13</v>
      </c>
      <c r="D15" s="3" t="s">
        <v>14</v>
      </c>
      <c r="E15" s="3" t="s">
        <v>181</v>
      </c>
      <c r="F15" s="3" t="s">
        <v>825</v>
      </c>
      <c r="G15" s="74" t="s">
        <v>183</v>
      </c>
      <c r="H15" s="74" t="s">
        <v>182</v>
      </c>
      <c r="I15" s="3" t="str">
        <f t="shared" si="0"/>
        <v>Production</v>
      </c>
    </row>
    <row r="16" spans="1:9" x14ac:dyDescent="0.35">
      <c r="A16" s="3">
        <f>'Student Basic Info'!A16</f>
        <v>515</v>
      </c>
      <c r="B16" s="3" t="s">
        <v>12</v>
      </c>
      <c r="C16" s="3" t="s">
        <v>13</v>
      </c>
      <c r="D16" s="3" t="s">
        <v>14</v>
      </c>
      <c r="E16" s="3" t="s">
        <v>181</v>
      </c>
      <c r="F16" s="3" t="s">
        <v>825</v>
      </c>
      <c r="G16" s="73" t="s">
        <v>183</v>
      </c>
      <c r="H16" s="3" t="s">
        <v>182</v>
      </c>
      <c r="I16" s="3" t="str">
        <f t="shared" si="0"/>
        <v>Production</v>
      </c>
    </row>
    <row r="17" spans="1:9" x14ac:dyDescent="0.35">
      <c r="A17" s="3">
        <f>'Student Basic Info'!A17</f>
        <v>516</v>
      </c>
      <c r="B17" s="3" t="s">
        <v>12</v>
      </c>
      <c r="C17" s="3" t="s">
        <v>13</v>
      </c>
      <c r="D17" s="3" t="s">
        <v>14</v>
      </c>
      <c r="E17" s="3" t="s">
        <v>181</v>
      </c>
      <c r="F17" s="3" t="s">
        <v>825</v>
      </c>
      <c r="G17" s="73" t="s">
        <v>183</v>
      </c>
      <c r="H17" s="3" t="s">
        <v>182</v>
      </c>
      <c r="I17" s="3" t="str">
        <f t="shared" si="0"/>
        <v>Production</v>
      </c>
    </row>
    <row r="18" spans="1:9" x14ac:dyDescent="0.35">
      <c r="A18" s="3">
        <f>'Student Basic Info'!A18</f>
        <v>517</v>
      </c>
      <c r="B18" s="3" t="s">
        <v>12</v>
      </c>
      <c r="C18" s="3" t="s">
        <v>13</v>
      </c>
      <c r="D18" s="3" t="s">
        <v>14</v>
      </c>
      <c r="E18" s="3" t="s">
        <v>181</v>
      </c>
      <c r="F18" s="3" t="s">
        <v>825</v>
      </c>
      <c r="G18" s="73" t="s">
        <v>183</v>
      </c>
      <c r="H18" s="3" t="s">
        <v>182</v>
      </c>
      <c r="I18" s="3" t="str">
        <f t="shared" si="0"/>
        <v>Production</v>
      </c>
    </row>
    <row r="19" spans="1:9" x14ac:dyDescent="0.35">
      <c r="A19" s="3">
        <f>'Student Basic Info'!A19</f>
        <v>518</v>
      </c>
      <c r="B19" s="3" t="s">
        <v>12</v>
      </c>
      <c r="C19" s="3" t="s">
        <v>13</v>
      </c>
      <c r="D19" s="3" t="s">
        <v>14</v>
      </c>
      <c r="E19" s="3" t="s">
        <v>181</v>
      </c>
      <c r="F19" s="3" t="s">
        <v>825</v>
      </c>
      <c r="G19" s="73" t="s">
        <v>183</v>
      </c>
      <c r="H19" s="3" t="s">
        <v>182</v>
      </c>
      <c r="I19" s="3" t="str">
        <f t="shared" si="0"/>
        <v>Production</v>
      </c>
    </row>
    <row r="20" spans="1:9" x14ac:dyDescent="0.35">
      <c r="A20" s="3">
        <f>'Student Basic Info'!A20</f>
        <v>519</v>
      </c>
      <c r="B20" s="3" t="s">
        <v>12</v>
      </c>
      <c r="C20" s="3" t="s">
        <v>13</v>
      </c>
      <c r="D20" s="3" t="s">
        <v>14</v>
      </c>
      <c r="E20" s="3" t="s">
        <v>181</v>
      </c>
      <c r="F20" s="3" t="s">
        <v>825</v>
      </c>
      <c r="G20" s="73" t="s">
        <v>183</v>
      </c>
      <c r="H20" s="3" t="s">
        <v>184</v>
      </c>
      <c r="I20" s="3" t="str">
        <f t="shared" si="0"/>
        <v>Economics</v>
      </c>
    </row>
    <row r="21" spans="1:9" x14ac:dyDescent="0.35">
      <c r="A21" s="3">
        <f>'Student Basic Info'!A21</f>
        <v>520</v>
      </c>
      <c r="B21" s="3" t="s">
        <v>12</v>
      </c>
      <c r="C21" s="3" t="s">
        <v>13</v>
      </c>
      <c r="D21" s="3" t="s">
        <v>14</v>
      </c>
      <c r="E21" s="3" t="s">
        <v>181</v>
      </c>
      <c r="F21" s="3" t="s">
        <v>825</v>
      </c>
      <c r="G21" s="73" t="s">
        <v>182</v>
      </c>
      <c r="H21" s="3" t="s">
        <v>183</v>
      </c>
      <c r="I21" s="3" t="str">
        <f t="shared" si="0"/>
        <v>Finance</v>
      </c>
    </row>
    <row r="22" spans="1:9" x14ac:dyDescent="0.35">
      <c r="A22" s="3">
        <f>'Student Basic Info'!A22</f>
        <v>521</v>
      </c>
      <c r="B22" s="3" t="s">
        <v>12</v>
      </c>
      <c r="C22" s="3" t="s">
        <v>13</v>
      </c>
      <c r="D22" s="3" t="s">
        <v>14</v>
      </c>
      <c r="E22" s="3" t="s">
        <v>181</v>
      </c>
      <c r="F22" s="3" t="s">
        <v>825</v>
      </c>
      <c r="G22" s="74" t="s">
        <v>183</v>
      </c>
      <c r="H22" s="74" t="s">
        <v>182</v>
      </c>
      <c r="I22" s="3" t="str">
        <f t="shared" si="0"/>
        <v>Production</v>
      </c>
    </row>
    <row r="23" spans="1:9" x14ac:dyDescent="0.35">
      <c r="A23" s="3">
        <f>'Student Basic Info'!A23</f>
        <v>522</v>
      </c>
      <c r="B23" s="3" t="s">
        <v>12</v>
      </c>
      <c r="C23" s="3" t="s">
        <v>13</v>
      </c>
      <c r="D23" s="3" t="s">
        <v>14</v>
      </c>
      <c r="E23" s="3" t="s">
        <v>181</v>
      </c>
      <c r="F23" s="3" t="s">
        <v>825</v>
      </c>
      <c r="G23" s="73" t="s">
        <v>183</v>
      </c>
      <c r="H23" s="3" t="s">
        <v>182</v>
      </c>
      <c r="I23" s="3" t="str">
        <f t="shared" si="0"/>
        <v>Production</v>
      </c>
    </row>
    <row r="24" spans="1:9" x14ac:dyDescent="0.35">
      <c r="A24" s="3">
        <f>'Student Basic Info'!A24</f>
        <v>523</v>
      </c>
      <c r="B24" s="3" t="s">
        <v>12</v>
      </c>
      <c r="C24" s="3" t="s">
        <v>13</v>
      </c>
      <c r="D24" s="3" t="s">
        <v>14</v>
      </c>
      <c r="E24" s="3" t="s">
        <v>181</v>
      </c>
      <c r="F24" s="3" t="s">
        <v>825</v>
      </c>
      <c r="G24" s="73" t="s">
        <v>183</v>
      </c>
      <c r="H24" s="3" t="s">
        <v>182</v>
      </c>
      <c r="I24" s="3" t="str">
        <f t="shared" si="0"/>
        <v>Production</v>
      </c>
    </row>
    <row r="25" spans="1:9" x14ac:dyDescent="0.35">
      <c r="A25" s="3">
        <f>'Student Basic Info'!A25</f>
        <v>524</v>
      </c>
      <c r="B25" s="3" t="s">
        <v>12</v>
      </c>
      <c r="C25" s="3" t="s">
        <v>13</v>
      </c>
      <c r="D25" s="3" t="s">
        <v>14</v>
      </c>
      <c r="E25" s="3" t="s">
        <v>181</v>
      </c>
      <c r="F25" s="3" t="s">
        <v>825</v>
      </c>
      <c r="G25" s="73" t="s">
        <v>183</v>
      </c>
      <c r="H25" s="3" t="s">
        <v>182</v>
      </c>
      <c r="I25" s="3" t="str">
        <f t="shared" si="0"/>
        <v>Production</v>
      </c>
    </row>
    <row r="26" spans="1:9" x14ac:dyDescent="0.35">
      <c r="A26" s="3">
        <f>'Student Basic Info'!A26</f>
        <v>525</v>
      </c>
      <c r="B26" s="3" t="s">
        <v>12</v>
      </c>
      <c r="C26" s="3" t="s">
        <v>13</v>
      </c>
      <c r="D26" s="3" t="s">
        <v>14</v>
      </c>
      <c r="E26" s="3" t="s">
        <v>181</v>
      </c>
      <c r="F26" s="3" t="s">
        <v>825</v>
      </c>
      <c r="G26" s="73" t="s">
        <v>183</v>
      </c>
      <c r="H26" s="3" t="s">
        <v>182</v>
      </c>
      <c r="I26" s="3" t="str">
        <f t="shared" si="0"/>
        <v>Production</v>
      </c>
    </row>
    <row r="27" spans="1:9" x14ac:dyDescent="0.35">
      <c r="A27" s="3">
        <f>'Student Basic Info'!A27</f>
        <v>526</v>
      </c>
      <c r="B27" s="3" t="s">
        <v>12</v>
      </c>
      <c r="C27" s="3" t="s">
        <v>13</v>
      </c>
      <c r="D27" s="3" t="s">
        <v>14</v>
      </c>
      <c r="E27" s="3" t="s">
        <v>181</v>
      </c>
      <c r="F27" s="3" t="s">
        <v>825</v>
      </c>
      <c r="G27" s="73" t="s">
        <v>183</v>
      </c>
      <c r="H27" s="3" t="s">
        <v>182</v>
      </c>
      <c r="I27" s="3" t="str">
        <f t="shared" si="0"/>
        <v>Production</v>
      </c>
    </row>
    <row r="28" spans="1:9" x14ac:dyDescent="0.35">
      <c r="A28" s="3">
        <f>'Student Basic Info'!A28</f>
        <v>527</v>
      </c>
      <c r="B28" s="3" t="s">
        <v>12</v>
      </c>
      <c r="C28" s="3" t="s">
        <v>13</v>
      </c>
      <c r="D28" s="3" t="s">
        <v>14</v>
      </c>
      <c r="E28" s="3" t="s">
        <v>181</v>
      </c>
      <c r="F28" s="3" t="s">
        <v>825</v>
      </c>
      <c r="G28" s="73" t="s">
        <v>182</v>
      </c>
      <c r="H28" s="3" t="s">
        <v>183</v>
      </c>
      <c r="I28" s="3" t="str">
        <f t="shared" si="0"/>
        <v>Finance</v>
      </c>
    </row>
    <row r="29" spans="1:9" x14ac:dyDescent="0.35">
      <c r="A29" s="3">
        <f>'Student Basic Info'!A29</f>
        <v>528</v>
      </c>
      <c r="B29" s="3" t="s">
        <v>12</v>
      </c>
      <c r="C29" s="3" t="s">
        <v>13</v>
      </c>
      <c r="D29" s="3" t="s">
        <v>14</v>
      </c>
      <c r="E29" s="3" t="s">
        <v>181</v>
      </c>
      <c r="F29" s="3" t="s">
        <v>825</v>
      </c>
      <c r="G29" s="73" t="s">
        <v>183</v>
      </c>
      <c r="H29" s="3" t="s">
        <v>184</v>
      </c>
      <c r="I29" s="3" t="str">
        <f t="shared" si="0"/>
        <v>Economics</v>
      </c>
    </row>
    <row r="30" spans="1:9" x14ac:dyDescent="0.35">
      <c r="A30" s="3">
        <f>'Student Basic Info'!A30</f>
        <v>529</v>
      </c>
      <c r="B30" s="3" t="s">
        <v>12</v>
      </c>
      <c r="C30" s="3" t="s">
        <v>13</v>
      </c>
      <c r="D30" s="3" t="s">
        <v>14</v>
      </c>
      <c r="E30" s="3" t="s">
        <v>181</v>
      </c>
      <c r="F30" s="3" t="s">
        <v>825</v>
      </c>
      <c r="G30" s="73" t="s">
        <v>183</v>
      </c>
      <c r="H30" s="3" t="s">
        <v>184</v>
      </c>
      <c r="I30" s="3" t="str">
        <f t="shared" si="0"/>
        <v>Economics</v>
      </c>
    </row>
    <row r="31" spans="1:9" x14ac:dyDescent="0.35">
      <c r="A31" s="3">
        <f>'Student Basic Info'!A31</f>
        <v>530</v>
      </c>
      <c r="B31" s="3" t="s">
        <v>12</v>
      </c>
      <c r="C31" s="3" t="s">
        <v>13</v>
      </c>
      <c r="D31" s="3" t="s">
        <v>14</v>
      </c>
      <c r="E31" s="3" t="s">
        <v>181</v>
      </c>
      <c r="F31" s="3" t="s">
        <v>825</v>
      </c>
      <c r="G31" s="74" t="s">
        <v>183</v>
      </c>
      <c r="H31" s="74" t="s">
        <v>182</v>
      </c>
      <c r="I31" s="3" t="str">
        <f t="shared" si="0"/>
        <v>Production</v>
      </c>
    </row>
    <row r="32" spans="1:9" x14ac:dyDescent="0.35">
      <c r="A32" s="3">
        <f>'Student Basic Info'!A32</f>
        <v>531</v>
      </c>
      <c r="B32" s="3" t="s">
        <v>12</v>
      </c>
      <c r="C32" s="3" t="s">
        <v>13</v>
      </c>
      <c r="D32" s="3" t="s">
        <v>14</v>
      </c>
      <c r="E32" s="3" t="s">
        <v>181</v>
      </c>
      <c r="F32" s="3" t="s">
        <v>825</v>
      </c>
      <c r="G32" s="73" t="s">
        <v>183</v>
      </c>
      <c r="H32" s="3" t="s">
        <v>182</v>
      </c>
      <c r="I32" s="3" t="str">
        <f t="shared" si="0"/>
        <v>Production</v>
      </c>
    </row>
    <row r="33" spans="1:9" x14ac:dyDescent="0.35">
      <c r="A33" s="3">
        <f>'Student Basic Info'!A33</f>
        <v>532</v>
      </c>
      <c r="B33" s="3" t="s">
        <v>12</v>
      </c>
      <c r="C33" s="3" t="s">
        <v>13</v>
      </c>
      <c r="D33" s="3" t="s">
        <v>14</v>
      </c>
      <c r="E33" s="3" t="s">
        <v>181</v>
      </c>
      <c r="F33" s="3" t="s">
        <v>825</v>
      </c>
      <c r="G33" s="73" t="s">
        <v>183</v>
      </c>
      <c r="H33" s="3" t="s">
        <v>182</v>
      </c>
      <c r="I33" s="3" t="str">
        <f t="shared" si="0"/>
        <v>Production</v>
      </c>
    </row>
    <row r="34" spans="1:9" x14ac:dyDescent="0.35">
      <c r="A34" s="3">
        <f>'Student Basic Info'!A34</f>
        <v>533</v>
      </c>
      <c r="B34" s="3" t="s">
        <v>12</v>
      </c>
      <c r="C34" s="3" t="s">
        <v>13</v>
      </c>
      <c r="D34" s="3" t="s">
        <v>14</v>
      </c>
      <c r="E34" s="3" t="s">
        <v>181</v>
      </c>
      <c r="F34" s="3" t="s">
        <v>825</v>
      </c>
      <c r="G34" s="74" t="s">
        <v>183</v>
      </c>
      <c r="H34" s="74" t="s">
        <v>182</v>
      </c>
      <c r="I34" s="3" t="str">
        <f t="shared" si="0"/>
        <v>Production</v>
      </c>
    </row>
    <row r="35" spans="1:9" x14ac:dyDescent="0.35">
      <c r="A35" s="3">
        <f>'Student Basic Info'!A35</f>
        <v>534</v>
      </c>
      <c r="B35" s="3" t="s">
        <v>12</v>
      </c>
      <c r="C35" s="3" t="s">
        <v>13</v>
      </c>
      <c r="D35" s="3" t="s">
        <v>14</v>
      </c>
      <c r="E35" s="3" t="s">
        <v>181</v>
      </c>
      <c r="F35" s="3" t="s">
        <v>825</v>
      </c>
      <c r="G35" s="73" t="s">
        <v>182</v>
      </c>
      <c r="H35" s="3" t="s">
        <v>184</v>
      </c>
      <c r="I35" s="3" t="str">
        <f t="shared" si="0"/>
        <v>Economics</v>
      </c>
    </row>
    <row r="36" spans="1:9" x14ac:dyDescent="0.35">
      <c r="A36" s="3">
        <f>'Student Basic Info'!A36</f>
        <v>535</v>
      </c>
      <c r="B36" s="3" t="s">
        <v>12</v>
      </c>
      <c r="C36" s="3" t="s">
        <v>13</v>
      </c>
      <c r="D36" s="3" t="s">
        <v>14</v>
      </c>
      <c r="E36" s="3" t="s">
        <v>181</v>
      </c>
      <c r="F36" s="3" t="s">
        <v>825</v>
      </c>
      <c r="G36" s="73" t="s">
        <v>183</v>
      </c>
      <c r="H36" s="3" t="s">
        <v>182</v>
      </c>
      <c r="I36" s="3" t="str">
        <f t="shared" si="0"/>
        <v>Production</v>
      </c>
    </row>
    <row r="37" spans="1:9" x14ac:dyDescent="0.35">
      <c r="A37" s="3">
        <f>'Student Basic Info'!A37</f>
        <v>536</v>
      </c>
      <c r="B37" s="3" t="s">
        <v>12</v>
      </c>
      <c r="C37" s="3" t="s">
        <v>13</v>
      </c>
      <c r="D37" s="3" t="s">
        <v>14</v>
      </c>
      <c r="E37" s="3" t="s">
        <v>181</v>
      </c>
      <c r="F37" s="3" t="s">
        <v>825</v>
      </c>
      <c r="G37" s="73" t="s">
        <v>183</v>
      </c>
      <c r="H37" s="3" t="s">
        <v>182</v>
      </c>
      <c r="I37" s="3" t="str">
        <f t="shared" si="0"/>
        <v>Production</v>
      </c>
    </row>
    <row r="38" spans="1:9" x14ac:dyDescent="0.35">
      <c r="A38" s="3">
        <f>'Student Basic Info'!A38</f>
        <v>537</v>
      </c>
      <c r="B38" s="3" t="s">
        <v>12</v>
      </c>
      <c r="C38" s="3" t="s">
        <v>13</v>
      </c>
      <c r="D38" s="3" t="s">
        <v>14</v>
      </c>
      <c r="E38" s="3" t="s">
        <v>181</v>
      </c>
      <c r="F38" s="3" t="s">
        <v>825</v>
      </c>
      <c r="G38" s="73" t="s">
        <v>183</v>
      </c>
      <c r="H38" s="3" t="s">
        <v>184</v>
      </c>
      <c r="I38" s="3" t="str">
        <f t="shared" si="0"/>
        <v>Economics</v>
      </c>
    </row>
    <row r="39" spans="1:9" x14ac:dyDescent="0.35">
      <c r="A39" s="3">
        <f>'Student Basic Info'!A39</f>
        <v>538</v>
      </c>
      <c r="B39" s="3" t="s">
        <v>12</v>
      </c>
      <c r="C39" s="3" t="s">
        <v>13</v>
      </c>
      <c r="D39" s="3" t="s">
        <v>14</v>
      </c>
      <c r="E39" s="3" t="s">
        <v>181</v>
      </c>
      <c r="F39" s="3" t="s">
        <v>825</v>
      </c>
      <c r="G39" s="73" t="s">
        <v>182</v>
      </c>
      <c r="H39" s="3" t="s">
        <v>183</v>
      </c>
      <c r="I39" s="3" t="str">
        <f t="shared" si="0"/>
        <v>Finance</v>
      </c>
    </row>
    <row r="40" spans="1:9" x14ac:dyDescent="0.35">
      <c r="A40" s="3">
        <f>'Student Basic Info'!A40</f>
        <v>539</v>
      </c>
      <c r="B40" s="3" t="s">
        <v>12</v>
      </c>
      <c r="C40" s="3" t="s">
        <v>13</v>
      </c>
      <c r="D40" s="3" t="s">
        <v>14</v>
      </c>
      <c r="E40" s="3" t="s">
        <v>181</v>
      </c>
      <c r="F40" s="3" t="s">
        <v>825</v>
      </c>
      <c r="G40" s="73" t="s">
        <v>183</v>
      </c>
      <c r="H40" s="3" t="s">
        <v>182</v>
      </c>
      <c r="I40" s="3" t="str">
        <f t="shared" si="0"/>
        <v>Production</v>
      </c>
    </row>
    <row r="41" spans="1:9" x14ac:dyDescent="0.35">
      <c r="A41" s="3">
        <f>'Student Basic Info'!A41</f>
        <v>540</v>
      </c>
      <c r="B41" s="3" t="s">
        <v>12</v>
      </c>
      <c r="C41" s="3" t="s">
        <v>13</v>
      </c>
      <c r="D41" s="3" t="s">
        <v>14</v>
      </c>
      <c r="E41" s="3" t="s">
        <v>181</v>
      </c>
      <c r="F41" s="3" t="s">
        <v>825</v>
      </c>
      <c r="G41" s="73" t="s">
        <v>183</v>
      </c>
      <c r="H41" s="3" t="s">
        <v>182</v>
      </c>
      <c r="I41" s="3" t="str">
        <f t="shared" si="0"/>
        <v>Production</v>
      </c>
    </row>
    <row r="42" spans="1:9" x14ac:dyDescent="0.35">
      <c r="A42" s="3">
        <f>'Student Basic Info'!A42</f>
        <v>541</v>
      </c>
      <c r="B42" s="3" t="s">
        <v>12</v>
      </c>
      <c r="C42" s="3" t="s">
        <v>13</v>
      </c>
      <c r="D42" s="3" t="s">
        <v>14</v>
      </c>
      <c r="E42" s="3" t="s">
        <v>181</v>
      </c>
      <c r="F42" s="3" t="s">
        <v>825</v>
      </c>
      <c r="G42" s="73" t="s">
        <v>183</v>
      </c>
      <c r="H42" s="3" t="s">
        <v>182</v>
      </c>
      <c r="I42" s="3" t="str">
        <f t="shared" si="0"/>
        <v>Production</v>
      </c>
    </row>
    <row r="43" spans="1:9" x14ac:dyDescent="0.35">
      <c r="A43" s="3">
        <f>'Student Basic Info'!A43</f>
        <v>542</v>
      </c>
      <c r="B43" s="3" t="s">
        <v>12</v>
      </c>
      <c r="C43" s="3" t="s">
        <v>13</v>
      </c>
      <c r="D43" s="3" t="s">
        <v>14</v>
      </c>
      <c r="E43" s="3" t="s">
        <v>181</v>
      </c>
      <c r="F43" s="3" t="s">
        <v>825</v>
      </c>
      <c r="G43" s="73" t="s">
        <v>182</v>
      </c>
      <c r="H43" s="3" t="s">
        <v>184</v>
      </c>
      <c r="I43" s="3" t="str">
        <f t="shared" si="0"/>
        <v>Economics</v>
      </c>
    </row>
    <row r="44" spans="1:9" x14ac:dyDescent="0.35">
      <c r="A44" s="3">
        <f>'Student Basic Info'!A44</f>
        <v>543</v>
      </c>
      <c r="B44" s="3" t="s">
        <v>12</v>
      </c>
      <c r="C44" s="3" t="s">
        <v>13</v>
      </c>
      <c r="D44" s="3" t="s">
        <v>14</v>
      </c>
      <c r="E44" s="3" t="s">
        <v>181</v>
      </c>
      <c r="F44" s="3" t="s">
        <v>825</v>
      </c>
      <c r="G44" s="73" t="s">
        <v>182</v>
      </c>
      <c r="H44" s="3" t="s">
        <v>184</v>
      </c>
      <c r="I44" s="3" t="str">
        <f t="shared" si="0"/>
        <v>Economics</v>
      </c>
    </row>
    <row r="45" spans="1:9" x14ac:dyDescent="0.35">
      <c r="A45" s="3">
        <f>'Student Basic Info'!A45</f>
        <v>544</v>
      </c>
      <c r="B45" s="3" t="s">
        <v>12</v>
      </c>
      <c r="C45" s="3" t="s">
        <v>13</v>
      </c>
      <c r="D45" s="3" t="s">
        <v>14</v>
      </c>
      <c r="E45" s="3" t="s">
        <v>181</v>
      </c>
      <c r="F45" s="3" t="s">
        <v>825</v>
      </c>
      <c r="G45" s="73" t="s">
        <v>183</v>
      </c>
      <c r="H45" s="3" t="s">
        <v>182</v>
      </c>
      <c r="I45" s="3" t="str">
        <f t="shared" si="0"/>
        <v>Production</v>
      </c>
    </row>
    <row r="46" spans="1:9" x14ac:dyDescent="0.35">
      <c r="A46" s="3">
        <f>'Student Basic Info'!A46</f>
        <v>545</v>
      </c>
      <c r="B46" s="3" t="s">
        <v>12</v>
      </c>
      <c r="C46" s="3" t="s">
        <v>13</v>
      </c>
      <c r="D46" s="3" t="s">
        <v>14</v>
      </c>
      <c r="E46" s="3" t="s">
        <v>181</v>
      </c>
      <c r="F46" s="3" t="s">
        <v>825</v>
      </c>
      <c r="G46" s="74" t="s">
        <v>183</v>
      </c>
      <c r="H46" s="74" t="s">
        <v>182</v>
      </c>
      <c r="I46" s="3" t="str">
        <f t="shared" si="0"/>
        <v>Production</v>
      </c>
    </row>
    <row r="47" spans="1:9" x14ac:dyDescent="0.35">
      <c r="A47" s="3">
        <f>'Student Basic Info'!A47</f>
        <v>546</v>
      </c>
      <c r="B47" s="3" t="s">
        <v>12</v>
      </c>
      <c r="C47" s="3" t="s">
        <v>13</v>
      </c>
      <c r="D47" s="3" t="s">
        <v>14</v>
      </c>
      <c r="E47" s="3" t="s">
        <v>181</v>
      </c>
      <c r="F47" s="3" t="s">
        <v>825</v>
      </c>
      <c r="G47" s="73" t="s">
        <v>183</v>
      </c>
      <c r="H47" s="3" t="s">
        <v>182</v>
      </c>
      <c r="I47" s="3" t="str">
        <f t="shared" si="0"/>
        <v>Production</v>
      </c>
    </row>
    <row r="48" spans="1:9" x14ac:dyDescent="0.35">
      <c r="A48" s="3">
        <f>'Student Basic Info'!A48</f>
        <v>547</v>
      </c>
      <c r="B48" s="3" t="s">
        <v>12</v>
      </c>
      <c r="C48" s="3" t="s">
        <v>13</v>
      </c>
      <c r="D48" s="3" t="s">
        <v>14</v>
      </c>
      <c r="E48" s="3" t="s">
        <v>181</v>
      </c>
      <c r="F48" s="3" t="s">
        <v>825</v>
      </c>
      <c r="G48" s="74" t="s">
        <v>183</v>
      </c>
      <c r="H48" s="74" t="s">
        <v>182</v>
      </c>
      <c r="I48" s="3" t="str">
        <f t="shared" si="0"/>
        <v>Production</v>
      </c>
    </row>
    <row r="49" spans="1:9" x14ac:dyDescent="0.35">
      <c r="A49" s="3">
        <f>'Student Basic Info'!A49</f>
        <v>548</v>
      </c>
      <c r="B49" s="3" t="s">
        <v>12</v>
      </c>
      <c r="C49" s="3" t="s">
        <v>13</v>
      </c>
      <c r="D49" s="3" t="s">
        <v>14</v>
      </c>
      <c r="E49" s="3" t="s">
        <v>181</v>
      </c>
      <c r="F49" s="3" t="s">
        <v>825</v>
      </c>
      <c r="G49" s="74" t="s">
        <v>183</v>
      </c>
      <c r="H49" s="74" t="s">
        <v>182</v>
      </c>
      <c r="I49" s="3" t="str">
        <f t="shared" si="0"/>
        <v>Production</v>
      </c>
    </row>
    <row r="50" spans="1:9" x14ac:dyDescent="0.35">
      <c r="A50" s="3">
        <f>'Student Basic Info'!A50</f>
        <v>549</v>
      </c>
      <c r="B50" s="3" t="s">
        <v>12</v>
      </c>
      <c r="C50" s="3" t="s">
        <v>13</v>
      </c>
      <c r="D50" s="3" t="s">
        <v>14</v>
      </c>
      <c r="E50" s="3" t="s">
        <v>181</v>
      </c>
      <c r="F50" s="3" t="s">
        <v>825</v>
      </c>
      <c r="G50" s="73" t="s">
        <v>183</v>
      </c>
      <c r="H50" s="3" t="s">
        <v>182</v>
      </c>
      <c r="I50" s="3" t="str">
        <f t="shared" si="0"/>
        <v>Production</v>
      </c>
    </row>
    <row r="51" spans="1:9" x14ac:dyDescent="0.35">
      <c r="A51" s="3">
        <f>'Student Basic Info'!A51</f>
        <v>550</v>
      </c>
      <c r="B51" s="3" t="s">
        <v>12</v>
      </c>
      <c r="C51" s="3" t="s">
        <v>13</v>
      </c>
      <c r="D51" s="3" t="s">
        <v>14</v>
      </c>
      <c r="E51" s="3" t="s">
        <v>181</v>
      </c>
      <c r="F51" s="3" t="s">
        <v>825</v>
      </c>
      <c r="G51" s="74" t="s">
        <v>183</v>
      </c>
      <c r="H51" s="74" t="s">
        <v>182</v>
      </c>
      <c r="I51" s="3" t="str">
        <f t="shared" si="0"/>
        <v>Production</v>
      </c>
    </row>
    <row r="52" spans="1:9" x14ac:dyDescent="0.35">
      <c r="A52" s="3">
        <f>'Student Basic Info'!A52</f>
        <v>551</v>
      </c>
      <c r="B52" s="3" t="s">
        <v>12</v>
      </c>
      <c r="C52" s="3" t="s">
        <v>13</v>
      </c>
      <c r="D52" s="3" t="s">
        <v>14</v>
      </c>
      <c r="E52" s="3" t="s">
        <v>181</v>
      </c>
      <c r="F52" s="3" t="s">
        <v>825</v>
      </c>
      <c r="G52" s="73" t="s">
        <v>182</v>
      </c>
      <c r="H52" s="3" t="s">
        <v>183</v>
      </c>
      <c r="I52" s="3" t="str">
        <f t="shared" si="0"/>
        <v>Finance</v>
      </c>
    </row>
    <row r="53" spans="1:9" x14ac:dyDescent="0.35">
      <c r="A53" s="3">
        <f>'Student Basic Info'!A53</f>
        <v>552</v>
      </c>
      <c r="B53" s="3" t="s">
        <v>12</v>
      </c>
      <c r="C53" s="3" t="s">
        <v>13</v>
      </c>
      <c r="D53" s="3" t="s">
        <v>14</v>
      </c>
      <c r="E53" s="3" t="s">
        <v>181</v>
      </c>
      <c r="F53" s="3" t="s">
        <v>825</v>
      </c>
      <c r="G53" s="73" t="s">
        <v>183</v>
      </c>
      <c r="H53" s="3" t="s">
        <v>182</v>
      </c>
      <c r="I53" s="3" t="str">
        <f t="shared" si="0"/>
        <v>Production</v>
      </c>
    </row>
    <row r="54" spans="1:9" x14ac:dyDescent="0.35">
      <c r="A54" s="3">
        <f>'Student Basic Info'!A54</f>
        <v>553</v>
      </c>
      <c r="B54" s="3" t="s">
        <v>12</v>
      </c>
      <c r="C54" s="3" t="s">
        <v>13</v>
      </c>
      <c r="D54" s="3" t="s">
        <v>14</v>
      </c>
      <c r="E54" s="3" t="s">
        <v>181</v>
      </c>
      <c r="F54" s="3" t="s">
        <v>825</v>
      </c>
      <c r="G54" s="73" t="s">
        <v>183</v>
      </c>
      <c r="H54" s="3" t="s">
        <v>182</v>
      </c>
      <c r="I54" s="3" t="str">
        <f t="shared" si="0"/>
        <v>Production</v>
      </c>
    </row>
    <row r="55" spans="1:9" x14ac:dyDescent="0.35">
      <c r="A55" s="3">
        <f>'Student Basic Info'!A55</f>
        <v>554</v>
      </c>
      <c r="B55" s="3" t="s">
        <v>12</v>
      </c>
      <c r="C55" s="3" t="s">
        <v>13</v>
      </c>
      <c r="D55" s="3" t="s">
        <v>14</v>
      </c>
      <c r="E55" s="3" t="s">
        <v>181</v>
      </c>
      <c r="F55" s="3" t="s">
        <v>825</v>
      </c>
      <c r="G55" s="73" t="s">
        <v>183</v>
      </c>
      <c r="H55" s="3" t="s">
        <v>182</v>
      </c>
      <c r="I55" s="3" t="str">
        <f t="shared" si="0"/>
        <v>Production</v>
      </c>
    </row>
    <row r="56" spans="1:9" x14ac:dyDescent="0.35">
      <c r="A56" s="3">
        <f>'Student Basic Info'!A56</f>
        <v>555</v>
      </c>
      <c r="B56" s="3" t="s">
        <v>12</v>
      </c>
      <c r="C56" s="3" t="s">
        <v>13</v>
      </c>
      <c r="D56" s="3" t="s">
        <v>14</v>
      </c>
      <c r="E56" s="3" t="s">
        <v>181</v>
      </c>
      <c r="F56" s="3" t="s">
        <v>825</v>
      </c>
      <c r="G56" s="73" t="s">
        <v>182</v>
      </c>
      <c r="H56" s="3" t="s">
        <v>183</v>
      </c>
      <c r="I56" s="3" t="str">
        <f t="shared" si="0"/>
        <v>Finance</v>
      </c>
    </row>
    <row r="57" spans="1:9" x14ac:dyDescent="0.35">
      <c r="A57" s="3">
        <f>'Student Basic Info'!A57</f>
        <v>556</v>
      </c>
      <c r="B57" s="3" t="s">
        <v>12</v>
      </c>
      <c r="C57" s="3" t="s">
        <v>13</v>
      </c>
      <c r="D57" s="3" t="s">
        <v>14</v>
      </c>
      <c r="E57" s="3" t="s">
        <v>181</v>
      </c>
      <c r="F57" s="3" t="s">
        <v>825</v>
      </c>
      <c r="G57" s="73" t="s">
        <v>183</v>
      </c>
      <c r="H57" s="3" t="s">
        <v>182</v>
      </c>
      <c r="I57" s="3" t="str">
        <f t="shared" si="0"/>
        <v>Production</v>
      </c>
    </row>
    <row r="58" spans="1:9" x14ac:dyDescent="0.35">
      <c r="A58" s="3">
        <f>'Student Basic Info'!A58</f>
        <v>557</v>
      </c>
      <c r="B58" s="3" t="s">
        <v>12</v>
      </c>
      <c r="C58" s="3" t="s">
        <v>13</v>
      </c>
      <c r="D58" s="3" t="s">
        <v>14</v>
      </c>
      <c r="E58" s="3" t="s">
        <v>181</v>
      </c>
      <c r="F58" s="3" t="s">
        <v>825</v>
      </c>
      <c r="G58" s="73" t="s">
        <v>183</v>
      </c>
      <c r="H58" s="3" t="s">
        <v>182</v>
      </c>
      <c r="I58" s="3" t="str">
        <f t="shared" si="0"/>
        <v>Production</v>
      </c>
    </row>
    <row r="59" spans="1:9" x14ac:dyDescent="0.35">
      <c r="A59" s="3">
        <f>'Student Basic Info'!A59</f>
        <v>558</v>
      </c>
      <c r="B59" s="3" t="s">
        <v>12</v>
      </c>
      <c r="C59" s="3" t="s">
        <v>13</v>
      </c>
      <c r="D59" s="3" t="s">
        <v>14</v>
      </c>
      <c r="E59" s="3" t="s">
        <v>181</v>
      </c>
      <c r="F59" s="3" t="s">
        <v>825</v>
      </c>
      <c r="G59" s="73" t="s">
        <v>183</v>
      </c>
      <c r="H59" s="3" t="s">
        <v>182</v>
      </c>
      <c r="I59" s="3" t="str">
        <f t="shared" si="0"/>
        <v>Production</v>
      </c>
    </row>
    <row r="60" spans="1:9" x14ac:dyDescent="0.35">
      <c r="A60" s="3">
        <f>'Student Basic Info'!A60</f>
        <v>559</v>
      </c>
      <c r="B60" s="3" t="s">
        <v>12</v>
      </c>
      <c r="C60" s="3" t="s">
        <v>13</v>
      </c>
      <c r="D60" s="3" t="s">
        <v>14</v>
      </c>
      <c r="E60" s="3" t="s">
        <v>181</v>
      </c>
      <c r="F60" s="3" t="s">
        <v>825</v>
      </c>
      <c r="G60" s="73" t="s">
        <v>183</v>
      </c>
      <c r="H60" s="3" t="s">
        <v>182</v>
      </c>
      <c r="I60" s="3" t="str">
        <f t="shared" si="0"/>
        <v>Production</v>
      </c>
    </row>
    <row r="61" spans="1:9" x14ac:dyDescent="0.35">
      <c r="A61" s="3">
        <f>'Student Basic Info'!A61</f>
        <v>560</v>
      </c>
      <c r="B61" s="3" t="s">
        <v>12</v>
      </c>
      <c r="C61" s="3" t="s">
        <v>13</v>
      </c>
      <c r="D61" s="3" t="s">
        <v>14</v>
      </c>
      <c r="E61" s="3" t="s">
        <v>181</v>
      </c>
      <c r="F61" s="3" t="s">
        <v>825</v>
      </c>
      <c r="G61" s="73" t="s">
        <v>183</v>
      </c>
      <c r="H61" s="3" t="s">
        <v>182</v>
      </c>
      <c r="I61" s="3" t="str">
        <f t="shared" si="0"/>
        <v>Production</v>
      </c>
    </row>
    <row r="62" spans="1:9" x14ac:dyDescent="0.35">
      <c r="A62" s="3">
        <f>'Student Basic Info'!A62</f>
        <v>561</v>
      </c>
      <c r="B62" s="3" t="s">
        <v>12</v>
      </c>
      <c r="C62" s="3" t="s">
        <v>13</v>
      </c>
      <c r="D62" s="3" t="s">
        <v>14</v>
      </c>
      <c r="E62" s="3" t="s">
        <v>181</v>
      </c>
      <c r="F62" s="3" t="s">
        <v>825</v>
      </c>
      <c r="G62" s="73" t="s">
        <v>183</v>
      </c>
      <c r="H62" s="3" t="s">
        <v>182</v>
      </c>
      <c r="I62" s="3" t="str">
        <f t="shared" si="0"/>
        <v>Production</v>
      </c>
    </row>
    <row r="63" spans="1:9" x14ac:dyDescent="0.35">
      <c r="A63" s="3">
        <f>'Student Basic Info'!A63</f>
        <v>562</v>
      </c>
      <c r="B63" s="3" t="s">
        <v>12</v>
      </c>
      <c r="C63" s="3" t="s">
        <v>13</v>
      </c>
      <c r="D63" s="3" t="s">
        <v>14</v>
      </c>
      <c r="E63" s="3" t="s">
        <v>181</v>
      </c>
      <c r="F63" s="3" t="s">
        <v>825</v>
      </c>
      <c r="G63" s="74" t="s">
        <v>183</v>
      </c>
      <c r="H63" s="74" t="s">
        <v>182</v>
      </c>
      <c r="I63" s="3" t="str">
        <f t="shared" si="0"/>
        <v>Production</v>
      </c>
    </row>
    <row r="64" spans="1:9" x14ac:dyDescent="0.35">
      <c r="A64" s="3">
        <f>'Student Basic Info'!A64</f>
        <v>563</v>
      </c>
      <c r="B64" s="3" t="s">
        <v>12</v>
      </c>
      <c r="C64" s="3" t="s">
        <v>13</v>
      </c>
      <c r="D64" s="3" t="s">
        <v>14</v>
      </c>
      <c r="E64" s="3" t="s">
        <v>181</v>
      </c>
      <c r="F64" s="3" t="s">
        <v>825</v>
      </c>
      <c r="G64" s="73" t="s">
        <v>183</v>
      </c>
      <c r="H64" s="3" t="s">
        <v>184</v>
      </c>
      <c r="I64" s="3" t="str">
        <f t="shared" si="0"/>
        <v>Economics</v>
      </c>
    </row>
    <row r="65" spans="1:9" x14ac:dyDescent="0.35">
      <c r="A65" s="3">
        <f>'Student Basic Info'!A65</f>
        <v>564</v>
      </c>
      <c r="B65" s="3" t="s">
        <v>12</v>
      </c>
      <c r="C65" s="3" t="s">
        <v>13</v>
      </c>
      <c r="D65" s="3" t="s">
        <v>14</v>
      </c>
      <c r="E65" s="3" t="s">
        <v>181</v>
      </c>
      <c r="F65" s="3" t="s">
        <v>825</v>
      </c>
      <c r="G65" s="73" t="s">
        <v>183</v>
      </c>
      <c r="H65" s="3" t="s">
        <v>182</v>
      </c>
      <c r="I65" s="3" t="str">
        <f t="shared" si="0"/>
        <v>Production</v>
      </c>
    </row>
    <row r="66" spans="1:9" x14ac:dyDescent="0.35">
      <c r="A66" s="3">
        <f>'Student Basic Info'!A66</f>
        <v>565</v>
      </c>
      <c r="B66" s="3" t="s">
        <v>12</v>
      </c>
      <c r="C66" s="3" t="s">
        <v>13</v>
      </c>
      <c r="D66" s="3" t="s">
        <v>14</v>
      </c>
      <c r="E66" s="3" t="s">
        <v>181</v>
      </c>
      <c r="F66" s="3" t="s">
        <v>825</v>
      </c>
      <c r="G66" s="73" t="s">
        <v>182</v>
      </c>
      <c r="H66" s="3" t="s">
        <v>183</v>
      </c>
      <c r="I66" s="3" t="str">
        <f t="shared" si="0"/>
        <v>Finance</v>
      </c>
    </row>
    <row r="67" spans="1:9" x14ac:dyDescent="0.35">
      <c r="A67" s="3">
        <f>'Student Basic Info'!A67</f>
        <v>566</v>
      </c>
      <c r="B67" s="3" t="s">
        <v>12</v>
      </c>
      <c r="C67" s="3" t="s">
        <v>13</v>
      </c>
      <c r="D67" s="3" t="s">
        <v>14</v>
      </c>
      <c r="E67" s="3" t="s">
        <v>181</v>
      </c>
      <c r="F67" s="3" t="s">
        <v>825</v>
      </c>
      <c r="G67" s="73" t="s">
        <v>183</v>
      </c>
      <c r="H67" s="3" t="s">
        <v>182</v>
      </c>
      <c r="I67" s="3" t="str">
        <f t="shared" ref="I67:I131" si="1">H67</f>
        <v>Production</v>
      </c>
    </row>
    <row r="68" spans="1:9" x14ac:dyDescent="0.35">
      <c r="A68" s="3">
        <f>'Student Basic Info'!A68</f>
        <v>567</v>
      </c>
      <c r="B68" s="3" t="s">
        <v>12</v>
      </c>
      <c r="C68" s="3" t="s">
        <v>13</v>
      </c>
      <c r="D68" s="3" t="s">
        <v>14</v>
      </c>
      <c r="E68" s="3" t="s">
        <v>181</v>
      </c>
      <c r="F68" s="3" t="s">
        <v>825</v>
      </c>
      <c r="G68" s="73" t="s">
        <v>183</v>
      </c>
      <c r="H68" s="3" t="s">
        <v>182</v>
      </c>
      <c r="I68" s="3" t="str">
        <f t="shared" si="1"/>
        <v>Production</v>
      </c>
    </row>
    <row r="69" spans="1:9" x14ac:dyDescent="0.35">
      <c r="A69" s="3">
        <f>'Student Basic Info'!A69</f>
        <v>568</v>
      </c>
      <c r="B69" s="3" t="s">
        <v>12</v>
      </c>
      <c r="C69" s="3" t="s">
        <v>13</v>
      </c>
      <c r="D69" s="3" t="s">
        <v>14</v>
      </c>
      <c r="E69" s="3" t="s">
        <v>181</v>
      </c>
      <c r="F69" s="3" t="s">
        <v>825</v>
      </c>
      <c r="G69" s="73" t="s">
        <v>182</v>
      </c>
      <c r="H69" s="3" t="s">
        <v>183</v>
      </c>
      <c r="I69" s="3" t="str">
        <f t="shared" si="1"/>
        <v>Finance</v>
      </c>
    </row>
    <row r="70" spans="1:9" x14ac:dyDescent="0.35">
      <c r="A70" s="3">
        <f>'Student Basic Info'!A70</f>
        <v>569</v>
      </c>
      <c r="B70" s="3" t="s">
        <v>12</v>
      </c>
      <c r="C70" s="3" t="s">
        <v>13</v>
      </c>
      <c r="D70" s="3" t="s">
        <v>14</v>
      </c>
      <c r="E70" s="3" t="s">
        <v>181</v>
      </c>
      <c r="F70" s="3" t="s">
        <v>825</v>
      </c>
      <c r="G70" s="73" t="s">
        <v>183</v>
      </c>
      <c r="H70" s="3" t="s">
        <v>184</v>
      </c>
      <c r="I70" s="3" t="str">
        <f t="shared" si="1"/>
        <v>Economics</v>
      </c>
    </row>
    <row r="71" spans="1:9" x14ac:dyDescent="0.35">
      <c r="A71" s="3">
        <f>'Student Basic Info'!A71</f>
        <v>570</v>
      </c>
      <c r="B71" s="3" t="s">
        <v>12</v>
      </c>
      <c r="C71" s="3" t="s">
        <v>13</v>
      </c>
      <c r="D71" s="3" t="s">
        <v>14</v>
      </c>
      <c r="E71" s="3" t="s">
        <v>181</v>
      </c>
      <c r="F71" s="3" t="s">
        <v>825</v>
      </c>
      <c r="G71" s="73" t="s">
        <v>182</v>
      </c>
      <c r="H71" s="3" t="s">
        <v>184</v>
      </c>
      <c r="I71" s="3" t="str">
        <f t="shared" si="1"/>
        <v>Economics</v>
      </c>
    </row>
    <row r="72" spans="1:9" x14ac:dyDescent="0.35">
      <c r="A72" s="3">
        <f>'Student Basic Info'!A72</f>
        <v>571</v>
      </c>
      <c r="B72" s="3" t="s">
        <v>12</v>
      </c>
      <c r="C72" s="3" t="s">
        <v>13</v>
      </c>
      <c r="D72" s="3" t="s">
        <v>14</v>
      </c>
      <c r="E72" s="3" t="s">
        <v>181</v>
      </c>
      <c r="F72" s="3" t="s">
        <v>825</v>
      </c>
      <c r="G72" s="73" t="s">
        <v>182</v>
      </c>
      <c r="H72" s="3" t="s">
        <v>184</v>
      </c>
      <c r="I72" s="3" t="str">
        <f t="shared" si="1"/>
        <v>Economics</v>
      </c>
    </row>
    <row r="73" spans="1:9" x14ac:dyDescent="0.35">
      <c r="A73" s="3">
        <f>'Student Basic Info'!A73</f>
        <v>572</v>
      </c>
      <c r="B73" s="3" t="s">
        <v>12</v>
      </c>
      <c r="C73" s="3" t="s">
        <v>13</v>
      </c>
      <c r="D73" s="3" t="s">
        <v>14</v>
      </c>
      <c r="E73" s="3" t="s">
        <v>181</v>
      </c>
      <c r="F73" s="3" t="s">
        <v>825</v>
      </c>
      <c r="G73" s="73" t="s">
        <v>183</v>
      </c>
      <c r="H73" s="3" t="s">
        <v>182</v>
      </c>
      <c r="I73" s="3" t="str">
        <f t="shared" si="1"/>
        <v>Production</v>
      </c>
    </row>
    <row r="74" spans="1:9" x14ac:dyDescent="0.35">
      <c r="A74" s="3">
        <f>'Student Basic Info'!A74</f>
        <v>573</v>
      </c>
      <c r="B74" s="3" t="s">
        <v>12</v>
      </c>
      <c r="C74" s="3" t="s">
        <v>13</v>
      </c>
      <c r="D74" s="3" t="s">
        <v>14</v>
      </c>
      <c r="E74" s="3" t="s">
        <v>181</v>
      </c>
      <c r="F74" s="3" t="s">
        <v>825</v>
      </c>
      <c r="G74" s="73" t="s">
        <v>182</v>
      </c>
      <c r="H74" s="3" t="s">
        <v>183</v>
      </c>
      <c r="I74" s="3" t="str">
        <f t="shared" si="1"/>
        <v>Finance</v>
      </c>
    </row>
    <row r="75" spans="1:9" x14ac:dyDescent="0.35">
      <c r="A75" s="3">
        <f>'Student Basic Info'!A75</f>
        <v>574</v>
      </c>
      <c r="B75" s="3" t="s">
        <v>12</v>
      </c>
      <c r="C75" s="3" t="s">
        <v>13</v>
      </c>
      <c r="D75" s="3" t="s">
        <v>14</v>
      </c>
      <c r="E75" s="3" t="s">
        <v>181</v>
      </c>
      <c r="F75" s="3" t="s">
        <v>825</v>
      </c>
      <c r="G75" s="73" t="s">
        <v>183</v>
      </c>
      <c r="H75" s="3" t="s">
        <v>184</v>
      </c>
      <c r="I75" s="3" t="str">
        <f t="shared" si="1"/>
        <v>Economics</v>
      </c>
    </row>
    <row r="76" spans="1:9" x14ac:dyDescent="0.35">
      <c r="A76" s="3">
        <f>'Student Basic Info'!A76</f>
        <v>575</v>
      </c>
      <c r="B76" s="3" t="s">
        <v>12</v>
      </c>
      <c r="C76" s="3" t="s">
        <v>13</v>
      </c>
      <c r="D76" s="3" t="s">
        <v>14</v>
      </c>
      <c r="E76" s="3" t="s">
        <v>181</v>
      </c>
      <c r="F76" s="3" t="s">
        <v>825</v>
      </c>
      <c r="G76" s="73" t="s">
        <v>183</v>
      </c>
      <c r="H76" s="3" t="s">
        <v>184</v>
      </c>
      <c r="I76" s="3" t="str">
        <f t="shared" si="1"/>
        <v>Economics</v>
      </c>
    </row>
    <row r="77" spans="1:9" x14ac:dyDescent="0.35">
      <c r="A77" s="3">
        <f>'Student Basic Info'!A77</f>
        <v>576</v>
      </c>
      <c r="B77" s="3" t="s">
        <v>12</v>
      </c>
      <c r="C77" s="3" t="s">
        <v>13</v>
      </c>
      <c r="D77" s="3" t="s">
        <v>14</v>
      </c>
      <c r="E77" s="3" t="s">
        <v>181</v>
      </c>
      <c r="F77" s="3" t="s">
        <v>825</v>
      </c>
      <c r="G77" s="73" t="s">
        <v>183</v>
      </c>
      <c r="H77" s="3" t="s">
        <v>182</v>
      </c>
      <c r="I77" s="3" t="str">
        <f t="shared" si="1"/>
        <v>Production</v>
      </c>
    </row>
    <row r="78" spans="1:9" x14ac:dyDescent="0.35">
      <c r="A78" s="3">
        <f>'Student Basic Info'!A78</f>
        <v>577</v>
      </c>
      <c r="B78" s="3" t="s">
        <v>12</v>
      </c>
      <c r="C78" s="3" t="s">
        <v>13</v>
      </c>
      <c r="D78" s="3" t="s">
        <v>14</v>
      </c>
      <c r="E78" s="3" t="s">
        <v>181</v>
      </c>
      <c r="F78" s="3" t="s">
        <v>825</v>
      </c>
      <c r="G78" s="73" t="s">
        <v>183</v>
      </c>
      <c r="H78" s="3" t="s">
        <v>182</v>
      </c>
      <c r="I78" s="3" t="str">
        <f t="shared" si="1"/>
        <v>Production</v>
      </c>
    </row>
    <row r="79" spans="1:9" x14ac:dyDescent="0.35">
      <c r="A79" s="3">
        <f>'Student Basic Info'!A79</f>
        <v>578</v>
      </c>
      <c r="B79" s="3" t="s">
        <v>12</v>
      </c>
      <c r="C79" s="3" t="s">
        <v>13</v>
      </c>
      <c r="D79" s="3" t="s">
        <v>14</v>
      </c>
      <c r="E79" s="3" t="s">
        <v>181</v>
      </c>
      <c r="F79" s="3" t="s">
        <v>825</v>
      </c>
      <c r="G79" s="73" t="s">
        <v>183</v>
      </c>
      <c r="H79" s="3" t="s">
        <v>182</v>
      </c>
      <c r="I79" s="3" t="str">
        <f t="shared" si="1"/>
        <v>Production</v>
      </c>
    </row>
    <row r="80" spans="1:9" x14ac:dyDescent="0.35">
      <c r="A80" s="3">
        <f>'Student Basic Info'!A80</f>
        <v>579</v>
      </c>
      <c r="B80" s="3" t="s">
        <v>12</v>
      </c>
      <c r="C80" s="3" t="s">
        <v>13</v>
      </c>
      <c r="D80" s="3" t="s">
        <v>14</v>
      </c>
      <c r="E80" s="3" t="s">
        <v>181</v>
      </c>
      <c r="F80" s="3" t="s">
        <v>825</v>
      </c>
      <c r="G80" s="73" t="s">
        <v>182</v>
      </c>
      <c r="H80" s="3" t="s">
        <v>183</v>
      </c>
      <c r="I80" s="3" t="str">
        <f t="shared" si="1"/>
        <v>Finance</v>
      </c>
    </row>
    <row r="81" spans="1:9" x14ac:dyDescent="0.35">
      <c r="A81" s="3">
        <f>'Student Basic Info'!A81</f>
        <v>580</v>
      </c>
      <c r="B81" s="3" t="s">
        <v>12</v>
      </c>
      <c r="C81" s="3" t="s">
        <v>13</v>
      </c>
      <c r="D81" s="3" t="s">
        <v>14</v>
      </c>
      <c r="E81" s="3" t="s">
        <v>181</v>
      </c>
      <c r="F81" s="3" t="s">
        <v>825</v>
      </c>
      <c r="G81" s="73" t="s">
        <v>182</v>
      </c>
      <c r="H81" s="3" t="s">
        <v>183</v>
      </c>
      <c r="I81" s="3" t="str">
        <f t="shared" si="1"/>
        <v>Finance</v>
      </c>
    </row>
    <row r="82" spans="1:9" x14ac:dyDescent="0.35">
      <c r="A82" s="3">
        <f>'Student Basic Info'!A82</f>
        <v>581</v>
      </c>
      <c r="B82" s="3" t="s">
        <v>12</v>
      </c>
      <c r="C82" s="3" t="s">
        <v>13</v>
      </c>
      <c r="D82" s="3" t="s">
        <v>14</v>
      </c>
      <c r="E82" s="3" t="s">
        <v>181</v>
      </c>
      <c r="F82" s="3" t="s">
        <v>825</v>
      </c>
      <c r="G82" s="73" t="s">
        <v>182</v>
      </c>
      <c r="H82" s="3" t="s">
        <v>183</v>
      </c>
      <c r="I82" s="3" t="str">
        <f t="shared" si="1"/>
        <v>Finance</v>
      </c>
    </row>
    <row r="83" spans="1:9" x14ac:dyDescent="0.35">
      <c r="A83" s="3">
        <f>'Student Basic Info'!A83</f>
        <v>582</v>
      </c>
      <c r="B83" s="3" t="s">
        <v>12</v>
      </c>
      <c r="C83" s="3" t="s">
        <v>13</v>
      </c>
      <c r="D83" s="3" t="s">
        <v>14</v>
      </c>
      <c r="E83" s="3" t="s">
        <v>181</v>
      </c>
      <c r="F83" s="3" t="s">
        <v>825</v>
      </c>
      <c r="G83" s="73" t="s">
        <v>182</v>
      </c>
      <c r="H83" s="3" t="s">
        <v>183</v>
      </c>
      <c r="I83" s="3" t="str">
        <f t="shared" si="1"/>
        <v>Finance</v>
      </c>
    </row>
    <row r="84" spans="1:9" x14ac:dyDescent="0.35">
      <c r="A84" s="3">
        <f>'Student Basic Info'!A84</f>
        <v>583</v>
      </c>
      <c r="B84" s="3" t="s">
        <v>12</v>
      </c>
      <c r="C84" s="3" t="s">
        <v>13</v>
      </c>
      <c r="D84" s="3" t="s">
        <v>14</v>
      </c>
      <c r="E84" s="3" t="s">
        <v>181</v>
      </c>
      <c r="F84" s="3" t="s">
        <v>825</v>
      </c>
      <c r="G84" s="73" t="s">
        <v>182</v>
      </c>
      <c r="H84" s="3" t="s">
        <v>183</v>
      </c>
      <c r="I84" s="3" t="str">
        <f t="shared" si="1"/>
        <v>Finance</v>
      </c>
    </row>
    <row r="85" spans="1:9" x14ac:dyDescent="0.35">
      <c r="A85" s="3">
        <f>'Student Basic Info'!A85</f>
        <v>584</v>
      </c>
      <c r="B85" s="3" t="s">
        <v>12</v>
      </c>
      <c r="C85" s="3" t="s">
        <v>13</v>
      </c>
      <c r="D85" s="3" t="s">
        <v>14</v>
      </c>
      <c r="E85" s="3" t="s">
        <v>181</v>
      </c>
      <c r="F85" s="3" t="s">
        <v>825</v>
      </c>
      <c r="G85" s="73" t="s">
        <v>182</v>
      </c>
      <c r="H85" s="3" t="s">
        <v>183</v>
      </c>
      <c r="I85" s="3" t="str">
        <f t="shared" si="1"/>
        <v>Finance</v>
      </c>
    </row>
    <row r="86" spans="1:9" x14ac:dyDescent="0.35">
      <c r="A86" s="3">
        <f>'Student Basic Info'!A86</f>
        <v>585</v>
      </c>
      <c r="B86" s="3" t="s">
        <v>12</v>
      </c>
      <c r="C86" s="3" t="s">
        <v>13</v>
      </c>
      <c r="D86" s="3" t="s">
        <v>14</v>
      </c>
      <c r="E86" s="3" t="s">
        <v>181</v>
      </c>
      <c r="F86" s="3" t="s">
        <v>825</v>
      </c>
      <c r="G86" s="73" t="s">
        <v>182</v>
      </c>
      <c r="H86" s="3" t="s">
        <v>183</v>
      </c>
      <c r="I86" s="3" t="str">
        <f t="shared" si="1"/>
        <v>Finance</v>
      </c>
    </row>
    <row r="87" spans="1:9" x14ac:dyDescent="0.35">
      <c r="A87" s="3">
        <f>'Student Basic Info'!A87</f>
        <v>586</v>
      </c>
      <c r="B87" s="3" t="s">
        <v>12</v>
      </c>
      <c r="C87" s="3" t="s">
        <v>13</v>
      </c>
      <c r="D87" s="3" t="s">
        <v>14</v>
      </c>
      <c r="E87" s="3" t="s">
        <v>181</v>
      </c>
      <c r="F87" s="3" t="s">
        <v>825</v>
      </c>
      <c r="G87" s="73" t="s">
        <v>182</v>
      </c>
      <c r="H87" s="3" t="s">
        <v>183</v>
      </c>
      <c r="I87" s="3" t="str">
        <f t="shared" si="1"/>
        <v>Finance</v>
      </c>
    </row>
    <row r="88" spans="1:9" x14ac:dyDescent="0.35">
      <c r="A88" s="3">
        <f>'Student Basic Info'!A88</f>
        <v>587</v>
      </c>
      <c r="B88" s="3" t="s">
        <v>12</v>
      </c>
      <c r="C88" s="3" t="s">
        <v>13</v>
      </c>
      <c r="D88" s="3" t="s">
        <v>14</v>
      </c>
      <c r="E88" s="3" t="s">
        <v>181</v>
      </c>
      <c r="F88" s="3" t="s">
        <v>825</v>
      </c>
      <c r="G88" s="73" t="s">
        <v>182</v>
      </c>
      <c r="H88" s="3" t="s">
        <v>183</v>
      </c>
      <c r="I88" s="3" t="str">
        <f t="shared" si="1"/>
        <v>Finance</v>
      </c>
    </row>
    <row r="89" spans="1:9" x14ac:dyDescent="0.35">
      <c r="A89" s="3">
        <f>'Student Basic Info'!A89</f>
        <v>588</v>
      </c>
      <c r="B89" s="3" t="s">
        <v>12</v>
      </c>
      <c r="C89" s="3" t="s">
        <v>13</v>
      </c>
      <c r="D89" s="3" t="s">
        <v>14</v>
      </c>
      <c r="E89" s="3" t="s">
        <v>181</v>
      </c>
      <c r="F89" s="3" t="s">
        <v>825</v>
      </c>
      <c r="G89" s="73" t="s">
        <v>182</v>
      </c>
      <c r="H89" s="3" t="s">
        <v>183</v>
      </c>
      <c r="I89" s="3" t="str">
        <f t="shared" si="1"/>
        <v>Finance</v>
      </c>
    </row>
    <row r="90" spans="1:9" x14ac:dyDescent="0.35">
      <c r="A90" s="3">
        <f>'Student Basic Info'!A90</f>
        <v>589</v>
      </c>
      <c r="B90" s="3" t="s">
        <v>12</v>
      </c>
      <c r="C90" s="3" t="s">
        <v>13</v>
      </c>
      <c r="D90" s="3" t="s">
        <v>14</v>
      </c>
      <c r="E90" s="3" t="s">
        <v>181</v>
      </c>
      <c r="F90" s="3" t="s">
        <v>825</v>
      </c>
      <c r="G90" s="73" t="s">
        <v>182</v>
      </c>
      <c r="H90" s="3" t="s">
        <v>183</v>
      </c>
      <c r="I90" s="3" t="str">
        <f t="shared" si="1"/>
        <v>Finance</v>
      </c>
    </row>
    <row r="91" spans="1:9" x14ac:dyDescent="0.35">
      <c r="A91" s="3">
        <f>'Student Basic Info'!A91</f>
        <v>590</v>
      </c>
      <c r="B91" s="3" t="s">
        <v>12</v>
      </c>
      <c r="C91" s="3" t="s">
        <v>13</v>
      </c>
      <c r="D91" s="3" t="s">
        <v>14</v>
      </c>
      <c r="E91" s="3" t="s">
        <v>181</v>
      </c>
      <c r="F91" s="3" t="s">
        <v>825</v>
      </c>
      <c r="G91" s="73" t="s">
        <v>182</v>
      </c>
      <c r="H91" s="3" t="s">
        <v>183</v>
      </c>
      <c r="I91" s="3" t="str">
        <f t="shared" si="1"/>
        <v>Finance</v>
      </c>
    </row>
    <row r="92" spans="1:9" x14ac:dyDescent="0.35">
      <c r="A92" s="3">
        <f>'Student Basic Info'!A92</f>
        <v>591</v>
      </c>
      <c r="B92" s="3" t="s">
        <v>12</v>
      </c>
      <c r="C92" s="3" t="s">
        <v>13</v>
      </c>
      <c r="D92" s="3" t="s">
        <v>14</v>
      </c>
      <c r="E92" s="3" t="s">
        <v>181</v>
      </c>
      <c r="F92" s="3" t="s">
        <v>825</v>
      </c>
      <c r="G92" s="73" t="s">
        <v>182</v>
      </c>
      <c r="H92" s="3" t="s">
        <v>183</v>
      </c>
      <c r="I92" s="3" t="str">
        <f t="shared" si="1"/>
        <v>Finance</v>
      </c>
    </row>
    <row r="93" spans="1:9" x14ac:dyDescent="0.35">
      <c r="A93" s="3">
        <f>'Student Basic Info'!A93</f>
        <v>592</v>
      </c>
      <c r="B93" s="3" t="s">
        <v>12</v>
      </c>
      <c r="C93" s="3" t="s">
        <v>13</v>
      </c>
      <c r="D93" s="3" t="s">
        <v>14</v>
      </c>
      <c r="E93" s="3" t="s">
        <v>181</v>
      </c>
      <c r="F93" s="3" t="s">
        <v>825</v>
      </c>
      <c r="G93" s="73" t="s">
        <v>183</v>
      </c>
      <c r="H93" s="3" t="s">
        <v>182</v>
      </c>
      <c r="I93" s="3" t="str">
        <f t="shared" si="1"/>
        <v>Production</v>
      </c>
    </row>
    <row r="94" spans="1:9" x14ac:dyDescent="0.35">
      <c r="A94" s="3">
        <f>'Student Basic Info'!A94</f>
        <v>593</v>
      </c>
      <c r="B94" s="3" t="s">
        <v>12</v>
      </c>
      <c r="C94" s="3" t="s">
        <v>13</v>
      </c>
      <c r="D94" s="3" t="s">
        <v>14</v>
      </c>
      <c r="E94" s="3" t="s">
        <v>181</v>
      </c>
      <c r="F94" s="3" t="s">
        <v>825</v>
      </c>
      <c r="G94" s="73" t="s">
        <v>182</v>
      </c>
      <c r="H94" s="3" t="s">
        <v>183</v>
      </c>
      <c r="I94" s="3" t="str">
        <f t="shared" si="1"/>
        <v>Finance</v>
      </c>
    </row>
    <row r="95" spans="1:9" x14ac:dyDescent="0.35">
      <c r="A95" s="3">
        <f>'Student Basic Info'!A95</f>
        <v>594</v>
      </c>
      <c r="B95" s="3" t="s">
        <v>12</v>
      </c>
      <c r="C95" s="3" t="s">
        <v>13</v>
      </c>
      <c r="D95" s="3" t="s">
        <v>14</v>
      </c>
      <c r="E95" s="3" t="s">
        <v>181</v>
      </c>
      <c r="F95" s="3" t="s">
        <v>825</v>
      </c>
      <c r="G95" s="74" t="s">
        <v>183</v>
      </c>
      <c r="H95" s="74" t="s">
        <v>182</v>
      </c>
      <c r="I95" s="3" t="str">
        <f t="shared" si="1"/>
        <v>Production</v>
      </c>
    </row>
    <row r="96" spans="1:9" x14ac:dyDescent="0.35">
      <c r="A96" s="3">
        <f>'Student Basic Info'!A96</f>
        <v>595</v>
      </c>
      <c r="B96" s="3" t="s">
        <v>12</v>
      </c>
      <c r="C96" s="3" t="s">
        <v>13</v>
      </c>
      <c r="D96" s="3" t="s">
        <v>14</v>
      </c>
      <c r="E96" s="3" t="s">
        <v>181</v>
      </c>
      <c r="F96" s="3" t="s">
        <v>825</v>
      </c>
      <c r="G96" s="73" t="s">
        <v>182</v>
      </c>
      <c r="H96" s="3" t="s">
        <v>183</v>
      </c>
      <c r="I96" s="3" t="str">
        <f t="shared" si="1"/>
        <v>Finance</v>
      </c>
    </row>
    <row r="97" spans="1:9" x14ac:dyDescent="0.35">
      <c r="A97" s="3">
        <f>'Student Basic Info'!A97</f>
        <v>596</v>
      </c>
      <c r="B97" s="3" t="s">
        <v>12</v>
      </c>
      <c r="C97" s="3" t="s">
        <v>13</v>
      </c>
      <c r="D97" s="3" t="s">
        <v>14</v>
      </c>
      <c r="E97" s="3" t="s">
        <v>181</v>
      </c>
      <c r="F97" s="3" t="s">
        <v>825</v>
      </c>
      <c r="G97" s="73" t="s">
        <v>182</v>
      </c>
      <c r="H97" s="3" t="s">
        <v>183</v>
      </c>
      <c r="I97" s="3" t="str">
        <f t="shared" si="1"/>
        <v>Finance</v>
      </c>
    </row>
    <row r="98" spans="1:9" x14ac:dyDescent="0.35">
      <c r="A98" s="3">
        <f>'Student Basic Info'!A98</f>
        <v>597</v>
      </c>
      <c r="B98" s="3" t="s">
        <v>12</v>
      </c>
      <c r="C98" s="3" t="s">
        <v>13</v>
      </c>
      <c r="D98" s="3" t="s">
        <v>14</v>
      </c>
      <c r="E98" s="3" t="s">
        <v>181</v>
      </c>
      <c r="F98" s="3" t="s">
        <v>825</v>
      </c>
      <c r="G98" s="73" t="s">
        <v>182</v>
      </c>
      <c r="H98" s="3" t="s">
        <v>183</v>
      </c>
      <c r="I98" s="3" t="str">
        <f t="shared" si="1"/>
        <v>Finance</v>
      </c>
    </row>
    <row r="99" spans="1:9" x14ac:dyDescent="0.35">
      <c r="A99" s="3">
        <f>'Student Basic Info'!A99</f>
        <v>598</v>
      </c>
      <c r="B99" s="3" t="s">
        <v>12</v>
      </c>
      <c r="C99" s="3" t="s">
        <v>13</v>
      </c>
      <c r="D99" s="3" t="s">
        <v>14</v>
      </c>
      <c r="E99" s="3" t="s">
        <v>181</v>
      </c>
      <c r="F99" s="3" t="s">
        <v>825</v>
      </c>
      <c r="G99" s="73" t="s">
        <v>182</v>
      </c>
      <c r="H99" s="3" t="s">
        <v>184</v>
      </c>
      <c r="I99" s="3" t="str">
        <f t="shared" si="1"/>
        <v>Economics</v>
      </c>
    </row>
    <row r="100" spans="1:9" x14ac:dyDescent="0.35">
      <c r="A100" s="3">
        <f>'Student Basic Info'!A100</f>
        <v>599</v>
      </c>
      <c r="B100" s="3" t="s">
        <v>12</v>
      </c>
      <c r="C100" s="3" t="s">
        <v>13</v>
      </c>
      <c r="D100" s="3" t="s">
        <v>14</v>
      </c>
      <c r="E100" s="3" t="s">
        <v>181</v>
      </c>
      <c r="F100" s="3" t="s">
        <v>825</v>
      </c>
      <c r="G100" s="73" t="s">
        <v>182</v>
      </c>
      <c r="H100" s="3" t="s">
        <v>184</v>
      </c>
      <c r="I100" s="3" t="str">
        <f t="shared" si="1"/>
        <v>Economics</v>
      </c>
    </row>
    <row r="101" spans="1:9" x14ac:dyDescent="0.35">
      <c r="A101" s="3">
        <f>'Student Basic Info'!A101</f>
        <v>600</v>
      </c>
      <c r="B101" s="3" t="s">
        <v>12</v>
      </c>
      <c r="C101" s="3" t="s">
        <v>13</v>
      </c>
      <c r="D101" s="3" t="s">
        <v>14</v>
      </c>
      <c r="E101" s="3" t="s">
        <v>181</v>
      </c>
      <c r="F101" s="3" t="s">
        <v>825</v>
      </c>
      <c r="G101" s="73" t="s">
        <v>183</v>
      </c>
      <c r="H101" s="3" t="s">
        <v>182</v>
      </c>
      <c r="I101" s="3" t="str">
        <f t="shared" si="1"/>
        <v>Production</v>
      </c>
    </row>
    <row r="102" spans="1:9" x14ac:dyDescent="0.35">
      <c r="A102" s="3">
        <f>'Student Basic Info'!A102</f>
        <v>601</v>
      </c>
      <c r="B102" s="3" t="s">
        <v>12</v>
      </c>
      <c r="C102" s="3" t="s">
        <v>13</v>
      </c>
      <c r="D102" s="3" t="s">
        <v>14</v>
      </c>
      <c r="E102" s="3" t="s">
        <v>181</v>
      </c>
      <c r="F102" s="3" t="s">
        <v>825</v>
      </c>
      <c r="G102" s="73" t="s">
        <v>183</v>
      </c>
      <c r="H102" s="3" t="s">
        <v>182</v>
      </c>
      <c r="I102" s="3" t="str">
        <f t="shared" si="1"/>
        <v>Production</v>
      </c>
    </row>
    <row r="103" spans="1:9" x14ac:dyDescent="0.35">
      <c r="A103" s="3">
        <f>'Student Basic Info'!A103</f>
        <v>602</v>
      </c>
      <c r="B103" s="3" t="s">
        <v>12</v>
      </c>
      <c r="C103" s="3" t="s">
        <v>13</v>
      </c>
      <c r="D103" s="3" t="s">
        <v>14</v>
      </c>
      <c r="E103" s="3" t="s">
        <v>181</v>
      </c>
      <c r="F103" s="3" t="s">
        <v>825</v>
      </c>
      <c r="G103" s="73" t="s">
        <v>183</v>
      </c>
      <c r="H103" s="3" t="s">
        <v>184</v>
      </c>
      <c r="I103" s="3" t="str">
        <f t="shared" si="1"/>
        <v>Economics</v>
      </c>
    </row>
    <row r="104" spans="1:9" x14ac:dyDescent="0.35">
      <c r="A104" s="3">
        <f>'Student Basic Info'!A104</f>
        <v>603</v>
      </c>
      <c r="B104" s="3" t="s">
        <v>12</v>
      </c>
      <c r="C104" s="3" t="s">
        <v>13</v>
      </c>
      <c r="D104" s="3" t="s">
        <v>14</v>
      </c>
      <c r="E104" s="3" t="s">
        <v>181</v>
      </c>
      <c r="F104" s="3" t="s">
        <v>825</v>
      </c>
      <c r="G104" s="73" t="s">
        <v>183</v>
      </c>
      <c r="H104" s="3" t="s">
        <v>182</v>
      </c>
      <c r="I104" s="3" t="str">
        <f t="shared" si="1"/>
        <v>Production</v>
      </c>
    </row>
    <row r="105" spans="1:9" x14ac:dyDescent="0.35">
      <c r="A105" s="3">
        <f>'Student Basic Info'!A105</f>
        <v>604</v>
      </c>
      <c r="B105" s="3" t="s">
        <v>12</v>
      </c>
      <c r="C105" s="3" t="s">
        <v>13</v>
      </c>
      <c r="D105" s="3" t="s">
        <v>14</v>
      </c>
      <c r="E105" s="3" t="s">
        <v>181</v>
      </c>
      <c r="F105" s="3" t="s">
        <v>825</v>
      </c>
      <c r="G105" s="73" t="s">
        <v>183</v>
      </c>
      <c r="H105" s="3" t="s">
        <v>182</v>
      </c>
      <c r="I105" s="3" t="str">
        <f t="shared" si="1"/>
        <v>Production</v>
      </c>
    </row>
    <row r="106" spans="1:9" x14ac:dyDescent="0.35">
      <c r="A106" s="3">
        <f>'Student Basic Info'!A106</f>
        <v>605</v>
      </c>
      <c r="B106" s="3" t="s">
        <v>12</v>
      </c>
      <c r="C106" s="3" t="s">
        <v>13</v>
      </c>
      <c r="D106" s="3" t="s">
        <v>14</v>
      </c>
      <c r="E106" s="3" t="s">
        <v>181</v>
      </c>
      <c r="F106" s="3" t="s">
        <v>825</v>
      </c>
      <c r="G106" s="73" t="s">
        <v>183</v>
      </c>
      <c r="H106" s="3" t="s">
        <v>182</v>
      </c>
      <c r="I106" s="3" t="str">
        <f t="shared" si="1"/>
        <v>Production</v>
      </c>
    </row>
    <row r="107" spans="1:9" x14ac:dyDescent="0.35">
      <c r="A107" s="3">
        <f>'Student Basic Info'!A107</f>
        <v>606</v>
      </c>
      <c r="B107" s="3" t="s">
        <v>12</v>
      </c>
      <c r="C107" s="3" t="s">
        <v>13</v>
      </c>
      <c r="D107" s="3" t="s">
        <v>14</v>
      </c>
      <c r="E107" s="3" t="s">
        <v>181</v>
      </c>
      <c r="F107" s="3" t="s">
        <v>825</v>
      </c>
      <c r="G107" s="73" t="s">
        <v>182</v>
      </c>
      <c r="H107" s="3" t="s">
        <v>183</v>
      </c>
      <c r="I107" s="3" t="str">
        <f t="shared" si="1"/>
        <v>Finance</v>
      </c>
    </row>
    <row r="108" spans="1:9" x14ac:dyDescent="0.35">
      <c r="A108" s="3">
        <f>'Student Basic Info'!A108</f>
        <v>607</v>
      </c>
      <c r="B108" s="3" t="s">
        <v>12</v>
      </c>
      <c r="C108" s="3" t="s">
        <v>13</v>
      </c>
      <c r="D108" s="3" t="s">
        <v>14</v>
      </c>
      <c r="E108" s="3" t="s">
        <v>181</v>
      </c>
      <c r="F108" s="3" t="s">
        <v>825</v>
      </c>
      <c r="G108" s="73" t="s">
        <v>183</v>
      </c>
      <c r="H108" s="3" t="s">
        <v>182</v>
      </c>
      <c r="I108" s="3" t="str">
        <f t="shared" si="1"/>
        <v>Production</v>
      </c>
    </row>
    <row r="109" spans="1:9" x14ac:dyDescent="0.35">
      <c r="A109" s="3">
        <f>'Student Basic Info'!A109</f>
        <v>608</v>
      </c>
      <c r="B109" s="3" t="s">
        <v>12</v>
      </c>
      <c r="C109" s="3" t="s">
        <v>13</v>
      </c>
      <c r="D109" s="3" t="s">
        <v>14</v>
      </c>
      <c r="E109" s="3" t="s">
        <v>181</v>
      </c>
      <c r="F109" s="3" t="s">
        <v>825</v>
      </c>
      <c r="G109" s="73" t="s">
        <v>182</v>
      </c>
      <c r="H109" s="3" t="s">
        <v>183</v>
      </c>
      <c r="I109" s="3" t="str">
        <f t="shared" si="1"/>
        <v>Finance</v>
      </c>
    </row>
    <row r="110" spans="1:9" x14ac:dyDescent="0.35">
      <c r="A110" s="3">
        <f>'Student Basic Info'!A110</f>
        <v>609</v>
      </c>
      <c r="B110" s="3" t="s">
        <v>12</v>
      </c>
      <c r="C110" s="3" t="s">
        <v>13</v>
      </c>
      <c r="D110" s="3" t="s">
        <v>14</v>
      </c>
      <c r="E110" s="3" t="s">
        <v>181</v>
      </c>
      <c r="F110" s="3" t="s">
        <v>825</v>
      </c>
      <c r="G110" s="73" t="s">
        <v>182</v>
      </c>
      <c r="H110" s="3" t="s">
        <v>183</v>
      </c>
      <c r="I110" s="3" t="str">
        <f t="shared" si="1"/>
        <v>Finance</v>
      </c>
    </row>
    <row r="111" spans="1:9" x14ac:dyDescent="0.35">
      <c r="A111" s="3">
        <f>'Student Basic Info'!A111</f>
        <v>610</v>
      </c>
      <c r="B111" s="3" t="s">
        <v>12</v>
      </c>
      <c r="C111" s="3" t="s">
        <v>13</v>
      </c>
      <c r="D111" s="3" t="s">
        <v>14</v>
      </c>
      <c r="E111" s="3" t="s">
        <v>181</v>
      </c>
      <c r="F111" s="3" t="s">
        <v>825</v>
      </c>
      <c r="G111" s="73" t="s">
        <v>183</v>
      </c>
      <c r="H111" s="3" t="s">
        <v>184</v>
      </c>
      <c r="I111" s="3" t="str">
        <f t="shared" si="1"/>
        <v>Economics</v>
      </c>
    </row>
    <row r="112" spans="1:9" x14ac:dyDescent="0.35">
      <c r="A112" s="3">
        <f>'Student Basic Info'!A112</f>
        <v>611</v>
      </c>
      <c r="B112" s="3" t="s">
        <v>12</v>
      </c>
      <c r="C112" s="3" t="s">
        <v>13</v>
      </c>
      <c r="D112" s="3" t="s">
        <v>14</v>
      </c>
      <c r="E112" s="3" t="s">
        <v>181</v>
      </c>
      <c r="F112" s="3" t="s">
        <v>825</v>
      </c>
      <c r="G112" s="73" t="s">
        <v>183</v>
      </c>
      <c r="H112" s="3" t="s">
        <v>184</v>
      </c>
      <c r="I112" s="3" t="str">
        <f t="shared" si="1"/>
        <v>Economics</v>
      </c>
    </row>
    <row r="113" spans="1:9" x14ac:dyDescent="0.35">
      <c r="A113" s="3">
        <f>'Student Basic Info'!A113</f>
        <v>612</v>
      </c>
      <c r="B113" s="3" t="s">
        <v>12</v>
      </c>
      <c r="C113" s="3" t="s">
        <v>13</v>
      </c>
      <c r="D113" s="3" t="s">
        <v>14</v>
      </c>
      <c r="E113" s="3" t="s">
        <v>181</v>
      </c>
      <c r="F113" s="3" t="s">
        <v>825</v>
      </c>
      <c r="G113" s="73" t="s">
        <v>183</v>
      </c>
      <c r="H113" s="3" t="s">
        <v>184</v>
      </c>
      <c r="I113" s="3" t="str">
        <f t="shared" si="1"/>
        <v>Economics</v>
      </c>
    </row>
    <row r="114" spans="1:9" x14ac:dyDescent="0.35">
      <c r="A114" s="3">
        <f>'Student Basic Info'!A114</f>
        <v>613</v>
      </c>
      <c r="B114" s="3" t="s">
        <v>12</v>
      </c>
      <c r="C114" s="3" t="s">
        <v>13</v>
      </c>
      <c r="D114" s="3" t="s">
        <v>14</v>
      </c>
      <c r="E114" s="3" t="s">
        <v>181</v>
      </c>
      <c r="F114" s="3" t="s">
        <v>825</v>
      </c>
      <c r="G114" s="73" t="s">
        <v>183</v>
      </c>
      <c r="H114" s="3" t="s">
        <v>182</v>
      </c>
      <c r="I114" s="3" t="str">
        <f t="shared" si="1"/>
        <v>Production</v>
      </c>
    </row>
    <row r="115" spans="1:9" x14ac:dyDescent="0.35">
      <c r="A115" s="3">
        <f>'Student Basic Info'!A115</f>
        <v>614</v>
      </c>
      <c r="B115" s="3" t="s">
        <v>12</v>
      </c>
      <c r="C115" s="3" t="s">
        <v>13</v>
      </c>
      <c r="D115" s="3" t="s">
        <v>14</v>
      </c>
      <c r="E115" s="3" t="s">
        <v>181</v>
      </c>
      <c r="F115" s="3" t="s">
        <v>825</v>
      </c>
      <c r="G115" s="73" t="s">
        <v>183</v>
      </c>
      <c r="H115" s="3" t="s">
        <v>182</v>
      </c>
      <c r="I115" s="3" t="str">
        <f t="shared" si="1"/>
        <v>Production</v>
      </c>
    </row>
    <row r="116" spans="1:9" x14ac:dyDescent="0.35">
      <c r="A116" s="3">
        <f>'Student Basic Info'!A116</f>
        <v>615</v>
      </c>
      <c r="B116" s="3" t="s">
        <v>12</v>
      </c>
      <c r="C116" s="3" t="s">
        <v>13</v>
      </c>
      <c r="D116" s="3" t="s">
        <v>14</v>
      </c>
      <c r="E116" s="3" t="s">
        <v>181</v>
      </c>
      <c r="F116" s="3" t="s">
        <v>825</v>
      </c>
      <c r="G116" s="73" t="s">
        <v>183</v>
      </c>
      <c r="H116" s="3" t="s">
        <v>182</v>
      </c>
      <c r="I116" s="3" t="str">
        <f t="shared" si="1"/>
        <v>Production</v>
      </c>
    </row>
    <row r="117" spans="1:9" x14ac:dyDescent="0.35">
      <c r="A117" s="3">
        <f>'Student Basic Info'!A117</f>
        <v>616</v>
      </c>
      <c r="B117" s="3" t="s">
        <v>12</v>
      </c>
      <c r="C117" s="3" t="s">
        <v>13</v>
      </c>
      <c r="D117" s="3" t="s">
        <v>14</v>
      </c>
      <c r="E117" s="3" t="s">
        <v>181</v>
      </c>
      <c r="F117" s="3" t="s">
        <v>825</v>
      </c>
      <c r="G117" s="74" t="s">
        <v>183</v>
      </c>
      <c r="H117" s="74" t="s">
        <v>182</v>
      </c>
      <c r="I117" s="3" t="str">
        <f t="shared" si="1"/>
        <v>Production</v>
      </c>
    </row>
    <row r="118" spans="1:9" x14ac:dyDescent="0.35">
      <c r="A118" s="3">
        <f>'Student Basic Info'!A118</f>
        <v>617</v>
      </c>
      <c r="B118" s="3" t="s">
        <v>12</v>
      </c>
      <c r="C118" s="3" t="s">
        <v>13</v>
      </c>
      <c r="D118" s="3" t="s">
        <v>14</v>
      </c>
      <c r="E118" s="3" t="s">
        <v>181</v>
      </c>
      <c r="F118" s="3" t="s">
        <v>825</v>
      </c>
      <c r="G118" s="73" t="s">
        <v>183</v>
      </c>
      <c r="H118" s="3" t="s">
        <v>182</v>
      </c>
      <c r="I118" s="3" t="str">
        <f t="shared" si="1"/>
        <v>Production</v>
      </c>
    </row>
    <row r="119" spans="1:9" x14ac:dyDescent="0.35">
      <c r="A119" s="3">
        <f>'Student Basic Info'!A119</f>
        <v>618</v>
      </c>
      <c r="B119" s="3" t="s">
        <v>12</v>
      </c>
      <c r="C119" s="3" t="s">
        <v>13</v>
      </c>
      <c r="D119" s="3" t="s">
        <v>14</v>
      </c>
      <c r="E119" s="3" t="s">
        <v>181</v>
      </c>
      <c r="F119" s="3" t="s">
        <v>825</v>
      </c>
      <c r="G119" s="73" t="s">
        <v>182</v>
      </c>
      <c r="H119" s="3" t="s">
        <v>184</v>
      </c>
      <c r="I119" s="3" t="str">
        <f t="shared" si="1"/>
        <v>Economics</v>
      </c>
    </row>
    <row r="120" spans="1:9" x14ac:dyDescent="0.35">
      <c r="A120" s="3">
        <f>'Student Basic Info'!A120</f>
        <v>619</v>
      </c>
      <c r="B120" s="3" t="s">
        <v>12</v>
      </c>
      <c r="C120" s="3" t="s">
        <v>13</v>
      </c>
      <c r="D120" s="3" t="s">
        <v>14</v>
      </c>
      <c r="E120" s="3" t="s">
        <v>181</v>
      </c>
      <c r="F120" s="3" t="s">
        <v>825</v>
      </c>
      <c r="G120" s="73" t="s">
        <v>183</v>
      </c>
      <c r="H120" s="3" t="s">
        <v>182</v>
      </c>
      <c r="I120" s="3" t="str">
        <f t="shared" si="1"/>
        <v>Production</v>
      </c>
    </row>
    <row r="121" spans="1:9" x14ac:dyDescent="0.35">
      <c r="A121" s="3">
        <f>'Student Basic Info'!A121</f>
        <v>620</v>
      </c>
      <c r="B121" s="3" t="s">
        <v>12</v>
      </c>
      <c r="C121" s="3" t="s">
        <v>13</v>
      </c>
      <c r="D121" s="3" t="s">
        <v>14</v>
      </c>
      <c r="E121" s="3" t="s">
        <v>181</v>
      </c>
      <c r="F121" s="3" t="s">
        <v>825</v>
      </c>
      <c r="G121" s="73" t="s">
        <v>183</v>
      </c>
      <c r="H121" s="3" t="s">
        <v>182</v>
      </c>
      <c r="I121" s="3" t="str">
        <f t="shared" si="1"/>
        <v>Production</v>
      </c>
    </row>
    <row r="122" spans="1:9" x14ac:dyDescent="0.35">
      <c r="A122" s="3">
        <f>'Student Basic Info'!A122</f>
        <v>621</v>
      </c>
      <c r="B122" s="3" t="s">
        <v>12</v>
      </c>
      <c r="C122" s="3" t="s">
        <v>13</v>
      </c>
      <c r="D122" s="3" t="s">
        <v>14</v>
      </c>
      <c r="E122" s="3" t="s">
        <v>181</v>
      </c>
      <c r="F122" s="3" t="s">
        <v>825</v>
      </c>
      <c r="G122" s="73" t="s">
        <v>183</v>
      </c>
      <c r="H122" s="3" t="s">
        <v>182</v>
      </c>
      <c r="I122" s="3" t="str">
        <f t="shared" si="1"/>
        <v>Production</v>
      </c>
    </row>
    <row r="123" spans="1:9" x14ac:dyDescent="0.35">
      <c r="A123" s="3">
        <f>'Student Basic Info'!A123</f>
        <v>622</v>
      </c>
      <c r="B123" s="3" t="s">
        <v>12</v>
      </c>
      <c r="C123" s="3" t="s">
        <v>13</v>
      </c>
      <c r="D123" s="3" t="s">
        <v>14</v>
      </c>
      <c r="E123" s="3" t="s">
        <v>181</v>
      </c>
      <c r="F123" s="3" t="s">
        <v>825</v>
      </c>
      <c r="G123" s="73" t="s">
        <v>183</v>
      </c>
      <c r="H123" s="3" t="s">
        <v>182</v>
      </c>
      <c r="I123" s="3" t="str">
        <f t="shared" si="1"/>
        <v>Production</v>
      </c>
    </row>
    <row r="124" spans="1:9" x14ac:dyDescent="0.35">
      <c r="A124" s="3">
        <f>'Student Basic Info'!A124</f>
        <v>623</v>
      </c>
      <c r="B124" s="3" t="s">
        <v>12</v>
      </c>
      <c r="C124" s="3" t="s">
        <v>13</v>
      </c>
      <c r="D124" s="3" t="s">
        <v>14</v>
      </c>
      <c r="E124" s="3" t="s">
        <v>181</v>
      </c>
      <c r="F124" s="3" t="s">
        <v>825</v>
      </c>
      <c r="G124" s="73" t="s">
        <v>183</v>
      </c>
      <c r="H124" s="3" t="s">
        <v>184</v>
      </c>
      <c r="I124" s="3" t="str">
        <f t="shared" si="1"/>
        <v>Economics</v>
      </c>
    </row>
    <row r="125" spans="1:9" x14ac:dyDescent="0.35">
      <c r="A125" s="3">
        <f>'Student Basic Info'!A125</f>
        <v>624</v>
      </c>
      <c r="B125" s="3" t="s">
        <v>12</v>
      </c>
      <c r="C125" s="3" t="s">
        <v>13</v>
      </c>
      <c r="D125" s="3" t="s">
        <v>14</v>
      </c>
      <c r="E125" s="3" t="s">
        <v>181</v>
      </c>
      <c r="F125" s="3" t="s">
        <v>825</v>
      </c>
      <c r="G125" s="74" t="s">
        <v>183</v>
      </c>
      <c r="H125" s="74" t="s">
        <v>182</v>
      </c>
      <c r="I125" s="3" t="str">
        <f t="shared" si="1"/>
        <v>Production</v>
      </c>
    </row>
    <row r="126" spans="1:9" x14ac:dyDescent="0.35">
      <c r="A126" s="3">
        <f>'Student Basic Info'!A126</f>
        <v>625</v>
      </c>
      <c r="B126" s="3" t="s">
        <v>12</v>
      </c>
      <c r="C126" s="3" t="s">
        <v>13</v>
      </c>
      <c r="D126" s="3" t="s">
        <v>14</v>
      </c>
      <c r="E126" s="3" t="s">
        <v>181</v>
      </c>
      <c r="F126" s="3" t="s">
        <v>825</v>
      </c>
      <c r="G126" s="73" t="s">
        <v>182</v>
      </c>
      <c r="H126" s="3" t="s">
        <v>184</v>
      </c>
      <c r="I126" s="3" t="str">
        <f t="shared" si="1"/>
        <v>Economics</v>
      </c>
    </row>
    <row r="127" spans="1:9" x14ac:dyDescent="0.35">
      <c r="A127" s="3">
        <f>'Student Basic Info'!A127</f>
        <v>626</v>
      </c>
      <c r="B127" s="3" t="s">
        <v>12</v>
      </c>
      <c r="C127" s="3" t="s">
        <v>13</v>
      </c>
      <c r="D127" s="3" t="s">
        <v>14</v>
      </c>
      <c r="E127" s="3" t="s">
        <v>181</v>
      </c>
      <c r="F127" s="3" t="s">
        <v>825</v>
      </c>
      <c r="G127" s="74" t="s">
        <v>183</v>
      </c>
      <c r="H127" s="74" t="s">
        <v>182</v>
      </c>
      <c r="I127" s="3" t="str">
        <f t="shared" si="1"/>
        <v>Production</v>
      </c>
    </row>
    <row r="128" spans="1:9" x14ac:dyDescent="0.35">
      <c r="A128" s="3">
        <f>'Student Basic Info'!A128</f>
        <v>627</v>
      </c>
      <c r="B128" s="3" t="s">
        <v>12</v>
      </c>
      <c r="C128" s="3" t="s">
        <v>13</v>
      </c>
      <c r="D128" s="3" t="s">
        <v>14</v>
      </c>
      <c r="E128" s="3" t="s">
        <v>181</v>
      </c>
      <c r="F128" s="3" t="s">
        <v>825</v>
      </c>
      <c r="G128" s="73" t="s">
        <v>182</v>
      </c>
      <c r="H128" s="3" t="s">
        <v>183</v>
      </c>
      <c r="I128" s="3" t="str">
        <f t="shared" si="1"/>
        <v>Finance</v>
      </c>
    </row>
    <row r="129" spans="1:9" x14ac:dyDescent="0.35">
      <c r="A129" s="3">
        <f>'Student Basic Info'!A129</f>
        <v>628</v>
      </c>
      <c r="B129" s="3" t="s">
        <v>12</v>
      </c>
      <c r="C129" s="3" t="s">
        <v>13</v>
      </c>
      <c r="D129" s="3" t="s">
        <v>14</v>
      </c>
      <c r="E129" s="3" t="s">
        <v>181</v>
      </c>
      <c r="F129" s="3" t="s">
        <v>825</v>
      </c>
      <c r="G129" s="74" t="s">
        <v>183</v>
      </c>
      <c r="H129" s="74" t="s">
        <v>182</v>
      </c>
      <c r="I129" s="3" t="str">
        <f t="shared" si="1"/>
        <v>Production</v>
      </c>
    </row>
    <row r="130" spans="1:9" x14ac:dyDescent="0.35">
      <c r="A130" s="3">
        <f>'Student Basic Info'!A130</f>
        <v>629</v>
      </c>
      <c r="B130" s="3" t="s">
        <v>12</v>
      </c>
      <c r="C130" s="3" t="s">
        <v>13</v>
      </c>
      <c r="D130" s="3" t="s">
        <v>14</v>
      </c>
      <c r="E130" s="3" t="s">
        <v>181</v>
      </c>
      <c r="F130" s="3" t="s">
        <v>825</v>
      </c>
      <c r="G130" s="73" t="s">
        <v>183</v>
      </c>
      <c r="H130" s="3" t="s">
        <v>182</v>
      </c>
      <c r="I130" s="3" t="str">
        <f t="shared" si="1"/>
        <v>Production</v>
      </c>
    </row>
    <row r="131" spans="1:9" x14ac:dyDescent="0.35">
      <c r="A131" s="3">
        <f>'Student Basic Info'!A131</f>
        <v>630</v>
      </c>
      <c r="B131" s="3" t="s">
        <v>12</v>
      </c>
      <c r="C131" s="3" t="s">
        <v>13</v>
      </c>
      <c r="D131" s="3" t="s">
        <v>14</v>
      </c>
      <c r="E131" s="3" t="s">
        <v>181</v>
      </c>
      <c r="F131" s="3" t="s">
        <v>825</v>
      </c>
      <c r="G131" s="73" t="s">
        <v>183</v>
      </c>
      <c r="H131" s="3" t="s">
        <v>184</v>
      </c>
      <c r="I131" s="3" t="str">
        <f t="shared" si="1"/>
        <v>Economics</v>
      </c>
    </row>
    <row r="132" spans="1:9" x14ac:dyDescent="0.35">
      <c r="A132" s="3">
        <f>'Student Basic Info'!A132</f>
        <v>631</v>
      </c>
      <c r="B132" s="3" t="s">
        <v>12</v>
      </c>
      <c r="C132" s="3" t="s">
        <v>13</v>
      </c>
      <c r="D132" s="3" t="s">
        <v>14</v>
      </c>
      <c r="E132" s="3" t="s">
        <v>181</v>
      </c>
      <c r="F132" s="3" t="s">
        <v>825</v>
      </c>
      <c r="G132" s="73" t="s">
        <v>183</v>
      </c>
      <c r="H132" s="3" t="s">
        <v>182</v>
      </c>
      <c r="I132" s="3" t="str">
        <f t="shared" ref="I132:I145" si="2">H132</f>
        <v>Production</v>
      </c>
    </row>
    <row r="133" spans="1:9" x14ac:dyDescent="0.35">
      <c r="A133" s="3">
        <f>'Student Basic Info'!A133</f>
        <v>632</v>
      </c>
      <c r="B133" s="3" t="s">
        <v>12</v>
      </c>
      <c r="C133" s="3" t="s">
        <v>13</v>
      </c>
      <c r="D133" s="3" t="s">
        <v>14</v>
      </c>
      <c r="E133" s="3" t="s">
        <v>181</v>
      </c>
      <c r="F133" s="3" t="s">
        <v>825</v>
      </c>
      <c r="G133" s="73" t="s">
        <v>183</v>
      </c>
      <c r="H133" s="3" t="s">
        <v>182</v>
      </c>
      <c r="I133" s="3" t="str">
        <f t="shared" si="2"/>
        <v>Production</v>
      </c>
    </row>
    <row r="134" spans="1:9" x14ac:dyDescent="0.35">
      <c r="A134" s="3">
        <f>'Student Basic Info'!A134</f>
        <v>633</v>
      </c>
      <c r="B134" s="3" t="s">
        <v>12</v>
      </c>
      <c r="C134" s="3" t="s">
        <v>13</v>
      </c>
      <c r="D134" s="3" t="s">
        <v>14</v>
      </c>
      <c r="E134" s="3" t="s">
        <v>181</v>
      </c>
      <c r="F134" s="3" t="s">
        <v>825</v>
      </c>
      <c r="G134" s="73" t="s">
        <v>182</v>
      </c>
      <c r="H134" s="3" t="s">
        <v>184</v>
      </c>
      <c r="I134" s="3" t="str">
        <f t="shared" si="2"/>
        <v>Economics</v>
      </c>
    </row>
    <row r="135" spans="1:9" x14ac:dyDescent="0.35">
      <c r="A135" s="3">
        <f>'Student Basic Info'!A135</f>
        <v>634</v>
      </c>
      <c r="B135" s="3" t="s">
        <v>12</v>
      </c>
      <c r="C135" s="3" t="s">
        <v>13</v>
      </c>
      <c r="D135" s="3" t="s">
        <v>14</v>
      </c>
      <c r="E135" s="3" t="s">
        <v>181</v>
      </c>
      <c r="F135" s="3" t="s">
        <v>825</v>
      </c>
      <c r="G135" s="73" t="s">
        <v>183</v>
      </c>
      <c r="H135" s="3" t="s">
        <v>182</v>
      </c>
      <c r="I135" s="3" t="str">
        <f t="shared" si="2"/>
        <v>Production</v>
      </c>
    </row>
    <row r="136" spans="1:9" x14ac:dyDescent="0.35">
      <c r="A136" s="3">
        <f>'Student Basic Info'!A136</f>
        <v>635</v>
      </c>
      <c r="B136" s="3" t="s">
        <v>12</v>
      </c>
      <c r="C136" s="3" t="s">
        <v>13</v>
      </c>
      <c r="D136" s="3" t="s">
        <v>14</v>
      </c>
      <c r="E136" s="3" t="s">
        <v>181</v>
      </c>
      <c r="F136" s="3" t="s">
        <v>825</v>
      </c>
      <c r="G136" s="73" t="s">
        <v>183</v>
      </c>
      <c r="H136" s="3" t="s">
        <v>184</v>
      </c>
      <c r="I136" s="3" t="str">
        <f t="shared" si="2"/>
        <v>Economics</v>
      </c>
    </row>
    <row r="137" spans="1:9" x14ac:dyDescent="0.35">
      <c r="A137" s="3">
        <f>'Student Basic Info'!A137</f>
        <v>636</v>
      </c>
      <c r="B137" s="3" t="s">
        <v>12</v>
      </c>
      <c r="C137" s="3" t="s">
        <v>13</v>
      </c>
      <c r="D137" s="3" t="s">
        <v>14</v>
      </c>
      <c r="E137" s="3" t="s">
        <v>181</v>
      </c>
      <c r="F137" s="3" t="s">
        <v>825</v>
      </c>
      <c r="G137" s="73" t="s">
        <v>182</v>
      </c>
      <c r="H137" s="3" t="s">
        <v>183</v>
      </c>
      <c r="I137" s="3" t="str">
        <f t="shared" si="2"/>
        <v>Finance</v>
      </c>
    </row>
    <row r="138" spans="1:9" x14ac:dyDescent="0.35">
      <c r="A138" s="3">
        <f>'Student Basic Info'!A138</f>
        <v>637</v>
      </c>
      <c r="B138" s="3" t="s">
        <v>12</v>
      </c>
      <c r="C138" s="3" t="s">
        <v>13</v>
      </c>
      <c r="D138" s="3" t="s">
        <v>14</v>
      </c>
      <c r="E138" s="3" t="s">
        <v>181</v>
      </c>
      <c r="F138" s="3" t="s">
        <v>825</v>
      </c>
      <c r="G138" s="73" t="s">
        <v>183</v>
      </c>
      <c r="H138" s="3" t="s">
        <v>182</v>
      </c>
      <c r="I138" s="3" t="str">
        <f t="shared" si="2"/>
        <v>Production</v>
      </c>
    </row>
    <row r="139" spans="1:9" x14ac:dyDescent="0.35">
      <c r="A139" s="3">
        <f>'Student Basic Info'!A139</f>
        <v>638</v>
      </c>
      <c r="B139" s="3" t="s">
        <v>12</v>
      </c>
      <c r="C139" s="3" t="s">
        <v>13</v>
      </c>
      <c r="D139" s="3" t="s">
        <v>14</v>
      </c>
      <c r="E139" s="3" t="s">
        <v>181</v>
      </c>
      <c r="F139" s="3" t="s">
        <v>825</v>
      </c>
      <c r="G139" s="73" t="s">
        <v>182</v>
      </c>
      <c r="H139" s="3" t="s">
        <v>183</v>
      </c>
      <c r="I139" s="3" t="str">
        <f t="shared" si="2"/>
        <v>Finance</v>
      </c>
    </row>
    <row r="140" spans="1:9" x14ac:dyDescent="0.35">
      <c r="A140" s="3">
        <f>'Student Basic Info'!A140</f>
        <v>639</v>
      </c>
      <c r="B140" s="3" t="s">
        <v>12</v>
      </c>
      <c r="C140" s="3" t="s">
        <v>13</v>
      </c>
      <c r="D140" s="3" t="s">
        <v>14</v>
      </c>
      <c r="E140" s="3" t="s">
        <v>181</v>
      </c>
      <c r="F140" s="3" t="s">
        <v>825</v>
      </c>
      <c r="G140" s="73" t="s">
        <v>183</v>
      </c>
      <c r="H140" s="3" t="s">
        <v>182</v>
      </c>
      <c r="I140" s="3" t="str">
        <f t="shared" si="2"/>
        <v>Production</v>
      </c>
    </row>
    <row r="141" spans="1:9" x14ac:dyDescent="0.35">
      <c r="A141" s="3">
        <f>'Student Basic Info'!A141</f>
        <v>640</v>
      </c>
      <c r="B141" s="3" t="s">
        <v>12</v>
      </c>
      <c r="C141" s="3" t="s">
        <v>13</v>
      </c>
      <c r="D141" s="3" t="s">
        <v>14</v>
      </c>
      <c r="E141" s="3" t="s">
        <v>181</v>
      </c>
      <c r="F141" s="3" t="s">
        <v>825</v>
      </c>
      <c r="G141" s="73" t="s">
        <v>183</v>
      </c>
      <c r="H141" s="3" t="s">
        <v>182</v>
      </c>
      <c r="I141" s="3" t="str">
        <f t="shared" si="2"/>
        <v>Production</v>
      </c>
    </row>
    <row r="142" spans="1:9" x14ac:dyDescent="0.35">
      <c r="A142" s="3">
        <f>'Student Basic Info'!A142</f>
        <v>641</v>
      </c>
      <c r="B142" s="3" t="s">
        <v>12</v>
      </c>
      <c r="C142" s="3" t="s">
        <v>13</v>
      </c>
      <c r="D142" s="3" t="s">
        <v>14</v>
      </c>
      <c r="E142" s="3" t="s">
        <v>181</v>
      </c>
      <c r="F142" s="3" t="s">
        <v>825</v>
      </c>
      <c r="G142" s="73" t="s">
        <v>182</v>
      </c>
      <c r="H142" s="3" t="s">
        <v>184</v>
      </c>
      <c r="I142" s="3" t="str">
        <f t="shared" si="2"/>
        <v>Economics</v>
      </c>
    </row>
    <row r="143" spans="1:9" x14ac:dyDescent="0.35">
      <c r="A143" s="3">
        <f>'Student Basic Info'!A143</f>
        <v>642</v>
      </c>
      <c r="B143" s="3" t="s">
        <v>12</v>
      </c>
      <c r="C143" s="3" t="s">
        <v>13</v>
      </c>
      <c r="D143" s="3" t="s">
        <v>14</v>
      </c>
      <c r="E143" s="3" t="s">
        <v>181</v>
      </c>
      <c r="F143" s="3" t="s">
        <v>825</v>
      </c>
      <c r="G143" s="73" t="s">
        <v>183</v>
      </c>
      <c r="H143" s="3" t="s">
        <v>184</v>
      </c>
      <c r="I143" s="3" t="str">
        <f t="shared" si="2"/>
        <v>Economics</v>
      </c>
    </row>
    <row r="144" spans="1:9" x14ac:dyDescent="0.35">
      <c r="A144" s="3">
        <f>'Student Basic Info'!A144</f>
        <v>643</v>
      </c>
      <c r="B144" s="3" t="s">
        <v>12</v>
      </c>
      <c r="C144" s="3" t="s">
        <v>13</v>
      </c>
      <c r="D144" s="3" t="s">
        <v>14</v>
      </c>
      <c r="E144" s="3" t="s">
        <v>181</v>
      </c>
      <c r="F144" s="3" t="s">
        <v>825</v>
      </c>
      <c r="G144" s="73" t="s">
        <v>183</v>
      </c>
      <c r="H144" s="3" t="s">
        <v>182</v>
      </c>
      <c r="I144" s="3" t="str">
        <f t="shared" si="2"/>
        <v>Production</v>
      </c>
    </row>
    <row r="145" spans="1:9" x14ac:dyDescent="0.35">
      <c r="A145" s="3">
        <f>'Student Basic Info'!A145</f>
        <v>644</v>
      </c>
      <c r="B145" s="3" t="s">
        <v>12</v>
      </c>
      <c r="C145" s="3" t="s">
        <v>13</v>
      </c>
      <c r="D145" s="3" t="s">
        <v>14</v>
      </c>
      <c r="E145" s="3" t="s">
        <v>181</v>
      </c>
      <c r="F145" s="3" t="s">
        <v>825</v>
      </c>
      <c r="G145" s="73" t="s">
        <v>183</v>
      </c>
      <c r="H145" s="3" t="s">
        <v>182</v>
      </c>
      <c r="I145" s="3" t="str">
        <f t="shared" si="2"/>
        <v>Production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49"/>
  <sheetViews>
    <sheetView topLeftCell="A100" workbookViewId="0">
      <selection activeCell="C112" sqref="C112"/>
    </sheetView>
  </sheetViews>
  <sheetFormatPr defaultRowHeight="14.5" x14ac:dyDescent="0.35"/>
  <cols>
    <col min="1" max="1" width="8.7265625" style="66"/>
    <col min="2" max="2" width="10.7265625" style="1" hidden="1" customWidth="1"/>
    <col min="3" max="3" width="9" style="1" bestFit="1" customWidth="1"/>
    <col min="4" max="4" width="10.81640625" style="14" bestFit="1" customWidth="1"/>
    <col min="5" max="5" width="8.7265625" style="14"/>
    <col min="6" max="6" width="8.7265625" style="16"/>
    <col min="7" max="7" width="8.7265625" style="14"/>
  </cols>
  <sheetData>
    <row r="1" spans="1:8" x14ac:dyDescent="0.35">
      <c r="A1" s="64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67">
        <f>'Student Basic Info'!A2</f>
        <v>501</v>
      </c>
      <c r="B2" s="2"/>
      <c r="C2" s="3"/>
      <c r="D2" s="8" t="str">
        <f t="shared" ref="D2:D65" si="0">IF(B2+C2=0, "", B2+C2)</f>
        <v/>
      </c>
      <c r="E2" s="9" t="str">
        <f>IF(D2="","", IF(C2&gt;=33,"Pass","Fail"))</f>
        <v/>
      </c>
      <c r="F2" s="10" t="str">
        <f>(IF(D2="","",IF(E2="Fail","F",IF(D2&gt;=80,"A+",IF(D2&gt;=70,"A",IF(D2&gt;=60,"A-",IF(D2&gt;=50,"B",IF(D2&gt;=40,"C",IF(D2&gt;=33,"D","F")))))))))</f>
        <v/>
      </c>
      <c r="G2" s="11" t="str">
        <f>(IF(D2="","",IF(F2="F",0,IF(D2&gt;=80,5,IF(D2&gt;=70,4,IF(D2&gt;=60,3.5,IF(D2&gt;=50,3,IF(D2&gt;=40,2,IF(D2&gt;=33,1,0)))))))))</f>
        <v/>
      </c>
    </row>
    <row r="3" spans="1:8" x14ac:dyDescent="0.35">
      <c r="A3" s="67">
        <f>'Student Basic Info'!A3</f>
        <v>502</v>
      </c>
      <c r="B3" s="2"/>
      <c r="C3" s="3"/>
      <c r="D3" s="8" t="str">
        <f t="shared" si="0"/>
        <v/>
      </c>
      <c r="E3" s="9" t="str">
        <f t="shared" ref="E3:E66" si="1">IF(D3="","", IF(C3&gt;=33,"Pass","Fail"))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67">
        <f>'Student Basic Info'!A4</f>
        <v>503</v>
      </c>
      <c r="B4" s="2"/>
      <c r="C4" s="3">
        <v>50</v>
      </c>
      <c r="D4" s="8">
        <f t="shared" si="0"/>
        <v>50</v>
      </c>
      <c r="E4" s="9" t="str">
        <f t="shared" si="1"/>
        <v>Pass</v>
      </c>
      <c r="F4" s="10" t="str">
        <f t="shared" si="2"/>
        <v>B</v>
      </c>
      <c r="G4" s="11">
        <f t="shared" si="3"/>
        <v>3</v>
      </c>
    </row>
    <row r="5" spans="1:8" x14ac:dyDescent="0.35">
      <c r="A5" s="67">
        <f>'Student Basic Info'!A5</f>
        <v>504</v>
      </c>
      <c r="B5" s="2"/>
      <c r="C5" s="3">
        <v>56</v>
      </c>
      <c r="D5" s="8">
        <f t="shared" si="0"/>
        <v>56</v>
      </c>
      <c r="E5" s="9" t="str">
        <f t="shared" si="1"/>
        <v>Pass</v>
      </c>
      <c r="F5" s="10" t="str">
        <f t="shared" si="2"/>
        <v>B</v>
      </c>
      <c r="G5" s="11">
        <f t="shared" si="3"/>
        <v>3</v>
      </c>
    </row>
    <row r="6" spans="1:8" x14ac:dyDescent="0.35">
      <c r="A6" s="67">
        <f>'Student Basic Info'!A6</f>
        <v>505</v>
      </c>
      <c r="B6" s="2"/>
      <c r="C6" s="3"/>
      <c r="D6" s="8" t="str">
        <f t="shared" si="0"/>
        <v/>
      </c>
      <c r="E6" s="9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67">
        <f>'Student Basic Info'!A7</f>
        <v>506</v>
      </c>
      <c r="B7" s="2"/>
      <c r="C7" s="3"/>
      <c r="D7" s="8" t="str">
        <f t="shared" si="0"/>
        <v/>
      </c>
      <c r="E7" s="9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67">
        <f>'Student Basic Info'!A8</f>
        <v>507</v>
      </c>
      <c r="B8" s="2"/>
      <c r="C8" s="3">
        <v>60</v>
      </c>
      <c r="D8" s="8">
        <f t="shared" si="0"/>
        <v>60</v>
      </c>
      <c r="E8" s="9" t="str">
        <f t="shared" si="1"/>
        <v>Pass</v>
      </c>
      <c r="F8" s="10" t="str">
        <f t="shared" si="2"/>
        <v>A-</v>
      </c>
      <c r="G8" s="11">
        <f t="shared" si="3"/>
        <v>3.5</v>
      </c>
    </row>
    <row r="9" spans="1:8" x14ac:dyDescent="0.35">
      <c r="A9" s="67">
        <f>'Student Basic Info'!A9</f>
        <v>508</v>
      </c>
      <c r="B9" s="2"/>
      <c r="C9" s="3">
        <v>50</v>
      </c>
      <c r="D9" s="8">
        <f t="shared" si="0"/>
        <v>50</v>
      </c>
      <c r="E9" s="9" t="str">
        <f t="shared" si="1"/>
        <v>Pass</v>
      </c>
      <c r="F9" s="10" t="str">
        <f t="shared" si="2"/>
        <v>B</v>
      </c>
      <c r="G9" s="11">
        <f t="shared" si="3"/>
        <v>3</v>
      </c>
    </row>
    <row r="10" spans="1:8" x14ac:dyDescent="0.35">
      <c r="A10" s="67">
        <f>'Student Basic Info'!A10</f>
        <v>509</v>
      </c>
      <c r="B10" s="2"/>
      <c r="C10" s="3">
        <v>33</v>
      </c>
      <c r="D10" s="8">
        <f t="shared" si="0"/>
        <v>33</v>
      </c>
      <c r="E10" s="9" t="str">
        <f t="shared" si="1"/>
        <v>Pass</v>
      </c>
      <c r="F10" s="10" t="str">
        <f t="shared" si="2"/>
        <v>D</v>
      </c>
      <c r="G10" s="11">
        <f t="shared" si="3"/>
        <v>1</v>
      </c>
    </row>
    <row r="11" spans="1:8" x14ac:dyDescent="0.35">
      <c r="A11" s="67">
        <f>'Student Basic Info'!A11</f>
        <v>510</v>
      </c>
      <c r="B11" s="2"/>
      <c r="C11" s="3"/>
      <c r="D11" s="8" t="str">
        <f t="shared" si="0"/>
        <v/>
      </c>
      <c r="E11" s="9" t="str">
        <f t="shared" si="1"/>
        <v/>
      </c>
      <c r="F11" s="10" t="str">
        <f t="shared" si="2"/>
        <v/>
      </c>
      <c r="G11" s="11" t="str">
        <f t="shared" si="3"/>
        <v/>
      </c>
    </row>
    <row r="12" spans="1:8" x14ac:dyDescent="0.35">
      <c r="A12" s="67">
        <f>'Student Basic Info'!A12</f>
        <v>511</v>
      </c>
      <c r="B12" s="2"/>
      <c r="C12" s="3">
        <v>41</v>
      </c>
      <c r="D12" s="8">
        <f t="shared" si="0"/>
        <v>41</v>
      </c>
      <c r="E12" s="9" t="str">
        <f t="shared" si="1"/>
        <v>Pass</v>
      </c>
      <c r="F12" s="10" t="str">
        <f t="shared" si="2"/>
        <v>C</v>
      </c>
      <c r="G12" s="11">
        <f t="shared" si="3"/>
        <v>2</v>
      </c>
    </row>
    <row r="13" spans="1:8" x14ac:dyDescent="0.35">
      <c r="A13" s="67">
        <f>'Student Basic Info'!A13</f>
        <v>512</v>
      </c>
      <c r="B13" s="2"/>
      <c r="C13" s="3">
        <v>34</v>
      </c>
      <c r="D13" s="8">
        <f t="shared" si="0"/>
        <v>34</v>
      </c>
      <c r="E13" s="9" t="str">
        <f t="shared" si="1"/>
        <v>Pass</v>
      </c>
      <c r="F13" s="10" t="str">
        <f t="shared" si="2"/>
        <v>D</v>
      </c>
      <c r="G13" s="11">
        <f t="shared" si="3"/>
        <v>1</v>
      </c>
    </row>
    <row r="14" spans="1:8" x14ac:dyDescent="0.35">
      <c r="A14" s="67">
        <f>'Student Basic Info'!A14</f>
        <v>513</v>
      </c>
      <c r="B14" s="2"/>
      <c r="C14" s="3">
        <v>36</v>
      </c>
      <c r="D14" s="8">
        <f t="shared" si="0"/>
        <v>36</v>
      </c>
      <c r="E14" s="9" t="str">
        <f t="shared" si="1"/>
        <v>Pass</v>
      </c>
      <c r="F14" s="10" t="str">
        <f t="shared" si="2"/>
        <v>D</v>
      </c>
      <c r="G14" s="11">
        <f t="shared" si="3"/>
        <v>1</v>
      </c>
    </row>
    <row r="15" spans="1:8" x14ac:dyDescent="0.35">
      <c r="A15" s="67">
        <f>'Student Basic Info'!A15</f>
        <v>514</v>
      </c>
      <c r="B15" s="2"/>
      <c r="C15" s="3"/>
      <c r="D15" s="8" t="str">
        <f t="shared" si="0"/>
        <v/>
      </c>
      <c r="E15" s="9" t="str">
        <f t="shared" si="1"/>
        <v/>
      </c>
      <c r="F15" s="10" t="str">
        <f t="shared" si="2"/>
        <v/>
      </c>
      <c r="G15" s="11" t="str">
        <f t="shared" si="3"/>
        <v/>
      </c>
    </row>
    <row r="16" spans="1:8" x14ac:dyDescent="0.35">
      <c r="A16" s="67">
        <f>'Student Basic Info'!A16</f>
        <v>515</v>
      </c>
      <c r="B16" s="2"/>
      <c r="C16" s="3">
        <v>60</v>
      </c>
      <c r="D16" s="8">
        <f t="shared" si="0"/>
        <v>60</v>
      </c>
      <c r="E16" s="9" t="str">
        <f t="shared" si="1"/>
        <v>Pass</v>
      </c>
      <c r="F16" s="10" t="str">
        <f t="shared" si="2"/>
        <v>A-</v>
      </c>
      <c r="G16" s="11">
        <f t="shared" si="3"/>
        <v>3.5</v>
      </c>
    </row>
    <row r="17" spans="1:7" x14ac:dyDescent="0.35">
      <c r="A17" s="67">
        <f>'Student Basic Info'!A17</f>
        <v>516</v>
      </c>
      <c r="B17" s="2"/>
      <c r="C17" s="3">
        <v>66</v>
      </c>
      <c r="D17" s="8">
        <f t="shared" si="0"/>
        <v>66</v>
      </c>
      <c r="E17" s="9" t="str">
        <f t="shared" si="1"/>
        <v>Pass</v>
      </c>
      <c r="F17" s="10" t="str">
        <f t="shared" si="2"/>
        <v>A-</v>
      </c>
      <c r="G17" s="11">
        <f t="shared" si="3"/>
        <v>3.5</v>
      </c>
    </row>
    <row r="18" spans="1:7" x14ac:dyDescent="0.35">
      <c r="A18" s="67">
        <f>'Student Basic Info'!A18</f>
        <v>517</v>
      </c>
      <c r="B18" s="2"/>
      <c r="C18" s="3"/>
      <c r="D18" s="8" t="str">
        <f t="shared" si="0"/>
        <v/>
      </c>
      <c r="E18" s="9" t="str">
        <f t="shared" si="1"/>
        <v/>
      </c>
      <c r="F18" s="10" t="str">
        <f t="shared" si="2"/>
        <v/>
      </c>
      <c r="G18" s="11" t="str">
        <f t="shared" si="3"/>
        <v/>
      </c>
    </row>
    <row r="19" spans="1:7" x14ac:dyDescent="0.35">
      <c r="A19" s="67">
        <f>'Student Basic Info'!A19</f>
        <v>518</v>
      </c>
      <c r="B19" s="2"/>
      <c r="C19" s="3"/>
      <c r="D19" s="8" t="str">
        <f t="shared" si="0"/>
        <v/>
      </c>
      <c r="E19" s="9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67">
        <f>'Student Basic Info'!A20</f>
        <v>519</v>
      </c>
      <c r="B20" s="2"/>
      <c r="C20" s="3">
        <v>37</v>
      </c>
      <c r="D20" s="8">
        <f t="shared" si="0"/>
        <v>37</v>
      </c>
      <c r="E20" s="9" t="str">
        <f t="shared" si="1"/>
        <v>Pass</v>
      </c>
      <c r="F20" s="10" t="str">
        <f t="shared" si="2"/>
        <v>D</v>
      </c>
      <c r="G20" s="11">
        <f t="shared" si="3"/>
        <v>1</v>
      </c>
    </row>
    <row r="21" spans="1:7" x14ac:dyDescent="0.35">
      <c r="A21" s="67">
        <f>'Student Basic Info'!A21</f>
        <v>520</v>
      </c>
      <c r="B21" s="2"/>
      <c r="C21" s="3">
        <v>25</v>
      </c>
      <c r="D21" s="8">
        <f t="shared" si="0"/>
        <v>25</v>
      </c>
      <c r="E21" s="9" t="str">
        <f t="shared" si="1"/>
        <v>Fail</v>
      </c>
      <c r="F21" s="10" t="str">
        <f t="shared" si="2"/>
        <v>F</v>
      </c>
      <c r="G21" s="11">
        <f t="shared" si="3"/>
        <v>0</v>
      </c>
    </row>
    <row r="22" spans="1:7" x14ac:dyDescent="0.35">
      <c r="A22" s="67">
        <f>'Student Basic Info'!A22</f>
        <v>521</v>
      </c>
      <c r="B22" s="2"/>
      <c r="C22" s="3"/>
      <c r="D22" s="8" t="str">
        <f t="shared" si="0"/>
        <v/>
      </c>
      <c r="E22" s="9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67">
        <f>'Student Basic Info'!A23</f>
        <v>522</v>
      </c>
      <c r="B23" s="2"/>
      <c r="C23" s="3">
        <v>64</v>
      </c>
      <c r="D23" s="8">
        <f t="shared" si="0"/>
        <v>64</v>
      </c>
      <c r="E23" s="9" t="str">
        <f t="shared" si="1"/>
        <v>Pass</v>
      </c>
      <c r="F23" s="10" t="str">
        <f t="shared" si="2"/>
        <v>A-</v>
      </c>
      <c r="G23" s="11">
        <f t="shared" si="3"/>
        <v>3.5</v>
      </c>
    </row>
    <row r="24" spans="1:7" x14ac:dyDescent="0.35">
      <c r="A24" s="67">
        <f>'Student Basic Info'!A24</f>
        <v>523</v>
      </c>
      <c r="B24" s="2"/>
      <c r="C24" s="3">
        <v>43</v>
      </c>
      <c r="D24" s="8">
        <f t="shared" si="0"/>
        <v>43</v>
      </c>
      <c r="E24" s="9" t="str">
        <f t="shared" si="1"/>
        <v>Pass</v>
      </c>
      <c r="F24" s="10" t="str">
        <f t="shared" si="2"/>
        <v>C</v>
      </c>
      <c r="G24" s="11">
        <f t="shared" si="3"/>
        <v>2</v>
      </c>
    </row>
    <row r="25" spans="1:7" x14ac:dyDescent="0.35">
      <c r="A25" s="67">
        <f>'Student Basic Info'!A25</f>
        <v>524</v>
      </c>
      <c r="B25" s="2"/>
      <c r="C25" s="3">
        <v>60</v>
      </c>
      <c r="D25" s="8">
        <f t="shared" si="0"/>
        <v>60</v>
      </c>
      <c r="E25" s="9" t="str">
        <f t="shared" si="1"/>
        <v>Pass</v>
      </c>
      <c r="F25" s="10" t="str">
        <f t="shared" si="2"/>
        <v>A-</v>
      </c>
      <c r="G25" s="11">
        <f t="shared" si="3"/>
        <v>3.5</v>
      </c>
    </row>
    <row r="26" spans="1:7" x14ac:dyDescent="0.35">
      <c r="A26" s="67">
        <f>'Student Basic Info'!A26</f>
        <v>525</v>
      </c>
      <c r="B26" s="2"/>
      <c r="C26" s="3"/>
      <c r="D26" s="8" t="str">
        <f t="shared" si="0"/>
        <v/>
      </c>
      <c r="E26" s="9" t="str">
        <f t="shared" si="1"/>
        <v/>
      </c>
      <c r="F26" s="10" t="str">
        <f t="shared" si="2"/>
        <v/>
      </c>
      <c r="G26" s="11" t="str">
        <f t="shared" si="3"/>
        <v/>
      </c>
    </row>
    <row r="27" spans="1:7" x14ac:dyDescent="0.35">
      <c r="A27" s="67">
        <f>'Student Basic Info'!A27</f>
        <v>526</v>
      </c>
      <c r="B27" s="2"/>
      <c r="C27" s="3">
        <v>57</v>
      </c>
      <c r="D27" s="8">
        <f t="shared" si="0"/>
        <v>57</v>
      </c>
      <c r="E27" s="9" t="str">
        <f t="shared" si="1"/>
        <v>Pass</v>
      </c>
      <c r="F27" s="10" t="str">
        <f t="shared" si="2"/>
        <v>B</v>
      </c>
      <c r="G27" s="11">
        <f t="shared" si="3"/>
        <v>3</v>
      </c>
    </row>
    <row r="28" spans="1:7" x14ac:dyDescent="0.35">
      <c r="A28" s="67">
        <f>'Student Basic Info'!A28</f>
        <v>527</v>
      </c>
      <c r="B28" s="2"/>
      <c r="C28" s="3"/>
      <c r="D28" s="8" t="str">
        <f t="shared" si="0"/>
        <v/>
      </c>
      <c r="E28" s="9" t="str">
        <f t="shared" si="1"/>
        <v/>
      </c>
      <c r="F28" s="10" t="str">
        <f t="shared" si="2"/>
        <v/>
      </c>
      <c r="G28" s="11" t="str">
        <f t="shared" si="3"/>
        <v/>
      </c>
    </row>
    <row r="29" spans="1:7" x14ac:dyDescent="0.35">
      <c r="A29" s="67">
        <f>'Student Basic Info'!A29</f>
        <v>528</v>
      </c>
      <c r="B29" s="2"/>
      <c r="C29" s="3">
        <v>60</v>
      </c>
      <c r="D29" s="8">
        <f t="shared" si="0"/>
        <v>60</v>
      </c>
      <c r="E29" s="9" t="str">
        <f t="shared" si="1"/>
        <v>Pass</v>
      </c>
      <c r="F29" s="10" t="str">
        <f t="shared" si="2"/>
        <v>A-</v>
      </c>
      <c r="G29" s="11">
        <f t="shared" si="3"/>
        <v>3.5</v>
      </c>
    </row>
    <row r="30" spans="1:7" x14ac:dyDescent="0.35">
      <c r="A30" s="67">
        <f>'Student Basic Info'!A30</f>
        <v>529</v>
      </c>
      <c r="B30" s="2"/>
      <c r="C30" s="3">
        <v>25</v>
      </c>
      <c r="D30" s="8">
        <f t="shared" si="0"/>
        <v>25</v>
      </c>
      <c r="E30" s="9" t="str">
        <f t="shared" si="1"/>
        <v>Fail</v>
      </c>
      <c r="F30" s="10" t="str">
        <f t="shared" si="2"/>
        <v>F</v>
      </c>
      <c r="G30" s="11">
        <f t="shared" si="3"/>
        <v>0</v>
      </c>
    </row>
    <row r="31" spans="1:7" x14ac:dyDescent="0.35">
      <c r="A31" s="67">
        <f>'Student Basic Info'!A31</f>
        <v>530</v>
      </c>
      <c r="B31" s="2"/>
      <c r="C31" s="3"/>
      <c r="D31" s="8" t="str">
        <f t="shared" si="0"/>
        <v/>
      </c>
      <c r="E31" s="9" t="str">
        <f t="shared" si="1"/>
        <v/>
      </c>
      <c r="F31" s="10" t="str">
        <f t="shared" si="2"/>
        <v/>
      </c>
      <c r="G31" s="11" t="str">
        <f t="shared" si="3"/>
        <v/>
      </c>
    </row>
    <row r="32" spans="1:7" x14ac:dyDescent="0.35">
      <c r="A32" s="67">
        <f>'Student Basic Info'!A32</f>
        <v>531</v>
      </c>
      <c r="B32" s="2"/>
      <c r="C32" s="3">
        <v>33</v>
      </c>
      <c r="D32" s="8">
        <f t="shared" si="0"/>
        <v>33</v>
      </c>
      <c r="E32" s="9" t="str">
        <f t="shared" si="1"/>
        <v>Pass</v>
      </c>
      <c r="F32" s="10" t="str">
        <f t="shared" si="2"/>
        <v>D</v>
      </c>
      <c r="G32" s="11">
        <f t="shared" si="3"/>
        <v>1</v>
      </c>
    </row>
    <row r="33" spans="1:7" x14ac:dyDescent="0.35">
      <c r="A33" s="67">
        <f>'Student Basic Info'!A33</f>
        <v>532</v>
      </c>
      <c r="B33" s="2"/>
      <c r="C33" s="3"/>
      <c r="D33" s="8" t="str">
        <f t="shared" si="0"/>
        <v/>
      </c>
      <c r="E33" s="9" t="str">
        <f t="shared" si="1"/>
        <v/>
      </c>
      <c r="F33" s="10" t="str">
        <f t="shared" si="2"/>
        <v/>
      </c>
      <c r="G33" s="11" t="str">
        <f t="shared" si="3"/>
        <v/>
      </c>
    </row>
    <row r="34" spans="1:7" x14ac:dyDescent="0.35">
      <c r="A34" s="67">
        <f>'Student Basic Info'!A34</f>
        <v>533</v>
      </c>
      <c r="B34" s="2"/>
      <c r="C34" s="3"/>
      <c r="D34" s="8" t="str">
        <f t="shared" si="0"/>
        <v/>
      </c>
      <c r="E34" s="9" t="str">
        <f t="shared" si="1"/>
        <v/>
      </c>
      <c r="F34" s="10" t="str">
        <f t="shared" si="2"/>
        <v/>
      </c>
      <c r="G34" s="11" t="str">
        <f t="shared" si="3"/>
        <v/>
      </c>
    </row>
    <row r="35" spans="1:7" x14ac:dyDescent="0.35">
      <c r="A35" s="67">
        <f>'Student Basic Info'!A35</f>
        <v>534</v>
      </c>
      <c r="B35" s="2"/>
      <c r="C35" s="3"/>
      <c r="D35" s="8" t="str">
        <f t="shared" si="0"/>
        <v/>
      </c>
      <c r="E35" s="9" t="str">
        <f t="shared" si="1"/>
        <v/>
      </c>
      <c r="F35" s="10" t="str">
        <f t="shared" si="2"/>
        <v/>
      </c>
      <c r="G35" s="11" t="str">
        <f t="shared" si="3"/>
        <v/>
      </c>
    </row>
    <row r="36" spans="1:7" x14ac:dyDescent="0.35">
      <c r="A36" s="67">
        <f>'Student Basic Info'!A36</f>
        <v>535</v>
      </c>
      <c r="B36" s="2"/>
      <c r="C36" s="3"/>
      <c r="D36" s="8" t="str">
        <f t="shared" si="0"/>
        <v/>
      </c>
      <c r="E36" s="9" t="str">
        <f t="shared" si="1"/>
        <v/>
      </c>
      <c r="F36" s="10" t="str">
        <f t="shared" si="2"/>
        <v/>
      </c>
      <c r="G36" s="11" t="str">
        <f t="shared" si="3"/>
        <v/>
      </c>
    </row>
    <row r="37" spans="1:7" x14ac:dyDescent="0.35">
      <c r="A37" s="67">
        <f>'Student Basic Info'!A37</f>
        <v>536</v>
      </c>
      <c r="B37" s="2"/>
      <c r="C37" s="3">
        <v>25</v>
      </c>
      <c r="D37" s="8">
        <f t="shared" si="0"/>
        <v>25</v>
      </c>
      <c r="E37" s="9" t="str">
        <f t="shared" si="1"/>
        <v>Fail</v>
      </c>
      <c r="F37" s="10" t="str">
        <f t="shared" si="2"/>
        <v>F</v>
      </c>
      <c r="G37" s="11">
        <f t="shared" si="3"/>
        <v>0</v>
      </c>
    </row>
    <row r="38" spans="1:7" x14ac:dyDescent="0.35">
      <c r="A38" s="67">
        <f>'Student Basic Info'!A38</f>
        <v>537</v>
      </c>
      <c r="B38" s="2"/>
      <c r="C38" s="3">
        <v>22</v>
      </c>
      <c r="D38" s="8">
        <f t="shared" si="0"/>
        <v>22</v>
      </c>
      <c r="E38" s="9" t="str">
        <f t="shared" si="1"/>
        <v>Fail</v>
      </c>
      <c r="F38" s="10" t="str">
        <f t="shared" si="2"/>
        <v>F</v>
      </c>
      <c r="G38" s="11">
        <f t="shared" si="3"/>
        <v>0</v>
      </c>
    </row>
    <row r="39" spans="1:7" x14ac:dyDescent="0.35">
      <c r="A39" s="67">
        <f>'Student Basic Info'!A39</f>
        <v>538</v>
      </c>
      <c r="B39" s="2"/>
      <c r="C39" s="3">
        <v>33</v>
      </c>
      <c r="D39" s="8">
        <f t="shared" si="0"/>
        <v>33</v>
      </c>
      <c r="E39" s="9" t="str">
        <f t="shared" si="1"/>
        <v>Pass</v>
      </c>
      <c r="F39" s="10" t="str">
        <f t="shared" si="2"/>
        <v>D</v>
      </c>
      <c r="G39" s="11">
        <f t="shared" si="3"/>
        <v>1</v>
      </c>
    </row>
    <row r="40" spans="1:7" x14ac:dyDescent="0.35">
      <c r="A40" s="67">
        <f>'Student Basic Info'!A40</f>
        <v>539</v>
      </c>
      <c r="B40" s="2"/>
      <c r="C40" s="3">
        <v>21</v>
      </c>
      <c r="D40" s="8">
        <f t="shared" si="0"/>
        <v>21</v>
      </c>
      <c r="E40" s="9" t="str">
        <f t="shared" si="1"/>
        <v>Fail</v>
      </c>
      <c r="F40" s="10" t="str">
        <f t="shared" si="2"/>
        <v>F</v>
      </c>
      <c r="G40" s="11">
        <f t="shared" si="3"/>
        <v>0</v>
      </c>
    </row>
    <row r="41" spans="1:7" x14ac:dyDescent="0.35">
      <c r="A41" s="67">
        <f>'Student Basic Info'!A41</f>
        <v>540</v>
      </c>
      <c r="B41" s="2"/>
      <c r="C41" s="3">
        <v>33</v>
      </c>
      <c r="D41" s="8">
        <f t="shared" si="0"/>
        <v>33</v>
      </c>
      <c r="E41" s="9" t="str">
        <f t="shared" si="1"/>
        <v>Pass</v>
      </c>
      <c r="F41" s="10" t="str">
        <f t="shared" si="2"/>
        <v>D</v>
      </c>
      <c r="G41" s="11">
        <f t="shared" si="3"/>
        <v>1</v>
      </c>
    </row>
    <row r="42" spans="1:7" x14ac:dyDescent="0.35">
      <c r="A42" s="67">
        <f>'Student Basic Info'!A42</f>
        <v>541</v>
      </c>
      <c r="B42" s="2"/>
      <c r="C42" s="3">
        <v>50</v>
      </c>
      <c r="D42" s="8">
        <f t="shared" si="0"/>
        <v>50</v>
      </c>
      <c r="E42" s="9" t="str">
        <f t="shared" si="1"/>
        <v>Pass</v>
      </c>
      <c r="F42" s="10" t="str">
        <f t="shared" si="2"/>
        <v>B</v>
      </c>
      <c r="G42" s="11">
        <f t="shared" si="3"/>
        <v>3</v>
      </c>
    </row>
    <row r="43" spans="1:7" x14ac:dyDescent="0.35">
      <c r="A43" s="67">
        <f>'Student Basic Info'!A43</f>
        <v>542</v>
      </c>
      <c r="B43" s="2"/>
      <c r="C43" s="3">
        <v>33</v>
      </c>
      <c r="D43" s="8">
        <f t="shared" si="0"/>
        <v>33</v>
      </c>
      <c r="E43" s="9" t="str">
        <f t="shared" si="1"/>
        <v>Pass</v>
      </c>
      <c r="F43" s="10" t="str">
        <f t="shared" si="2"/>
        <v>D</v>
      </c>
      <c r="G43" s="11">
        <f t="shared" si="3"/>
        <v>1</v>
      </c>
    </row>
    <row r="44" spans="1:7" x14ac:dyDescent="0.35">
      <c r="A44" s="67">
        <f>'Student Basic Info'!A44</f>
        <v>543</v>
      </c>
      <c r="B44" s="2"/>
      <c r="C44" s="3">
        <v>33</v>
      </c>
      <c r="D44" s="8">
        <f t="shared" si="0"/>
        <v>33</v>
      </c>
      <c r="E44" s="9" t="str">
        <f t="shared" si="1"/>
        <v>Pass</v>
      </c>
      <c r="F44" s="10" t="str">
        <f t="shared" si="2"/>
        <v>D</v>
      </c>
      <c r="G44" s="11">
        <f t="shared" si="3"/>
        <v>1</v>
      </c>
    </row>
    <row r="45" spans="1:7" x14ac:dyDescent="0.35">
      <c r="A45" s="67">
        <f>'Student Basic Info'!A45</f>
        <v>544</v>
      </c>
      <c r="B45" s="2"/>
      <c r="C45" s="3">
        <v>40</v>
      </c>
      <c r="D45" s="8">
        <f t="shared" si="0"/>
        <v>40</v>
      </c>
      <c r="E45" s="9" t="str">
        <f t="shared" si="1"/>
        <v>Pass</v>
      </c>
      <c r="F45" s="10" t="str">
        <f t="shared" si="2"/>
        <v>C</v>
      </c>
      <c r="G45" s="11">
        <f t="shared" si="3"/>
        <v>2</v>
      </c>
    </row>
    <row r="46" spans="1:7" x14ac:dyDescent="0.35">
      <c r="A46" s="67">
        <f>'Student Basic Info'!A46</f>
        <v>545</v>
      </c>
      <c r="B46" s="2"/>
      <c r="C46" s="3"/>
      <c r="D46" s="8" t="str">
        <f t="shared" si="0"/>
        <v/>
      </c>
      <c r="E46" s="9" t="str">
        <f t="shared" si="1"/>
        <v/>
      </c>
      <c r="F46" s="10" t="str">
        <f t="shared" si="2"/>
        <v/>
      </c>
      <c r="G46" s="11" t="str">
        <f t="shared" si="3"/>
        <v/>
      </c>
    </row>
    <row r="47" spans="1:7" x14ac:dyDescent="0.35">
      <c r="A47" s="67">
        <f>'Student Basic Info'!A47</f>
        <v>546</v>
      </c>
      <c r="B47" s="2"/>
      <c r="C47" s="3">
        <v>40</v>
      </c>
      <c r="D47" s="8">
        <f t="shared" si="0"/>
        <v>40</v>
      </c>
      <c r="E47" s="9" t="str">
        <f t="shared" si="1"/>
        <v>Pass</v>
      </c>
      <c r="F47" s="10" t="str">
        <f t="shared" si="2"/>
        <v>C</v>
      </c>
      <c r="G47" s="11">
        <f t="shared" si="3"/>
        <v>2</v>
      </c>
    </row>
    <row r="48" spans="1:7" x14ac:dyDescent="0.35">
      <c r="A48" s="67">
        <f>'Student Basic Info'!A48</f>
        <v>547</v>
      </c>
      <c r="B48" s="2"/>
      <c r="C48" s="3"/>
      <c r="D48" s="8" t="str">
        <f t="shared" si="0"/>
        <v/>
      </c>
      <c r="E48" s="9" t="str">
        <f t="shared" si="1"/>
        <v/>
      </c>
      <c r="F48" s="10" t="str">
        <f t="shared" si="2"/>
        <v/>
      </c>
      <c r="G48" s="11" t="str">
        <f t="shared" si="3"/>
        <v/>
      </c>
    </row>
    <row r="49" spans="1:7" x14ac:dyDescent="0.35">
      <c r="A49" s="67">
        <f>'Student Basic Info'!A49</f>
        <v>548</v>
      </c>
      <c r="B49" s="2"/>
      <c r="C49" s="3"/>
      <c r="D49" s="8" t="str">
        <f t="shared" si="0"/>
        <v/>
      </c>
      <c r="E49" s="9" t="str">
        <f t="shared" si="1"/>
        <v/>
      </c>
      <c r="F49" s="10" t="str">
        <f t="shared" si="2"/>
        <v/>
      </c>
      <c r="G49" s="11" t="str">
        <f t="shared" si="3"/>
        <v/>
      </c>
    </row>
    <row r="50" spans="1:7" x14ac:dyDescent="0.35">
      <c r="A50" s="67">
        <f>'Student Basic Info'!A50</f>
        <v>549</v>
      </c>
      <c r="B50" s="2"/>
      <c r="C50" s="3">
        <v>33</v>
      </c>
      <c r="D50" s="8">
        <f t="shared" si="0"/>
        <v>33</v>
      </c>
      <c r="E50" s="9" t="str">
        <f t="shared" si="1"/>
        <v>Pass</v>
      </c>
      <c r="F50" s="10" t="str">
        <f t="shared" si="2"/>
        <v>D</v>
      </c>
      <c r="G50" s="11">
        <f t="shared" si="3"/>
        <v>1</v>
      </c>
    </row>
    <row r="51" spans="1:7" x14ac:dyDescent="0.35">
      <c r="A51" s="67">
        <f>'Student Basic Info'!A51</f>
        <v>550</v>
      </c>
      <c r="B51" s="2"/>
      <c r="C51" s="3"/>
      <c r="D51" s="8" t="str">
        <f t="shared" si="0"/>
        <v/>
      </c>
      <c r="E51" s="9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67">
        <f>'Student Basic Info'!A52</f>
        <v>551</v>
      </c>
      <c r="B52" s="2"/>
      <c r="C52" s="3"/>
      <c r="D52" s="8" t="str">
        <f t="shared" si="0"/>
        <v/>
      </c>
      <c r="E52" s="9" t="str">
        <f t="shared" si="1"/>
        <v/>
      </c>
      <c r="F52" s="10" t="str">
        <f t="shared" si="2"/>
        <v/>
      </c>
      <c r="G52" s="11" t="str">
        <f t="shared" si="3"/>
        <v/>
      </c>
    </row>
    <row r="53" spans="1:7" x14ac:dyDescent="0.35">
      <c r="A53" s="67">
        <f>'Student Basic Info'!A53</f>
        <v>552</v>
      </c>
      <c r="B53" s="2"/>
      <c r="C53" s="3">
        <v>33</v>
      </c>
      <c r="D53" s="8">
        <f t="shared" si="0"/>
        <v>33</v>
      </c>
      <c r="E53" s="9" t="str">
        <f t="shared" si="1"/>
        <v>Pass</v>
      </c>
      <c r="F53" s="10" t="str">
        <f t="shared" si="2"/>
        <v>D</v>
      </c>
      <c r="G53" s="11">
        <f t="shared" si="3"/>
        <v>1</v>
      </c>
    </row>
    <row r="54" spans="1:7" x14ac:dyDescent="0.35">
      <c r="A54" s="67">
        <f>'Student Basic Info'!A54</f>
        <v>553</v>
      </c>
      <c r="B54" s="2"/>
      <c r="C54" s="3"/>
      <c r="D54" s="8" t="str">
        <f t="shared" si="0"/>
        <v/>
      </c>
      <c r="E54" s="9" t="str">
        <f t="shared" si="1"/>
        <v/>
      </c>
      <c r="F54" s="10" t="str">
        <f t="shared" si="2"/>
        <v/>
      </c>
      <c r="G54" s="11" t="str">
        <f t="shared" si="3"/>
        <v/>
      </c>
    </row>
    <row r="55" spans="1:7" x14ac:dyDescent="0.35">
      <c r="A55" s="67">
        <f>'Student Basic Info'!A55</f>
        <v>554</v>
      </c>
      <c r="B55" s="2"/>
      <c r="C55" s="3">
        <v>33</v>
      </c>
      <c r="D55" s="8">
        <f t="shared" si="0"/>
        <v>33</v>
      </c>
      <c r="E55" s="9" t="str">
        <f t="shared" si="1"/>
        <v>Pass</v>
      </c>
      <c r="F55" s="10" t="str">
        <f t="shared" si="2"/>
        <v>D</v>
      </c>
      <c r="G55" s="11">
        <f t="shared" si="3"/>
        <v>1</v>
      </c>
    </row>
    <row r="56" spans="1:7" x14ac:dyDescent="0.35">
      <c r="A56" s="67">
        <f>'Student Basic Info'!A56</f>
        <v>555</v>
      </c>
      <c r="B56" s="2"/>
      <c r="C56" s="3">
        <v>53</v>
      </c>
      <c r="D56" s="8">
        <f t="shared" si="0"/>
        <v>53</v>
      </c>
      <c r="E56" s="9" t="str">
        <f t="shared" si="1"/>
        <v>Pass</v>
      </c>
      <c r="F56" s="10" t="str">
        <f t="shared" si="2"/>
        <v>B</v>
      </c>
      <c r="G56" s="11">
        <f t="shared" si="3"/>
        <v>3</v>
      </c>
    </row>
    <row r="57" spans="1:7" x14ac:dyDescent="0.35">
      <c r="A57" s="67">
        <f>'Student Basic Info'!A57</f>
        <v>556</v>
      </c>
      <c r="B57" s="2"/>
      <c r="C57" s="3">
        <v>60</v>
      </c>
      <c r="D57" s="8">
        <f t="shared" si="0"/>
        <v>60</v>
      </c>
      <c r="E57" s="9" t="str">
        <f t="shared" si="1"/>
        <v>Pass</v>
      </c>
      <c r="F57" s="10" t="str">
        <f t="shared" si="2"/>
        <v>A-</v>
      </c>
      <c r="G57" s="11">
        <f t="shared" si="3"/>
        <v>3.5</v>
      </c>
    </row>
    <row r="58" spans="1:7" x14ac:dyDescent="0.35">
      <c r="A58" s="67">
        <f>'Student Basic Info'!A58</f>
        <v>557</v>
      </c>
      <c r="B58" s="2"/>
      <c r="C58" s="3">
        <v>50</v>
      </c>
      <c r="D58" s="8">
        <f t="shared" si="0"/>
        <v>50</v>
      </c>
      <c r="E58" s="9" t="str">
        <f t="shared" si="1"/>
        <v>Pass</v>
      </c>
      <c r="F58" s="10" t="str">
        <f t="shared" si="2"/>
        <v>B</v>
      </c>
      <c r="G58" s="11">
        <f t="shared" si="3"/>
        <v>3</v>
      </c>
    </row>
    <row r="59" spans="1:7" x14ac:dyDescent="0.35">
      <c r="A59" s="67">
        <f>'Student Basic Info'!A59</f>
        <v>558</v>
      </c>
      <c r="B59" s="2"/>
      <c r="C59" s="3">
        <v>60</v>
      </c>
      <c r="D59" s="8">
        <f t="shared" si="0"/>
        <v>60</v>
      </c>
      <c r="E59" s="9" t="str">
        <f t="shared" si="1"/>
        <v>Pass</v>
      </c>
      <c r="F59" s="10" t="str">
        <f t="shared" si="2"/>
        <v>A-</v>
      </c>
      <c r="G59" s="11">
        <f t="shared" si="3"/>
        <v>3.5</v>
      </c>
    </row>
    <row r="60" spans="1:7" x14ac:dyDescent="0.35">
      <c r="A60" s="67">
        <f>'Student Basic Info'!A60</f>
        <v>559</v>
      </c>
      <c r="B60" s="2"/>
      <c r="C60" s="3">
        <v>60</v>
      </c>
      <c r="D60" s="8">
        <f t="shared" si="0"/>
        <v>60</v>
      </c>
      <c r="E60" s="9" t="str">
        <f t="shared" si="1"/>
        <v>Pass</v>
      </c>
      <c r="F60" s="10" t="str">
        <f t="shared" si="2"/>
        <v>A-</v>
      </c>
      <c r="G60" s="11">
        <f t="shared" si="3"/>
        <v>3.5</v>
      </c>
    </row>
    <row r="61" spans="1:7" x14ac:dyDescent="0.35">
      <c r="A61" s="67">
        <f>'Student Basic Info'!A61</f>
        <v>560</v>
      </c>
      <c r="B61" s="2"/>
      <c r="C61" s="3">
        <v>60</v>
      </c>
      <c r="D61" s="8">
        <f t="shared" si="0"/>
        <v>60</v>
      </c>
      <c r="E61" s="9" t="str">
        <f t="shared" si="1"/>
        <v>Pass</v>
      </c>
      <c r="F61" s="10" t="str">
        <f t="shared" si="2"/>
        <v>A-</v>
      </c>
      <c r="G61" s="11">
        <f t="shared" si="3"/>
        <v>3.5</v>
      </c>
    </row>
    <row r="62" spans="1:7" x14ac:dyDescent="0.35">
      <c r="A62" s="67">
        <f>'Student Basic Info'!A62</f>
        <v>561</v>
      </c>
      <c r="B62" s="2"/>
      <c r="C62" s="3">
        <v>18</v>
      </c>
      <c r="D62" s="8">
        <f t="shared" si="0"/>
        <v>18</v>
      </c>
      <c r="E62" s="9" t="str">
        <f t="shared" si="1"/>
        <v>Fail</v>
      </c>
      <c r="F62" s="10" t="str">
        <f t="shared" si="2"/>
        <v>F</v>
      </c>
      <c r="G62" s="11">
        <f t="shared" si="3"/>
        <v>0</v>
      </c>
    </row>
    <row r="63" spans="1:7" x14ac:dyDescent="0.35">
      <c r="A63" s="67">
        <f>'Student Basic Info'!A63</f>
        <v>562</v>
      </c>
      <c r="B63" s="2"/>
      <c r="C63" s="3"/>
      <c r="D63" s="8" t="str">
        <f t="shared" si="0"/>
        <v/>
      </c>
      <c r="E63" s="9" t="str">
        <f t="shared" si="1"/>
        <v/>
      </c>
      <c r="F63" s="10" t="str">
        <f t="shared" si="2"/>
        <v/>
      </c>
      <c r="G63" s="11" t="str">
        <f t="shared" si="3"/>
        <v/>
      </c>
    </row>
    <row r="64" spans="1:7" x14ac:dyDescent="0.35">
      <c r="A64" s="67">
        <f>'Student Basic Info'!A64</f>
        <v>563</v>
      </c>
      <c r="B64" s="2"/>
      <c r="C64" s="3"/>
      <c r="D64" s="8" t="str">
        <f t="shared" si="0"/>
        <v/>
      </c>
      <c r="E64" s="9" t="str">
        <f t="shared" si="1"/>
        <v/>
      </c>
      <c r="F64" s="10" t="str">
        <f t="shared" si="2"/>
        <v/>
      </c>
      <c r="G64" s="11" t="str">
        <f t="shared" si="3"/>
        <v/>
      </c>
    </row>
    <row r="65" spans="1:7" x14ac:dyDescent="0.35">
      <c r="A65" s="67">
        <f>'Student Basic Info'!A65</f>
        <v>564</v>
      </c>
      <c r="B65" s="2"/>
      <c r="C65" s="3"/>
      <c r="D65" s="8" t="str">
        <f t="shared" si="0"/>
        <v/>
      </c>
      <c r="E65" s="9" t="str">
        <f t="shared" si="1"/>
        <v/>
      </c>
      <c r="F65" s="10" t="str">
        <f t="shared" si="2"/>
        <v/>
      </c>
      <c r="G65" s="11" t="str">
        <f t="shared" si="3"/>
        <v/>
      </c>
    </row>
    <row r="66" spans="1:7" x14ac:dyDescent="0.35">
      <c r="A66" s="67">
        <f>'Student Basic Info'!A66</f>
        <v>565</v>
      </c>
      <c r="B66" s="2"/>
      <c r="C66" s="3">
        <v>40</v>
      </c>
      <c r="D66" s="8">
        <f t="shared" ref="D66:D129" si="4">IF(B66+C66=0, "", B66+C66)</f>
        <v>40</v>
      </c>
      <c r="E66" s="9" t="str">
        <f t="shared" si="1"/>
        <v>Pass</v>
      </c>
      <c r="F66" s="10" t="str">
        <f t="shared" si="2"/>
        <v>C</v>
      </c>
      <c r="G66" s="11">
        <f t="shared" si="3"/>
        <v>2</v>
      </c>
    </row>
    <row r="67" spans="1:7" x14ac:dyDescent="0.35">
      <c r="A67" s="67">
        <f>'Student Basic Info'!A67</f>
        <v>566</v>
      </c>
      <c r="B67" s="2"/>
      <c r="C67" s="3"/>
      <c r="D67" s="8" t="str">
        <f t="shared" si="4"/>
        <v/>
      </c>
      <c r="E67" s="9" t="str">
        <f t="shared" ref="E67:E130" si="5">IF(D67="","", IF(C67&gt;=33,"Pass","Fail"))</f>
        <v/>
      </c>
      <c r="F67" s="10" t="str">
        <f t="shared" ref="F67:F131" si="6">(IF(D67="","",IF(E67="Fail","F",IF(D67&gt;=80,"A+",IF(D67&gt;=70,"A",IF(D67&gt;=60,"A-",IF(D67&gt;=50,"B",IF(D67&gt;=40,"C",IF(D67&gt;=33,"D","F")))))))))</f>
        <v/>
      </c>
      <c r="G67" s="11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67">
        <f>'Student Basic Info'!A68</f>
        <v>567</v>
      </c>
      <c r="B68" s="2"/>
      <c r="C68" s="3">
        <v>16</v>
      </c>
      <c r="D68" s="8">
        <f t="shared" si="4"/>
        <v>16</v>
      </c>
      <c r="E68" s="9" t="str">
        <f t="shared" si="5"/>
        <v>Fail</v>
      </c>
      <c r="F68" s="10" t="str">
        <f t="shared" si="6"/>
        <v>F</v>
      </c>
      <c r="G68" s="11">
        <f t="shared" si="7"/>
        <v>0</v>
      </c>
    </row>
    <row r="69" spans="1:7" x14ac:dyDescent="0.35">
      <c r="A69" s="67">
        <f>'Student Basic Info'!A69</f>
        <v>568</v>
      </c>
      <c r="B69" s="2"/>
      <c r="C69" s="126">
        <v>13</v>
      </c>
      <c r="D69" s="8">
        <f t="shared" si="4"/>
        <v>13</v>
      </c>
      <c r="E69" s="9" t="str">
        <f t="shared" si="5"/>
        <v>Fail</v>
      </c>
      <c r="F69" s="10" t="str">
        <f t="shared" si="6"/>
        <v>F</v>
      </c>
      <c r="G69" s="11">
        <f t="shared" si="7"/>
        <v>0</v>
      </c>
    </row>
    <row r="70" spans="1:7" x14ac:dyDescent="0.35">
      <c r="A70" s="67">
        <f>'Student Basic Info'!A70</f>
        <v>569</v>
      </c>
      <c r="B70" s="2"/>
      <c r="C70" s="3"/>
      <c r="D70" s="8" t="str">
        <f t="shared" si="4"/>
        <v/>
      </c>
      <c r="E70" s="9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67">
        <f>'Student Basic Info'!A71</f>
        <v>570</v>
      </c>
      <c r="B71" s="2"/>
      <c r="C71" s="3"/>
      <c r="D71" s="8" t="str">
        <f t="shared" si="4"/>
        <v/>
      </c>
      <c r="E71" s="9" t="str">
        <f t="shared" si="5"/>
        <v/>
      </c>
      <c r="F71" s="10" t="str">
        <f t="shared" si="6"/>
        <v/>
      </c>
      <c r="G71" s="11" t="str">
        <f t="shared" si="7"/>
        <v/>
      </c>
    </row>
    <row r="72" spans="1:7" x14ac:dyDescent="0.35">
      <c r="A72" s="67">
        <f>'Student Basic Info'!A72</f>
        <v>571</v>
      </c>
      <c r="B72" s="2"/>
      <c r="C72" s="3"/>
      <c r="D72" s="8" t="str">
        <f t="shared" si="4"/>
        <v/>
      </c>
      <c r="E72" s="9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67">
        <f>'Student Basic Info'!A73</f>
        <v>572</v>
      </c>
      <c r="B73" s="2"/>
      <c r="C73" s="3">
        <v>19</v>
      </c>
      <c r="D73" s="8">
        <f t="shared" si="4"/>
        <v>19</v>
      </c>
      <c r="E73" s="9" t="str">
        <f t="shared" si="5"/>
        <v>Fail</v>
      </c>
      <c r="F73" s="10" t="str">
        <f t="shared" si="6"/>
        <v>F</v>
      </c>
      <c r="G73" s="11">
        <f t="shared" si="7"/>
        <v>0</v>
      </c>
    </row>
    <row r="74" spans="1:7" x14ac:dyDescent="0.35">
      <c r="A74" s="67">
        <f>'Student Basic Info'!A74</f>
        <v>573</v>
      </c>
      <c r="B74" s="2"/>
      <c r="C74" s="3">
        <v>20</v>
      </c>
      <c r="D74" s="8">
        <f t="shared" si="4"/>
        <v>20</v>
      </c>
      <c r="E74" s="9" t="str">
        <f t="shared" si="5"/>
        <v>Fail</v>
      </c>
      <c r="F74" s="10" t="str">
        <f t="shared" si="6"/>
        <v>F</v>
      </c>
      <c r="G74" s="11">
        <f t="shared" si="7"/>
        <v>0</v>
      </c>
    </row>
    <row r="75" spans="1:7" x14ac:dyDescent="0.35">
      <c r="A75" s="67">
        <f>'Student Basic Info'!A75</f>
        <v>574</v>
      </c>
      <c r="B75" s="2"/>
      <c r="C75" s="3"/>
      <c r="D75" s="8" t="str">
        <f t="shared" si="4"/>
        <v/>
      </c>
      <c r="E75" s="9" t="str">
        <f t="shared" si="5"/>
        <v/>
      </c>
      <c r="F75" s="10" t="str">
        <f t="shared" si="6"/>
        <v/>
      </c>
      <c r="G75" s="11" t="str">
        <f t="shared" si="7"/>
        <v/>
      </c>
    </row>
    <row r="76" spans="1:7" x14ac:dyDescent="0.35">
      <c r="A76" s="67">
        <f>'Student Basic Info'!A76</f>
        <v>575</v>
      </c>
      <c r="B76" s="2"/>
      <c r="C76" s="3"/>
      <c r="D76" s="8" t="str">
        <f t="shared" si="4"/>
        <v/>
      </c>
      <c r="E76" s="9" t="str">
        <f t="shared" si="5"/>
        <v/>
      </c>
      <c r="F76" s="10" t="str">
        <f t="shared" si="6"/>
        <v/>
      </c>
      <c r="G76" s="11" t="str">
        <f t="shared" si="7"/>
        <v/>
      </c>
    </row>
    <row r="77" spans="1:7" x14ac:dyDescent="0.35">
      <c r="A77" s="67">
        <f>'Student Basic Info'!A77</f>
        <v>576</v>
      </c>
      <c r="B77" s="2"/>
      <c r="C77" s="3"/>
      <c r="D77" s="8" t="str">
        <f t="shared" si="4"/>
        <v/>
      </c>
      <c r="E77" s="9" t="str">
        <f t="shared" si="5"/>
        <v/>
      </c>
      <c r="F77" s="10" t="str">
        <f t="shared" si="6"/>
        <v/>
      </c>
      <c r="G77" s="11" t="str">
        <f t="shared" si="7"/>
        <v/>
      </c>
    </row>
    <row r="78" spans="1:7" x14ac:dyDescent="0.35">
      <c r="A78" s="67">
        <f>'Student Basic Info'!A78</f>
        <v>577</v>
      </c>
      <c r="B78" s="2"/>
      <c r="C78" s="3">
        <v>33</v>
      </c>
      <c r="D78" s="8">
        <f t="shared" si="4"/>
        <v>33</v>
      </c>
      <c r="E78" s="9" t="str">
        <f t="shared" si="5"/>
        <v>Pass</v>
      </c>
      <c r="F78" s="10" t="str">
        <f t="shared" si="6"/>
        <v>D</v>
      </c>
      <c r="G78" s="11">
        <f t="shared" si="7"/>
        <v>1</v>
      </c>
    </row>
    <row r="79" spans="1:7" x14ac:dyDescent="0.35">
      <c r="A79" s="67">
        <f>'Student Basic Info'!A79</f>
        <v>578</v>
      </c>
      <c r="B79" s="2"/>
      <c r="C79" s="3"/>
      <c r="D79" s="8" t="str">
        <f t="shared" si="4"/>
        <v/>
      </c>
      <c r="E79" s="9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67">
        <f>'Student Basic Info'!A80</f>
        <v>579</v>
      </c>
      <c r="B80" s="2"/>
      <c r="C80" s="3"/>
      <c r="D80" s="8" t="str">
        <f t="shared" si="4"/>
        <v/>
      </c>
      <c r="E80" s="9" t="str">
        <f t="shared" si="5"/>
        <v/>
      </c>
      <c r="F80" s="10" t="str">
        <f t="shared" si="6"/>
        <v/>
      </c>
      <c r="G80" s="11" t="str">
        <f t="shared" si="7"/>
        <v/>
      </c>
    </row>
    <row r="81" spans="1:7" x14ac:dyDescent="0.35">
      <c r="A81" s="67">
        <f>'Student Basic Info'!A81</f>
        <v>580</v>
      </c>
      <c r="B81" s="2"/>
      <c r="C81" s="3"/>
      <c r="D81" s="8" t="str">
        <f t="shared" si="4"/>
        <v/>
      </c>
      <c r="E81" s="9" t="str">
        <f t="shared" si="5"/>
        <v/>
      </c>
      <c r="F81" s="10" t="str">
        <f t="shared" si="6"/>
        <v/>
      </c>
      <c r="G81" s="11" t="str">
        <f t="shared" si="7"/>
        <v/>
      </c>
    </row>
    <row r="82" spans="1:7" x14ac:dyDescent="0.35">
      <c r="A82" s="67">
        <f>'Student Basic Info'!A82</f>
        <v>581</v>
      </c>
      <c r="B82" s="2"/>
      <c r="C82" s="3"/>
      <c r="D82" s="8" t="str">
        <f t="shared" si="4"/>
        <v/>
      </c>
      <c r="E82" s="9" t="str">
        <f t="shared" si="5"/>
        <v/>
      </c>
      <c r="F82" s="10" t="str">
        <f t="shared" si="6"/>
        <v/>
      </c>
      <c r="G82" s="11" t="str">
        <f t="shared" si="7"/>
        <v/>
      </c>
    </row>
    <row r="83" spans="1:7" x14ac:dyDescent="0.35">
      <c r="A83" s="67">
        <f>'Student Basic Info'!A83</f>
        <v>582</v>
      </c>
      <c r="B83" s="2"/>
      <c r="C83" s="3"/>
      <c r="D83" s="8" t="str">
        <f t="shared" si="4"/>
        <v/>
      </c>
      <c r="E83" s="9" t="str">
        <f t="shared" si="5"/>
        <v/>
      </c>
      <c r="F83" s="10" t="str">
        <f t="shared" si="6"/>
        <v/>
      </c>
      <c r="G83" s="11" t="str">
        <f t="shared" si="7"/>
        <v/>
      </c>
    </row>
    <row r="84" spans="1:7" x14ac:dyDescent="0.35">
      <c r="A84" s="67">
        <f>'Student Basic Info'!A84</f>
        <v>583</v>
      </c>
      <c r="B84" s="2"/>
      <c r="C84" s="3"/>
      <c r="D84" s="8" t="str">
        <f t="shared" si="4"/>
        <v/>
      </c>
      <c r="E84" s="9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67">
        <f>'Student Basic Info'!A85</f>
        <v>584</v>
      </c>
      <c r="B85" s="2"/>
      <c r="C85" s="3">
        <v>40</v>
      </c>
      <c r="D85" s="8">
        <f t="shared" si="4"/>
        <v>40</v>
      </c>
      <c r="E85" s="9" t="str">
        <f t="shared" si="5"/>
        <v>Pass</v>
      </c>
      <c r="F85" s="10" t="str">
        <f t="shared" si="6"/>
        <v>C</v>
      </c>
      <c r="G85" s="11">
        <f t="shared" si="7"/>
        <v>2</v>
      </c>
    </row>
    <row r="86" spans="1:7" x14ac:dyDescent="0.35">
      <c r="A86" s="67">
        <f>'Student Basic Info'!A86</f>
        <v>585</v>
      </c>
      <c r="B86" s="2"/>
      <c r="C86" s="3">
        <v>33</v>
      </c>
      <c r="D86" s="8">
        <f t="shared" si="4"/>
        <v>33</v>
      </c>
      <c r="E86" s="9" t="str">
        <f t="shared" si="5"/>
        <v>Pass</v>
      </c>
      <c r="F86" s="10" t="str">
        <f t="shared" si="6"/>
        <v>D</v>
      </c>
      <c r="G86" s="11">
        <f t="shared" si="7"/>
        <v>1</v>
      </c>
    </row>
    <row r="87" spans="1:7" x14ac:dyDescent="0.35">
      <c r="A87" s="67">
        <f>'Student Basic Info'!A87</f>
        <v>586</v>
      </c>
      <c r="B87" s="2"/>
      <c r="C87" s="3">
        <v>33</v>
      </c>
      <c r="D87" s="8">
        <f t="shared" si="4"/>
        <v>33</v>
      </c>
      <c r="E87" s="9" t="str">
        <f t="shared" si="5"/>
        <v>Pass</v>
      </c>
      <c r="F87" s="10" t="str">
        <f t="shared" si="6"/>
        <v>D</v>
      </c>
      <c r="G87" s="11">
        <f t="shared" si="7"/>
        <v>1</v>
      </c>
    </row>
    <row r="88" spans="1:7" x14ac:dyDescent="0.35">
      <c r="A88" s="67">
        <f>'Student Basic Info'!A88</f>
        <v>587</v>
      </c>
      <c r="B88" s="2"/>
      <c r="C88" s="3">
        <v>50</v>
      </c>
      <c r="D88" s="8">
        <f t="shared" si="4"/>
        <v>50</v>
      </c>
      <c r="E88" s="9" t="str">
        <f t="shared" si="5"/>
        <v>Pass</v>
      </c>
      <c r="F88" s="10" t="str">
        <f t="shared" si="6"/>
        <v>B</v>
      </c>
      <c r="G88" s="11">
        <f t="shared" si="7"/>
        <v>3</v>
      </c>
    </row>
    <row r="89" spans="1:7" x14ac:dyDescent="0.35">
      <c r="A89" s="67">
        <f>'Student Basic Info'!A89</f>
        <v>588</v>
      </c>
      <c r="B89" s="5"/>
      <c r="C89" s="5">
        <v>50</v>
      </c>
      <c r="D89" s="8">
        <f t="shared" si="4"/>
        <v>50</v>
      </c>
      <c r="E89" s="9" t="str">
        <f t="shared" si="5"/>
        <v>Pass</v>
      </c>
      <c r="F89" s="10" t="str">
        <f t="shared" si="6"/>
        <v>B</v>
      </c>
      <c r="G89" s="11">
        <f t="shared" si="7"/>
        <v>3</v>
      </c>
    </row>
    <row r="90" spans="1:7" x14ac:dyDescent="0.35">
      <c r="A90" s="67">
        <f>'Student Basic Info'!A90</f>
        <v>589</v>
      </c>
      <c r="B90" s="5"/>
      <c r="C90" s="5"/>
      <c r="D90" s="8" t="str">
        <f t="shared" si="4"/>
        <v/>
      </c>
      <c r="E90" s="9" t="str">
        <f t="shared" si="5"/>
        <v/>
      </c>
      <c r="F90" s="10" t="str">
        <f t="shared" si="6"/>
        <v/>
      </c>
      <c r="G90" s="11" t="str">
        <f t="shared" si="7"/>
        <v/>
      </c>
    </row>
    <row r="91" spans="1:7" x14ac:dyDescent="0.35">
      <c r="A91" s="67">
        <f>'Student Basic Info'!A91</f>
        <v>590</v>
      </c>
      <c r="B91" s="5"/>
      <c r="C91" s="5"/>
      <c r="D91" s="8" t="str">
        <f t="shared" si="4"/>
        <v/>
      </c>
      <c r="E91" s="9" t="str">
        <f t="shared" si="5"/>
        <v/>
      </c>
      <c r="F91" s="10" t="str">
        <f t="shared" si="6"/>
        <v/>
      </c>
      <c r="G91" s="11" t="str">
        <f t="shared" si="7"/>
        <v/>
      </c>
    </row>
    <row r="92" spans="1:7" x14ac:dyDescent="0.35">
      <c r="A92" s="67">
        <f>'Student Basic Info'!A92</f>
        <v>591</v>
      </c>
      <c r="B92" s="5"/>
      <c r="C92" s="5">
        <v>46</v>
      </c>
      <c r="D92" s="8">
        <f t="shared" si="4"/>
        <v>46</v>
      </c>
      <c r="E92" s="9" t="str">
        <f t="shared" si="5"/>
        <v>Pass</v>
      </c>
      <c r="F92" s="10" t="str">
        <f t="shared" si="6"/>
        <v>C</v>
      </c>
      <c r="G92" s="11">
        <f t="shared" si="7"/>
        <v>2</v>
      </c>
    </row>
    <row r="93" spans="1:7" x14ac:dyDescent="0.35">
      <c r="A93" s="67">
        <f>'Student Basic Info'!A93</f>
        <v>592</v>
      </c>
      <c r="B93" s="5"/>
      <c r="C93" s="5">
        <v>23</v>
      </c>
      <c r="D93" s="8">
        <f t="shared" si="4"/>
        <v>23</v>
      </c>
      <c r="E93" s="9" t="str">
        <f t="shared" si="5"/>
        <v>Fail</v>
      </c>
      <c r="F93" s="10" t="str">
        <f t="shared" si="6"/>
        <v>F</v>
      </c>
      <c r="G93" s="11">
        <f t="shared" si="7"/>
        <v>0</v>
      </c>
    </row>
    <row r="94" spans="1:7" x14ac:dyDescent="0.35">
      <c r="A94" s="67">
        <f>'Student Basic Info'!A94</f>
        <v>593</v>
      </c>
      <c r="B94" s="6"/>
      <c r="C94" s="5">
        <v>45</v>
      </c>
      <c r="D94" s="8">
        <f t="shared" si="4"/>
        <v>45</v>
      </c>
      <c r="E94" s="9" t="str">
        <f t="shared" si="5"/>
        <v>Pass</v>
      </c>
      <c r="F94" s="10" t="str">
        <f t="shared" si="6"/>
        <v>C</v>
      </c>
      <c r="G94" s="11">
        <f t="shared" si="7"/>
        <v>2</v>
      </c>
    </row>
    <row r="95" spans="1:7" x14ac:dyDescent="0.35">
      <c r="A95" s="67">
        <f>'Student Basic Info'!A95</f>
        <v>594</v>
      </c>
      <c r="B95" s="5"/>
      <c r="C95" s="5"/>
      <c r="D95" s="8" t="str">
        <f t="shared" si="4"/>
        <v/>
      </c>
      <c r="E95" s="9" t="str">
        <f t="shared" si="5"/>
        <v/>
      </c>
      <c r="F95" s="10" t="str">
        <f t="shared" si="6"/>
        <v/>
      </c>
      <c r="G95" s="11" t="str">
        <f t="shared" si="7"/>
        <v/>
      </c>
    </row>
    <row r="96" spans="1:7" x14ac:dyDescent="0.35">
      <c r="A96" s="67">
        <f>'Student Basic Info'!A96</f>
        <v>595</v>
      </c>
      <c r="B96" s="5"/>
      <c r="C96" s="5"/>
      <c r="D96" s="8" t="str">
        <f t="shared" si="4"/>
        <v/>
      </c>
      <c r="E96" s="9" t="str">
        <f t="shared" si="5"/>
        <v/>
      </c>
      <c r="F96" s="10" t="str">
        <f t="shared" si="6"/>
        <v/>
      </c>
      <c r="G96" s="11" t="str">
        <f t="shared" si="7"/>
        <v/>
      </c>
    </row>
    <row r="97" spans="1:7" x14ac:dyDescent="0.35">
      <c r="A97" s="67">
        <f>'Student Basic Info'!A97</f>
        <v>596</v>
      </c>
      <c r="B97" s="5"/>
      <c r="C97" s="5"/>
      <c r="D97" s="8" t="str">
        <f t="shared" si="4"/>
        <v/>
      </c>
      <c r="E97" s="9" t="str">
        <f t="shared" si="5"/>
        <v/>
      </c>
      <c r="F97" s="10" t="str">
        <f t="shared" si="6"/>
        <v/>
      </c>
      <c r="G97" s="11" t="str">
        <f t="shared" si="7"/>
        <v/>
      </c>
    </row>
    <row r="98" spans="1:7" x14ac:dyDescent="0.35">
      <c r="A98" s="67">
        <f>'Student Basic Info'!A98</f>
        <v>597</v>
      </c>
      <c r="B98" s="5"/>
      <c r="C98" s="5"/>
      <c r="D98" s="8" t="str">
        <f t="shared" si="4"/>
        <v/>
      </c>
      <c r="E98" s="9" t="str">
        <f t="shared" si="5"/>
        <v/>
      </c>
      <c r="F98" s="10" t="str">
        <f t="shared" si="6"/>
        <v/>
      </c>
      <c r="G98" s="11" t="str">
        <f t="shared" si="7"/>
        <v/>
      </c>
    </row>
    <row r="99" spans="1:7" x14ac:dyDescent="0.35">
      <c r="A99" s="67">
        <f>'Student Basic Info'!A99</f>
        <v>598</v>
      </c>
      <c r="B99" s="5"/>
      <c r="C99" s="5"/>
      <c r="D99" s="8" t="str">
        <f t="shared" si="4"/>
        <v/>
      </c>
      <c r="E99" s="9" t="str">
        <f t="shared" si="5"/>
        <v/>
      </c>
      <c r="F99" s="10" t="str">
        <f t="shared" si="6"/>
        <v/>
      </c>
      <c r="G99" s="11" t="str">
        <f t="shared" si="7"/>
        <v/>
      </c>
    </row>
    <row r="100" spans="1:7" x14ac:dyDescent="0.35">
      <c r="A100" s="67">
        <f>'Student Basic Info'!A100</f>
        <v>599</v>
      </c>
      <c r="B100" s="6"/>
      <c r="C100" s="5"/>
      <c r="D100" s="8" t="str">
        <f t="shared" si="4"/>
        <v/>
      </c>
      <c r="E100" s="9" t="str">
        <f t="shared" si="5"/>
        <v/>
      </c>
      <c r="F100" s="10" t="str">
        <f t="shared" si="6"/>
        <v/>
      </c>
      <c r="G100" s="11" t="str">
        <f t="shared" si="7"/>
        <v/>
      </c>
    </row>
    <row r="101" spans="1:7" x14ac:dyDescent="0.35">
      <c r="A101" s="67">
        <f>'Student Basic Info'!A101</f>
        <v>600</v>
      </c>
      <c r="B101" s="5"/>
      <c r="C101" s="5">
        <v>10</v>
      </c>
      <c r="D101" s="8">
        <f t="shared" si="4"/>
        <v>10</v>
      </c>
      <c r="E101" s="9" t="str">
        <f t="shared" si="5"/>
        <v>Fail</v>
      </c>
      <c r="F101" s="10" t="str">
        <f t="shared" si="6"/>
        <v>F</v>
      </c>
      <c r="G101" s="11">
        <f t="shared" si="7"/>
        <v>0</v>
      </c>
    </row>
    <row r="102" spans="1:7" x14ac:dyDescent="0.35">
      <c r="A102" s="67">
        <f>'Student Basic Info'!A102</f>
        <v>601</v>
      </c>
      <c r="B102" s="5"/>
      <c r="C102" s="5">
        <v>20</v>
      </c>
      <c r="D102" s="8">
        <f t="shared" si="4"/>
        <v>20</v>
      </c>
      <c r="E102" s="9" t="str">
        <f t="shared" si="5"/>
        <v>Fail</v>
      </c>
      <c r="F102" s="10" t="str">
        <f t="shared" si="6"/>
        <v>F</v>
      </c>
      <c r="G102" s="11">
        <f t="shared" si="7"/>
        <v>0</v>
      </c>
    </row>
    <row r="103" spans="1:7" x14ac:dyDescent="0.35">
      <c r="A103" s="67">
        <f>'Student Basic Info'!A103</f>
        <v>602</v>
      </c>
      <c r="B103" s="3"/>
      <c r="C103" s="3"/>
      <c r="D103" s="8" t="str">
        <f t="shared" si="4"/>
        <v/>
      </c>
      <c r="E103" s="9" t="str">
        <f t="shared" si="5"/>
        <v/>
      </c>
      <c r="F103" s="10" t="str">
        <f t="shared" si="6"/>
        <v/>
      </c>
      <c r="G103" s="11" t="str">
        <f t="shared" si="7"/>
        <v/>
      </c>
    </row>
    <row r="104" spans="1:7" x14ac:dyDescent="0.35">
      <c r="A104" s="67">
        <f>'Student Basic Info'!A104</f>
        <v>603</v>
      </c>
      <c r="B104" s="7"/>
      <c r="C104" s="7"/>
      <c r="D104" s="8" t="str">
        <f t="shared" si="4"/>
        <v/>
      </c>
      <c r="E104" s="9" t="str">
        <f t="shared" si="5"/>
        <v/>
      </c>
      <c r="F104" s="10" t="str">
        <f t="shared" si="6"/>
        <v/>
      </c>
      <c r="G104" s="11" t="str">
        <f t="shared" si="7"/>
        <v/>
      </c>
    </row>
    <row r="105" spans="1:7" x14ac:dyDescent="0.35">
      <c r="A105" s="67">
        <f>'Student Basic Info'!A105</f>
        <v>604</v>
      </c>
      <c r="B105" s="7"/>
      <c r="C105" s="7"/>
      <c r="D105" s="8" t="str">
        <f t="shared" si="4"/>
        <v/>
      </c>
      <c r="E105" s="9" t="str">
        <f t="shared" si="5"/>
        <v/>
      </c>
      <c r="F105" s="10" t="str">
        <f t="shared" si="6"/>
        <v/>
      </c>
      <c r="G105" s="11" t="str">
        <f t="shared" si="7"/>
        <v/>
      </c>
    </row>
    <row r="106" spans="1:7" x14ac:dyDescent="0.35">
      <c r="A106" s="67">
        <f>'Student Basic Info'!A106</f>
        <v>605</v>
      </c>
      <c r="B106" s="7"/>
      <c r="C106" s="7">
        <v>40</v>
      </c>
      <c r="D106" s="8">
        <f t="shared" si="4"/>
        <v>40</v>
      </c>
      <c r="E106" s="9" t="str">
        <f t="shared" si="5"/>
        <v>Pass</v>
      </c>
      <c r="F106" s="10" t="str">
        <f t="shared" si="6"/>
        <v>C</v>
      </c>
      <c r="G106" s="11">
        <f t="shared" si="7"/>
        <v>2</v>
      </c>
    </row>
    <row r="107" spans="1:7" x14ac:dyDescent="0.35">
      <c r="A107" s="67">
        <f>'Student Basic Info'!A107</f>
        <v>606</v>
      </c>
      <c r="B107" s="7"/>
      <c r="C107" s="7">
        <v>33</v>
      </c>
      <c r="D107" s="8">
        <f t="shared" si="4"/>
        <v>33</v>
      </c>
      <c r="E107" s="9" t="str">
        <f t="shared" si="5"/>
        <v>Pass</v>
      </c>
      <c r="F107" s="10" t="str">
        <f t="shared" si="6"/>
        <v>D</v>
      </c>
      <c r="G107" s="11">
        <f t="shared" si="7"/>
        <v>1</v>
      </c>
    </row>
    <row r="108" spans="1:7" x14ac:dyDescent="0.35">
      <c r="A108" s="67">
        <f>'Student Basic Info'!A108</f>
        <v>607</v>
      </c>
      <c r="B108" s="3"/>
      <c r="C108" s="3">
        <v>26</v>
      </c>
      <c r="D108" s="8">
        <f t="shared" si="4"/>
        <v>26</v>
      </c>
      <c r="E108" s="9" t="str">
        <f t="shared" si="5"/>
        <v>Fail</v>
      </c>
      <c r="F108" s="10" t="str">
        <f t="shared" si="6"/>
        <v>F</v>
      </c>
      <c r="G108" s="11">
        <f t="shared" si="7"/>
        <v>0</v>
      </c>
    </row>
    <row r="109" spans="1:7" x14ac:dyDescent="0.35">
      <c r="A109" s="67">
        <f>'Student Basic Info'!A109</f>
        <v>608</v>
      </c>
      <c r="B109" s="7"/>
      <c r="C109" s="7">
        <v>40</v>
      </c>
      <c r="D109" s="8">
        <f t="shared" si="4"/>
        <v>40</v>
      </c>
      <c r="E109" s="9" t="str">
        <f t="shared" si="5"/>
        <v>Pass</v>
      </c>
      <c r="F109" s="10" t="str">
        <f t="shared" si="6"/>
        <v>C</v>
      </c>
      <c r="G109" s="11">
        <f t="shared" si="7"/>
        <v>2</v>
      </c>
    </row>
    <row r="110" spans="1:7" x14ac:dyDescent="0.35">
      <c r="A110" s="67">
        <f>'Student Basic Info'!A110</f>
        <v>609</v>
      </c>
      <c r="B110" s="7"/>
      <c r="C110" s="7">
        <v>33</v>
      </c>
      <c r="D110" s="8">
        <f t="shared" si="4"/>
        <v>33</v>
      </c>
      <c r="E110" s="9" t="str">
        <f t="shared" si="5"/>
        <v>Pass</v>
      </c>
      <c r="F110" s="10" t="str">
        <f t="shared" si="6"/>
        <v>D</v>
      </c>
      <c r="G110" s="11">
        <f t="shared" si="7"/>
        <v>1</v>
      </c>
    </row>
    <row r="111" spans="1:7" x14ac:dyDescent="0.35">
      <c r="A111" s="67">
        <f>'Student Basic Info'!A111</f>
        <v>610</v>
      </c>
      <c r="B111" s="7"/>
      <c r="C111" s="7">
        <v>33</v>
      </c>
      <c r="D111" s="8">
        <f t="shared" si="4"/>
        <v>33</v>
      </c>
      <c r="E111" s="9" t="str">
        <f t="shared" si="5"/>
        <v>Pass</v>
      </c>
      <c r="F111" s="10" t="str">
        <f t="shared" si="6"/>
        <v>D</v>
      </c>
      <c r="G111" s="11">
        <f t="shared" si="7"/>
        <v>1</v>
      </c>
    </row>
    <row r="112" spans="1:7" x14ac:dyDescent="0.35">
      <c r="A112" s="67">
        <f>'Student Basic Info'!A112</f>
        <v>611</v>
      </c>
      <c r="B112" s="7"/>
      <c r="C112" s="7">
        <v>33</v>
      </c>
      <c r="D112" s="8">
        <f t="shared" si="4"/>
        <v>33</v>
      </c>
      <c r="E112" s="9" t="str">
        <f t="shared" si="5"/>
        <v>Pass</v>
      </c>
      <c r="F112" s="10" t="str">
        <f t="shared" si="6"/>
        <v>D</v>
      </c>
      <c r="G112" s="11">
        <f t="shared" si="7"/>
        <v>1</v>
      </c>
    </row>
    <row r="113" spans="1:7" x14ac:dyDescent="0.35">
      <c r="A113" s="67">
        <f>'Student Basic Info'!A113</f>
        <v>612</v>
      </c>
      <c r="B113" s="7"/>
      <c r="C113" s="7">
        <v>33</v>
      </c>
      <c r="D113" s="8">
        <f t="shared" si="4"/>
        <v>33</v>
      </c>
      <c r="E113" s="9" t="str">
        <f t="shared" si="5"/>
        <v>Pass</v>
      </c>
      <c r="F113" s="10" t="str">
        <f t="shared" si="6"/>
        <v>D</v>
      </c>
      <c r="G113" s="11">
        <f t="shared" si="7"/>
        <v>1</v>
      </c>
    </row>
    <row r="114" spans="1:7" x14ac:dyDescent="0.35">
      <c r="A114" s="67">
        <f>'Student Basic Info'!A114</f>
        <v>613</v>
      </c>
      <c r="B114" s="3"/>
      <c r="C114" s="3"/>
      <c r="D114" s="8" t="str">
        <f t="shared" si="4"/>
        <v/>
      </c>
      <c r="E114" s="9" t="str">
        <f t="shared" si="5"/>
        <v/>
      </c>
      <c r="F114" s="10" t="str">
        <f t="shared" si="6"/>
        <v/>
      </c>
      <c r="G114" s="11" t="str">
        <f t="shared" si="7"/>
        <v/>
      </c>
    </row>
    <row r="115" spans="1:7" x14ac:dyDescent="0.35">
      <c r="A115" s="67">
        <f>'Student Basic Info'!A115</f>
        <v>614</v>
      </c>
      <c r="B115" s="3"/>
      <c r="C115" s="3">
        <v>63</v>
      </c>
      <c r="D115" s="8">
        <f t="shared" si="4"/>
        <v>63</v>
      </c>
      <c r="E115" s="9" t="str">
        <f t="shared" si="5"/>
        <v>Pass</v>
      </c>
      <c r="F115" s="10" t="str">
        <f t="shared" si="6"/>
        <v>A-</v>
      </c>
      <c r="G115" s="11">
        <f t="shared" si="7"/>
        <v>3.5</v>
      </c>
    </row>
    <row r="116" spans="1:7" x14ac:dyDescent="0.35">
      <c r="A116" s="67">
        <f>'Student Basic Info'!A116</f>
        <v>615</v>
      </c>
      <c r="B116" s="7"/>
      <c r="C116" s="7">
        <v>33</v>
      </c>
      <c r="D116" s="8">
        <f t="shared" si="4"/>
        <v>33</v>
      </c>
      <c r="E116" s="9" t="str">
        <f t="shared" si="5"/>
        <v>Pass</v>
      </c>
      <c r="F116" s="10" t="str">
        <f t="shared" si="6"/>
        <v>D</v>
      </c>
      <c r="G116" s="11">
        <f t="shared" si="7"/>
        <v>1</v>
      </c>
    </row>
    <row r="117" spans="1:7" x14ac:dyDescent="0.35">
      <c r="A117" s="67">
        <f>'Student Basic Info'!A117</f>
        <v>616</v>
      </c>
      <c r="B117" s="3"/>
      <c r="C117" s="3"/>
      <c r="D117" s="8" t="str">
        <f t="shared" si="4"/>
        <v/>
      </c>
      <c r="E117" s="9" t="str">
        <f t="shared" si="5"/>
        <v/>
      </c>
      <c r="F117" s="10" t="str">
        <f t="shared" si="6"/>
        <v/>
      </c>
      <c r="G117" s="11" t="str">
        <f t="shared" si="7"/>
        <v/>
      </c>
    </row>
    <row r="118" spans="1:7" x14ac:dyDescent="0.35">
      <c r="A118" s="67">
        <f>'Student Basic Info'!A118</f>
        <v>617</v>
      </c>
      <c r="B118" s="3"/>
      <c r="C118" s="3"/>
      <c r="D118" s="8" t="str">
        <f t="shared" si="4"/>
        <v/>
      </c>
      <c r="E118" s="9" t="str">
        <f t="shared" si="5"/>
        <v/>
      </c>
      <c r="F118" s="10" t="str">
        <f t="shared" si="6"/>
        <v/>
      </c>
      <c r="G118" s="11" t="str">
        <f t="shared" si="7"/>
        <v/>
      </c>
    </row>
    <row r="119" spans="1:7" x14ac:dyDescent="0.35">
      <c r="A119" s="67">
        <f>'Student Basic Info'!A119</f>
        <v>618</v>
      </c>
      <c r="B119" s="3"/>
      <c r="C119" s="3"/>
      <c r="D119" s="8" t="str">
        <f t="shared" si="4"/>
        <v/>
      </c>
      <c r="E119" s="9" t="str">
        <f t="shared" si="5"/>
        <v/>
      </c>
      <c r="F119" s="10" t="str">
        <f t="shared" si="6"/>
        <v/>
      </c>
      <c r="G119" s="11" t="str">
        <f t="shared" si="7"/>
        <v/>
      </c>
    </row>
    <row r="120" spans="1:7" x14ac:dyDescent="0.35">
      <c r="A120" s="67">
        <f>'Student Basic Info'!A120</f>
        <v>619</v>
      </c>
      <c r="B120" s="3"/>
      <c r="C120" s="3"/>
      <c r="D120" s="8" t="str">
        <f t="shared" si="4"/>
        <v/>
      </c>
      <c r="E120" s="9" t="str">
        <f t="shared" si="5"/>
        <v/>
      </c>
      <c r="F120" s="10" t="str">
        <f t="shared" si="6"/>
        <v/>
      </c>
      <c r="G120" s="11" t="str">
        <f t="shared" si="7"/>
        <v/>
      </c>
    </row>
    <row r="121" spans="1:7" x14ac:dyDescent="0.35">
      <c r="A121" s="67">
        <f>'Student Basic Info'!A121</f>
        <v>620</v>
      </c>
      <c r="B121" s="3"/>
      <c r="C121" s="3"/>
      <c r="D121" s="8" t="str">
        <f t="shared" si="4"/>
        <v/>
      </c>
      <c r="E121" s="9" t="str">
        <f t="shared" si="5"/>
        <v/>
      </c>
      <c r="F121" s="10" t="str">
        <f t="shared" si="6"/>
        <v/>
      </c>
      <c r="G121" s="11" t="str">
        <f t="shared" si="7"/>
        <v/>
      </c>
    </row>
    <row r="122" spans="1:7" x14ac:dyDescent="0.35">
      <c r="A122" s="67">
        <f>'Student Basic Info'!A122</f>
        <v>621</v>
      </c>
      <c r="B122" s="3"/>
      <c r="C122" s="3">
        <v>40</v>
      </c>
      <c r="D122" s="8">
        <f t="shared" si="4"/>
        <v>40</v>
      </c>
      <c r="E122" s="9" t="str">
        <f t="shared" si="5"/>
        <v>Pass</v>
      </c>
      <c r="F122" s="10" t="str">
        <f t="shared" si="6"/>
        <v>C</v>
      </c>
      <c r="G122" s="11">
        <f t="shared" si="7"/>
        <v>2</v>
      </c>
    </row>
    <row r="123" spans="1:7" x14ac:dyDescent="0.35">
      <c r="A123" s="67">
        <f>'Student Basic Info'!A123</f>
        <v>622</v>
      </c>
      <c r="B123" s="3"/>
      <c r="C123" s="3">
        <v>50</v>
      </c>
      <c r="D123" s="8">
        <f t="shared" si="4"/>
        <v>50</v>
      </c>
      <c r="E123" s="9" t="str">
        <f t="shared" si="5"/>
        <v>Pass</v>
      </c>
      <c r="F123" s="10" t="str">
        <f t="shared" si="6"/>
        <v>B</v>
      </c>
      <c r="G123" s="11">
        <f t="shared" si="7"/>
        <v>3</v>
      </c>
    </row>
    <row r="124" spans="1:7" x14ac:dyDescent="0.35">
      <c r="A124" s="67">
        <f>'Student Basic Info'!A124</f>
        <v>623</v>
      </c>
      <c r="B124" s="3"/>
      <c r="C124" s="3"/>
      <c r="D124" s="8" t="str">
        <f t="shared" si="4"/>
        <v/>
      </c>
      <c r="E124" s="9" t="str">
        <f t="shared" si="5"/>
        <v/>
      </c>
      <c r="F124" s="10" t="str">
        <f t="shared" si="6"/>
        <v/>
      </c>
      <c r="G124" s="11" t="str">
        <f t="shared" si="7"/>
        <v/>
      </c>
    </row>
    <row r="125" spans="1:7" x14ac:dyDescent="0.35">
      <c r="A125" s="67">
        <f>'Student Basic Info'!A125</f>
        <v>624</v>
      </c>
      <c r="B125" s="3"/>
      <c r="C125" s="3"/>
      <c r="D125" s="8" t="str">
        <f t="shared" si="4"/>
        <v/>
      </c>
      <c r="E125" s="9" t="str">
        <f t="shared" si="5"/>
        <v/>
      </c>
      <c r="F125" s="10" t="str">
        <f t="shared" si="6"/>
        <v/>
      </c>
      <c r="G125" s="11" t="str">
        <f t="shared" si="7"/>
        <v/>
      </c>
    </row>
    <row r="126" spans="1:7" x14ac:dyDescent="0.35">
      <c r="A126" s="67">
        <f>'Student Basic Info'!A126</f>
        <v>625</v>
      </c>
      <c r="B126" s="3"/>
      <c r="C126" s="3"/>
      <c r="D126" s="8" t="str">
        <f t="shared" si="4"/>
        <v/>
      </c>
      <c r="E126" s="9" t="str">
        <f t="shared" si="5"/>
        <v/>
      </c>
      <c r="F126" s="10" t="str">
        <f t="shared" si="6"/>
        <v/>
      </c>
      <c r="G126" s="11" t="str">
        <f t="shared" si="7"/>
        <v/>
      </c>
    </row>
    <row r="127" spans="1:7" x14ac:dyDescent="0.35">
      <c r="A127" s="67">
        <f>'Student Basic Info'!A127</f>
        <v>626</v>
      </c>
      <c r="B127" s="3"/>
      <c r="C127" s="3"/>
      <c r="D127" s="8" t="str">
        <f t="shared" si="4"/>
        <v/>
      </c>
      <c r="E127" s="9" t="str">
        <f t="shared" si="5"/>
        <v/>
      </c>
      <c r="F127" s="10" t="str">
        <f t="shared" si="6"/>
        <v/>
      </c>
      <c r="G127" s="11" t="str">
        <f t="shared" si="7"/>
        <v/>
      </c>
    </row>
    <row r="128" spans="1:7" x14ac:dyDescent="0.35">
      <c r="A128" s="67">
        <f>'Student Basic Info'!A128</f>
        <v>627</v>
      </c>
      <c r="B128" s="3"/>
      <c r="C128" s="3"/>
      <c r="D128" s="8" t="str">
        <f t="shared" si="4"/>
        <v/>
      </c>
      <c r="E128" s="9" t="str">
        <f t="shared" si="5"/>
        <v/>
      </c>
      <c r="F128" s="10" t="str">
        <f t="shared" si="6"/>
        <v/>
      </c>
      <c r="G128" s="11" t="str">
        <f t="shared" si="7"/>
        <v/>
      </c>
    </row>
    <row r="129" spans="1:7" hidden="1" x14ac:dyDescent="0.35">
      <c r="A129" s="67">
        <f>'Student Basic Info'!A129</f>
        <v>628</v>
      </c>
      <c r="B129" s="3"/>
      <c r="C129" s="3"/>
      <c r="D129" s="8" t="str">
        <f t="shared" si="4"/>
        <v/>
      </c>
      <c r="E129" s="9" t="str">
        <f t="shared" si="5"/>
        <v/>
      </c>
      <c r="F129" s="10" t="str">
        <f t="shared" si="6"/>
        <v/>
      </c>
      <c r="G129" s="11" t="str">
        <f t="shared" si="7"/>
        <v/>
      </c>
    </row>
    <row r="130" spans="1:7" x14ac:dyDescent="0.35">
      <c r="A130" s="65">
        <f>'Student Basic Info'!A130</f>
        <v>629</v>
      </c>
      <c r="B130" s="3"/>
      <c r="C130" s="3"/>
      <c r="D130" s="8" t="str">
        <f t="shared" ref="D130:D147" si="8">IF(B130+C130=0, "", B130+C130)</f>
        <v/>
      </c>
      <c r="E130" s="9" t="str">
        <f t="shared" si="5"/>
        <v/>
      </c>
      <c r="F130" s="10" t="str">
        <f t="shared" si="6"/>
        <v/>
      </c>
      <c r="G130" s="11" t="str">
        <f t="shared" si="7"/>
        <v/>
      </c>
    </row>
    <row r="131" spans="1:7" x14ac:dyDescent="0.35">
      <c r="A131" s="65">
        <f>'Student Basic Info'!A131</f>
        <v>630</v>
      </c>
      <c r="B131" s="3"/>
      <c r="C131" s="3"/>
      <c r="D131" s="8" t="str">
        <f t="shared" si="8"/>
        <v/>
      </c>
      <c r="E131" s="9" t="str">
        <f t="shared" ref="E131:E147" si="9">IF(D131="","", IF(C131&gt;=33,"Pass","Fail"))</f>
        <v/>
      </c>
      <c r="F131" s="10" t="str">
        <f t="shared" si="6"/>
        <v/>
      </c>
      <c r="G131" s="11" t="str">
        <f t="shared" si="7"/>
        <v/>
      </c>
    </row>
    <row r="132" spans="1:7" x14ac:dyDescent="0.35">
      <c r="A132" s="65">
        <f>'Student Basic Info'!A132</f>
        <v>631</v>
      </c>
      <c r="B132" s="3"/>
      <c r="C132" s="3"/>
      <c r="D132" s="8" t="str">
        <f t="shared" si="8"/>
        <v/>
      </c>
      <c r="E132" s="9" t="str">
        <f t="shared" si="9"/>
        <v/>
      </c>
      <c r="F132" s="10" t="str">
        <f t="shared" ref="F132:F147" si="10">(IF(D132="","",IF(E132="Fail","F",IF(D132&gt;=80,"A+",IF(D132&gt;=70,"A",IF(D132&gt;=60,"A-",IF(D132&gt;=50,"B",IF(D132&gt;=40,"C",IF(D132&gt;=33,"D","F")))))))))</f>
        <v/>
      </c>
      <c r="G132" s="11" t="str">
        <f t="shared" ref="G132:G147" si="11">(IF(D132="","",IF(F132="F",0,IF(D132&gt;=80,5,IF(D132&gt;=70,4,IF(D132&gt;=60,3.5,IF(D132&gt;=50,3,IF(D132&gt;=40,2,IF(D132&gt;=33,1,0)))))))))</f>
        <v/>
      </c>
    </row>
    <row r="133" spans="1:7" x14ac:dyDescent="0.35">
      <c r="A133" s="65">
        <f>'Student Basic Info'!A133</f>
        <v>632</v>
      </c>
      <c r="B133" s="3"/>
      <c r="C133" s="3"/>
      <c r="D133" s="8" t="str">
        <f t="shared" si="8"/>
        <v/>
      </c>
      <c r="E133" s="9" t="str">
        <f t="shared" si="9"/>
        <v/>
      </c>
      <c r="F133" s="10" t="str">
        <f t="shared" si="10"/>
        <v/>
      </c>
      <c r="G133" s="11" t="str">
        <f t="shared" si="11"/>
        <v/>
      </c>
    </row>
    <row r="134" spans="1:7" x14ac:dyDescent="0.35">
      <c r="A134" s="65">
        <f>'Student Basic Info'!A134</f>
        <v>633</v>
      </c>
      <c r="B134" s="3"/>
      <c r="C134" s="3"/>
      <c r="D134" s="8" t="str">
        <f t="shared" si="8"/>
        <v/>
      </c>
      <c r="E134" s="9" t="str">
        <f t="shared" si="9"/>
        <v/>
      </c>
      <c r="F134" s="10" t="str">
        <f t="shared" si="10"/>
        <v/>
      </c>
      <c r="G134" s="11" t="str">
        <f t="shared" si="11"/>
        <v/>
      </c>
    </row>
    <row r="135" spans="1:7" x14ac:dyDescent="0.35">
      <c r="A135" s="65">
        <f>'Student Basic Info'!A135</f>
        <v>634</v>
      </c>
      <c r="B135" s="3"/>
      <c r="C135" s="3"/>
      <c r="D135" s="8" t="str">
        <f t="shared" si="8"/>
        <v/>
      </c>
      <c r="E135" s="9" t="str">
        <f t="shared" si="9"/>
        <v/>
      </c>
      <c r="F135" s="10" t="str">
        <f t="shared" si="10"/>
        <v/>
      </c>
      <c r="G135" s="11" t="str">
        <f t="shared" si="11"/>
        <v/>
      </c>
    </row>
    <row r="136" spans="1:7" x14ac:dyDescent="0.35">
      <c r="A136" s="65">
        <f>'Student Basic Info'!A136</f>
        <v>635</v>
      </c>
      <c r="B136" s="3"/>
      <c r="C136" s="3"/>
      <c r="D136" s="8" t="str">
        <f t="shared" si="8"/>
        <v/>
      </c>
      <c r="E136" s="9" t="str">
        <f t="shared" si="9"/>
        <v/>
      </c>
      <c r="F136" s="10" t="str">
        <f t="shared" si="10"/>
        <v/>
      </c>
      <c r="G136" s="11" t="str">
        <f t="shared" si="11"/>
        <v/>
      </c>
    </row>
    <row r="137" spans="1:7" x14ac:dyDescent="0.35">
      <c r="A137" s="65">
        <f>'Student Basic Info'!A137</f>
        <v>636</v>
      </c>
      <c r="B137" s="3"/>
      <c r="C137" s="3"/>
      <c r="D137" s="8" t="str">
        <f t="shared" si="8"/>
        <v/>
      </c>
      <c r="E137" s="9" t="str">
        <f t="shared" si="9"/>
        <v/>
      </c>
      <c r="F137" s="10" t="str">
        <f t="shared" si="10"/>
        <v/>
      </c>
      <c r="G137" s="11" t="str">
        <f t="shared" si="11"/>
        <v/>
      </c>
    </row>
    <row r="138" spans="1:7" x14ac:dyDescent="0.35">
      <c r="A138" s="65">
        <f>'Student Basic Info'!A138</f>
        <v>637</v>
      </c>
      <c r="B138" s="3"/>
      <c r="C138" s="3">
        <v>33</v>
      </c>
      <c r="D138" s="8">
        <f t="shared" si="8"/>
        <v>33</v>
      </c>
      <c r="E138" s="9" t="str">
        <f t="shared" si="9"/>
        <v>Pass</v>
      </c>
      <c r="F138" s="10" t="str">
        <f t="shared" si="10"/>
        <v>D</v>
      </c>
      <c r="G138" s="11">
        <f t="shared" si="11"/>
        <v>1</v>
      </c>
    </row>
    <row r="139" spans="1:7" x14ac:dyDescent="0.35">
      <c r="A139" s="65">
        <f>'Student Basic Info'!A139</f>
        <v>638</v>
      </c>
      <c r="B139" s="3"/>
      <c r="C139" s="3">
        <v>33</v>
      </c>
      <c r="D139" s="8">
        <f t="shared" si="8"/>
        <v>33</v>
      </c>
      <c r="E139" s="9" t="str">
        <f t="shared" si="9"/>
        <v>Pass</v>
      </c>
      <c r="F139" s="10" t="str">
        <f t="shared" si="10"/>
        <v>D</v>
      </c>
      <c r="G139" s="11">
        <f t="shared" si="11"/>
        <v>1</v>
      </c>
    </row>
    <row r="140" spans="1:7" x14ac:dyDescent="0.35">
      <c r="A140" s="65">
        <f>'Student Basic Info'!A140</f>
        <v>639</v>
      </c>
      <c r="B140" s="3"/>
      <c r="C140" s="3"/>
      <c r="D140" s="8" t="str">
        <f t="shared" si="8"/>
        <v/>
      </c>
      <c r="E140" s="9" t="str">
        <f t="shared" si="9"/>
        <v/>
      </c>
      <c r="F140" s="10" t="str">
        <f t="shared" si="10"/>
        <v/>
      </c>
      <c r="G140" s="11" t="str">
        <f t="shared" si="11"/>
        <v/>
      </c>
    </row>
    <row r="141" spans="1:7" x14ac:dyDescent="0.35">
      <c r="A141" s="65">
        <f>'Student Basic Info'!A141</f>
        <v>640</v>
      </c>
      <c r="B141" s="3"/>
      <c r="C141" s="3"/>
      <c r="D141" s="8" t="str">
        <f t="shared" si="8"/>
        <v/>
      </c>
      <c r="E141" s="9" t="str">
        <f t="shared" si="9"/>
        <v/>
      </c>
      <c r="F141" s="10" t="str">
        <f t="shared" si="10"/>
        <v/>
      </c>
      <c r="G141" s="11" t="str">
        <f t="shared" si="11"/>
        <v/>
      </c>
    </row>
    <row r="142" spans="1:7" x14ac:dyDescent="0.35">
      <c r="A142" s="65">
        <f>'Student Basic Info'!A142</f>
        <v>641</v>
      </c>
      <c r="B142" s="3"/>
      <c r="C142" s="3">
        <v>40</v>
      </c>
      <c r="D142" s="8">
        <f t="shared" si="8"/>
        <v>40</v>
      </c>
      <c r="E142" s="9" t="str">
        <f t="shared" si="9"/>
        <v>Pass</v>
      </c>
      <c r="F142" s="10" t="str">
        <f t="shared" si="10"/>
        <v>C</v>
      </c>
      <c r="G142" s="11">
        <f t="shared" si="11"/>
        <v>2</v>
      </c>
    </row>
    <row r="143" spans="1:7" x14ac:dyDescent="0.35">
      <c r="A143" s="65">
        <f>'Student Basic Info'!A143</f>
        <v>642</v>
      </c>
      <c r="B143" s="3"/>
      <c r="C143" s="3">
        <v>24</v>
      </c>
      <c r="D143" s="8">
        <f t="shared" si="8"/>
        <v>24</v>
      </c>
      <c r="E143" s="9" t="str">
        <f t="shared" si="9"/>
        <v>Fail</v>
      </c>
      <c r="F143" s="10" t="str">
        <f t="shared" si="10"/>
        <v>F</v>
      </c>
      <c r="G143" s="11">
        <f t="shared" si="11"/>
        <v>0</v>
      </c>
    </row>
    <row r="144" spans="1:7" x14ac:dyDescent="0.35">
      <c r="A144" s="65">
        <f>'Student Basic Info'!A144</f>
        <v>643</v>
      </c>
      <c r="B144" s="3"/>
      <c r="C144" s="3"/>
      <c r="D144" s="8" t="str">
        <f t="shared" si="8"/>
        <v/>
      </c>
      <c r="E144" s="9" t="str">
        <f t="shared" si="9"/>
        <v/>
      </c>
      <c r="F144" s="10" t="str">
        <f t="shared" si="10"/>
        <v/>
      </c>
      <c r="G144" s="11" t="str">
        <f t="shared" si="11"/>
        <v/>
      </c>
    </row>
    <row r="145" spans="1:7" x14ac:dyDescent="0.35">
      <c r="A145" s="65">
        <f>'Student Basic Info'!A145</f>
        <v>644</v>
      </c>
      <c r="B145" s="3"/>
      <c r="C145" s="3">
        <v>22</v>
      </c>
      <c r="D145" s="8">
        <f t="shared" si="8"/>
        <v>22</v>
      </c>
      <c r="E145" s="9" t="str">
        <f t="shared" si="9"/>
        <v>Fail</v>
      </c>
      <c r="F145" s="10" t="str">
        <f t="shared" si="10"/>
        <v>F</v>
      </c>
      <c r="G145" s="11">
        <f t="shared" si="11"/>
        <v>0</v>
      </c>
    </row>
    <row r="146" spans="1:7" x14ac:dyDescent="0.35">
      <c r="A146" s="128">
        <v>1718</v>
      </c>
      <c r="B146" s="126"/>
      <c r="C146" s="126">
        <v>33</v>
      </c>
      <c r="D146" s="126">
        <f t="shared" si="8"/>
        <v>33</v>
      </c>
      <c r="E146" s="126" t="str">
        <f t="shared" si="9"/>
        <v>Pass</v>
      </c>
      <c r="F146" s="129" t="str">
        <f t="shared" si="10"/>
        <v>D</v>
      </c>
      <c r="G146" s="126">
        <f t="shared" si="11"/>
        <v>1</v>
      </c>
    </row>
    <row r="147" spans="1:7" x14ac:dyDescent="0.35">
      <c r="A147" s="128">
        <v>1748</v>
      </c>
      <c r="B147" s="126"/>
      <c r="C147" s="126">
        <v>25</v>
      </c>
      <c r="D147" s="126">
        <f t="shared" si="8"/>
        <v>25</v>
      </c>
      <c r="E147" s="126" t="str">
        <f t="shared" si="9"/>
        <v>Fail</v>
      </c>
      <c r="F147" s="129" t="str">
        <f t="shared" si="10"/>
        <v>F</v>
      </c>
      <c r="G147" s="126">
        <f t="shared" si="11"/>
        <v>0</v>
      </c>
    </row>
    <row r="148" spans="1:7" x14ac:dyDescent="0.35">
      <c r="A148" s="68"/>
      <c r="B148" s="47"/>
      <c r="C148" s="47"/>
      <c r="D148" s="51"/>
      <c r="E148" s="51"/>
      <c r="F148" s="52"/>
      <c r="G148" s="51"/>
    </row>
    <row r="149" spans="1:7" x14ac:dyDescent="0.35">
      <c r="A149" s="68"/>
      <c r="B149" s="47"/>
      <c r="C149" s="47"/>
      <c r="D149" s="51"/>
      <c r="E149" s="51"/>
      <c r="F149" s="52"/>
      <c r="G149" s="51"/>
    </row>
  </sheetData>
  <conditionalFormatting sqref="E2:E145">
    <cfRule type="containsText" dxfId="27" priority="1" operator="containsText" text="Fail">
      <formula>NOT(ISERROR(SEARCH("Fail",E2)))</formula>
    </cfRule>
    <cfRule type="containsText" dxfId="26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48"/>
  <sheetViews>
    <sheetView topLeftCell="A108" workbookViewId="0">
      <selection activeCell="C121" sqref="C121"/>
    </sheetView>
  </sheetViews>
  <sheetFormatPr defaultRowHeight="14.5" x14ac:dyDescent="0.35"/>
  <cols>
    <col min="1" max="1" width="8.7265625" style="14"/>
    <col min="2" max="2" width="9" style="1" bestFit="1" customWidth="1"/>
    <col min="3" max="3" width="10.81640625" style="14" bestFit="1" customWidth="1"/>
    <col min="4" max="6" width="8.7265625" style="14"/>
  </cols>
  <sheetData>
    <row r="1" spans="1:7" x14ac:dyDescent="0.35">
      <c r="A1" s="12" t="s">
        <v>0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9</v>
      </c>
    </row>
    <row r="2" spans="1:7" x14ac:dyDescent="0.35">
      <c r="A2" s="9">
        <f>'Student Basic Info'!A2</f>
        <v>501</v>
      </c>
      <c r="B2" s="4"/>
      <c r="C2" s="8" t="str">
        <f>IF(B2=0, "",B2)</f>
        <v/>
      </c>
      <c r="D2" s="9" t="str">
        <f>IF(C2="","", IF(C2&gt;=33,"Pass","Fail"))</f>
        <v/>
      </c>
      <c r="E2" s="10" t="str">
        <f>(IF(C2="","",IF(D2="Fail","F",IF(C2&gt;=80,"A+",IF(C2&gt;=70,"A",IF(C2&gt;=60,"A-",IF(C2&gt;=50,"B",IF(C2&gt;=40,"C",IF(C2&gt;=33,"D","F")))))))))</f>
        <v/>
      </c>
      <c r="F2" s="11" t="str">
        <f>(IF(C2="","",IF(E2="F",0,IF(C2&gt;=80,5,IF(C2&gt;=70,4,IF(C2&gt;=60,3.5,IF(C2&gt;=50,3,IF(C2&gt;=40,2,IF(C2&gt;=33,1,0)))))))))</f>
        <v/>
      </c>
    </row>
    <row r="3" spans="1:7" x14ac:dyDescent="0.35">
      <c r="A3" s="9">
        <f>'Student Basic Info'!A3</f>
        <v>502</v>
      </c>
      <c r="B3" s="5"/>
      <c r="C3" s="8" t="str">
        <f t="shared" ref="C3:C17" si="0">IF(B3=0, "",B3)</f>
        <v/>
      </c>
      <c r="D3" s="9" t="str">
        <f t="shared" ref="D3:D17" si="1">IF(C3="","", IF(C3&gt;=33,"Pass","Fail"))</f>
        <v/>
      </c>
      <c r="E3" s="10" t="str">
        <f t="shared" ref="E3:E17" si="2">(IF(C3="","",IF(D3="Fail","F",IF(C3&gt;=80,"A+",IF(C3&gt;=70,"A",IF(C3&gt;=60,"A-",IF(C3&gt;=50,"B",IF(C3&gt;=40,"C",IF(C3&gt;=33,"D","F")))))))))</f>
        <v/>
      </c>
      <c r="F3" s="11" t="str">
        <f t="shared" ref="F3:F17" si="3">(IF(C3="","",IF(E3="F",0,IF(C3&gt;=80,5,IF(C3&gt;=70,4,IF(C3&gt;=60,3.5,IF(C3&gt;=50,3,IF(C3&gt;=40,2,IF(C3&gt;=33,1,0)))))))))</f>
        <v/>
      </c>
    </row>
    <row r="4" spans="1:7" x14ac:dyDescent="0.35">
      <c r="A4" s="9">
        <f>'Student Basic Info'!A4</f>
        <v>503</v>
      </c>
      <c r="B4" s="5">
        <v>33</v>
      </c>
      <c r="C4" s="8">
        <f t="shared" si="0"/>
        <v>33</v>
      </c>
      <c r="D4" s="9" t="str">
        <f t="shared" si="1"/>
        <v>Pass</v>
      </c>
      <c r="E4" s="10" t="str">
        <f t="shared" si="2"/>
        <v>D</v>
      </c>
      <c r="F4" s="11">
        <f t="shared" si="3"/>
        <v>1</v>
      </c>
    </row>
    <row r="5" spans="1:7" x14ac:dyDescent="0.35">
      <c r="A5" s="9">
        <f>'Student Basic Info'!A5</f>
        <v>504</v>
      </c>
      <c r="B5" s="5">
        <v>21</v>
      </c>
      <c r="C5" s="8">
        <f t="shared" si="0"/>
        <v>21</v>
      </c>
      <c r="D5" s="9" t="str">
        <f t="shared" si="1"/>
        <v>Fail</v>
      </c>
      <c r="E5" s="10" t="str">
        <f t="shared" si="2"/>
        <v>F</v>
      </c>
      <c r="F5" s="11">
        <f t="shared" si="3"/>
        <v>0</v>
      </c>
    </row>
    <row r="6" spans="1:7" x14ac:dyDescent="0.35">
      <c r="A6" s="9">
        <f>'Student Basic Info'!A6</f>
        <v>505</v>
      </c>
      <c r="B6" s="5"/>
      <c r="C6" s="8" t="str">
        <f t="shared" si="0"/>
        <v/>
      </c>
      <c r="D6" s="9" t="str">
        <f t="shared" si="1"/>
        <v/>
      </c>
      <c r="E6" s="10" t="str">
        <f t="shared" si="2"/>
        <v/>
      </c>
      <c r="F6" s="11" t="str">
        <f t="shared" si="3"/>
        <v/>
      </c>
      <c r="G6" t="s">
        <v>10</v>
      </c>
    </row>
    <row r="7" spans="1:7" x14ac:dyDescent="0.35">
      <c r="A7" s="9">
        <f>'Student Basic Info'!A7</f>
        <v>506</v>
      </c>
      <c r="B7" s="5"/>
      <c r="C7" s="8" t="str">
        <f t="shared" si="0"/>
        <v/>
      </c>
      <c r="D7" s="9" t="str">
        <f t="shared" si="1"/>
        <v/>
      </c>
      <c r="E7" s="10" t="str">
        <f t="shared" si="2"/>
        <v/>
      </c>
      <c r="F7" s="11" t="str">
        <f t="shared" si="3"/>
        <v/>
      </c>
    </row>
    <row r="8" spans="1:7" x14ac:dyDescent="0.35">
      <c r="A8" s="9">
        <f>'Student Basic Info'!A8</f>
        <v>507</v>
      </c>
      <c r="B8" s="5">
        <v>44</v>
      </c>
      <c r="C8" s="8">
        <f t="shared" si="0"/>
        <v>44</v>
      </c>
      <c r="D8" s="9" t="str">
        <f t="shared" si="1"/>
        <v>Pass</v>
      </c>
      <c r="E8" s="10" t="str">
        <f t="shared" si="2"/>
        <v>C</v>
      </c>
      <c r="F8" s="11">
        <f t="shared" si="3"/>
        <v>2</v>
      </c>
    </row>
    <row r="9" spans="1:7" x14ac:dyDescent="0.35">
      <c r="A9" s="9">
        <f>'Student Basic Info'!A9</f>
        <v>508</v>
      </c>
      <c r="B9" s="1">
        <v>33</v>
      </c>
      <c r="C9" s="8">
        <f t="shared" si="0"/>
        <v>33</v>
      </c>
      <c r="D9" s="9" t="str">
        <f t="shared" si="1"/>
        <v>Pass</v>
      </c>
      <c r="E9" s="10" t="str">
        <f t="shared" si="2"/>
        <v>D</v>
      </c>
      <c r="F9" s="11">
        <f t="shared" si="3"/>
        <v>1</v>
      </c>
    </row>
    <row r="10" spans="1:7" x14ac:dyDescent="0.35">
      <c r="A10" s="9">
        <f>'Student Basic Info'!A10</f>
        <v>509</v>
      </c>
      <c r="B10" s="5">
        <v>21</v>
      </c>
      <c r="C10" s="8">
        <f t="shared" si="0"/>
        <v>21</v>
      </c>
      <c r="D10" s="9" t="str">
        <f t="shared" si="1"/>
        <v>Fail</v>
      </c>
      <c r="E10" s="10" t="str">
        <f t="shared" si="2"/>
        <v>F</v>
      </c>
      <c r="F10" s="11">
        <f t="shared" si="3"/>
        <v>0</v>
      </c>
    </row>
    <row r="11" spans="1:7" x14ac:dyDescent="0.35">
      <c r="A11" s="9">
        <f>'Student Basic Info'!A11</f>
        <v>510</v>
      </c>
      <c r="B11" s="5"/>
      <c r="C11" s="8" t="str">
        <f t="shared" si="0"/>
        <v/>
      </c>
      <c r="D11" s="9" t="str">
        <f t="shared" si="1"/>
        <v/>
      </c>
      <c r="E11" s="10" t="str">
        <f t="shared" si="2"/>
        <v/>
      </c>
      <c r="F11" s="11" t="str">
        <f t="shared" si="3"/>
        <v/>
      </c>
    </row>
    <row r="12" spans="1:7" x14ac:dyDescent="0.35">
      <c r="A12" s="9">
        <f>'Student Basic Info'!A12</f>
        <v>511</v>
      </c>
      <c r="B12" s="5">
        <v>26</v>
      </c>
      <c r="C12" s="8">
        <f t="shared" si="0"/>
        <v>26</v>
      </c>
      <c r="D12" s="9" t="str">
        <f t="shared" si="1"/>
        <v>Fail</v>
      </c>
      <c r="E12" s="10" t="str">
        <f t="shared" si="2"/>
        <v>F</v>
      </c>
      <c r="F12" s="11">
        <f t="shared" si="3"/>
        <v>0</v>
      </c>
    </row>
    <row r="13" spans="1:7" x14ac:dyDescent="0.35">
      <c r="A13" s="9">
        <f>'Student Basic Info'!A13</f>
        <v>512</v>
      </c>
      <c r="B13" s="5">
        <v>11</v>
      </c>
      <c r="C13" s="8">
        <f t="shared" si="0"/>
        <v>11</v>
      </c>
      <c r="D13" s="9" t="str">
        <f t="shared" si="1"/>
        <v>Fail</v>
      </c>
      <c r="E13" s="10" t="str">
        <f t="shared" si="2"/>
        <v>F</v>
      </c>
      <c r="F13" s="11">
        <f t="shared" si="3"/>
        <v>0</v>
      </c>
    </row>
    <row r="14" spans="1:7" x14ac:dyDescent="0.35">
      <c r="A14" s="9">
        <f>'Student Basic Info'!A14</f>
        <v>513</v>
      </c>
      <c r="B14" s="5">
        <v>29</v>
      </c>
      <c r="C14" s="8">
        <f t="shared" si="0"/>
        <v>29</v>
      </c>
      <c r="D14" s="9" t="str">
        <f t="shared" si="1"/>
        <v>Fail</v>
      </c>
      <c r="E14" s="10" t="str">
        <f t="shared" si="2"/>
        <v>F</v>
      </c>
      <c r="F14" s="11">
        <f t="shared" si="3"/>
        <v>0</v>
      </c>
    </row>
    <row r="15" spans="1:7" x14ac:dyDescent="0.35">
      <c r="A15" s="9">
        <f>'Student Basic Info'!A15</f>
        <v>514</v>
      </c>
      <c r="B15" s="5"/>
      <c r="C15" s="8" t="str">
        <f t="shared" si="0"/>
        <v/>
      </c>
      <c r="D15" s="9" t="str">
        <f t="shared" si="1"/>
        <v/>
      </c>
      <c r="E15" s="10" t="str">
        <f t="shared" si="2"/>
        <v/>
      </c>
      <c r="F15" s="11" t="str">
        <f t="shared" si="3"/>
        <v/>
      </c>
    </row>
    <row r="16" spans="1:7" x14ac:dyDescent="0.35">
      <c r="A16" s="9">
        <f>'Student Basic Info'!A16</f>
        <v>515</v>
      </c>
      <c r="B16" s="5">
        <v>38</v>
      </c>
      <c r="C16" s="8">
        <f t="shared" si="0"/>
        <v>38</v>
      </c>
      <c r="D16" s="9" t="str">
        <f t="shared" si="1"/>
        <v>Pass</v>
      </c>
      <c r="E16" s="10" t="str">
        <f t="shared" si="2"/>
        <v>D</v>
      </c>
      <c r="F16" s="11">
        <f t="shared" si="3"/>
        <v>1</v>
      </c>
    </row>
    <row r="17" spans="1:6" x14ac:dyDescent="0.35">
      <c r="A17" s="9">
        <f>'Student Basic Info'!A17</f>
        <v>516</v>
      </c>
      <c r="B17" s="5">
        <v>48</v>
      </c>
      <c r="C17" s="8">
        <f t="shared" si="0"/>
        <v>48</v>
      </c>
      <c r="D17" s="9" t="str">
        <f t="shared" si="1"/>
        <v>Pass</v>
      </c>
      <c r="E17" s="10" t="str">
        <f t="shared" si="2"/>
        <v>C</v>
      </c>
      <c r="F17" s="11">
        <f t="shared" si="3"/>
        <v>2</v>
      </c>
    </row>
    <row r="18" spans="1:6" x14ac:dyDescent="0.35">
      <c r="A18" s="9">
        <f>'Student Basic Info'!A18</f>
        <v>517</v>
      </c>
      <c r="B18" s="5"/>
      <c r="C18" s="8" t="str">
        <f t="shared" ref="C18:C81" si="4">IF(B18=0, "",B18)</f>
        <v/>
      </c>
      <c r="D18" s="9" t="str">
        <f t="shared" ref="D18:D81" si="5">IF(C18="","", IF(C18&gt;=33,"Pass","Fail"))</f>
        <v/>
      </c>
      <c r="E18" s="10" t="str">
        <f t="shared" ref="E18:E81" si="6">(IF(C18="","",IF(D18="Fail","F",IF(C18&gt;=80,"A+",IF(C18&gt;=70,"A",IF(C18&gt;=60,"A-",IF(C18&gt;=50,"B",IF(C18&gt;=40,"C",IF(C18&gt;=33,"D","F")))))))))</f>
        <v/>
      </c>
      <c r="F18" s="11" t="str">
        <f t="shared" ref="F18:F81" si="7">(IF(C18="","",IF(E18="F",0,IF(C18&gt;=80,5,IF(C18&gt;=70,4,IF(C18&gt;=60,3.5,IF(C18&gt;=50,3,IF(C18&gt;=40,2,IF(C18&gt;=33,1,0)))))))))</f>
        <v/>
      </c>
    </row>
    <row r="19" spans="1:6" x14ac:dyDescent="0.35">
      <c r="A19" s="9">
        <f>'Student Basic Info'!A19</f>
        <v>518</v>
      </c>
      <c r="B19" s="5"/>
      <c r="C19" s="8" t="str">
        <f t="shared" si="4"/>
        <v/>
      </c>
      <c r="D19" s="9" t="str">
        <f t="shared" si="5"/>
        <v/>
      </c>
      <c r="E19" s="10" t="str">
        <f t="shared" si="6"/>
        <v/>
      </c>
      <c r="F19" s="11" t="str">
        <f t="shared" si="7"/>
        <v/>
      </c>
    </row>
    <row r="20" spans="1:6" x14ac:dyDescent="0.35">
      <c r="A20" s="9">
        <f>'Student Basic Info'!A20</f>
        <v>519</v>
      </c>
      <c r="B20" s="5">
        <v>37</v>
      </c>
      <c r="C20" s="8">
        <f t="shared" si="4"/>
        <v>37</v>
      </c>
      <c r="D20" s="9" t="str">
        <f t="shared" si="5"/>
        <v>Pass</v>
      </c>
      <c r="E20" s="10" t="str">
        <f t="shared" si="6"/>
        <v>D</v>
      </c>
      <c r="F20" s="11">
        <f t="shared" si="7"/>
        <v>1</v>
      </c>
    </row>
    <row r="21" spans="1:6" x14ac:dyDescent="0.35">
      <c r="A21" s="9">
        <f>'Student Basic Info'!A21</f>
        <v>520</v>
      </c>
      <c r="B21" s="5">
        <v>16</v>
      </c>
      <c r="C21" s="8">
        <f t="shared" si="4"/>
        <v>16</v>
      </c>
      <c r="D21" s="9" t="str">
        <f t="shared" si="5"/>
        <v>Fail</v>
      </c>
      <c r="E21" s="10" t="str">
        <f t="shared" si="6"/>
        <v>F</v>
      </c>
      <c r="F21" s="11">
        <f t="shared" si="7"/>
        <v>0</v>
      </c>
    </row>
    <row r="22" spans="1:6" x14ac:dyDescent="0.35">
      <c r="A22" s="9">
        <f>'Student Basic Info'!A22</f>
        <v>521</v>
      </c>
      <c r="B22" s="5"/>
      <c r="C22" s="8" t="str">
        <f t="shared" si="4"/>
        <v/>
      </c>
      <c r="D22" s="9" t="str">
        <f t="shared" si="5"/>
        <v/>
      </c>
      <c r="E22" s="10" t="str">
        <f t="shared" si="6"/>
        <v/>
      </c>
      <c r="F22" s="11" t="str">
        <f t="shared" si="7"/>
        <v/>
      </c>
    </row>
    <row r="23" spans="1:6" x14ac:dyDescent="0.35">
      <c r="A23" s="9">
        <f>'Student Basic Info'!A23</f>
        <v>522</v>
      </c>
      <c r="B23" s="5">
        <v>54</v>
      </c>
      <c r="C23" s="8">
        <f t="shared" si="4"/>
        <v>54</v>
      </c>
      <c r="D23" s="9" t="str">
        <f t="shared" si="5"/>
        <v>Pass</v>
      </c>
      <c r="E23" s="10" t="str">
        <f t="shared" si="6"/>
        <v>B</v>
      </c>
      <c r="F23" s="11">
        <f t="shared" si="7"/>
        <v>3</v>
      </c>
    </row>
    <row r="24" spans="1:6" x14ac:dyDescent="0.35">
      <c r="A24" s="9">
        <f>'Student Basic Info'!A24</f>
        <v>523</v>
      </c>
      <c r="B24" s="5">
        <v>39</v>
      </c>
      <c r="C24" s="8">
        <f t="shared" si="4"/>
        <v>39</v>
      </c>
      <c r="D24" s="9" t="str">
        <f t="shared" si="5"/>
        <v>Pass</v>
      </c>
      <c r="E24" s="10" t="str">
        <f t="shared" si="6"/>
        <v>D</v>
      </c>
      <c r="F24" s="11">
        <f t="shared" si="7"/>
        <v>1</v>
      </c>
    </row>
    <row r="25" spans="1:6" x14ac:dyDescent="0.35">
      <c r="A25" s="9">
        <f>'Student Basic Info'!A25</f>
        <v>524</v>
      </c>
      <c r="B25" s="5">
        <v>38</v>
      </c>
      <c r="C25" s="8">
        <f t="shared" si="4"/>
        <v>38</v>
      </c>
      <c r="D25" s="9" t="str">
        <f t="shared" si="5"/>
        <v>Pass</v>
      </c>
      <c r="E25" s="10" t="str">
        <f t="shared" si="6"/>
        <v>D</v>
      </c>
      <c r="F25" s="11">
        <f t="shared" si="7"/>
        <v>1</v>
      </c>
    </row>
    <row r="26" spans="1:6" x14ac:dyDescent="0.35">
      <c r="A26" s="9">
        <f>'Student Basic Info'!A26</f>
        <v>525</v>
      </c>
      <c r="B26" s="5"/>
      <c r="C26" s="8" t="str">
        <f t="shared" si="4"/>
        <v/>
      </c>
      <c r="D26" s="9" t="str">
        <f t="shared" si="5"/>
        <v/>
      </c>
      <c r="E26" s="10" t="str">
        <f t="shared" si="6"/>
        <v/>
      </c>
      <c r="F26" s="11" t="str">
        <f t="shared" si="7"/>
        <v/>
      </c>
    </row>
    <row r="27" spans="1:6" x14ac:dyDescent="0.35">
      <c r="A27" s="9">
        <f>'Student Basic Info'!A27</f>
        <v>526</v>
      </c>
      <c r="B27" s="5">
        <v>34</v>
      </c>
      <c r="C27" s="8">
        <f t="shared" si="4"/>
        <v>34</v>
      </c>
      <c r="D27" s="9" t="str">
        <f t="shared" si="5"/>
        <v>Pass</v>
      </c>
      <c r="E27" s="10" t="str">
        <f t="shared" si="6"/>
        <v>D</v>
      </c>
      <c r="F27" s="11">
        <f t="shared" si="7"/>
        <v>1</v>
      </c>
    </row>
    <row r="28" spans="1:6" x14ac:dyDescent="0.35">
      <c r="A28" s="9">
        <f>'Student Basic Info'!A28</f>
        <v>527</v>
      </c>
      <c r="B28" s="5"/>
      <c r="C28" s="8" t="str">
        <f t="shared" si="4"/>
        <v/>
      </c>
      <c r="D28" s="9" t="str">
        <f t="shared" si="5"/>
        <v/>
      </c>
      <c r="E28" s="10" t="str">
        <f t="shared" si="6"/>
        <v/>
      </c>
      <c r="F28" s="11" t="str">
        <f t="shared" si="7"/>
        <v/>
      </c>
    </row>
    <row r="29" spans="1:6" x14ac:dyDescent="0.35">
      <c r="A29" s="9">
        <f>'Student Basic Info'!A29</f>
        <v>528</v>
      </c>
      <c r="B29" s="5">
        <v>42</v>
      </c>
      <c r="C29" s="8">
        <f t="shared" si="4"/>
        <v>42</v>
      </c>
      <c r="D29" s="9" t="str">
        <f t="shared" si="5"/>
        <v>Pass</v>
      </c>
      <c r="E29" s="10" t="str">
        <f t="shared" si="6"/>
        <v>C</v>
      </c>
      <c r="F29" s="11">
        <f t="shared" si="7"/>
        <v>2</v>
      </c>
    </row>
    <row r="30" spans="1:6" x14ac:dyDescent="0.35">
      <c r="A30" s="9">
        <f>'Student Basic Info'!A30</f>
        <v>529</v>
      </c>
      <c r="B30" s="5">
        <v>14</v>
      </c>
      <c r="C30" s="8">
        <f t="shared" si="4"/>
        <v>14</v>
      </c>
      <c r="D30" s="9" t="str">
        <f t="shared" si="5"/>
        <v>Fail</v>
      </c>
      <c r="E30" s="10" t="str">
        <f t="shared" si="6"/>
        <v>F</v>
      </c>
      <c r="F30" s="11">
        <f t="shared" si="7"/>
        <v>0</v>
      </c>
    </row>
    <row r="31" spans="1:6" x14ac:dyDescent="0.35">
      <c r="A31" s="9">
        <f>'Student Basic Info'!A31</f>
        <v>530</v>
      </c>
      <c r="B31" s="5"/>
      <c r="C31" s="8" t="str">
        <f t="shared" si="4"/>
        <v/>
      </c>
      <c r="D31" s="9" t="str">
        <f t="shared" si="5"/>
        <v/>
      </c>
      <c r="E31" s="10" t="str">
        <f t="shared" si="6"/>
        <v/>
      </c>
      <c r="F31" s="11" t="str">
        <f t="shared" si="7"/>
        <v/>
      </c>
    </row>
    <row r="32" spans="1:6" x14ac:dyDescent="0.35">
      <c r="A32" s="9">
        <f>'Student Basic Info'!A32</f>
        <v>531</v>
      </c>
      <c r="B32" s="5">
        <v>17</v>
      </c>
      <c r="C32" s="8">
        <f t="shared" si="4"/>
        <v>17</v>
      </c>
      <c r="D32" s="9" t="str">
        <f t="shared" si="5"/>
        <v>Fail</v>
      </c>
      <c r="E32" s="10" t="str">
        <f t="shared" si="6"/>
        <v>F</v>
      </c>
      <c r="F32" s="11">
        <f t="shared" si="7"/>
        <v>0</v>
      </c>
    </row>
    <row r="33" spans="1:6" x14ac:dyDescent="0.35">
      <c r="A33" s="9">
        <f>'Student Basic Info'!A33</f>
        <v>532</v>
      </c>
      <c r="B33" s="5"/>
      <c r="C33" s="8" t="str">
        <f t="shared" si="4"/>
        <v/>
      </c>
      <c r="D33" s="9" t="str">
        <f t="shared" si="5"/>
        <v/>
      </c>
      <c r="E33" s="10" t="str">
        <f t="shared" si="6"/>
        <v/>
      </c>
      <c r="F33" s="11" t="str">
        <f t="shared" si="7"/>
        <v/>
      </c>
    </row>
    <row r="34" spans="1:6" x14ac:dyDescent="0.35">
      <c r="A34" s="9">
        <f>'Student Basic Info'!A34</f>
        <v>533</v>
      </c>
      <c r="B34" s="5"/>
      <c r="C34" s="8" t="str">
        <f t="shared" si="4"/>
        <v/>
      </c>
      <c r="D34" s="9" t="str">
        <f t="shared" si="5"/>
        <v/>
      </c>
      <c r="E34" s="10" t="str">
        <f t="shared" si="6"/>
        <v/>
      </c>
      <c r="F34" s="11" t="str">
        <f t="shared" si="7"/>
        <v/>
      </c>
    </row>
    <row r="35" spans="1:6" x14ac:dyDescent="0.35">
      <c r="A35" s="9">
        <f>'Student Basic Info'!A35</f>
        <v>534</v>
      </c>
      <c r="B35" s="5"/>
      <c r="C35" s="8" t="str">
        <f t="shared" si="4"/>
        <v/>
      </c>
      <c r="D35" s="9" t="str">
        <f t="shared" si="5"/>
        <v/>
      </c>
      <c r="E35" s="10" t="str">
        <f t="shared" si="6"/>
        <v/>
      </c>
      <c r="F35" s="11" t="str">
        <f t="shared" si="7"/>
        <v/>
      </c>
    </row>
    <row r="36" spans="1:6" x14ac:dyDescent="0.35">
      <c r="A36" s="9">
        <f>'Student Basic Info'!A36</f>
        <v>535</v>
      </c>
      <c r="B36" s="5"/>
      <c r="C36" s="8" t="str">
        <f t="shared" si="4"/>
        <v/>
      </c>
      <c r="D36" s="9" t="str">
        <f t="shared" si="5"/>
        <v/>
      </c>
      <c r="E36" s="10" t="str">
        <f t="shared" si="6"/>
        <v/>
      </c>
      <c r="F36" s="11" t="str">
        <f t="shared" si="7"/>
        <v/>
      </c>
    </row>
    <row r="37" spans="1:6" x14ac:dyDescent="0.35">
      <c r="A37" s="9">
        <f>'Student Basic Info'!A37</f>
        <v>536</v>
      </c>
      <c r="B37" s="5">
        <v>24</v>
      </c>
      <c r="C37" s="8">
        <f t="shared" si="4"/>
        <v>24</v>
      </c>
      <c r="D37" s="9" t="str">
        <f t="shared" si="5"/>
        <v>Fail</v>
      </c>
      <c r="E37" s="10" t="str">
        <f t="shared" si="6"/>
        <v>F</v>
      </c>
      <c r="F37" s="11">
        <f t="shared" si="7"/>
        <v>0</v>
      </c>
    </row>
    <row r="38" spans="1:6" x14ac:dyDescent="0.35">
      <c r="A38" s="9">
        <f>'Student Basic Info'!A38</f>
        <v>537</v>
      </c>
      <c r="B38" s="5">
        <v>21</v>
      </c>
      <c r="C38" s="8">
        <f t="shared" si="4"/>
        <v>21</v>
      </c>
      <c r="D38" s="9" t="str">
        <f t="shared" si="5"/>
        <v>Fail</v>
      </c>
      <c r="E38" s="10" t="str">
        <f t="shared" si="6"/>
        <v>F</v>
      </c>
      <c r="F38" s="11">
        <f t="shared" si="7"/>
        <v>0</v>
      </c>
    </row>
    <row r="39" spans="1:6" x14ac:dyDescent="0.35">
      <c r="A39" s="9">
        <f>'Student Basic Info'!A39</f>
        <v>538</v>
      </c>
      <c r="B39" s="5">
        <v>10</v>
      </c>
      <c r="C39" s="8">
        <f t="shared" si="4"/>
        <v>10</v>
      </c>
      <c r="D39" s="9" t="str">
        <f t="shared" si="5"/>
        <v>Fail</v>
      </c>
      <c r="E39" s="10" t="str">
        <f t="shared" si="6"/>
        <v>F</v>
      </c>
      <c r="F39" s="11">
        <f t="shared" si="7"/>
        <v>0</v>
      </c>
    </row>
    <row r="40" spans="1:6" x14ac:dyDescent="0.35">
      <c r="A40" s="9">
        <f>'Student Basic Info'!A40</f>
        <v>539</v>
      </c>
      <c r="B40" s="5">
        <v>15</v>
      </c>
      <c r="C40" s="8">
        <f t="shared" si="4"/>
        <v>15</v>
      </c>
      <c r="D40" s="9" t="str">
        <f t="shared" si="5"/>
        <v>Fail</v>
      </c>
      <c r="E40" s="10" t="str">
        <f t="shared" si="6"/>
        <v>F</v>
      </c>
      <c r="F40" s="11">
        <f t="shared" si="7"/>
        <v>0</v>
      </c>
    </row>
    <row r="41" spans="1:6" x14ac:dyDescent="0.35">
      <c r="A41" s="9">
        <f>'Student Basic Info'!A41</f>
        <v>540</v>
      </c>
      <c r="B41" s="5">
        <v>10</v>
      </c>
      <c r="C41" s="8">
        <f t="shared" si="4"/>
        <v>10</v>
      </c>
      <c r="D41" s="9" t="str">
        <f t="shared" si="5"/>
        <v>Fail</v>
      </c>
      <c r="E41" s="10" t="str">
        <f t="shared" si="6"/>
        <v>F</v>
      </c>
      <c r="F41" s="11">
        <f t="shared" si="7"/>
        <v>0</v>
      </c>
    </row>
    <row r="42" spans="1:6" x14ac:dyDescent="0.35">
      <c r="A42" s="9">
        <f>'Student Basic Info'!A42</f>
        <v>541</v>
      </c>
      <c r="B42" s="5"/>
      <c r="C42" s="8" t="str">
        <f t="shared" si="4"/>
        <v/>
      </c>
      <c r="D42" s="9" t="str">
        <f t="shared" si="5"/>
        <v/>
      </c>
      <c r="E42" s="10" t="str">
        <f t="shared" si="6"/>
        <v/>
      </c>
      <c r="F42" s="11" t="str">
        <f t="shared" si="7"/>
        <v/>
      </c>
    </row>
    <row r="43" spans="1:6" x14ac:dyDescent="0.35">
      <c r="A43" s="9">
        <f>'Student Basic Info'!A43</f>
        <v>542</v>
      </c>
      <c r="B43" s="5">
        <v>25</v>
      </c>
      <c r="C43" s="8">
        <f t="shared" si="4"/>
        <v>25</v>
      </c>
      <c r="D43" s="9" t="str">
        <f t="shared" si="5"/>
        <v>Fail</v>
      </c>
      <c r="E43" s="10" t="str">
        <f t="shared" si="6"/>
        <v>F</v>
      </c>
      <c r="F43" s="11">
        <f t="shared" si="7"/>
        <v>0</v>
      </c>
    </row>
    <row r="44" spans="1:6" x14ac:dyDescent="0.35">
      <c r="A44" s="9">
        <f>'Student Basic Info'!A44</f>
        <v>543</v>
      </c>
      <c r="B44" s="5">
        <v>6</v>
      </c>
      <c r="C44" s="8">
        <f t="shared" si="4"/>
        <v>6</v>
      </c>
      <c r="D44" s="9" t="str">
        <f t="shared" si="5"/>
        <v>Fail</v>
      </c>
      <c r="E44" s="10" t="str">
        <f t="shared" si="6"/>
        <v>F</v>
      </c>
      <c r="F44" s="11">
        <f t="shared" si="7"/>
        <v>0</v>
      </c>
    </row>
    <row r="45" spans="1:6" x14ac:dyDescent="0.35">
      <c r="A45" s="9">
        <f>'Student Basic Info'!A45</f>
        <v>544</v>
      </c>
      <c r="B45" s="5">
        <v>28</v>
      </c>
      <c r="C45" s="8">
        <f t="shared" si="4"/>
        <v>28</v>
      </c>
      <c r="D45" s="9" t="str">
        <f t="shared" si="5"/>
        <v>Fail</v>
      </c>
      <c r="E45" s="10" t="str">
        <f t="shared" si="6"/>
        <v>F</v>
      </c>
      <c r="F45" s="11">
        <f t="shared" si="7"/>
        <v>0</v>
      </c>
    </row>
    <row r="46" spans="1:6" x14ac:dyDescent="0.35">
      <c r="A46" s="9">
        <f>'Student Basic Info'!A46</f>
        <v>545</v>
      </c>
      <c r="B46" s="5"/>
      <c r="C46" s="8" t="str">
        <f t="shared" si="4"/>
        <v/>
      </c>
      <c r="D46" s="9" t="str">
        <f t="shared" si="5"/>
        <v/>
      </c>
      <c r="E46" s="10" t="str">
        <f t="shared" si="6"/>
        <v/>
      </c>
      <c r="F46" s="11" t="str">
        <f t="shared" si="7"/>
        <v/>
      </c>
    </row>
    <row r="47" spans="1:6" x14ac:dyDescent="0.35">
      <c r="A47" s="9">
        <f>'Student Basic Info'!A47</f>
        <v>546</v>
      </c>
      <c r="B47" s="5">
        <v>28</v>
      </c>
      <c r="C47" s="8">
        <f t="shared" si="4"/>
        <v>28</v>
      </c>
      <c r="D47" s="9" t="str">
        <f t="shared" si="5"/>
        <v>Fail</v>
      </c>
      <c r="E47" s="10" t="str">
        <f t="shared" si="6"/>
        <v>F</v>
      </c>
      <c r="F47" s="11">
        <f t="shared" si="7"/>
        <v>0</v>
      </c>
    </row>
    <row r="48" spans="1:6" x14ac:dyDescent="0.35">
      <c r="A48" s="9">
        <f>'Student Basic Info'!A48</f>
        <v>547</v>
      </c>
      <c r="B48" s="5"/>
      <c r="C48" s="8" t="str">
        <f t="shared" si="4"/>
        <v/>
      </c>
      <c r="D48" s="9" t="str">
        <f t="shared" si="5"/>
        <v/>
      </c>
      <c r="E48" s="10" t="str">
        <f t="shared" si="6"/>
        <v/>
      </c>
      <c r="F48" s="11" t="str">
        <f t="shared" si="7"/>
        <v/>
      </c>
    </row>
    <row r="49" spans="1:6" x14ac:dyDescent="0.35">
      <c r="A49" s="9">
        <f>'Student Basic Info'!A49</f>
        <v>548</v>
      </c>
      <c r="B49" s="5"/>
      <c r="C49" s="8" t="str">
        <f t="shared" si="4"/>
        <v/>
      </c>
      <c r="D49" s="9" t="str">
        <f t="shared" si="5"/>
        <v/>
      </c>
      <c r="E49" s="10" t="str">
        <f t="shared" si="6"/>
        <v/>
      </c>
      <c r="F49" s="11" t="str">
        <f t="shared" si="7"/>
        <v/>
      </c>
    </row>
    <row r="50" spans="1:6" x14ac:dyDescent="0.35">
      <c r="A50" s="9">
        <f>'Student Basic Info'!A50</f>
        <v>549</v>
      </c>
      <c r="B50" s="5">
        <v>7</v>
      </c>
      <c r="C50" s="8">
        <f t="shared" si="4"/>
        <v>7</v>
      </c>
      <c r="D50" s="9" t="str">
        <f t="shared" si="5"/>
        <v>Fail</v>
      </c>
      <c r="E50" s="10" t="str">
        <f t="shared" si="6"/>
        <v>F</v>
      </c>
      <c r="F50" s="11">
        <f t="shared" si="7"/>
        <v>0</v>
      </c>
    </row>
    <row r="51" spans="1:6" x14ac:dyDescent="0.35">
      <c r="A51" s="9">
        <f>'Student Basic Info'!A51</f>
        <v>550</v>
      </c>
      <c r="B51" s="5"/>
      <c r="C51" s="8" t="str">
        <f t="shared" si="4"/>
        <v/>
      </c>
      <c r="D51" s="9" t="str">
        <f t="shared" si="5"/>
        <v/>
      </c>
      <c r="E51" s="10" t="str">
        <f t="shared" si="6"/>
        <v/>
      </c>
      <c r="F51" s="11" t="str">
        <f t="shared" si="7"/>
        <v/>
      </c>
    </row>
    <row r="52" spans="1:6" x14ac:dyDescent="0.35">
      <c r="A52" s="9">
        <f>'Student Basic Info'!A52</f>
        <v>551</v>
      </c>
      <c r="B52" s="5"/>
      <c r="C52" s="8" t="str">
        <f t="shared" si="4"/>
        <v/>
      </c>
      <c r="D52" s="9" t="str">
        <f t="shared" si="5"/>
        <v/>
      </c>
      <c r="E52" s="10" t="str">
        <f t="shared" si="6"/>
        <v/>
      </c>
      <c r="F52" s="11" t="str">
        <f t="shared" si="7"/>
        <v/>
      </c>
    </row>
    <row r="53" spans="1:6" x14ac:dyDescent="0.35">
      <c r="A53" s="9">
        <f>'Student Basic Info'!A53</f>
        <v>552</v>
      </c>
      <c r="B53" s="5">
        <v>16</v>
      </c>
      <c r="C53" s="8">
        <f t="shared" si="4"/>
        <v>16</v>
      </c>
      <c r="D53" s="9" t="str">
        <f t="shared" si="5"/>
        <v>Fail</v>
      </c>
      <c r="E53" s="10" t="str">
        <f t="shared" si="6"/>
        <v>F</v>
      </c>
      <c r="F53" s="11">
        <f t="shared" si="7"/>
        <v>0</v>
      </c>
    </row>
    <row r="54" spans="1:6" x14ac:dyDescent="0.35">
      <c r="A54" s="9">
        <f>'Student Basic Info'!A54</f>
        <v>553</v>
      </c>
      <c r="B54" s="5"/>
      <c r="C54" s="8" t="str">
        <f t="shared" si="4"/>
        <v/>
      </c>
      <c r="D54" s="9" t="str">
        <f t="shared" si="5"/>
        <v/>
      </c>
      <c r="E54" s="10" t="str">
        <f t="shared" si="6"/>
        <v/>
      </c>
      <c r="F54" s="11" t="str">
        <f t="shared" si="7"/>
        <v/>
      </c>
    </row>
    <row r="55" spans="1:6" x14ac:dyDescent="0.35">
      <c r="A55" s="9">
        <f>'Student Basic Info'!A55</f>
        <v>554</v>
      </c>
      <c r="B55" s="5">
        <v>12</v>
      </c>
      <c r="C55" s="8">
        <f t="shared" si="4"/>
        <v>12</v>
      </c>
      <c r="D55" s="9" t="str">
        <f t="shared" si="5"/>
        <v>Fail</v>
      </c>
      <c r="E55" s="10" t="str">
        <f t="shared" si="6"/>
        <v>F</v>
      </c>
      <c r="F55" s="11">
        <f t="shared" si="7"/>
        <v>0</v>
      </c>
    </row>
    <row r="56" spans="1:6" x14ac:dyDescent="0.35">
      <c r="A56" s="9">
        <f>'Student Basic Info'!A56</f>
        <v>555</v>
      </c>
      <c r="B56" s="5">
        <v>28</v>
      </c>
      <c r="C56" s="8">
        <f t="shared" si="4"/>
        <v>28</v>
      </c>
      <c r="D56" s="9" t="str">
        <f t="shared" si="5"/>
        <v>Fail</v>
      </c>
      <c r="E56" s="10" t="str">
        <f t="shared" si="6"/>
        <v>F</v>
      </c>
      <c r="F56" s="11">
        <f t="shared" si="7"/>
        <v>0</v>
      </c>
    </row>
    <row r="57" spans="1:6" x14ac:dyDescent="0.35">
      <c r="A57" s="9">
        <f>'Student Basic Info'!A57</f>
        <v>556</v>
      </c>
      <c r="B57" s="5">
        <v>27</v>
      </c>
      <c r="C57" s="8">
        <f t="shared" si="4"/>
        <v>27</v>
      </c>
      <c r="D57" s="9" t="str">
        <f t="shared" si="5"/>
        <v>Fail</v>
      </c>
      <c r="E57" s="10" t="str">
        <f t="shared" si="6"/>
        <v>F</v>
      </c>
      <c r="F57" s="11">
        <f t="shared" si="7"/>
        <v>0</v>
      </c>
    </row>
    <row r="58" spans="1:6" x14ac:dyDescent="0.35">
      <c r="A58" s="9">
        <f>'Student Basic Info'!A58</f>
        <v>557</v>
      </c>
      <c r="B58" s="5">
        <v>33</v>
      </c>
      <c r="C58" s="8">
        <f t="shared" si="4"/>
        <v>33</v>
      </c>
      <c r="D58" s="9" t="str">
        <f t="shared" si="5"/>
        <v>Pass</v>
      </c>
      <c r="E58" s="10" t="str">
        <f t="shared" si="6"/>
        <v>D</v>
      </c>
      <c r="F58" s="11">
        <f t="shared" si="7"/>
        <v>1</v>
      </c>
    </row>
    <row r="59" spans="1:6" x14ac:dyDescent="0.35">
      <c r="A59" s="9">
        <f>'Student Basic Info'!A59</f>
        <v>558</v>
      </c>
      <c r="B59" s="5">
        <v>33</v>
      </c>
      <c r="C59" s="8">
        <f t="shared" si="4"/>
        <v>33</v>
      </c>
      <c r="D59" s="9" t="str">
        <f t="shared" si="5"/>
        <v>Pass</v>
      </c>
      <c r="E59" s="10" t="str">
        <f t="shared" si="6"/>
        <v>D</v>
      </c>
      <c r="F59" s="11">
        <f t="shared" si="7"/>
        <v>1</v>
      </c>
    </row>
    <row r="60" spans="1:6" x14ac:dyDescent="0.35">
      <c r="A60" s="9">
        <f>'Student Basic Info'!A60</f>
        <v>559</v>
      </c>
      <c r="B60" s="5">
        <v>41</v>
      </c>
      <c r="C60" s="8">
        <f t="shared" si="4"/>
        <v>41</v>
      </c>
      <c r="D60" s="9" t="str">
        <f t="shared" si="5"/>
        <v>Pass</v>
      </c>
      <c r="E60" s="10" t="str">
        <f t="shared" si="6"/>
        <v>C</v>
      </c>
      <c r="F60" s="11">
        <f t="shared" si="7"/>
        <v>2</v>
      </c>
    </row>
    <row r="61" spans="1:6" x14ac:dyDescent="0.35">
      <c r="A61" s="9">
        <f>'Student Basic Info'!A61</f>
        <v>560</v>
      </c>
      <c r="B61" s="5">
        <v>16</v>
      </c>
      <c r="C61" s="8">
        <f t="shared" si="4"/>
        <v>16</v>
      </c>
      <c r="D61" s="9" t="str">
        <f t="shared" si="5"/>
        <v>Fail</v>
      </c>
      <c r="E61" s="10" t="str">
        <f t="shared" si="6"/>
        <v>F</v>
      </c>
      <c r="F61" s="11">
        <f t="shared" si="7"/>
        <v>0</v>
      </c>
    </row>
    <row r="62" spans="1:6" x14ac:dyDescent="0.35">
      <c r="A62" s="9">
        <f>'Student Basic Info'!A62</f>
        <v>561</v>
      </c>
      <c r="B62" s="5">
        <v>14</v>
      </c>
      <c r="C62" s="8">
        <f t="shared" si="4"/>
        <v>14</v>
      </c>
      <c r="D62" s="9" t="str">
        <f t="shared" si="5"/>
        <v>Fail</v>
      </c>
      <c r="E62" s="10" t="str">
        <f t="shared" si="6"/>
        <v>F</v>
      </c>
      <c r="F62" s="11">
        <f t="shared" si="7"/>
        <v>0</v>
      </c>
    </row>
    <row r="63" spans="1:6" x14ac:dyDescent="0.35">
      <c r="A63" s="9">
        <f>'Student Basic Info'!A63</f>
        <v>562</v>
      </c>
      <c r="B63" s="5"/>
      <c r="C63" s="8" t="str">
        <f t="shared" si="4"/>
        <v/>
      </c>
      <c r="D63" s="9" t="str">
        <f t="shared" si="5"/>
        <v/>
      </c>
      <c r="E63" s="10" t="str">
        <f t="shared" si="6"/>
        <v/>
      </c>
      <c r="F63" s="11" t="str">
        <f t="shared" si="7"/>
        <v/>
      </c>
    </row>
    <row r="64" spans="1:6" x14ac:dyDescent="0.35">
      <c r="A64" s="9">
        <f>'Student Basic Info'!A64</f>
        <v>563</v>
      </c>
      <c r="B64" s="5"/>
      <c r="C64" s="8" t="str">
        <f t="shared" si="4"/>
        <v/>
      </c>
      <c r="D64" s="9" t="str">
        <f t="shared" si="5"/>
        <v/>
      </c>
      <c r="E64" s="10" t="str">
        <f t="shared" si="6"/>
        <v/>
      </c>
      <c r="F64" s="11" t="str">
        <f t="shared" si="7"/>
        <v/>
      </c>
    </row>
    <row r="65" spans="1:6" x14ac:dyDescent="0.35">
      <c r="A65" s="9">
        <f>'Student Basic Info'!A65</f>
        <v>564</v>
      </c>
      <c r="B65" s="5"/>
      <c r="C65" s="8" t="str">
        <f t="shared" si="4"/>
        <v/>
      </c>
      <c r="D65" s="9" t="str">
        <f t="shared" si="5"/>
        <v/>
      </c>
      <c r="E65" s="10" t="str">
        <f t="shared" si="6"/>
        <v/>
      </c>
      <c r="F65" s="11" t="str">
        <f t="shared" si="7"/>
        <v/>
      </c>
    </row>
    <row r="66" spans="1:6" x14ac:dyDescent="0.35">
      <c r="A66" s="9">
        <f>'Student Basic Info'!A66</f>
        <v>565</v>
      </c>
      <c r="B66" s="101">
        <v>19</v>
      </c>
      <c r="C66" s="8">
        <f t="shared" si="4"/>
        <v>19</v>
      </c>
      <c r="D66" s="9" t="str">
        <f t="shared" si="5"/>
        <v>Fail</v>
      </c>
      <c r="E66" s="10" t="str">
        <f t="shared" si="6"/>
        <v>F</v>
      </c>
      <c r="F66" s="11">
        <f t="shared" si="7"/>
        <v>0</v>
      </c>
    </row>
    <row r="67" spans="1:6" x14ac:dyDescent="0.35">
      <c r="A67" s="9">
        <f>'Student Basic Info'!A67</f>
        <v>566</v>
      </c>
      <c r="B67" s="5"/>
      <c r="C67" s="8" t="str">
        <f t="shared" si="4"/>
        <v/>
      </c>
      <c r="D67" s="9" t="str">
        <f t="shared" si="5"/>
        <v/>
      </c>
      <c r="E67" s="10" t="str">
        <f t="shared" si="6"/>
        <v/>
      </c>
      <c r="F67" s="11" t="str">
        <f t="shared" si="7"/>
        <v/>
      </c>
    </row>
    <row r="68" spans="1:6" x14ac:dyDescent="0.35">
      <c r="A68" s="9">
        <f>'Student Basic Info'!A68</f>
        <v>567</v>
      </c>
      <c r="B68" s="5">
        <v>9</v>
      </c>
      <c r="C68" s="8">
        <f t="shared" si="4"/>
        <v>9</v>
      </c>
      <c r="D68" s="9" t="str">
        <f t="shared" si="5"/>
        <v>Fail</v>
      </c>
      <c r="E68" s="10" t="str">
        <f t="shared" si="6"/>
        <v>F</v>
      </c>
      <c r="F68" s="11">
        <f t="shared" si="7"/>
        <v>0</v>
      </c>
    </row>
    <row r="69" spans="1:6" x14ac:dyDescent="0.35">
      <c r="A69" s="9">
        <f>'Student Basic Info'!A69</f>
        <v>568</v>
      </c>
      <c r="B69" s="5">
        <v>9</v>
      </c>
      <c r="C69" s="8">
        <f t="shared" si="4"/>
        <v>9</v>
      </c>
      <c r="D69" s="9" t="str">
        <f t="shared" si="5"/>
        <v>Fail</v>
      </c>
      <c r="E69" s="10" t="str">
        <f t="shared" si="6"/>
        <v>F</v>
      </c>
      <c r="F69" s="11">
        <f t="shared" si="7"/>
        <v>0</v>
      </c>
    </row>
    <row r="70" spans="1:6" x14ac:dyDescent="0.35">
      <c r="A70" s="9">
        <f>'Student Basic Info'!A70</f>
        <v>569</v>
      </c>
      <c r="B70" s="5"/>
      <c r="C70" s="8" t="str">
        <f t="shared" si="4"/>
        <v/>
      </c>
      <c r="D70" s="9" t="str">
        <f t="shared" si="5"/>
        <v/>
      </c>
      <c r="E70" s="10" t="str">
        <f t="shared" si="6"/>
        <v/>
      </c>
      <c r="F70" s="11" t="str">
        <f t="shared" si="7"/>
        <v/>
      </c>
    </row>
    <row r="71" spans="1:6" x14ac:dyDescent="0.35">
      <c r="A71" s="9">
        <f>'Student Basic Info'!A71</f>
        <v>570</v>
      </c>
      <c r="B71" s="5"/>
      <c r="C71" s="8" t="str">
        <f t="shared" si="4"/>
        <v/>
      </c>
      <c r="D71" s="9" t="str">
        <f t="shared" si="5"/>
        <v/>
      </c>
      <c r="E71" s="10" t="str">
        <f t="shared" si="6"/>
        <v/>
      </c>
      <c r="F71" s="11" t="str">
        <f t="shared" si="7"/>
        <v/>
      </c>
    </row>
    <row r="72" spans="1:6" x14ac:dyDescent="0.35">
      <c r="A72" s="9">
        <f>'Student Basic Info'!A72</f>
        <v>571</v>
      </c>
      <c r="B72" s="5"/>
      <c r="C72" s="8" t="str">
        <f t="shared" si="4"/>
        <v/>
      </c>
      <c r="D72" s="9" t="str">
        <f t="shared" si="5"/>
        <v/>
      </c>
      <c r="E72" s="10" t="str">
        <f t="shared" si="6"/>
        <v/>
      </c>
      <c r="F72" s="11" t="str">
        <f t="shared" si="7"/>
        <v/>
      </c>
    </row>
    <row r="73" spans="1:6" x14ac:dyDescent="0.35">
      <c r="A73" s="9">
        <f>'Student Basic Info'!A73</f>
        <v>572</v>
      </c>
      <c r="B73" s="5">
        <v>7</v>
      </c>
      <c r="C73" s="8">
        <f t="shared" si="4"/>
        <v>7</v>
      </c>
      <c r="D73" s="9" t="str">
        <f t="shared" si="5"/>
        <v>Fail</v>
      </c>
      <c r="E73" s="10" t="str">
        <f t="shared" si="6"/>
        <v>F</v>
      </c>
      <c r="F73" s="11">
        <f t="shared" si="7"/>
        <v>0</v>
      </c>
    </row>
    <row r="74" spans="1:6" x14ac:dyDescent="0.35">
      <c r="A74" s="9">
        <f>'Student Basic Info'!A74</f>
        <v>573</v>
      </c>
      <c r="B74" s="5">
        <v>9</v>
      </c>
      <c r="C74" s="8">
        <f t="shared" si="4"/>
        <v>9</v>
      </c>
      <c r="D74" s="9" t="str">
        <f t="shared" si="5"/>
        <v>Fail</v>
      </c>
      <c r="E74" s="10" t="str">
        <f t="shared" si="6"/>
        <v>F</v>
      </c>
      <c r="F74" s="11">
        <f t="shared" si="7"/>
        <v>0</v>
      </c>
    </row>
    <row r="75" spans="1:6" x14ac:dyDescent="0.35">
      <c r="A75" s="9">
        <f>'Student Basic Info'!A75</f>
        <v>574</v>
      </c>
      <c r="B75" s="5"/>
      <c r="C75" s="8" t="str">
        <f t="shared" si="4"/>
        <v/>
      </c>
      <c r="D75" s="9" t="str">
        <f t="shared" si="5"/>
        <v/>
      </c>
      <c r="E75" s="10" t="str">
        <f t="shared" si="6"/>
        <v/>
      </c>
      <c r="F75" s="11" t="str">
        <f t="shared" si="7"/>
        <v/>
      </c>
    </row>
    <row r="76" spans="1:6" x14ac:dyDescent="0.35">
      <c r="A76" s="9">
        <f>'Student Basic Info'!A76</f>
        <v>575</v>
      </c>
      <c r="B76" s="5"/>
      <c r="C76" s="8" t="str">
        <f t="shared" si="4"/>
        <v/>
      </c>
      <c r="D76" s="9" t="str">
        <f t="shared" si="5"/>
        <v/>
      </c>
      <c r="E76" s="10" t="str">
        <f t="shared" si="6"/>
        <v/>
      </c>
      <c r="F76" s="11" t="str">
        <f t="shared" si="7"/>
        <v/>
      </c>
    </row>
    <row r="77" spans="1:6" x14ac:dyDescent="0.35">
      <c r="A77" s="9">
        <f>'Student Basic Info'!A77</f>
        <v>576</v>
      </c>
      <c r="B77" s="5"/>
      <c r="C77" s="8" t="str">
        <f t="shared" si="4"/>
        <v/>
      </c>
      <c r="D77" s="9" t="str">
        <f t="shared" si="5"/>
        <v/>
      </c>
      <c r="E77" s="10" t="str">
        <f t="shared" si="6"/>
        <v/>
      </c>
      <c r="F77" s="11" t="str">
        <f t="shared" si="7"/>
        <v/>
      </c>
    </row>
    <row r="78" spans="1:6" x14ac:dyDescent="0.35">
      <c r="A78" s="9">
        <f>'Student Basic Info'!A78</f>
        <v>577</v>
      </c>
      <c r="B78" s="5">
        <v>12</v>
      </c>
      <c r="C78" s="8">
        <f t="shared" si="4"/>
        <v>12</v>
      </c>
      <c r="D78" s="9" t="str">
        <f t="shared" si="5"/>
        <v>Fail</v>
      </c>
      <c r="E78" s="10" t="str">
        <f t="shared" si="6"/>
        <v>F</v>
      </c>
      <c r="F78" s="11">
        <f t="shared" si="7"/>
        <v>0</v>
      </c>
    </row>
    <row r="79" spans="1:6" x14ac:dyDescent="0.35">
      <c r="A79" s="9">
        <f>'Student Basic Info'!A79</f>
        <v>578</v>
      </c>
      <c r="B79" s="5"/>
      <c r="C79" s="8" t="str">
        <f t="shared" si="4"/>
        <v/>
      </c>
      <c r="D79" s="9" t="str">
        <f t="shared" si="5"/>
        <v/>
      </c>
      <c r="E79" s="10" t="str">
        <f t="shared" si="6"/>
        <v/>
      </c>
      <c r="F79" s="11" t="str">
        <f t="shared" si="7"/>
        <v/>
      </c>
    </row>
    <row r="80" spans="1:6" x14ac:dyDescent="0.35">
      <c r="A80" s="9">
        <f>'Student Basic Info'!A80</f>
        <v>579</v>
      </c>
      <c r="B80" s="5"/>
      <c r="C80" s="8" t="str">
        <f t="shared" si="4"/>
        <v/>
      </c>
      <c r="D80" s="9" t="str">
        <f t="shared" si="5"/>
        <v/>
      </c>
      <c r="E80" s="10" t="str">
        <f t="shared" si="6"/>
        <v/>
      </c>
      <c r="F80" s="11" t="str">
        <f t="shared" si="7"/>
        <v/>
      </c>
    </row>
    <row r="81" spans="1:6" x14ac:dyDescent="0.35">
      <c r="A81" s="9">
        <f>'Student Basic Info'!A81</f>
        <v>580</v>
      </c>
      <c r="B81" s="5"/>
      <c r="C81" s="8" t="str">
        <f t="shared" si="4"/>
        <v/>
      </c>
      <c r="D81" s="9" t="str">
        <f t="shared" si="5"/>
        <v/>
      </c>
      <c r="E81" s="10" t="str">
        <f t="shared" si="6"/>
        <v/>
      </c>
      <c r="F81" s="11" t="str">
        <f t="shared" si="7"/>
        <v/>
      </c>
    </row>
    <row r="82" spans="1:6" x14ac:dyDescent="0.35">
      <c r="A82" s="9">
        <f>'Student Basic Info'!A82</f>
        <v>581</v>
      </c>
      <c r="B82" s="5">
        <v>3</v>
      </c>
      <c r="C82" s="8">
        <f t="shared" ref="C82:C148" si="8">IF(B82=0, "",B82)</f>
        <v>3</v>
      </c>
      <c r="D82" s="9" t="str">
        <f t="shared" ref="D82:D148" si="9">IF(C82="","", IF(C82&gt;=33,"Pass","Fail"))</f>
        <v>Fail</v>
      </c>
      <c r="E82" s="10" t="str">
        <f t="shared" ref="E82:E148" si="10">(IF(C82="","",IF(D82="Fail","F",IF(C82&gt;=80,"A+",IF(C82&gt;=70,"A",IF(C82&gt;=60,"A-",IF(C82&gt;=50,"B",IF(C82&gt;=40,"C",IF(C82&gt;=33,"D","F")))))))))</f>
        <v>F</v>
      </c>
      <c r="F82" s="11">
        <f t="shared" ref="F82:F148" si="11">(IF(C82="","",IF(E82="F",0,IF(C82&gt;=80,5,IF(C82&gt;=70,4,IF(C82&gt;=60,3.5,IF(C82&gt;=50,3,IF(C82&gt;=40,2,IF(C82&gt;=33,1,0)))))))))</f>
        <v>0</v>
      </c>
    </row>
    <row r="83" spans="1:6" x14ac:dyDescent="0.35">
      <c r="A83" s="9">
        <f>'Student Basic Info'!A83</f>
        <v>582</v>
      </c>
      <c r="B83" s="5"/>
      <c r="C83" s="8" t="str">
        <f t="shared" si="8"/>
        <v/>
      </c>
      <c r="D83" s="9" t="str">
        <f t="shared" si="9"/>
        <v/>
      </c>
      <c r="E83" s="10" t="str">
        <f t="shared" si="10"/>
        <v/>
      </c>
      <c r="F83" s="11" t="str">
        <f t="shared" si="11"/>
        <v/>
      </c>
    </row>
    <row r="84" spans="1:6" x14ac:dyDescent="0.35">
      <c r="A84" s="9">
        <f>'Student Basic Info'!A84</f>
        <v>583</v>
      </c>
      <c r="B84" s="5"/>
      <c r="C84" s="8" t="str">
        <f t="shared" si="8"/>
        <v/>
      </c>
      <c r="D84" s="9" t="str">
        <f t="shared" si="9"/>
        <v/>
      </c>
      <c r="E84" s="10" t="str">
        <f t="shared" si="10"/>
        <v/>
      </c>
      <c r="F84" s="11" t="str">
        <f t="shared" si="11"/>
        <v/>
      </c>
    </row>
    <row r="85" spans="1:6" x14ac:dyDescent="0.35">
      <c r="A85" s="9">
        <f>'Student Basic Info'!A85</f>
        <v>584</v>
      </c>
      <c r="B85" s="5">
        <v>5</v>
      </c>
      <c r="C85" s="8">
        <f t="shared" si="8"/>
        <v>5</v>
      </c>
      <c r="D85" s="9" t="str">
        <f t="shared" si="9"/>
        <v>Fail</v>
      </c>
      <c r="E85" s="10" t="str">
        <f t="shared" si="10"/>
        <v>F</v>
      </c>
      <c r="F85" s="11">
        <f t="shared" si="11"/>
        <v>0</v>
      </c>
    </row>
    <row r="86" spans="1:6" x14ac:dyDescent="0.35">
      <c r="A86" s="9">
        <f>'Student Basic Info'!A86</f>
        <v>585</v>
      </c>
      <c r="B86" s="5">
        <v>22</v>
      </c>
      <c r="C86" s="8">
        <f t="shared" si="8"/>
        <v>22</v>
      </c>
      <c r="D86" s="9" t="str">
        <f t="shared" si="9"/>
        <v>Fail</v>
      </c>
      <c r="E86" s="10" t="str">
        <f t="shared" si="10"/>
        <v>F</v>
      </c>
      <c r="F86" s="11">
        <f t="shared" si="11"/>
        <v>0</v>
      </c>
    </row>
    <row r="87" spans="1:6" x14ac:dyDescent="0.35">
      <c r="A87" s="9">
        <f>'Student Basic Info'!A87</f>
        <v>586</v>
      </c>
      <c r="B87" s="5">
        <v>24</v>
      </c>
      <c r="C87" s="8">
        <f t="shared" si="8"/>
        <v>24</v>
      </c>
      <c r="D87" s="9" t="str">
        <f t="shared" si="9"/>
        <v>Fail</v>
      </c>
      <c r="E87" s="10" t="str">
        <f t="shared" si="10"/>
        <v>F</v>
      </c>
      <c r="F87" s="11">
        <f t="shared" si="11"/>
        <v>0</v>
      </c>
    </row>
    <row r="88" spans="1:6" x14ac:dyDescent="0.35">
      <c r="A88" s="9">
        <f>'Student Basic Info'!A88</f>
        <v>587</v>
      </c>
      <c r="B88" s="5">
        <v>21</v>
      </c>
      <c r="C88" s="8">
        <f t="shared" si="8"/>
        <v>21</v>
      </c>
      <c r="D88" s="9" t="str">
        <f t="shared" si="9"/>
        <v>Fail</v>
      </c>
      <c r="E88" s="10" t="str">
        <f t="shared" si="10"/>
        <v>F</v>
      </c>
      <c r="F88" s="11">
        <f t="shared" si="11"/>
        <v>0</v>
      </c>
    </row>
    <row r="89" spans="1:6" x14ac:dyDescent="0.35">
      <c r="A89" s="9">
        <f>'Student Basic Info'!A89</f>
        <v>588</v>
      </c>
      <c r="B89" s="3">
        <v>23</v>
      </c>
      <c r="C89" s="8">
        <f t="shared" si="8"/>
        <v>23</v>
      </c>
      <c r="D89" s="9" t="str">
        <f t="shared" si="9"/>
        <v>Fail</v>
      </c>
      <c r="E89" s="10" t="str">
        <f t="shared" si="10"/>
        <v>F</v>
      </c>
      <c r="F89" s="11">
        <f t="shared" si="11"/>
        <v>0</v>
      </c>
    </row>
    <row r="90" spans="1:6" x14ac:dyDescent="0.35">
      <c r="A90" s="9">
        <f>'Student Basic Info'!A90</f>
        <v>589</v>
      </c>
      <c r="B90" s="3"/>
      <c r="C90" s="8" t="str">
        <f t="shared" si="8"/>
        <v/>
      </c>
      <c r="D90" s="9" t="str">
        <f t="shared" si="9"/>
        <v/>
      </c>
      <c r="E90" s="10" t="str">
        <f t="shared" si="10"/>
        <v/>
      </c>
      <c r="F90" s="11" t="str">
        <f t="shared" si="11"/>
        <v/>
      </c>
    </row>
    <row r="91" spans="1:6" x14ac:dyDescent="0.35">
      <c r="A91" s="9">
        <f>'Student Basic Info'!A91</f>
        <v>590</v>
      </c>
      <c r="B91" s="3"/>
      <c r="C91" s="8" t="str">
        <f t="shared" si="8"/>
        <v/>
      </c>
      <c r="D91" s="9" t="str">
        <f t="shared" si="9"/>
        <v/>
      </c>
      <c r="E91" s="10" t="str">
        <f t="shared" si="10"/>
        <v/>
      </c>
      <c r="F91" s="11" t="str">
        <f t="shared" si="11"/>
        <v/>
      </c>
    </row>
    <row r="92" spans="1:6" x14ac:dyDescent="0.35">
      <c r="A92" s="9">
        <f>'Student Basic Info'!A92</f>
        <v>591</v>
      </c>
      <c r="B92" s="3">
        <v>33</v>
      </c>
      <c r="C92" s="8">
        <f t="shared" si="8"/>
        <v>33</v>
      </c>
      <c r="D92" s="9" t="str">
        <f t="shared" si="9"/>
        <v>Pass</v>
      </c>
      <c r="E92" s="10" t="str">
        <f t="shared" si="10"/>
        <v>D</v>
      </c>
      <c r="F92" s="11">
        <f t="shared" si="11"/>
        <v>1</v>
      </c>
    </row>
    <row r="93" spans="1:6" x14ac:dyDescent="0.35">
      <c r="A93" s="9">
        <f>'Student Basic Info'!A93</f>
        <v>592</v>
      </c>
      <c r="B93" s="3">
        <v>10</v>
      </c>
      <c r="C93" s="8">
        <f t="shared" si="8"/>
        <v>10</v>
      </c>
      <c r="D93" s="9" t="str">
        <f t="shared" si="9"/>
        <v>Fail</v>
      </c>
      <c r="E93" s="10" t="str">
        <f t="shared" si="10"/>
        <v>F</v>
      </c>
      <c r="F93" s="11">
        <f t="shared" si="11"/>
        <v>0</v>
      </c>
    </row>
    <row r="94" spans="1:6" x14ac:dyDescent="0.35">
      <c r="A94" s="9">
        <f>'Student Basic Info'!A94</f>
        <v>593</v>
      </c>
      <c r="B94" s="3">
        <v>40</v>
      </c>
      <c r="C94" s="8">
        <f t="shared" si="8"/>
        <v>40</v>
      </c>
      <c r="D94" s="9" t="str">
        <f t="shared" si="9"/>
        <v>Pass</v>
      </c>
      <c r="E94" s="10" t="str">
        <f t="shared" si="10"/>
        <v>C</v>
      </c>
      <c r="F94" s="11">
        <f t="shared" si="11"/>
        <v>2</v>
      </c>
    </row>
    <row r="95" spans="1:6" x14ac:dyDescent="0.35">
      <c r="A95" s="9">
        <f>'Student Basic Info'!A95</f>
        <v>594</v>
      </c>
      <c r="B95" s="3"/>
      <c r="C95" s="8" t="str">
        <f t="shared" si="8"/>
        <v/>
      </c>
      <c r="D95" s="9" t="str">
        <f t="shared" si="9"/>
        <v/>
      </c>
      <c r="E95" s="10" t="str">
        <f t="shared" si="10"/>
        <v/>
      </c>
      <c r="F95" s="11" t="str">
        <f t="shared" si="11"/>
        <v/>
      </c>
    </row>
    <row r="96" spans="1:6" x14ac:dyDescent="0.35">
      <c r="A96" s="9">
        <f>'Student Basic Info'!A96</f>
        <v>595</v>
      </c>
      <c r="B96" s="3"/>
      <c r="C96" s="8" t="str">
        <f t="shared" si="8"/>
        <v/>
      </c>
      <c r="D96" s="9" t="str">
        <f t="shared" si="9"/>
        <v/>
      </c>
      <c r="E96" s="10" t="str">
        <f t="shared" si="10"/>
        <v/>
      </c>
      <c r="F96" s="11" t="str">
        <f t="shared" si="11"/>
        <v/>
      </c>
    </row>
    <row r="97" spans="1:6" x14ac:dyDescent="0.35">
      <c r="A97" s="9">
        <f>'Student Basic Info'!A97</f>
        <v>596</v>
      </c>
      <c r="B97" s="3"/>
      <c r="C97" s="8" t="str">
        <f t="shared" si="8"/>
        <v/>
      </c>
      <c r="D97" s="9" t="str">
        <f t="shared" si="9"/>
        <v/>
      </c>
      <c r="E97" s="10" t="str">
        <f t="shared" si="10"/>
        <v/>
      </c>
      <c r="F97" s="11" t="str">
        <f t="shared" si="11"/>
        <v/>
      </c>
    </row>
    <row r="98" spans="1:6" x14ac:dyDescent="0.35">
      <c r="A98" s="9">
        <f>'Student Basic Info'!A98</f>
        <v>597</v>
      </c>
      <c r="B98" s="3"/>
      <c r="C98" s="8" t="str">
        <f t="shared" si="8"/>
        <v/>
      </c>
      <c r="D98" s="9" t="str">
        <f t="shared" si="9"/>
        <v/>
      </c>
      <c r="E98" s="10" t="str">
        <f t="shared" si="10"/>
        <v/>
      </c>
      <c r="F98" s="11" t="str">
        <f t="shared" si="11"/>
        <v/>
      </c>
    </row>
    <row r="99" spans="1:6" x14ac:dyDescent="0.35">
      <c r="A99" s="9">
        <f>'Student Basic Info'!A99</f>
        <v>598</v>
      </c>
      <c r="B99" s="3"/>
      <c r="C99" s="8" t="str">
        <f t="shared" si="8"/>
        <v/>
      </c>
      <c r="D99" s="9" t="str">
        <f t="shared" si="9"/>
        <v/>
      </c>
      <c r="E99" s="10" t="str">
        <f t="shared" si="10"/>
        <v/>
      </c>
      <c r="F99" s="11" t="str">
        <f t="shared" si="11"/>
        <v/>
      </c>
    </row>
    <row r="100" spans="1:6" x14ac:dyDescent="0.35">
      <c r="A100" s="9">
        <f>'Student Basic Info'!A100</f>
        <v>599</v>
      </c>
      <c r="B100" s="3"/>
      <c r="C100" s="8" t="str">
        <f t="shared" si="8"/>
        <v/>
      </c>
      <c r="D100" s="9" t="str">
        <f t="shared" si="9"/>
        <v/>
      </c>
      <c r="E100" s="10" t="str">
        <f t="shared" si="10"/>
        <v/>
      </c>
      <c r="F100" s="11" t="str">
        <f t="shared" si="11"/>
        <v/>
      </c>
    </row>
    <row r="101" spans="1:6" x14ac:dyDescent="0.35">
      <c r="A101" s="9">
        <f>'Student Basic Info'!A101</f>
        <v>600</v>
      </c>
      <c r="B101" s="3">
        <v>16</v>
      </c>
      <c r="C101" s="8">
        <f t="shared" si="8"/>
        <v>16</v>
      </c>
      <c r="D101" s="9" t="str">
        <f t="shared" si="9"/>
        <v>Fail</v>
      </c>
      <c r="E101" s="10" t="str">
        <f t="shared" si="10"/>
        <v>F</v>
      </c>
      <c r="F101" s="11">
        <f t="shared" si="11"/>
        <v>0</v>
      </c>
    </row>
    <row r="102" spans="1:6" x14ac:dyDescent="0.35">
      <c r="A102" s="9">
        <f>'Student Basic Info'!A102</f>
        <v>601</v>
      </c>
      <c r="B102" s="3">
        <v>5</v>
      </c>
      <c r="C102" s="8">
        <f t="shared" si="8"/>
        <v>5</v>
      </c>
      <c r="D102" s="9" t="str">
        <f t="shared" si="9"/>
        <v>Fail</v>
      </c>
      <c r="E102" s="10" t="str">
        <f t="shared" si="10"/>
        <v>F</v>
      </c>
      <c r="F102" s="11">
        <f t="shared" si="11"/>
        <v>0</v>
      </c>
    </row>
    <row r="103" spans="1:6" x14ac:dyDescent="0.35">
      <c r="A103" s="9">
        <f>'Student Basic Info'!A103</f>
        <v>602</v>
      </c>
      <c r="B103" s="3"/>
      <c r="C103" s="8" t="str">
        <f t="shared" si="8"/>
        <v/>
      </c>
      <c r="D103" s="9" t="str">
        <f t="shared" si="9"/>
        <v/>
      </c>
      <c r="E103" s="10" t="str">
        <f t="shared" si="10"/>
        <v/>
      </c>
      <c r="F103" s="11" t="str">
        <f t="shared" si="11"/>
        <v/>
      </c>
    </row>
    <row r="104" spans="1:6" x14ac:dyDescent="0.35">
      <c r="A104" s="9">
        <f>'Student Basic Info'!A104</f>
        <v>603</v>
      </c>
      <c r="B104" s="3"/>
      <c r="C104" s="8" t="str">
        <f t="shared" si="8"/>
        <v/>
      </c>
      <c r="D104" s="9" t="str">
        <f t="shared" si="9"/>
        <v/>
      </c>
      <c r="E104" s="10" t="str">
        <f t="shared" si="10"/>
        <v/>
      </c>
      <c r="F104" s="11" t="str">
        <f t="shared" si="11"/>
        <v/>
      </c>
    </row>
    <row r="105" spans="1:6" x14ac:dyDescent="0.35">
      <c r="A105" s="9">
        <f>'Student Basic Info'!A105</f>
        <v>604</v>
      </c>
      <c r="B105" s="3"/>
      <c r="C105" s="8" t="str">
        <f t="shared" si="8"/>
        <v/>
      </c>
      <c r="D105" s="9" t="str">
        <f t="shared" si="9"/>
        <v/>
      </c>
      <c r="E105" s="10" t="str">
        <f t="shared" si="10"/>
        <v/>
      </c>
      <c r="F105" s="11" t="str">
        <f t="shared" si="11"/>
        <v/>
      </c>
    </row>
    <row r="106" spans="1:6" x14ac:dyDescent="0.35">
      <c r="A106" s="9">
        <f>'Student Basic Info'!A106</f>
        <v>605</v>
      </c>
      <c r="B106" s="3">
        <v>14</v>
      </c>
      <c r="C106" s="8">
        <f t="shared" si="8"/>
        <v>14</v>
      </c>
      <c r="D106" s="9" t="str">
        <f t="shared" si="9"/>
        <v>Fail</v>
      </c>
      <c r="E106" s="10" t="str">
        <f t="shared" si="10"/>
        <v>F</v>
      </c>
      <c r="F106" s="11">
        <f t="shared" si="11"/>
        <v>0</v>
      </c>
    </row>
    <row r="107" spans="1:6" x14ac:dyDescent="0.35">
      <c r="A107" s="9">
        <f>'Student Basic Info'!A107</f>
        <v>606</v>
      </c>
      <c r="B107" s="3">
        <v>10</v>
      </c>
      <c r="C107" s="8">
        <f t="shared" si="8"/>
        <v>10</v>
      </c>
      <c r="D107" s="9" t="str">
        <f t="shared" si="9"/>
        <v>Fail</v>
      </c>
      <c r="E107" s="10" t="str">
        <f t="shared" si="10"/>
        <v>F</v>
      </c>
      <c r="F107" s="11">
        <f t="shared" si="11"/>
        <v>0</v>
      </c>
    </row>
    <row r="108" spans="1:6" x14ac:dyDescent="0.35">
      <c r="A108" s="9">
        <f>'Student Basic Info'!A108</f>
        <v>607</v>
      </c>
      <c r="B108" s="3">
        <v>13</v>
      </c>
      <c r="C108" s="8">
        <f t="shared" si="8"/>
        <v>13</v>
      </c>
      <c r="D108" s="9" t="str">
        <f t="shared" si="9"/>
        <v>Fail</v>
      </c>
      <c r="E108" s="10" t="str">
        <f t="shared" si="10"/>
        <v>F</v>
      </c>
      <c r="F108" s="11">
        <f t="shared" si="11"/>
        <v>0</v>
      </c>
    </row>
    <row r="109" spans="1:6" x14ac:dyDescent="0.35">
      <c r="A109" s="9">
        <f>'Student Basic Info'!A109</f>
        <v>608</v>
      </c>
      <c r="B109" s="3">
        <v>33</v>
      </c>
      <c r="C109" s="8">
        <f t="shared" si="8"/>
        <v>33</v>
      </c>
      <c r="D109" s="9" t="str">
        <f t="shared" si="9"/>
        <v>Pass</v>
      </c>
      <c r="E109" s="10" t="str">
        <f t="shared" si="10"/>
        <v>D</v>
      </c>
      <c r="F109" s="11">
        <f t="shared" si="11"/>
        <v>1</v>
      </c>
    </row>
    <row r="110" spans="1:6" x14ac:dyDescent="0.35">
      <c r="A110" s="9">
        <f>'Student Basic Info'!A110</f>
        <v>609</v>
      </c>
      <c r="B110" s="3">
        <v>13</v>
      </c>
      <c r="C110" s="8">
        <f t="shared" si="8"/>
        <v>13</v>
      </c>
      <c r="D110" s="9" t="str">
        <f t="shared" si="9"/>
        <v>Fail</v>
      </c>
      <c r="E110" s="10" t="str">
        <f t="shared" si="10"/>
        <v>F</v>
      </c>
      <c r="F110" s="11">
        <f t="shared" si="11"/>
        <v>0</v>
      </c>
    </row>
    <row r="111" spans="1:6" x14ac:dyDescent="0.35">
      <c r="A111" s="9">
        <f>'Student Basic Info'!A111</f>
        <v>610</v>
      </c>
      <c r="B111" s="3">
        <v>19</v>
      </c>
      <c r="C111" s="8">
        <f t="shared" si="8"/>
        <v>19</v>
      </c>
      <c r="D111" s="9" t="str">
        <f t="shared" si="9"/>
        <v>Fail</v>
      </c>
      <c r="E111" s="10" t="str">
        <f t="shared" si="10"/>
        <v>F</v>
      </c>
      <c r="F111" s="11">
        <f t="shared" si="11"/>
        <v>0</v>
      </c>
    </row>
    <row r="112" spans="1:6" x14ac:dyDescent="0.35">
      <c r="A112" s="9">
        <f>'Student Basic Info'!A112</f>
        <v>611</v>
      </c>
      <c r="B112" s="3">
        <v>28</v>
      </c>
      <c r="C112" s="8">
        <f t="shared" si="8"/>
        <v>28</v>
      </c>
      <c r="D112" s="9" t="str">
        <f t="shared" si="9"/>
        <v>Fail</v>
      </c>
      <c r="E112" s="10" t="str">
        <f t="shared" si="10"/>
        <v>F</v>
      </c>
      <c r="F112" s="11">
        <f t="shared" si="11"/>
        <v>0</v>
      </c>
    </row>
    <row r="113" spans="1:6" x14ac:dyDescent="0.35">
      <c r="A113" s="9">
        <f>'Student Basic Info'!A113</f>
        <v>612</v>
      </c>
      <c r="B113" s="3">
        <v>38</v>
      </c>
      <c r="C113" s="8">
        <f t="shared" si="8"/>
        <v>38</v>
      </c>
      <c r="D113" s="9" t="str">
        <f t="shared" si="9"/>
        <v>Pass</v>
      </c>
      <c r="E113" s="10" t="str">
        <f t="shared" si="10"/>
        <v>D</v>
      </c>
      <c r="F113" s="11">
        <f t="shared" si="11"/>
        <v>1</v>
      </c>
    </row>
    <row r="114" spans="1:6" x14ac:dyDescent="0.35">
      <c r="A114" s="9">
        <f>'Student Basic Info'!A114</f>
        <v>613</v>
      </c>
      <c r="B114" s="3"/>
      <c r="C114" s="8" t="str">
        <f t="shared" si="8"/>
        <v/>
      </c>
      <c r="D114" s="9" t="str">
        <f t="shared" si="9"/>
        <v/>
      </c>
      <c r="E114" s="10" t="str">
        <f t="shared" si="10"/>
        <v/>
      </c>
      <c r="F114" s="11" t="str">
        <f t="shared" si="11"/>
        <v/>
      </c>
    </row>
    <row r="115" spans="1:6" x14ac:dyDescent="0.35">
      <c r="A115" s="9">
        <f>'Student Basic Info'!A115</f>
        <v>614</v>
      </c>
      <c r="B115" s="3">
        <v>61</v>
      </c>
      <c r="C115" s="8">
        <f t="shared" si="8"/>
        <v>61</v>
      </c>
      <c r="D115" s="9" t="str">
        <f t="shared" si="9"/>
        <v>Pass</v>
      </c>
      <c r="E115" s="10" t="str">
        <f t="shared" si="10"/>
        <v>A-</v>
      </c>
      <c r="F115" s="11">
        <f t="shared" si="11"/>
        <v>3.5</v>
      </c>
    </row>
    <row r="116" spans="1:6" x14ac:dyDescent="0.35">
      <c r="A116" s="9">
        <f>'Student Basic Info'!A116</f>
        <v>615</v>
      </c>
      <c r="B116" s="3">
        <v>14</v>
      </c>
      <c r="C116" s="8">
        <f t="shared" si="8"/>
        <v>14</v>
      </c>
      <c r="D116" s="9" t="str">
        <f t="shared" si="9"/>
        <v>Fail</v>
      </c>
      <c r="E116" s="10" t="str">
        <f t="shared" si="10"/>
        <v>F</v>
      </c>
      <c r="F116" s="11">
        <f t="shared" si="11"/>
        <v>0</v>
      </c>
    </row>
    <row r="117" spans="1:6" x14ac:dyDescent="0.35">
      <c r="A117" s="9">
        <f>'Student Basic Info'!A117</f>
        <v>616</v>
      </c>
      <c r="B117" s="3"/>
      <c r="C117" s="8" t="str">
        <f t="shared" si="8"/>
        <v/>
      </c>
      <c r="D117" s="9" t="str">
        <f t="shared" si="9"/>
        <v/>
      </c>
      <c r="E117" s="10" t="str">
        <f t="shared" si="10"/>
        <v/>
      </c>
      <c r="F117" s="11" t="str">
        <f t="shared" si="11"/>
        <v/>
      </c>
    </row>
    <row r="118" spans="1:6" x14ac:dyDescent="0.35">
      <c r="A118" s="9">
        <f>'Student Basic Info'!A118</f>
        <v>617</v>
      </c>
      <c r="B118" s="3"/>
      <c r="C118" s="8" t="str">
        <f t="shared" si="8"/>
        <v/>
      </c>
      <c r="D118" s="9" t="str">
        <f t="shared" si="9"/>
        <v/>
      </c>
      <c r="E118" s="10" t="str">
        <f t="shared" si="10"/>
        <v/>
      </c>
      <c r="F118" s="11" t="str">
        <f t="shared" si="11"/>
        <v/>
      </c>
    </row>
    <row r="119" spans="1:6" x14ac:dyDescent="0.35">
      <c r="A119" s="9">
        <f>'Student Basic Info'!A119</f>
        <v>618</v>
      </c>
      <c r="B119" s="3"/>
      <c r="C119" s="8" t="str">
        <f t="shared" si="8"/>
        <v/>
      </c>
      <c r="D119" s="9" t="str">
        <f t="shared" si="9"/>
        <v/>
      </c>
      <c r="E119" s="10" t="str">
        <f t="shared" si="10"/>
        <v/>
      </c>
      <c r="F119" s="11" t="str">
        <f t="shared" si="11"/>
        <v/>
      </c>
    </row>
    <row r="120" spans="1:6" x14ac:dyDescent="0.35">
      <c r="A120" s="9">
        <f>'Student Basic Info'!A120</f>
        <v>619</v>
      </c>
      <c r="B120" s="3"/>
      <c r="C120" s="8" t="str">
        <f t="shared" si="8"/>
        <v/>
      </c>
      <c r="D120" s="9" t="str">
        <f t="shared" si="9"/>
        <v/>
      </c>
      <c r="E120" s="10" t="str">
        <f t="shared" si="10"/>
        <v/>
      </c>
      <c r="F120" s="11" t="str">
        <f t="shared" si="11"/>
        <v/>
      </c>
    </row>
    <row r="121" spans="1:6" x14ac:dyDescent="0.35">
      <c r="A121" s="9">
        <f>'Student Basic Info'!A121</f>
        <v>620</v>
      </c>
      <c r="B121" s="3"/>
      <c r="C121" s="8" t="str">
        <f t="shared" si="8"/>
        <v/>
      </c>
      <c r="D121" s="9" t="str">
        <f t="shared" si="9"/>
        <v/>
      </c>
      <c r="E121" s="10" t="str">
        <f t="shared" si="10"/>
        <v/>
      </c>
      <c r="F121" s="11" t="str">
        <f t="shared" si="11"/>
        <v/>
      </c>
    </row>
    <row r="122" spans="1:6" x14ac:dyDescent="0.35">
      <c r="A122" s="9">
        <f>'Student Basic Info'!A122</f>
        <v>621</v>
      </c>
      <c r="B122" s="3">
        <v>17</v>
      </c>
      <c r="C122" s="8">
        <f t="shared" si="8"/>
        <v>17</v>
      </c>
      <c r="D122" s="9" t="str">
        <f t="shared" si="9"/>
        <v>Fail</v>
      </c>
      <c r="E122" s="10" t="str">
        <f t="shared" si="10"/>
        <v>F</v>
      </c>
      <c r="F122" s="11">
        <f t="shared" si="11"/>
        <v>0</v>
      </c>
    </row>
    <row r="123" spans="1:6" x14ac:dyDescent="0.35">
      <c r="A123" s="9">
        <f>'Student Basic Info'!A123</f>
        <v>622</v>
      </c>
      <c r="B123" s="3">
        <v>23</v>
      </c>
      <c r="C123" s="8">
        <f t="shared" si="8"/>
        <v>23</v>
      </c>
      <c r="D123" s="9" t="str">
        <f t="shared" si="9"/>
        <v>Fail</v>
      </c>
      <c r="E123" s="10" t="str">
        <f t="shared" si="10"/>
        <v>F</v>
      </c>
      <c r="F123" s="11">
        <f t="shared" si="11"/>
        <v>0</v>
      </c>
    </row>
    <row r="124" spans="1:6" x14ac:dyDescent="0.35">
      <c r="A124" s="9">
        <f>'Student Basic Info'!A124</f>
        <v>623</v>
      </c>
      <c r="B124" s="3"/>
      <c r="C124" s="8" t="str">
        <f t="shared" si="8"/>
        <v/>
      </c>
      <c r="D124" s="9" t="str">
        <f t="shared" si="9"/>
        <v/>
      </c>
      <c r="E124" s="10" t="str">
        <f t="shared" si="10"/>
        <v/>
      </c>
      <c r="F124" s="11" t="str">
        <f t="shared" si="11"/>
        <v/>
      </c>
    </row>
    <row r="125" spans="1:6" x14ac:dyDescent="0.35">
      <c r="A125" s="9">
        <f>'Student Basic Info'!A125</f>
        <v>624</v>
      </c>
      <c r="B125" s="3"/>
      <c r="C125" s="8" t="str">
        <f t="shared" si="8"/>
        <v/>
      </c>
      <c r="D125" s="9" t="str">
        <f t="shared" si="9"/>
        <v/>
      </c>
      <c r="E125" s="10" t="str">
        <f t="shared" si="10"/>
        <v/>
      </c>
      <c r="F125" s="11" t="str">
        <f t="shared" si="11"/>
        <v/>
      </c>
    </row>
    <row r="126" spans="1:6" x14ac:dyDescent="0.35">
      <c r="A126" s="9">
        <f>'Student Basic Info'!A126</f>
        <v>625</v>
      </c>
      <c r="B126" s="3"/>
      <c r="C126" s="8" t="str">
        <f t="shared" si="8"/>
        <v/>
      </c>
      <c r="D126" s="9" t="str">
        <f t="shared" si="9"/>
        <v/>
      </c>
      <c r="E126" s="10" t="str">
        <f t="shared" si="10"/>
        <v/>
      </c>
      <c r="F126" s="11" t="str">
        <f t="shared" si="11"/>
        <v/>
      </c>
    </row>
    <row r="127" spans="1:6" x14ac:dyDescent="0.35">
      <c r="A127" s="9">
        <f>'Student Basic Info'!A127</f>
        <v>626</v>
      </c>
      <c r="B127" s="3"/>
      <c r="C127" s="8" t="str">
        <f t="shared" si="8"/>
        <v/>
      </c>
      <c r="D127" s="9" t="str">
        <f t="shared" si="9"/>
        <v/>
      </c>
      <c r="E127" s="10" t="str">
        <f t="shared" si="10"/>
        <v/>
      </c>
      <c r="F127" s="11" t="str">
        <f t="shared" si="11"/>
        <v/>
      </c>
    </row>
    <row r="128" spans="1:6" x14ac:dyDescent="0.35">
      <c r="A128" s="9">
        <f>'Student Basic Info'!A128</f>
        <v>627</v>
      </c>
      <c r="B128" s="3"/>
      <c r="C128" s="8" t="str">
        <f t="shared" si="8"/>
        <v/>
      </c>
      <c r="D128" s="9" t="str">
        <f t="shared" si="9"/>
        <v/>
      </c>
      <c r="E128" s="10" t="str">
        <f t="shared" si="10"/>
        <v/>
      </c>
      <c r="F128" s="11" t="str">
        <f t="shared" si="11"/>
        <v/>
      </c>
    </row>
    <row r="129" spans="1:6" x14ac:dyDescent="0.35">
      <c r="A129" s="9">
        <f>'Student Basic Info'!A129</f>
        <v>628</v>
      </c>
      <c r="B129" s="3"/>
      <c r="C129" s="8" t="str">
        <f t="shared" si="8"/>
        <v/>
      </c>
      <c r="D129" s="9" t="str">
        <f t="shared" si="9"/>
        <v/>
      </c>
      <c r="E129" s="10" t="str">
        <f t="shared" si="10"/>
        <v/>
      </c>
      <c r="F129" s="11" t="str">
        <f t="shared" si="11"/>
        <v/>
      </c>
    </row>
    <row r="130" spans="1:6" x14ac:dyDescent="0.35">
      <c r="A130" s="9">
        <f>'Student Basic Info'!A130</f>
        <v>629</v>
      </c>
      <c r="B130" s="3"/>
      <c r="C130" s="8" t="str">
        <f t="shared" si="8"/>
        <v/>
      </c>
      <c r="D130" s="9" t="str">
        <f t="shared" si="9"/>
        <v/>
      </c>
      <c r="E130" s="10" t="str">
        <f t="shared" si="10"/>
        <v/>
      </c>
      <c r="F130" s="11" t="str">
        <f t="shared" si="11"/>
        <v/>
      </c>
    </row>
    <row r="131" spans="1:6" x14ac:dyDescent="0.35">
      <c r="A131" s="9">
        <f>'Student Basic Info'!A131</f>
        <v>630</v>
      </c>
      <c r="B131" s="3"/>
      <c r="C131" s="8" t="str">
        <f t="shared" si="8"/>
        <v/>
      </c>
      <c r="D131" s="9" t="str">
        <f t="shared" si="9"/>
        <v/>
      </c>
      <c r="E131" s="10" t="str">
        <f t="shared" si="10"/>
        <v/>
      </c>
      <c r="F131" s="11" t="str">
        <f t="shared" si="11"/>
        <v/>
      </c>
    </row>
    <row r="132" spans="1:6" x14ac:dyDescent="0.35">
      <c r="A132" s="9">
        <f>'Student Basic Info'!A132</f>
        <v>631</v>
      </c>
      <c r="B132" s="3"/>
      <c r="C132" s="8" t="str">
        <f t="shared" si="8"/>
        <v/>
      </c>
      <c r="D132" s="9" t="str">
        <f t="shared" si="9"/>
        <v/>
      </c>
      <c r="E132" s="10" t="str">
        <f t="shared" si="10"/>
        <v/>
      </c>
      <c r="F132" s="11" t="str">
        <f t="shared" si="11"/>
        <v/>
      </c>
    </row>
    <row r="133" spans="1:6" x14ac:dyDescent="0.35">
      <c r="A133" s="9">
        <f>'Student Basic Info'!A133</f>
        <v>632</v>
      </c>
      <c r="B133" s="3"/>
      <c r="C133" s="8" t="str">
        <f t="shared" si="8"/>
        <v/>
      </c>
      <c r="D133" s="9" t="str">
        <f t="shared" si="9"/>
        <v/>
      </c>
      <c r="E133" s="10" t="str">
        <f t="shared" si="10"/>
        <v/>
      </c>
      <c r="F133" s="11" t="str">
        <f t="shared" si="11"/>
        <v/>
      </c>
    </row>
    <row r="134" spans="1:6" x14ac:dyDescent="0.35">
      <c r="A134" s="9">
        <f>'Student Basic Info'!A134</f>
        <v>633</v>
      </c>
      <c r="B134" s="3"/>
      <c r="C134" s="8" t="str">
        <f t="shared" si="8"/>
        <v/>
      </c>
      <c r="D134" s="9" t="str">
        <f t="shared" si="9"/>
        <v/>
      </c>
      <c r="E134" s="10" t="str">
        <f t="shared" si="10"/>
        <v/>
      </c>
      <c r="F134" s="11" t="str">
        <f t="shared" si="11"/>
        <v/>
      </c>
    </row>
    <row r="135" spans="1:6" x14ac:dyDescent="0.35">
      <c r="A135" s="9">
        <f>'Student Basic Info'!A135</f>
        <v>634</v>
      </c>
      <c r="B135" s="3"/>
      <c r="C135" s="8" t="str">
        <f t="shared" si="8"/>
        <v/>
      </c>
      <c r="D135" s="9" t="str">
        <f t="shared" si="9"/>
        <v/>
      </c>
      <c r="E135" s="10" t="str">
        <f t="shared" si="10"/>
        <v/>
      </c>
      <c r="F135" s="11" t="str">
        <f t="shared" si="11"/>
        <v/>
      </c>
    </row>
    <row r="136" spans="1:6" x14ac:dyDescent="0.35">
      <c r="A136" s="9">
        <f>'Student Basic Info'!A136</f>
        <v>635</v>
      </c>
      <c r="B136" s="3"/>
      <c r="C136" s="8" t="str">
        <f t="shared" si="8"/>
        <v/>
      </c>
      <c r="D136" s="9" t="str">
        <f t="shared" si="9"/>
        <v/>
      </c>
      <c r="E136" s="10" t="str">
        <f t="shared" si="10"/>
        <v/>
      </c>
      <c r="F136" s="11" t="str">
        <f t="shared" si="11"/>
        <v/>
      </c>
    </row>
    <row r="137" spans="1:6" x14ac:dyDescent="0.35">
      <c r="A137" s="9">
        <f>'Student Basic Info'!A137</f>
        <v>636</v>
      </c>
      <c r="B137" s="3"/>
      <c r="C137" s="8" t="str">
        <f t="shared" si="8"/>
        <v/>
      </c>
      <c r="D137" s="9" t="str">
        <f t="shared" si="9"/>
        <v/>
      </c>
      <c r="E137" s="10" t="str">
        <f t="shared" si="10"/>
        <v/>
      </c>
      <c r="F137" s="11" t="str">
        <f t="shared" si="11"/>
        <v/>
      </c>
    </row>
    <row r="138" spans="1:6" x14ac:dyDescent="0.35">
      <c r="A138" s="9">
        <f>'Student Basic Info'!A138</f>
        <v>637</v>
      </c>
      <c r="B138" s="3">
        <v>17</v>
      </c>
      <c r="C138" s="8">
        <f t="shared" si="8"/>
        <v>17</v>
      </c>
      <c r="D138" s="9" t="str">
        <f t="shared" si="9"/>
        <v>Fail</v>
      </c>
      <c r="E138" s="10" t="str">
        <f t="shared" si="10"/>
        <v>F</v>
      </c>
      <c r="F138" s="11">
        <f t="shared" si="11"/>
        <v>0</v>
      </c>
    </row>
    <row r="139" spans="1:6" x14ac:dyDescent="0.35">
      <c r="A139" s="9">
        <f>'Student Basic Info'!A139</f>
        <v>638</v>
      </c>
      <c r="B139" s="3">
        <v>7</v>
      </c>
      <c r="C139" s="8">
        <f t="shared" si="8"/>
        <v>7</v>
      </c>
      <c r="D139" s="9" t="str">
        <f t="shared" si="9"/>
        <v>Fail</v>
      </c>
      <c r="E139" s="10" t="str">
        <f t="shared" si="10"/>
        <v>F</v>
      </c>
      <c r="F139" s="11">
        <f t="shared" si="11"/>
        <v>0</v>
      </c>
    </row>
    <row r="140" spans="1:6" x14ac:dyDescent="0.35">
      <c r="A140" s="9">
        <f>'Student Basic Info'!A140</f>
        <v>639</v>
      </c>
      <c r="B140" s="3"/>
      <c r="C140" s="8" t="str">
        <f t="shared" si="8"/>
        <v/>
      </c>
      <c r="D140" s="9" t="str">
        <f t="shared" si="9"/>
        <v/>
      </c>
      <c r="E140" s="10" t="str">
        <f t="shared" si="10"/>
        <v/>
      </c>
      <c r="F140" s="11" t="str">
        <f t="shared" si="11"/>
        <v/>
      </c>
    </row>
    <row r="141" spans="1:6" x14ac:dyDescent="0.35">
      <c r="A141" s="9">
        <f>'Student Basic Info'!A141</f>
        <v>640</v>
      </c>
      <c r="B141" s="3"/>
      <c r="C141" s="8" t="str">
        <f t="shared" si="8"/>
        <v/>
      </c>
      <c r="D141" s="9" t="str">
        <f t="shared" si="9"/>
        <v/>
      </c>
      <c r="E141" s="10" t="str">
        <f t="shared" si="10"/>
        <v/>
      </c>
      <c r="F141" s="11" t="str">
        <f t="shared" si="11"/>
        <v/>
      </c>
    </row>
    <row r="142" spans="1:6" x14ac:dyDescent="0.35">
      <c r="A142" s="9">
        <f>'Student Basic Info'!A142</f>
        <v>641</v>
      </c>
      <c r="B142" s="3">
        <v>33</v>
      </c>
      <c r="C142" s="8">
        <f t="shared" si="8"/>
        <v>33</v>
      </c>
      <c r="D142" s="9" t="str">
        <f t="shared" si="9"/>
        <v>Pass</v>
      </c>
      <c r="E142" s="10" t="str">
        <f t="shared" si="10"/>
        <v>D</v>
      </c>
      <c r="F142" s="11">
        <f t="shared" si="11"/>
        <v>1</v>
      </c>
    </row>
    <row r="143" spans="1:6" x14ac:dyDescent="0.35">
      <c r="A143" s="9">
        <f>'Student Basic Info'!A143</f>
        <v>642</v>
      </c>
      <c r="B143" s="3">
        <v>17</v>
      </c>
      <c r="C143" s="8">
        <f t="shared" si="8"/>
        <v>17</v>
      </c>
      <c r="D143" s="9" t="str">
        <f t="shared" si="9"/>
        <v>Fail</v>
      </c>
      <c r="E143" s="10" t="str">
        <f t="shared" si="10"/>
        <v>F</v>
      </c>
      <c r="F143" s="11">
        <f t="shared" si="11"/>
        <v>0</v>
      </c>
    </row>
    <row r="144" spans="1:6" x14ac:dyDescent="0.35">
      <c r="A144" s="9">
        <f>'Student Basic Info'!A144</f>
        <v>643</v>
      </c>
      <c r="B144" s="3"/>
      <c r="C144" s="8" t="str">
        <f t="shared" si="8"/>
        <v/>
      </c>
      <c r="D144" s="9" t="str">
        <f t="shared" si="9"/>
        <v/>
      </c>
      <c r="E144" s="10" t="str">
        <f t="shared" si="10"/>
        <v/>
      </c>
      <c r="F144" s="11" t="str">
        <f t="shared" si="11"/>
        <v/>
      </c>
    </row>
    <row r="145" spans="1:6" x14ac:dyDescent="0.35">
      <c r="A145" s="9">
        <f>'Student Basic Info'!A145</f>
        <v>644</v>
      </c>
      <c r="B145" s="3">
        <v>10</v>
      </c>
      <c r="C145" s="8">
        <f t="shared" si="8"/>
        <v>10</v>
      </c>
      <c r="D145" s="9" t="str">
        <f t="shared" si="9"/>
        <v>Fail</v>
      </c>
      <c r="E145" s="10" t="str">
        <f t="shared" si="10"/>
        <v>F</v>
      </c>
      <c r="F145" s="11">
        <f t="shared" si="11"/>
        <v>0</v>
      </c>
    </row>
    <row r="146" spans="1:6" x14ac:dyDescent="0.35">
      <c r="A146" s="130">
        <v>1718</v>
      </c>
      <c r="B146" s="130">
        <v>15</v>
      </c>
      <c r="C146" s="130">
        <f t="shared" si="8"/>
        <v>15</v>
      </c>
      <c r="D146" s="130" t="str">
        <f t="shared" si="9"/>
        <v>Fail</v>
      </c>
      <c r="E146" s="130" t="str">
        <f t="shared" si="10"/>
        <v>F</v>
      </c>
      <c r="F146" s="130">
        <f t="shared" si="11"/>
        <v>0</v>
      </c>
    </row>
    <row r="147" spans="1:6" x14ac:dyDescent="0.35">
      <c r="A147" s="130">
        <v>1719</v>
      </c>
      <c r="B147" s="130">
        <v>7</v>
      </c>
      <c r="C147" s="130">
        <f t="shared" si="8"/>
        <v>7</v>
      </c>
      <c r="D147" s="130" t="str">
        <f t="shared" si="9"/>
        <v>Fail</v>
      </c>
      <c r="E147" s="130" t="str">
        <f t="shared" si="10"/>
        <v>F</v>
      </c>
      <c r="F147" s="130">
        <f t="shared" si="11"/>
        <v>0</v>
      </c>
    </row>
    <row r="148" spans="1:6" x14ac:dyDescent="0.35">
      <c r="A148" s="130">
        <v>1748</v>
      </c>
      <c r="B148" s="130">
        <v>33</v>
      </c>
      <c r="C148" s="130">
        <f t="shared" si="8"/>
        <v>33</v>
      </c>
      <c r="D148" s="130" t="str">
        <f t="shared" si="9"/>
        <v>Pass</v>
      </c>
      <c r="E148" s="130" t="str">
        <f t="shared" si="10"/>
        <v>D</v>
      </c>
      <c r="F148" s="130">
        <f t="shared" si="11"/>
        <v>1</v>
      </c>
    </row>
  </sheetData>
  <conditionalFormatting sqref="D2:D145">
    <cfRule type="containsText" dxfId="25" priority="1" operator="containsText" text="Fail">
      <formula>NOT(ISERROR(SEARCH("Fail",D2)))</formula>
    </cfRule>
    <cfRule type="containsText" dxfId="24" priority="2" operator="containsText" text="Pass">
      <formula>NOT(ISERROR(SEARCH("Pass",D2)))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47"/>
  <sheetViews>
    <sheetView tabSelected="1" zoomScaleNormal="100" workbookViewId="0">
      <selection activeCell="B1" sqref="B1:B1048576"/>
    </sheetView>
  </sheetViews>
  <sheetFormatPr defaultRowHeight="14.5" x14ac:dyDescent="0.35"/>
  <cols>
    <col min="1" max="1" width="8.7265625" style="66"/>
    <col min="2" max="2" width="10.7265625" style="1" bestFit="1" customWidth="1"/>
    <col min="3" max="3" width="9" style="1" bestFit="1" customWidth="1"/>
    <col min="4" max="4" width="9" style="1" customWidth="1"/>
    <col min="5" max="5" width="10.81640625" style="14" bestFit="1" customWidth="1"/>
    <col min="6" max="8" width="8.7265625" style="14"/>
  </cols>
  <sheetData>
    <row r="1" spans="1:13" x14ac:dyDescent="0.35">
      <c r="A1" s="64" t="s">
        <v>0</v>
      </c>
      <c r="B1" s="12" t="s">
        <v>4</v>
      </c>
      <c r="C1" s="12" t="s">
        <v>5</v>
      </c>
      <c r="D1" s="12" t="s">
        <v>54</v>
      </c>
      <c r="E1" s="12" t="s">
        <v>6</v>
      </c>
      <c r="F1" s="12" t="s">
        <v>7</v>
      </c>
      <c r="G1" s="12" t="s">
        <v>8</v>
      </c>
      <c r="H1" s="12" t="s">
        <v>9</v>
      </c>
    </row>
    <row r="2" spans="1:13" x14ac:dyDescent="0.35">
      <c r="A2" s="92">
        <f>'Student Basic Info'!A2</f>
        <v>501</v>
      </c>
      <c r="B2" s="93"/>
      <c r="C2" s="93"/>
      <c r="D2" s="94"/>
      <c r="E2" s="95" t="str">
        <f>IF(B2+C2+D2=0, "", B2+C2+D2)</f>
        <v/>
      </c>
      <c r="F2" s="96" t="str">
        <f>IF(E2="","", IF(AND(B2 &gt;=8,C2&gt;=17,D2&gt;=8),"Pass","Fail"))</f>
        <v/>
      </c>
      <c r="G2" s="96" t="str">
        <f>(IF(E2="","",IF(F2="Fail","F",IF(E2&gt;=80,"A+",IF(E2&gt;=70,"A",IF(E2&gt;=60,"A-",IF(E2&gt;=50,"B",IF(E2&gt;=40,"C",IF(E2&gt;=33,"D","F")))))))))</f>
        <v/>
      </c>
      <c r="H2" s="97" t="str">
        <f>(IF(E2="","",IF(G2="F",0,IF(E2&gt;=80,5,IF(E2&gt;=70,4,IF(E2&gt;=60,3.5,IF(E2&gt;=50,3,IF(E2&gt;=40,2,IF(E2&gt;=33,1,0)))))))))</f>
        <v/>
      </c>
    </row>
    <row r="3" spans="1:13" x14ac:dyDescent="0.35">
      <c r="A3" s="92">
        <f>'Student Basic Info'!A3</f>
        <v>502</v>
      </c>
      <c r="B3" s="93"/>
      <c r="C3" s="93"/>
      <c r="D3" s="94"/>
      <c r="E3" s="95" t="str">
        <f>IF(B3+C3+D3=0, "", B3+C3+D3)</f>
        <v/>
      </c>
      <c r="F3" s="96" t="str">
        <f>IF(E3="","", IF(AND(B3 &gt;=8,C3&gt;=17,D3&gt;=8),"Pass","Fail"))</f>
        <v/>
      </c>
      <c r="G3" s="96" t="str">
        <f>(IF(E3="","",IF(F3="Fail","F",IF(E3&gt;=80,"A+",IF(E3&gt;=70,"A",IF(E3&gt;=60,"A-",IF(E3&gt;=50,"B",IF(E3&gt;=40,"C",IF(E3&gt;=33,"D","F")))))))))</f>
        <v/>
      </c>
      <c r="H3" s="97" t="str">
        <f>(IF(E3="","",IF(G3="F",0,IF(E3&gt;=80,5,IF(E3&gt;=70,4,IF(E3&gt;=60,3.5,IF(E3&gt;=50,3,IF(E3&gt;=40,2,IF(E3&gt;=33,1,0)))))))))</f>
        <v/>
      </c>
    </row>
    <row r="4" spans="1:13" x14ac:dyDescent="0.35">
      <c r="A4" s="92">
        <f>'Student Basic Info'!A4</f>
        <v>503</v>
      </c>
      <c r="B4" s="93">
        <v>8</v>
      </c>
      <c r="C4" s="93">
        <v>18</v>
      </c>
      <c r="D4" s="94">
        <v>20</v>
      </c>
      <c r="E4" s="95">
        <f>IF(B4+C4+D4=0, "", B4+C4+D4)</f>
        <v>46</v>
      </c>
      <c r="F4" s="96" t="str">
        <f>IF(E4="","", IF(AND(B4 &gt;=8,C4&gt;=17,D4&gt;=8),"Pass","Fail"))</f>
        <v>Pass</v>
      </c>
      <c r="G4" s="96" t="str">
        <f>(IF(E4="","",IF(F4="Fail","F",IF(E4&gt;=80,"A+",IF(E4&gt;=70,"A",IF(E4&gt;=60,"A-",IF(E4&gt;=50,"B",IF(E4&gt;=40,"C",IF(E4&gt;=33,"D","F")))))))))</f>
        <v>C</v>
      </c>
      <c r="H4" s="97">
        <f>(IF(E4="","",IF(G4="F",0,IF(E4&gt;=80,5,IF(E4&gt;=70,4,IF(E4&gt;=60,3.5,IF(E4&gt;=50,3,IF(E4&gt;=40,2,IF(E4&gt;=33,1,0)))))))))</f>
        <v>2</v>
      </c>
      <c r="L4" s="63"/>
      <c r="M4" s="62"/>
    </row>
    <row r="5" spans="1:13" x14ac:dyDescent="0.35">
      <c r="A5" s="92">
        <f>'Student Basic Info'!A5</f>
        <v>504</v>
      </c>
      <c r="B5" s="93">
        <v>7</v>
      </c>
      <c r="C5" s="93">
        <v>17</v>
      </c>
      <c r="D5" s="94">
        <v>20</v>
      </c>
      <c r="E5" s="95">
        <f>IF(B5+C5+D5=0, "", B5+C5+D5)</f>
        <v>44</v>
      </c>
      <c r="F5" s="96" t="str">
        <f>IF(E5="","", IF(AND(B5 &gt;=8,C5&gt;=17,D5&gt;=8),"Pass","Fail"))</f>
        <v>Fail</v>
      </c>
      <c r="G5" s="96" t="str">
        <f>(IF(E5="","",IF(F5="Fail","F",IF(E5&gt;=80,"A+",IF(E5&gt;=70,"A",IF(E5&gt;=60,"A-",IF(E5&gt;=50,"B",IF(E5&gt;=40,"C",IF(E5&gt;=33,"D","F")))))))))</f>
        <v>F</v>
      </c>
      <c r="H5" s="97">
        <f>(IF(E5="","",IF(G5="F",0,IF(E5&gt;=80,5,IF(E5&gt;=70,4,IF(E5&gt;=60,3.5,IF(E5&gt;=50,3,IF(E5&gt;=40,2,IF(E5&gt;=33,1,0)))))))))</f>
        <v>0</v>
      </c>
      <c r="L5" s="63"/>
      <c r="M5" s="62"/>
    </row>
    <row r="6" spans="1:13" x14ac:dyDescent="0.35">
      <c r="A6" s="92">
        <f>'Student Basic Info'!A6</f>
        <v>505</v>
      </c>
      <c r="B6" s="93"/>
      <c r="C6" s="93"/>
      <c r="D6" s="94"/>
      <c r="E6" s="95" t="str">
        <f>IF(B6+C6+D6=0, "", B6+C6+D6)</f>
        <v/>
      </c>
      <c r="F6" s="96" t="str">
        <f>IF(E6="","", IF(AND(B6 &gt;=8,C6&gt;=17,D6&gt;=8),"Pass","Fail"))</f>
        <v/>
      </c>
      <c r="G6" s="96" t="str">
        <f>(IF(E6="","",IF(F6="Fail","F",IF(E6&gt;=80,"A+",IF(E6&gt;=70,"A",IF(E6&gt;=60,"A-",IF(E6&gt;=50,"B",IF(E6&gt;=40,"C",IF(E6&gt;=33,"D","F")))))))))</f>
        <v/>
      </c>
      <c r="H6" s="97" t="str">
        <f>(IF(E6="","",IF(G6="F",0,IF(E6&gt;=80,5,IF(E6&gt;=70,4,IF(E6&gt;=60,3.5,IF(E6&gt;=50,3,IF(E6&gt;=40,2,IF(E6&gt;=33,1,0)))))))))</f>
        <v/>
      </c>
      <c r="I6" t="s">
        <v>10</v>
      </c>
      <c r="L6" s="63"/>
      <c r="M6" s="62"/>
    </row>
    <row r="7" spans="1:13" x14ac:dyDescent="0.35">
      <c r="A7" s="92">
        <f>'Student Basic Info'!A7</f>
        <v>506</v>
      </c>
      <c r="B7" s="93"/>
      <c r="C7" s="93"/>
      <c r="D7" s="94"/>
      <c r="E7" s="95" t="str">
        <f>IF(B7+C7+D7=0, "", B7+C7+D7)</f>
        <v/>
      </c>
      <c r="F7" s="96" t="str">
        <f>IF(E7="","", IF(AND(B7 &gt;=8,C7&gt;=17,D7&gt;=8),"Pass","Fail"))</f>
        <v/>
      </c>
      <c r="G7" s="96" t="str">
        <f>(IF(E7="","",IF(F7="Fail","F",IF(E7&gt;=80,"A+",IF(E7&gt;=70,"A",IF(E7&gt;=60,"A-",IF(E7&gt;=50,"B",IF(E7&gt;=40,"C",IF(E7&gt;=33,"D","F")))))))))</f>
        <v/>
      </c>
      <c r="H7" s="97" t="str">
        <f>(IF(E7="","",IF(G7="F",0,IF(E7&gt;=80,5,IF(E7&gt;=70,4,IF(E7&gt;=60,3.5,IF(E7&gt;=50,3,IF(E7&gt;=40,2,IF(E7&gt;=33,1,0)))))))))</f>
        <v/>
      </c>
      <c r="L7" s="63"/>
      <c r="M7" s="62"/>
    </row>
    <row r="8" spans="1:13" x14ac:dyDescent="0.35">
      <c r="A8" s="92">
        <f>'Student Basic Info'!A8</f>
        <v>507</v>
      </c>
      <c r="B8" s="93">
        <v>16</v>
      </c>
      <c r="C8" s="93">
        <v>30</v>
      </c>
      <c r="D8" s="94">
        <v>24</v>
      </c>
      <c r="E8" s="95">
        <f>IF(B8+C8+D8=0, "", B8+C8+D8)</f>
        <v>70</v>
      </c>
      <c r="F8" s="96" t="str">
        <f>IF(E8="","", IF(AND(B8 &gt;=8,C8&gt;=17,D8&gt;=8),"Pass","Fail"))</f>
        <v>Pass</v>
      </c>
      <c r="G8" s="96" t="str">
        <f>(IF(E8="","",IF(F8="Fail","F",IF(E8&gt;=80,"A+",IF(E8&gt;=70,"A",IF(E8&gt;=60,"A-",IF(E8&gt;=50,"B",IF(E8&gt;=40,"C",IF(E8&gt;=33,"D","F")))))))))</f>
        <v>A</v>
      </c>
      <c r="H8" s="97">
        <f>(IF(E8="","",IF(G8="F",0,IF(E8&gt;=80,5,IF(E8&gt;=70,4,IF(E8&gt;=60,3.5,IF(E8&gt;=50,3,IF(E8&gt;=40,2,IF(E8&gt;=33,1,0)))))))))</f>
        <v>4</v>
      </c>
      <c r="L8" s="63"/>
      <c r="M8" s="62"/>
    </row>
    <row r="9" spans="1:13" x14ac:dyDescent="0.35">
      <c r="A9" s="92">
        <f>'Student Basic Info'!A9</f>
        <v>508</v>
      </c>
      <c r="B9" s="93">
        <v>11</v>
      </c>
      <c r="C9" s="93">
        <v>19</v>
      </c>
      <c r="D9" s="94">
        <v>20</v>
      </c>
      <c r="E9" s="95">
        <f>IF(B9+C9+D9=0, "", B9+C9+D9)</f>
        <v>50</v>
      </c>
      <c r="F9" s="96" t="str">
        <f>IF(E9="","", IF(AND(B9 &gt;=8,C9&gt;=17,D9&gt;=8),"Pass","Fail"))</f>
        <v>Pass</v>
      </c>
      <c r="G9" s="96" t="str">
        <f>(IF(E9="","",IF(F9="Fail","F",IF(E9&gt;=80,"A+",IF(E9&gt;=70,"A",IF(E9&gt;=60,"A-",IF(E9&gt;=50,"B",IF(E9&gt;=40,"C",IF(E9&gt;=33,"D","F")))))))))</f>
        <v>B</v>
      </c>
      <c r="H9" s="97">
        <f>(IF(E9="","",IF(G9="F",0,IF(E9&gt;=80,5,IF(E9&gt;=70,4,IF(E9&gt;=60,3.5,IF(E9&gt;=50,3,IF(E9&gt;=40,2,IF(E9&gt;=33,1,0)))))))))</f>
        <v>3</v>
      </c>
      <c r="L9" s="63"/>
      <c r="M9" s="62"/>
    </row>
    <row r="10" spans="1:13" x14ac:dyDescent="0.35">
      <c r="A10" s="92">
        <f>'Student Basic Info'!A10</f>
        <v>509</v>
      </c>
      <c r="B10" s="93">
        <v>12</v>
      </c>
      <c r="C10" s="93">
        <v>16</v>
      </c>
      <c r="D10" s="94">
        <v>22</v>
      </c>
      <c r="E10" s="95">
        <f>IF(B10+C10+D10=0, "", B10+C10+D10)</f>
        <v>50</v>
      </c>
      <c r="F10" s="96" t="str">
        <f>IF(E10="","", IF(AND(B10 &gt;=8,C10&gt;=17,D10&gt;=8),"Pass","Fail"))</f>
        <v>Fail</v>
      </c>
      <c r="G10" s="96" t="str">
        <f>(IF(E10="","",IF(F10="Fail","F",IF(E10&gt;=80,"A+",IF(E10&gt;=70,"A",IF(E10&gt;=60,"A-",IF(E10&gt;=50,"B",IF(E10&gt;=40,"C",IF(E10&gt;=33,"D","F")))))))))</f>
        <v>F</v>
      </c>
      <c r="H10" s="97">
        <f>(IF(E10="","",IF(G10="F",0,IF(E10&gt;=80,5,IF(E10&gt;=70,4,IF(E10&gt;=60,3.5,IF(E10&gt;=50,3,IF(E10&gt;=40,2,IF(E10&gt;=33,1,0)))))))))</f>
        <v>0</v>
      </c>
      <c r="L10" s="63"/>
      <c r="M10" s="62"/>
    </row>
    <row r="11" spans="1:13" x14ac:dyDescent="0.35">
      <c r="A11" s="92">
        <f>'Student Basic Info'!A11</f>
        <v>510</v>
      </c>
      <c r="B11" s="93"/>
      <c r="C11" s="93"/>
      <c r="D11" s="94"/>
      <c r="E11" s="95" t="str">
        <f>IF(B11+C11+D11=0, "", B11+C11+D11)</f>
        <v/>
      </c>
      <c r="F11" s="96" t="str">
        <f>IF(E11="","", IF(AND(B11 &gt;=8,C11&gt;=17,D11&gt;=8),"Pass","Fail"))</f>
        <v/>
      </c>
      <c r="G11" s="96" t="str">
        <f>(IF(E11="","",IF(F11="Fail","F",IF(E11&gt;=80,"A+",IF(E11&gt;=70,"A",IF(E11&gt;=60,"A-",IF(E11&gt;=50,"B",IF(E11&gt;=40,"C",IF(E11&gt;=33,"D","F")))))))))</f>
        <v/>
      </c>
      <c r="H11" s="97" t="str">
        <f>(IF(E11="","",IF(G11="F",0,IF(E11&gt;=80,5,IF(E11&gt;=70,4,IF(E11&gt;=60,3.5,IF(E11&gt;=50,3,IF(E11&gt;=40,2,IF(E11&gt;=33,1,0)))))))))</f>
        <v/>
      </c>
      <c r="L11" s="63"/>
      <c r="M11" s="62"/>
    </row>
    <row r="12" spans="1:13" x14ac:dyDescent="0.35">
      <c r="A12" s="92">
        <f>'Student Basic Info'!A12</f>
        <v>511</v>
      </c>
      <c r="B12" s="93">
        <v>12</v>
      </c>
      <c r="C12" s="93">
        <v>7</v>
      </c>
      <c r="D12" s="94">
        <v>24</v>
      </c>
      <c r="E12" s="95">
        <f>IF(B12+C12+D12=0, "", B12+C12+D12)</f>
        <v>43</v>
      </c>
      <c r="F12" s="96" t="str">
        <f>IF(E12="","", IF(AND(B12 &gt;=8,C12&gt;=17,D12&gt;=8),"Pass","Fail"))</f>
        <v>Fail</v>
      </c>
      <c r="G12" s="96" t="str">
        <f>(IF(E12="","",IF(F12="Fail","F",IF(E12&gt;=80,"A+",IF(E12&gt;=70,"A",IF(E12&gt;=60,"A-",IF(E12&gt;=50,"B",IF(E12&gt;=40,"C",IF(E12&gt;=33,"D","F")))))))))</f>
        <v>F</v>
      </c>
      <c r="H12" s="97">
        <f>(IF(E12="","",IF(G12="F",0,IF(E12&gt;=80,5,IF(E12&gt;=70,4,IF(E12&gt;=60,3.5,IF(E12&gt;=50,3,IF(E12&gt;=40,2,IF(E12&gt;=33,1,0)))))))))</f>
        <v>0</v>
      </c>
      <c r="L12" s="63"/>
      <c r="M12" s="62"/>
    </row>
    <row r="13" spans="1:13" x14ac:dyDescent="0.35">
      <c r="A13" s="92">
        <f>'Student Basic Info'!A13</f>
        <v>512</v>
      </c>
      <c r="B13" s="93">
        <v>7</v>
      </c>
      <c r="C13" s="93">
        <v>6</v>
      </c>
      <c r="D13" s="94">
        <v>20</v>
      </c>
      <c r="E13" s="95">
        <f>IF(B13+C13+D13=0, "", B13+C13+D13)</f>
        <v>33</v>
      </c>
      <c r="F13" s="96" t="str">
        <f>IF(E13="","", IF(AND(B13 &gt;=8,C13&gt;=17,D13&gt;=8),"Pass","Fail"))</f>
        <v>Fail</v>
      </c>
      <c r="G13" s="96" t="str">
        <f>(IF(E13="","",IF(F13="Fail","F",IF(E13&gt;=80,"A+",IF(E13&gt;=70,"A",IF(E13&gt;=60,"A-",IF(E13&gt;=50,"B",IF(E13&gt;=40,"C",IF(E13&gt;=33,"D","F")))))))))</f>
        <v>F</v>
      </c>
      <c r="H13" s="97">
        <f>(IF(E13="","",IF(G13="F",0,IF(E13&gt;=80,5,IF(E13&gt;=70,4,IF(E13&gt;=60,3.5,IF(E13&gt;=50,3,IF(E13&gt;=40,2,IF(E13&gt;=33,1,0)))))))))</f>
        <v>0</v>
      </c>
      <c r="L13" s="63"/>
      <c r="M13" s="62"/>
    </row>
    <row r="14" spans="1:13" x14ac:dyDescent="0.35">
      <c r="A14" s="92">
        <f>'Student Basic Info'!A14</f>
        <v>513</v>
      </c>
      <c r="B14" s="131">
        <v>13</v>
      </c>
      <c r="C14" s="100">
        <v>8</v>
      </c>
      <c r="D14" s="94">
        <v>24</v>
      </c>
      <c r="E14" s="95">
        <f>IF(B14+C14+D14=0, "", B14+C14+D14)</f>
        <v>45</v>
      </c>
      <c r="F14" s="96" t="str">
        <f>IF(E14="","", IF(AND(B14 &gt;=8,C14&gt;=17,D14&gt;=8),"Pass","Fail"))</f>
        <v>Fail</v>
      </c>
      <c r="G14" s="96" t="str">
        <f>(IF(E14="","",IF(F14="Fail","F",IF(E14&gt;=80,"A+",IF(E14&gt;=70,"A",IF(E14&gt;=60,"A-",IF(E14&gt;=50,"B",IF(E14&gt;=40,"C",IF(E14&gt;=33,"D","F")))))))))</f>
        <v>F</v>
      </c>
      <c r="H14" s="97">
        <f>(IF(E14="","",IF(G14="F",0,IF(E14&gt;=80,5,IF(E14&gt;=70,4,IF(E14&gt;=60,3.5,IF(E14&gt;=50,3,IF(E14&gt;=40,2,IF(E14&gt;=33,1,0)))))))))</f>
        <v>0</v>
      </c>
      <c r="L14" s="63"/>
      <c r="M14" s="62"/>
    </row>
    <row r="15" spans="1:13" x14ac:dyDescent="0.35">
      <c r="A15" s="92">
        <f>'Student Basic Info'!A15</f>
        <v>514</v>
      </c>
      <c r="B15" s="93"/>
      <c r="C15" s="93"/>
      <c r="D15" s="94"/>
      <c r="E15" s="95" t="str">
        <f>IF(B15+C15+D15=0, "", B15+C15+D15)</f>
        <v/>
      </c>
      <c r="F15" s="96" t="str">
        <f>IF(E15="","", IF(AND(B15 &gt;=8,C15&gt;=17,D15&gt;=8),"Pass","Fail"))</f>
        <v/>
      </c>
      <c r="G15" s="96" t="str">
        <f>(IF(E15="","",IF(F15="Fail","F",IF(E15&gt;=80,"A+",IF(E15&gt;=70,"A",IF(E15&gt;=60,"A-",IF(E15&gt;=50,"B",IF(E15&gt;=40,"C",IF(E15&gt;=33,"D","F")))))))))</f>
        <v/>
      </c>
      <c r="H15" s="97" t="str">
        <f>(IF(E15="","",IF(G15="F",0,IF(E15&gt;=80,5,IF(E15&gt;=70,4,IF(E15&gt;=60,3.5,IF(E15&gt;=50,3,IF(E15&gt;=40,2,IF(E15&gt;=33,1,0)))))))))</f>
        <v/>
      </c>
      <c r="L15" s="63"/>
      <c r="M15" s="62"/>
    </row>
    <row r="16" spans="1:13" x14ac:dyDescent="0.35">
      <c r="A16" s="92">
        <f>'Student Basic Info'!A16</f>
        <v>515</v>
      </c>
      <c r="B16" s="93">
        <v>12</v>
      </c>
      <c r="C16" s="93">
        <v>27</v>
      </c>
      <c r="D16" s="94">
        <v>18</v>
      </c>
      <c r="E16" s="95">
        <f>IF(B16+C16+D16=0, "", B16+C16+D16)</f>
        <v>57</v>
      </c>
      <c r="F16" s="96" t="str">
        <f>IF(E16="","", IF(AND(B16 &gt;=8,C16&gt;=17,D16&gt;=8),"Pass","Fail"))</f>
        <v>Pass</v>
      </c>
      <c r="G16" s="96" t="str">
        <f>(IF(E16="","",IF(F16="Fail","F",IF(E16&gt;=80,"A+",IF(E16&gt;=70,"A",IF(E16&gt;=60,"A-",IF(E16&gt;=50,"B",IF(E16&gt;=40,"C",IF(E16&gt;=33,"D","F")))))))))</f>
        <v>B</v>
      </c>
      <c r="H16" s="97">
        <f>(IF(E16="","",IF(G16="F",0,IF(E16&gt;=80,5,IF(E16&gt;=70,4,IF(E16&gt;=60,3.5,IF(E16&gt;=50,3,IF(E16&gt;=40,2,IF(E16&gt;=33,1,0)))))))))</f>
        <v>3</v>
      </c>
      <c r="L16" s="63"/>
      <c r="M16" s="62"/>
    </row>
    <row r="17" spans="1:13" x14ac:dyDescent="0.35">
      <c r="A17" s="92">
        <f>'Student Basic Info'!A17</f>
        <v>516</v>
      </c>
      <c r="B17" s="93">
        <v>15</v>
      </c>
      <c r="C17" s="93">
        <v>39</v>
      </c>
      <c r="D17" s="94">
        <v>24</v>
      </c>
      <c r="E17" s="95">
        <f>IF(B17+C17+D17=0, "", B17+C17+D17)</f>
        <v>78</v>
      </c>
      <c r="F17" s="96" t="str">
        <f>IF(E17="","", IF(AND(B17 &gt;=8,C17&gt;=17,D17&gt;=8),"Pass","Fail"))</f>
        <v>Pass</v>
      </c>
      <c r="G17" s="96" t="str">
        <f>(IF(E17="","",IF(F17="Fail","F",IF(E17&gt;=80,"A+",IF(E17&gt;=70,"A",IF(E17&gt;=60,"A-",IF(E17&gt;=50,"B",IF(E17&gt;=40,"C",IF(E17&gt;=33,"D","F")))))))))</f>
        <v>A</v>
      </c>
      <c r="H17" s="97">
        <f>(IF(E17="","",IF(G17="F",0,IF(E17&gt;=80,5,IF(E17&gt;=70,4,IF(E17&gt;=60,3.5,IF(E17&gt;=50,3,IF(E17&gt;=40,2,IF(E17&gt;=33,1,0)))))))))</f>
        <v>4</v>
      </c>
      <c r="L17" s="63"/>
      <c r="M17" s="62"/>
    </row>
    <row r="18" spans="1:13" x14ac:dyDescent="0.35">
      <c r="A18" s="92">
        <f>'Student Basic Info'!A18</f>
        <v>517</v>
      </c>
      <c r="B18" s="93"/>
      <c r="C18" s="93"/>
      <c r="D18" s="94"/>
      <c r="E18" s="95" t="str">
        <f>IF(B18+C18+D18=0, "", B18+C18+D18)</f>
        <v/>
      </c>
      <c r="F18" s="96" t="str">
        <f>IF(E18="","", IF(AND(B18 &gt;=8,C18&gt;=17,D18&gt;=8),"Pass","Fail"))</f>
        <v/>
      </c>
      <c r="G18" s="96" t="str">
        <f>(IF(E18="","",IF(F18="Fail","F",IF(E18&gt;=80,"A+",IF(E18&gt;=70,"A",IF(E18&gt;=60,"A-",IF(E18&gt;=50,"B",IF(E18&gt;=40,"C",IF(E18&gt;=33,"D","F")))))))))</f>
        <v/>
      </c>
      <c r="H18" s="97" t="str">
        <f>(IF(E18="","",IF(G18="F",0,IF(E18&gt;=80,5,IF(E18&gt;=70,4,IF(E18&gt;=60,3.5,IF(E18&gt;=50,3,IF(E18&gt;=40,2,IF(E18&gt;=33,1,0)))))))))</f>
        <v/>
      </c>
      <c r="L18" s="63"/>
      <c r="M18" s="62"/>
    </row>
    <row r="19" spans="1:13" x14ac:dyDescent="0.35">
      <c r="A19" s="92">
        <f>'Student Basic Info'!A19</f>
        <v>518</v>
      </c>
      <c r="B19" s="93"/>
      <c r="C19" s="93"/>
      <c r="D19" s="94"/>
      <c r="E19" s="95" t="str">
        <f>IF(B19+C19+D19=0, "", B19+C19+D19)</f>
        <v/>
      </c>
      <c r="F19" s="96" t="str">
        <f>IF(E19="","", IF(AND(B19 &gt;=8,C19&gt;=17,D19&gt;=8),"Pass","Fail"))</f>
        <v/>
      </c>
      <c r="G19" s="96" t="str">
        <f>(IF(E19="","",IF(F19="Fail","F",IF(E19&gt;=80,"A+",IF(E19&gt;=70,"A",IF(E19&gt;=60,"A-",IF(E19&gt;=50,"B",IF(E19&gt;=40,"C",IF(E19&gt;=33,"D","F")))))))))</f>
        <v/>
      </c>
      <c r="H19" s="97" t="str">
        <f>(IF(E19="","",IF(G19="F",0,IF(E19&gt;=80,5,IF(E19&gt;=70,4,IF(E19&gt;=60,3.5,IF(E19&gt;=50,3,IF(E19&gt;=40,2,IF(E19&gt;=33,1,0)))))))))</f>
        <v/>
      </c>
      <c r="L19" s="63"/>
      <c r="M19" s="62"/>
    </row>
    <row r="20" spans="1:13" x14ac:dyDescent="0.35">
      <c r="A20" s="92">
        <f>'Student Basic Info'!A20</f>
        <v>519</v>
      </c>
      <c r="B20" s="93">
        <v>15</v>
      </c>
      <c r="C20" s="93">
        <v>17</v>
      </c>
      <c r="D20" s="94">
        <v>23</v>
      </c>
      <c r="E20" s="95">
        <f>IF(B20+C20+D20=0, "", B20+C20+D20)</f>
        <v>55</v>
      </c>
      <c r="F20" s="96" t="str">
        <f>IF(E20="","", IF(AND(B20 &gt;=8,C20&gt;=17,D20&gt;=8),"Pass","Fail"))</f>
        <v>Pass</v>
      </c>
      <c r="G20" s="96" t="str">
        <f>(IF(E20="","",IF(F20="Fail","F",IF(E20&gt;=80,"A+",IF(E20&gt;=70,"A",IF(E20&gt;=60,"A-",IF(E20&gt;=50,"B",IF(E20&gt;=40,"C",IF(E20&gt;=33,"D","F")))))))))</f>
        <v>B</v>
      </c>
      <c r="H20" s="97">
        <f>(IF(E20="","",IF(G20="F",0,IF(E20&gt;=80,5,IF(E20&gt;=70,4,IF(E20&gt;=60,3.5,IF(E20&gt;=50,3,IF(E20&gt;=40,2,IF(E20&gt;=33,1,0)))))))))</f>
        <v>3</v>
      </c>
    </row>
    <row r="21" spans="1:13" x14ac:dyDescent="0.35">
      <c r="A21" s="92">
        <f>'Student Basic Info'!A21</f>
        <v>520</v>
      </c>
      <c r="B21" s="93">
        <v>14</v>
      </c>
      <c r="C21" s="93">
        <v>2</v>
      </c>
      <c r="D21" s="94">
        <v>24</v>
      </c>
      <c r="E21" s="95">
        <f>IF(B21+C21+D21=0, "", B21+C21+D21)</f>
        <v>40</v>
      </c>
      <c r="F21" s="96" t="str">
        <f>IF(E21="","", IF(AND(B21 &gt;=8,C21&gt;=17,D21&gt;=8),"Pass","Fail"))</f>
        <v>Fail</v>
      </c>
      <c r="G21" s="96" t="str">
        <f>(IF(E21="","",IF(F21="Fail","F",IF(E21&gt;=80,"A+",IF(E21&gt;=70,"A",IF(E21&gt;=60,"A-",IF(E21&gt;=50,"B",IF(E21&gt;=40,"C",IF(E21&gt;=33,"D","F")))))))))</f>
        <v>F</v>
      </c>
      <c r="H21" s="97">
        <f>(IF(E21="","",IF(G21="F",0,IF(E21&gt;=80,5,IF(E21&gt;=70,4,IF(E21&gt;=60,3.5,IF(E21&gt;=50,3,IF(E21&gt;=40,2,IF(E21&gt;=33,1,0)))))))))</f>
        <v>0</v>
      </c>
    </row>
    <row r="22" spans="1:13" x14ac:dyDescent="0.35">
      <c r="A22" s="92">
        <f>'Student Basic Info'!A22</f>
        <v>521</v>
      </c>
      <c r="B22" s="93"/>
      <c r="C22" s="93"/>
      <c r="D22" s="94"/>
      <c r="E22" s="95" t="str">
        <f>IF(B22+C22+D22=0, "", B22+C22+D22)</f>
        <v/>
      </c>
      <c r="F22" s="96" t="str">
        <f>IF(E22="","", IF(AND(B22 &gt;=8,C22&gt;=17,D22&gt;=8),"Pass","Fail"))</f>
        <v/>
      </c>
      <c r="G22" s="96" t="str">
        <f>(IF(E22="","",IF(F22="Fail","F",IF(E22&gt;=80,"A+",IF(E22&gt;=70,"A",IF(E22&gt;=60,"A-",IF(E22&gt;=50,"B",IF(E22&gt;=40,"C",IF(E22&gt;=33,"D","F")))))))))</f>
        <v/>
      </c>
      <c r="H22" s="97" t="str">
        <f>(IF(E22="","",IF(G22="F",0,IF(E22&gt;=80,5,IF(E22&gt;=70,4,IF(E22&gt;=60,3.5,IF(E22&gt;=50,3,IF(E22&gt;=40,2,IF(E22&gt;=33,1,0)))))))))</f>
        <v/>
      </c>
    </row>
    <row r="23" spans="1:13" x14ac:dyDescent="0.35">
      <c r="A23" s="92">
        <f>'Student Basic Info'!A23</f>
        <v>522</v>
      </c>
      <c r="B23" s="93">
        <v>19</v>
      </c>
      <c r="C23" s="93">
        <v>40</v>
      </c>
      <c r="D23" s="94">
        <v>24</v>
      </c>
      <c r="E23" s="95">
        <f>IF(B23+C23+D23=0, "", B23+C23+D23)</f>
        <v>83</v>
      </c>
      <c r="F23" s="96" t="str">
        <f>IF(E23="","", IF(AND(B23 &gt;=8,C23&gt;=17,D23&gt;=8),"Pass","Fail"))</f>
        <v>Pass</v>
      </c>
      <c r="G23" s="96" t="str">
        <f>(IF(E23="","",IF(F23="Fail","F",IF(E23&gt;=80,"A+",IF(E23&gt;=70,"A",IF(E23&gt;=60,"A-",IF(E23&gt;=50,"B",IF(E23&gt;=40,"C",IF(E23&gt;=33,"D","F")))))))))</f>
        <v>A+</v>
      </c>
      <c r="H23" s="97">
        <f>(IF(E23="","",IF(G23="F",0,IF(E23&gt;=80,5,IF(E23&gt;=70,4,IF(E23&gt;=60,3.5,IF(E23&gt;=50,3,IF(E23&gt;=40,2,IF(E23&gt;=33,1,0)))))))))</f>
        <v>5</v>
      </c>
    </row>
    <row r="24" spans="1:13" x14ac:dyDescent="0.35">
      <c r="A24" s="92">
        <f>'Student Basic Info'!A24</f>
        <v>523</v>
      </c>
      <c r="B24" s="93">
        <v>10</v>
      </c>
      <c r="C24" s="93">
        <v>11</v>
      </c>
      <c r="D24" s="94">
        <v>20</v>
      </c>
      <c r="E24" s="95">
        <f>IF(B24+C24+D24=0, "", B24+C24+D24)</f>
        <v>41</v>
      </c>
      <c r="F24" s="96" t="str">
        <f>IF(E24="","", IF(AND(B24 &gt;=8,C24&gt;=17,D24&gt;=8),"Pass","Fail"))</f>
        <v>Fail</v>
      </c>
      <c r="G24" s="96" t="str">
        <f>(IF(E24="","",IF(F24="Fail","F",IF(E24&gt;=80,"A+",IF(E24&gt;=70,"A",IF(E24&gt;=60,"A-",IF(E24&gt;=50,"B",IF(E24&gt;=40,"C",IF(E24&gt;=33,"D","F")))))))))</f>
        <v>F</v>
      </c>
      <c r="H24" s="97">
        <f>(IF(E24="","",IF(G24="F",0,IF(E24&gt;=80,5,IF(E24&gt;=70,4,IF(E24&gt;=60,3.5,IF(E24&gt;=50,3,IF(E24&gt;=40,2,IF(E24&gt;=33,1,0)))))))))</f>
        <v>0</v>
      </c>
    </row>
    <row r="25" spans="1:13" x14ac:dyDescent="0.35">
      <c r="A25" s="92">
        <f>'Student Basic Info'!A25</f>
        <v>524</v>
      </c>
      <c r="B25" s="93">
        <v>13</v>
      </c>
      <c r="C25" s="93">
        <v>21</v>
      </c>
      <c r="D25" s="94">
        <v>20</v>
      </c>
      <c r="E25" s="95">
        <f>IF(B25+C25+D25=0, "", B25+C25+D25)</f>
        <v>54</v>
      </c>
      <c r="F25" s="96" t="str">
        <f>IF(E25="","", IF(AND(B25 &gt;=8,C25&gt;=17,D25&gt;=8),"Pass","Fail"))</f>
        <v>Pass</v>
      </c>
      <c r="G25" s="96" t="str">
        <f>(IF(E25="","",IF(F25="Fail","F",IF(E25&gt;=80,"A+",IF(E25&gt;=70,"A",IF(E25&gt;=60,"A-",IF(E25&gt;=50,"B",IF(E25&gt;=40,"C",IF(E25&gt;=33,"D","F")))))))))</f>
        <v>B</v>
      </c>
      <c r="H25" s="97">
        <f>(IF(E25="","",IF(G25="F",0,IF(E25&gt;=80,5,IF(E25&gt;=70,4,IF(E25&gt;=60,3.5,IF(E25&gt;=50,3,IF(E25&gt;=40,2,IF(E25&gt;=33,1,0)))))))))</f>
        <v>3</v>
      </c>
    </row>
    <row r="26" spans="1:13" x14ac:dyDescent="0.35">
      <c r="A26" s="92">
        <f>'Student Basic Info'!A26</f>
        <v>525</v>
      </c>
      <c r="B26" s="93"/>
      <c r="C26" s="93"/>
      <c r="D26" s="94"/>
      <c r="E26" s="95" t="str">
        <f>IF(B26+C26+D26=0, "", B26+C26+D26)</f>
        <v/>
      </c>
      <c r="F26" s="96" t="str">
        <f>IF(E26="","", IF(AND(B26 &gt;=8,C26&gt;=17,D26&gt;=8),"Pass","Fail"))</f>
        <v/>
      </c>
      <c r="G26" s="96" t="str">
        <f>(IF(E26="","",IF(F26="Fail","F",IF(E26&gt;=80,"A+",IF(E26&gt;=70,"A",IF(E26&gt;=60,"A-",IF(E26&gt;=50,"B",IF(E26&gt;=40,"C",IF(E26&gt;=33,"D","F")))))))))</f>
        <v/>
      </c>
      <c r="H26" s="97" t="str">
        <f>(IF(E26="","",IF(G26="F",0,IF(E26&gt;=80,5,IF(E26&gt;=70,4,IF(E26&gt;=60,3.5,IF(E26&gt;=50,3,IF(E26&gt;=40,2,IF(E26&gt;=33,1,0)))))))))</f>
        <v/>
      </c>
    </row>
    <row r="27" spans="1:13" x14ac:dyDescent="0.35">
      <c r="A27" s="92">
        <f>'Student Basic Info'!A27</f>
        <v>526</v>
      </c>
      <c r="B27" s="93">
        <v>16</v>
      </c>
      <c r="C27" s="93">
        <v>19</v>
      </c>
      <c r="D27" s="94">
        <v>18</v>
      </c>
      <c r="E27" s="95">
        <f>IF(B27+C27+D27=0, "", B27+C27+D27)</f>
        <v>53</v>
      </c>
      <c r="F27" s="96" t="str">
        <f>IF(E27="","", IF(AND(B27 &gt;=8,C27&gt;=17,D27&gt;=8),"Pass","Fail"))</f>
        <v>Pass</v>
      </c>
      <c r="G27" s="96" t="str">
        <f>(IF(E27="","",IF(F27="Fail","F",IF(E27&gt;=80,"A+",IF(E27&gt;=70,"A",IF(E27&gt;=60,"A-",IF(E27&gt;=50,"B",IF(E27&gt;=40,"C",IF(E27&gt;=33,"D","F")))))))))</f>
        <v>B</v>
      </c>
      <c r="H27" s="97">
        <f>(IF(E27="","",IF(G27="F",0,IF(E27&gt;=80,5,IF(E27&gt;=70,4,IF(E27&gt;=60,3.5,IF(E27&gt;=50,3,IF(E27&gt;=40,2,IF(E27&gt;=33,1,0)))))))))</f>
        <v>3</v>
      </c>
    </row>
    <row r="28" spans="1:13" x14ac:dyDescent="0.35">
      <c r="A28" s="92">
        <f>'Student Basic Info'!A28</f>
        <v>527</v>
      </c>
      <c r="B28" s="93"/>
      <c r="C28" s="93"/>
      <c r="D28" s="98"/>
      <c r="E28" s="95" t="str">
        <f>IF(B28+C28+D28=0, "", B28+C28+D28)</f>
        <v/>
      </c>
      <c r="F28" s="96" t="str">
        <f>IF(E28="","", IF(AND(B28 &gt;=8,C28&gt;=17,D28&gt;=8),"Pass","Fail"))</f>
        <v/>
      </c>
      <c r="G28" s="96" t="str">
        <f>(IF(E28="","",IF(F28="Fail","F",IF(E28&gt;=80,"A+",IF(E28&gt;=70,"A",IF(E28&gt;=60,"A-",IF(E28&gt;=50,"B",IF(E28&gt;=40,"C",IF(E28&gt;=33,"D","F")))))))))</f>
        <v/>
      </c>
      <c r="H28" s="97" t="str">
        <f>(IF(E28="","",IF(G28="F",0,IF(E28&gt;=80,5,IF(E28&gt;=70,4,IF(E28&gt;=60,3.5,IF(E28&gt;=50,3,IF(E28&gt;=40,2,IF(E28&gt;=33,1,0)))))))))</f>
        <v/>
      </c>
    </row>
    <row r="29" spans="1:13" x14ac:dyDescent="0.35">
      <c r="A29" s="92">
        <f>'Student Basic Info'!A29</f>
        <v>528</v>
      </c>
      <c r="B29" s="93">
        <v>16</v>
      </c>
      <c r="C29" s="93">
        <v>36</v>
      </c>
      <c r="D29" s="99">
        <v>20</v>
      </c>
      <c r="E29" s="95">
        <f>IF(B29+C29+D29=0, "", B29+C29+D29)</f>
        <v>72</v>
      </c>
      <c r="F29" s="96" t="str">
        <f>IF(E29="","", IF(AND(B29 &gt;=8,C29&gt;=17,D29&gt;=8),"Pass","Fail"))</f>
        <v>Pass</v>
      </c>
      <c r="G29" s="96" t="str">
        <f>(IF(E29="","",IF(F29="Fail","F",IF(E29&gt;=80,"A+",IF(E29&gt;=70,"A",IF(E29&gt;=60,"A-",IF(E29&gt;=50,"B",IF(E29&gt;=40,"C",IF(E29&gt;=33,"D","F")))))))))</f>
        <v>A</v>
      </c>
      <c r="H29" s="97">
        <f>(IF(E29="","",IF(G29="F",0,IF(E29&gt;=80,5,IF(E29&gt;=70,4,IF(E29&gt;=60,3.5,IF(E29&gt;=50,3,IF(E29&gt;=40,2,IF(E29&gt;=33,1,0)))))))))</f>
        <v>4</v>
      </c>
    </row>
    <row r="30" spans="1:13" x14ac:dyDescent="0.35">
      <c r="A30" s="92">
        <f>'Student Basic Info'!A30</f>
        <v>529</v>
      </c>
      <c r="B30" s="93">
        <v>15</v>
      </c>
      <c r="C30" s="93">
        <v>2</v>
      </c>
      <c r="D30" s="94">
        <v>24</v>
      </c>
      <c r="E30" s="95">
        <f>IF(B30+C30+D30=0, "", B30+C30+D30)</f>
        <v>41</v>
      </c>
      <c r="F30" s="96" t="str">
        <f>IF(E30="","", IF(AND(B30 &gt;=8,C30&gt;=17,D30&gt;=8),"Pass","Fail"))</f>
        <v>Fail</v>
      </c>
      <c r="G30" s="96" t="str">
        <f>(IF(E30="","",IF(F30="Fail","F",IF(E30&gt;=80,"A+",IF(E30&gt;=70,"A",IF(E30&gt;=60,"A-",IF(E30&gt;=50,"B",IF(E30&gt;=40,"C",IF(E30&gt;=33,"D","F")))))))))</f>
        <v>F</v>
      </c>
      <c r="H30" s="97">
        <f>(IF(E30="","",IF(G30="F",0,IF(E30&gt;=80,5,IF(E30&gt;=70,4,IF(E30&gt;=60,3.5,IF(E30&gt;=50,3,IF(E30&gt;=40,2,IF(E30&gt;=33,1,0)))))))))</f>
        <v>0</v>
      </c>
    </row>
    <row r="31" spans="1:13" x14ac:dyDescent="0.35">
      <c r="A31" s="92">
        <f>'Student Basic Info'!A31</f>
        <v>530</v>
      </c>
      <c r="B31" s="93"/>
      <c r="C31" s="93"/>
      <c r="D31" s="94"/>
      <c r="E31" s="95" t="str">
        <f>IF(B31+C31+D31=0, "", B31+C31+D31)</f>
        <v/>
      </c>
      <c r="F31" s="96" t="str">
        <f>IF(E31="","", IF(AND(B31 &gt;=8,C31&gt;=17,D31&gt;=8),"Pass","Fail"))</f>
        <v/>
      </c>
      <c r="G31" s="96" t="str">
        <f>(IF(E31="","",IF(F31="Fail","F",IF(E31&gt;=80,"A+",IF(E31&gt;=70,"A",IF(E31&gt;=60,"A-",IF(E31&gt;=50,"B",IF(E31&gt;=40,"C",IF(E31&gt;=33,"D","F")))))))))</f>
        <v/>
      </c>
      <c r="H31" s="97" t="str">
        <f>(IF(E31="","",IF(G31="F",0,IF(E31&gt;=80,5,IF(E31&gt;=70,4,IF(E31&gt;=60,3.5,IF(E31&gt;=50,3,IF(E31&gt;=40,2,IF(E31&gt;=33,1,0)))))))))</f>
        <v/>
      </c>
    </row>
    <row r="32" spans="1:13" x14ac:dyDescent="0.35">
      <c r="A32" s="92">
        <f>'Student Basic Info'!A32</f>
        <v>531</v>
      </c>
      <c r="B32" s="93">
        <v>9</v>
      </c>
      <c r="C32" s="93">
        <v>8</v>
      </c>
      <c r="D32" s="94">
        <v>8</v>
      </c>
      <c r="E32" s="95">
        <f>IF(B32+C32+D32=0, "", B32+C32+D32)</f>
        <v>25</v>
      </c>
      <c r="F32" s="96" t="str">
        <f>IF(E32="","", IF(AND(B32 &gt;=8,C32&gt;=17,D32&gt;=8),"Pass","Fail"))</f>
        <v>Fail</v>
      </c>
      <c r="G32" s="96" t="str">
        <f>(IF(E32="","",IF(F32="Fail","F",IF(E32&gt;=80,"A+",IF(E32&gt;=70,"A",IF(E32&gt;=60,"A-",IF(E32&gt;=50,"B",IF(E32&gt;=40,"C",IF(E32&gt;=33,"D","F")))))))))</f>
        <v>F</v>
      </c>
      <c r="H32" s="97">
        <f>(IF(E32="","",IF(G32="F",0,IF(E32&gt;=80,5,IF(E32&gt;=70,4,IF(E32&gt;=60,3.5,IF(E32&gt;=50,3,IF(E32&gt;=40,2,IF(E32&gt;=33,1,0)))))))))</f>
        <v>0</v>
      </c>
    </row>
    <row r="33" spans="1:8" x14ac:dyDescent="0.35">
      <c r="A33" s="92">
        <f>'Student Basic Info'!A33</f>
        <v>532</v>
      </c>
      <c r="B33" s="93"/>
      <c r="C33" s="93"/>
      <c r="D33" s="94"/>
      <c r="E33" s="95" t="str">
        <f>IF(B33+C33+D33=0, "", B33+C33+D33)</f>
        <v/>
      </c>
      <c r="F33" s="96" t="str">
        <f>IF(E33="","", IF(AND(B33 &gt;=8,C33&gt;=17,D33&gt;=8),"Pass","Fail"))</f>
        <v/>
      </c>
      <c r="G33" s="96" t="str">
        <f>(IF(E33="","",IF(F33="Fail","F",IF(E33&gt;=80,"A+",IF(E33&gt;=70,"A",IF(E33&gt;=60,"A-",IF(E33&gt;=50,"B",IF(E33&gt;=40,"C",IF(E33&gt;=33,"D","F")))))))))</f>
        <v/>
      </c>
      <c r="H33" s="97" t="str">
        <f>(IF(E33="","",IF(G33="F",0,IF(E33&gt;=80,5,IF(E33&gt;=70,4,IF(E33&gt;=60,3.5,IF(E33&gt;=50,3,IF(E33&gt;=40,2,IF(E33&gt;=33,1,0)))))))))</f>
        <v/>
      </c>
    </row>
    <row r="34" spans="1:8" x14ac:dyDescent="0.35">
      <c r="A34" s="92">
        <f>'Student Basic Info'!A34</f>
        <v>533</v>
      </c>
      <c r="B34" s="93"/>
      <c r="C34" s="93"/>
      <c r="D34" s="94"/>
      <c r="E34" s="95" t="str">
        <f>IF(B34+C34+D34=0, "", B34+C34+D34)</f>
        <v/>
      </c>
      <c r="F34" s="96" t="str">
        <f>IF(E34="","", IF(AND(B34 &gt;=8,C34&gt;=17,D34&gt;=8),"Pass","Fail"))</f>
        <v/>
      </c>
      <c r="G34" s="96" t="str">
        <f>(IF(E34="","",IF(F34="Fail","F",IF(E34&gt;=80,"A+",IF(E34&gt;=70,"A",IF(E34&gt;=60,"A-",IF(E34&gt;=50,"B",IF(E34&gt;=40,"C",IF(E34&gt;=33,"D","F")))))))))</f>
        <v/>
      </c>
      <c r="H34" s="97" t="str">
        <f>(IF(E34="","",IF(G34="F",0,IF(E34&gt;=80,5,IF(E34&gt;=70,4,IF(E34&gt;=60,3.5,IF(E34&gt;=50,3,IF(E34&gt;=40,2,IF(E34&gt;=33,1,0)))))))))</f>
        <v/>
      </c>
    </row>
    <row r="35" spans="1:8" x14ac:dyDescent="0.35">
      <c r="A35" s="92">
        <f>'Student Basic Info'!A35</f>
        <v>534</v>
      </c>
      <c r="B35" s="93"/>
      <c r="C35" s="93"/>
      <c r="D35" s="94"/>
      <c r="E35" s="95" t="str">
        <f>IF(B35+C35+D35=0, "", B35+C35+D35)</f>
        <v/>
      </c>
      <c r="F35" s="96" t="str">
        <f>IF(E35="","", IF(AND(B35 &gt;=8,C35&gt;=17,D35&gt;=8),"Pass","Fail"))</f>
        <v/>
      </c>
      <c r="G35" s="96" t="str">
        <f>(IF(E35="","",IF(F35="Fail","F",IF(E35&gt;=80,"A+",IF(E35&gt;=70,"A",IF(E35&gt;=60,"A-",IF(E35&gt;=50,"B",IF(E35&gt;=40,"C",IF(E35&gt;=33,"D","F")))))))))</f>
        <v/>
      </c>
      <c r="H35" s="97" t="str">
        <f>(IF(E35="","",IF(G35="F",0,IF(E35&gt;=80,5,IF(E35&gt;=70,4,IF(E35&gt;=60,3.5,IF(E35&gt;=50,3,IF(E35&gt;=40,2,IF(E35&gt;=33,1,0)))))))))</f>
        <v/>
      </c>
    </row>
    <row r="36" spans="1:8" x14ac:dyDescent="0.35">
      <c r="A36" s="92">
        <f>'Student Basic Info'!A36</f>
        <v>535</v>
      </c>
      <c r="B36" s="93"/>
      <c r="C36" s="93"/>
      <c r="D36" s="94"/>
      <c r="E36" s="95" t="str">
        <f>IF(B36+C36+D36=0, "", B36+C36+D36)</f>
        <v/>
      </c>
      <c r="F36" s="96" t="str">
        <f>IF(E36="","", IF(AND(B36 &gt;=8,C36&gt;=17,D36&gt;=8),"Pass","Fail"))</f>
        <v/>
      </c>
      <c r="G36" s="96" t="str">
        <f>(IF(E36="","",IF(F36="Fail","F",IF(E36&gt;=80,"A+",IF(E36&gt;=70,"A",IF(E36&gt;=60,"A-",IF(E36&gt;=50,"B",IF(E36&gt;=40,"C",IF(E36&gt;=33,"D","F")))))))))</f>
        <v/>
      </c>
      <c r="H36" s="97" t="str">
        <f>(IF(E36="","",IF(G36="F",0,IF(E36&gt;=80,5,IF(E36&gt;=70,4,IF(E36&gt;=60,3.5,IF(E36&gt;=50,3,IF(E36&gt;=40,2,IF(E36&gt;=33,1,0)))))))))</f>
        <v/>
      </c>
    </row>
    <row r="37" spans="1:8" x14ac:dyDescent="0.35">
      <c r="A37" s="92">
        <f>'Student Basic Info'!A37</f>
        <v>536</v>
      </c>
      <c r="B37" s="93">
        <v>9</v>
      </c>
      <c r="C37" s="93">
        <v>6</v>
      </c>
      <c r="D37" s="94">
        <v>25</v>
      </c>
      <c r="E37" s="95">
        <f>IF(B37+C37+D37=0, "", B37+C37+D37)</f>
        <v>40</v>
      </c>
      <c r="F37" s="96" t="str">
        <f>IF(E37="","", IF(AND(B37 &gt;=8,C37&gt;=17,D37&gt;=8),"Pass","Fail"))</f>
        <v>Fail</v>
      </c>
      <c r="G37" s="96" t="str">
        <f>(IF(E37="","",IF(F37="Fail","F",IF(E37&gt;=80,"A+",IF(E37&gt;=70,"A",IF(E37&gt;=60,"A-",IF(E37&gt;=50,"B",IF(E37&gt;=40,"C",IF(E37&gt;=33,"D","F")))))))))</f>
        <v>F</v>
      </c>
      <c r="H37" s="97">
        <f>(IF(E37="","",IF(G37="F",0,IF(E37&gt;=80,5,IF(E37&gt;=70,4,IF(E37&gt;=60,3.5,IF(E37&gt;=50,3,IF(E37&gt;=40,2,IF(E37&gt;=33,1,0)))))))))</f>
        <v>0</v>
      </c>
    </row>
    <row r="38" spans="1:8" x14ac:dyDescent="0.35">
      <c r="A38" s="92">
        <f>'Student Basic Info'!A38</f>
        <v>537</v>
      </c>
      <c r="B38" s="93">
        <v>12</v>
      </c>
      <c r="C38" s="93">
        <v>9</v>
      </c>
      <c r="D38" s="94">
        <v>8</v>
      </c>
      <c r="E38" s="95">
        <f>IF(B38+C38+D38=0, "", B38+C38+D38)</f>
        <v>29</v>
      </c>
      <c r="F38" s="96" t="str">
        <f>IF(E38="","", IF(AND(B38 &gt;=8,C38&gt;=17,D38&gt;=8),"Pass","Fail"))</f>
        <v>Fail</v>
      </c>
      <c r="G38" s="96" t="str">
        <f>(IF(E38="","",IF(F38="Fail","F",IF(E38&gt;=80,"A+",IF(E38&gt;=70,"A",IF(E38&gt;=60,"A-",IF(E38&gt;=50,"B",IF(E38&gt;=40,"C",IF(E38&gt;=33,"D","F")))))))))</f>
        <v>F</v>
      </c>
      <c r="H38" s="97">
        <f>(IF(E38="","",IF(G38="F",0,IF(E38&gt;=80,5,IF(E38&gt;=70,4,IF(E38&gt;=60,3.5,IF(E38&gt;=50,3,IF(E38&gt;=40,2,IF(E38&gt;=33,1,0)))))))))</f>
        <v>0</v>
      </c>
    </row>
    <row r="39" spans="1:8" x14ac:dyDescent="0.35">
      <c r="A39" s="92">
        <f>'Student Basic Info'!A39</f>
        <v>538</v>
      </c>
      <c r="B39" s="93">
        <v>12</v>
      </c>
      <c r="C39" s="93">
        <v>7</v>
      </c>
      <c r="D39" s="94">
        <v>24</v>
      </c>
      <c r="E39" s="95">
        <f>IF(B39+C39+D39=0, "", B39+C39+D39)</f>
        <v>43</v>
      </c>
      <c r="F39" s="96" t="str">
        <f>IF(E39="","", IF(AND(B39 &gt;=8,C39&gt;=17,D39&gt;=8),"Pass","Fail"))</f>
        <v>Fail</v>
      </c>
      <c r="G39" s="96" t="str">
        <f>(IF(E39="","",IF(F39="Fail","F",IF(E39&gt;=80,"A+",IF(E39&gt;=70,"A",IF(E39&gt;=60,"A-",IF(E39&gt;=50,"B",IF(E39&gt;=40,"C",IF(E39&gt;=33,"D","F")))))))))</f>
        <v>F</v>
      </c>
      <c r="H39" s="97">
        <f>(IF(E39="","",IF(G39="F",0,IF(E39&gt;=80,5,IF(E39&gt;=70,4,IF(E39&gt;=60,3.5,IF(E39&gt;=50,3,IF(E39&gt;=40,2,IF(E39&gt;=33,1,0)))))))))</f>
        <v>0</v>
      </c>
    </row>
    <row r="40" spans="1:8" x14ac:dyDescent="0.35">
      <c r="A40" s="92">
        <f>'Student Basic Info'!A40</f>
        <v>539</v>
      </c>
      <c r="B40" s="93">
        <v>10</v>
      </c>
      <c r="C40" s="93">
        <v>4</v>
      </c>
      <c r="D40" s="94">
        <v>8</v>
      </c>
      <c r="E40" s="95">
        <f>IF(B40+C40+D40=0, "", B40+C40+D40)</f>
        <v>22</v>
      </c>
      <c r="F40" s="96" t="str">
        <f>IF(E40="","", IF(AND(B40 &gt;=8,C40&gt;=17,D40&gt;=8),"Pass","Fail"))</f>
        <v>Fail</v>
      </c>
      <c r="G40" s="96" t="str">
        <f>(IF(E40="","",IF(F40="Fail","F",IF(E40&gt;=80,"A+",IF(E40&gt;=70,"A",IF(E40&gt;=60,"A-",IF(E40&gt;=50,"B",IF(E40&gt;=40,"C",IF(E40&gt;=33,"D","F")))))))))</f>
        <v>F</v>
      </c>
      <c r="H40" s="97">
        <f>(IF(E40="","",IF(G40="F",0,IF(E40&gt;=80,5,IF(E40&gt;=70,4,IF(E40&gt;=60,3.5,IF(E40&gt;=50,3,IF(E40&gt;=40,2,IF(E40&gt;=33,1,0)))))))))</f>
        <v>0</v>
      </c>
    </row>
    <row r="41" spans="1:8" x14ac:dyDescent="0.35">
      <c r="A41" s="92">
        <f>'Student Basic Info'!A41</f>
        <v>540</v>
      </c>
      <c r="B41" s="93">
        <v>10</v>
      </c>
      <c r="C41" s="93">
        <v>9</v>
      </c>
      <c r="D41" s="94">
        <v>8</v>
      </c>
      <c r="E41" s="95">
        <f>IF(B41+C41+D41=0, "", B41+C41+D41)</f>
        <v>27</v>
      </c>
      <c r="F41" s="96" t="str">
        <f>IF(E41="","", IF(AND(B41 &gt;=8,C41&gt;=17,D41&gt;=8),"Pass","Fail"))</f>
        <v>Fail</v>
      </c>
      <c r="G41" s="96" t="str">
        <f>(IF(E41="","",IF(F41="Fail","F",IF(E41&gt;=80,"A+",IF(E41&gt;=70,"A",IF(E41&gt;=60,"A-",IF(E41&gt;=50,"B",IF(E41&gt;=40,"C",IF(E41&gt;=33,"D","F")))))))))</f>
        <v>F</v>
      </c>
      <c r="H41" s="97">
        <f>(IF(E41="","",IF(G41="F",0,IF(E41&gt;=80,5,IF(E41&gt;=70,4,IF(E41&gt;=60,3.5,IF(E41&gt;=50,3,IF(E41&gt;=40,2,IF(E41&gt;=33,1,0)))))))))</f>
        <v>0</v>
      </c>
    </row>
    <row r="42" spans="1:8" x14ac:dyDescent="0.35">
      <c r="A42" s="92">
        <f>'Student Basic Info'!A42</f>
        <v>541</v>
      </c>
      <c r="B42" s="93"/>
      <c r="C42" s="132"/>
      <c r="D42" s="94"/>
      <c r="E42" s="95" t="str">
        <f>IF(B42+C42+D42=0, "", B42+C42+D42)</f>
        <v/>
      </c>
      <c r="F42" s="96" t="str">
        <f>IF(E42="","", IF(AND(B42 &gt;=8,C42&gt;=17,D42&gt;=8),"Pass","Fail"))</f>
        <v/>
      </c>
      <c r="G42" s="96" t="str">
        <f>(IF(E42="","",IF(F42="Fail","F",IF(E42&gt;=80,"A+",IF(E42&gt;=70,"A",IF(E42&gt;=60,"A-",IF(E42&gt;=50,"B",IF(E42&gt;=40,"C",IF(E42&gt;=33,"D","F")))))))))</f>
        <v/>
      </c>
      <c r="H42" s="97" t="str">
        <f>(IF(E42="","",IF(G42="F",0,IF(E42&gt;=80,5,IF(E42&gt;=70,4,IF(E42&gt;=60,3.5,IF(E42&gt;=50,3,IF(E42&gt;=40,2,IF(E42&gt;=33,1,0)))))))))</f>
        <v/>
      </c>
    </row>
    <row r="43" spans="1:8" x14ac:dyDescent="0.35">
      <c r="A43" s="92">
        <f>'Student Basic Info'!A43</f>
        <v>542</v>
      </c>
      <c r="B43" s="93">
        <v>11</v>
      </c>
      <c r="C43" s="93">
        <v>9</v>
      </c>
      <c r="D43" s="94">
        <v>20</v>
      </c>
      <c r="E43" s="95">
        <f>IF(B43+C43+D43=0, "", B43+C43+D43)</f>
        <v>40</v>
      </c>
      <c r="F43" s="96" t="str">
        <f>IF(E43="","", IF(AND(B43 &gt;=8,C43&gt;=17,D43&gt;=8),"Pass","Fail"))</f>
        <v>Fail</v>
      </c>
      <c r="G43" s="96" t="str">
        <f>(IF(E43="","",IF(F43="Fail","F",IF(E43&gt;=80,"A+",IF(E43&gt;=70,"A",IF(E43&gt;=60,"A-",IF(E43&gt;=50,"B",IF(E43&gt;=40,"C",IF(E43&gt;=33,"D","F")))))))))</f>
        <v>F</v>
      </c>
      <c r="H43" s="97">
        <f>(IF(E43="","",IF(G43="F",0,IF(E43&gt;=80,5,IF(E43&gt;=70,4,IF(E43&gt;=60,3.5,IF(E43&gt;=50,3,IF(E43&gt;=40,2,IF(E43&gt;=33,1,0)))))))))</f>
        <v>0</v>
      </c>
    </row>
    <row r="44" spans="1:8" x14ac:dyDescent="0.35">
      <c r="A44" s="92">
        <f>'Student Basic Info'!A44</f>
        <v>543</v>
      </c>
      <c r="B44" s="93">
        <v>10</v>
      </c>
      <c r="C44" s="93">
        <v>10</v>
      </c>
      <c r="D44" s="94">
        <v>8</v>
      </c>
      <c r="E44" s="95">
        <f>IF(B44+C44+D44=0, "", B44+C44+D44)</f>
        <v>28</v>
      </c>
      <c r="F44" s="96" t="str">
        <f>IF(E44="","", IF(AND(B44 &gt;=8,C44&gt;=17,D44&gt;=8),"Pass","Fail"))</f>
        <v>Fail</v>
      </c>
      <c r="G44" s="96" t="str">
        <f>(IF(E44="","",IF(F44="Fail","F",IF(E44&gt;=80,"A+",IF(E44&gt;=70,"A",IF(E44&gt;=60,"A-",IF(E44&gt;=50,"B",IF(E44&gt;=40,"C",IF(E44&gt;=33,"D","F")))))))))</f>
        <v>F</v>
      </c>
      <c r="H44" s="97">
        <f>(IF(E44="","",IF(G44="F",0,IF(E44&gt;=80,5,IF(E44&gt;=70,4,IF(E44&gt;=60,3.5,IF(E44&gt;=50,3,IF(E44&gt;=40,2,IF(E44&gt;=33,1,0)))))))))</f>
        <v>0</v>
      </c>
    </row>
    <row r="45" spans="1:8" x14ac:dyDescent="0.35">
      <c r="A45" s="92">
        <f>'Student Basic Info'!A45</f>
        <v>544</v>
      </c>
      <c r="B45" s="93">
        <v>11</v>
      </c>
      <c r="C45" s="93">
        <v>22</v>
      </c>
      <c r="D45" s="94">
        <v>20</v>
      </c>
      <c r="E45" s="95">
        <f>IF(B45+C45+D45=0, "", B45+C45+D45)</f>
        <v>53</v>
      </c>
      <c r="F45" s="96" t="str">
        <f>IF(E45="","", IF(AND(B45 &gt;=8,C45&gt;=17,D45&gt;=8),"Pass","Fail"))</f>
        <v>Pass</v>
      </c>
      <c r="G45" s="96" t="str">
        <f>(IF(E45="","",IF(F45="Fail","F",IF(E45&gt;=80,"A+",IF(E45&gt;=70,"A",IF(E45&gt;=60,"A-",IF(E45&gt;=50,"B",IF(E45&gt;=40,"C",IF(E45&gt;=33,"D","F")))))))))</f>
        <v>B</v>
      </c>
      <c r="H45" s="97">
        <f>(IF(E45="","",IF(G45="F",0,IF(E45&gt;=80,5,IF(E45&gt;=70,4,IF(E45&gt;=60,3.5,IF(E45&gt;=50,3,IF(E45&gt;=40,2,IF(E45&gt;=33,1,0)))))))))</f>
        <v>3</v>
      </c>
    </row>
    <row r="46" spans="1:8" x14ac:dyDescent="0.35">
      <c r="A46" s="92">
        <f>'Student Basic Info'!A46</f>
        <v>545</v>
      </c>
      <c r="B46" s="93"/>
      <c r="C46" s="93"/>
      <c r="D46" s="94"/>
      <c r="E46" s="95" t="str">
        <f>IF(B46+C46+D46=0, "", B46+C46+D46)</f>
        <v/>
      </c>
      <c r="F46" s="96" t="str">
        <f>IF(E46="","", IF(AND(B46 &gt;=8,C46&gt;=17,D46&gt;=8),"Pass","Fail"))</f>
        <v/>
      </c>
      <c r="G46" s="96" t="str">
        <f>(IF(E46="","",IF(F46="Fail","F",IF(E46&gt;=80,"A+",IF(E46&gt;=70,"A",IF(E46&gt;=60,"A-",IF(E46&gt;=50,"B",IF(E46&gt;=40,"C",IF(E46&gt;=33,"D","F")))))))))</f>
        <v/>
      </c>
      <c r="H46" s="97" t="str">
        <f>(IF(E46="","",IF(G46="F",0,IF(E46&gt;=80,5,IF(E46&gt;=70,4,IF(E46&gt;=60,3.5,IF(E46&gt;=50,3,IF(E46&gt;=40,2,IF(E46&gt;=33,1,0)))))))))</f>
        <v/>
      </c>
    </row>
    <row r="47" spans="1:8" x14ac:dyDescent="0.35">
      <c r="A47" s="92">
        <f>'Student Basic Info'!A47</f>
        <v>546</v>
      </c>
      <c r="B47" s="93">
        <v>12</v>
      </c>
      <c r="C47" s="93">
        <v>17</v>
      </c>
      <c r="D47" s="94">
        <v>18</v>
      </c>
      <c r="E47" s="95">
        <f>IF(B47+C47+D47=0, "", B47+C47+D47)</f>
        <v>47</v>
      </c>
      <c r="F47" s="96" t="str">
        <f>IF(E47="","", IF(AND(B47 &gt;=8,C47&gt;=17,D47&gt;=8),"Pass","Fail"))</f>
        <v>Pass</v>
      </c>
      <c r="G47" s="96" t="str">
        <f>(IF(E47="","",IF(F47="Fail","F",IF(E47&gt;=80,"A+",IF(E47&gt;=70,"A",IF(E47&gt;=60,"A-",IF(E47&gt;=50,"B",IF(E47&gt;=40,"C",IF(E47&gt;=33,"D","F")))))))))</f>
        <v>C</v>
      </c>
      <c r="H47" s="97">
        <f>(IF(E47="","",IF(G47="F",0,IF(E47&gt;=80,5,IF(E47&gt;=70,4,IF(E47&gt;=60,3.5,IF(E47&gt;=50,3,IF(E47&gt;=40,2,IF(E47&gt;=33,1,0)))))))))</f>
        <v>2</v>
      </c>
    </row>
    <row r="48" spans="1:8" x14ac:dyDescent="0.35">
      <c r="A48" s="92">
        <f>'Student Basic Info'!A48</f>
        <v>547</v>
      </c>
      <c r="B48" s="93"/>
      <c r="C48" s="93"/>
      <c r="D48" s="94"/>
      <c r="E48" s="95" t="str">
        <f>IF(B48+C48+D48=0, "", B48+C48+D48)</f>
        <v/>
      </c>
      <c r="F48" s="96" t="str">
        <f>IF(E48="","", IF(AND(B48 &gt;=8,C48&gt;=17,D48&gt;=8),"Pass","Fail"))</f>
        <v/>
      </c>
      <c r="G48" s="96" t="str">
        <f>(IF(E48="","",IF(F48="Fail","F",IF(E48&gt;=80,"A+",IF(E48&gt;=70,"A",IF(E48&gt;=60,"A-",IF(E48&gt;=50,"B",IF(E48&gt;=40,"C",IF(E48&gt;=33,"D","F")))))))))</f>
        <v/>
      </c>
      <c r="H48" s="97" t="str">
        <f>(IF(E48="","",IF(G48="F",0,IF(E48&gt;=80,5,IF(E48&gt;=70,4,IF(E48&gt;=60,3.5,IF(E48&gt;=50,3,IF(E48&gt;=40,2,IF(E48&gt;=33,1,0)))))))))</f>
        <v/>
      </c>
    </row>
    <row r="49" spans="1:8" x14ac:dyDescent="0.35">
      <c r="A49" s="92">
        <f>'Student Basic Info'!A49</f>
        <v>548</v>
      </c>
      <c r="B49" s="93"/>
      <c r="C49" s="93"/>
      <c r="D49" s="94"/>
      <c r="E49" s="95" t="str">
        <f>IF(B49+C49+D49=0, "", B49+C49+D49)</f>
        <v/>
      </c>
      <c r="F49" s="96" t="str">
        <f>IF(E49="","", IF(AND(B49 &gt;=8,C49&gt;=17,D49&gt;=8),"Pass","Fail"))</f>
        <v/>
      </c>
      <c r="G49" s="96" t="str">
        <f>(IF(E49="","",IF(F49="Fail","F",IF(E49&gt;=80,"A+",IF(E49&gt;=70,"A",IF(E49&gt;=60,"A-",IF(E49&gt;=50,"B",IF(E49&gt;=40,"C",IF(E49&gt;=33,"D","F")))))))))</f>
        <v/>
      </c>
      <c r="H49" s="97" t="str">
        <f>(IF(E49="","",IF(G49="F",0,IF(E49&gt;=80,5,IF(E49&gt;=70,4,IF(E49&gt;=60,3.5,IF(E49&gt;=50,3,IF(E49&gt;=40,2,IF(E49&gt;=33,1,0)))))))))</f>
        <v/>
      </c>
    </row>
    <row r="50" spans="1:8" x14ac:dyDescent="0.35">
      <c r="A50" s="92">
        <f>'Student Basic Info'!A50</f>
        <v>549</v>
      </c>
      <c r="B50" s="93">
        <v>12</v>
      </c>
      <c r="C50" s="93">
        <v>9</v>
      </c>
      <c r="D50" s="94">
        <v>18</v>
      </c>
      <c r="E50" s="95">
        <f>IF(B50+C50+D50=0, "", B50+C50+D50)</f>
        <v>39</v>
      </c>
      <c r="F50" s="96" t="str">
        <f>IF(E50="","", IF(AND(B50 &gt;=8,C50&gt;=17,D50&gt;=8),"Pass","Fail"))</f>
        <v>Fail</v>
      </c>
      <c r="G50" s="96" t="str">
        <f>(IF(E50="","",IF(F50="Fail","F",IF(E50&gt;=80,"A+",IF(E50&gt;=70,"A",IF(E50&gt;=60,"A-",IF(E50&gt;=50,"B",IF(E50&gt;=40,"C",IF(E50&gt;=33,"D","F")))))))))</f>
        <v>F</v>
      </c>
      <c r="H50" s="97">
        <f>(IF(E50="","",IF(G50="F",0,IF(E50&gt;=80,5,IF(E50&gt;=70,4,IF(E50&gt;=60,3.5,IF(E50&gt;=50,3,IF(E50&gt;=40,2,IF(E50&gt;=33,1,0)))))))))</f>
        <v>0</v>
      </c>
    </row>
    <row r="51" spans="1:8" x14ac:dyDescent="0.35">
      <c r="A51" s="92">
        <f>'Student Basic Info'!A51</f>
        <v>550</v>
      </c>
      <c r="B51" s="93"/>
      <c r="C51" s="93"/>
      <c r="D51" s="94"/>
      <c r="E51" s="95" t="str">
        <f>IF(B51+C51+D51=0, "", B51+C51+D51)</f>
        <v/>
      </c>
      <c r="F51" s="96" t="str">
        <f>IF(E51="","", IF(AND(B51 &gt;=8,C51&gt;=17,D51&gt;=8),"Pass","Fail"))</f>
        <v/>
      </c>
      <c r="G51" s="96" t="str">
        <f>(IF(E51="","",IF(F51="Fail","F",IF(E51&gt;=80,"A+",IF(E51&gt;=70,"A",IF(E51&gt;=60,"A-",IF(E51&gt;=50,"B",IF(E51&gt;=40,"C",IF(E51&gt;=33,"D","F")))))))))</f>
        <v/>
      </c>
      <c r="H51" s="97" t="str">
        <f>(IF(E51="","",IF(G51="F",0,IF(E51&gt;=80,5,IF(E51&gt;=70,4,IF(E51&gt;=60,3.5,IF(E51&gt;=50,3,IF(E51&gt;=40,2,IF(E51&gt;=33,1,0)))))))))</f>
        <v/>
      </c>
    </row>
    <row r="52" spans="1:8" x14ac:dyDescent="0.35">
      <c r="A52" s="92">
        <f>'Student Basic Info'!A52</f>
        <v>551</v>
      </c>
      <c r="B52" s="93"/>
      <c r="C52" s="93"/>
      <c r="D52" s="94"/>
      <c r="E52" s="95" t="str">
        <f>IF(B52+C52+D52=0, "", B52+C52+D52)</f>
        <v/>
      </c>
      <c r="F52" s="96" t="str">
        <f>IF(E52="","", IF(AND(B52 &gt;=8,C52&gt;=17,D52&gt;=8),"Pass","Fail"))</f>
        <v/>
      </c>
      <c r="G52" s="96" t="str">
        <f>(IF(E52="","",IF(F52="Fail","F",IF(E52&gt;=80,"A+",IF(E52&gt;=70,"A",IF(E52&gt;=60,"A-",IF(E52&gt;=50,"B",IF(E52&gt;=40,"C",IF(E52&gt;=33,"D","F")))))))))</f>
        <v/>
      </c>
      <c r="H52" s="97" t="str">
        <f>(IF(E52="","",IF(G52="F",0,IF(E52&gt;=80,5,IF(E52&gt;=70,4,IF(E52&gt;=60,3.5,IF(E52&gt;=50,3,IF(E52&gt;=40,2,IF(E52&gt;=33,1,0)))))))))</f>
        <v/>
      </c>
    </row>
    <row r="53" spans="1:8" x14ac:dyDescent="0.35">
      <c r="A53" s="92">
        <f>'Student Basic Info'!A53</f>
        <v>552</v>
      </c>
      <c r="B53" s="93">
        <v>10</v>
      </c>
      <c r="C53" s="93">
        <v>8</v>
      </c>
      <c r="D53" s="94">
        <v>20</v>
      </c>
      <c r="E53" s="95">
        <f>IF(B53+C53+D53=0, "", B53+C53+D53)</f>
        <v>38</v>
      </c>
      <c r="F53" s="96" t="str">
        <f>IF(E53="","", IF(AND(B53 &gt;=8,C53&gt;=17,D53&gt;=8),"Pass","Fail"))</f>
        <v>Fail</v>
      </c>
      <c r="G53" s="96" t="str">
        <f>(IF(E53="","",IF(F53="Fail","F",IF(E53&gt;=80,"A+",IF(E53&gt;=70,"A",IF(E53&gt;=60,"A-",IF(E53&gt;=50,"B",IF(E53&gt;=40,"C",IF(E53&gt;=33,"D","F")))))))))</f>
        <v>F</v>
      </c>
      <c r="H53" s="97">
        <f>(IF(E53="","",IF(G53="F",0,IF(E53&gt;=80,5,IF(E53&gt;=70,4,IF(E53&gt;=60,3.5,IF(E53&gt;=50,3,IF(E53&gt;=40,2,IF(E53&gt;=33,1,0)))))))))</f>
        <v>0</v>
      </c>
    </row>
    <row r="54" spans="1:8" x14ac:dyDescent="0.35">
      <c r="A54" s="92">
        <f>'Student Basic Info'!A54</f>
        <v>553</v>
      </c>
      <c r="B54" s="93"/>
      <c r="C54" s="93"/>
      <c r="D54" s="94"/>
      <c r="E54" s="95" t="str">
        <f>IF(B54+C54+D54=0, "", B54+C54+D54)</f>
        <v/>
      </c>
      <c r="F54" s="96" t="str">
        <f>IF(E54="","", IF(AND(B54 &gt;=8,C54&gt;=17,D54&gt;=8),"Pass","Fail"))</f>
        <v/>
      </c>
      <c r="G54" s="96" t="str">
        <f>(IF(E54="","",IF(F54="Fail","F",IF(E54&gt;=80,"A+",IF(E54&gt;=70,"A",IF(E54&gt;=60,"A-",IF(E54&gt;=50,"B",IF(E54&gt;=40,"C",IF(E54&gt;=33,"D","F")))))))))</f>
        <v/>
      </c>
      <c r="H54" s="97" t="str">
        <f>(IF(E54="","",IF(G54="F",0,IF(E54&gt;=80,5,IF(E54&gt;=70,4,IF(E54&gt;=60,3.5,IF(E54&gt;=50,3,IF(E54&gt;=40,2,IF(E54&gt;=33,1,0)))))))))</f>
        <v/>
      </c>
    </row>
    <row r="55" spans="1:8" x14ac:dyDescent="0.35">
      <c r="A55" s="92">
        <f>'Student Basic Info'!A55</f>
        <v>554</v>
      </c>
      <c r="B55" s="93">
        <v>9</v>
      </c>
      <c r="C55" s="93">
        <v>6</v>
      </c>
      <c r="D55" s="94">
        <v>8</v>
      </c>
      <c r="E55" s="95">
        <f>IF(B55+C55+D55=0, "", B55+C55+D55)</f>
        <v>23</v>
      </c>
      <c r="F55" s="96" t="str">
        <f>IF(E55="","", IF(AND(B55 &gt;=8,C55&gt;=17,D55&gt;=8),"Pass","Fail"))</f>
        <v>Fail</v>
      </c>
      <c r="G55" s="96" t="str">
        <f>(IF(E55="","",IF(F55="Fail","F",IF(E55&gt;=80,"A+",IF(E55&gt;=70,"A",IF(E55&gt;=60,"A-",IF(E55&gt;=50,"B",IF(E55&gt;=40,"C",IF(E55&gt;=33,"D","F")))))))))</f>
        <v>F</v>
      </c>
      <c r="H55" s="97">
        <f>(IF(E55="","",IF(G55="F",0,IF(E55&gt;=80,5,IF(E55&gt;=70,4,IF(E55&gt;=60,3.5,IF(E55&gt;=50,3,IF(E55&gt;=40,2,IF(E55&gt;=33,1,0)))))))))</f>
        <v>0</v>
      </c>
    </row>
    <row r="56" spans="1:8" x14ac:dyDescent="0.35">
      <c r="A56" s="92">
        <f>'Student Basic Info'!A56</f>
        <v>555</v>
      </c>
      <c r="B56" s="93">
        <v>13</v>
      </c>
      <c r="C56" s="93">
        <v>22</v>
      </c>
      <c r="D56" s="94">
        <v>18</v>
      </c>
      <c r="E56" s="95">
        <f>IF(B56+C56+D56=0, "", B56+C56+D56)</f>
        <v>53</v>
      </c>
      <c r="F56" s="96" t="str">
        <f>IF(E56="","", IF(AND(B56 &gt;=8,C56&gt;=17,D56&gt;=8),"Pass","Fail"))</f>
        <v>Pass</v>
      </c>
      <c r="G56" s="96" t="str">
        <f>(IF(E56="","",IF(F56="Fail","F",IF(E56&gt;=80,"A+",IF(E56&gt;=70,"A",IF(E56&gt;=60,"A-",IF(E56&gt;=50,"B",IF(E56&gt;=40,"C",IF(E56&gt;=33,"D","F")))))))))</f>
        <v>B</v>
      </c>
      <c r="H56" s="97">
        <f>(IF(E56="","",IF(G56="F",0,IF(E56&gt;=80,5,IF(E56&gt;=70,4,IF(E56&gt;=60,3.5,IF(E56&gt;=50,3,IF(E56&gt;=40,2,IF(E56&gt;=33,1,0)))))))))</f>
        <v>3</v>
      </c>
    </row>
    <row r="57" spans="1:8" x14ac:dyDescent="0.35">
      <c r="A57" s="92">
        <f>'Student Basic Info'!A57</f>
        <v>556</v>
      </c>
      <c r="B57" s="93">
        <v>10</v>
      </c>
      <c r="C57" s="93">
        <v>11</v>
      </c>
      <c r="D57" s="94">
        <v>20</v>
      </c>
      <c r="E57" s="95">
        <f>IF(B57+C57+D57=0, "", B57+C57+D57)</f>
        <v>41</v>
      </c>
      <c r="F57" s="96" t="str">
        <f>IF(E57="","", IF(AND(B57 &gt;=8,C57&gt;=17,D57&gt;=8),"Pass","Fail"))</f>
        <v>Fail</v>
      </c>
      <c r="G57" s="96" t="str">
        <f>(IF(E57="","",IF(F57="Fail","F",IF(E57&gt;=80,"A+",IF(E57&gt;=70,"A",IF(E57&gt;=60,"A-",IF(E57&gt;=50,"B",IF(E57&gt;=40,"C",IF(E57&gt;=33,"D","F")))))))))</f>
        <v>F</v>
      </c>
      <c r="H57" s="97">
        <f>(IF(E57="","",IF(G57="F",0,IF(E57&gt;=80,5,IF(E57&gt;=70,4,IF(E57&gt;=60,3.5,IF(E57&gt;=50,3,IF(E57&gt;=40,2,IF(E57&gt;=33,1,0)))))))))</f>
        <v>0</v>
      </c>
    </row>
    <row r="58" spans="1:8" x14ac:dyDescent="0.35">
      <c r="A58" s="92">
        <f>'Student Basic Info'!A58</f>
        <v>557</v>
      </c>
      <c r="B58" s="93">
        <v>13</v>
      </c>
      <c r="C58" s="93">
        <v>17</v>
      </c>
      <c r="D58" s="94">
        <v>18</v>
      </c>
      <c r="E58" s="95">
        <f>IF(B58+C58+D58=0, "", B58+C58+D58)</f>
        <v>48</v>
      </c>
      <c r="F58" s="96" t="str">
        <f>IF(E58="","", IF(AND(B58 &gt;=8,C58&gt;=17,D58&gt;=8),"Pass","Fail"))</f>
        <v>Pass</v>
      </c>
      <c r="G58" s="96" t="str">
        <f>(IF(E58="","",IF(F58="Fail","F",IF(E58&gt;=80,"A+",IF(E58&gt;=70,"A",IF(E58&gt;=60,"A-",IF(E58&gt;=50,"B",IF(E58&gt;=40,"C",IF(E58&gt;=33,"D","F")))))))))</f>
        <v>C</v>
      </c>
      <c r="H58" s="97">
        <f>(IF(E58="","",IF(G58="F",0,IF(E58&gt;=80,5,IF(E58&gt;=70,4,IF(E58&gt;=60,3.5,IF(E58&gt;=50,3,IF(E58&gt;=40,2,IF(E58&gt;=33,1,0)))))))))</f>
        <v>2</v>
      </c>
    </row>
    <row r="59" spans="1:8" x14ac:dyDescent="0.35">
      <c r="A59" s="92">
        <f>'Student Basic Info'!A59</f>
        <v>558</v>
      </c>
      <c r="B59" s="93">
        <v>10</v>
      </c>
      <c r="C59" s="93">
        <v>26</v>
      </c>
      <c r="D59" s="94">
        <v>20</v>
      </c>
      <c r="E59" s="95">
        <f>IF(B59+C59+D59=0, "", B59+C59+D59)</f>
        <v>56</v>
      </c>
      <c r="F59" s="96" t="str">
        <f>IF(E59="","", IF(AND(B59 &gt;=8,C59&gt;=17,D59&gt;=8),"Pass","Fail"))</f>
        <v>Pass</v>
      </c>
      <c r="G59" s="96" t="str">
        <f>(IF(E59="","",IF(F59="Fail","F",IF(E59&gt;=80,"A+",IF(E59&gt;=70,"A",IF(E59&gt;=60,"A-",IF(E59&gt;=50,"B",IF(E59&gt;=40,"C",IF(E59&gt;=33,"D","F")))))))))</f>
        <v>B</v>
      </c>
      <c r="H59" s="97">
        <f>(IF(E59="","",IF(G59="F",0,IF(E59&gt;=80,5,IF(E59&gt;=70,4,IF(E59&gt;=60,3.5,IF(E59&gt;=50,3,IF(E59&gt;=40,2,IF(E59&gt;=33,1,0)))))))))</f>
        <v>3</v>
      </c>
    </row>
    <row r="60" spans="1:8" x14ac:dyDescent="0.35">
      <c r="A60" s="92">
        <f>'Student Basic Info'!A60</f>
        <v>559</v>
      </c>
      <c r="B60" s="93">
        <v>18</v>
      </c>
      <c r="C60" s="93">
        <v>19</v>
      </c>
      <c r="D60" s="94">
        <v>20</v>
      </c>
      <c r="E60" s="95">
        <f>IF(B60+C60+D60=0, "", B60+C60+D60)</f>
        <v>57</v>
      </c>
      <c r="F60" s="96" t="str">
        <f>IF(E60="","", IF(AND(B60 &gt;=8,C60&gt;=17,D60&gt;=8),"Pass","Fail"))</f>
        <v>Pass</v>
      </c>
      <c r="G60" s="96" t="str">
        <f>(IF(E60="","",IF(F60="Fail","F",IF(E60&gt;=80,"A+",IF(E60&gt;=70,"A",IF(E60&gt;=60,"A-",IF(E60&gt;=50,"B",IF(E60&gt;=40,"C",IF(E60&gt;=33,"D","F")))))))))</f>
        <v>B</v>
      </c>
      <c r="H60" s="97">
        <f>(IF(E60="","",IF(G60="F",0,IF(E60&gt;=80,5,IF(E60&gt;=70,4,IF(E60&gt;=60,3.5,IF(E60&gt;=50,3,IF(E60&gt;=40,2,IF(E60&gt;=33,1,0)))))))))</f>
        <v>3</v>
      </c>
    </row>
    <row r="61" spans="1:8" x14ac:dyDescent="0.35">
      <c r="A61" s="92">
        <f>'Student Basic Info'!A61</f>
        <v>560</v>
      </c>
      <c r="B61" s="93">
        <v>11</v>
      </c>
      <c r="C61" s="93">
        <v>17</v>
      </c>
      <c r="D61" s="94">
        <v>18</v>
      </c>
      <c r="E61" s="95">
        <f>IF(B61+C61+D61=0, "", B61+C61+D61)</f>
        <v>46</v>
      </c>
      <c r="F61" s="96" t="str">
        <f>IF(E61="","", IF(AND(B61 &gt;=8,C61&gt;=17,D61&gt;=8),"Pass","Fail"))</f>
        <v>Pass</v>
      </c>
      <c r="G61" s="96" t="str">
        <f>(IF(E61="","",IF(F61="Fail","F",IF(E61&gt;=80,"A+",IF(E61&gt;=70,"A",IF(E61&gt;=60,"A-",IF(E61&gt;=50,"B",IF(E61&gt;=40,"C",IF(E61&gt;=33,"D","F")))))))))</f>
        <v>C</v>
      </c>
      <c r="H61" s="97">
        <f>(IF(E61="","",IF(G61="F",0,IF(E61&gt;=80,5,IF(E61&gt;=70,4,IF(E61&gt;=60,3.5,IF(E61&gt;=50,3,IF(E61&gt;=40,2,IF(E61&gt;=33,1,0)))))))))</f>
        <v>2</v>
      </c>
    </row>
    <row r="62" spans="1:8" x14ac:dyDescent="0.35">
      <c r="A62" s="92">
        <f>'Student Basic Info'!A62</f>
        <v>561</v>
      </c>
      <c r="B62" s="93">
        <v>7</v>
      </c>
      <c r="C62" s="93">
        <v>11</v>
      </c>
      <c r="D62" s="94">
        <v>24</v>
      </c>
      <c r="E62" s="95">
        <f>IF(B62+C62+D62=0, "", B62+C62+D62)</f>
        <v>42</v>
      </c>
      <c r="F62" s="96" t="str">
        <f>IF(E62="","", IF(AND(B62 &gt;=8,C62&gt;=17,D62&gt;=8),"Pass","Fail"))</f>
        <v>Fail</v>
      </c>
      <c r="G62" s="96" t="str">
        <f>(IF(E62="","",IF(F62="Fail","F",IF(E62&gt;=80,"A+",IF(E62&gt;=70,"A",IF(E62&gt;=60,"A-",IF(E62&gt;=50,"B",IF(E62&gt;=40,"C",IF(E62&gt;=33,"D","F")))))))))</f>
        <v>F</v>
      </c>
      <c r="H62" s="97">
        <f>(IF(E62="","",IF(G62="F",0,IF(E62&gt;=80,5,IF(E62&gt;=70,4,IF(E62&gt;=60,3.5,IF(E62&gt;=50,3,IF(E62&gt;=40,2,IF(E62&gt;=33,1,0)))))))))</f>
        <v>0</v>
      </c>
    </row>
    <row r="63" spans="1:8" x14ac:dyDescent="0.35">
      <c r="A63" s="92">
        <f>'Student Basic Info'!A63</f>
        <v>562</v>
      </c>
      <c r="B63" s="93"/>
      <c r="C63" s="93"/>
      <c r="D63" s="94"/>
      <c r="E63" s="95" t="str">
        <f>IF(B63+C63+D63=0, "", B63+C63+D63)</f>
        <v/>
      </c>
      <c r="F63" s="96" t="str">
        <f>IF(E63="","", IF(AND(B63 &gt;=8,C63&gt;=17,D63&gt;=8),"Pass","Fail"))</f>
        <v/>
      </c>
      <c r="G63" s="96" t="str">
        <f>(IF(E63="","",IF(F63="Fail","F",IF(E63&gt;=80,"A+",IF(E63&gt;=70,"A",IF(E63&gt;=60,"A-",IF(E63&gt;=50,"B",IF(E63&gt;=40,"C",IF(E63&gt;=33,"D","F")))))))))</f>
        <v/>
      </c>
      <c r="H63" s="97" t="str">
        <f>(IF(E63="","",IF(G63="F",0,IF(E63&gt;=80,5,IF(E63&gt;=70,4,IF(E63&gt;=60,3.5,IF(E63&gt;=50,3,IF(E63&gt;=40,2,IF(E63&gt;=33,1,0)))))))))</f>
        <v/>
      </c>
    </row>
    <row r="64" spans="1:8" x14ac:dyDescent="0.35">
      <c r="A64" s="92">
        <f>'Student Basic Info'!A64</f>
        <v>563</v>
      </c>
      <c r="B64" s="93"/>
      <c r="C64" s="93"/>
      <c r="D64" s="94"/>
      <c r="E64" s="95" t="str">
        <f>IF(B64+C64+D64=0, "", B64+C64+D64)</f>
        <v/>
      </c>
      <c r="F64" s="96" t="str">
        <f>IF(E64="","", IF(AND(B64 &gt;=8,C64&gt;=17,D64&gt;=8),"Pass","Fail"))</f>
        <v/>
      </c>
      <c r="G64" s="96" t="str">
        <f>(IF(E64="","",IF(F64="Fail","F",IF(E64&gt;=80,"A+",IF(E64&gt;=70,"A",IF(E64&gt;=60,"A-",IF(E64&gt;=50,"B",IF(E64&gt;=40,"C",IF(E64&gt;=33,"D","F")))))))))</f>
        <v/>
      </c>
      <c r="H64" s="97" t="str">
        <f>(IF(E64="","",IF(G64="F",0,IF(E64&gt;=80,5,IF(E64&gt;=70,4,IF(E64&gt;=60,3.5,IF(E64&gt;=50,3,IF(E64&gt;=40,2,IF(E64&gt;=33,1,0)))))))))</f>
        <v/>
      </c>
    </row>
    <row r="65" spans="1:8" x14ac:dyDescent="0.35">
      <c r="A65" s="92">
        <f>'Student Basic Info'!A65</f>
        <v>564</v>
      </c>
      <c r="B65" s="93"/>
      <c r="C65" s="93"/>
      <c r="D65" s="94"/>
      <c r="E65" s="95" t="str">
        <f>IF(B65+C65+D65=0, "", B65+C65+D65)</f>
        <v/>
      </c>
      <c r="F65" s="96" t="str">
        <f>IF(E65="","", IF(AND(B65 &gt;=8,C65&gt;=17,D65&gt;=8),"Pass","Fail"))</f>
        <v/>
      </c>
      <c r="G65" s="96" t="str">
        <f>(IF(E65="","",IF(F65="Fail","F",IF(E65&gt;=80,"A+",IF(E65&gt;=70,"A",IF(E65&gt;=60,"A-",IF(E65&gt;=50,"B",IF(E65&gt;=40,"C",IF(E65&gt;=33,"D","F")))))))))</f>
        <v/>
      </c>
      <c r="H65" s="97" t="str">
        <f>(IF(E65="","",IF(G65="F",0,IF(E65&gt;=80,5,IF(E65&gt;=70,4,IF(E65&gt;=60,3.5,IF(E65&gt;=50,3,IF(E65&gt;=40,2,IF(E65&gt;=33,1,0)))))))))</f>
        <v/>
      </c>
    </row>
    <row r="66" spans="1:8" x14ac:dyDescent="0.35">
      <c r="A66" s="92">
        <f>'Student Basic Info'!A66</f>
        <v>565</v>
      </c>
      <c r="B66" s="100">
        <v>11</v>
      </c>
      <c r="C66" s="133">
        <v>17</v>
      </c>
      <c r="D66" s="94">
        <v>20</v>
      </c>
      <c r="E66" s="95">
        <f>IF(B66+C66+D66=0, "", B66+C66+D66)</f>
        <v>48</v>
      </c>
      <c r="F66" s="96" t="str">
        <f>IF(E66="","", IF(AND(B66 &gt;=8,C66&gt;=17,D66&gt;=8),"Pass","Fail"))</f>
        <v>Pass</v>
      </c>
      <c r="G66" s="96" t="str">
        <f>(IF(E66="","",IF(F66="Fail","F",IF(E66&gt;=80,"A+",IF(E66&gt;=70,"A",IF(E66&gt;=60,"A-",IF(E66&gt;=50,"B",IF(E66&gt;=40,"C",IF(E66&gt;=33,"D","F")))))))))</f>
        <v>C</v>
      </c>
      <c r="H66" s="97">
        <f>(IF(E66="","",IF(G66="F",0,IF(E66&gt;=80,5,IF(E66&gt;=70,4,IF(E66&gt;=60,3.5,IF(E66&gt;=50,3,IF(E66&gt;=40,2,IF(E66&gt;=33,1,0)))))))))</f>
        <v>2</v>
      </c>
    </row>
    <row r="67" spans="1:8" x14ac:dyDescent="0.35">
      <c r="A67" s="92">
        <f>'Student Basic Info'!A67</f>
        <v>566</v>
      </c>
      <c r="B67" s="93"/>
      <c r="C67" s="93"/>
      <c r="D67" s="94"/>
      <c r="E67" s="95" t="str">
        <f>IF(B67+C67+D67=0, "", B67+C67+D67)</f>
        <v/>
      </c>
      <c r="F67" s="96" t="str">
        <f>IF(E67="","", IF(AND(B67 &gt;=8,C67&gt;=17,D67&gt;=8),"Pass","Fail"))</f>
        <v/>
      </c>
      <c r="G67" s="96" t="str">
        <f>(IF(E67="","",IF(F67="Fail","F",IF(E67&gt;=80,"A+",IF(E67&gt;=70,"A",IF(E67&gt;=60,"A-",IF(E67&gt;=50,"B",IF(E67&gt;=40,"C",IF(E67&gt;=33,"D","F")))))))))</f>
        <v/>
      </c>
      <c r="H67" s="97" t="str">
        <f>(IF(E67="","",IF(G67="F",0,IF(E67&gt;=80,5,IF(E67&gt;=70,4,IF(E67&gt;=60,3.5,IF(E67&gt;=50,3,IF(E67&gt;=40,2,IF(E67&gt;=33,1,0)))))))))</f>
        <v/>
      </c>
    </row>
    <row r="68" spans="1:8" x14ac:dyDescent="0.35">
      <c r="A68" s="92">
        <f>'Student Basic Info'!A68</f>
        <v>567</v>
      </c>
      <c r="B68" s="93">
        <v>5</v>
      </c>
      <c r="C68" s="93">
        <v>1</v>
      </c>
      <c r="D68" s="94">
        <v>8</v>
      </c>
      <c r="E68" s="95">
        <f>IF(B68+C68+D68=0, "", B68+C68+D68)</f>
        <v>14</v>
      </c>
      <c r="F68" s="96" t="str">
        <f>IF(E68="","", IF(AND(B68 &gt;=8,C68&gt;=17,D68&gt;=8),"Pass","Fail"))</f>
        <v>Fail</v>
      </c>
      <c r="G68" s="96" t="str">
        <f>(IF(E68="","",IF(F68="Fail","F",IF(E68&gt;=80,"A+",IF(E68&gt;=70,"A",IF(E68&gt;=60,"A-",IF(E68&gt;=50,"B",IF(E68&gt;=40,"C",IF(E68&gt;=33,"D","F")))))))))</f>
        <v>F</v>
      </c>
      <c r="H68" s="97">
        <f>(IF(E68="","",IF(G68="F",0,IF(E68&gt;=80,5,IF(E68&gt;=70,4,IF(E68&gt;=60,3.5,IF(E68&gt;=50,3,IF(E68&gt;=40,2,IF(E68&gt;=33,1,0)))))))))</f>
        <v>0</v>
      </c>
    </row>
    <row r="69" spans="1:8" x14ac:dyDescent="0.35">
      <c r="A69" s="92">
        <f>'Student Basic Info'!A69</f>
        <v>568</v>
      </c>
      <c r="B69" s="93">
        <v>7</v>
      </c>
      <c r="C69" s="93">
        <v>1</v>
      </c>
      <c r="D69" s="94">
        <v>24</v>
      </c>
      <c r="E69" s="95">
        <f>IF(B69+C69+D69=0, "", B69+C69+D69)</f>
        <v>32</v>
      </c>
      <c r="F69" s="96" t="str">
        <f>IF(E69="","", IF(AND(B69 &gt;=8,C69&gt;=17,D69&gt;=8),"Pass","Fail"))</f>
        <v>Fail</v>
      </c>
      <c r="G69" s="96" t="str">
        <f>(IF(E69="","",IF(F69="Fail","F",IF(E69&gt;=80,"A+",IF(E69&gt;=70,"A",IF(E69&gt;=60,"A-",IF(E69&gt;=50,"B",IF(E69&gt;=40,"C",IF(E69&gt;=33,"D","F")))))))))</f>
        <v>F</v>
      </c>
      <c r="H69" s="97">
        <f>(IF(E69="","",IF(G69="F",0,IF(E69&gt;=80,5,IF(E69&gt;=70,4,IF(E69&gt;=60,3.5,IF(E69&gt;=50,3,IF(E69&gt;=40,2,IF(E69&gt;=33,1,0)))))))))</f>
        <v>0</v>
      </c>
    </row>
    <row r="70" spans="1:8" x14ac:dyDescent="0.35">
      <c r="A70" s="92">
        <f>'Student Basic Info'!A70</f>
        <v>569</v>
      </c>
      <c r="B70" s="93"/>
      <c r="C70" s="93"/>
      <c r="D70" s="94"/>
      <c r="E70" s="95" t="str">
        <f>IF(B70+C70+D70=0, "", B70+C70+D70)</f>
        <v/>
      </c>
      <c r="F70" s="96" t="str">
        <f>IF(E70="","", IF(AND(B70 &gt;=8,C70&gt;=17,D70&gt;=8),"Pass","Fail"))</f>
        <v/>
      </c>
      <c r="G70" s="96" t="str">
        <f>(IF(E70="","",IF(F70="Fail","F",IF(E70&gt;=80,"A+",IF(E70&gt;=70,"A",IF(E70&gt;=60,"A-",IF(E70&gt;=50,"B",IF(E70&gt;=40,"C",IF(E70&gt;=33,"D","F")))))))))</f>
        <v/>
      </c>
      <c r="H70" s="97" t="str">
        <f>(IF(E70="","",IF(G70="F",0,IF(E70&gt;=80,5,IF(E70&gt;=70,4,IF(E70&gt;=60,3.5,IF(E70&gt;=50,3,IF(E70&gt;=40,2,IF(E70&gt;=33,1,0)))))))))</f>
        <v/>
      </c>
    </row>
    <row r="71" spans="1:8" x14ac:dyDescent="0.35">
      <c r="A71" s="92">
        <f>'Student Basic Info'!A71</f>
        <v>570</v>
      </c>
      <c r="B71" s="93"/>
      <c r="C71" s="93"/>
      <c r="D71" s="94"/>
      <c r="E71" s="95" t="str">
        <f>IF(B71+C71+D71=0, "", B71+C71+D71)</f>
        <v/>
      </c>
      <c r="F71" s="96" t="str">
        <f>IF(E71="","", IF(AND(B71 &gt;=8,C71&gt;=17,D71&gt;=8),"Pass","Fail"))</f>
        <v/>
      </c>
      <c r="G71" s="96" t="str">
        <f>(IF(E71="","",IF(F71="Fail","F",IF(E71&gt;=80,"A+",IF(E71&gt;=70,"A",IF(E71&gt;=60,"A-",IF(E71&gt;=50,"B",IF(E71&gt;=40,"C",IF(E71&gt;=33,"D","F")))))))))</f>
        <v/>
      </c>
      <c r="H71" s="97" t="str">
        <f>(IF(E71="","",IF(G71="F",0,IF(E71&gt;=80,5,IF(E71&gt;=70,4,IF(E71&gt;=60,3.5,IF(E71&gt;=50,3,IF(E71&gt;=40,2,IF(E71&gt;=33,1,0)))))))))</f>
        <v/>
      </c>
    </row>
    <row r="72" spans="1:8" x14ac:dyDescent="0.35">
      <c r="A72" s="92">
        <f>'Student Basic Info'!A72</f>
        <v>571</v>
      </c>
      <c r="B72" s="93"/>
      <c r="C72" s="93"/>
      <c r="D72" s="94"/>
      <c r="E72" s="95" t="str">
        <f>IF(B72+C72+D72=0, "", B72+C72+D72)</f>
        <v/>
      </c>
      <c r="F72" s="96" t="str">
        <f>IF(E72="","", IF(AND(B72 &gt;=8,C72&gt;=17,D72&gt;=8),"Pass","Fail"))</f>
        <v/>
      </c>
      <c r="G72" s="96" t="str">
        <f>(IF(E72="","",IF(F72="Fail","F",IF(E72&gt;=80,"A+",IF(E72&gt;=70,"A",IF(E72&gt;=60,"A-",IF(E72&gt;=50,"B",IF(E72&gt;=40,"C",IF(E72&gt;=33,"D","F")))))))))</f>
        <v/>
      </c>
      <c r="H72" s="97" t="str">
        <f>(IF(E72="","",IF(G72="F",0,IF(E72&gt;=80,5,IF(E72&gt;=70,4,IF(E72&gt;=60,3.5,IF(E72&gt;=50,3,IF(E72&gt;=40,2,IF(E72&gt;=33,1,0)))))))))</f>
        <v/>
      </c>
    </row>
    <row r="73" spans="1:8" x14ac:dyDescent="0.35">
      <c r="A73" s="92">
        <f>'Student Basic Info'!A73</f>
        <v>572</v>
      </c>
      <c r="B73" s="93">
        <v>11</v>
      </c>
      <c r="C73" s="93">
        <v>2</v>
      </c>
      <c r="D73" s="94">
        <v>23</v>
      </c>
      <c r="E73" s="95">
        <f>IF(B73+C73+D73=0, "", B73+C73+D73)</f>
        <v>36</v>
      </c>
      <c r="F73" s="96" t="str">
        <f>IF(E73="","", IF(AND(B73 &gt;=8,C73&gt;=17,D73&gt;=8),"Pass","Fail"))</f>
        <v>Fail</v>
      </c>
      <c r="G73" s="96" t="str">
        <f>(IF(E73="","",IF(F73="Fail","F",IF(E73&gt;=80,"A+",IF(E73&gt;=70,"A",IF(E73&gt;=60,"A-",IF(E73&gt;=50,"B",IF(E73&gt;=40,"C",IF(E73&gt;=33,"D","F")))))))))</f>
        <v>F</v>
      </c>
      <c r="H73" s="97">
        <f>(IF(E73="","",IF(G73="F",0,IF(E73&gt;=80,5,IF(E73&gt;=70,4,IF(E73&gt;=60,3.5,IF(E73&gt;=50,3,IF(E73&gt;=40,2,IF(E73&gt;=33,1,0)))))))))</f>
        <v>0</v>
      </c>
    </row>
    <row r="74" spans="1:8" x14ac:dyDescent="0.35">
      <c r="A74" s="92">
        <f>'Student Basic Info'!A74</f>
        <v>573</v>
      </c>
      <c r="B74" s="93">
        <v>8</v>
      </c>
      <c r="C74" s="93">
        <v>2</v>
      </c>
      <c r="D74" s="94">
        <v>23</v>
      </c>
      <c r="E74" s="95">
        <f>IF(B74+C74+D74=0, "", B74+C74+D74)</f>
        <v>33</v>
      </c>
      <c r="F74" s="96" t="str">
        <f>IF(E74="","", IF(AND(B74 &gt;=8,C74&gt;=17,D74&gt;=8),"Pass","Fail"))</f>
        <v>Fail</v>
      </c>
      <c r="G74" s="96" t="str">
        <f>(IF(E74="","",IF(F74="Fail","F",IF(E74&gt;=80,"A+",IF(E74&gt;=70,"A",IF(E74&gt;=60,"A-",IF(E74&gt;=50,"B",IF(E74&gt;=40,"C",IF(E74&gt;=33,"D","F")))))))))</f>
        <v>F</v>
      </c>
      <c r="H74" s="97">
        <f>(IF(E74="","",IF(G74="F",0,IF(E74&gt;=80,5,IF(E74&gt;=70,4,IF(E74&gt;=60,3.5,IF(E74&gt;=50,3,IF(E74&gt;=40,2,IF(E74&gt;=33,1,0)))))))))</f>
        <v>0</v>
      </c>
    </row>
    <row r="75" spans="1:8" x14ac:dyDescent="0.35">
      <c r="A75" s="92">
        <f>'Student Basic Info'!A75</f>
        <v>574</v>
      </c>
      <c r="B75" s="93">
        <v>3</v>
      </c>
      <c r="C75" s="93">
        <v>1</v>
      </c>
      <c r="D75" s="94">
        <v>24</v>
      </c>
      <c r="E75" s="95">
        <f>IF(B75+C75+D75=0, "", B75+C75+D75)</f>
        <v>28</v>
      </c>
      <c r="F75" s="96" t="str">
        <f>IF(E75="","", IF(AND(B75 &gt;=8,C75&gt;=17,D75&gt;=8),"Pass","Fail"))</f>
        <v>Fail</v>
      </c>
      <c r="G75" s="96" t="str">
        <f>(IF(E75="","",IF(F75="Fail","F",IF(E75&gt;=80,"A+",IF(E75&gt;=70,"A",IF(E75&gt;=60,"A-",IF(E75&gt;=50,"B",IF(E75&gt;=40,"C",IF(E75&gt;=33,"D","F")))))))))</f>
        <v>F</v>
      </c>
      <c r="H75" s="97">
        <f>(IF(E75="","",IF(G75="F",0,IF(E75&gt;=80,5,IF(E75&gt;=70,4,IF(E75&gt;=60,3.5,IF(E75&gt;=50,3,IF(E75&gt;=40,2,IF(E75&gt;=33,1,0)))))))))</f>
        <v>0</v>
      </c>
    </row>
    <row r="76" spans="1:8" x14ac:dyDescent="0.35">
      <c r="A76" s="92">
        <f>'Student Basic Info'!A76</f>
        <v>575</v>
      </c>
      <c r="B76" s="93"/>
      <c r="C76" s="93"/>
      <c r="D76" s="94"/>
      <c r="E76" s="95" t="str">
        <f>IF(B76+C76+D76=0, "", B76+C76+D76)</f>
        <v/>
      </c>
      <c r="F76" s="96" t="str">
        <f>IF(E76="","", IF(AND(B76 &gt;=8,C76&gt;=17,D76&gt;=8),"Pass","Fail"))</f>
        <v/>
      </c>
      <c r="G76" s="96" t="str">
        <f>(IF(E76="","",IF(F76="Fail","F",IF(E76&gt;=80,"A+",IF(E76&gt;=70,"A",IF(E76&gt;=60,"A-",IF(E76&gt;=50,"B",IF(E76&gt;=40,"C",IF(E76&gt;=33,"D","F")))))))))</f>
        <v/>
      </c>
      <c r="H76" s="97" t="str">
        <f>(IF(E76="","",IF(G76="F",0,IF(E76&gt;=80,5,IF(E76&gt;=70,4,IF(E76&gt;=60,3.5,IF(E76&gt;=50,3,IF(E76&gt;=40,2,IF(E76&gt;=33,1,0)))))))))</f>
        <v/>
      </c>
    </row>
    <row r="77" spans="1:8" x14ac:dyDescent="0.35">
      <c r="A77" s="92">
        <f>'Student Basic Info'!A77</f>
        <v>576</v>
      </c>
      <c r="B77" s="93"/>
      <c r="C77" s="93"/>
      <c r="D77" s="94"/>
      <c r="E77" s="95" t="str">
        <f>IF(B77+C77+D77=0, "", B77+C77+D77)</f>
        <v/>
      </c>
      <c r="F77" s="96" t="str">
        <f>IF(E77="","", IF(AND(B77 &gt;=8,C77&gt;=17,D77&gt;=8),"Pass","Fail"))</f>
        <v/>
      </c>
      <c r="G77" s="96" t="str">
        <f>(IF(E77="","",IF(F77="Fail","F",IF(E77&gt;=80,"A+",IF(E77&gt;=70,"A",IF(E77&gt;=60,"A-",IF(E77&gt;=50,"B",IF(E77&gt;=40,"C",IF(E77&gt;=33,"D","F")))))))))</f>
        <v/>
      </c>
      <c r="H77" s="97" t="str">
        <f>(IF(E77="","",IF(G77="F",0,IF(E77&gt;=80,5,IF(E77&gt;=70,4,IF(E77&gt;=60,3.5,IF(E77&gt;=50,3,IF(E77&gt;=40,2,IF(E77&gt;=33,1,0)))))))))</f>
        <v/>
      </c>
    </row>
    <row r="78" spans="1:8" x14ac:dyDescent="0.35">
      <c r="A78" s="92">
        <f>'Student Basic Info'!A78</f>
        <v>577</v>
      </c>
      <c r="B78" s="93">
        <v>9</v>
      </c>
      <c r="C78" s="93">
        <v>4</v>
      </c>
      <c r="D78" s="94">
        <v>23</v>
      </c>
      <c r="E78" s="95">
        <f>IF(B78+C78+D78=0, "", B78+C78+D78)</f>
        <v>36</v>
      </c>
      <c r="F78" s="96" t="str">
        <f>IF(E78="","", IF(AND(B78 &gt;=8,C78&gt;=17,D78&gt;=8),"Pass","Fail"))</f>
        <v>Fail</v>
      </c>
      <c r="G78" s="96" t="str">
        <f>(IF(E78="","",IF(F78="Fail","F",IF(E78&gt;=80,"A+",IF(E78&gt;=70,"A",IF(E78&gt;=60,"A-",IF(E78&gt;=50,"B",IF(E78&gt;=40,"C",IF(E78&gt;=33,"D","F")))))))))</f>
        <v>F</v>
      </c>
      <c r="H78" s="97">
        <f>(IF(E78="","",IF(G78="F",0,IF(E78&gt;=80,5,IF(E78&gt;=70,4,IF(E78&gt;=60,3.5,IF(E78&gt;=50,3,IF(E78&gt;=40,2,IF(E78&gt;=33,1,0)))))))))</f>
        <v>0</v>
      </c>
    </row>
    <row r="79" spans="1:8" x14ac:dyDescent="0.35">
      <c r="A79" s="92">
        <f>'Student Basic Info'!A79</f>
        <v>578</v>
      </c>
      <c r="B79" s="93"/>
      <c r="C79" s="93"/>
      <c r="D79" s="94"/>
      <c r="E79" s="95" t="str">
        <f>IF(B79+C79+D79=0, "", B79+C79+D79)</f>
        <v/>
      </c>
      <c r="F79" s="96" t="str">
        <f>IF(E79="","", IF(AND(B79 &gt;=8,C79&gt;=17,D79&gt;=8),"Pass","Fail"))</f>
        <v/>
      </c>
      <c r="G79" s="96" t="str">
        <f>(IF(E79="","",IF(F79="Fail","F",IF(E79&gt;=80,"A+",IF(E79&gt;=70,"A",IF(E79&gt;=60,"A-",IF(E79&gt;=50,"B",IF(E79&gt;=40,"C",IF(E79&gt;=33,"D","F")))))))))</f>
        <v/>
      </c>
      <c r="H79" s="97" t="str">
        <f>(IF(E79="","",IF(G79="F",0,IF(E79&gt;=80,5,IF(E79&gt;=70,4,IF(E79&gt;=60,3.5,IF(E79&gt;=50,3,IF(E79&gt;=40,2,IF(E79&gt;=33,1,0)))))))))</f>
        <v/>
      </c>
    </row>
    <row r="80" spans="1:8" x14ac:dyDescent="0.35">
      <c r="A80" s="92">
        <f>'Student Basic Info'!A80</f>
        <v>579</v>
      </c>
      <c r="B80" s="93"/>
      <c r="C80" s="93"/>
      <c r="D80" s="94"/>
      <c r="E80" s="95" t="str">
        <f>IF(B80+C80+D80=0, "", B80+C80+D80)</f>
        <v/>
      </c>
      <c r="F80" s="96" t="str">
        <f>IF(E80="","", IF(AND(B80 &gt;=8,C80&gt;=17,D80&gt;=8),"Pass","Fail"))</f>
        <v/>
      </c>
      <c r="G80" s="96" t="str">
        <f>(IF(E80="","",IF(F80="Fail","F",IF(E80&gt;=80,"A+",IF(E80&gt;=70,"A",IF(E80&gt;=60,"A-",IF(E80&gt;=50,"B",IF(E80&gt;=40,"C",IF(E80&gt;=33,"D","F")))))))))</f>
        <v/>
      </c>
      <c r="H80" s="97" t="str">
        <f>(IF(E80="","",IF(G80="F",0,IF(E80&gt;=80,5,IF(E80&gt;=70,4,IF(E80&gt;=60,3.5,IF(E80&gt;=50,3,IF(E80&gt;=40,2,IF(E80&gt;=33,1,0)))))))))</f>
        <v/>
      </c>
    </row>
    <row r="81" spans="1:8" x14ac:dyDescent="0.35">
      <c r="A81" s="92">
        <f>'Student Basic Info'!A81</f>
        <v>580</v>
      </c>
      <c r="B81" s="93"/>
      <c r="C81" s="93"/>
      <c r="D81" s="94"/>
      <c r="E81" s="95" t="str">
        <f>IF(B81+C81+D81=0, "", B81+C81+D81)</f>
        <v/>
      </c>
      <c r="F81" s="96" t="str">
        <f>IF(E81="","", IF(AND(B81 &gt;=8,C81&gt;=17,D81&gt;=8),"Pass","Fail"))</f>
        <v/>
      </c>
      <c r="G81" s="96" t="str">
        <f>(IF(E81="","",IF(F81="Fail","F",IF(E81&gt;=80,"A+",IF(E81&gt;=70,"A",IF(E81&gt;=60,"A-",IF(E81&gt;=50,"B",IF(E81&gt;=40,"C",IF(E81&gt;=33,"D","F")))))))))</f>
        <v/>
      </c>
      <c r="H81" s="97" t="str">
        <f>(IF(E81="","",IF(G81="F",0,IF(E81&gt;=80,5,IF(E81&gt;=70,4,IF(E81&gt;=60,3.5,IF(E81&gt;=50,3,IF(E81&gt;=40,2,IF(E81&gt;=33,1,0)))))))))</f>
        <v/>
      </c>
    </row>
    <row r="82" spans="1:8" x14ac:dyDescent="0.35">
      <c r="A82" s="92">
        <f>'Student Basic Info'!A82</f>
        <v>581</v>
      </c>
      <c r="B82" s="93">
        <v>7</v>
      </c>
      <c r="C82" s="93">
        <v>1</v>
      </c>
      <c r="D82" s="94">
        <v>8</v>
      </c>
      <c r="E82" s="95">
        <f>IF(B82+C82+D82=0, "", B82+C82+D82)</f>
        <v>16</v>
      </c>
      <c r="F82" s="96" t="str">
        <f>IF(E82="","", IF(AND(B82 &gt;=8,C82&gt;=17,D82&gt;=8),"Pass","Fail"))</f>
        <v>Fail</v>
      </c>
      <c r="G82" s="96" t="str">
        <f>(IF(E82="","",IF(F82="Fail","F",IF(E82&gt;=80,"A+",IF(E82&gt;=70,"A",IF(E82&gt;=60,"A-",IF(E82&gt;=50,"B",IF(E82&gt;=40,"C",IF(E82&gt;=33,"D","F")))))))))</f>
        <v>F</v>
      </c>
      <c r="H82" s="97">
        <f>(IF(E82="","",IF(G82="F",0,IF(E82&gt;=80,5,IF(E82&gt;=70,4,IF(E82&gt;=60,3.5,IF(E82&gt;=50,3,IF(E82&gt;=40,2,IF(E82&gt;=33,1,0)))))))))</f>
        <v>0</v>
      </c>
    </row>
    <row r="83" spans="1:8" x14ac:dyDescent="0.35">
      <c r="A83" s="92">
        <f>'Student Basic Info'!A83</f>
        <v>582</v>
      </c>
      <c r="B83" s="93"/>
      <c r="C83" s="93"/>
      <c r="D83" s="94"/>
      <c r="E83" s="95" t="str">
        <f>IF(B83+C83+D83=0, "", B83+C83+D83)</f>
        <v/>
      </c>
      <c r="F83" s="96" t="str">
        <f>IF(E83="","", IF(AND(B83 &gt;=8,C83&gt;=17,D83&gt;=8),"Pass","Fail"))</f>
        <v/>
      </c>
      <c r="G83" s="96" t="str">
        <f>(IF(E83="","",IF(F83="Fail","F",IF(E83&gt;=80,"A+",IF(E83&gt;=70,"A",IF(E83&gt;=60,"A-",IF(E83&gt;=50,"B",IF(E83&gt;=40,"C",IF(E83&gt;=33,"D","F")))))))))</f>
        <v/>
      </c>
      <c r="H83" s="97" t="str">
        <f>(IF(E83="","",IF(G83="F",0,IF(E83&gt;=80,5,IF(E83&gt;=70,4,IF(E83&gt;=60,3.5,IF(E83&gt;=50,3,IF(E83&gt;=40,2,IF(E83&gt;=33,1,0)))))))))</f>
        <v/>
      </c>
    </row>
    <row r="84" spans="1:8" x14ac:dyDescent="0.35">
      <c r="A84" s="92">
        <f>'Student Basic Info'!A84</f>
        <v>583</v>
      </c>
      <c r="B84" s="93"/>
      <c r="C84" s="93"/>
      <c r="D84" s="94"/>
      <c r="E84" s="95" t="str">
        <f>IF(B84+C84+D84=0, "", B84+C84+D84)</f>
        <v/>
      </c>
      <c r="F84" s="96" t="str">
        <f>IF(E84="","", IF(AND(B84 &gt;=8,C84&gt;=17,D84&gt;=8),"Pass","Fail"))</f>
        <v/>
      </c>
      <c r="G84" s="96" t="str">
        <f>(IF(E84="","",IF(F84="Fail","F",IF(E84&gt;=80,"A+",IF(E84&gt;=70,"A",IF(E84&gt;=60,"A-",IF(E84&gt;=50,"B",IF(E84&gt;=40,"C",IF(E84&gt;=33,"D","F")))))))))</f>
        <v/>
      </c>
      <c r="H84" s="97" t="str">
        <f>(IF(E84="","",IF(G84="F",0,IF(E84&gt;=80,5,IF(E84&gt;=70,4,IF(E84&gt;=60,3.5,IF(E84&gt;=50,3,IF(E84&gt;=40,2,IF(E84&gt;=33,1,0)))))))))</f>
        <v/>
      </c>
    </row>
    <row r="85" spans="1:8" x14ac:dyDescent="0.35">
      <c r="A85" s="92">
        <f>'Student Basic Info'!A85</f>
        <v>584</v>
      </c>
      <c r="B85" s="93">
        <v>17</v>
      </c>
      <c r="C85" s="93">
        <v>5</v>
      </c>
      <c r="D85" s="94">
        <v>8</v>
      </c>
      <c r="E85" s="95">
        <f>IF(B85+C85+D85=0, "", B85+C85+D85)</f>
        <v>30</v>
      </c>
      <c r="F85" s="96" t="str">
        <f>IF(E85="","", IF(AND(B85 &gt;=8,C85&gt;=17,D85&gt;=8),"Pass","Fail"))</f>
        <v>Fail</v>
      </c>
      <c r="G85" s="96" t="str">
        <f>(IF(E85="","",IF(F85="Fail","F",IF(E85&gt;=80,"A+",IF(E85&gt;=70,"A",IF(E85&gt;=60,"A-",IF(E85&gt;=50,"B",IF(E85&gt;=40,"C",IF(E85&gt;=33,"D","F")))))))))</f>
        <v>F</v>
      </c>
      <c r="H85" s="97">
        <f>(IF(E85="","",IF(G85="F",0,IF(E85&gt;=80,5,IF(E85&gt;=70,4,IF(E85&gt;=60,3.5,IF(E85&gt;=50,3,IF(E85&gt;=40,2,IF(E85&gt;=33,1,0)))))))))</f>
        <v>0</v>
      </c>
    </row>
    <row r="86" spans="1:8" x14ac:dyDescent="0.35">
      <c r="A86" s="92">
        <f>'Student Basic Info'!A86</f>
        <v>585</v>
      </c>
      <c r="B86" s="93">
        <v>9</v>
      </c>
      <c r="C86" s="93">
        <v>7</v>
      </c>
      <c r="D86" s="94">
        <v>8</v>
      </c>
      <c r="E86" s="95">
        <f>IF(B86+C86+D86=0, "", B86+C86+D86)</f>
        <v>24</v>
      </c>
      <c r="F86" s="96" t="str">
        <f>IF(E86="","", IF(AND(B86 &gt;=8,C86&gt;=17,D86&gt;=8),"Pass","Fail"))</f>
        <v>Fail</v>
      </c>
      <c r="G86" s="96" t="str">
        <f>(IF(E86="","",IF(F86="Fail","F",IF(E86&gt;=80,"A+",IF(E86&gt;=70,"A",IF(E86&gt;=60,"A-",IF(E86&gt;=50,"B",IF(E86&gt;=40,"C",IF(E86&gt;=33,"D","F")))))))))</f>
        <v>F</v>
      </c>
      <c r="H86" s="97">
        <f>(IF(E86="","",IF(G86="F",0,IF(E86&gt;=80,5,IF(E86&gt;=70,4,IF(E86&gt;=60,3.5,IF(E86&gt;=50,3,IF(E86&gt;=40,2,IF(E86&gt;=33,1,0)))))))))</f>
        <v>0</v>
      </c>
    </row>
    <row r="87" spans="1:8" x14ac:dyDescent="0.35">
      <c r="A87" s="92">
        <f>'Student Basic Info'!A87</f>
        <v>586</v>
      </c>
      <c r="B87" s="93">
        <v>17</v>
      </c>
      <c r="C87" s="93">
        <v>11</v>
      </c>
      <c r="D87" s="94">
        <v>8</v>
      </c>
      <c r="E87" s="95">
        <f>IF(B87+C87+D87=0, "", B87+C87+D87)</f>
        <v>36</v>
      </c>
      <c r="F87" s="96" t="str">
        <f>IF(E87="","", IF(AND(B87 &gt;=8,C87&gt;=17,D87&gt;=8),"Pass","Fail"))</f>
        <v>Fail</v>
      </c>
      <c r="G87" s="96" t="str">
        <f>(IF(E87="","",IF(F87="Fail","F",IF(E87&gt;=80,"A+",IF(E87&gt;=70,"A",IF(E87&gt;=60,"A-",IF(E87&gt;=50,"B",IF(E87&gt;=40,"C",IF(E87&gt;=33,"D","F")))))))))</f>
        <v>F</v>
      </c>
      <c r="H87" s="97">
        <f>(IF(E87="","",IF(G87="F",0,IF(E87&gt;=80,5,IF(E87&gt;=70,4,IF(E87&gt;=60,3.5,IF(E87&gt;=50,3,IF(E87&gt;=40,2,IF(E87&gt;=33,1,0)))))))))</f>
        <v>0</v>
      </c>
    </row>
    <row r="88" spans="1:8" x14ac:dyDescent="0.35">
      <c r="A88" s="92">
        <f>'Student Basic Info'!A88</f>
        <v>587</v>
      </c>
      <c r="B88" s="93">
        <v>8</v>
      </c>
      <c r="C88" s="93">
        <v>11</v>
      </c>
      <c r="D88" s="94">
        <v>18</v>
      </c>
      <c r="E88" s="95">
        <f>IF(B88+C88+D88=0, "", B88+C88+D88)</f>
        <v>37</v>
      </c>
      <c r="F88" s="96" t="str">
        <f>IF(E88="","", IF(AND(B88 &gt;=8,C88&gt;=17,D88&gt;=8),"Pass","Fail"))</f>
        <v>Fail</v>
      </c>
      <c r="G88" s="96" t="str">
        <f>(IF(E88="","",IF(F88="Fail","F",IF(E88&gt;=80,"A+",IF(E88&gt;=70,"A",IF(E88&gt;=60,"A-",IF(E88&gt;=50,"B",IF(E88&gt;=40,"C",IF(E88&gt;=33,"D","F")))))))))</f>
        <v>F</v>
      </c>
      <c r="H88" s="97">
        <f>(IF(E88="","",IF(G88="F",0,IF(E88&gt;=80,5,IF(E88&gt;=70,4,IF(E88&gt;=60,3.5,IF(E88&gt;=50,3,IF(E88&gt;=40,2,IF(E88&gt;=33,1,0)))))))))</f>
        <v>0</v>
      </c>
    </row>
    <row r="89" spans="1:8" x14ac:dyDescent="0.35">
      <c r="A89" s="92">
        <f>'Student Basic Info'!A89</f>
        <v>588</v>
      </c>
      <c r="B89" s="93">
        <v>10</v>
      </c>
      <c r="C89" s="93">
        <v>12</v>
      </c>
      <c r="D89" s="93">
        <v>18</v>
      </c>
      <c r="E89" s="95">
        <f>IF(B89+C89+D89=0, "", B89+C89+D89)</f>
        <v>40</v>
      </c>
      <c r="F89" s="96" t="str">
        <f>IF(E89="","", IF(AND(B89 &gt;=8,C89&gt;=17,D89&gt;=8),"Pass","Fail"))</f>
        <v>Fail</v>
      </c>
      <c r="G89" s="96" t="str">
        <f>(IF(E89="","",IF(F89="Fail","F",IF(E89&gt;=80,"A+",IF(E89&gt;=70,"A",IF(E89&gt;=60,"A-",IF(E89&gt;=50,"B",IF(E89&gt;=40,"C",IF(E89&gt;=33,"D","F")))))))))</f>
        <v>F</v>
      </c>
      <c r="H89" s="97">
        <f>(IF(E89="","",IF(G89="F",0,IF(E89&gt;=80,5,IF(E89&gt;=70,4,IF(E89&gt;=60,3.5,IF(E89&gt;=50,3,IF(E89&gt;=40,2,IF(E89&gt;=33,1,0)))))))))</f>
        <v>0</v>
      </c>
    </row>
    <row r="90" spans="1:8" x14ac:dyDescent="0.35">
      <c r="A90" s="92">
        <f>'Student Basic Info'!A90</f>
        <v>589</v>
      </c>
      <c r="B90" s="93"/>
      <c r="C90" s="93"/>
      <c r="D90" s="93"/>
      <c r="E90" s="95" t="str">
        <f>IF(B90+C90+D90=0, "", B90+C90+D90)</f>
        <v/>
      </c>
      <c r="F90" s="96" t="str">
        <f>IF(E90="","", IF(AND(B90 &gt;=8,C90&gt;=17,D90&gt;=8),"Pass","Fail"))</f>
        <v/>
      </c>
      <c r="G90" s="96" t="str">
        <f>(IF(E90="","",IF(F90="Fail","F",IF(E90&gt;=80,"A+",IF(E90&gt;=70,"A",IF(E90&gt;=60,"A-",IF(E90&gt;=50,"B",IF(E90&gt;=40,"C",IF(E90&gt;=33,"D","F")))))))))</f>
        <v/>
      </c>
      <c r="H90" s="97" t="str">
        <f>(IF(E90="","",IF(G90="F",0,IF(E90&gt;=80,5,IF(E90&gt;=70,4,IF(E90&gt;=60,3.5,IF(E90&gt;=50,3,IF(E90&gt;=40,2,IF(E90&gt;=33,1,0)))))))))</f>
        <v/>
      </c>
    </row>
    <row r="91" spans="1:8" x14ac:dyDescent="0.35">
      <c r="A91" s="92">
        <f>'Student Basic Info'!A91</f>
        <v>590</v>
      </c>
      <c r="B91" s="93"/>
      <c r="C91" s="93"/>
      <c r="D91" s="93"/>
      <c r="E91" s="95" t="str">
        <f>IF(B91+C91+D91=0, "", B91+C91+D91)</f>
        <v/>
      </c>
      <c r="F91" s="96" t="str">
        <f>IF(E91="","", IF(AND(B91 &gt;=8,C91&gt;=17,D91&gt;=8),"Pass","Fail"))</f>
        <v/>
      </c>
      <c r="G91" s="96" t="str">
        <f>(IF(E91="","",IF(F91="Fail","F",IF(E91&gt;=80,"A+",IF(E91&gt;=70,"A",IF(E91&gt;=60,"A-",IF(E91&gt;=50,"B",IF(E91&gt;=40,"C",IF(E91&gt;=33,"D","F")))))))))</f>
        <v/>
      </c>
      <c r="H91" s="97" t="str">
        <f>(IF(E91="","",IF(G91="F",0,IF(E91&gt;=80,5,IF(E91&gt;=70,4,IF(E91&gt;=60,3.5,IF(E91&gt;=50,3,IF(E91&gt;=40,2,IF(E91&gt;=33,1,0)))))))))</f>
        <v/>
      </c>
    </row>
    <row r="92" spans="1:8" x14ac:dyDescent="0.35">
      <c r="A92" s="92">
        <f>'Student Basic Info'!A92</f>
        <v>591</v>
      </c>
      <c r="B92" s="93">
        <v>10</v>
      </c>
      <c r="C92" s="93">
        <v>19</v>
      </c>
      <c r="D92" s="93">
        <v>24</v>
      </c>
      <c r="E92" s="95">
        <f>IF(B92+C92+D92=0, "", B92+C92+D92)</f>
        <v>53</v>
      </c>
      <c r="F92" s="96" t="str">
        <f>IF(E92="","", IF(AND(B92 &gt;=8,C92&gt;=17,D92&gt;=8),"Pass","Fail"))</f>
        <v>Pass</v>
      </c>
      <c r="G92" s="96" t="str">
        <f>(IF(E92="","",IF(F92="Fail","F",IF(E92&gt;=80,"A+",IF(E92&gt;=70,"A",IF(E92&gt;=60,"A-",IF(E92&gt;=50,"B",IF(E92&gt;=40,"C",IF(E92&gt;=33,"D","F")))))))))</f>
        <v>B</v>
      </c>
      <c r="H92" s="97">
        <f>(IF(E92="","",IF(G92="F",0,IF(E92&gt;=80,5,IF(E92&gt;=70,4,IF(E92&gt;=60,3.5,IF(E92&gt;=50,3,IF(E92&gt;=40,2,IF(E92&gt;=33,1,0)))))))))</f>
        <v>3</v>
      </c>
    </row>
    <row r="93" spans="1:8" x14ac:dyDescent="0.35">
      <c r="A93" s="92">
        <f>'Student Basic Info'!A93</f>
        <v>592</v>
      </c>
      <c r="B93" s="93">
        <v>8</v>
      </c>
      <c r="C93" s="93">
        <v>7</v>
      </c>
      <c r="D93" s="93">
        <v>20</v>
      </c>
      <c r="E93" s="95">
        <f>IF(B93+C93+D93=0, "", B93+C93+D93)</f>
        <v>35</v>
      </c>
      <c r="F93" s="96" t="str">
        <f>IF(E93="","", IF(AND(B93 &gt;=8,C93&gt;=17,D93&gt;=8),"Pass","Fail"))</f>
        <v>Fail</v>
      </c>
      <c r="G93" s="96" t="str">
        <f>(IF(E93="","",IF(F93="Fail","F",IF(E93&gt;=80,"A+",IF(E93&gt;=70,"A",IF(E93&gt;=60,"A-",IF(E93&gt;=50,"B",IF(E93&gt;=40,"C",IF(E93&gt;=33,"D","F")))))))))</f>
        <v>F</v>
      </c>
      <c r="H93" s="97">
        <f>(IF(E93="","",IF(G93="F",0,IF(E93&gt;=80,5,IF(E93&gt;=70,4,IF(E93&gt;=60,3.5,IF(E93&gt;=50,3,IF(E93&gt;=40,2,IF(E93&gt;=33,1,0)))))))))</f>
        <v>0</v>
      </c>
    </row>
    <row r="94" spans="1:8" x14ac:dyDescent="0.35">
      <c r="A94" s="92">
        <f>'Student Basic Info'!A94</f>
        <v>593</v>
      </c>
      <c r="B94" s="93">
        <v>10</v>
      </c>
      <c r="C94" s="93">
        <v>5</v>
      </c>
      <c r="D94" s="93">
        <v>20</v>
      </c>
      <c r="E94" s="95">
        <f>IF(B94+C94+D94=0, "", B94+C94+D94)</f>
        <v>35</v>
      </c>
      <c r="F94" s="96" t="str">
        <f>IF(E94="","", IF(AND(B94 &gt;=8,C94&gt;=17,D94&gt;=8),"Pass","Fail"))</f>
        <v>Fail</v>
      </c>
      <c r="G94" s="96" t="str">
        <f>(IF(E94="","",IF(F94="Fail","F",IF(E94&gt;=80,"A+",IF(E94&gt;=70,"A",IF(E94&gt;=60,"A-",IF(E94&gt;=50,"B",IF(E94&gt;=40,"C",IF(E94&gt;=33,"D","F")))))))))</f>
        <v>F</v>
      </c>
      <c r="H94" s="97">
        <f>(IF(E94="","",IF(G94="F",0,IF(E94&gt;=80,5,IF(E94&gt;=70,4,IF(E94&gt;=60,3.5,IF(E94&gt;=50,3,IF(E94&gt;=40,2,IF(E94&gt;=33,1,0)))))))))</f>
        <v>0</v>
      </c>
    </row>
    <row r="95" spans="1:8" x14ac:dyDescent="0.35">
      <c r="A95" s="92">
        <f>'Student Basic Info'!A95</f>
        <v>594</v>
      </c>
      <c r="B95" s="93"/>
      <c r="C95" s="93"/>
      <c r="D95" s="93"/>
      <c r="E95" s="95" t="str">
        <f>IF(B95+C95+D95=0, "", B95+C95+D95)</f>
        <v/>
      </c>
      <c r="F95" s="96" t="str">
        <f>IF(E95="","", IF(AND(B95 &gt;=8,C95&gt;=17,D95&gt;=8),"Pass","Fail"))</f>
        <v/>
      </c>
      <c r="G95" s="96" t="str">
        <f>(IF(E95="","",IF(F95="Fail","F",IF(E95&gt;=80,"A+",IF(E95&gt;=70,"A",IF(E95&gt;=60,"A-",IF(E95&gt;=50,"B",IF(E95&gt;=40,"C",IF(E95&gt;=33,"D","F")))))))))</f>
        <v/>
      </c>
      <c r="H95" s="97" t="str">
        <f>(IF(E95="","",IF(G95="F",0,IF(E95&gt;=80,5,IF(E95&gt;=70,4,IF(E95&gt;=60,3.5,IF(E95&gt;=50,3,IF(E95&gt;=40,2,IF(E95&gt;=33,1,0)))))))))</f>
        <v/>
      </c>
    </row>
    <row r="96" spans="1:8" x14ac:dyDescent="0.35">
      <c r="A96" s="92">
        <f>'Student Basic Info'!A96</f>
        <v>595</v>
      </c>
      <c r="B96" s="93"/>
      <c r="C96" s="93"/>
      <c r="D96" s="93"/>
      <c r="E96" s="95" t="str">
        <f>IF(B96+C96+D96=0, "", B96+C96+D96)</f>
        <v/>
      </c>
      <c r="F96" s="96" t="str">
        <f>IF(E96="","", IF(AND(B96 &gt;=8,C96&gt;=17,D96&gt;=8),"Pass","Fail"))</f>
        <v/>
      </c>
      <c r="G96" s="96" t="str">
        <f>(IF(E96="","",IF(F96="Fail","F",IF(E96&gt;=80,"A+",IF(E96&gt;=70,"A",IF(E96&gt;=60,"A-",IF(E96&gt;=50,"B",IF(E96&gt;=40,"C",IF(E96&gt;=33,"D","F")))))))))</f>
        <v/>
      </c>
      <c r="H96" s="97" t="str">
        <f>(IF(E96="","",IF(G96="F",0,IF(E96&gt;=80,5,IF(E96&gt;=70,4,IF(E96&gt;=60,3.5,IF(E96&gt;=50,3,IF(E96&gt;=40,2,IF(E96&gt;=33,1,0)))))))))</f>
        <v/>
      </c>
    </row>
    <row r="97" spans="1:8" x14ac:dyDescent="0.35">
      <c r="A97" s="92">
        <f>'Student Basic Info'!A97</f>
        <v>596</v>
      </c>
      <c r="B97" s="93"/>
      <c r="C97" s="93"/>
      <c r="D97" s="93"/>
      <c r="E97" s="95" t="str">
        <f>IF(B97+C97+D97=0, "", B97+C97+D97)</f>
        <v/>
      </c>
      <c r="F97" s="96" t="str">
        <f>IF(E97="","", IF(AND(B97 &gt;=8,C97&gt;=17,D97&gt;=8),"Pass","Fail"))</f>
        <v/>
      </c>
      <c r="G97" s="96" t="str">
        <f>(IF(E97="","",IF(F97="Fail","F",IF(E97&gt;=80,"A+",IF(E97&gt;=70,"A",IF(E97&gt;=60,"A-",IF(E97&gt;=50,"B",IF(E97&gt;=40,"C",IF(E97&gt;=33,"D","F")))))))))</f>
        <v/>
      </c>
      <c r="H97" s="97" t="str">
        <f>(IF(E97="","",IF(G97="F",0,IF(E97&gt;=80,5,IF(E97&gt;=70,4,IF(E97&gt;=60,3.5,IF(E97&gt;=50,3,IF(E97&gt;=40,2,IF(E97&gt;=33,1,0)))))))))</f>
        <v/>
      </c>
    </row>
    <row r="98" spans="1:8" x14ac:dyDescent="0.35">
      <c r="A98" s="92">
        <f>'Student Basic Info'!A98</f>
        <v>597</v>
      </c>
      <c r="B98" s="93"/>
      <c r="C98" s="93"/>
      <c r="D98" s="93"/>
      <c r="E98" s="95" t="str">
        <f>IF(B98+C98+D98=0, "", B98+C98+D98)</f>
        <v/>
      </c>
      <c r="F98" s="96" t="str">
        <f>IF(E98="","", IF(AND(B98 &gt;=8,C98&gt;=17,D98&gt;=8),"Pass","Fail"))</f>
        <v/>
      </c>
      <c r="G98" s="96" t="str">
        <f>(IF(E98="","",IF(F98="Fail","F",IF(E98&gt;=80,"A+",IF(E98&gt;=70,"A",IF(E98&gt;=60,"A-",IF(E98&gt;=50,"B",IF(E98&gt;=40,"C",IF(E98&gt;=33,"D","F")))))))))</f>
        <v/>
      </c>
      <c r="H98" s="97" t="str">
        <f>(IF(E98="","",IF(G98="F",0,IF(E98&gt;=80,5,IF(E98&gt;=70,4,IF(E98&gt;=60,3.5,IF(E98&gt;=50,3,IF(E98&gt;=40,2,IF(E98&gt;=33,1,0)))))))))</f>
        <v/>
      </c>
    </row>
    <row r="99" spans="1:8" x14ac:dyDescent="0.35">
      <c r="A99" s="92">
        <f>'Student Basic Info'!A99</f>
        <v>598</v>
      </c>
      <c r="B99" s="93"/>
      <c r="C99" s="93"/>
      <c r="D99" s="93"/>
      <c r="E99" s="95" t="str">
        <f>IF(B99+C99+D99=0, "", B99+C99+D99)</f>
        <v/>
      </c>
      <c r="F99" s="96" t="str">
        <f>IF(E99="","", IF(AND(B99 &gt;=8,C99&gt;=17,D99&gt;=8),"Pass","Fail"))</f>
        <v/>
      </c>
      <c r="G99" s="96" t="str">
        <f>(IF(E99="","",IF(F99="Fail","F",IF(E99&gt;=80,"A+",IF(E99&gt;=70,"A",IF(E99&gt;=60,"A-",IF(E99&gt;=50,"B",IF(E99&gt;=40,"C",IF(E99&gt;=33,"D","F")))))))))</f>
        <v/>
      </c>
      <c r="H99" s="97" t="str">
        <f>(IF(E99="","",IF(G99="F",0,IF(E99&gt;=80,5,IF(E99&gt;=70,4,IF(E99&gt;=60,3.5,IF(E99&gt;=50,3,IF(E99&gt;=40,2,IF(E99&gt;=33,1,0)))))))))</f>
        <v/>
      </c>
    </row>
    <row r="100" spans="1:8" x14ac:dyDescent="0.35">
      <c r="A100" s="92">
        <f>'Student Basic Info'!A100</f>
        <v>599</v>
      </c>
      <c r="B100" s="93"/>
      <c r="C100" s="93"/>
      <c r="D100" s="93"/>
      <c r="E100" s="95" t="str">
        <f>IF(B100+C100+D100=0, "", B100+C100+D100)</f>
        <v/>
      </c>
      <c r="F100" s="96" t="str">
        <f>IF(E100="","", IF(AND(B100 &gt;=8,C100&gt;=17,D100&gt;=8),"Pass","Fail"))</f>
        <v/>
      </c>
      <c r="G100" s="96" t="str">
        <f>(IF(E100="","",IF(F100="Fail","F",IF(E100&gt;=80,"A+",IF(E100&gt;=70,"A",IF(E100&gt;=60,"A-",IF(E100&gt;=50,"B",IF(E100&gt;=40,"C",IF(E100&gt;=33,"D","F")))))))))</f>
        <v/>
      </c>
      <c r="H100" s="97" t="str">
        <f>(IF(E100="","",IF(G100="F",0,IF(E100&gt;=80,5,IF(E100&gt;=70,4,IF(E100&gt;=60,3.5,IF(E100&gt;=50,3,IF(E100&gt;=40,2,IF(E100&gt;=33,1,0)))))))))</f>
        <v/>
      </c>
    </row>
    <row r="101" spans="1:8" x14ac:dyDescent="0.35">
      <c r="A101" s="92">
        <f>'Student Basic Info'!A101</f>
        <v>600</v>
      </c>
      <c r="B101" s="93">
        <v>5</v>
      </c>
      <c r="C101" s="93">
        <v>9</v>
      </c>
      <c r="D101" s="93">
        <v>24</v>
      </c>
      <c r="E101" s="95">
        <f>IF(B101+C101+D101=0, "", B101+C101+D101)</f>
        <v>38</v>
      </c>
      <c r="F101" s="96" t="str">
        <f>IF(E101="","", IF(AND(B101 &gt;=8,C101&gt;=17,D101&gt;=8),"Pass","Fail"))</f>
        <v>Fail</v>
      </c>
      <c r="G101" s="96" t="str">
        <f>(IF(E101="","",IF(F101="Fail","F",IF(E101&gt;=80,"A+",IF(E101&gt;=70,"A",IF(E101&gt;=60,"A-",IF(E101&gt;=50,"B",IF(E101&gt;=40,"C",IF(E101&gt;=33,"D","F")))))))))</f>
        <v>F</v>
      </c>
      <c r="H101" s="97">
        <f>(IF(E101="","",IF(G101="F",0,IF(E101&gt;=80,5,IF(E101&gt;=70,4,IF(E101&gt;=60,3.5,IF(E101&gt;=50,3,IF(E101&gt;=40,2,IF(E101&gt;=33,1,0)))))))))</f>
        <v>0</v>
      </c>
    </row>
    <row r="102" spans="1:8" x14ac:dyDescent="0.35">
      <c r="A102" s="92">
        <f>'Student Basic Info'!A102</f>
        <v>601</v>
      </c>
      <c r="B102" s="93">
        <v>10</v>
      </c>
      <c r="C102" s="93">
        <v>2</v>
      </c>
      <c r="D102" s="93">
        <v>8</v>
      </c>
      <c r="E102" s="95">
        <f>IF(B102+C102+D102=0, "", B102+C102+D102)</f>
        <v>20</v>
      </c>
      <c r="F102" s="96" t="str">
        <f>IF(E102="","", IF(AND(B102 &gt;=8,C102&gt;=17,D102&gt;=8),"Pass","Fail"))</f>
        <v>Fail</v>
      </c>
      <c r="G102" s="96" t="str">
        <f>(IF(E102="","",IF(F102="Fail","F",IF(E102&gt;=80,"A+",IF(E102&gt;=70,"A",IF(E102&gt;=60,"A-",IF(E102&gt;=50,"B",IF(E102&gt;=40,"C",IF(E102&gt;=33,"D","F")))))))))</f>
        <v>F</v>
      </c>
      <c r="H102" s="97">
        <f>(IF(E102="","",IF(G102="F",0,IF(E102&gt;=80,5,IF(E102&gt;=70,4,IF(E102&gt;=60,3.5,IF(E102&gt;=50,3,IF(E102&gt;=40,2,IF(E102&gt;=33,1,0)))))))))</f>
        <v>0</v>
      </c>
    </row>
    <row r="103" spans="1:8" x14ac:dyDescent="0.35">
      <c r="A103" s="92">
        <f>'Student Basic Info'!A103</f>
        <v>602</v>
      </c>
      <c r="B103" s="93"/>
      <c r="C103" s="93"/>
      <c r="D103" s="93"/>
      <c r="E103" s="95" t="str">
        <f>IF(B103+C103+D103=0, "", B103+C103+D103)</f>
        <v/>
      </c>
      <c r="F103" s="96" t="str">
        <f>IF(E103="","", IF(AND(B103 &gt;=8,C103&gt;=17,D103&gt;=8),"Pass","Fail"))</f>
        <v/>
      </c>
      <c r="G103" s="96" t="str">
        <f>(IF(E103="","",IF(F103="Fail","F",IF(E103&gt;=80,"A+",IF(E103&gt;=70,"A",IF(E103&gt;=60,"A-",IF(E103&gt;=50,"B",IF(E103&gt;=40,"C",IF(E103&gt;=33,"D","F")))))))))</f>
        <v/>
      </c>
      <c r="H103" s="97" t="str">
        <f>(IF(E103="","",IF(G103="F",0,IF(E103&gt;=80,5,IF(E103&gt;=70,4,IF(E103&gt;=60,3.5,IF(E103&gt;=50,3,IF(E103&gt;=40,2,IF(E103&gt;=33,1,0)))))))))</f>
        <v/>
      </c>
    </row>
    <row r="104" spans="1:8" x14ac:dyDescent="0.35">
      <c r="A104" s="92">
        <f>'Student Basic Info'!A104</f>
        <v>603</v>
      </c>
      <c r="B104" s="93"/>
      <c r="C104" s="93"/>
      <c r="D104" s="93"/>
      <c r="E104" s="95" t="str">
        <f>IF(B104+C104+D104=0, "", B104+C104+D104)</f>
        <v/>
      </c>
      <c r="F104" s="96" t="str">
        <f>IF(E104="","", IF(AND(B104 &gt;=8,C104&gt;=17,D104&gt;=8),"Pass","Fail"))</f>
        <v/>
      </c>
      <c r="G104" s="96" t="str">
        <f>(IF(E104="","",IF(F104="Fail","F",IF(E104&gt;=80,"A+",IF(E104&gt;=70,"A",IF(E104&gt;=60,"A-",IF(E104&gt;=50,"B",IF(E104&gt;=40,"C",IF(E104&gt;=33,"D","F")))))))))</f>
        <v/>
      </c>
      <c r="H104" s="97" t="str">
        <f>(IF(E104="","",IF(G104="F",0,IF(E104&gt;=80,5,IF(E104&gt;=70,4,IF(E104&gt;=60,3.5,IF(E104&gt;=50,3,IF(E104&gt;=40,2,IF(E104&gt;=33,1,0)))))))))</f>
        <v/>
      </c>
    </row>
    <row r="105" spans="1:8" x14ac:dyDescent="0.35">
      <c r="A105" s="92">
        <f>'Student Basic Info'!A105</f>
        <v>604</v>
      </c>
      <c r="B105" s="93"/>
      <c r="C105" s="93"/>
      <c r="D105" s="93"/>
      <c r="E105" s="95" t="str">
        <f>IF(B105+C105+D105=0, "", B105+C105+D105)</f>
        <v/>
      </c>
      <c r="F105" s="96" t="str">
        <f>IF(E105="","", IF(AND(B105 &gt;=8,C105&gt;=17,D105&gt;=8),"Pass","Fail"))</f>
        <v/>
      </c>
      <c r="G105" s="96" t="str">
        <f>(IF(E105="","",IF(F105="Fail","F",IF(E105&gt;=80,"A+",IF(E105&gt;=70,"A",IF(E105&gt;=60,"A-",IF(E105&gt;=50,"B",IF(E105&gt;=40,"C",IF(E105&gt;=33,"D","F")))))))))</f>
        <v/>
      </c>
      <c r="H105" s="97" t="str">
        <f>(IF(E105="","",IF(G105="F",0,IF(E105&gt;=80,5,IF(E105&gt;=70,4,IF(E105&gt;=60,3.5,IF(E105&gt;=50,3,IF(E105&gt;=40,2,IF(E105&gt;=33,1,0)))))))))</f>
        <v/>
      </c>
    </row>
    <row r="106" spans="1:8" x14ac:dyDescent="0.35">
      <c r="A106" s="92">
        <f>'Student Basic Info'!A106</f>
        <v>605</v>
      </c>
      <c r="B106" s="93">
        <v>6</v>
      </c>
      <c r="C106" s="93">
        <v>11</v>
      </c>
      <c r="D106" s="93">
        <v>20</v>
      </c>
      <c r="E106" s="95">
        <f>IF(B106+C106+D106=0, "", B106+C106+D106)</f>
        <v>37</v>
      </c>
      <c r="F106" s="96" t="str">
        <f>IF(E106="","", IF(AND(B106 &gt;=8,C106&gt;=17,D106&gt;=8),"Pass","Fail"))</f>
        <v>Fail</v>
      </c>
      <c r="G106" s="96" t="str">
        <f>(IF(E106="","",IF(F106="Fail","F",IF(E106&gt;=80,"A+",IF(E106&gt;=70,"A",IF(E106&gt;=60,"A-",IF(E106&gt;=50,"B",IF(E106&gt;=40,"C",IF(E106&gt;=33,"D","F")))))))))</f>
        <v>F</v>
      </c>
      <c r="H106" s="97">
        <f>(IF(E106="","",IF(G106="F",0,IF(E106&gt;=80,5,IF(E106&gt;=70,4,IF(E106&gt;=60,3.5,IF(E106&gt;=50,3,IF(E106&gt;=40,2,IF(E106&gt;=33,1,0)))))))))</f>
        <v>0</v>
      </c>
    </row>
    <row r="107" spans="1:8" x14ac:dyDescent="0.35">
      <c r="A107" s="92">
        <f>'Student Basic Info'!A107</f>
        <v>606</v>
      </c>
      <c r="B107" s="93">
        <v>3</v>
      </c>
      <c r="C107" s="93">
        <v>7</v>
      </c>
      <c r="D107" s="93">
        <v>22</v>
      </c>
      <c r="E107" s="95">
        <f>IF(B107+C107+D107=0, "", B107+C107+D107)</f>
        <v>32</v>
      </c>
      <c r="F107" s="96" t="str">
        <f>IF(E107="","", IF(AND(B107 &gt;=8,C107&gt;=17,D107&gt;=8),"Pass","Fail"))</f>
        <v>Fail</v>
      </c>
      <c r="G107" s="96" t="str">
        <f>(IF(E107="","",IF(F107="Fail","F",IF(E107&gt;=80,"A+",IF(E107&gt;=70,"A",IF(E107&gt;=60,"A-",IF(E107&gt;=50,"B",IF(E107&gt;=40,"C",IF(E107&gt;=33,"D","F")))))))))</f>
        <v>F</v>
      </c>
      <c r="H107" s="97">
        <f>(IF(E107="","",IF(G107="F",0,IF(E107&gt;=80,5,IF(E107&gt;=70,4,IF(E107&gt;=60,3.5,IF(E107&gt;=50,3,IF(E107&gt;=40,2,IF(E107&gt;=33,1,0)))))))))</f>
        <v>0</v>
      </c>
    </row>
    <row r="108" spans="1:8" x14ac:dyDescent="0.35">
      <c r="A108" s="92">
        <f>'Student Basic Info'!A108</f>
        <v>607</v>
      </c>
      <c r="B108" s="93">
        <v>12</v>
      </c>
      <c r="C108" s="93">
        <v>4</v>
      </c>
      <c r="D108" s="93">
        <v>8</v>
      </c>
      <c r="E108" s="95">
        <f>IF(B108+C108+D108=0, "", B108+C108+D108)</f>
        <v>24</v>
      </c>
      <c r="F108" s="96" t="str">
        <f>IF(E108="","", IF(AND(B108 &gt;=8,C108&gt;=17,D108&gt;=8),"Pass","Fail"))</f>
        <v>Fail</v>
      </c>
      <c r="G108" s="96" t="str">
        <f>(IF(E108="","",IF(F108="Fail","F",IF(E108&gt;=80,"A+",IF(E108&gt;=70,"A",IF(E108&gt;=60,"A-",IF(E108&gt;=50,"B",IF(E108&gt;=40,"C",IF(E108&gt;=33,"D","F")))))))))</f>
        <v>F</v>
      </c>
      <c r="H108" s="97">
        <f>(IF(E108="","",IF(G108="F",0,IF(E108&gt;=80,5,IF(E108&gt;=70,4,IF(E108&gt;=60,3.5,IF(E108&gt;=50,3,IF(E108&gt;=40,2,IF(E108&gt;=33,1,0)))))))))</f>
        <v>0</v>
      </c>
    </row>
    <row r="109" spans="1:8" x14ac:dyDescent="0.35">
      <c r="A109" s="92">
        <f>'Student Basic Info'!A109</f>
        <v>608</v>
      </c>
      <c r="B109" s="93">
        <v>12</v>
      </c>
      <c r="C109" s="93">
        <v>12</v>
      </c>
      <c r="D109" s="100">
        <v>8</v>
      </c>
      <c r="E109" s="95">
        <f>IF(B109+C109+D109=0, "", B109+C109+D109)</f>
        <v>32</v>
      </c>
      <c r="F109" s="96" t="str">
        <f>IF(E109="","", IF(AND(B109 &gt;=8,C109&gt;=17,D109&gt;=8),"Pass","Fail"))</f>
        <v>Fail</v>
      </c>
      <c r="G109" s="96" t="str">
        <f>(IF(E109="","",IF(F109="Fail","F",IF(E109&gt;=80,"A+",IF(E109&gt;=70,"A",IF(E109&gt;=60,"A-",IF(E109&gt;=50,"B",IF(E109&gt;=40,"C",IF(E109&gt;=33,"D","F")))))))))</f>
        <v>F</v>
      </c>
      <c r="H109" s="97">
        <f>(IF(E109="","",IF(G109="F",0,IF(E109&gt;=80,5,IF(E109&gt;=70,4,IF(E109&gt;=60,3.5,IF(E109&gt;=50,3,IF(E109&gt;=40,2,IF(E109&gt;=33,1,0)))))))))</f>
        <v>0</v>
      </c>
    </row>
    <row r="110" spans="1:8" x14ac:dyDescent="0.35">
      <c r="A110" s="92">
        <f>'Student Basic Info'!A110</f>
        <v>609</v>
      </c>
      <c r="B110" s="93">
        <v>8</v>
      </c>
      <c r="C110" s="93">
        <v>6</v>
      </c>
      <c r="D110" s="93">
        <v>18</v>
      </c>
      <c r="E110" s="95">
        <f>IF(B110+C110+D110=0, "", B110+C110+D110)</f>
        <v>32</v>
      </c>
      <c r="F110" s="96" t="str">
        <f>IF(E110="","", IF(AND(B110 &gt;=8,C110&gt;=17,D110&gt;=8),"Pass","Fail"))</f>
        <v>Fail</v>
      </c>
      <c r="G110" s="96" t="str">
        <f>(IF(E110="","",IF(F110="Fail","F",IF(E110&gt;=80,"A+",IF(E110&gt;=70,"A",IF(E110&gt;=60,"A-",IF(E110&gt;=50,"B",IF(E110&gt;=40,"C",IF(E110&gt;=33,"D","F")))))))))</f>
        <v>F</v>
      </c>
      <c r="H110" s="97">
        <f>(IF(E110="","",IF(G110="F",0,IF(E110&gt;=80,5,IF(E110&gt;=70,4,IF(E110&gt;=60,3.5,IF(E110&gt;=50,3,IF(E110&gt;=40,2,IF(E110&gt;=33,1,0)))))))))</f>
        <v>0</v>
      </c>
    </row>
    <row r="111" spans="1:8" x14ac:dyDescent="0.35">
      <c r="A111" s="92">
        <f>'Student Basic Info'!A111</f>
        <v>610</v>
      </c>
      <c r="B111" s="93">
        <v>6</v>
      </c>
      <c r="C111" s="93">
        <v>8</v>
      </c>
      <c r="D111" s="93">
        <v>8</v>
      </c>
      <c r="E111" s="95">
        <f>IF(B111+C111+D111=0, "", B111+C111+D111)</f>
        <v>22</v>
      </c>
      <c r="F111" s="96" t="str">
        <f>IF(E111="","", IF(AND(B111 &gt;=8,C111&gt;=17,D111&gt;=8),"Pass","Fail"))</f>
        <v>Fail</v>
      </c>
      <c r="G111" s="96" t="str">
        <f>(IF(E111="","",IF(F111="Fail","F",IF(E111&gt;=80,"A+",IF(E111&gt;=70,"A",IF(E111&gt;=60,"A-",IF(E111&gt;=50,"B",IF(E111&gt;=40,"C",IF(E111&gt;=33,"D","F")))))))))</f>
        <v>F</v>
      </c>
      <c r="H111" s="97">
        <f>(IF(E111="","",IF(G111="F",0,IF(E111&gt;=80,5,IF(E111&gt;=70,4,IF(E111&gt;=60,3.5,IF(E111&gt;=50,3,IF(E111&gt;=40,2,IF(E111&gt;=33,1,0)))))))))</f>
        <v>0</v>
      </c>
    </row>
    <row r="112" spans="1:8" x14ac:dyDescent="0.35">
      <c r="A112" s="92">
        <f>'Student Basic Info'!A112</f>
        <v>611</v>
      </c>
      <c r="B112" s="93">
        <v>6</v>
      </c>
      <c r="C112" s="93">
        <v>4</v>
      </c>
      <c r="D112" s="93">
        <v>20</v>
      </c>
      <c r="E112" s="95">
        <f>IF(B112+C112+D112=0, "", B112+C112+D112)</f>
        <v>30</v>
      </c>
      <c r="F112" s="96" t="str">
        <f>IF(E112="","", IF(AND(B112 &gt;=8,C112&gt;=17,D112&gt;=8),"Pass","Fail"))</f>
        <v>Fail</v>
      </c>
      <c r="G112" s="96" t="str">
        <f>(IF(E112="","",IF(F112="Fail","F",IF(E112&gt;=80,"A+",IF(E112&gt;=70,"A",IF(E112&gt;=60,"A-",IF(E112&gt;=50,"B",IF(E112&gt;=40,"C",IF(E112&gt;=33,"D","F")))))))))</f>
        <v>F</v>
      </c>
      <c r="H112" s="97">
        <f>(IF(E112="","",IF(G112="F",0,IF(E112&gt;=80,5,IF(E112&gt;=70,4,IF(E112&gt;=60,3.5,IF(E112&gt;=50,3,IF(E112&gt;=40,2,IF(E112&gt;=33,1,0)))))))))</f>
        <v>0</v>
      </c>
    </row>
    <row r="113" spans="1:8" x14ac:dyDescent="0.35">
      <c r="A113" s="92">
        <f>'Student Basic Info'!A113</f>
        <v>612</v>
      </c>
      <c r="B113" s="93">
        <v>10</v>
      </c>
      <c r="C113" s="93">
        <v>5</v>
      </c>
      <c r="D113" s="93">
        <v>24</v>
      </c>
      <c r="E113" s="95">
        <f>IF(B113+C113+D113=0, "", B113+C113+D113)</f>
        <v>39</v>
      </c>
      <c r="F113" s="96" t="str">
        <f>IF(E113="","", IF(AND(B113 &gt;=8,C113&gt;=17,D113&gt;=8),"Pass","Fail"))</f>
        <v>Fail</v>
      </c>
      <c r="G113" s="96" t="str">
        <f>(IF(E113="","",IF(F113="Fail","F",IF(E113&gt;=80,"A+",IF(E113&gt;=70,"A",IF(E113&gt;=60,"A-",IF(E113&gt;=50,"B",IF(E113&gt;=40,"C",IF(E113&gt;=33,"D","F")))))))))</f>
        <v>F</v>
      </c>
      <c r="H113" s="97">
        <f>(IF(E113="","",IF(G113="F",0,IF(E113&gt;=80,5,IF(E113&gt;=70,4,IF(E113&gt;=60,3.5,IF(E113&gt;=50,3,IF(E113&gt;=40,2,IF(E113&gt;=33,1,0)))))))))</f>
        <v>0</v>
      </c>
    </row>
    <row r="114" spans="1:8" x14ac:dyDescent="0.35">
      <c r="A114" s="92">
        <f>'Student Basic Info'!A114</f>
        <v>613</v>
      </c>
      <c r="B114" s="93"/>
      <c r="C114" s="93"/>
      <c r="D114" s="93"/>
      <c r="E114" s="95" t="str">
        <f>IF(B114+C114+D114=0, "", B114+C114+D114)</f>
        <v/>
      </c>
      <c r="F114" s="96" t="str">
        <f>IF(E114="","", IF(AND(B114 &gt;=8,C114&gt;=17,D114&gt;=8),"Pass","Fail"))</f>
        <v/>
      </c>
      <c r="G114" s="96" t="str">
        <f>(IF(E114="","",IF(F114="Fail","F",IF(E114&gt;=80,"A+",IF(E114&gt;=70,"A",IF(E114&gt;=60,"A-",IF(E114&gt;=50,"B",IF(E114&gt;=40,"C",IF(E114&gt;=33,"D","F")))))))))</f>
        <v/>
      </c>
      <c r="H114" s="97" t="str">
        <f>(IF(E114="","",IF(G114="F",0,IF(E114&gt;=80,5,IF(E114&gt;=70,4,IF(E114&gt;=60,3.5,IF(E114&gt;=50,3,IF(E114&gt;=40,2,IF(E114&gt;=33,1,0)))))))))</f>
        <v/>
      </c>
    </row>
    <row r="115" spans="1:8" x14ac:dyDescent="0.35">
      <c r="A115" s="92">
        <f>'Student Basic Info'!A115</f>
        <v>614</v>
      </c>
      <c r="B115" s="93">
        <v>15</v>
      </c>
      <c r="C115" s="93">
        <v>31</v>
      </c>
      <c r="D115" s="93">
        <v>25</v>
      </c>
      <c r="E115" s="95">
        <f>IF(B115+C115+D115=0, "", B115+C115+D115)</f>
        <v>71</v>
      </c>
      <c r="F115" s="96" t="str">
        <f>IF(E115="","", IF(AND(B115 &gt;=8,C115&gt;=17,D115&gt;=8),"Pass","Fail"))</f>
        <v>Pass</v>
      </c>
      <c r="G115" s="96" t="str">
        <f>(IF(E115="","",IF(F115="Fail","F",IF(E115&gt;=80,"A+",IF(E115&gt;=70,"A",IF(E115&gt;=60,"A-",IF(E115&gt;=50,"B",IF(E115&gt;=40,"C",IF(E115&gt;=33,"D","F")))))))))</f>
        <v>A</v>
      </c>
      <c r="H115" s="97">
        <f>(IF(E115="","",IF(G115="F",0,IF(E115&gt;=80,5,IF(E115&gt;=70,4,IF(E115&gt;=60,3.5,IF(E115&gt;=50,3,IF(E115&gt;=40,2,IF(E115&gt;=33,1,0)))))))))</f>
        <v>4</v>
      </c>
    </row>
    <row r="116" spans="1:8" x14ac:dyDescent="0.35">
      <c r="A116" s="92">
        <f>'Student Basic Info'!A116</f>
        <v>615</v>
      </c>
      <c r="B116" s="93">
        <v>8</v>
      </c>
      <c r="C116" s="93">
        <v>4</v>
      </c>
      <c r="D116" s="93">
        <v>25</v>
      </c>
      <c r="E116" s="95">
        <f>IF(B116+C116+D116=0, "", B116+C116+D116)</f>
        <v>37</v>
      </c>
      <c r="F116" s="96" t="str">
        <f>IF(E116="","", IF(AND(B116 &gt;=8,C116&gt;=17,D116&gt;=8),"Pass","Fail"))</f>
        <v>Fail</v>
      </c>
      <c r="G116" s="96" t="str">
        <f>(IF(E116="","",IF(F116="Fail","F",IF(E116&gt;=80,"A+",IF(E116&gt;=70,"A",IF(E116&gt;=60,"A-",IF(E116&gt;=50,"B",IF(E116&gt;=40,"C",IF(E116&gt;=33,"D","F")))))))))</f>
        <v>F</v>
      </c>
      <c r="H116" s="97">
        <f>(IF(E116="","",IF(G116="F",0,IF(E116&gt;=80,5,IF(E116&gt;=70,4,IF(E116&gt;=60,3.5,IF(E116&gt;=50,3,IF(E116&gt;=40,2,IF(E116&gt;=33,1,0)))))))))</f>
        <v>0</v>
      </c>
    </row>
    <row r="117" spans="1:8" x14ac:dyDescent="0.35">
      <c r="A117" s="92">
        <f>'Student Basic Info'!A117</f>
        <v>616</v>
      </c>
      <c r="B117" s="93"/>
      <c r="C117" s="93"/>
      <c r="D117" s="93"/>
      <c r="E117" s="95" t="str">
        <f>IF(B117+C117+D117=0, "", B117+C117+D117)</f>
        <v/>
      </c>
      <c r="F117" s="96" t="str">
        <f>IF(E117="","", IF(AND(B117 &gt;=8,C117&gt;=17,D117&gt;=8),"Pass","Fail"))</f>
        <v/>
      </c>
      <c r="G117" s="96" t="str">
        <f>(IF(E117="","",IF(F117="Fail","F",IF(E117&gt;=80,"A+",IF(E117&gt;=70,"A",IF(E117&gt;=60,"A-",IF(E117&gt;=50,"B",IF(E117&gt;=40,"C",IF(E117&gt;=33,"D","F")))))))))</f>
        <v/>
      </c>
      <c r="H117" s="97" t="str">
        <f>(IF(E117="","",IF(G117="F",0,IF(E117&gt;=80,5,IF(E117&gt;=70,4,IF(E117&gt;=60,3.5,IF(E117&gt;=50,3,IF(E117&gt;=40,2,IF(E117&gt;=33,1,0)))))))))</f>
        <v/>
      </c>
    </row>
    <row r="118" spans="1:8" x14ac:dyDescent="0.35">
      <c r="A118" s="92">
        <f>'Student Basic Info'!A118</f>
        <v>617</v>
      </c>
      <c r="B118" s="93"/>
      <c r="C118" s="93"/>
      <c r="D118" s="93"/>
      <c r="E118" s="95" t="str">
        <f>IF(B118+C118+D118=0, "", B118+C118+D118)</f>
        <v/>
      </c>
      <c r="F118" s="96" t="str">
        <f>IF(E118="","", IF(AND(B118 &gt;=8,C118&gt;=17,D118&gt;=8),"Pass","Fail"))</f>
        <v/>
      </c>
      <c r="G118" s="96" t="str">
        <f>(IF(E118="","",IF(F118="Fail","F",IF(E118&gt;=80,"A+",IF(E118&gt;=70,"A",IF(E118&gt;=60,"A-",IF(E118&gt;=50,"B",IF(E118&gt;=40,"C",IF(E118&gt;=33,"D","F")))))))))</f>
        <v/>
      </c>
      <c r="H118" s="97" t="str">
        <f>(IF(E118="","",IF(G118="F",0,IF(E118&gt;=80,5,IF(E118&gt;=70,4,IF(E118&gt;=60,3.5,IF(E118&gt;=50,3,IF(E118&gt;=40,2,IF(E118&gt;=33,1,0)))))))))</f>
        <v/>
      </c>
    </row>
    <row r="119" spans="1:8" x14ac:dyDescent="0.35">
      <c r="A119" s="92">
        <f>'Student Basic Info'!A119</f>
        <v>618</v>
      </c>
      <c r="B119" s="93"/>
      <c r="C119" s="93"/>
      <c r="D119" s="93"/>
      <c r="E119" s="95" t="str">
        <f>IF(B119+C119+D119=0, "", B119+C119+D119)</f>
        <v/>
      </c>
      <c r="F119" s="96" t="str">
        <f>IF(E119="","", IF(AND(B119 &gt;=8,C119&gt;=17,D119&gt;=8),"Pass","Fail"))</f>
        <v/>
      </c>
      <c r="G119" s="96" t="str">
        <f>(IF(E119="","",IF(F119="Fail","F",IF(E119&gt;=80,"A+",IF(E119&gt;=70,"A",IF(E119&gt;=60,"A-",IF(E119&gt;=50,"B",IF(E119&gt;=40,"C",IF(E119&gt;=33,"D","F")))))))))</f>
        <v/>
      </c>
      <c r="H119" s="97" t="str">
        <f>(IF(E119="","",IF(G119="F",0,IF(E119&gt;=80,5,IF(E119&gt;=70,4,IF(E119&gt;=60,3.5,IF(E119&gt;=50,3,IF(E119&gt;=40,2,IF(E119&gt;=33,1,0)))))))))</f>
        <v/>
      </c>
    </row>
    <row r="120" spans="1:8" x14ac:dyDescent="0.35">
      <c r="A120" s="92">
        <f>'Student Basic Info'!A120</f>
        <v>619</v>
      </c>
      <c r="B120" s="93"/>
      <c r="C120" s="93"/>
      <c r="D120" s="93"/>
      <c r="E120" s="95" t="str">
        <f>IF(B120+C120+D120=0, "", B120+C120+D120)</f>
        <v/>
      </c>
      <c r="F120" s="96" t="str">
        <f>IF(E120="","", IF(AND(B120 &gt;=8,C120&gt;=17,D120&gt;=8),"Pass","Fail"))</f>
        <v/>
      </c>
      <c r="G120" s="96" t="str">
        <f>(IF(E120="","",IF(F120="Fail","F",IF(E120&gt;=80,"A+",IF(E120&gt;=70,"A",IF(E120&gt;=60,"A-",IF(E120&gt;=50,"B",IF(E120&gt;=40,"C",IF(E120&gt;=33,"D","F")))))))))</f>
        <v/>
      </c>
      <c r="H120" s="97" t="str">
        <f>(IF(E120="","",IF(G120="F",0,IF(E120&gt;=80,5,IF(E120&gt;=70,4,IF(E120&gt;=60,3.5,IF(E120&gt;=50,3,IF(E120&gt;=40,2,IF(E120&gt;=33,1,0)))))))))</f>
        <v/>
      </c>
    </row>
    <row r="121" spans="1:8" x14ac:dyDescent="0.35">
      <c r="A121" s="92">
        <f>'Student Basic Info'!A121</f>
        <v>620</v>
      </c>
      <c r="B121" s="93"/>
      <c r="C121" s="93"/>
      <c r="D121" s="93"/>
      <c r="E121" s="95" t="str">
        <f>IF(B121+C121+D121=0, "", B121+C121+D121)</f>
        <v/>
      </c>
      <c r="F121" s="96" t="str">
        <f>IF(E121="","", IF(AND(B121 &gt;=8,C121&gt;=17,D121&gt;=8),"Pass","Fail"))</f>
        <v/>
      </c>
      <c r="G121" s="96" t="str">
        <f>(IF(E121="","",IF(F121="Fail","F",IF(E121&gt;=80,"A+",IF(E121&gt;=70,"A",IF(E121&gt;=60,"A-",IF(E121&gt;=50,"B",IF(E121&gt;=40,"C",IF(E121&gt;=33,"D","F")))))))))</f>
        <v/>
      </c>
      <c r="H121" s="97" t="str">
        <f>(IF(E121="","",IF(G121="F",0,IF(E121&gt;=80,5,IF(E121&gt;=70,4,IF(E121&gt;=60,3.5,IF(E121&gt;=50,3,IF(E121&gt;=40,2,IF(E121&gt;=33,1,0)))))))))</f>
        <v/>
      </c>
    </row>
    <row r="122" spans="1:8" x14ac:dyDescent="0.35">
      <c r="A122" s="92">
        <f>'Student Basic Info'!A122</f>
        <v>621</v>
      </c>
      <c r="B122" s="93">
        <v>18</v>
      </c>
      <c r="C122" s="93">
        <v>18</v>
      </c>
      <c r="D122" s="93">
        <v>18</v>
      </c>
      <c r="E122" s="95">
        <f>IF(B122+C122+D122=0, "", B122+C122+D122)</f>
        <v>54</v>
      </c>
      <c r="F122" s="96" t="str">
        <f>IF(E122="","", IF(AND(B122 &gt;=8,C122&gt;=17,D122&gt;=8),"Pass","Fail"))</f>
        <v>Pass</v>
      </c>
      <c r="G122" s="96" t="str">
        <f>(IF(E122="","",IF(F122="Fail","F",IF(E122&gt;=80,"A+",IF(E122&gt;=70,"A",IF(E122&gt;=60,"A-",IF(E122&gt;=50,"B",IF(E122&gt;=40,"C",IF(E122&gt;=33,"D","F")))))))))</f>
        <v>B</v>
      </c>
      <c r="H122" s="97">
        <f>(IF(E122="","",IF(G122="F",0,IF(E122&gt;=80,5,IF(E122&gt;=70,4,IF(E122&gt;=60,3.5,IF(E122&gt;=50,3,IF(E122&gt;=40,2,IF(E122&gt;=33,1,0)))))))))</f>
        <v>3</v>
      </c>
    </row>
    <row r="123" spans="1:8" x14ac:dyDescent="0.35">
      <c r="A123" s="92">
        <f>'Student Basic Info'!A123</f>
        <v>622</v>
      </c>
      <c r="B123" s="93">
        <v>14</v>
      </c>
      <c r="C123" s="93">
        <v>24</v>
      </c>
      <c r="D123" s="93">
        <v>24</v>
      </c>
      <c r="E123" s="95">
        <f>IF(B123+C123+D123=0, "", B123+C123+D123)</f>
        <v>62</v>
      </c>
      <c r="F123" s="96" t="str">
        <f>IF(E123="","", IF(AND(B123 &gt;=8,C123&gt;=17,D123&gt;=8),"Pass","Fail"))</f>
        <v>Pass</v>
      </c>
      <c r="G123" s="96" t="str">
        <f>(IF(E123="","",IF(F123="Fail","F",IF(E123&gt;=80,"A+",IF(E123&gt;=70,"A",IF(E123&gt;=60,"A-",IF(E123&gt;=50,"B",IF(E123&gt;=40,"C",IF(E123&gt;=33,"D","F")))))))))</f>
        <v>A-</v>
      </c>
      <c r="H123" s="97">
        <f>(IF(E123="","",IF(G123="F",0,IF(E123&gt;=80,5,IF(E123&gt;=70,4,IF(E123&gt;=60,3.5,IF(E123&gt;=50,3,IF(E123&gt;=40,2,IF(E123&gt;=33,1,0)))))))))</f>
        <v>3.5</v>
      </c>
    </row>
    <row r="124" spans="1:8" x14ac:dyDescent="0.35">
      <c r="A124" s="92">
        <f>'Student Basic Info'!A124</f>
        <v>623</v>
      </c>
      <c r="B124" s="93"/>
      <c r="C124" s="93"/>
      <c r="D124" s="93"/>
      <c r="E124" s="95" t="str">
        <f>IF(B124+C124+D124=0, "", B124+C124+D124)</f>
        <v/>
      </c>
      <c r="F124" s="96" t="str">
        <f>IF(E124="","", IF(AND(B124 &gt;=8,C124&gt;=17,D124&gt;=8),"Pass","Fail"))</f>
        <v/>
      </c>
      <c r="G124" s="96" t="str">
        <f>(IF(E124="","",IF(F124="Fail","F",IF(E124&gt;=80,"A+",IF(E124&gt;=70,"A",IF(E124&gt;=60,"A-",IF(E124&gt;=50,"B",IF(E124&gt;=40,"C",IF(E124&gt;=33,"D","F")))))))))</f>
        <v/>
      </c>
      <c r="H124" s="97" t="str">
        <f>(IF(E124="","",IF(G124="F",0,IF(E124&gt;=80,5,IF(E124&gt;=70,4,IF(E124&gt;=60,3.5,IF(E124&gt;=50,3,IF(E124&gt;=40,2,IF(E124&gt;=33,1,0)))))))))</f>
        <v/>
      </c>
    </row>
    <row r="125" spans="1:8" x14ac:dyDescent="0.35">
      <c r="A125" s="92">
        <f>'Student Basic Info'!A125</f>
        <v>624</v>
      </c>
      <c r="B125" s="93"/>
      <c r="C125" s="93"/>
      <c r="D125" s="93"/>
      <c r="E125" s="95" t="str">
        <f>IF(B125+C125+D125=0, "", B125+C125+D125)</f>
        <v/>
      </c>
      <c r="F125" s="96" t="str">
        <f>IF(E125="","", IF(AND(B125 &gt;=8,C125&gt;=17,D125&gt;=8),"Pass","Fail"))</f>
        <v/>
      </c>
      <c r="G125" s="96" t="str">
        <f>(IF(E125="","",IF(F125="Fail","F",IF(E125&gt;=80,"A+",IF(E125&gt;=70,"A",IF(E125&gt;=60,"A-",IF(E125&gt;=50,"B",IF(E125&gt;=40,"C",IF(E125&gt;=33,"D","F")))))))))</f>
        <v/>
      </c>
      <c r="H125" s="97" t="str">
        <f>(IF(E125="","",IF(G125="F",0,IF(E125&gt;=80,5,IF(E125&gt;=70,4,IF(E125&gt;=60,3.5,IF(E125&gt;=50,3,IF(E125&gt;=40,2,IF(E125&gt;=33,1,0)))))))))</f>
        <v/>
      </c>
    </row>
    <row r="126" spans="1:8" x14ac:dyDescent="0.35">
      <c r="A126" s="92">
        <f>'Student Basic Info'!A126</f>
        <v>625</v>
      </c>
      <c r="B126" s="93"/>
      <c r="C126" s="93"/>
      <c r="D126" s="93"/>
      <c r="E126" s="95" t="str">
        <f>IF(B126+C126+D126=0, "", B126+C126+D126)</f>
        <v/>
      </c>
      <c r="F126" s="96" t="str">
        <f>IF(E126="","", IF(AND(B126 &gt;=8,C126&gt;=17,D126&gt;=8),"Pass","Fail"))</f>
        <v/>
      </c>
      <c r="G126" s="96" t="str">
        <f>(IF(E126="","",IF(F126="Fail","F",IF(E126&gt;=80,"A+",IF(E126&gt;=70,"A",IF(E126&gt;=60,"A-",IF(E126&gt;=50,"B",IF(E126&gt;=40,"C",IF(E126&gt;=33,"D","F")))))))))</f>
        <v/>
      </c>
      <c r="H126" s="97" t="str">
        <f>(IF(E126="","",IF(G126="F",0,IF(E126&gt;=80,5,IF(E126&gt;=70,4,IF(E126&gt;=60,3.5,IF(E126&gt;=50,3,IF(E126&gt;=40,2,IF(E126&gt;=33,1,0)))))))))</f>
        <v/>
      </c>
    </row>
    <row r="127" spans="1:8" x14ac:dyDescent="0.35">
      <c r="A127" s="92">
        <f>'Student Basic Info'!A127</f>
        <v>626</v>
      </c>
      <c r="B127" s="93"/>
      <c r="C127" s="93"/>
      <c r="D127" s="93"/>
      <c r="E127" s="95" t="str">
        <f>IF(B127+C127+D127=0, "", B127+C127+D127)</f>
        <v/>
      </c>
      <c r="F127" s="96" t="str">
        <f>IF(E127="","", IF(AND(B127 &gt;=8,C127&gt;=17,D127&gt;=8),"Pass","Fail"))</f>
        <v/>
      </c>
      <c r="G127" s="96" t="str">
        <f>(IF(E127="","",IF(F127="Fail","F",IF(E127&gt;=80,"A+",IF(E127&gt;=70,"A",IF(E127&gt;=60,"A-",IF(E127&gt;=50,"B",IF(E127&gt;=40,"C",IF(E127&gt;=33,"D","F")))))))))</f>
        <v/>
      </c>
      <c r="H127" s="97" t="str">
        <f>(IF(E127="","",IF(G127="F",0,IF(E127&gt;=80,5,IF(E127&gt;=70,4,IF(E127&gt;=60,3.5,IF(E127&gt;=50,3,IF(E127&gt;=40,2,IF(E127&gt;=33,1,0)))))))))</f>
        <v/>
      </c>
    </row>
    <row r="128" spans="1:8" x14ac:dyDescent="0.35">
      <c r="A128" s="92">
        <f>'Student Basic Info'!A128</f>
        <v>627</v>
      </c>
      <c r="B128" s="93"/>
      <c r="C128" s="93"/>
      <c r="D128" s="93"/>
      <c r="E128" s="95" t="str">
        <f>IF(B128+C128+D128=0, "", B128+C128+D128)</f>
        <v/>
      </c>
      <c r="F128" s="96" t="str">
        <f>IF(E128="","", IF(AND(B128 &gt;=8,C128&gt;=17,D128&gt;=8),"Pass","Fail"))</f>
        <v/>
      </c>
      <c r="G128" s="96" t="str">
        <f>(IF(E128="","",IF(F128="Fail","F",IF(E128&gt;=80,"A+",IF(E128&gt;=70,"A",IF(E128&gt;=60,"A-",IF(E128&gt;=50,"B",IF(E128&gt;=40,"C",IF(E128&gt;=33,"D","F")))))))))</f>
        <v/>
      </c>
      <c r="H128" s="97" t="str">
        <f>(IF(E128="","",IF(G128="F",0,IF(E128&gt;=80,5,IF(E128&gt;=70,4,IF(E128&gt;=60,3.5,IF(E128&gt;=50,3,IF(E128&gt;=40,2,IF(E128&gt;=33,1,0)))))))))</f>
        <v/>
      </c>
    </row>
    <row r="129" spans="1:8" x14ac:dyDescent="0.35">
      <c r="A129" s="92">
        <f>'Student Basic Info'!A129</f>
        <v>628</v>
      </c>
      <c r="B129" s="93"/>
      <c r="C129" s="93"/>
      <c r="D129" s="93"/>
      <c r="E129" s="95" t="str">
        <f>IF(B129+C129+D129=0, "", B129+C129+D129)</f>
        <v/>
      </c>
      <c r="F129" s="96" t="str">
        <f>IF(E129="","", IF(AND(B129 &gt;=8,C129&gt;=17,D129&gt;=8),"Pass","Fail"))</f>
        <v/>
      </c>
      <c r="G129" s="96" t="str">
        <f>(IF(E129="","",IF(F129="Fail","F",IF(E129&gt;=80,"A+",IF(E129&gt;=70,"A",IF(E129&gt;=60,"A-",IF(E129&gt;=50,"B",IF(E129&gt;=40,"C",IF(E129&gt;=33,"D","F")))))))))</f>
        <v/>
      </c>
      <c r="H129" s="97" t="str">
        <f>(IF(E129="","",IF(G129="F",0,IF(E129&gt;=80,5,IF(E129&gt;=70,4,IF(E129&gt;=60,3.5,IF(E129&gt;=50,3,IF(E129&gt;=40,2,IF(E129&gt;=33,1,0)))))))))</f>
        <v/>
      </c>
    </row>
    <row r="130" spans="1:8" x14ac:dyDescent="0.35">
      <c r="A130" s="92">
        <f>'Student Basic Info'!A130</f>
        <v>629</v>
      </c>
      <c r="B130" s="93"/>
      <c r="C130" s="93"/>
      <c r="D130" s="93"/>
      <c r="E130" s="95" t="str">
        <f>IF(B130+C130+D130=0, "", B130+C130+D130)</f>
        <v/>
      </c>
      <c r="F130" s="96" t="str">
        <f>IF(E130="","", IF(AND(B130 &gt;=8,C130&gt;=17,D130&gt;=8),"Pass","Fail"))</f>
        <v/>
      </c>
      <c r="G130" s="96" t="str">
        <f>(IF(E130="","",IF(F130="Fail","F",IF(E130&gt;=80,"A+",IF(E130&gt;=70,"A",IF(E130&gt;=60,"A-",IF(E130&gt;=50,"B",IF(E130&gt;=40,"C",IF(E130&gt;=33,"D","F")))))))))</f>
        <v/>
      </c>
      <c r="H130" s="97" t="str">
        <f>(IF(E130="","",IF(G130="F",0,IF(E130&gt;=80,5,IF(E130&gt;=70,4,IF(E130&gt;=60,3.5,IF(E130&gt;=50,3,IF(E130&gt;=40,2,IF(E130&gt;=33,1,0)))))))))</f>
        <v/>
      </c>
    </row>
    <row r="131" spans="1:8" x14ac:dyDescent="0.35">
      <c r="A131" s="92">
        <f>'Student Basic Info'!A131</f>
        <v>630</v>
      </c>
      <c r="B131" s="93"/>
      <c r="C131" s="93"/>
      <c r="D131" s="93"/>
      <c r="E131" s="95" t="str">
        <f>IF(B131+C131+D131=0, "", B131+C131+D131)</f>
        <v/>
      </c>
      <c r="F131" s="96" t="str">
        <f>IF(E131="","", IF(AND(B131 &gt;=8,C131&gt;=17,D131&gt;=8),"Pass","Fail"))</f>
        <v/>
      </c>
      <c r="G131" s="96" t="str">
        <f>(IF(E131="","",IF(F131="Fail","F",IF(E131&gt;=80,"A+",IF(E131&gt;=70,"A",IF(E131&gt;=60,"A-",IF(E131&gt;=50,"B",IF(E131&gt;=40,"C",IF(E131&gt;=33,"D","F")))))))))</f>
        <v/>
      </c>
      <c r="H131" s="97" t="str">
        <f>(IF(E131="","",IF(G131="F",0,IF(E131&gt;=80,5,IF(E131&gt;=70,4,IF(E131&gt;=60,3.5,IF(E131&gt;=50,3,IF(E131&gt;=40,2,IF(E131&gt;=33,1,0)))))))))</f>
        <v/>
      </c>
    </row>
    <row r="132" spans="1:8" x14ac:dyDescent="0.35">
      <c r="A132" s="92">
        <f>'Student Basic Info'!A132</f>
        <v>631</v>
      </c>
      <c r="B132" s="93"/>
      <c r="C132" s="93"/>
      <c r="D132" s="93"/>
      <c r="E132" s="95" t="str">
        <f>IF(B132+C132+D132=0, "", B132+C132+D132)</f>
        <v/>
      </c>
      <c r="F132" s="96" t="str">
        <f>IF(E132="","", IF(AND(B132 &gt;=8,C132&gt;=17,D132&gt;=8),"Pass","Fail"))</f>
        <v/>
      </c>
      <c r="G132" s="96" t="str">
        <f>(IF(E132="","",IF(F132="Fail","F",IF(E132&gt;=80,"A+",IF(E132&gt;=70,"A",IF(E132&gt;=60,"A-",IF(E132&gt;=50,"B",IF(E132&gt;=40,"C",IF(E132&gt;=33,"D","F")))))))))</f>
        <v/>
      </c>
      <c r="H132" s="97" t="str">
        <f>(IF(E132="","",IF(G132="F",0,IF(E132&gt;=80,5,IF(E132&gt;=70,4,IF(E132&gt;=60,3.5,IF(E132&gt;=50,3,IF(E132&gt;=40,2,IF(E132&gt;=33,1,0)))))))))</f>
        <v/>
      </c>
    </row>
    <row r="133" spans="1:8" x14ac:dyDescent="0.35">
      <c r="A133" s="92">
        <f>'Student Basic Info'!A133</f>
        <v>632</v>
      </c>
      <c r="B133" s="93"/>
      <c r="C133" s="93"/>
      <c r="D133" s="93"/>
      <c r="E133" s="95" t="str">
        <f>IF(B133+C133+D133=0, "", B133+C133+D133)</f>
        <v/>
      </c>
      <c r="F133" s="96" t="str">
        <f>IF(E133="","", IF(AND(B133 &gt;=8,C133&gt;=17,D133&gt;=8),"Pass","Fail"))</f>
        <v/>
      </c>
      <c r="G133" s="96" t="str">
        <f>(IF(E133="","",IF(F133="Fail","F",IF(E133&gt;=80,"A+",IF(E133&gt;=70,"A",IF(E133&gt;=60,"A-",IF(E133&gt;=50,"B",IF(E133&gt;=40,"C",IF(E133&gt;=33,"D","F")))))))))</f>
        <v/>
      </c>
      <c r="H133" s="97" t="str">
        <f>(IF(E133="","",IF(G133="F",0,IF(E133&gt;=80,5,IF(E133&gt;=70,4,IF(E133&gt;=60,3.5,IF(E133&gt;=50,3,IF(E133&gt;=40,2,IF(E133&gt;=33,1,0)))))))))</f>
        <v/>
      </c>
    </row>
    <row r="134" spans="1:8" x14ac:dyDescent="0.35">
      <c r="A134" s="92">
        <f>'Student Basic Info'!A134</f>
        <v>633</v>
      </c>
      <c r="B134" s="93"/>
      <c r="C134" s="93"/>
      <c r="D134" s="93"/>
      <c r="E134" s="95" t="str">
        <f>IF(B134+C134+D134=0, "", B134+C134+D134)</f>
        <v/>
      </c>
      <c r="F134" s="96" t="str">
        <f>IF(E134="","", IF(AND(B134 &gt;=8,C134&gt;=17,D134&gt;=8),"Pass","Fail"))</f>
        <v/>
      </c>
      <c r="G134" s="96" t="str">
        <f>(IF(E134="","",IF(F134="Fail","F",IF(E134&gt;=80,"A+",IF(E134&gt;=70,"A",IF(E134&gt;=60,"A-",IF(E134&gt;=50,"B",IF(E134&gt;=40,"C",IF(E134&gt;=33,"D","F")))))))))</f>
        <v/>
      </c>
      <c r="H134" s="97" t="str">
        <f>(IF(E134="","",IF(G134="F",0,IF(E134&gt;=80,5,IF(E134&gt;=70,4,IF(E134&gt;=60,3.5,IF(E134&gt;=50,3,IF(E134&gt;=40,2,IF(E134&gt;=33,1,0)))))))))</f>
        <v/>
      </c>
    </row>
    <row r="135" spans="1:8" x14ac:dyDescent="0.35">
      <c r="A135" s="92">
        <f>'Student Basic Info'!A135</f>
        <v>634</v>
      </c>
      <c r="B135" s="93"/>
      <c r="C135" s="93"/>
      <c r="D135" s="93"/>
      <c r="E135" s="95" t="str">
        <f>IF(B135+C135+D135=0, "", B135+C135+D135)</f>
        <v/>
      </c>
      <c r="F135" s="96" t="str">
        <f>IF(E135="","", IF(AND(B135 &gt;=8,C135&gt;=17,D135&gt;=8),"Pass","Fail"))</f>
        <v/>
      </c>
      <c r="G135" s="96" t="str">
        <f>(IF(E135="","",IF(F135="Fail","F",IF(E135&gt;=80,"A+",IF(E135&gt;=70,"A",IF(E135&gt;=60,"A-",IF(E135&gt;=50,"B",IF(E135&gt;=40,"C",IF(E135&gt;=33,"D","F")))))))))</f>
        <v/>
      </c>
      <c r="H135" s="97" t="str">
        <f>(IF(E135="","",IF(G135="F",0,IF(E135&gt;=80,5,IF(E135&gt;=70,4,IF(E135&gt;=60,3.5,IF(E135&gt;=50,3,IF(E135&gt;=40,2,IF(E135&gt;=33,1,0)))))))))</f>
        <v/>
      </c>
    </row>
    <row r="136" spans="1:8" x14ac:dyDescent="0.35">
      <c r="A136" s="92">
        <f>'Student Basic Info'!A136</f>
        <v>635</v>
      </c>
      <c r="B136" s="93"/>
      <c r="C136" s="93"/>
      <c r="D136" s="93"/>
      <c r="E136" s="95" t="str">
        <f>IF(B136+C136+D136=0, "", B136+C136+D136)</f>
        <v/>
      </c>
      <c r="F136" s="96" t="str">
        <f>IF(E136="","", IF(AND(B136 &gt;=8,C136&gt;=17,D136&gt;=8),"Pass","Fail"))</f>
        <v/>
      </c>
      <c r="G136" s="96" t="str">
        <f>(IF(E136="","",IF(F136="Fail","F",IF(E136&gt;=80,"A+",IF(E136&gt;=70,"A",IF(E136&gt;=60,"A-",IF(E136&gt;=50,"B",IF(E136&gt;=40,"C",IF(E136&gt;=33,"D","F")))))))))</f>
        <v/>
      </c>
      <c r="H136" s="97" t="str">
        <f>(IF(E136="","",IF(G136="F",0,IF(E136&gt;=80,5,IF(E136&gt;=70,4,IF(E136&gt;=60,3.5,IF(E136&gt;=50,3,IF(E136&gt;=40,2,IF(E136&gt;=33,1,0)))))))))</f>
        <v/>
      </c>
    </row>
    <row r="137" spans="1:8" x14ac:dyDescent="0.35">
      <c r="A137" s="92">
        <f>'Student Basic Info'!A137</f>
        <v>636</v>
      </c>
      <c r="B137" s="93"/>
      <c r="C137" s="93"/>
      <c r="D137" s="93"/>
      <c r="E137" s="95" t="str">
        <f>IF(B137+C137+D137=0, "", B137+C137+D137)</f>
        <v/>
      </c>
      <c r="F137" s="96" t="str">
        <f>IF(E137="","", IF(AND(B137 &gt;=8,C137&gt;=17,D137&gt;=8),"Pass","Fail"))</f>
        <v/>
      </c>
      <c r="G137" s="96" t="str">
        <f>(IF(E137="","",IF(F137="Fail","F",IF(E137&gt;=80,"A+",IF(E137&gt;=70,"A",IF(E137&gt;=60,"A-",IF(E137&gt;=50,"B",IF(E137&gt;=40,"C",IF(E137&gt;=33,"D","F")))))))))</f>
        <v/>
      </c>
      <c r="H137" s="97" t="str">
        <f>(IF(E137="","",IF(G137="F",0,IF(E137&gt;=80,5,IF(E137&gt;=70,4,IF(E137&gt;=60,3.5,IF(E137&gt;=50,3,IF(E137&gt;=40,2,IF(E137&gt;=33,1,0)))))))))</f>
        <v/>
      </c>
    </row>
    <row r="138" spans="1:8" x14ac:dyDescent="0.35">
      <c r="A138" s="92">
        <f>'Student Basic Info'!A138</f>
        <v>637</v>
      </c>
      <c r="B138" s="93">
        <v>6</v>
      </c>
      <c r="C138" s="93">
        <v>4</v>
      </c>
      <c r="D138" s="93">
        <v>8</v>
      </c>
      <c r="E138" s="95">
        <f>IF(B138+C138+D138=0, "", B138+C138+D138)</f>
        <v>18</v>
      </c>
      <c r="F138" s="96" t="str">
        <f>IF(E138="","", IF(AND(B138 &gt;=8,C138&gt;=17,D138&gt;=8),"Pass","Fail"))</f>
        <v>Fail</v>
      </c>
      <c r="G138" s="96" t="str">
        <f>(IF(E138="","",IF(F138="Fail","F",IF(E138&gt;=80,"A+",IF(E138&gt;=70,"A",IF(E138&gt;=60,"A-",IF(E138&gt;=50,"B",IF(E138&gt;=40,"C",IF(E138&gt;=33,"D","F")))))))))</f>
        <v>F</v>
      </c>
      <c r="H138" s="97">
        <f>(IF(E138="","",IF(G138="F",0,IF(E138&gt;=80,5,IF(E138&gt;=70,4,IF(E138&gt;=60,3.5,IF(E138&gt;=50,3,IF(E138&gt;=40,2,IF(E138&gt;=33,1,0)))))))))</f>
        <v>0</v>
      </c>
    </row>
    <row r="139" spans="1:8" x14ac:dyDescent="0.35">
      <c r="A139" s="92">
        <f>'Student Basic Info'!A139</f>
        <v>638</v>
      </c>
      <c r="B139" s="93">
        <v>9</v>
      </c>
      <c r="C139" s="93">
        <v>1</v>
      </c>
      <c r="D139" s="93">
        <v>8</v>
      </c>
      <c r="E139" s="95">
        <f>IF(B139+C139+D139=0, "", B139+C139+D139)</f>
        <v>18</v>
      </c>
      <c r="F139" s="96" t="str">
        <f>IF(E139="","", IF(AND(B139 &gt;=8,C139&gt;=17,D139&gt;=8),"Pass","Fail"))</f>
        <v>Fail</v>
      </c>
      <c r="G139" s="96" t="str">
        <f>(IF(E139="","",IF(F139="Fail","F",IF(E139&gt;=80,"A+",IF(E139&gt;=70,"A",IF(E139&gt;=60,"A-",IF(E139&gt;=50,"B",IF(E139&gt;=40,"C",IF(E139&gt;=33,"D","F")))))))))</f>
        <v>F</v>
      </c>
      <c r="H139" s="97">
        <f>(IF(E139="","",IF(G139="F",0,IF(E139&gt;=80,5,IF(E139&gt;=70,4,IF(E139&gt;=60,3.5,IF(E139&gt;=50,3,IF(E139&gt;=40,2,IF(E139&gt;=33,1,0)))))))))</f>
        <v>0</v>
      </c>
    </row>
    <row r="140" spans="1:8" x14ac:dyDescent="0.35">
      <c r="A140" s="92">
        <f>'Student Basic Info'!A140</f>
        <v>639</v>
      </c>
      <c r="B140" s="93"/>
      <c r="C140" s="93"/>
      <c r="D140" s="93"/>
      <c r="E140" s="95" t="str">
        <f>IF(B140+C140+D140=0, "", B140+C140+D140)</f>
        <v/>
      </c>
      <c r="F140" s="96" t="str">
        <f>IF(E140="","", IF(AND(B140 &gt;=8,C140&gt;=17,D140&gt;=8),"Pass","Fail"))</f>
        <v/>
      </c>
      <c r="G140" s="96" t="str">
        <f>(IF(E140="","",IF(F140="Fail","F",IF(E140&gt;=80,"A+",IF(E140&gt;=70,"A",IF(E140&gt;=60,"A-",IF(E140&gt;=50,"B",IF(E140&gt;=40,"C",IF(E140&gt;=33,"D","F")))))))))</f>
        <v/>
      </c>
      <c r="H140" s="97" t="str">
        <f>(IF(E140="","",IF(G140="F",0,IF(E140&gt;=80,5,IF(E140&gt;=70,4,IF(E140&gt;=60,3.5,IF(E140&gt;=50,3,IF(E140&gt;=40,2,IF(E140&gt;=33,1,0)))))))))</f>
        <v/>
      </c>
    </row>
    <row r="141" spans="1:8" x14ac:dyDescent="0.35">
      <c r="A141" s="92">
        <f>'Student Basic Info'!A141</f>
        <v>640</v>
      </c>
      <c r="B141" s="93"/>
      <c r="C141" s="93"/>
      <c r="D141" s="93"/>
      <c r="E141" s="95" t="str">
        <f>IF(B141+C141+D141=0, "", B141+C141+D141)</f>
        <v/>
      </c>
      <c r="F141" s="96" t="str">
        <f>IF(E141="","", IF(AND(B141 &gt;=8,C141&gt;=17,D141&gt;=8),"Pass","Fail"))</f>
        <v/>
      </c>
      <c r="G141" s="96" t="str">
        <f>(IF(E141="","",IF(F141="Fail","F",IF(E141&gt;=80,"A+",IF(E141&gt;=70,"A",IF(E141&gt;=60,"A-",IF(E141&gt;=50,"B",IF(E141&gt;=40,"C",IF(E141&gt;=33,"D","F")))))))))</f>
        <v/>
      </c>
      <c r="H141" s="97" t="str">
        <f>(IF(E141="","",IF(G141="F",0,IF(E141&gt;=80,5,IF(E141&gt;=70,4,IF(E141&gt;=60,3.5,IF(E141&gt;=50,3,IF(E141&gt;=40,2,IF(E141&gt;=33,1,0)))))))))</f>
        <v/>
      </c>
    </row>
    <row r="142" spans="1:8" x14ac:dyDescent="0.35">
      <c r="A142" s="92">
        <f>'Student Basic Info'!A142</f>
        <v>641</v>
      </c>
      <c r="B142" s="93">
        <v>13</v>
      </c>
      <c r="C142" s="93">
        <v>24</v>
      </c>
      <c r="D142" s="93">
        <v>24</v>
      </c>
      <c r="E142" s="95">
        <f>IF(B142+C142+D142=0, "", B142+C142+D142)</f>
        <v>61</v>
      </c>
      <c r="F142" s="96" t="str">
        <f>IF(E142="","", IF(AND(B142 &gt;=8,C142&gt;=17,D142&gt;=8),"Pass","Fail"))</f>
        <v>Pass</v>
      </c>
      <c r="G142" s="96" t="str">
        <f>(IF(E142="","",IF(F142="Fail","F",IF(E142&gt;=80,"A+",IF(E142&gt;=70,"A",IF(E142&gt;=60,"A-",IF(E142&gt;=50,"B",IF(E142&gt;=40,"C",IF(E142&gt;=33,"D","F")))))))))</f>
        <v>A-</v>
      </c>
      <c r="H142" s="97">
        <f>(IF(E142="","",IF(G142="F",0,IF(E142&gt;=80,5,IF(E142&gt;=70,4,IF(E142&gt;=60,3.5,IF(E142&gt;=50,3,IF(E142&gt;=40,2,IF(E142&gt;=33,1,0)))))))))</f>
        <v>3.5</v>
      </c>
    </row>
    <row r="143" spans="1:8" x14ac:dyDescent="0.35">
      <c r="A143" s="92">
        <f>'Student Basic Info'!A143</f>
        <v>642</v>
      </c>
      <c r="B143" s="100">
        <v>5</v>
      </c>
      <c r="C143" s="93">
        <v>4</v>
      </c>
      <c r="D143" s="93">
        <v>20</v>
      </c>
      <c r="E143" s="95">
        <f>IF(B143+C143+D143=0, "", B143+C143+D143)</f>
        <v>29</v>
      </c>
      <c r="F143" s="96" t="str">
        <f>IF(E143="","", IF(AND(B143 &gt;=8,C143&gt;=17,D143&gt;=8),"Pass","Fail"))</f>
        <v>Fail</v>
      </c>
      <c r="G143" s="96" t="str">
        <f>(IF(E143="","",IF(F143="Fail","F",IF(E143&gt;=80,"A+",IF(E143&gt;=70,"A",IF(E143&gt;=60,"A-",IF(E143&gt;=50,"B",IF(E143&gt;=40,"C",IF(E143&gt;=33,"D","F")))))))))</f>
        <v>F</v>
      </c>
      <c r="H143" s="97">
        <f>(IF(E143="","",IF(G143="F",0,IF(E143&gt;=80,5,IF(E143&gt;=70,4,IF(E143&gt;=60,3.5,IF(E143&gt;=50,3,IF(E143&gt;=40,2,IF(E143&gt;=33,1,0)))))))))</f>
        <v>0</v>
      </c>
    </row>
    <row r="144" spans="1:8" x14ac:dyDescent="0.35">
      <c r="A144" s="92">
        <f>'Student Basic Info'!A144</f>
        <v>643</v>
      </c>
      <c r="B144" s="93"/>
      <c r="C144" s="93"/>
      <c r="D144" s="93"/>
      <c r="E144" s="95" t="str">
        <f>IF(B144+C144+D144=0, "", B144+C144+D144)</f>
        <v/>
      </c>
      <c r="F144" s="96" t="str">
        <f>IF(E144="","", IF(AND(B144 &gt;=8,C144&gt;=17,D144&gt;=8),"Pass","Fail"))</f>
        <v/>
      </c>
      <c r="G144" s="96" t="str">
        <f>(IF(E144="","",IF(F144="Fail","F",IF(E144&gt;=80,"A+",IF(E144&gt;=70,"A",IF(E144&gt;=60,"A-",IF(E144&gt;=50,"B",IF(E144&gt;=40,"C",IF(E144&gt;=33,"D","F")))))))))</f>
        <v/>
      </c>
      <c r="H144" s="97" t="str">
        <f>(IF(E144="","",IF(G144="F",0,IF(E144&gt;=80,5,IF(E144&gt;=70,4,IF(E144&gt;=60,3.5,IF(E144&gt;=50,3,IF(E144&gt;=40,2,IF(E144&gt;=33,1,0)))))))))</f>
        <v/>
      </c>
    </row>
    <row r="145" spans="1:8" x14ac:dyDescent="0.35">
      <c r="A145" s="92">
        <f>'Student Basic Info'!A145</f>
        <v>644</v>
      </c>
      <c r="B145" s="93">
        <v>5</v>
      </c>
      <c r="C145" s="93">
        <v>4</v>
      </c>
      <c r="D145" s="93">
        <v>20</v>
      </c>
      <c r="E145" s="95">
        <f>IF(B145+C145+D145=0, "", B145+C145+D145)</f>
        <v>29</v>
      </c>
      <c r="F145" s="96" t="str">
        <f>IF(E145="","", IF(AND(B145 &gt;=8,C145&gt;=17,D145&gt;=8),"Pass","Fail"))</f>
        <v>Fail</v>
      </c>
      <c r="G145" s="96" t="str">
        <f>(IF(E145="","",IF(F145="Fail","F",IF(E145&gt;=80,"A+",IF(E145&gt;=70,"A",IF(E145&gt;=60,"A-",IF(E145&gt;=50,"B",IF(E145&gt;=40,"C",IF(E145&gt;=33,"D","F")))))))))</f>
        <v>F</v>
      </c>
      <c r="H145" s="97">
        <f>(IF(E145="","",IF(G145="F",0,IF(E145&gt;=80,5,IF(E145&gt;=70,4,IF(E145&gt;=60,3.5,IF(E145&gt;=50,3,IF(E145&gt;=40,2,IF(E145&gt;=33,1,0)))))))))</f>
        <v>0</v>
      </c>
    </row>
    <row r="146" spans="1:8" x14ac:dyDescent="0.35">
      <c r="A146" s="158">
        <v>1718</v>
      </c>
      <c r="B146" s="127">
        <v>5</v>
      </c>
      <c r="C146" s="127">
        <v>7</v>
      </c>
      <c r="D146" s="127">
        <v>8</v>
      </c>
      <c r="E146" s="51">
        <f>IF(B146+C146+D146=0, "", B146+C146+D146)</f>
        <v>20</v>
      </c>
      <c r="F146" s="51" t="str">
        <f>IF(E146="","", IF(AND(B146 &gt;=8,C146&gt;=17,D146&gt;=8),"Pass","Fail"))</f>
        <v>Fail</v>
      </c>
      <c r="G146" s="51" t="str">
        <f>(IF(E146="","",IF(F146="Fail","F",IF(E146&gt;=80,"A+",IF(E146&gt;=70,"A",IF(E146&gt;=60,"A-",IF(E146&gt;=50,"B",IF(E146&gt;=40,"C",IF(E146&gt;=33,"D","F")))))))))</f>
        <v>F</v>
      </c>
      <c r="H146" s="51">
        <f>(IF(E146="","",IF(G146="F",0,IF(E146&gt;=80,5,IF(E146&gt;=70,4,IF(E146&gt;=60,3.5,IF(E146&gt;=50,3,IF(E146&gt;=40,2,IF(E146&gt;=33,1,0)))))))))</f>
        <v>0</v>
      </c>
    </row>
    <row r="147" spans="1:8" x14ac:dyDescent="0.35">
      <c r="A147" s="158">
        <v>1748</v>
      </c>
      <c r="B147" s="127">
        <v>9</v>
      </c>
      <c r="C147" s="127">
        <v>4</v>
      </c>
      <c r="D147" s="127">
        <v>8</v>
      </c>
      <c r="E147" s="51">
        <f>IF(B147+C147+D147=0, "", B147+C147+D147)</f>
        <v>21</v>
      </c>
      <c r="F147" s="51" t="str">
        <f>IF(E147="","", IF(AND(B147 &gt;=8,C147&gt;=17,D147&gt;=8),"Pass","Fail"))</f>
        <v>Fail</v>
      </c>
      <c r="G147" s="51" t="str">
        <f>(IF(E147="","",IF(F147="Fail","F",IF(E147&gt;=80,"A+",IF(E147&gt;=70,"A",IF(E147&gt;=60,"A-",IF(E147&gt;=50,"B",IF(E147&gt;=40,"C",IF(E147&gt;=33,"D","F")))))))))</f>
        <v>F</v>
      </c>
      <c r="H147" s="51">
        <f>(IF(E147="","",IF(G147="F",0,IF(E147&gt;=80,5,IF(E147&gt;=70,4,IF(E147&gt;=60,3.5,IF(E147&gt;=50,3,IF(E147&gt;=40,2,IF(E147&gt;=33,1,0)))))))))</f>
        <v>0</v>
      </c>
    </row>
  </sheetData>
  <conditionalFormatting sqref="F2:F145">
    <cfRule type="containsText" dxfId="23" priority="1" operator="containsText" text="Fail">
      <formula>NOT(ISERROR(SEARCH("Fail",F2)))</formula>
    </cfRule>
    <cfRule type="containsText" dxfId="22" priority="2" operator="containsText" text="Pass">
      <formula>NOT(ISERROR(SEARCH("Pass",F2)))</formula>
    </cfRule>
  </conditionalFormatting>
  <pageMargins left="1.91" right="0.7" top="0.75" bottom="0.75" header="0.3" footer="0.3"/>
  <pageSetup scale="80" orientation="portrait" r:id="rId1"/>
  <headerFooter>
    <oddHeader>&amp;C&amp;16&amp;KFFC000BAMNI DEGREE COLLEGE&amp;11&amp;K01+000
&amp;"-,Bold"&amp;16Test Exam 2025&amp;"-,Regular"&amp;11
&amp;"-,Bold"&amp;14ICT Mark Sheet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opLeftCell="A46" workbookViewId="0">
      <selection activeCell="B53" sqref="B53"/>
    </sheetView>
  </sheetViews>
  <sheetFormatPr defaultRowHeight="14.5" x14ac:dyDescent="0.35"/>
  <cols>
    <col min="1" max="1" width="8.7265625" style="14"/>
    <col min="2" max="2" width="10.7265625" style="1" bestFit="1" customWidth="1"/>
    <col min="3" max="3" width="9" style="1" bestFit="1" customWidth="1"/>
    <col min="4" max="4" width="10.81640625" style="14" bestFit="1" customWidth="1"/>
    <col min="5" max="7" width="8.7265625" style="14"/>
  </cols>
  <sheetData>
    <row r="1" spans="1:8" x14ac:dyDescent="0.3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10">
        <f>'Student Basic Info'!A2</f>
        <v>501</v>
      </c>
      <c r="B2" s="3"/>
      <c r="C2" s="3"/>
      <c r="D2" s="15" t="str">
        <f>IF(B2+C2=0, "", B2+C2)</f>
        <v/>
      </c>
      <c r="E2" s="10" t="str">
        <f>IF(D2="","", IF(AND(B2 &gt;=10,C2&gt;=23),"Pass","Fail"))</f>
        <v/>
      </c>
      <c r="F2" s="10" t="str">
        <f>(IF(D2="","",IF(E2="Fail","F",IF(D2&gt;=80,"A+",IF(D2&gt;=70,"A",IF(D2&gt;=60,"A-",IF(D2&gt;=50,"B",IF(D2&gt;=40,"C",IF(D2&gt;=33,"D","F")))))))))</f>
        <v/>
      </c>
      <c r="G2" s="11" t="str">
        <f>(IF(D2="","",IF(F2="F",0,IF(D2&gt;=80,5,IF(D2&gt;=70,4,IF(D2&gt;=60,3.5,IF(D2&gt;=50,3,IF(D2&gt;=40,2,IF(D2&gt;=33,1,0)))))))))</f>
        <v/>
      </c>
    </row>
    <row r="3" spans="1:8" x14ac:dyDescent="0.35">
      <c r="A3" s="10">
        <f>'Student Basic Info'!A3</f>
        <v>502</v>
      </c>
      <c r="B3" s="3"/>
      <c r="C3" s="3"/>
      <c r="D3" s="15" t="str">
        <f t="shared" ref="D3:D66" si="0">IF(B3+C3=0, "", B3+C3)</f>
        <v/>
      </c>
      <c r="E3" s="10" t="str">
        <f t="shared" ref="E3:E66" si="1">IF(D3="","", IF(AND(B3 &gt;=10,C3&gt;=23),"Pass","Fail"))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10">
        <f>'Student Basic Info'!A4</f>
        <v>503</v>
      </c>
      <c r="B4" s="3">
        <v>10</v>
      </c>
      <c r="C4" s="3">
        <v>23</v>
      </c>
      <c r="D4" s="15">
        <f t="shared" si="0"/>
        <v>33</v>
      </c>
      <c r="E4" s="10" t="str">
        <f t="shared" si="1"/>
        <v>Pass</v>
      </c>
      <c r="F4" s="10" t="str">
        <f t="shared" si="2"/>
        <v>D</v>
      </c>
      <c r="G4" s="11">
        <f t="shared" si="3"/>
        <v>1</v>
      </c>
    </row>
    <row r="5" spans="1:8" x14ac:dyDescent="0.35">
      <c r="A5" s="10">
        <f>'Student Basic Info'!A5</f>
        <v>504</v>
      </c>
      <c r="B5" s="3">
        <v>7</v>
      </c>
      <c r="C5" s="3">
        <v>24</v>
      </c>
      <c r="D5" s="15">
        <f t="shared" si="0"/>
        <v>31</v>
      </c>
      <c r="E5" s="10" t="str">
        <f t="shared" si="1"/>
        <v>Fail</v>
      </c>
      <c r="F5" s="10" t="str">
        <f t="shared" si="2"/>
        <v>F</v>
      </c>
      <c r="G5" s="11">
        <f t="shared" si="3"/>
        <v>0</v>
      </c>
    </row>
    <row r="6" spans="1:8" x14ac:dyDescent="0.35">
      <c r="A6" s="10">
        <f>'Student Basic Info'!A6</f>
        <v>505</v>
      </c>
      <c r="B6" s="3"/>
      <c r="C6" s="3"/>
      <c r="D6" s="15" t="str">
        <f t="shared" si="0"/>
        <v/>
      </c>
      <c r="E6" s="10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10">
        <f>'Student Basic Info'!A7</f>
        <v>506</v>
      </c>
      <c r="B7" s="3"/>
      <c r="C7" s="3"/>
      <c r="D7" s="15" t="str">
        <f t="shared" si="0"/>
        <v/>
      </c>
      <c r="E7" s="10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10">
        <f>'Student Basic Info'!A8</f>
        <v>507</v>
      </c>
      <c r="B8" s="3">
        <v>12</v>
      </c>
      <c r="C8" s="3">
        <v>35</v>
      </c>
      <c r="D8" s="15">
        <f t="shared" si="0"/>
        <v>47</v>
      </c>
      <c r="E8" s="10" t="str">
        <f t="shared" si="1"/>
        <v>Pass</v>
      </c>
      <c r="F8" s="10" t="str">
        <f t="shared" si="2"/>
        <v>C</v>
      </c>
      <c r="G8" s="11">
        <f t="shared" si="3"/>
        <v>2</v>
      </c>
    </row>
    <row r="9" spans="1:8" x14ac:dyDescent="0.35">
      <c r="A9" s="10">
        <f>'Student Basic Info'!A9</f>
        <v>508</v>
      </c>
      <c r="B9" s="3">
        <v>10</v>
      </c>
      <c r="C9" s="3">
        <v>40</v>
      </c>
      <c r="D9" s="15">
        <f t="shared" si="0"/>
        <v>50</v>
      </c>
      <c r="E9" s="10" t="str">
        <f t="shared" si="1"/>
        <v>Pass</v>
      </c>
      <c r="F9" s="10" t="str">
        <f t="shared" si="2"/>
        <v>B</v>
      </c>
      <c r="G9" s="11">
        <f t="shared" si="3"/>
        <v>3</v>
      </c>
    </row>
    <row r="10" spans="1:8" x14ac:dyDescent="0.35">
      <c r="A10" s="10">
        <f>'Student Basic Info'!A10</f>
        <v>509</v>
      </c>
      <c r="B10" s="3">
        <v>7</v>
      </c>
      <c r="C10" s="3">
        <v>14</v>
      </c>
      <c r="D10" s="15">
        <f t="shared" si="0"/>
        <v>21</v>
      </c>
      <c r="E10" s="10" t="str">
        <f t="shared" si="1"/>
        <v>Fail</v>
      </c>
      <c r="F10" s="10" t="str">
        <f t="shared" si="2"/>
        <v>F</v>
      </c>
      <c r="G10" s="11">
        <f t="shared" si="3"/>
        <v>0</v>
      </c>
    </row>
    <row r="11" spans="1:8" x14ac:dyDescent="0.35">
      <c r="A11" s="10">
        <f>'Student Basic Info'!A11</f>
        <v>510</v>
      </c>
      <c r="B11" s="3"/>
      <c r="C11" s="3"/>
      <c r="D11" s="15" t="str">
        <f t="shared" si="0"/>
        <v/>
      </c>
      <c r="E11" s="10" t="str">
        <f t="shared" si="1"/>
        <v/>
      </c>
      <c r="F11" s="10" t="str">
        <f t="shared" si="2"/>
        <v/>
      </c>
      <c r="G11" s="11" t="str">
        <f t="shared" si="3"/>
        <v/>
      </c>
    </row>
    <row r="12" spans="1:8" x14ac:dyDescent="0.35">
      <c r="A12" s="10">
        <f>'Student Basic Info'!A12</f>
        <v>511</v>
      </c>
      <c r="B12" s="3">
        <v>10</v>
      </c>
      <c r="C12" s="3">
        <v>23</v>
      </c>
      <c r="D12" s="15">
        <f t="shared" si="0"/>
        <v>33</v>
      </c>
      <c r="E12" s="10" t="str">
        <f t="shared" si="1"/>
        <v>Pass</v>
      </c>
      <c r="F12" s="10" t="str">
        <f t="shared" si="2"/>
        <v>D</v>
      </c>
      <c r="G12" s="11">
        <f t="shared" si="3"/>
        <v>1</v>
      </c>
    </row>
    <row r="13" spans="1:8" x14ac:dyDescent="0.35">
      <c r="A13" s="10">
        <f>'Student Basic Info'!A13</f>
        <v>512</v>
      </c>
      <c r="B13" s="3">
        <v>10</v>
      </c>
      <c r="C13" s="3">
        <v>17</v>
      </c>
      <c r="D13" s="15">
        <f t="shared" si="0"/>
        <v>27</v>
      </c>
      <c r="E13" s="10" t="str">
        <f t="shared" si="1"/>
        <v>Fail</v>
      </c>
      <c r="F13" s="10" t="str">
        <f t="shared" si="2"/>
        <v>F</v>
      </c>
      <c r="G13" s="11">
        <f t="shared" si="3"/>
        <v>0</v>
      </c>
    </row>
    <row r="14" spans="1:8" x14ac:dyDescent="0.35">
      <c r="A14" s="10">
        <f>'Student Basic Info'!A14</f>
        <v>513</v>
      </c>
      <c r="B14" s="3">
        <v>12</v>
      </c>
      <c r="C14" s="3">
        <v>23</v>
      </c>
      <c r="D14" s="15">
        <f t="shared" si="0"/>
        <v>35</v>
      </c>
      <c r="E14" s="10" t="str">
        <f t="shared" si="1"/>
        <v>Pass</v>
      </c>
      <c r="F14" s="10" t="str">
        <f t="shared" si="2"/>
        <v>D</v>
      </c>
      <c r="G14" s="11">
        <f t="shared" si="3"/>
        <v>1</v>
      </c>
    </row>
    <row r="15" spans="1:8" x14ac:dyDescent="0.35">
      <c r="A15" s="10">
        <f>'Student Basic Info'!A15</f>
        <v>514</v>
      </c>
      <c r="B15" s="3"/>
      <c r="C15" s="3"/>
      <c r="D15" s="15" t="str">
        <f t="shared" si="0"/>
        <v/>
      </c>
      <c r="E15" s="10" t="str">
        <f t="shared" si="1"/>
        <v/>
      </c>
      <c r="F15" s="10" t="str">
        <f t="shared" si="2"/>
        <v/>
      </c>
      <c r="G15" s="11" t="str">
        <f t="shared" si="3"/>
        <v/>
      </c>
    </row>
    <row r="16" spans="1:8" x14ac:dyDescent="0.35">
      <c r="A16" s="10">
        <f>'Student Basic Info'!A16</f>
        <v>515</v>
      </c>
      <c r="B16" s="3">
        <v>17</v>
      </c>
      <c r="C16" s="3">
        <v>41</v>
      </c>
      <c r="D16" s="15">
        <f t="shared" si="0"/>
        <v>58</v>
      </c>
      <c r="E16" s="10" t="str">
        <f t="shared" si="1"/>
        <v>Pass</v>
      </c>
      <c r="F16" s="10" t="str">
        <f t="shared" si="2"/>
        <v>B</v>
      </c>
      <c r="G16" s="11">
        <f t="shared" si="3"/>
        <v>3</v>
      </c>
    </row>
    <row r="17" spans="1:7" x14ac:dyDescent="0.35">
      <c r="A17" s="10">
        <f>'Student Basic Info'!A17</f>
        <v>516</v>
      </c>
      <c r="B17" s="3">
        <v>16</v>
      </c>
      <c r="C17" s="3">
        <v>43</v>
      </c>
      <c r="D17" s="15">
        <f t="shared" si="0"/>
        <v>59</v>
      </c>
      <c r="E17" s="10" t="str">
        <f t="shared" si="1"/>
        <v>Pass</v>
      </c>
      <c r="F17" s="10" t="str">
        <f t="shared" si="2"/>
        <v>B</v>
      </c>
      <c r="G17" s="11">
        <f t="shared" si="3"/>
        <v>3</v>
      </c>
    </row>
    <row r="18" spans="1:7" x14ac:dyDescent="0.35">
      <c r="A18" s="10">
        <f>'Student Basic Info'!A18</f>
        <v>517</v>
      </c>
      <c r="B18" s="3"/>
      <c r="C18" s="3"/>
      <c r="D18" s="15" t="str">
        <f t="shared" si="0"/>
        <v/>
      </c>
      <c r="E18" s="10" t="str">
        <f t="shared" si="1"/>
        <v/>
      </c>
      <c r="F18" s="10" t="str">
        <f t="shared" si="2"/>
        <v/>
      </c>
      <c r="G18" s="11" t="str">
        <f t="shared" si="3"/>
        <v/>
      </c>
    </row>
    <row r="19" spans="1:7" x14ac:dyDescent="0.35">
      <c r="A19" s="10">
        <f>'Student Basic Info'!A19</f>
        <v>518</v>
      </c>
      <c r="B19" s="3"/>
      <c r="C19" s="3"/>
      <c r="D19" s="15" t="str">
        <f t="shared" si="0"/>
        <v/>
      </c>
      <c r="E19" s="10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10">
        <f>'Student Basic Info'!A20</f>
        <v>519</v>
      </c>
      <c r="B20" s="3">
        <v>11</v>
      </c>
      <c r="C20" s="3">
        <v>40</v>
      </c>
      <c r="D20" s="15">
        <f t="shared" si="0"/>
        <v>51</v>
      </c>
      <c r="E20" s="10" t="str">
        <f t="shared" si="1"/>
        <v>Pass</v>
      </c>
      <c r="F20" s="10" t="str">
        <f t="shared" si="2"/>
        <v>B</v>
      </c>
      <c r="G20" s="11">
        <f t="shared" si="3"/>
        <v>3</v>
      </c>
    </row>
    <row r="21" spans="1:7" x14ac:dyDescent="0.35">
      <c r="A21" s="10">
        <f>'Student Basic Info'!A21</f>
        <v>520</v>
      </c>
      <c r="B21" s="3">
        <v>10</v>
      </c>
      <c r="C21" s="3">
        <v>8</v>
      </c>
      <c r="D21" s="15">
        <f t="shared" si="0"/>
        <v>18</v>
      </c>
      <c r="E21" s="10" t="str">
        <f t="shared" si="1"/>
        <v>Fail</v>
      </c>
      <c r="F21" s="10" t="str">
        <f t="shared" si="2"/>
        <v>F</v>
      </c>
      <c r="G21" s="11">
        <f t="shared" si="3"/>
        <v>0</v>
      </c>
    </row>
    <row r="22" spans="1:7" x14ac:dyDescent="0.35">
      <c r="A22" s="10">
        <f>'Student Basic Info'!A22</f>
        <v>521</v>
      </c>
      <c r="B22" s="3"/>
      <c r="C22" s="3"/>
      <c r="D22" s="15" t="str">
        <f t="shared" si="0"/>
        <v/>
      </c>
      <c r="E22" s="10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10">
        <f>'Student Basic Info'!A23</f>
        <v>522</v>
      </c>
      <c r="B23" s="3">
        <v>15</v>
      </c>
      <c r="C23" s="3">
        <v>45</v>
      </c>
      <c r="D23" s="15">
        <f t="shared" si="0"/>
        <v>60</v>
      </c>
      <c r="E23" s="10" t="str">
        <f t="shared" si="1"/>
        <v>Pass</v>
      </c>
      <c r="F23" s="10" t="str">
        <f t="shared" si="2"/>
        <v>A-</v>
      </c>
      <c r="G23" s="11">
        <f t="shared" si="3"/>
        <v>3.5</v>
      </c>
    </row>
    <row r="24" spans="1:7" x14ac:dyDescent="0.35">
      <c r="A24" s="10">
        <f>'Student Basic Info'!A24</f>
        <v>523</v>
      </c>
      <c r="B24" s="3">
        <v>7</v>
      </c>
      <c r="C24" s="3">
        <v>23</v>
      </c>
      <c r="D24" s="15">
        <f t="shared" si="0"/>
        <v>30</v>
      </c>
      <c r="E24" s="10" t="str">
        <f t="shared" si="1"/>
        <v>Fail</v>
      </c>
      <c r="F24" s="10" t="str">
        <f t="shared" si="2"/>
        <v>F</v>
      </c>
      <c r="G24" s="11">
        <f t="shared" si="3"/>
        <v>0</v>
      </c>
    </row>
    <row r="25" spans="1:7" x14ac:dyDescent="0.35">
      <c r="A25" s="10">
        <f>'Student Basic Info'!A25</f>
        <v>524</v>
      </c>
      <c r="B25" s="126">
        <v>10</v>
      </c>
      <c r="C25" s="126">
        <v>32</v>
      </c>
      <c r="D25" s="15">
        <f t="shared" si="0"/>
        <v>42</v>
      </c>
      <c r="E25" s="10" t="str">
        <f t="shared" si="1"/>
        <v>Pass</v>
      </c>
      <c r="F25" s="10" t="str">
        <f t="shared" si="2"/>
        <v>C</v>
      </c>
      <c r="G25" s="11">
        <f t="shared" si="3"/>
        <v>2</v>
      </c>
    </row>
    <row r="26" spans="1:7" x14ac:dyDescent="0.35">
      <c r="A26" s="10">
        <f>'Student Basic Info'!A26</f>
        <v>525</v>
      </c>
      <c r="B26" s="3"/>
      <c r="C26" s="3"/>
      <c r="D26" s="15" t="str">
        <f t="shared" si="0"/>
        <v/>
      </c>
      <c r="E26" s="10" t="str">
        <f t="shared" si="1"/>
        <v/>
      </c>
      <c r="F26" s="10" t="str">
        <f t="shared" si="2"/>
        <v/>
      </c>
      <c r="G26" s="11" t="str">
        <f t="shared" si="3"/>
        <v/>
      </c>
    </row>
    <row r="27" spans="1:7" x14ac:dyDescent="0.35">
      <c r="A27" s="10">
        <f>'Student Basic Info'!A27</f>
        <v>526</v>
      </c>
      <c r="B27" s="3">
        <v>10</v>
      </c>
      <c r="C27" s="3">
        <v>40</v>
      </c>
      <c r="D27" s="15">
        <f t="shared" si="0"/>
        <v>50</v>
      </c>
      <c r="E27" s="10" t="str">
        <f t="shared" si="1"/>
        <v>Pass</v>
      </c>
      <c r="F27" s="10" t="str">
        <f t="shared" si="2"/>
        <v>B</v>
      </c>
      <c r="G27" s="11">
        <f t="shared" si="3"/>
        <v>3</v>
      </c>
    </row>
    <row r="28" spans="1:7" x14ac:dyDescent="0.35">
      <c r="A28" s="10">
        <f>'Student Basic Info'!A28</f>
        <v>527</v>
      </c>
      <c r="B28" s="3"/>
      <c r="C28" s="3"/>
      <c r="D28" s="15" t="str">
        <f t="shared" si="0"/>
        <v/>
      </c>
      <c r="E28" s="10" t="str">
        <f t="shared" si="1"/>
        <v/>
      </c>
      <c r="F28" s="10" t="str">
        <f t="shared" si="2"/>
        <v/>
      </c>
      <c r="G28" s="11" t="str">
        <f t="shared" si="3"/>
        <v/>
      </c>
    </row>
    <row r="29" spans="1:7" x14ac:dyDescent="0.35">
      <c r="A29" s="10">
        <f>'Student Basic Info'!A29</f>
        <v>528</v>
      </c>
      <c r="B29" s="3">
        <v>14</v>
      </c>
      <c r="C29" s="3">
        <v>40</v>
      </c>
      <c r="D29" s="15">
        <f t="shared" si="0"/>
        <v>54</v>
      </c>
      <c r="E29" s="10" t="str">
        <f t="shared" si="1"/>
        <v>Pass</v>
      </c>
      <c r="F29" s="10" t="str">
        <f t="shared" si="2"/>
        <v>B</v>
      </c>
      <c r="G29" s="11">
        <f t="shared" si="3"/>
        <v>3</v>
      </c>
    </row>
    <row r="30" spans="1:7" x14ac:dyDescent="0.35">
      <c r="A30" s="10">
        <f>'Student Basic Info'!A30</f>
        <v>529</v>
      </c>
      <c r="B30" s="3">
        <v>11</v>
      </c>
      <c r="C30" s="3">
        <v>9</v>
      </c>
      <c r="D30" s="15">
        <f t="shared" si="0"/>
        <v>20</v>
      </c>
      <c r="E30" s="10" t="str">
        <f t="shared" si="1"/>
        <v>Fail</v>
      </c>
      <c r="F30" s="10" t="str">
        <f t="shared" si="2"/>
        <v>F</v>
      </c>
      <c r="G30" s="11">
        <f t="shared" si="3"/>
        <v>0</v>
      </c>
    </row>
    <row r="31" spans="1:7" x14ac:dyDescent="0.35">
      <c r="A31" s="10">
        <f>'Student Basic Info'!A31</f>
        <v>530</v>
      </c>
      <c r="B31" s="3"/>
      <c r="C31" s="3"/>
      <c r="D31" s="15" t="str">
        <f t="shared" si="0"/>
        <v/>
      </c>
      <c r="E31" s="10" t="str">
        <f t="shared" si="1"/>
        <v/>
      </c>
      <c r="F31" s="10" t="str">
        <f t="shared" si="2"/>
        <v/>
      </c>
      <c r="G31" s="11" t="str">
        <f t="shared" si="3"/>
        <v/>
      </c>
    </row>
    <row r="32" spans="1:7" x14ac:dyDescent="0.35">
      <c r="A32" s="10">
        <f>'Student Basic Info'!A32</f>
        <v>531</v>
      </c>
      <c r="B32" s="3">
        <v>8</v>
      </c>
      <c r="C32" s="3">
        <v>12</v>
      </c>
      <c r="D32" s="15">
        <f t="shared" si="0"/>
        <v>20</v>
      </c>
      <c r="E32" s="10" t="str">
        <f t="shared" si="1"/>
        <v>Fail</v>
      </c>
      <c r="F32" s="10" t="str">
        <f t="shared" si="2"/>
        <v>F</v>
      </c>
      <c r="G32" s="11">
        <f t="shared" si="3"/>
        <v>0</v>
      </c>
    </row>
    <row r="33" spans="1:7" x14ac:dyDescent="0.35">
      <c r="A33" s="10">
        <f>'Student Basic Info'!A33</f>
        <v>532</v>
      </c>
      <c r="B33" s="3"/>
      <c r="C33" s="3"/>
      <c r="D33" s="15" t="str">
        <f t="shared" si="0"/>
        <v/>
      </c>
      <c r="E33" s="10" t="str">
        <f t="shared" si="1"/>
        <v/>
      </c>
      <c r="F33" s="10" t="str">
        <f t="shared" si="2"/>
        <v/>
      </c>
      <c r="G33" s="11" t="str">
        <f t="shared" si="3"/>
        <v/>
      </c>
    </row>
    <row r="34" spans="1:7" x14ac:dyDescent="0.35">
      <c r="A34" s="10">
        <f>'Student Basic Info'!A34</f>
        <v>533</v>
      </c>
      <c r="B34" s="3"/>
      <c r="C34" s="3"/>
      <c r="D34" s="15" t="str">
        <f t="shared" si="0"/>
        <v/>
      </c>
      <c r="E34" s="10" t="str">
        <f t="shared" si="1"/>
        <v/>
      </c>
      <c r="F34" s="10" t="str">
        <f t="shared" si="2"/>
        <v/>
      </c>
      <c r="G34" s="11" t="str">
        <f t="shared" si="3"/>
        <v/>
      </c>
    </row>
    <row r="35" spans="1:7" x14ac:dyDescent="0.35">
      <c r="A35" s="10">
        <f>'Student Basic Info'!A35</f>
        <v>534</v>
      </c>
      <c r="B35" s="3"/>
      <c r="C35" s="3"/>
      <c r="D35" s="15" t="str">
        <f t="shared" si="0"/>
        <v/>
      </c>
      <c r="E35" s="10" t="str">
        <f t="shared" si="1"/>
        <v/>
      </c>
      <c r="F35" s="10" t="str">
        <f t="shared" si="2"/>
        <v/>
      </c>
      <c r="G35" s="11" t="str">
        <f t="shared" si="3"/>
        <v/>
      </c>
    </row>
    <row r="36" spans="1:7" x14ac:dyDescent="0.35">
      <c r="A36" s="10">
        <f>'Student Basic Info'!A36</f>
        <v>535</v>
      </c>
      <c r="B36" s="3"/>
      <c r="C36" s="3"/>
      <c r="D36" s="15" t="str">
        <f t="shared" si="0"/>
        <v/>
      </c>
      <c r="E36" s="10" t="str">
        <f t="shared" si="1"/>
        <v/>
      </c>
      <c r="F36" s="10" t="str">
        <f t="shared" si="2"/>
        <v/>
      </c>
      <c r="G36" s="11" t="str">
        <f t="shared" si="3"/>
        <v/>
      </c>
    </row>
    <row r="37" spans="1:7" x14ac:dyDescent="0.35">
      <c r="A37" s="10">
        <f>'Student Basic Info'!A37</f>
        <v>536</v>
      </c>
      <c r="B37" s="3">
        <v>10</v>
      </c>
      <c r="C37" s="3">
        <v>17</v>
      </c>
      <c r="D37" s="15">
        <f t="shared" si="0"/>
        <v>27</v>
      </c>
      <c r="E37" s="10" t="str">
        <f t="shared" si="1"/>
        <v>Fail</v>
      </c>
      <c r="F37" s="10" t="str">
        <f t="shared" si="2"/>
        <v>F</v>
      </c>
      <c r="G37" s="11">
        <f t="shared" si="3"/>
        <v>0</v>
      </c>
    </row>
    <row r="38" spans="1:7" x14ac:dyDescent="0.35">
      <c r="A38" s="10">
        <f>'Student Basic Info'!A38</f>
        <v>537</v>
      </c>
      <c r="B38" s="3">
        <v>10</v>
      </c>
      <c r="C38" s="3">
        <v>12</v>
      </c>
      <c r="D38" s="15">
        <f t="shared" si="0"/>
        <v>22</v>
      </c>
      <c r="E38" s="10" t="str">
        <f t="shared" si="1"/>
        <v>Fail</v>
      </c>
      <c r="F38" s="10" t="str">
        <f t="shared" si="2"/>
        <v>F</v>
      </c>
      <c r="G38" s="11">
        <f t="shared" si="3"/>
        <v>0</v>
      </c>
    </row>
    <row r="39" spans="1:7" x14ac:dyDescent="0.35">
      <c r="A39" s="10">
        <f>'Student Basic Info'!A39</f>
        <v>538</v>
      </c>
      <c r="B39" s="3">
        <v>10</v>
      </c>
      <c r="C39" s="3">
        <v>5</v>
      </c>
      <c r="D39" s="15">
        <f t="shared" si="0"/>
        <v>15</v>
      </c>
      <c r="E39" s="10" t="str">
        <f t="shared" si="1"/>
        <v>Fail</v>
      </c>
      <c r="F39" s="10" t="str">
        <f t="shared" si="2"/>
        <v>F</v>
      </c>
      <c r="G39" s="11">
        <f t="shared" si="3"/>
        <v>0</v>
      </c>
    </row>
    <row r="40" spans="1:7" x14ac:dyDescent="0.35">
      <c r="A40" s="10">
        <f>'Student Basic Info'!A40</f>
        <v>539</v>
      </c>
      <c r="B40" s="3">
        <v>10</v>
      </c>
      <c r="C40" s="3">
        <v>2</v>
      </c>
      <c r="D40" s="15">
        <f t="shared" si="0"/>
        <v>12</v>
      </c>
      <c r="E40" s="10" t="str">
        <f t="shared" si="1"/>
        <v>Fail</v>
      </c>
      <c r="F40" s="10" t="str">
        <f t="shared" si="2"/>
        <v>F</v>
      </c>
      <c r="G40" s="11">
        <f t="shared" si="3"/>
        <v>0</v>
      </c>
    </row>
    <row r="41" spans="1:7" x14ac:dyDescent="0.35">
      <c r="A41" s="10">
        <f>'Student Basic Info'!A41</f>
        <v>540</v>
      </c>
      <c r="B41" s="3">
        <v>8</v>
      </c>
      <c r="C41" s="3">
        <v>8</v>
      </c>
      <c r="D41" s="15">
        <f t="shared" si="0"/>
        <v>16</v>
      </c>
      <c r="E41" s="10" t="str">
        <f t="shared" si="1"/>
        <v>Fail</v>
      </c>
      <c r="F41" s="10" t="str">
        <f t="shared" si="2"/>
        <v>F</v>
      </c>
      <c r="G41" s="11">
        <f t="shared" si="3"/>
        <v>0</v>
      </c>
    </row>
    <row r="42" spans="1:7" x14ac:dyDescent="0.35">
      <c r="A42" s="10">
        <f>'Student Basic Info'!A42</f>
        <v>541</v>
      </c>
      <c r="B42" s="3"/>
      <c r="C42" s="3"/>
      <c r="D42" s="15" t="str">
        <f t="shared" si="0"/>
        <v/>
      </c>
      <c r="E42" s="10" t="str">
        <f t="shared" si="1"/>
        <v/>
      </c>
      <c r="F42" s="10" t="str">
        <f t="shared" si="2"/>
        <v/>
      </c>
      <c r="G42" s="11" t="str">
        <f t="shared" si="3"/>
        <v/>
      </c>
    </row>
    <row r="43" spans="1:7" x14ac:dyDescent="0.35">
      <c r="A43" s="10">
        <f>'Student Basic Info'!A43</f>
        <v>542</v>
      </c>
      <c r="B43" s="3">
        <v>10</v>
      </c>
      <c r="C43" s="3">
        <v>13</v>
      </c>
      <c r="D43" s="15">
        <f t="shared" si="0"/>
        <v>23</v>
      </c>
      <c r="E43" s="10" t="str">
        <f t="shared" si="1"/>
        <v>Fail</v>
      </c>
      <c r="F43" s="10" t="str">
        <f t="shared" si="2"/>
        <v>F</v>
      </c>
      <c r="G43" s="11">
        <f t="shared" si="3"/>
        <v>0</v>
      </c>
    </row>
    <row r="44" spans="1:7" x14ac:dyDescent="0.35">
      <c r="A44" s="10">
        <f>'Student Basic Info'!A44</f>
        <v>543</v>
      </c>
      <c r="B44" s="3">
        <v>8</v>
      </c>
      <c r="C44" s="3">
        <v>12</v>
      </c>
      <c r="D44" s="15">
        <f t="shared" si="0"/>
        <v>20</v>
      </c>
      <c r="E44" s="10" t="str">
        <f t="shared" si="1"/>
        <v>Fail</v>
      </c>
      <c r="F44" s="10" t="str">
        <f t="shared" si="2"/>
        <v>F</v>
      </c>
      <c r="G44" s="11">
        <f t="shared" si="3"/>
        <v>0</v>
      </c>
    </row>
    <row r="45" spans="1:7" x14ac:dyDescent="0.35">
      <c r="A45" s="10">
        <f>'Student Basic Info'!A45</f>
        <v>544</v>
      </c>
      <c r="B45" s="3">
        <v>10</v>
      </c>
      <c r="C45" s="3">
        <v>23</v>
      </c>
      <c r="D45" s="15">
        <f t="shared" si="0"/>
        <v>33</v>
      </c>
      <c r="E45" s="10" t="str">
        <f t="shared" si="1"/>
        <v>Pass</v>
      </c>
      <c r="F45" s="10" t="str">
        <f t="shared" si="2"/>
        <v>D</v>
      </c>
      <c r="G45" s="11">
        <f t="shared" si="3"/>
        <v>1</v>
      </c>
    </row>
    <row r="46" spans="1:7" x14ac:dyDescent="0.35">
      <c r="A46" s="10">
        <f>'Student Basic Info'!A46</f>
        <v>545</v>
      </c>
      <c r="B46" s="3"/>
      <c r="C46" s="3"/>
      <c r="D46" s="15" t="str">
        <f t="shared" si="0"/>
        <v/>
      </c>
      <c r="E46" s="10" t="str">
        <f t="shared" si="1"/>
        <v/>
      </c>
      <c r="F46" s="10" t="str">
        <f t="shared" si="2"/>
        <v/>
      </c>
      <c r="G46" s="11" t="str">
        <f t="shared" si="3"/>
        <v/>
      </c>
    </row>
    <row r="47" spans="1:7" x14ac:dyDescent="0.35">
      <c r="A47" s="10">
        <f>'Student Basic Info'!A47</f>
        <v>546</v>
      </c>
      <c r="B47" s="3">
        <v>11</v>
      </c>
      <c r="C47" s="3">
        <v>13</v>
      </c>
      <c r="D47" s="15">
        <f t="shared" si="0"/>
        <v>24</v>
      </c>
      <c r="E47" s="10" t="str">
        <f t="shared" si="1"/>
        <v>Fail</v>
      </c>
      <c r="F47" s="10" t="str">
        <f t="shared" si="2"/>
        <v>F</v>
      </c>
      <c r="G47" s="11">
        <f t="shared" si="3"/>
        <v>0</v>
      </c>
    </row>
    <row r="48" spans="1:7" x14ac:dyDescent="0.35">
      <c r="A48" s="10">
        <f>'Student Basic Info'!A48</f>
        <v>547</v>
      </c>
      <c r="B48" s="3"/>
      <c r="C48" s="3"/>
      <c r="D48" s="15" t="str">
        <f t="shared" si="0"/>
        <v/>
      </c>
      <c r="E48" s="10" t="str">
        <f t="shared" si="1"/>
        <v/>
      </c>
      <c r="F48" s="10" t="str">
        <f t="shared" si="2"/>
        <v/>
      </c>
      <c r="G48" s="11" t="str">
        <f t="shared" si="3"/>
        <v/>
      </c>
    </row>
    <row r="49" spans="1:7" x14ac:dyDescent="0.35">
      <c r="A49" s="10">
        <f>'Student Basic Info'!A49</f>
        <v>548</v>
      </c>
      <c r="B49" s="3"/>
      <c r="C49" s="3"/>
      <c r="D49" s="15" t="str">
        <f t="shared" si="0"/>
        <v/>
      </c>
      <c r="E49" s="10" t="str">
        <f t="shared" si="1"/>
        <v/>
      </c>
      <c r="F49" s="10" t="str">
        <f t="shared" si="2"/>
        <v/>
      </c>
      <c r="G49" s="11" t="str">
        <f t="shared" si="3"/>
        <v/>
      </c>
    </row>
    <row r="50" spans="1:7" x14ac:dyDescent="0.35">
      <c r="A50" s="10">
        <f>'Student Basic Info'!A50</f>
        <v>549</v>
      </c>
      <c r="B50" s="3">
        <v>10</v>
      </c>
      <c r="C50" s="3">
        <v>20</v>
      </c>
      <c r="D50" s="15">
        <f t="shared" si="0"/>
        <v>30</v>
      </c>
      <c r="E50" s="10" t="str">
        <f t="shared" si="1"/>
        <v>Fail</v>
      </c>
      <c r="F50" s="10" t="str">
        <f t="shared" si="2"/>
        <v>F</v>
      </c>
      <c r="G50" s="11">
        <f t="shared" si="3"/>
        <v>0</v>
      </c>
    </row>
    <row r="51" spans="1:7" x14ac:dyDescent="0.35">
      <c r="A51" s="10">
        <f>'Student Basic Info'!A51</f>
        <v>550</v>
      </c>
      <c r="B51" s="3"/>
      <c r="C51" s="3"/>
      <c r="D51" s="15" t="str">
        <f t="shared" si="0"/>
        <v/>
      </c>
      <c r="E51" s="10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10">
        <f>'Student Basic Info'!A52</f>
        <v>551</v>
      </c>
      <c r="B52" s="3"/>
      <c r="C52" s="3"/>
      <c r="D52" s="15" t="str">
        <f t="shared" si="0"/>
        <v/>
      </c>
      <c r="E52" s="10" t="str">
        <f t="shared" si="1"/>
        <v/>
      </c>
      <c r="F52" s="10" t="str">
        <f t="shared" si="2"/>
        <v/>
      </c>
      <c r="G52" s="11" t="str">
        <f t="shared" si="3"/>
        <v/>
      </c>
    </row>
    <row r="53" spans="1:7" x14ac:dyDescent="0.35">
      <c r="A53" s="10">
        <f>'Student Basic Info'!A53</f>
        <v>552</v>
      </c>
      <c r="B53" s="3">
        <v>10</v>
      </c>
      <c r="C53" s="3">
        <v>13</v>
      </c>
      <c r="D53" s="15">
        <f t="shared" si="0"/>
        <v>23</v>
      </c>
      <c r="E53" s="10" t="str">
        <f t="shared" si="1"/>
        <v>Fail</v>
      </c>
      <c r="F53" s="10" t="str">
        <f t="shared" si="2"/>
        <v>F</v>
      </c>
      <c r="G53" s="11">
        <f t="shared" si="3"/>
        <v>0</v>
      </c>
    </row>
    <row r="54" spans="1:7" x14ac:dyDescent="0.35">
      <c r="A54" s="10">
        <f>'Student Basic Info'!A54</f>
        <v>553</v>
      </c>
      <c r="B54" s="3"/>
      <c r="C54" s="3"/>
      <c r="D54" s="15" t="str">
        <f t="shared" si="0"/>
        <v/>
      </c>
      <c r="E54" s="10" t="str">
        <f t="shared" si="1"/>
        <v/>
      </c>
      <c r="F54" s="10" t="str">
        <f t="shared" si="2"/>
        <v/>
      </c>
      <c r="G54" s="11" t="str">
        <f t="shared" si="3"/>
        <v/>
      </c>
    </row>
    <row r="55" spans="1:7" x14ac:dyDescent="0.35">
      <c r="A55" s="10">
        <f>'Student Basic Info'!A55</f>
        <v>554</v>
      </c>
      <c r="B55" s="3">
        <v>10</v>
      </c>
      <c r="C55" s="3">
        <v>9</v>
      </c>
      <c r="D55" s="15">
        <f t="shared" si="0"/>
        <v>19</v>
      </c>
      <c r="E55" s="10" t="str">
        <f t="shared" si="1"/>
        <v>Fail</v>
      </c>
      <c r="F55" s="10" t="str">
        <f t="shared" si="2"/>
        <v>F</v>
      </c>
      <c r="G55" s="11">
        <f t="shared" si="3"/>
        <v>0</v>
      </c>
    </row>
    <row r="56" spans="1:7" x14ac:dyDescent="0.35">
      <c r="A56" s="10">
        <f>'Student Basic Info'!A56</f>
        <v>555</v>
      </c>
      <c r="B56" s="3">
        <v>14</v>
      </c>
      <c r="C56" s="3">
        <v>43</v>
      </c>
      <c r="D56" s="15">
        <f t="shared" si="0"/>
        <v>57</v>
      </c>
      <c r="E56" s="10" t="str">
        <f t="shared" si="1"/>
        <v>Pass</v>
      </c>
      <c r="F56" s="10" t="str">
        <f t="shared" si="2"/>
        <v>B</v>
      </c>
      <c r="G56" s="11">
        <f t="shared" si="3"/>
        <v>3</v>
      </c>
    </row>
    <row r="57" spans="1:7" x14ac:dyDescent="0.35">
      <c r="A57" s="10">
        <f>'Student Basic Info'!A57</f>
        <v>556</v>
      </c>
      <c r="B57" s="3">
        <v>12</v>
      </c>
      <c r="C57" s="3">
        <v>6</v>
      </c>
      <c r="D57" s="15">
        <f t="shared" si="0"/>
        <v>18</v>
      </c>
      <c r="E57" s="10" t="str">
        <f t="shared" si="1"/>
        <v>Fail</v>
      </c>
      <c r="F57" s="10" t="str">
        <f t="shared" si="2"/>
        <v>F</v>
      </c>
      <c r="G57" s="11">
        <f t="shared" si="3"/>
        <v>0</v>
      </c>
    </row>
    <row r="58" spans="1:7" x14ac:dyDescent="0.35">
      <c r="A58" s="10">
        <f>'Student Basic Info'!A58</f>
        <v>557</v>
      </c>
      <c r="B58" s="3">
        <v>12</v>
      </c>
      <c r="C58" s="3">
        <v>25</v>
      </c>
      <c r="D58" s="15">
        <f t="shared" si="0"/>
        <v>37</v>
      </c>
      <c r="E58" s="10" t="str">
        <f t="shared" si="1"/>
        <v>Pass</v>
      </c>
      <c r="F58" s="10" t="str">
        <f t="shared" si="2"/>
        <v>D</v>
      </c>
      <c r="G58" s="11">
        <f t="shared" si="3"/>
        <v>1</v>
      </c>
    </row>
    <row r="59" spans="1:7" x14ac:dyDescent="0.35">
      <c r="A59" s="10">
        <f>'Student Basic Info'!A59</f>
        <v>558</v>
      </c>
      <c r="B59" s="3">
        <v>11</v>
      </c>
      <c r="C59" s="3">
        <v>40</v>
      </c>
      <c r="D59" s="15">
        <f t="shared" si="0"/>
        <v>51</v>
      </c>
      <c r="E59" s="10" t="str">
        <f t="shared" si="1"/>
        <v>Pass</v>
      </c>
      <c r="F59" s="10" t="str">
        <f t="shared" si="2"/>
        <v>B</v>
      </c>
      <c r="G59" s="11">
        <f t="shared" si="3"/>
        <v>3</v>
      </c>
    </row>
    <row r="60" spans="1:7" x14ac:dyDescent="0.35">
      <c r="A60" s="10">
        <f>'Student Basic Info'!A60</f>
        <v>559</v>
      </c>
      <c r="B60" s="3">
        <v>11</v>
      </c>
      <c r="C60" s="3">
        <v>38</v>
      </c>
      <c r="D60" s="15">
        <f t="shared" si="0"/>
        <v>49</v>
      </c>
      <c r="E60" s="10" t="str">
        <f t="shared" si="1"/>
        <v>Pass</v>
      </c>
      <c r="F60" s="10" t="str">
        <f t="shared" si="2"/>
        <v>C</v>
      </c>
      <c r="G60" s="11">
        <f t="shared" si="3"/>
        <v>2</v>
      </c>
    </row>
    <row r="61" spans="1:7" x14ac:dyDescent="0.35">
      <c r="A61" s="10">
        <f>'Student Basic Info'!A61</f>
        <v>560</v>
      </c>
      <c r="B61" s="3">
        <v>8</v>
      </c>
      <c r="C61" s="3">
        <v>30</v>
      </c>
      <c r="D61" s="15">
        <f t="shared" si="0"/>
        <v>38</v>
      </c>
      <c r="E61" s="10" t="str">
        <f t="shared" si="1"/>
        <v>Fail</v>
      </c>
      <c r="F61" s="10" t="str">
        <f t="shared" si="2"/>
        <v>F</v>
      </c>
      <c r="G61" s="11">
        <f t="shared" si="3"/>
        <v>0</v>
      </c>
    </row>
    <row r="62" spans="1:7" x14ac:dyDescent="0.35">
      <c r="A62" s="10">
        <f>'Student Basic Info'!A62</f>
        <v>561</v>
      </c>
      <c r="B62" s="3">
        <v>6</v>
      </c>
      <c r="C62" s="3">
        <v>11</v>
      </c>
      <c r="D62" s="15">
        <f t="shared" si="0"/>
        <v>17</v>
      </c>
      <c r="E62" s="10" t="str">
        <f t="shared" si="1"/>
        <v>Fail</v>
      </c>
      <c r="F62" s="10" t="str">
        <f t="shared" si="2"/>
        <v>F</v>
      </c>
      <c r="G62" s="11">
        <f t="shared" si="3"/>
        <v>0</v>
      </c>
    </row>
    <row r="63" spans="1:7" x14ac:dyDescent="0.35">
      <c r="A63" s="10">
        <f>'Student Basic Info'!A63</f>
        <v>562</v>
      </c>
      <c r="B63" s="3"/>
      <c r="C63" s="3"/>
      <c r="D63" s="15" t="str">
        <f t="shared" si="0"/>
        <v/>
      </c>
      <c r="E63" s="10" t="str">
        <f t="shared" si="1"/>
        <v/>
      </c>
      <c r="F63" s="10" t="str">
        <f t="shared" si="2"/>
        <v/>
      </c>
      <c r="G63" s="11" t="str">
        <f t="shared" si="3"/>
        <v/>
      </c>
    </row>
    <row r="64" spans="1:7" x14ac:dyDescent="0.35">
      <c r="A64" s="10">
        <f>'Student Basic Info'!A64</f>
        <v>563</v>
      </c>
      <c r="B64" s="3"/>
      <c r="C64" s="3"/>
      <c r="D64" s="15" t="str">
        <f t="shared" si="0"/>
        <v/>
      </c>
      <c r="E64" s="10" t="str">
        <f t="shared" si="1"/>
        <v/>
      </c>
      <c r="F64" s="10" t="str">
        <f t="shared" si="2"/>
        <v/>
      </c>
      <c r="G64" s="11" t="str">
        <f t="shared" si="3"/>
        <v/>
      </c>
    </row>
    <row r="65" spans="1:7" x14ac:dyDescent="0.35">
      <c r="A65" s="10">
        <f>'Student Basic Info'!A65</f>
        <v>564</v>
      </c>
      <c r="B65" s="3"/>
      <c r="C65" s="3"/>
      <c r="D65" s="15" t="str">
        <f t="shared" si="0"/>
        <v/>
      </c>
      <c r="E65" s="10" t="str">
        <f t="shared" si="1"/>
        <v/>
      </c>
      <c r="F65" s="10" t="str">
        <f t="shared" si="2"/>
        <v/>
      </c>
      <c r="G65" s="11" t="str">
        <f t="shared" si="3"/>
        <v/>
      </c>
    </row>
    <row r="66" spans="1:7" x14ac:dyDescent="0.35">
      <c r="A66" s="10">
        <f>'Student Basic Info'!A66</f>
        <v>565</v>
      </c>
      <c r="B66" s="3">
        <v>11</v>
      </c>
      <c r="C66" s="3">
        <v>40</v>
      </c>
      <c r="D66" s="15">
        <f t="shared" si="0"/>
        <v>51</v>
      </c>
      <c r="E66" s="10" t="str">
        <f t="shared" si="1"/>
        <v>Pass</v>
      </c>
      <c r="F66" s="10" t="str">
        <f t="shared" si="2"/>
        <v>B</v>
      </c>
      <c r="G66" s="11">
        <f t="shared" si="3"/>
        <v>3</v>
      </c>
    </row>
    <row r="67" spans="1:7" x14ac:dyDescent="0.35">
      <c r="A67" s="10">
        <f>'Student Basic Info'!A67</f>
        <v>566</v>
      </c>
      <c r="B67" s="3"/>
      <c r="C67" s="3"/>
      <c r="D67" s="15" t="str">
        <f t="shared" ref="D67:D129" si="4">IF(B67+C67=0, "", B67+C67)</f>
        <v/>
      </c>
      <c r="E67" s="10" t="str">
        <f t="shared" ref="E67:E129" si="5">IF(D67="","", IF(AND(B67 &gt;=10,C67&gt;=23),"Pass","Fail"))</f>
        <v/>
      </c>
      <c r="F67" s="10" t="str">
        <f t="shared" ref="F67:F131" si="6">(IF(D67="","",IF(E67="Fail","F",IF(D67&gt;=80,"A+",IF(D67&gt;=70,"A",IF(D67&gt;=60,"A-",IF(D67&gt;=50,"B",IF(D67&gt;=40,"C",IF(D67&gt;=33,"D","F")))))))))</f>
        <v/>
      </c>
      <c r="G67" s="11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10">
        <f>'Student Basic Info'!A68</f>
        <v>567</v>
      </c>
      <c r="B68" s="3">
        <v>5</v>
      </c>
      <c r="C68" s="3">
        <v>8</v>
      </c>
      <c r="D68" s="15">
        <f t="shared" si="4"/>
        <v>13</v>
      </c>
      <c r="E68" s="10" t="str">
        <f t="shared" si="5"/>
        <v>Fail</v>
      </c>
      <c r="F68" s="10" t="str">
        <f t="shared" si="6"/>
        <v>F</v>
      </c>
      <c r="G68" s="11">
        <f t="shared" si="7"/>
        <v>0</v>
      </c>
    </row>
    <row r="69" spans="1:7" x14ac:dyDescent="0.35">
      <c r="A69" s="10">
        <f>'Student Basic Info'!A69</f>
        <v>568</v>
      </c>
      <c r="B69" s="3">
        <v>7</v>
      </c>
      <c r="C69" s="3">
        <v>7</v>
      </c>
      <c r="D69" s="15">
        <f t="shared" si="4"/>
        <v>14</v>
      </c>
      <c r="E69" s="10" t="str">
        <f t="shared" si="5"/>
        <v>Fail</v>
      </c>
      <c r="F69" s="10" t="str">
        <f t="shared" si="6"/>
        <v>F</v>
      </c>
      <c r="G69" s="11">
        <f t="shared" si="7"/>
        <v>0</v>
      </c>
    </row>
    <row r="70" spans="1:7" x14ac:dyDescent="0.35">
      <c r="A70" s="10">
        <f>'Student Basic Info'!A70</f>
        <v>569</v>
      </c>
      <c r="B70" s="3"/>
      <c r="C70" s="3"/>
      <c r="D70" s="15" t="str">
        <f t="shared" si="4"/>
        <v/>
      </c>
      <c r="E70" s="10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10">
        <f>'Student Basic Info'!A71</f>
        <v>570</v>
      </c>
      <c r="B71" s="3"/>
      <c r="C71" s="3"/>
      <c r="D71" s="15" t="str">
        <f t="shared" si="4"/>
        <v/>
      </c>
      <c r="E71" s="10" t="str">
        <f t="shared" si="5"/>
        <v/>
      </c>
      <c r="F71" s="10" t="str">
        <f t="shared" si="6"/>
        <v/>
      </c>
      <c r="G71" s="11" t="str">
        <f t="shared" si="7"/>
        <v/>
      </c>
    </row>
    <row r="72" spans="1:7" x14ac:dyDescent="0.35">
      <c r="A72" s="10">
        <f>'Student Basic Info'!A72</f>
        <v>571</v>
      </c>
      <c r="B72" s="3"/>
      <c r="C72" s="3"/>
      <c r="D72" s="15" t="str">
        <f t="shared" si="4"/>
        <v/>
      </c>
      <c r="E72" s="10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10">
        <f>'Student Basic Info'!A73</f>
        <v>572</v>
      </c>
      <c r="B73" s="3">
        <v>5</v>
      </c>
      <c r="C73" s="3">
        <v>6</v>
      </c>
      <c r="D73" s="15">
        <f t="shared" si="4"/>
        <v>11</v>
      </c>
      <c r="E73" s="10" t="str">
        <f t="shared" si="5"/>
        <v>Fail</v>
      </c>
      <c r="F73" s="10" t="str">
        <f t="shared" si="6"/>
        <v>F</v>
      </c>
      <c r="G73" s="11">
        <f t="shared" si="7"/>
        <v>0</v>
      </c>
    </row>
    <row r="74" spans="1:7" x14ac:dyDescent="0.35">
      <c r="A74" s="10">
        <f>'Student Basic Info'!A74</f>
        <v>573</v>
      </c>
      <c r="B74" s="3">
        <v>7</v>
      </c>
      <c r="C74" s="3">
        <v>5</v>
      </c>
      <c r="D74" s="15">
        <f t="shared" si="4"/>
        <v>12</v>
      </c>
      <c r="E74" s="10" t="str">
        <f t="shared" si="5"/>
        <v>Fail</v>
      </c>
      <c r="F74" s="10" t="str">
        <f t="shared" si="6"/>
        <v>F</v>
      </c>
      <c r="G74" s="11">
        <f t="shared" si="7"/>
        <v>0</v>
      </c>
    </row>
    <row r="75" spans="1:7" x14ac:dyDescent="0.35">
      <c r="A75" s="10">
        <f>'Student Basic Info'!A75</f>
        <v>574</v>
      </c>
      <c r="B75" s="3">
        <v>6</v>
      </c>
      <c r="C75" s="3">
        <v>17</v>
      </c>
      <c r="D75" s="15">
        <f t="shared" si="4"/>
        <v>23</v>
      </c>
      <c r="E75" s="10" t="str">
        <f t="shared" si="5"/>
        <v>Fail</v>
      </c>
      <c r="F75" s="10" t="str">
        <f t="shared" si="6"/>
        <v>F</v>
      </c>
      <c r="G75" s="11">
        <f t="shared" si="7"/>
        <v>0</v>
      </c>
    </row>
    <row r="76" spans="1:7" x14ac:dyDescent="0.35">
      <c r="A76" s="10">
        <f>'Student Basic Info'!A76</f>
        <v>575</v>
      </c>
      <c r="B76" s="3"/>
      <c r="C76" s="3"/>
      <c r="D76" s="15" t="str">
        <f t="shared" si="4"/>
        <v/>
      </c>
      <c r="E76" s="10" t="str">
        <f t="shared" si="5"/>
        <v/>
      </c>
      <c r="F76" s="10" t="str">
        <f t="shared" si="6"/>
        <v/>
      </c>
      <c r="G76" s="11" t="str">
        <f t="shared" si="7"/>
        <v/>
      </c>
    </row>
    <row r="77" spans="1:7" x14ac:dyDescent="0.35">
      <c r="A77" s="10">
        <f>'Student Basic Info'!A77</f>
        <v>576</v>
      </c>
      <c r="B77" s="3"/>
      <c r="C77" s="3"/>
      <c r="D77" s="15" t="str">
        <f t="shared" si="4"/>
        <v/>
      </c>
      <c r="E77" s="10" t="str">
        <f t="shared" si="5"/>
        <v/>
      </c>
      <c r="F77" s="10" t="str">
        <f t="shared" si="6"/>
        <v/>
      </c>
      <c r="G77" s="11" t="str">
        <f t="shared" si="7"/>
        <v/>
      </c>
    </row>
    <row r="78" spans="1:7" x14ac:dyDescent="0.35">
      <c r="A78" s="10">
        <f>'Student Basic Info'!A78</f>
        <v>577</v>
      </c>
      <c r="B78" s="3">
        <v>8</v>
      </c>
      <c r="C78" s="3">
        <v>12</v>
      </c>
      <c r="D78" s="15">
        <f t="shared" si="4"/>
        <v>20</v>
      </c>
      <c r="E78" s="10" t="str">
        <f t="shared" si="5"/>
        <v>Fail</v>
      </c>
      <c r="F78" s="10" t="str">
        <f t="shared" si="6"/>
        <v>F</v>
      </c>
      <c r="G78" s="11">
        <f t="shared" si="7"/>
        <v>0</v>
      </c>
    </row>
    <row r="79" spans="1:7" x14ac:dyDescent="0.35">
      <c r="A79" s="10">
        <f>'Student Basic Info'!A79</f>
        <v>578</v>
      </c>
      <c r="B79" s="3"/>
      <c r="C79" s="3"/>
      <c r="D79" s="15" t="str">
        <f t="shared" si="4"/>
        <v/>
      </c>
      <c r="E79" s="10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10">
        <f>'Student Basic Info'!A80</f>
        <v>579</v>
      </c>
      <c r="B80" s="3"/>
      <c r="C80" s="3"/>
      <c r="D80" s="15" t="str">
        <f t="shared" si="4"/>
        <v/>
      </c>
      <c r="E80" s="10" t="str">
        <f t="shared" si="5"/>
        <v/>
      </c>
      <c r="F80" s="10" t="str">
        <f t="shared" si="6"/>
        <v/>
      </c>
      <c r="G80" s="11" t="str">
        <f t="shared" si="7"/>
        <v/>
      </c>
    </row>
    <row r="81" spans="1:7" x14ac:dyDescent="0.35">
      <c r="A81" s="10">
        <f>'Student Basic Info'!A81</f>
        <v>580</v>
      </c>
      <c r="B81" s="3"/>
      <c r="C81" s="3"/>
      <c r="D81" s="15" t="str">
        <f t="shared" si="4"/>
        <v/>
      </c>
      <c r="E81" s="10" t="str">
        <f t="shared" si="5"/>
        <v/>
      </c>
      <c r="F81" s="10" t="str">
        <f t="shared" si="6"/>
        <v/>
      </c>
      <c r="G81" s="11" t="str">
        <f t="shared" si="7"/>
        <v/>
      </c>
    </row>
    <row r="82" spans="1:7" x14ac:dyDescent="0.35">
      <c r="A82" s="10">
        <f>'Student Basic Info'!A82</f>
        <v>581</v>
      </c>
      <c r="B82" s="3"/>
      <c r="C82" s="3"/>
      <c r="D82" s="15" t="str">
        <f t="shared" si="4"/>
        <v/>
      </c>
      <c r="E82" s="10" t="str">
        <f t="shared" si="5"/>
        <v/>
      </c>
      <c r="F82" s="10" t="str">
        <f t="shared" si="6"/>
        <v/>
      </c>
      <c r="G82" s="11" t="str">
        <f t="shared" si="7"/>
        <v/>
      </c>
    </row>
    <row r="83" spans="1:7" x14ac:dyDescent="0.35">
      <c r="A83" s="10">
        <f>'Student Basic Info'!A83</f>
        <v>582</v>
      </c>
      <c r="B83" s="3"/>
      <c r="C83" s="3"/>
      <c r="D83" s="15" t="str">
        <f t="shared" si="4"/>
        <v/>
      </c>
      <c r="E83" s="10" t="str">
        <f t="shared" si="5"/>
        <v/>
      </c>
      <c r="F83" s="10" t="str">
        <f t="shared" si="6"/>
        <v/>
      </c>
      <c r="G83" s="11" t="str">
        <f t="shared" si="7"/>
        <v/>
      </c>
    </row>
    <row r="84" spans="1:7" x14ac:dyDescent="0.35">
      <c r="A84" s="10">
        <f>'Student Basic Info'!A84</f>
        <v>583</v>
      </c>
      <c r="B84" s="3"/>
      <c r="C84" s="3"/>
      <c r="D84" s="15" t="str">
        <f t="shared" si="4"/>
        <v/>
      </c>
      <c r="E84" s="10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10">
        <f>'Student Basic Info'!A85</f>
        <v>584</v>
      </c>
      <c r="B85" s="3">
        <v>10</v>
      </c>
      <c r="C85" s="3">
        <v>5</v>
      </c>
      <c r="D85" s="15">
        <f t="shared" si="4"/>
        <v>15</v>
      </c>
      <c r="E85" s="10" t="str">
        <f t="shared" si="5"/>
        <v>Fail</v>
      </c>
      <c r="F85" s="10" t="str">
        <f t="shared" si="6"/>
        <v>F</v>
      </c>
      <c r="G85" s="11">
        <f t="shared" si="7"/>
        <v>0</v>
      </c>
    </row>
    <row r="86" spans="1:7" x14ac:dyDescent="0.35">
      <c r="A86" s="10">
        <f>'Student Basic Info'!A86</f>
        <v>585</v>
      </c>
      <c r="B86" s="3">
        <v>8</v>
      </c>
      <c r="C86" s="3">
        <v>11</v>
      </c>
      <c r="D86" s="15">
        <f t="shared" si="4"/>
        <v>19</v>
      </c>
      <c r="E86" s="10" t="str">
        <f t="shared" si="5"/>
        <v>Fail</v>
      </c>
      <c r="F86" s="10" t="str">
        <f t="shared" si="6"/>
        <v>F</v>
      </c>
      <c r="G86" s="11">
        <f t="shared" si="7"/>
        <v>0</v>
      </c>
    </row>
    <row r="87" spans="1:7" x14ac:dyDescent="0.35">
      <c r="A87" s="10">
        <f>'Student Basic Info'!A87</f>
        <v>586</v>
      </c>
      <c r="B87" s="3">
        <v>8</v>
      </c>
      <c r="C87" s="3">
        <v>4</v>
      </c>
      <c r="D87" s="15">
        <f t="shared" si="4"/>
        <v>12</v>
      </c>
      <c r="E87" s="10" t="str">
        <f t="shared" si="5"/>
        <v>Fail</v>
      </c>
      <c r="F87" s="10" t="str">
        <f t="shared" si="6"/>
        <v>F</v>
      </c>
      <c r="G87" s="11">
        <f t="shared" si="7"/>
        <v>0</v>
      </c>
    </row>
    <row r="88" spans="1:7" x14ac:dyDescent="0.35">
      <c r="A88" s="10">
        <f>'Student Basic Info'!A88</f>
        <v>587</v>
      </c>
      <c r="B88" s="3">
        <v>8</v>
      </c>
      <c r="C88" s="3">
        <v>15</v>
      </c>
      <c r="D88" s="15">
        <f t="shared" si="4"/>
        <v>23</v>
      </c>
      <c r="E88" s="10" t="str">
        <f t="shared" si="5"/>
        <v>Fail</v>
      </c>
      <c r="F88" s="10" t="str">
        <f t="shared" si="6"/>
        <v>F</v>
      </c>
      <c r="G88" s="11">
        <f t="shared" si="7"/>
        <v>0</v>
      </c>
    </row>
    <row r="89" spans="1:7" x14ac:dyDescent="0.35">
      <c r="A89" s="10">
        <f>'Student Basic Info'!A89</f>
        <v>588</v>
      </c>
      <c r="B89" s="3">
        <v>8</v>
      </c>
      <c r="C89" s="3">
        <v>23</v>
      </c>
      <c r="D89" s="15">
        <f t="shared" si="4"/>
        <v>31</v>
      </c>
      <c r="E89" s="10" t="str">
        <f t="shared" si="5"/>
        <v>Fail</v>
      </c>
      <c r="F89" s="10" t="str">
        <f t="shared" si="6"/>
        <v>F</v>
      </c>
      <c r="G89" s="11">
        <f t="shared" si="7"/>
        <v>0</v>
      </c>
    </row>
    <row r="90" spans="1:7" x14ac:dyDescent="0.35">
      <c r="A90" s="10">
        <f>'Student Basic Info'!A90</f>
        <v>589</v>
      </c>
      <c r="B90" s="3"/>
      <c r="C90" s="3"/>
      <c r="D90" s="15" t="str">
        <f t="shared" si="4"/>
        <v/>
      </c>
      <c r="E90" s="10" t="str">
        <f t="shared" si="5"/>
        <v/>
      </c>
      <c r="F90" s="10" t="str">
        <f t="shared" si="6"/>
        <v/>
      </c>
      <c r="G90" s="11" t="str">
        <f t="shared" si="7"/>
        <v/>
      </c>
    </row>
    <row r="91" spans="1:7" x14ac:dyDescent="0.35">
      <c r="A91" s="10">
        <f>'Student Basic Info'!A91</f>
        <v>590</v>
      </c>
      <c r="B91" s="3"/>
      <c r="C91" s="3"/>
      <c r="D91" s="15" t="str">
        <f t="shared" si="4"/>
        <v/>
      </c>
      <c r="E91" s="10" t="str">
        <f t="shared" si="5"/>
        <v/>
      </c>
      <c r="F91" s="10" t="str">
        <f t="shared" si="6"/>
        <v/>
      </c>
      <c r="G91" s="11" t="str">
        <f t="shared" si="7"/>
        <v/>
      </c>
    </row>
    <row r="92" spans="1:7" x14ac:dyDescent="0.35">
      <c r="A92" s="10">
        <f>'Student Basic Info'!A92</f>
        <v>591</v>
      </c>
      <c r="B92" s="3">
        <v>11</v>
      </c>
      <c r="C92" s="3">
        <v>15</v>
      </c>
      <c r="D92" s="15">
        <f t="shared" si="4"/>
        <v>26</v>
      </c>
      <c r="E92" s="10" t="str">
        <f t="shared" si="5"/>
        <v>Fail</v>
      </c>
      <c r="F92" s="10" t="str">
        <f t="shared" si="6"/>
        <v>F</v>
      </c>
      <c r="G92" s="11">
        <f t="shared" si="7"/>
        <v>0</v>
      </c>
    </row>
    <row r="93" spans="1:7" x14ac:dyDescent="0.35">
      <c r="A93" s="10">
        <f>'Student Basic Info'!A93</f>
        <v>592</v>
      </c>
      <c r="B93" s="3">
        <v>7</v>
      </c>
      <c r="C93" s="3">
        <v>5</v>
      </c>
      <c r="D93" s="15">
        <f t="shared" si="4"/>
        <v>12</v>
      </c>
      <c r="E93" s="10" t="str">
        <f t="shared" si="5"/>
        <v>Fail</v>
      </c>
      <c r="F93" s="10" t="str">
        <f t="shared" si="6"/>
        <v>F</v>
      </c>
      <c r="G93" s="11">
        <f t="shared" si="7"/>
        <v>0</v>
      </c>
    </row>
    <row r="94" spans="1:7" x14ac:dyDescent="0.35">
      <c r="A94" s="10">
        <f>'Student Basic Info'!A94</f>
        <v>593</v>
      </c>
      <c r="B94" s="3">
        <v>5</v>
      </c>
      <c r="C94" s="3">
        <v>11</v>
      </c>
      <c r="D94" s="15">
        <f t="shared" si="4"/>
        <v>16</v>
      </c>
      <c r="E94" s="10" t="str">
        <f t="shared" si="5"/>
        <v>Fail</v>
      </c>
      <c r="F94" s="10" t="str">
        <f t="shared" si="6"/>
        <v>F</v>
      </c>
      <c r="G94" s="11">
        <f t="shared" si="7"/>
        <v>0</v>
      </c>
    </row>
    <row r="95" spans="1:7" x14ac:dyDescent="0.35">
      <c r="A95" s="10">
        <f>'Student Basic Info'!A95</f>
        <v>594</v>
      </c>
      <c r="B95" s="3"/>
      <c r="C95" s="3"/>
      <c r="D95" s="15" t="str">
        <f t="shared" si="4"/>
        <v/>
      </c>
      <c r="E95" s="10" t="str">
        <f t="shared" si="5"/>
        <v/>
      </c>
      <c r="F95" s="10" t="str">
        <f t="shared" si="6"/>
        <v/>
      </c>
      <c r="G95" s="11" t="str">
        <f t="shared" si="7"/>
        <v/>
      </c>
    </row>
    <row r="96" spans="1:7" x14ac:dyDescent="0.35">
      <c r="A96" s="10">
        <f>'Student Basic Info'!A96</f>
        <v>595</v>
      </c>
      <c r="B96" s="3"/>
      <c r="C96" s="3"/>
      <c r="D96" s="15" t="str">
        <f t="shared" si="4"/>
        <v/>
      </c>
      <c r="E96" s="10" t="str">
        <f t="shared" si="5"/>
        <v/>
      </c>
      <c r="F96" s="10" t="str">
        <f t="shared" si="6"/>
        <v/>
      </c>
      <c r="G96" s="11" t="str">
        <f t="shared" si="7"/>
        <v/>
      </c>
    </row>
    <row r="97" spans="1:7" x14ac:dyDescent="0.35">
      <c r="A97" s="10">
        <f>'Student Basic Info'!A97</f>
        <v>596</v>
      </c>
      <c r="B97" s="3"/>
      <c r="C97" s="3"/>
      <c r="D97" s="15" t="str">
        <f t="shared" si="4"/>
        <v/>
      </c>
      <c r="E97" s="10" t="str">
        <f t="shared" si="5"/>
        <v/>
      </c>
      <c r="F97" s="10" t="str">
        <f t="shared" si="6"/>
        <v/>
      </c>
      <c r="G97" s="11" t="str">
        <f t="shared" si="7"/>
        <v/>
      </c>
    </row>
    <row r="98" spans="1:7" x14ac:dyDescent="0.35">
      <c r="A98" s="10">
        <f>'Student Basic Info'!A98</f>
        <v>597</v>
      </c>
      <c r="B98" s="3"/>
      <c r="C98" s="3"/>
      <c r="D98" s="15" t="str">
        <f t="shared" si="4"/>
        <v/>
      </c>
      <c r="E98" s="10" t="str">
        <f t="shared" si="5"/>
        <v/>
      </c>
      <c r="F98" s="10" t="str">
        <f t="shared" si="6"/>
        <v/>
      </c>
      <c r="G98" s="11" t="str">
        <f t="shared" si="7"/>
        <v/>
      </c>
    </row>
    <row r="99" spans="1:7" x14ac:dyDescent="0.35">
      <c r="A99" s="10">
        <f>'Student Basic Info'!A99</f>
        <v>598</v>
      </c>
      <c r="B99" s="3"/>
      <c r="C99" s="3"/>
      <c r="D99" s="15" t="str">
        <f t="shared" si="4"/>
        <v/>
      </c>
      <c r="E99" s="10" t="str">
        <f t="shared" si="5"/>
        <v/>
      </c>
      <c r="F99" s="10" t="str">
        <f t="shared" si="6"/>
        <v/>
      </c>
      <c r="G99" s="11" t="str">
        <f t="shared" si="7"/>
        <v/>
      </c>
    </row>
    <row r="100" spans="1:7" x14ac:dyDescent="0.35">
      <c r="A100" s="10">
        <f>'Student Basic Info'!A100</f>
        <v>599</v>
      </c>
      <c r="B100" s="3"/>
      <c r="C100" s="3"/>
      <c r="D100" s="15" t="str">
        <f t="shared" si="4"/>
        <v/>
      </c>
      <c r="E100" s="10" t="str">
        <f t="shared" si="5"/>
        <v/>
      </c>
      <c r="F100" s="10" t="str">
        <f t="shared" si="6"/>
        <v/>
      </c>
      <c r="G100" s="11" t="str">
        <f t="shared" si="7"/>
        <v/>
      </c>
    </row>
    <row r="101" spans="1:7" x14ac:dyDescent="0.35">
      <c r="A101" s="10">
        <f>'Student Basic Info'!A101</f>
        <v>600</v>
      </c>
      <c r="B101" s="3">
        <v>8</v>
      </c>
      <c r="C101" s="3">
        <v>0</v>
      </c>
      <c r="D101" s="15">
        <f t="shared" si="4"/>
        <v>8</v>
      </c>
      <c r="E101" s="10" t="str">
        <f t="shared" si="5"/>
        <v>Fail</v>
      </c>
      <c r="F101" s="10" t="str">
        <f t="shared" si="6"/>
        <v>F</v>
      </c>
      <c r="G101" s="11">
        <f t="shared" si="7"/>
        <v>0</v>
      </c>
    </row>
    <row r="102" spans="1:7" x14ac:dyDescent="0.35">
      <c r="A102" s="10">
        <f>'Student Basic Info'!A102</f>
        <v>601</v>
      </c>
      <c r="B102" s="3">
        <v>8</v>
      </c>
      <c r="C102" s="3">
        <v>0</v>
      </c>
      <c r="D102" s="15">
        <f t="shared" si="4"/>
        <v>8</v>
      </c>
      <c r="E102" s="10" t="str">
        <f t="shared" si="5"/>
        <v>Fail</v>
      </c>
      <c r="F102" s="10" t="str">
        <f t="shared" si="6"/>
        <v>F</v>
      </c>
      <c r="G102" s="11">
        <f t="shared" si="7"/>
        <v>0</v>
      </c>
    </row>
    <row r="103" spans="1:7" x14ac:dyDescent="0.35">
      <c r="A103" s="10">
        <f>'Student Basic Info'!A103</f>
        <v>602</v>
      </c>
      <c r="B103" s="3"/>
      <c r="C103" s="3"/>
      <c r="D103" s="15" t="str">
        <f t="shared" si="4"/>
        <v/>
      </c>
      <c r="E103" s="10" t="str">
        <f t="shared" si="5"/>
        <v/>
      </c>
      <c r="F103" s="10" t="str">
        <f t="shared" si="6"/>
        <v/>
      </c>
      <c r="G103" s="11" t="str">
        <f t="shared" si="7"/>
        <v/>
      </c>
    </row>
    <row r="104" spans="1:7" x14ac:dyDescent="0.35">
      <c r="A104" s="10">
        <f>'Student Basic Info'!A104</f>
        <v>603</v>
      </c>
      <c r="B104" s="3"/>
      <c r="C104" s="3"/>
      <c r="D104" s="15" t="str">
        <f t="shared" si="4"/>
        <v/>
      </c>
      <c r="E104" s="10" t="str">
        <f t="shared" si="5"/>
        <v/>
      </c>
      <c r="F104" s="10" t="str">
        <f t="shared" si="6"/>
        <v/>
      </c>
      <c r="G104" s="11" t="str">
        <f t="shared" si="7"/>
        <v/>
      </c>
    </row>
    <row r="105" spans="1:7" x14ac:dyDescent="0.35">
      <c r="A105" s="10">
        <f>'Student Basic Info'!A105</f>
        <v>604</v>
      </c>
      <c r="B105" s="3"/>
      <c r="C105" s="3"/>
      <c r="D105" s="15" t="str">
        <f t="shared" si="4"/>
        <v/>
      </c>
      <c r="E105" s="10" t="str">
        <f t="shared" si="5"/>
        <v/>
      </c>
      <c r="F105" s="10" t="str">
        <f t="shared" si="6"/>
        <v/>
      </c>
      <c r="G105" s="11" t="str">
        <f t="shared" si="7"/>
        <v/>
      </c>
    </row>
    <row r="106" spans="1:7" x14ac:dyDescent="0.35">
      <c r="A106" s="10">
        <f>'Student Basic Info'!A106</f>
        <v>605</v>
      </c>
      <c r="B106" s="3">
        <v>8</v>
      </c>
      <c r="C106" s="3">
        <v>24</v>
      </c>
      <c r="D106" s="15">
        <f t="shared" si="4"/>
        <v>32</v>
      </c>
      <c r="E106" s="10" t="str">
        <f t="shared" si="5"/>
        <v>Fail</v>
      </c>
      <c r="F106" s="10" t="str">
        <f t="shared" si="6"/>
        <v>F</v>
      </c>
      <c r="G106" s="11">
        <f t="shared" si="7"/>
        <v>0</v>
      </c>
    </row>
    <row r="107" spans="1:7" x14ac:dyDescent="0.35">
      <c r="A107" s="10">
        <f>'Student Basic Info'!A107</f>
        <v>606</v>
      </c>
      <c r="B107" s="3">
        <v>6</v>
      </c>
      <c r="C107" s="3">
        <v>19</v>
      </c>
      <c r="D107" s="15">
        <f t="shared" si="4"/>
        <v>25</v>
      </c>
      <c r="E107" s="10" t="str">
        <f t="shared" si="5"/>
        <v>Fail</v>
      </c>
      <c r="F107" s="10" t="str">
        <f t="shared" si="6"/>
        <v>F</v>
      </c>
      <c r="G107" s="11">
        <f t="shared" si="7"/>
        <v>0</v>
      </c>
    </row>
    <row r="108" spans="1:7" x14ac:dyDescent="0.35">
      <c r="A108" s="10">
        <f>'Student Basic Info'!A108</f>
        <v>607</v>
      </c>
      <c r="B108" s="3">
        <v>10</v>
      </c>
      <c r="C108" s="3">
        <v>20</v>
      </c>
      <c r="D108" s="15">
        <f t="shared" si="4"/>
        <v>30</v>
      </c>
      <c r="E108" s="10" t="str">
        <f t="shared" si="5"/>
        <v>Fail</v>
      </c>
      <c r="F108" s="10" t="str">
        <f t="shared" si="6"/>
        <v>F</v>
      </c>
      <c r="G108" s="11">
        <f t="shared" si="7"/>
        <v>0</v>
      </c>
    </row>
    <row r="109" spans="1:7" x14ac:dyDescent="0.35">
      <c r="A109" s="10">
        <f>'Student Basic Info'!A109</f>
        <v>608</v>
      </c>
      <c r="B109" s="3">
        <v>10</v>
      </c>
      <c r="C109" s="3">
        <v>6</v>
      </c>
      <c r="D109" s="15">
        <f t="shared" si="4"/>
        <v>16</v>
      </c>
      <c r="E109" s="10" t="str">
        <f t="shared" si="5"/>
        <v>Fail</v>
      </c>
      <c r="F109" s="10" t="str">
        <f t="shared" si="6"/>
        <v>F</v>
      </c>
      <c r="G109" s="11">
        <f t="shared" si="7"/>
        <v>0</v>
      </c>
    </row>
    <row r="110" spans="1:7" x14ac:dyDescent="0.35">
      <c r="A110" s="10">
        <f>'Student Basic Info'!A110</f>
        <v>609</v>
      </c>
      <c r="B110" s="3">
        <v>5</v>
      </c>
      <c r="C110" s="3">
        <v>25</v>
      </c>
      <c r="D110" s="15">
        <f t="shared" si="4"/>
        <v>30</v>
      </c>
      <c r="E110" s="10" t="str">
        <f t="shared" si="5"/>
        <v>Fail</v>
      </c>
      <c r="F110" s="10" t="str">
        <f t="shared" si="6"/>
        <v>F</v>
      </c>
      <c r="G110" s="11">
        <f t="shared" si="7"/>
        <v>0</v>
      </c>
    </row>
    <row r="111" spans="1:7" x14ac:dyDescent="0.35">
      <c r="A111" s="10">
        <f>'Student Basic Info'!A111</f>
        <v>610</v>
      </c>
      <c r="B111" s="3">
        <v>8</v>
      </c>
      <c r="C111" s="3">
        <v>2</v>
      </c>
      <c r="D111" s="15">
        <f t="shared" si="4"/>
        <v>10</v>
      </c>
      <c r="E111" s="10" t="str">
        <f t="shared" si="5"/>
        <v>Fail</v>
      </c>
      <c r="F111" s="10" t="str">
        <f t="shared" si="6"/>
        <v>F</v>
      </c>
      <c r="G111" s="11">
        <f t="shared" si="7"/>
        <v>0</v>
      </c>
    </row>
    <row r="112" spans="1:7" x14ac:dyDescent="0.35">
      <c r="A112" s="10">
        <f>'Student Basic Info'!A112</f>
        <v>611</v>
      </c>
      <c r="B112" s="3">
        <v>13</v>
      </c>
      <c r="C112" s="3">
        <v>17</v>
      </c>
      <c r="D112" s="15">
        <f t="shared" si="4"/>
        <v>30</v>
      </c>
      <c r="E112" s="10" t="str">
        <f t="shared" si="5"/>
        <v>Fail</v>
      </c>
      <c r="F112" s="10" t="str">
        <f t="shared" si="6"/>
        <v>F</v>
      </c>
      <c r="G112" s="11">
        <f t="shared" si="7"/>
        <v>0</v>
      </c>
    </row>
    <row r="113" spans="1:7" x14ac:dyDescent="0.35">
      <c r="A113" s="10">
        <f>'Student Basic Info'!A113</f>
        <v>612</v>
      </c>
      <c r="B113" s="3">
        <v>11</v>
      </c>
      <c r="C113" s="3">
        <v>20</v>
      </c>
      <c r="D113" s="15">
        <f t="shared" si="4"/>
        <v>31</v>
      </c>
      <c r="E113" s="10" t="str">
        <f t="shared" si="5"/>
        <v>Fail</v>
      </c>
      <c r="F113" s="10" t="str">
        <f t="shared" si="6"/>
        <v>F</v>
      </c>
      <c r="G113" s="11">
        <f t="shared" si="7"/>
        <v>0</v>
      </c>
    </row>
    <row r="114" spans="1:7" x14ac:dyDescent="0.35">
      <c r="A114" s="10">
        <f>'Student Basic Info'!A114</f>
        <v>613</v>
      </c>
      <c r="B114" s="3"/>
      <c r="C114" s="3"/>
      <c r="D114" s="15" t="str">
        <f t="shared" si="4"/>
        <v/>
      </c>
      <c r="E114" s="10" t="str">
        <f t="shared" si="5"/>
        <v/>
      </c>
      <c r="F114" s="10" t="str">
        <f t="shared" si="6"/>
        <v/>
      </c>
      <c r="G114" s="11" t="str">
        <f t="shared" si="7"/>
        <v/>
      </c>
    </row>
    <row r="115" spans="1:7" x14ac:dyDescent="0.35">
      <c r="A115" s="10">
        <f>'Student Basic Info'!A115</f>
        <v>614</v>
      </c>
      <c r="B115" s="3">
        <v>15</v>
      </c>
      <c r="C115" s="3">
        <v>43</v>
      </c>
      <c r="D115" s="15">
        <f t="shared" si="4"/>
        <v>58</v>
      </c>
      <c r="E115" s="10" t="str">
        <f t="shared" si="5"/>
        <v>Pass</v>
      </c>
      <c r="F115" s="10" t="str">
        <f t="shared" si="6"/>
        <v>B</v>
      </c>
      <c r="G115" s="11">
        <f t="shared" si="7"/>
        <v>3</v>
      </c>
    </row>
    <row r="116" spans="1:7" x14ac:dyDescent="0.35">
      <c r="A116" s="10">
        <f>'Student Basic Info'!A116</f>
        <v>615</v>
      </c>
      <c r="B116" s="3">
        <v>6</v>
      </c>
      <c r="C116" s="3">
        <v>19</v>
      </c>
      <c r="D116" s="15">
        <f t="shared" si="4"/>
        <v>25</v>
      </c>
      <c r="E116" s="10" t="str">
        <f t="shared" si="5"/>
        <v>Fail</v>
      </c>
      <c r="F116" s="10" t="str">
        <f t="shared" si="6"/>
        <v>F</v>
      </c>
      <c r="G116" s="11">
        <f t="shared" si="7"/>
        <v>0</v>
      </c>
    </row>
    <row r="117" spans="1:7" x14ac:dyDescent="0.35">
      <c r="A117" s="10">
        <f>'Student Basic Info'!A117</f>
        <v>616</v>
      </c>
      <c r="B117" s="3"/>
      <c r="C117" s="3"/>
      <c r="D117" s="15" t="str">
        <f t="shared" si="4"/>
        <v/>
      </c>
      <c r="E117" s="10" t="str">
        <f t="shared" si="5"/>
        <v/>
      </c>
      <c r="F117" s="10" t="str">
        <f t="shared" si="6"/>
        <v/>
      </c>
      <c r="G117" s="11" t="str">
        <f t="shared" si="7"/>
        <v/>
      </c>
    </row>
    <row r="118" spans="1:7" x14ac:dyDescent="0.35">
      <c r="A118" s="10">
        <f>'Student Basic Info'!A118</f>
        <v>617</v>
      </c>
      <c r="B118" s="3"/>
      <c r="C118" s="3"/>
      <c r="D118" s="15" t="str">
        <f t="shared" si="4"/>
        <v/>
      </c>
      <c r="E118" s="10" t="str">
        <f t="shared" si="5"/>
        <v/>
      </c>
      <c r="F118" s="10" t="str">
        <f t="shared" si="6"/>
        <v/>
      </c>
      <c r="G118" s="11" t="str">
        <f t="shared" si="7"/>
        <v/>
      </c>
    </row>
    <row r="119" spans="1:7" x14ac:dyDescent="0.35">
      <c r="A119" s="10">
        <f>'Student Basic Info'!A119</f>
        <v>618</v>
      </c>
      <c r="B119" s="3"/>
      <c r="C119" s="3"/>
      <c r="D119" s="15" t="str">
        <f t="shared" si="4"/>
        <v/>
      </c>
      <c r="E119" s="10" t="str">
        <f t="shared" si="5"/>
        <v/>
      </c>
      <c r="F119" s="10" t="str">
        <f t="shared" si="6"/>
        <v/>
      </c>
      <c r="G119" s="11" t="str">
        <f t="shared" si="7"/>
        <v/>
      </c>
    </row>
    <row r="120" spans="1:7" x14ac:dyDescent="0.35">
      <c r="A120" s="10">
        <f>'Student Basic Info'!A120</f>
        <v>619</v>
      </c>
      <c r="B120" s="3"/>
      <c r="C120" s="3"/>
      <c r="D120" s="15" t="str">
        <f t="shared" si="4"/>
        <v/>
      </c>
      <c r="E120" s="10" t="str">
        <f t="shared" si="5"/>
        <v/>
      </c>
      <c r="F120" s="10" t="str">
        <f t="shared" si="6"/>
        <v/>
      </c>
      <c r="G120" s="11" t="str">
        <f t="shared" si="7"/>
        <v/>
      </c>
    </row>
    <row r="121" spans="1:7" x14ac:dyDescent="0.35">
      <c r="A121" s="10">
        <f>'Student Basic Info'!A121</f>
        <v>620</v>
      </c>
      <c r="B121" s="3"/>
      <c r="C121" s="3"/>
      <c r="D121" s="15" t="str">
        <f t="shared" si="4"/>
        <v/>
      </c>
      <c r="E121" s="10" t="str">
        <f t="shared" si="5"/>
        <v/>
      </c>
      <c r="F121" s="10" t="str">
        <f t="shared" si="6"/>
        <v/>
      </c>
      <c r="G121" s="11" t="str">
        <f t="shared" si="7"/>
        <v/>
      </c>
    </row>
    <row r="122" spans="1:7" x14ac:dyDescent="0.35">
      <c r="A122" s="10">
        <f>'Student Basic Info'!A122</f>
        <v>621</v>
      </c>
      <c r="B122" s="3">
        <v>14</v>
      </c>
      <c r="C122" s="3">
        <v>23</v>
      </c>
      <c r="D122" s="15">
        <f t="shared" si="4"/>
        <v>37</v>
      </c>
      <c r="E122" s="10" t="str">
        <f t="shared" si="5"/>
        <v>Pass</v>
      </c>
      <c r="F122" s="10" t="str">
        <f t="shared" si="6"/>
        <v>D</v>
      </c>
      <c r="G122" s="11">
        <f t="shared" si="7"/>
        <v>1</v>
      </c>
    </row>
    <row r="123" spans="1:7" x14ac:dyDescent="0.35">
      <c r="A123" s="10">
        <f>'Student Basic Info'!A123</f>
        <v>622</v>
      </c>
      <c r="B123" s="3">
        <v>15</v>
      </c>
      <c r="C123" s="3">
        <v>27</v>
      </c>
      <c r="D123" s="15">
        <f t="shared" si="4"/>
        <v>42</v>
      </c>
      <c r="E123" s="10" t="str">
        <f t="shared" si="5"/>
        <v>Pass</v>
      </c>
      <c r="F123" s="10" t="str">
        <f t="shared" si="6"/>
        <v>C</v>
      </c>
      <c r="G123" s="11">
        <f t="shared" si="7"/>
        <v>2</v>
      </c>
    </row>
    <row r="124" spans="1:7" x14ac:dyDescent="0.35">
      <c r="A124" s="10">
        <f>'Student Basic Info'!A124</f>
        <v>623</v>
      </c>
      <c r="B124" s="3"/>
      <c r="C124" s="3"/>
      <c r="D124" s="15" t="str">
        <f t="shared" si="4"/>
        <v/>
      </c>
      <c r="E124" s="10" t="str">
        <f t="shared" si="5"/>
        <v/>
      </c>
      <c r="F124" s="10" t="str">
        <f t="shared" si="6"/>
        <v/>
      </c>
      <c r="G124" s="11" t="str">
        <f t="shared" si="7"/>
        <v/>
      </c>
    </row>
    <row r="125" spans="1:7" x14ac:dyDescent="0.35">
      <c r="A125" s="10">
        <f>'Student Basic Info'!A125</f>
        <v>624</v>
      </c>
      <c r="B125" s="3"/>
      <c r="C125" s="3"/>
      <c r="D125" s="15" t="str">
        <f t="shared" si="4"/>
        <v/>
      </c>
      <c r="E125" s="10" t="str">
        <f t="shared" si="5"/>
        <v/>
      </c>
      <c r="F125" s="10" t="str">
        <f t="shared" si="6"/>
        <v/>
      </c>
      <c r="G125" s="11" t="str">
        <f t="shared" si="7"/>
        <v/>
      </c>
    </row>
    <row r="126" spans="1:7" x14ac:dyDescent="0.35">
      <c r="A126" s="10">
        <f>'Student Basic Info'!A126</f>
        <v>625</v>
      </c>
      <c r="B126" s="3"/>
      <c r="C126" s="3"/>
      <c r="D126" s="15" t="str">
        <f t="shared" si="4"/>
        <v/>
      </c>
      <c r="E126" s="10" t="str">
        <f t="shared" si="5"/>
        <v/>
      </c>
      <c r="F126" s="10" t="str">
        <f t="shared" si="6"/>
        <v/>
      </c>
      <c r="G126" s="11" t="str">
        <f t="shared" si="7"/>
        <v/>
      </c>
    </row>
    <row r="127" spans="1:7" x14ac:dyDescent="0.35">
      <c r="A127" s="10">
        <f>'Student Basic Info'!A127</f>
        <v>626</v>
      </c>
      <c r="B127" s="3"/>
      <c r="C127" s="3"/>
      <c r="D127" s="15" t="str">
        <f t="shared" si="4"/>
        <v/>
      </c>
      <c r="E127" s="10" t="str">
        <f t="shared" si="5"/>
        <v/>
      </c>
      <c r="F127" s="10" t="str">
        <f t="shared" si="6"/>
        <v/>
      </c>
      <c r="G127" s="11" t="str">
        <f t="shared" si="7"/>
        <v/>
      </c>
    </row>
    <row r="128" spans="1:7" x14ac:dyDescent="0.35">
      <c r="A128" s="10">
        <f>'Student Basic Info'!A128</f>
        <v>627</v>
      </c>
      <c r="B128" s="3"/>
      <c r="C128" s="3"/>
      <c r="D128" s="15" t="str">
        <f t="shared" si="4"/>
        <v/>
      </c>
      <c r="E128" s="10" t="str">
        <f t="shared" si="5"/>
        <v/>
      </c>
      <c r="F128" s="10" t="str">
        <f t="shared" si="6"/>
        <v/>
      </c>
      <c r="G128" s="11" t="str">
        <f t="shared" si="7"/>
        <v/>
      </c>
    </row>
    <row r="129" spans="1:7" x14ac:dyDescent="0.35">
      <c r="A129" s="10">
        <f>'Student Basic Info'!A129</f>
        <v>628</v>
      </c>
      <c r="B129" s="3"/>
      <c r="C129" s="3"/>
      <c r="D129" s="15" t="str">
        <f t="shared" si="4"/>
        <v/>
      </c>
      <c r="E129" s="10" t="str">
        <f t="shared" si="5"/>
        <v/>
      </c>
      <c r="F129" s="10" t="str">
        <f t="shared" si="6"/>
        <v/>
      </c>
      <c r="G129" s="11" t="str">
        <f t="shared" si="7"/>
        <v/>
      </c>
    </row>
    <row r="130" spans="1:7" x14ac:dyDescent="0.35">
      <c r="A130" s="10">
        <f>'Student Basic Info'!A130</f>
        <v>629</v>
      </c>
      <c r="B130" s="3"/>
      <c r="C130" s="3"/>
      <c r="D130" s="15" t="str">
        <f>IF(B130+C130=0, "", B130+C130)</f>
        <v/>
      </c>
      <c r="E130" s="10" t="str">
        <f>IF(D130="","", IF(AND(B130 &gt;=10,C130&gt;=23),"Pass","Fail"))</f>
        <v/>
      </c>
      <c r="F130" s="10" t="str">
        <f t="shared" si="6"/>
        <v/>
      </c>
      <c r="G130" s="11" t="str">
        <f t="shared" si="7"/>
        <v/>
      </c>
    </row>
    <row r="131" spans="1:7" x14ac:dyDescent="0.35">
      <c r="A131" s="10">
        <f>'Student Basic Info'!A131</f>
        <v>630</v>
      </c>
      <c r="B131" s="3"/>
      <c r="C131" s="3"/>
      <c r="D131" s="15" t="str">
        <f t="shared" ref="D131:D147" si="8">IF(B131+C131=0, "", B131+C131)</f>
        <v/>
      </c>
      <c r="E131" s="10" t="str">
        <f t="shared" ref="E131:E147" si="9">IF(D131="","", IF(AND(B131 &gt;=10,C131&gt;=23),"Pass","Fail"))</f>
        <v/>
      </c>
      <c r="F131" s="10" t="str">
        <f t="shared" si="6"/>
        <v/>
      </c>
      <c r="G131" s="11" t="str">
        <f t="shared" si="7"/>
        <v/>
      </c>
    </row>
    <row r="132" spans="1:7" x14ac:dyDescent="0.35">
      <c r="A132" s="10">
        <f>'Student Basic Info'!A132</f>
        <v>631</v>
      </c>
      <c r="B132" s="3"/>
      <c r="C132" s="3"/>
      <c r="D132" s="15" t="str">
        <f t="shared" si="8"/>
        <v/>
      </c>
      <c r="E132" s="10" t="str">
        <f t="shared" si="9"/>
        <v/>
      </c>
      <c r="F132" s="10" t="str">
        <f t="shared" ref="F132:F147" si="10">(IF(D132="","",IF(E132="Fail","F",IF(D132&gt;=80,"A+",IF(D132&gt;=70,"A",IF(D132&gt;=60,"A-",IF(D132&gt;=50,"B",IF(D132&gt;=40,"C",IF(D132&gt;=33,"D","F")))))))))</f>
        <v/>
      </c>
      <c r="G132" s="11" t="str">
        <f t="shared" ref="G132:G147" si="11">(IF(D132="","",IF(F132="F",0,IF(D132&gt;=80,5,IF(D132&gt;=70,4,IF(D132&gt;=60,3.5,IF(D132&gt;=50,3,IF(D132&gt;=40,2,IF(D132&gt;=33,1,0)))))))))</f>
        <v/>
      </c>
    </row>
    <row r="133" spans="1:7" x14ac:dyDescent="0.35">
      <c r="A133" s="10">
        <f>'Student Basic Info'!A133</f>
        <v>632</v>
      </c>
      <c r="B133" s="3"/>
      <c r="C133" s="3"/>
      <c r="D133" s="15" t="str">
        <f t="shared" si="8"/>
        <v/>
      </c>
      <c r="E133" s="10" t="str">
        <f t="shared" si="9"/>
        <v/>
      </c>
      <c r="F133" s="10" t="str">
        <f t="shared" si="10"/>
        <v/>
      </c>
      <c r="G133" s="11" t="str">
        <f t="shared" si="11"/>
        <v/>
      </c>
    </row>
    <row r="134" spans="1:7" x14ac:dyDescent="0.35">
      <c r="A134" s="10">
        <f>'Student Basic Info'!A134</f>
        <v>633</v>
      </c>
      <c r="B134" s="3"/>
      <c r="C134" s="3"/>
      <c r="D134" s="15" t="str">
        <f t="shared" si="8"/>
        <v/>
      </c>
      <c r="E134" s="10" t="str">
        <f t="shared" si="9"/>
        <v/>
      </c>
      <c r="F134" s="10" t="str">
        <f t="shared" si="10"/>
        <v/>
      </c>
      <c r="G134" s="11" t="str">
        <f t="shared" si="11"/>
        <v/>
      </c>
    </row>
    <row r="135" spans="1:7" x14ac:dyDescent="0.35">
      <c r="A135" s="10">
        <f>'Student Basic Info'!A135</f>
        <v>634</v>
      </c>
      <c r="B135" s="3"/>
      <c r="C135" s="3"/>
      <c r="D135" s="15" t="str">
        <f t="shared" si="8"/>
        <v/>
      </c>
      <c r="E135" s="10" t="str">
        <f t="shared" si="9"/>
        <v/>
      </c>
      <c r="F135" s="10" t="str">
        <f t="shared" si="10"/>
        <v/>
      </c>
      <c r="G135" s="11" t="str">
        <f t="shared" si="11"/>
        <v/>
      </c>
    </row>
    <row r="136" spans="1:7" x14ac:dyDescent="0.35">
      <c r="A136" s="10">
        <f>'Student Basic Info'!A136</f>
        <v>635</v>
      </c>
      <c r="B136" s="3"/>
      <c r="C136" s="3"/>
      <c r="D136" s="15" t="str">
        <f t="shared" si="8"/>
        <v/>
      </c>
      <c r="E136" s="10" t="str">
        <f t="shared" si="9"/>
        <v/>
      </c>
      <c r="F136" s="10" t="str">
        <f t="shared" si="10"/>
        <v/>
      </c>
      <c r="G136" s="11" t="str">
        <f t="shared" si="11"/>
        <v/>
      </c>
    </row>
    <row r="137" spans="1:7" x14ac:dyDescent="0.35">
      <c r="A137" s="10">
        <f>'Student Basic Info'!A137</f>
        <v>636</v>
      </c>
      <c r="B137" s="3"/>
      <c r="C137" s="3"/>
      <c r="D137" s="15" t="str">
        <f t="shared" si="8"/>
        <v/>
      </c>
      <c r="E137" s="10" t="str">
        <f t="shared" si="9"/>
        <v/>
      </c>
      <c r="F137" s="10" t="str">
        <f t="shared" si="10"/>
        <v/>
      </c>
      <c r="G137" s="11" t="str">
        <f t="shared" si="11"/>
        <v/>
      </c>
    </row>
    <row r="138" spans="1:7" x14ac:dyDescent="0.35">
      <c r="A138" s="10">
        <f>'Student Basic Info'!A138</f>
        <v>637</v>
      </c>
      <c r="B138" s="3">
        <v>7</v>
      </c>
      <c r="C138" s="3">
        <v>8</v>
      </c>
      <c r="D138" s="15">
        <f t="shared" si="8"/>
        <v>15</v>
      </c>
      <c r="E138" s="10" t="str">
        <f t="shared" si="9"/>
        <v>Fail</v>
      </c>
      <c r="F138" s="10" t="str">
        <f t="shared" si="10"/>
        <v>F</v>
      </c>
      <c r="G138" s="11">
        <f t="shared" si="11"/>
        <v>0</v>
      </c>
    </row>
    <row r="139" spans="1:7" x14ac:dyDescent="0.35">
      <c r="A139" s="10">
        <f>'Student Basic Info'!A139</f>
        <v>638</v>
      </c>
      <c r="B139" s="3">
        <v>5</v>
      </c>
      <c r="C139" s="3">
        <v>0</v>
      </c>
      <c r="D139" s="15">
        <f t="shared" si="8"/>
        <v>5</v>
      </c>
      <c r="E139" s="10" t="str">
        <f t="shared" si="9"/>
        <v>Fail</v>
      </c>
      <c r="F139" s="10" t="str">
        <f t="shared" si="10"/>
        <v>F</v>
      </c>
      <c r="G139" s="11">
        <f t="shared" si="11"/>
        <v>0</v>
      </c>
    </row>
    <row r="140" spans="1:7" x14ac:dyDescent="0.35">
      <c r="A140" s="10">
        <f>'Student Basic Info'!A140</f>
        <v>639</v>
      </c>
      <c r="B140" s="3"/>
      <c r="C140" s="3"/>
      <c r="D140" s="15" t="str">
        <f t="shared" si="8"/>
        <v/>
      </c>
      <c r="E140" s="10" t="str">
        <f t="shared" si="9"/>
        <v/>
      </c>
      <c r="F140" s="10" t="str">
        <f t="shared" si="10"/>
        <v/>
      </c>
      <c r="G140" s="11" t="str">
        <f t="shared" si="11"/>
        <v/>
      </c>
    </row>
    <row r="141" spans="1:7" x14ac:dyDescent="0.35">
      <c r="A141" s="10">
        <f>'Student Basic Info'!A141</f>
        <v>640</v>
      </c>
      <c r="B141" s="3"/>
      <c r="C141" s="3"/>
      <c r="D141" s="15" t="str">
        <f t="shared" si="8"/>
        <v/>
      </c>
      <c r="E141" s="10" t="str">
        <f t="shared" si="9"/>
        <v/>
      </c>
      <c r="F141" s="10" t="str">
        <f t="shared" si="10"/>
        <v/>
      </c>
      <c r="G141" s="11" t="str">
        <f t="shared" si="11"/>
        <v/>
      </c>
    </row>
    <row r="142" spans="1:7" x14ac:dyDescent="0.35">
      <c r="A142" s="10">
        <f>'Student Basic Info'!A142</f>
        <v>641</v>
      </c>
      <c r="B142" s="3">
        <v>7</v>
      </c>
      <c r="C142" s="3">
        <v>4</v>
      </c>
      <c r="D142" s="15">
        <f t="shared" si="8"/>
        <v>11</v>
      </c>
      <c r="E142" s="10" t="str">
        <f t="shared" si="9"/>
        <v>Fail</v>
      </c>
      <c r="F142" s="10" t="str">
        <f t="shared" si="10"/>
        <v>F</v>
      </c>
      <c r="G142" s="11">
        <f t="shared" si="11"/>
        <v>0</v>
      </c>
    </row>
    <row r="143" spans="1:7" x14ac:dyDescent="0.35">
      <c r="A143" s="10">
        <f>'Student Basic Info'!A143</f>
        <v>642</v>
      </c>
      <c r="B143" s="3">
        <v>12</v>
      </c>
      <c r="C143" s="3">
        <v>33</v>
      </c>
      <c r="D143" s="15">
        <f t="shared" si="8"/>
        <v>45</v>
      </c>
      <c r="E143" s="10" t="str">
        <f t="shared" si="9"/>
        <v>Pass</v>
      </c>
      <c r="F143" s="10" t="str">
        <f t="shared" si="10"/>
        <v>C</v>
      </c>
      <c r="G143" s="11">
        <f t="shared" si="11"/>
        <v>2</v>
      </c>
    </row>
    <row r="144" spans="1:7" x14ac:dyDescent="0.35">
      <c r="A144" s="10">
        <f>'Student Basic Info'!A144</f>
        <v>643</v>
      </c>
      <c r="B144" s="3"/>
      <c r="C144" s="3"/>
      <c r="D144" s="15" t="str">
        <f t="shared" si="8"/>
        <v/>
      </c>
      <c r="E144" s="10" t="str">
        <f t="shared" si="9"/>
        <v/>
      </c>
      <c r="F144" s="10" t="str">
        <f t="shared" si="10"/>
        <v/>
      </c>
      <c r="G144" s="11" t="str">
        <f t="shared" si="11"/>
        <v/>
      </c>
    </row>
    <row r="145" spans="1:7" x14ac:dyDescent="0.35">
      <c r="A145" s="10">
        <f>'Student Basic Info'!A145</f>
        <v>644</v>
      </c>
      <c r="B145" s="3">
        <v>7</v>
      </c>
      <c r="C145" s="3">
        <v>23</v>
      </c>
      <c r="D145" s="15">
        <f t="shared" si="8"/>
        <v>30</v>
      </c>
      <c r="E145" s="10" t="str">
        <f t="shared" si="9"/>
        <v>Fail</v>
      </c>
      <c r="F145" s="10" t="str">
        <f t="shared" si="10"/>
        <v>F</v>
      </c>
      <c r="G145" s="11">
        <f t="shared" si="11"/>
        <v>0</v>
      </c>
    </row>
    <row r="146" spans="1:7" x14ac:dyDescent="0.35">
      <c r="A146" s="130">
        <v>1718</v>
      </c>
      <c r="B146" s="130">
        <v>5</v>
      </c>
      <c r="C146" s="130">
        <v>2</v>
      </c>
      <c r="D146" s="14">
        <f t="shared" si="8"/>
        <v>7</v>
      </c>
      <c r="E146" s="14" t="str">
        <f t="shared" si="9"/>
        <v>Fail</v>
      </c>
      <c r="F146" s="14" t="str">
        <f t="shared" si="10"/>
        <v>F</v>
      </c>
      <c r="G146" s="14">
        <f t="shared" si="11"/>
        <v>0</v>
      </c>
    </row>
    <row r="147" spans="1:7" x14ac:dyDescent="0.35">
      <c r="A147" s="130">
        <v>1748</v>
      </c>
      <c r="B147" s="130">
        <v>10</v>
      </c>
      <c r="C147" s="130">
        <v>5</v>
      </c>
      <c r="D147" s="14">
        <f t="shared" si="8"/>
        <v>15</v>
      </c>
      <c r="E147" s="14" t="str">
        <f t="shared" si="9"/>
        <v>Fail</v>
      </c>
      <c r="F147" s="14" t="str">
        <f t="shared" si="10"/>
        <v>F</v>
      </c>
      <c r="G147" s="14">
        <f t="shared" si="11"/>
        <v>0</v>
      </c>
    </row>
  </sheetData>
  <conditionalFormatting sqref="E2:E145">
    <cfRule type="containsText" dxfId="21" priority="1" operator="containsText" text="Fail">
      <formula>NOT(ISERROR(SEARCH("Fail",E2)))</formula>
    </cfRule>
    <cfRule type="containsText" dxfId="20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opLeftCell="A39" workbookViewId="0">
      <selection activeCell="I146" sqref="I146"/>
    </sheetView>
  </sheetViews>
  <sheetFormatPr defaultRowHeight="14.5" x14ac:dyDescent="0.35"/>
  <cols>
    <col min="1" max="1" width="8.7265625" style="14"/>
    <col min="2" max="2" width="10.7265625" style="1" bestFit="1" customWidth="1"/>
    <col min="3" max="3" width="9" style="1" bestFit="1" customWidth="1"/>
    <col min="4" max="4" width="10.81640625" style="14" bestFit="1" customWidth="1"/>
    <col min="5" max="7" width="8.7265625" style="14"/>
  </cols>
  <sheetData>
    <row r="1" spans="1:8" x14ac:dyDescent="0.3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10">
        <f>'Student Basic Info'!A2</f>
        <v>501</v>
      </c>
      <c r="B2" s="3"/>
      <c r="C2" s="3"/>
      <c r="D2" s="15" t="str">
        <f>IF(B2+C2=0, "", B2+C2)</f>
        <v/>
      </c>
      <c r="E2" s="10" t="str">
        <f>IF(D2="","", IF(AND(B2 &gt;=10,C2&gt;=23),"Pass","Fail"))</f>
        <v/>
      </c>
      <c r="F2" s="10" t="str">
        <f>(IF(D2="","",IF(E2="Fail","F",IF(D2&gt;=80,"A+",IF(D2&gt;=70,"A",IF(D2&gt;=60,"A-",IF(D2&gt;=50,"B",IF(D2&gt;=40,"C",IF(D2&gt;=33,"D","F")))))))))</f>
        <v/>
      </c>
      <c r="G2" s="11" t="str">
        <f>(IF(D2="","",IF(F2="F",0,IF(D2&gt;=80,5,IF(D2&gt;=70,4,IF(D2&gt;=60,3.5,IF(D2&gt;=50,3,IF(D2&gt;=40,2,IF(D2&gt;=33,1,0)))))))))</f>
        <v/>
      </c>
    </row>
    <row r="3" spans="1:8" x14ac:dyDescent="0.35">
      <c r="A3" s="10">
        <f>'Student Basic Info'!A3</f>
        <v>502</v>
      </c>
      <c r="B3" s="3"/>
      <c r="C3" s="3"/>
      <c r="D3" s="15" t="str">
        <f t="shared" ref="D3:D66" si="0">IF(B3+C3=0, "", B3+C3)</f>
        <v/>
      </c>
      <c r="E3" s="10" t="str">
        <f t="shared" ref="E3:E66" si="1">IF(D3="","", IF(AND(B3 &gt;=10,C3&gt;=23),"Pass","Fail"))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10">
        <f>'Student Basic Info'!A4</f>
        <v>503</v>
      </c>
      <c r="B4" s="3">
        <v>11</v>
      </c>
      <c r="C4" s="3">
        <v>23</v>
      </c>
      <c r="D4" s="15">
        <f t="shared" si="0"/>
        <v>34</v>
      </c>
      <c r="E4" s="10" t="str">
        <f t="shared" si="1"/>
        <v>Pass</v>
      </c>
      <c r="F4" s="10" t="str">
        <f t="shared" si="2"/>
        <v>D</v>
      </c>
      <c r="G4" s="11">
        <f t="shared" si="3"/>
        <v>1</v>
      </c>
    </row>
    <row r="5" spans="1:8" x14ac:dyDescent="0.35">
      <c r="A5" s="10">
        <f>'Student Basic Info'!A5</f>
        <v>504</v>
      </c>
      <c r="B5" s="3">
        <v>14</v>
      </c>
      <c r="C5" s="3">
        <v>17</v>
      </c>
      <c r="D5" s="15">
        <f t="shared" si="0"/>
        <v>31</v>
      </c>
      <c r="E5" s="10" t="str">
        <f t="shared" si="1"/>
        <v>Fail</v>
      </c>
      <c r="F5" s="10" t="str">
        <f t="shared" si="2"/>
        <v>F</v>
      </c>
      <c r="G5" s="11">
        <f t="shared" si="3"/>
        <v>0</v>
      </c>
    </row>
    <row r="6" spans="1:8" x14ac:dyDescent="0.35">
      <c r="A6" s="10">
        <f>'Student Basic Info'!A6</f>
        <v>505</v>
      </c>
      <c r="B6" s="3"/>
      <c r="C6" s="3"/>
      <c r="D6" s="15" t="str">
        <f t="shared" si="0"/>
        <v/>
      </c>
      <c r="E6" s="10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10">
        <f>'Student Basic Info'!A7</f>
        <v>506</v>
      </c>
      <c r="B7" s="3"/>
      <c r="C7" s="3"/>
      <c r="D7" s="15" t="str">
        <f t="shared" si="0"/>
        <v/>
      </c>
      <c r="E7" s="10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10">
        <f>'Student Basic Info'!A8</f>
        <v>507</v>
      </c>
      <c r="B8" s="3">
        <v>21</v>
      </c>
      <c r="C8" s="3">
        <v>42</v>
      </c>
      <c r="D8" s="15">
        <f t="shared" si="0"/>
        <v>63</v>
      </c>
      <c r="E8" s="10" t="str">
        <f t="shared" si="1"/>
        <v>Pass</v>
      </c>
      <c r="F8" s="10" t="str">
        <f t="shared" si="2"/>
        <v>A-</v>
      </c>
      <c r="G8" s="11">
        <f t="shared" si="3"/>
        <v>3.5</v>
      </c>
    </row>
    <row r="9" spans="1:8" x14ac:dyDescent="0.35">
      <c r="A9" s="10">
        <f>'Student Basic Info'!A9</f>
        <v>508</v>
      </c>
      <c r="B9" s="3">
        <v>20</v>
      </c>
      <c r="C9" s="3">
        <v>37</v>
      </c>
      <c r="D9" s="15">
        <f t="shared" si="0"/>
        <v>57</v>
      </c>
      <c r="E9" s="10" t="str">
        <f t="shared" si="1"/>
        <v>Pass</v>
      </c>
      <c r="F9" s="10" t="str">
        <f t="shared" si="2"/>
        <v>B</v>
      </c>
      <c r="G9" s="11">
        <f t="shared" si="3"/>
        <v>3</v>
      </c>
    </row>
    <row r="10" spans="1:8" x14ac:dyDescent="0.35">
      <c r="A10" s="10">
        <f>'Student Basic Info'!A10</f>
        <v>509</v>
      </c>
      <c r="B10" s="3">
        <v>14</v>
      </c>
      <c r="C10" s="3">
        <v>15</v>
      </c>
      <c r="D10" s="15">
        <f t="shared" si="0"/>
        <v>29</v>
      </c>
      <c r="E10" s="10" t="str">
        <f t="shared" si="1"/>
        <v>Fail</v>
      </c>
      <c r="F10" s="10" t="str">
        <f t="shared" si="2"/>
        <v>F</v>
      </c>
      <c r="G10" s="11">
        <f t="shared" si="3"/>
        <v>0</v>
      </c>
    </row>
    <row r="11" spans="1:8" x14ac:dyDescent="0.35">
      <c r="A11" s="10">
        <f>'Student Basic Info'!A11</f>
        <v>510</v>
      </c>
      <c r="B11" s="3"/>
      <c r="C11" s="3"/>
      <c r="D11" s="15" t="str">
        <f t="shared" si="0"/>
        <v/>
      </c>
      <c r="E11" s="10" t="str">
        <f t="shared" si="1"/>
        <v/>
      </c>
      <c r="F11" s="10" t="str">
        <f t="shared" si="2"/>
        <v/>
      </c>
      <c r="G11" s="11" t="str">
        <f t="shared" si="3"/>
        <v/>
      </c>
    </row>
    <row r="12" spans="1:8" x14ac:dyDescent="0.35">
      <c r="A12" s="10">
        <f>'Student Basic Info'!A12</f>
        <v>511</v>
      </c>
      <c r="B12" s="3">
        <v>18</v>
      </c>
      <c r="C12" s="3">
        <v>17</v>
      </c>
      <c r="D12" s="15">
        <f t="shared" si="0"/>
        <v>35</v>
      </c>
      <c r="E12" s="10" t="str">
        <f t="shared" si="1"/>
        <v>Fail</v>
      </c>
      <c r="F12" s="10" t="str">
        <f t="shared" si="2"/>
        <v>F</v>
      </c>
      <c r="G12" s="11">
        <f t="shared" si="3"/>
        <v>0</v>
      </c>
    </row>
    <row r="13" spans="1:8" x14ac:dyDescent="0.35">
      <c r="A13" s="10">
        <f>'Student Basic Info'!A13</f>
        <v>512</v>
      </c>
      <c r="B13" s="3">
        <v>14</v>
      </c>
      <c r="C13" s="3">
        <v>23</v>
      </c>
      <c r="D13" s="15">
        <f t="shared" si="0"/>
        <v>37</v>
      </c>
      <c r="E13" s="10" t="str">
        <f t="shared" si="1"/>
        <v>Pass</v>
      </c>
      <c r="F13" s="10" t="str">
        <f t="shared" si="2"/>
        <v>D</v>
      </c>
      <c r="G13" s="11">
        <f t="shared" si="3"/>
        <v>1</v>
      </c>
    </row>
    <row r="14" spans="1:8" x14ac:dyDescent="0.35">
      <c r="A14" s="10">
        <f>'Student Basic Info'!A14</f>
        <v>513</v>
      </c>
      <c r="B14" s="3">
        <v>17</v>
      </c>
      <c r="C14" s="3">
        <v>24</v>
      </c>
      <c r="D14" s="15">
        <f t="shared" si="0"/>
        <v>41</v>
      </c>
      <c r="E14" s="10" t="str">
        <f t="shared" si="1"/>
        <v>Pass</v>
      </c>
      <c r="F14" s="10" t="str">
        <f t="shared" si="2"/>
        <v>C</v>
      </c>
      <c r="G14" s="11">
        <f t="shared" si="3"/>
        <v>2</v>
      </c>
    </row>
    <row r="15" spans="1:8" x14ac:dyDescent="0.35">
      <c r="A15" s="10">
        <f>'Student Basic Info'!A15</f>
        <v>514</v>
      </c>
      <c r="B15" s="74"/>
      <c r="C15" s="74"/>
      <c r="D15" s="15" t="str">
        <f t="shared" si="0"/>
        <v/>
      </c>
      <c r="E15" s="10" t="str">
        <f t="shared" si="1"/>
        <v/>
      </c>
      <c r="F15" s="10" t="str">
        <f t="shared" si="2"/>
        <v/>
      </c>
      <c r="G15" s="11" t="str">
        <f t="shared" si="3"/>
        <v/>
      </c>
    </row>
    <row r="16" spans="1:8" x14ac:dyDescent="0.35">
      <c r="A16" s="10">
        <f>'Student Basic Info'!A16</f>
        <v>515</v>
      </c>
      <c r="B16" s="3">
        <v>12</v>
      </c>
      <c r="C16" s="3">
        <v>17</v>
      </c>
      <c r="D16" s="15">
        <f t="shared" si="0"/>
        <v>29</v>
      </c>
      <c r="E16" s="10" t="str">
        <f t="shared" si="1"/>
        <v>Fail</v>
      </c>
      <c r="F16" s="10" t="str">
        <f t="shared" si="2"/>
        <v>F</v>
      </c>
      <c r="G16" s="11">
        <f t="shared" si="3"/>
        <v>0</v>
      </c>
    </row>
    <row r="17" spans="1:7" x14ac:dyDescent="0.35">
      <c r="A17" s="10">
        <f>'Student Basic Info'!A17</f>
        <v>516</v>
      </c>
      <c r="B17" s="3">
        <v>22</v>
      </c>
      <c r="C17" s="3">
        <v>43</v>
      </c>
      <c r="D17" s="15">
        <f t="shared" si="0"/>
        <v>65</v>
      </c>
      <c r="E17" s="10" t="str">
        <f t="shared" si="1"/>
        <v>Pass</v>
      </c>
      <c r="F17" s="10" t="str">
        <f t="shared" si="2"/>
        <v>A-</v>
      </c>
      <c r="G17" s="11">
        <f t="shared" si="3"/>
        <v>3.5</v>
      </c>
    </row>
    <row r="18" spans="1:7" x14ac:dyDescent="0.35">
      <c r="A18" s="10">
        <f>'Student Basic Info'!A18</f>
        <v>517</v>
      </c>
      <c r="B18" s="3"/>
      <c r="C18" s="3"/>
      <c r="D18" s="15" t="str">
        <f t="shared" si="0"/>
        <v/>
      </c>
      <c r="E18" s="10" t="str">
        <f t="shared" si="1"/>
        <v/>
      </c>
      <c r="F18" s="10" t="str">
        <f t="shared" si="2"/>
        <v/>
      </c>
      <c r="G18" s="11" t="str">
        <f t="shared" si="3"/>
        <v/>
      </c>
    </row>
    <row r="19" spans="1:7" x14ac:dyDescent="0.35">
      <c r="A19" s="10">
        <f>'Student Basic Info'!A19</f>
        <v>518</v>
      </c>
      <c r="B19" s="3"/>
      <c r="C19" s="3"/>
      <c r="D19" s="15" t="str">
        <f t="shared" si="0"/>
        <v/>
      </c>
      <c r="E19" s="10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10">
        <f>'Student Basic Info'!A20</f>
        <v>519</v>
      </c>
      <c r="B20" s="3">
        <v>22</v>
      </c>
      <c r="C20" s="3">
        <v>32</v>
      </c>
      <c r="D20" s="15">
        <f t="shared" si="0"/>
        <v>54</v>
      </c>
      <c r="E20" s="10" t="str">
        <f t="shared" si="1"/>
        <v>Pass</v>
      </c>
      <c r="F20" s="10" t="str">
        <f t="shared" si="2"/>
        <v>B</v>
      </c>
      <c r="G20" s="11">
        <f t="shared" si="3"/>
        <v>3</v>
      </c>
    </row>
    <row r="21" spans="1:7" x14ac:dyDescent="0.35">
      <c r="A21" s="10">
        <f>'Student Basic Info'!A21</f>
        <v>520</v>
      </c>
      <c r="B21" s="3">
        <v>15</v>
      </c>
      <c r="C21" s="3">
        <v>4</v>
      </c>
      <c r="D21" s="15">
        <f t="shared" si="0"/>
        <v>19</v>
      </c>
      <c r="E21" s="10" t="str">
        <f t="shared" si="1"/>
        <v>Fail</v>
      </c>
      <c r="F21" s="10" t="str">
        <f t="shared" si="2"/>
        <v>F</v>
      </c>
      <c r="G21" s="11">
        <f t="shared" si="3"/>
        <v>0</v>
      </c>
    </row>
    <row r="22" spans="1:7" x14ac:dyDescent="0.35">
      <c r="A22" s="10">
        <f>'Student Basic Info'!A22</f>
        <v>521</v>
      </c>
      <c r="B22" s="3"/>
      <c r="C22" s="3"/>
      <c r="D22" s="15" t="str">
        <f t="shared" si="0"/>
        <v/>
      </c>
      <c r="E22" s="10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10">
        <f>'Student Basic Info'!A23</f>
        <v>522</v>
      </c>
      <c r="B23" s="3">
        <v>24</v>
      </c>
      <c r="C23" s="3">
        <v>47</v>
      </c>
      <c r="D23" s="15">
        <f t="shared" si="0"/>
        <v>71</v>
      </c>
      <c r="E23" s="10" t="str">
        <f t="shared" si="1"/>
        <v>Pass</v>
      </c>
      <c r="F23" s="10" t="str">
        <f t="shared" si="2"/>
        <v>A</v>
      </c>
      <c r="G23" s="11">
        <f t="shared" si="3"/>
        <v>4</v>
      </c>
    </row>
    <row r="24" spans="1:7" x14ac:dyDescent="0.35">
      <c r="A24" s="10">
        <f>'Student Basic Info'!A24</f>
        <v>523</v>
      </c>
      <c r="B24" s="3">
        <v>26</v>
      </c>
      <c r="C24" s="3">
        <v>19</v>
      </c>
      <c r="D24" s="15">
        <f t="shared" si="0"/>
        <v>45</v>
      </c>
      <c r="E24" s="10" t="str">
        <f t="shared" si="1"/>
        <v>Fail</v>
      </c>
      <c r="F24" s="10" t="str">
        <f t="shared" si="2"/>
        <v>F</v>
      </c>
      <c r="G24" s="11">
        <f t="shared" si="3"/>
        <v>0</v>
      </c>
    </row>
    <row r="25" spans="1:7" x14ac:dyDescent="0.35">
      <c r="A25" s="10">
        <f>'Student Basic Info'!A25</f>
        <v>524</v>
      </c>
      <c r="B25" s="3">
        <v>25</v>
      </c>
      <c r="C25" s="3">
        <v>29</v>
      </c>
      <c r="D25" s="15">
        <f t="shared" si="0"/>
        <v>54</v>
      </c>
      <c r="E25" s="10" t="str">
        <f t="shared" si="1"/>
        <v>Pass</v>
      </c>
      <c r="F25" s="10" t="str">
        <f t="shared" si="2"/>
        <v>B</v>
      </c>
      <c r="G25" s="11">
        <f t="shared" si="3"/>
        <v>3</v>
      </c>
    </row>
    <row r="26" spans="1:7" x14ac:dyDescent="0.35">
      <c r="A26" s="10">
        <f>'Student Basic Info'!A26</f>
        <v>525</v>
      </c>
      <c r="B26" s="3"/>
      <c r="C26" s="3"/>
      <c r="D26" s="15" t="str">
        <f t="shared" si="0"/>
        <v/>
      </c>
      <c r="E26" s="10" t="str">
        <f t="shared" si="1"/>
        <v/>
      </c>
      <c r="F26" s="10" t="str">
        <f t="shared" si="2"/>
        <v/>
      </c>
      <c r="G26" s="11" t="str">
        <f t="shared" si="3"/>
        <v/>
      </c>
    </row>
    <row r="27" spans="1:7" x14ac:dyDescent="0.35">
      <c r="A27" s="10">
        <f>'Student Basic Info'!A27</f>
        <v>526</v>
      </c>
      <c r="B27" s="3">
        <v>24</v>
      </c>
      <c r="C27" s="3">
        <v>35</v>
      </c>
      <c r="D27" s="15">
        <f t="shared" si="0"/>
        <v>59</v>
      </c>
      <c r="E27" s="10" t="str">
        <f t="shared" si="1"/>
        <v>Pass</v>
      </c>
      <c r="F27" s="10" t="str">
        <f t="shared" si="2"/>
        <v>B</v>
      </c>
      <c r="G27" s="11">
        <f t="shared" si="3"/>
        <v>3</v>
      </c>
    </row>
    <row r="28" spans="1:7" x14ac:dyDescent="0.35">
      <c r="A28" s="10">
        <f>'Student Basic Info'!A28</f>
        <v>527</v>
      </c>
      <c r="B28" s="3"/>
      <c r="C28" s="3"/>
      <c r="D28" s="15" t="str">
        <f t="shared" si="0"/>
        <v/>
      </c>
      <c r="E28" s="10" t="str">
        <f t="shared" si="1"/>
        <v/>
      </c>
      <c r="F28" s="10" t="str">
        <f t="shared" si="2"/>
        <v/>
      </c>
      <c r="G28" s="11" t="str">
        <f t="shared" si="3"/>
        <v/>
      </c>
    </row>
    <row r="29" spans="1:7" x14ac:dyDescent="0.35">
      <c r="A29" s="10">
        <f>'Student Basic Info'!A29</f>
        <v>528</v>
      </c>
      <c r="B29" s="3">
        <v>25</v>
      </c>
      <c r="C29" s="3">
        <v>32</v>
      </c>
      <c r="D29" s="15">
        <f t="shared" si="0"/>
        <v>57</v>
      </c>
      <c r="E29" s="10" t="str">
        <f t="shared" si="1"/>
        <v>Pass</v>
      </c>
      <c r="F29" s="10" t="str">
        <f t="shared" si="2"/>
        <v>B</v>
      </c>
      <c r="G29" s="11">
        <f t="shared" si="3"/>
        <v>3</v>
      </c>
    </row>
    <row r="30" spans="1:7" x14ac:dyDescent="0.35">
      <c r="A30" s="10">
        <f>'Student Basic Info'!A30</f>
        <v>529</v>
      </c>
      <c r="B30" s="3">
        <v>17</v>
      </c>
      <c r="C30" s="3">
        <v>20</v>
      </c>
      <c r="D30" s="15">
        <f t="shared" si="0"/>
        <v>37</v>
      </c>
      <c r="E30" s="10" t="str">
        <f t="shared" si="1"/>
        <v>Fail</v>
      </c>
      <c r="F30" s="10" t="str">
        <f t="shared" si="2"/>
        <v>F</v>
      </c>
      <c r="G30" s="11">
        <f t="shared" si="3"/>
        <v>0</v>
      </c>
    </row>
    <row r="31" spans="1:7" x14ac:dyDescent="0.35">
      <c r="A31" s="10">
        <f>'Student Basic Info'!A31</f>
        <v>530</v>
      </c>
      <c r="B31" s="3"/>
      <c r="C31" s="3"/>
      <c r="D31" s="15" t="str">
        <f t="shared" si="0"/>
        <v/>
      </c>
      <c r="E31" s="10" t="str">
        <f t="shared" si="1"/>
        <v/>
      </c>
      <c r="F31" s="10" t="str">
        <f t="shared" si="2"/>
        <v/>
      </c>
      <c r="G31" s="11" t="str">
        <f t="shared" si="3"/>
        <v/>
      </c>
    </row>
    <row r="32" spans="1:7" x14ac:dyDescent="0.35">
      <c r="A32" s="10">
        <f>'Student Basic Info'!A32</f>
        <v>531</v>
      </c>
      <c r="B32" s="3">
        <v>17</v>
      </c>
      <c r="C32" s="3">
        <v>9</v>
      </c>
      <c r="D32" s="15">
        <f t="shared" si="0"/>
        <v>26</v>
      </c>
      <c r="E32" s="10" t="str">
        <f t="shared" si="1"/>
        <v>Fail</v>
      </c>
      <c r="F32" s="10" t="str">
        <f t="shared" si="2"/>
        <v>F</v>
      </c>
      <c r="G32" s="11">
        <f t="shared" si="3"/>
        <v>0</v>
      </c>
    </row>
    <row r="33" spans="1:7" x14ac:dyDescent="0.35">
      <c r="A33" s="10">
        <f>'Student Basic Info'!A33</f>
        <v>532</v>
      </c>
      <c r="B33" s="3"/>
      <c r="C33" s="3"/>
      <c r="D33" s="15" t="str">
        <f t="shared" si="0"/>
        <v/>
      </c>
      <c r="E33" s="10" t="str">
        <f t="shared" si="1"/>
        <v/>
      </c>
      <c r="F33" s="10" t="str">
        <f t="shared" si="2"/>
        <v/>
      </c>
      <c r="G33" s="11" t="str">
        <f t="shared" si="3"/>
        <v/>
      </c>
    </row>
    <row r="34" spans="1:7" x14ac:dyDescent="0.35">
      <c r="A34" s="10">
        <f>'Student Basic Info'!A34</f>
        <v>533</v>
      </c>
      <c r="B34" s="3"/>
      <c r="C34" s="3"/>
      <c r="D34" s="15" t="str">
        <f t="shared" si="0"/>
        <v/>
      </c>
      <c r="E34" s="10" t="str">
        <f t="shared" si="1"/>
        <v/>
      </c>
      <c r="F34" s="10" t="str">
        <f t="shared" si="2"/>
        <v/>
      </c>
      <c r="G34" s="11" t="str">
        <f t="shared" si="3"/>
        <v/>
      </c>
    </row>
    <row r="35" spans="1:7" x14ac:dyDescent="0.35">
      <c r="A35" s="10">
        <f>'Student Basic Info'!A35</f>
        <v>534</v>
      </c>
      <c r="B35" s="3"/>
      <c r="C35" s="3"/>
      <c r="D35" s="15" t="str">
        <f t="shared" si="0"/>
        <v/>
      </c>
      <c r="E35" s="10" t="str">
        <f t="shared" si="1"/>
        <v/>
      </c>
      <c r="F35" s="10" t="str">
        <f t="shared" si="2"/>
        <v/>
      </c>
      <c r="G35" s="11" t="str">
        <f t="shared" si="3"/>
        <v/>
      </c>
    </row>
    <row r="36" spans="1:7" x14ac:dyDescent="0.35">
      <c r="A36" s="10">
        <f>'Student Basic Info'!A36</f>
        <v>535</v>
      </c>
      <c r="B36" s="3"/>
      <c r="C36" s="3"/>
      <c r="D36" s="15" t="str">
        <f t="shared" si="0"/>
        <v/>
      </c>
      <c r="E36" s="10" t="str">
        <f t="shared" si="1"/>
        <v/>
      </c>
      <c r="F36" s="10" t="str">
        <f t="shared" si="2"/>
        <v/>
      </c>
      <c r="G36" s="11" t="str">
        <f t="shared" si="3"/>
        <v/>
      </c>
    </row>
    <row r="37" spans="1:7" x14ac:dyDescent="0.35">
      <c r="A37" s="10">
        <f>'Student Basic Info'!A37</f>
        <v>536</v>
      </c>
      <c r="B37" s="3">
        <v>17</v>
      </c>
      <c r="C37" s="3">
        <v>18</v>
      </c>
      <c r="D37" s="15">
        <f t="shared" si="0"/>
        <v>35</v>
      </c>
      <c r="E37" s="10" t="str">
        <f t="shared" si="1"/>
        <v>Fail</v>
      </c>
      <c r="F37" s="10" t="str">
        <f t="shared" si="2"/>
        <v>F</v>
      </c>
      <c r="G37" s="11">
        <f t="shared" si="3"/>
        <v>0</v>
      </c>
    </row>
    <row r="38" spans="1:7" x14ac:dyDescent="0.35">
      <c r="A38" s="10">
        <f>'Student Basic Info'!A38</f>
        <v>537</v>
      </c>
      <c r="B38" s="3">
        <v>16</v>
      </c>
      <c r="C38" s="3">
        <v>19</v>
      </c>
      <c r="D38" s="15">
        <f t="shared" si="0"/>
        <v>35</v>
      </c>
      <c r="E38" s="10" t="str">
        <f t="shared" si="1"/>
        <v>Fail</v>
      </c>
      <c r="F38" s="10" t="str">
        <f t="shared" si="2"/>
        <v>F</v>
      </c>
      <c r="G38" s="11">
        <f t="shared" si="3"/>
        <v>0</v>
      </c>
    </row>
    <row r="39" spans="1:7" x14ac:dyDescent="0.35">
      <c r="A39" s="10">
        <f>'Student Basic Info'!A39</f>
        <v>538</v>
      </c>
      <c r="B39" s="3">
        <v>18</v>
      </c>
      <c r="C39" s="3">
        <v>25</v>
      </c>
      <c r="D39" s="15">
        <f t="shared" si="0"/>
        <v>43</v>
      </c>
      <c r="E39" s="10" t="str">
        <f t="shared" si="1"/>
        <v>Pass</v>
      </c>
      <c r="F39" s="10" t="str">
        <f t="shared" si="2"/>
        <v>C</v>
      </c>
      <c r="G39" s="11">
        <f t="shared" si="3"/>
        <v>2</v>
      </c>
    </row>
    <row r="40" spans="1:7" x14ac:dyDescent="0.35">
      <c r="A40" s="10">
        <f>'Student Basic Info'!A40</f>
        <v>539</v>
      </c>
      <c r="B40" s="3">
        <v>14</v>
      </c>
      <c r="C40" s="3">
        <v>3</v>
      </c>
      <c r="D40" s="15">
        <f t="shared" si="0"/>
        <v>17</v>
      </c>
      <c r="E40" s="10" t="str">
        <f t="shared" si="1"/>
        <v>Fail</v>
      </c>
      <c r="F40" s="10" t="str">
        <f t="shared" si="2"/>
        <v>F</v>
      </c>
      <c r="G40" s="11">
        <f t="shared" si="3"/>
        <v>0</v>
      </c>
    </row>
    <row r="41" spans="1:7" x14ac:dyDescent="0.35">
      <c r="A41" s="10">
        <f>'Student Basic Info'!A41</f>
        <v>540</v>
      </c>
      <c r="B41" s="3">
        <v>15</v>
      </c>
      <c r="C41" s="3">
        <v>14</v>
      </c>
      <c r="D41" s="15">
        <f t="shared" si="0"/>
        <v>29</v>
      </c>
      <c r="E41" s="10" t="str">
        <f t="shared" si="1"/>
        <v>Fail</v>
      </c>
      <c r="F41" s="10" t="str">
        <f t="shared" si="2"/>
        <v>F</v>
      </c>
      <c r="G41" s="11">
        <f t="shared" si="3"/>
        <v>0</v>
      </c>
    </row>
    <row r="42" spans="1:7" x14ac:dyDescent="0.35">
      <c r="A42" s="10">
        <f>'Student Basic Info'!A42</f>
        <v>541</v>
      </c>
      <c r="B42" s="3"/>
      <c r="C42" s="3"/>
      <c r="D42" s="15" t="str">
        <f t="shared" si="0"/>
        <v/>
      </c>
      <c r="E42" s="10" t="str">
        <f t="shared" si="1"/>
        <v/>
      </c>
      <c r="F42" s="10" t="str">
        <f t="shared" si="2"/>
        <v/>
      </c>
      <c r="G42" s="11" t="str">
        <f t="shared" si="3"/>
        <v/>
      </c>
    </row>
    <row r="43" spans="1:7" x14ac:dyDescent="0.35">
      <c r="A43" s="10">
        <f>'Student Basic Info'!A43</f>
        <v>542</v>
      </c>
      <c r="B43" s="3">
        <v>17</v>
      </c>
      <c r="C43" s="3">
        <v>17</v>
      </c>
      <c r="D43" s="15">
        <f t="shared" si="0"/>
        <v>34</v>
      </c>
      <c r="E43" s="10" t="str">
        <f t="shared" si="1"/>
        <v>Fail</v>
      </c>
      <c r="F43" s="10" t="str">
        <f t="shared" si="2"/>
        <v>F</v>
      </c>
      <c r="G43" s="11">
        <f t="shared" si="3"/>
        <v>0</v>
      </c>
    </row>
    <row r="44" spans="1:7" x14ac:dyDescent="0.35">
      <c r="A44" s="10">
        <f>'Student Basic Info'!A44</f>
        <v>543</v>
      </c>
      <c r="B44" s="3">
        <v>17</v>
      </c>
      <c r="C44" s="3">
        <v>8</v>
      </c>
      <c r="D44" s="15">
        <f t="shared" si="0"/>
        <v>25</v>
      </c>
      <c r="E44" s="10" t="str">
        <f t="shared" si="1"/>
        <v>Fail</v>
      </c>
      <c r="F44" s="10" t="str">
        <f t="shared" si="2"/>
        <v>F</v>
      </c>
      <c r="G44" s="11">
        <f t="shared" si="3"/>
        <v>0</v>
      </c>
    </row>
    <row r="45" spans="1:7" x14ac:dyDescent="0.35">
      <c r="A45" s="10">
        <f>'Student Basic Info'!A45</f>
        <v>544</v>
      </c>
      <c r="B45" s="3">
        <v>17</v>
      </c>
      <c r="C45" s="3">
        <v>8</v>
      </c>
      <c r="D45" s="15">
        <f t="shared" si="0"/>
        <v>25</v>
      </c>
      <c r="E45" s="10" t="str">
        <f t="shared" si="1"/>
        <v>Fail</v>
      </c>
      <c r="F45" s="10" t="str">
        <f t="shared" si="2"/>
        <v>F</v>
      </c>
      <c r="G45" s="11">
        <f t="shared" si="3"/>
        <v>0</v>
      </c>
    </row>
    <row r="46" spans="1:7" x14ac:dyDescent="0.35">
      <c r="A46" s="10">
        <f>'Student Basic Info'!A46</f>
        <v>545</v>
      </c>
      <c r="B46" s="3"/>
      <c r="C46" s="3"/>
      <c r="D46" s="15" t="str">
        <f t="shared" si="0"/>
        <v/>
      </c>
      <c r="E46" s="10" t="str">
        <f t="shared" si="1"/>
        <v/>
      </c>
      <c r="F46" s="10" t="str">
        <f t="shared" si="2"/>
        <v/>
      </c>
      <c r="G46" s="11" t="str">
        <f t="shared" si="3"/>
        <v/>
      </c>
    </row>
    <row r="47" spans="1:7" x14ac:dyDescent="0.35">
      <c r="A47" s="10">
        <f>'Student Basic Info'!A47</f>
        <v>546</v>
      </c>
      <c r="B47" s="3">
        <v>15</v>
      </c>
      <c r="C47" s="3">
        <v>8</v>
      </c>
      <c r="D47" s="15">
        <f t="shared" si="0"/>
        <v>23</v>
      </c>
      <c r="E47" s="10" t="str">
        <f t="shared" si="1"/>
        <v>Fail</v>
      </c>
      <c r="F47" s="10" t="str">
        <f t="shared" si="2"/>
        <v>F</v>
      </c>
      <c r="G47" s="11">
        <f t="shared" si="3"/>
        <v>0</v>
      </c>
    </row>
    <row r="48" spans="1:7" x14ac:dyDescent="0.35">
      <c r="A48" s="10">
        <f>'Student Basic Info'!A48</f>
        <v>547</v>
      </c>
      <c r="B48" s="3"/>
      <c r="C48" s="3"/>
      <c r="D48" s="15" t="str">
        <f t="shared" si="0"/>
        <v/>
      </c>
      <c r="E48" s="10" t="str">
        <f t="shared" si="1"/>
        <v/>
      </c>
      <c r="F48" s="10" t="str">
        <f t="shared" si="2"/>
        <v/>
      </c>
      <c r="G48" s="11" t="str">
        <f t="shared" si="3"/>
        <v/>
      </c>
    </row>
    <row r="49" spans="1:7" x14ac:dyDescent="0.35">
      <c r="A49" s="10">
        <f>'Student Basic Info'!A49</f>
        <v>548</v>
      </c>
      <c r="B49" s="3"/>
      <c r="C49" s="3"/>
      <c r="D49" s="15" t="str">
        <f t="shared" si="0"/>
        <v/>
      </c>
      <c r="E49" s="10" t="str">
        <f t="shared" si="1"/>
        <v/>
      </c>
      <c r="F49" s="10" t="str">
        <f t="shared" si="2"/>
        <v/>
      </c>
      <c r="G49" s="11" t="str">
        <f t="shared" si="3"/>
        <v/>
      </c>
    </row>
    <row r="50" spans="1:7" x14ac:dyDescent="0.35">
      <c r="A50" s="10">
        <f>'Student Basic Info'!A50</f>
        <v>549</v>
      </c>
      <c r="B50" s="3">
        <v>19</v>
      </c>
      <c r="C50" s="3">
        <v>23</v>
      </c>
      <c r="D50" s="15">
        <f t="shared" si="0"/>
        <v>42</v>
      </c>
      <c r="E50" s="10" t="str">
        <f t="shared" si="1"/>
        <v>Pass</v>
      </c>
      <c r="F50" s="10" t="str">
        <f t="shared" si="2"/>
        <v>C</v>
      </c>
      <c r="G50" s="11">
        <f t="shared" si="3"/>
        <v>2</v>
      </c>
    </row>
    <row r="51" spans="1:7" x14ac:dyDescent="0.35">
      <c r="A51" s="10">
        <f>'Student Basic Info'!A51</f>
        <v>550</v>
      </c>
      <c r="B51" s="3"/>
      <c r="C51" s="3"/>
      <c r="D51" s="15" t="str">
        <f t="shared" si="0"/>
        <v/>
      </c>
      <c r="E51" s="10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10">
        <f>'Student Basic Info'!A52</f>
        <v>551</v>
      </c>
      <c r="B52" s="3"/>
      <c r="C52" s="3"/>
      <c r="D52" s="15" t="str">
        <f t="shared" si="0"/>
        <v/>
      </c>
      <c r="E52" s="10" t="str">
        <f t="shared" si="1"/>
        <v/>
      </c>
      <c r="F52" s="10" t="str">
        <f t="shared" si="2"/>
        <v/>
      </c>
      <c r="G52" s="11" t="str">
        <f t="shared" si="3"/>
        <v/>
      </c>
    </row>
    <row r="53" spans="1:7" x14ac:dyDescent="0.35">
      <c r="A53" s="10">
        <f>'Student Basic Info'!A53</f>
        <v>552</v>
      </c>
      <c r="B53" s="3">
        <v>18</v>
      </c>
      <c r="C53" s="3">
        <v>12</v>
      </c>
      <c r="D53" s="15">
        <f t="shared" si="0"/>
        <v>30</v>
      </c>
      <c r="E53" s="10" t="str">
        <f t="shared" si="1"/>
        <v>Fail</v>
      </c>
      <c r="F53" s="10" t="str">
        <f t="shared" si="2"/>
        <v>F</v>
      </c>
      <c r="G53" s="11">
        <f t="shared" si="3"/>
        <v>0</v>
      </c>
    </row>
    <row r="54" spans="1:7" x14ac:dyDescent="0.35">
      <c r="A54" s="10">
        <f>'Student Basic Info'!A54</f>
        <v>553</v>
      </c>
      <c r="B54" s="3"/>
      <c r="C54" s="3"/>
      <c r="D54" s="15" t="str">
        <f t="shared" si="0"/>
        <v/>
      </c>
      <c r="E54" s="10" t="str">
        <f t="shared" si="1"/>
        <v/>
      </c>
      <c r="F54" s="10" t="str">
        <f t="shared" si="2"/>
        <v/>
      </c>
      <c r="G54" s="11" t="str">
        <f t="shared" si="3"/>
        <v/>
      </c>
    </row>
    <row r="55" spans="1:7" x14ac:dyDescent="0.35">
      <c r="A55" s="10">
        <f>'Student Basic Info'!A55</f>
        <v>554</v>
      </c>
      <c r="B55" s="3">
        <v>18</v>
      </c>
      <c r="C55" s="3">
        <v>8</v>
      </c>
      <c r="D55" s="15">
        <f t="shared" si="0"/>
        <v>26</v>
      </c>
      <c r="E55" s="10" t="str">
        <f t="shared" si="1"/>
        <v>Fail</v>
      </c>
      <c r="F55" s="10" t="str">
        <f t="shared" si="2"/>
        <v>F</v>
      </c>
      <c r="G55" s="11">
        <f t="shared" si="3"/>
        <v>0</v>
      </c>
    </row>
    <row r="56" spans="1:7" x14ac:dyDescent="0.35">
      <c r="A56" s="10">
        <f>'Student Basic Info'!A56</f>
        <v>555</v>
      </c>
      <c r="B56" s="3">
        <v>23</v>
      </c>
      <c r="C56" s="3">
        <v>33</v>
      </c>
      <c r="D56" s="15">
        <f t="shared" si="0"/>
        <v>56</v>
      </c>
      <c r="E56" s="10" t="str">
        <f t="shared" si="1"/>
        <v>Pass</v>
      </c>
      <c r="F56" s="10" t="str">
        <f t="shared" si="2"/>
        <v>B</v>
      </c>
      <c r="G56" s="11">
        <f t="shared" si="3"/>
        <v>3</v>
      </c>
    </row>
    <row r="57" spans="1:7" x14ac:dyDescent="0.35">
      <c r="A57" s="10">
        <f>'Student Basic Info'!A57</f>
        <v>556</v>
      </c>
      <c r="B57" s="3">
        <v>21</v>
      </c>
      <c r="C57" s="3">
        <v>31</v>
      </c>
      <c r="D57" s="15">
        <f t="shared" si="0"/>
        <v>52</v>
      </c>
      <c r="E57" s="10" t="str">
        <f t="shared" si="1"/>
        <v>Pass</v>
      </c>
      <c r="F57" s="10" t="str">
        <f t="shared" si="2"/>
        <v>B</v>
      </c>
      <c r="G57" s="11">
        <f t="shared" si="3"/>
        <v>3</v>
      </c>
    </row>
    <row r="58" spans="1:7" x14ac:dyDescent="0.35">
      <c r="A58" s="10">
        <f>'Student Basic Info'!A58</f>
        <v>557</v>
      </c>
      <c r="B58" s="3">
        <v>23</v>
      </c>
      <c r="C58" s="3">
        <v>36</v>
      </c>
      <c r="D58" s="15">
        <f t="shared" si="0"/>
        <v>59</v>
      </c>
      <c r="E58" s="10" t="str">
        <f t="shared" si="1"/>
        <v>Pass</v>
      </c>
      <c r="F58" s="10" t="str">
        <f t="shared" si="2"/>
        <v>B</v>
      </c>
      <c r="G58" s="11">
        <f t="shared" si="3"/>
        <v>3</v>
      </c>
    </row>
    <row r="59" spans="1:7" x14ac:dyDescent="0.35">
      <c r="A59" s="10">
        <f>'Student Basic Info'!A59</f>
        <v>558</v>
      </c>
      <c r="B59" s="3">
        <v>22</v>
      </c>
      <c r="C59" s="3">
        <v>43</v>
      </c>
      <c r="D59" s="15">
        <f t="shared" si="0"/>
        <v>65</v>
      </c>
      <c r="E59" s="10" t="str">
        <f t="shared" si="1"/>
        <v>Pass</v>
      </c>
      <c r="F59" s="10" t="str">
        <f t="shared" si="2"/>
        <v>A-</v>
      </c>
      <c r="G59" s="11">
        <f t="shared" si="3"/>
        <v>3.5</v>
      </c>
    </row>
    <row r="60" spans="1:7" x14ac:dyDescent="0.35">
      <c r="A60" s="10">
        <f>'Student Basic Info'!A60</f>
        <v>559</v>
      </c>
      <c r="B60" s="3">
        <v>19</v>
      </c>
      <c r="C60" s="3">
        <v>25</v>
      </c>
      <c r="D60" s="15">
        <f t="shared" si="0"/>
        <v>44</v>
      </c>
      <c r="E60" s="10" t="str">
        <f t="shared" si="1"/>
        <v>Pass</v>
      </c>
      <c r="F60" s="10" t="str">
        <f t="shared" si="2"/>
        <v>C</v>
      </c>
      <c r="G60" s="11">
        <f t="shared" si="3"/>
        <v>2</v>
      </c>
    </row>
    <row r="61" spans="1:7" x14ac:dyDescent="0.35">
      <c r="A61" s="10">
        <f>'Student Basic Info'!A61</f>
        <v>560</v>
      </c>
      <c r="B61" s="3">
        <v>19</v>
      </c>
      <c r="C61" s="3">
        <v>27</v>
      </c>
      <c r="D61" s="15">
        <f t="shared" si="0"/>
        <v>46</v>
      </c>
      <c r="E61" s="10" t="str">
        <f t="shared" si="1"/>
        <v>Pass</v>
      </c>
      <c r="F61" s="10" t="str">
        <f t="shared" si="2"/>
        <v>C</v>
      </c>
      <c r="G61" s="11">
        <f t="shared" si="3"/>
        <v>2</v>
      </c>
    </row>
    <row r="62" spans="1:7" x14ac:dyDescent="0.35">
      <c r="A62" s="10">
        <f>'Student Basic Info'!A62</f>
        <v>561</v>
      </c>
      <c r="B62" s="3">
        <v>11</v>
      </c>
      <c r="C62" s="3">
        <v>14</v>
      </c>
      <c r="D62" s="15">
        <f t="shared" si="0"/>
        <v>25</v>
      </c>
      <c r="E62" s="10" t="str">
        <f t="shared" si="1"/>
        <v>Fail</v>
      </c>
      <c r="F62" s="10" t="str">
        <f t="shared" si="2"/>
        <v>F</v>
      </c>
      <c r="G62" s="11">
        <f t="shared" si="3"/>
        <v>0</v>
      </c>
    </row>
    <row r="63" spans="1:7" x14ac:dyDescent="0.35">
      <c r="A63" s="10">
        <f>'Student Basic Info'!A63</f>
        <v>562</v>
      </c>
      <c r="B63" s="3"/>
      <c r="C63" s="3"/>
      <c r="D63" s="15" t="str">
        <f t="shared" si="0"/>
        <v/>
      </c>
      <c r="E63" s="10" t="str">
        <f t="shared" si="1"/>
        <v/>
      </c>
      <c r="F63" s="10" t="str">
        <f t="shared" si="2"/>
        <v/>
      </c>
      <c r="G63" s="11" t="str">
        <f t="shared" si="3"/>
        <v/>
      </c>
    </row>
    <row r="64" spans="1:7" x14ac:dyDescent="0.35">
      <c r="A64" s="10">
        <f>'Student Basic Info'!A64</f>
        <v>563</v>
      </c>
      <c r="B64" s="3"/>
      <c r="C64" s="3"/>
      <c r="D64" s="15" t="str">
        <f t="shared" si="0"/>
        <v/>
      </c>
      <c r="E64" s="10" t="str">
        <f t="shared" si="1"/>
        <v/>
      </c>
      <c r="F64" s="10" t="str">
        <f t="shared" si="2"/>
        <v/>
      </c>
      <c r="G64" s="11" t="str">
        <f t="shared" si="3"/>
        <v/>
      </c>
    </row>
    <row r="65" spans="1:7" x14ac:dyDescent="0.35">
      <c r="A65" s="10">
        <f>'Student Basic Info'!A65</f>
        <v>564</v>
      </c>
      <c r="B65" s="3"/>
      <c r="C65" s="3"/>
      <c r="D65" s="15" t="str">
        <f t="shared" si="0"/>
        <v/>
      </c>
      <c r="E65" s="10" t="str">
        <f t="shared" si="1"/>
        <v/>
      </c>
      <c r="F65" s="10" t="str">
        <f t="shared" si="2"/>
        <v/>
      </c>
      <c r="G65" s="11" t="str">
        <f t="shared" si="3"/>
        <v/>
      </c>
    </row>
    <row r="66" spans="1:7" x14ac:dyDescent="0.35">
      <c r="A66" s="10">
        <f>'Student Basic Info'!A66</f>
        <v>565</v>
      </c>
      <c r="B66" s="3">
        <v>21</v>
      </c>
      <c r="C66" s="3">
        <v>19</v>
      </c>
      <c r="D66" s="15">
        <f t="shared" si="0"/>
        <v>40</v>
      </c>
      <c r="E66" s="10" t="str">
        <f t="shared" si="1"/>
        <v>Fail</v>
      </c>
      <c r="F66" s="10" t="str">
        <f t="shared" si="2"/>
        <v>F</v>
      </c>
      <c r="G66" s="11">
        <f t="shared" si="3"/>
        <v>0</v>
      </c>
    </row>
    <row r="67" spans="1:7" x14ac:dyDescent="0.35">
      <c r="A67" s="10">
        <f>'Student Basic Info'!A67</f>
        <v>566</v>
      </c>
      <c r="B67" s="3"/>
      <c r="C67" s="3"/>
      <c r="D67" s="15" t="str">
        <f t="shared" ref="D67:D131" si="4">IF(B67+C67=0, "", B67+C67)</f>
        <v/>
      </c>
      <c r="E67" s="10" t="str">
        <f t="shared" ref="E67:E131" si="5">IF(D67="","", IF(AND(B67 &gt;=10,C67&gt;=23),"Pass","Fail"))</f>
        <v/>
      </c>
      <c r="F67" s="10" t="str">
        <f t="shared" ref="F67:F131" si="6">(IF(D67="","",IF(E67="Fail","F",IF(D67&gt;=80,"A+",IF(D67&gt;=70,"A",IF(D67&gt;=60,"A-",IF(D67&gt;=50,"B",IF(D67&gt;=40,"C",IF(D67&gt;=33,"D","F")))))))))</f>
        <v/>
      </c>
      <c r="G67" s="11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10">
        <f>'Student Basic Info'!A68</f>
        <v>567</v>
      </c>
      <c r="B68" s="3">
        <v>13</v>
      </c>
      <c r="C68" s="3">
        <v>7</v>
      </c>
      <c r="D68" s="15">
        <f t="shared" si="4"/>
        <v>20</v>
      </c>
      <c r="E68" s="10" t="str">
        <f t="shared" si="5"/>
        <v>Fail</v>
      </c>
      <c r="F68" s="10" t="str">
        <f t="shared" si="6"/>
        <v>F</v>
      </c>
      <c r="G68" s="11">
        <f t="shared" si="7"/>
        <v>0</v>
      </c>
    </row>
    <row r="69" spans="1:7" x14ac:dyDescent="0.35">
      <c r="A69" s="10">
        <f>'Student Basic Info'!A69</f>
        <v>568</v>
      </c>
      <c r="B69" s="3">
        <v>9</v>
      </c>
      <c r="C69" s="3">
        <v>2</v>
      </c>
      <c r="D69" s="15">
        <f t="shared" si="4"/>
        <v>11</v>
      </c>
      <c r="E69" s="10" t="str">
        <f t="shared" si="5"/>
        <v>Fail</v>
      </c>
      <c r="F69" s="10" t="str">
        <f t="shared" si="6"/>
        <v>F</v>
      </c>
      <c r="G69" s="11">
        <f t="shared" si="7"/>
        <v>0</v>
      </c>
    </row>
    <row r="70" spans="1:7" x14ac:dyDescent="0.35">
      <c r="A70" s="10">
        <f>'Student Basic Info'!A70</f>
        <v>569</v>
      </c>
      <c r="B70" s="3"/>
      <c r="C70" s="3"/>
      <c r="D70" s="15" t="str">
        <f t="shared" si="4"/>
        <v/>
      </c>
      <c r="E70" s="10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10">
        <f>'Student Basic Info'!A71</f>
        <v>570</v>
      </c>
      <c r="B71" s="3"/>
      <c r="C71" s="3"/>
      <c r="D71" s="15" t="str">
        <f t="shared" si="4"/>
        <v/>
      </c>
      <c r="E71" s="10" t="str">
        <f t="shared" si="5"/>
        <v/>
      </c>
      <c r="F71" s="10" t="str">
        <f t="shared" si="6"/>
        <v/>
      </c>
      <c r="G71" s="11" t="str">
        <f t="shared" si="7"/>
        <v/>
      </c>
    </row>
    <row r="72" spans="1:7" x14ac:dyDescent="0.35">
      <c r="A72" s="10">
        <f>'Student Basic Info'!A72</f>
        <v>571</v>
      </c>
      <c r="B72" s="3"/>
      <c r="C72" s="3"/>
      <c r="D72" s="15" t="str">
        <f t="shared" si="4"/>
        <v/>
      </c>
      <c r="E72" s="10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10">
        <f>'Student Basic Info'!A73</f>
        <v>572</v>
      </c>
      <c r="B73" s="3">
        <v>16</v>
      </c>
      <c r="C73" s="3">
        <v>7</v>
      </c>
      <c r="D73" s="15">
        <f t="shared" si="4"/>
        <v>23</v>
      </c>
      <c r="E73" s="10" t="str">
        <f t="shared" si="5"/>
        <v>Fail</v>
      </c>
      <c r="F73" s="10" t="str">
        <f t="shared" si="6"/>
        <v>F</v>
      </c>
      <c r="G73" s="11">
        <f t="shared" si="7"/>
        <v>0</v>
      </c>
    </row>
    <row r="74" spans="1:7" x14ac:dyDescent="0.35">
      <c r="A74" s="10">
        <f>'Student Basic Info'!A74</f>
        <v>573</v>
      </c>
      <c r="B74" s="3">
        <v>13</v>
      </c>
      <c r="C74" s="3">
        <v>6</v>
      </c>
      <c r="D74" s="15">
        <f t="shared" si="4"/>
        <v>19</v>
      </c>
      <c r="E74" s="10" t="str">
        <f t="shared" si="5"/>
        <v>Fail</v>
      </c>
      <c r="F74" s="10" t="str">
        <f t="shared" si="6"/>
        <v>F</v>
      </c>
      <c r="G74" s="11">
        <f t="shared" si="7"/>
        <v>0</v>
      </c>
    </row>
    <row r="75" spans="1:7" x14ac:dyDescent="0.35">
      <c r="A75" s="10">
        <f>'Student Basic Info'!A75</f>
        <v>574</v>
      </c>
      <c r="B75" s="3">
        <v>10</v>
      </c>
      <c r="C75" s="3">
        <v>6</v>
      </c>
      <c r="D75" s="15">
        <f t="shared" si="4"/>
        <v>16</v>
      </c>
      <c r="E75" s="10" t="str">
        <f t="shared" si="5"/>
        <v>Fail</v>
      </c>
      <c r="F75" s="10" t="str">
        <f t="shared" si="6"/>
        <v>F</v>
      </c>
      <c r="G75" s="11">
        <f t="shared" si="7"/>
        <v>0</v>
      </c>
    </row>
    <row r="76" spans="1:7" x14ac:dyDescent="0.35">
      <c r="A76" s="10">
        <f>'Student Basic Info'!A76</f>
        <v>575</v>
      </c>
      <c r="B76" s="3"/>
      <c r="C76" s="3"/>
      <c r="D76" s="15" t="str">
        <f t="shared" si="4"/>
        <v/>
      </c>
      <c r="E76" s="10" t="str">
        <f t="shared" si="5"/>
        <v/>
      </c>
      <c r="F76" s="10" t="str">
        <f t="shared" si="6"/>
        <v/>
      </c>
      <c r="G76" s="11" t="str">
        <f t="shared" si="7"/>
        <v/>
      </c>
    </row>
    <row r="77" spans="1:7" x14ac:dyDescent="0.35">
      <c r="A77" s="10">
        <f>'Student Basic Info'!A77</f>
        <v>576</v>
      </c>
      <c r="B77" s="3"/>
      <c r="C77" s="3"/>
      <c r="D77" s="15" t="str">
        <f t="shared" si="4"/>
        <v/>
      </c>
      <c r="E77" s="10" t="str">
        <f t="shared" si="5"/>
        <v/>
      </c>
      <c r="F77" s="10" t="str">
        <f t="shared" si="6"/>
        <v/>
      </c>
      <c r="G77" s="11" t="str">
        <f t="shared" si="7"/>
        <v/>
      </c>
    </row>
    <row r="78" spans="1:7" x14ac:dyDescent="0.35">
      <c r="A78" s="10">
        <f>'Student Basic Info'!A78</f>
        <v>577</v>
      </c>
      <c r="B78" s="3">
        <v>17</v>
      </c>
      <c r="C78" s="3">
        <v>10</v>
      </c>
      <c r="D78" s="15">
        <f t="shared" si="4"/>
        <v>27</v>
      </c>
      <c r="E78" s="10" t="str">
        <f t="shared" si="5"/>
        <v>Fail</v>
      </c>
      <c r="F78" s="10" t="str">
        <f t="shared" si="6"/>
        <v>F</v>
      </c>
      <c r="G78" s="11">
        <f t="shared" si="7"/>
        <v>0</v>
      </c>
    </row>
    <row r="79" spans="1:7" x14ac:dyDescent="0.35">
      <c r="A79" s="10">
        <f>'Student Basic Info'!A79</f>
        <v>578</v>
      </c>
      <c r="B79" s="3"/>
      <c r="C79" s="3"/>
      <c r="D79" s="15" t="str">
        <f t="shared" si="4"/>
        <v/>
      </c>
      <c r="E79" s="10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10">
        <f>'Student Basic Info'!A80</f>
        <v>579</v>
      </c>
      <c r="B80" s="3"/>
      <c r="C80" s="3"/>
      <c r="D80" s="15" t="str">
        <f t="shared" si="4"/>
        <v/>
      </c>
      <c r="E80" s="10" t="str">
        <f t="shared" si="5"/>
        <v/>
      </c>
      <c r="F80" s="10" t="str">
        <f t="shared" si="6"/>
        <v/>
      </c>
      <c r="G80" s="11" t="str">
        <f t="shared" si="7"/>
        <v/>
      </c>
    </row>
    <row r="81" spans="1:7" x14ac:dyDescent="0.35">
      <c r="A81" s="10">
        <f>'Student Basic Info'!A81</f>
        <v>580</v>
      </c>
      <c r="B81" s="3"/>
      <c r="C81" s="3"/>
      <c r="D81" s="15" t="str">
        <f t="shared" si="4"/>
        <v/>
      </c>
      <c r="E81" s="10" t="str">
        <f t="shared" si="5"/>
        <v/>
      </c>
      <c r="F81" s="10" t="str">
        <f t="shared" si="6"/>
        <v/>
      </c>
      <c r="G81" s="11" t="str">
        <f t="shared" si="7"/>
        <v/>
      </c>
    </row>
    <row r="82" spans="1:7" x14ac:dyDescent="0.35">
      <c r="A82" s="10">
        <f>'Student Basic Info'!A82</f>
        <v>581</v>
      </c>
      <c r="B82" s="3"/>
      <c r="C82" s="3"/>
      <c r="D82" s="15" t="str">
        <f t="shared" si="4"/>
        <v/>
      </c>
      <c r="E82" s="10" t="str">
        <f t="shared" si="5"/>
        <v/>
      </c>
      <c r="F82" s="10" t="str">
        <f t="shared" si="6"/>
        <v/>
      </c>
      <c r="G82" s="11" t="str">
        <f t="shared" si="7"/>
        <v/>
      </c>
    </row>
    <row r="83" spans="1:7" x14ac:dyDescent="0.35">
      <c r="A83" s="10">
        <f>'Student Basic Info'!A83</f>
        <v>582</v>
      </c>
      <c r="B83" s="3"/>
      <c r="C83" s="3"/>
      <c r="D83" s="15" t="str">
        <f t="shared" si="4"/>
        <v/>
      </c>
      <c r="E83" s="10" t="str">
        <f t="shared" si="5"/>
        <v/>
      </c>
      <c r="F83" s="10" t="str">
        <f t="shared" si="6"/>
        <v/>
      </c>
      <c r="G83" s="11" t="str">
        <f t="shared" si="7"/>
        <v/>
      </c>
    </row>
    <row r="84" spans="1:7" x14ac:dyDescent="0.35">
      <c r="A84" s="10">
        <f>'Student Basic Info'!A84</f>
        <v>583</v>
      </c>
      <c r="B84" s="3"/>
      <c r="C84" s="3"/>
      <c r="D84" s="15" t="str">
        <f t="shared" si="4"/>
        <v/>
      </c>
      <c r="E84" s="10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10">
        <f>'Student Basic Info'!A85</f>
        <v>584</v>
      </c>
      <c r="B85" s="3"/>
      <c r="C85" s="3"/>
      <c r="D85" s="15" t="str">
        <f t="shared" si="4"/>
        <v/>
      </c>
      <c r="E85" s="10" t="str">
        <f t="shared" si="5"/>
        <v/>
      </c>
      <c r="F85" s="10" t="str">
        <f t="shared" si="6"/>
        <v/>
      </c>
      <c r="G85" s="11" t="str">
        <f t="shared" si="7"/>
        <v/>
      </c>
    </row>
    <row r="86" spans="1:7" x14ac:dyDescent="0.35">
      <c r="A86" s="10">
        <f>'Student Basic Info'!A86</f>
        <v>585</v>
      </c>
      <c r="B86" s="3">
        <v>16</v>
      </c>
      <c r="C86" s="3">
        <v>8</v>
      </c>
      <c r="D86" s="15">
        <f t="shared" si="4"/>
        <v>24</v>
      </c>
      <c r="E86" s="10" t="str">
        <f t="shared" si="5"/>
        <v>Fail</v>
      </c>
      <c r="F86" s="10" t="str">
        <f t="shared" si="6"/>
        <v>F</v>
      </c>
      <c r="G86" s="11">
        <f t="shared" si="7"/>
        <v>0</v>
      </c>
    </row>
    <row r="87" spans="1:7" x14ac:dyDescent="0.35">
      <c r="A87" s="10">
        <f>'Student Basic Info'!A87</f>
        <v>586</v>
      </c>
      <c r="B87" s="3">
        <v>18</v>
      </c>
      <c r="C87" s="3">
        <v>7</v>
      </c>
      <c r="D87" s="15">
        <f t="shared" si="4"/>
        <v>25</v>
      </c>
      <c r="E87" s="10" t="str">
        <f t="shared" si="5"/>
        <v>Fail</v>
      </c>
      <c r="F87" s="10" t="str">
        <f t="shared" si="6"/>
        <v>F</v>
      </c>
      <c r="G87" s="11">
        <f t="shared" si="7"/>
        <v>0</v>
      </c>
    </row>
    <row r="88" spans="1:7" x14ac:dyDescent="0.35">
      <c r="A88" s="10">
        <f>'Student Basic Info'!A88</f>
        <v>587</v>
      </c>
      <c r="B88" s="3">
        <v>17</v>
      </c>
      <c r="C88" s="3">
        <v>16</v>
      </c>
      <c r="D88" s="15">
        <f t="shared" si="4"/>
        <v>33</v>
      </c>
      <c r="E88" s="10" t="str">
        <f t="shared" si="5"/>
        <v>Fail</v>
      </c>
      <c r="F88" s="10" t="str">
        <f t="shared" si="6"/>
        <v>F</v>
      </c>
      <c r="G88" s="11">
        <f t="shared" si="7"/>
        <v>0</v>
      </c>
    </row>
    <row r="89" spans="1:7" x14ac:dyDescent="0.35">
      <c r="A89" s="10">
        <f>'Student Basic Info'!A89</f>
        <v>588</v>
      </c>
      <c r="B89" s="3">
        <v>21</v>
      </c>
      <c r="C89" s="3">
        <v>16</v>
      </c>
      <c r="D89" s="15">
        <f t="shared" si="4"/>
        <v>37</v>
      </c>
      <c r="E89" s="10" t="str">
        <f t="shared" si="5"/>
        <v>Fail</v>
      </c>
      <c r="F89" s="10" t="str">
        <f t="shared" si="6"/>
        <v>F</v>
      </c>
      <c r="G89" s="11">
        <f t="shared" si="7"/>
        <v>0</v>
      </c>
    </row>
    <row r="90" spans="1:7" x14ac:dyDescent="0.35">
      <c r="A90" s="10">
        <f>'Student Basic Info'!A90</f>
        <v>589</v>
      </c>
      <c r="B90" s="3"/>
      <c r="C90" s="3"/>
      <c r="D90" s="15" t="str">
        <f t="shared" si="4"/>
        <v/>
      </c>
      <c r="E90" s="10" t="str">
        <f t="shared" si="5"/>
        <v/>
      </c>
      <c r="F90" s="10" t="str">
        <f t="shared" si="6"/>
        <v/>
      </c>
      <c r="G90" s="11" t="str">
        <f t="shared" si="7"/>
        <v/>
      </c>
    </row>
    <row r="91" spans="1:7" x14ac:dyDescent="0.35">
      <c r="A91" s="10">
        <f>'Student Basic Info'!A91</f>
        <v>590</v>
      </c>
      <c r="B91" s="3"/>
      <c r="C91" s="3"/>
      <c r="D91" s="15" t="str">
        <f t="shared" si="4"/>
        <v/>
      </c>
      <c r="E91" s="10" t="str">
        <f t="shared" si="5"/>
        <v/>
      </c>
      <c r="F91" s="10" t="str">
        <f t="shared" si="6"/>
        <v/>
      </c>
      <c r="G91" s="11" t="str">
        <f t="shared" si="7"/>
        <v/>
      </c>
    </row>
    <row r="92" spans="1:7" x14ac:dyDescent="0.35">
      <c r="A92" s="10">
        <f>'Student Basic Info'!A92</f>
        <v>591</v>
      </c>
      <c r="B92" s="3">
        <v>12</v>
      </c>
      <c r="C92" s="3">
        <v>20</v>
      </c>
      <c r="D92" s="15">
        <f t="shared" si="4"/>
        <v>32</v>
      </c>
      <c r="E92" s="10" t="str">
        <f t="shared" si="5"/>
        <v>Fail</v>
      </c>
      <c r="F92" s="10" t="str">
        <f t="shared" si="6"/>
        <v>F</v>
      </c>
      <c r="G92" s="11">
        <f t="shared" si="7"/>
        <v>0</v>
      </c>
    </row>
    <row r="93" spans="1:7" x14ac:dyDescent="0.35">
      <c r="A93" s="10">
        <f>'Student Basic Info'!A93</f>
        <v>592</v>
      </c>
      <c r="B93" s="3">
        <v>11</v>
      </c>
      <c r="C93" s="3">
        <v>6</v>
      </c>
      <c r="D93" s="15">
        <f t="shared" si="4"/>
        <v>17</v>
      </c>
      <c r="E93" s="10" t="str">
        <f t="shared" si="5"/>
        <v>Fail</v>
      </c>
      <c r="F93" s="10" t="str">
        <f t="shared" si="6"/>
        <v>F</v>
      </c>
      <c r="G93" s="11">
        <f t="shared" si="7"/>
        <v>0</v>
      </c>
    </row>
    <row r="94" spans="1:7" x14ac:dyDescent="0.35">
      <c r="A94" s="10">
        <f>'Student Basic Info'!A94</f>
        <v>593</v>
      </c>
      <c r="B94" s="3">
        <v>14</v>
      </c>
      <c r="C94" s="3">
        <v>13</v>
      </c>
      <c r="D94" s="15">
        <f t="shared" si="4"/>
        <v>27</v>
      </c>
      <c r="E94" s="10" t="str">
        <f t="shared" si="5"/>
        <v>Fail</v>
      </c>
      <c r="F94" s="10" t="str">
        <f t="shared" si="6"/>
        <v>F</v>
      </c>
      <c r="G94" s="11">
        <f t="shared" si="7"/>
        <v>0</v>
      </c>
    </row>
    <row r="95" spans="1:7" x14ac:dyDescent="0.35">
      <c r="A95" s="10">
        <f>'Student Basic Info'!A95</f>
        <v>594</v>
      </c>
      <c r="B95" s="3"/>
      <c r="C95" s="3"/>
      <c r="D95" s="15" t="str">
        <f t="shared" si="4"/>
        <v/>
      </c>
      <c r="E95" s="10" t="str">
        <f t="shared" si="5"/>
        <v/>
      </c>
      <c r="F95" s="10" t="str">
        <f t="shared" si="6"/>
        <v/>
      </c>
      <c r="G95" s="11" t="str">
        <f t="shared" si="7"/>
        <v/>
      </c>
    </row>
    <row r="96" spans="1:7" x14ac:dyDescent="0.35">
      <c r="A96" s="10">
        <f>'Student Basic Info'!A96</f>
        <v>595</v>
      </c>
      <c r="B96" s="3"/>
      <c r="C96" s="3"/>
      <c r="D96" s="15" t="str">
        <f t="shared" si="4"/>
        <v/>
      </c>
      <c r="E96" s="10" t="str">
        <f t="shared" si="5"/>
        <v/>
      </c>
      <c r="F96" s="10" t="str">
        <f t="shared" si="6"/>
        <v/>
      </c>
      <c r="G96" s="11" t="str">
        <f t="shared" si="7"/>
        <v/>
      </c>
    </row>
    <row r="97" spans="1:7" x14ac:dyDescent="0.35">
      <c r="A97" s="10">
        <f>'Student Basic Info'!A97</f>
        <v>596</v>
      </c>
      <c r="B97" s="3"/>
      <c r="C97" s="3"/>
      <c r="D97" s="15" t="str">
        <f t="shared" si="4"/>
        <v/>
      </c>
      <c r="E97" s="10" t="str">
        <f t="shared" si="5"/>
        <v/>
      </c>
      <c r="F97" s="10" t="str">
        <f t="shared" si="6"/>
        <v/>
      </c>
      <c r="G97" s="11" t="str">
        <f t="shared" si="7"/>
        <v/>
      </c>
    </row>
    <row r="98" spans="1:7" x14ac:dyDescent="0.35">
      <c r="A98" s="10">
        <f>'Student Basic Info'!A98</f>
        <v>597</v>
      </c>
      <c r="B98" s="3"/>
      <c r="C98" s="3"/>
      <c r="D98" s="15" t="str">
        <f t="shared" si="4"/>
        <v/>
      </c>
      <c r="E98" s="10" t="str">
        <f t="shared" si="5"/>
        <v/>
      </c>
      <c r="F98" s="10" t="str">
        <f t="shared" si="6"/>
        <v/>
      </c>
      <c r="G98" s="11" t="str">
        <f t="shared" si="7"/>
        <v/>
      </c>
    </row>
    <row r="99" spans="1:7" x14ac:dyDescent="0.35">
      <c r="A99" s="10">
        <f>'Student Basic Info'!A99</f>
        <v>598</v>
      </c>
      <c r="B99" s="3"/>
      <c r="C99" s="3"/>
      <c r="D99" s="15" t="str">
        <f t="shared" si="4"/>
        <v/>
      </c>
      <c r="E99" s="10" t="str">
        <f t="shared" si="5"/>
        <v/>
      </c>
      <c r="F99" s="10" t="str">
        <f t="shared" si="6"/>
        <v/>
      </c>
      <c r="G99" s="11" t="str">
        <f t="shared" si="7"/>
        <v/>
      </c>
    </row>
    <row r="100" spans="1:7" x14ac:dyDescent="0.35">
      <c r="A100" s="10">
        <f>'Student Basic Info'!A100</f>
        <v>599</v>
      </c>
      <c r="B100" s="3"/>
      <c r="C100" s="3"/>
      <c r="D100" s="15" t="str">
        <f t="shared" si="4"/>
        <v/>
      </c>
      <c r="E100" s="10" t="str">
        <f t="shared" si="5"/>
        <v/>
      </c>
      <c r="F100" s="10" t="str">
        <f t="shared" si="6"/>
        <v/>
      </c>
      <c r="G100" s="11" t="str">
        <f t="shared" si="7"/>
        <v/>
      </c>
    </row>
    <row r="101" spans="1:7" x14ac:dyDescent="0.35">
      <c r="A101" s="10">
        <f>'Student Basic Info'!A101</f>
        <v>600</v>
      </c>
      <c r="B101" s="3">
        <v>10</v>
      </c>
      <c r="C101" s="3">
        <v>3</v>
      </c>
      <c r="D101" s="15">
        <f t="shared" si="4"/>
        <v>13</v>
      </c>
      <c r="E101" s="10" t="str">
        <f t="shared" si="5"/>
        <v>Fail</v>
      </c>
      <c r="F101" s="10" t="str">
        <f t="shared" si="6"/>
        <v>F</v>
      </c>
      <c r="G101" s="11">
        <f t="shared" si="7"/>
        <v>0</v>
      </c>
    </row>
    <row r="102" spans="1:7" x14ac:dyDescent="0.35">
      <c r="A102" s="10">
        <f>'Student Basic Info'!A102</f>
        <v>601</v>
      </c>
      <c r="B102" s="3">
        <v>18</v>
      </c>
      <c r="C102" s="3">
        <v>7</v>
      </c>
      <c r="D102" s="15">
        <f t="shared" si="4"/>
        <v>25</v>
      </c>
      <c r="E102" s="10" t="str">
        <f t="shared" si="5"/>
        <v>Fail</v>
      </c>
      <c r="F102" s="10" t="str">
        <f t="shared" si="6"/>
        <v>F</v>
      </c>
      <c r="G102" s="11">
        <f t="shared" si="7"/>
        <v>0</v>
      </c>
    </row>
    <row r="103" spans="1:7" x14ac:dyDescent="0.35">
      <c r="A103" s="10">
        <f>'Student Basic Info'!A103</f>
        <v>602</v>
      </c>
      <c r="B103" s="3"/>
      <c r="C103" s="3"/>
      <c r="D103" s="15" t="str">
        <f t="shared" si="4"/>
        <v/>
      </c>
      <c r="E103" s="10" t="str">
        <f t="shared" si="5"/>
        <v/>
      </c>
      <c r="F103" s="10" t="str">
        <f t="shared" si="6"/>
        <v/>
      </c>
      <c r="G103" s="11" t="str">
        <f t="shared" si="7"/>
        <v/>
      </c>
    </row>
    <row r="104" spans="1:7" x14ac:dyDescent="0.35">
      <c r="A104" s="10">
        <f>'Student Basic Info'!A104</f>
        <v>603</v>
      </c>
      <c r="B104" s="3"/>
      <c r="C104" s="3"/>
      <c r="D104" s="15" t="str">
        <f t="shared" si="4"/>
        <v/>
      </c>
      <c r="E104" s="10" t="str">
        <f t="shared" si="5"/>
        <v/>
      </c>
      <c r="F104" s="10" t="str">
        <f t="shared" si="6"/>
        <v/>
      </c>
      <c r="G104" s="11" t="str">
        <f t="shared" si="7"/>
        <v/>
      </c>
    </row>
    <row r="105" spans="1:7" x14ac:dyDescent="0.35">
      <c r="A105" s="10">
        <f>'Student Basic Info'!A105</f>
        <v>604</v>
      </c>
      <c r="B105" s="3"/>
      <c r="C105" s="3"/>
      <c r="D105" s="15" t="str">
        <f t="shared" si="4"/>
        <v/>
      </c>
      <c r="E105" s="10" t="str">
        <f t="shared" si="5"/>
        <v/>
      </c>
      <c r="F105" s="10" t="str">
        <f t="shared" si="6"/>
        <v/>
      </c>
      <c r="G105" s="11" t="str">
        <f t="shared" si="7"/>
        <v/>
      </c>
    </row>
    <row r="106" spans="1:7" x14ac:dyDescent="0.35">
      <c r="A106" s="10">
        <f>'Student Basic Info'!A106</f>
        <v>605</v>
      </c>
      <c r="B106" s="3">
        <v>17</v>
      </c>
      <c r="C106" s="3">
        <v>16</v>
      </c>
      <c r="D106" s="15">
        <f t="shared" si="4"/>
        <v>33</v>
      </c>
      <c r="E106" s="10" t="str">
        <f t="shared" si="5"/>
        <v>Fail</v>
      </c>
      <c r="F106" s="10" t="str">
        <f t="shared" si="6"/>
        <v>F</v>
      </c>
      <c r="G106" s="11">
        <f t="shared" si="7"/>
        <v>0</v>
      </c>
    </row>
    <row r="107" spans="1:7" x14ac:dyDescent="0.35">
      <c r="A107" s="10">
        <f>'Student Basic Info'!A107</f>
        <v>606</v>
      </c>
      <c r="B107" s="3">
        <v>10</v>
      </c>
      <c r="C107" s="3">
        <v>9</v>
      </c>
      <c r="D107" s="15">
        <f t="shared" si="4"/>
        <v>19</v>
      </c>
      <c r="E107" s="10" t="str">
        <f t="shared" si="5"/>
        <v>Fail</v>
      </c>
      <c r="F107" s="10" t="str">
        <f t="shared" si="6"/>
        <v>F</v>
      </c>
      <c r="G107" s="11">
        <f t="shared" si="7"/>
        <v>0</v>
      </c>
    </row>
    <row r="108" spans="1:7" x14ac:dyDescent="0.35">
      <c r="A108" s="10">
        <f>'Student Basic Info'!A108</f>
        <v>607</v>
      </c>
      <c r="B108" s="3">
        <v>12</v>
      </c>
      <c r="C108" s="3">
        <v>6</v>
      </c>
      <c r="D108" s="15">
        <f t="shared" si="4"/>
        <v>18</v>
      </c>
      <c r="E108" s="10" t="str">
        <f t="shared" si="5"/>
        <v>Fail</v>
      </c>
      <c r="F108" s="10" t="str">
        <f t="shared" si="6"/>
        <v>F</v>
      </c>
      <c r="G108" s="11">
        <f t="shared" si="7"/>
        <v>0</v>
      </c>
    </row>
    <row r="109" spans="1:7" x14ac:dyDescent="0.35">
      <c r="A109" s="10">
        <f>'Student Basic Info'!A109</f>
        <v>608</v>
      </c>
      <c r="B109" s="3">
        <v>18</v>
      </c>
      <c r="C109" s="3">
        <v>19</v>
      </c>
      <c r="D109" s="15">
        <f t="shared" si="4"/>
        <v>37</v>
      </c>
      <c r="E109" s="10" t="str">
        <f t="shared" si="5"/>
        <v>Fail</v>
      </c>
      <c r="F109" s="10" t="str">
        <f t="shared" si="6"/>
        <v>F</v>
      </c>
      <c r="G109" s="11">
        <f t="shared" si="7"/>
        <v>0</v>
      </c>
    </row>
    <row r="110" spans="1:7" x14ac:dyDescent="0.35">
      <c r="A110" s="10">
        <f>'Student Basic Info'!A110</f>
        <v>609</v>
      </c>
      <c r="B110" s="3">
        <v>10</v>
      </c>
      <c r="C110" s="3">
        <v>16</v>
      </c>
      <c r="D110" s="15">
        <f t="shared" si="4"/>
        <v>26</v>
      </c>
      <c r="E110" s="10" t="str">
        <f t="shared" si="5"/>
        <v>Fail</v>
      </c>
      <c r="F110" s="10" t="str">
        <f t="shared" si="6"/>
        <v>F</v>
      </c>
      <c r="G110" s="11">
        <f t="shared" si="7"/>
        <v>0</v>
      </c>
    </row>
    <row r="111" spans="1:7" x14ac:dyDescent="0.35">
      <c r="A111" s="10">
        <f>'Student Basic Info'!A111</f>
        <v>610</v>
      </c>
      <c r="B111" s="3"/>
      <c r="C111" s="3"/>
      <c r="D111" s="15" t="str">
        <f t="shared" si="4"/>
        <v/>
      </c>
      <c r="E111" s="10" t="str">
        <f t="shared" si="5"/>
        <v/>
      </c>
      <c r="F111" s="10" t="str">
        <f t="shared" si="6"/>
        <v/>
      </c>
      <c r="G111" s="11" t="str">
        <f t="shared" si="7"/>
        <v/>
      </c>
    </row>
    <row r="112" spans="1:7" x14ac:dyDescent="0.35">
      <c r="A112" s="10">
        <f>'Student Basic Info'!A112</f>
        <v>611</v>
      </c>
      <c r="B112" s="3">
        <v>12</v>
      </c>
      <c r="C112" s="3">
        <v>23</v>
      </c>
      <c r="D112" s="15">
        <f t="shared" si="4"/>
        <v>35</v>
      </c>
      <c r="E112" s="10" t="str">
        <f t="shared" si="5"/>
        <v>Pass</v>
      </c>
      <c r="F112" s="10" t="str">
        <f t="shared" si="6"/>
        <v>D</v>
      </c>
      <c r="G112" s="11">
        <f t="shared" si="7"/>
        <v>1</v>
      </c>
    </row>
    <row r="113" spans="1:7" x14ac:dyDescent="0.35">
      <c r="A113" s="10">
        <f>'Student Basic Info'!A113</f>
        <v>612</v>
      </c>
      <c r="B113" s="3">
        <v>18</v>
      </c>
      <c r="C113" s="3">
        <v>25</v>
      </c>
      <c r="D113" s="15">
        <f t="shared" si="4"/>
        <v>43</v>
      </c>
      <c r="E113" s="10" t="str">
        <f t="shared" si="5"/>
        <v>Pass</v>
      </c>
      <c r="F113" s="10" t="str">
        <f t="shared" si="6"/>
        <v>C</v>
      </c>
      <c r="G113" s="11">
        <f t="shared" si="7"/>
        <v>2</v>
      </c>
    </row>
    <row r="114" spans="1:7" x14ac:dyDescent="0.35">
      <c r="A114" s="10">
        <f>'Student Basic Info'!A114</f>
        <v>613</v>
      </c>
      <c r="B114" s="3"/>
      <c r="C114" s="3"/>
      <c r="D114" s="15" t="str">
        <f t="shared" si="4"/>
        <v/>
      </c>
      <c r="E114" s="10" t="str">
        <f t="shared" si="5"/>
        <v/>
      </c>
      <c r="F114" s="10" t="str">
        <f t="shared" si="6"/>
        <v/>
      </c>
      <c r="G114" s="11" t="str">
        <f t="shared" si="7"/>
        <v/>
      </c>
    </row>
    <row r="115" spans="1:7" x14ac:dyDescent="0.35">
      <c r="A115" s="10">
        <f>'Student Basic Info'!A115</f>
        <v>614</v>
      </c>
      <c r="B115" s="3">
        <v>23</v>
      </c>
      <c r="C115" s="3">
        <v>24</v>
      </c>
      <c r="D115" s="15">
        <f t="shared" si="4"/>
        <v>47</v>
      </c>
      <c r="E115" s="10" t="str">
        <f t="shared" si="5"/>
        <v>Pass</v>
      </c>
      <c r="F115" s="10" t="str">
        <f t="shared" si="6"/>
        <v>C</v>
      </c>
      <c r="G115" s="11">
        <f t="shared" si="7"/>
        <v>2</v>
      </c>
    </row>
    <row r="116" spans="1:7" x14ac:dyDescent="0.35">
      <c r="A116" s="10">
        <f>'Student Basic Info'!A116</f>
        <v>615</v>
      </c>
      <c r="B116" s="3">
        <v>14</v>
      </c>
      <c r="C116" s="3">
        <v>17</v>
      </c>
      <c r="D116" s="15">
        <f t="shared" si="4"/>
        <v>31</v>
      </c>
      <c r="E116" s="10" t="str">
        <f t="shared" si="5"/>
        <v>Fail</v>
      </c>
      <c r="F116" s="10" t="str">
        <f t="shared" si="6"/>
        <v>F</v>
      </c>
      <c r="G116" s="11">
        <f t="shared" si="7"/>
        <v>0</v>
      </c>
    </row>
    <row r="117" spans="1:7" x14ac:dyDescent="0.35">
      <c r="A117" s="10">
        <f>'Student Basic Info'!A117</f>
        <v>616</v>
      </c>
      <c r="B117" s="3"/>
      <c r="C117" s="3"/>
      <c r="D117" s="15" t="str">
        <f t="shared" si="4"/>
        <v/>
      </c>
      <c r="E117" s="10" t="str">
        <f t="shared" si="5"/>
        <v/>
      </c>
      <c r="F117" s="10" t="str">
        <f t="shared" si="6"/>
        <v/>
      </c>
      <c r="G117" s="11" t="str">
        <f t="shared" si="7"/>
        <v/>
      </c>
    </row>
    <row r="118" spans="1:7" x14ac:dyDescent="0.35">
      <c r="A118" s="10">
        <f>'Student Basic Info'!A118</f>
        <v>617</v>
      </c>
      <c r="B118" s="3"/>
      <c r="C118" s="3"/>
      <c r="D118" s="15" t="str">
        <f t="shared" si="4"/>
        <v/>
      </c>
      <c r="E118" s="10" t="str">
        <f t="shared" si="5"/>
        <v/>
      </c>
      <c r="F118" s="10" t="str">
        <f t="shared" si="6"/>
        <v/>
      </c>
      <c r="G118" s="11" t="str">
        <f t="shared" si="7"/>
        <v/>
      </c>
    </row>
    <row r="119" spans="1:7" x14ac:dyDescent="0.35">
      <c r="A119" s="10">
        <f>'Student Basic Info'!A119</f>
        <v>618</v>
      </c>
      <c r="B119" s="3"/>
      <c r="C119" s="3"/>
      <c r="D119" s="15" t="str">
        <f t="shared" si="4"/>
        <v/>
      </c>
      <c r="E119" s="10" t="str">
        <f t="shared" si="5"/>
        <v/>
      </c>
      <c r="F119" s="10" t="str">
        <f t="shared" si="6"/>
        <v/>
      </c>
      <c r="G119" s="11" t="str">
        <f t="shared" si="7"/>
        <v/>
      </c>
    </row>
    <row r="120" spans="1:7" x14ac:dyDescent="0.35">
      <c r="A120" s="10">
        <f>'Student Basic Info'!A120</f>
        <v>619</v>
      </c>
      <c r="B120" s="3"/>
      <c r="C120" s="3"/>
      <c r="D120" s="15" t="str">
        <f t="shared" si="4"/>
        <v/>
      </c>
      <c r="E120" s="10" t="str">
        <f t="shared" si="5"/>
        <v/>
      </c>
      <c r="F120" s="10" t="str">
        <f t="shared" si="6"/>
        <v/>
      </c>
      <c r="G120" s="11" t="str">
        <f t="shared" si="7"/>
        <v/>
      </c>
    </row>
    <row r="121" spans="1:7" x14ac:dyDescent="0.35">
      <c r="A121" s="10">
        <f>'Student Basic Info'!A121</f>
        <v>620</v>
      </c>
      <c r="B121" s="3"/>
      <c r="C121" s="3"/>
      <c r="D121" s="15" t="str">
        <f t="shared" si="4"/>
        <v/>
      </c>
      <c r="E121" s="10" t="str">
        <f t="shared" si="5"/>
        <v/>
      </c>
      <c r="F121" s="10" t="str">
        <f t="shared" si="6"/>
        <v/>
      </c>
      <c r="G121" s="11" t="str">
        <f t="shared" si="7"/>
        <v/>
      </c>
    </row>
    <row r="122" spans="1:7" x14ac:dyDescent="0.35">
      <c r="A122" s="10">
        <f>'Student Basic Info'!A122</f>
        <v>621</v>
      </c>
      <c r="B122" s="3">
        <v>18</v>
      </c>
      <c r="C122" s="3">
        <v>9</v>
      </c>
      <c r="D122" s="15">
        <f t="shared" si="4"/>
        <v>27</v>
      </c>
      <c r="E122" s="10" t="str">
        <f t="shared" si="5"/>
        <v>Fail</v>
      </c>
      <c r="F122" s="10" t="str">
        <f t="shared" si="6"/>
        <v>F</v>
      </c>
      <c r="G122" s="11">
        <f t="shared" si="7"/>
        <v>0</v>
      </c>
    </row>
    <row r="123" spans="1:7" x14ac:dyDescent="0.35">
      <c r="A123" s="10">
        <f>'Student Basic Info'!A123</f>
        <v>622</v>
      </c>
      <c r="B123" s="3">
        <v>15</v>
      </c>
      <c r="C123" s="3">
        <v>18</v>
      </c>
      <c r="D123" s="15">
        <f t="shared" si="4"/>
        <v>33</v>
      </c>
      <c r="E123" s="10" t="str">
        <f t="shared" si="5"/>
        <v>Fail</v>
      </c>
      <c r="F123" s="10" t="str">
        <f t="shared" si="6"/>
        <v>F</v>
      </c>
      <c r="G123" s="11">
        <f t="shared" si="7"/>
        <v>0</v>
      </c>
    </row>
    <row r="124" spans="1:7" x14ac:dyDescent="0.35">
      <c r="A124" s="10">
        <f>'Student Basic Info'!A124</f>
        <v>623</v>
      </c>
      <c r="B124" s="3"/>
      <c r="C124" s="3"/>
      <c r="D124" s="15" t="str">
        <f t="shared" si="4"/>
        <v/>
      </c>
      <c r="E124" s="10" t="str">
        <f t="shared" si="5"/>
        <v/>
      </c>
      <c r="F124" s="10" t="str">
        <f t="shared" si="6"/>
        <v/>
      </c>
      <c r="G124" s="11" t="str">
        <f t="shared" si="7"/>
        <v/>
      </c>
    </row>
    <row r="125" spans="1:7" x14ac:dyDescent="0.35">
      <c r="A125" s="10">
        <f>'Student Basic Info'!A125</f>
        <v>624</v>
      </c>
      <c r="B125" s="3"/>
      <c r="C125" s="3"/>
      <c r="D125" s="15" t="str">
        <f t="shared" si="4"/>
        <v/>
      </c>
      <c r="E125" s="10" t="str">
        <f t="shared" si="5"/>
        <v/>
      </c>
      <c r="F125" s="10" t="str">
        <f t="shared" si="6"/>
        <v/>
      </c>
      <c r="G125" s="11" t="str">
        <f t="shared" si="7"/>
        <v/>
      </c>
    </row>
    <row r="126" spans="1:7" x14ac:dyDescent="0.35">
      <c r="A126" s="10">
        <f>'Student Basic Info'!A126</f>
        <v>625</v>
      </c>
      <c r="B126" s="3"/>
      <c r="C126" s="3"/>
      <c r="D126" s="15" t="str">
        <f t="shared" si="4"/>
        <v/>
      </c>
      <c r="E126" s="10" t="str">
        <f t="shared" si="5"/>
        <v/>
      </c>
      <c r="F126" s="10" t="str">
        <f t="shared" si="6"/>
        <v/>
      </c>
      <c r="G126" s="11" t="str">
        <f t="shared" si="7"/>
        <v/>
      </c>
    </row>
    <row r="127" spans="1:7" x14ac:dyDescent="0.35">
      <c r="A127" s="10">
        <f>'Student Basic Info'!A127</f>
        <v>626</v>
      </c>
      <c r="B127" s="3"/>
      <c r="C127" s="3"/>
      <c r="D127" s="15" t="str">
        <f t="shared" si="4"/>
        <v/>
      </c>
      <c r="E127" s="10" t="str">
        <f t="shared" si="5"/>
        <v/>
      </c>
      <c r="F127" s="10" t="str">
        <f t="shared" si="6"/>
        <v/>
      </c>
      <c r="G127" s="11" t="str">
        <f t="shared" si="7"/>
        <v/>
      </c>
    </row>
    <row r="128" spans="1:7" x14ac:dyDescent="0.35">
      <c r="A128" s="10">
        <f>'Student Basic Info'!A128</f>
        <v>627</v>
      </c>
      <c r="B128" s="3"/>
      <c r="C128" s="3"/>
      <c r="D128" s="15" t="str">
        <f t="shared" si="4"/>
        <v/>
      </c>
      <c r="E128" s="10" t="str">
        <f t="shared" si="5"/>
        <v/>
      </c>
      <c r="F128" s="10" t="str">
        <f t="shared" si="6"/>
        <v/>
      </c>
      <c r="G128" s="11" t="str">
        <f t="shared" si="7"/>
        <v/>
      </c>
    </row>
    <row r="129" spans="1:7" x14ac:dyDescent="0.35">
      <c r="A129" s="10">
        <f>'Student Basic Info'!A129</f>
        <v>628</v>
      </c>
      <c r="B129" s="3"/>
      <c r="C129" s="3"/>
      <c r="D129" s="15" t="str">
        <f t="shared" si="4"/>
        <v/>
      </c>
      <c r="E129" s="10" t="str">
        <f t="shared" si="5"/>
        <v/>
      </c>
      <c r="F129" s="10" t="str">
        <f t="shared" si="6"/>
        <v/>
      </c>
      <c r="G129" s="11" t="str">
        <f t="shared" si="7"/>
        <v/>
      </c>
    </row>
    <row r="130" spans="1:7" x14ac:dyDescent="0.35">
      <c r="A130" s="10">
        <f>'Student Basic Info'!A130</f>
        <v>629</v>
      </c>
      <c r="B130" s="3"/>
      <c r="C130" s="3"/>
      <c r="D130" s="15" t="str">
        <f t="shared" si="4"/>
        <v/>
      </c>
      <c r="E130" s="10" t="str">
        <f t="shared" si="5"/>
        <v/>
      </c>
      <c r="F130" s="10" t="str">
        <f t="shared" si="6"/>
        <v/>
      </c>
      <c r="G130" s="11" t="str">
        <f t="shared" si="7"/>
        <v/>
      </c>
    </row>
    <row r="131" spans="1:7" x14ac:dyDescent="0.35">
      <c r="A131" s="10">
        <f>'Student Basic Info'!A131</f>
        <v>630</v>
      </c>
      <c r="B131" s="3"/>
      <c r="C131" s="3"/>
      <c r="D131" s="15" t="str">
        <f t="shared" si="4"/>
        <v/>
      </c>
      <c r="E131" s="10" t="str">
        <f t="shared" si="5"/>
        <v/>
      </c>
      <c r="F131" s="10" t="str">
        <f t="shared" si="6"/>
        <v/>
      </c>
      <c r="G131" s="11" t="str">
        <f t="shared" si="7"/>
        <v/>
      </c>
    </row>
    <row r="132" spans="1:7" x14ac:dyDescent="0.35">
      <c r="A132" s="10">
        <f>'Student Basic Info'!A132</f>
        <v>631</v>
      </c>
      <c r="B132" s="3"/>
      <c r="C132" s="3"/>
      <c r="D132" s="15" t="str">
        <f t="shared" ref="D132:D147" si="8">IF(B132+C132=0, "", B132+C132)</f>
        <v/>
      </c>
      <c r="E132" s="10" t="str">
        <f t="shared" ref="E132:E147" si="9">IF(D132="","", IF(AND(B132 &gt;=10,C132&gt;=23),"Pass","Fail"))</f>
        <v/>
      </c>
      <c r="F132" s="10" t="str">
        <f t="shared" ref="F132:F147" si="10">(IF(D132="","",IF(E132="Fail","F",IF(D132&gt;=80,"A+",IF(D132&gt;=70,"A",IF(D132&gt;=60,"A-",IF(D132&gt;=50,"B",IF(D132&gt;=40,"C",IF(D132&gt;=33,"D","F")))))))))</f>
        <v/>
      </c>
      <c r="G132" s="11" t="str">
        <f t="shared" ref="G132:G147" si="11">(IF(D132="","",IF(F132="F",0,IF(D132&gt;=80,5,IF(D132&gt;=70,4,IF(D132&gt;=60,3.5,IF(D132&gt;=50,3,IF(D132&gt;=40,2,IF(D132&gt;=33,1,0)))))))))</f>
        <v/>
      </c>
    </row>
    <row r="133" spans="1:7" x14ac:dyDescent="0.35">
      <c r="A133" s="10">
        <f>'Student Basic Info'!A133</f>
        <v>632</v>
      </c>
      <c r="B133" s="3"/>
      <c r="C133" s="3"/>
      <c r="D133" s="15" t="str">
        <f t="shared" si="8"/>
        <v/>
      </c>
      <c r="E133" s="10" t="str">
        <f t="shared" si="9"/>
        <v/>
      </c>
      <c r="F133" s="10" t="str">
        <f t="shared" si="10"/>
        <v/>
      </c>
      <c r="G133" s="11" t="str">
        <f t="shared" si="11"/>
        <v/>
      </c>
    </row>
    <row r="134" spans="1:7" x14ac:dyDescent="0.35">
      <c r="A134" s="10">
        <f>'Student Basic Info'!A134</f>
        <v>633</v>
      </c>
      <c r="B134" s="3"/>
      <c r="C134" s="3"/>
      <c r="D134" s="15" t="str">
        <f t="shared" si="8"/>
        <v/>
      </c>
      <c r="E134" s="10" t="str">
        <f t="shared" si="9"/>
        <v/>
      </c>
      <c r="F134" s="10" t="str">
        <f t="shared" si="10"/>
        <v/>
      </c>
      <c r="G134" s="11" t="str">
        <f t="shared" si="11"/>
        <v/>
      </c>
    </row>
    <row r="135" spans="1:7" x14ac:dyDescent="0.35">
      <c r="A135" s="10">
        <f>'Student Basic Info'!A135</f>
        <v>634</v>
      </c>
      <c r="B135" s="3"/>
      <c r="C135" s="3"/>
      <c r="D135" s="15" t="str">
        <f t="shared" si="8"/>
        <v/>
      </c>
      <c r="E135" s="10" t="str">
        <f t="shared" si="9"/>
        <v/>
      </c>
      <c r="F135" s="10" t="str">
        <f t="shared" si="10"/>
        <v/>
      </c>
      <c r="G135" s="11" t="str">
        <f t="shared" si="11"/>
        <v/>
      </c>
    </row>
    <row r="136" spans="1:7" x14ac:dyDescent="0.35">
      <c r="A136" s="10">
        <f>'Student Basic Info'!A136</f>
        <v>635</v>
      </c>
      <c r="B136" s="3"/>
      <c r="C136" s="3"/>
      <c r="D136" s="15" t="str">
        <f t="shared" si="8"/>
        <v/>
      </c>
      <c r="E136" s="10" t="str">
        <f t="shared" si="9"/>
        <v/>
      </c>
      <c r="F136" s="10" t="str">
        <f t="shared" si="10"/>
        <v/>
      </c>
      <c r="G136" s="11" t="str">
        <f t="shared" si="11"/>
        <v/>
      </c>
    </row>
    <row r="137" spans="1:7" x14ac:dyDescent="0.35">
      <c r="A137" s="10">
        <f>'Student Basic Info'!A137</f>
        <v>636</v>
      </c>
      <c r="B137" s="3"/>
      <c r="C137" s="3"/>
      <c r="D137" s="15" t="str">
        <f t="shared" si="8"/>
        <v/>
      </c>
      <c r="E137" s="10" t="str">
        <f t="shared" si="9"/>
        <v/>
      </c>
      <c r="F137" s="10" t="str">
        <f t="shared" si="10"/>
        <v/>
      </c>
      <c r="G137" s="11" t="str">
        <f t="shared" si="11"/>
        <v/>
      </c>
    </row>
    <row r="138" spans="1:7" x14ac:dyDescent="0.35">
      <c r="A138" s="10">
        <f>'Student Basic Info'!A138</f>
        <v>637</v>
      </c>
      <c r="B138" s="3">
        <v>13</v>
      </c>
      <c r="C138" s="3">
        <v>14</v>
      </c>
      <c r="D138" s="15">
        <f t="shared" si="8"/>
        <v>27</v>
      </c>
      <c r="E138" s="10" t="str">
        <f t="shared" si="9"/>
        <v>Fail</v>
      </c>
      <c r="F138" s="10" t="str">
        <f t="shared" si="10"/>
        <v>F</v>
      </c>
      <c r="G138" s="11">
        <f t="shared" si="11"/>
        <v>0</v>
      </c>
    </row>
    <row r="139" spans="1:7" x14ac:dyDescent="0.35">
      <c r="A139" s="10">
        <f>'Student Basic Info'!A139</f>
        <v>638</v>
      </c>
      <c r="B139" s="3">
        <v>12</v>
      </c>
      <c r="C139" s="3">
        <v>9</v>
      </c>
      <c r="D139" s="15">
        <f t="shared" si="8"/>
        <v>21</v>
      </c>
      <c r="E139" s="10" t="str">
        <f t="shared" si="9"/>
        <v>Fail</v>
      </c>
      <c r="F139" s="10" t="str">
        <f t="shared" si="10"/>
        <v>F</v>
      </c>
      <c r="G139" s="11">
        <f t="shared" si="11"/>
        <v>0</v>
      </c>
    </row>
    <row r="140" spans="1:7" x14ac:dyDescent="0.35">
      <c r="A140" s="10">
        <f>'Student Basic Info'!A140</f>
        <v>639</v>
      </c>
      <c r="B140" s="3"/>
      <c r="C140" s="3"/>
      <c r="D140" s="15" t="str">
        <f t="shared" si="8"/>
        <v/>
      </c>
      <c r="E140" s="10" t="str">
        <f t="shared" si="9"/>
        <v/>
      </c>
      <c r="F140" s="10" t="str">
        <f t="shared" si="10"/>
        <v/>
      </c>
      <c r="G140" s="11" t="str">
        <f t="shared" si="11"/>
        <v/>
      </c>
    </row>
    <row r="141" spans="1:7" x14ac:dyDescent="0.35">
      <c r="A141" s="10">
        <f>'Student Basic Info'!A141</f>
        <v>640</v>
      </c>
      <c r="B141" s="3"/>
      <c r="C141" s="3"/>
      <c r="D141" s="15" t="str">
        <f t="shared" si="8"/>
        <v/>
      </c>
      <c r="E141" s="10" t="str">
        <f t="shared" si="9"/>
        <v/>
      </c>
      <c r="F141" s="10" t="str">
        <f t="shared" si="10"/>
        <v/>
      </c>
      <c r="G141" s="11" t="str">
        <f t="shared" si="11"/>
        <v/>
      </c>
    </row>
    <row r="142" spans="1:7" x14ac:dyDescent="0.35">
      <c r="A142" s="10">
        <f>'Student Basic Info'!A142</f>
        <v>641</v>
      </c>
      <c r="B142" s="3">
        <v>13</v>
      </c>
      <c r="C142" s="3">
        <v>6</v>
      </c>
      <c r="D142" s="15">
        <f t="shared" si="8"/>
        <v>19</v>
      </c>
      <c r="E142" s="10" t="str">
        <f t="shared" si="9"/>
        <v>Fail</v>
      </c>
      <c r="F142" s="10" t="str">
        <f t="shared" si="10"/>
        <v>F</v>
      </c>
      <c r="G142" s="11">
        <f t="shared" si="11"/>
        <v>0</v>
      </c>
    </row>
    <row r="143" spans="1:7" x14ac:dyDescent="0.35">
      <c r="A143" s="10">
        <f>'Student Basic Info'!A143</f>
        <v>642</v>
      </c>
      <c r="B143" s="3">
        <v>17</v>
      </c>
      <c r="C143" s="3">
        <v>24</v>
      </c>
      <c r="D143" s="15">
        <f t="shared" si="8"/>
        <v>41</v>
      </c>
      <c r="E143" s="10" t="str">
        <f t="shared" si="9"/>
        <v>Pass</v>
      </c>
      <c r="F143" s="10" t="str">
        <f t="shared" si="10"/>
        <v>C</v>
      </c>
      <c r="G143" s="11">
        <f t="shared" si="11"/>
        <v>2</v>
      </c>
    </row>
    <row r="144" spans="1:7" x14ac:dyDescent="0.35">
      <c r="A144" s="10">
        <f>'Student Basic Info'!A144</f>
        <v>643</v>
      </c>
      <c r="B144" s="3"/>
      <c r="C144" s="126"/>
      <c r="D144" s="15" t="str">
        <f t="shared" si="8"/>
        <v/>
      </c>
      <c r="E144" s="10" t="str">
        <f t="shared" si="9"/>
        <v/>
      </c>
      <c r="F144" s="10" t="str">
        <f t="shared" si="10"/>
        <v/>
      </c>
      <c r="G144" s="11" t="str">
        <f t="shared" si="11"/>
        <v/>
      </c>
    </row>
    <row r="145" spans="1:7" x14ac:dyDescent="0.35">
      <c r="A145" s="10">
        <f>'Student Basic Info'!A145</f>
        <v>644</v>
      </c>
      <c r="B145" s="3">
        <v>17</v>
      </c>
      <c r="C145" s="3">
        <v>7</v>
      </c>
      <c r="D145" s="15">
        <f t="shared" si="8"/>
        <v>24</v>
      </c>
      <c r="E145" s="10" t="str">
        <f t="shared" si="9"/>
        <v>Fail</v>
      </c>
      <c r="F145" s="10" t="str">
        <f t="shared" si="10"/>
        <v>F</v>
      </c>
      <c r="G145" s="11">
        <f t="shared" si="11"/>
        <v>0</v>
      </c>
    </row>
    <row r="146" spans="1:7" x14ac:dyDescent="0.35">
      <c r="A146" s="14">
        <v>1718</v>
      </c>
      <c r="B146" s="1">
        <v>14</v>
      </c>
      <c r="C146" s="1">
        <v>15</v>
      </c>
      <c r="D146" s="14">
        <f t="shared" si="8"/>
        <v>29</v>
      </c>
      <c r="E146" s="14" t="str">
        <f t="shared" si="9"/>
        <v>Fail</v>
      </c>
      <c r="F146" s="14" t="str">
        <f t="shared" si="10"/>
        <v>F</v>
      </c>
      <c r="G146" s="14">
        <f t="shared" si="11"/>
        <v>0</v>
      </c>
    </row>
    <row r="147" spans="1:7" x14ac:dyDescent="0.35">
      <c r="A147" s="14">
        <v>1748</v>
      </c>
      <c r="B147" s="1">
        <v>15</v>
      </c>
      <c r="C147" s="1">
        <v>7</v>
      </c>
      <c r="D147" s="14">
        <f t="shared" si="8"/>
        <v>22</v>
      </c>
      <c r="E147" s="14" t="str">
        <f t="shared" si="9"/>
        <v>Fail</v>
      </c>
      <c r="F147" s="14" t="str">
        <f t="shared" si="10"/>
        <v>F</v>
      </c>
      <c r="G147" s="14">
        <f t="shared" si="11"/>
        <v>0</v>
      </c>
    </row>
  </sheetData>
  <conditionalFormatting sqref="E2:E145">
    <cfRule type="containsText" dxfId="19" priority="1" operator="containsText" text="Fail">
      <formula>NOT(ISERROR(SEARCH("Fail",E2)))</formula>
    </cfRule>
    <cfRule type="containsText" dxfId="18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activeCell="D13" sqref="D13"/>
    </sheetView>
  </sheetViews>
  <sheetFormatPr defaultRowHeight="14.5" x14ac:dyDescent="0.35"/>
  <cols>
    <col min="1" max="1" width="8.7265625" style="14"/>
    <col min="2" max="2" width="10.7265625" style="90" bestFit="1" customWidth="1"/>
    <col min="3" max="3" width="9" style="90" bestFit="1" customWidth="1"/>
    <col min="4" max="4" width="10.81640625" style="14" bestFit="1" customWidth="1"/>
    <col min="5" max="7" width="8.7265625" style="14"/>
  </cols>
  <sheetData>
    <row r="1" spans="1:8" x14ac:dyDescent="0.3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10">
        <f>'Student Basic Info'!A2</f>
        <v>501</v>
      </c>
      <c r="B2" s="3"/>
      <c r="C2" s="3"/>
      <c r="D2" s="15" t="str">
        <f>IF(B2+C2=0, "", B2+C2)</f>
        <v/>
      </c>
      <c r="E2" s="10" t="str">
        <f>IF(D2="","", IF(AND(B2 &gt;=10,C2&gt;=23),"Pass","Fail"))</f>
        <v/>
      </c>
      <c r="F2" s="10" t="str">
        <f>(IF(D2="","",IF(E2="Fail","F",IF(D2&gt;=80,"A+",IF(D2&gt;=70,"A",IF(D2&gt;=60,"A-",IF(D2&gt;=50,"B",IF(D2&gt;=40,"C",IF(D2&gt;=33,"D","F")))))))))</f>
        <v/>
      </c>
      <c r="G2" s="11" t="str">
        <f>(IF(D2="","",IF(F2="F",0,IF(D2&gt;=80,5,IF(D2&gt;=70,4,IF(D2&gt;=60,3.5,IF(D2&gt;=50,3,IF(D2&gt;=40,2,IF(D2&gt;=33,1,0)))))))))</f>
        <v/>
      </c>
    </row>
    <row r="3" spans="1:8" x14ac:dyDescent="0.35">
      <c r="A3" s="10">
        <f>'Student Basic Info'!A3</f>
        <v>502</v>
      </c>
      <c r="B3" s="3"/>
      <c r="C3" s="3"/>
      <c r="D3" s="15" t="str">
        <f t="shared" ref="D3:D66" si="0">IF(B3+C3=0, "", B3+C3)</f>
        <v/>
      </c>
      <c r="E3" s="10" t="str">
        <f t="shared" ref="E3:E66" si="1">IF(D3="","", IF(AND(B3 &gt;=10,C3&gt;=23),"Pass","Fail"))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10">
        <f>'Student Basic Info'!A4</f>
        <v>503</v>
      </c>
      <c r="B4" s="3">
        <v>15</v>
      </c>
      <c r="C4" s="3">
        <v>23</v>
      </c>
      <c r="D4" s="15">
        <f t="shared" si="0"/>
        <v>38</v>
      </c>
      <c r="E4" s="10" t="str">
        <f t="shared" si="1"/>
        <v>Pass</v>
      </c>
      <c r="F4" s="10" t="str">
        <f t="shared" si="2"/>
        <v>D</v>
      </c>
      <c r="G4" s="11">
        <f t="shared" si="3"/>
        <v>1</v>
      </c>
    </row>
    <row r="5" spans="1:8" x14ac:dyDescent="0.35">
      <c r="A5" s="10">
        <f>'Student Basic Info'!A5</f>
        <v>504</v>
      </c>
      <c r="B5" s="3">
        <v>10</v>
      </c>
      <c r="C5" s="3">
        <v>37</v>
      </c>
      <c r="D5" s="15">
        <f t="shared" si="0"/>
        <v>47</v>
      </c>
      <c r="E5" s="10" t="str">
        <f t="shared" si="1"/>
        <v>Pass</v>
      </c>
      <c r="F5" s="10" t="str">
        <f t="shared" si="2"/>
        <v>C</v>
      </c>
      <c r="G5" s="11">
        <f t="shared" si="3"/>
        <v>2</v>
      </c>
    </row>
    <row r="6" spans="1:8" x14ac:dyDescent="0.35">
      <c r="A6" s="10">
        <f>'Student Basic Info'!A6</f>
        <v>505</v>
      </c>
      <c r="B6" s="3"/>
      <c r="C6" s="3"/>
      <c r="D6" s="15" t="str">
        <f t="shared" si="0"/>
        <v/>
      </c>
      <c r="E6" s="10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10">
        <f>'Student Basic Info'!A7</f>
        <v>506</v>
      </c>
      <c r="B7" s="3"/>
      <c r="C7" s="3"/>
      <c r="D7" s="15" t="str">
        <f t="shared" si="0"/>
        <v/>
      </c>
      <c r="E7" s="10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10">
        <f>'Student Basic Info'!A8</f>
        <v>507</v>
      </c>
      <c r="B8" s="3">
        <v>21</v>
      </c>
      <c r="C8" s="3">
        <v>44</v>
      </c>
      <c r="D8" s="15">
        <f t="shared" si="0"/>
        <v>65</v>
      </c>
      <c r="E8" s="10" t="str">
        <f t="shared" si="1"/>
        <v>Pass</v>
      </c>
      <c r="F8" s="10" t="str">
        <f t="shared" si="2"/>
        <v>A-</v>
      </c>
      <c r="G8" s="11">
        <f t="shared" si="3"/>
        <v>3.5</v>
      </c>
    </row>
    <row r="9" spans="1:8" x14ac:dyDescent="0.35">
      <c r="A9" s="10">
        <f>'Student Basic Info'!A9</f>
        <v>508</v>
      </c>
      <c r="B9" s="3">
        <v>14</v>
      </c>
      <c r="C9" s="3">
        <v>45</v>
      </c>
      <c r="D9" s="15">
        <f t="shared" si="0"/>
        <v>59</v>
      </c>
      <c r="E9" s="10" t="str">
        <f t="shared" si="1"/>
        <v>Pass</v>
      </c>
      <c r="F9" s="10" t="str">
        <f t="shared" si="2"/>
        <v>B</v>
      </c>
      <c r="G9" s="11">
        <f t="shared" si="3"/>
        <v>3</v>
      </c>
    </row>
    <row r="10" spans="1:8" x14ac:dyDescent="0.35">
      <c r="A10" s="10">
        <f>'Student Basic Info'!A10</f>
        <v>509</v>
      </c>
      <c r="B10" s="3">
        <v>13</v>
      </c>
      <c r="C10" s="3">
        <v>24</v>
      </c>
      <c r="D10" s="15">
        <f t="shared" si="0"/>
        <v>37</v>
      </c>
      <c r="E10" s="10" t="str">
        <f t="shared" si="1"/>
        <v>Pass</v>
      </c>
      <c r="F10" s="10" t="str">
        <f t="shared" si="2"/>
        <v>D</v>
      </c>
      <c r="G10" s="11">
        <f t="shared" si="3"/>
        <v>1</v>
      </c>
    </row>
    <row r="11" spans="1:8" x14ac:dyDescent="0.35">
      <c r="A11" s="10">
        <f>'Student Basic Info'!A11</f>
        <v>510</v>
      </c>
      <c r="B11" s="3"/>
      <c r="C11" s="3"/>
      <c r="D11" s="15" t="str">
        <f t="shared" si="0"/>
        <v/>
      </c>
      <c r="E11" s="10" t="str">
        <f t="shared" si="1"/>
        <v/>
      </c>
      <c r="F11" s="10" t="str">
        <f t="shared" si="2"/>
        <v/>
      </c>
      <c r="G11" s="11" t="str">
        <f t="shared" si="3"/>
        <v/>
      </c>
    </row>
    <row r="12" spans="1:8" x14ac:dyDescent="0.35">
      <c r="A12" s="10">
        <f>'Student Basic Info'!A12</f>
        <v>511</v>
      </c>
      <c r="B12" s="3">
        <v>13</v>
      </c>
      <c r="C12" s="3">
        <v>25</v>
      </c>
      <c r="D12" s="15">
        <f t="shared" si="0"/>
        <v>38</v>
      </c>
      <c r="E12" s="10" t="str">
        <f t="shared" si="1"/>
        <v>Pass</v>
      </c>
      <c r="F12" s="10" t="str">
        <f t="shared" si="2"/>
        <v>D</v>
      </c>
      <c r="G12" s="11">
        <f t="shared" si="3"/>
        <v>1</v>
      </c>
    </row>
    <row r="13" spans="1:8" x14ac:dyDescent="0.35">
      <c r="A13" s="10">
        <f>'Student Basic Info'!A13</f>
        <v>512</v>
      </c>
      <c r="B13" s="3">
        <v>14</v>
      </c>
      <c r="C13" s="3">
        <v>23</v>
      </c>
      <c r="D13" s="15">
        <f t="shared" si="0"/>
        <v>37</v>
      </c>
      <c r="E13" s="10" t="str">
        <f t="shared" si="1"/>
        <v>Pass</v>
      </c>
      <c r="F13" s="10" t="str">
        <f t="shared" si="2"/>
        <v>D</v>
      </c>
      <c r="G13" s="11">
        <f t="shared" si="3"/>
        <v>1</v>
      </c>
    </row>
    <row r="14" spans="1:8" x14ac:dyDescent="0.35">
      <c r="A14" s="10">
        <f>'Student Basic Info'!A14</f>
        <v>513</v>
      </c>
      <c r="B14" s="3">
        <v>12</v>
      </c>
      <c r="C14" s="3">
        <v>25</v>
      </c>
      <c r="D14" s="15">
        <f t="shared" si="0"/>
        <v>37</v>
      </c>
      <c r="E14" s="10" t="str">
        <f t="shared" si="1"/>
        <v>Pass</v>
      </c>
      <c r="F14" s="10" t="str">
        <f t="shared" si="2"/>
        <v>D</v>
      </c>
      <c r="G14" s="11">
        <f t="shared" si="3"/>
        <v>1</v>
      </c>
    </row>
    <row r="15" spans="1:8" x14ac:dyDescent="0.35">
      <c r="A15" s="10">
        <f>'Student Basic Info'!A15</f>
        <v>514</v>
      </c>
      <c r="B15" s="3"/>
      <c r="C15" s="3"/>
      <c r="D15" s="15" t="str">
        <f t="shared" si="0"/>
        <v/>
      </c>
      <c r="E15" s="10" t="str">
        <f t="shared" si="1"/>
        <v/>
      </c>
      <c r="F15" s="10" t="str">
        <f t="shared" si="2"/>
        <v/>
      </c>
      <c r="G15" s="11" t="str">
        <f t="shared" si="3"/>
        <v/>
      </c>
    </row>
    <row r="16" spans="1:8" x14ac:dyDescent="0.35">
      <c r="A16" s="10">
        <f>'Student Basic Info'!A16</f>
        <v>515</v>
      </c>
      <c r="B16" s="3">
        <v>17</v>
      </c>
      <c r="C16" s="3">
        <v>18</v>
      </c>
      <c r="D16" s="15">
        <f t="shared" si="0"/>
        <v>35</v>
      </c>
      <c r="E16" s="10" t="str">
        <f t="shared" si="1"/>
        <v>Fail</v>
      </c>
      <c r="F16" s="10" t="str">
        <f t="shared" si="2"/>
        <v>F</v>
      </c>
      <c r="G16" s="11">
        <f t="shared" si="3"/>
        <v>0</v>
      </c>
    </row>
    <row r="17" spans="1:7" x14ac:dyDescent="0.35">
      <c r="A17" s="10">
        <f>'Student Basic Info'!A17</f>
        <v>516</v>
      </c>
      <c r="B17" s="3">
        <v>18</v>
      </c>
      <c r="C17" s="3">
        <v>54</v>
      </c>
      <c r="D17" s="15">
        <f t="shared" si="0"/>
        <v>72</v>
      </c>
      <c r="E17" s="10" t="str">
        <f t="shared" si="1"/>
        <v>Pass</v>
      </c>
      <c r="F17" s="10" t="str">
        <f t="shared" si="2"/>
        <v>A</v>
      </c>
      <c r="G17" s="11">
        <f t="shared" si="3"/>
        <v>4</v>
      </c>
    </row>
    <row r="18" spans="1:7" x14ac:dyDescent="0.35">
      <c r="A18" s="10">
        <f>'Student Basic Info'!A18</f>
        <v>517</v>
      </c>
      <c r="B18" s="3"/>
      <c r="C18" s="3"/>
      <c r="D18" s="15" t="str">
        <f t="shared" si="0"/>
        <v/>
      </c>
      <c r="E18" s="10" t="str">
        <f t="shared" si="1"/>
        <v/>
      </c>
      <c r="F18" s="10" t="str">
        <f t="shared" si="2"/>
        <v/>
      </c>
      <c r="G18" s="11" t="str">
        <f t="shared" si="3"/>
        <v/>
      </c>
    </row>
    <row r="19" spans="1:7" x14ac:dyDescent="0.35">
      <c r="A19" s="10">
        <f>'Student Basic Info'!A19</f>
        <v>518</v>
      </c>
      <c r="B19" s="3"/>
      <c r="C19" s="3"/>
      <c r="D19" s="15" t="str">
        <f t="shared" si="0"/>
        <v/>
      </c>
      <c r="E19" s="10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10">
        <f>'Student Basic Info'!A20</f>
        <v>519</v>
      </c>
      <c r="B20" s="3"/>
      <c r="C20" s="3"/>
      <c r="D20" s="15" t="str">
        <f t="shared" si="0"/>
        <v/>
      </c>
      <c r="E20" s="10" t="str">
        <f t="shared" si="1"/>
        <v/>
      </c>
      <c r="F20" s="10" t="str">
        <f t="shared" si="2"/>
        <v/>
      </c>
      <c r="G20" s="11" t="str">
        <f t="shared" si="3"/>
        <v/>
      </c>
    </row>
    <row r="21" spans="1:7" x14ac:dyDescent="0.35">
      <c r="A21" s="10">
        <f>'Student Basic Info'!A21</f>
        <v>520</v>
      </c>
      <c r="B21" s="3">
        <v>11</v>
      </c>
      <c r="C21" s="3">
        <v>25</v>
      </c>
      <c r="D21" s="15">
        <f t="shared" si="0"/>
        <v>36</v>
      </c>
      <c r="E21" s="10" t="str">
        <f t="shared" si="1"/>
        <v>Pass</v>
      </c>
      <c r="F21" s="10" t="str">
        <f t="shared" si="2"/>
        <v>D</v>
      </c>
      <c r="G21" s="11">
        <f t="shared" si="3"/>
        <v>1</v>
      </c>
    </row>
    <row r="22" spans="1:7" x14ac:dyDescent="0.35">
      <c r="A22" s="10">
        <f>'Student Basic Info'!A22</f>
        <v>521</v>
      </c>
      <c r="B22" s="3"/>
      <c r="C22" s="3"/>
      <c r="D22" s="15" t="str">
        <f t="shared" si="0"/>
        <v/>
      </c>
      <c r="E22" s="10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10">
        <f>'Student Basic Info'!A23</f>
        <v>522</v>
      </c>
      <c r="B23" s="3">
        <v>23</v>
      </c>
      <c r="C23" s="3">
        <v>57</v>
      </c>
      <c r="D23" s="15">
        <f t="shared" si="0"/>
        <v>80</v>
      </c>
      <c r="E23" s="10" t="str">
        <f t="shared" si="1"/>
        <v>Pass</v>
      </c>
      <c r="F23" s="10" t="str">
        <f t="shared" si="2"/>
        <v>A+</v>
      </c>
      <c r="G23" s="11">
        <f t="shared" si="3"/>
        <v>5</v>
      </c>
    </row>
    <row r="24" spans="1:7" x14ac:dyDescent="0.35">
      <c r="A24" s="10">
        <f>'Student Basic Info'!A24</f>
        <v>523</v>
      </c>
      <c r="B24" s="3">
        <v>15</v>
      </c>
      <c r="C24" s="3">
        <v>31</v>
      </c>
      <c r="D24" s="15">
        <f t="shared" si="0"/>
        <v>46</v>
      </c>
      <c r="E24" s="10" t="str">
        <f t="shared" si="1"/>
        <v>Pass</v>
      </c>
      <c r="F24" s="10" t="str">
        <f t="shared" si="2"/>
        <v>C</v>
      </c>
      <c r="G24" s="11">
        <f t="shared" si="3"/>
        <v>2</v>
      </c>
    </row>
    <row r="25" spans="1:7" x14ac:dyDescent="0.35">
      <c r="A25" s="10">
        <f>'Student Basic Info'!A25</f>
        <v>524</v>
      </c>
      <c r="B25" s="3">
        <v>17</v>
      </c>
      <c r="C25" s="3">
        <v>45</v>
      </c>
      <c r="D25" s="15">
        <f t="shared" si="0"/>
        <v>62</v>
      </c>
      <c r="E25" s="10" t="str">
        <f t="shared" si="1"/>
        <v>Pass</v>
      </c>
      <c r="F25" s="10" t="str">
        <f t="shared" si="2"/>
        <v>A-</v>
      </c>
      <c r="G25" s="11">
        <f t="shared" si="3"/>
        <v>3.5</v>
      </c>
    </row>
    <row r="26" spans="1:7" x14ac:dyDescent="0.35">
      <c r="A26" s="10">
        <f>'Student Basic Info'!A26</f>
        <v>525</v>
      </c>
      <c r="B26" s="3"/>
      <c r="C26" s="3"/>
      <c r="D26" s="15" t="str">
        <f t="shared" si="0"/>
        <v/>
      </c>
      <c r="E26" s="10" t="str">
        <f t="shared" si="1"/>
        <v/>
      </c>
      <c r="F26" s="10" t="str">
        <f t="shared" si="2"/>
        <v/>
      </c>
      <c r="G26" s="11" t="str">
        <f t="shared" si="3"/>
        <v/>
      </c>
    </row>
    <row r="27" spans="1:7" x14ac:dyDescent="0.35">
      <c r="A27" s="10">
        <f>'Student Basic Info'!A27</f>
        <v>526</v>
      </c>
      <c r="B27" s="3">
        <v>14</v>
      </c>
      <c r="C27" s="3">
        <v>45</v>
      </c>
      <c r="D27" s="15">
        <f t="shared" si="0"/>
        <v>59</v>
      </c>
      <c r="E27" s="10" t="str">
        <f t="shared" si="1"/>
        <v>Pass</v>
      </c>
      <c r="F27" s="10" t="str">
        <f t="shared" si="2"/>
        <v>B</v>
      </c>
      <c r="G27" s="11">
        <f t="shared" si="3"/>
        <v>3</v>
      </c>
    </row>
    <row r="28" spans="1:7" x14ac:dyDescent="0.35">
      <c r="A28" s="10">
        <f>'Student Basic Info'!A28</f>
        <v>527</v>
      </c>
      <c r="B28" s="3"/>
      <c r="C28" s="3"/>
      <c r="D28" s="15" t="str">
        <f t="shared" si="0"/>
        <v/>
      </c>
      <c r="E28" s="10" t="str">
        <f t="shared" si="1"/>
        <v/>
      </c>
      <c r="F28" s="10" t="str">
        <f t="shared" si="2"/>
        <v/>
      </c>
      <c r="G28" s="11" t="str">
        <f t="shared" si="3"/>
        <v/>
      </c>
    </row>
    <row r="29" spans="1:7" x14ac:dyDescent="0.35">
      <c r="A29" s="10">
        <f>'Student Basic Info'!A29</f>
        <v>528</v>
      </c>
      <c r="B29" s="3"/>
      <c r="C29" s="3"/>
      <c r="D29" s="15" t="str">
        <f t="shared" si="0"/>
        <v/>
      </c>
      <c r="E29" s="10" t="str">
        <f t="shared" si="1"/>
        <v/>
      </c>
      <c r="F29" s="10" t="str">
        <f t="shared" si="2"/>
        <v/>
      </c>
      <c r="G29" s="11" t="str">
        <f t="shared" si="3"/>
        <v/>
      </c>
    </row>
    <row r="30" spans="1:7" x14ac:dyDescent="0.35">
      <c r="A30" s="10">
        <f>'Student Basic Info'!A30</f>
        <v>529</v>
      </c>
      <c r="B30" s="3"/>
      <c r="C30" s="3"/>
      <c r="D30" s="15" t="str">
        <f t="shared" si="0"/>
        <v/>
      </c>
      <c r="E30" s="10" t="str">
        <f t="shared" si="1"/>
        <v/>
      </c>
      <c r="F30" s="10" t="str">
        <f t="shared" si="2"/>
        <v/>
      </c>
      <c r="G30" s="11" t="str">
        <f t="shared" si="3"/>
        <v/>
      </c>
    </row>
    <row r="31" spans="1:7" x14ac:dyDescent="0.35">
      <c r="A31" s="10">
        <f>'Student Basic Info'!A31</f>
        <v>530</v>
      </c>
      <c r="B31" s="3"/>
      <c r="C31" s="3"/>
      <c r="D31" s="15" t="str">
        <f t="shared" si="0"/>
        <v/>
      </c>
      <c r="E31" s="10" t="str">
        <f t="shared" si="1"/>
        <v/>
      </c>
      <c r="F31" s="10" t="str">
        <f t="shared" si="2"/>
        <v/>
      </c>
      <c r="G31" s="11" t="str">
        <f t="shared" si="3"/>
        <v/>
      </c>
    </row>
    <row r="32" spans="1:7" x14ac:dyDescent="0.35">
      <c r="A32" s="10">
        <f>'Student Basic Info'!A32</f>
        <v>531</v>
      </c>
      <c r="B32" s="3">
        <v>13</v>
      </c>
      <c r="C32" s="3">
        <v>30</v>
      </c>
      <c r="D32" s="15">
        <f t="shared" si="0"/>
        <v>43</v>
      </c>
      <c r="E32" s="10" t="str">
        <f t="shared" si="1"/>
        <v>Pass</v>
      </c>
      <c r="F32" s="10" t="str">
        <f t="shared" si="2"/>
        <v>C</v>
      </c>
      <c r="G32" s="11">
        <f t="shared" si="3"/>
        <v>2</v>
      </c>
    </row>
    <row r="33" spans="1:7" x14ac:dyDescent="0.35">
      <c r="A33" s="10">
        <f>'Student Basic Info'!A33</f>
        <v>532</v>
      </c>
      <c r="B33" s="3"/>
      <c r="C33" s="3"/>
      <c r="D33" s="15" t="str">
        <f t="shared" si="0"/>
        <v/>
      </c>
      <c r="E33" s="10" t="str">
        <f t="shared" si="1"/>
        <v/>
      </c>
      <c r="F33" s="10" t="str">
        <f t="shared" si="2"/>
        <v/>
      </c>
      <c r="G33" s="11" t="str">
        <f t="shared" si="3"/>
        <v/>
      </c>
    </row>
    <row r="34" spans="1:7" x14ac:dyDescent="0.35">
      <c r="A34" s="10">
        <f>'Student Basic Info'!A34</f>
        <v>533</v>
      </c>
      <c r="B34" s="3"/>
      <c r="C34" s="3"/>
      <c r="D34" s="15" t="str">
        <f t="shared" si="0"/>
        <v/>
      </c>
      <c r="E34" s="10" t="str">
        <f t="shared" si="1"/>
        <v/>
      </c>
      <c r="F34" s="10" t="str">
        <f t="shared" si="2"/>
        <v/>
      </c>
      <c r="G34" s="11" t="str">
        <f t="shared" si="3"/>
        <v/>
      </c>
    </row>
    <row r="35" spans="1:7" x14ac:dyDescent="0.35">
      <c r="A35" s="10">
        <f>'Student Basic Info'!A35</f>
        <v>534</v>
      </c>
      <c r="B35" s="3"/>
      <c r="C35" s="3"/>
      <c r="D35" s="15" t="str">
        <f t="shared" si="0"/>
        <v/>
      </c>
      <c r="E35" s="10" t="str">
        <f t="shared" si="1"/>
        <v/>
      </c>
      <c r="F35" s="10" t="str">
        <f t="shared" si="2"/>
        <v/>
      </c>
      <c r="G35" s="11" t="str">
        <f t="shared" si="3"/>
        <v/>
      </c>
    </row>
    <row r="36" spans="1:7" x14ac:dyDescent="0.35">
      <c r="A36" s="10">
        <f>'Student Basic Info'!A36</f>
        <v>535</v>
      </c>
      <c r="B36" s="3"/>
      <c r="C36" s="3"/>
      <c r="D36" s="15" t="str">
        <f t="shared" si="0"/>
        <v/>
      </c>
      <c r="E36" s="10" t="str">
        <f t="shared" si="1"/>
        <v/>
      </c>
      <c r="F36" s="10" t="str">
        <f t="shared" si="2"/>
        <v/>
      </c>
      <c r="G36" s="11" t="str">
        <f t="shared" si="3"/>
        <v/>
      </c>
    </row>
    <row r="37" spans="1:7" x14ac:dyDescent="0.35">
      <c r="A37" s="10">
        <f>'Student Basic Info'!A37</f>
        <v>536</v>
      </c>
      <c r="B37" s="3">
        <v>15</v>
      </c>
      <c r="C37" s="3">
        <v>27</v>
      </c>
      <c r="D37" s="15">
        <f t="shared" si="0"/>
        <v>42</v>
      </c>
      <c r="E37" s="10" t="str">
        <f t="shared" si="1"/>
        <v>Pass</v>
      </c>
      <c r="F37" s="10" t="str">
        <f t="shared" si="2"/>
        <v>C</v>
      </c>
      <c r="G37" s="11">
        <f t="shared" si="3"/>
        <v>2</v>
      </c>
    </row>
    <row r="38" spans="1:7" x14ac:dyDescent="0.35">
      <c r="A38" s="10">
        <f>'Student Basic Info'!A38</f>
        <v>537</v>
      </c>
      <c r="B38" s="3"/>
      <c r="C38" s="3"/>
      <c r="D38" s="15" t="str">
        <f t="shared" si="0"/>
        <v/>
      </c>
      <c r="E38" s="10" t="str">
        <f t="shared" si="1"/>
        <v/>
      </c>
      <c r="F38" s="10" t="str">
        <f t="shared" si="2"/>
        <v/>
      </c>
      <c r="G38" s="11" t="str">
        <f t="shared" si="3"/>
        <v/>
      </c>
    </row>
    <row r="39" spans="1:7" x14ac:dyDescent="0.35">
      <c r="A39" s="10">
        <f>'Student Basic Info'!A39</f>
        <v>538</v>
      </c>
      <c r="B39" s="3">
        <v>15</v>
      </c>
      <c r="C39" s="3">
        <v>40</v>
      </c>
      <c r="D39" s="15">
        <f t="shared" si="0"/>
        <v>55</v>
      </c>
      <c r="E39" s="10" t="str">
        <f t="shared" si="1"/>
        <v>Pass</v>
      </c>
      <c r="F39" s="10" t="str">
        <f t="shared" si="2"/>
        <v>B</v>
      </c>
      <c r="G39" s="11">
        <f t="shared" si="3"/>
        <v>3</v>
      </c>
    </row>
    <row r="40" spans="1:7" x14ac:dyDescent="0.35">
      <c r="A40" s="10">
        <f>'Student Basic Info'!A40</f>
        <v>539</v>
      </c>
      <c r="B40" s="3">
        <v>14</v>
      </c>
      <c r="C40" s="3">
        <v>4</v>
      </c>
      <c r="D40" s="15">
        <f t="shared" si="0"/>
        <v>18</v>
      </c>
      <c r="E40" s="10" t="str">
        <f t="shared" si="1"/>
        <v>Fail</v>
      </c>
      <c r="F40" s="10" t="str">
        <f t="shared" si="2"/>
        <v>F</v>
      </c>
      <c r="G40" s="11">
        <f t="shared" si="3"/>
        <v>0</v>
      </c>
    </row>
    <row r="41" spans="1:7" x14ac:dyDescent="0.35">
      <c r="A41" s="10">
        <f>'Student Basic Info'!A41</f>
        <v>540</v>
      </c>
      <c r="B41" s="3">
        <v>13</v>
      </c>
      <c r="C41" s="3">
        <v>6</v>
      </c>
      <c r="D41" s="15">
        <f t="shared" si="0"/>
        <v>19</v>
      </c>
      <c r="E41" s="10" t="str">
        <f t="shared" si="1"/>
        <v>Fail</v>
      </c>
      <c r="F41" s="10" t="str">
        <f t="shared" si="2"/>
        <v>F</v>
      </c>
      <c r="G41" s="11">
        <f t="shared" si="3"/>
        <v>0</v>
      </c>
    </row>
    <row r="42" spans="1:7" x14ac:dyDescent="0.35">
      <c r="A42" s="10">
        <f>'Student Basic Info'!A42</f>
        <v>541</v>
      </c>
      <c r="B42" s="3"/>
      <c r="C42" s="3"/>
      <c r="D42" s="15" t="str">
        <f t="shared" si="0"/>
        <v/>
      </c>
      <c r="E42" s="10" t="str">
        <f t="shared" si="1"/>
        <v/>
      </c>
      <c r="F42" s="10" t="str">
        <f t="shared" si="2"/>
        <v/>
      </c>
      <c r="G42" s="11" t="str">
        <f t="shared" si="3"/>
        <v/>
      </c>
    </row>
    <row r="43" spans="1:7" x14ac:dyDescent="0.35">
      <c r="A43" s="10">
        <f>'Student Basic Info'!A43</f>
        <v>542</v>
      </c>
      <c r="B43" s="3">
        <v>13</v>
      </c>
      <c r="C43" s="3">
        <v>24</v>
      </c>
      <c r="D43" s="15">
        <f t="shared" si="0"/>
        <v>37</v>
      </c>
      <c r="E43" s="10" t="str">
        <f t="shared" si="1"/>
        <v>Pass</v>
      </c>
      <c r="F43" s="10" t="str">
        <f t="shared" si="2"/>
        <v>D</v>
      </c>
      <c r="G43" s="11">
        <f t="shared" si="3"/>
        <v>1</v>
      </c>
    </row>
    <row r="44" spans="1:7" x14ac:dyDescent="0.35">
      <c r="A44" s="10">
        <f>'Student Basic Info'!A44</f>
        <v>543</v>
      </c>
      <c r="B44" s="3">
        <v>15</v>
      </c>
      <c r="C44" s="3">
        <v>23</v>
      </c>
      <c r="D44" s="15">
        <f t="shared" si="0"/>
        <v>38</v>
      </c>
      <c r="E44" s="10" t="str">
        <f t="shared" si="1"/>
        <v>Pass</v>
      </c>
      <c r="F44" s="10" t="str">
        <f t="shared" si="2"/>
        <v>D</v>
      </c>
      <c r="G44" s="11">
        <f t="shared" si="3"/>
        <v>1</v>
      </c>
    </row>
    <row r="45" spans="1:7" x14ac:dyDescent="0.35">
      <c r="A45" s="10">
        <f>'Student Basic Info'!A45</f>
        <v>544</v>
      </c>
      <c r="B45" s="3">
        <v>15</v>
      </c>
      <c r="C45" s="3">
        <v>25</v>
      </c>
      <c r="D45" s="15">
        <f t="shared" si="0"/>
        <v>40</v>
      </c>
      <c r="E45" s="10" t="str">
        <f t="shared" si="1"/>
        <v>Pass</v>
      </c>
      <c r="F45" s="10" t="str">
        <f t="shared" si="2"/>
        <v>C</v>
      </c>
      <c r="G45" s="11">
        <f t="shared" si="3"/>
        <v>2</v>
      </c>
    </row>
    <row r="46" spans="1:7" x14ac:dyDescent="0.35">
      <c r="A46" s="10">
        <f>'Student Basic Info'!A46</f>
        <v>545</v>
      </c>
      <c r="B46" s="3"/>
      <c r="C46" s="3"/>
      <c r="D46" s="15" t="str">
        <f t="shared" si="0"/>
        <v/>
      </c>
      <c r="E46" s="10" t="str">
        <f t="shared" si="1"/>
        <v/>
      </c>
      <c r="F46" s="10" t="str">
        <f t="shared" si="2"/>
        <v/>
      </c>
      <c r="G46" s="11" t="str">
        <f t="shared" si="3"/>
        <v/>
      </c>
    </row>
    <row r="47" spans="1:7" x14ac:dyDescent="0.35">
      <c r="A47" s="10">
        <f>'Student Basic Info'!A47</f>
        <v>546</v>
      </c>
      <c r="B47" s="3">
        <v>17</v>
      </c>
      <c r="C47" s="3">
        <v>23</v>
      </c>
      <c r="D47" s="15">
        <f t="shared" si="0"/>
        <v>40</v>
      </c>
      <c r="E47" s="10" t="str">
        <f t="shared" si="1"/>
        <v>Pass</v>
      </c>
      <c r="F47" s="10" t="str">
        <f t="shared" si="2"/>
        <v>C</v>
      </c>
      <c r="G47" s="11">
        <f t="shared" si="3"/>
        <v>2</v>
      </c>
    </row>
    <row r="48" spans="1:7" x14ac:dyDescent="0.35">
      <c r="A48" s="10">
        <f>'Student Basic Info'!A48</f>
        <v>547</v>
      </c>
      <c r="B48" s="3"/>
      <c r="C48" s="3"/>
      <c r="D48" s="15" t="str">
        <f t="shared" si="0"/>
        <v/>
      </c>
      <c r="E48" s="10" t="str">
        <f t="shared" si="1"/>
        <v/>
      </c>
      <c r="F48" s="10" t="str">
        <f t="shared" si="2"/>
        <v/>
      </c>
      <c r="G48" s="11" t="str">
        <f t="shared" si="3"/>
        <v/>
      </c>
    </row>
    <row r="49" spans="1:7" x14ac:dyDescent="0.35">
      <c r="A49" s="10">
        <f>'Student Basic Info'!A49</f>
        <v>548</v>
      </c>
      <c r="B49" s="3"/>
      <c r="C49" s="3"/>
      <c r="D49" s="15" t="str">
        <f t="shared" si="0"/>
        <v/>
      </c>
      <c r="E49" s="10" t="str">
        <f t="shared" si="1"/>
        <v/>
      </c>
      <c r="F49" s="10" t="str">
        <f t="shared" si="2"/>
        <v/>
      </c>
      <c r="G49" s="11" t="str">
        <f t="shared" si="3"/>
        <v/>
      </c>
    </row>
    <row r="50" spans="1:7" x14ac:dyDescent="0.35">
      <c r="A50" s="10">
        <f>'Student Basic Info'!A50</f>
        <v>549</v>
      </c>
      <c r="B50" s="3">
        <v>15</v>
      </c>
      <c r="C50" s="3">
        <v>19</v>
      </c>
      <c r="D50" s="15">
        <f t="shared" si="0"/>
        <v>34</v>
      </c>
      <c r="E50" s="10" t="str">
        <f t="shared" si="1"/>
        <v>Fail</v>
      </c>
      <c r="F50" s="10" t="str">
        <f t="shared" si="2"/>
        <v>F</v>
      </c>
      <c r="G50" s="11">
        <f t="shared" si="3"/>
        <v>0</v>
      </c>
    </row>
    <row r="51" spans="1:7" x14ac:dyDescent="0.35">
      <c r="A51" s="10">
        <f>'Student Basic Info'!A51</f>
        <v>550</v>
      </c>
      <c r="B51" s="3"/>
      <c r="C51" s="3"/>
      <c r="D51" s="15" t="str">
        <f t="shared" si="0"/>
        <v/>
      </c>
      <c r="E51" s="10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10">
        <f>'Student Basic Info'!A52</f>
        <v>551</v>
      </c>
      <c r="B52" s="3"/>
      <c r="C52" s="3"/>
      <c r="D52" s="15" t="str">
        <f t="shared" si="0"/>
        <v/>
      </c>
      <c r="E52" s="10" t="str">
        <f t="shared" si="1"/>
        <v/>
      </c>
      <c r="F52" s="10" t="str">
        <f t="shared" si="2"/>
        <v/>
      </c>
      <c r="G52" s="11" t="str">
        <f t="shared" si="3"/>
        <v/>
      </c>
    </row>
    <row r="53" spans="1:7" x14ac:dyDescent="0.35">
      <c r="A53" s="10">
        <f>'Student Basic Info'!A53</f>
        <v>552</v>
      </c>
      <c r="B53" s="3">
        <v>14</v>
      </c>
      <c r="C53" s="3">
        <v>23</v>
      </c>
      <c r="D53" s="15">
        <f t="shared" si="0"/>
        <v>37</v>
      </c>
      <c r="E53" s="10" t="str">
        <f t="shared" si="1"/>
        <v>Pass</v>
      </c>
      <c r="F53" s="10" t="str">
        <f t="shared" si="2"/>
        <v>D</v>
      </c>
      <c r="G53" s="11">
        <f t="shared" si="3"/>
        <v>1</v>
      </c>
    </row>
    <row r="54" spans="1:7" x14ac:dyDescent="0.35">
      <c r="A54" s="10">
        <f>'Student Basic Info'!A54</f>
        <v>553</v>
      </c>
      <c r="B54" s="3"/>
      <c r="C54" s="3"/>
      <c r="D54" s="15" t="str">
        <f t="shared" si="0"/>
        <v/>
      </c>
      <c r="E54" s="10" t="str">
        <f t="shared" si="1"/>
        <v/>
      </c>
      <c r="F54" s="10" t="str">
        <f t="shared" si="2"/>
        <v/>
      </c>
      <c r="G54" s="11" t="str">
        <f t="shared" si="3"/>
        <v/>
      </c>
    </row>
    <row r="55" spans="1:7" x14ac:dyDescent="0.35">
      <c r="A55" s="10">
        <f>'Student Basic Info'!A55</f>
        <v>554</v>
      </c>
      <c r="B55" s="3">
        <v>15</v>
      </c>
      <c r="C55" s="3">
        <v>2</v>
      </c>
      <c r="D55" s="15">
        <f t="shared" si="0"/>
        <v>17</v>
      </c>
      <c r="E55" s="10" t="str">
        <f t="shared" si="1"/>
        <v>Fail</v>
      </c>
      <c r="F55" s="10" t="str">
        <f t="shared" si="2"/>
        <v>F</v>
      </c>
      <c r="G55" s="11">
        <f t="shared" si="3"/>
        <v>0</v>
      </c>
    </row>
    <row r="56" spans="1:7" x14ac:dyDescent="0.35">
      <c r="A56" s="10">
        <f>'Student Basic Info'!A56</f>
        <v>555</v>
      </c>
      <c r="B56" s="3">
        <v>13</v>
      </c>
      <c r="C56" s="3">
        <v>40</v>
      </c>
      <c r="D56" s="15">
        <f t="shared" si="0"/>
        <v>53</v>
      </c>
      <c r="E56" s="10" t="str">
        <f t="shared" si="1"/>
        <v>Pass</v>
      </c>
      <c r="F56" s="10" t="str">
        <f t="shared" si="2"/>
        <v>B</v>
      </c>
      <c r="G56" s="11">
        <f t="shared" si="3"/>
        <v>3</v>
      </c>
    </row>
    <row r="57" spans="1:7" x14ac:dyDescent="0.35">
      <c r="A57" s="10">
        <f>'Student Basic Info'!A57</f>
        <v>556</v>
      </c>
      <c r="B57" s="3">
        <v>12</v>
      </c>
      <c r="C57" s="3">
        <v>30</v>
      </c>
      <c r="D57" s="15">
        <f t="shared" si="0"/>
        <v>42</v>
      </c>
      <c r="E57" s="10" t="str">
        <f t="shared" si="1"/>
        <v>Pass</v>
      </c>
      <c r="F57" s="10" t="str">
        <f t="shared" si="2"/>
        <v>C</v>
      </c>
      <c r="G57" s="11">
        <f t="shared" si="3"/>
        <v>2</v>
      </c>
    </row>
    <row r="58" spans="1:7" x14ac:dyDescent="0.35">
      <c r="A58" s="10">
        <f>'Student Basic Info'!A58</f>
        <v>557</v>
      </c>
      <c r="B58" s="3">
        <v>12</v>
      </c>
      <c r="C58" s="3">
        <v>35</v>
      </c>
      <c r="D58" s="15">
        <f t="shared" si="0"/>
        <v>47</v>
      </c>
      <c r="E58" s="10" t="str">
        <f t="shared" si="1"/>
        <v>Pass</v>
      </c>
      <c r="F58" s="10" t="str">
        <f t="shared" si="2"/>
        <v>C</v>
      </c>
      <c r="G58" s="11">
        <f t="shared" si="3"/>
        <v>2</v>
      </c>
    </row>
    <row r="59" spans="1:7" x14ac:dyDescent="0.35">
      <c r="A59" s="10">
        <f>'Student Basic Info'!A59</f>
        <v>558</v>
      </c>
      <c r="B59" s="3">
        <v>15</v>
      </c>
      <c r="C59" s="3">
        <v>44</v>
      </c>
      <c r="D59" s="15">
        <f t="shared" si="0"/>
        <v>59</v>
      </c>
      <c r="E59" s="10" t="str">
        <f t="shared" si="1"/>
        <v>Pass</v>
      </c>
      <c r="F59" s="10" t="str">
        <f t="shared" si="2"/>
        <v>B</v>
      </c>
      <c r="G59" s="11">
        <f t="shared" si="3"/>
        <v>3</v>
      </c>
    </row>
    <row r="60" spans="1:7" x14ac:dyDescent="0.35">
      <c r="A60" s="10">
        <f>'Student Basic Info'!A60</f>
        <v>559</v>
      </c>
      <c r="B60" s="3">
        <v>16</v>
      </c>
      <c r="C60" s="3">
        <v>32</v>
      </c>
      <c r="D60" s="15">
        <f t="shared" si="0"/>
        <v>48</v>
      </c>
      <c r="E60" s="10" t="str">
        <f t="shared" si="1"/>
        <v>Pass</v>
      </c>
      <c r="F60" s="10" t="str">
        <f t="shared" si="2"/>
        <v>C</v>
      </c>
      <c r="G60" s="11">
        <f t="shared" si="3"/>
        <v>2</v>
      </c>
    </row>
    <row r="61" spans="1:7" x14ac:dyDescent="0.35">
      <c r="A61" s="10">
        <f>'Student Basic Info'!A61</f>
        <v>560</v>
      </c>
      <c r="B61" s="3">
        <v>13</v>
      </c>
      <c r="C61" s="3">
        <v>32</v>
      </c>
      <c r="D61" s="15">
        <f t="shared" si="0"/>
        <v>45</v>
      </c>
      <c r="E61" s="10" t="str">
        <f t="shared" si="1"/>
        <v>Pass</v>
      </c>
      <c r="F61" s="10" t="str">
        <f t="shared" si="2"/>
        <v>C</v>
      </c>
      <c r="G61" s="11">
        <f t="shared" si="3"/>
        <v>2</v>
      </c>
    </row>
    <row r="62" spans="1:7" x14ac:dyDescent="0.35">
      <c r="A62" s="10">
        <f>'Student Basic Info'!A62</f>
        <v>561</v>
      </c>
      <c r="B62" s="3">
        <v>8</v>
      </c>
      <c r="C62" s="3">
        <v>7</v>
      </c>
      <c r="D62" s="15">
        <f t="shared" si="0"/>
        <v>15</v>
      </c>
      <c r="E62" s="10" t="str">
        <f t="shared" si="1"/>
        <v>Fail</v>
      </c>
      <c r="F62" s="10" t="str">
        <f t="shared" si="2"/>
        <v>F</v>
      </c>
      <c r="G62" s="11">
        <f t="shared" si="3"/>
        <v>0</v>
      </c>
    </row>
    <row r="63" spans="1:7" x14ac:dyDescent="0.35">
      <c r="A63" s="10">
        <f>'Student Basic Info'!A63</f>
        <v>562</v>
      </c>
      <c r="B63" s="3"/>
      <c r="C63" s="3"/>
      <c r="D63" s="15" t="str">
        <f t="shared" si="0"/>
        <v/>
      </c>
      <c r="E63" s="10" t="str">
        <f t="shared" si="1"/>
        <v/>
      </c>
      <c r="F63" s="10" t="str">
        <f t="shared" si="2"/>
        <v/>
      </c>
      <c r="G63" s="11" t="str">
        <f t="shared" si="3"/>
        <v/>
      </c>
    </row>
    <row r="64" spans="1:7" x14ac:dyDescent="0.35">
      <c r="A64" s="10">
        <f>'Student Basic Info'!A64</f>
        <v>563</v>
      </c>
      <c r="B64" s="3"/>
      <c r="C64" s="3"/>
      <c r="D64" s="15" t="str">
        <f t="shared" si="0"/>
        <v/>
      </c>
      <c r="E64" s="10" t="str">
        <f t="shared" si="1"/>
        <v/>
      </c>
      <c r="F64" s="10" t="str">
        <f t="shared" si="2"/>
        <v/>
      </c>
      <c r="G64" s="11" t="str">
        <f t="shared" si="3"/>
        <v/>
      </c>
    </row>
    <row r="65" spans="1:7" x14ac:dyDescent="0.35">
      <c r="A65" s="10">
        <f>'Student Basic Info'!A65</f>
        <v>564</v>
      </c>
      <c r="B65" s="3"/>
      <c r="C65" s="3"/>
      <c r="D65" s="15" t="str">
        <f t="shared" si="0"/>
        <v/>
      </c>
      <c r="E65" s="10" t="str">
        <f t="shared" si="1"/>
        <v/>
      </c>
      <c r="F65" s="10" t="str">
        <f t="shared" si="2"/>
        <v/>
      </c>
      <c r="G65" s="11" t="str">
        <f t="shared" si="3"/>
        <v/>
      </c>
    </row>
    <row r="66" spans="1:7" x14ac:dyDescent="0.35">
      <c r="A66" s="10">
        <f>'Student Basic Info'!A66</f>
        <v>565</v>
      </c>
      <c r="B66" s="3">
        <v>13</v>
      </c>
      <c r="C66" s="3">
        <v>30</v>
      </c>
      <c r="D66" s="15">
        <f t="shared" si="0"/>
        <v>43</v>
      </c>
      <c r="E66" s="10" t="str">
        <f t="shared" si="1"/>
        <v>Pass</v>
      </c>
      <c r="F66" s="10" t="str">
        <f t="shared" si="2"/>
        <v>C</v>
      </c>
      <c r="G66" s="11">
        <f t="shared" si="3"/>
        <v>2</v>
      </c>
    </row>
    <row r="67" spans="1:7" x14ac:dyDescent="0.35">
      <c r="A67" s="10">
        <f>'Student Basic Info'!A67</f>
        <v>566</v>
      </c>
      <c r="B67" s="3"/>
      <c r="C67" s="3"/>
      <c r="D67" s="15" t="str">
        <f t="shared" ref="D67:D131" si="4">IF(B67+C67=0, "", B67+C67)</f>
        <v/>
      </c>
      <c r="E67" s="10" t="str">
        <f t="shared" ref="E67:E129" si="5">IF(D67="","", IF(AND(B67 &gt;=10,C67&gt;=23),"Pass","Fail"))</f>
        <v/>
      </c>
      <c r="F67" s="10" t="str">
        <f t="shared" ref="F67:F131" si="6">(IF(D67="","",IF(E67="Fail","F",IF(D67&gt;=80,"A+",IF(D67&gt;=70,"A",IF(D67&gt;=60,"A-",IF(D67&gt;=50,"B",IF(D67&gt;=40,"C",IF(D67&gt;=33,"D","F")))))))))</f>
        <v/>
      </c>
      <c r="G67" s="11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10">
        <f>'Student Basic Info'!A68</f>
        <v>567</v>
      </c>
      <c r="B68" s="3">
        <v>13</v>
      </c>
      <c r="C68" s="3">
        <v>17</v>
      </c>
      <c r="D68" s="15">
        <f t="shared" si="4"/>
        <v>30</v>
      </c>
      <c r="E68" s="10" t="str">
        <f t="shared" si="5"/>
        <v>Fail</v>
      </c>
      <c r="F68" s="10" t="str">
        <f t="shared" si="6"/>
        <v>F</v>
      </c>
      <c r="G68" s="11">
        <f t="shared" si="7"/>
        <v>0</v>
      </c>
    </row>
    <row r="69" spans="1:7" x14ac:dyDescent="0.35">
      <c r="A69" s="10">
        <f>'Student Basic Info'!A69</f>
        <v>568</v>
      </c>
      <c r="B69" s="3">
        <v>12</v>
      </c>
      <c r="C69" s="3">
        <v>13</v>
      </c>
      <c r="D69" s="15">
        <f t="shared" si="4"/>
        <v>25</v>
      </c>
      <c r="E69" s="10" t="str">
        <f t="shared" si="5"/>
        <v>Fail</v>
      </c>
      <c r="F69" s="10" t="str">
        <f t="shared" si="6"/>
        <v>F</v>
      </c>
      <c r="G69" s="11">
        <f t="shared" si="7"/>
        <v>0</v>
      </c>
    </row>
    <row r="70" spans="1:7" x14ac:dyDescent="0.35">
      <c r="A70" s="10">
        <f>'Student Basic Info'!A70</f>
        <v>569</v>
      </c>
      <c r="B70" s="3"/>
      <c r="C70" s="3"/>
      <c r="D70" s="15" t="str">
        <f t="shared" si="4"/>
        <v/>
      </c>
      <c r="E70" s="10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10">
        <f>'Student Basic Info'!A71</f>
        <v>570</v>
      </c>
      <c r="B71" s="3"/>
      <c r="C71" s="3"/>
      <c r="D71" s="15" t="str">
        <f t="shared" si="4"/>
        <v/>
      </c>
      <c r="E71" s="10" t="str">
        <f t="shared" si="5"/>
        <v/>
      </c>
      <c r="F71" s="10" t="str">
        <f t="shared" si="6"/>
        <v/>
      </c>
      <c r="G71" s="11" t="str">
        <f t="shared" si="7"/>
        <v/>
      </c>
    </row>
    <row r="72" spans="1:7" x14ac:dyDescent="0.35">
      <c r="A72" s="10">
        <f>'Student Basic Info'!A72</f>
        <v>571</v>
      </c>
      <c r="B72" s="3"/>
      <c r="C72" s="3"/>
      <c r="D72" s="15" t="str">
        <f t="shared" si="4"/>
        <v/>
      </c>
      <c r="E72" s="10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10">
        <f>'Student Basic Info'!A73</f>
        <v>572</v>
      </c>
      <c r="B73" s="3">
        <v>7</v>
      </c>
      <c r="C73" s="3">
        <v>2</v>
      </c>
      <c r="D73" s="15">
        <f t="shared" si="4"/>
        <v>9</v>
      </c>
      <c r="E73" s="10" t="str">
        <f t="shared" si="5"/>
        <v>Fail</v>
      </c>
      <c r="F73" s="10" t="str">
        <f t="shared" si="6"/>
        <v>F</v>
      </c>
      <c r="G73" s="11">
        <f t="shared" si="7"/>
        <v>0</v>
      </c>
    </row>
    <row r="74" spans="1:7" x14ac:dyDescent="0.35">
      <c r="A74" s="10">
        <f>'Student Basic Info'!A74</f>
        <v>573</v>
      </c>
      <c r="B74" s="3">
        <v>14</v>
      </c>
      <c r="C74" s="3">
        <v>3</v>
      </c>
      <c r="D74" s="15">
        <f t="shared" si="4"/>
        <v>17</v>
      </c>
      <c r="E74" s="10" t="str">
        <f t="shared" si="5"/>
        <v>Fail</v>
      </c>
      <c r="F74" s="10" t="str">
        <f t="shared" si="6"/>
        <v>F</v>
      </c>
      <c r="G74" s="11">
        <f t="shared" si="7"/>
        <v>0</v>
      </c>
    </row>
    <row r="75" spans="1:7" x14ac:dyDescent="0.35">
      <c r="A75" s="10">
        <f>'Student Basic Info'!A75</f>
        <v>574</v>
      </c>
      <c r="B75" s="3">
        <v>8</v>
      </c>
      <c r="C75" s="3">
        <v>2</v>
      </c>
      <c r="D75" s="15">
        <f t="shared" si="4"/>
        <v>10</v>
      </c>
      <c r="E75" s="10" t="str">
        <f t="shared" si="5"/>
        <v>Fail</v>
      </c>
      <c r="F75" s="10" t="str">
        <f t="shared" si="6"/>
        <v>F</v>
      </c>
      <c r="G75" s="11">
        <f t="shared" si="7"/>
        <v>0</v>
      </c>
    </row>
    <row r="76" spans="1:7" x14ac:dyDescent="0.35">
      <c r="A76" s="10">
        <f>'Student Basic Info'!A76</f>
        <v>575</v>
      </c>
      <c r="B76" s="3"/>
      <c r="C76" s="3"/>
      <c r="D76" s="15" t="str">
        <f t="shared" si="4"/>
        <v/>
      </c>
      <c r="E76" s="10" t="str">
        <f t="shared" si="5"/>
        <v/>
      </c>
      <c r="F76" s="10" t="str">
        <f t="shared" si="6"/>
        <v/>
      </c>
      <c r="G76" s="11" t="str">
        <f t="shared" si="7"/>
        <v/>
      </c>
    </row>
    <row r="77" spans="1:7" x14ac:dyDescent="0.35">
      <c r="A77" s="10">
        <f>'Student Basic Info'!A77</f>
        <v>576</v>
      </c>
      <c r="B77" s="3"/>
      <c r="C77" s="3"/>
      <c r="D77" s="15" t="str">
        <f t="shared" si="4"/>
        <v/>
      </c>
      <c r="E77" s="10" t="str">
        <f t="shared" si="5"/>
        <v/>
      </c>
      <c r="F77" s="10" t="str">
        <f t="shared" si="6"/>
        <v/>
      </c>
      <c r="G77" s="11" t="str">
        <f t="shared" si="7"/>
        <v/>
      </c>
    </row>
    <row r="78" spans="1:7" x14ac:dyDescent="0.35">
      <c r="A78" s="10">
        <f>'Student Basic Info'!A78</f>
        <v>577</v>
      </c>
      <c r="B78" s="3">
        <v>10</v>
      </c>
      <c r="C78" s="3">
        <v>23</v>
      </c>
      <c r="D78" s="15">
        <f t="shared" si="4"/>
        <v>33</v>
      </c>
      <c r="E78" s="10" t="str">
        <f t="shared" si="5"/>
        <v>Pass</v>
      </c>
      <c r="F78" s="10" t="str">
        <f t="shared" si="6"/>
        <v>D</v>
      </c>
      <c r="G78" s="11">
        <f t="shared" si="7"/>
        <v>1</v>
      </c>
    </row>
    <row r="79" spans="1:7" x14ac:dyDescent="0.35">
      <c r="A79" s="10">
        <f>'Student Basic Info'!A79</f>
        <v>578</v>
      </c>
      <c r="B79" s="3"/>
      <c r="C79" s="3"/>
      <c r="D79" s="15" t="str">
        <f t="shared" si="4"/>
        <v/>
      </c>
      <c r="E79" s="10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10">
        <f>'Student Basic Info'!A80</f>
        <v>579</v>
      </c>
      <c r="B80" s="3"/>
      <c r="C80" s="3"/>
      <c r="D80" s="15" t="str">
        <f t="shared" si="4"/>
        <v/>
      </c>
      <c r="E80" s="10" t="str">
        <f t="shared" si="5"/>
        <v/>
      </c>
      <c r="F80" s="10" t="str">
        <f t="shared" si="6"/>
        <v/>
      </c>
      <c r="G80" s="11" t="str">
        <f t="shared" si="7"/>
        <v/>
      </c>
    </row>
    <row r="81" spans="1:7" x14ac:dyDescent="0.35">
      <c r="A81" s="10">
        <f>'Student Basic Info'!A81</f>
        <v>580</v>
      </c>
      <c r="B81" s="3"/>
      <c r="C81" s="3"/>
      <c r="D81" s="15" t="str">
        <f t="shared" si="4"/>
        <v/>
      </c>
      <c r="E81" s="10" t="str">
        <f t="shared" si="5"/>
        <v/>
      </c>
      <c r="F81" s="10" t="str">
        <f t="shared" si="6"/>
        <v/>
      </c>
      <c r="G81" s="11" t="str">
        <f t="shared" si="7"/>
        <v/>
      </c>
    </row>
    <row r="82" spans="1:7" x14ac:dyDescent="0.35">
      <c r="A82" s="10">
        <f>'Student Basic Info'!A82</f>
        <v>581</v>
      </c>
      <c r="B82" s="3">
        <v>11</v>
      </c>
      <c r="C82" s="3">
        <v>1</v>
      </c>
      <c r="D82" s="15">
        <f t="shared" si="4"/>
        <v>12</v>
      </c>
      <c r="E82" s="10" t="str">
        <f t="shared" si="5"/>
        <v>Fail</v>
      </c>
      <c r="F82" s="10" t="str">
        <f t="shared" si="6"/>
        <v>F</v>
      </c>
      <c r="G82" s="11">
        <f t="shared" si="7"/>
        <v>0</v>
      </c>
    </row>
    <row r="83" spans="1:7" x14ac:dyDescent="0.35">
      <c r="A83" s="10">
        <f>'Student Basic Info'!A83</f>
        <v>582</v>
      </c>
      <c r="B83" s="3"/>
      <c r="C83" s="3"/>
      <c r="D83" s="15" t="str">
        <f t="shared" si="4"/>
        <v/>
      </c>
      <c r="E83" s="10" t="str">
        <f t="shared" si="5"/>
        <v/>
      </c>
      <c r="F83" s="10" t="str">
        <f t="shared" si="6"/>
        <v/>
      </c>
      <c r="G83" s="11" t="str">
        <f t="shared" si="7"/>
        <v/>
      </c>
    </row>
    <row r="84" spans="1:7" x14ac:dyDescent="0.35">
      <c r="A84" s="10">
        <f>'Student Basic Info'!A84</f>
        <v>583</v>
      </c>
      <c r="B84" s="3"/>
      <c r="C84" s="3"/>
      <c r="D84" s="15" t="str">
        <f t="shared" si="4"/>
        <v/>
      </c>
      <c r="E84" s="10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10">
        <f>'Student Basic Info'!A85</f>
        <v>584</v>
      </c>
      <c r="B85" s="3">
        <v>9</v>
      </c>
      <c r="C85" s="3">
        <v>0</v>
      </c>
      <c r="D85" s="15">
        <f t="shared" si="4"/>
        <v>9</v>
      </c>
      <c r="E85" s="10" t="str">
        <f t="shared" si="5"/>
        <v>Fail</v>
      </c>
      <c r="F85" s="10" t="str">
        <f t="shared" si="6"/>
        <v>F</v>
      </c>
      <c r="G85" s="11">
        <f t="shared" si="7"/>
        <v>0</v>
      </c>
    </row>
    <row r="86" spans="1:7" x14ac:dyDescent="0.35">
      <c r="A86" s="10">
        <f>'Student Basic Info'!A86</f>
        <v>585</v>
      </c>
      <c r="B86" s="3">
        <v>16</v>
      </c>
      <c r="C86" s="3">
        <v>24</v>
      </c>
      <c r="D86" s="15">
        <f t="shared" si="4"/>
        <v>40</v>
      </c>
      <c r="E86" s="10" t="str">
        <f t="shared" si="5"/>
        <v>Pass</v>
      </c>
      <c r="F86" s="10" t="str">
        <f t="shared" si="6"/>
        <v>C</v>
      </c>
      <c r="G86" s="11">
        <f t="shared" si="7"/>
        <v>2</v>
      </c>
    </row>
    <row r="87" spans="1:7" x14ac:dyDescent="0.35">
      <c r="A87" s="10">
        <f>'Student Basic Info'!A87</f>
        <v>586</v>
      </c>
      <c r="B87" s="3">
        <v>16</v>
      </c>
      <c r="C87" s="3">
        <v>3</v>
      </c>
      <c r="D87" s="15">
        <f t="shared" si="4"/>
        <v>19</v>
      </c>
      <c r="E87" s="10" t="str">
        <f t="shared" si="5"/>
        <v>Fail</v>
      </c>
      <c r="F87" s="10" t="str">
        <f t="shared" si="6"/>
        <v>F</v>
      </c>
      <c r="G87" s="11">
        <f t="shared" si="7"/>
        <v>0</v>
      </c>
    </row>
    <row r="88" spans="1:7" x14ac:dyDescent="0.35">
      <c r="A88" s="10">
        <f>'Student Basic Info'!A88</f>
        <v>587</v>
      </c>
      <c r="B88" s="3">
        <v>15</v>
      </c>
      <c r="C88" s="3">
        <v>31</v>
      </c>
      <c r="D88" s="15">
        <f t="shared" si="4"/>
        <v>46</v>
      </c>
      <c r="E88" s="10" t="str">
        <f t="shared" si="5"/>
        <v>Pass</v>
      </c>
      <c r="F88" s="10" t="str">
        <f t="shared" si="6"/>
        <v>C</v>
      </c>
      <c r="G88" s="11">
        <f t="shared" si="7"/>
        <v>2</v>
      </c>
    </row>
    <row r="89" spans="1:7" x14ac:dyDescent="0.35">
      <c r="A89" s="10">
        <f>'Student Basic Info'!A89</f>
        <v>588</v>
      </c>
      <c r="B89" s="3">
        <v>12</v>
      </c>
      <c r="C89" s="3">
        <v>33</v>
      </c>
      <c r="D89" s="15">
        <f t="shared" si="4"/>
        <v>45</v>
      </c>
      <c r="E89" s="10" t="str">
        <f t="shared" si="5"/>
        <v>Pass</v>
      </c>
      <c r="F89" s="10" t="str">
        <f t="shared" si="6"/>
        <v>C</v>
      </c>
      <c r="G89" s="11">
        <f t="shared" si="7"/>
        <v>2</v>
      </c>
    </row>
    <row r="90" spans="1:7" x14ac:dyDescent="0.35">
      <c r="A90" s="10">
        <f>'Student Basic Info'!A90</f>
        <v>589</v>
      </c>
      <c r="B90" s="3"/>
      <c r="C90" s="3"/>
      <c r="D90" s="15" t="str">
        <f t="shared" si="4"/>
        <v/>
      </c>
      <c r="E90" s="10" t="str">
        <f t="shared" si="5"/>
        <v/>
      </c>
      <c r="F90" s="10" t="str">
        <f t="shared" si="6"/>
        <v/>
      </c>
      <c r="G90" s="11" t="str">
        <f t="shared" si="7"/>
        <v/>
      </c>
    </row>
    <row r="91" spans="1:7" x14ac:dyDescent="0.35">
      <c r="A91" s="10">
        <f>'Student Basic Info'!A91</f>
        <v>590</v>
      </c>
      <c r="B91" s="3"/>
      <c r="C91" s="3"/>
      <c r="D91" s="15" t="str">
        <f t="shared" si="4"/>
        <v/>
      </c>
      <c r="E91" s="10" t="str">
        <f t="shared" si="5"/>
        <v/>
      </c>
      <c r="F91" s="10" t="str">
        <f t="shared" si="6"/>
        <v/>
      </c>
      <c r="G91" s="11" t="str">
        <f t="shared" si="7"/>
        <v/>
      </c>
    </row>
    <row r="92" spans="1:7" x14ac:dyDescent="0.35">
      <c r="A92" s="10">
        <f>'Student Basic Info'!A92</f>
        <v>591</v>
      </c>
      <c r="B92" s="3">
        <v>11</v>
      </c>
      <c r="C92" s="3">
        <v>18</v>
      </c>
      <c r="D92" s="15">
        <f t="shared" si="4"/>
        <v>29</v>
      </c>
      <c r="E92" s="10" t="str">
        <f t="shared" si="5"/>
        <v>Fail</v>
      </c>
      <c r="F92" s="10" t="str">
        <f t="shared" si="6"/>
        <v>F</v>
      </c>
      <c r="G92" s="11">
        <f t="shared" si="7"/>
        <v>0</v>
      </c>
    </row>
    <row r="93" spans="1:7" x14ac:dyDescent="0.35">
      <c r="A93" s="10">
        <f>'Student Basic Info'!A93</f>
        <v>592</v>
      </c>
      <c r="B93" s="3">
        <v>7</v>
      </c>
      <c r="C93" s="3">
        <v>16</v>
      </c>
      <c r="D93" s="15">
        <f t="shared" si="4"/>
        <v>23</v>
      </c>
      <c r="E93" s="10" t="str">
        <f t="shared" si="5"/>
        <v>Fail</v>
      </c>
      <c r="F93" s="10" t="str">
        <f t="shared" si="6"/>
        <v>F</v>
      </c>
      <c r="G93" s="11">
        <f t="shared" si="7"/>
        <v>0</v>
      </c>
    </row>
    <row r="94" spans="1:7" x14ac:dyDescent="0.35">
      <c r="A94" s="10">
        <f>'Student Basic Info'!A94</f>
        <v>593</v>
      </c>
      <c r="B94" s="3">
        <v>10</v>
      </c>
      <c r="C94" s="3">
        <v>18</v>
      </c>
      <c r="D94" s="15">
        <f t="shared" si="4"/>
        <v>28</v>
      </c>
      <c r="E94" s="10" t="str">
        <f t="shared" si="5"/>
        <v>Fail</v>
      </c>
      <c r="F94" s="10" t="str">
        <f t="shared" si="6"/>
        <v>F</v>
      </c>
      <c r="G94" s="11">
        <f t="shared" si="7"/>
        <v>0</v>
      </c>
    </row>
    <row r="95" spans="1:7" x14ac:dyDescent="0.35">
      <c r="A95" s="10">
        <f>'Student Basic Info'!A95</f>
        <v>594</v>
      </c>
      <c r="B95" s="3"/>
      <c r="C95" s="3"/>
      <c r="D95" s="15" t="str">
        <f t="shared" si="4"/>
        <v/>
      </c>
      <c r="E95" s="10" t="str">
        <f t="shared" si="5"/>
        <v/>
      </c>
      <c r="F95" s="10" t="str">
        <f t="shared" si="6"/>
        <v/>
      </c>
      <c r="G95" s="11" t="str">
        <f t="shared" si="7"/>
        <v/>
      </c>
    </row>
    <row r="96" spans="1:7" x14ac:dyDescent="0.35">
      <c r="A96" s="10">
        <f>'Student Basic Info'!A96</f>
        <v>595</v>
      </c>
      <c r="B96" s="3"/>
      <c r="C96" s="3"/>
      <c r="D96" s="15" t="str">
        <f t="shared" si="4"/>
        <v/>
      </c>
      <c r="E96" s="10" t="str">
        <f t="shared" si="5"/>
        <v/>
      </c>
      <c r="F96" s="10" t="str">
        <f t="shared" si="6"/>
        <v/>
      </c>
      <c r="G96" s="11" t="str">
        <f t="shared" si="7"/>
        <v/>
      </c>
    </row>
    <row r="97" spans="1:7" x14ac:dyDescent="0.35">
      <c r="A97" s="10">
        <f>'Student Basic Info'!A97</f>
        <v>596</v>
      </c>
      <c r="B97" s="3"/>
      <c r="C97" s="3"/>
      <c r="D97" s="15" t="str">
        <f t="shared" si="4"/>
        <v/>
      </c>
      <c r="E97" s="10" t="str">
        <f t="shared" si="5"/>
        <v/>
      </c>
      <c r="F97" s="10" t="str">
        <f t="shared" si="6"/>
        <v/>
      </c>
      <c r="G97" s="11" t="str">
        <f t="shared" si="7"/>
        <v/>
      </c>
    </row>
    <row r="98" spans="1:7" x14ac:dyDescent="0.35">
      <c r="A98" s="10">
        <f>'Student Basic Info'!A98</f>
        <v>597</v>
      </c>
      <c r="B98" s="3"/>
      <c r="C98" s="3"/>
      <c r="D98" s="15" t="str">
        <f t="shared" si="4"/>
        <v/>
      </c>
      <c r="E98" s="10" t="str">
        <f t="shared" si="5"/>
        <v/>
      </c>
      <c r="F98" s="10" t="str">
        <f t="shared" si="6"/>
        <v/>
      </c>
      <c r="G98" s="11" t="str">
        <f t="shared" si="7"/>
        <v/>
      </c>
    </row>
    <row r="99" spans="1:7" x14ac:dyDescent="0.35">
      <c r="A99" s="10">
        <f>'Student Basic Info'!A99</f>
        <v>598</v>
      </c>
      <c r="B99" s="3"/>
      <c r="C99" s="3"/>
      <c r="D99" s="15" t="str">
        <f t="shared" si="4"/>
        <v/>
      </c>
      <c r="E99" s="10" t="str">
        <f t="shared" si="5"/>
        <v/>
      </c>
      <c r="F99" s="10" t="str">
        <f t="shared" si="6"/>
        <v/>
      </c>
      <c r="G99" s="11" t="str">
        <f t="shared" si="7"/>
        <v/>
      </c>
    </row>
    <row r="100" spans="1:7" x14ac:dyDescent="0.35">
      <c r="A100" s="10">
        <f>'Student Basic Info'!A100</f>
        <v>599</v>
      </c>
      <c r="B100" s="3"/>
      <c r="C100" s="3"/>
      <c r="D100" s="15" t="str">
        <f t="shared" si="4"/>
        <v/>
      </c>
      <c r="E100" s="10" t="str">
        <f t="shared" si="5"/>
        <v/>
      </c>
      <c r="F100" s="10" t="str">
        <f t="shared" si="6"/>
        <v/>
      </c>
      <c r="G100" s="11" t="str">
        <f t="shared" si="7"/>
        <v/>
      </c>
    </row>
    <row r="101" spans="1:7" x14ac:dyDescent="0.35">
      <c r="A101" s="10">
        <f>'Student Basic Info'!A101</f>
        <v>600</v>
      </c>
      <c r="B101" s="3">
        <v>18</v>
      </c>
      <c r="C101" s="3">
        <v>3</v>
      </c>
      <c r="D101" s="15">
        <f t="shared" si="4"/>
        <v>21</v>
      </c>
      <c r="E101" s="10" t="str">
        <f t="shared" si="5"/>
        <v>Fail</v>
      </c>
      <c r="F101" s="10" t="str">
        <f t="shared" si="6"/>
        <v>F</v>
      </c>
      <c r="G101" s="11">
        <f t="shared" si="7"/>
        <v>0</v>
      </c>
    </row>
    <row r="102" spans="1:7" x14ac:dyDescent="0.35">
      <c r="A102" s="10">
        <f>'Student Basic Info'!A102</f>
        <v>601</v>
      </c>
      <c r="B102" s="3">
        <v>11</v>
      </c>
      <c r="C102" s="3">
        <v>1</v>
      </c>
      <c r="D102" s="15">
        <f t="shared" si="4"/>
        <v>12</v>
      </c>
      <c r="E102" s="10" t="str">
        <f t="shared" si="5"/>
        <v>Fail</v>
      </c>
      <c r="F102" s="10" t="str">
        <f t="shared" si="6"/>
        <v>F</v>
      </c>
      <c r="G102" s="11">
        <f t="shared" si="7"/>
        <v>0</v>
      </c>
    </row>
    <row r="103" spans="1:7" x14ac:dyDescent="0.35">
      <c r="A103" s="10">
        <f>'Student Basic Info'!A103</f>
        <v>602</v>
      </c>
      <c r="B103" s="3"/>
      <c r="C103" s="3"/>
      <c r="D103" s="15" t="str">
        <f t="shared" si="4"/>
        <v/>
      </c>
      <c r="E103" s="10" t="str">
        <f t="shared" si="5"/>
        <v/>
      </c>
      <c r="F103" s="10" t="str">
        <f t="shared" si="6"/>
        <v/>
      </c>
      <c r="G103" s="11" t="str">
        <f t="shared" si="7"/>
        <v/>
      </c>
    </row>
    <row r="104" spans="1:7" x14ac:dyDescent="0.35">
      <c r="A104" s="10">
        <f>'Student Basic Info'!A104</f>
        <v>603</v>
      </c>
      <c r="B104" s="3"/>
      <c r="C104" s="3"/>
      <c r="D104" s="15" t="str">
        <f t="shared" si="4"/>
        <v/>
      </c>
      <c r="E104" s="10" t="str">
        <f t="shared" si="5"/>
        <v/>
      </c>
      <c r="F104" s="10" t="str">
        <f t="shared" si="6"/>
        <v/>
      </c>
      <c r="G104" s="11" t="str">
        <f t="shared" si="7"/>
        <v/>
      </c>
    </row>
    <row r="105" spans="1:7" x14ac:dyDescent="0.35">
      <c r="A105" s="10">
        <f>'Student Basic Info'!A105</f>
        <v>604</v>
      </c>
      <c r="B105" s="3"/>
      <c r="C105" s="3"/>
      <c r="D105" s="15" t="str">
        <f t="shared" si="4"/>
        <v/>
      </c>
      <c r="E105" s="10" t="str">
        <f t="shared" si="5"/>
        <v/>
      </c>
      <c r="F105" s="10" t="str">
        <f t="shared" si="6"/>
        <v/>
      </c>
      <c r="G105" s="11" t="str">
        <f t="shared" si="7"/>
        <v/>
      </c>
    </row>
    <row r="106" spans="1:7" x14ac:dyDescent="0.35">
      <c r="A106" s="10">
        <f>'Student Basic Info'!A106</f>
        <v>605</v>
      </c>
      <c r="B106" s="3">
        <v>13</v>
      </c>
      <c r="C106" s="3">
        <v>27</v>
      </c>
      <c r="D106" s="15">
        <f t="shared" si="4"/>
        <v>40</v>
      </c>
      <c r="E106" s="10" t="str">
        <f t="shared" si="5"/>
        <v>Pass</v>
      </c>
      <c r="F106" s="10" t="str">
        <f t="shared" si="6"/>
        <v>C</v>
      </c>
      <c r="G106" s="11">
        <f t="shared" si="7"/>
        <v>2</v>
      </c>
    </row>
    <row r="107" spans="1:7" x14ac:dyDescent="0.35">
      <c r="A107" s="10">
        <f>'Student Basic Info'!A107</f>
        <v>606</v>
      </c>
      <c r="B107" s="3">
        <v>7</v>
      </c>
      <c r="C107" s="3">
        <v>13</v>
      </c>
      <c r="D107" s="15">
        <f t="shared" si="4"/>
        <v>20</v>
      </c>
      <c r="E107" s="10" t="str">
        <f t="shared" si="5"/>
        <v>Fail</v>
      </c>
      <c r="F107" s="10" t="str">
        <f t="shared" si="6"/>
        <v>F</v>
      </c>
      <c r="G107" s="11">
        <f t="shared" si="7"/>
        <v>0</v>
      </c>
    </row>
    <row r="108" spans="1:7" x14ac:dyDescent="0.35">
      <c r="A108" s="10">
        <f>'Student Basic Info'!A108</f>
        <v>607</v>
      </c>
      <c r="B108" s="3">
        <v>10</v>
      </c>
      <c r="C108" s="3">
        <v>3</v>
      </c>
      <c r="D108" s="15">
        <f t="shared" si="4"/>
        <v>13</v>
      </c>
      <c r="E108" s="10" t="str">
        <f t="shared" si="5"/>
        <v>Fail</v>
      </c>
      <c r="F108" s="10" t="str">
        <f t="shared" si="6"/>
        <v>F</v>
      </c>
      <c r="G108" s="11">
        <f t="shared" si="7"/>
        <v>0</v>
      </c>
    </row>
    <row r="109" spans="1:7" x14ac:dyDescent="0.35">
      <c r="A109" s="10">
        <f>'Student Basic Info'!A109</f>
        <v>608</v>
      </c>
      <c r="B109" s="3">
        <v>19</v>
      </c>
      <c r="C109" s="3">
        <v>32</v>
      </c>
      <c r="D109" s="15">
        <f t="shared" si="4"/>
        <v>51</v>
      </c>
      <c r="E109" s="10" t="str">
        <f t="shared" si="5"/>
        <v>Pass</v>
      </c>
      <c r="F109" s="10" t="str">
        <f t="shared" si="6"/>
        <v>B</v>
      </c>
      <c r="G109" s="11">
        <f t="shared" si="7"/>
        <v>3</v>
      </c>
    </row>
    <row r="110" spans="1:7" x14ac:dyDescent="0.35">
      <c r="A110" s="10">
        <f>'Student Basic Info'!A110</f>
        <v>609</v>
      </c>
      <c r="B110" s="3">
        <v>11</v>
      </c>
      <c r="C110" s="3">
        <v>23</v>
      </c>
      <c r="D110" s="15">
        <f t="shared" si="4"/>
        <v>34</v>
      </c>
      <c r="E110" s="10" t="str">
        <f t="shared" si="5"/>
        <v>Pass</v>
      </c>
      <c r="F110" s="10" t="str">
        <f t="shared" si="6"/>
        <v>D</v>
      </c>
      <c r="G110" s="11">
        <f t="shared" si="7"/>
        <v>1</v>
      </c>
    </row>
    <row r="111" spans="1:7" x14ac:dyDescent="0.35">
      <c r="A111" s="10">
        <f>'Student Basic Info'!A111</f>
        <v>610</v>
      </c>
      <c r="B111" s="3"/>
      <c r="C111" s="3"/>
      <c r="D111" s="15" t="str">
        <f t="shared" si="4"/>
        <v/>
      </c>
      <c r="E111" s="10" t="str">
        <f t="shared" si="5"/>
        <v/>
      </c>
      <c r="F111" s="10" t="str">
        <f t="shared" si="6"/>
        <v/>
      </c>
      <c r="G111" s="11" t="str">
        <f t="shared" si="7"/>
        <v/>
      </c>
    </row>
    <row r="112" spans="1:7" x14ac:dyDescent="0.35">
      <c r="A112" s="10">
        <f>'Student Basic Info'!A112</f>
        <v>611</v>
      </c>
      <c r="B112" s="3"/>
      <c r="C112" s="3"/>
      <c r="D112" s="15" t="str">
        <f t="shared" si="4"/>
        <v/>
      </c>
      <c r="E112" s="10" t="str">
        <f t="shared" si="5"/>
        <v/>
      </c>
      <c r="F112" s="10" t="str">
        <f t="shared" si="6"/>
        <v/>
      </c>
      <c r="G112" s="11" t="str">
        <f t="shared" si="7"/>
        <v/>
      </c>
    </row>
    <row r="113" spans="1:7" x14ac:dyDescent="0.35">
      <c r="A113" s="10">
        <f>'Student Basic Info'!A113</f>
        <v>612</v>
      </c>
      <c r="B113" s="3"/>
      <c r="C113" s="3"/>
      <c r="D113" s="15" t="str">
        <f t="shared" si="4"/>
        <v/>
      </c>
      <c r="E113" s="10" t="str">
        <f t="shared" si="5"/>
        <v/>
      </c>
      <c r="F113" s="10" t="str">
        <f t="shared" si="6"/>
        <v/>
      </c>
      <c r="G113" s="11" t="str">
        <f t="shared" si="7"/>
        <v/>
      </c>
    </row>
    <row r="114" spans="1:7" x14ac:dyDescent="0.35">
      <c r="A114" s="10">
        <f>'Student Basic Info'!A114</f>
        <v>613</v>
      </c>
      <c r="B114" s="3"/>
      <c r="C114" s="3"/>
      <c r="D114" s="15" t="str">
        <f t="shared" si="4"/>
        <v/>
      </c>
      <c r="E114" s="10" t="str">
        <f t="shared" si="5"/>
        <v/>
      </c>
      <c r="F114" s="10" t="str">
        <f t="shared" si="6"/>
        <v/>
      </c>
      <c r="G114" s="11" t="str">
        <f t="shared" si="7"/>
        <v/>
      </c>
    </row>
    <row r="115" spans="1:7" x14ac:dyDescent="0.35">
      <c r="A115" s="10">
        <f>'Student Basic Info'!A115</f>
        <v>614</v>
      </c>
      <c r="B115" s="3">
        <v>15</v>
      </c>
      <c r="C115" s="3">
        <v>27</v>
      </c>
      <c r="D115" s="15">
        <f t="shared" si="4"/>
        <v>42</v>
      </c>
      <c r="E115" s="10" t="str">
        <f t="shared" si="5"/>
        <v>Pass</v>
      </c>
      <c r="F115" s="10" t="str">
        <f t="shared" si="6"/>
        <v>C</v>
      </c>
      <c r="G115" s="11">
        <f t="shared" si="7"/>
        <v>2</v>
      </c>
    </row>
    <row r="116" spans="1:7" x14ac:dyDescent="0.35">
      <c r="A116" s="10">
        <f>'Student Basic Info'!A116</f>
        <v>615</v>
      </c>
      <c r="B116" s="3">
        <v>8</v>
      </c>
      <c r="C116" s="3">
        <v>28</v>
      </c>
      <c r="D116" s="15">
        <f t="shared" si="4"/>
        <v>36</v>
      </c>
      <c r="E116" s="10" t="str">
        <f t="shared" si="5"/>
        <v>Fail</v>
      </c>
      <c r="F116" s="10" t="str">
        <f t="shared" si="6"/>
        <v>F</v>
      </c>
      <c r="G116" s="11">
        <f t="shared" si="7"/>
        <v>0</v>
      </c>
    </row>
    <row r="117" spans="1:7" x14ac:dyDescent="0.35">
      <c r="A117" s="10">
        <f>'Student Basic Info'!A117</f>
        <v>616</v>
      </c>
      <c r="B117" s="3"/>
      <c r="C117" s="3"/>
      <c r="D117" s="15" t="str">
        <f t="shared" si="4"/>
        <v/>
      </c>
      <c r="E117" s="10" t="str">
        <f t="shared" si="5"/>
        <v/>
      </c>
      <c r="F117" s="10" t="str">
        <f t="shared" si="6"/>
        <v/>
      </c>
      <c r="G117" s="11" t="str">
        <f t="shared" si="7"/>
        <v/>
      </c>
    </row>
    <row r="118" spans="1:7" x14ac:dyDescent="0.35">
      <c r="A118" s="10">
        <f>'Student Basic Info'!A118</f>
        <v>617</v>
      </c>
      <c r="B118" s="3"/>
      <c r="C118" s="3"/>
      <c r="D118" s="15" t="str">
        <f t="shared" si="4"/>
        <v/>
      </c>
      <c r="E118" s="10" t="str">
        <f t="shared" si="5"/>
        <v/>
      </c>
      <c r="F118" s="10" t="str">
        <f t="shared" si="6"/>
        <v/>
      </c>
      <c r="G118" s="11" t="str">
        <f t="shared" si="7"/>
        <v/>
      </c>
    </row>
    <row r="119" spans="1:7" x14ac:dyDescent="0.35">
      <c r="A119" s="10">
        <f>'Student Basic Info'!A119</f>
        <v>618</v>
      </c>
      <c r="B119" s="3"/>
      <c r="C119" s="3"/>
      <c r="D119" s="15" t="str">
        <f t="shared" si="4"/>
        <v/>
      </c>
      <c r="E119" s="10" t="str">
        <f t="shared" si="5"/>
        <v/>
      </c>
      <c r="F119" s="10" t="str">
        <f t="shared" si="6"/>
        <v/>
      </c>
      <c r="G119" s="11" t="str">
        <f t="shared" si="7"/>
        <v/>
      </c>
    </row>
    <row r="120" spans="1:7" x14ac:dyDescent="0.35">
      <c r="A120" s="10">
        <f>'Student Basic Info'!A120</f>
        <v>619</v>
      </c>
      <c r="B120" s="3"/>
      <c r="C120" s="3"/>
      <c r="D120" s="15" t="str">
        <f t="shared" si="4"/>
        <v/>
      </c>
      <c r="E120" s="10" t="str">
        <f t="shared" si="5"/>
        <v/>
      </c>
      <c r="F120" s="10" t="str">
        <f t="shared" si="6"/>
        <v/>
      </c>
      <c r="G120" s="11" t="str">
        <f t="shared" si="7"/>
        <v/>
      </c>
    </row>
    <row r="121" spans="1:7" x14ac:dyDescent="0.35">
      <c r="A121" s="10">
        <f>'Student Basic Info'!A121</f>
        <v>620</v>
      </c>
      <c r="B121" s="3"/>
      <c r="C121" s="3"/>
      <c r="D121" s="15" t="str">
        <f t="shared" si="4"/>
        <v/>
      </c>
      <c r="E121" s="10" t="str">
        <f t="shared" si="5"/>
        <v/>
      </c>
      <c r="F121" s="10" t="str">
        <f t="shared" si="6"/>
        <v/>
      </c>
      <c r="G121" s="11" t="str">
        <f t="shared" si="7"/>
        <v/>
      </c>
    </row>
    <row r="122" spans="1:7" x14ac:dyDescent="0.35">
      <c r="A122" s="10">
        <f>'Student Basic Info'!A122</f>
        <v>621</v>
      </c>
      <c r="B122" s="3">
        <v>14</v>
      </c>
      <c r="C122" s="3">
        <v>31</v>
      </c>
      <c r="D122" s="15">
        <f t="shared" si="4"/>
        <v>45</v>
      </c>
      <c r="E122" s="10" t="str">
        <f t="shared" si="5"/>
        <v>Pass</v>
      </c>
      <c r="F122" s="10" t="str">
        <f t="shared" si="6"/>
        <v>C</v>
      </c>
      <c r="G122" s="11">
        <f t="shared" si="7"/>
        <v>2</v>
      </c>
    </row>
    <row r="123" spans="1:7" x14ac:dyDescent="0.35">
      <c r="A123" s="10">
        <f>'Student Basic Info'!A123</f>
        <v>622</v>
      </c>
      <c r="B123" s="3">
        <v>10</v>
      </c>
      <c r="C123" s="3">
        <v>27</v>
      </c>
      <c r="D123" s="15">
        <f t="shared" si="4"/>
        <v>37</v>
      </c>
      <c r="E123" s="10" t="str">
        <f t="shared" si="5"/>
        <v>Pass</v>
      </c>
      <c r="F123" s="10" t="str">
        <f t="shared" si="6"/>
        <v>D</v>
      </c>
      <c r="G123" s="11">
        <f t="shared" si="7"/>
        <v>1</v>
      </c>
    </row>
    <row r="124" spans="1:7" x14ac:dyDescent="0.35">
      <c r="A124" s="10">
        <f>'Student Basic Info'!A124</f>
        <v>623</v>
      </c>
      <c r="B124" s="3"/>
      <c r="C124" s="3"/>
      <c r="D124" s="15" t="str">
        <f t="shared" si="4"/>
        <v/>
      </c>
      <c r="E124" s="10" t="str">
        <f t="shared" si="5"/>
        <v/>
      </c>
      <c r="F124" s="10" t="str">
        <f t="shared" si="6"/>
        <v/>
      </c>
      <c r="G124" s="11" t="str">
        <f t="shared" si="7"/>
        <v/>
      </c>
    </row>
    <row r="125" spans="1:7" x14ac:dyDescent="0.35">
      <c r="A125" s="10">
        <f>'Student Basic Info'!A125</f>
        <v>624</v>
      </c>
      <c r="B125" s="3"/>
      <c r="C125" s="3"/>
      <c r="D125" s="15" t="str">
        <f t="shared" si="4"/>
        <v/>
      </c>
      <c r="E125" s="10" t="str">
        <f t="shared" si="5"/>
        <v/>
      </c>
      <c r="F125" s="10" t="str">
        <f t="shared" si="6"/>
        <v/>
      </c>
      <c r="G125" s="11" t="str">
        <f t="shared" si="7"/>
        <v/>
      </c>
    </row>
    <row r="126" spans="1:7" x14ac:dyDescent="0.35">
      <c r="A126" s="10">
        <f>'Student Basic Info'!A126</f>
        <v>625</v>
      </c>
      <c r="B126" s="3"/>
      <c r="C126" s="3"/>
      <c r="D126" s="15" t="str">
        <f t="shared" si="4"/>
        <v/>
      </c>
      <c r="E126" s="10" t="str">
        <f t="shared" si="5"/>
        <v/>
      </c>
      <c r="F126" s="10" t="str">
        <f t="shared" si="6"/>
        <v/>
      </c>
      <c r="G126" s="11" t="str">
        <f t="shared" si="7"/>
        <v/>
      </c>
    </row>
    <row r="127" spans="1:7" x14ac:dyDescent="0.35">
      <c r="A127" s="10">
        <f>'Student Basic Info'!A127</f>
        <v>626</v>
      </c>
      <c r="B127" s="3"/>
      <c r="C127" s="3"/>
      <c r="D127" s="15" t="str">
        <f t="shared" si="4"/>
        <v/>
      </c>
      <c r="E127" s="10" t="str">
        <f t="shared" si="5"/>
        <v/>
      </c>
      <c r="F127" s="10" t="str">
        <f t="shared" si="6"/>
        <v/>
      </c>
      <c r="G127" s="11" t="str">
        <f t="shared" si="7"/>
        <v/>
      </c>
    </row>
    <row r="128" spans="1:7" x14ac:dyDescent="0.35">
      <c r="A128" s="10">
        <f>'Student Basic Info'!A128</f>
        <v>627</v>
      </c>
      <c r="B128" s="3"/>
      <c r="C128" s="3"/>
      <c r="D128" s="15" t="str">
        <f t="shared" si="4"/>
        <v/>
      </c>
      <c r="E128" s="10" t="str">
        <f t="shared" si="5"/>
        <v/>
      </c>
      <c r="F128" s="10" t="str">
        <f t="shared" si="6"/>
        <v/>
      </c>
      <c r="G128" s="11" t="str">
        <f t="shared" si="7"/>
        <v/>
      </c>
    </row>
    <row r="129" spans="1:7" x14ac:dyDescent="0.35">
      <c r="A129" s="10">
        <f>'Student Basic Info'!A129</f>
        <v>628</v>
      </c>
      <c r="B129" s="3"/>
      <c r="C129" s="3"/>
      <c r="D129" s="15" t="str">
        <f t="shared" si="4"/>
        <v/>
      </c>
      <c r="E129" s="10" t="str">
        <f t="shared" si="5"/>
        <v/>
      </c>
      <c r="F129" s="10" t="str">
        <f t="shared" si="6"/>
        <v/>
      </c>
      <c r="G129" s="11" t="str">
        <f t="shared" si="7"/>
        <v/>
      </c>
    </row>
    <row r="130" spans="1:7" x14ac:dyDescent="0.35">
      <c r="A130" s="10">
        <f>'Student Basic Info'!A130</f>
        <v>629</v>
      </c>
      <c r="B130" s="3"/>
      <c r="C130" s="3"/>
      <c r="D130" s="15" t="str">
        <f t="shared" si="4"/>
        <v/>
      </c>
      <c r="E130" s="10" t="str">
        <f>IF(D130="","", IF(AND(B130 &gt;=10,C130&gt;=23),"Pass","Fail"))</f>
        <v/>
      </c>
      <c r="F130" s="10" t="str">
        <f>(IF(D130="","",IF(E130="Fail","F",IF(D130&gt;=80,"A+",IF(D130&gt;=70,"A",IF(D130&gt;=60,"A-",IF(D130&gt;=50,"B",IF(D130&gt;=40,"C",IF(D130&gt;=33,"D","F")))))))))</f>
        <v/>
      </c>
      <c r="G130" s="11" t="str">
        <f t="shared" si="7"/>
        <v/>
      </c>
    </row>
    <row r="131" spans="1:7" x14ac:dyDescent="0.35">
      <c r="A131" s="10">
        <f>'Student Basic Info'!A131</f>
        <v>630</v>
      </c>
      <c r="B131" s="3"/>
      <c r="C131" s="3"/>
      <c r="D131" s="15" t="str">
        <f t="shared" si="4"/>
        <v/>
      </c>
      <c r="E131" s="10" t="str">
        <f t="shared" ref="E131:E145" si="8">IF(D131="","", IF(AND(B131 &gt;=10,C131&gt;=23),"Pass","Fail"))</f>
        <v/>
      </c>
      <c r="F131" s="10" t="str">
        <f t="shared" si="6"/>
        <v/>
      </c>
      <c r="G131" s="11" t="str">
        <f t="shared" si="7"/>
        <v/>
      </c>
    </row>
    <row r="132" spans="1:7" x14ac:dyDescent="0.35">
      <c r="A132" s="10">
        <f>'Student Basic Info'!A132</f>
        <v>631</v>
      </c>
      <c r="B132" s="3"/>
      <c r="C132" s="3"/>
      <c r="D132" s="15" t="str">
        <f t="shared" ref="D132:D145" si="9">IF(B132+C132=0, "", B132+C132)</f>
        <v/>
      </c>
      <c r="E132" s="10" t="str">
        <f t="shared" si="8"/>
        <v/>
      </c>
      <c r="F132" s="10" t="str">
        <f t="shared" ref="F132:F145" si="10">(IF(D132="","",IF(E132="Fail","F",IF(D132&gt;=80,"A+",IF(D132&gt;=70,"A",IF(D132&gt;=60,"A-",IF(D132&gt;=50,"B",IF(D132&gt;=40,"C",IF(D132&gt;=33,"D","F")))))))))</f>
        <v/>
      </c>
      <c r="G132" s="11" t="str">
        <f t="shared" ref="G132:G145" si="11">(IF(D132="","",IF(F132="F",0,IF(D132&gt;=80,5,IF(D132&gt;=70,4,IF(D132&gt;=60,3.5,IF(D132&gt;=50,3,IF(D132&gt;=40,2,IF(D132&gt;=33,1,0)))))))))</f>
        <v/>
      </c>
    </row>
    <row r="133" spans="1:7" x14ac:dyDescent="0.35">
      <c r="A133" s="10">
        <f>'Student Basic Info'!A133</f>
        <v>632</v>
      </c>
      <c r="B133" s="3"/>
      <c r="C133" s="3"/>
      <c r="D133" s="15" t="str">
        <f t="shared" si="9"/>
        <v/>
      </c>
      <c r="E133" s="10" t="str">
        <f t="shared" si="8"/>
        <v/>
      </c>
      <c r="F133" s="10" t="str">
        <f t="shared" si="10"/>
        <v/>
      </c>
      <c r="G133" s="11" t="str">
        <f t="shared" si="11"/>
        <v/>
      </c>
    </row>
    <row r="134" spans="1:7" x14ac:dyDescent="0.35">
      <c r="A134" s="10">
        <f>'Student Basic Info'!A134</f>
        <v>633</v>
      </c>
      <c r="B134" s="3"/>
      <c r="C134" s="3"/>
      <c r="D134" s="15" t="str">
        <f t="shared" si="9"/>
        <v/>
      </c>
      <c r="E134" s="10" t="str">
        <f t="shared" si="8"/>
        <v/>
      </c>
      <c r="F134" s="10" t="str">
        <f t="shared" si="10"/>
        <v/>
      </c>
      <c r="G134" s="11" t="str">
        <f t="shared" si="11"/>
        <v/>
      </c>
    </row>
    <row r="135" spans="1:7" x14ac:dyDescent="0.35">
      <c r="A135" s="10">
        <f>'Student Basic Info'!A135</f>
        <v>634</v>
      </c>
      <c r="B135" s="3"/>
      <c r="C135" s="3"/>
      <c r="D135" s="15" t="str">
        <f t="shared" si="9"/>
        <v/>
      </c>
      <c r="E135" s="10" t="str">
        <f t="shared" si="8"/>
        <v/>
      </c>
      <c r="F135" s="10" t="str">
        <f>(IF(D135="","",IF(E135="Fail","F",IF(D135&gt;=80,"A+",IF(D135&gt;=70,"A",IF(D135&gt;=60,"A-",IF(D135&gt;=50,"B",IF(D135&gt;=40,"C",IF(D135&gt;=33,"D","F")))))))))</f>
        <v/>
      </c>
      <c r="G135" s="11" t="str">
        <f t="shared" si="11"/>
        <v/>
      </c>
    </row>
    <row r="136" spans="1:7" x14ac:dyDescent="0.35">
      <c r="A136" s="10">
        <f>'Student Basic Info'!A136</f>
        <v>635</v>
      </c>
      <c r="B136" s="3"/>
      <c r="C136" s="3"/>
      <c r="D136" s="15" t="str">
        <f t="shared" si="9"/>
        <v/>
      </c>
      <c r="E136" s="10" t="str">
        <f t="shared" si="8"/>
        <v/>
      </c>
      <c r="F136" s="10" t="str">
        <f t="shared" si="10"/>
        <v/>
      </c>
      <c r="G136" s="11" t="str">
        <f t="shared" si="11"/>
        <v/>
      </c>
    </row>
    <row r="137" spans="1:7" x14ac:dyDescent="0.35">
      <c r="A137" s="10">
        <f>'Student Basic Info'!A137</f>
        <v>636</v>
      </c>
      <c r="B137" s="3"/>
      <c r="C137" s="3"/>
      <c r="D137" s="15" t="str">
        <f t="shared" si="9"/>
        <v/>
      </c>
      <c r="E137" s="10" t="str">
        <f t="shared" si="8"/>
        <v/>
      </c>
      <c r="F137" s="10" t="str">
        <f t="shared" si="10"/>
        <v/>
      </c>
      <c r="G137" s="11" t="str">
        <f t="shared" si="11"/>
        <v/>
      </c>
    </row>
    <row r="138" spans="1:7" x14ac:dyDescent="0.35">
      <c r="A138" s="10">
        <f>'Student Basic Info'!A138</f>
        <v>637</v>
      </c>
      <c r="B138" s="3">
        <v>15</v>
      </c>
      <c r="C138" s="3">
        <v>15</v>
      </c>
      <c r="D138" s="15">
        <f t="shared" si="9"/>
        <v>30</v>
      </c>
      <c r="E138" s="10" t="str">
        <f t="shared" si="8"/>
        <v>Fail</v>
      </c>
      <c r="F138" s="10" t="str">
        <f t="shared" si="10"/>
        <v>F</v>
      </c>
      <c r="G138" s="11">
        <f t="shared" si="11"/>
        <v>0</v>
      </c>
    </row>
    <row r="139" spans="1:7" x14ac:dyDescent="0.35">
      <c r="A139" s="10">
        <f>'Student Basic Info'!A139</f>
        <v>638</v>
      </c>
      <c r="B139" s="3"/>
      <c r="C139" s="3"/>
      <c r="D139" s="15" t="str">
        <f t="shared" si="9"/>
        <v/>
      </c>
      <c r="E139" s="10" t="str">
        <f t="shared" si="8"/>
        <v/>
      </c>
      <c r="F139" s="10" t="str">
        <f t="shared" si="10"/>
        <v/>
      </c>
      <c r="G139" s="11" t="str">
        <f t="shared" si="11"/>
        <v/>
      </c>
    </row>
    <row r="140" spans="1:7" x14ac:dyDescent="0.35">
      <c r="A140" s="10">
        <f>'Student Basic Info'!A140</f>
        <v>639</v>
      </c>
      <c r="B140" s="3"/>
      <c r="C140" s="3"/>
      <c r="D140" s="15" t="str">
        <f t="shared" si="9"/>
        <v/>
      </c>
      <c r="E140" s="10" t="str">
        <f t="shared" si="8"/>
        <v/>
      </c>
      <c r="F140" s="10" t="str">
        <f t="shared" si="10"/>
        <v/>
      </c>
      <c r="G140" s="11" t="str">
        <f t="shared" si="11"/>
        <v/>
      </c>
    </row>
    <row r="141" spans="1:7" x14ac:dyDescent="0.35">
      <c r="A141" s="10">
        <f>'Student Basic Info'!A141</f>
        <v>640</v>
      </c>
      <c r="B141" s="3"/>
      <c r="C141" s="3"/>
      <c r="D141" s="15" t="str">
        <f t="shared" si="9"/>
        <v/>
      </c>
      <c r="E141" s="10" t="str">
        <f t="shared" si="8"/>
        <v/>
      </c>
      <c r="F141" s="10" t="str">
        <f t="shared" si="10"/>
        <v/>
      </c>
      <c r="G141" s="11" t="str">
        <f t="shared" si="11"/>
        <v/>
      </c>
    </row>
    <row r="142" spans="1:7" x14ac:dyDescent="0.35">
      <c r="A142" s="10">
        <f>'Student Basic Info'!A142</f>
        <v>641</v>
      </c>
      <c r="B142" s="3">
        <v>16</v>
      </c>
      <c r="C142" s="3">
        <v>31</v>
      </c>
      <c r="D142" s="15">
        <f t="shared" si="9"/>
        <v>47</v>
      </c>
      <c r="E142" s="10" t="str">
        <f t="shared" si="8"/>
        <v>Pass</v>
      </c>
      <c r="F142" s="10" t="str">
        <f t="shared" si="10"/>
        <v>C</v>
      </c>
      <c r="G142" s="11">
        <f t="shared" si="11"/>
        <v>2</v>
      </c>
    </row>
    <row r="143" spans="1:7" x14ac:dyDescent="0.35">
      <c r="A143" s="10">
        <f>'Student Basic Info'!A143</f>
        <v>642</v>
      </c>
      <c r="B143" s="3"/>
      <c r="C143" s="3"/>
      <c r="D143" s="15" t="str">
        <f t="shared" si="9"/>
        <v/>
      </c>
      <c r="E143" s="10" t="str">
        <f t="shared" si="8"/>
        <v/>
      </c>
      <c r="F143" s="10" t="str">
        <f t="shared" si="10"/>
        <v/>
      </c>
      <c r="G143" s="11" t="str">
        <f t="shared" si="11"/>
        <v/>
      </c>
    </row>
    <row r="144" spans="1:7" x14ac:dyDescent="0.35">
      <c r="A144" s="10">
        <f>'Student Basic Info'!A144</f>
        <v>643</v>
      </c>
      <c r="B144" s="3"/>
      <c r="C144" s="3"/>
      <c r="D144" s="15" t="str">
        <f t="shared" si="9"/>
        <v/>
      </c>
      <c r="E144" s="10" t="str">
        <f t="shared" si="8"/>
        <v/>
      </c>
      <c r="F144" s="10" t="str">
        <f t="shared" si="10"/>
        <v/>
      </c>
      <c r="G144" s="11" t="str">
        <f t="shared" si="11"/>
        <v/>
      </c>
    </row>
    <row r="145" spans="1:7" x14ac:dyDescent="0.35">
      <c r="A145" s="10">
        <f>'Student Basic Info'!A145</f>
        <v>644</v>
      </c>
      <c r="B145" s="3">
        <v>9</v>
      </c>
      <c r="C145" s="3">
        <v>11</v>
      </c>
      <c r="D145" s="15">
        <f t="shared" si="9"/>
        <v>20</v>
      </c>
      <c r="E145" s="10" t="str">
        <f t="shared" si="8"/>
        <v>Fail</v>
      </c>
      <c r="F145" s="10" t="str">
        <f t="shared" si="10"/>
        <v>F</v>
      </c>
      <c r="G145" s="11">
        <f t="shared" si="11"/>
        <v>0</v>
      </c>
    </row>
    <row r="146" spans="1:7" x14ac:dyDescent="0.35">
      <c r="A146" s="130">
        <v>1718</v>
      </c>
      <c r="B146" s="130">
        <v>10</v>
      </c>
      <c r="C146" s="130">
        <v>14</v>
      </c>
    </row>
    <row r="147" spans="1:7" x14ac:dyDescent="0.35">
      <c r="A147" s="130">
        <v>1748</v>
      </c>
      <c r="B147" s="130">
        <v>13</v>
      </c>
      <c r="C147" s="130">
        <v>15</v>
      </c>
    </row>
  </sheetData>
  <conditionalFormatting sqref="E2:E145">
    <cfRule type="containsText" dxfId="17" priority="1" operator="containsText" text="Fail">
      <formula>NOT(ISERROR(SEARCH("Fail",E2)))</formula>
    </cfRule>
    <cfRule type="containsText" dxfId="16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0"/>
  <sheetViews>
    <sheetView workbookViewId="0">
      <selection activeCell="C2" sqref="C2"/>
    </sheetView>
  </sheetViews>
  <sheetFormatPr defaultRowHeight="14.5" x14ac:dyDescent="0.35"/>
  <cols>
    <col min="1" max="1" width="8.7265625" style="14"/>
    <col min="2" max="2" width="10.7265625" style="1" bestFit="1" customWidth="1"/>
    <col min="3" max="3" width="9" style="1" bestFit="1" customWidth="1"/>
    <col min="4" max="4" width="10.81640625" style="14" bestFit="1" customWidth="1"/>
    <col min="5" max="7" width="8.7265625" style="14"/>
  </cols>
  <sheetData>
    <row r="1" spans="1:8" x14ac:dyDescent="0.3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10">
        <f>'Student Basic Info'!A2</f>
        <v>501</v>
      </c>
      <c r="B2" s="3"/>
      <c r="C2" s="3"/>
      <c r="D2" s="15" t="str">
        <f>IF(B2+C2=0, "", B2+C2)</f>
        <v/>
      </c>
      <c r="E2" s="10" t="str">
        <f>IF(D2="","", IF(AND(B2 &gt;=10,C2&gt;=23),"Pass","Fail"))</f>
        <v/>
      </c>
      <c r="F2" s="10" t="str">
        <f>(IF(D2="","",IF(E2="Fail","F",IF(D2&gt;=80,"A+",IF(D2&gt;=70,"A",IF(D2&gt;=60,"A-",IF(D2&gt;=50,"B",IF(D2&gt;=40,"C",IF(D2&gt;=33,"D","F")))))))))</f>
        <v/>
      </c>
      <c r="G2" s="11" t="str">
        <f>(IF(D2="","",IF(F2="F",0,IF(D2&gt;=80,5,IF(D2&gt;=70,4,IF(D2&gt;=60,3.5,IF(D2&gt;=50,3,IF(D2&gt;=40,2,IF(D2&gt;=33,1,0)))))))))</f>
        <v/>
      </c>
    </row>
    <row r="3" spans="1:8" x14ac:dyDescent="0.35">
      <c r="A3" s="10">
        <f>'Student Basic Info'!A3</f>
        <v>502</v>
      </c>
      <c r="B3" s="3"/>
      <c r="C3" s="3"/>
      <c r="D3" s="15" t="str">
        <f t="shared" ref="D3:D66" si="0">IF(B3+C3=0, "", B3+C3)</f>
        <v/>
      </c>
      <c r="E3" s="10" t="str">
        <f t="shared" ref="E3:E66" si="1">IF(D3="","", IF(AND(B3 &gt;=10,C3&gt;=23),"Pass","Fail"))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10">
        <f>'Student Basic Info'!A4</f>
        <v>503</v>
      </c>
      <c r="B4" s="3"/>
      <c r="C4" s="3"/>
      <c r="D4" s="15" t="str">
        <f t="shared" si="0"/>
        <v/>
      </c>
      <c r="E4" s="10" t="str">
        <f t="shared" si="1"/>
        <v/>
      </c>
      <c r="F4" s="10" t="str">
        <f t="shared" si="2"/>
        <v/>
      </c>
      <c r="G4" s="11" t="str">
        <f t="shared" si="3"/>
        <v/>
      </c>
    </row>
    <row r="5" spans="1:8" x14ac:dyDescent="0.35">
      <c r="A5" s="10">
        <f>'Student Basic Info'!A5</f>
        <v>504</v>
      </c>
      <c r="B5" s="3"/>
      <c r="C5" s="3"/>
      <c r="D5" s="15" t="str">
        <f t="shared" si="0"/>
        <v/>
      </c>
      <c r="E5" s="10" t="str">
        <f t="shared" si="1"/>
        <v/>
      </c>
      <c r="F5" s="10" t="str">
        <f t="shared" si="2"/>
        <v/>
      </c>
      <c r="G5" s="11" t="str">
        <f t="shared" si="3"/>
        <v/>
      </c>
    </row>
    <row r="6" spans="1:8" x14ac:dyDescent="0.35">
      <c r="A6" s="10">
        <f>'Student Basic Info'!A6</f>
        <v>505</v>
      </c>
      <c r="B6" s="3"/>
      <c r="C6" s="3"/>
      <c r="D6" s="15" t="str">
        <f t="shared" si="0"/>
        <v/>
      </c>
      <c r="E6" s="10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10">
        <f>'Student Basic Info'!A7</f>
        <v>506</v>
      </c>
      <c r="B7" s="3"/>
      <c r="C7" s="3"/>
      <c r="D7" s="15" t="str">
        <f t="shared" si="0"/>
        <v/>
      </c>
      <c r="E7" s="10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10">
        <f>'Student Basic Info'!A8</f>
        <v>507</v>
      </c>
      <c r="B8" s="3">
        <v>10</v>
      </c>
      <c r="C8" s="3">
        <v>25</v>
      </c>
      <c r="D8" s="15">
        <f t="shared" si="0"/>
        <v>35</v>
      </c>
      <c r="E8" s="10" t="str">
        <f t="shared" si="1"/>
        <v>Pass</v>
      </c>
      <c r="F8" s="10" t="str">
        <f t="shared" si="2"/>
        <v>D</v>
      </c>
      <c r="G8" s="11">
        <f t="shared" si="3"/>
        <v>1</v>
      </c>
    </row>
    <row r="9" spans="1:8" x14ac:dyDescent="0.35">
      <c r="A9" s="10">
        <f>'Student Basic Info'!A9</f>
        <v>508</v>
      </c>
      <c r="B9" s="3">
        <v>10</v>
      </c>
      <c r="C9" s="3">
        <v>15</v>
      </c>
      <c r="D9" s="15">
        <f t="shared" si="0"/>
        <v>25</v>
      </c>
      <c r="E9" s="10" t="str">
        <f t="shared" si="1"/>
        <v>Fail</v>
      </c>
      <c r="F9" s="10" t="str">
        <f t="shared" si="2"/>
        <v>F</v>
      </c>
      <c r="G9" s="11">
        <f t="shared" si="3"/>
        <v>0</v>
      </c>
    </row>
    <row r="10" spans="1:8" x14ac:dyDescent="0.35">
      <c r="A10" s="10">
        <f>'Student Basic Info'!A10</f>
        <v>509</v>
      </c>
      <c r="B10" s="3">
        <v>7</v>
      </c>
      <c r="C10" s="3">
        <v>8</v>
      </c>
      <c r="D10" s="15">
        <f t="shared" si="0"/>
        <v>15</v>
      </c>
      <c r="E10" s="10" t="str">
        <f t="shared" si="1"/>
        <v>Fail</v>
      </c>
      <c r="F10" s="10" t="str">
        <f t="shared" si="2"/>
        <v>F</v>
      </c>
      <c r="G10" s="11">
        <f t="shared" si="3"/>
        <v>0</v>
      </c>
    </row>
    <row r="11" spans="1:8" x14ac:dyDescent="0.35">
      <c r="A11" s="10">
        <f>'Student Basic Info'!A11</f>
        <v>510</v>
      </c>
      <c r="B11" s="3"/>
      <c r="C11" s="3"/>
      <c r="D11" s="15" t="str">
        <f t="shared" si="0"/>
        <v/>
      </c>
      <c r="E11" s="10" t="str">
        <f t="shared" si="1"/>
        <v/>
      </c>
      <c r="F11" s="10" t="str">
        <f t="shared" si="2"/>
        <v/>
      </c>
      <c r="G11" s="11" t="str">
        <f t="shared" si="3"/>
        <v/>
      </c>
    </row>
    <row r="12" spans="1:8" x14ac:dyDescent="0.35">
      <c r="A12" s="10">
        <f>'Student Basic Info'!A12</f>
        <v>511</v>
      </c>
      <c r="B12" s="3">
        <v>10</v>
      </c>
      <c r="C12" s="3">
        <v>12</v>
      </c>
      <c r="D12" s="15">
        <f t="shared" si="0"/>
        <v>22</v>
      </c>
      <c r="E12" s="10" t="str">
        <f t="shared" si="1"/>
        <v>Fail</v>
      </c>
      <c r="F12" s="10" t="str">
        <f t="shared" si="2"/>
        <v>F</v>
      </c>
      <c r="G12" s="11">
        <f t="shared" si="3"/>
        <v>0</v>
      </c>
    </row>
    <row r="13" spans="1:8" x14ac:dyDescent="0.35">
      <c r="A13" s="10">
        <f>'Student Basic Info'!A13</f>
        <v>512</v>
      </c>
      <c r="B13" s="3">
        <v>8</v>
      </c>
      <c r="C13" s="3">
        <v>8</v>
      </c>
      <c r="D13" s="15">
        <f t="shared" si="0"/>
        <v>16</v>
      </c>
      <c r="E13" s="10" t="str">
        <f t="shared" si="1"/>
        <v>Fail</v>
      </c>
      <c r="F13" s="10" t="str">
        <f t="shared" si="2"/>
        <v>F</v>
      </c>
      <c r="G13" s="11">
        <f t="shared" si="3"/>
        <v>0</v>
      </c>
    </row>
    <row r="14" spans="1:8" x14ac:dyDescent="0.35">
      <c r="A14" s="10">
        <f>'Student Basic Info'!A14</f>
        <v>513</v>
      </c>
      <c r="B14" s="3">
        <v>13</v>
      </c>
      <c r="C14" s="3">
        <v>7</v>
      </c>
      <c r="D14" s="15">
        <f t="shared" si="0"/>
        <v>20</v>
      </c>
      <c r="E14" s="10" t="str">
        <f t="shared" si="1"/>
        <v>Fail</v>
      </c>
      <c r="F14" s="10" t="str">
        <f t="shared" si="2"/>
        <v>F</v>
      </c>
      <c r="G14" s="11">
        <f t="shared" si="3"/>
        <v>0</v>
      </c>
    </row>
    <row r="15" spans="1:8" x14ac:dyDescent="0.35">
      <c r="A15" s="10">
        <f>'Student Basic Info'!A15</f>
        <v>514</v>
      </c>
      <c r="B15" s="3"/>
      <c r="C15" s="3"/>
      <c r="D15" s="15" t="str">
        <f t="shared" si="0"/>
        <v/>
      </c>
      <c r="E15" s="10" t="str">
        <f t="shared" si="1"/>
        <v/>
      </c>
      <c r="F15" s="10" t="str">
        <f t="shared" si="2"/>
        <v/>
      </c>
      <c r="G15" s="11" t="str">
        <f t="shared" si="3"/>
        <v/>
      </c>
    </row>
    <row r="16" spans="1:8" x14ac:dyDescent="0.35">
      <c r="A16" s="10">
        <f>'Student Basic Info'!A16</f>
        <v>515</v>
      </c>
      <c r="B16" s="3">
        <v>10</v>
      </c>
      <c r="C16" s="3">
        <v>23</v>
      </c>
      <c r="D16" s="15">
        <f t="shared" si="0"/>
        <v>33</v>
      </c>
      <c r="E16" s="10" t="str">
        <f t="shared" si="1"/>
        <v>Pass</v>
      </c>
      <c r="F16" s="10" t="str">
        <f t="shared" si="2"/>
        <v>D</v>
      </c>
      <c r="G16" s="11">
        <f t="shared" si="3"/>
        <v>1</v>
      </c>
    </row>
    <row r="17" spans="1:7" x14ac:dyDescent="0.35">
      <c r="A17" s="10">
        <f>'Student Basic Info'!A17</f>
        <v>516</v>
      </c>
      <c r="B17" s="3">
        <v>13</v>
      </c>
      <c r="C17" s="3">
        <v>23</v>
      </c>
      <c r="D17" s="15">
        <f t="shared" si="0"/>
        <v>36</v>
      </c>
      <c r="E17" s="10" t="str">
        <f t="shared" si="1"/>
        <v>Pass</v>
      </c>
      <c r="F17" s="10" t="str">
        <f t="shared" si="2"/>
        <v>D</v>
      </c>
      <c r="G17" s="11">
        <f t="shared" si="3"/>
        <v>1</v>
      </c>
    </row>
    <row r="18" spans="1:7" x14ac:dyDescent="0.35">
      <c r="A18" s="10">
        <f>'Student Basic Info'!A18</f>
        <v>517</v>
      </c>
      <c r="B18" s="3"/>
      <c r="C18" s="3"/>
      <c r="D18" s="15" t="str">
        <f t="shared" si="0"/>
        <v/>
      </c>
      <c r="E18" s="10" t="str">
        <f t="shared" si="1"/>
        <v/>
      </c>
      <c r="F18" s="10" t="str">
        <f t="shared" si="2"/>
        <v/>
      </c>
      <c r="G18" s="11" t="str">
        <f t="shared" si="3"/>
        <v/>
      </c>
    </row>
    <row r="19" spans="1:7" x14ac:dyDescent="0.35">
      <c r="A19" s="10">
        <f>'Student Basic Info'!A19</f>
        <v>518</v>
      </c>
      <c r="B19" s="3"/>
      <c r="C19" s="3"/>
      <c r="D19" s="15" t="str">
        <f t="shared" si="0"/>
        <v/>
      </c>
      <c r="E19" s="10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10">
        <f>'Student Basic Info'!A20</f>
        <v>519</v>
      </c>
      <c r="B20" s="3">
        <v>13</v>
      </c>
      <c r="C20" s="3">
        <v>12</v>
      </c>
      <c r="D20" s="15">
        <f t="shared" si="0"/>
        <v>25</v>
      </c>
      <c r="E20" s="10" t="str">
        <f t="shared" si="1"/>
        <v>Fail</v>
      </c>
      <c r="F20" s="10" t="str">
        <f t="shared" si="2"/>
        <v>F</v>
      </c>
      <c r="G20" s="11">
        <f t="shared" si="3"/>
        <v>0</v>
      </c>
    </row>
    <row r="21" spans="1:7" x14ac:dyDescent="0.35">
      <c r="A21" s="10">
        <f>'Student Basic Info'!A21</f>
        <v>520</v>
      </c>
      <c r="B21" s="3">
        <v>6</v>
      </c>
      <c r="C21" s="3">
        <v>6</v>
      </c>
      <c r="D21" s="15">
        <f t="shared" si="0"/>
        <v>12</v>
      </c>
      <c r="E21" s="10" t="str">
        <f t="shared" si="1"/>
        <v>Fail</v>
      </c>
      <c r="F21" s="10" t="str">
        <f t="shared" si="2"/>
        <v>F</v>
      </c>
      <c r="G21" s="11">
        <f t="shared" si="3"/>
        <v>0</v>
      </c>
    </row>
    <row r="22" spans="1:7" x14ac:dyDescent="0.35">
      <c r="A22" s="10">
        <f>'Student Basic Info'!A22</f>
        <v>521</v>
      </c>
      <c r="B22" s="3"/>
      <c r="C22" s="3"/>
      <c r="D22" s="15" t="str">
        <f t="shared" si="0"/>
        <v/>
      </c>
      <c r="E22" s="10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10">
        <f>'Student Basic Info'!A23</f>
        <v>522</v>
      </c>
      <c r="B23" s="3">
        <v>18</v>
      </c>
      <c r="C23" s="3">
        <v>44</v>
      </c>
      <c r="D23" s="15">
        <f t="shared" si="0"/>
        <v>62</v>
      </c>
      <c r="E23" s="10" t="str">
        <f t="shared" si="1"/>
        <v>Pass</v>
      </c>
      <c r="F23" s="10" t="str">
        <f t="shared" si="2"/>
        <v>A-</v>
      </c>
      <c r="G23" s="11">
        <f t="shared" si="3"/>
        <v>3.5</v>
      </c>
    </row>
    <row r="24" spans="1:7" x14ac:dyDescent="0.35">
      <c r="A24" s="10">
        <f>'Student Basic Info'!A24</f>
        <v>523</v>
      </c>
      <c r="B24" s="3">
        <v>10</v>
      </c>
      <c r="C24" s="3">
        <v>10</v>
      </c>
      <c r="D24" s="15">
        <f t="shared" si="0"/>
        <v>20</v>
      </c>
      <c r="E24" s="10" t="str">
        <f t="shared" si="1"/>
        <v>Fail</v>
      </c>
      <c r="F24" s="10" t="str">
        <f t="shared" si="2"/>
        <v>F</v>
      </c>
      <c r="G24" s="11">
        <f t="shared" si="3"/>
        <v>0</v>
      </c>
    </row>
    <row r="25" spans="1:7" x14ac:dyDescent="0.35">
      <c r="A25" s="10">
        <f>'Student Basic Info'!A25</f>
        <v>524</v>
      </c>
      <c r="B25" s="3">
        <v>13</v>
      </c>
      <c r="C25" s="3">
        <v>24</v>
      </c>
      <c r="D25" s="15">
        <f t="shared" si="0"/>
        <v>37</v>
      </c>
      <c r="E25" s="10" t="str">
        <f t="shared" si="1"/>
        <v>Pass</v>
      </c>
      <c r="F25" s="10" t="str">
        <f t="shared" si="2"/>
        <v>D</v>
      </c>
      <c r="G25" s="11">
        <f t="shared" si="3"/>
        <v>1</v>
      </c>
    </row>
    <row r="26" spans="1:7" x14ac:dyDescent="0.35">
      <c r="A26" s="10">
        <f>'Student Basic Info'!A26</f>
        <v>525</v>
      </c>
      <c r="B26" s="3"/>
      <c r="C26" s="3"/>
      <c r="D26" s="15" t="str">
        <f t="shared" si="0"/>
        <v/>
      </c>
      <c r="E26" s="10" t="str">
        <f t="shared" si="1"/>
        <v/>
      </c>
      <c r="F26" s="10" t="str">
        <f t="shared" si="2"/>
        <v/>
      </c>
      <c r="G26" s="11" t="str">
        <f t="shared" si="3"/>
        <v/>
      </c>
    </row>
    <row r="27" spans="1:7" x14ac:dyDescent="0.35">
      <c r="A27" s="10">
        <f>'Student Basic Info'!A27</f>
        <v>526</v>
      </c>
      <c r="B27" s="3">
        <v>12</v>
      </c>
      <c r="C27" s="3">
        <v>24</v>
      </c>
      <c r="D27" s="15">
        <f t="shared" si="0"/>
        <v>36</v>
      </c>
      <c r="E27" s="10" t="str">
        <f t="shared" si="1"/>
        <v>Pass</v>
      </c>
      <c r="F27" s="10" t="str">
        <f t="shared" si="2"/>
        <v>D</v>
      </c>
      <c r="G27" s="11">
        <f t="shared" si="3"/>
        <v>1</v>
      </c>
    </row>
    <row r="28" spans="1:7" x14ac:dyDescent="0.35">
      <c r="A28" s="10">
        <f>'Student Basic Info'!A28</f>
        <v>527</v>
      </c>
      <c r="B28" s="3"/>
      <c r="C28" s="3"/>
      <c r="D28" s="15" t="str">
        <f t="shared" si="0"/>
        <v/>
      </c>
      <c r="E28" s="10" t="str">
        <f t="shared" si="1"/>
        <v/>
      </c>
      <c r="F28" s="10" t="str">
        <f t="shared" si="2"/>
        <v/>
      </c>
      <c r="G28" s="11" t="str">
        <f t="shared" si="3"/>
        <v/>
      </c>
    </row>
    <row r="29" spans="1:7" x14ac:dyDescent="0.35">
      <c r="A29" s="10">
        <f>'Student Basic Info'!A29</f>
        <v>528</v>
      </c>
      <c r="B29" s="3">
        <v>16</v>
      </c>
      <c r="C29" s="3">
        <v>28</v>
      </c>
      <c r="D29" s="15">
        <f t="shared" si="0"/>
        <v>44</v>
      </c>
      <c r="E29" s="10" t="str">
        <f t="shared" si="1"/>
        <v>Pass</v>
      </c>
      <c r="F29" s="10" t="str">
        <f t="shared" si="2"/>
        <v>C</v>
      </c>
      <c r="G29" s="11">
        <f t="shared" si="3"/>
        <v>2</v>
      </c>
    </row>
    <row r="30" spans="1:7" x14ac:dyDescent="0.35">
      <c r="A30" s="10">
        <f>'Student Basic Info'!A30</f>
        <v>529</v>
      </c>
      <c r="B30" s="3">
        <v>10</v>
      </c>
      <c r="C30" s="3">
        <v>9</v>
      </c>
      <c r="D30" s="15">
        <f t="shared" si="0"/>
        <v>19</v>
      </c>
      <c r="E30" s="10" t="str">
        <f t="shared" si="1"/>
        <v>Fail</v>
      </c>
      <c r="F30" s="10" t="str">
        <f t="shared" si="2"/>
        <v>F</v>
      </c>
      <c r="G30" s="11">
        <f t="shared" si="3"/>
        <v>0</v>
      </c>
    </row>
    <row r="31" spans="1:7" x14ac:dyDescent="0.35">
      <c r="A31" s="10">
        <f>'Student Basic Info'!A31</f>
        <v>530</v>
      </c>
      <c r="B31" s="3"/>
      <c r="C31" s="3"/>
      <c r="D31" s="15" t="str">
        <f t="shared" si="0"/>
        <v/>
      </c>
      <c r="E31" s="10" t="str">
        <f t="shared" si="1"/>
        <v/>
      </c>
      <c r="F31" s="10" t="str">
        <f t="shared" si="2"/>
        <v/>
      </c>
      <c r="G31" s="11" t="str">
        <f t="shared" si="3"/>
        <v/>
      </c>
    </row>
    <row r="32" spans="1:7" x14ac:dyDescent="0.35">
      <c r="A32" s="10">
        <f>'Student Basic Info'!A32</f>
        <v>531</v>
      </c>
      <c r="B32" s="3">
        <v>7</v>
      </c>
      <c r="C32" s="3">
        <v>13</v>
      </c>
      <c r="D32" s="15">
        <f t="shared" si="0"/>
        <v>20</v>
      </c>
      <c r="E32" s="10" t="str">
        <f t="shared" si="1"/>
        <v>Fail</v>
      </c>
      <c r="F32" s="10" t="str">
        <f t="shared" si="2"/>
        <v>F</v>
      </c>
      <c r="G32" s="11">
        <f t="shared" si="3"/>
        <v>0</v>
      </c>
    </row>
    <row r="33" spans="1:7" x14ac:dyDescent="0.35">
      <c r="A33" s="10">
        <f>'Student Basic Info'!A33</f>
        <v>532</v>
      </c>
      <c r="B33" s="3"/>
      <c r="C33" s="3"/>
      <c r="D33" s="15" t="str">
        <f t="shared" si="0"/>
        <v/>
      </c>
      <c r="E33" s="10" t="str">
        <f t="shared" si="1"/>
        <v/>
      </c>
      <c r="F33" s="10" t="str">
        <f t="shared" si="2"/>
        <v/>
      </c>
      <c r="G33" s="11" t="str">
        <f t="shared" si="3"/>
        <v/>
      </c>
    </row>
    <row r="34" spans="1:7" x14ac:dyDescent="0.35">
      <c r="A34" s="10">
        <f>'Student Basic Info'!A34</f>
        <v>533</v>
      </c>
      <c r="B34" s="3"/>
      <c r="C34" s="3"/>
      <c r="D34" s="15" t="str">
        <f t="shared" si="0"/>
        <v/>
      </c>
      <c r="E34" s="10" t="str">
        <f t="shared" si="1"/>
        <v/>
      </c>
      <c r="F34" s="10" t="str">
        <f t="shared" si="2"/>
        <v/>
      </c>
      <c r="G34" s="11" t="str">
        <f t="shared" si="3"/>
        <v/>
      </c>
    </row>
    <row r="35" spans="1:7" x14ac:dyDescent="0.35">
      <c r="A35" s="10">
        <f>'Student Basic Info'!A35</f>
        <v>534</v>
      </c>
      <c r="B35" s="3"/>
      <c r="C35" s="3"/>
      <c r="D35" s="15" t="str">
        <f t="shared" si="0"/>
        <v/>
      </c>
      <c r="E35" s="10" t="str">
        <f t="shared" si="1"/>
        <v/>
      </c>
      <c r="F35" s="10" t="str">
        <f t="shared" si="2"/>
        <v/>
      </c>
      <c r="G35" s="11" t="str">
        <f t="shared" si="3"/>
        <v/>
      </c>
    </row>
    <row r="36" spans="1:7" x14ac:dyDescent="0.35">
      <c r="A36" s="10">
        <f>'Student Basic Info'!A36</f>
        <v>535</v>
      </c>
      <c r="B36" s="3"/>
      <c r="C36" s="3"/>
      <c r="D36" s="15" t="str">
        <f t="shared" si="0"/>
        <v/>
      </c>
      <c r="E36" s="10" t="str">
        <f t="shared" si="1"/>
        <v/>
      </c>
      <c r="F36" s="10" t="str">
        <f t="shared" si="2"/>
        <v/>
      </c>
      <c r="G36" s="11" t="str">
        <f t="shared" si="3"/>
        <v/>
      </c>
    </row>
    <row r="37" spans="1:7" x14ac:dyDescent="0.35">
      <c r="A37" s="10">
        <f>'Student Basic Info'!A37</f>
        <v>536</v>
      </c>
      <c r="B37" s="3">
        <v>12</v>
      </c>
      <c r="C37" s="3">
        <v>10</v>
      </c>
      <c r="D37" s="15">
        <f t="shared" si="0"/>
        <v>22</v>
      </c>
      <c r="E37" s="10" t="str">
        <f t="shared" si="1"/>
        <v>Fail</v>
      </c>
      <c r="F37" s="10" t="str">
        <f t="shared" si="2"/>
        <v>F</v>
      </c>
      <c r="G37" s="11">
        <f t="shared" si="3"/>
        <v>0</v>
      </c>
    </row>
    <row r="38" spans="1:7" x14ac:dyDescent="0.35">
      <c r="A38" s="10">
        <f>'Student Basic Info'!A38</f>
        <v>537</v>
      </c>
      <c r="B38" s="3">
        <v>10</v>
      </c>
      <c r="C38" s="3">
        <v>12</v>
      </c>
      <c r="D38" s="15">
        <f t="shared" si="0"/>
        <v>22</v>
      </c>
      <c r="E38" s="10" t="str">
        <f t="shared" si="1"/>
        <v>Fail</v>
      </c>
      <c r="F38" s="10" t="str">
        <f t="shared" si="2"/>
        <v>F</v>
      </c>
      <c r="G38" s="11">
        <f t="shared" si="3"/>
        <v>0</v>
      </c>
    </row>
    <row r="39" spans="1:7" x14ac:dyDescent="0.35">
      <c r="A39" s="10">
        <f>'Student Basic Info'!A39</f>
        <v>538</v>
      </c>
      <c r="B39" s="3">
        <v>10</v>
      </c>
      <c r="C39" s="3">
        <v>23</v>
      </c>
      <c r="D39" s="15">
        <f t="shared" si="0"/>
        <v>33</v>
      </c>
      <c r="E39" s="10" t="str">
        <f t="shared" si="1"/>
        <v>Pass</v>
      </c>
      <c r="F39" s="10" t="str">
        <f t="shared" si="2"/>
        <v>D</v>
      </c>
      <c r="G39" s="11">
        <f t="shared" si="3"/>
        <v>1</v>
      </c>
    </row>
    <row r="40" spans="1:7" x14ac:dyDescent="0.35">
      <c r="A40" s="10">
        <f>'Student Basic Info'!A40</f>
        <v>539</v>
      </c>
      <c r="B40" s="3">
        <v>3</v>
      </c>
      <c r="C40" s="3">
        <v>2</v>
      </c>
      <c r="D40" s="15">
        <f t="shared" si="0"/>
        <v>5</v>
      </c>
      <c r="E40" s="10" t="str">
        <f t="shared" si="1"/>
        <v>Fail</v>
      </c>
      <c r="F40" s="10" t="str">
        <f t="shared" si="2"/>
        <v>F</v>
      </c>
      <c r="G40" s="11">
        <f t="shared" si="3"/>
        <v>0</v>
      </c>
    </row>
    <row r="41" spans="1:7" x14ac:dyDescent="0.35">
      <c r="A41" s="10">
        <f>'Student Basic Info'!A41</f>
        <v>540</v>
      </c>
      <c r="B41" s="3">
        <v>10</v>
      </c>
      <c r="C41" s="3">
        <v>3</v>
      </c>
      <c r="D41" s="15">
        <f t="shared" si="0"/>
        <v>13</v>
      </c>
      <c r="E41" s="10" t="str">
        <f t="shared" si="1"/>
        <v>Fail</v>
      </c>
      <c r="F41" s="10" t="str">
        <f t="shared" si="2"/>
        <v>F</v>
      </c>
      <c r="G41" s="11">
        <f t="shared" si="3"/>
        <v>0</v>
      </c>
    </row>
    <row r="42" spans="1:7" x14ac:dyDescent="0.35">
      <c r="A42" s="10">
        <f>'Student Basic Info'!A42</f>
        <v>541</v>
      </c>
      <c r="B42" s="3"/>
      <c r="C42" s="3"/>
      <c r="D42" s="15" t="str">
        <f t="shared" si="0"/>
        <v/>
      </c>
      <c r="E42" s="10" t="str">
        <f t="shared" si="1"/>
        <v/>
      </c>
      <c r="F42" s="10" t="str">
        <f t="shared" si="2"/>
        <v/>
      </c>
      <c r="G42" s="11" t="str">
        <f t="shared" si="3"/>
        <v/>
      </c>
    </row>
    <row r="43" spans="1:7" x14ac:dyDescent="0.35">
      <c r="A43" s="10">
        <f>'Student Basic Info'!A43</f>
        <v>542</v>
      </c>
      <c r="B43" s="3"/>
      <c r="C43" s="3"/>
      <c r="D43" s="15" t="str">
        <f t="shared" si="0"/>
        <v/>
      </c>
      <c r="E43" s="10" t="str">
        <f t="shared" si="1"/>
        <v/>
      </c>
      <c r="F43" s="10" t="str">
        <f t="shared" si="2"/>
        <v/>
      </c>
      <c r="G43" s="11" t="str">
        <f t="shared" si="3"/>
        <v/>
      </c>
    </row>
    <row r="44" spans="1:7" x14ac:dyDescent="0.35">
      <c r="A44" s="10">
        <f>'Student Basic Info'!A44</f>
        <v>543</v>
      </c>
      <c r="B44" s="3"/>
      <c r="C44" s="3"/>
      <c r="D44" s="15" t="str">
        <f t="shared" si="0"/>
        <v/>
      </c>
      <c r="E44" s="10" t="str">
        <f t="shared" si="1"/>
        <v/>
      </c>
      <c r="F44" s="10" t="str">
        <f t="shared" si="2"/>
        <v/>
      </c>
      <c r="G44" s="11" t="str">
        <f t="shared" si="3"/>
        <v/>
      </c>
    </row>
    <row r="45" spans="1:7" x14ac:dyDescent="0.35">
      <c r="A45" s="10">
        <f>'Student Basic Info'!A45</f>
        <v>544</v>
      </c>
      <c r="B45" s="3">
        <v>10</v>
      </c>
      <c r="C45" s="3">
        <v>8</v>
      </c>
      <c r="D45" s="15">
        <f t="shared" si="0"/>
        <v>18</v>
      </c>
      <c r="E45" s="10" t="str">
        <f t="shared" si="1"/>
        <v>Fail</v>
      </c>
      <c r="F45" s="10" t="str">
        <f t="shared" si="2"/>
        <v>F</v>
      </c>
      <c r="G45" s="11">
        <f t="shared" si="3"/>
        <v>0</v>
      </c>
    </row>
    <row r="46" spans="1:7" x14ac:dyDescent="0.35">
      <c r="A46" s="10">
        <f>'Student Basic Info'!A46</f>
        <v>545</v>
      </c>
      <c r="B46" s="3"/>
      <c r="C46" s="3"/>
      <c r="D46" s="15" t="str">
        <f t="shared" si="0"/>
        <v/>
      </c>
      <c r="E46" s="10" t="str">
        <f t="shared" si="1"/>
        <v/>
      </c>
      <c r="F46" s="10" t="str">
        <f t="shared" si="2"/>
        <v/>
      </c>
      <c r="G46" s="11" t="str">
        <f t="shared" si="3"/>
        <v/>
      </c>
    </row>
    <row r="47" spans="1:7" x14ac:dyDescent="0.35">
      <c r="A47" s="10">
        <f>'Student Basic Info'!A47</f>
        <v>546</v>
      </c>
      <c r="B47" s="3">
        <v>3</v>
      </c>
      <c r="C47" s="3">
        <v>8</v>
      </c>
      <c r="D47" s="15">
        <f t="shared" si="0"/>
        <v>11</v>
      </c>
      <c r="E47" s="10" t="str">
        <f t="shared" si="1"/>
        <v>Fail</v>
      </c>
      <c r="F47" s="10" t="str">
        <f t="shared" si="2"/>
        <v>F</v>
      </c>
      <c r="G47" s="11">
        <f t="shared" si="3"/>
        <v>0</v>
      </c>
    </row>
    <row r="48" spans="1:7" x14ac:dyDescent="0.35">
      <c r="A48" s="10">
        <f>'Student Basic Info'!A48</f>
        <v>547</v>
      </c>
      <c r="B48" s="3"/>
      <c r="C48" s="3"/>
      <c r="D48" s="15" t="str">
        <f t="shared" si="0"/>
        <v/>
      </c>
      <c r="E48" s="10" t="str">
        <f t="shared" si="1"/>
        <v/>
      </c>
      <c r="F48" s="10" t="str">
        <f t="shared" si="2"/>
        <v/>
      </c>
      <c r="G48" s="11" t="str">
        <f t="shared" si="3"/>
        <v/>
      </c>
    </row>
    <row r="49" spans="1:7" x14ac:dyDescent="0.35">
      <c r="A49" s="10">
        <f>'Student Basic Info'!A49</f>
        <v>548</v>
      </c>
      <c r="B49" s="3"/>
      <c r="C49" s="3"/>
      <c r="D49" s="15" t="str">
        <f t="shared" si="0"/>
        <v/>
      </c>
      <c r="E49" s="10" t="str">
        <f t="shared" si="1"/>
        <v/>
      </c>
      <c r="F49" s="10" t="str">
        <f t="shared" si="2"/>
        <v/>
      </c>
      <c r="G49" s="11" t="str">
        <f t="shared" si="3"/>
        <v/>
      </c>
    </row>
    <row r="50" spans="1:7" x14ac:dyDescent="0.35">
      <c r="A50" s="10">
        <f>'Student Basic Info'!A50</f>
        <v>549</v>
      </c>
      <c r="B50" s="3">
        <v>10</v>
      </c>
      <c r="C50" s="3">
        <v>1</v>
      </c>
      <c r="D50" s="15">
        <f t="shared" si="0"/>
        <v>11</v>
      </c>
      <c r="E50" s="10" t="str">
        <f t="shared" si="1"/>
        <v>Fail</v>
      </c>
      <c r="F50" s="10" t="str">
        <f t="shared" si="2"/>
        <v>F</v>
      </c>
      <c r="G50" s="11">
        <f t="shared" si="3"/>
        <v>0</v>
      </c>
    </row>
    <row r="51" spans="1:7" x14ac:dyDescent="0.35">
      <c r="A51" s="10">
        <f>'Student Basic Info'!A51</f>
        <v>550</v>
      </c>
      <c r="B51" s="3"/>
      <c r="C51" s="3"/>
      <c r="D51" s="15" t="str">
        <f t="shared" si="0"/>
        <v/>
      </c>
      <c r="E51" s="10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10">
        <f>'Student Basic Info'!A52</f>
        <v>551</v>
      </c>
      <c r="B52" s="3"/>
      <c r="C52" s="3"/>
      <c r="D52" s="15" t="str">
        <f t="shared" si="0"/>
        <v/>
      </c>
      <c r="E52" s="10" t="str">
        <f t="shared" si="1"/>
        <v/>
      </c>
      <c r="F52" s="10" t="str">
        <f t="shared" si="2"/>
        <v/>
      </c>
      <c r="G52" s="11" t="str">
        <f t="shared" si="3"/>
        <v/>
      </c>
    </row>
    <row r="53" spans="1:7" x14ac:dyDescent="0.35">
      <c r="A53" s="10">
        <f>'Student Basic Info'!A53</f>
        <v>552</v>
      </c>
      <c r="B53" s="3">
        <v>10</v>
      </c>
      <c r="C53" s="3">
        <v>8</v>
      </c>
      <c r="D53" s="15">
        <f t="shared" si="0"/>
        <v>18</v>
      </c>
      <c r="E53" s="10" t="str">
        <f t="shared" si="1"/>
        <v>Fail</v>
      </c>
      <c r="F53" s="10" t="str">
        <f t="shared" si="2"/>
        <v>F</v>
      </c>
      <c r="G53" s="11">
        <f t="shared" si="3"/>
        <v>0</v>
      </c>
    </row>
    <row r="54" spans="1:7" x14ac:dyDescent="0.35">
      <c r="A54" s="10">
        <f>'Student Basic Info'!A54</f>
        <v>553</v>
      </c>
      <c r="B54" s="3"/>
      <c r="C54" s="3"/>
      <c r="D54" s="15" t="str">
        <f t="shared" si="0"/>
        <v/>
      </c>
      <c r="E54" s="10" t="str">
        <f t="shared" si="1"/>
        <v/>
      </c>
      <c r="F54" s="10" t="str">
        <f t="shared" si="2"/>
        <v/>
      </c>
      <c r="G54" s="11" t="str">
        <f t="shared" si="3"/>
        <v/>
      </c>
    </row>
    <row r="55" spans="1:7" x14ac:dyDescent="0.35">
      <c r="A55" s="10">
        <f>'Student Basic Info'!A55</f>
        <v>554</v>
      </c>
      <c r="B55" s="3">
        <v>7</v>
      </c>
      <c r="C55" s="3">
        <v>2</v>
      </c>
      <c r="D55" s="15">
        <f t="shared" si="0"/>
        <v>9</v>
      </c>
      <c r="E55" s="10" t="str">
        <f t="shared" si="1"/>
        <v>Fail</v>
      </c>
      <c r="F55" s="10" t="str">
        <f t="shared" si="2"/>
        <v>F</v>
      </c>
      <c r="G55" s="11">
        <f t="shared" si="3"/>
        <v>0</v>
      </c>
    </row>
    <row r="56" spans="1:7" x14ac:dyDescent="0.35">
      <c r="A56" s="10">
        <f>'Student Basic Info'!A56</f>
        <v>555</v>
      </c>
      <c r="B56" s="3">
        <v>13</v>
      </c>
      <c r="C56" s="3">
        <v>23</v>
      </c>
      <c r="D56" s="15">
        <f t="shared" si="0"/>
        <v>36</v>
      </c>
      <c r="E56" s="10" t="str">
        <f t="shared" si="1"/>
        <v>Pass</v>
      </c>
      <c r="F56" s="10" t="str">
        <f t="shared" si="2"/>
        <v>D</v>
      </c>
      <c r="G56" s="11">
        <f t="shared" si="3"/>
        <v>1</v>
      </c>
    </row>
    <row r="57" spans="1:7" x14ac:dyDescent="0.35">
      <c r="A57" s="10">
        <f>'Student Basic Info'!A57</f>
        <v>556</v>
      </c>
      <c r="B57" s="3">
        <v>10</v>
      </c>
      <c r="C57" s="3">
        <v>16</v>
      </c>
      <c r="D57" s="15">
        <f t="shared" si="0"/>
        <v>26</v>
      </c>
      <c r="E57" s="10" t="str">
        <f t="shared" si="1"/>
        <v>Fail</v>
      </c>
      <c r="F57" s="10" t="str">
        <f t="shared" si="2"/>
        <v>F</v>
      </c>
      <c r="G57" s="11">
        <f t="shared" si="3"/>
        <v>0</v>
      </c>
    </row>
    <row r="58" spans="1:7" x14ac:dyDescent="0.35">
      <c r="A58" s="10">
        <f>'Student Basic Info'!A58</f>
        <v>557</v>
      </c>
      <c r="B58" s="3">
        <v>10</v>
      </c>
      <c r="C58" s="3">
        <v>23</v>
      </c>
      <c r="D58" s="15">
        <f t="shared" si="0"/>
        <v>33</v>
      </c>
      <c r="E58" s="10" t="str">
        <f t="shared" si="1"/>
        <v>Pass</v>
      </c>
      <c r="F58" s="10" t="str">
        <f t="shared" si="2"/>
        <v>D</v>
      </c>
      <c r="G58" s="11">
        <f t="shared" si="3"/>
        <v>1</v>
      </c>
    </row>
    <row r="59" spans="1:7" x14ac:dyDescent="0.35">
      <c r="A59" s="10">
        <f>'Student Basic Info'!A59</f>
        <v>558</v>
      </c>
      <c r="B59" s="3">
        <v>15</v>
      </c>
      <c r="C59" s="3">
        <v>25</v>
      </c>
      <c r="D59" s="15">
        <f t="shared" si="0"/>
        <v>40</v>
      </c>
      <c r="E59" s="10" t="str">
        <f t="shared" si="1"/>
        <v>Pass</v>
      </c>
      <c r="F59" s="10" t="str">
        <f t="shared" si="2"/>
        <v>C</v>
      </c>
      <c r="G59" s="11">
        <f t="shared" si="3"/>
        <v>2</v>
      </c>
    </row>
    <row r="60" spans="1:7" x14ac:dyDescent="0.35">
      <c r="A60" s="10">
        <f>'Student Basic Info'!A60</f>
        <v>559</v>
      </c>
      <c r="B60" s="3">
        <v>10</v>
      </c>
      <c r="C60" s="3">
        <v>23</v>
      </c>
      <c r="D60" s="15">
        <f t="shared" si="0"/>
        <v>33</v>
      </c>
      <c r="E60" s="10" t="str">
        <f t="shared" si="1"/>
        <v>Pass</v>
      </c>
      <c r="F60" s="10" t="str">
        <f t="shared" si="2"/>
        <v>D</v>
      </c>
      <c r="G60" s="11">
        <f t="shared" si="3"/>
        <v>1</v>
      </c>
    </row>
    <row r="61" spans="1:7" x14ac:dyDescent="0.35">
      <c r="A61" s="10">
        <f>'Student Basic Info'!A61</f>
        <v>560</v>
      </c>
      <c r="B61" s="3">
        <v>10</v>
      </c>
      <c r="C61" s="3">
        <v>23</v>
      </c>
      <c r="D61" s="15">
        <f t="shared" si="0"/>
        <v>33</v>
      </c>
      <c r="E61" s="10" t="str">
        <f t="shared" si="1"/>
        <v>Pass</v>
      </c>
      <c r="F61" s="10" t="str">
        <f t="shared" si="2"/>
        <v>D</v>
      </c>
      <c r="G61" s="11">
        <f t="shared" si="3"/>
        <v>1</v>
      </c>
    </row>
    <row r="62" spans="1:7" x14ac:dyDescent="0.35">
      <c r="A62" s="10">
        <f>'Student Basic Info'!A62</f>
        <v>561</v>
      </c>
      <c r="B62" s="3"/>
      <c r="C62" s="3"/>
      <c r="D62" s="15" t="str">
        <f t="shared" si="0"/>
        <v/>
      </c>
      <c r="E62" s="10" t="str">
        <f t="shared" si="1"/>
        <v/>
      </c>
      <c r="F62" s="10" t="str">
        <f t="shared" si="2"/>
        <v/>
      </c>
      <c r="G62" s="11" t="str">
        <f t="shared" si="3"/>
        <v/>
      </c>
    </row>
    <row r="63" spans="1:7" x14ac:dyDescent="0.35">
      <c r="A63" s="10">
        <f>'Student Basic Info'!A63</f>
        <v>562</v>
      </c>
      <c r="B63" s="3"/>
      <c r="C63" s="3"/>
      <c r="D63" s="15" t="str">
        <f t="shared" si="0"/>
        <v/>
      </c>
      <c r="E63" s="10" t="str">
        <f t="shared" si="1"/>
        <v/>
      </c>
      <c r="F63" s="10" t="str">
        <f t="shared" si="2"/>
        <v/>
      </c>
      <c r="G63" s="11" t="str">
        <f t="shared" si="3"/>
        <v/>
      </c>
    </row>
    <row r="64" spans="1:7" x14ac:dyDescent="0.35">
      <c r="A64" s="10">
        <f>'Student Basic Info'!A64</f>
        <v>563</v>
      </c>
      <c r="B64" s="3"/>
      <c r="C64" s="3"/>
      <c r="D64" s="15" t="str">
        <f t="shared" si="0"/>
        <v/>
      </c>
      <c r="E64" s="10" t="str">
        <f t="shared" si="1"/>
        <v/>
      </c>
      <c r="F64" s="10" t="str">
        <f t="shared" si="2"/>
        <v/>
      </c>
      <c r="G64" s="11" t="str">
        <f t="shared" si="3"/>
        <v/>
      </c>
    </row>
    <row r="65" spans="1:7" x14ac:dyDescent="0.35">
      <c r="A65" s="10">
        <f>'Student Basic Info'!A65</f>
        <v>564</v>
      </c>
      <c r="B65" s="3"/>
      <c r="C65" s="3"/>
      <c r="D65" s="15" t="str">
        <f t="shared" si="0"/>
        <v/>
      </c>
      <c r="E65" s="10" t="str">
        <f t="shared" si="1"/>
        <v/>
      </c>
      <c r="F65" s="10" t="str">
        <f t="shared" si="2"/>
        <v/>
      </c>
      <c r="G65" s="11" t="str">
        <f t="shared" si="3"/>
        <v/>
      </c>
    </row>
    <row r="66" spans="1:7" x14ac:dyDescent="0.35">
      <c r="A66" s="10">
        <f>'Student Basic Info'!A66</f>
        <v>565</v>
      </c>
      <c r="B66" s="3"/>
      <c r="C66" s="3"/>
      <c r="D66" s="15" t="str">
        <f t="shared" si="0"/>
        <v/>
      </c>
      <c r="E66" s="10" t="str">
        <f t="shared" si="1"/>
        <v/>
      </c>
      <c r="F66" s="10" t="str">
        <f t="shared" si="2"/>
        <v/>
      </c>
      <c r="G66" s="11" t="str">
        <f t="shared" si="3"/>
        <v/>
      </c>
    </row>
    <row r="67" spans="1:7" x14ac:dyDescent="0.35">
      <c r="A67" s="10">
        <f>'Student Basic Info'!A67</f>
        <v>566</v>
      </c>
      <c r="B67" s="3"/>
      <c r="C67" s="3"/>
      <c r="D67" s="15" t="str">
        <f t="shared" ref="D67:D131" si="4">IF(B67+C67=0, "", B67+C67)</f>
        <v/>
      </c>
      <c r="E67" s="10" t="str">
        <f t="shared" ref="E67:E131" si="5">IF(D67="","", IF(AND(B67 &gt;=10,C67&gt;=23),"Pass","Fail"))</f>
        <v/>
      </c>
      <c r="F67" s="10" t="str">
        <f t="shared" ref="F67:F131" si="6">(IF(D67="","",IF(E67="Fail","F",IF(D67&gt;=80,"A+",IF(D67&gt;=70,"A",IF(D67&gt;=60,"A-",IF(D67&gt;=50,"B",IF(D67&gt;=40,"C",IF(D67&gt;=33,"D","F")))))))))</f>
        <v/>
      </c>
      <c r="G67" s="11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10">
        <f>'Student Basic Info'!A68</f>
        <v>567</v>
      </c>
      <c r="B68" s="3">
        <v>5</v>
      </c>
      <c r="C68" s="3">
        <v>7</v>
      </c>
      <c r="D68" s="15">
        <f t="shared" si="4"/>
        <v>12</v>
      </c>
      <c r="E68" s="10" t="str">
        <f t="shared" si="5"/>
        <v>Fail</v>
      </c>
      <c r="F68" s="10" t="str">
        <f t="shared" si="6"/>
        <v>F</v>
      </c>
      <c r="G68" s="11">
        <f t="shared" si="7"/>
        <v>0</v>
      </c>
    </row>
    <row r="69" spans="1:7" x14ac:dyDescent="0.35">
      <c r="A69" s="10">
        <f>'Student Basic Info'!A69</f>
        <v>568</v>
      </c>
      <c r="B69" s="3">
        <v>11</v>
      </c>
      <c r="C69" s="3">
        <v>3</v>
      </c>
      <c r="D69" s="15">
        <f t="shared" si="4"/>
        <v>14</v>
      </c>
      <c r="E69" s="10" t="str">
        <f t="shared" si="5"/>
        <v>Fail</v>
      </c>
      <c r="F69" s="10" t="str">
        <f t="shared" si="6"/>
        <v>F</v>
      </c>
      <c r="G69" s="11">
        <f t="shared" si="7"/>
        <v>0</v>
      </c>
    </row>
    <row r="70" spans="1:7" x14ac:dyDescent="0.35">
      <c r="A70" s="10">
        <f>'Student Basic Info'!A70</f>
        <v>569</v>
      </c>
      <c r="B70" s="3"/>
      <c r="C70" s="3"/>
      <c r="D70" s="15" t="str">
        <f t="shared" si="4"/>
        <v/>
      </c>
      <c r="E70" s="10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10">
        <f>'Student Basic Info'!A71</f>
        <v>570</v>
      </c>
      <c r="B71" s="3"/>
      <c r="C71" s="3"/>
      <c r="D71" s="15" t="str">
        <f t="shared" si="4"/>
        <v/>
      </c>
      <c r="E71" s="10" t="str">
        <f t="shared" si="5"/>
        <v/>
      </c>
      <c r="F71" s="10" t="str">
        <f t="shared" si="6"/>
        <v/>
      </c>
      <c r="G71" s="11" t="str">
        <f t="shared" si="7"/>
        <v/>
      </c>
    </row>
    <row r="72" spans="1:7" x14ac:dyDescent="0.35">
      <c r="A72" s="10">
        <f>'Student Basic Info'!A72</f>
        <v>571</v>
      </c>
      <c r="B72" s="3"/>
      <c r="C72" s="3"/>
      <c r="D72" s="15" t="str">
        <f t="shared" si="4"/>
        <v/>
      </c>
      <c r="E72" s="10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10">
        <f>'Student Basic Info'!A73</f>
        <v>572</v>
      </c>
      <c r="B73" s="3">
        <v>5</v>
      </c>
      <c r="C73" s="3">
        <v>3</v>
      </c>
      <c r="D73" s="15">
        <f t="shared" si="4"/>
        <v>8</v>
      </c>
      <c r="E73" s="10" t="str">
        <f t="shared" si="5"/>
        <v>Fail</v>
      </c>
      <c r="F73" s="10" t="str">
        <f t="shared" si="6"/>
        <v>F</v>
      </c>
      <c r="G73" s="11">
        <f t="shared" si="7"/>
        <v>0</v>
      </c>
    </row>
    <row r="74" spans="1:7" x14ac:dyDescent="0.35">
      <c r="A74" s="10">
        <f>'Student Basic Info'!A74</f>
        <v>573</v>
      </c>
      <c r="B74" s="3">
        <v>7</v>
      </c>
      <c r="C74" s="3">
        <v>4</v>
      </c>
      <c r="D74" s="15">
        <f t="shared" si="4"/>
        <v>11</v>
      </c>
      <c r="E74" s="10" t="str">
        <f t="shared" si="5"/>
        <v>Fail</v>
      </c>
      <c r="F74" s="10" t="str">
        <f t="shared" si="6"/>
        <v>F</v>
      </c>
      <c r="G74" s="11">
        <f t="shared" si="7"/>
        <v>0</v>
      </c>
    </row>
    <row r="75" spans="1:7" x14ac:dyDescent="0.35">
      <c r="A75" s="10">
        <f>'Student Basic Info'!A75</f>
        <v>574</v>
      </c>
      <c r="B75" s="3">
        <v>7</v>
      </c>
      <c r="C75" s="3">
        <v>7</v>
      </c>
      <c r="D75" s="15">
        <f t="shared" si="4"/>
        <v>14</v>
      </c>
      <c r="E75" s="10" t="str">
        <f t="shared" si="5"/>
        <v>Fail</v>
      </c>
      <c r="F75" s="10" t="str">
        <f t="shared" si="6"/>
        <v>F</v>
      </c>
      <c r="G75" s="11">
        <f t="shared" si="7"/>
        <v>0</v>
      </c>
    </row>
    <row r="76" spans="1:7" x14ac:dyDescent="0.35">
      <c r="A76" s="10">
        <f>'Student Basic Info'!A76</f>
        <v>575</v>
      </c>
      <c r="B76" s="3"/>
      <c r="C76" s="3"/>
      <c r="D76" s="15" t="str">
        <f t="shared" si="4"/>
        <v/>
      </c>
      <c r="E76" s="10" t="str">
        <f t="shared" si="5"/>
        <v/>
      </c>
      <c r="F76" s="10" t="str">
        <f t="shared" si="6"/>
        <v/>
      </c>
      <c r="G76" s="11" t="str">
        <f t="shared" si="7"/>
        <v/>
      </c>
    </row>
    <row r="77" spans="1:7" x14ac:dyDescent="0.35">
      <c r="A77" s="10">
        <f>'Student Basic Info'!A77</f>
        <v>576</v>
      </c>
      <c r="B77" s="3"/>
      <c r="C77" s="3"/>
      <c r="D77" s="15" t="str">
        <f t="shared" si="4"/>
        <v/>
      </c>
      <c r="E77" s="10" t="str">
        <f t="shared" si="5"/>
        <v/>
      </c>
      <c r="F77" s="10" t="str">
        <f t="shared" si="6"/>
        <v/>
      </c>
      <c r="G77" s="11" t="str">
        <f t="shared" si="7"/>
        <v/>
      </c>
    </row>
    <row r="78" spans="1:7" x14ac:dyDescent="0.35">
      <c r="A78" s="10">
        <f>'Student Basic Info'!A78</f>
        <v>577</v>
      </c>
      <c r="B78" s="3">
        <v>6</v>
      </c>
      <c r="C78" s="3">
        <v>11</v>
      </c>
      <c r="D78" s="15">
        <f t="shared" si="4"/>
        <v>17</v>
      </c>
      <c r="E78" s="10" t="str">
        <f t="shared" si="5"/>
        <v>Fail</v>
      </c>
      <c r="F78" s="10" t="str">
        <f t="shared" si="6"/>
        <v>F</v>
      </c>
      <c r="G78" s="11">
        <f t="shared" si="7"/>
        <v>0</v>
      </c>
    </row>
    <row r="79" spans="1:7" x14ac:dyDescent="0.35">
      <c r="A79" s="10">
        <f>'Student Basic Info'!A79</f>
        <v>578</v>
      </c>
      <c r="B79" s="3"/>
      <c r="C79" s="3"/>
      <c r="D79" s="15" t="str">
        <f t="shared" si="4"/>
        <v/>
      </c>
      <c r="E79" s="10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10">
        <f>'Student Basic Info'!A80</f>
        <v>579</v>
      </c>
      <c r="B80" s="3"/>
      <c r="C80" s="3"/>
      <c r="D80" s="15" t="str">
        <f t="shared" si="4"/>
        <v/>
      </c>
      <c r="E80" s="10" t="str">
        <f t="shared" si="5"/>
        <v/>
      </c>
      <c r="F80" s="10" t="str">
        <f t="shared" si="6"/>
        <v/>
      </c>
      <c r="G80" s="11" t="str">
        <f t="shared" si="7"/>
        <v/>
      </c>
    </row>
    <row r="81" spans="1:7" x14ac:dyDescent="0.35">
      <c r="A81" s="10">
        <f>'Student Basic Info'!A81</f>
        <v>580</v>
      </c>
      <c r="B81" s="3"/>
      <c r="C81" s="3"/>
      <c r="D81" s="15" t="str">
        <f t="shared" si="4"/>
        <v/>
      </c>
      <c r="E81" s="10" t="str">
        <f t="shared" si="5"/>
        <v/>
      </c>
      <c r="F81" s="10" t="str">
        <f t="shared" si="6"/>
        <v/>
      </c>
      <c r="G81" s="11" t="str">
        <f t="shared" si="7"/>
        <v/>
      </c>
    </row>
    <row r="82" spans="1:7" x14ac:dyDescent="0.35">
      <c r="A82" s="10">
        <f>'Student Basic Info'!A82</f>
        <v>581</v>
      </c>
      <c r="B82" s="3">
        <v>12</v>
      </c>
      <c r="C82" s="3">
        <v>2</v>
      </c>
      <c r="D82" s="15">
        <f t="shared" si="4"/>
        <v>14</v>
      </c>
      <c r="E82" s="10" t="str">
        <f t="shared" si="5"/>
        <v>Fail</v>
      </c>
      <c r="F82" s="10" t="str">
        <f t="shared" si="6"/>
        <v>F</v>
      </c>
      <c r="G82" s="11">
        <f t="shared" si="7"/>
        <v>0</v>
      </c>
    </row>
    <row r="83" spans="1:7" x14ac:dyDescent="0.35">
      <c r="A83" s="10">
        <f>'Student Basic Info'!A83</f>
        <v>582</v>
      </c>
      <c r="B83" s="3"/>
      <c r="C83" s="3"/>
      <c r="D83" s="15" t="str">
        <f t="shared" si="4"/>
        <v/>
      </c>
      <c r="E83" s="10" t="str">
        <f t="shared" si="5"/>
        <v/>
      </c>
      <c r="F83" s="10" t="str">
        <f t="shared" si="6"/>
        <v/>
      </c>
      <c r="G83" s="11" t="str">
        <f t="shared" si="7"/>
        <v/>
      </c>
    </row>
    <row r="84" spans="1:7" x14ac:dyDescent="0.35">
      <c r="A84" s="10">
        <f>'Student Basic Info'!A84</f>
        <v>583</v>
      </c>
      <c r="B84" s="3"/>
      <c r="C84" s="3"/>
      <c r="D84" s="15" t="str">
        <f t="shared" si="4"/>
        <v/>
      </c>
      <c r="E84" s="10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10">
        <f>'Student Basic Info'!A85</f>
        <v>584</v>
      </c>
      <c r="B85" s="3">
        <v>10</v>
      </c>
      <c r="C85" s="3">
        <v>1</v>
      </c>
      <c r="D85" s="15">
        <f t="shared" si="4"/>
        <v>11</v>
      </c>
      <c r="E85" s="10" t="str">
        <f t="shared" si="5"/>
        <v>Fail</v>
      </c>
      <c r="F85" s="10" t="str">
        <f t="shared" si="6"/>
        <v>F</v>
      </c>
      <c r="G85" s="11">
        <f t="shared" si="7"/>
        <v>0</v>
      </c>
    </row>
    <row r="86" spans="1:7" x14ac:dyDescent="0.35">
      <c r="A86" s="10">
        <f>'Student Basic Info'!A86</f>
        <v>585</v>
      </c>
      <c r="B86" s="3">
        <v>7</v>
      </c>
      <c r="C86" s="3">
        <v>6</v>
      </c>
      <c r="D86" s="15">
        <f t="shared" si="4"/>
        <v>13</v>
      </c>
      <c r="E86" s="10" t="str">
        <f t="shared" si="5"/>
        <v>Fail</v>
      </c>
      <c r="F86" s="10" t="str">
        <f t="shared" si="6"/>
        <v>F</v>
      </c>
      <c r="G86" s="11">
        <f t="shared" si="7"/>
        <v>0</v>
      </c>
    </row>
    <row r="87" spans="1:7" x14ac:dyDescent="0.35">
      <c r="A87" s="10">
        <f>'Student Basic Info'!A87</f>
        <v>586</v>
      </c>
      <c r="B87" s="3">
        <v>6</v>
      </c>
      <c r="C87" s="3">
        <v>4</v>
      </c>
      <c r="D87" s="15">
        <f t="shared" si="4"/>
        <v>10</v>
      </c>
      <c r="E87" s="10" t="str">
        <f t="shared" si="5"/>
        <v>Fail</v>
      </c>
      <c r="F87" s="10" t="str">
        <f t="shared" si="6"/>
        <v>F</v>
      </c>
      <c r="G87" s="11">
        <f t="shared" si="7"/>
        <v>0</v>
      </c>
    </row>
    <row r="88" spans="1:7" x14ac:dyDescent="0.35">
      <c r="A88" s="10">
        <f>'Student Basic Info'!A88</f>
        <v>587</v>
      </c>
      <c r="B88" s="3">
        <v>10</v>
      </c>
      <c r="C88" s="3">
        <v>6</v>
      </c>
      <c r="D88" s="15">
        <f t="shared" si="4"/>
        <v>16</v>
      </c>
      <c r="E88" s="10" t="str">
        <f t="shared" si="5"/>
        <v>Fail</v>
      </c>
      <c r="F88" s="10" t="str">
        <f t="shared" si="6"/>
        <v>F</v>
      </c>
      <c r="G88" s="11">
        <f t="shared" si="7"/>
        <v>0</v>
      </c>
    </row>
    <row r="89" spans="1:7" x14ac:dyDescent="0.35">
      <c r="A89" s="10">
        <f>'Student Basic Info'!A89</f>
        <v>588</v>
      </c>
      <c r="B89" s="3">
        <v>11</v>
      </c>
      <c r="C89" s="3">
        <v>8</v>
      </c>
      <c r="D89" s="15">
        <f t="shared" si="4"/>
        <v>19</v>
      </c>
      <c r="E89" s="10" t="str">
        <f t="shared" si="5"/>
        <v>Fail</v>
      </c>
      <c r="F89" s="10" t="str">
        <f t="shared" si="6"/>
        <v>F</v>
      </c>
      <c r="G89" s="11">
        <f t="shared" si="7"/>
        <v>0</v>
      </c>
    </row>
    <row r="90" spans="1:7" x14ac:dyDescent="0.35">
      <c r="A90" s="10">
        <f>'Student Basic Info'!A90</f>
        <v>589</v>
      </c>
      <c r="B90" s="3"/>
      <c r="C90" s="3"/>
      <c r="D90" s="15" t="str">
        <f t="shared" si="4"/>
        <v/>
      </c>
      <c r="E90" s="10" t="str">
        <f t="shared" si="5"/>
        <v/>
      </c>
      <c r="F90" s="10" t="str">
        <f t="shared" si="6"/>
        <v/>
      </c>
      <c r="G90" s="11" t="str">
        <f t="shared" si="7"/>
        <v/>
      </c>
    </row>
    <row r="91" spans="1:7" x14ac:dyDescent="0.35">
      <c r="A91" s="10">
        <f>'Student Basic Info'!A91</f>
        <v>590</v>
      </c>
      <c r="B91" s="3"/>
      <c r="C91" s="3"/>
      <c r="D91" s="15" t="str">
        <f t="shared" si="4"/>
        <v/>
      </c>
      <c r="E91" s="10" t="str">
        <f t="shared" si="5"/>
        <v/>
      </c>
      <c r="F91" s="10" t="str">
        <f t="shared" si="6"/>
        <v/>
      </c>
      <c r="G91" s="11" t="str">
        <f t="shared" si="7"/>
        <v/>
      </c>
    </row>
    <row r="92" spans="1:7" x14ac:dyDescent="0.35">
      <c r="A92" s="10">
        <f>'Student Basic Info'!A92</f>
        <v>591</v>
      </c>
      <c r="B92" s="3">
        <v>7</v>
      </c>
      <c r="C92" s="3">
        <v>5</v>
      </c>
      <c r="D92" s="15">
        <f t="shared" si="4"/>
        <v>12</v>
      </c>
      <c r="E92" s="10" t="str">
        <f t="shared" si="5"/>
        <v>Fail</v>
      </c>
      <c r="F92" s="10" t="str">
        <f t="shared" si="6"/>
        <v>F</v>
      </c>
      <c r="G92" s="11">
        <f t="shared" si="7"/>
        <v>0</v>
      </c>
    </row>
    <row r="93" spans="1:7" x14ac:dyDescent="0.35">
      <c r="A93" s="10">
        <f>'Student Basic Info'!A93</f>
        <v>592</v>
      </c>
      <c r="B93" s="3">
        <v>7</v>
      </c>
      <c r="C93" s="3">
        <v>10</v>
      </c>
      <c r="D93" s="15">
        <f t="shared" si="4"/>
        <v>17</v>
      </c>
      <c r="E93" s="10" t="str">
        <f t="shared" si="5"/>
        <v>Fail</v>
      </c>
      <c r="F93" s="10" t="str">
        <f t="shared" si="6"/>
        <v>F</v>
      </c>
      <c r="G93" s="11">
        <f t="shared" si="7"/>
        <v>0</v>
      </c>
    </row>
    <row r="94" spans="1:7" x14ac:dyDescent="0.35">
      <c r="A94" s="10">
        <f>'Student Basic Info'!A94</f>
        <v>593</v>
      </c>
      <c r="B94" s="3">
        <v>8</v>
      </c>
      <c r="C94" s="3">
        <v>2</v>
      </c>
      <c r="D94" s="15">
        <f t="shared" si="4"/>
        <v>10</v>
      </c>
      <c r="E94" s="10" t="str">
        <f t="shared" si="5"/>
        <v>Fail</v>
      </c>
      <c r="F94" s="10" t="str">
        <f t="shared" si="6"/>
        <v>F</v>
      </c>
      <c r="G94" s="11">
        <f t="shared" si="7"/>
        <v>0</v>
      </c>
    </row>
    <row r="95" spans="1:7" x14ac:dyDescent="0.35">
      <c r="A95" s="10">
        <f>'Student Basic Info'!A95</f>
        <v>594</v>
      </c>
      <c r="B95" s="3"/>
      <c r="C95" s="3"/>
      <c r="D95" s="15" t="str">
        <f t="shared" si="4"/>
        <v/>
      </c>
      <c r="E95" s="10" t="str">
        <f t="shared" si="5"/>
        <v/>
      </c>
      <c r="F95" s="10" t="str">
        <f t="shared" si="6"/>
        <v/>
      </c>
      <c r="G95" s="11" t="str">
        <f t="shared" si="7"/>
        <v/>
      </c>
    </row>
    <row r="96" spans="1:7" x14ac:dyDescent="0.35">
      <c r="A96" s="10">
        <f>'Student Basic Info'!A96</f>
        <v>595</v>
      </c>
      <c r="B96" s="3"/>
      <c r="C96" s="3"/>
      <c r="D96" s="15" t="str">
        <f t="shared" si="4"/>
        <v/>
      </c>
      <c r="E96" s="10" t="str">
        <f t="shared" si="5"/>
        <v/>
      </c>
      <c r="F96" s="10" t="str">
        <f t="shared" si="6"/>
        <v/>
      </c>
      <c r="G96" s="11" t="str">
        <f t="shared" si="7"/>
        <v/>
      </c>
    </row>
    <row r="97" spans="1:7" x14ac:dyDescent="0.35">
      <c r="A97" s="10">
        <f>'Student Basic Info'!A97</f>
        <v>596</v>
      </c>
      <c r="B97" s="3"/>
      <c r="C97" s="3"/>
      <c r="D97" s="15" t="str">
        <f t="shared" si="4"/>
        <v/>
      </c>
      <c r="E97" s="10" t="str">
        <f t="shared" si="5"/>
        <v/>
      </c>
      <c r="F97" s="10" t="str">
        <f t="shared" si="6"/>
        <v/>
      </c>
      <c r="G97" s="11" t="str">
        <f t="shared" si="7"/>
        <v/>
      </c>
    </row>
    <row r="98" spans="1:7" x14ac:dyDescent="0.35">
      <c r="A98" s="10">
        <f>'Student Basic Info'!A98</f>
        <v>597</v>
      </c>
      <c r="B98" s="3"/>
      <c r="C98" s="3"/>
      <c r="D98" s="15" t="str">
        <f t="shared" si="4"/>
        <v/>
      </c>
      <c r="E98" s="10" t="str">
        <f t="shared" si="5"/>
        <v/>
      </c>
      <c r="F98" s="10" t="str">
        <f t="shared" si="6"/>
        <v/>
      </c>
      <c r="G98" s="11" t="str">
        <f t="shared" si="7"/>
        <v/>
      </c>
    </row>
    <row r="99" spans="1:7" x14ac:dyDescent="0.35">
      <c r="A99" s="10">
        <f>'Student Basic Info'!A99</f>
        <v>598</v>
      </c>
      <c r="B99" s="3"/>
      <c r="C99" s="3"/>
      <c r="D99" s="15" t="str">
        <f t="shared" si="4"/>
        <v/>
      </c>
      <c r="E99" s="10" t="str">
        <f t="shared" si="5"/>
        <v/>
      </c>
      <c r="F99" s="10" t="str">
        <f t="shared" si="6"/>
        <v/>
      </c>
      <c r="G99" s="11" t="str">
        <f t="shared" si="7"/>
        <v/>
      </c>
    </row>
    <row r="100" spans="1:7" x14ac:dyDescent="0.35">
      <c r="A100" s="10">
        <f>'Student Basic Info'!A100</f>
        <v>599</v>
      </c>
      <c r="B100" s="3"/>
      <c r="C100" s="3"/>
      <c r="D100" s="15" t="str">
        <f t="shared" si="4"/>
        <v/>
      </c>
      <c r="E100" s="10" t="str">
        <f t="shared" si="5"/>
        <v/>
      </c>
      <c r="F100" s="10" t="str">
        <f t="shared" si="6"/>
        <v/>
      </c>
      <c r="G100" s="11" t="str">
        <f t="shared" si="7"/>
        <v/>
      </c>
    </row>
    <row r="101" spans="1:7" x14ac:dyDescent="0.35">
      <c r="A101" s="10">
        <f>'Student Basic Info'!A101</f>
        <v>600</v>
      </c>
      <c r="B101" s="3"/>
      <c r="C101" s="3"/>
      <c r="D101" s="15" t="str">
        <f t="shared" si="4"/>
        <v/>
      </c>
      <c r="E101" s="10" t="str">
        <f t="shared" si="5"/>
        <v/>
      </c>
      <c r="F101" s="10" t="str">
        <f t="shared" si="6"/>
        <v/>
      </c>
      <c r="G101" s="11" t="str">
        <f t="shared" si="7"/>
        <v/>
      </c>
    </row>
    <row r="102" spans="1:7" x14ac:dyDescent="0.35">
      <c r="A102" s="10">
        <f>'Student Basic Info'!A102</f>
        <v>601</v>
      </c>
      <c r="B102" s="3">
        <v>10</v>
      </c>
      <c r="C102" s="3">
        <v>3</v>
      </c>
      <c r="D102" s="15">
        <f t="shared" si="4"/>
        <v>13</v>
      </c>
      <c r="E102" s="10" t="str">
        <f t="shared" si="5"/>
        <v>Fail</v>
      </c>
      <c r="F102" s="10" t="str">
        <f t="shared" si="6"/>
        <v>F</v>
      </c>
      <c r="G102" s="11">
        <f t="shared" si="7"/>
        <v>0</v>
      </c>
    </row>
    <row r="103" spans="1:7" x14ac:dyDescent="0.35">
      <c r="A103" s="10">
        <f>'Student Basic Info'!A103</f>
        <v>602</v>
      </c>
      <c r="B103" s="3"/>
      <c r="C103" s="3"/>
      <c r="D103" s="15" t="str">
        <f t="shared" si="4"/>
        <v/>
      </c>
      <c r="E103" s="10" t="str">
        <f t="shared" si="5"/>
        <v/>
      </c>
      <c r="F103" s="10" t="str">
        <f t="shared" si="6"/>
        <v/>
      </c>
      <c r="G103" s="11" t="str">
        <f t="shared" si="7"/>
        <v/>
      </c>
    </row>
    <row r="104" spans="1:7" x14ac:dyDescent="0.35">
      <c r="A104" s="10">
        <f>'Student Basic Info'!A104</f>
        <v>603</v>
      </c>
      <c r="B104" s="3"/>
      <c r="C104" s="3"/>
      <c r="D104" s="15" t="str">
        <f t="shared" si="4"/>
        <v/>
      </c>
      <c r="E104" s="10" t="str">
        <f t="shared" si="5"/>
        <v/>
      </c>
      <c r="F104" s="10" t="str">
        <f t="shared" si="6"/>
        <v/>
      </c>
      <c r="G104" s="11" t="str">
        <f t="shared" si="7"/>
        <v/>
      </c>
    </row>
    <row r="105" spans="1:7" x14ac:dyDescent="0.35">
      <c r="A105" s="10">
        <f>'Student Basic Info'!A105</f>
        <v>604</v>
      </c>
      <c r="B105" s="3"/>
      <c r="C105" s="3"/>
      <c r="D105" s="15" t="str">
        <f t="shared" si="4"/>
        <v/>
      </c>
      <c r="E105" s="10" t="str">
        <f t="shared" si="5"/>
        <v/>
      </c>
      <c r="F105" s="10" t="str">
        <f t="shared" si="6"/>
        <v/>
      </c>
      <c r="G105" s="11" t="str">
        <f t="shared" si="7"/>
        <v/>
      </c>
    </row>
    <row r="106" spans="1:7" x14ac:dyDescent="0.35">
      <c r="A106" s="10">
        <f>'Student Basic Info'!A106</f>
        <v>605</v>
      </c>
      <c r="B106" s="3">
        <v>13</v>
      </c>
      <c r="C106" s="3">
        <v>23</v>
      </c>
      <c r="D106" s="15">
        <f t="shared" si="4"/>
        <v>36</v>
      </c>
      <c r="E106" s="10" t="str">
        <f t="shared" si="5"/>
        <v>Pass</v>
      </c>
      <c r="F106" s="10" t="str">
        <f t="shared" si="6"/>
        <v>D</v>
      </c>
      <c r="G106" s="11">
        <f t="shared" si="7"/>
        <v>1</v>
      </c>
    </row>
    <row r="107" spans="1:7" x14ac:dyDescent="0.35">
      <c r="A107" s="10">
        <f>'Student Basic Info'!A107</f>
        <v>606</v>
      </c>
      <c r="B107" s="3">
        <v>6</v>
      </c>
      <c r="C107" s="3">
        <v>23</v>
      </c>
      <c r="D107" s="15">
        <f t="shared" si="4"/>
        <v>29</v>
      </c>
      <c r="E107" s="10" t="str">
        <f t="shared" si="5"/>
        <v>Fail</v>
      </c>
      <c r="F107" s="10" t="str">
        <f t="shared" si="6"/>
        <v>F</v>
      </c>
      <c r="G107" s="11">
        <f t="shared" si="7"/>
        <v>0</v>
      </c>
    </row>
    <row r="108" spans="1:7" x14ac:dyDescent="0.35">
      <c r="A108" s="10">
        <f>'Student Basic Info'!A108</f>
        <v>607</v>
      </c>
      <c r="B108" s="3">
        <v>12</v>
      </c>
      <c r="C108" s="3">
        <v>3</v>
      </c>
      <c r="D108" s="15">
        <f t="shared" si="4"/>
        <v>15</v>
      </c>
      <c r="E108" s="10" t="str">
        <f t="shared" si="5"/>
        <v>Fail</v>
      </c>
      <c r="F108" s="10" t="str">
        <f t="shared" si="6"/>
        <v>F</v>
      </c>
      <c r="G108" s="11">
        <f t="shared" si="7"/>
        <v>0</v>
      </c>
    </row>
    <row r="109" spans="1:7" x14ac:dyDescent="0.35">
      <c r="A109" s="10">
        <f>'Student Basic Info'!A109</f>
        <v>608</v>
      </c>
      <c r="B109" s="3">
        <v>10</v>
      </c>
      <c r="C109" s="3">
        <v>2</v>
      </c>
      <c r="D109" s="15">
        <f t="shared" si="4"/>
        <v>12</v>
      </c>
      <c r="E109" s="10" t="str">
        <f t="shared" si="5"/>
        <v>Fail</v>
      </c>
      <c r="F109" s="10" t="str">
        <f t="shared" si="6"/>
        <v>F</v>
      </c>
      <c r="G109" s="11">
        <f t="shared" si="7"/>
        <v>0</v>
      </c>
    </row>
    <row r="110" spans="1:7" x14ac:dyDescent="0.35">
      <c r="A110" s="10">
        <f>'Student Basic Info'!A110</f>
        <v>609</v>
      </c>
      <c r="B110" s="3">
        <v>6</v>
      </c>
      <c r="C110" s="3">
        <v>17</v>
      </c>
      <c r="D110" s="15">
        <f t="shared" si="4"/>
        <v>23</v>
      </c>
      <c r="E110" s="10" t="str">
        <f t="shared" si="5"/>
        <v>Fail</v>
      </c>
      <c r="F110" s="10" t="str">
        <f t="shared" si="6"/>
        <v>F</v>
      </c>
      <c r="G110" s="11">
        <f t="shared" si="7"/>
        <v>0</v>
      </c>
    </row>
    <row r="111" spans="1:7" x14ac:dyDescent="0.35">
      <c r="A111" s="10">
        <f>'Student Basic Info'!A111</f>
        <v>610</v>
      </c>
      <c r="B111" s="3"/>
      <c r="C111" s="3"/>
      <c r="D111" s="15" t="str">
        <f t="shared" si="4"/>
        <v/>
      </c>
      <c r="E111" s="10" t="str">
        <f t="shared" si="5"/>
        <v/>
      </c>
      <c r="F111" s="10" t="str">
        <f t="shared" si="6"/>
        <v/>
      </c>
      <c r="G111" s="11" t="str">
        <f t="shared" si="7"/>
        <v/>
      </c>
    </row>
    <row r="112" spans="1:7" x14ac:dyDescent="0.35">
      <c r="A112" s="10">
        <f>'Student Basic Info'!A112</f>
        <v>611</v>
      </c>
      <c r="B112" s="3">
        <v>7</v>
      </c>
      <c r="C112" s="3">
        <v>16</v>
      </c>
      <c r="D112" s="15">
        <f t="shared" si="4"/>
        <v>23</v>
      </c>
      <c r="E112" s="10" t="str">
        <f t="shared" si="5"/>
        <v>Fail</v>
      </c>
      <c r="F112" s="10" t="str">
        <f t="shared" si="6"/>
        <v>F</v>
      </c>
      <c r="G112" s="11">
        <f t="shared" si="7"/>
        <v>0</v>
      </c>
    </row>
    <row r="113" spans="1:7" x14ac:dyDescent="0.35">
      <c r="A113" s="10">
        <f>'Student Basic Info'!A113</f>
        <v>612</v>
      </c>
      <c r="B113" s="3">
        <v>10</v>
      </c>
      <c r="C113" s="3">
        <v>12</v>
      </c>
      <c r="D113" s="15">
        <f t="shared" si="4"/>
        <v>22</v>
      </c>
      <c r="E113" s="10" t="str">
        <f t="shared" si="5"/>
        <v>Fail</v>
      </c>
      <c r="F113" s="10" t="str">
        <f t="shared" si="6"/>
        <v>F</v>
      </c>
      <c r="G113" s="11">
        <f t="shared" si="7"/>
        <v>0</v>
      </c>
    </row>
    <row r="114" spans="1:7" x14ac:dyDescent="0.35">
      <c r="A114" s="10">
        <f>'Student Basic Info'!A114</f>
        <v>613</v>
      </c>
      <c r="B114" s="3"/>
      <c r="C114" s="3"/>
      <c r="D114" s="15" t="str">
        <f t="shared" si="4"/>
        <v/>
      </c>
      <c r="E114" s="10" t="str">
        <f t="shared" si="5"/>
        <v/>
      </c>
      <c r="F114" s="10" t="str">
        <f t="shared" si="6"/>
        <v/>
      </c>
      <c r="G114" s="11" t="str">
        <f t="shared" si="7"/>
        <v/>
      </c>
    </row>
    <row r="115" spans="1:7" x14ac:dyDescent="0.35">
      <c r="A115" s="10">
        <f>'Student Basic Info'!A115</f>
        <v>614</v>
      </c>
      <c r="B115" s="3">
        <v>13</v>
      </c>
      <c r="C115" s="3">
        <v>23</v>
      </c>
      <c r="D115" s="15">
        <f t="shared" si="4"/>
        <v>36</v>
      </c>
      <c r="E115" s="10" t="str">
        <f t="shared" si="5"/>
        <v>Pass</v>
      </c>
      <c r="F115" s="10" t="str">
        <f t="shared" si="6"/>
        <v>D</v>
      </c>
      <c r="G115" s="11">
        <f t="shared" si="7"/>
        <v>1</v>
      </c>
    </row>
    <row r="116" spans="1:7" x14ac:dyDescent="0.35">
      <c r="A116" s="10">
        <f>'Student Basic Info'!A116</f>
        <v>615</v>
      </c>
      <c r="B116" s="3">
        <v>10</v>
      </c>
      <c r="C116" s="3">
        <v>23</v>
      </c>
      <c r="D116" s="15">
        <f t="shared" si="4"/>
        <v>33</v>
      </c>
      <c r="E116" s="10" t="str">
        <f t="shared" si="5"/>
        <v>Pass</v>
      </c>
      <c r="F116" s="10" t="str">
        <f t="shared" si="6"/>
        <v>D</v>
      </c>
      <c r="G116" s="11">
        <f t="shared" si="7"/>
        <v>1</v>
      </c>
    </row>
    <row r="117" spans="1:7" x14ac:dyDescent="0.35">
      <c r="A117" s="10">
        <f>'Student Basic Info'!A117</f>
        <v>616</v>
      </c>
      <c r="B117" s="3"/>
      <c r="C117" s="3"/>
      <c r="D117" s="15" t="str">
        <f t="shared" si="4"/>
        <v/>
      </c>
      <c r="E117" s="10" t="str">
        <f t="shared" si="5"/>
        <v/>
      </c>
      <c r="F117" s="10" t="str">
        <f t="shared" si="6"/>
        <v/>
      </c>
      <c r="G117" s="11" t="str">
        <f t="shared" si="7"/>
        <v/>
      </c>
    </row>
    <row r="118" spans="1:7" x14ac:dyDescent="0.35">
      <c r="A118" s="10">
        <f>'Student Basic Info'!A118</f>
        <v>617</v>
      </c>
      <c r="B118" s="3"/>
      <c r="C118" s="3"/>
      <c r="D118" s="15" t="str">
        <f t="shared" si="4"/>
        <v/>
      </c>
      <c r="E118" s="10" t="str">
        <f t="shared" si="5"/>
        <v/>
      </c>
      <c r="F118" s="10" t="str">
        <f t="shared" si="6"/>
        <v/>
      </c>
      <c r="G118" s="11" t="str">
        <f t="shared" si="7"/>
        <v/>
      </c>
    </row>
    <row r="119" spans="1:7" x14ac:dyDescent="0.35">
      <c r="A119" s="10">
        <f>'Student Basic Info'!A119</f>
        <v>618</v>
      </c>
      <c r="B119" s="3"/>
      <c r="C119" s="3"/>
      <c r="D119" s="15" t="str">
        <f t="shared" si="4"/>
        <v/>
      </c>
      <c r="E119" s="10" t="str">
        <f t="shared" si="5"/>
        <v/>
      </c>
      <c r="F119" s="10" t="str">
        <f t="shared" si="6"/>
        <v/>
      </c>
      <c r="G119" s="11" t="str">
        <f t="shared" si="7"/>
        <v/>
      </c>
    </row>
    <row r="120" spans="1:7" x14ac:dyDescent="0.35">
      <c r="A120" s="10">
        <f>'Student Basic Info'!A120</f>
        <v>619</v>
      </c>
      <c r="B120" s="3"/>
      <c r="C120" s="3"/>
      <c r="D120" s="15" t="str">
        <f t="shared" si="4"/>
        <v/>
      </c>
      <c r="E120" s="10" t="str">
        <f t="shared" si="5"/>
        <v/>
      </c>
      <c r="F120" s="10" t="str">
        <f t="shared" si="6"/>
        <v/>
      </c>
      <c r="G120" s="11" t="str">
        <f t="shared" si="7"/>
        <v/>
      </c>
    </row>
    <row r="121" spans="1:7" x14ac:dyDescent="0.35">
      <c r="A121" s="10">
        <f>'Student Basic Info'!A121</f>
        <v>620</v>
      </c>
      <c r="B121" s="3"/>
      <c r="C121" s="3"/>
      <c r="D121" s="15" t="str">
        <f t="shared" si="4"/>
        <v/>
      </c>
      <c r="E121" s="10" t="str">
        <f t="shared" si="5"/>
        <v/>
      </c>
      <c r="F121" s="10" t="str">
        <f t="shared" si="6"/>
        <v/>
      </c>
      <c r="G121" s="11" t="str">
        <f t="shared" si="7"/>
        <v/>
      </c>
    </row>
    <row r="122" spans="1:7" x14ac:dyDescent="0.35">
      <c r="A122" s="10">
        <f>'Student Basic Info'!A122</f>
        <v>621</v>
      </c>
      <c r="B122" s="3">
        <v>10</v>
      </c>
      <c r="C122" s="3">
        <v>10</v>
      </c>
      <c r="D122" s="15">
        <f t="shared" si="4"/>
        <v>20</v>
      </c>
      <c r="E122" s="10" t="str">
        <f t="shared" si="5"/>
        <v>Fail</v>
      </c>
      <c r="F122" s="10" t="str">
        <f t="shared" si="6"/>
        <v>F</v>
      </c>
      <c r="G122" s="11">
        <f t="shared" si="7"/>
        <v>0</v>
      </c>
    </row>
    <row r="123" spans="1:7" x14ac:dyDescent="0.35">
      <c r="A123" s="10">
        <f>'Student Basic Info'!A123</f>
        <v>622</v>
      </c>
      <c r="B123" s="3">
        <v>11</v>
      </c>
      <c r="C123" s="3">
        <v>3</v>
      </c>
      <c r="D123" s="15">
        <f t="shared" si="4"/>
        <v>14</v>
      </c>
      <c r="E123" s="10" t="str">
        <f t="shared" si="5"/>
        <v>Fail</v>
      </c>
      <c r="F123" s="10" t="str">
        <f t="shared" si="6"/>
        <v>F</v>
      </c>
      <c r="G123" s="11">
        <f t="shared" si="7"/>
        <v>0</v>
      </c>
    </row>
    <row r="124" spans="1:7" x14ac:dyDescent="0.35">
      <c r="A124" s="10">
        <f>'Student Basic Info'!A124</f>
        <v>623</v>
      </c>
      <c r="B124" s="3"/>
      <c r="C124" s="3"/>
      <c r="D124" s="15" t="str">
        <f t="shared" si="4"/>
        <v/>
      </c>
      <c r="E124" s="10" t="str">
        <f t="shared" si="5"/>
        <v/>
      </c>
      <c r="F124" s="10" t="str">
        <f t="shared" si="6"/>
        <v/>
      </c>
      <c r="G124" s="11" t="str">
        <f t="shared" si="7"/>
        <v/>
      </c>
    </row>
    <row r="125" spans="1:7" x14ac:dyDescent="0.35">
      <c r="A125" s="10">
        <f>'Student Basic Info'!A125</f>
        <v>624</v>
      </c>
      <c r="B125" s="3"/>
      <c r="C125" s="3"/>
      <c r="D125" s="15" t="str">
        <f t="shared" si="4"/>
        <v/>
      </c>
      <c r="E125" s="10" t="str">
        <f t="shared" si="5"/>
        <v/>
      </c>
      <c r="F125" s="10" t="str">
        <f t="shared" si="6"/>
        <v/>
      </c>
      <c r="G125" s="11" t="str">
        <f t="shared" si="7"/>
        <v/>
      </c>
    </row>
    <row r="126" spans="1:7" x14ac:dyDescent="0.35">
      <c r="A126" s="10">
        <f>'Student Basic Info'!A126</f>
        <v>625</v>
      </c>
      <c r="B126" s="3"/>
      <c r="C126" s="3"/>
      <c r="D126" s="15" t="str">
        <f t="shared" si="4"/>
        <v/>
      </c>
      <c r="E126" s="10" t="str">
        <f t="shared" si="5"/>
        <v/>
      </c>
      <c r="F126" s="10" t="str">
        <f t="shared" si="6"/>
        <v/>
      </c>
      <c r="G126" s="11" t="str">
        <f t="shared" si="7"/>
        <v/>
      </c>
    </row>
    <row r="127" spans="1:7" x14ac:dyDescent="0.35">
      <c r="A127" s="10">
        <f>'Student Basic Info'!A127</f>
        <v>626</v>
      </c>
      <c r="B127" s="3"/>
      <c r="C127" s="3"/>
      <c r="D127" s="15" t="str">
        <f t="shared" si="4"/>
        <v/>
      </c>
      <c r="E127" s="10" t="str">
        <f t="shared" si="5"/>
        <v/>
      </c>
      <c r="F127" s="10" t="str">
        <f t="shared" si="6"/>
        <v/>
      </c>
      <c r="G127" s="11" t="str">
        <f t="shared" si="7"/>
        <v/>
      </c>
    </row>
    <row r="128" spans="1:7" x14ac:dyDescent="0.35">
      <c r="A128" s="10">
        <f>'Student Basic Info'!A128</f>
        <v>627</v>
      </c>
      <c r="B128" s="3"/>
      <c r="C128" s="3"/>
      <c r="D128" s="15" t="str">
        <f t="shared" si="4"/>
        <v/>
      </c>
      <c r="E128" s="10" t="str">
        <f t="shared" si="5"/>
        <v/>
      </c>
      <c r="F128" s="10" t="str">
        <f t="shared" si="6"/>
        <v/>
      </c>
      <c r="G128" s="11" t="str">
        <f t="shared" si="7"/>
        <v/>
      </c>
    </row>
    <row r="129" spans="1:7" x14ac:dyDescent="0.35">
      <c r="A129" s="10">
        <f>'Student Basic Info'!A129</f>
        <v>628</v>
      </c>
      <c r="B129" s="3"/>
      <c r="C129" s="3"/>
      <c r="D129" s="15" t="str">
        <f t="shared" si="4"/>
        <v/>
      </c>
      <c r="E129" s="10" t="str">
        <f t="shared" si="5"/>
        <v/>
      </c>
      <c r="F129" s="10" t="str">
        <f t="shared" si="6"/>
        <v/>
      </c>
      <c r="G129" s="11" t="str">
        <f t="shared" si="7"/>
        <v/>
      </c>
    </row>
    <row r="130" spans="1:7" x14ac:dyDescent="0.35">
      <c r="A130" s="10">
        <f>'Student Basic Info'!A130</f>
        <v>629</v>
      </c>
      <c r="B130" s="3"/>
      <c r="C130" s="3"/>
      <c r="D130" s="15" t="str">
        <f t="shared" si="4"/>
        <v/>
      </c>
      <c r="E130" s="10" t="str">
        <f t="shared" si="5"/>
        <v/>
      </c>
      <c r="F130" s="10" t="str">
        <f t="shared" si="6"/>
        <v/>
      </c>
      <c r="G130" s="11" t="str">
        <f t="shared" si="7"/>
        <v/>
      </c>
    </row>
    <row r="131" spans="1:7" x14ac:dyDescent="0.35">
      <c r="A131" s="10">
        <f>'Student Basic Info'!A131</f>
        <v>630</v>
      </c>
      <c r="B131" s="3"/>
      <c r="C131" s="3"/>
      <c r="D131" s="15" t="str">
        <f t="shared" si="4"/>
        <v/>
      </c>
      <c r="E131" s="10" t="str">
        <f t="shared" si="5"/>
        <v/>
      </c>
      <c r="F131" s="10" t="str">
        <f t="shared" si="6"/>
        <v/>
      </c>
      <c r="G131" s="11" t="str">
        <f t="shared" si="7"/>
        <v/>
      </c>
    </row>
    <row r="132" spans="1:7" x14ac:dyDescent="0.35">
      <c r="A132" s="10">
        <f>'Student Basic Info'!A132</f>
        <v>631</v>
      </c>
      <c r="B132" s="3"/>
      <c r="C132" s="3"/>
      <c r="D132" s="15" t="str">
        <f t="shared" ref="D132:D145" si="8">IF(B132+C132=0, "", B132+C132)</f>
        <v/>
      </c>
      <c r="E132" s="10" t="str">
        <f t="shared" ref="E132:E145" si="9">IF(D132="","", IF(AND(B132 &gt;=10,C132&gt;=23),"Pass","Fail"))</f>
        <v/>
      </c>
      <c r="F132" s="10" t="str">
        <f t="shared" ref="F132:F145" si="10">(IF(D132="","",IF(E132="Fail","F",IF(D132&gt;=80,"A+",IF(D132&gt;=70,"A",IF(D132&gt;=60,"A-",IF(D132&gt;=50,"B",IF(D132&gt;=40,"C",IF(D132&gt;=33,"D","F")))))))))</f>
        <v/>
      </c>
      <c r="G132" s="11" t="str">
        <f t="shared" ref="G132:G145" si="11">(IF(D132="","",IF(F132="F",0,IF(D132&gt;=80,5,IF(D132&gt;=70,4,IF(D132&gt;=60,3.5,IF(D132&gt;=50,3,IF(D132&gt;=40,2,IF(D132&gt;=33,1,0)))))))))</f>
        <v/>
      </c>
    </row>
    <row r="133" spans="1:7" x14ac:dyDescent="0.35">
      <c r="A133" s="10">
        <f>'Student Basic Info'!A133</f>
        <v>632</v>
      </c>
      <c r="B133" s="3"/>
      <c r="C133" s="3"/>
      <c r="D133" s="15" t="str">
        <f t="shared" si="8"/>
        <v/>
      </c>
      <c r="E133" s="10" t="str">
        <f t="shared" si="9"/>
        <v/>
      </c>
      <c r="F133" s="10" t="str">
        <f t="shared" si="10"/>
        <v/>
      </c>
      <c r="G133" s="11" t="str">
        <f t="shared" si="11"/>
        <v/>
      </c>
    </row>
    <row r="134" spans="1:7" x14ac:dyDescent="0.35">
      <c r="A134" s="10">
        <f>'Student Basic Info'!A134</f>
        <v>633</v>
      </c>
      <c r="B134" s="3"/>
      <c r="C134" s="3"/>
      <c r="D134" s="15" t="str">
        <f t="shared" si="8"/>
        <v/>
      </c>
      <c r="E134" s="10" t="str">
        <f t="shared" si="9"/>
        <v/>
      </c>
      <c r="F134" s="10" t="str">
        <f t="shared" si="10"/>
        <v/>
      </c>
      <c r="G134" s="11" t="str">
        <f t="shared" si="11"/>
        <v/>
      </c>
    </row>
    <row r="135" spans="1:7" x14ac:dyDescent="0.35">
      <c r="A135" s="10">
        <f>'Student Basic Info'!A135</f>
        <v>634</v>
      </c>
      <c r="B135" s="3"/>
      <c r="C135" s="3"/>
      <c r="D135" s="15" t="str">
        <f t="shared" si="8"/>
        <v/>
      </c>
      <c r="E135" s="10" t="str">
        <f t="shared" si="9"/>
        <v/>
      </c>
      <c r="F135" s="10" t="str">
        <f t="shared" si="10"/>
        <v/>
      </c>
      <c r="G135" s="11" t="str">
        <f t="shared" si="11"/>
        <v/>
      </c>
    </row>
    <row r="136" spans="1:7" x14ac:dyDescent="0.35">
      <c r="A136" s="10">
        <f>'Student Basic Info'!A136</f>
        <v>635</v>
      </c>
      <c r="B136" s="3"/>
      <c r="C136" s="3"/>
      <c r="D136" s="15" t="str">
        <f t="shared" si="8"/>
        <v/>
      </c>
      <c r="E136" s="10" t="str">
        <f t="shared" si="9"/>
        <v/>
      </c>
      <c r="F136" s="10" t="str">
        <f t="shared" si="10"/>
        <v/>
      </c>
      <c r="G136" s="11" t="str">
        <f t="shared" si="11"/>
        <v/>
      </c>
    </row>
    <row r="137" spans="1:7" x14ac:dyDescent="0.35">
      <c r="A137" s="10">
        <f>'Student Basic Info'!A137</f>
        <v>636</v>
      </c>
      <c r="B137" s="3"/>
      <c r="C137" s="3"/>
      <c r="D137" s="15" t="str">
        <f t="shared" si="8"/>
        <v/>
      </c>
      <c r="E137" s="10" t="str">
        <f t="shared" si="9"/>
        <v/>
      </c>
      <c r="F137" s="10" t="str">
        <f t="shared" si="10"/>
        <v/>
      </c>
      <c r="G137" s="11" t="str">
        <f t="shared" si="11"/>
        <v/>
      </c>
    </row>
    <row r="138" spans="1:7" x14ac:dyDescent="0.35">
      <c r="A138" s="10">
        <f>'Student Basic Info'!A138</f>
        <v>637</v>
      </c>
      <c r="B138" s="3">
        <v>6</v>
      </c>
      <c r="C138" s="3">
        <v>6</v>
      </c>
      <c r="D138" s="15">
        <f t="shared" si="8"/>
        <v>12</v>
      </c>
      <c r="E138" s="10" t="str">
        <f t="shared" si="9"/>
        <v>Fail</v>
      </c>
      <c r="F138" s="10" t="str">
        <f t="shared" si="10"/>
        <v>F</v>
      </c>
      <c r="G138" s="11">
        <f t="shared" si="11"/>
        <v>0</v>
      </c>
    </row>
    <row r="139" spans="1:7" x14ac:dyDescent="0.35">
      <c r="A139" s="10">
        <f>'Student Basic Info'!A139</f>
        <v>638</v>
      </c>
      <c r="B139" s="3">
        <v>10</v>
      </c>
      <c r="C139" s="3">
        <v>1</v>
      </c>
      <c r="D139" s="15">
        <f t="shared" si="8"/>
        <v>11</v>
      </c>
      <c r="E139" s="10" t="str">
        <f t="shared" si="9"/>
        <v>Fail</v>
      </c>
      <c r="F139" s="10" t="str">
        <f t="shared" si="10"/>
        <v>F</v>
      </c>
      <c r="G139" s="11">
        <f t="shared" si="11"/>
        <v>0</v>
      </c>
    </row>
    <row r="140" spans="1:7" x14ac:dyDescent="0.35">
      <c r="A140" s="10">
        <f>'Student Basic Info'!A140</f>
        <v>639</v>
      </c>
      <c r="B140" s="3"/>
      <c r="C140" s="3"/>
      <c r="D140" s="15" t="str">
        <f t="shared" si="8"/>
        <v/>
      </c>
      <c r="E140" s="10" t="str">
        <f t="shared" si="9"/>
        <v/>
      </c>
      <c r="F140" s="10" t="str">
        <f t="shared" si="10"/>
        <v/>
      </c>
      <c r="G140" s="11" t="str">
        <f t="shared" si="11"/>
        <v/>
      </c>
    </row>
    <row r="141" spans="1:7" x14ac:dyDescent="0.35">
      <c r="A141" s="10">
        <f>'Student Basic Info'!A141</f>
        <v>640</v>
      </c>
      <c r="B141" s="3"/>
      <c r="C141" s="3"/>
      <c r="D141" s="15" t="str">
        <f t="shared" si="8"/>
        <v/>
      </c>
      <c r="E141" s="10" t="str">
        <f t="shared" si="9"/>
        <v/>
      </c>
      <c r="F141" s="10" t="str">
        <f t="shared" si="10"/>
        <v/>
      </c>
      <c r="G141" s="11" t="str">
        <f t="shared" si="11"/>
        <v/>
      </c>
    </row>
    <row r="142" spans="1:7" x14ac:dyDescent="0.35">
      <c r="A142" s="10">
        <f>'Student Basic Info'!A142</f>
        <v>641</v>
      </c>
      <c r="B142" s="3"/>
      <c r="C142" s="3"/>
      <c r="D142" s="15" t="str">
        <f t="shared" si="8"/>
        <v/>
      </c>
      <c r="E142" s="10" t="str">
        <f t="shared" si="9"/>
        <v/>
      </c>
      <c r="F142" s="10" t="str">
        <f t="shared" si="10"/>
        <v/>
      </c>
      <c r="G142" s="11" t="str">
        <f t="shared" si="11"/>
        <v/>
      </c>
    </row>
    <row r="143" spans="1:7" x14ac:dyDescent="0.35">
      <c r="A143" s="10">
        <f>'Student Basic Info'!A143</f>
        <v>642</v>
      </c>
      <c r="B143" s="3">
        <v>10</v>
      </c>
      <c r="C143" s="3">
        <v>11</v>
      </c>
      <c r="D143" s="15">
        <f t="shared" si="8"/>
        <v>21</v>
      </c>
      <c r="E143" s="10" t="str">
        <f t="shared" si="9"/>
        <v>Fail</v>
      </c>
      <c r="F143" s="10" t="str">
        <f t="shared" si="10"/>
        <v>F</v>
      </c>
      <c r="G143" s="11">
        <f t="shared" si="11"/>
        <v>0</v>
      </c>
    </row>
    <row r="144" spans="1:7" x14ac:dyDescent="0.35">
      <c r="A144" s="10">
        <f>'Student Basic Info'!A144</f>
        <v>643</v>
      </c>
      <c r="B144" s="3"/>
      <c r="C144" s="3"/>
      <c r="D144" s="15" t="str">
        <f t="shared" si="8"/>
        <v/>
      </c>
      <c r="E144" s="10" t="str">
        <f t="shared" si="9"/>
        <v/>
      </c>
      <c r="F144" s="10" t="str">
        <f t="shared" si="10"/>
        <v/>
      </c>
      <c r="G144" s="11" t="str">
        <f t="shared" si="11"/>
        <v/>
      </c>
    </row>
    <row r="145" spans="1:7" x14ac:dyDescent="0.35">
      <c r="A145" s="10">
        <f>'Student Basic Info'!A145</f>
        <v>644</v>
      </c>
      <c r="B145" s="3">
        <v>10</v>
      </c>
      <c r="C145" s="3">
        <v>10</v>
      </c>
      <c r="D145" s="15">
        <f t="shared" si="8"/>
        <v>20</v>
      </c>
      <c r="E145" s="10" t="str">
        <f t="shared" si="9"/>
        <v>Fail</v>
      </c>
      <c r="F145" s="10" t="str">
        <f t="shared" si="10"/>
        <v>F</v>
      </c>
      <c r="G145" s="11">
        <f t="shared" si="11"/>
        <v>0</v>
      </c>
    </row>
    <row r="146" spans="1:7" x14ac:dyDescent="0.35">
      <c r="A146" s="127">
        <v>1718</v>
      </c>
      <c r="B146" s="130">
        <v>11</v>
      </c>
      <c r="C146" s="130">
        <v>3</v>
      </c>
    </row>
    <row r="147" spans="1:7" x14ac:dyDescent="0.35">
      <c r="A147" s="51"/>
    </row>
    <row r="148" spans="1:7" x14ac:dyDescent="0.35">
      <c r="A148" s="51"/>
    </row>
    <row r="149" spans="1:7" x14ac:dyDescent="0.35">
      <c r="A149" s="51"/>
    </row>
    <row r="150" spans="1:7" x14ac:dyDescent="0.35">
      <c r="A150" s="51"/>
    </row>
    <row r="151" spans="1:7" x14ac:dyDescent="0.35">
      <c r="A151" s="51"/>
    </row>
    <row r="152" spans="1:7" x14ac:dyDescent="0.35">
      <c r="A152" s="51"/>
    </row>
    <row r="153" spans="1:7" x14ac:dyDescent="0.35">
      <c r="A153" s="51"/>
    </row>
    <row r="154" spans="1:7" x14ac:dyDescent="0.35">
      <c r="A154" s="51"/>
    </row>
    <row r="155" spans="1:7" x14ac:dyDescent="0.35">
      <c r="A155" s="51"/>
    </row>
    <row r="156" spans="1:7" x14ac:dyDescent="0.35">
      <c r="A156" s="51"/>
    </row>
    <row r="157" spans="1:7" x14ac:dyDescent="0.35">
      <c r="A157" s="51"/>
    </row>
    <row r="158" spans="1:7" x14ac:dyDescent="0.35">
      <c r="A158" s="51"/>
    </row>
    <row r="159" spans="1:7" x14ac:dyDescent="0.35">
      <c r="A159" s="51"/>
    </row>
    <row r="160" spans="1:7" x14ac:dyDescent="0.35">
      <c r="A160" s="51"/>
    </row>
    <row r="161" spans="1:1" x14ac:dyDescent="0.35">
      <c r="A161" s="51"/>
    </row>
    <row r="162" spans="1:1" x14ac:dyDescent="0.35">
      <c r="A162" s="51"/>
    </row>
    <row r="163" spans="1:1" x14ac:dyDescent="0.35">
      <c r="A163" s="51"/>
    </row>
    <row r="164" spans="1:1" x14ac:dyDescent="0.35">
      <c r="A164" s="51"/>
    </row>
    <row r="165" spans="1:1" x14ac:dyDescent="0.35">
      <c r="A165" s="51"/>
    </row>
    <row r="166" spans="1:1" x14ac:dyDescent="0.35">
      <c r="A166" s="51"/>
    </row>
    <row r="167" spans="1:1" x14ac:dyDescent="0.35">
      <c r="A167" s="51"/>
    </row>
    <row r="168" spans="1:1" x14ac:dyDescent="0.35">
      <c r="A168" s="51"/>
    </row>
    <row r="169" spans="1:1" x14ac:dyDescent="0.35">
      <c r="A169" s="51"/>
    </row>
    <row r="170" spans="1:1" x14ac:dyDescent="0.35">
      <c r="A170" s="51"/>
    </row>
    <row r="171" spans="1:1" x14ac:dyDescent="0.35">
      <c r="A171" s="51"/>
    </row>
    <row r="172" spans="1:1" x14ac:dyDescent="0.35">
      <c r="A172" s="51"/>
    </row>
    <row r="173" spans="1:1" x14ac:dyDescent="0.35">
      <c r="A173" s="51"/>
    </row>
    <row r="174" spans="1:1" x14ac:dyDescent="0.35">
      <c r="A174" s="51"/>
    </row>
    <row r="175" spans="1:1" x14ac:dyDescent="0.35">
      <c r="A175" s="51"/>
    </row>
    <row r="176" spans="1:1" x14ac:dyDescent="0.35">
      <c r="A176" s="51"/>
    </row>
    <row r="177" spans="1:1" x14ac:dyDescent="0.35">
      <c r="A177" s="51"/>
    </row>
    <row r="178" spans="1:1" x14ac:dyDescent="0.35">
      <c r="A178" s="51"/>
    </row>
    <row r="179" spans="1:1" x14ac:dyDescent="0.35">
      <c r="A179" s="51"/>
    </row>
    <row r="180" spans="1:1" x14ac:dyDescent="0.35">
      <c r="A180" s="51"/>
    </row>
    <row r="181" spans="1:1" x14ac:dyDescent="0.35">
      <c r="A181" s="51"/>
    </row>
    <row r="182" spans="1:1" x14ac:dyDescent="0.35">
      <c r="A182" s="51"/>
    </row>
    <row r="183" spans="1:1" x14ac:dyDescent="0.35">
      <c r="A183" s="51"/>
    </row>
    <row r="184" spans="1:1" x14ac:dyDescent="0.35">
      <c r="A184" s="51"/>
    </row>
    <row r="185" spans="1:1" x14ac:dyDescent="0.35">
      <c r="A185" s="51"/>
    </row>
    <row r="186" spans="1:1" x14ac:dyDescent="0.35">
      <c r="A186" s="51"/>
    </row>
    <row r="187" spans="1:1" x14ac:dyDescent="0.35">
      <c r="A187" s="51"/>
    </row>
    <row r="188" spans="1:1" x14ac:dyDescent="0.35">
      <c r="A188" s="51"/>
    </row>
    <row r="189" spans="1:1" x14ac:dyDescent="0.35">
      <c r="A189" s="51"/>
    </row>
    <row r="190" spans="1:1" x14ac:dyDescent="0.35">
      <c r="A190" s="51"/>
    </row>
    <row r="191" spans="1:1" x14ac:dyDescent="0.35">
      <c r="A191" s="51"/>
    </row>
    <row r="192" spans="1:1" x14ac:dyDescent="0.35">
      <c r="A192" s="51"/>
    </row>
    <row r="193" spans="1:1" x14ac:dyDescent="0.35">
      <c r="A193" s="51"/>
    </row>
    <row r="194" spans="1:1" x14ac:dyDescent="0.35">
      <c r="A194" s="51"/>
    </row>
    <row r="195" spans="1:1" x14ac:dyDescent="0.35">
      <c r="A195" s="51"/>
    </row>
    <row r="196" spans="1:1" x14ac:dyDescent="0.35">
      <c r="A196" s="51"/>
    </row>
    <row r="197" spans="1:1" x14ac:dyDescent="0.35">
      <c r="A197" s="51"/>
    </row>
    <row r="198" spans="1:1" x14ac:dyDescent="0.35">
      <c r="A198" s="51"/>
    </row>
    <row r="199" spans="1:1" x14ac:dyDescent="0.35">
      <c r="A199" s="51"/>
    </row>
    <row r="200" spans="1:1" x14ac:dyDescent="0.35">
      <c r="A200" s="51"/>
    </row>
    <row r="201" spans="1:1" x14ac:dyDescent="0.35">
      <c r="A201" s="51"/>
    </row>
    <row r="202" spans="1:1" x14ac:dyDescent="0.35">
      <c r="A202" s="51"/>
    </row>
    <row r="203" spans="1:1" x14ac:dyDescent="0.35">
      <c r="A203" s="51"/>
    </row>
    <row r="204" spans="1:1" x14ac:dyDescent="0.35">
      <c r="A204" s="51"/>
    </row>
    <row r="205" spans="1:1" x14ac:dyDescent="0.35">
      <c r="A205" s="51"/>
    </row>
    <row r="206" spans="1:1" x14ac:dyDescent="0.35">
      <c r="A206" s="51"/>
    </row>
    <row r="207" spans="1:1" x14ac:dyDescent="0.35">
      <c r="A207" s="51"/>
    </row>
    <row r="208" spans="1:1" x14ac:dyDescent="0.35">
      <c r="A208" s="51"/>
    </row>
    <row r="209" spans="1:1" x14ac:dyDescent="0.35">
      <c r="A209" s="51"/>
    </row>
    <row r="210" spans="1:1" x14ac:dyDescent="0.35">
      <c r="A210" s="51"/>
    </row>
    <row r="211" spans="1:1" x14ac:dyDescent="0.35">
      <c r="A211" s="51"/>
    </row>
    <row r="212" spans="1:1" x14ac:dyDescent="0.35">
      <c r="A212" s="51"/>
    </row>
    <row r="213" spans="1:1" x14ac:dyDescent="0.35">
      <c r="A213" s="51"/>
    </row>
    <row r="214" spans="1:1" x14ac:dyDescent="0.35">
      <c r="A214" s="51"/>
    </row>
    <row r="215" spans="1:1" x14ac:dyDescent="0.35">
      <c r="A215" s="51"/>
    </row>
    <row r="216" spans="1:1" x14ac:dyDescent="0.35">
      <c r="A216" s="51"/>
    </row>
    <row r="217" spans="1:1" x14ac:dyDescent="0.35">
      <c r="A217" s="51"/>
    </row>
    <row r="218" spans="1:1" x14ac:dyDescent="0.35">
      <c r="A218" s="51"/>
    </row>
    <row r="219" spans="1:1" x14ac:dyDescent="0.35">
      <c r="A219" s="51"/>
    </row>
    <row r="220" spans="1:1" x14ac:dyDescent="0.35">
      <c r="A220" s="51"/>
    </row>
    <row r="221" spans="1:1" x14ac:dyDescent="0.35">
      <c r="A221" s="51"/>
    </row>
    <row r="222" spans="1:1" x14ac:dyDescent="0.35">
      <c r="A222" s="51"/>
    </row>
    <row r="223" spans="1:1" x14ac:dyDescent="0.35">
      <c r="A223" s="51"/>
    </row>
    <row r="224" spans="1:1" x14ac:dyDescent="0.35">
      <c r="A224" s="51"/>
    </row>
    <row r="225" spans="1:1" x14ac:dyDescent="0.35">
      <c r="A225" s="51"/>
    </row>
    <row r="226" spans="1:1" x14ac:dyDescent="0.35">
      <c r="A226" s="51"/>
    </row>
    <row r="227" spans="1:1" x14ac:dyDescent="0.35">
      <c r="A227" s="51"/>
    </row>
    <row r="228" spans="1:1" x14ac:dyDescent="0.35">
      <c r="A228" s="51"/>
    </row>
    <row r="229" spans="1:1" x14ac:dyDescent="0.35">
      <c r="A229" s="51"/>
    </row>
    <row r="230" spans="1:1" x14ac:dyDescent="0.35">
      <c r="A230" s="51"/>
    </row>
  </sheetData>
  <conditionalFormatting sqref="E2:E145">
    <cfRule type="containsText" dxfId="15" priority="1" operator="containsText" text="Fail">
      <formula>NOT(ISERROR(SEARCH("Fail",E2)))</formula>
    </cfRule>
    <cfRule type="containsText" dxfId="14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opLeftCell="A103" workbookViewId="0">
      <selection activeCell="E141" sqref="E141"/>
    </sheetView>
  </sheetViews>
  <sheetFormatPr defaultRowHeight="14.5" x14ac:dyDescent="0.35"/>
  <cols>
    <col min="1" max="1" width="8.7265625" style="14"/>
    <col min="2" max="2" width="10.7265625" style="1" bestFit="1" customWidth="1"/>
    <col min="3" max="3" width="9" style="1" bestFit="1" customWidth="1"/>
    <col min="4" max="4" width="10.81640625" style="14" bestFit="1" customWidth="1"/>
    <col min="5" max="7" width="8.7265625" style="14"/>
  </cols>
  <sheetData>
    <row r="1" spans="1:8" x14ac:dyDescent="0.3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</row>
    <row r="2" spans="1:8" x14ac:dyDescent="0.35">
      <c r="A2" s="10">
        <f>'Student Basic Info'!A2</f>
        <v>501</v>
      </c>
      <c r="B2" s="3"/>
      <c r="C2" s="3"/>
      <c r="D2" s="15" t="str">
        <f>IF(B2+C2=0, "", B2+C2)</f>
        <v/>
      </c>
      <c r="E2" s="10" t="str">
        <f>IF(D2="","", IF(AND(B2 &gt;=10,C2&gt;=23),"Pass","Fail"))</f>
        <v/>
      </c>
      <c r="F2" s="10" t="str">
        <f>(IF(D2="","",IF(E2="Fail","F",IF(D2&gt;=80,"A+",IF(D2&gt;=70,"A",IF(D2&gt;=60,"A-",IF(D2&gt;=50,"B",IF(D2&gt;=40,"C",IF(D2&gt;=33,"D","F")))))))))</f>
        <v/>
      </c>
      <c r="G2" s="11" t="str">
        <f>(IF(D2="","",IF(F2="F",0,IF(D2&gt;=80,5,IF(D2&gt;=70,4,IF(D2&gt;=60,3.5,IF(D2&gt;=50,3,IF(D2&gt;=40,2,IF(D2&gt;=33,1,0)))))))))</f>
        <v/>
      </c>
    </row>
    <row r="3" spans="1:8" x14ac:dyDescent="0.35">
      <c r="A3" s="10">
        <f>'Student Basic Info'!A3</f>
        <v>502</v>
      </c>
      <c r="B3" s="3"/>
      <c r="C3" s="3"/>
      <c r="D3" s="15" t="str">
        <f t="shared" ref="D3:D66" si="0">IF(B3+C3=0, "", B3+C3)</f>
        <v/>
      </c>
      <c r="E3" s="10" t="str">
        <f t="shared" ref="E3:E66" si="1">IF(D3="","", IF(AND(B3 &gt;=10,C3&gt;=23),"Pass","Fail"))</f>
        <v/>
      </c>
      <c r="F3" s="10" t="str">
        <f t="shared" ref="F3:F66" si="2">(IF(D3="","",IF(E3="Fail","F",IF(D3&gt;=80,"A+",IF(D3&gt;=70,"A",IF(D3&gt;=60,"A-",IF(D3&gt;=50,"B",IF(D3&gt;=40,"C",IF(D3&gt;=33,"D","F")))))))))</f>
        <v/>
      </c>
      <c r="G3" s="11" t="str">
        <f t="shared" ref="G3:G66" si="3">(IF(D3="","",IF(F3="F",0,IF(D3&gt;=80,5,IF(D3&gt;=70,4,IF(D3&gt;=60,3.5,IF(D3&gt;=50,3,IF(D3&gt;=40,2,IF(D3&gt;=33,1,0)))))))))</f>
        <v/>
      </c>
    </row>
    <row r="4" spans="1:8" x14ac:dyDescent="0.35">
      <c r="A4" s="10">
        <f>'Student Basic Info'!A4</f>
        <v>503</v>
      </c>
      <c r="B4" s="3">
        <v>10</v>
      </c>
      <c r="C4" s="3">
        <v>30</v>
      </c>
      <c r="D4" s="15">
        <f t="shared" si="0"/>
        <v>40</v>
      </c>
      <c r="E4" s="10" t="str">
        <f t="shared" si="1"/>
        <v>Pass</v>
      </c>
      <c r="F4" s="10" t="str">
        <f t="shared" si="2"/>
        <v>C</v>
      </c>
      <c r="G4" s="11">
        <f t="shared" si="3"/>
        <v>2</v>
      </c>
    </row>
    <row r="5" spans="1:8" x14ac:dyDescent="0.35">
      <c r="A5" s="10">
        <f>'Student Basic Info'!A5</f>
        <v>504</v>
      </c>
      <c r="B5" s="3">
        <v>16</v>
      </c>
      <c r="C5" s="3">
        <v>31</v>
      </c>
      <c r="D5" s="15">
        <f t="shared" si="0"/>
        <v>47</v>
      </c>
      <c r="E5" s="10" t="str">
        <f t="shared" si="1"/>
        <v>Pass</v>
      </c>
      <c r="F5" s="10" t="str">
        <f t="shared" si="2"/>
        <v>C</v>
      </c>
      <c r="G5" s="11">
        <f t="shared" si="3"/>
        <v>2</v>
      </c>
    </row>
    <row r="6" spans="1:8" x14ac:dyDescent="0.35">
      <c r="A6" s="10">
        <f>'Student Basic Info'!A6</f>
        <v>505</v>
      </c>
      <c r="B6" s="3"/>
      <c r="C6" s="3"/>
      <c r="D6" s="15" t="str">
        <f t="shared" si="0"/>
        <v/>
      </c>
      <c r="E6" s="10" t="str">
        <f t="shared" si="1"/>
        <v/>
      </c>
      <c r="F6" s="10" t="str">
        <f t="shared" si="2"/>
        <v/>
      </c>
      <c r="G6" s="11" t="str">
        <f t="shared" si="3"/>
        <v/>
      </c>
      <c r="H6" t="s">
        <v>10</v>
      </c>
    </row>
    <row r="7" spans="1:8" x14ac:dyDescent="0.35">
      <c r="A7" s="10">
        <f>'Student Basic Info'!A7</f>
        <v>506</v>
      </c>
      <c r="B7" s="3"/>
      <c r="C7" s="3"/>
      <c r="D7" s="15" t="str">
        <f t="shared" si="0"/>
        <v/>
      </c>
      <c r="E7" s="10" t="str">
        <f t="shared" si="1"/>
        <v/>
      </c>
      <c r="F7" s="10" t="str">
        <f t="shared" si="2"/>
        <v/>
      </c>
      <c r="G7" s="11" t="str">
        <f t="shared" si="3"/>
        <v/>
      </c>
    </row>
    <row r="8" spans="1:8" x14ac:dyDescent="0.35">
      <c r="A8" s="10">
        <f>'Student Basic Info'!A8</f>
        <v>507</v>
      </c>
      <c r="B8" s="3"/>
      <c r="C8" s="3"/>
      <c r="D8" s="15" t="str">
        <f t="shared" si="0"/>
        <v/>
      </c>
      <c r="E8" s="10" t="str">
        <f t="shared" si="1"/>
        <v/>
      </c>
      <c r="F8" s="10" t="str">
        <f t="shared" si="2"/>
        <v/>
      </c>
      <c r="G8" s="11" t="str">
        <f t="shared" si="3"/>
        <v/>
      </c>
    </row>
    <row r="9" spans="1:8" x14ac:dyDescent="0.35">
      <c r="A9" s="10">
        <f>'Student Basic Info'!A9</f>
        <v>508</v>
      </c>
      <c r="B9" s="3"/>
      <c r="C9" s="3"/>
      <c r="D9" s="15" t="str">
        <f t="shared" si="0"/>
        <v/>
      </c>
      <c r="E9" s="10" t="str">
        <f t="shared" si="1"/>
        <v/>
      </c>
      <c r="F9" s="10" t="str">
        <f t="shared" si="2"/>
        <v/>
      </c>
      <c r="G9" s="11" t="str">
        <f t="shared" si="3"/>
        <v/>
      </c>
    </row>
    <row r="10" spans="1:8" x14ac:dyDescent="0.35">
      <c r="A10" s="10">
        <f>'Student Basic Info'!A10</f>
        <v>509</v>
      </c>
      <c r="B10" s="3"/>
      <c r="C10" s="3"/>
      <c r="D10" s="15" t="str">
        <f t="shared" si="0"/>
        <v/>
      </c>
      <c r="E10" s="10" t="str">
        <f t="shared" si="1"/>
        <v/>
      </c>
      <c r="F10" s="10" t="str">
        <f t="shared" si="2"/>
        <v/>
      </c>
      <c r="G10" s="11" t="str">
        <f t="shared" si="3"/>
        <v/>
      </c>
    </row>
    <row r="11" spans="1:8" x14ac:dyDescent="0.35">
      <c r="A11" s="10">
        <f>'Student Basic Info'!A11</f>
        <v>510</v>
      </c>
      <c r="B11" s="3"/>
      <c r="C11" s="3"/>
      <c r="D11" s="15" t="str">
        <f t="shared" si="0"/>
        <v/>
      </c>
      <c r="E11" s="10" t="str">
        <f t="shared" si="1"/>
        <v/>
      </c>
      <c r="F11" s="10" t="str">
        <f t="shared" si="2"/>
        <v/>
      </c>
      <c r="G11" s="11" t="str">
        <f t="shared" si="3"/>
        <v/>
      </c>
    </row>
    <row r="12" spans="1:8" x14ac:dyDescent="0.35">
      <c r="A12" s="10">
        <f>'Student Basic Info'!A12</f>
        <v>511</v>
      </c>
      <c r="B12" s="3"/>
      <c r="C12" s="3"/>
      <c r="D12" s="15" t="str">
        <f t="shared" si="0"/>
        <v/>
      </c>
      <c r="E12" s="10" t="str">
        <f t="shared" si="1"/>
        <v/>
      </c>
      <c r="F12" s="10" t="str">
        <f t="shared" si="2"/>
        <v/>
      </c>
      <c r="G12" s="11" t="str">
        <f t="shared" si="3"/>
        <v/>
      </c>
    </row>
    <row r="13" spans="1:8" x14ac:dyDescent="0.35">
      <c r="A13" s="10">
        <f>'Student Basic Info'!A13</f>
        <v>512</v>
      </c>
      <c r="B13" s="3"/>
      <c r="C13" s="3"/>
      <c r="D13" s="15" t="str">
        <f t="shared" si="0"/>
        <v/>
      </c>
      <c r="E13" s="10" t="str">
        <f t="shared" si="1"/>
        <v/>
      </c>
      <c r="F13" s="10" t="str">
        <f t="shared" si="2"/>
        <v/>
      </c>
      <c r="G13" s="11" t="str">
        <f t="shared" si="3"/>
        <v/>
      </c>
    </row>
    <row r="14" spans="1:8" x14ac:dyDescent="0.35">
      <c r="A14" s="10">
        <f>'Student Basic Info'!A14</f>
        <v>513</v>
      </c>
      <c r="B14" s="3"/>
      <c r="C14" s="3"/>
      <c r="D14" s="15" t="str">
        <f t="shared" si="0"/>
        <v/>
      </c>
      <c r="E14" s="10" t="str">
        <f t="shared" si="1"/>
        <v/>
      </c>
      <c r="F14" s="10" t="str">
        <f t="shared" si="2"/>
        <v/>
      </c>
      <c r="G14" s="11" t="str">
        <f t="shared" si="3"/>
        <v/>
      </c>
    </row>
    <row r="15" spans="1:8" x14ac:dyDescent="0.35">
      <c r="A15" s="10">
        <f>'Student Basic Info'!A15</f>
        <v>514</v>
      </c>
      <c r="B15" s="3"/>
      <c r="C15" s="3"/>
      <c r="D15" s="15" t="str">
        <f t="shared" si="0"/>
        <v/>
      </c>
      <c r="E15" s="10" t="str">
        <f t="shared" si="1"/>
        <v/>
      </c>
      <c r="F15" s="10" t="str">
        <f t="shared" si="2"/>
        <v/>
      </c>
      <c r="G15" s="11" t="str">
        <f t="shared" si="3"/>
        <v/>
      </c>
    </row>
    <row r="16" spans="1:8" x14ac:dyDescent="0.35">
      <c r="A16" s="10">
        <f>'Student Basic Info'!A16</f>
        <v>515</v>
      </c>
      <c r="B16" s="3"/>
      <c r="C16" s="3"/>
      <c r="D16" s="15" t="str">
        <f t="shared" si="0"/>
        <v/>
      </c>
      <c r="E16" s="10" t="str">
        <f t="shared" si="1"/>
        <v/>
      </c>
      <c r="F16" s="10" t="str">
        <f t="shared" si="2"/>
        <v/>
      </c>
      <c r="G16" s="11" t="str">
        <f t="shared" si="3"/>
        <v/>
      </c>
    </row>
    <row r="17" spans="1:7" x14ac:dyDescent="0.35">
      <c r="A17" s="10">
        <f>'Student Basic Info'!A17</f>
        <v>516</v>
      </c>
      <c r="B17" s="3"/>
      <c r="C17" s="3"/>
      <c r="D17" s="15" t="str">
        <f t="shared" si="0"/>
        <v/>
      </c>
      <c r="E17" s="10" t="str">
        <f t="shared" si="1"/>
        <v/>
      </c>
      <c r="F17" s="10" t="str">
        <f t="shared" si="2"/>
        <v/>
      </c>
      <c r="G17" s="11" t="str">
        <f t="shared" si="3"/>
        <v/>
      </c>
    </row>
    <row r="18" spans="1:7" x14ac:dyDescent="0.35">
      <c r="A18" s="10">
        <f>'Student Basic Info'!A18</f>
        <v>517</v>
      </c>
      <c r="B18" s="3"/>
      <c r="C18" s="3"/>
      <c r="D18" s="15" t="str">
        <f t="shared" si="0"/>
        <v/>
      </c>
      <c r="E18" s="10" t="str">
        <f t="shared" si="1"/>
        <v/>
      </c>
      <c r="F18" s="10" t="str">
        <f t="shared" si="2"/>
        <v/>
      </c>
      <c r="G18" s="11" t="str">
        <f t="shared" si="3"/>
        <v/>
      </c>
    </row>
    <row r="19" spans="1:7" x14ac:dyDescent="0.35">
      <c r="A19" s="10">
        <f>'Student Basic Info'!A19</f>
        <v>518</v>
      </c>
      <c r="B19" s="3"/>
      <c r="C19" s="3"/>
      <c r="D19" s="15" t="str">
        <f t="shared" si="0"/>
        <v/>
      </c>
      <c r="E19" s="10" t="str">
        <f t="shared" si="1"/>
        <v/>
      </c>
      <c r="F19" s="10" t="str">
        <f t="shared" si="2"/>
        <v/>
      </c>
      <c r="G19" s="11" t="str">
        <f t="shared" si="3"/>
        <v/>
      </c>
    </row>
    <row r="20" spans="1:7" x14ac:dyDescent="0.35">
      <c r="A20" s="10">
        <f>'Student Basic Info'!A20</f>
        <v>519</v>
      </c>
      <c r="B20" s="3">
        <v>10</v>
      </c>
      <c r="C20" s="3">
        <v>37</v>
      </c>
      <c r="D20" s="15">
        <f t="shared" si="0"/>
        <v>47</v>
      </c>
      <c r="E20" s="10" t="str">
        <f t="shared" si="1"/>
        <v>Pass</v>
      </c>
      <c r="F20" s="10" t="str">
        <f t="shared" si="2"/>
        <v>C</v>
      </c>
      <c r="G20" s="11">
        <f t="shared" si="3"/>
        <v>2</v>
      </c>
    </row>
    <row r="21" spans="1:7" x14ac:dyDescent="0.35">
      <c r="A21" s="10">
        <f>'Student Basic Info'!A21</f>
        <v>520</v>
      </c>
      <c r="B21" s="3"/>
      <c r="C21" s="3"/>
      <c r="D21" s="15" t="str">
        <f t="shared" si="0"/>
        <v/>
      </c>
      <c r="E21" s="10" t="str">
        <f t="shared" si="1"/>
        <v/>
      </c>
      <c r="F21" s="10" t="str">
        <f t="shared" si="2"/>
        <v/>
      </c>
      <c r="G21" s="11" t="str">
        <f t="shared" si="3"/>
        <v/>
      </c>
    </row>
    <row r="22" spans="1:7" x14ac:dyDescent="0.35">
      <c r="A22" s="10">
        <f>'Student Basic Info'!A22</f>
        <v>521</v>
      </c>
      <c r="B22" s="3"/>
      <c r="C22" s="3"/>
      <c r="D22" s="15" t="str">
        <f t="shared" si="0"/>
        <v/>
      </c>
      <c r="E22" s="10" t="str">
        <f t="shared" si="1"/>
        <v/>
      </c>
      <c r="F22" s="10" t="str">
        <f t="shared" si="2"/>
        <v/>
      </c>
      <c r="G22" s="11" t="str">
        <f t="shared" si="3"/>
        <v/>
      </c>
    </row>
    <row r="23" spans="1:7" x14ac:dyDescent="0.35">
      <c r="A23" s="10">
        <f>'Student Basic Info'!A23</f>
        <v>522</v>
      </c>
      <c r="B23" s="3"/>
      <c r="C23" s="3"/>
      <c r="D23" s="15" t="str">
        <f t="shared" si="0"/>
        <v/>
      </c>
      <c r="E23" s="10" t="str">
        <f t="shared" si="1"/>
        <v/>
      </c>
      <c r="F23" s="10" t="str">
        <f t="shared" si="2"/>
        <v/>
      </c>
      <c r="G23" s="11" t="str">
        <f t="shared" si="3"/>
        <v/>
      </c>
    </row>
    <row r="24" spans="1:7" x14ac:dyDescent="0.35">
      <c r="A24" s="10">
        <f>'Student Basic Info'!A24</f>
        <v>523</v>
      </c>
      <c r="B24" s="3"/>
      <c r="C24" s="3"/>
      <c r="D24" s="15" t="str">
        <f t="shared" si="0"/>
        <v/>
      </c>
      <c r="E24" s="10" t="str">
        <f t="shared" si="1"/>
        <v/>
      </c>
      <c r="F24" s="10" t="str">
        <f t="shared" si="2"/>
        <v/>
      </c>
      <c r="G24" s="11" t="str">
        <f t="shared" si="3"/>
        <v/>
      </c>
    </row>
    <row r="25" spans="1:7" x14ac:dyDescent="0.35">
      <c r="A25" s="10">
        <f>'Student Basic Info'!A25</f>
        <v>524</v>
      </c>
      <c r="B25" s="3"/>
      <c r="C25" s="3"/>
      <c r="D25" s="15" t="str">
        <f t="shared" si="0"/>
        <v/>
      </c>
      <c r="E25" s="10" t="str">
        <f t="shared" si="1"/>
        <v/>
      </c>
      <c r="F25" s="10" t="str">
        <f t="shared" si="2"/>
        <v/>
      </c>
      <c r="G25" s="11" t="str">
        <f t="shared" si="3"/>
        <v/>
      </c>
    </row>
    <row r="26" spans="1:7" x14ac:dyDescent="0.35">
      <c r="A26" s="10">
        <f>'Student Basic Info'!A26</f>
        <v>525</v>
      </c>
      <c r="B26" s="3"/>
      <c r="C26" s="3"/>
      <c r="D26" s="15" t="str">
        <f t="shared" si="0"/>
        <v/>
      </c>
      <c r="E26" s="10" t="str">
        <f t="shared" si="1"/>
        <v/>
      </c>
      <c r="F26" s="10" t="str">
        <f t="shared" si="2"/>
        <v/>
      </c>
      <c r="G26" s="11" t="str">
        <f t="shared" si="3"/>
        <v/>
      </c>
    </row>
    <row r="27" spans="1:7" x14ac:dyDescent="0.35">
      <c r="A27" s="10">
        <f>'Student Basic Info'!A27</f>
        <v>526</v>
      </c>
      <c r="B27" s="3"/>
      <c r="C27" s="3"/>
      <c r="D27" s="15" t="str">
        <f t="shared" si="0"/>
        <v/>
      </c>
      <c r="E27" s="10" t="str">
        <f t="shared" si="1"/>
        <v/>
      </c>
      <c r="F27" s="10" t="str">
        <f t="shared" si="2"/>
        <v/>
      </c>
      <c r="G27" s="11" t="str">
        <f t="shared" si="3"/>
        <v/>
      </c>
    </row>
    <row r="28" spans="1:7" x14ac:dyDescent="0.35">
      <c r="A28" s="10">
        <f>'Student Basic Info'!A28</f>
        <v>527</v>
      </c>
      <c r="B28" s="3"/>
      <c r="C28" s="3"/>
      <c r="D28" s="15" t="str">
        <f t="shared" si="0"/>
        <v/>
      </c>
      <c r="E28" s="10" t="str">
        <f t="shared" si="1"/>
        <v/>
      </c>
      <c r="F28" s="10" t="str">
        <f t="shared" si="2"/>
        <v/>
      </c>
      <c r="G28" s="11" t="str">
        <f t="shared" si="3"/>
        <v/>
      </c>
    </row>
    <row r="29" spans="1:7" x14ac:dyDescent="0.35">
      <c r="A29" s="10">
        <f>'Student Basic Info'!A29</f>
        <v>528</v>
      </c>
      <c r="B29" s="3">
        <v>20</v>
      </c>
      <c r="C29" s="3">
        <v>45</v>
      </c>
      <c r="D29" s="15">
        <f t="shared" si="0"/>
        <v>65</v>
      </c>
      <c r="E29" s="10" t="str">
        <f t="shared" si="1"/>
        <v>Pass</v>
      </c>
      <c r="F29" s="10" t="str">
        <f t="shared" si="2"/>
        <v>A-</v>
      </c>
      <c r="G29" s="11">
        <f t="shared" si="3"/>
        <v>3.5</v>
      </c>
    </row>
    <row r="30" spans="1:7" x14ac:dyDescent="0.35">
      <c r="A30" s="10">
        <f>'Student Basic Info'!A30</f>
        <v>529</v>
      </c>
      <c r="B30" s="3">
        <v>13</v>
      </c>
      <c r="C30" s="3">
        <v>21</v>
      </c>
      <c r="D30" s="15">
        <f t="shared" si="0"/>
        <v>34</v>
      </c>
      <c r="E30" s="10" t="str">
        <f t="shared" si="1"/>
        <v>Fail</v>
      </c>
      <c r="F30" s="10" t="str">
        <f t="shared" si="2"/>
        <v>F</v>
      </c>
      <c r="G30" s="11">
        <f t="shared" si="3"/>
        <v>0</v>
      </c>
    </row>
    <row r="31" spans="1:7" x14ac:dyDescent="0.35">
      <c r="A31" s="10">
        <f>'Student Basic Info'!A31</f>
        <v>530</v>
      </c>
      <c r="B31" s="3"/>
      <c r="C31" s="3"/>
      <c r="D31" s="15" t="str">
        <f t="shared" si="0"/>
        <v/>
      </c>
      <c r="E31" s="10" t="str">
        <f t="shared" si="1"/>
        <v/>
      </c>
      <c r="F31" s="10" t="str">
        <f t="shared" si="2"/>
        <v/>
      </c>
      <c r="G31" s="11" t="str">
        <f t="shared" si="3"/>
        <v/>
      </c>
    </row>
    <row r="32" spans="1:7" x14ac:dyDescent="0.35">
      <c r="A32" s="10">
        <f>'Student Basic Info'!A32</f>
        <v>531</v>
      </c>
      <c r="B32" s="3"/>
      <c r="C32" s="3"/>
      <c r="D32" s="15" t="str">
        <f t="shared" si="0"/>
        <v/>
      </c>
      <c r="E32" s="10" t="str">
        <f t="shared" si="1"/>
        <v/>
      </c>
      <c r="F32" s="10" t="str">
        <f t="shared" si="2"/>
        <v/>
      </c>
      <c r="G32" s="11" t="str">
        <f t="shared" si="3"/>
        <v/>
      </c>
    </row>
    <row r="33" spans="1:7" x14ac:dyDescent="0.35">
      <c r="A33" s="10">
        <f>'Student Basic Info'!A33</f>
        <v>532</v>
      </c>
      <c r="B33" s="3"/>
      <c r="C33" s="3"/>
      <c r="D33" s="15" t="str">
        <f t="shared" si="0"/>
        <v/>
      </c>
      <c r="E33" s="10" t="str">
        <f t="shared" si="1"/>
        <v/>
      </c>
      <c r="F33" s="10" t="str">
        <f t="shared" si="2"/>
        <v/>
      </c>
      <c r="G33" s="11" t="str">
        <f t="shared" si="3"/>
        <v/>
      </c>
    </row>
    <row r="34" spans="1:7" x14ac:dyDescent="0.35">
      <c r="A34" s="10">
        <f>'Student Basic Info'!A34</f>
        <v>533</v>
      </c>
      <c r="B34" s="3"/>
      <c r="C34" s="3"/>
      <c r="D34" s="15" t="str">
        <f t="shared" si="0"/>
        <v/>
      </c>
      <c r="E34" s="10" t="str">
        <f t="shared" si="1"/>
        <v/>
      </c>
      <c r="F34" s="10" t="str">
        <f t="shared" si="2"/>
        <v/>
      </c>
      <c r="G34" s="11" t="str">
        <f t="shared" si="3"/>
        <v/>
      </c>
    </row>
    <row r="35" spans="1:7" x14ac:dyDescent="0.35">
      <c r="A35" s="10">
        <f>'Student Basic Info'!A35</f>
        <v>534</v>
      </c>
      <c r="B35" s="3"/>
      <c r="C35" s="3"/>
      <c r="D35" s="15" t="str">
        <f t="shared" si="0"/>
        <v/>
      </c>
      <c r="E35" s="10" t="str">
        <f t="shared" si="1"/>
        <v/>
      </c>
      <c r="F35" s="10" t="str">
        <f t="shared" si="2"/>
        <v/>
      </c>
      <c r="G35" s="11" t="str">
        <f t="shared" si="3"/>
        <v/>
      </c>
    </row>
    <row r="36" spans="1:7" x14ac:dyDescent="0.35">
      <c r="A36" s="10">
        <f>'Student Basic Info'!A36</f>
        <v>535</v>
      </c>
      <c r="B36" s="3"/>
      <c r="C36" s="3"/>
      <c r="D36" s="15" t="str">
        <f t="shared" si="0"/>
        <v/>
      </c>
      <c r="E36" s="10" t="str">
        <f t="shared" si="1"/>
        <v/>
      </c>
      <c r="F36" s="10" t="str">
        <f t="shared" si="2"/>
        <v/>
      </c>
      <c r="G36" s="11" t="str">
        <f t="shared" si="3"/>
        <v/>
      </c>
    </row>
    <row r="37" spans="1:7" x14ac:dyDescent="0.35">
      <c r="A37" s="10">
        <f>'Student Basic Info'!A37</f>
        <v>536</v>
      </c>
      <c r="B37" s="3"/>
      <c r="C37" s="3"/>
      <c r="D37" s="15" t="str">
        <f t="shared" si="0"/>
        <v/>
      </c>
      <c r="E37" s="10" t="str">
        <f t="shared" si="1"/>
        <v/>
      </c>
      <c r="F37" s="10" t="str">
        <f t="shared" si="2"/>
        <v/>
      </c>
      <c r="G37" s="11" t="str">
        <f t="shared" si="3"/>
        <v/>
      </c>
    </row>
    <row r="38" spans="1:7" x14ac:dyDescent="0.35">
      <c r="A38" s="10">
        <f>'Student Basic Info'!A38</f>
        <v>537</v>
      </c>
      <c r="B38" s="3">
        <v>13</v>
      </c>
      <c r="C38" s="3">
        <v>18</v>
      </c>
      <c r="D38" s="15">
        <f t="shared" si="0"/>
        <v>31</v>
      </c>
      <c r="E38" s="10" t="str">
        <f t="shared" si="1"/>
        <v>Fail</v>
      </c>
      <c r="F38" s="10" t="str">
        <f t="shared" si="2"/>
        <v>F</v>
      </c>
      <c r="G38" s="11">
        <f t="shared" si="3"/>
        <v>0</v>
      </c>
    </row>
    <row r="39" spans="1:7" x14ac:dyDescent="0.35">
      <c r="A39" s="10">
        <f>'Student Basic Info'!A39</f>
        <v>538</v>
      </c>
      <c r="B39" s="3"/>
      <c r="C39" s="3"/>
      <c r="D39" s="15" t="str">
        <f t="shared" si="0"/>
        <v/>
      </c>
      <c r="E39" s="10" t="str">
        <f t="shared" si="1"/>
        <v/>
      </c>
      <c r="F39" s="10" t="str">
        <f t="shared" si="2"/>
        <v/>
      </c>
      <c r="G39" s="11" t="str">
        <f t="shared" si="3"/>
        <v/>
      </c>
    </row>
    <row r="40" spans="1:7" x14ac:dyDescent="0.35">
      <c r="A40" s="10">
        <f>'Student Basic Info'!A40</f>
        <v>539</v>
      </c>
      <c r="B40" s="3"/>
      <c r="C40" s="3"/>
      <c r="D40" s="15" t="str">
        <f t="shared" si="0"/>
        <v/>
      </c>
      <c r="E40" s="10" t="str">
        <f t="shared" si="1"/>
        <v/>
      </c>
      <c r="F40" s="10" t="str">
        <f t="shared" si="2"/>
        <v/>
      </c>
      <c r="G40" s="11" t="str">
        <f t="shared" si="3"/>
        <v/>
      </c>
    </row>
    <row r="41" spans="1:7" x14ac:dyDescent="0.35">
      <c r="A41" s="10">
        <f>'Student Basic Info'!A41</f>
        <v>540</v>
      </c>
      <c r="B41" s="3"/>
      <c r="C41" s="3"/>
      <c r="D41" s="15" t="str">
        <f t="shared" si="0"/>
        <v/>
      </c>
      <c r="E41" s="10" t="str">
        <f t="shared" si="1"/>
        <v/>
      </c>
      <c r="F41" s="10" t="str">
        <f t="shared" si="2"/>
        <v/>
      </c>
      <c r="G41" s="11" t="str">
        <f t="shared" si="3"/>
        <v/>
      </c>
    </row>
    <row r="42" spans="1:7" x14ac:dyDescent="0.35">
      <c r="A42" s="10">
        <f>'Student Basic Info'!A42</f>
        <v>541</v>
      </c>
      <c r="B42" s="3"/>
      <c r="C42" s="3"/>
      <c r="D42" s="15" t="str">
        <f t="shared" si="0"/>
        <v/>
      </c>
      <c r="E42" s="10" t="str">
        <f t="shared" si="1"/>
        <v/>
      </c>
      <c r="F42" s="10" t="str">
        <f t="shared" si="2"/>
        <v/>
      </c>
      <c r="G42" s="11" t="str">
        <f t="shared" si="3"/>
        <v/>
      </c>
    </row>
    <row r="43" spans="1:7" x14ac:dyDescent="0.35">
      <c r="A43" s="10">
        <f>'Student Basic Info'!A43</f>
        <v>542</v>
      </c>
      <c r="B43" s="3">
        <v>9</v>
      </c>
      <c r="C43" s="3">
        <v>3</v>
      </c>
      <c r="D43" s="15">
        <f t="shared" si="0"/>
        <v>12</v>
      </c>
      <c r="E43" s="10" t="str">
        <f t="shared" si="1"/>
        <v>Fail</v>
      </c>
      <c r="F43" s="10" t="str">
        <f t="shared" si="2"/>
        <v>F</v>
      </c>
      <c r="G43" s="11">
        <f t="shared" si="3"/>
        <v>0</v>
      </c>
    </row>
    <row r="44" spans="1:7" x14ac:dyDescent="0.35">
      <c r="A44" s="10">
        <f>'Student Basic Info'!A44</f>
        <v>543</v>
      </c>
      <c r="B44" s="3">
        <v>6</v>
      </c>
      <c r="C44" s="3">
        <v>4</v>
      </c>
      <c r="D44" s="15">
        <f t="shared" si="0"/>
        <v>10</v>
      </c>
      <c r="E44" s="10" t="str">
        <f t="shared" si="1"/>
        <v>Fail</v>
      </c>
      <c r="F44" s="10" t="str">
        <f t="shared" si="2"/>
        <v>F</v>
      </c>
      <c r="G44" s="11">
        <f t="shared" si="3"/>
        <v>0</v>
      </c>
    </row>
    <row r="45" spans="1:7" x14ac:dyDescent="0.35">
      <c r="A45" s="10">
        <f>'Student Basic Info'!A45</f>
        <v>544</v>
      </c>
      <c r="B45" s="3"/>
      <c r="C45" s="3"/>
      <c r="D45" s="15" t="str">
        <f t="shared" si="0"/>
        <v/>
      </c>
      <c r="E45" s="10" t="str">
        <f t="shared" si="1"/>
        <v/>
      </c>
      <c r="F45" s="10" t="str">
        <f t="shared" si="2"/>
        <v/>
      </c>
      <c r="G45" s="11" t="str">
        <f t="shared" si="3"/>
        <v/>
      </c>
    </row>
    <row r="46" spans="1:7" x14ac:dyDescent="0.35">
      <c r="A46" s="10">
        <f>'Student Basic Info'!A46</f>
        <v>545</v>
      </c>
      <c r="B46" s="3"/>
      <c r="C46" s="3"/>
      <c r="D46" s="15" t="str">
        <f t="shared" si="0"/>
        <v/>
      </c>
      <c r="E46" s="10" t="str">
        <f t="shared" si="1"/>
        <v/>
      </c>
      <c r="F46" s="10" t="str">
        <f t="shared" si="2"/>
        <v/>
      </c>
      <c r="G46" s="11" t="str">
        <f t="shared" si="3"/>
        <v/>
      </c>
    </row>
    <row r="47" spans="1:7" x14ac:dyDescent="0.35">
      <c r="A47" s="10">
        <f>'Student Basic Info'!A47</f>
        <v>546</v>
      </c>
      <c r="B47" s="3"/>
      <c r="C47" s="3"/>
      <c r="D47" s="15" t="str">
        <f t="shared" si="0"/>
        <v/>
      </c>
      <c r="E47" s="10" t="str">
        <f t="shared" si="1"/>
        <v/>
      </c>
      <c r="F47" s="10" t="str">
        <f t="shared" si="2"/>
        <v/>
      </c>
      <c r="G47" s="11" t="str">
        <f t="shared" si="3"/>
        <v/>
      </c>
    </row>
    <row r="48" spans="1:7" x14ac:dyDescent="0.35">
      <c r="A48" s="10">
        <f>'Student Basic Info'!A48</f>
        <v>547</v>
      </c>
      <c r="B48" s="3"/>
      <c r="C48" s="3"/>
      <c r="D48" s="15" t="str">
        <f t="shared" si="0"/>
        <v/>
      </c>
      <c r="E48" s="10" t="str">
        <f t="shared" si="1"/>
        <v/>
      </c>
      <c r="F48" s="10" t="str">
        <f t="shared" si="2"/>
        <v/>
      </c>
      <c r="G48" s="11" t="str">
        <f t="shared" si="3"/>
        <v/>
      </c>
    </row>
    <row r="49" spans="1:7" x14ac:dyDescent="0.35">
      <c r="A49" s="10">
        <f>'Student Basic Info'!A49</f>
        <v>548</v>
      </c>
      <c r="B49" s="3"/>
      <c r="C49" s="3"/>
      <c r="D49" s="15" t="str">
        <f t="shared" si="0"/>
        <v/>
      </c>
      <c r="E49" s="10" t="str">
        <f t="shared" si="1"/>
        <v/>
      </c>
      <c r="F49" s="10" t="str">
        <f t="shared" si="2"/>
        <v/>
      </c>
      <c r="G49" s="11" t="str">
        <f t="shared" si="3"/>
        <v/>
      </c>
    </row>
    <row r="50" spans="1:7" x14ac:dyDescent="0.35">
      <c r="A50" s="10">
        <f>'Student Basic Info'!A50</f>
        <v>549</v>
      </c>
      <c r="B50" s="3"/>
      <c r="C50" s="3"/>
      <c r="D50" s="15" t="str">
        <f t="shared" si="0"/>
        <v/>
      </c>
      <c r="E50" s="10" t="str">
        <f t="shared" si="1"/>
        <v/>
      </c>
      <c r="F50" s="10" t="str">
        <f t="shared" si="2"/>
        <v/>
      </c>
      <c r="G50" s="11" t="str">
        <f t="shared" si="3"/>
        <v/>
      </c>
    </row>
    <row r="51" spans="1:7" x14ac:dyDescent="0.35">
      <c r="A51" s="10">
        <f>'Student Basic Info'!A51</f>
        <v>550</v>
      </c>
      <c r="B51" s="3"/>
      <c r="C51" s="3"/>
      <c r="D51" s="15" t="str">
        <f t="shared" si="0"/>
        <v/>
      </c>
      <c r="E51" s="10" t="str">
        <f t="shared" si="1"/>
        <v/>
      </c>
      <c r="F51" s="10" t="str">
        <f t="shared" si="2"/>
        <v/>
      </c>
      <c r="G51" s="11" t="str">
        <f t="shared" si="3"/>
        <v/>
      </c>
    </row>
    <row r="52" spans="1:7" x14ac:dyDescent="0.35">
      <c r="A52" s="10">
        <f>'Student Basic Info'!A52</f>
        <v>551</v>
      </c>
      <c r="B52" s="3"/>
      <c r="C52" s="3"/>
      <c r="D52" s="15" t="str">
        <f t="shared" si="0"/>
        <v/>
      </c>
      <c r="E52" s="10" t="str">
        <f t="shared" si="1"/>
        <v/>
      </c>
      <c r="F52" s="10" t="str">
        <f t="shared" si="2"/>
        <v/>
      </c>
      <c r="G52" s="11" t="str">
        <f t="shared" si="3"/>
        <v/>
      </c>
    </row>
    <row r="53" spans="1:7" x14ac:dyDescent="0.35">
      <c r="A53" s="10">
        <f>'Student Basic Info'!A53</f>
        <v>552</v>
      </c>
      <c r="B53" s="3"/>
      <c r="C53" s="3"/>
      <c r="D53" s="15" t="str">
        <f t="shared" si="0"/>
        <v/>
      </c>
      <c r="E53" s="10" t="str">
        <f t="shared" si="1"/>
        <v/>
      </c>
      <c r="F53" s="10" t="str">
        <f t="shared" si="2"/>
        <v/>
      </c>
      <c r="G53" s="11" t="str">
        <f t="shared" si="3"/>
        <v/>
      </c>
    </row>
    <row r="54" spans="1:7" x14ac:dyDescent="0.35">
      <c r="A54" s="10">
        <f>'Student Basic Info'!A54</f>
        <v>553</v>
      </c>
      <c r="B54" s="3"/>
      <c r="C54" s="3"/>
      <c r="D54" s="15" t="str">
        <f t="shared" si="0"/>
        <v/>
      </c>
      <c r="E54" s="10" t="str">
        <f t="shared" si="1"/>
        <v/>
      </c>
      <c r="F54" s="10" t="str">
        <f t="shared" si="2"/>
        <v/>
      </c>
      <c r="G54" s="11" t="str">
        <f t="shared" si="3"/>
        <v/>
      </c>
    </row>
    <row r="55" spans="1:7" x14ac:dyDescent="0.35">
      <c r="A55" s="10">
        <f>'Student Basic Info'!A55</f>
        <v>554</v>
      </c>
      <c r="B55" s="3"/>
      <c r="C55" s="3"/>
      <c r="D55" s="15" t="str">
        <f t="shared" si="0"/>
        <v/>
      </c>
      <c r="E55" s="10" t="str">
        <f t="shared" si="1"/>
        <v/>
      </c>
      <c r="F55" s="10" t="str">
        <f t="shared" si="2"/>
        <v/>
      </c>
      <c r="G55" s="11" t="str">
        <f t="shared" si="3"/>
        <v/>
      </c>
    </row>
    <row r="56" spans="1:7" x14ac:dyDescent="0.35">
      <c r="A56" s="10">
        <f>'Student Basic Info'!A56</f>
        <v>555</v>
      </c>
      <c r="B56" s="3"/>
      <c r="C56" s="3"/>
      <c r="D56" s="15" t="str">
        <f t="shared" si="0"/>
        <v/>
      </c>
      <c r="E56" s="10" t="str">
        <f t="shared" si="1"/>
        <v/>
      </c>
      <c r="F56" s="10" t="str">
        <f t="shared" si="2"/>
        <v/>
      </c>
      <c r="G56" s="11" t="str">
        <f t="shared" si="3"/>
        <v/>
      </c>
    </row>
    <row r="57" spans="1:7" x14ac:dyDescent="0.35">
      <c r="A57" s="10">
        <f>'Student Basic Info'!A57</f>
        <v>556</v>
      </c>
      <c r="B57" s="3"/>
      <c r="C57" s="3"/>
      <c r="D57" s="15" t="str">
        <f t="shared" si="0"/>
        <v/>
      </c>
      <c r="E57" s="10" t="str">
        <f t="shared" si="1"/>
        <v/>
      </c>
      <c r="F57" s="10" t="str">
        <f t="shared" si="2"/>
        <v/>
      </c>
      <c r="G57" s="11" t="str">
        <f t="shared" si="3"/>
        <v/>
      </c>
    </row>
    <row r="58" spans="1:7" x14ac:dyDescent="0.35">
      <c r="A58" s="10">
        <f>'Student Basic Info'!A58</f>
        <v>557</v>
      </c>
      <c r="B58" s="3"/>
      <c r="C58" s="3"/>
      <c r="D58" s="15" t="str">
        <f t="shared" si="0"/>
        <v/>
      </c>
      <c r="E58" s="10" t="str">
        <f t="shared" si="1"/>
        <v/>
      </c>
      <c r="F58" s="10" t="str">
        <f t="shared" si="2"/>
        <v/>
      </c>
      <c r="G58" s="11" t="str">
        <f t="shared" si="3"/>
        <v/>
      </c>
    </row>
    <row r="59" spans="1:7" x14ac:dyDescent="0.35">
      <c r="A59" s="10">
        <f>'Student Basic Info'!A59</f>
        <v>558</v>
      </c>
      <c r="B59" s="3"/>
      <c r="C59" s="3"/>
      <c r="D59" s="15" t="str">
        <f t="shared" si="0"/>
        <v/>
      </c>
      <c r="E59" s="10" t="str">
        <f t="shared" si="1"/>
        <v/>
      </c>
      <c r="F59" s="10" t="str">
        <f t="shared" si="2"/>
        <v/>
      </c>
      <c r="G59" s="11" t="str">
        <f t="shared" si="3"/>
        <v/>
      </c>
    </row>
    <row r="60" spans="1:7" x14ac:dyDescent="0.35">
      <c r="A60" s="10">
        <f>'Student Basic Info'!A60</f>
        <v>559</v>
      </c>
      <c r="B60" s="3"/>
      <c r="C60" s="3"/>
      <c r="D60" s="15" t="str">
        <f t="shared" si="0"/>
        <v/>
      </c>
      <c r="E60" s="10" t="str">
        <f t="shared" si="1"/>
        <v/>
      </c>
      <c r="F60" s="10" t="str">
        <f t="shared" si="2"/>
        <v/>
      </c>
      <c r="G60" s="11" t="str">
        <f t="shared" si="3"/>
        <v/>
      </c>
    </row>
    <row r="61" spans="1:7" x14ac:dyDescent="0.35">
      <c r="A61" s="10">
        <f>'Student Basic Info'!A61</f>
        <v>560</v>
      </c>
      <c r="B61" s="3"/>
      <c r="C61" s="3"/>
      <c r="D61" s="15" t="str">
        <f t="shared" si="0"/>
        <v/>
      </c>
      <c r="E61" s="10" t="str">
        <f t="shared" si="1"/>
        <v/>
      </c>
      <c r="F61" s="10" t="str">
        <f t="shared" si="2"/>
        <v/>
      </c>
      <c r="G61" s="11" t="str">
        <f t="shared" si="3"/>
        <v/>
      </c>
    </row>
    <row r="62" spans="1:7" x14ac:dyDescent="0.35">
      <c r="A62" s="10">
        <f>'Student Basic Info'!A62</f>
        <v>561</v>
      </c>
      <c r="B62" s="3"/>
      <c r="C62" s="3"/>
      <c r="D62" s="15" t="str">
        <f t="shared" si="0"/>
        <v/>
      </c>
      <c r="E62" s="10" t="str">
        <f t="shared" si="1"/>
        <v/>
      </c>
      <c r="F62" s="10" t="str">
        <f t="shared" si="2"/>
        <v/>
      </c>
      <c r="G62" s="11" t="str">
        <f t="shared" si="3"/>
        <v/>
      </c>
    </row>
    <row r="63" spans="1:7" x14ac:dyDescent="0.35">
      <c r="A63" s="10">
        <f>'Student Basic Info'!A63</f>
        <v>562</v>
      </c>
      <c r="B63" s="3"/>
      <c r="C63" s="3"/>
      <c r="D63" s="15" t="str">
        <f t="shared" si="0"/>
        <v/>
      </c>
      <c r="E63" s="10" t="str">
        <f t="shared" si="1"/>
        <v/>
      </c>
      <c r="F63" s="10" t="str">
        <f t="shared" si="2"/>
        <v/>
      </c>
      <c r="G63" s="11" t="str">
        <f t="shared" si="3"/>
        <v/>
      </c>
    </row>
    <row r="64" spans="1:7" x14ac:dyDescent="0.35">
      <c r="A64" s="10">
        <f>'Student Basic Info'!A64</f>
        <v>563</v>
      </c>
      <c r="B64" s="3"/>
      <c r="C64" s="3"/>
      <c r="D64" s="15" t="str">
        <f t="shared" si="0"/>
        <v/>
      </c>
      <c r="E64" s="10" t="str">
        <f t="shared" si="1"/>
        <v/>
      </c>
      <c r="F64" s="10" t="str">
        <f t="shared" si="2"/>
        <v/>
      </c>
      <c r="G64" s="11" t="str">
        <f t="shared" si="3"/>
        <v/>
      </c>
    </row>
    <row r="65" spans="1:7" x14ac:dyDescent="0.35">
      <c r="A65" s="10">
        <f>'Student Basic Info'!A65</f>
        <v>564</v>
      </c>
      <c r="B65" s="3"/>
      <c r="C65" s="3"/>
      <c r="D65" s="15" t="str">
        <f t="shared" si="0"/>
        <v/>
      </c>
      <c r="E65" s="10" t="str">
        <f t="shared" si="1"/>
        <v/>
      </c>
      <c r="F65" s="10" t="str">
        <f t="shared" si="2"/>
        <v/>
      </c>
      <c r="G65" s="11" t="str">
        <f t="shared" si="3"/>
        <v/>
      </c>
    </row>
    <row r="66" spans="1:7" x14ac:dyDescent="0.35">
      <c r="A66" s="10">
        <f>'Student Basic Info'!A66</f>
        <v>565</v>
      </c>
      <c r="B66" s="3"/>
      <c r="C66" s="3"/>
      <c r="D66" s="15" t="str">
        <f t="shared" si="0"/>
        <v/>
      </c>
      <c r="E66" s="10" t="str">
        <f t="shared" si="1"/>
        <v/>
      </c>
      <c r="F66" s="10" t="str">
        <f t="shared" si="2"/>
        <v/>
      </c>
      <c r="G66" s="11" t="str">
        <f t="shared" si="3"/>
        <v/>
      </c>
    </row>
    <row r="67" spans="1:7" x14ac:dyDescent="0.35">
      <c r="A67" s="10">
        <f>'Student Basic Info'!A67</f>
        <v>566</v>
      </c>
      <c r="B67" s="3"/>
      <c r="C67" s="3"/>
      <c r="D67" s="15" t="str">
        <f t="shared" ref="D67:D131" si="4">IF(B67+C67=0, "", B67+C67)</f>
        <v/>
      </c>
      <c r="E67" s="10" t="str">
        <f t="shared" ref="E67:E131" si="5">IF(D67="","", IF(AND(B67 &gt;=10,C67&gt;=23),"Pass","Fail"))</f>
        <v/>
      </c>
      <c r="F67" s="10" t="str">
        <f t="shared" ref="F67:F131" si="6">(IF(D67="","",IF(E67="Fail","F",IF(D67&gt;=80,"A+",IF(D67&gt;=70,"A",IF(D67&gt;=60,"A-",IF(D67&gt;=50,"B",IF(D67&gt;=40,"C",IF(D67&gt;=33,"D","F")))))))))</f>
        <v/>
      </c>
      <c r="G67" s="11" t="str">
        <f t="shared" ref="G67:G131" si="7">(IF(D67="","",IF(F67="F",0,IF(D67&gt;=80,5,IF(D67&gt;=70,4,IF(D67&gt;=60,3.5,IF(D67&gt;=50,3,IF(D67&gt;=40,2,IF(D67&gt;=33,1,0)))))))))</f>
        <v/>
      </c>
    </row>
    <row r="68" spans="1:7" x14ac:dyDescent="0.35">
      <c r="A68" s="10">
        <f>'Student Basic Info'!A68</f>
        <v>567</v>
      </c>
      <c r="B68" s="3"/>
      <c r="C68" s="3"/>
      <c r="D68" s="15" t="str">
        <f t="shared" si="4"/>
        <v/>
      </c>
      <c r="E68" s="10" t="str">
        <f t="shared" si="5"/>
        <v/>
      </c>
      <c r="F68" s="10" t="str">
        <f t="shared" si="6"/>
        <v/>
      </c>
      <c r="G68" s="11" t="str">
        <f t="shared" si="7"/>
        <v/>
      </c>
    </row>
    <row r="69" spans="1:7" x14ac:dyDescent="0.35">
      <c r="A69" s="10">
        <f>'Student Basic Info'!A69</f>
        <v>568</v>
      </c>
      <c r="B69" s="3"/>
      <c r="C69" s="3"/>
      <c r="D69" s="15" t="str">
        <f t="shared" si="4"/>
        <v/>
      </c>
      <c r="E69" s="10" t="str">
        <f t="shared" si="5"/>
        <v/>
      </c>
      <c r="F69" s="10" t="str">
        <f t="shared" si="6"/>
        <v/>
      </c>
      <c r="G69" s="11" t="str">
        <f t="shared" si="7"/>
        <v/>
      </c>
    </row>
    <row r="70" spans="1:7" x14ac:dyDescent="0.35">
      <c r="A70" s="10">
        <f>'Student Basic Info'!A70</f>
        <v>569</v>
      </c>
      <c r="B70" s="3"/>
      <c r="C70" s="3"/>
      <c r="D70" s="15" t="str">
        <f t="shared" si="4"/>
        <v/>
      </c>
      <c r="E70" s="10" t="str">
        <f t="shared" si="5"/>
        <v/>
      </c>
      <c r="F70" s="10" t="str">
        <f t="shared" si="6"/>
        <v/>
      </c>
      <c r="G70" s="11" t="str">
        <f t="shared" si="7"/>
        <v/>
      </c>
    </row>
    <row r="71" spans="1:7" x14ac:dyDescent="0.35">
      <c r="A71" s="10">
        <f>'Student Basic Info'!A71</f>
        <v>570</v>
      </c>
      <c r="B71" s="3"/>
      <c r="C71" s="3"/>
      <c r="D71" s="15" t="str">
        <f t="shared" si="4"/>
        <v/>
      </c>
      <c r="E71" s="10" t="str">
        <f t="shared" si="5"/>
        <v/>
      </c>
      <c r="F71" s="10" t="str">
        <f t="shared" si="6"/>
        <v/>
      </c>
      <c r="G71" s="11" t="str">
        <f t="shared" si="7"/>
        <v/>
      </c>
    </row>
    <row r="72" spans="1:7" x14ac:dyDescent="0.35">
      <c r="A72" s="10">
        <f>'Student Basic Info'!A72</f>
        <v>571</v>
      </c>
      <c r="B72" s="3"/>
      <c r="C72" s="3"/>
      <c r="D72" s="15" t="str">
        <f t="shared" si="4"/>
        <v/>
      </c>
      <c r="E72" s="10" t="str">
        <f t="shared" si="5"/>
        <v/>
      </c>
      <c r="F72" s="10" t="str">
        <f t="shared" si="6"/>
        <v/>
      </c>
      <c r="G72" s="11" t="str">
        <f t="shared" si="7"/>
        <v/>
      </c>
    </row>
    <row r="73" spans="1:7" x14ac:dyDescent="0.35">
      <c r="A73" s="10">
        <f>'Student Basic Info'!A73</f>
        <v>572</v>
      </c>
      <c r="B73" s="3"/>
      <c r="C73" s="3"/>
      <c r="D73" s="15" t="str">
        <f t="shared" si="4"/>
        <v/>
      </c>
      <c r="E73" s="10" t="str">
        <f t="shared" si="5"/>
        <v/>
      </c>
      <c r="F73" s="10" t="str">
        <f t="shared" si="6"/>
        <v/>
      </c>
      <c r="G73" s="11" t="str">
        <f t="shared" si="7"/>
        <v/>
      </c>
    </row>
    <row r="74" spans="1:7" x14ac:dyDescent="0.35">
      <c r="A74" s="10">
        <f>'Student Basic Info'!A74</f>
        <v>573</v>
      </c>
      <c r="B74" s="3"/>
      <c r="C74" s="3"/>
      <c r="D74" s="15" t="str">
        <f t="shared" si="4"/>
        <v/>
      </c>
      <c r="E74" s="10" t="str">
        <f t="shared" si="5"/>
        <v/>
      </c>
      <c r="F74" s="10" t="str">
        <f t="shared" si="6"/>
        <v/>
      </c>
      <c r="G74" s="11" t="str">
        <f t="shared" si="7"/>
        <v/>
      </c>
    </row>
    <row r="75" spans="1:7" x14ac:dyDescent="0.35">
      <c r="A75" s="10">
        <f>'Student Basic Info'!A75</f>
        <v>574</v>
      </c>
      <c r="B75" s="3"/>
      <c r="C75" s="3"/>
      <c r="D75" s="15" t="str">
        <f t="shared" si="4"/>
        <v/>
      </c>
      <c r="E75" s="10" t="str">
        <f t="shared" si="5"/>
        <v/>
      </c>
      <c r="F75" s="10" t="str">
        <f t="shared" si="6"/>
        <v/>
      </c>
      <c r="G75" s="11" t="str">
        <f t="shared" si="7"/>
        <v/>
      </c>
    </row>
    <row r="76" spans="1:7" x14ac:dyDescent="0.35">
      <c r="A76" s="10">
        <f>'Student Basic Info'!A76</f>
        <v>575</v>
      </c>
      <c r="B76" s="3"/>
      <c r="C76" s="3"/>
      <c r="D76" s="15" t="str">
        <f t="shared" si="4"/>
        <v/>
      </c>
      <c r="E76" s="10" t="str">
        <f t="shared" si="5"/>
        <v/>
      </c>
      <c r="F76" s="10" t="str">
        <f t="shared" si="6"/>
        <v/>
      </c>
      <c r="G76" s="11" t="str">
        <f t="shared" si="7"/>
        <v/>
      </c>
    </row>
    <row r="77" spans="1:7" x14ac:dyDescent="0.35">
      <c r="A77" s="10">
        <f>'Student Basic Info'!A77</f>
        <v>576</v>
      </c>
      <c r="B77" s="3"/>
      <c r="C77" s="3"/>
      <c r="D77" s="15" t="str">
        <f t="shared" si="4"/>
        <v/>
      </c>
      <c r="E77" s="10" t="str">
        <f t="shared" si="5"/>
        <v/>
      </c>
      <c r="F77" s="10" t="str">
        <f t="shared" si="6"/>
        <v/>
      </c>
      <c r="G77" s="11" t="str">
        <f t="shared" si="7"/>
        <v/>
      </c>
    </row>
    <row r="78" spans="1:7" x14ac:dyDescent="0.35">
      <c r="A78" s="10">
        <f>'Student Basic Info'!A78</f>
        <v>577</v>
      </c>
      <c r="B78" s="3"/>
      <c r="C78" s="3"/>
      <c r="D78" s="15" t="str">
        <f t="shared" si="4"/>
        <v/>
      </c>
      <c r="E78" s="10" t="str">
        <f t="shared" si="5"/>
        <v/>
      </c>
      <c r="F78" s="10" t="str">
        <f t="shared" si="6"/>
        <v/>
      </c>
      <c r="G78" s="11" t="str">
        <f t="shared" si="7"/>
        <v/>
      </c>
    </row>
    <row r="79" spans="1:7" x14ac:dyDescent="0.35">
      <c r="A79" s="10">
        <f>'Student Basic Info'!A79</f>
        <v>578</v>
      </c>
      <c r="B79" s="3"/>
      <c r="C79" s="3"/>
      <c r="D79" s="15" t="str">
        <f t="shared" si="4"/>
        <v/>
      </c>
      <c r="E79" s="10" t="str">
        <f t="shared" si="5"/>
        <v/>
      </c>
      <c r="F79" s="10" t="str">
        <f t="shared" si="6"/>
        <v/>
      </c>
      <c r="G79" s="11" t="str">
        <f t="shared" si="7"/>
        <v/>
      </c>
    </row>
    <row r="80" spans="1:7" x14ac:dyDescent="0.35">
      <c r="A80" s="10">
        <f>'Student Basic Info'!A80</f>
        <v>579</v>
      </c>
      <c r="B80" s="3"/>
      <c r="C80" s="3"/>
      <c r="D80" s="15" t="str">
        <f t="shared" si="4"/>
        <v/>
      </c>
      <c r="E80" s="10" t="str">
        <f t="shared" si="5"/>
        <v/>
      </c>
      <c r="F80" s="10" t="str">
        <f t="shared" si="6"/>
        <v/>
      </c>
      <c r="G80" s="11" t="str">
        <f t="shared" si="7"/>
        <v/>
      </c>
    </row>
    <row r="81" spans="1:7" x14ac:dyDescent="0.35">
      <c r="A81" s="10">
        <f>'Student Basic Info'!A81</f>
        <v>580</v>
      </c>
      <c r="B81" s="3"/>
      <c r="C81" s="3"/>
      <c r="D81" s="15" t="str">
        <f t="shared" si="4"/>
        <v/>
      </c>
      <c r="E81" s="10" t="str">
        <f t="shared" si="5"/>
        <v/>
      </c>
      <c r="F81" s="10" t="str">
        <f t="shared" si="6"/>
        <v/>
      </c>
      <c r="G81" s="11" t="str">
        <f t="shared" si="7"/>
        <v/>
      </c>
    </row>
    <row r="82" spans="1:7" x14ac:dyDescent="0.35">
      <c r="A82" s="10">
        <f>'Student Basic Info'!A82</f>
        <v>581</v>
      </c>
      <c r="B82" s="3"/>
      <c r="C82" s="3"/>
      <c r="D82" s="15" t="str">
        <f t="shared" si="4"/>
        <v/>
      </c>
      <c r="E82" s="10" t="str">
        <f t="shared" si="5"/>
        <v/>
      </c>
      <c r="F82" s="10" t="str">
        <f t="shared" si="6"/>
        <v/>
      </c>
      <c r="G82" s="11" t="str">
        <f t="shared" si="7"/>
        <v/>
      </c>
    </row>
    <row r="83" spans="1:7" x14ac:dyDescent="0.35">
      <c r="A83" s="10">
        <f>'Student Basic Info'!A83</f>
        <v>582</v>
      </c>
      <c r="B83" s="3"/>
      <c r="C83" s="3"/>
      <c r="D83" s="15" t="str">
        <f t="shared" si="4"/>
        <v/>
      </c>
      <c r="E83" s="10" t="str">
        <f t="shared" si="5"/>
        <v/>
      </c>
      <c r="F83" s="10" t="str">
        <f t="shared" si="6"/>
        <v/>
      </c>
      <c r="G83" s="11" t="str">
        <f t="shared" si="7"/>
        <v/>
      </c>
    </row>
    <row r="84" spans="1:7" x14ac:dyDescent="0.35">
      <c r="A84" s="10">
        <f>'Student Basic Info'!A84</f>
        <v>583</v>
      </c>
      <c r="B84" s="3"/>
      <c r="C84" s="3"/>
      <c r="D84" s="15" t="str">
        <f t="shared" si="4"/>
        <v/>
      </c>
      <c r="E84" s="10" t="str">
        <f t="shared" si="5"/>
        <v/>
      </c>
      <c r="F84" s="10" t="str">
        <f t="shared" si="6"/>
        <v/>
      </c>
      <c r="G84" s="11" t="str">
        <f t="shared" si="7"/>
        <v/>
      </c>
    </row>
    <row r="85" spans="1:7" x14ac:dyDescent="0.35">
      <c r="A85" s="10">
        <f>'Student Basic Info'!A85</f>
        <v>584</v>
      </c>
      <c r="B85" s="3"/>
      <c r="C85" s="3"/>
      <c r="D85" s="15" t="str">
        <f t="shared" si="4"/>
        <v/>
      </c>
      <c r="E85" s="10" t="str">
        <f t="shared" si="5"/>
        <v/>
      </c>
      <c r="F85" s="10" t="str">
        <f t="shared" si="6"/>
        <v/>
      </c>
      <c r="G85" s="11" t="str">
        <f t="shared" si="7"/>
        <v/>
      </c>
    </row>
    <row r="86" spans="1:7" x14ac:dyDescent="0.35">
      <c r="A86" s="10">
        <f>'Student Basic Info'!A86</f>
        <v>585</v>
      </c>
      <c r="B86" s="3"/>
      <c r="C86" s="3"/>
      <c r="D86" s="15" t="str">
        <f t="shared" si="4"/>
        <v/>
      </c>
      <c r="E86" s="10" t="str">
        <f t="shared" si="5"/>
        <v/>
      </c>
      <c r="F86" s="10" t="str">
        <f t="shared" si="6"/>
        <v/>
      </c>
      <c r="G86" s="11" t="str">
        <f t="shared" si="7"/>
        <v/>
      </c>
    </row>
    <row r="87" spans="1:7" x14ac:dyDescent="0.35">
      <c r="A87" s="10">
        <f>'Student Basic Info'!A87</f>
        <v>586</v>
      </c>
      <c r="B87" s="3"/>
      <c r="C87" s="3"/>
      <c r="D87" s="15" t="str">
        <f t="shared" si="4"/>
        <v/>
      </c>
      <c r="E87" s="10" t="str">
        <f t="shared" si="5"/>
        <v/>
      </c>
      <c r="F87" s="10" t="str">
        <f t="shared" si="6"/>
        <v/>
      </c>
      <c r="G87" s="11" t="str">
        <f t="shared" si="7"/>
        <v/>
      </c>
    </row>
    <row r="88" spans="1:7" x14ac:dyDescent="0.35">
      <c r="A88" s="10">
        <f>'Student Basic Info'!A88</f>
        <v>587</v>
      </c>
      <c r="B88" s="3"/>
      <c r="C88" s="3"/>
      <c r="D88" s="15" t="str">
        <f t="shared" si="4"/>
        <v/>
      </c>
      <c r="E88" s="10" t="str">
        <f t="shared" si="5"/>
        <v/>
      </c>
      <c r="F88" s="10" t="str">
        <f t="shared" si="6"/>
        <v/>
      </c>
      <c r="G88" s="11" t="str">
        <f t="shared" si="7"/>
        <v/>
      </c>
    </row>
    <row r="89" spans="1:7" x14ac:dyDescent="0.35">
      <c r="A89" s="10">
        <f>'Student Basic Info'!A89</f>
        <v>588</v>
      </c>
      <c r="B89" s="3"/>
      <c r="C89" s="3"/>
      <c r="D89" s="15" t="str">
        <f t="shared" si="4"/>
        <v/>
      </c>
      <c r="E89" s="10" t="str">
        <f t="shared" si="5"/>
        <v/>
      </c>
      <c r="F89" s="10" t="str">
        <f t="shared" si="6"/>
        <v/>
      </c>
      <c r="G89" s="11" t="str">
        <f t="shared" si="7"/>
        <v/>
      </c>
    </row>
    <row r="90" spans="1:7" x14ac:dyDescent="0.35">
      <c r="A90" s="10">
        <f>'Student Basic Info'!A90</f>
        <v>589</v>
      </c>
      <c r="B90" s="3"/>
      <c r="C90" s="3"/>
      <c r="D90" s="15" t="str">
        <f t="shared" si="4"/>
        <v/>
      </c>
      <c r="E90" s="10" t="str">
        <f t="shared" si="5"/>
        <v/>
      </c>
      <c r="F90" s="10" t="str">
        <f t="shared" si="6"/>
        <v/>
      </c>
      <c r="G90" s="11" t="str">
        <f t="shared" si="7"/>
        <v/>
      </c>
    </row>
    <row r="91" spans="1:7" x14ac:dyDescent="0.35">
      <c r="A91" s="10">
        <f>'Student Basic Info'!A91</f>
        <v>590</v>
      </c>
      <c r="B91" s="3"/>
      <c r="C91" s="3"/>
      <c r="D91" s="15" t="str">
        <f t="shared" si="4"/>
        <v/>
      </c>
      <c r="E91" s="10" t="str">
        <f t="shared" si="5"/>
        <v/>
      </c>
      <c r="F91" s="10" t="str">
        <f t="shared" si="6"/>
        <v/>
      </c>
      <c r="G91" s="11" t="str">
        <f t="shared" si="7"/>
        <v/>
      </c>
    </row>
    <row r="92" spans="1:7" x14ac:dyDescent="0.35">
      <c r="A92" s="10">
        <f>'Student Basic Info'!A92</f>
        <v>591</v>
      </c>
      <c r="B92" s="3"/>
      <c r="C92" s="3"/>
      <c r="D92" s="15" t="str">
        <f t="shared" si="4"/>
        <v/>
      </c>
      <c r="E92" s="10" t="str">
        <f t="shared" si="5"/>
        <v/>
      </c>
      <c r="F92" s="10" t="str">
        <f t="shared" si="6"/>
        <v/>
      </c>
      <c r="G92" s="11" t="str">
        <f t="shared" si="7"/>
        <v/>
      </c>
    </row>
    <row r="93" spans="1:7" x14ac:dyDescent="0.35">
      <c r="A93" s="10">
        <f>'Student Basic Info'!A93</f>
        <v>592</v>
      </c>
      <c r="B93" s="3"/>
      <c r="C93" s="3"/>
      <c r="D93" s="15" t="str">
        <f t="shared" si="4"/>
        <v/>
      </c>
      <c r="E93" s="10" t="str">
        <f t="shared" si="5"/>
        <v/>
      </c>
      <c r="F93" s="10" t="str">
        <f t="shared" si="6"/>
        <v/>
      </c>
      <c r="G93" s="11" t="str">
        <f t="shared" si="7"/>
        <v/>
      </c>
    </row>
    <row r="94" spans="1:7" x14ac:dyDescent="0.35">
      <c r="A94" s="10">
        <f>'Student Basic Info'!A94</f>
        <v>593</v>
      </c>
      <c r="B94" s="3"/>
      <c r="C94" s="3"/>
      <c r="D94" s="15" t="str">
        <f t="shared" si="4"/>
        <v/>
      </c>
      <c r="E94" s="10" t="str">
        <f t="shared" si="5"/>
        <v/>
      </c>
      <c r="F94" s="10" t="str">
        <f t="shared" si="6"/>
        <v/>
      </c>
      <c r="G94" s="11" t="str">
        <f t="shared" si="7"/>
        <v/>
      </c>
    </row>
    <row r="95" spans="1:7" x14ac:dyDescent="0.35">
      <c r="A95" s="10">
        <f>'Student Basic Info'!A95</f>
        <v>594</v>
      </c>
      <c r="B95" s="3"/>
      <c r="C95" s="3"/>
      <c r="D95" s="15" t="str">
        <f t="shared" si="4"/>
        <v/>
      </c>
      <c r="E95" s="10" t="str">
        <f t="shared" si="5"/>
        <v/>
      </c>
      <c r="F95" s="10" t="str">
        <f t="shared" si="6"/>
        <v/>
      </c>
      <c r="G95" s="11" t="str">
        <f t="shared" si="7"/>
        <v/>
      </c>
    </row>
    <row r="96" spans="1:7" x14ac:dyDescent="0.35">
      <c r="A96" s="10">
        <f>'Student Basic Info'!A96</f>
        <v>595</v>
      </c>
      <c r="B96" s="3"/>
      <c r="C96" s="3"/>
      <c r="D96" s="15" t="str">
        <f t="shared" si="4"/>
        <v/>
      </c>
      <c r="E96" s="10" t="str">
        <f t="shared" si="5"/>
        <v/>
      </c>
      <c r="F96" s="10" t="str">
        <f t="shared" si="6"/>
        <v/>
      </c>
      <c r="G96" s="11" t="str">
        <f t="shared" si="7"/>
        <v/>
      </c>
    </row>
    <row r="97" spans="1:7" x14ac:dyDescent="0.35">
      <c r="A97" s="10">
        <f>'Student Basic Info'!A97</f>
        <v>596</v>
      </c>
      <c r="B97" s="3"/>
      <c r="C97" s="3"/>
      <c r="D97" s="15" t="str">
        <f t="shared" si="4"/>
        <v/>
      </c>
      <c r="E97" s="10" t="str">
        <f t="shared" si="5"/>
        <v/>
      </c>
      <c r="F97" s="10" t="str">
        <f t="shared" si="6"/>
        <v/>
      </c>
      <c r="G97" s="11" t="str">
        <f t="shared" si="7"/>
        <v/>
      </c>
    </row>
    <row r="98" spans="1:7" x14ac:dyDescent="0.35">
      <c r="A98" s="10">
        <f>'Student Basic Info'!A98</f>
        <v>597</v>
      </c>
      <c r="B98" s="3"/>
      <c r="C98" s="3"/>
      <c r="D98" s="15" t="str">
        <f t="shared" si="4"/>
        <v/>
      </c>
      <c r="E98" s="10" t="str">
        <f t="shared" si="5"/>
        <v/>
      </c>
      <c r="F98" s="10" t="str">
        <f t="shared" si="6"/>
        <v/>
      </c>
      <c r="G98" s="11" t="str">
        <f t="shared" si="7"/>
        <v/>
      </c>
    </row>
    <row r="99" spans="1:7" x14ac:dyDescent="0.35">
      <c r="A99" s="10">
        <f>'Student Basic Info'!A99</f>
        <v>598</v>
      </c>
      <c r="B99" s="3"/>
      <c r="C99" s="3"/>
      <c r="D99" s="15" t="str">
        <f t="shared" si="4"/>
        <v/>
      </c>
      <c r="E99" s="10" t="str">
        <f t="shared" si="5"/>
        <v/>
      </c>
      <c r="F99" s="10" t="str">
        <f t="shared" si="6"/>
        <v/>
      </c>
      <c r="G99" s="11" t="str">
        <f t="shared" si="7"/>
        <v/>
      </c>
    </row>
    <row r="100" spans="1:7" x14ac:dyDescent="0.35">
      <c r="A100" s="10">
        <f>'Student Basic Info'!A100</f>
        <v>599</v>
      </c>
      <c r="B100" s="3"/>
      <c r="C100" s="3"/>
      <c r="D100" s="15" t="str">
        <f t="shared" si="4"/>
        <v/>
      </c>
      <c r="E100" s="10" t="str">
        <f t="shared" si="5"/>
        <v/>
      </c>
      <c r="F100" s="10" t="str">
        <f t="shared" si="6"/>
        <v/>
      </c>
      <c r="G100" s="11" t="str">
        <f t="shared" si="7"/>
        <v/>
      </c>
    </row>
    <row r="101" spans="1:7" x14ac:dyDescent="0.35">
      <c r="A101" s="10">
        <f>'Student Basic Info'!A101</f>
        <v>600</v>
      </c>
      <c r="B101" s="3"/>
      <c r="C101" s="3"/>
      <c r="D101" s="15" t="str">
        <f t="shared" si="4"/>
        <v/>
      </c>
      <c r="E101" s="10" t="str">
        <f t="shared" si="5"/>
        <v/>
      </c>
      <c r="F101" s="10" t="str">
        <f t="shared" si="6"/>
        <v/>
      </c>
      <c r="G101" s="11" t="str">
        <f t="shared" si="7"/>
        <v/>
      </c>
    </row>
    <row r="102" spans="1:7" x14ac:dyDescent="0.35">
      <c r="A102" s="10">
        <f>'Student Basic Info'!A102</f>
        <v>601</v>
      </c>
      <c r="B102" s="3"/>
      <c r="C102" s="3"/>
      <c r="D102" s="15" t="str">
        <f t="shared" si="4"/>
        <v/>
      </c>
      <c r="E102" s="10" t="str">
        <f t="shared" si="5"/>
        <v/>
      </c>
      <c r="F102" s="10" t="str">
        <f t="shared" si="6"/>
        <v/>
      </c>
      <c r="G102" s="11" t="str">
        <f t="shared" si="7"/>
        <v/>
      </c>
    </row>
    <row r="103" spans="1:7" x14ac:dyDescent="0.35">
      <c r="A103" s="10">
        <f>'Student Basic Info'!A103</f>
        <v>602</v>
      </c>
      <c r="B103" s="3"/>
      <c r="C103" s="3"/>
      <c r="D103" s="15" t="str">
        <f t="shared" si="4"/>
        <v/>
      </c>
      <c r="E103" s="10" t="str">
        <f t="shared" si="5"/>
        <v/>
      </c>
      <c r="F103" s="10" t="str">
        <f t="shared" si="6"/>
        <v/>
      </c>
      <c r="G103" s="11" t="str">
        <f t="shared" si="7"/>
        <v/>
      </c>
    </row>
    <row r="104" spans="1:7" x14ac:dyDescent="0.35">
      <c r="A104" s="10">
        <f>'Student Basic Info'!A104</f>
        <v>603</v>
      </c>
      <c r="B104" s="3"/>
      <c r="C104" s="3"/>
      <c r="D104" s="15" t="str">
        <f t="shared" si="4"/>
        <v/>
      </c>
      <c r="E104" s="10" t="str">
        <f t="shared" si="5"/>
        <v/>
      </c>
      <c r="F104" s="10" t="str">
        <f t="shared" si="6"/>
        <v/>
      </c>
      <c r="G104" s="11" t="str">
        <f t="shared" si="7"/>
        <v/>
      </c>
    </row>
    <row r="105" spans="1:7" x14ac:dyDescent="0.35">
      <c r="A105" s="10">
        <f>'Student Basic Info'!A105</f>
        <v>604</v>
      </c>
      <c r="B105" s="3"/>
      <c r="C105" s="3"/>
      <c r="D105" s="15" t="str">
        <f t="shared" si="4"/>
        <v/>
      </c>
      <c r="E105" s="10" t="str">
        <f t="shared" si="5"/>
        <v/>
      </c>
      <c r="F105" s="10" t="str">
        <f t="shared" si="6"/>
        <v/>
      </c>
      <c r="G105" s="11" t="str">
        <f t="shared" si="7"/>
        <v/>
      </c>
    </row>
    <row r="106" spans="1:7" x14ac:dyDescent="0.35">
      <c r="A106" s="10">
        <f>'Student Basic Info'!A106</f>
        <v>605</v>
      </c>
      <c r="B106" s="3"/>
      <c r="C106" s="3"/>
      <c r="D106" s="15" t="str">
        <f t="shared" si="4"/>
        <v/>
      </c>
      <c r="E106" s="10" t="str">
        <f t="shared" si="5"/>
        <v/>
      </c>
      <c r="F106" s="10" t="str">
        <f t="shared" si="6"/>
        <v/>
      </c>
      <c r="G106" s="11" t="str">
        <f t="shared" si="7"/>
        <v/>
      </c>
    </row>
    <row r="107" spans="1:7" x14ac:dyDescent="0.35">
      <c r="A107" s="10">
        <f>'Student Basic Info'!A107</f>
        <v>606</v>
      </c>
      <c r="B107" s="3"/>
      <c r="C107" s="3"/>
      <c r="D107" s="15" t="str">
        <f t="shared" si="4"/>
        <v/>
      </c>
      <c r="E107" s="10" t="str">
        <f t="shared" si="5"/>
        <v/>
      </c>
      <c r="F107" s="10" t="str">
        <f t="shared" si="6"/>
        <v/>
      </c>
      <c r="G107" s="11" t="str">
        <f t="shared" si="7"/>
        <v/>
      </c>
    </row>
    <row r="108" spans="1:7" x14ac:dyDescent="0.35">
      <c r="A108" s="10">
        <f>'Student Basic Info'!A108</f>
        <v>607</v>
      </c>
      <c r="B108" s="3"/>
      <c r="C108" s="3"/>
      <c r="D108" s="15" t="str">
        <f t="shared" si="4"/>
        <v/>
      </c>
      <c r="E108" s="10" t="str">
        <f t="shared" si="5"/>
        <v/>
      </c>
      <c r="F108" s="10" t="str">
        <f t="shared" si="6"/>
        <v/>
      </c>
      <c r="G108" s="11" t="str">
        <f t="shared" si="7"/>
        <v/>
      </c>
    </row>
    <row r="109" spans="1:7" x14ac:dyDescent="0.35">
      <c r="A109" s="10">
        <f>'Student Basic Info'!A109</f>
        <v>608</v>
      </c>
      <c r="B109" s="3"/>
      <c r="C109" s="3"/>
      <c r="D109" s="15" t="str">
        <f t="shared" si="4"/>
        <v/>
      </c>
      <c r="E109" s="10" t="str">
        <f t="shared" si="5"/>
        <v/>
      </c>
      <c r="F109" s="10" t="str">
        <f t="shared" si="6"/>
        <v/>
      </c>
      <c r="G109" s="11" t="str">
        <f t="shared" si="7"/>
        <v/>
      </c>
    </row>
    <row r="110" spans="1:7" x14ac:dyDescent="0.35">
      <c r="A110" s="10">
        <f>'Student Basic Info'!A110</f>
        <v>609</v>
      </c>
      <c r="B110" s="3"/>
      <c r="C110" s="3"/>
      <c r="D110" s="15" t="str">
        <f t="shared" si="4"/>
        <v/>
      </c>
      <c r="E110" s="10" t="str">
        <f t="shared" si="5"/>
        <v/>
      </c>
      <c r="F110" s="10" t="str">
        <f t="shared" si="6"/>
        <v/>
      </c>
      <c r="G110" s="11" t="str">
        <f t="shared" si="7"/>
        <v/>
      </c>
    </row>
    <row r="111" spans="1:7" x14ac:dyDescent="0.35">
      <c r="A111" s="10">
        <f>'Student Basic Info'!A111</f>
        <v>610</v>
      </c>
      <c r="B111" s="3"/>
      <c r="C111" s="3"/>
      <c r="D111" s="15" t="str">
        <f t="shared" si="4"/>
        <v/>
      </c>
      <c r="E111" s="10" t="str">
        <f t="shared" si="5"/>
        <v/>
      </c>
      <c r="F111" s="10" t="str">
        <f t="shared" si="6"/>
        <v/>
      </c>
      <c r="G111" s="11" t="str">
        <f t="shared" si="7"/>
        <v/>
      </c>
    </row>
    <row r="112" spans="1:7" x14ac:dyDescent="0.35">
      <c r="A112" s="10">
        <f>'Student Basic Info'!A112</f>
        <v>611</v>
      </c>
      <c r="B112" s="3">
        <v>10</v>
      </c>
      <c r="C112" s="3">
        <v>17</v>
      </c>
      <c r="D112" s="15">
        <f t="shared" si="4"/>
        <v>27</v>
      </c>
      <c r="E112" s="10" t="str">
        <f t="shared" si="5"/>
        <v>Fail</v>
      </c>
      <c r="F112" s="10" t="str">
        <f t="shared" si="6"/>
        <v>F</v>
      </c>
      <c r="G112" s="11">
        <f t="shared" si="7"/>
        <v>0</v>
      </c>
    </row>
    <row r="113" spans="1:7" x14ac:dyDescent="0.35">
      <c r="A113" s="10">
        <f>'Student Basic Info'!A113</f>
        <v>612</v>
      </c>
      <c r="B113" s="3">
        <v>13</v>
      </c>
      <c r="C113" s="3">
        <v>23</v>
      </c>
      <c r="D113" s="15">
        <f t="shared" si="4"/>
        <v>36</v>
      </c>
      <c r="E113" s="10" t="str">
        <f t="shared" si="5"/>
        <v>Pass</v>
      </c>
      <c r="F113" s="10" t="str">
        <f t="shared" si="6"/>
        <v>D</v>
      </c>
      <c r="G113" s="11">
        <f t="shared" si="7"/>
        <v>1</v>
      </c>
    </row>
    <row r="114" spans="1:7" x14ac:dyDescent="0.35">
      <c r="A114" s="10">
        <f>'Student Basic Info'!A114</f>
        <v>613</v>
      </c>
      <c r="B114" s="3"/>
      <c r="C114" s="3"/>
      <c r="D114" s="15" t="str">
        <f t="shared" si="4"/>
        <v/>
      </c>
      <c r="E114" s="10" t="str">
        <f t="shared" si="5"/>
        <v/>
      </c>
      <c r="F114" s="10" t="str">
        <f t="shared" si="6"/>
        <v/>
      </c>
      <c r="G114" s="11" t="str">
        <f t="shared" si="7"/>
        <v/>
      </c>
    </row>
    <row r="115" spans="1:7" x14ac:dyDescent="0.35">
      <c r="A115" s="10">
        <f>'Student Basic Info'!A115</f>
        <v>614</v>
      </c>
      <c r="B115" s="3"/>
      <c r="C115" s="3"/>
      <c r="D115" s="15" t="str">
        <f t="shared" si="4"/>
        <v/>
      </c>
      <c r="E115" s="10" t="str">
        <f t="shared" si="5"/>
        <v/>
      </c>
      <c r="F115" s="10" t="str">
        <f t="shared" si="6"/>
        <v/>
      </c>
      <c r="G115" s="11" t="str">
        <f t="shared" si="7"/>
        <v/>
      </c>
    </row>
    <row r="116" spans="1:7" x14ac:dyDescent="0.35">
      <c r="A116" s="10">
        <f>'Student Basic Info'!A116</f>
        <v>615</v>
      </c>
      <c r="B116" s="3"/>
      <c r="C116" s="3"/>
      <c r="D116" s="15" t="str">
        <f t="shared" si="4"/>
        <v/>
      </c>
      <c r="E116" s="10" t="str">
        <f t="shared" si="5"/>
        <v/>
      </c>
      <c r="F116" s="10" t="str">
        <f t="shared" si="6"/>
        <v/>
      </c>
      <c r="G116" s="11" t="str">
        <f t="shared" si="7"/>
        <v/>
      </c>
    </row>
    <row r="117" spans="1:7" x14ac:dyDescent="0.35">
      <c r="A117" s="10">
        <f>'Student Basic Info'!A117</f>
        <v>616</v>
      </c>
      <c r="B117" s="3"/>
      <c r="C117" s="3"/>
      <c r="D117" s="15" t="str">
        <f t="shared" si="4"/>
        <v/>
      </c>
      <c r="E117" s="10" t="str">
        <f t="shared" si="5"/>
        <v/>
      </c>
      <c r="F117" s="10" t="str">
        <f t="shared" si="6"/>
        <v/>
      </c>
      <c r="G117" s="11" t="str">
        <f t="shared" si="7"/>
        <v/>
      </c>
    </row>
    <row r="118" spans="1:7" x14ac:dyDescent="0.35">
      <c r="A118" s="10">
        <f>'Student Basic Info'!A118</f>
        <v>617</v>
      </c>
      <c r="B118" s="3"/>
      <c r="C118" s="3"/>
      <c r="D118" s="15" t="str">
        <f t="shared" si="4"/>
        <v/>
      </c>
      <c r="E118" s="10" t="str">
        <f t="shared" si="5"/>
        <v/>
      </c>
      <c r="F118" s="10" t="str">
        <f t="shared" si="6"/>
        <v/>
      </c>
      <c r="G118" s="11" t="str">
        <f t="shared" si="7"/>
        <v/>
      </c>
    </row>
    <row r="119" spans="1:7" x14ac:dyDescent="0.35">
      <c r="A119" s="10">
        <f>'Student Basic Info'!A119</f>
        <v>618</v>
      </c>
      <c r="B119" s="3"/>
      <c r="C119" s="3"/>
      <c r="D119" s="15" t="str">
        <f t="shared" si="4"/>
        <v/>
      </c>
      <c r="E119" s="10" t="str">
        <f t="shared" si="5"/>
        <v/>
      </c>
      <c r="F119" s="10" t="str">
        <f t="shared" si="6"/>
        <v/>
      </c>
      <c r="G119" s="11" t="str">
        <f t="shared" si="7"/>
        <v/>
      </c>
    </row>
    <row r="120" spans="1:7" x14ac:dyDescent="0.35">
      <c r="A120" s="10">
        <f>'Student Basic Info'!A120</f>
        <v>619</v>
      </c>
      <c r="B120" s="3"/>
      <c r="C120" s="3"/>
      <c r="D120" s="15" t="str">
        <f t="shared" si="4"/>
        <v/>
      </c>
      <c r="E120" s="10" t="str">
        <f t="shared" si="5"/>
        <v/>
      </c>
      <c r="F120" s="10" t="str">
        <f t="shared" si="6"/>
        <v/>
      </c>
      <c r="G120" s="11" t="str">
        <f t="shared" si="7"/>
        <v/>
      </c>
    </row>
    <row r="121" spans="1:7" x14ac:dyDescent="0.35">
      <c r="A121" s="10">
        <f>'Student Basic Info'!A121</f>
        <v>620</v>
      </c>
      <c r="B121" s="3"/>
      <c r="C121" s="3"/>
      <c r="D121" s="15" t="str">
        <f t="shared" si="4"/>
        <v/>
      </c>
      <c r="E121" s="10" t="str">
        <f t="shared" si="5"/>
        <v/>
      </c>
      <c r="F121" s="10" t="str">
        <f t="shared" si="6"/>
        <v/>
      </c>
      <c r="G121" s="11" t="str">
        <f t="shared" si="7"/>
        <v/>
      </c>
    </row>
    <row r="122" spans="1:7" x14ac:dyDescent="0.35">
      <c r="A122" s="10">
        <f>'Student Basic Info'!A122</f>
        <v>621</v>
      </c>
      <c r="B122" s="3"/>
      <c r="C122" s="3"/>
      <c r="D122" s="15" t="str">
        <f t="shared" si="4"/>
        <v/>
      </c>
      <c r="E122" s="10" t="str">
        <f t="shared" si="5"/>
        <v/>
      </c>
      <c r="F122" s="10" t="str">
        <f t="shared" si="6"/>
        <v/>
      </c>
      <c r="G122" s="11" t="str">
        <f t="shared" si="7"/>
        <v/>
      </c>
    </row>
    <row r="123" spans="1:7" x14ac:dyDescent="0.35">
      <c r="A123" s="10">
        <f>'Student Basic Info'!A123</f>
        <v>622</v>
      </c>
      <c r="B123" s="3"/>
      <c r="C123" s="3"/>
      <c r="D123" s="15" t="str">
        <f t="shared" si="4"/>
        <v/>
      </c>
      <c r="E123" s="10" t="str">
        <f t="shared" si="5"/>
        <v/>
      </c>
      <c r="F123" s="10" t="str">
        <f t="shared" si="6"/>
        <v/>
      </c>
      <c r="G123" s="11" t="str">
        <f t="shared" si="7"/>
        <v/>
      </c>
    </row>
    <row r="124" spans="1:7" x14ac:dyDescent="0.35">
      <c r="A124" s="10">
        <f>'Student Basic Info'!A124</f>
        <v>623</v>
      </c>
      <c r="B124" s="3"/>
      <c r="C124" s="3"/>
      <c r="D124" s="15" t="str">
        <f t="shared" si="4"/>
        <v/>
      </c>
      <c r="E124" s="10" t="str">
        <f t="shared" si="5"/>
        <v/>
      </c>
      <c r="F124" s="10" t="str">
        <f t="shared" si="6"/>
        <v/>
      </c>
      <c r="G124" s="11" t="str">
        <f t="shared" si="7"/>
        <v/>
      </c>
    </row>
    <row r="125" spans="1:7" x14ac:dyDescent="0.35">
      <c r="A125" s="10">
        <f>'Student Basic Info'!A125</f>
        <v>624</v>
      </c>
      <c r="B125" s="3"/>
      <c r="C125" s="3"/>
      <c r="D125" s="15" t="str">
        <f t="shared" si="4"/>
        <v/>
      </c>
      <c r="E125" s="10" t="str">
        <f t="shared" si="5"/>
        <v/>
      </c>
      <c r="F125" s="10" t="str">
        <f t="shared" si="6"/>
        <v/>
      </c>
      <c r="G125" s="11" t="str">
        <f t="shared" si="7"/>
        <v/>
      </c>
    </row>
    <row r="126" spans="1:7" x14ac:dyDescent="0.35">
      <c r="A126" s="10">
        <f>'Student Basic Info'!A126</f>
        <v>625</v>
      </c>
      <c r="B126" s="3"/>
      <c r="C126" s="3"/>
      <c r="D126" s="15" t="str">
        <f t="shared" si="4"/>
        <v/>
      </c>
      <c r="E126" s="10" t="str">
        <f t="shared" si="5"/>
        <v/>
      </c>
      <c r="F126" s="10" t="str">
        <f t="shared" si="6"/>
        <v/>
      </c>
      <c r="G126" s="11" t="str">
        <f t="shared" si="7"/>
        <v/>
      </c>
    </row>
    <row r="127" spans="1:7" x14ac:dyDescent="0.35">
      <c r="A127" s="10">
        <f>'Student Basic Info'!A127</f>
        <v>626</v>
      </c>
      <c r="B127" s="3"/>
      <c r="C127" s="3"/>
      <c r="D127" s="15" t="str">
        <f t="shared" si="4"/>
        <v/>
      </c>
      <c r="E127" s="10" t="str">
        <f t="shared" si="5"/>
        <v/>
      </c>
      <c r="F127" s="10" t="str">
        <f t="shared" si="6"/>
        <v/>
      </c>
      <c r="G127" s="11" t="str">
        <f t="shared" si="7"/>
        <v/>
      </c>
    </row>
    <row r="128" spans="1:7" x14ac:dyDescent="0.35">
      <c r="A128" s="10">
        <f>'Student Basic Info'!A128</f>
        <v>627</v>
      </c>
      <c r="B128" s="3"/>
      <c r="C128" s="3"/>
      <c r="D128" s="15" t="str">
        <f t="shared" si="4"/>
        <v/>
      </c>
      <c r="E128" s="10" t="str">
        <f t="shared" si="5"/>
        <v/>
      </c>
      <c r="F128" s="10" t="str">
        <f t="shared" si="6"/>
        <v/>
      </c>
      <c r="G128" s="11" t="str">
        <f t="shared" si="7"/>
        <v/>
      </c>
    </row>
    <row r="129" spans="1:7" x14ac:dyDescent="0.35">
      <c r="A129" s="10">
        <f>'Student Basic Info'!A129</f>
        <v>628</v>
      </c>
      <c r="B129" s="3"/>
      <c r="C129" s="3"/>
      <c r="D129" s="15" t="str">
        <f t="shared" si="4"/>
        <v/>
      </c>
      <c r="E129" s="10" t="str">
        <f t="shared" si="5"/>
        <v/>
      </c>
      <c r="F129" s="10" t="str">
        <f t="shared" si="6"/>
        <v/>
      </c>
      <c r="G129" s="11" t="str">
        <f t="shared" si="7"/>
        <v/>
      </c>
    </row>
    <row r="130" spans="1:7" x14ac:dyDescent="0.35">
      <c r="A130" s="10">
        <f>'Student Basic Info'!A130</f>
        <v>629</v>
      </c>
      <c r="B130" s="3"/>
      <c r="C130" s="3"/>
      <c r="D130" s="15" t="str">
        <f t="shared" si="4"/>
        <v/>
      </c>
      <c r="E130" s="10" t="str">
        <f t="shared" si="5"/>
        <v/>
      </c>
      <c r="F130" s="10" t="str">
        <f t="shared" si="6"/>
        <v/>
      </c>
      <c r="G130" s="11" t="str">
        <f t="shared" si="7"/>
        <v/>
      </c>
    </row>
    <row r="131" spans="1:7" x14ac:dyDescent="0.35">
      <c r="A131" s="10">
        <f>'Student Basic Info'!A131</f>
        <v>630</v>
      </c>
      <c r="B131" s="3"/>
      <c r="C131" s="3"/>
      <c r="D131" s="15" t="str">
        <f t="shared" si="4"/>
        <v/>
      </c>
      <c r="E131" s="10" t="str">
        <f t="shared" si="5"/>
        <v/>
      </c>
      <c r="F131" s="10" t="str">
        <f t="shared" si="6"/>
        <v/>
      </c>
      <c r="G131" s="11" t="str">
        <f t="shared" si="7"/>
        <v/>
      </c>
    </row>
    <row r="132" spans="1:7" x14ac:dyDescent="0.35">
      <c r="A132" s="10">
        <f>'Student Basic Info'!A132</f>
        <v>631</v>
      </c>
      <c r="B132" s="3"/>
      <c r="C132" s="3"/>
      <c r="D132" s="15" t="str">
        <f t="shared" ref="D132:D145" si="8">IF(B132+C132=0, "", B132+C132)</f>
        <v/>
      </c>
      <c r="E132" s="10" t="str">
        <f t="shared" ref="E132:E145" si="9">IF(D132="","", IF(AND(B132 &gt;=10,C132&gt;=23),"Pass","Fail"))</f>
        <v/>
      </c>
      <c r="F132" s="10" t="str">
        <f t="shared" ref="F132:F145" si="10">(IF(D132="","",IF(E132="Fail","F",IF(D132&gt;=80,"A+",IF(D132&gt;=70,"A",IF(D132&gt;=60,"A-",IF(D132&gt;=50,"B",IF(D132&gt;=40,"C",IF(D132&gt;=33,"D","F")))))))))</f>
        <v/>
      </c>
      <c r="G132" s="11" t="str">
        <f t="shared" ref="G132:G145" si="11">(IF(D132="","",IF(F132="F",0,IF(D132&gt;=80,5,IF(D132&gt;=70,4,IF(D132&gt;=60,3.5,IF(D132&gt;=50,3,IF(D132&gt;=40,2,IF(D132&gt;=33,1,0)))))))))</f>
        <v/>
      </c>
    </row>
    <row r="133" spans="1:7" x14ac:dyDescent="0.35">
      <c r="A133" s="10">
        <f>'Student Basic Info'!A133</f>
        <v>632</v>
      </c>
      <c r="B133" s="3"/>
      <c r="C133" s="3"/>
      <c r="D133" s="15" t="str">
        <f t="shared" si="8"/>
        <v/>
      </c>
      <c r="E133" s="10" t="str">
        <f t="shared" si="9"/>
        <v/>
      </c>
      <c r="F133" s="10" t="str">
        <f t="shared" si="10"/>
        <v/>
      </c>
      <c r="G133" s="11" t="str">
        <f t="shared" si="11"/>
        <v/>
      </c>
    </row>
    <row r="134" spans="1:7" x14ac:dyDescent="0.35">
      <c r="A134" s="10">
        <f>'Student Basic Info'!A134</f>
        <v>633</v>
      </c>
      <c r="B134" s="3"/>
      <c r="C134" s="3"/>
      <c r="D134" s="15" t="str">
        <f t="shared" si="8"/>
        <v/>
      </c>
      <c r="E134" s="10" t="str">
        <f t="shared" si="9"/>
        <v/>
      </c>
      <c r="F134" s="10" t="str">
        <f t="shared" si="10"/>
        <v/>
      </c>
      <c r="G134" s="11" t="str">
        <f t="shared" si="11"/>
        <v/>
      </c>
    </row>
    <row r="135" spans="1:7" x14ac:dyDescent="0.35">
      <c r="A135" s="10">
        <f>'Student Basic Info'!A135</f>
        <v>634</v>
      </c>
      <c r="B135" s="3"/>
      <c r="C135" s="3"/>
      <c r="D135" s="15" t="str">
        <f t="shared" si="8"/>
        <v/>
      </c>
      <c r="E135" s="10" t="str">
        <f t="shared" si="9"/>
        <v/>
      </c>
      <c r="F135" s="10" t="str">
        <f t="shared" si="10"/>
        <v/>
      </c>
      <c r="G135" s="11" t="str">
        <f t="shared" si="11"/>
        <v/>
      </c>
    </row>
    <row r="136" spans="1:7" x14ac:dyDescent="0.35">
      <c r="A136" s="10">
        <f>'Student Basic Info'!A136</f>
        <v>635</v>
      </c>
      <c r="B136" s="3"/>
      <c r="C136" s="3"/>
      <c r="D136" s="15" t="str">
        <f t="shared" si="8"/>
        <v/>
      </c>
      <c r="E136" s="10" t="str">
        <f t="shared" si="9"/>
        <v/>
      </c>
      <c r="F136" s="10" t="str">
        <f t="shared" si="10"/>
        <v/>
      </c>
      <c r="G136" s="11" t="str">
        <f t="shared" si="11"/>
        <v/>
      </c>
    </row>
    <row r="137" spans="1:7" x14ac:dyDescent="0.35">
      <c r="A137" s="10">
        <f>'Student Basic Info'!A137</f>
        <v>636</v>
      </c>
      <c r="B137" s="3"/>
      <c r="C137" s="3"/>
      <c r="D137" s="15" t="str">
        <f t="shared" si="8"/>
        <v/>
      </c>
      <c r="E137" s="10" t="str">
        <f t="shared" si="9"/>
        <v/>
      </c>
      <c r="F137" s="10" t="str">
        <f t="shared" si="10"/>
        <v/>
      </c>
      <c r="G137" s="11" t="str">
        <f t="shared" si="11"/>
        <v/>
      </c>
    </row>
    <row r="138" spans="1:7" x14ac:dyDescent="0.35">
      <c r="A138" s="10">
        <f>'Student Basic Info'!A138</f>
        <v>637</v>
      </c>
      <c r="B138" s="3">
        <v>10</v>
      </c>
      <c r="C138" s="3">
        <v>3</v>
      </c>
      <c r="D138" s="15">
        <f t="shared" si="8"/>
        <v>13</v>
      </c>
      <c r="E138" s="10" t="str">
        <f t="shared" si="9"/>
        <v>Fail</v>
      </c>
      <c r="F138" s="10" t="str">
        <f t="shared" si="10"/>
        <v>F</v>
      </c>
      <c r="G138" s="11">
        <f t="shared" si="11"/>
        <v>0</v>
      </c>
    </row>
    <row r="139" spans="1:7" x14ac:dyDescent="0.35">
      <c r="A139" s="10">
        <f>'Student Basic Info'!A139</f>
        <v>638</v>
      </c>
      <c r="B139" s="3"/>
      <c r="C139" s="3"/>
      <c r="D139" s="15" t="str">
        <f t="shared" si="8"/>
        <v/>
      </c>
      <c r="E139" s="10" t="str">
        <f t="shared" si="9"/>
        <v/>
      </c>
      <c r="F139" s="10" t="str">
        <f t="shared" si="10"/>
        <v/>
      </c>
      <c r="G139" s="11" t="str">
        <f t="shared" si="11"/>
        <v/>
      </c>
    </row>
    <row r="140" spans="1:7" x14ac:dyDescent="0.35">
      <c r="A140" s="10">
        <f>'Student Basic Info'!A140</f>
        <v>639</v>
      </c>
      <c r="B140" s="3"/>
      <c r="C140" s="3"/>
      <c r="D140" s="15" t="str">
        <f t="shared" si="8"/>
        <v/>
      </c>
      <c r="E140" s="10" t="str">
        <f t="shared" si="9"/>
        <v/>
      </c>
      <c r="F140" s="10" t="str">
        <f t="shared" si="10"/>
        <v/>
      </c>
      <c r="G140" s="11" t="str">
        <f t="shared" si="11"/>
        <v/>
      </c>
    </row>
    <row r="141" spans="1:7" x14ac:dyDescent="0.35">
      <c r="A141" s="10">
        <f>'Student Basic Info'!A141</f>
        <v>640</v>
      </c>
      <c r="B141" s="3"/>
      <c r="C141" s="3"/>
      <c r="D141" s="15" t="str">
        <f t="shared" si="8"/>
        <v/>
      </c>
      <c r="E141" s="10" t="str">
        <f t="shared" si="9"/>
        <v/>
      </c>
      <c r="F141" s="10" t="str">
        <f t="shared" si="10"/>
        <v/>
      </c>
      <c r="G141" s="11" t="str">
        <f t="shared" si="11"/>
        <v/>
      </c>
    </row>
    <row r="142" spans="1:7" x14ac:dyDescent="0.35">
      <c r="A142" s="10">
        <f>'Student Basic Info'!A142</f>
        <v>641</v>
      </c>
      <c r="B142" s="3">
        <v>7</v>
      </c>
      <c r="C142" s="3">
        <v>3</v>
      </c>
      <c r="D142" s="15">
        <f t="shared" si="8"/>
        <v>10</v>
      </c>
      <c r="E142" s="10" t="str">
        <f t="shared" si="9"/>
        <v>Fail</v>
      </c>
      <c r="F142" s="10" t="str">
        <f t="shared" si="10"/>
        <v>F</v>
      </c>
      <c r="G142" s="11">
        <f t="shared" si="11"/>
        <v>0</v>
      </c>
    </row>
    <row r="143" spans="1:7" x14ac:dyDescent="0.35">
      <c r="A143" s="10">
        <f>'Student Basic Info'!A143</f>
        <v>642</v>
      </c>
      <c r="B143" s="3">
        <v>12</v>
      </c>
      <c r="C143" s="3">
        <v>25</v>
      </c>
      <c r="D143" s="15">
        <f t="shared" si="8"/>
        <v>37</v>
      </c>
      <c r="E143" s="10" t="str">
        <f t="shared" si="9"/>
        <v>Pass</v>
      </c>
      <c r="F143" s="10" t="str">
        <f t="shared" si="10"/>
        <v>D</v>
      </c>
      <c r="G143" s="11">
        <f t="shared" si="11"/>
        <v>1</v>
      </c>
    </row>
    <row r="144" spans="1:7" x14ac:dyDescent="0.35">
      <c r="A144" s="10">
        <f>'Student Basic Info'!A144</f>
        <v>643</v>
      </c>
      <c r="B144" s="3"/>
      <c r="C144" s="3"/>
      <c r="D144" s="15" t="str">
        <f t="shared" si="8"/>
        <v/>
      </c>
      <c r="E144" s="10" t="str">
        <f t="shared" si="9"/>
        <v/>
      </c>
      <c r="F144" s="10" t="str">
        <f t="shared" si="10"/>
        <v/>
      </c>
      <c r="G144" s="11" t="str">
        <f t="shared" si="11"/>
        <v/>
      </c>
    </row>
    <row r="145" spans="1:7" x14ac:dyDescent="0.35">
      <c r="A145" s="10">
        <f>'Student Basic Info'!A145</f>
        <v>644</v>
      </c>
      <c r="B145" s="3"/>
      <c r="C145" s="3"/>
      <c r="D145" s="15" t="str">
        <f t="shared" si="8"/>
        <v/>
      </c>
      <c r="E145" s="10" t="str">
        <f t="shared" si="9"/>
        <v/>
      </c>
      <c r="F145" s="10" t="str">
        <f t="shared" si="10"/>
        <v/>
      </c>
      <c r="G145" s="11" t="str">
        <f t="shared" si="11"/>
        <v/>
      </c>
    </row>
  </sheetData>
  <conditionalFormatting sqref="E2:E145">
    <cfRule type="containsText" dxfId="13" priority="1" operator="containsText" text="Fail">
      <formula>NOT(ISERROR(SEARCH("Fail",E2)))</formula>
    </cfRule>
    <cfRule type="containsText" dxfId="12" priority="2" operator="containsText" text="Pass">
      <formula>NOT(ISERROR(SEARCH("Pass",E2)))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opLeftCell="A133" workbookViewId="0">
      <selection activeCell="G133" sqref="G133"/>
    </sheetView>
  </sheetViews>
  <sheetFormatPr defaultRowHeight="14.5" x14ac:dyDescent="0.35"/>
  <cols>
    <col min="1" max="1" width="8.7265625" style="14"/>
    <col min="2" max="2" width="9.90625" style="30" bestFit="1" customWidth="1"/>
    <col min="3" max="3" width="10.7265625" style="1" bestFit="1" customWidth="1"/>
    <col min="4" max="4" width="9" style="1" bestFit="1" customWidth="1"/>
    <col min="5" max="5" width="10.81640625" style="14" bestFit="1" customWidth="1"/>
    <col min="6" max="8" width="8.7265625" style="14"/>
    <col min="9" max="9" width="16" style="53" bestFit="1" customWidth="1"/>
  </cols>
  <sheetData>
    <row r="1" spans="1:9" x14ac:dyDescent="0.35">
      <c r="A1" s="12" t="s">
        <v>0</v>
      </c>
      <c r="B1" s="12" t="s">
        <v>148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15</v>
      </c>
    </row>
    <row r="2" spans="1:9" x14ac:dyDescent="0.35">
      <c r="A2" s="10">
        <f>'Student Basic Info'!A2</f>
        <v>501</v>
      </c>
      <c r="B2" s="10" t="str">
        <f>SubjectList!I2</f>
        <v>Production</v>
      </c>
      <c r="C2" s="10" t="str">
        <f>IF(B2="Finance", IF(Finance!B2=0,"", Finance!B2), IF(B2="Production",IF(Production!B2=0,"", Production!B2), IF(Economics!B2=0,"", Economics!B2)))</f>
        <v/>
      </c>
      <c r="D2" s="10" t="str">
        <f>IF(B2="Finance", IF(Finance!C2=0,"", Finance!C2), IF(B2="Production",IF(Production!C2=0,"", Production!C2), IF(Economics!C2=0,"", Economics!C2)))</f>
        <v/>
      </c>
      <c r="E2" s="10" t="str">
        <f>IF(B2="Finance", IF(Finance!D2=0,"", Finance!D2), IF(B2="Production",IF(Production!D2=0,"", Production!D2), IF(Economics!D2=0,"", Economics!D2)))</f>
        <v/>
      </c>
      <c r="F2" s="10" t="str">
        <f>IF(E2="","", IF(AND(C2 &gt;=10,D2&gt;=23),"Pass","Fail"))</f>
        <v/>
      </c>
      <c r="G2" s="10" t="str">
        <f>(IF(E2="","",IF(F2="Fail","F",IF(E2&gt;=80,"A+",IF(E2&gt;=70,"A",IF(E2&gt;=60,"A-",IF(E2&gt;=50,"B",IF(E2&gt;=40,"C",IF(E2&gt;=33,"D","F")))))))))</f>
        <v/>
      </c>
      <c r="H2" s="11" t="str">
        <f>(IF(E2="","",IF(G2="F",0,IF(E2&gt;=80,5,IF(E2&gt;=70,4,IF(E2&gt;=60,3.5,IF(E2&gt;=50,3,IF(E2&gt;=40,2,IF(E2&gt;=33,1,0)))))))))</f>
        <v/>
      </c>
      <c r="I2" s="29" t="str">
        <f>(IF(E2="","",IF(H2&gt;2,H2-2,0)))</f>
        <v/>
      </c>
    </row>
    <row r="3" spans="1:9" x14ac:dyDescent="0.35">
      <c r="A3" s="10">
        <f>'Student Basic Info'!A3</f>
        <v>502</v>
      </c>
      <c r="B3" s="10" t="str">
        <f>SubjectList!I3</f>
        <v>Economics</v>
      </c>
      <c r="C3" s="10" t="str">
        <f>IF(B3="Finance", IF(Finance!B3=0,"", Finance!B3), IF(B3="Production",IF(Production!B3=0,"", Production!B3), IF(Economics!B3=0,"", Economics!B3)))</f>
        <v/>
      </c>
      <c r="D3" s="10" t="str">
        <f>IF(B3="Finance", IF(Finance!C3=0,"", Finance!C3), IF(B3="Production",IF(Production!C3=0,"", Production!C3), IF(Economics!C3=0,"", Economics!C3)))</f>
        <v/>
      </c>
      <c r="E3" s="10" t="str">
        <f>IF(B3="Finance", IF(Finance!D3=0,"", Finance!D3), IF(B3="Production",IF(Production!D3=0,"", Production!D3), IF(Economics!D3=0,"", Economics!D3)))</f>
        <v/>
      </c>
      <c r="F3" s="10" t="str">
        <f t="shared" ref="F3:F66" si="0">IF(E3="","", IF(AND(C3 &gt;=10,D3&gt;=23),"Pass","Fail"))</f>
        <v/>
      </c>
      <c r="G3" s="10" t="str">
        <f t="shared" ref="G3:G66" si="1">(IF(E3="","",IF(F3="Fail","F",IF(E3&gt;=80,"A+",IF(E3&gt;=70,"A",IF(E3&gt;=60,"A-",IF(E3&gt;=50,"B",IF(E3&gt;=40,"C",IF(E3&gt;=33,"D","F")))))))))</f>
        <v/>
      </c>
      <c r="H3" s="11" t="str">
        <f t="shared" ref="H3:H66" si="2">(IF(E3="","",IF(G3="F",0,IF(E3&gt;=80,5,IF(E3&gt;=70,4,IF(E3&gt;=60,3.5,IF(E3&gt;=50,3,IF(E3&gt;=40,2,IF(E3&gt;=33,1,0)))))))))</f>
        <v/>
      </c>
      <c r="I3" s="29" t="str">
        <f t="shared" ref="I3:I66" si="3">(IF(E3="","",IF(H3&gt;2,H3-2,0)))</f>
        <v/>
      </c>
    </row>
    <row r="4" spans="1:9" x14ac:dyDescent="0.35">
      <c r="A4" s="10">
        <f>'Student Basic Info'!A4</f>
        <v>503</v>
      </c>
      <c r="B4" s="10" t="str">
        <f>SubjectList!I4</f>
        <v>Economics</v>
      </c>
      <c r="C4" s="10">
        <f>IF(B4="Finance", IF(Finance!B4=0,"", Finance!B4), IF(B4="Production",IF(Production!B4=0,"", Production!B4), IF(Economics!B4=0,"", Economics!B4)))</f>
        <v>10</v>
      </c>
      <c r="D4" s="10">
        <f>IF(B4="Finance", IF(Finance!C4=0,"", Finance!C4), IF(B4="Production",IF(Production!C4=0,"", Production!C4), IF(Economics!C4=0,"", Economics!C4)))</f>
        <v>30</v>
      </c>
      <c r="E4" s="10">
        <f>IF(B4="Finance", IF(Finance!D4=0,"", Finance!D4), IF(B4="Production",IF(Production!D4=0,"", Production!D4), IF(Economics!D4=0,"", Economics!D4)))</f>
        <v>40</v>
      </c>
      <c r="F4" s="10" t="str">
        <f t="shared" si="0"/>
        <v>Pass</v>
      </c>
      <c r="G4" s="10" t="str">
        <f t="shared" si="1"/>
        <v>C</v>
      </c>
      <c r="H4" s="11">
        <f t="shared" si="2"/>
        <v>2</v>
      </c>
      <c r="I4" s="29">
        <f t="shared" si="3"/>
        <v>0</v>
      </c>
    </row>
    <row r="5" spans="1:9" x14ac:dyDescent="0.35">
      <c r="A5" s="10">
        <f>'Student Basic Info'!A5</f>
        <v>504</v>
      </c>
      <c r="B5" s="10" t="str">
        <f>SubjectList!I5</f>
        <v>Economics</v>
      </c>
      <c r="C5" s="10">
        <f>IF(B5="Finance", IF(Finance!B5=0,"", Finance!B5), IF(B5="Production",IF(Production!B5=0,"", Production!B5), IF(Economics!B5=0,"", Economics!B5)))</f>
        <v>16</v>
      </c>
      <c r="D5" s="10">
        <f>IF(B5="Finance", IF(Finance!C5=0,"", Finance!C5), IF(B5="Production",IF(Production!C5=0,"", Production!C5), IF(Economics!C5=0,"", Economics!C5)))</f>
        <v>31</v>
      </c>
      <c r="E5" s="10">
        <f>IF(B5="Finance", IF(Finance!D5=0,"", Finance!D5), IF(B5="Production",IF(Production!D5=0,"", Production!D5), IF(Economics!D5=0,"", Economics!D5)))</f>
        <v>47</v>
      </c>
      <c r="F5" s="10" t="str">
        <f t="shared" si="0"/>
        <v>Pass</v>
      </c>
      <c r="G5" s="10" t="str">
        <f t="shared" si="1"/>
        <v>C</v>
      </c>
      <c r="H5" s="11">
        <f t="shared" si="2"/>
        <v>2</v>
      </c>
      <c r="I5" s="29">
        <f t="shared" si="3"/>
        <v>0</v>
      </c>
    </row>
    <row r="6" spans="1:9" x14ac:dyDescent="0.35">
      <c r="A6" s="10">
        <f>'Student Basic Info'!A6</f>
        <v>505</v>
      </c>
      <c r="B6" s="10" t="str">
        <f>SubjectList!I6</f>
        <v>Economics</v>
      </c>
      <c r="C6" s="10" t="str">
        <f>IF(B6="Finance", IF(Finance!B6=0,"", Finance!B6), IF(B6="Production",IF(Production!B6=0,"", Production!B6), IF(Economics!B6=0,"", Economics!B6)))</f>
        <v/>
      </c>
      <c r="D6" s="10" t="str">
        <f>IF(B6="Finance", IF(Finance!C6=0,"", Finance!C6), IF(B6="Production",IF(Production!C6=0,"", Production!C6), IF(Economics!C6=0,"", Economics!C6)))</f>
        <v/>
      </c>
      <c r="E6" s="10" t="str">
        <f>IF(B6="Finance", IF(Finance!D6=0,"", Finance!D6), IF(B6="Production",IF(Production!D6=0,"", Production!D6), IF(Economics!D6=0,"", Economics!D6)))</f>
        <v/>
      </c>
      <c r="F6" s="10" t="str">
        <f t="shared" si="0"/>
        <v/>
      </c>
      <c r="G6" s="10" t="str">
        <f t="shared" si="1"/>
        <v/>
      </c>
      <c r="H6" s="11" t="str">
        <f t="shared" si="2"/>
        <v/>
      </c>
      <c r="I6" s="29" t="str">
        <f t="shared" si="3"/>
        <v/>
      </c>
    </row>
    <row r="7" spans="1:9" x14ac:dyDescent="0.35">
      <c r="A7" s="10">
        <f>'Student Basic Info'!A7</f>
        <v>506</v>
      </c>
      <c r="B7" s="10" t="str">
        <f>SubjectList!I7</f>
        <v>Economics</v>
      </c>
      <c r="C7" s="10" t="str">
        <f>IF(B7="Finance", IF(Finance!B7=0,"", Finance!B7), IF(B7="Production",IF(Production!B7=0,"", Production!B7), IF(Economics!B7=0,"", Economics!B7)))</f>
        <v/>
      </c>
      <c r="D7" s="10" t="str">
        <f>IF(B7="Finance", IF(Finance!C7=0,"", Finance!C7), IF(B7="Production",IF(Production!C7=0,"", Production!C7), IF(Economics!C7=0,"", Economics!C7)))</f>
        <v/>
      </c>
      <c r="E7" s="10" t="str">
        <f>IF(B7="Finance", IF(Finance!D7=0,"", Finance!D7), IF(B7="Production",IF(Production!D7=0,"", Production!D7), IF(Economics!D7=0,"", Economics!D7)))</f>
        <v/>
      </c>
      <c r="F7" s="10" t="str">
        <f t="shared" si="0"/>
        <v/>
      </c>
      <c r="G7" s="10" t="str">
        <f t="shared" si="1"/>
        <v/>
      </c>
      <c r="H7" s="11" t="str">
        <f t="shared" si="2"/>
        <v/>
      </c>
      <c r="I7" s="29" t="str">
        <f t="shared" si="3"/>
        <v/>
      </c>
    </row>
    <row r="8" spans="1:9" x14ac:dyDescent="0.35">
      <c r="A8" s="10">
        <f>'Student Basic Info'!A8</f>
        <v>507</v>
      </c>
      <c r="B8" s="10" t="str">
        <f>SubjectList!I8</f>
        <v>Production</v>
      </c>
      <c r="C8" s="10">
        <f>IF(B8="Finance", IF(Finance!B8=0,"", Finance!B8), IF(B8="Production",IF(Production!B8=0,"", Production!B8), IF(Economics!B8=0,"", Economics!B8)))</f>
        <v>21</v>
      </c>
      <c r="D8" s="10">
        <f>IF(B8="Finance", IF(Finance!C8=0,"", Finance!C8), IF(B8="Production",IF(Production!C8=0,"", Production!C8), IF(Economics!C8=0,"", Economics!C8)))</f>
        <v>44</v>
      </c>
      <c r="E8" s="10">
        <f>IF(B8="Finance", IF(Finance!D8=0,"", Finance!D8), IF(B8="Production",IF(Production!D8=0,"", Production!D8), IF(Economics!D8=0,"", Economics!D8)))</f>
        <v>65</v>
      </c>
      <c r="F8" s="10" t="str">
        <f t="shared" si="0"/>
        <v>Pass</v>
      </c>
      <c r="G8" s="10" t="str">
        <f t="shared" si="1"/>
        <v>A-</v>
      </c>
      <c r="H8" s="11">
        <f t="shared" si="2"/>
        <v>3.5</v>
      </c>
      <c r="I8" s="29">
        <f t="shared" si="3"/>
        <v>1.5</v>
      </c>
    </row>
    <row r="9" spans="1:9" x14ac:dyDescent="0.35">
      <c r="A9" s="10">
        <f>'Student Basic Info'!A9</f>
        <v>508</v>
      </c>
      <c r="B9" s="10" t="str">
        <f>SubjectList!I9</f>
        <v>Finance</v>
      </c>
      <c r="C9" s="10">
        <f>IF(B9="Finance", IF(Finance!B9=0,"", Finance!B9), IF(B9="Production",IF(Production!B9=0,"", Production!B9), IF(Economics!B9=0,"", Economics!B9)))</f>
        <v>10</v>
      </c>
      <c r="D9" s="10">
        <f>IF(B9="Finance", IF(Finance!C9=0,"", Finance!C9), IF(B9="Production",IF(Production!C9=0,"", Production!C9), IF(Economics!C9=0,"", Economics!C9)))</f>
        <v>15</v>
      </c>
      <c r="E9" s="10">
        <f>IF(B9="Finance", IF(Finance!D9=0,"", Finance!D9), IF(B9="Production",IF(Production!D9=0,"", Production!D9), IF(Economics!D9=0,"", Economics!D9)))</f>
        <v>25</v>
      </c>
      <c r="F9" s="10" t="str">
        <f t="shared" si="0"/>
        <v>Fail</v>
      </c>
      <c r="G9" s="10" t="str">
        <f t="shared" si="1"/>
        <v>F</v>
      </c>
      <c r="H9" s="11">
        <f t="shared" si="2"/>
        <v>0</v>
      </c>
      <c r="I9" s="29">
        <f t="shared" si="3"/>
        <v>0</v>
      </c>
    </row>
    <row r="10" spans="1:9" x14ac:dyDescent="0.35">
      <c r="A10" s="10">
        <f>'Student Basic Info'!A10</f>
        <v>509</v>
      </c>
      <c r="B10" s="10" t="str">
        <f>SubjectList!I10</f>
        <v>Production</v>
      </c>
      <c r="C10" s="10">
        <f>IF(B10="Finance", IF(Finance!B10=0,"", Finance!B10), IF(B10="Production",IF(Production!B10=0,"", Production!B10), IF(Economics!B10=0,"", Economics!B10)))</f>
        <v>13</v>
      </c>
      <c r="D10" s="10">
        <f>IF(B10="Finance", IF(Finance!C10=0,"", Finance!C10), IF(B10="Production",IF(Production!C10=0,"", Production!C10), IF(Economics!C10=0,"", Economics!C10)))</f>
        <v>24</v>
      </c>
      <c r="E10" s="10">
        <f>IF(B10="Finance", IF(Finance!D10=0,"", Finance!D10), IF(B10="Production",IF(Production!D10=0,"", Production!D10), IF(Economics!D10=0,"", Economics!D10)))</f>
        <v>37</v>
      </c>
      <c r="F10" s="10" t="str">
        <f t="shared" si="0"/>
        <v>Pass</v>
      </c>
      <c r="G10" s="10" t="str">
        <f t="shared" si="1"/>
        <v>D</v>
      </c>
      <c r="H10" s="11">
        <f t="shared" si="2"/>
        <v>1</v>
      </c>
      <c r="I10" s="29">
        <f t="shared" si="3"/>
        <v>0</v>
      </c>
    </row>
    <row r="11" spans="1:9" x14ac:dyDescent="0.35">
      <c r="A11" s="10">
        <f>'Student Basic Info'!A11</f>
        <v>510</v>
      </c>
      <c r="B11" s="10" t="str">
        <f>SubjectList!I11</f>
        <v>Production</v>
      </c>
      <c r="C11" s="10" t="str">
        <f>IF(B11="Finance", IF(Finance!B11=0,"", Finance!B11), IF(B11="Production",IF(Production!B11=0,"", Production!B11), IF(Economics!B11=0,"", Economics!B11)))</f>
        <v/>
      </c>
      <c r="D11" s="10" t="str">
        <f>IF(B11="Finance", IF(Finance!C11=0,"", Finance!C11), IF(B11="Production",IF(Production!C11=0,"", Production!C11), IF(Economics!C11=0,"", Economics!C11)))</f>
        <v/>
      </c>
      <c r="E11" s="10" t="str">
        <f>IF(B11="Finance", IF(Finance!D11=0,"", Finance!D11), IF(B11="Production",IF(Production!D11=0,"", Production!D11), IF(Economics!D11=0,"", Economics!D11)))</f>
        <v/>
      </c>
      <c r="F11" s="10" t="str">
        <f t="shared" si="0"/>
        <v/>
      </c>
      <c r="G11" s="10" t="str">
        <f t="shared" si="1"/>
        <v/>
      </c>
      <c r="H11" s="11" t="str">
        <f t="shared" si="2"/>
        <v/>
      </c>
      <c r="I11" s="29" t="str">
        <f t="shared" si="3"/>
        <v/>
      </c>
    </row>
    <row r="12" spans="1:9" x14ac:dyDescent="0.35">
      <c r="A12" s="10">
        <f>'Student Basic Info'!A12</f>
        <v>511</v>
      </c>
      <c r="B12" s="10" t="str">
        <f>SubjectList!I12</f>
        <v>Finance</v>
      </c>
      <c r="C12" s="10">
        <f>IF(B12="Finance", IF(Finance!B12=0,"", Finance!B12), IF(B12="Production",IF(Production!B12=0,"", Production!B12), IF(Economics!B12=0,"", Economics!B12)))</f>
        <v>10</v>
      </c>
      <c r="D12" s="10">
        <f>IF(B12="Finance", IF(Finance!C12=0,"", Finance!C12), IF(B12="Production",IF(Production!C12=0,"", Production!C12), IF(Economics!C12=0,"", Economics!C12)))</f>
        <v>12</v>
      </c>
      <c r="E12" s="10">
        <f>IF(B12="Finance", IF(Finance!D12=0,"", Finance!D12), IF(B12="Production",IF(Production!D12=0,"", Production!D12), IF(Economics!D12=0,"", Economics!D12)))</f>
        <v>22</v>
      </c>
      <c r="F12" s="10" t="str">
        <f t="shared" si="0"/>
        <v>Fail</v>
      </c>
      <c r="G12" s="10" t="str">
        <f t="shared" si="1"/>
        <v>F</v>
      </c>
      <c r="H12" s="11">
        <f t="shared" si="2"/>
        <v>0</v>
      </c>
      <c r="I12" s="29">
        <f t="shared" si="3"/>
        <v>0</v>
      </c>
    </row>
    <row r="13" spans="1:9" x14ac:dyDescent="0.35">
      <c r="A13" s="10">
        <f>'Student Basic Info'!A13</f>
        <v>512</v>
      </c>
      <c r="B13" s="10" t="str">
        <f>SubjectList!I13</f>
        <v>Production</v>
      </c>
      <c r="C13" s="10">
        <f>IF(B13="Finance", IF(Finance!B13=0,"", Finance!B13), IF(B13="Production",IF(Production!B13=0,"", Production!B13), IF(Economics!B13=0,"", Economics!B13)))</f>
        <v>14</v>
      </c>
      <c r="D13" s="10">
        <f>IF(B13="Finance", IF(Finance!C13=0,"", Finance!C13), IF(B13="Production",IF(Production!C13=0,"", Production!C13), IF(Economics!C13=0,"", Economics!C13)))</f>
        <v>23</v>
      </c>
      <c r="E13" s="10">
        <f>IF(B13="Finance", IF(Finance!D13=0,"", Finance!D13), IF(B13="Production",IF(Production!D13=0,"", Production!D13), IF(Economics!D13=0,"", Economics!D13)))</f>
        <v>37</v>
      </c>
      <c r="F13" s="10" t="str">
        <f t="shared" si="0"/>
        <v>Pass</v>
      </c>
      <c r="G13" s="10" t="str">
        <f t="shared" si="1"/>
        <v>D</v>
      </c>
      <c r="H13" s="11">
        <f t="shared" si="2"/>
        <v>1</v>
      </c>
      <c r="I13" s="29">
        <f t="shared" si="3"/>
        <v>0</v>
      </c>
    </row>
    <row r="14" spans="1:9" x14ac:dyDescent="0.35">
      <c r="A14" s="10">
        <f>'Student Basic Info'!A14</f>
        <v>513</v>
      </c>
      <c r="B14" s="10" t="str">
        <f>SubjectList!I14</f>
        <v>Production</v>
      </c>
      <c r="C14" s="10">
        <f>IF(B14="Finance", IF(Finance!B14=0,"", Finance!B14), IF(B14="Production",IF(Production!B14=0,"", Production!B14), IF(Economics!B14=0,"", Economics!B14)))</f>
        <v>12</v>
      </c>
      <c r="D14" s="10">
        <f>IF(B14="Finance", IF(Finance!C14=0,"", Finance!C14), IF(B14="Production",IF(Production!C14=0,"", Production!C14), IF(Economics!C14=0,"", Economics!C14)))</f>
        <v>25</v>
      </c>
      <c r="E14" s="10">
        <f>IF(B14="Finance", IF(Finance!D14=0,"", Finance!D14), IF(B14="Production",IF(Production!D14=0,"", Production!D14), IF(Economics!D14=0,"", Economics!D14)))</f>
        <v>37</v>
      </c>
      <c r="F14" s="10" t="str">
        <f t="shared" si="0"/>
        <v>Pass</v>
      </c>
      <c r="G14" s="10" t="str">
        <f t="shared" si="1"/>
        <v>D</v>
      </c>
      <c r="H14" s="11">
        <f t="shared" si="2"/>
        <v>1</v>
      </c>
      <c r="I14" s="29">
        <f t="shared" si="3"/>
        <v>0</v>
      </c>
    </row>
    <row r="15" spans="1:9" x14ac:dyDescent="0.35">
      <c r="A15" s="10">
        <f>'Student Basic Info'!A15</f>
        <v>514</v>
      </c>
      <c r="B15" s="10" t="str">
        <f>SubjectList!I15</f>
        <v>Production</v>
      </c>
      <c r="C15" s="10" t="str">
        <f>IF(B15="Finance", IF(Finance!B15=0,"", Finance!B15), IF(B15="Production",IF(Production!B15=0,"", Production!B15), IF(Economics!B15=0,"", Economics!B15)))</f>
        <v/>
      </c>
      <c r="D15" s="10" t="str">
        <f>IF(B15="Finance", IF(Finance!C15=0,"", Finance!C15), IF(B15="Production",IF(Production!C15=0,"", Production!C15), IF(Economics!C15=0,"", Economics!C15)))</f>
        <v/>
      </c>
      <c r="E15" s="10" t="str">
        <f>IF(B15="Finance", IF(Finance!D15=0,"", Finance!D15), IF(B15="Production",IF(Production!D15=0,"", Production!D15), IF(Economics!D15=0,"", Economics!D15)))</f>
        <v/>
      </c>
      <c r="F15" s="10" t="str">
        <f t="shared" si="0"/>
        <v/>
      </c>
      <c r="G15" s="10" t="str">
        <f t="shared" si="1"/>
        <v/>
      </c>
      <c r="H15" s="11" t="str">
        <f t="shared" si="2"/>
        <v/>
      </c>
      <c r="I15" s="29" t="str">
        <f t="shared" si="3"/>
        <v/>
      </c>
    </row>
    <row r="16" spans="1:9" x14ac:dyDescent="0.35">
      <c r="A16" s="10">
        <f>'Student Basic Info'!A16</f>
        <v>515</v>
      </c>
      <c r="B16" s="10" t="str">
        <f>SubjectList!I16</f>
        <v>Production</v>
      </c>
      <c r="C16" s="10">
        <f>IF(B16="Finance", IF(Finance!B16=0,"", Finance!B16), IF(B16="Production",IF(Production!B16=0,"", Production!B16), IF(Economics!B16=0,"", Economics!B16)))</f>
        <v>17</v>
      </c>
      <c r="D16" s="10">
        <f>IF(B16="Finance", IF(Finance!C16=0,"", Finance!C16), IF(B16="Production",IF(Production!C16=0,"", Production!C16), IF(Economics!C16=0,"", Economics!C16)))</f>
        <v>18</v>
      </c>
      <c r="E16" s="10">
        <f>IF(B16="Finance", IF(Finance!D16=0,"", Finance!D16), IF(B16="Production",IF(Production!D16=0,"", Production!D16), IF(Economics!D16=0,"", Economics!D16)))</f>
        <v>35</v>
      </c>
      <c r="F16" s="10" t="str">
        <f t="shared" si="0"/>
        <v>Fail</v>
      </c>
      <c r="G16" s="10" t="str">
        <f t="shared" si="1"/>
        <v>F</v>
      </c>
      <c r="H16" s="11">
        <f t="shared" si="2"/>
        <v>0</v>
      </c>
      <c r="I16" s="29">
        <f t="shared" si="3"/>
        <v>0</v>
      </c>
    </row>
    <row r="17" spans="1:9" x14ac:dyDescent="0.35">
      <c r="A17" s="10">
        <f>'Student Basic Info'!A17</f>
        <v>516</v>
      </c>
      <c r="B17" s="10" t="str">
        <f>SubjectList!I17</f>
        <v>Production</v>
      </c>
      <c r="C17" s="10">
        <f>IF(B17="Finance", IF(Finance!B17=0,"", Finance!B17), IF(B17="Production",IF(Production!B17=0,"", Production!B17), IF(Economics!B17=0,"", Economics!B17)))</f>
        <v>18</v>
      </c>
      <c r="D17" s="10">
        <f>IF(B17="Finance", IF(Finance!C17=0,"", Finance!C17), IF(B17="Production",IF(Production!C17=0,"", Production!C17), IF(Economics!C17=0,"", Economics!C17)))</f>
        <v>54</v>
      </c>
      <c r="E17" s="10">
        <f>IF(B17="Finance", IF(Finance!D17=0,"", Finance!D17), IF(B17="Production",IF(Production!D17=0,"", Production!D17), IF(Economics!D17=0,"", Economics!D17)))</f>
        <v>72</v>
      </c>
      <c r="F17" s="10" t="str">
        <f t="shared" si="0"/>
        <v>Pass</v>
      </c>
      <c r="G17" s="10" t="str">
        <f t="shared" si="1"/>
        <v>A</v>
      </c>
      <c r="H17" s="11">
        <f t="shared" si="2"/>
        <v>4</v>
      </c>
      <c r="I17" s="29">
        <f t="shared" si="3"/>
        <v>2</v>
      </c>
    </row>
    <row r="18" spans="1:9" x14ac:dyDescent="0.35">
      <c r="A18" s="10">
        <f>'Student Basic Info'!A18</f>
        <v>517</v>
      </c>
      <c r="B18" s="10" t="str">
        <f>SubjectList!I18</f>
        <v>Production</v>
      </c>
      <c r="C18" s="10" t="str">
        <f>IF(B18="Finance", IF(Finance!B18=0,"", Finance!B18), IF(B18="Production",IF(Production!B18=0,"", Production!B18), IF(Economics!B18=0,"", Economics!B18)))</f>
        <v/>
      </c>
      <c r="D18" s="10" t="str">
        <f>IF(B18="Finance", IF(Finance!C18=0,"", Finance!C18), IF(B18="Production",IF(Production!C18=0,"", Production!C18), IF(Economics!C18=0,"", Economics!C18)))</f>
        <v/>
      </c>
      <c r="E18" s="10" t="str">
        <f>IF(B18="Finance", IF(Finance!D18=0,"", Finance!D18), IF(B18="Production",IF(Production!D18=0,"", Production!D18), IF(Economics!D18=0,"", Economics!D18)))</f>
        <v/>
      </c>
      <c r="F18" s="10" t="str">
        <f t="shared" si="0"/>
        <v/>
      </c>
      <c r="G18" s="10" t="str">
        <f t="shared" si="1"/>
        <v/>
      </c>
      <c r="H18" s="11" t="str">
        <f t="shared" si="2"/>
        <v/>
      </c>
      <c r="I18" s="29" t="str">
        <f t="shared" si="3"/>
        <v/>
      </c>
    </row>
    <row r="19" spans="1:9" x14ac:dyDescent="0.35">
      <c r="A19" s="10">
        <f>'Student Basic Info'!A19</f>
        <v>518</v>
      </c>
      <c r="B19" s="10" t="str">
        <f>SubjectList!I19</f>
        <v>Production</v>
      </c>
      <c r="C19" s="10" t="str">
        <f>IF(B19="Finance", IF(Finance!B19=0,"", Finance!B19), IF(B19="Production",IF(Production!B19=0,"", Production!B19), IF(Economics!B19=0,"", Economics!B19)))</f>
        <v/>
      </c>
      <c r="D19" s="10" t="str">
        <f>IF(B19="Finance", IF(Finance!C19=0,"", Finance!C19), IF(B19="Production",IF(Production!C19=0,"", Production!C19), IF(Economics!C19=0,"", Economics!C19)))</f>
        <v/>
      </c>
      <c r="E19" s="10" t="str">
        <f>IF(B19="Finance", IF(Finance!D19=0,"", Finance!D19), IF(B19="Production",IF(Production!D19=0,"", Production!D19), IF(Economics!D19=0,"", Economics!D19)))</f>
        <v/>
      </c>
      <c r="F19" s="10" t="str">
        <f t="shared" si="0"/>
        <v/>
      </c>
      <c r="G19" s="10" t="str">
        <f t="shared" si="1"/>
        <v/>
      </c>
      <c r="H19" s="11" t="str">
        <f t="shared" si="2"/>
        <v/>
      </c>
      <c r="I19" s="29" t="str">
        <f t="shared" si="3"/>
        <v/>
      </c>
    </row>
    <row r="20" spans="1:9" x14ac:dyDescent="0.35">
      <c r="A20" s="10">
        <f>'Student Basic Info'!A20</f>
        <v>519</v>
      </c>
      <c r="B20" s="10" t="str">
        <f>SubjectList!I20</f>
        <v>Economics</v>
      </c>
      <c r="C20" s="10">
        <f>IF(B20="Finance", IF(Finance!B20=0,"", Finance!B20), IF(B20="Production",IF(Production!B20=0,"", Production!B20), IF(Economics!B20=0,"", Economics!B20)))</f>
        <v>10</v>
      </c>
      <c r="D20" s="10">
        <f>IF(B20="Finance", IF(Finance!C20=0,"", Finance!C20), IF(B20="Production",IF(Production!C20=0,"", Production!C20), IF(Economics!C20=0,"", Economics!C20)))</f>
        <v>37</v>
      </c>
      <c r="E20" s="10">
        <f>IF(B20="Finance", IF(Finance!D20=0,"", Finance!D20), IF(B20="Production",IF(Production!D20=0,"", Production!D20), IF(Economics!D20=0,"", Economics!D20)))</f>
        <v>47</v>
      </c>
      <c r="F20" s="10" t="str">
        <f t="shared" si="0"/>
        <v>Pass</v>
      </c>
      <c r="G20" s="10" t="str">
        <f t="shared" si="1"/>
        <v>C</v>
      </c>
      <c r="H20" s="11">
        <f t="shared" si="2"/>
        <v>2</v>
      </c>
      <c r="I20" s="29">
        <f t="shared" si="3"/>
        <v>0</v>
      </c>
    </row>
    <row r="21" spans="1:9" x14ac:dyDescent="0.35">
      <c r="A21" s="10">
        <f>'Student Basic Info'!A21</f>
        <v>520</v>
      </c>
      <c r="B21" s="10" t="str">
        <f>SubjectList!I21</f>
        <v>Finance</v>
      </c>
      <c r="C21" s="10">
        <f>IF(B21="Finance", IF(Finance!B21=0,"", Finance!B21), IF(B21="Production",IF(Production!B21=0,"", Production!B21), IF(Economics!B21=0,"", Economics!B21)))</f>
        <v>6</v>
      </c>
      <c r="D21" s="10">
        <f>IF(B21="Finance", IF(Finance!C21=0,"", Finance!C21), IF(B21="Production",IF(Production!C21=0,"", Production!C21), IF(Economics!C21=0,"", Economics!C21)))</f>
        <v>6</v>
      </c>
      <c r="E21" s="10">
        <f>IF(B21="Finance", IF(Finance!D21=0,"", Finance!D21), IF(B21="Production",IF(Production!D21=0,"", Production!D21), IF(Economics!D21=0,"", Economics!D21)))</f>
        <v>12</v>
      </c>
      <c r="F21" s="10" t="str">
        <f t="shared" si="0"/>
        <v>Fail</v>
      </c>
      <c r="G21" s="10" t="str">
        <f t="shared" si="1"/>
        <v>F</v>
      </c>
      <c r="H21" s="11">
        <f t="shared" si="2"/>
        <v>0</v>
      </c>
      <c r="I21" s="29">
        <f t="shared" si="3"/>
        <v>0</v>
      </c>
    </row>
    <row r="22" spans="1:9" x14ac:dyDescent="0.35">
      <c r="A22" s="10">
        <f>'Student Basic Info'!A22</f>
        <v>521</v>
      </c>
      <c r="B22" s="10" t="str">
        <f>SubjectList!I22</f>
        <v>Production</v>
      </c>
      <c r="C22" s="10" t="str">
        <f>IF(B22="Finance", IF(Finance!B22=0,"", Finance!B22), IF(B22="Production",IF(Production!B22=0,"", Production!B22), IF(Economics!B22=0,"", Economics!B22)))</f>
        <v/>
      </c>
      <c r="D22" s="10" t="str">
        <f>IF(B22="Finance", IF(Finance!C22=0,"", Finance!C22), IF(B22="Production",IF(Production!C22=0,"", Production!C22), IF(Economics!C22=0,"", Economics!C22)))</f>
        <v/>
      </c>
      <c r="E22" s="10" t="str">
        <f>IF(B22="Finance", IF(Finance!D22=0,"", Finance!D22), IF(B22="Production",IF(Production!D22=0,"", Production!D22), IF(Economics!D22=0,"", Economics!D22)))</f>
        <v/>
      </c>
      <c r="F22" s="10" t="str">
        <f t="shared" si="0"/>
        <v/>
      </c>
      <c r="G22" s="10" t="str">
        <f t="shared" si="1"/>
        <v/>
      </c>
      <c r="H22" s="11" t="str">
        <f t="shared" si="2"/>
        <v/>
      </c>
      <c r="I22" s="29" t="str">
        <f t="shared" si="3"/>
        <v/>
      </c>
    </row>
    <row r="23" spans="1:9" x14ac:dyDescent="0.35">
      <c r="A23" s="10">
        <f>'Student Basic Info'!A23</f>
        <v>522</v>
      </c>
      <c r="B23" s="10" t="str">
        <f>SubjectList!I23</f>
        <v>Production</v>
      </c>
      <c r="C23" s="10">
        <f>IF(B23="Finance", IF(Finance!B23=0,"", Finance!B23), IF(B23="Production",IF(Production!B23=0,"", Production!B23), IF(Economics!B23=0,"", Economics!B23)))</f>
        <v>23</v>
      </c>
      <c r="D23" s="10">
        <f>IF(B23="Finance", IF(Finance!C23=0,"", Finance!C23), IF(B23="Production",IF(Production!C23=0,"", Production!C23), IF(Economics!C23=0,"", Economics!C23)))</f>
        <v>57</v>
      </c>
      <c r="E23" s="10">
        <f>IF(B23="Finance", IF(Finance!D23=0,"", Finance!D23), IF(B23="Production",IF(Production!D23=0,"", Production!D23), IF(Economics!D23=0,"", Economics!D23)))</f>
        <v>80</v>
      </c>
      <c r="F23" s="10" t="str">
        <f t="shared" si="0"/>
        <v>Pass</v>
      </c>
      <c r="G23" s="10" t="str">
        <f t="shared" si="1"/>
        <v>A+</v>
      </c>
      <c r="H23" s="11">
        <f t="shared" si="2"/>
        <v>5</v>
      </c>
      <c r="I23" s="29">
        <f t="shared" si="3"/>
        <v>3</v>
      </c>
    </row>
    <row r="24" spans="1:9" x14ac:dyDescent="0.35">
      <c r="A24" s="10">
        <f>'Student Basic Info'!A24</f>
        <v>523</v>
      </c>
      <c r="B24" s="10" t="str">
        <f>SubjectList!I24</f>
        <v>Production</v>
      </c>
      <c r="C24" s="10">
        <f>IF(B24="Finance", IF(Finance!B24=0,"", Finance!B24), IF(B24="Production",IF(Production!B24=0,"", Production!B24), IF(Economics!B24=0,"", Economics!B24)))</f>
        <v>15</v>
      </c>
      <c r="D24" s="10">
        <f>IF(B24="Finance", IF(Finance!C24=0,"", Finance!C24), IF(B24="Production",IF(Production!C24=0,"", Production!C24), IF(Economics!C24=0,"", Economics!C24)))</f>
        <v>31</v>
      </c>
      <c r="E24" s="10">
        <f>IF(B24="Finance", IF(Finance!D24=0,"", Finance!D24), IF(B24="Production",IF(Production!D24=0,"", Production!D24), IF(Economics!D24=0,"", Economics!D24)))</f>
        <v>46</v>
      </c>
      <c r="F24" s="10" t="str">
        <f t="shared" si="0"/>
        <v>Pass</v>
      </c>
      <c r="G24" s="10" t="str">
        <f t="shared" si="1"/>
        <v>C</v>
      </c>
      <c r="H24" s="11">
        <f t="shared" si="2"/>
        <v>2</v>
      </c>
      <c r="I24" s="29">
        <f t="shared" si="3"/>
        <v>0</v>
      </c>
    </row>
    <row r="25" spans="1:9" x14ac:dyDescent="0.35">
      <c r="A25" s="10">
        <f>'Student Basic Info'!A25</f>
        <v>524</v>
      </c>
      <c r="B25" s="10" t="str">
        <f>SubjectList!I25</f>
        <v>Production</v>
      </c>
      <c r="C25" s="10">
        <f>IF(B25="Finance", IF(Finance!B25=0,"", Finance!B25), IF(B25="Production",IF(Production!B25=0,"", Production!B25), IF(Economics!B25=0,"", Economics!B25)))</f>
        <v>17</v>
      </c>
      <c r="D25" s="10">
        <f>IF(B25="Finance", IF(Finance!C25=0,"", Finance!C25), IF(B25="Production",IF(Production!C25=0,"", Production!C25), IF(Economics!C25=0,"", Economics!C25)))</f>
        <v>45</v>
      </c>
      <c r="E25" s="10">
        <f>IF(B25="Finance", IF(Finance!D25=0,"", Finance!D25), IF(B25="Production",IF(Production!D25=0,"", Production!D25), IF(Economics!D25=0,"", Economics!D25)))</f>
        <v>62</v>
      </c>
      <c r="F25" s="10" t="str">
        <f t="shared" si="0"/>
        <v>Pass</v>
      </c>
      <c r="G25" s="10" t="str">
        <f t="shared" si="1"/>
        <v>A-</v>
      </c>
      <c r="H25" s="11">
        <f t="shared" si="2"/>
        <v>3.5</v>
      </c>
      <c r="I25" s="29">
        <f t="shared" si="3"/>
        <v>1.5</v>
      </c>
    </row>
    <row r="26" spans="1:9" x14ac:dyDescent="0.35">
      <c r="A26" s="10">
        <f>'Student Basic Info'!A26</f>
        <v>525</v>
      </c>
      <c r="B26" s="10" t="str">
        <f>SubjectList!I26</f>
        <v>Production</v>
      </c>
      <c r="C26" s="10" t="str">
        <f>IF(B26="Finance", IF(Finance!B26=0,"", Finance!B26), IF(B26="Production",IF(Production!B26=0,"", Production!B26), IF(Economics!B26=0,"", Economics!B26)))</f>
        <v/>
      </c>
      <c r="D26" s="10" t="str">
        <f>IF(B26="Finance", IF(Finance!C26=0,"", Finance!C26), IF(B26="Production",IF(Production!C26=0,"", Production!C26), IF(Economics!C26=0,"", Economics!C26)))</f>
        <v/>
      </c>
      <c r="E26" s="10" t="str">
        <f>IF(B26="Finance", IF(Finance!D26=0,"", Finance!D26), IF(B26="Production",IF(Production!D26=0,"", Production!D26), IF(Economics!D26=0,"", Economics!D26)))</f>
        <v/>
      </c>
      <c r="F26" s="10" t="str">
        <f t="shared" si="0"/>
        <v/>
      </c>
      <c r="G26" s="10" t="str">
        <f t="shared" si="1"/>
        <v/>
      </c>
      <c r="H26" s="11" t="str">
        <f t="shared" si="2"/>
        <v/>
      </c>
      <c r="I26" s="29" t="str">
        <f t="shared" si="3"/>
        <v/>
      </c>
    </row>
    <row r="27" spans="1:9" x14ac:dyDescent="0.35">
      <c r="A27" s="10">
        <f>'Student Basic Info'!A27</f>
        <v>526</v>
      </c>
      <c r="B27" s="10" t="str">
        <f>SubjectList!I27</f>
        <v>Production</v>
      </c>
      <c r="C27" s="10">
        <f>IF(B27="Finance", IF(Finance!B27=0,"", Finance!B27), IF(B27="Production",IF(Production!B27=0,"", Production!B27), IF(Economics!B27=0,"", Economics!B27)))</f>
        <v>14</v>
      </c>
      <c r="D27" s="10">
        <f>IF(B27="Finance", IF(Finance!C27=0,"", Finance!C27), IF(B27="Production",IF(Production!C27=0,"", Production!C27), IF(Economics!C27=0,"", Economics!C27)))</f>
        <v>45</v>
      </c>
      <c r="E27" s="10">
        <f>IF(B27="Finance", IF(Finance!D27=0,"", Finance!D27), IF(B27="Production",IF(Production!D27=0,"", Production!D27), IF(Economics!D27=0,"", Economics!D27)))</f>
        <v>59</v>
      </c>
      <c r="F27" s="10" t="str">
        <f t="shared" si="0"/>
        <v>Pass</v>
      </c>
      <c r="G27" s="10" t="str">
        <f t="shared" si="1"/>
        <v>B</v>
      </c>
      <c r="H27" s="11">
        <f t="shared" si="2"/>
        <v>3</v>
      </c>
      <c r="I27" s="29">
        <f t="shared" si="3"/>
        <v>1</v>
      </c>
    </row>
    <row r="28" spans="1:9" x14ac:dyDescent="0.35">
      <c r="A28" s="10">
        <f>'Student Basic Info'!A28</f>
        <v>527</v>
      </c>
      <c r="B28" s="10" t="str">
        <f>SubjectList!I28</f>
        <v>Finance</v>
      </c>
      <c r="C28" s="10" t="str">
        <f>IF(B28="Finance", IF(Finance!B28=0,"", Finance!B28), IF(B28="Production",IF(Production!B28=0,"", Production!B28), IF(Economics!B28=0,"", Economics!B28)))</f>
        <v/>
      </c>
      <c r="D28" s="10" t="str">
        <f>IF(B28="Finance", IF(Finance!C28=0,"", Finance!C28), IF(B28="Production",IF(Production!C28=0,"", Production!C28), IF(Economics!C28=0,"", Economics!C28)))</f>
        <v/>
      </c>
      <c r="E28" s="10" t="str">
        <f>IF(B28="Finance", IF(Finance!D28=0,"", Finance!D28), IF(B28="Production",IF(Production!D28=0,"", Production!D28), IF(Economics!D28=0,"", Economics!D28)))</f>
        <v/>
      </c>
      <c r="F28" s="10" t="str">
        <f t="shared" si="0"/>
        <v/>
      </c>
      <c r="G28" s="10" t="str">
        <f t="shared" si="1"/>
        <v/>
      </c>
      <c r="H28" s="11" t="str">
        <f t="shared" si="2"/>
        <v/>
      </c>
      <c r="I28" s="29" t="str">
        <f t="shared" si="3"/>
        <v/>
      </c>
    </row>
    <row r="29" spans="1:9" x14ac:dyDescent="0.35">
      <c r="A29" s="10">
        <f>'Student Basic Info'!A29</f>
        <v>528</v>
      </c>
      <c r="B29" s="10" t="str">
        <f>SubjectList!I29</f>
        <v>Economics</v>
      </c>
      <c r="C29" s="10">
        <f>IF(B29="Finance", IF(Finance!B29=0,"", Finance!B29), IF(B29="Production",IF(Production!B29=0,"", Production!B29), IF(Economics!B29=0,"", Economics!B29)))</f>
        <v>20</v>
      </c>
      <c r="D29" s="10">
        <f>IF(B29="Finance", IF(Finance!C29=0,"", Finance!C29), IF(B29="Production",IF(Production!C29=0,"", Production!C29), IF(Economics!C29=0,"", Economics!C29)))</f>
        <v>45</v>
      </c>
      <c r="E29" s="10">
        <f>IF(B29="Finance", IF(Finance!D29=0,"", Finance!D29), IF(B29="Production",IF(Production!D29=0,"", Production!D29), IF(Economics!D29=0,"", Economics!D29)))</f>
        <v>65</v>
      </c>
      <c r="F29" s="10" t="str">
        <f t="shared" si="0"/>
        <v>Pass</v>
      </c>
      <c r="G29" s="10" t="str">
        <f t="shared" si="1"/>
        <v>A-</v>
      </c>
      <c r="H29" s="11">
        <f t="shared" si="2"/>
        <v>3.5</v>
      </c>
      <c r="I29" s="29">
        <f t="shared" si="3"/>
        <v>1.5</v>
      </c>
    </row>
    <row r="30" spans="1:9" x14ac:dyDescent="0.35">
      <c r="A30" s="10">
        <f>'Student Basic Info'!A30</f>
        <v>529</v>
      </c>
      <c r="B30" s="10" t="str">
        <f>SubjectList!I30</f>
        <v>Economics</v>
      </c>
      <c r="C30" s="10">
        <f>IF(B30="Finance", IF(Finance!B30=0,"", Finance!B30), IF(B30="Production",IF(Production!B30=0,"", Production!B30), IF(Economics!B30=0,"", Economics!B30)))</f>
        <v>13</v>
      </c>
      <c r="D30" s="10">
        <f>IF(B30="Finance", IF(Finance!C30=0,"", Finance!C30), IF(B30="Production",IF(Production!C30=0,"", Production!C30), IF(Economics!C30=0,"", Economics!C30)))</f>
        <v>21</v>
      </c>
      <c r="E30" s="10">
        <f>IF(B30="Finance", IF(Finance!D30=0,"", Finance!D30), IF(B30="Production",IF(Production!D30=0,"", Production!D30), IF(Economics!D30=0,"", Economics!D30)))</f>
        <v>34</v>
      </c>
      <c r="F30" s="10" t="str">
        <f t="shared" si="0"/>
        <v>Fail</v>
      </c>
      <c r="G30" s="10" t="str">
        <f t="shared" si="1"/>
        <v>F</v>
      </c>
      <c r="H30" s="11">
        <f t="shared" si="2"/>
        <v>0</v>
      </c>
      <c r="I30" s="29">
        <f t="shared" si="3"/>
        <v>0</v>
      </c>
    </row>
    <row r="31" spans="1:9" x14ac:dyDescent="0.35">
      <c r="A31" s="10">
        <f>'Student Basic Info'!A31</f>
        <v>530</v>
      </c>
      <c r="B31" s="10" t="str">
        <f>SubjectList!I31</f>
        <v>Production</v>
      </c>
      <c r="C31" s="10" t="str">
        <f>IF(B31="Finance", IF(Finance!B31=0,"", Finance!B31), IF(B31="Production",IF(Production!B31=0,"", Production!B31), IF(Economics!B31=0,"", Economics!B31)))</f>
        <v/>
      </c>
      <c r="D31" s="10" t="str">
        <f>IF(B31="Finance", IF(Finance!C31=0,"", Finance!C31), IF(B31="Production",IF(Production!C31=0,"", Production!C31), IF(Economics!C31=0,"", Economics!C31)))</f>
        <v/>
      </c>
      <c r="E31" s="10" t="str">
        <f>IF(B31="Finance", IF(Finance!D31=0,"", Finance!D31), IF(B31="Production",IF(Production!D31=0,"", Production!D31), IF(Economics!D31=0,"", Economics!D31)))</f>
        <v/>
      </c>
      <c r="F31" s="10" t="str">
        <f t="shared" si="0"/>
        <v/>
      </c>
      <c r="G31" s="10" t="str">
        <f t="shared" si="1"/>
        <v/>
      </c>
      <c r="H31" s="11" t="str">
        <f t="shared" si="2"/>
        <v/>
      </c>
      <c r="I31" s="29" t="str">
        <f t="shared" si="3"/>
        <v/>
      </c>
    </row>
    <row r="32" spans="1:9" x14ac:dyDescent="0.35">
      <c r="A32" s="10">
        <f>'Student Basic Info'!A32</f>
        <v>531</v>
      </c>
      <c r="B32" s="10" t="str">
        <f>SubjectList!I32</f>
        <v>Production</v>
      </c>
      <c r="C32" s="10">
        <f>IF(B32="Finance", IF(Finance!B32=0,"", Finance!B32), IF(B32="Production",IF(Production!B32=0,"", Production!B32), IF(Economics!B32=0,"", Economics!B32)))</f>
        <v>13</v>
      </c>
      <c r="D32" s="10">
        <f>IF(B32="Finance", IF(Finance!C32=0,"", Finance!C32), IF(B32="Production",IF(Production!C32=0,"", Production!C32), IF(Economics!C32=0,"", Economics!C32)))</f>
        <v>30</v>
      </c>
      <c r="E32" s="10">
        <f>IF(B32="Finance", IF(Finance!D32=0,"", Finance!D32), IF(B32="Production",IF(Production!D32=0,"", Production!D32), IF(Economics!D32=0,"", Economics!D32)))</f>
        <v>43</v>
      </c>
      <c r="F32" s="10" t="str">
        <f t="shared" si="0"/>
        <v>Pass</v>
      </c>
      <c r="G32" s="10" t="str">
        <f t="shared" si="1"/>
        <v>C</v>
      </c>
      <c r="H32" s="11">
        <f t="shared" si="2"/>
        <v>2</v>
      </c>
      <c r="I32" s="29">
        <f t="shared" si="3"/>
        <v>0</v>
      </c>
    </row>
    <row r="33" spans="1:9" x14ac:dyDescent="0.35">
      <c r="A33" s="10">
        <f>'Student Basic Info'!A33</f>
        <v>532</v>
      </c>
      <c r="B33" s="10" t="str">
        <f>SubjectList!I33</f>
        <v>Production</v>
      </c>
      <c r="C33" s="10" t="str">
        <f>IF(B33="Finance", IF(Finance!B33=0,"", Finance!B33), IF(B33="Production",IF(Production!B33=0,"", Production!B33), IF(Economics!B33=0,"", Economics!B33)))</f>
        <v/>
      </c>
      <c r="D33" s="10" t="str">
        <f>IF(B33="Finance", IF(Finance!C33=0,"", Finance!C33), IF(B33="Production",IF(Production!C33=0,"", Production!C33), IF(Economics!C33=0,"", Economics!C33)))</f>
        <v/>
      </c>
      <c r="E33" s="10" t="str">
        <f>IF(B33="Finance", IF(Finance!D33=0,"", Finance!D33), IF(B33="Production",IF(Production!D33=0,"", Production!D33), IF(Economics!D33=0,"", Economics!D33)))</f>
        <v/>
      </c>
      <c r="F33" s="10" t="str">
        <f t="shared" si="0"/>
        <v/>
      </c>
      <c r="G33" s="10" t="str">
        <f t="shared" si="1"/>
        <v/>
      </c>
      <c r="H33" s="11" t="str">
        <f t="shared" si="2"/>
        <v/>
      </c>
      <c r="I33" s="29" t="str">
        <f t="shared" si="3"/>
        <v/>
      </c>
    </row>
    <row r="34" spans="1:9" x14ac:dyDescent="0.35">
      <c r="A34" s="10">
        <f>'Student Basic Info'!A34</f>
        <v>533</v>
      </c>
      <c r="B34" s="10" t="str">
        <f>SubjectList!I34</f>
        <v>Production</v>
      </c>
      <c r="C34" s="10" t="str">
        <f>IF(B34="Finance", IF(Finance!B34=0,"", Finance!B34), IF(B34="Production",IF(Production!B34=0,"", Production!B34), IF(Economics!B34=0,"", Economics!B34)))</f>
        <v/>
      </c>
      <c r="D34" s="10" t="str">
        <f>IF(B34="Finance", IF(Finance!C34=0,"", Finance!C34), IF(B34="Production",IF(Production!C34=0,"", Production!C34), IF(Economics!C34=0,"", Economics!C34)))</f>
        <v/>
      </c>
      <c r="E34" s="10" t="str">
        <f>IF(B34="Finance", IF(Finance!D34=0,"", Finance!D34), IF(B34="Production",IF(Production!D34=0,"", Production!D34), IF(Economics!D34=0,"", Economics!D34)))</f>
        <v/>
      </c>
      <c r="F34" s="10" t="str">
        <f t="shared" si="0"/>
        <v/>
      </c>
      <c r="G34" s="10" t="str">
        <f t="shared" si="1"/>
        <v/>
      </c>
      <c r="H34" s="11" t="str">
        <f t="shared" si="2"/>
        <v/>
      </c>
      <c r="I34" s="29" t="str">
        <f t="shared" si="3"/>
        <v/>
      </c>
    </row>
    <row r="35" spans="1:9" x14ac:dyDescent="0.35">
      <c r="A35" s="10">
        <f>'Student Basic Info'!A35</f>
        <v>534</v>
      </c>
      <c r="B35" s="10" t="str">
        <f>SubjectList!I35</f>
        <v>Economics</v>
      </c>
      <c r="C35" s="10" t="str">
        <f>IF(B35="Finance", IF(Finance!B35=0,"", Finance!B35), IF(B35="Production",IF(Production!B35=0,"", Production!B35), IF(Economics!B35=0,"", Economics!B35)))</f>
        <v/>
      </c>
      <c r="D35" s="10" t="str">
        <f>IF(B35="Finance", IF(Finance!C35=0,"", Finance!C35), IF(B35="Production",IF(Production!C35=0,"", Production!C35), IF(Economics!C35=0,"", Economics!C35)))</f>
        <v/>
      </c>
      <c r="E35" s="10" t="str">
        <f>IF(B35="Finance", IF(Finance!D35=0,"", Finance!D35), IF(B35="Production",IF(Production!D35=0,"", Production!D35), IF(Economics!D35=0,"", Economics!D35)))</f>
        <v/>
      </c>
      <c r="F35" s="10" t="str">
        <f t="shared" si="0"/>
        <v/>
      </c>
      <c r="G35" s="10" t="str">
        <f t="shared" si="1"/>
        <v/>
      </c>
      <c r="H35" s="11" t="str">
        <f t="shared" si="2"/>
        <v/>
      </c>
      <c r="I35" s="29" t="str">
        <f t="shared" si="3"/>
        <v/>
      </c>
    </row>
    <row r="36" spans="1:9" x14ac:dyDescent="0.35">
      <c r="A36" s="10">
        <f>'Student Basic Info'!A36</f>
        <v>535</v>
      </c>
      <c r="B36" s="10" t="str">
        <f>SubjectList!I36</f>
        <v>Production</v>
      </c>
      <c r="C36" s="10" t="str">
        <f>IF(B36="Finance", IF(Finance!B36=0,"", Finance!B36), IF(B36="Production",IF(Production!B36=0,"", Production!B36), IF(Economics!B36=0,"", Economics!B36)))</f>
        <v/>
      </c>
      <c r="D36" s="10" t="str">
        <f>IF(B36="Finance", IF(Finance!C36=0,"", Finance!C36), IF(B36="Production",IF(Production!C36=0,"", Production!C36), IF(Economics!C36=0,"", Economics!C36)))</f>
        <v/>
      </c>
      <c r="E36" s="10" t="str">
        <f>IF(B36="Finance", IF(Finance!D36=0,"", Finance!D36), IF(B36="Production",IF(Production!D36=0,"", Production!D36), IF(Economics!D36=0,"", Economics!D36)))</f>
        <v/>
      </c>
      <c r="F36" s="10" t="str">
        <f t="shared" si="0"/>
        <v/>
      </c>
      <c r="G36" s="10" t="str">
        <f t="shared" si="1"/>
        <v/>
      </c>
      <c r="H36" s="11" t="str">
        <f t="shared" si="2"/>
        <v/>
      </c>
      <c r="I36" s="29" t="str">
        <f t="shared" si="3"/>
        <v/>
      </c>
    </row>
    <row r="37" spans="1:9" x14ac:dyDescent="0.35">
      <c r="A37" s="10">
        <f>'Student Basic Info'!A37</f>
        <v>536</v>
      </c>
      <c r="B37" s="10" t="str">
        <f>SubjectList!I37</f>
        <v>Production</v>
      </c>
      <c r="C37" s="10">
        <f>IF(B37="Finance", IF(Finance!B37=0,"", Finance!B37), IF(B37="Production",IF(Production!B37=0,"", Production!B37), IF(Economics!B37=0,"", Economics!B37)))</f>
        <v>15</v>
      </c>
      <c r="D37" s="10">
        <f>IF(B37="Finance", IF(Finance!C37=0,"", Finance!C37), IF(B37="Production",IF(Production!C37=0,"", Production!C37), IF(Economics!C37=0,"", Economics!C37)))</f>
        <v>27</v>
      </c>
      <c r="E37" s="10">
        <f>IF(B37="Finance", IF(Finance!D37=0,"", Finance!D37), IF(B37="Production",IF(Production!D37=0,"", Production!D37), IF(Economics!D37=0,"", Economics!D37)))</f>
        <v>42</v>
      </c>
      <c r="F37" s="10" t="str">
        <f t="shared" si="0"/>
        <v>Pass</v>
      </c>
      <c r="G37" s="10" t="str">
        <f t="shared" si="1"/>
        <v>C</v>
      </c>
      <c r="H37" s="11">
        <f t="shared" si="2"/>
        <v>2</v>
      </c>
      <c r="I37" s="29">
        <f t="shared" si="3"/>
        <v>0</v>
      </c>
    </row>
    <row r="38" spans="1:9" x14ac:dyDescent="0.35">
      <c r="A38" s="10">
        <f>'Student Basic Info'!A38</f>
        <v>537</v>
      </c>
      <c r="B38" s="10" t="str">
        <f>SubjectList!I38</f>
        <v>Economics</v>
      </c>
      <c r="C38" s="10">
        <f>IF(B38="Finance", IF(Finance!B38=0,"", Finance!B38), IF(B38="Production",IF(Production!B38=0,"", Production!B38), IF(Economics!B38=0,"", Economics!B38)))</f>
        <v>13</v>
      </c>
      <c r="D38" s="10">
        <f>IF(B38="Finance", IF(Finance!C38=0,"", Finance!C38), IF(B38="Production",IF(Production!C38=0,"", Production!C38), IF(Economics!C38=0,"", Economics!C38)))</f>
        <v>18</v>
      </c>
      <c r="E38" s="10">
        <f>IF(B38="Finance", IF(Finance!D38=0,"", Finance!D38), IF(B38="Production",IF(Production!D38=0,"", Production!D38), IF(Economics!D38=0,"", Economics!D38)))</f>
        <v>31</v>
      </c>
      <c r="F38" s="10" t="str">
        <f t="shared" si="0"/>
        <v>Fail</v>
      </c>
      <c r="G38" s="10" t="str">
        <f t="shared" si="1"/>
        <v>F</v>
      </c>
      <c r="H38" s="11">
        <f t="shared" si="2"/>
        <v>0</v>
      </c>
      <c r="I38" s="29">
        <f t="shared" si="3"/>
        <v>0</v>
      </c>
    </row>
    <row r="39" spans="1:9" x14ac:dyDescent="0.35">
      <c r="A39" s="10">
        <f>'Student Basic Info'!A39</f>
        <v>538</v>
      </c>
      <c r="B39" s="10" t="str">
        <f>SubjectList!I39</f>
        <v>Finance</v>
      </c>
      <c r="C39" s="10">
        <f>IF(B39="Finance", IF(Finance!B39=0,"", Finance!B39), IF(B39="Production",IF(Production!B39=0,"", Production!B39), IF(Economics!B39=0,"", Economics!B39)))</f>
        <v>10</v>
      </c>
      <c r="D39" s="10">
        <f>IF(B39="Finance", IF(Finance!C39=0,"", Finance!C39), IF(B39="Production",IF(Production!C39=0,"", Production!C39), IF(Economics!C39=0,"", Economics!C39)))</f>
        <v>23</v>
      </c>
      <c r="E39" s="10">
        <f>IF(B39="Finance", IF(Finance!D39=0,"", Finance!D39), IF(B39="Production",IF(Production!D39=0,"", Production!D39), IF(Economics!D39=0,"", Economics!D39)))</f>
        <v>33</v>
      </c>
      <c r="F39" s="10" t="str">
        <f t="shared" si="0"/>
        <v>Pass</v>
      </c>
      <c r="G39" s="10" t="str">
        <f t="shared" si="1"/>
        <v>D</v>
      </c>
      <c r="H39" s="11">
        <f t="shared" si="2"/>
        <v>1</v>
      </c>
      <c r="I39" s="29">
        <f t="shared" si="3"/>
        <v>0</v>
      </c>
    </row>
    <row r="40" spans="1:9" x14ac:dyDescent="0.35">
      <c r="A40" s="10">
        <f>'Student Basic Info'!A40</f>
        <v>539</v>
      </c>
      <c r="B40" s="10" t="str">
        <f>SubjectList!I40</f>
        <v>Production</v>
      </c>
      <c r="C40" s="10">
        <f>IF(B40="Finance", IF(Finance!B40=0,"", Finance!B40), IF(B40="Production",IF(Production!B40=0,"", Production!B40), IF(Economics!B40=0,"", Economics!B40)))</f>
        <v>14</v>
      </c>
      <c r="D40" s="10">
        <f>IF(B40="Finance", IF(Finance!C40=0,"", Finance!C40), IF(B40="Production",IF(Production!C40=0,"", Production!C40), IF(Economics!C40=0,"", Economics!C40)))</f>
        <v>4</v>
      </c>
      <c r="E40" s="10">
        <f>IF(B40="Finance", IF(Finance!D40=0,"", Finance!D40), IF(B40="Production",IF(Production!D40=0,"", Production!D40), IF(Economics!D40=0,"", Economics!D40)))</f>
        <v>18</v>
      </c>
      <c r="F40" s="10" t="str">
        <f t="shared" si="0"/>
        <v>Fail</v>
      </c>
      <c r="G40" s="10" t="str">
        <f t="shared" si="1"/>
        <v>F</v>
      </c>
      <c r="H40" s="11">
        <f t="shared" si="2"/>
        <v>0</v>
      </c>
      <c r="I40" s="29">
        <f t="shared" si="3"/>
        <v>0</v>
      </c>
    </row>
    <row r="41" spans="1:9" x14ac:dyDescent="0.35">
      <c r="A41" s="10">
        <f>'Student Basic Info'!A41</f>
        <v>540</v>
      </c>
      <c r="B41" s="10" t="str">
        <f>SubjectList!I41</f>
        <v>Production</v>
      </c>
      <c r="C41" s="10">
        <f>IF(B41="Finance", IF(Finance!B41=0,"", Finance!B41), IF(B41="Production",IF(Production!B41=0,"", Production!B41), IF(Economics!B41=0,"", Economics!B41)))</f>
        <v>13</v>
      </c>
      <c r="D41" s="10">
        <f>IF(B41="Finance", IF(Finance!C41=0,"", Finance!C41), IF(B41="Production",IF(Production!C41=0,"", Production!C41), IF(Economics!C41=0,"", Economics!C41)))</f>
        <v>6</v>
      </c>
      <c r="E41" s="10">
        <f>IF(B41="Finance", IF(Finance!D41=0,"", Finance!D41), IF(B41="Production",IF(Production!D41=0,"", Production!D41), IF(Economics!D41=0,"", Economics!D41)))</f>
        <v>19</v>
      </c>
      <c r="F41" s="10" t="str">
        <f t="shared" si="0"/>
        <v>Fail</v>
      </c>
      <c r="G41" s="10" t="str">
        <f t="shared" si="1"/>
        <v>F</v>
      </c>
      <c r="H41" s="11">
        <f t="shared" si="2"/>
        <v>0</v>
      </c>
      <c r="I41" s="29">
        <f t="shared" si="3"/>
        <v>0</v>
      </c>
    </row>
    <row r="42" spans="1:9" x14ac:dyDescent="0.35">
      <c r="A42" s="10">
        <f>'Student Basic Info'!A42</f>
        <v>541</v>
      </c>
      <c r="B42" s="10" t="str">
        <f>SubjectList!I42</f>
        <v>Production</v>
      </c>
      <c r="C42" s="10" t="str">
        <f>IF(B42="Finance", IF(Finance!B42=0,"", Finance!B42), IF(B42="Production",IF(Production!B42=0,"", Production!B42), IF(Economics!B42=0,"", Economics!B42)))</f>
        <v/>
      </c>
      <c r="D42" s="10" t="str">
        <f>IF(B42="Finance", IF(Finance!C42=0,"", Finance!C42), IF(B42="Production",IF(Production!C42=0,"", Production!C42), IF(Economics!C42=0,"", Economics!C42)))</f>
        <v/>
      </c>
      <c r="E42" s="10" t="str">
        <f>IF(B42="Finance", IF(Finance!D42=0,"", Finance!D42), IF(B42="Production",IF(Production!D42=0,"", Production!D42), IF(Economics!D42=0,"", Economics!D42)))</f>
        <v/>
      </c>
      <c r="F42" s="10" t="str">
        <f t="shared" si="0"/>
        <v/>
      </c>
      <c r="G42" s="10" t="str">
        <f t="shared" si="1"/>
        <v/>
      </c>
      <c r="H42" s="11" t="str">
        <f t="shared" si="2"/>
        <v/>
      </c>
      <c r="I42" s="29" t="str">
        <f t="shared" si="3"/>
        <v/>
      </c>
    </row>
    <row r="43" spans="1:9" x14ac:dyDescent="0.35">
      <c r="A43" s="10">
        <f>'Student Basic Info'!A43</f>
        <v>542</v>
      </c>
      <c r="B43" s="10" t="str">
        <f>SubjectList!I43</f>
        <v>Economics</v>
      </c>
      <c r="C43" s="10">
        <f>IF(B43="Finance", IF(Finance!B43=0,"", Finance!B43), IF(B43="Production",IF(Production!B43=0,"", Production!B43), IF(Economics!B43=0,"", Economics!B43)))</f>
        <v>9</v>
      </c>
      <c r="D43" s="10">
        <f>IF(B43="Finance", IF(Finance!C43=0,"", Finance!C43), IF(B43="Production",IF(Production!C43=0,"", Production!C43), IF(Economics!C43=0,"", Economics!C43)))</f>
        <v>3</v>
      </c>
      <c r="E43" s="10">
        <f>IF(B43="Finance", IF(Finance!D43=0,"", Finance!D43), IF(B43="Production",IF(Production!D43=0,"", Production!D43), IF(Economics!D43=0,"", Economics!D43)))</f>
        <v>12</v>
      </c>
      <c r="F43" s="10" t="str">
        <f t="shared" si="0"/>
        <v>Fail</v>
      </c>
      <c r="G43" s="10" t="str">
        <f t="shared" si="1"/>
        <v>F</v>
      </c>
      <c r="H43" s="11">
        <f t="shared" si="2"/>
        <v>0</v>
      </c>
      <c r="I43" s="29">
        <f t="shared" si="3"/>
        <v>0</v>
      </c>
    </row>
    <row r="44" spans="1:9" x14ac:dyDescent="0.35">
      <c r="A44" s="10">
        <f>'Student Basic Info'!A44</f>
        <v>543</v>
      </c>
      <c r="B44" s="10" t="str">
        <f>SubjectList!I44</f>
        <v>Economics</v>
      </c>
      <c r="C44" s="10">
        <f>IF(B44="Finance", IF(Finance!B44=0,"", Finance!B44), IF(B44="Production",IF(Production!B44=0,"", Production!B44), IF(Economics!B44=0,"", Economics!B44)))</f>
        <v>6</v>
      </c>
      <c r="D44" s="10">
        <f>IF(B44="Finance", IF(Finance!C44=0,"", Finance!C44), IF(B44="Production",IF(Production!C44=0,"", Production!C44), IF(Economics!C44=0,"", Economics!C44)))</f>
        <v>4</v>
      </c>
      <c r="E44" s="10">
        <f>IF(B44="Finance", IF(Finance!D44=0,"", Finance!D44), IF(B44="Production",IF(Production!D44=0,"", Production!D44), IF(Economics!D44=0,"", Economics!D44)))</f>
        <v>10</v>
      </c>
      <c r="F44" s="10" t="str">
        <f t="shared" si="0"/>
        <v>Fail</v>
      </c>
      <c r="G44" s="10" t="str">
        <f t="shared" si="1"/>
        <v>F</v>
      </c>
      <c r="H44" s="11">
        <f t="shared" si="2"/>
        <v>0</v>
      </c>
      <c r="I44" s="29">
        <f t="shared" si="3"/>
        <v>0</v>
      </c>
    </row>
    <row r="45" spans="1:9" x14ac:dyDescent="0.35">
      <c r="A45" s="10">
        <f>'Student Basic Info'!A45</f>
        <v>544</v>
      </c>
      <c r="B45" s="10" t="str">
        <f>SubjectList!I45</f>
        <v>Production</v>
      </c>
      <c r="C45" s="10">
        <f>IF(B45="Finance", IF(Finance!B45=0,"", Finance!B45), IF(B45="Production",IF(Production!B45=0,"", Production!B45), IF(Economics!B45=0,"", Economics!B45)))</f>
        <v>15</v>
      </c>
      <c r="D45" s="10">
        <f>IF(B45="Finance", IF(Finance!C45=0,"", Finance!C45), IF(B45="Production",IF(Production!C45=0,"", Production!C45), IF(Economics!C45=0,"", Economics!C45)))</f>
        <v>25</v>
      </c>
      <c r="E45" s="10">
        <f>IF(B45="Finance", IF(Finance!D45=0,"", Finance!D45), IF(B45="Production",IF(Production!D45=0,"", Production!D45), IF(Economics!D45=0,"", Economics!D45)))</f>
        <v>40</v>
      </c>
      <c r="F45" s="10" t="str">
        <f t="shared" si="0"/>
        <v>Pass</v>
      </c>
      <c r="G45" s="10" t="str">
        <f t="shared" si="1"/>
        <v>C</v>
      </c>
      <c r="H45" s="11">
        <f t="shared" si="2"/>
        <v>2</v>
      </c>
      <c r="I45" s="29">
        <f t="shared" si="3"/>
        <v>0</v>
      </c>
    </row>
    <row r="46" spans="1:9" x14ac:dyDescent="0.35">
      <c r="A46" s="10">
        <f>'Student Basic Info'!A46</f>
        <v>545</v>
      </c>
      <c r="B46" s="10" t="str">
        <f>SubjectList!I46</f>
        <v>Production</v>
      </c>
      <c r="C46" s="10" t="str">
        <f>IF(B46="Finance", IF(Finance!B46=0,"", Finance!B46), IF(B46="Production",IF(Production!B46=0,"", Production!B46), IF(Economics!B46=0,"", Economics!B46)))</f>
        <v/>
      </c>
      <c r="D46" s="10" t="str">
        <f>IF(B46="Finance", IF(Finance!C46=0,"", Finance!C46), IF(B46="Production",IF(Production!C46=0,"", Production!C46), IF(Economics!C46=0,"", Economics!C46)))</f>
        <v/>
      </c>
      <c r="E46" s="10" t="str">
        <f>IF(B46="Finance", IF(Finance!D46=0,"", Finance!D46), IF(B46="Production",IF(Production!D46=0,"", Production!D46), IF(Economics!D46=0,"", Economics!D46)))</f>
        <v/>
      </c>
      <c r="F46" s="10" t="str">
        <f t="shared" si="0"/>
        <v/>
      </c>
      <c r="G46" s="10" t="str">
        <f t="shared" si="1"/>
        <v/>
      </c>
      <c r="H46" s="11" t="str">
        <f t="shared" si="2"/>
        <v/>
      </c>
      <c r="I46" s="29" t="str">
        <f t="shared" si="3"/>
        <v/>
      </c>
    </row>
    <row r="47" spans="1:9" x14ac:dyDescent="0.35">
      <c r="A47" s="10">
        <f>'Student Basic Info'!A47</f>
        <v>546</v>
      </c>
      <c r="B47" s="10" t="str">
        <f>SubjectList!I47</f>
        <v>Production</v>
      </c>
      <c r="C47" s="10">
        <f>IF(B47="Finance", IF(Finance!B47=0,"", Finance!B47), IF(B47="Production",IF(Production!B47=0,"", Production!B47), IF(Economics!B47=0,"", Economics!B47)))</f>
        <v>17</v>
      </c>
      <c r="D47" s="10">
        <f>IF(B47="Finance", IF(Finance!C47=0,"", Finance!C47), IF(B47="Production",IF(Production!C47=0,"", Production!C47), IF(Economics!C47=0,"", Economics!C47)))</f>
        <v>23</v>
      </c>
      <c r="E47" s="10">
        <f>IF(B47="Finance", IF(Finance!D47=0,"", Finance!D47), IF(B47="Production",IF(Production!D47=0,"", Production!D47), IF(Economics!D47=0,"", Economics!D47)))</f>
        <v>40</v>
      </c>
      <c r="F47" s="10" t="str">
        <f t="shared" si="0"/>
        <v>Pass</v>
      </c>
      <c r="G47" s="10" t="str">
        <f t="shared" si="1"/>
        <v>C</v>
      </c>
      <c r="H47" s="11">
        <f t="shared" si="2"/>
        <v>2</v>
      </c>
      <c r="I47" s="29">
        <f t="shared" si="3"/>
        <v>0</v>
      </c>
    </row>
    <row r="48" spans="1:9" x14ac:dyDescent="0.35">
      <c r="A48" s="10">
        <f>'Student Basic Info'!A48</f>
        <v>547</v>
      </c>
      <c r="B48" s="10" t="str">
        <f>SubjectList!I48</f>
        <v>Production</v>
      </c>
      <c r="C48" s="10" t="str">
        <f>IF(B48="Finance", IF(Finance!B48=0,"", Finance!B48), IF(B48="Production",IF(Production!B48=0,"", Production!B48), IF(Economics!B48=0,"", Economics!B48)))</f>
        <v/>
      </c>
      <c r="D48" s="10" t="str">
        <f>IF(B48="Finance", IF(Finance!C48=0,"", Finance!C48), IF(B48="Production",IF(Production!C48=0,"", Production!C48), IF(Economics!C48=0,"", Economics!C48)))</f>
        <v/>
      </c>
      <c r="E48" s="10" t="str">
        <f>IF(B48="Finance", IF(Finance!D48=0,"", Finance!D48), IF(B48="Production",IF(Production!D48=0,"", Production!D48), IF(Economics!D48=0,"", Economics!D48)))</f>
        <v/>
      </c>
      <c r="F48" s="10" t="str">
        <f t="shared" si="0"/>
        <v/>
      </c>
      <c r="G48" s="10" t="str">
        <f t="shared" si="1"/>
        <v/>
      </c>
      <c r="H48" s="11" t="str">
        <f t="shared" si="2"/>
        <v/>
      </c>
      <c r="I48" s="29" t="str">
        <f t="shared" si="3"/>
        <v/>
      </c>
    </row>
    <row r="49" spans="1:9" x14ac:dyDescent="0.35">
      <c r="A49" s="10">
        <f>'Student Basic Info'!A49</f>
        <v>548</v>
      </c>
      <c r="B49" s="10" t="str">
        <f>SubjectList!I49</f>
        <v>Production</v>
      </c>
      <c r="C49" s="10" t="str">
        <f>IF(B49="Finance", IF(Finance!B49=0,"", Finance!B49), IF(B49="Production",IF(Production!B49=0,"", Production!B49), IF(Economics!B49=0,"", Economics!B49)))</f>
        <v/>
      </c>
      <c r="D49" s="10" t="str">
        <f>IF(B49="Finance", IF(Finance!C49=0,"", Finance!C49), IF(B49="Production",IF(Production!C49=0,"", Production!C49), IF(Economics!C49=0,"", Economics!C49)))</f>
        <v/>
      </c>
      <c r="E49" s="10" t="str">
        <f>IF(B49="Finance", IF(Finance!D49=0,"", Finance!D49), IF(B49="Production",IF(Production!D49=0,"", Production!D49), IF(Economics!D49=0,"", Economics!D49)))</f>
        <v/>
      </c>
      <c r="F49" s="10" t="str">
        <f t="shared" si="0"/>
        <v/>
      </c>
      <c r="G49" s="10" t="str">
        <f t="shared" si="1"/>
        <v/>
      </c>
      <c r="H49" s="11" t="str">
        <f t="shared" si="2"/>
        <v/>
      </c>
      <c r="I49" s="29" t="str">
        <f t="shared" si="3"/>
        <v/>
      </c>
    </row>
    <row r="50" spans="1:9" x14ac:dyDescent="0.35">
      <c r="A50" s="10">
        <f>'Student Basic Info'!A50</f>
        <v>549</v>
      </c>
      <c r="B50" s="10" t="str">
        <f>SubjectList!I50</f>
        <v>Production</v>
      </c>
      <c r="C50" s="10">
        <f>IF(B50="Finance", IF(Finance!B50=0,"", Finance!B50), IF(B50="Production",IF(Production!B50=0,"", Production!B50), IF(Economics!B50=0,"", Economics!B50)))</f>
        <v>15</v>
      </c>
      <c r="D50" s="10">
        <f>IF(B50="Finance", IF(Finance!C50=0,"", Finance!C50), IF(B50="Production",IF(Production!C50=0,"", Production!C50), IF(Economics!C50=0,"", Economics!C50)))</f>
        <v>19</v>
      </c>
      <c r="E50" s="10">
        <f>IF(B50="Finance", IF(Finance!D50=0,"", Finance!D50), IF(B50="Production",IF(Production!D50=0,"", Production!D50), IF(Economics!D50=0,"", Economics!D50)))</f>
        <v>34</v>
      </c>
      <c r="F50" s="10" t="str">
        <f t="shared" si="0"/>
        <v>Fail</v>
      </c>
      <c r="G50" s="10" t="str">
        <f t="shared" si="1"/>
        <v>F</v>
      </c>
      <c r="H50" s="11">
        <f t="shared" si="2"/>
        <v>0</v>
      </c>
      <c r="I50" s="29">
        <f t="shared" si="3"/>
        <v>0</v>
      </c>
    </row>
    <row r="51" spans="1:9" x14ac:dyDescent="0.35">
      <c r="A51" s="10">
        <f>'Student Basic Info'!A51</f>
        <v>550</v>
      </c>
      <c r="B51" s="10" t="str">
        <f>SubjectList!I51</f>
        <v>Production</v>
      </c>
      <c r="C51" s="10" t="str">
        <f>IF(B51="Finance", IF(Finance!B51=0,"", Finance!B51), IF(B51="Production",IF(Production!B51=0,"", Production!B51), IF(Economics!B51=0,"", Economics!B51)))</f>
        <v/>
      </c>
      <c r="D51" s="10" t="str">
        <f>IF(B51="Finance", IF(Finance!C51=0,"", Finance!C51), IF(B51="Production",IF(Production!C51=0,"", Production!C51), IF(Economics!C51=0,"", Economics!C51)))</f>
        <v/>
      </c>
      <c r="E51" s="10" t="str">
        <f>IF(B51="Finance", IF(Finance!D51=0,"", Finance!D51), IF(B51="Production",IF(Production!D51=0,"", Production!D51), IF(Economics!D51=0,"", Economics!D51)))</f>
        <v/>
      </c>
      <c r="F51" s="10" t="str">
        <f t="shared" si="0"/>
        <v/>
      </c>
      <c r="G51" s="10" t="str">
        <f t="shared" si="1"/>
        <v/>
      </c>
      <c r="H51" s="11" t="str">
        <f t="shared" si="2"/>
        <v/>
      </c>
      <c r="I51" s="29" t="str">
        <f t="shared" si="3"/>
        <v/>
      </c>
    </row>
    <row r="52" spans="1:9" x14ac:dyDescent="0.35">
      <c r="A52" s="10">
        <f>'Student Basic Info'!A52</f>
        <v>551</v>
      </c>
      <c r="B52" s="10" t="str">
        <f>SubjectList!I52</f>
        <v>Finance</v>
      </c>
      <c r="C52" s="10" t="str">
        <f>IF(B52="Finance", IF(Finance!B52=0,"", Finance!B52), IF(B52="Production",IF(Production!B52=0,"", Production!B52), IF(Economics!B52=0,"", Economics!B52)))</f>
        <v/>
      </c>
      <c r="D52" s="10" t="str">
        <f>IF(B52="Finance", IF(Finance!C52=0,"", Finance!C52), IF(B52="Production",IF(Production!C52=0,"", Production!C52), IF(Economics!C52=0,"", Economics!C52)))</f>
        <v/>
      </c>
      <c r="E52" s="10" t="str">
        <f>IF(B52="Finance", IF(Finance!D52=0,"", Finance!D52), IF(B52="Production",IF(Production!D52=0,"", Production!D52), IF(Economics!D52=0,"", Economics!D52)))</f>
        <v/>
      </c>
      <c r="F52" s="10" t="str">
        <f t="shared" si="0"/>
        <v/>
      </c>
      <c r="G52" s="10" t="str">
        <f t="shared" si="1"/>
        <v/>
      </c>
      <c r="H52" s="11" t="str">
        <f t="shared" si="2"/>
        <v/>
      </c>
      <c r="I52" s="29" t="str">
        <f t="shared" si="3"/>
        <v/>
      </c>
    </row>
    <row r="53" spans="1:9" x14ac:dyDescent="0.35">
      <c r="A53" s="10">
        <f>'Student Basic Info'!A53</f>
        <v>552</v>
      </c>
      <c r="B53" s="10" t="str">
        <f>SubjectList!I53</f>
        <v>Production</v>
      </c>
      <c r="C53" s="10">
        <f>IF(B53="Finance", IF(Finance!B53=0,"", Finance!B53), IF(B53="Production",IF(Production!B53=0,"", Production!B53), IF(Economics!B53=0,"", Economics!B53)))</f>
        <v>14</v>
      </c>
      <c r="D53" s="10">
        <f>IF(B53="Finance", IF(Finance!C53=0,"", Finance!C53), IF(B53="Production",IF(Production!C53=0,"", Production!C53), IF(Economics!C53=0,"", Economics!C53)))</f>
        <v>23</v>
      </c>
      <c r="E53" s="10">
        <f>IF(B53="Finance", IF(Finance!D53=0,"", Finance!D53), IF(B53="Production",IF(Production!D53=0,"", Production!D53), IF(Economics!D53=0,"", Economics!D53)))</f>
        <v>37</v>
      </c>
      <c r="F53" s="10" t="str">
        <f t="shared" si="0"/>
        <v>Pass</v>
      </c>
      <c r="G53" s="10" t="str">
        <f t="shared" si="1"/>
        <v>D</v>
      </c>
      <c r="H53" s="11">
        <f t="shared" si="2"/>
        <v>1</v>
      </c>
      <c r="I53" s="29">
        <f t="shared" si="3"/>
        <v>0</v>
      </c>
    </row>
    <row r="54" spans="1:9" x14ac:dyDescent="0.35">
      <c r="A54" s="10">
        <f>'Student Basic Info'!A54</f>
        <v>553</v>
      </c>
      <c r="B54" s="10" t="str">
        <f>SubjectList!I54</f>
        <v>Production</v>
      </c>
      <c r="C54" s="10" t="str">
        <f>IF(B54="Finance", IF(Finance!B54=0,"", Finance!B54), IF(B54="Production",IF(Production!B54=0,"", Production!B54), IF(Economics!B54=0,"", Economics!B54)))</f>
        <v/>
      </c>
      <c r="D54" s="10" t="str">
        <f>IF(B54="Finance", IF(Finance!C54=0,"", Finance!C54), IF(B54="Production",IF(Production!C54=0,"", Production!C54), IF(Economics!C54=0,"", Economics!C54)))</f>
        <v/>
      </c>
      <c r="E54" s="10" t="str">
        <f>IF(B54="Finance", IF(Finance!D54=0,"", Finance!D54), IF(B54="Production",IF(Production!D54=0,"", Production!D54), IF(Economics!D54=0,"", Economics!D54)))</f>
        <v/>
      </c>
      <c r="F54" s="10" t="str">
        <f t="shared" si="0"/>
        <v/>
      </c>
      <c r="G54" s="10" t="str">
        <f t="shared" si="1"/>
        <v/>
      </c>
      <c r="H54" s="11" t="str">
        <f t="shared" si="2"/>
        <v/>
      </c>
      <c r="I54" s="29" t="str">
        <f t="shared" si="3"/>
        <v/>
      </c>
    </row>
    <row r="55" spans="1:9" x14ac:dyDescent="0.35">
      <c r="A55" s="10">
        <f>'Student Basic Info'!A55</f>
        <v>554</v>
      </c>
      <c r="B55" s="10" t="str">
        <f>SubjectList!I55</f>
        <v>Production</v>
      </c>
      <c r="C55" s="10">
        <f>IF(B55="Finance", IF(Finance!B55=0,"", Finance!B55), IF(B55="Production",IF(Production!B55=0,"", Production!B55), IF(Economics!B55=0,"", Economics!B55)))</f>
        <v>15</v>
      </c>
      <c r="D55" s="10">
        <f>IF(B55="Finance", IF(Finance!C55=0,"", Finance!C55), IF(B55="Production",IF(Production!C55=0,"", Production!C55), IF(Economics!C55=0,"", Economics!C55)))</f>
        <v>2</v>
      </c>
      <c r="E55" s="10">
        <f>IF(B55="Finance", IF(Finance!D55=0,"", Finance!D55), IF(B55="Production",IF(Production!D55=0,"", Production!D55), IF(Economics!D55=0,"", Economics!D55)))</f>
        <v>17</v>
      </c>
      <c r="F55" s="10" t="str">
        <f t="shared" si="0"/>
        <v>Fail</v>
      </c>
      <c r="G55" s="10" t="str">
        <f t="shared" si="1"/>
        <v>F</v>
      </c>
      <c r="H55" s="11">
        <f t="shared" si="2"/>
        <v>0</v>
      </c>
      <c r="I55" s="29">
        <f t="shared" si="3"/>
        <v>0</v>
      </c>
    </row>
    <row r="56" spans="1:9" x14ac:dyDescent="0.35">
      <c r="A56" s="10">
        <f>'Student Basic Info'!A56</f>
        <v>555</v>
      </c>
      <c r="B56" s="10" t="str">
        <f>SubjectList!I56</f>
        <v>Finance</v>
      </c>
      <c r="C56" s="10">
        <f>IF(B56="Finance", IF(Finance!B56=0,"", Finance!B56), IF(B56="Production",IF(Production!B56=0,"", Production!B56), IF(Economics!B56=0,"", Economics!B56)))</f>
        <v>13</v>
      </c>
      <c r="D56" s="10">
        <f>IF(B56="Finance", IF(Finance!C56=0,"", Finance!C56), IF(B56="Production",IF(Production!C56=0,"", Production!C56), IF(Economics!C56=0,"", Economics!C56)))</f>
        <v>23</v>
      </c>
      <c r="E56" s="10">
        <f>IF(B56="Finance", IF(Finance!D56=0,"", Finance!D56), IF(B56="Production",IF(Production!D56=0,"", Production!D56), IF(Economics!D56=0,"", Economics!D56)))</f>
        <v>36</v>
      </c>
      <c r="F56" s="10" t="str">
        <f t="shared" si="0"/>
        <v>Pass</v>
      </c>
      <c r="G56" s="10" t="str">
        <f t="shared" si="1"/>
        <v>D</v>
      </c>
      <c r="H56" s="11">
        <f t="shared" si="2"/>
        <v>1</v>
      </c>
      <c r="I56" s="29">
        <f t="shared" si="3"/>
        <v>0</v>
      </c>
    </row>
    <row r="57" spans="1:9" x14ac:dyDescent="0.35">
      <c r="A57" s="10">
        <f>'Student Basic Info'!A57</f>
        <v>556</v>
      </c>
      <c r="B57" s="10" t="str">
        <f>SubjectList!I57</f>
        <v>Production</v>
      </c>
      <c r="C57" s="10">
        <f>IF(B57="Finance", IF(Finance!B57=0,"", Finance!B57), IF(B57="Production",IF(Production!B57=0,"", Production!B57), IF(Economics!B57=0,"", Economics!B57)))</f>
        <v>12</v>
      </c>
      <c r="D57" s="10">
        <f>IF(B57="Finance", IF(Finance!C57=0,"", Finance!C57), IF(B57="Production",IF(Production!C57=0,"", Production!C57), IF(Economics!C57=0,"", Economics!C57)))</f>
        <v>30</v>
      </c>
      <c r="E57" s="10">
        <f>IF(B57="Finance", IF(Finance!D57=0,"", Finance!D57), IF(B57="Production",IF(Production!D57=0,"", Production!D57), IF(Economics!D57=0,"", Economics!D57)))</f>
        <v>42</v>
      </c>
      <c r="F57" s="10" t="str">
        <f t="shared" si="0"/>
        <v>Pass</v>
      </c>
      <c r="G57" s="10" t="str">
        <f t="shared" si="1"/>
        <v>C</v>
      </c>
      <c r="H57" s="11">
        <f t="shared" si="2"/>
        <v>2</v>
      </c>
      <c r="I57" s="29">
        <f t="shared" si="3"/>
        <v>0</v>
      </c>
    </row>
    <row r="58" spans="1:9" x14ac:dyDescent="0.35">
      <c r="A58" s="10">
        <f>'Student Basic Info'!A58</f>
        <v>557</v>
      </c>
      <c r="B58" s="10" t="str">
        <f>SubjectList!I58</f>
        <v>Production</v>
      </c>
      <c r="C58" s="10">
        <f>IF(B58="Finance", IF(Finance!B58=0,"", Finance!B58), IF(B58="Production",IF(Production!B58=0,"", Production!B58), IF(Economics!B58=0,"", Economics!B58)))</f>
        <v>12</v>
      </c>
      <c r="D58" s="10">
        <f>IF(B58="Finance", IF(Finance!C58=0,"", Finance!C58), IF(B58="Production",IF(Production!C58=0,"", Production!C58), IF(Economics!C58=0,"", Economics!C58)))</f>
        <v>35</v>
      </c>
      <c r="E58" s="10">
        <f>IF(B58="Finance", IF(Finance!D58=0,"", Finance!D58), IF(B58="Production",IF(Production!D58=0,"", Production!D58), IF(Economics!D58=0,"", Economics!D58)))</f>
        <v>47</v>
      </c>
      <c r="F58" s="10" t="str">
        <f t="shared" si="0"/>
        <v>Pass</v>
      </c>
      <c r="G58" s="10" t="str">
        <f t="shared" si="1"/>
        <v>C</v>
      </c>
      <c r="H58" s="11">
        <f t="shared" si="2"/>
        <v>2</v>
      </c>
      <c r="I58" s="29">
        <f t="shared" si="3"/>
        <v>0</v>
      </c>
    </row>
    <row r="59" spans="1:9" x14ac:dyDescent="0.35">
      <c r="A59" s="10">
        <f>'Student Basic Info'!A59</f>
        <v>558</v>
      </c>
      <c r="B59" s="10" t="str">
        <f>SubjectList!I59</f>
        <v>Production</v>
      </c>
      <c r="C59" s="10">
        <f>IF(B59="Finance", IF(Finance!B59=0,"", Finance!B59), IF(B59="Production",IF(Production!B59=0,"", Production!B59), IF(Economics!B59=0,"", Economics!B59)))</f>
        <v>15</v>
      </c>
      <c r="D59" s="10">
        <f>IF(B59="Finance", IF(Finance!C59=0,"", Finance!C59), IF(B59="Production",IF(Production!C59=0,"", Production!C59), IF(Economics!C59=0,"", Economics!C59)))</f>
        <v>44</v>
      </c>
      <c r="E59" s="10">
        <f>IF(B59="Finance", IF(Finance!D59=0,"", Finance!D59), IF(B59="Production",IF(Production!D59=0,"", Production!D59), IF(Economics!D59=0,"", Economics!D59)))</f>
        <v>59</v>
      </c>
      <c r="F59" s="10" t="str">
        <f t="shared" si="0"/>
        <v>Pass</v>
      </c>
      <c r="G59" s="10" t="str">
        <f t="shared" si="1"/>
        <v>B</v>
      </c>
      <c r="H59" s="11">
        <f t="shared" si="2"/>
        <v>3</v>
      </c>
      <c r="I59" s="29">
        <f t="shared" si="3"/>
        <v>1</v>
      </c>
    </row>
    <row r="60" spans="1:9" x14ac:dyDescent="0.35">
      <c r="A60" s="10">
        <f>'Student Basic Info'!A60</f>
        <v>559</v>
      </c>
      <c r="B60" s="10" t="str">
        <f>SubjectList!I60</f>
        <v>Production</v>
      </c>
      <c r="C60" s="10">
        <f>IF(B60="Finance", IF(Finance!B60=0,"", Finance!B60), IF(B60="Production",IF(Production!B60=0,"", Production!B60), IF(Economics!B60=0,"", Economics!B60)))</f>
        <v>16</v>
      </c>
      <c r="D60" s="10">
        <f>IF(B60="Finance", IF(Finance!C60=0,"", Finance!C60), IF(B60="Production",IF(Production!C60=0,"", Production!C60), IF(Economics!C60=0,"", Economics!C60)))</f>
        <v>32</v>
      </c>
      <c r="E60" s="10">
        <f>IF(B60="Finance", IF(Finance!D60=0,"", Finance!D60), IF(B60="Production",IF(Production!D60=0,"", Production!D60), IF(Economics!D60=0,"", Economics!D60)))</f>
        <v>48</v>
      </c>
      <c r="F60" s="10" t="str">
        <f t="shared" si="0"/>
        <v>Pass</v>
      </c>
      <c r="G60" s="10" t="str">
        <f t="shared" si="1"/>
        <v>C</v>
      </c>
      <c r="H60" s="11">
        <f t="shared" si="2"/>
        <v>2</v>
      </c>
      <c r="I60" s="29">
        <f t="shared" si="3"/>
        <v>0</v>
      </c>
    </row>
    <row r="61" spans="1:9" x14ac:dyDescent="0.35">
      <c r="A61" s="10">
        <f>'Student Basic Info'!A61</f>
        <v>560</v>
      </c>
      <c r="B61" s="10" t="str">
        <f>SubjectList!I61</f>
        <v>Production</v>
      </c>
      <c r="C61" s="10">
        <f>IF(B61="Finance", IF(Finance!B61=0,"", Finance!B61), IF(B61="Production",IF(Production!B61=0,"", Production!B61), IF(Economics!B61=0,"", Economics!B61)))</f>
        <v>13</v>
      </c>
      <c r="D61" s="10">
        <f>IF(B61="Finance", IF(Finance!C61=0,"", Finance!C61), IF(B61="Production",IF(Production!C61=0,"", Production!C61), IF(Economics!C61=0,"", Economics!C61)))</f>
        <v>32</v>
      </c>
      <c r="E61" s="10">
        <f>IF(B61="Finance", IF(Finance!D61=0,"", Finance!D61), IF(B61="Production",IF(Production!D61=0,"", Production!D61), IF(Economics!D61=0,"", Economics!D61)))</f>
        <v>45</v>
      </c>
      <c r="F61" s="10" t="str">
        <f t="shared" si="0"/>
        <v>Pass</v>
      </c>
      <c r="G61" s="10" t="str">
        <f t="shared" si="1"/>
        <v>C</v>
      </c>
      <c r="H61" s="11">
        <f t="shared" si="2"/>
        <v>2</v>
      </c>
      <c r="I61" s="29">
        <f t="shared" si="3"/>
        <v>0</v>
      </c>
    </row>
    <row r="62" spans="1:9" x14ac:dyDescent="0.35">
      <c r="A62" s="10">
        <f>'Student Basic Info'!A62</f>
        <v>561</v>
      </c>
      <c r="B62" s="10" t="str">
        <f>SubjectList!I62</f>
        <v>Production</v>
      </c>
      <c r="C62" s="10">
        <f>IF(B62="Finance", IF(Finance!B62=0,"", Finance!B62), IF(B62="Production",IF(Production!B62=0,"", Production!B62), IF(Economics!B62=0,"", Economics!B62)))</f>
        <v>8</v>
      </c>
      <c r="D62" s="10">
        <f>IF(B62="Finance", IF(Finance!C62=0,"", Finance!C62), IF(B62="Production",IF(Production!C62=0,"", Production!C62), IF(Economics!C62=0,"", Economics!C62)))</f>
        <v>7</v>
      </c>
      <c r="E62" s="10">
        <f>IF(B62="Finance", IF(Finance!D62=0,"", Finance!D62), IF(B62="Production",IF(Production!D62=0,"", Production!D62), IF(Economics!D62=0,"", Economics!D62)))</f>
        <v>15</v>
      </c>
      <c r="F62" s="10" t="str">
        <f t="shared" si="0"/>
        <v>Fail</v>
      </c>
      <c r="G62" s="10" t="str">
        <f t="shared" si="1"/>
        <v>F</v>
      </c>
      <c r="H62" s="11">
        <f t="shared" si="2"/>
        <v>0</v>
      </c>
      <c r="I62" s="29">
        <f t="shared" si="3"/>
        <v>0</v>
      </c>
    </row>
    <row r="63" spans="1:9" x14ac:dyDescent="0.35">
      <c r="A63" s="10">
        <f>'Student Basic Info'!A63</f>
        <v>562</v>
      </c>
      <c r="B63" s="10" t="str">
        <f>SubjectList!I63</f>
        <v>Production</v>
      </c>
      <c r="C63" s="10" t="str">
        <f>IF(B63="Finance", IF(Finance!B63=0,"", Finance!B63), IF(B63="Production",IF(Production!B63=0,"", Production!B63), IF(Economics!B63=0,"", Economics!B63)))</f>
        <v/>
      </c>
      <c r="D63" s="10" t="str">
        <f>IF(B63="Finance", IF(Finance!C63=0,"", Finance!C63), IF(B63="Production",IF(Production!C63=0,"", Production!C63), IF(Economics!C63=0,"", Economics!C63)))</f>
        <v/>
      </c>
      <c r="E63" s="10" t="str">
        <f>IF(B63="Finance", IF(Finance!D63=0,"", Finance!D63), IF(B63="Production",IF(Production!D63=0,"", Production!D63), IF(Economics!D63=0,"", Economics!D63)))</f>
        <v/>
      </c>
      <c r="F63" s="10" t="str">
        <f t="shared" si="0"/>
        <v/>
      </c>
      <c r="G63" s="10" t="str">
        <f t="shared" si="1"/>
        <v/>
      </c>
      <c r="H63" s="11" t="str">
        <f t="shared" si="2"/>
        <v/>
      </c>
      <c r="I63" s="29" t="str">
        <f t="shared" si="3"/>
        <v/>
      </c>
    </row>
    <row r="64" spans="1:9" x14ac:dyDescent="0.35">
      <c r="A64" s="10">
        <f>'Student Basic Info'!A64</f>
        <v>563</v>
      </c>
      <c r="B64" s="10" t="str">
        <f>SubjectList!I64</f>
        <v>Economics</v>
      </c>
      <c r="C64" s="10" t="str">
        <f>IF(B64="Finance", IF(Finance!B64=0,"", Finance!B64), IF(B64="Production",IF(Production!B64=0,"", Production!B64), IF(Economics!B64=0,"", Economics!B64)))</f>
        <v/>
      </c>
      <c r="D64" s="10" t="str">
        <f>IF(B64="Finance", IF(Finance!C64=0,"", Finance!C64), IF(B64="Production",IF(Production!C64=0,"", Production!C64), IF(Economics!C64=0,"", Economics!C64)))</f>
        <v/>
      </c>
      <c r="E64" s="10" t="str">
        <f>IF(B64="Finance", IF(Finance!D64=0,"", Finance!D64), IF(B64="Production",IF(Production!D64=0,"", Production!D64), IF(Economics!D64=0,"", Economics!D64)))</f>
        <v/>
      </c>
      <c r="F64" s="10" t="str">
        <f t="shared" si="0"/>
        <v/>
      </c>
      <c r="G64" s="10" t="str">
        <f t="shared" si="1"/>
        <v/>
      </c>
      <c r="H64" s="11" t="str">
        <f t="shared" si="2"/>
        <v/>
      </c>
      <c r="I64" s="29" t="str">
        <f t="shared" si="3"/>
        <v/>
      </c>
    </row>
    <row r="65" spans="1:9" x14ac:dyDescent="0.35">
      <c r="A65" s="10">
        <f>'Student Basic Info'!A65</f>
        <v>564</v>
      </c>
      <c r="B65" s="10" t="str">
        <f>SubjectList!I65</f>
        <v>Production</v>
      </c>
      <c r="C65" s="10" t="str">
        <f>IF(B65="Finance", IF(Finance!B65=0,"", Finance!B65), IF(B65="Production",IF(Production!B65=0,"", Production!B65), IF(Economics!B65=0,"", Economics!B65)))</f>
        <v/>
      </c>
      <c r="D65" s="10" t="str">
        <f>IF(B65="Finance", IF(Finance!C65=0,"", Finance!C65), IF(B65="Production",IF(Production!C65=0,"", Production!C65), IF(Economics!C65=0,"", Economics!C65)))</f>
        <v/>
      </c>
      <c r="E65" s="10" t="str">
        <f>IF(B65="Finance", IF(Finance!D65=0,"", Finance!D65), IF(B65="Production",IF(Production!D65=0,"", Production!D65), IF(Economics!D65=0,"", Economics!D65)))</f>
        <v/>
      </c>
      <c r="F65" s="10" t="str">
        <f t="shared" si="0"/>
        <v/>
      </c>
      <c r="G65" s="10" t="str">
        <f t="shared" si="1"/>
        <v/>
      </c>
      <c r="H65" s="11" t="str">
        <f t="shared" si="2"/>
        <v/>
      </c>
      <c r="I65" s="29" t="str">
        <f t="shared" si="3"/>
        <v/>
      </c>
    </row>
    <row r="66" spans="1:9" x14ac:dyDescent="0.35">
      <c r="A66" s="10">
        <f>'Student Basic Info'!A66</f>
        <v>565</v>
      </c>
      <c r="B66" s="10" t="str">
        <f>SubjectList!I66</f>
        <v>Finance</v>
      </c>
      <c r="C66" s="10" t="str">
        <f>IF(B66="Finance", IF(Finance!B66=0,"", Finance!B66), IF(B66="Production",IF(Production!B66=0,"", Production!B66), IF(Economics!B66=0,"", Economics!B66)))</f>
        <v/>
      </c>
      <c r="D66" s="10" t="str">
        <f>IF(B66="Finance", IF(Finance!C66=0,"", Finance!C66), IF(B66="Production",IF(Production!C66=0,"", Production!C66), IF(Economics!C66=0,"", Economics!C66)))</f>
        <v/>
      </c>
      <c r="E66" s="10" t="str">
        <f>IF(B66="Finance", IF(Finance!D66=0,"", Finance!D66), IF(B66="Production",IF(Production!D66=0,"", Production!D66), IF(Economics!D66=0,"", Economics!D66)))</f>
        <v/>
      </c>
      <c r="F66" s="10" t="str">
        <f t="shared" si="0"/>
        <v/>
      </c>
      <c r="G66" s="10" t="str">
        <f t="shared" si="1"/>
        <v/>
      </c>
      <c r="H66" s="11" t="str">
        <f t="shared" si="2"/>
        <v/>
      </c>
      <c r="I66" s="29" t="str">
        <f t="shared" si="3"/>
        <v/>
      </c>
    </row>
    <row r="67" spans="1:9" x14ac:dyDescent="0.35">
      <c r="A67" s="10">
        <f>'Student Basic Info'!A67</f>
        <v>566</v>
      </c>
      <c r="B67" s="10" t="str">
        <f>SubjectList!I67</f>
        <v>Production</v>
      </c>
      <c r="C67" s="10" t="str">
        <f>IF(B67="Finance", IF(Finance!B67=0,"", Finance!B67), IF(B67="Production",IF(Production!B67=0,"", Production!B67), IF(Economics!B67=0,"", Economics!B67)))</f>
        <v/>
      </c>
      <c r="D67" s="10" t="str">
        <f>IF(B67="Finance", IF(Finance!C67=0,"", Finance!C67), IF(B67="Production",IF(Production!C67=0,"", Production!C67), IF(Economics!C67=0,"", Economics!C67)))</f>
        <v/>
      </c>
      <c r="E67" s="10" t="str">
        <f>IF(B67="Finance", IF(Finance!D67=0,"", Finance!D67), IF(B67="Production",IF(Production!D67=0,"", Production!D67), IF(Economics!D67=0,"", Economics!D67)))</f>
        <v/>
      </c>
      <c r="F67" s="10" t="str">
        <f t="shared" ref="F67:F131" si="4">IF(E67="","", IF(AND(C67 &gt;=10,D67&gt;=23),"Pass","Fail"))</f>
        <v/>
      </c>
      <c r="G67" s="10" t="str">
        <f t="shared" ref="G67:G130" si="5">(IF(E67="","",IF(F67="Fail","F",IF(E67&gt;=80,"A+",IF(E67&gt;=70,"A",IF(E67&gt;=60,"A-",IF(E67&gt;=50,"B",IF(E67&gt;=40,"C",IF(E67&gt;=33,"D","F")))))))))</f>
        <v/>
      </c>
      <c r="H67" s="11" t="str">
        <f t="shared" ref="H67:H130" si="6">(IF(E67="","",IF(G67="F",0,IF(E67&gt;=80,5,IF(E67&gt;=70,4,IF(E67&gt;=60,3.5,IF(E67&gt;=50,3,IF(E67&gt;=40,2,IF(E67&gt;=33,1,0)))))))))</f>
        <v/>
      </c>
      <c r="I67" s="29" t="str">
        <f t="shared" ref="I67:I130" si="7">(IF(E67="","",IF(H67&gt;2,H67-2,0)))</f>
        <v/>
      </c>
    </row>
    <row r="68" spans="1:9" x14ac:dyDescent="0.35">
      <c r="A68" s="10">
        <f>'Student Basic Info'!A68</f>
        <v>567</v>
      </c>
      <c r="B68" s="10" t="str">
        <f>SubjectList!I68</f>
        <v>Production</v>
      </c>
      <c r="C68" s="10">
        <f>IF(B68="Finance", IF(Finance!B68=0,"", Finance!B68), IF(B68="Production",IF(Production!B68=0,"", Production!B68), IF(Economics!B68=0,"", Economics!B68)))</f>
        <v>13</v>
      </c>
      <c r="D68" s="10">
        <f>IF(B68="Finance", IF(Finance!C68=0,"", Finance!C68), IF(B68="Production",IF(Production!C68=0,"", Production!C68), IF(Economics!C68=0,"", Economics!C68)))</f>
        <v>17</v>
      </c>
      <c r="E68" s="10">
        <f>IF(B68="Finance", IF(Finance!D68=0,"", Finance!D68), IF(B68="Production",IF(Production!D68=0,"", Production!D68), IF(Economics!D68=0,"", Economics!D68)))</f>
        <v>30</v>
      </c>
      <c r="F68" s="10" t="str">
        <f t="shared" si="4"/>
        <v>Fail</v>
      </c>
      <c r="G68" s="10" t="str">
        <f t="shared" si="5"/>
        <v>F</v>
      </c>
      <c r="H68" s="11">
        <f t="shared" si="6"/>
        <v>0</v>
      </c>
      <c r="I68" s="29">
        <f t="shared" si="7"/>
        <v>0</v>
      </c>
    </row>
    <row r="69" spans="1:9" x14ac:dyDescent="0.35">
      <c r="A69" s="10">
        <f>'Student Basic Info'!A69</f>
        <v>568</v>
      </c>
      <c r="B69" s="10" t="str">
        <f>SubjectList!I69</f>
        <v>Finance</v>
      </c>
      <c r="C69" s="10">
        <f>IF(B69="Finance", IF(Finance!B69=0,"", Finance!B69), IF(B69="Production",IF(Production!B69=0,"", Production!B69), IF(Economics!B69=0,"", Economics!B69)))</f>
        <v>11</v>
      </c>
      <c r="D69" s="10">
        <f>IF(B69="Finance", IF(Finance!C69=0,"", Finance!C69), IF(B69="Production",IF(Production!C69=0,"", Production!C69), IF(Economics!C69=0,"", Economics!C69)))</f>
        <v>3</v>
      </c>
      <c r="E69" s="10">
        <f>IF(B69="Finance", IF(Finance!D69=0,"", Finance!D69), IF(B69="Production",IF(Production!D69=0,"", Production!D69), IF(Economics!D69=0,"", Economics!D69)))</f>
        <v>14</v>
      </c>
      <c r="F69" s="10" t="str">
        <f t="shared" si="4"/>
        <v>Fail</v>
      </c>
      <c r="G69" s="10" t="str">
        <f t="shared" si="5"/>
        <v>F</v>
      </c>
      <c r="H69" s="11">
        <f t="shared" si="6"/>
        <v>0</v>
      </c>
      <c r="I69" s="29">
        <f t="shared" si="7"/>
        <v>0</v>
      </c>
    </row>
    <row r="70" spans="1:9" x14ac:dyDescent="0.35">
      <c r="A70" s="10">
        <f>'Student Basic Info'!A70</f>
        <v>569</v>
      </c>
      <c r="B70" s="10" t="str">
        <f>SubjectList!I70</f>
        <v>Economics</v>
      </c>
      <c r="C70" s="10" t="str">
        <f>IF(B70="Finance", IF(Finance!B70=0,"", Finance!B70), IF(B70="Production",IF(Production!B70=0,"", Production!B70), IF(Economics!B70=0,"", Economics!B70)))</f>
        <v/>
      </c>
      <c r="D70" s="10" t="str">
        <f>IF(B70="Finance", IF(Finance!C70=0,"", Finance!C70), IF(B70="Production",IF(Production!C70=0,"", Production!C70), IF(Economics!C70=0,"", Economics!C70)))</f>
        <v/>
      </c>
      <c r="E70" s="10" t="str">
        <f>IF(B70="Finance", IF(Finance!D70=0,"", Finance!D70), IF(B70="Production",IF(Production!D70=0,"", Production!D70), IF(Economics!D70=0,"", Economics!D70)))</f>
        <v/>
      </c>
      <c r="F70" s="10" t="str">
        <f t="shared" si="4"/>
        <v/>
      </c>
      <c r="G70" s="10" t="str">
        <f t="shared" si="5"/>
        <v/>
      </c>
      <c r="H70" s="11" t="str">
        <f t="shared" si="6"/>
        <v/>
      </c>
      <c r="I70" s="29" t="str">
        <f t="shared" si="7"/>
        <v/>
      </c>
    </row>
    <row r="71" spans="1:9" x14ac:dyDescent="0.35">
      <c r="A71" s="10">
        <f>'Student Basic Info'!A71</f>
        <v>570</v>
      </c>
      <c r="B71" s="10" t="str">
        <f>SubjectList!I71</f>
        <v>Economics</v>
      </c>
      <c r="C71" s="10" t="str">
        <f>IF(B71="Finance", IF(Finance!B71=0,"", Finance!B71), IF(B71="Production",IF(Production!B71=0,"", Production!B71), IF(Economics!B71=0,"", Economics!B71)))</f>
        <v/>
      </c>
      <c r="D71" s="10" t="str">
        <f>IF(B71="Finance", IF(Finance!C71=0,"", Finance!C71), IF(B71="Production",IF(Production!C71=0,"", Production!C71), IF(Economics!C71=0,"", Economics!C71)))</f>
        <v/>
      </c>
      <c r="E71" s="10" t="str">
        <f>IF(B71="Finance", IF(Finance!D71=0,"", Finance!D71), IF(B71="Production",IF(Production!D71=0,"", Production!D71), IF(Economics!D71=0,"", Economics!D71)))</f>
        <v/>
      </c>
      <c r="F71" s="10" t="str">
        <f t="shared" si="4"/>
        <v/>
      </c>
      <c r="G71" s="10" t="str">
        <f t="shared" si="5"/>
        <v/>
      </c>
      <c r="H71" s="11" t="str">
        <f t="shared" si="6"/>
        <v/>
      </c>
      <c r="I71" s="29" t="str">
        <f t="shared" si="7"/>
        <v/>
      </c>
    </row>
    <row r="72" spans="1:9" x14ac:dyDescent="0.35">
      <c r="A72" s="10">
        <f>'Student Basic Info'!A72</f>
        <v>571</v>
      </c>
      <c r="B72" s="10" t="str">
        <f>SubjectList!I72</f>
        <v>Economics</v>
      </c>
      <c r="C72" s="10" t="str">
        <f>IF(B72="Finance", IF(Finance!B72=0,"", Finance!B72), IF(B72="Production",IF(Production!B72=0,"", Production!B72), IF(Economics!B72=0,"", Economics!B72)))</f>
        <v/>
      </c>
      <c r="D72" s="10" t="str">
        <f>IF(B72="Finance", IF(Finance!C72=0,"", Finance!C72), IF(B72="Production",IF(Production!C72=0,"", Production!C72), IF(Economics!C72=0,"", Economics!C72)))</f>
        <v/>
      </c>
      <c r="E72" s="10" t="str">
        <f>IF(B72="Finance", IF(Finance!D72=0,"", Finance!D72), IF(B72="Production",IF(Production!D72=0,"", Production!D72), IF(Economics!D72=0,"", Economics!D72)))</f>
        <v/>
      </c>
      <c r="F72" s="10" t="str">
        <f t="shared" si="4"/>
        <v/>
      </c>
      <c r="G72" s="10" t="str">
        <f t="shared" si="5"/>
        <v/>
      </c>
      <c r="H72" s="11" t="str">
        <f t="shared" si="6"/>
        <v/>
      </c>
      <c r="I72" s="29" t="str">
        <f t="shared" si="7"/>
        <v/>
      </c>
    </row>
    <row r="73" spans="1:9" x14ac:dyDescent="0.35">
      <c r="A73" s="10">
        <f>'Student Basic Info'!A73</f>
        <v>572</v>
      </c>
      <c r="B73" s="10" t="str">
        <f>SubjectList!I73</f>
        <v>Production</v>
      </c>
      <c r="C73" s="10">
        <f>IF(B73="Finance", IF(Finance!B73=0,"", Finance!B73), IF(B73="Production",IF(Production!B73=0,"", Production!B73), IF(Economics!B73=0,"", Economics!B73)))</f>
        <v>7</v>
      </c>
      <c r="D73" s="10">
        <f>IF(B73="Finance", IF(Finance!C73=0,"", Finance!C73), IF(B73="Production",IF(Production!C73=0,"", Production!C73), IF(Economics!C73=0,"", Economics!C73)))</f>
        <v>2</v>
      </c>
      <c r="E73" s="10">
        <f>IF(B73="Finance", IF(Finance!D73=0,"", Finance!D73), IF(B73="Production",IF(Production!D73=0,"", Production!D73), IF(Economics!D73=0,"", Economics!D73)))</f>
        <v>9</v>
      </c>
      <c r="F73" s="10" t="str">
        <f t="shared" si="4"/>
        <v>Fail</v>
      </c>
      <c r="G73" s="10" t="str">
        <f t="shared" si="5"/>
        <v>F</v>
      </c>
      <c r="H73" s="11">
        <f t="shared" si="6"/>
        <v>0</v>
      </c>
      <c r="I73" s="29">
        <f t="shared" si="7"/>
        <v>0</v>
      </c>
    </row>
    <row r="74" spans="1:9" x14ac:dyDescent="0.35">
      <c r="A74" s="10">
        <f>'Student Basic Info'!A74</f>
        <v>573</v>
      </c>
      <c r="B74" s="10" t="str">
        <f>SubjectList!I74</f>
        <v>Finance</v>
      </c>
      <c r="C74" s="10">
        <f>IF(B74="Finance", IF(Finance!B74=0,"", Finance!B74), IF(B74="Production",IF(Production!B74=0,"", Production!B74), IF(Economics!B74=0,"", Economics!B74)))</f>
        <v>7</v>
      </c>
      <c r="D74" s="10">
        <f>IF(B74="Finance", IF(Finance!C74=0,"", Finance!C74), IF(B74="Production",IF(Production!C74=0,"", Production!C74), IF(Economics!C74=0,"", Economics!C74)))</f>
        <v>4</v>
      </c>
      <c r="E74" s="10">
        <f>IF(B74="Finance", IF(Finance!D74=0,"", Finance!D74), IF(B74="Production",IF(Production!D74=0,"", Production!D74), IF(Economics!D74=0,"", Economics!D74)))</f>
        <v>11</v>
      </c>
      <c r="F74" s="10" t="str">
        <f t="shared" si="4"/>
        <v>Fail</v>
      </c>
      <c r="G74" s="10" t="str">
        <f t="shared" si="5"/>
        <v>F</v>
      </c>
      <c r="H74" s="11">
        <f t="shared" si="6"/>
        <v>0</v>
      </c>
      <c r="I74" s="29">
        <f t="shared" si="7"/>
        <v>0</v>
      </c>
    </row>
    <row r="75" spans="1:9" x14ac:dyDescent="0.35">
      <c r="A75" s="10">
        <f>'Student Basic Info'!A75</f>
        <v>574</v>
      </c>
      <c r="B75" s="10" t="str">
        <f>SubjectList!I75</f>
        <v>Economics</v>
      </c>
      <c r="C75" s="10" t="str">
        <f>IF(B75="Finance", IF(Finance!B75=0,"", Finance!B75), IF(B75="Production",IF(Production!B75=0,"", Production!B75), IF(Economics!B75=0,"", Economics!B75)))</f>
        <v/>
      </c>
      <c r="D75" s="10" t="str">
        <f>IF(B75="Finance", IF(Finance!C75=0,"", Finance!C75), IF(B75="Production",IF(Production!C75=0,"", Production!C75), IF(Economics!C75=0,"", Economics!C75)))</f>
        <v/>
      </c>
      <c r="E75" s="10" t="str">
        <f>IF(B75="Finance", IF(Finance!D75=0,"", Finance!D75), IF(B75="Production",IF(Production!D75=0,"", Production!D75), IF(Economics!D75=0,"", Economics!D75)))</f>
        <v/>
      </c>
      <c r="F75" s="10" t="str">
        <f t="shared" si="4"/>
        <v/>
      </c>
      <c r="G75" s="10" t="str">
        <f t="shared" si="5"/>
        <v/>
      </c>
      <c r="H75" s="11" t="str">
        <f t="shared" si="6"/>
        <v/>
      </c>
      <c r="I75" s="29" t="str">
        <f t="shared" si="7"/>
        <v/>
      </c>
    </row>
    <row r="76" spans="1:9" x14ac:dyDescent="0.35">
      <c r="A76" s="10">
        <f>'Student Basic Info'!A76</f>
        <v>575</v>
      </c>
      <c r="B76" s="10" t="str">
        <f>SubjectList!I76</f>
        <v>Economics</v>
      </c>
      <c r="C76" s="10" t="str">
        <f>IF(B76="Finance", IF(Finance!B76=0,"", Finance!B76), IF(B76="Production",IF(Production!B76=0,"", Production!B76), IF(Economics!B76=0,"", Economics!B76)))</f>
        <v/>
      </c>
      <c r="D76" s="10" t="str">
        <f>IF(B76="Finance", IF(Finance!C76=0,"", Finance!C76), IF(B76="Production",IF(Production!C76=0,"", Production!C76), IF(Economics!C76=0,"", Economics!C76)))</f>
        <v/>
      </c>
      <c r="E76" s="10" t="str">
        <f>IF(B76="Finance", IF(Finance!D76=0,"", Finance!D76), IF(B76="Production",IF(Production!D76=0,"", Production!D76), IF(Economics!D76=0,"", Economics!D76)))</f>
        <v/>
      </c>
      <c r="F76" s="10" t="str">
        <f t="shared" si="4"/>
        <v/>
      </c>
      <c r="G76" s="10" t="str">
        <f t="shared" si="5"/>
        <v/>
      </c>
      <c r="H76" s="11" t="str">
        <f t="shared" si="6"/>
        <v/>
      </c>
      <c r="I76" s="29" t="str">
        <f t="shared" si="7"/>
        <v/>
      </c>
    </row>
    <row r="77" spans="1:9" x14ac:dyDescent="0.35">
      <c r="A77" s="10">
        <f>'Student Basic Info'!A77</f>
        <v>576</v>
      </c>
      <c r="B77" s="10" t="str">
        <f>SubjectList!I77</f>
        <v>Production</v>
      </c>
      <c r="C77" s="10" t="str">
        <f>IF(B77="Finance", IF(Finance!B77=0,"", Finance!B77), IF(B77="Production",IF(Production!B77=0,"", Production!B77), IF(Economics!B77=0,"", Economics!B77)))</f>
        <v/>
      </c>
      <c r="D77" s="10" t="str">
        <f>IF(B77="Finance", IF(Finance!C77=0,"", Finance!C77), IF(B77="Production",IF(Production!C77=0,"", Production!C77), IF(Economics!C77=0,"", Economics!C77)))</f>
        <v/>
      </c>
      <c r="E77" s="10" t="str">
        <f>IF(B77="Finance", IF(Finance!D77=0,"", Finance!D77), IF(B77="Production",IF(Production!D77=0,"", Production!D77), IF(Economics!D77=0,"", Economics!D77)))</f>
        <v/>
      </c>
      <c r="F77" s="10" t="str">
        <f t="shared" si="4"/>
        <v/>
      </c>
      <c r="G77" s="10" t="str">
        <f t="shared" si="5"/>
        <v/>
      </c>
      <c r="H77" s="11" t="str">
        <f t="shared" si="6"/>
        <v/>
      </c>
      <c r="I77" s="29" t="str">
        <f t="shared" si="7"/>
        <v/>
      </c>
    </row>
    <row r="78" spans="1:9" x14ac:dyDescent="0.35">
      <c r="A78" s="10">
        <f>'Student Basic Info'!A78</f>
        <v>577</v>
      </c>
      <c r="B78" s="10" t="str">
        <f>SubjectList!I78</f>
        <v>Production</v>
      </c>
      <c r="C78" s="10">
        <f>IF(B78="Finance", IF(Finance!B78=0,"", Finance!B78), IF(B78="Production",IF(Production!B78=0,"", Production!B78), IF(Economics!B78=0,"", Economics!B78)))</f>
        <v>10</v>
      </c>
      <c r="D78" s="10">
        <f>IF(B78="Finance", IF(Finance!C78=0,"", Finance!C78), IF(B78="Production",IF(Production!C78=0,"", Production!C78), IF(Economics!C78=0,"", Economics!C78)))</f>
        <v>23</v>
      </c>
      <c r="E78" s="10">
        <f>IF(B78="Finance", IF(Finance!D78=0,"", Finance!D78), IF(B78="Production",IF(Production!D78=0,"", Production!D78), IF(Economics!D78=0,"", Economics!D78)))</f>
        <v>33</v>
      </c>
      <c r="F78" s="10" t="str">
        <f t="shared" si="4"/>
        <v>Pass</v>
      </c>
      <c r="G78" s="10" t="str">
        <f t="shared" si="5"/>
        <v>D</v>
      </c>
      <c r="H78" s="11">
        <f t="shared" si="6"/>
        <v>1</v>
      </c>
      <c r="I78" s="29">
        <f t="shared" si="7"/>
        <v>0</v>
      </c>
    </row>
    <row r="79" spans="1:9" x14ac:dyDescent="0.35">
      <c r="A79" s="10">
        <f>'Student Basic Info'!A79</f>
        <v>578</v>
      </c>
      <c r="B79" s="10" t="str">
        <f>SubjectList!I79</f>
        <v>Production</v>
      </c>
      <c r="C79" s="10" t="str">
        <f>IF(B79="Finance", IF(Finance!B79=0,"", Finance!B79), IF(B79="Production",IF(Production!B79=0,"", Production!B79), IF(Economics!B79=0,"", Economics!B79)))</f>
        <v/>
      </c>
      <c r="D79" s="10" t="str">
        <f>IF(B79="Finance", IF(Finance!C79=0,"", Finance!C79), IF(B79="Production",IF(Production!C79=0,"", Production!C79), IF(Economics!C79=0,"", Economics!C79)))</f>
        <v/>
      </c>
      <c r="E79" s="10" t="str">
        <f>IF(B79="Finance", IF(Finance!D79=0,"", Finance!D79), IF(B79="Production",IF(Production!D79=0,"", Production!D79), IF(Economics!D79=0,"", Economics!D79)))</f>
        <v/>
      </c>
      <c r="F79" s="10" t="str">
        <f t="shared" si="4"/>
        <v/>
      </c>
      <c r="G79" s="10" t="str">
        <f t="shared" si="5"/>
        <v/>
      </c>
      <c r="H79" s="11" t="str">
        <f t="shared" si="6"/>
        <v/>
      </c>
      <c r="I79" s="29" t="str">
        <f t="shared" si="7"/>
        <v/>
      </c>
    </row>
    <row r="80" spans="1:9" x14ac:dyDescent="0.35">
      <c r="A80" s="10">
        <f>'Student Basic Info'!A80</f>
        <v>579</v>
      </c>
      <c r="B80" s="10" t="str">
        <f>SubjectList!I80</f>
        <v>Finance</v>
      </c>
      <c r="C80" s="10" t="str">
        <f>IF(B80="Finance", IF(Finance!B80=0,"", Finance!B80), IF(B80="Production",IF(Production!B80=0,"", Production!B80), IF(Economics!B80=0,"", Economics!B80)))</f>
        <v/>
      </c>
      <c r="D80" s="10" t="str">
        <f>IF(B80="Finance", IF(Finance!C80=0,"", Finance!C80), IF(B80="Production",IF(Production!C80=0,"", Production!C80), IF(Economics!C80=0,"", Economics!C80)))</f>
        <v/>
      </c>
      <c r="E80" s="10" t="str">
        <f>IF(B80="Finance", IF(Finance!D80=0,"", Finance!D80), IF(B80="Production",IF(Production!D80=0,"", Production!D80), IF(Economics!D80=0,"", Economics!D80)))</f>
        <v/>
      </c>
      <c r="F80" s="10" t="str">
        <f t="shared" si="4"/>
        <v/>
      </c>
      <c r="G80" s="10" t="str">
        <f t="shared" si="5"/>
        <v/>
      </c>
      <c r="H80" s="11" t="str">
        <f t="shared" si="6"/>
        <v/>
      </c>
      <c r="I80" s="29" t="str">
        <f t="shared" si="7"/>
        <v/>
      </c>
    </row>
    <row r="81" spans="1:9" x14ac:dyDescent="0.35">
      <c r="A81" s="10">
        <f>'Student Basic Info'!A81</f>
        <v>580</v>
      </c>
      <c r="B81" s="10" t="str">
        <f>SubjectList!I81</f>
        <v>Finance</v>
      </c>
      <c r="C81" s="10" t="str">
        <f>IF(B81="Finance", IF(Finance!B81=0,"", Finance!B81), IF(B81="Production",IF(Production!B81=0,"", Production!B81), IF(Economics!B81=0,"", Economics!B81)))</f>
        <v/>
      </c>
      <c r="D81" s="10" t="str">
        <f>IF(B81="Finance", IF(Finance!C81=0,"", Finance!C81), IF(B81="Production",IF(Production!C81=0,"", Production!C81), IF(Economics!C81=0,"", Economics!C81)))</f>
        <v/>
      </c>
      <c r="E81" s="10" t="str">
        <f>IF(B81="Finance", IF(Finance!D81=0,"", Finance!D81), IF(B81="Production",IF(Production!D81=0,"", Production!D81), IF(Economics!D81=0,"", Economics!D81)))</f>
        <v/>
      </c>
      <c r="F81" s="10" t="str">
        <f t="shared" si="4"/>
        <v/>
      </c>
      <c r="G81" s="10" t="str">
        <f t="shared" si="5"/>
        <v/>
      </c>
      <c r="H81" s="11" t="str">
        <f t="shared" si="6"/>
        <v/>
      </c>
      <c r="I81" s="29" t="str">
        <f t="shared" si="7"/>
        <v/>
      </c>
    </row>
    <row r="82" spans="1:9" x14ac:dyDescent="0.35">
      <c r="A82" s="10">
        <f>'Student Basic Info'!A82</f>
        <v>581</v>
      </c>
      <c r="B82" s="10" t="str">
        <f>SubjectList!I82</f>
        <v>Finance</v>
      </c>
      <c r="C82" s="10">
        <f>IF(B82="Finance", IF(Finance!B82=0,"", Finance!B82), IF(B82="Production",IF(Production!B82=0,"", Production!B82), IF(Economics!B82=0,"", Economics!B82)))</f>
        <v>12</v>
      </c>
      <c r="D82" s="10">
        <f>IF(B82="Finance", IF(Finance!C82=0,"", Finance!C82), IF(B82="Production",IF(Production!C82=0,"", Production!C82), IF(Economics!C82=0,"", Economics!C82)))</f>
        <v>2</v>
      </c>
      <c r="E82" s="10">
        <f>IF(B82="Finance", IF(Finance!D82=0,"", Finance!D82), IF(B82="Production",IF(Production!D82=0,"", Production!D82), IF(Economics!D82=0,"", Economics!D82)))</f>
        <v>14</v>
      </c>
      <c r="F82" s="10" t="str">
        <f t="shared" si="4"/>
        <v>Fail</v>
      </c>
      <c r="G82" s="10" t="str">
        <f t="shared" si="5"/>
        <v>F</v>
      </c>
      <c r="H82" s="11">
        <f t="shared" si="6"/>
        <v>0</v>
      </c>
      <c r="I82" s="29">
        <f t="shared" si="7"/>
        <v>0</v>
      </c>
    </row>
    <row r="83" spans="1:9" x14ac:dyDescent="0.35">
      <c r="A83" s="10">
        <f>'Student Basic Info'!A83</f>
        <v>582</v>
      </c>
      <c r="B83" s="10" t="str">
        <f>SubjectList!I83</f>
        <v>Finance</v>
      </c>
      <c r="C83" s="10" t="str">
        <f>IF(B83="Finance", IF(Finance!B83=0,"", Finance!B83), IF(B83="Production",IF(Production!B83=0,"", Production!B83), IF(Economics!B83=0,"", Economics!B83)))</f>
        <v/>
      </c>
      <c r="D83" s="10" t="str">
        <f>IF(B83="Finance", IF(Finance!C83=0,"", Finance!C83), IF(B83="Production",IF(Production!C83=0,"", Production!C83), IF(Economics!C83=0,"", Economics!C83)))</f>
        <v/>
      </c>
      <c r="E83" s="10" t="str">
        <f>IF(B83="Finance", IF(Finance!D83=0,"", Finance!D83), IF(B83="Production",IF(Production!D83=0,"", Production!D83), IF(Economics!D83=0,"", Economics!D83)))</f>
        <v/>
      </c>
      <c r="F83" s="10" t="str">
        <f t="shared" si="4"/>
        <v/>
      </c>
      <c r="G83" s="10" t="str">
        <f t="shared" si="5"/>
        <v/>
      </c>
      <c r="H83" s="11" t="str">
        <f t="shared" si="6"/>
        <v/>
      </c>
      <c r="I83" s="29" t="str">
        <f t="shared" si="7"/>
        <v/>
      </c>
    </row>
    <row r="84" spans="1:9" x14ac:dyDescent="0.35">
      <c r="A84" s="10">
        <f>'Student Basic Info'!A84</f>
        <v>583</v>
      </c>
      <c r="B84" s="10" t="str">
        <f>SubjectList!I84</f>
        <v>Finance</v>
      </c>
      <c r="C84" s="10" t="str">
        <f>IF(B84="Finance", IF(Finance!B84=0,"", Finance!B84), IF(B84="Production",IF(Production!B84=0,"", Production!B84), IF(Economics!B84=0,"", Economics!B84)))</f>
        <v/>
      </c>
      <c r="D84" s="10" t="str">
        <f>IF(B84="Finance", IF(Finance!C84=0,"", Finance!C84), IF(B84="Production",IF(Production!C84=0,"", Production!C84), IF(Economics!C84=0,"", Economics!C84)))</f>
        <v/>
      </c>
      <c r="E84" s="10" t="str">
        <f>IF(B84="Finance", IF(Finance!D84=0,"", Finance!D84), IF(B84="Production",IF(Production!D84=0,"", Production!D84), IF(Economics!D84=0,"", Economics!D84)))</f>
        <v/>
      </c>
      <c r="F84" s="10" t="str">
        <f t="shared" si="4"/>
        <v/>
      </c>
      <c r="G84" s="10" t="str">
        <f t="shared" si="5"/>
        <v/>
      </c>
      <c r="H84" s="11" t="str">
        <f t="shared" si="6"/>
        <v/>
      </c>
      <c r="I84" s="29" t="str">
        <f t="shared" si="7"/>
        <v/>
      </c>
    </row>
    <row r="85" spans="1:9" x14ac:dyDescent="0.35">
      <c r="A85" s="10">
        <f>'Student Basic Info'!A85</f>
        <v>584</v>
      </c>
      <c r="B85" s="10" t="str">
        <f>SubjectList!I85</f>
        <v>Finance</v>
      </c>
      <c r="C85" s="10">
        <f>IF(B85="Finance", IF(Finance!B85=0,"", Finance!B85), IF(B85="Production",IF(Production!B85=0,"", Production!B85), IF(Economics!B85=0,"", Economics!B85)))</f>
        <v>10</v>
      </c>
      <c r="D85" s="10">
        <f>IF(B85="Finance", IF(Finance!C85=0,"", Finance!C85), IF(B85="Production",IF(Production!C85=0,"", Production!C85), IF(Economics!C85=0,"", Economics!C85)))</f>
        <v>1</v>
      </c>
      <c r="E85" s="10">
        <f>IF(B85="Finance", IF(Finance!D85=0,"", Finance!D85), IF(B85="Production",IF(Production!D85=0,"", Production!D85), IF(Economics!D85=0,"", Economics!D85)))</f>
        <v>11</v>
      </c>
      <c r="F85" s="10" t="str">
        <f t="shared" si="4"/>
        <v>Fail</v>
      </c>
      <c r="G85" s="10" t="str">
        <f t="shared" si="5"/>
        <v>F</v>
      </c>
      <c r="H85" s="11">
        <f t="shared" si="6"/>
        <v>0</v>
      </c>
      <c r="I85" s="29">
        <f t="shared" si="7"/>
        <v>0</v>
      </c>
    </row>
    <row r="86" spans="1:9" x14ac:dyDescent="0.35">
      <c r="A86" s="10">
        <f>'Student Basic Info'!A86</f>
        <v>585</v>
      </c>
      <c r="B86" s="10" t="str">
        <f>SubjectList!I86</f>
        <v>Finance</v>
      </c>
      <c r="C86" s="10">
        <f>IF(B86="Finance", IF(Finance!B86=0,"", Finance!B86), IF(B86="Production",IF(Production!B86=0,"", Production!B86), IF(Economics!B86=0,"", Economics!B86)))</f>
        <v>7</v>
      </c>
      <c r="D86" s="10">
        <f>IF(B86="Finance", IF(Finance!C86=0,"", Finance!C86), IF(B86="Production",IF(Production!C86=0,"", Production!C86), IF(Economics!C86=0,"", Economics!C86)))</f>
        <v>6</v>
      </c>
      <c r="E86" s="10">
        <f>IF(B86="Finance", IF(Finance!D86=0,"", Finance!D86), IF(B86="Production",IF(Production!D86=0,"", Production!D86), IF(Economics!D86=0,"", Economics!D86)))</f>
        <v>13</v>
      </c>
      <c r="F86" s="10" t="str">
        <f t="shared" si="4"/>
        <v>Fail</v>
      </c>
      <c r="G86" s="10" t="str">
        <f t="shared" si="5"/>
        <v>F</v>
      </c>
      <c r="H86" s="11">
        <f t="shared" si="6"/>
        <v>0</v>
      </c>
      <c r="I86" s="29">
        <f t="shared" si="7"/>
        <v>0</v>
      </c>
    </row>
    <row r="87" spans="1:9" x14ac:dyDescent="0.35">
      <c r="A87" s="10">
        <f>'Student Basic Info'!A87</f>
        <v>586</v>
      </c>
      <c r="B87" s="10" t="str">
        <f>SubjectList!I87</f>
        <v>Finance</v>
      </c>
      <c r="C87" s="10">
        <f>IF(B87="Finance", IF(Finance!B87=0,"", Finance!B87), IF(B87="Production",IF(Production!B87=0,"", Production!B87), IF(Economics!B87=0,"", Economics!B87)))</f>
        <v>6</v>
      </c>
      <c r="D87" s="10">
        <f>IF(B87="Finance", IF(Finance!C87=0,"", Finance!C87), IF(B87="Production",IF(Production!C87=0,"", Production!C87), IF(Economics!C87=0,"", Economics!C87)))</f>
        <v>4</v>
      </c>
      <c r="E87" s="10">
        <f>IF(B87="Finance", IF(Finance!D87=0,"", Finance!D87), IF(B87="Production",IF(Production!D87=0,"", Production!D87), IF(Economics!D87=0,"", Economics!D87)))</f>
        <v>10</v>
      </c>
      <c r="F87" s="10" t="str">
        <f t="shared" si="4"/>
        <v>Fail</v>
      </c>
      <c r="G87" s="10" t="str">
        <f t="shared" si="5"/>
        <v>F</v>
      </c>
      <c r="H87" s="11">
        <f t="shared" si="6"/>
        <v>0</v>
      </c>
      <c r="I87" s="29">
        <f t="shared" si="7"/>
        <v>0</v>
      </c>
    </row>
    <row r="88" spans="1:9" x14ac:dyDescent="0.35">
      <c r="A88" s="10">
        <f>'Student Basic Info'!A88</f>
        <v>587</v>
      </c>
      <c r="B88" s="10" t="str">
        <f>SubjectList!I88</f>
        <v>Finance</v>
      </c>
      <c r="C88" s="10">
        <f>IF(B88="Finance", IF(Finance!B88=0,"", Finance!B88), IF(B88="Production",IF(Production!B88=0,"", Production!B88), IF(Economics!B88=0,"", Economics!B88)))</f>
        <v>10</v>
      </c>
      <c r="D88" s="10">
        <f>IF(B88="Finance", IF(Finance!C88=0,"", Finance!C88), IF(B88="Production",IF(Production!C88=0,"", Production!C88), IF(Economics!C88=0,"", Economics!C88)))</f>
        <v>6</v>
      </c>
      <c r="E88" s="10">
        <f>IF(B88="Finance", IF(Finance!D88=0,"", Finance!D88), IF(B88="Production",IF(Production!D88=0,"", Production!D88), IF(Economics!D88=0,"", Economics!D88)))</f>
        <v>16</v>
      </c>
      <c r="F88" s="10" t="str">
        <f t="shared" si="4"/>
        <v>Fail</v>
      </c>
      <c r="G88" s="10" t="str">
        <f t="shared" si="5"/>
        <v>F</v>
      </c>
      <c r="H88" s="11">
        <f t="shared" si="6"/>
        <v>0</v>
      </c>
      <c r="I88" s="29">
        <f t="shared" si="7"/>
        <v>0</v>
      </c>
    </row>
    <row r="89" spans="1:9" x14ac:dyDescent="0.35">
      <c r="A89" s="10">
        <f>'Student Basic Info'!A89</f>
        <v>588</v>
      </c>
      <c r="B89" s="10" t="str">
        <f>SubjectList!I89</f>
        <v>Finance</v>
      </c>
      <c r="C89" s="10">
        <f>IF(B89="Finance", IF(Finance!B89=0,"", Finance!B89), IF(B89="Production",IF(Production!B89=0,"", Production!B89), IF(Economics!B89=0,"", Economics!B89)))</f>
        <v>11</v>
      </c>
      <c r="D89" s="10">
        <f>IF(B89="Finance", IF(Finance!C89=0,"", Finance!C89), IF(B89="Production",IF(Production!C89=0,"", Production!C89), IF(Economics!C89=0,"", Economics!C89)))</f>
        <v>8</v>
      </c>
      <c r="E89" s="10">
        <f>IF(B89="Finance", IF(Finance!D89=0,"", Finance!D89), IF(B89="Production",IF(Production!D89=0,"", Production!D89), IF(Economics!D89=0,"", Economics!D89)))</f>
        <v>19</v>
      </c>
      <c r="F89" s="10" t="str">
        <f t="shared" si="4"/>
        <v>Fail</v>
      </c>
      <c r="G89" s="10" t="str">
        <f t="shared" si="5"/>
        <v>F</v>
      </c>
      <c r="H89" s="11">
        <f t="shared" si="6"/>
        <v>0</v>
      </c>
      <c r="I89" s="29">
        <f t="shared" si="7"/>
        <v>0</v>
      </c>
    </row>
    <row r="90" spans="1:9" x14ac:dyDescent="0.35">
      <c r="A90" s="10">
        <f>'Student Basic Info'!A90</f>
        <v>589</v>
      </c>
      <c r="B90" s="10" t="str">
        <f>SubjectList!I90</f>
        <v>Finance</v>
      </c>
      <c r="C90" s="10" t="str">
        <f>IF(B90="Finance", IF(Finance!B90=0,"", Finance!B90), IF(B90="Production",IF(Production!B90=0,"", Production!B90), IF(Economics!B90=0,"", Economics!B90)))</f>
        <v/>
      </c>
      <c r="D90" s="10" t="str">
        <f>IF(B90="Finance", IF(Finance!C90=0,"", Finance!C90), IF(B90="Production",IF(Production!C90=0,"", Production!C90), IF(Economics!C90=0,"", Economics!C90)))</f>
        <v/>
      </c>
      <c r="E90" s="10" t="str">
        <f>IF(B90="Finance", IF(Finance!D90=0,"", Finance!D90), IF(B90="Production",IF(Production!D90=0,"", Production!D90), IF(Economics!D90=0,"", Economics!D90)))</f>
        <v/>
      </c>
      <c r="F90" s="10" t="str">
        <f t="shared" si="4"/>
        <v/>
      </c>
      <c r="G90" s="10" t="str">
        <f t="shared" si="5"/>
        <v/>
      </c>
      <c r="H90" s="11" t="str">
        <f t="shared" si="6"/>
        <v/>
      </c>
      <c r="I90" s="29" t="str">
        <f t="shared" si="7"/>
        <v/>
      </c>
    </row>
    <row r="91" spans="1:9" x14ac:dyDescent="0.35">
      <c r="A91" s="10">
        <f>'Student Basic Info'!A91</f>
        <v>590</v>
      </c>
      <c r="B91" s="10" t="str">
        <f>SubjectList!I91</f>
        <v>Finance</v>
      </c>
      <c r="C91" s="10" t="str">
        <f>IF(B91="Finance", IF(Finance!B91=0,"", Finance!B91), IF(B91="Production",IF(Production!B91=0,"", Production!B91), IF(Economics!B91=0,"", Economics!B91)))</f>
        <v/>
      </c>
      <c r="D91" s="10" t="str">
        <f>IF(B91="Finance", IF(Finance!C91=0,"", Finance!C91), IF(B91="Production",IF(Production!C91=0,"", Production!C91), IF(Economics!C91=0,"", Economics!C91)))</f>
        <v/>
      </c>
      <c r="E91" s="10" t="str">
        <f>IF(B91="Finance", IF(Finance!D91=0,"", Finance!D91), IF(B91="Production",IF(Production!D91=0,"", Production!D91), IF(Economics!D91=0,"", Economics!D91)))</f>
        <v/>
      </c>
      <c r="F91" s="10" t="str">
        <f t="shared" si="4"/>
        <v/>
      </c>
      <c r="G91" s="10" t="str">
        <f t="shared" si="5"/>
        <v/>
      </c>
      <c r="H91" s="11" t="str">
        <f t="shared" si="6"/>
        <v/>
      </c>
      <c r="I91" s="29" t="str">
        <f t="shared" si="7"/>
        <v/>
      </c>
    </row>
    <row r="92" spans="1:9" x14ac:dyDescent="0.35">
      <c r="A92" s="10">
        <f>'Student Basic Info'!A92</f>
        <v>591</v>
      </c>
      <c r="B92" s="10" t="str">
        <f>SubjectList!I92</f>
        <v>Finance</v>
      </c>
      <c r="C92" s="10">
        <f>IF(B92="Finance", IF(Finance!B92=0,"", Finance!B92), IF(B92="Production",IF(Production!B92=0,"", Production!B92), IF(Economics!B92=0,"", Economics!B92)))</f>
        <v>7</v>
      </c>
      <c r="D92" s="10">
        <f>IF(B92="Finance", IF(Finance!C92=0,"", Finance!C92), IF(B92="Production",IF(Production!C92=0,"", Production!C92), IF(Economics!C92=0,"", Economics!C92)))</f>
        <v>5</v>
      </c>
      <c r="E92" s="10">
        <f>IF(B92="Finance", IF(Finance!D92=0,"", Finance!D92), IF(B92="Production",IF(Production!D92=0,"", Production!D92), IF(Economics!D92=0,"", Economics!D92)))</f>
        <v>12</v>
      </c>
      <c r="F92" s="10" t="str">
        <f t="shared" si="4"/>
        <v>Fail</v>
      </c>
      <c r="G92" s="10" t="str">
        <f t="shared" si="5"/>
        <v>F</v>
      </c>
      <c r="H92" s="11">
        <f t="shared" si="6"/>
        <v>0</v>
      </c>
      <c r="I92" s="29">
        <f t="shared" si="7"/>
        <v>0</v>
      </c>
    </row>
    <row r="93" spans="1:9" x14ac:dyDescent="0.35">
      <c r="A93" s="10">
        <f>'Student Basic Info'!A93</f>
        <v>592</v>
      </c>
      <c r="B93" s="10" t="str">
        <f>SubjectList!I93</f>
        <v>Production</v>
      </c>
      <c r="C93" s="10">
        <f>IF(B93="Finance", IF(Finance!B93=0,"", Finance!B93), IF(B93="Production",IF(Production!B93=0,"", Production!B93), IF(Economics!B93=0,"", Economics!B93)))</f>
        <v>7</v>
      </c>
      <c r="D93" s="10">
        <f>IF(B93="Finance", IF(Finance!C93=0,"", Finance!C93), IF(B93="Production",IF(Production!C93=0,"", Production!C93), IF(Economics!C93=0,"", Economics!C93)))</f>
        <v>16</v>
      </c>
      <c r="E93" s="10">
        <f>IF(B93="Finance", IF(Finance!D93=0,"", Finance!D93), IF(B93="Production",IF(Production!D93=0,"", Production!D93), IF(Economics!D93=0,"", Economics!D93)))</f>
        <v>23</v>
      </c>
      <c r="F93" s="10" t="str">
        <f t="shared" si="4"/>
        <v>Fail</v>
      </c>
      <c r="G93" s="10" t="str">
        <f t="shared" si="5"/>
        <v>F</v>
      </c>
      <c r="H93" s="11">
        <f t="shared" si="6"/>
        <v>0</v>
      </c>
      <c r="I93" s="29">
        <f t="shared" si="7"/>
        <v>0</v>
      </c>
    </row>
    <row r="94" spans="1:9" x14ac:dyDescent="0.35">
      <c r="A94" s="10">
        <f>'Student Basic Info'!A94</f>
        <v>593</v>
      </c>
      <c r="B94" s="10" t="str">
        <f>SubjectList!I94</f>
        <v>Finance</v>
      </c>
      <c r="C94" s="10">
        <f>IF(B94="Finance", IF(Finance!B94=0,"", Finance!B94), IF(B94="Production",IF(Production!B94=0,"", Production!B94), IF(Economics!B94=0,"", Economics!B94)))</f>
        <v>8</v>
      </c>
      <c r="D94" s="10">
        <f>IF(B94="Finance", IF(Finance!C94=0,"", Finance!C94), IF(B94="Production",IF(Production!C94=0,"", Production!C94), IF(Economics!C94=0,"", Economics!C94)))</f>
        <v>2</v>
      </c>
      <c r="E94" s="10">
        <f>IF(B94="Finance", IF(Finance!D94=0,"", Finance!D94), IF(B94="Production",IF(Production!D94=0,"", Production!D94), IF(Economics!D94=0,"", Economics!D94)))</f>
        <v>10</v>
      </c>
      <c r="F94" s="10" t="str">
        <f t="shared" si="4"/>
        <v>Fail</v>
      </c>
      <c r="G94" s="10" t="str">
        <f t="shared" si="5"/>
        <v>F</v>
      </c>
      <c r="H94" s="11">
        <f t="shared" si="6"/>
        <v>0</v>
      </c>
      <c r="I94" s="29">
        <f t="shared" si="7"/>
        <v>0</v>
      </c>
    </row>
    <row r="95" spans="1:9" x14ac:dyDescent="0.35">
      <c r="A95" s="10">
        <f>'Student Basic Info'!A95</f>
        <v>594</v>
      </c>
      <c r="B95" s="10" t="str">
        <f>SubjectList!I95</f>
        <v>Production</v>
      </c>
      <c r="C95" s="10" t="str">
        <f>IF(B95="Finance", IF(Finance!B95=0,"", Finance!B95), IF(B95="Production",IF(Production!B95=0,"", Production!B95), IF(Economics!B95=0,"", Economics!B95)))</f>
        <v/>
      </c>
      <c r="D95" s="10" t="str">
        <f>IF(B95="Finance", IF(Finance!C95=0,"", Finance!C95), IF(B95="Production",IF(Production!C95=0,"", Production!C95), IF(Economics!C95=0,"", Economics!C95)))</f>
        <v/>
      </c>
      <c r="E95" s="10" t="str">
        <f>IF(B95="Finance", IF(Finance!D95=0,"", Finance!D95), IF(B95="Production",IF(Production!D95=0,"", Production!D95), IF(Economics!D95=0,"", Economics!D95)))</f>
        <v/>
      </c>
      <c r="F95" s="10" t="str">
        <f t="shared" si="4"/>
        <v/>
      </c>
      <c r="G95" s="10" t="str">
        <f t="shared" si="5"/>
        <v/>
      </c>
      <c r="H95" s="11" t="str">
        <f t="shared" si="6"/>
        <v/>
      </c>
      <c r="I95" s="29" t="str">
        <f t="shared" si="7"/>
        <v/>
      </c>
    </row>
    <row r="96" spans="1:9" x14ac:dyDescent="0.35">
      <c r="A96" s="10">
        <f>'Student Basic Info'!A96</f>
        <v>595</v>
      </c>
      <c r="B96" s="10" t="str">
        <f>SubjectList!I96</f>
        <v>Finance</v>
      </c>
      <c r="C96" s="10" t="str">
        <f>IF(B96="Finance", IF(Finance!B96=0,"", Finance!B96), IF(B96="Production",IF(Production!B96=0,"", Production!B96), IF(Economics!B96=0,"", Economics!B96)))</f>
        <v/>
      </c>
      <c r="D96" s="10" t="str">
        <f>IF(B96="Finance", IF(Finance!C96=0,"", Finance!C96), IF(B96="Production",IF(Production!C96=0,"", Production!C96), IF(Economics!C96=0,"", Economics!C96)))</f>
        <v/>
      </c>
      <c r="E96" s="10" t="str">
        <f>IF(B96="Finance", IF(Finance!D96=0,"", Finance!D96), IF(B96="Production",IF(Production!D96=0,"", Production!D96), IF(Economics!D96=0,"", Economics!D96)))</f>
        <v/>
      </c>
      <c r="F96" s="10" t="str">
        <f t="shared" si="4"/>
        <v/>
      </c>
      <c r="G96" s="10" t="str">
        <f t="shared" si="5"/>
        <v/>
      </c>
      <c r="H96" s="11" t="str">
        <f t="shared" si="6"/>
        <v/>
      </c>
      <c r="I96" s="29" t="str">
        <f t="shared" si="7"/>
        <v/>
      </c>
    </row>
    <row r="97" spans="1:9" x14ac:dyDescent="0.35">
      <c r="A97" s="10">
        <f>'Student Basic Info'!A97</f>
        <v>596</v>
      </c>
      <c r="B97" s="10" t="str">
        <f>SubjectList!I97</f>
        <v>Finance</v>
      </c>
      <c r="C97" s="10" t="str">
        <f>IF(B97="Finance", IF(Finance!B97=0,"", Finance!B97), IF(B97="Production",IF(Production!B97=0,"", Production!B97), IF(Economics!B97=0,"", Economics!B97)))</f>
        <v/>
      </c>
      <c r="D97" s="10" t="str">
        <f>IF(B97="Finance", IF(Finance!C97=0,"", Finance!C97), IF(B97="Production",IF(Production!C97=0,"", Production!C97), IF(Economics!C97=0,"", Economics!C97)))</f>
        <v/>
      </c>
      <c r="E97" s="10" t="str">
        <f>IF(B97="Finance", IF(Finance!D97=0,"", Finance!D97), IF(B97="Production",IF(Production!D97=0,"", Production!D97), IF(Economics!D97=0,"", Economics!D97)))</f>
        <v/>
      </c>
      <c r="F97" s="10" t="str">
        <f t="shared" si="4"/>
        <v/>
      </c>
      <c r="G97" s="10" t="str">
        <f t="shared" si="5"/>
        <v/>
      </c>
      <c r="H97" s="11" t="str">
        <f t="shared" si="6"/>
        <v/>
      </c>
      <c r="I97" s="29" t="str">
        <f t="shared" si="7"/>
        <v/>
      </c>
    </row>
    <row r="98" spans="1:9" x14ac:dyDescent="0.35">
      <c r="A98" s="10">
        <f>'Student Basic Info'!A98</f>
        <v>597</v>
      </c>
      <c r="B98" s="10" t="str">
        <f>SubjectList!I98</f>
        <v>Finance</v>
      </c>
      <c r="C98" s="10" t="str">
        <f>IF(B98="Finance", IF(Finance!B98=0,"", Finance!B98), IF(B98="Production",IF(Production!B98=0,"", Production!B98), IF(Economics!B98=0,"", Economics!B98)))</f>
        <v/>
      </c>
      <c r="D98" s="10" t="str">
        <f>IF(B98="Finance", IF(Finance!C98=0,"", Finance!C98), IF(B98="Production",IF(Production!C98=0,"", Production!C98), IF(Economics!C98=0,"", Economics!C98)))</f>
        <v/>
      </c>
      <c r="E98" s="10" t="str">
        <f>IF(B98="Finance", IF(Finance!D98=0,"", Finance!D98), IF(B98="Production",IF(Production!D98=0,"", Production!D98), IF(Economics!D98=0,"", Economics!D98)))</f>
        <v/>
      </c>
      <c r="F98" s="10" t="str">
        <f t="shared" si="4"/>
        <v/>
      </c>
      <c r="G98" s="10" t="str">
        <f t="shared" si="5"/>
        <v/>
      </c>
      <c r="H98" s="11" t="str">
        <f t="shared" si="6"/>
        <v/>
      </c>
      <c r="I98" s="29" t="str">
        <f t="shared" si="7"/>
        <v/>
      </c>
    </row>
    <row r="99" spans="1:9" x14ac:dyDescent="0.35">
      <c r="A99" s="10">
        <f>'Student Basic Info'!A99</f>
        <v>598</v>
      </c>
      <c r="B99" s="10" t="str">
        <f>SubjectList!I99</f>
        <v>Economics</v>
      </c>
      <c r="C99" s="10" t="str">
        <f>IF(B99="Finance", IF(Finance!B99=0,"", Finance!B99), IF(B99="Production",IF(Production!B99=0,"", Production!B99), IF(Economics!B99=0,"", Economics!B99)))</f>
        <v/>
      </c>
      <c r="D99" s="10" t="str">
        <f>IF(B99="Finance", IF(Finance!C99=0,"", Finance!C99), IF(B99="Production",IF(Production!C99=0,"", Production!C99), IF(Economics!C99=0,"", Economics!C99)))</f>
        <v/>
      </c>
      <c r="E99" s="10" t="str">
        <f>IF(B99="Finance", IF(Finance!D99=0,"", Finance!D99), IF(B99="Production",IF(Production!D99=0,"", Production!D99), IF(Economics!D99=0,"", Economics!D99)))</f>
        <v/>
      </c>
      <c r="F99" s="10" t="str">
        <f t="shared" si="4"/>
        <v/>
      </c>
      <c r="G99" s="10" t="str">
        <f t="shared" si="5"/>
        <v/>
      </c>
      <c r="H99" s="11" t="str">
        <f t="shared" si="6"/>
        <v/>
      </c>
      <c r="I99" s="29" t="str">
        <f t="shared" si="7"/>
        <v/>
      </c>
    </row>
    <row r="100" spans="1:9" x14ac:dyDescent="0.35">
      <c r="A100" s="10">
        <f>'Student Basic Info'!A100</f>
        <v>599</v>
      </c>
      <c r="B100" s="10" t="str">
        <f>SubjectList!I100</f>
        <v>Economics</v>
      </c>
      <c r="C100" s="10" t="str">
        <f>IF(B100="Finance", IF(Finance!B100=0,"", Finance!B100), IF(B100="Production",IF(Production!B100=0,"", Production!B100), IF(Economics!B100=0,"", Economics!B100)))</f>
        <v/>
      </c>
      <c r="D100" s="10" t="str">
        <f>IF(B100="Finance", IF(Finance!C100=0,"", Finance!C100), IF(B100="Production",IF(Production!C100=0,"", Production!C100), IF(Economics!C100=0,"", Economics!C100)))</f>
        <v/>
      </c>
      <c r="E100" s="10" t="str">
        <f>IF(B100="Finance", IF(Finance!D100=0,"", Finance!D100), IF(B100="Production",IF(Production!D100=0,"", Production!D100), IF(Economics!D100=0,"", Economics!D100)))</f>
        <v/>
      </c>
      <c r="F100" s="10" t="str">
        <f t="shared" si="4"/>
        <v/>
      </c>
      <c r="G100" s="10" t="str">
        <f t="shared" si="5"/>
        <v/>
      </c>
      <c r="H100" s="11" t="str">
        <f t="shared" si="6"/>
        <v/>
      </c>
      <c r="I100" s="29" t="str">
        <f t="shared" si="7"/>
        <v/>
      </c>
    </row>
    <row r="101" spans="1:9" x14ac:dyDescent="0.35">
      <c r="A101" s="10">
        <f>'Student Basic Info'!A101</f>
        <v>600</v>
      </c>
      <c r="B101" s="10" t="str">
        <f>SubjectList!I101</f>
        <v>Production</v>
      </c>
      <c r="C101" s="10">
        <f>IF(B101="Finance", IF(Finance!B101=0,"", Finance!B101), IF(B101="Production",IF(Production!B101=0,"", Production!B101), IF(Economics!B101=0,"", Economics!B101)))</f>
        <v>18</v>
      </c>
      <c r="D101" s="10">
        <f>IF(B101="Finance", IF(Finance!C101=0,"", Finance!C101), IF(B101="Production",IF(Production!C101=0,"", Production!C101), IF(Economics!C101=0,"", Economics!C101)))</f>
        <v>3</v>
      </c>
      <c r="E101" s="10">
        <f>IF(B101="Finance", IF(Finance!D101=0,"", Finance!D101), IF(B101="Production",IF(Production!D101=0,"", Production!D101), IF(Economics!D101=0,"", Economics!D101)))</f>
        <v>21</v>
      </c>
      <c r="F101" s="10" t="str">
        <f t="shared" si="4"/>
        <v>Fail</v>
      </c>
      <c r="G101" s="10" t="str">
        <f t="shared" si="5"/>
        <v>F</v>
      </c>
      <c r="H101" s="11">
        <f t="shared" si="6"/>
        <v>0</v>
      </c>
      <c r="I101" s="29">
        <f t="shared" si="7"/>
        <v>0</v>
      </c>
    </row>
    <row r="102" spans="1:9" x14ac:dyDescent="0.35">
      <c r="A102" s="10">
        <f>'Student Basic Info'!A102</f>
        <v>601</v>
      </c>
      <c r="B102" s="10" t="str">
        <f>SubjectList!I102</f>
        <v>Production</v>
      </c>
      <c r="C102" s="10">
        <f>IF(B102="Finance", IF(Finance!B102=0,"", Finance!B102), IF(B102="Production",IF(Production!B102=0,"", Production!B102), IF(Economics!B102=0,"", Economics!B102)))</f>
        <v>11</v>
      </c>
      <c r="D102" s="10">
        <f>IF(B102="Finance", IF(Finance!C102=0,"", Finance!C102), IF(B102="Production",IF(Production!C102=0,"", Production!C102), IF(Economics!C102=0,"", Economics!C102)))</f>
        <v>1</v>
      </c>
      <c r="E102" s="10">
        <f>IF(B102="Finance", IF(Finance!D102=0,"", Finance!D102), IF(B102="Production",IF(Production!D102=0,"", Production!D102), IF(Economics!D102=0,"", Economics!D102)))</f>
        <v>12</v>
      </c>
      <c r="F102" s="10" t="str">
        <f t="shared" si="4"/>
        <v>Fail</v>
      </c>
      <c r="G102" s="10" t="str">
        <f t="shared" si="5"/>
        <v>F</v>
      </c>
      <c r="H102" s="11">
        <f t="shared" si="6"/>
        <v>0</v>
      </c>
      <c r="I102" s="29">
        <f t="shared" si="7"/>
        <v>0</v>
      </c>
    </row>
    <row r="103" spans="1:9" x14ac:dyDescent="0.35">
      <c r="A103" s="10">
        <f>'Student Basic Info'!A103</f>
        <v>602</v>
      </c>
      <c r="B103" s="10" t="str">
        <f>SubjectList!I103</f>
        <v>Economics</v>
      </c>
      <c r="C103" s="10" t="str">
        <f>IF(B103="Finance", IF(Finance!B103=0,"", Finance!B103), IF(B103="Production",IF(Production!B103=0,"", Production!B103), IF(Economics!B103=0,"", Economics!B103)))</f>
        <v/>
      </c>
      <c r="D103" s="10" t="str">
        <f>IF(B103="Finance", IF(Finance!C103=0,"", Finance!C103), IF(B103="Production",IF(Production!C103=0,"", Production!C103), IF(Economics!C103=0,"", Economics!C103)))</f>
        <v/>
      </c>
      <c r="E103" s="10" t="str">
        <f>IF(B103="Finance", IF(Finance!D103=0,"", Finance!D103), IF(B103="Production",IF(Production!D103=0,"", Production!D103), IF(Economics!D103=0,"", Economics!D103)))</f>
        <v/>
      </c>
      <c r="F103" s="10" t="str">
        <f t="shared" si="4"/>
        <v/>
      </c>
      <c r="G103" s="10" t="str">
        <f t="shared" si="5"/>
        <v/>
      </c>
      <c r="H103" s="11" t="str">
        <f t="shared" si="6"/>
        <v/>
      </c>
      <c r="I103" s="29" t="str">
        <f t="shared" si="7"/>
        <v/>
      </c>
    </row>
    <row r="104" spans="1:9" x14ac:dyDescent="0.35">
      <c r="A104" s="10">
        <f>'Student Basic Info'!A104</f>
        <v>603</v>
      </c>
      <c r="B104" s="10" t="str">
        <f>SubjectList!I104</f>
        <v>Production</v>
      </c>
      <c r="C104" s="10" t="str">
        <f>IF(B104="Finance", IF(Finance!B104=0,"", Finance!B104), IF(B104="Production",IF(Production!B104=0,"", Production!B104), IF(Economics!B104=0,"", Economics!B104)))</f>
        <v/>
      </c>
      <c r="D104" s="10" t="str">
        <f>IF(B104="Finance", IF(Finance!C104=0,"", Finance!C104), IF(B104="Production",IF(Production!C104=0,"", Production!C104), IF(Economics!C104=0,"", Economics!C104)))</f>
        <v/>
      </c>
      <c r="E104" s="10" t="str">
        <f>IF(B104="Finance", IF(Finance!D104=0,"", Finance!D104), IF(B104="Production",IF(Production!D104=0,"", Production!D104), IF(Economics!D104=0,"", Economics!D104)))</f>
        <v/>
      </c>
      <c r="F104" s="10" t="str">
        <f t="shared" si="4"/>
        <v/>
      </c>
      <c r="G104" s="10" t="str">
        <f t="shared" si="5"/>
        <v/>
      </c>
      <c r="H104" s="11" t="str">
        <f t="shared" si="6"/>
        <v/>
      </c>
      <c r="I104" s="29" t="str">
        <f t="shared" si="7"/>
        <v/>
      </c>
    </row>
    <row r="105" spans="1:9" x14ac:dyDescent="0.35">
      <c r="A105" s="10">
        <f>'Student Basic Info'!A105</f>
        <v>604</v>
      </c>
      <c r="B105" s="10" t="str">
        <f>SubjectList!I105</f>
        <v>Production</v>
      </c>
      <c r="C105" s="10" t="str">
        <f>IF(B105="Finance", IF(Finance!B105=0,"", Finance!B105), IF(B105="Production",IF(Production!B105=0,"", Production!B105), IF(Economics!B105=0,"", Economics!B105)))</f>
        <v/>
      </c>
      <c r="D105" s="10" t="str">
        <f>IF(B105="Finance", IF(Finance!C105=0,"", Finance!C105), IF(B105="Production",IF(Production!C105=0,"", Production!C105), IF(Economics!C105=0,"", Economics!C105)))</f>
        <v/>
      </c>
      <c r="E105" s="10" t="str">
        <f>IF(B105="Finance", IF(Finance!D105=0,"", Finance!D105), IF(B105="Production",IF(Production!D105=0,"", Production!D105), IF(Economics!D105=0,"", Economics!D105)))</f>
        <v/>
      </c>
      <c r="F105" s="10" t="str">
        <f t="shared" si="4"/>
        <v/>
      </c>
      <c r="G105" s="10" t="str">
        <f t="shared" si="5"/>
        <v/>
      </c>
      <c r="H105" s="11" t="str">
        <f t="shared" si="6"/>
        <v/>
      </c>
      <c r="I105" s="29" t="str">
        <f t="shared" si="7"/>
        <v/>
      </c>
    </row>
    <row r="106" spans="1:9" x14ac:dyDescent="0.35">
      <c r="A106" s="10">
        <f>'Student Basic Info'!A106</f>
        <v>605</v>
      </c>
      <c r="B106" s="10" t="str">
        <f>SubjectList!I106</f>
        <v>Production</v>
      </c>
      <c r="C106" s="10">
        <f>IF(B106="Finance", IF(Finance!B106=0,"", Finance!B106), IF(B106="Production",IF(Production!B106=0,"", Production!B106), IF(Economics!B106=0,"", Economics!B106)))</f>
        <v>13</v>
      </c>
      <c r="D106" s="10">
        <f>IF(B106="Finance", IF(Finance!C106=0,"", Finance!C106), IF(B106="Production",IF(Production!C106=0,"", Production!C106), IF(Economics!C106=0,"", Economics!C106)))</f>
        <v>27</v>
      </c>
      <c r="E106" s="10">
        <f>IF(B106="Finance", IF(Finance!D106=0,"", Finance!D106), IF(B106="Production",IF(Production!D106=0,"", Production!D106), IF(Economics!D106=0,"", Economics!D106)))</f>
        <v>40</v>
      </c>
      <c r="F106" s="10" t="str">
        <f t="shared" si="4"/>
        <v>Pass</v>
      </c>
      <c r="G106" s="10" t="str">
        <f t="shared" si="5"/>
        <v>C</v>
      </c>
      <c r="H106" s="11">
        <f t="shared" si="6"/>
        <v>2</v>
      </c>
      <c r="I106" s="29">
        <f t="shared" si="7"/>
        <v>0</v>
      </c>
    </row>
    <row r="107" spans="1:9" x14ac:dyDescent="0.35">
      <c r="A107" s="10">
        <f>'Student Basic Info'!A107</f>
        <v>606</v>
      </c>
      <c r="B107" s="10" t="str">
        <f>SubjectList!I107</f>
        <v>Finance</v>
      </c>
      <c r="C107" s="10">
        <f>IF(B107="Finance", IF(Finance!B107=0,"", Finance!B107), IF(B107="Production",IF(Production!B107=0,"", Production!B107), IF(Economics!B107=0,"", Economics!B107)))</f>
        <v>6</v>
      </c>
      <c r="D107" s="10">
        <f>IF(B107="Finance", IF(Finance!C107=0,"", Finance!C107), IF(B107="Production",IF(Production!C107=0,"", Production!C107), IF(Economics!C107=0,"", Economics!C107)))</f>
        <v>23</v>
      </c>
      <c r="E107" s="10">
        <f>IF(B107="Finance", IF(Finance!D107=0,"", Finance!D107), IF(B107="Production",IF(Production!D107=0,"", Production!D107), IF(Economics!D107=0,"", Economics!D107)))</f>
        <v>29</v>
      </c>
      <c r="F107" s="10" t="str">
        <f t="shared" si="4"/>
        <v>Fail</v>
      </c>
      <c r="G107" s="10" t="str">
        <f t="shared" si="5"/>
        <v>F</v>
      </c>
      <c r="H107" s="11">
        <f t="shared" si="6"/>
        <v>0</v>
      </c>
      <c r="I107" s="29">
        <f t="shared" si="7"/>
        <v>0</v>
      </c>
    </row>
    <row r="108" spans="1:9" x14ac:dyDescent="0.35">
      <c r="A108" s="10">
        <f>'Student Basic Info'!A108</f>
        <v>607</v>
      </c>
      <c r="B108" s="10" t="str">
        <f>SubjectList!I108</f>
        <v>Production</v>
      </c>
      <c r="C108" s="10">
        <f>IF(B108="Finance", IF(Finance!B108=0,"", Finance!B108), IF(B108="Production",IF(Production!B108=0,"", Production!B108), IF(Economics!B108=0,"", Economics!B108)))</f>
        <v>10</v>
      </c>
      <c r="D108" s="10">
        <f>IF(B108="Finance", IF(Finance!C108=0,"", Finance!C108), IF(B108="Production",IF(Production!C108=0,"", Production!C108), IF(Economics!C108=0,"", Economics!C108)))</f>
        <v>3</v>
      </c>
      <c r="E108" s="10">
        <f>IF(B108="Finance", IF(Finance!D108=0,"", Finance!D108), IF(B108="Production",IF(Production!D108=0,"", Production!D108), IF(Economics!D108=0,"", Economics!D108)))</f>
        <v>13</v>
      </c>
      <c r="F108" s="10" t="str">
        <f t="shared" si="4"/>
        <v>Fail</v>
      </c>
      <c r="G108" s="10" t="str">
        <f t="shared" si="5"/>
        <v>F</v>
      </c>
      <c r="H108" s="11">
        <f t="shared" si="6"/>
        <v>0</v>
      </c>
      <c r="I108" s="29">
        <f t="shared" si="7"/>
        <v>0</v>
      </c>
    </row>
    <row r="109" spans="1:9" x14ac:dyDescent="0.35">
      <c r="A109" s="10">
        <f>'Student Basic Info'!A109</f>
        <v>608</v>
      </c>
      <c r="B109" s="10" t="str">
        <f>SubjectList!I109</f>
        <v>Finance</v>
      </c>
      <c r="C109" s="10">
        <f>IF(B109="Finance", IF(Finance!B109=0,"", Finance!B109), IF(B109="Production",IF(Production!B109=0,"", Production!B109), IF(Economics!B109=0,"", Economics!B109)))</f>
        <v>10</v>
      </c>
      <c r="D109" s="10">
        <f>IF(B109="Finance", IF(Finance!C109=0,"", Finance!C109), IF(B109="Production",IF(Production!C109=0,"", Production!C109), IF(Economics!C109=0,"", Economics!C109)))</f>
        <v>2</v>
      </c>
      <c r="E109" s="10">
        <f>IF(B109="Finance", IF(Finance!D109=0,"", Finance!D109), IF(B109="Production",IF(Production!D109=0,"", Production!D109), IF(Economics!D109=0,"", Economics!D109)))</f>
        <v>12</v>
      </c>
      <c r="F109" s="10" t="str">
        <f t="shared" si="4"/>
        <v>Fail</v>
      </c>
      <c r="G109" s="10" t="str">
        <f t="shared" si="5"/>
        <v>F</v>
      </c>
      <c r="H109" s="11">
        <f t="shared" si="6"/>
        <v>0</v>
      </c>
      <c r="I109" s="29">
        <f t="shared" si="7"/>
        <v>0</v>
      </c>
    </row>
    <row r="110" spans="1:9" x14ac:dyDescent="0.35">
      <c r="A110" s="10">
        <f>'Student Basic Info'!A110</f>
        <v>609</v>
      </c>
      <c r="B110" s="10" t="str">
        <f>SubjectList!I110</f>
        <v>Finance</v>
      </c>
      <c r="C110" s="10">
        <f>IF(B110="Finance", IF(Finance!B110=0,"", Finance!B110), IF(B110="Production",IF(Production!B110=0,"", Production!B110), IF(Economics!B110=0,"", Economics!B110)))</f>
        <v>6</v>
      </c>
      <c r="D110" s="10">
        <f>IF(B110="Finance", IF(Finance!C110=0,"", Finance!C110), IF(B110="Production",IF(Production!C110=0,"", Production!C110), IF(Economics!C110=0,"", Economics!C110)))</f>
        <v>17</v>
      </c>
      <c r="E110" s="10">
        <f>IF(B110="Finance", IF(Finance!D110=0,"", Finance!D110), IF(B110="Production",IF(Production!D110=0,"", Production!D110), IF(Economics!D110=0,"", Economics!D110)))</f>
        <v>23</v>
      </c>
      <c r="F110" s="10" t="str">
        <f t="shared" si="4"/>
        <v>Fail</v>
      </c>
      <c r="G110" s="10" t="str">
        <f t="shared" si="5"/>
        <v>F</v>
      </c>
      <c r="H110" s="11">
        <f t="shared" si="6"/>
        <v>0</v>
      </c>
      <c r="I110" s="29">
        <f t="shared" si="7"/>
        <v>0</v>
      </c>
    </row>
    <row r="111" spans="1:9" x14ac:dyDescent="0.35">
      <c r="A111" s="10">
        <f>'Student Basic Info'!A111</f>
        <v>610</v>
      </c>
      <c r="B111" s="10" t="str">
        <f>SubjectList!I111</f>
        <v>Economics</v>
      </c>
      <c r="C111" s="10" t="str">
        <f>IF(B111="Finance", IF(Finance!B111=0,"", Finance!B111), IF(B111="Production",IF(Production!B111=0,"", Production!B111), IF(Economics!B111=0,"", Economics!B111)))</f>
        <v/>
      </c>
      <c r="D111" s="10" t="str">
        <f>IF(B111="Finance", IF(Finance!C111=0,"", Finance!C111), IF(B111="Production",IF(Production!C111=0,"", Production!C111), IF(Economics!C111=0,"", Economics!C111)))</f>
        <v/>
      </c>
      <c r="E111" s="10" t="str">
        <f>IF(B111="Finance", IF(Finance!D111=0,"", Finance!D111), IF(B111="Production",IF(Production!D111=0,"", Production!D111), IF(Economics!D111=0,"", Economics!D111)))</f>
        <v/>
      </c>
      <c r="F111" s="10" t="str">
        <f t="shared" si="4"/>
        <v/>
      </c>
      <c r="G111" s="10" t="str">
        <f t="shared" si="5"/>
        <v/>
      </c>
      <c r="H111" s="11" t="str">
        <f t="shared" si="6"/>
        <v/>
      </c>
      <c r="I111" s="29" t="str">
        <f t="shared" si="7"/>
        <v/>
      </c>
    </row>
    <row r="112" spans="1:9" x14ac:dyDescent="0.35">
      <c r="A112" s="10">
        <f>'Student Basic Info'!A112</f>
        <v>611</v>
      </c>
      <c r="B112" s="10" t="str">
        <f>SubjectList!I112</f>
        <v>Economics</v>
      </c>
      <c r="C112" s="10">
        <f>IF(B112="Finance", IF(Finance!B112=0,"", Finance!B112), IF(B112="Production",IF(Production!B112=0,"", Production!B112), IF(Economics!B112=0,"", Economics!B112)))</f>
        <v>10</v>
      </c>
      <c r="D112" s="10">
        <f>IF(B112="Finance", IF(Finance!C112=0,"", Finance!C112), IF(B112="Production",IF(Production!C112=0,"", Production!C112), IF(Economics!C112=0,"", Economics!C112)))</f>
        <v>17</v>
      </c>
      <c r="E112" s="10">
        <f>IF(B112="Finance", IF(Finance!D112=0,"", Finance!D112), IF(B112="Production",IF(Production!D112=0,"", Production!D112), IF(Economics!D112=0,"", Economics!D112)))</f>
        <v>27</v>
      </c>
      <c r="F112" s="10" t="str">
        <f t="shared" si="4"/>
        <v>Fail</v>
      </c>
      <c r="G112" s="10" t="str">
        <f t="shared" si="5"/>
        <v>F</v>
      </c>
      <c r="H112" s="11">
        <f t="shared" si="6"/>
        <v>0</v>
      </c>
      <c r="I112" s="29">
        <f t="shared" si="7"/>
        <v>0</v>
      </c>
    </row>
    <row r="113" spans="1:9" x14ac:dyDescent="0.35">
      <c r="A113" s="10">
        <f>'Student Basic Info'!A113</f>
        <v>612</v>
      </c>
      <c r="B113" s="10" t="str">
        <f>SubjectList!I113</f>
        <v>Economics</v>
      </c>
      <c r="C113" s="10">
        <f>IF(B113="Finance", IF(Finance!B113=0,"", Finance!B113), IF(B113="Production",IF(Production!B113=0,"", Production!B113), IF(Economics!B113=0,"", Economics!B113)))</f>
        <v>13</v>
      </c>
      <c r="D113" s="10">
        <f>IF(B113="Finance", IF(Finance!C113=0,"", Finance!C113), IF(B113="Production",IF(Production!C113=0,"", Production!C113), IF(Economics!C113=0,"", Economics!C113)))</f>
        <v>23</v>
      </c>
      <c r="E113" s="10">
        <f>IF(B113="Finance", IF(Finance!D113=0,"", Finance!D113), IF(B113="Production",IF(Production!D113=0,"", Production!D113), IF(Economics!D113=0,"", Economics!D113)))</f>
        <v>36</v>
      </c>
      <c r="F113" s="10" t="str">
        <f t="shared" si="4"/>
        <v>Pass</v>
      </c>
      <c r="G113" s="10" t="str">
        <f t="shared" si="5"/>
        <v>D</v>
      </c>
      <c r="H113" s="11">
        <f t="shared" si="6"/>
        <v>1</v>
      </c>
      <c r="I113" s="29">
        <f t="shared" si="7"/>
        <v>0</v>
      </c>
    </row>
    <row r="114" spans="1:9" x14ac:dyDescent="0.35">
      <c r="A114" s="10">
        <f>'Student Basic Info'!A114</f>
        <v>613</v>
      </c>
      <c r="B114" s="10" t="str">
        <f>SubjectList!I114</f>
        <v>Production</v>
      </c>
      <c r="C114" s="10" t="str">
        <f>IF(B114="Finance", IF(Finance!B114=0,"", Finance!B114), IF(B114="Production",IF(Production!B114=0,"", Production!B114), IF(Economics!B114=0,"", Economics!B114)))</f>
        <v/>
      </c>
      <c r="D114" s="10" t="str">
        <f>IF(B114="Finance", IF(Finance!C114=0,"", Finance!C114), IF(B114="Production",IF(Production!C114=0,"", Production!C114), IF(Economics!C114=0,"", Economics!C114)))</f>
        <v/>
      </c>
      <c r="E114" s="10" t="str">
        <f>IF(B114="Finance", IF(Finance!D114=0,"", Finance!D114), IF(B114="Production",IF(Production!D114=0,"", Production!D114), IF(Economics!D114=0,"", Economics!D114)))</f>
        <v/>
      </c>
      <c r="F114" s="10" t="str">
        <f t="shared" si="4"/>
        <v/>
      </c>
      <c r="G114" s="10" t="str">
        <f t="shared" si="5"/>
        <v/>
      </c>
      <c r="H114" s="11" t="str">
        <f t="shared" si="6"/>
        <v/>
      </c>
      <c r="I114" s="29" t="str">
        <f t="shared" si="7"/>
        <v/>
      </c>
    </row>
    <row r="115" spans="1:9" x14ac:dyDescent="0.35">
      <c r="A115" s="10">
        <f>'Student Basic Info'!A115</f>
        <v>614</v>
      </c>
      <c r="B115" s="10" t="str">
        <f>SubjectList!I115</f>
        <v>Production</v>
      </c>
      <c r="C115" s="10">
        <f>IF(B115="Finance", IF(Finance!B115=0,"", Finance!B115), IF(B115="Production",IF(Production!B115=0,"", Production!B115), IF(Economics!B115=0,"", Economics!B115)))</f>
        <v>15</v>
      </c>
      <c r="D115" s="10">
        <f>IF(B115="Finance", IF(Finance!C115=0,"", Finance!C115), IF(B115="Production",IF(Production!C115=0,"", Production!C115), IF(Economics!C115=0,"", Economics!C115)))</f>
        <v>27</v>
      </c>
      <c r="E115" s="10">
        <f>IF(B115="Finance", IF(Finance!D115=0,"", Finance!D115), IF(B115="Production",IF(Production!D115=0,"", Production!D115), IF(Economics!D115=0,"", Economics!D115)))</f>
        <v>42</v>
      </c>
      <c r="F115" s="10" t="str">
        <f t="shared" si="4"/>
        <v>Pass</v>
      </c>
      <c r="G115" s="10" t="str">
        <f t="shared" si="5"/>
        <v>C</v>
      </c>
      <c r="H115" s="11">
        <f t="shared" si="6"/>
        <v>2</v>
      </c>
      <c r="I115" s="29">
        <f t="shared" si="7"/>
        <v>0</v>
      </c>
    </row>
    <row r="116" spans="1:9" x14ac:dyDescent="0.35">
      <c r="A116" s="10">
        <f>'Student Basic Info'!A116</f>
        <v>615</v>
      </c>
      <c r="B116" s="10" t="str">
        <f>SubjectList!I116</f>
        <v>Production</v>
      </c>
      <c r="C116" s="10">
        <f>IF(B116="Finance", IF(Finance!B116=0,"", Finance!B116), IF(B116="Production",IF(Production!B116=0,"", Production!B116), IF(Economics!B116=0,"", Economics!B116)))</f>
        <v>8</v>
      </c>
      <c r="D116" s="10">
        <f>IF(B116="Finance", IF(Finance!C116=0,"", Finance!C116), IF(B116="Production",IF(Production!C116=0,"", Production!C116), IF(Economics!C116=0,"", Economics!C116)))</f>
        <v>28</v>
      </c>
      <c r="E116" s="10">
        <f>IF(B116="Finance", IF(Finance!D116=0,"", Finance!D116), IF(B116="Production",IF(Production!D116=0,"", Production!D116), IF(Economics!D116=0,"", Economics!D116)))</f>
        <v>36</v>
      </c>
      <c r="F116" s="10" t="str">
        <f t="shared" si="4"/>
        <v>Fail</v>
      </c>
      <c r="G116" s="10" t="str">
        <f t="shared" si="5"/>
        <v>F</v>
      </c>
      <c r="H116" s="11">
        <f t="shared" si="6"/>
        <v>0</v>
      </c>
      <c r="I116" s="29">
        <f t="shared" si="7"/>
        <v>0</v>
      </c>
    </row>
    <row r="117" spans="1:9" x14ac:dyDescent="0.35">
      <c r="A117" s="10">
        <f>'Student Basic Info'!A117</f>
        <v>616</v>
      </c>
      <c r="B117" s="10" t="str">
        <f>SubjectList!I117</f>
        <v>Production</v>
      </c>
      <c r="C117" s="10" t="str">
        <f>IF(B117="Finance", IF(Finance!B117=0,"", Finance!B117), IF(B117="Production",IF(Production!B117=0,"", Production!B117), IF(Economics!B117=0,"", Economics!B117)))</f>
        <v/>
      </c>
      <c r="D117" s="10" t="str">
        <f>IF(B117="Finance", IF(Finance!C117=0,"", Finance!C117), IF(B117="Production",IF(Production!C117=0,"", Production!C117), IF(Economics!C117=0,"", Economics!C117)))</f>
        <v/>
      </c>
      <c r="E117" s="10" t="str">
        <f>IF(B117="Finance", IF(Finance!D117=0,"", Finance!D117), IF(B117="Production",IF(Production!D117=0,"", Production!D117), IF(Economics!D117=0,"", Economics!D117)))</f>
        <v/>
      </c>
      <c r="F117" s="10" t="str">
        <f t="shared" si="4"/>
        <v/>
      </c>
      <c r="G117" s="10" t="str">
        <f t="shared" si="5"/>
        <v/>
      </c>
      <c r="H117" s="11" t="str">
        <f t="shared" si="6"/>
        <v/>
      </c>
      <c r="I117" s="29" t="str">
        <f t="shared" si="7"/>
        <v/>
      </c>
    </row>
    <row r="118" spans="1:9" x14ac:dyDescent="0.35">
      <c r="A118" s="10">
        <f>'Student Basic Info'!A118</f>
        <v>617</v>
      </c>
      <c r="B118" s="10" t="str">
        <f>SubjectList!I118</f>
        <v>Production</v>
      </c>
      <c r="C118" s="10" t="str">
        <f>IF(B118="Finance", IF(Finance!B118=0,"", Finance!B118), IF(B118="Production",IF(Production!B118=0,"", Production!B118), IF(Economics!B118=0,"", Economics!B118)))</f>
        <v/>
      </c>
      <c r="D118" s="10" t="str">
        <f>IF(B118="Finance", IF(Finance!C118=0,"", Finance!C118), IF(B118="Production",IF(Production!C118=0,"", Production!C118), IF(Economics!C118=0,"", Economics!C118)))</f>
        <v/>
      </c>
      <c r="E118" s="10" t="str">
        <f>IF(B118="Finance", IF(Finance!D118=0,"", Finance!D118), IF(B118="Production",IF(Production!D118=0,"", Production!D118), IF(Economics!D118=0,"", Economics!D118)))</f>
        <v/>
      </c>
      <c r="F118" s="10" t="str">
        <f t="shared" si="4"/>
        <v/>
      </c>
      <c r="G118" s="10" t="str">
        <f t="shared" si="5"/>
        <v/>
      </c>
      <c r="H118" s="11" t="str">
        <f t="shared" si="6"/>
        <v/>
      </c>
      <c r="I118" s="29" t="str">
        <f t="shared" si="7"/>
        <v/>
      </c>
    </row>
    <row r="119" spans="1:9" x14ac:dyDescent="0.35">
      <c r="A119" s="10">
        <f>'Student Basic Info'!A119</f>
        <v>618</v>
      </c>
      <c r="B119" s="10" t="str">
        <f>SubjectList!I119</f>
        <v>Economics</v>
      </c>
      <c r="C119" s="10" t="str">
        <f>IF(B119="Finance", IF(Finance!B119=0,"", Finance!B119), IF(B119="Production",IF(Production!B119=0,"", Production!B119), IF(Economics!B119=0,"", Economics!B119)))</f>
        <v/>
      </c>
      <c r="D119" s="10" t="str">
        <f>IF(B119="Finance", IF(Finance!C119=0,"", Finance!C119), IF(B119="Production",IF(Production!C119=0,"", Production!C119), IF(Economics!C119=0,"", Economics!C119)))</f>
        <v/>
      </c>
      <c r="E119" s="10" t="str">
        <f>IF(B119="Finance", IF(Finance!D119=0,"", Finance!D119), IF(B119="Production",IF(Production!D119=0,"", Production!D119), IF(Economics!D119=0,"", Economics!D119)))</f>
        <v/>
      </c>
      <c r="F119" s="10" t="str">
        <f t="shared" si="4"/>
        <v/>
      </c>
      <c r="G119" s="10" t="str">
        <f t="shared" si="5"/>
        <v/>
      </c>
      <c r="H119" s="11" t="str">
        <f t="shared" si="6"/>
        <v/>
      </c>
      <c r="I119" s="29" t="str">
        <f t="shared" si="7"/>
        <v/>
      </c>
    </row>
    <row r="120" spans="1:9" x14ac:dyDescent="0.35">
      <c r="A120" s="10">
        <f>'Student Basic Info'!A120</f>
        <v>619</v>
      </c>
      <c r="B120" s="10" t="str">
        <f>SubjectList!I120</f>
        <v>Production</v>
      </c>
      <c r="C120" s="10" t="str">
        <f>IF(B120="Finance", IF(Finance!B120=0,"", Finance!B120), IF(B120="Production",IF(Production!B120=0,"", Production!B120), IF(Economics!B120=0,"", Economics!B120)))</f>
        <v/>
      </c>
      <c r="D120" s="10" t="str">
        <f>IF(B120="Finance", IF(Finance!C120=0,"", Finance!C120), IF(B120="Production",IF(Production!C120=0,"", Production!C120), IF(Economics!C120=0,"", Economics!C120)))</f>
        <v/>
      </c>
      <c r="E120" s="10" t="str">
        <f>IF(B120="Finance", IF(Finance!D120=0,"", Finance!D120), IF(B120="Production",IF(Production!D120=0,"", Production!D120), IF(Economics!D120=0,"", Economics!D120)))</f>
        <v/>
      </c>
      <c r="F120" s="10" t="str">
        <f t="shared" si="4"/>
        <v/>
      </c>
      <c r="G120" s="10" t="str">
        <f t="shared" si="5"/>
        <v/>
      </c>
      <c r="H120" s="11" t="str">
        <f t="shared" si="6"/>
        <v/>
      </c>
      <c r="I120" s="29" t="str">
        <f t="shared" si="7"/>
        <v/>
      </c>
    </row>
    <row r="121" spans="1:9" x14ac:dyDescent="0.35">
      <c r="A121" s="10">
        <f>'Student Basic Info'!A121</f>
        <v>620</v>
      </c>
      <c r="B121" s="10" t="str">
        <f>SubjectList!I121</f>
        <v>Production</v>
      </c>
      <c r="C121" s="10" t="str">
        <f>IF(B121="Finance", IF(Finance!B121=0,"", Finance!B121), IF(B121="Production",IF(Production!B121=0,"", Production!B121), IF(Economics!B121=0,"", Economics!B121)))</f>
        <v/>
      </c>
      <c r="D121" s="10" t="str">
        <f>IF(B121="Finance", IF(Finance!C121=0,"", Finance!C121), IF(B121="Production",IF(Production!C121=0,"", Production!C121), IF(Economics!C121=0,"", Economics!C121)))</f>
        <v/>
      </c>
      <c r="E121" s="10" t="str">
        <f>IF(B121="Finance", IF(Finance!D121=0,"", Finance!D121), IF(B121="Production",IF(Production!D121=0,"", Production!D121), IF(Economics!D121=0,"", Economics!D121)))</f>
        <v/>
      </c>
      <c r="F121" s="10" t="str">
        <f t="shared" si="4"/>
        <v/>
      </c>
      <c r="G121" s="10" t="str">
        <f t="shared" si="5"/>
        <v/>
      </c>
      <c r="H121" s="11" t="str">
        <f t="shared" si="6"/>
        <v/>
      </c>
      <c r="I121" s="29" t="str">
        <f t="shared" si="7"/>
        <v/>
      </c>
    </row>
    <row r="122" spans="1:9" x14ac:dyDescent="0.35">
      <c r="A122" s="10">
        <f>'Student Basic Info'!A122</f>
        <v>621</v>
      </c>
      <c r="B122" s="10" t="str">
        <f>SubjectList!I122</f>
        <v>Production</v>
      </c>
      <c r="C122" s="10">
        <f>IF(B122="Finance", IF(Finance!B122=0,"", Finance!B122), IF(B122="Production",IF(Production!B122=0,"", Production!B122), IF(Economics!B122=0,"", Economics!B122)))</f>
        <v>14</v>
      </c>
      <c r="D122" s="10">
        <f>IF(B122="Finance", IF(Finance!C122=0,"", Finance!C122), IF(B122="Production",IF(Production!C122=0,"", Production!C122), IF(Economics!C122=0,"", Economics!C122)))</f>
        <v>31</v>
      </c>
      <c r="E122" s="10">
        <f>IF(B122="Finance", IF(Finance!D122=0,"", Finance!D122), IF(B122="Production",IF(Production!D122=0,"", Production!D122), IF(Economics!D122=0,"", Economics!D122)))</f>
        <v>45</v>
      </c>
      <c r="F122" s="10" t="str">
        <f t="shared" si="4"/>
        <v>Pass</v>
      </c>
      <c r="G122" s="10" t="str">
        <f t="shared" si="5"/>
        <v>C</v>
      </c>
      <c r="H122" s="11">
        <f t="shared" si="6"/>
        <v>2</v>
      </c>
      <c r="I122" s="29">
        <f t="shared" si="7"/>
        <v>0</v>
      </c>
    </row>
    <row r="123" spans="1:9" x14ac:dyDescent="0.35">
      <c r="A123" s="10">
        <f>'Student Basic Info'!A123</f>
        <v>622</v>
      </c>
      <c r="B123" s="10" t="str">
        <f>SubjectList!I123</f>
        <v>Production</v>
      </c>
      <c r="C123" s="10">
        <f>IF(B123="Finance", IF(Finance!B123=0,"", Finance!B123), IF(B123="Production",IF(Production!B123=0,"", Production!B123), IF(Economics!B123=0,"", Economics!B123)))</f>
        <v>10</v>
      </c>
      <c r="D123" s="10">
        <f>IF(B123="Finance", IF(Finance!C123=0,"", Finance!C123), IF(B123="Production",IF(Production!C123=0,"", Production!C123), IF(Economics!C123=0,"", Economics!C123)))</f>
        <v>27</v>
      </c>
      <c r="E123" s="10">
        <f>IF(B123="Finance", IF(Finance!D123=0,"", Finance!D123), IF(B123="Production",IF(Production!D123=0,"", Production!D123), IF(Economics!D123=0,"", Economics!D123)))</f>
        <v>37</v>
      </c>
      <c r="F123" s="10" t="str">
        <f t="shared" si="4"/>
        <v>Pass</v>
      </c>
      <c r="G123" s="10" t="str">
        <f t="shared" si="5"/>
        <v>D</v>
      </c>
      <c r="H123" s="11">
        <f t="shared" si="6"/>
        <v>1</v>
      </c>
      <c r="I123" s="29">
        <f t="shared" si="7"/>
        <v>0</v>
      </c>
    </row>
    <row r="124" spans="1:9" x14ac:dyDescent="0.35">
      <c r="A124" s="10">
        <f>'Student Basic Info'!A124</f>
        <v>623</v>
      </c>
      <c r="B124" s="10" t="str">
        <f>SubjectList!I124</f>
        <v>Economics</v>
      </c>
      <c r="C124" s="10" t="str">
        <f>IF(B124="Finance", IF(Finance!B124=0,"", Finance!B124), IF(B124="Production",IF(Production!B124=0,"", Production!B124), IF(Economics!B124=0,"", Economics!B124)))</f>
        <v/>
      </c>
      <c r="D124" s="10" t="str">
        <f>IF(B124="Finance", IF(Finance!C124=0,"", Finance!C124), IF(B124="Production",IF(Production!C124=0,"", Production!C124), IF(Economics!C124=0,"", Economics!C124)))</f>
        <v/>
      </c>
      <c r="E124" s="10" t="str">
        <f>IF(B124="Finance", IF(Finance!D124=0,"", Finance!D124), IF(B124="Production",IF(Production!D124=0,"", Production!D124), IF(Economics!D124=0,"", Economics!D124)))</f>
        <v/>
      </c>
      <c r="F124" s="10" t="str">
        <f t="shared" si="4"/>
        <v/>
      </c>
      <c r="G124" s="10" t="str">
        <f t="shared" si="5"/>
        <v/>
      </c>
      <c r="H124" s="11" t="str">
        <f t="shared" si="6"/>
        <v/>
      </c>
      <c r="I124" s="29" t="str">
        <f t="shared" si="7"/>
        <v/>
      </c>
    </row>
    <row r="125" spans="1:9" x14ac:dyDescent="0.35">
      <c r="A125" s="10">
        <f>'Student Basic Info'!A125</f>
        <v>624</v>
      </c>
      <c r="B125" s="10" t="str">
        <f>SubjectList!I125</f>
        <v>Production</v>
      </c>
      <c r="C125" s="10" t="str">
        <f>IF(B125="Finance", IF(Finance!B125=0,"", Finance!B125), IF(B125="Production",IF(Production!B125=0,"", Production!B125), IF(Economics!B125=0,"", Economics!B125)))</f>
        <v/>
      </c>
      <c r="D125" s="10" t="str">
        <f>IF(B125="Finance", IF(Finance!C125=0,"", Finance!C125), IF(B125="Production",IF(Production!C125=0,"", Production!C125), IF(Economics!C125=0,"", Economics!C125)))</f>
        <v/>
      </c>
      <c r="E125" s="10" t="str">
        <f>IF(B125="Finance", IF(Finance!D125=0,"", Finance!D125), IF(B125="Production",IF(Production!D125=0,"", Production!D125), IF(Economics!D125=0,"", Economics!D125)))</f>
        <v/>
      </c>
      <c r="F125" s="10" t="str">
        <f t="shared" si="4"/>
        <v/>
      </c>
      <c r="G125" s="10" t="str">
        <f t="shared" si="5"/>
        <v/>
      </c>
      <c r="H125" s="11" t="str">
        <f t="shared" si="6"/>
        <v/>
      </c>
      <c r="I125" s="29" t="str">
        <f t="shared" si="7"/>
        <v/>
      </c>
    </row>
    <row r="126" spans="1:9" x14ac:dyDescent="0.35">
      <c r="A126" s="10">
        <f>'Student Basic Info'!A126</f>
        <v>625</v>
      </c>
      <c r="B126" s="10" t="str">
        <f>SubjectList!I126</f>
        <v>Economics</v>
      </c>
      <c r="C126" s="10" t="str">
        <f>IF(B126="Finance", IF(Finance!B126=0,"", Finance!B126), IF(B126="Production",IF(Production!B126=0,"", Production!B126), IF(Economics!B126=0,"", Economics!B126)))</f>
        <v/>
      </c>
      <c r="D126" s="10" t="str">
        <f>IF(B126="Finance", IF(Finance!C126=0,"", Finance!C126), IF(B126="Production",IF(Production!C126=0,"", Production!C126), IF(Economics!C126=0,"", Economics!C126)))</f>
        <v/>
      </c>
      <c r="E126" s="10" t="str">
        <f>IF(B126="Finance", IF(Finance!D126=0,"", Finance!D126), IF(B126="Production",IF(Production!D126=0,"", Production!D126), IF(Economics!D126=0,"", Economics!D126)))</f>
        <v/>
      </c>
      <c r="F126" s="10" t="str">
        <f t="shared" si="4"/>
        <v/>
      </c>
      <c r="G126" s="10" t="str">
        <f t="shared" si="5"/>
        <v/>
      </c>
      <c r="H126" s="11" t="str">
        <f t="shared" si="6"/>
        <v/>
      </c>
      <c r="I126" s="29" t="str">
        <f t="shared" si="7"/>
        <v/>
      </c>
    </row>
    <row r="127" spans="1:9" x14ac:dyDescent="0.35">
      <c r="A127" s="10">
        <f>'Student Basic Info'!A127</f>
        <v>626</v>
      </c>
      <c r="B127" s="10" t="str">
        <f>SubjectList!I127</f>
        <v>Production</v>
      </c>
      <c r="C127" s="10" t="str">
        <f>IF(B127="Finance", IF(Finance!B127=0,"", Finance!B127), IF(B127="Production",IF(Production!B127=0,"", Production!B127), IF(Economics!B127=0,"", Economics!B127)))</f>
        <v/>
      </c>
      <c r="D127" s="10" t="str">
        <f>IF(B127="Finance", IF(Finance!C127=0,"", Finance!C127), IF(B127="Production",IF(Production!C127=0,"", Production!C127), IF(Economics!C127=0,"", Economics!C127)))</f>
        <v/>
      </c>
      <c r="E127" s="10" t="str">
        <f>IF(B127="Finance", IF(Finance!D127=0,"", Finance!D127), IF(B127="Production",IF(Production!D127=0,"", Production!D127), IF(Economics!D127=0,"", Economics!D127)))</f>
        <v/>
      </c>
      <c r="F127" s="10" t="str">
        <f t="shared" si="4"/>
        <v/>
      </c>
      <c r="G127" s="10" t="str">
        <f t="shared" si="5"/>
        <v/>
      </c>
      <c r="H127" s="11" t="str">
        <f t="shared" si="6"/>
        <v/>
      </c>
      <c r="I127" s="29" t="str">
        <f t="shared" si="7"/>
        <v/>
      </c>
    </row>
    <row r="128" spans="1:9" x14ac:dyDescent="0.35">
      <c r="A128" s="10">
        <f>'Student Basic Info'!A128</f>
        <v>627</v>
      </c>
      <c r="B128" s="10" t="str">
        <f>SubjectList!I128</f>
        <v>Finance</v>
      </c>
      <c r="C128" s="10" t="str">
        <f>IF(B128="Finance", IF(Finance!B128=0,"", Finance!B128), IF(B128="Production",IF(Production!B128=0,"", Production!B128), IF(Economics!B128=0,"", Economics!B128)))</f>
        <v/>
      </c>
      <c r="D128" s="10" t="str">
        <f>IF(B128="Finance", IF(Finance!C128=0,"", Finance!C128), IF(B128="Production",IF(Production!C128=0,"", Production!C128), IF(Economics!C128=0,"", Economics!C128)))</f>
        <v/>
      </c>
      <c r="E128" s="10" t="str">
        <f>IF(B128="Finance", IF(Finance!D128=0,"", Finance!D128), IF(B128="Production",IF(Production!D128=0,"", Production!D128), IF(Economics!D128=0,"", Economics!D128)))</f>
        <v/>
      </c>
      <c r="F128" s="10" t="str">
        <f t="shared" si="4"/>
        <v/>
      </c>
      <c r="G128" s="10" t="str">
        <f t="shared" si="5"/>
        <v/>
      </c>
      <c r="H128" s="11" t="str">
        <f t="shared" si="6"/>
        <v/>
      </c>
      <c r="I128" s="29" t="str">
        <f t="shared" si="7"/>
        <v/>
      </c>
    </row>
    <row r="129" spans="1:9" x14ac:dyDescent="0.35">
      <c r="A129" s="10">
        <f>'Student Basic Info'!A129</f>
        <v>628</v>
      </c>
      <c r="B129" s="10" t="str">
        <f>SubjectList!I129</f>
        <v>Production</v>
      </c>
      <c r="C129" s="10" t="str">
        <f>IF(B129="Finance", IF(Finance!B129=0,"", Finance!B129), IF(B129="Production",IF(Production!B129=0,"", Production!B129), IF(Economics!B129=0,"", Economics!B129)))</f>
        <v/>
      </c>
      <c r="D129" s="10" t="str">
        <f>IF(B129="Finance", IF(Finance!C129=0,"", Finance!C129), IF(B129="Production",IF(Production!C129=0,"", Production!C129), IF(Economics!C129=0,"", Economics!C129)))</f>
        <v/>
      </c>
      <c r="E129" s="10" t="str">
        <f>IF(B129="Finance", IF(Finance!D129=0,"", Finance!D129), IF(B129="Production",IF(Production!D129=0,"", Production!D129), IF(Economics!D129=0,"", Economics!D129)))</f>
        <v/>
      </c>
      <c r="F129" s="10" t="str">
        <f t="shared" si="4"/>
        <v/>
      </c>
      <c r="G129" s="10" t="str">
        <f t="shared" si="5"/>
        <v/>
      </c>
      <c r="H129" s="11" t="str">
        <f t="shared" si="6"/>
        <v/>
      </c>
      <c r="I129" s="29" t="str">
        <f t="shared" si="7"/>
        <v/>
      </c>
    </row>
    <row r="130" spans="1:9" x14ac:dyDescent="0.35">
      <c r="A130" s="10">
        <f>'Student Basic Info'!A130</f>
        <v>629</v>
      </c>
      <c r="B130" s="10" t="str">
        <f>SubjectList!I130</f>
        <v>Production</v>
      </c>
      <c r="C130" s="10" t="str">
        <f>IF(B130="Finance", IF(Finance!B130=0,"", Finance!B130), IF(B130="Production",IF(Production!B130=0,"", Production!B130), IF(Economics!B130=0,"", Economics!B130)))</f>
        <v/>
      </c>
      <c r="D130" s="10" t="str">
        <f>IF(B130="Finance", IF(Finance!C130=0,"", Finance!C130), IF(B130="Production",IF(Production!C130=0,"", Production!C130), IF(Economics!C130=0,"", Economics!C130)))</f>
        <v/>
      </c>
      <c r="E130" s="10" t="str">
        <f>IF(B130="Finance", IF(Finance!D130=0,"", Finance!D130), IF(B130="Production",IF(Production!D130=0,"", Production!D130), IF(Economics!D130=0,"", Economics!D130)))</f>
        <v/>
      </c>
      <c r="F130" s="10" t="str">
        <f t="shared" si="4"/>
        <v/>
      </c>
      <c r="G130" s="10" t="str">
        <f t="shared" si="5"/>
        <v/>
      </c>
      <c r="H130" s="11" t="str">
        <f t="shared" si="6"/>
        <v/>
      </c>
      <c r="I130" s="29" t="str">
        <f t="shared" si="7"/>
        <v/>
      </c>
    </row>
    <row r="131" spans="1:9" x14ac:dyDescent="0.35">
      <c r="A131" s="10">
        <f>'Student Basic Info'!A131</f>
        <v>630</v>
      </c>
      <c r="B131" s="10" t="str">
        <f>SubjectList!I131</f>
        <v>Economics</v>
      </c>
      <c r="C131" s="10" t="str">
        <f>IF(B131="Finance", IF(Finance!B131=0,"", Finance!B131), IF(B131="Production",IF(Production!B131=0,"", Production!B131), IF(Economics!B131=0,"", Economics!B131)))</f>
        <v/>
      </c>
      <c r="D131" s="10" t="str">
        <f>IF(B131="Finance", IF(Finance!C131=0,"", Finance!C131), IF(B131="Production",IF(Production!C131=0,"", Production!C131), IF(Economics!C131=0,"", Economics!C131)))</f>
        <v/>
      </c>
      <c r="E131" s="10" t="str">
        <f>IF(B131="Finance", IF(Finance!D131=0,"", Finance!D131), IF(B131="Production",IF(Production!D131=0,"", Production!D131), IF(Economics!D131=0,"", Economics!D131)))</f>
        <v/>
      </c>
      <c r="F131" s="10" t="str">
        <f t="shared" si="4"/>
        <v/>
      </c>
      <c r="G131" s="10" t="str">
        <f t="shared" ref="G131:G145" si="8">(IF(E131="","",IF(F131="Fail","F",IF(E131&gt;=80,"A+",IF(E131&gt;=70,"A",IF(E131&gt;=60,"A-",IF(E131&gt;=50,"B",IF(E131&gt;=40,"C",IF(E131&gt;=33,"D","F")))))))))</f>
        <v/>
      </c>
      <c r="H131" s="11" t="str">
        <f t="shared" ref="H131:H145" si="9">(IF(E131="","",IF(G131="F",0,IF(E131&gt;=80,5,IF(E131&gt;=70,4,IF(E131&gt;=60,3.5,IF(E131&gt;=50,3,IF(E131&gt;=40,2,IF(E131&gt;=33,1,0)))))))))</f>
        <v/>
      </c>
      <c r="I131" s="29" t="str">
        <f t="shared" ref="I131:I145" si="10">(IF(E131="","",IF(H131&gt;2,H131-2,0)))</f>
        <v/>
      </c>
    </row>
    <row r="132" spans="1:9" x14ac:dyDescent="0.35">
      <c r="A132" s="10">
        <f>'Student Basic Info'!A132</f>
        <v>631</v>
      </c>
      <c r="B132" s="10" t="str">
        <f>SubjectList!I132</f>
        <v>Production</v>
      </c>
      <c r="C132" s="10" t="str">
        <f>IF(B132="Finance", IF(Finance!B132=0,"", Finance!B132), IF(B132="Production",IF(Production!B132=0,"", Production!B132), IF(Economics!B132=0,"", Economics!B132)))</f>
        <v/>
      </c>
      <c r="D132" s="10" t="str">
        <f>IF(B132="Finance", IF(Finance!C132=0,"", Finance!C132), IF(B132="Production",IF(Production!C132=0,"", Production!C132), IF(Economics!C132=0,"", Economics!C132)))</f>
        <v/>
      </c>
      <c r="E132" s="10" t="str">
        <f>IF(B132="Finance", IF(Finance!D132=0,"", Finance!D132), IF(B132="Production",IF(Production!D132=0,"", Production!D132), IF(Economics!D132=0,"", Economics!D132)))</f>
        <v/>
      </c>
      <c r="F132" s="10" t="str">
        <f t="shared" ref="F132:F145" si="11">IF(E132="","", IF(AND(C132 &gt;=10,D132&gt;=23),"Pass","Fail"))</f>
        <v/>
      </c>
      <c r="G132" s="10" t="str">
        <f t="shared" si="8"/>
        <v/>
      </c>
      <c r="H132" s="11" t="str">
        <f t="shared" si="9"/>
        <v/>
      </c>
      <c r="I132" s="29" t="str">
        <f t="shared" si="10"/>
        <v/>
      </c>
    </row>
    <row r="133" spans="1:9" x14ac:dyDescent="0.35">
      <c r="A133" s="10">
        <f>'Student Basic Info'!A133</f>
        <v>632</v>
      </c>
      <c r="B133" s="10" t="str">
        <f>SubjectList!I133</f>
        <v>Production</v>
      </c>
      <c r="C133" s="10" t="str">
        <f>IF(B133="Finance", IF(Finance!B133=0,"", Finance!B133), IF(B133="Production",IF(Production!B133=0,"", Production!B133), IF(Economics!B133=0,"", Economics!B133)))</f>
        <v/>
      </c>
      <c r="D133" s="10" t="str">
        <f>IF(B133="Finance", IF(Finance!C133=0,"", Finance!C133), IF(B133="Production",IF(Production!C133=0,"", Production!C133), IF(Economics!C133=0,"", Economics!C133)))</f>
        <v/>
      </c>
      <c r="E133" s="10" t="str">
        <f>IF(B133="Finance", IF(Finance!D133=0,"", Finance!D133), IF(B133="Production",IF(Production!D133=0,"", Production!D133), IF(Economics!D133=0,"", Economics!D133)))</f>
        <v/>
      </c>
      <c r="F133" s="10" t="str">
        <f t="shared" si="11"/>
        <v/>
      </c>
      <c r="G133" s="10" t="str">
        <f t="shared" si="8"/>
        <v/>
      </c>
      <c r="H133" s="11" t="str">
        <f t="shared" si="9"/>
        <v/>
      </c>
      <c r="I133" s="29" t="str">
        <f t="shared" si="10"/>
        <v/>
      </c>
    </row>
    <row r="134" spans="1:9" x14ac:dyDescent="0.35">
      <c r="A134" s="10">
        <f>'Student Basic Info'!A134</f>
        <v>633</v>
      </c>
      <c r="B134" s="10" t="str">
        <f>SubjectList!I134</f>
        <v>Economics</v>
      </c>
      <c r="C134" s="10" t="str">
        <f>IF(B134="Finance", IF(Finance!B134=0,"", Finance!B134), IF(B134="Production",IF(Production!B134=0,"", Production!B134), IF(Economics!B134=0,"", Economics!B134)))</f>
        <v/>
      </c>
      <c r="D134" s="10" t="str">
        <f>IF(B134="Finance", IF(Finance!C134=0,"", Finance!C134), IF(B134="Production",IF(Production!C134=0,"", Production!C134), IF(Economics!C134=0,"", Economics!C134)))</f>
        <v/>
      </c>
      <c r="E134" s="10" t="str">
        <f>IF(B134="Finance", IF(Finance!D134=0,"", Finance!D134), IF(B134="Production",IF(Production!D134=0,"", Production!D134), IF(Economics!D134=0,"", Economics!D134)))</f>
        <v/>
      </c>
      <c r="F134" s="10" t="str">
        <f t="shared" si="11"/>
        <v/>
      </c>
      <c r="G134" s="10" t="str">
        <f t="shared" si="8"/>
        <v/>
      </c>
      <c r="H134" s="11" t="str">
        <f t="shared" si="9"/>
        <v/>
      </c>
      <c r="I134" s="29" t="str">
        <f t="shared" si="10"/>
        <v/>
      </c>
    </row>
    <row r="135" spans="1:9" x14ac:dyDescent="0.35">
      <c r="A135" s="10">
        <f>'Student Basic Info'!A135</f>
        <v>634</v>
      </c>
      <c r="B135" s="10" t="str">
        <f>SubjectList!I135</f>
        <v>Production</v>
      </c>
      <c r="C135" s="10" t="str">
        <f>IF(B135="Finance", IF(Finance!B135=0,"", Finance!B135), IF(B135="Production",IF(Production!B135=0,"", Production!B135), IF(Economics!B135=0,"", Economics!B135)))</f>
        <v/>
      </c>
      <c r="D135" s="10" t="str">
        <f>IF(B135="Finance", IF(Finance!C135=0,"", Finance!C135), IF(B135="Production",IF(Production!C135=0,"", Production!C135), IF(Economics!C135=0,"", Economics!C135)))</f>
        <v/>
      </c>
      <c r="E135" s="10" t="str">
        <f>IF(B135="Finance", IF(Finance!D135=0,"", Finance!D135), IF(B135="Production",IF(Production!D135=0,"", Production!D135), IF(Economics!D135=0,"", Economics!D135)))</f>
        <v/>
      </c>
      <c r="F135" s="10" t="str">
        <f t="shared" si="11"/>
        <v/>
      </c>
      <c r="G135" s="10" t="str">
        <f t="shared" si="8"/>
        <v/>
      </c>
      <c r="H135" s="11" t="str">
        <f t="shared" si="9"/>
        <v/>
      </c>
      <c r="I135" s="29" t="str">
        <f t="shared" si="10"/>
        <v/>
      </c>
    </row>
    <row r="136" spans="1:9" x14ac:dyDescent="0.35">
      <c r="A136" s="10">
        <f>'Student Basic Info'!A136</f>
        <v>635</v>
      </c>
      <c r="B136" s="10" t="str">
        <f>SubjectList!I136</f>
        <v>Economics</v>
      </c>
      <c r="C136" s="10" t="str">
        <f>IF(B136="Finance", IF(Finance!B136=0,"", Finance!B136), IF(B136="Production",IF(Production!B136=0,"", Production!B136), IF(Economics!B136=0,"", Economics!B136)))</f>
        <v/>
      </c>
      <c r="D136" s="10" t="str">
        <f>IF(B136="Finance", IF(Finance!C136=0,"", Finance!C136), IF(B136="Production",IF(Production!C136=0,"", Production!C136), IF(Economics!C136=0,"", Economics!C136)))</f>
        <v/>
      </c>
      <c r="E136" s="10" t="str">
        <f>IF(B136="Finance", IF(Finance!D136=0,"", Finance!D136), IF(B136="Production",IF(Production!D136=0,"", Production!D136), IF(Economics!D136=0,"", Economics!D136)))</f>
        <v/>
      </c>
      <c r="F136" s="10" t="str">
        <f t="shared" si="11"/>
        <v/>
      </c>
      <c r="G136" s="10" t="str">
        <f t="shared" si="8"/>
        <v/>
      </c>
      <c r="H136" s="11" t="str">
        <f t="shared" si="9"/>
        <v/>
      </c>
      <c r="I136" s="29" t="str">
        <f t="shared" si="10"/>
        <v/>
      </c>
    </row>
    <row r="137" spans="1:9" x14ac:dyDescent="0.35">
      <c r="A137" s="10">
        <f>'Student Basic Info'!A137</f>
        <v>636</v>
      </c>
      <c r="B137" s="10" t="str">
        <f>SubjectList!I137</f>
        <v>Finance</v>
      </c>
      <c r="C137" s="10" t="str">
        <f>IF(B137="Finance", IF(Finance!B137=0,"", Finance!B137), IF(B137="Production",IF(Production!B137=0,"", Production!B137), IF(Economics!B137=0,"", Economics!B137)))</f>
        <v/>
      </c>
      <c r="D137" s="10" t="str">
        <f>IF(B137="Finance", IF(Finance!C137=0,"", Finance!C137), IF(B137="Production",IF(Production!C137=0,"", Production!C137), IF(Economics!C137=0,"", Economics!C137)))</f>
        <v/>
      </c>
      <c r="E137" s="10" t="str">
        <f>IF(B137="Finance", IF(Finance!D137=0,"", Finance!D137), IF(B137="Production",IF(Production!D137=0,"", Production!D137), IF(Economics!D137=0,"", Economics!D137)))</f>
        <v/>
      </c>
      <c r="F137" s="10" t="str">
        <f t="shared" si="11"/>
        <v/>
      </c>
      <c r="G137" s="10" t="str">
        <f t="shared" si="8"/>
        <v/>
      </c>
      <c r="H137" s="11" t="str">
        <f t="shared" si="9"/>
        <v/>
      </c>
      <c r="I137" s="29" t="str">
        <f t="shared" si="10"/>
        <v/>
      </c>
    </row>
    <row r="138" spans="1:9" x14ac:dyDescent="0.35">
      <c r="A138" s="10">
        <f>'Student Basic Info'!A138</f>
        <v>637</v>
      </c>
      <c r="B138" s="10" t="str">
        <f>SubjectList!I138</f>
        <v>Production</v>
      </c>
      <c r="C138" s="10">
        <f>IF(B138="Finance", IF(Finance!B138=0,"", Finance!B138), IF(B138="Production",IF(Production!B138=0,"", Production!B138), IF(Economics!B138=0,"", Economics!B138)))</f>
        <v>15</v>
      </c>
      <c r="D138" s="10">
        <f>IF(B138="Finance", IF(Finance!C138=0,"", Finance!C138), IF(B138="Production",IF(Production!C138=0,"", Production!C138), IF(Economics!C138=0,"", Economics!C138)))</f>
        <v>15</v>
      </c>
      <c r="E138" s="10">
        <f>IF(B138="Finance", IF(Finance!D138=0,"", Finance!D138), IF(B138="Production",IF(Production!D138=0,"", Production!D138), IF(Economics!D138=0,"", Economics!D138)))</f>
        <v>30</v>
      </c>
      <c r="F138" s="10" t="str">
        <f t="shared" si="11"/>
        <v>Fail</v>
      </c>
      <c r="G138" s="10" t="str">
        <f t="shared" si="8"/>
        <v>F</v>
      </c>
      <c r="H138" s="11">
        <f t="shared" si="9"/>
        <v>0</v>
      </c>
      <c r="I138" s="29">
        <f t="shared" si="10"/>
        <v>0</v>
      </c>
    </row>
    <row r="139" spans="1:9" x14ac:dyDescent="0.35">
      <c r="A139" s="10">
        <f>'Student Basic Info'!A139</f>
        <v>638</v>
      </c>
      <c r="B139" s="10" t="str">
        <f>SubjectList!I139</f>
        <v>Finance</v>
      </c>
      <c r="C139" s="10">
        <f>IF(B139="Finance", IF(Finance!B139=0,"", Finance!B139), IF(B139="Production",IF(Production!B139=0,"", Production!B139), IF(Economics!B139=0,"", Economics!B139)))</f>
        <v>10</v>
      </c>
      <c r="D139" s="10">
        <f>IF(B139="Finance", IF(Finance!C139=0,"", Finance!C139), IF(B139="Production",IF(Production!C139=0,"", Production!C139), IF(Economics!C139=0,"", Economics!C139)))</f>
        <v>1</v>
      </c>
      <c r="E139" s="10">
        <f>IF(B139="Finance", IF(Finance!D139=0,"", Finance!D139), IF(B139="Production",IF(Production!D139=0,"", Production!D139), IF(Economics!D139=0,"", Economics!D139)))</f>
        <v>11</v>
      </c>
      <c r="F139" s="10" t="str">
        <f t="shared" si="11"/>
        <v>Fail</v>
      </c>
      <c r="G139" s="10" t="str">
        <f t="shared" si="8"/>
        <v>F</v>
      </c>
      <c r="H139" s="11">
        <f t="shared" si="9"/>
        <v>0</v>
      </c>
      <c r="I139" s="29">
        <f t="shared" si="10"/>
        <v>0</v>
      </c>
    </row>
    <row r="140" spans="1:9" x14ac:dyDescent="0.35">
      <c r="A140" s="10">
        <f>'Student Basic Info'!A140</f>
        <v>639</v>
      </c>
      <c r="B140" s="10" t="str">
        <f>SubjectList!I140</f>
        <v>Production</v>
      </c>
      <c r="C140" s="10" t="str">
        <f>IF(B140="Finance", IF(Finance!B140=0,"", Finance!B140), IF(B140="Production",IF(Production!B140=0,"", Production!B140), IF(Economics!B140=0,"", Economics!B140)))</f>
        <v/>
      </c>
      <c r="D140" s="10" t="str">
        <f>IF(B140="Finance", IF(Finance!C140=0,"", Finance!C140), IF(B140="Production",IF(Production!C140=0,"", Production!C140), IF(Economics!C140=0,"", Economics!C140)))</f>
        <v/>
      </c>
      <c r="E140" s="10" t="str">
        <f>IF(B140="Finance", IF(Finance!D140=0,"", Finance!D140), IF(B140="Production",IF(Production!D140=0,"", Production!D140), IF(Economics!D140=0,"", Economics!D140)))</f>
        <v/>
      </c>
      <c r="F140" s="10" t="str">
        <f t="shared" si="11"/>
        <v/>
      </c>
      <c r="G140" s="10" t="str">
        <f t="shared" si="8"/>
        <v/>
      </c>
      <c r="H140" s="11" t="str">
        <f t="shared" si="9"/>
        <v/>
      </c>
      <c r="I140" s="29" t="str">
        <f t="shared" si="10"/>
        <v/>
      </c>
    </row>
    <row r="141" spans="1:9" x14ac:dyDescent="0.35">
      <c r="A141" s="10">
        <f>'Student Basic Info'!A141</f>
        <v>640</v>
      </c>
      <c r="B141" s="10" t="str">
        <f>SubjectList!I141</f>
        <v>Production</v>
      </c>
      <c r="C141" s="10" t="str">
        <f>IF(B141="Finance", IF(Finance!B141=0,"", Finance!B141), IF(B141="Production",IF(Production!B141=0,"", Production!B141), IF(Economics!B141=0,"", Economics!B141)))</f>
        <v/>
      </c>
      <c r="D141" s="10" t="str">
        <f>IF(B141="Finance", IF(Finance!C141=0,"", Finance!C141), IF(B141="Production",IF(Production!C141=0,"", Production!C141), IF(Economics!C141=0,"", Economics!C141)))</f>
        <v/>
      </c>
      <c r="E141" s="10" t="str">
        <f>IF(B141="Finance", IF(Finance!D141=0,"", Finance!D141), IF(B141="Production",IF(Production!D141=0,"", Production!D141), IF(Economics!D141=0,"", Economics!D141)))</f>
        <v/>
      </c>
      <c r="F141" s="10" t="str">
        <f t="shared" si="11"/>
        <v/>
      </c>
      <c r="G141" s="10" t="str">
        <f t="shared" si="8"/>
        <v/>
      </c>
      <c r="H141" s="11" t="str">
        <f t="shared" si="9"/>
        <v/>
      </c>
      <c r="I141" s="29" t="str">
        <f t="shared" si="10"/>
        <v/>
      </c>
    </row>
    <row r="142" spans="1:9" x14ac:dyDescent="0.35">
      <c r="A142" s="10">
        <f>'Student Basic Info'!A142</f>
        <v>641</v>
      </c>
      <c r="B142" s="10" t="str">
        <f>SubjectList!I142</f>
        <v>Economics</v>
      </c>
      <c r="C142" s="10">
        <f>IF(B142="Finance", IF(Finance!B142=0,"", Finance!B142), IF(B142="Production",IF(Production!B142=0,"", Production!B142), IF(Economics!B142=0,"", Economics!B142)))</f>
        <v>7</v>
      </c>
      <c r="D142" s="10">
        <f>IF(B142="Finance", IF(Finance!C142=0,"", Finance!C142), IF(B142="Production",IF(Production!C142=0,"", Production!C142), IF(Economics!C142=0,"", Economics!C142)))</f>
        <v>3</v>
      </c>
      <c r="E142" s="10">
        <f>IF(B142="Finance", IF(Finance!D142=0,"", Finance!D142), IF(B142="Production",IF(Production!D142=0,"", Production!D142), IF(Economics!D142=0,"", Economics!D142)))</f>
        <v>10</v>
      </c>
      <c r="F142" s="10" t="str">
        <f t="shared" si="11"/>
        <v>Fail</v>
      </c>
      <c r="G142" s="10" t="str">
        <f t="shared" si="8"/>
        <v>F</v>
      </c>
      <c r="H142" s="11">
        <f t="shared" si="9"/>
        <v>0</v>
      </c>
      <c r="I142" s="29">
        <f t="shared" si="10"/>
        <v>0</v>
      </c>
    </row>
    <row r="143" spans="1:9" x14ac:dyDescent="0.35">
      <c r="A143" s="10">
        <f>'Student Basic Info'!A143</f>
        <v>642</v>
      </c>
      <c r="B143" s="10" t="str">
        <f>SubjectList!I143</f>
        <v>Economics</v>
      </c>
      <c r="C143" s="10">
        <f>IF(B143="Finance", IF(Finance!B143=0,"", Finance!B143), IF(B143="Production",IF(Production!B143=0,"", Production!B143), IF(Economics!B143=0,"", Economics!B143)))</f>
        <v>12</v>
      </c>
      <c r="D143" s="10">
        <f>IF(B143="Finance", IF(Finance!C143=0,"", Finance!C143), IF(B143="Production",IF(Production!C143=0,"", Production!C143), IF(Economics!C143=0,"", Economics!C143)))</f>
        <v>25</v>
      </c>
      <c r="E143" s="10">
        <f>IF(B143="Finance", IF(Finance!D143=0,"", Finance!D143), IF(B143="Production",IF(Production!D143=0,"", Production!D143), IF(Economics!D143=0,"", Economics!D143)))</f>
        <v>37</v>
      </c>
      <c r="F143" s="10" t="str">
        <f t="shared" si="11"/>
        <v>Pass</v>
      </c>
      <c r="G143" s="10" t="str">
        <f t="shared" si="8"/>
        <v>D</v>
      </c>
      <c r="H143" s="11">
        <f t="shared" si="9"/>
        <v>1</v>
      </c>
      <c r="I143" s="29">
        <f t="shared" si="10"/>
        <v>0</v>
      </c>
    </row>
    <row r="144" spans="1:9" x14ac:dyDescent="0.35">
      <c r="A144" s="10">
        <f>'Student Basic Info'!A144</f>
        <v>643</v>
      </c>
      <c r="B144" s="10" t="str">
        <f>SubjectList!I144</f>
        <v>Production</v>
      </c>
      <c r="C144" s="10" t="str">
        <f>IF(B144="Finance", IF(Finance!B144=0,"", Finance!B144), IF(B144="Production",IF(Production!B144=0,"", Production!B144), IF(Economics!B144=0,"", Economics!B144)))</f>
        <v/>
      </c>
      <c r="D144" s="10" t="str">
        <f>IF(B144="Finance", IF(Finance!C144=0,"", Finance!C144), IF(B144="Production",IF(Production!C144=0,"", Production!C144), IF(Economics!C144=0,"", Economics!C144)))</f>
        <v/>
      </c>
      <c r="E144" s="10" t="str">
        <f>IF(B144="Finance", IF(Finance!D144=0,"", Finance!D144), IF(B144="Production",IF(Production!D144=0,"", Production!D144), IF(Economics!D144=0,"", Economics!D144)))</f>
        <v/>
      </c>
      <c r="F144" s="10" t="str">
        <f t="shared" si="11"/>
        <v/>
      </c>
      <c r="G144" s="10" t="str">
        <f t="shared" si="8"/>
        <v/>
      </c>
      <c r="H144" s="11" t="str">
        <f t="shared" si="9"/>
        <v/>
      </c>
      <c r="I144" s="29" t="str">
        <f t="shared" si="10"/>
        <v/>
      </c>
    </row>
    <row r="145" spans="1:9" x14ac:dyDescent="0.35">
      <c r="A145" s="10">
        <f>'Student Basic Info'!A145</f>
        <v>644</v>
      </c>
      <c r="B145" s="10" t="str">
        <f>SubjectList!I145</f>
        <v>Production</v>
      </c>
      <c r="C145" s="10">
        <f>IF(B145="Finance", IF(Finance!B145=0,"", Finance!B145), IF(B145="Production",IF(Production!B145=0,"", Production!B145), IF(Economics!B145=0,"", Economics!B145)))</f>
        <v>9</v>
      </c>
      <c r="D145" s="10">
        <f>IF(B145="Finance", IF(Finance!C145=0,"", Finance!C145), IF(B145="Production",IF(Production!C145=0,"", Production!C145), IF(Economics!C145=0,"", Economics!C145)))</f>
        <v>11</v>
      </c>
      <c r="E145" s="10">
        <f>IF(B145="Finance", IF(Finance!D145=0,"", Finance!D145), IF(B145="Production",IF(Production!D145=0,"", Production!D145), IF(Economics!D145=0,"", Economics!D145)))</f>
        <v>20</v>
      </c>
      <c r="F145" s="10" t="str">
        <f t="shared" si="11"/>
        <v>Fail</v>
      </c>
      <c r="G145" s="10" t="str">
        <f t="shared" si="8"/>
        <v>F</v>
      </c>
      <c r="H145" s="11">
        <f t="shared" si="9"/>
        <v>0</v>
      </c>
      <c r="I145" s="29">
        <f t="shared" si="10"/>
        <v>0</v>
      </c>
    </row>
  </sheetData>
  <conditionalFormatting sqref="F2:F145">
    <cfRule type="containsText" dxfId="11" priority="2" operator="containsText" text="Fail">
      <formula>NOT(ISERROR(SEARCH("Fail",F2)))</formula>
    </cfRule>
    <cfRule type="containsText" dxfId="10" priority="3" operator="containsText" text="Pass">
      <formula>NOT(ISERROR(SEARCH("Pass",F2)))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5"/>
  <sheetViews>
    <sheetView topLeftCell="AH60" workbookViewId="0">
      <selection activeCell="AS80" sqref="AS80"/>
    </sheetView>
  </sheetViews>
  <sheetFormatPr defaultRowHeight="14.5" x14ac:dyDescent="0.35"/>
  <cols>
    <col min="1" max="1" width="14.54296875" bestFit="1" customWidth="1"/>
    <col min="2" max="2" width="7" customWidth="1"/>
    <col min="3" max="3" width="13.54296875" bestFit="1" customWidth="1"/>
    <col min="4" max="6" width="13.54296875" customWidth="1"/>
    <col min="7" max="7" width="13.54296875" style="77" customWidth="1"/>
    <col min="8" max="8" width="11" style="34" hidden="1" customWidth="1"/>
    <col min="9" max="9" width="11" style="34" customWidth="1"/>
    <col min="10" max="10" width="11.08984375" style="34" bestFit="1" customWidth="1"/>
    <col min="11" max="11" width="11.36328125" style="31" bestFit="1" customWidth="1"/>
    <col min="12" max="12" width="8.08984375" style="32" bestFit="1" customWidth="1"/>
    <col min="13" max="13" width="6.36328125" style="32" bestFit="1" customWidth="1"/>
    <col min="14" max="14" width="11" style="32" bestFit="1" customWidth="1"/>
    <col min="15" max="15" width="11" style="32" customWidth="1"/>
    <col min="16" max="16" width="14.81640625" style="33" bestFit="1" customWidth="1"/>
    <col min="17" max="17" width="13.08984375" style="33" bestFit="1" customWidth="1"/>
    <col min="18" max="18" width="14.90625" style="33" bestFit="1" customWidth="1"/>
    <col min="19" max="19" width="16.7265625" style="54" bestFit="1" customWidth="1"/>
    <col min="20" max="20" width="15" style="54" bestFit="1" customWidth="1"/>
    <col min="21" max="21" width="16.81640625" style="54" bestFit="1" customWidth="1"/>
    <col min="22" max="22" width="12.6328125" style="55" bestFit="1" customWidth="1"/>
    <col min="23" max="23" width="10.90625" style="55" bestFit="1" customWidth="1"/>
    <col min="24" max="24" width="12.7265625" style="55" bestFit="1" customWidth="1"/>
    <col min="25" max="25" width="12.6328125" style="56" bestFit="1" customWidth="1"/>
    <col min="26" max="26" width="10.90625" style="56" bestFit="1" customWidth="1"/>
    <col min="27" max="27" width="12.7265625" style="56" bestFit="1" customWidth="1"/>
    <col min="28" max="28" width="11.81640625" style="58" bestFit="1" customWidth="1"/>
    <col min="29" max="29" width="14.81640625" style="56" bestFit="1" customWidth="1"/>
    <col min="30" max="30" width="11.90625" style="57" bestFit="1" customWidth="1"/>
    <col min="31" max="31" width="12.1796875" bestFit="1" customWidth="1"/>
    <col min="32" max="32" width="9" bestFit="1" customWidth="1"/>
    <col min="33" max="33" width="15.7265625" bestFit="1" customWidth="1"/>
    <col min="34" max="34" width="17.7265625" bestFit="1" customWidth="1"/>
    <col min="35" max="36" width="13.6328125" bestFit="1" customWidth="1"/>
    <col min="37" max="37" width="11.26953125" bestFit="1" customWidth="1"/>
    <col min="38" max="38" width="11.54296875" bestFit="1" customWidth="1"/>
    <col min="39" max="39" width="8.36328125" bestFit="1" customWidth="1"/>
    <col min="40" max="40" width="15.08984375" bestFit="1" customWidth="1"/>
    <col min="41" max="41" width="17.08984375" bestFit="1" customWidth="1"/>
    <col min="42" max="43" width="13" bestFit="1" customWidth="1"/>
    <col min="44" max="44" width="13.08984375" bestFit="1" customWidth="1"/>
    <col min="45" max="45" width="15.26953125" bestFit="1" customWidth="1"/>
    <col min="46" max="47" width="15.26953125" customWidth="1"/>
    <col min="48" max="48" width="14.81640625" bestFit="1" customWidth="1"/>
    <col min="49" max="49" width="9.36328125" bestFit="1" customWidth="1"/>
    <col min="50" max="50" width="20" bestFit="1" customWidth="1"/>
    <col min="51" max="51" width="8" style="1" bestFit="1" customWidth="1"/>
    <col min="52" max="52" width="6.08984375" style="1" bestFit="1" customWidth="1"/>
    <col min="53" max="53" width="5.6328125" style="1" bestFit="1" customWidth="1"/>
    <col min="54" max="56" width="7" style="1" bestFit="1" customWidth="1"/>
    <col min="57" max="57" width="9.36328125" style="1" bestFit="1" customWidth="1"/>
    <col min="58" max="58" width="16.54296875" style="1" bestFit="1" customWidth="1"/>
    <col min="59" max="59" width="9.26953125" style="1" bestFit="1" customWidth="1"/>
  </cols>
  <sheetData>
    <row r="1" spans="1:62" ht="15" thickBot="1" x14ac:dyDescent="0.4">
      <c r="A1" s="13" t="s">
        <v>1</v>
      </c>
      <c r="B1" s="13" t="s">
        <v>0</v>
      </c>
      <c r="C1" s="13" t="s">
        <v>34</v>
      </c>
      <c r="D1" s="13" t="s">
        <v>33</v>
      </c>
      <c r="E1" s="13" t="s">
        <v>35</v>
      </c>
      <c r="F1" s="13" t="s">
        <v>414</v>
      </c>
      <c r="G1" s="13" t="s">
        <v>826</v>
      </c>
      <c r="H1" s="13" t="s">
        <v>55</v>
      </c>
      <c r="I1" s="13" t="s">
        <v>56</v>
      </c>
      <c r="J1" s="13" t="s">
        <v>61</v>
      </c>
      <c r="K1" s="13" t="s">
        <v>149</v>
      </c>
      <c r="L1" s="13" t="s">
        <v>58</v>
      </c>
      <c r="M1" s="13" t="s">
        <v>57</v>
      </c>
      <c r="N1" s="13" t="s">
        <v>59</v>
      </c>
      <c r="O1" s="13" t="s">
        <v>60</v>
      </c>
      <c r="P1" s="13" t="s">
        <v>419</v>
      </c>
      <c r="Q1" s="13" t="s">
        <v>420</v>
      </c>
      <c r="R1" s="13" t="s">
        <v>421</v>
      </c>
      <c r="S1" s="13" t="s">
        <v>862</v>
      </c>
      <c r="T1" s="13" t="s">
        <v>863</v>
      </c>
      <c r="U1" s="13" t="s">
        <v>864</v>
      </c>
      <c r="V1" s="13" t="s">
        <v>171</v>
      </c>
      <c r="W1" s="13" t="s">
        <v>172</v>
      </c>
      <c r="X1" s="13" t="s">
        <v>173</v>
      </c>
      <c r="Y1" s="13" t="s">
        <v>174</v>
      </c>
      <c r="Z1" s="13" t="s">
        <v>175</v>
      </c>
      <c r="AA1" s="13" t="s">
        <v>176</v>
      </c>
      <c r="AB1" s="13" t="s">
        <v>161</v>
      </c>
      <c r="AC1" s="13" t="s">
        <v>162</v>
      </c>
      <c r="AD1" s="13" t="s">
        <v>150</v>
      </c>
      <c r="AE1" s="13" t="s">
        <v>151</v>
      </c>
      <c r="AF1" s="13" t="s">
        <v>152</v>
      </c>
      <c r="AG1" s="13" t="s">
        <v>423</v>
      </c>
      <c r="AH1" s="13" t="s">
        <v>422</v>
      </c>
      <c r="AI1" s="13" t="s">
        <v>177</v>
      </c>
      <c r="AJ1" s="13" t="s">
        <v>178</v>
      </c>
      <c r="AK1" s="13" t="s">
        <v>153</v>
      </c>
      <c r="AL1" s="13" t="s">
        <v>154</v>
      </c>
      <c r="AM1" s="13" t="s">
        <v>155</v>
      </c>
      <c r="AN1" s="13" t="s">
        <v>417</v>
      </c>
      <c r="AO1" s="13" t="s">
        <v>418</v>
      </c>
      <c r="AP1" s="13" t="s">
        <v>179</v>
      </c>
      <c r="AQ1" s="13" t="s">
        <v>180</v>
      </c>
      <c r="AR1" s="13" t="s">
        <v>156</v>
      </c>
      <c r="AS1" s="13" t="s">
        <v>157</v>
      </c>
      <c r="AT1" s="13" t="s">
        <v>160</v>
      </c>
      <c r="AU1" s="13" t="s">
        <v>159</v>
      </c>
      <c r="AV1" s="13" t="s">
        <v>158</v>
      </c>
      <c r="AW1" s="13" t="s">
        <v>9</v>
      </c>
      <c r="AX1" s="13" t="s">
        <v>861</v>
      </c>
      <c r="AY1" s="13" t="s">
        <v>163</v>
      </c>
      <c r="AZ1" s="13" t="s">
        <v>164</v>
      </c>
      <c r="BA1" s="13" t="s">
        <v>165</v>
      </c>
      <c r="BB1" s="13" t="s">
        <v>168</v>
      </c>
      <c r="BC1" s="13" t="s">
        <v>169</v>
      </c>
      <c r="BD1" s="13" t="s">
        <v>170</v>
      </c>
      <c r="BE1" s="13" t="s">
        <v>166</v>
      </c>
      <c r="BF1" s="13" t="s">
        <v>167</v>
      </c>
      <c r="BG1" s="13" t="s">
        <v>865</v>
      </c>
      <c r="BH1" s="103" t="s">
        <v>872</v>
      </c>
      <c r="BI1" s="103" t="s">
        <v>874</v>
      </c>
      <c r="BJ1" s="103" t="s">
        <v>8</v>
      </c>
    </row>
    <row r="2" spans="1:62" ht="15" thickBot="1" x14ac:dyDescent="0.4">
      <c r="A2" s="3" t="str">
        <f>'Student Basic Info'!B2</f>
        <v>Business Studies</v>
      </c>
      <c r="B2" s="3">
        <f>'Student Basic Info'!A2</f>
        <v>501</v>
      </c>
      <c r="C2" s="3" t="str">
        <f>'Student Basic Info'!C2</f>
        <v xml:space="preserve">Robiul Sani </v>
      </c>
      <c r="D2" s="3" t="str">
        <f>'Student Basic Info'!D2</f>
        <v>Md. Mobarok Hosain</v>
      </c>
      <c r="E2" s="3" t="str">
        <f>'Student Basic Info'!E2</f>
        <v>Sweety Begum</v>
      </c>
      <c r="F2" s="3" t="str">
        <f>'Student Basic Info'!F2</f>
        <v>Male</v>
      </c>
      <c r="G2" s="78" t="s">
        <v>827</v>
      </c>
      <c r="H2" s="59" t="str">
        <f>IF(Bangla!B2="","",Bangla!B2)</f>
        <v/>
      </c>
      <c r="I2" s="59" t="str">
        <f>IF(Bangla!C2="","",Bangla!C2)</f>
        <v/>
      </c>
      <c r="J2" s="60" t="str">
        <f>IF(Bangla!D2="","",Bangla!D2)</f>
        <v/>
      </c>
      <c r="K2" s="61" t="str">
        <f>IF(English!C2="","",English!C2)</f>
        <v/>
      </c>
      <c r="L2" s="35" t="str">
        <f>IF(ICT!B2="","",ICT!B2)</f>
        <v/>
      </c>
      <c r="M2" s="35" t="str">
        <f>IF(ICT!C2="","",ICT!C2)</f>
        <v/>
      </c>
      <c r="N2" s="35" t="str">
        <f>IF(ICT!D2="","",ICT!D2)</f>
        <v/>
      </c>
      <c r="O2" s="42" t="str">
        <f>IF(ICT!E2="","",ICT!E2)</f>
        <v/>
      </c>
      <c r="P2" s="40" t="str">
        <f>IF(Accounting!B2="","",Accounting!B2)</f>
        <v/>
      </c>
      <c r="Q2" s="40" t="str">
        <f>IF(Accounting!C2="","",Accounting!C2)</f>
        <v/>
      </c>
      <c r="R2" s="44" t="str">
        <f>IF(Accounting!D2="","",Accounting!D2)</f>
        <v/>
      </c>
      <c r="S2" s="35" t="str">
        <f>IF('Business Organization'!B2="","",'Business Organization'!B2)</f>
        <v/>
      </c>
      <c r="T2" s="35" t="str">
        <f>IF('Business Organization'!C2="","",'Business Organization'!C2)</f>
        <v/>
      </c>
      <c r="U2" s="42" t="str">
        <f>IF('Business Organization'!D2="","",'Business Organization'!D2)</f>
        <v/>
      </c>
      <c r="V2" s="36" t="str">
        <f>IF(SubjectList!G2="Finance",IF(Finance!B2=0,"", Finance!B2),IF(SubjectList!G2="Production",IF(Production!B2=0,"", Production!B2),IF(SubjectList!G2="Economics",IF(Economics!B2=0,"", Economics!B2))))</f>
        <v/>
      </c>
      <c r="W2" s="36" t="str">
        <f>IF(SubjectList!G2="Finance",IF(Finance!C2=0,"", Finance!C2),IF(SubjectList!G2="Production",IF(Production!C2=0,"", Production!C2),IF(SubjectList!G2="Economics",IF(Economics!C2=0,"", Economics!C2))))</f>
        <v/>
      </c>
      <c r="X2" s="43" t="str">
        <f>IF(SubjectList!G2="Finance",IF(Finance!D2=0,"", Finance!D2),IF(SubjectList!G2="Production",IF(Production!D2=0,"", Production!D2),IF(SubjectList!G2="Economics",IF(Economics!D2=0,"", Economics!D2))))</f>
        <v/>
      </c>
      <c r="Y2" s="40" t="str">
        <f>IF(SubjectList!H2="Finance",IF(Finance!B2=0,"", Finance!B2),IF(SubjectList!H2="Production",IF(Production!B2=0,"", Production!B2),IF(SubjectList!H2="Economics",IF(Economics!B2=0,"", Economics!B2))))</f>
        <v/>
      </c>
      <c r="Z2" s="40" t="str">
        <f>IF(SubjectList!H2="Finance",IF(Finance!C2=0,"", Finance!C2),IF(SubjectList!H2="Production",IF(Production!C2=0,"", Production!C2),IF(SubjectList!H2="Economics",IF(Economics!C2=0,"", Economics!C2))))</f>
        <v/>
      </c>
      <c r="AA2" s="44" t="str">
        <f>IF(SubjectList!H2="Finance",IF(Finance!D2=0,"", Finance!D2),IF(SubjectList!H2="Production",IF(Production!D2=0,"", Production!D2),IF(SubjectList!H2="Economics",IF(Economics!D2=0,"", Economics!D2))))</f>
        <v/>
      </c>
      <c r="AB2" s="37" t="str">
        <f>IF(SubjectList!G2="Finance","Finance",IF(SubjectList!G2="Production","Production",IF(SubjectList!G2="Economics","Not Given")))</f>
        <v>Finance</v>
      </c>
      <c r="AC2" s="37" t="str">
        <f>IF(SubjectList!H2="Finance","Finance",IF(SubjectList!H2="Production","Production",IF(SubjectList!H2="Economics","Economics","Not Given")))</f>
        <v>Production</v>
      </c>
      <c r="AD2" s="38" t="str">
        <f>Bangla!F2</f>
        <v/>
      </c>
      <c r="AE2" s="38" t="str">
        <f>English!E2</f>
        <v/>
      </c>
      <c r="AF2" s="38" t="str">
        <f>ICT!G2</f>
        <v/>
      </c>
      <c r="AG2" s="38" t="str">
        <f>Accounting!F2</f>
        <v/>
      </c>
      <c r="AH2" s="38" t="str">
        <f>'Business Organization'!F2</f>
        <v/>
      </c>
      <c r="AI2" s="38" t="str">
        <f>IF(SubjectList!G2="Finance",IF(Finance!F2=0,"", Finance!F2),IF(SubjectList!G2="Production",IF(Production!F2=0,"", Production!F2),IF(SubjectList!G2="Economics",IF(Economics!D2=0,"", Economics!D2))))</f>
        <v/>
      </c>
      <c r="AJ2" s="38" t="str">
        <f>IF(SubjectList!H2="Finance",IF(Finance!F2=0,"", Finance!F2),IF(SubjectList!H2="Production",IF(Production!F2=0,"", Production!F2),IF(SubjectList!H2="Economics",IF(Economics!F2=0,"", Economics!F2))))</f>
        <v/>
      </c>
      <c r="AK2" s="39" t="str">
        <f>Bangla!G2</f>
        <v/>
      </c>
      <c r="AL2" s="39" t="str">
        <f>English!F2</f>
        <v/>
      </c>
      <c r="AM2" s="39" t="str">
        <f>ICT!H2</f>
        <v/>
      </c>
      <c r="AN2" s="39" t="str">
        <f>Accounting!G2</f>
        <v/>
      </c>
      <c r="AO2" s="39" t="str">
        <f>'Business Organization'!G2</f>
        <v/>
      </c>
      <c r="AP2" s="39" t="str">
        <f>IF(SubjectList!G2="Finance",Finance!G2,IF(SubjectList!G2="Production",Production!G2,IF(SubjectList!G2="Economics",Economics!G2)))</f>
        <v/>
      </c>
      <c r="AQ2" s="39" t="str">
        <f>IF(Optional!H2="","", Optional!H2)</f>
        <v/>
      </c>
      <c r="AR2" s="39" t="str">
        <f>Optional!H2</f>
        <v/>
      </c>
      <c r="AS2" s="39" t="str">
        <f>Optional!I2</f>
        <v/>
      </c>
      <c r="AT2" s="39" t="str">
        <f t="shared" ref="AT2:AT33" si="0">IF(BE2=0, "", SUM(AK2:AP2))</f>
        <v/>
      </c>
      <c r="AU2" s="39">
        <f>SUM(AS2:AT2)</f>
        <v>0</v>
      </c>
      <c r="AV2" s="39" t="str">
        <f t="shared" ref="AV2:AV33" si="1">IF(BE2=6,IF(AU2&gt;=30,5,(AU2-AS2)/6),"")</f>
        <v/>
      </c>
      <c r="AW2" s="39" t="str">
        <f t="shared" ref="AW2:AW33" si="2">IF(BE2=6, IF(AU2&gt;=30,5,AU2/6), "")</f>
        <v/>
      </c>
      <c r="AX2" s="5">
        <f>IF(J2="",0,J2)+IF(K2="",0,K2)+IF(O2="",0,O2)+IF(R2="",0,R2)+IF(U2="",0,U2)+IF(X2="",0,X2)+IF(AA2="",0,AA2)</f>
        <v>0</v>
      </c>
      <c r="AY2" s="41">
        <f t="shared" ref="AY2:AY33" si="3">(IF(AK2="",0,IF(AK2=0,0,1)))</f>
        <v>0</v>
      </c>
      <c r="AZ2" s="41">
        <f t="shared" ref="AZ2:AZ33" si="4">(IF(AL2="",0,IF(AL2=0,0,1)))</f>
        <v>0</v>
      </c>
      <c r="BA2" s="41">
        <f t="shared" ref="BA2:BA33" si="5">(IF(AM2="",0,IF(AM2=0,0,1)))</f>
        <v>0</v>
      </c>
      <c r="BB2" s="41">
        <f t="shared" ref="BB2:BB33" si="6">(IF(AN2="",0,IF(AN2=0,0,1)))</f>
        <v>0</v>
      </c>
      <c r="BC2" s="41">
        <f t="shared" ref="BC2:BC33" si="7">(IF(AO2="",0,IF(AO2=0,0,1)))</f>
        <v>0</v>
      </c>
      <c r="BD2" s="41">
        <f t="shared" ref="BD2:BD33" si="8">(IF(AP2="",0,IF(AP2=0,0,1)))</f>
        <v>0</v>
      </c>
      <c r="BE2" s="3">
        <f>SUM(AY2:BD2)</f>
        <v>0</v>
      </c>
      <c r="BF2" s="3" t="str">
        <f>IF(BE2=0,"Failed in 6 Subjects",IF(BE2=1,"Failed in 5 Subjects",IF(BE2=2,"Failed in 4 Subjects",IF(BE2=3,"Failed in 3 Subjects",IF(BE2=4,"Failed in 2 Subjects",IF(BE2=5,"Failed in 1 Subject",IF(BE2=6,"Pass")))))))</f>
        <v>Failed in 6 Subjects</v>
      </c>
      <c r="BG2" s="5" t="str">
        <f>IF(AW2="","",RANK(AW2,AW$2:AW145,0))</f>
        <v/>
      </c>
      <c r="BH2" s="3" t="str">
        <f>(IF(AW2="","খুবই দুর্বল",IF(AW2=5,"অসাধারন",IF(AW2&gt;=4,"খুব ভালো",IF(AW2&gt;=3.5,"ভালো",IF(AW2&gt;=3,"মধ্যম মানের",IF(AW2&gt;=2,"যত্ন প্রয়োজন",IF(AW2&gt;=1,"দূর্বল",IF(AW2&gt;=0,"খুবই দূর্বল","খুবই দূর্বল")))))))))</f>
        <v>খুবই দুর্বল</v>
      </c>
      <c r="BI2" t="str">
        <f>(IF(AW2="","Very Weak",IF(AW2=5,"Excellent",IF(AW2&gt;=4,"Very Good",IF(AW2&gt;=3.5,"Good",IF(AW2&gt;=3,"Average",IF(AW2&gt;=2,"Need to improve",IF(AW2&gt;=1,"Weak",IF(AW2&gt;=0,"Very Weak","Very Weak")))))))))</f>
        <v>Very Weak</v>
      </c>
      <c r="BJ2" s="104" t="str">
        <f>IF(AW2&gt;=5,"",IF(AW2&gt;=4,"A",IF(AW2&gt;=3.5,"A-",IF(AW2&gt;=3,"B",IF(AW2&gt;=2,"C",IF(AW2&gt;=1,"D","F"))))))</f>
        <v/>
      </c>
    </row>
    <row r="3" spans="1:62" ht="15" thickBot="1" x14ac:dyDescent="0.4">
      <c r="A3" s="3" t="str">
        <f>'Student Basic Info'!B3</f>
        <v>Business Studies</v>
      </c>
      <c r="B3" s="3">
        <f>'Student Basic Info'!A3</f>
        <v>502</v>
      </c>
      <c r="C3" s="3" t="str">
        <f>'Student Basic Info'!C3</f>
        <v>Shakhawat Hosain</v>
      </c>
      <c r="D3" s="3" t="str">
        <f>'Student Basic Info'!D3</f>
        <v>Abdul Sattar</v>
      </c>
      <c r="E3" s="3" t="str">
        <f>'Student Basic Info'!E3</f>
        <v>Nur Zanan Begum</v>
      </c>
      <c r="F3" s="3" t="str">
        <f>'Student Basic Info'!F3</f>
        <v>Male</v>
      </c>
      <c r="G3" s="79" t="s">
        <v>828</v>
      </c>
      <c r="H3" s="59" t="str">
        <f>IF(Bangla!B3="","",Bangla!B3)</f>
        <v/>
      </c>
      <c r="I3" s="59" t="str">
        <f>IF(Bangla!C3="","",Bangla!C3)</f>
        <v/>
      </c>
      <c r="J3" s="60" t="str">
        <f>IF(Bangla!D3="","",Bangla!D3)</f>
        <v/>
      </c>
      <c r="K3" s="61" t="str">
        <f>IF(English!C3="","",English!C3)</f>
        <v/>
      </c>
      <c r="L3" s="35" t="str">
        <f>IF(ICT!B3="","",ICT!B3)</f>
        <v/>
      </c>
      <c r="M3" s="35" t="str">
        <f>IF(ICT!C3="","",ICT!C3)</f>
        <v/>
      </c>
      <c r="N3" s="35" t="str">
        <f>IF(ICT!D3="","",ICT!D3)</f>
        <v/>
      </c>
      <c r="O3" s="42" t="str">
        <f>IF(ICT!E3="","",ICT!E3)</f>
        <v/>
      </c>
      <c r="P3" s="40" t="str">
        <f>IF(Accounting!B3="","",Accounting!B3)</f>
        <v/>
      </c>
      <c r="Q3" s="40" t="str">
        <f>IF(Accounting!C3="","",Accounting!C3)</f>
        <v/>
      </c>
      <c r="R3" s="44" t="str">
        <f>IF(Accounting!D3="","",Accounting!D3)</f>
        <v/>
      </c>
      <c r="S3" s="35" t="str">
        <f>IF('Business Organization'!B3="","",'Business Organization'!B3)</f>
        <v/>
      </c>
      <c r="T3" s="35" t="str">
        <f>IF('Business Organization'!C3="","",'Business Organization'!C3)</f>
        <v/>
      </c>
      <c r="U3" s="42" t="str">
        <f>IF('Business Organization'!D3="","",'Business Organization'!D3)</f>
        <v/>
      </c>
      <c r="V3" s="36" t="str">
        <f>IF(SubjectList!G3="Finance",IF(Finance!B3=0,"", Finance!B3),IF(SubjectList!G3="Production",IF(Production!B3=0,"", Production!B3),IF(SubjectList!G3="Economics",IF(Economics!B3=0,"", Economics!B3))))</f>
        <v/>
      </c>
      <c r="W3" s="36" t="str">
        <f>IF(SubjectList!G3="Finance",IF(Finance!C3=0,"", Finance!C3),IF(SubjectList!G3="Production",IF(Production!C3=0,"", Production!C3),IF(SubjectList!G3="Economics",IF(Economics!C3=0,"", Economics!C3))))</f>
        <v/>
      </c>
      <c r="X3" s="43" t="str">
        <f>IF(SubjectList!G3="Finance",IF(Finance!D3=0,"", Finance!D3),IF(SubjectList!G3="Production",IF(Production!D3=0,"", Production!D3),IF(SubjectList!G3="Economics",IF(Economics!D3=0,"", Economics!D3))))</f>
        <v/>
      </c>
      <c r="Y3" s="40" t="str">
        <f>IF(SubjectList!H3="Finance",IF(Finance!B3=0,"", Finance!B3),IF(SubjectList!H3="Production",IF(Production!B3=0,"", Production!B3),IF(SubjectList!H3="Economics",IF(Economics!B3=0,"", Economics!B3))))</f>
        <v/>
      </c>
      <c r="Z3" s="40" t="str">
        <f>IF(SubjectList!H3="Finance",IF(Finance!C3=0,"", Finance!C3),IF(SubjectList!H3="Production",IF(Production!C3=0,"", Production!C3),IF(SubjectList!H3="Economics",IF(Economics!C3=0,"", Economics!C3))))</f>
        <v/>
      </c>
      <c r="AA3" s="44" t="str">
        <f>IF(SubjectList!H3="Finance",IF(Finance!D3=0,"", Finance!D3),IF(SubjectList!H3="Production",IF(Production!D3=0,"", Production!D3),IF(SubjectList!H3="Economics",IF(Economics!D3=0,"", Economics!D3))))</f>
        <v/>
      </c>
      <c r="AB3" s="37" t="str">
        <f>IF(SubjectList!G3="Finance","Finance",IF(SubjectList!G3="Production","Production",IF(SubjectList!G3="Economics","Not Given")))</f>
        <v>Finance</v>
      </c>
      <c r="AC3" s="37" t="str">
        <f>IF(SubjectList!H3="Finance","Finance",IF(SubjectList!H3="Production","Production",IF(SubjectList!H3="Economics","Economics","Not Given")))</f>
        <v>Economics</v>
      </c>
      <c r="AD3" s="38" t="str">
        <f>Bangla!F3</f>
        <v/>
      </c>
      <c r="AE3" s="38" t="str">
        <f>English!E3</f>
        <v/>
      </c>
      <c r="AF3" s="38" t="str">
        <f>ICT!G3</f>
        <v/>
      </c>
      <c r="AG3" s="38" t="str">
        <f>Accounting!F3</f>
        <v/>
      </c>
      <c r="AH3" s="38" t="str">
        <f>'Business Organization'!F3</f>
        <v/>
      </c>
      <c r="AI3" s="38" t="str">
        <f>IF(SubjectList!G3="Finance",IF(Finance!F3=0,"", Finance!F3),IF(SubjectList!G3="Production",IF(Production!F3=0,"", Production!F3),IF(SubjectList!G3="Economics",IF(Economics!D3=0,"", Economics!D3))))</f>
        <v/>
      </c>
      <c r="AJ3" s="38" t="str">
        <f>IF(SubjectList!H3="Finance",IF(Finance!F3=0,"", Finance!F3),IF(SubjectList!H3="Production",IF(Production!F3=0,"", Production!F3),IF(SubjectList!H3="Economics",IF(Economics!F3=0,"", Economics!F3))))</f>
        <v/>
      </c>
      <c r="AK3" s="39" t="str">
        <f>Bangla!G3</f>
        <v/>
      </c>
      <c r="AL3" s="39" t="str">
        <f>English!F3</f>
        <v/>
      </c>
      <c r="AM3" s="39" t="str">
        <f>ICT!H3</f>
        <v/>
      </c>
      <c r="AN3" s="39" t="str">
        <f>Accounting!G3</f>
        <v/>
      </c>
      <c r="AO3" s="39" t="str">
        <f>'Business Organization'!G3</f>
        <v/>
      </c>
      <c r="AP3" s="39" t="str">
        <f>IF(SubjectList!G3="Finance",Finance!G3,IF(SubjectList!G3="Production",Production!G3,IF(SubjectList!G3="Economics",Economics!G3)))</f>
        <v/>
      </c>
      <c r="AQ3" s="39" t="str">
        <f>IF(Optional!H3="","", Optional!H3)</f>
        <v/>
      </c>
      <c r="AR3" s="39" t="str">
        <f>Optional!H3</f>
        <v/>
      </c>
      <c r="AS3" s="39" t="str">
        <f>Optional!I3</f>
        <v/>
      </c>
      <c r="AT3" s="39" t="str">
        <f t="shared" si="0"/>
        <v/>
      </c>
      <c r="AU3" s="39">
        <f t="shared" ref="AU3:AU66" si="9">SUM(AS3:AT3)</f>
        <v>0</v>
      </c>
      <c r="AV3" s="39" t="str">
        <f t="shared" si="1"/>
        <v/>
      </c>
      <c r="AW3" s="39" t="str">
        <f t="shared" si="2"/>
        <v/>
      </c>
      <c r="AX3" s="5">
        <f t="shared" ref="AX3:AX66" si="10">IF(J3="",0,J3)+IF(K3="",0,K3)+IF(O3="",0,O3)+IF(R3="",0,R3)+IF(U3="",0,U3)+IF(X3="",0,X3)+IF(AA3="",0,AA3)</f>
        <v>0</v>
      </c>
      <c r="AY3" s="41">
        <f t="shared" si="3"/>
        <v>0</v>
      </c>
      <c r="AZ3" s="41">
        <f t="shared" si="4"/>
        <v>0</v>
      </c>
      <c r="BA3" s="41">
        <f t="shared" si="5"/>
        <v>0</v>
      </c>
      <c r="BB3" s="41">
        <f t="shared" si="6"/>
        <v>0</v>
      </c>
      <c r="BC3" s="41">
        <f t="shared" si="7"/>
        <v>0</v>
      </c>
      <c r="BD3" s="41">
        <f t="shared" si="8"/>
        <v>0</v>
      </c>
      <c r="BE3" s="3">
        <f t="shared" ref="BE3:BE66" si="11">SUM(AY3:BD3)</f>
        <v>0</v>
      </c>
      <c r="BF3" s="3" t="str">
        <f t="shared" ref="BF3:BF66" si="12">IF(BE3=0,"Failed in 6 Subjects",IF(BE3=1,"Failed in 5 Subjects",IF(BE3=2,"Failed in 4 Subjects",IF(BE3=3,"Failed in 3 Subjects",IF(BE3=4,"Failed in 2 Subjects",IF(BE3=5,"Failed in 1 Subject",IF(BE3=6,"Pass")))))))</f>
        <v>Failed in 6 Subjects</v>
      </c>
      <c r="BG3" s="5" t="str">
        <f>IF(AW3="","",RANK(AW3,AW$2:AW145,0))</f>
        <v/>
      </c>
      <c r="BH3" s="3" t="str">
        <f t="shared" ref="BH3:BH66" si="13">(IF(AW3="","খুবই দুর্বল",IF(AW3=5,"অসাধারন",IF(AW3&gt;=4,"খুব ভালো",IF(AW3&gt;=3.5,"ভালো",IF(AW3&gt;=3,"মধ্যম মানের",IF(AW3&gt;=2,"যত্ন প্রয়োজন",IF(AW3&gt;=1,"দূর্বল",IF(AW3&gt;=0,"খুবই দূর্বল","খুবই দূর্বল")))))))))</f>
        <v>খুবই দুর্বল</v>
      </c>
      <c r="BI3" t="str">
        <f t="shared" ref="BI3:BI66" si="14">(IF(AW3="","Very Weak",IF(AW3=5,"Excellent",IF(AW3&gt;=4,"Very Good",IF(AW3&gt;=3.5,"Good",IF(AW3&gt;=3,"Average",IF(AW3&gt;=2,"Need to improve",IF(AW3&gt;=1,"Weak",IF(AW3&gt;=0,"Very Weak","Very Weak")))))))))</f>
        <v>Very Weak</v>
      </c>
      <c r="BJ3" s="104" t="str">
        <f t="shared" ref="BJ3:BJ66" si="15">IF(AW3&gt;=5,"",IF(AW3&gt;=4,"A",IF(AW3&gt;=3.5,"A-",IF(AW3&gt;=3,"B",IF(AW3&gt;=2,"C",IF(AW3&gt;=1,"D","F"))))))</f>
        <v/>
      </c>
    </row>
    <row r="4" spans="1:62" ht="15" thickBot="1" x14ac:dyDescent="0.4">
      <c r="A4" s="3" t="str">
        <f>'Student Basic Info'!B4</f>
        <v>Business Studies</v>
      </c>
      <c r="B4" s="3">
        <f>'Student Basic Info'!A4</f>
        <v>503</v>
      </c>
      <c r="C4" s="3" t="str">
        <f>'Student Basic Info'!C4</f>
        <v>Nusrat Sultana</v>
      </c>
      <c r="D4" s="3" t="str">
        <f>'Student Basic Info'!D4</f>
        <v>Golan Sarwar</v>
      </c>
      <c r="E4" s="3" t="str">
        <f>'Student Basic Info'!E4</f>
        <v>Anowara Begum</v>
      </c>
      <c r="F4" s="3" t="str">
        <f>'Student Basic Info'!F4</f>
        <v>Female</v>
      </c>
      <c r="G4" s="79" t="s">
        <v>829</v>
      </c>
      <c r="H4" s="59" t="str">
        <f>IF(Bangla!B4="","",Bangla!B4)</f>
        <v/>
      </c>
      <c r="I4" s="59">
        <f>IF(Bangla!C4="","",Bangla!C4)</f>
        <v>50</v>
      </c>
      <c r="J4" s="60">
        <f>IF(Bangla!D4="","",Bangla!D4)</f>
        <v>50</v>
      </c>
      <c r="K4" s="61">
        <f>IF(English!C4="","",English!C4)</f>
        <v>33</v>
      </c>
      <c r="L4" s="35">
        <f>IF(ICT!B4="","",ICT!B4)</f>
        <v>8</v>
      </c>
      <c r="M4" s="35">
        <f>IF(ICT!C4="","",ICT!C4)</f>
        <v>18</v>
      </c>
      <c r="N4" s="35">
        <f>IF(ICT!D4="","",ICT!D4)</f>
        <v>20</v>
      </c>
      <c r="O4" s="42">
        <f>IF(ICT!E4="","",ICT!E4)</f>
        <v>46</v>
      </c>
      <c r="P4" s="40">
        <f>IF(Accounting!B4="","",Accounting!B4)</f>
        <v>10</v>
      </c>
      <c r="Q4" s="40">
        <f>IF(Accounting!C4="","",Accounting!C4)</f>
        <v>23</v>
      </c>
      <c r="R4" s="44">
        <f>IF(Accounting!D4="","",Accounting!D4)</f>
        <v>33</v>
      </c>
      <c r="S4" s="35">
        <f>IF('Business Organization'!B4="","",'Business Organization'!B4)</f>
        <v>11</v>
      </c>
      <c r="T4" s="35">
        <f>IF('Business Organization'!C4="","",'Business Organization'!C4)</f>
        <v>23</v>
      </c>
      <c r="U4" s="42">
        <f>IF('Business Organization'!D4="","",'Business Organization'!D4)</f>
        <v>34</v>
      </c>
      <c r="V4" s="36">
        <f>IF(SubjectList!G4="Finance",IF(Finance!B4=0,"", Finance!B4),IF(SubjectList!G4="Production",IF(Production!B4=0,"", Production!B4),IF(SubjectList!G4="Economics",IF(Economics!B4=0,"", Economics!B4))))</f>
        <v>15</v>
      </c>
      <c r="W4" s="36">
        <f>IF(SubjectList!G4="Finance",IF(Finance!C4=0,"", Finance!C4),IF(SubjectList!G4="Production",IF(Production!C4=0,"", Production!C4),IF(SubjectList!G4="Economics",IF(Economics!C4=0,"", Economics!C4))))</f>
        <v>23</v>
      </c>
      <c r="X4" s="43">
        <f>IF(SubjectList!G4="Finance",IF(Finance!D4=0,"", Finance!D4),IF(SubjectList!G4="Production",IF(Production!D4=0,"", Production!D4),IF(SubjectList!G4="Economics",IF(Economics!D4=0,"", Economics!D4))))</f>
        <v>38</v>
      </c>
      <c r="Y4" s="40">
        <f>IF(SubjectList!H4="Finance",IF(Finance!B4=0,"", Finance!B4),IF(SubjectList!H4="Production",IF(Production!B4=0,"", Production!B4),IF(SubjectList!H4="Economics",IF(Economics!B4=0,"", Economics!B4))))</f>
        <v>10</v>
      </c>
      <c r="Z4" s="40">
        <f>IF(SubjectList!H4="Finance",IF(Finance!C4=0,"", Finance!C4),IF(SubjectList!H4="Production",IF(Production!C4=0,"", Production!C4),IF(SubjectList!H4="Economics",IF(Economics!C4=0,"", Economics!C4))))</f>
        <v>30</v>
      </c>
      <c r="AA4" s="44">
        <f>IF(SubjectList!H4="Finance",IF(Finance!D4=0,"", Finance!D4),IF(SubjectList!H4="Production",IF(Production!D4=0,"", Production!D4),IF(SubjectList!H4="Economics",IF(Economics!D4=0,"", Economics!D4))))</f>
        <v>40</v>
      </c>
      <c r="AB4" s="37" t="str">
        <f>IF(SubjectList!G4="Finance","Finance",IF(SubjectList!G4="Production","Production",IF(SubjectList!G4="Economics","Not Given")))</f>
        <v>Production</v>
      </c>
      <c r="AC4" s="37" t="str">
        <f>IF(SubjectList!H4="Finance","Finance",IF(SubjectList!H4="Production","Production",IF(SubjectList!H4="Economics","Economics","Not Given")))</f>
        <v>Economics</v>
      </c>
      <c r="AD4" s="38" t="str">
        <f>Bangla!F4</f>
        <v>B</v>
      </c>
      <c r="AE4" s="38" t="str">
        <f>English!E4</f>
        <v>D</v>
      </c>
      <c r="AF4" s="38" t="str">
        <f>ICT!G4</f>
        <v>C</v>
      </c>
      <c r="AG4" s="38" t="str">
        <f>Accounting!F4</f>
        <v>D</v>
      </c>
      <c r="AH4" s="38" t="str">
        <f>'Business Organization'!F4</f>
        <v>D</v>
      </c>
      <c r="AI4" s="38" t="str">
        <f>IF(SubjectList!G4="Finance",IF(Finance!F4=0,"", Finance!F4),IF(SubjectList!G4="Production",IF(Production!F4=0,"", Production!F4),IF(SubjectList!G4="Economics",IF(Economics!D4=0,"", Economics!D4))))</f>
        <v>D</v>
      </c>
      <c r="AJ4" s="38" t="str">
        <f>IF(SubjectList!H4="Finance",IF(Finance!F4=0,"", Finance!F4),IF(SubjectList!H4="Production",IF(Production!F4=0,"", Production!F4),IF(SubjectList!H4="Economics",IF(Economics!F4=0,"", Economics!F4))))</f>
        <v>C</v>
      </c>
      <c r="AK4" s="39">
        <f>Bangla!G4</f>
        <v>3</v>
      </c>
      <c r="AL4" s="39">
        <f>English!F4</f>
        <v>1</v>
      </c>
      <c r="AM4" s="39">
        <f>ICT!H4</f>
        <v>2</v>
      </c>
      <c r="AN4" s="39">
        <f>Accounting!G4</f>
        <v>1</v>
      </c>
      <c r="AO4" s="39">
        <f>'Business Organization'!G4</f>
        <v>1</v>
      </c>
      <c r="AP4" s="39">
        <f>IF(SubjectList!G4="Finance",Finance!G4,IF(SubjectList!G4="Production",Production!G4,IF(SubjectList!G4="Economics",Economics!G4)))</f>
        <v>1</v>
      </c>
      <c r="AQ4" s="39">
        <f>IF(Optional!H4="","", Optional!H4)</f>
        <v>2</v>
      </c>
      <c r="AR4" s="39">
        <f>Optional!H4</f>
        <v>2</v>
      </c>
      <c r="AS4" s="39">
        <f>Optional!I4</f>
        <v>0</v>
      </c>
      <c r="AT4" s="39">
        <f t="shared" si="0"/>
        <v>9</v>
      </c>
      <c r="AU4" s="39">
        <f t="shared" si="9"/>
        <v>9</v>
      </c>
      <c r="AV4" s="39">
        <f t="shared" si="1"/>
        <v>1.5</v>
      </c>
      <c r="AW4" s="39">
        <f t="shared" si="2"/>
        <v>1.5</v>
      </c>
      <c r="AX4" s="5">
        <f t="shared" si="10"/>
        <v>274</v>
      </c>
      <c r="AY4" s="41">
        <f t="shared" si="3"/>
        <v>1</v>
      </c>
      <c r="AZ4" s="41">
        <f t="shared" si="4"/>
        <v>1</v>
      </c>
      <c r="BA4" s="41">
        <f t="shared" si="5"/>
        <v>1</v>
      </c>
      <c r="BB4" s="41">
        <f t="shared" si="6"/>
        <v>1</v>
      </c>
      <c r="BC4" s="41">
        <f t="shared" si="7"/>
        <v>1</v>
      </c>
      <c r="BD4" s="41">
        <f t="shared" si="8"/>
        <v>1</v>
      </c>
      <c r="BE4" s="3">
        <f t="shared" si="11"/>
        <v>6</v>
      </c>
      <c r="BF4" s="3" t="str">
        <f t="shared" si="12"/>
        <v>Pass</v>
      </c>
      <c r="BG4" s="5">
        <f>IF(AW4="","",RANK(AW4,AW$2:AW145,0))</f>
        <v>12</v>
      </c>
      <c r="BH4" s="3" t="str">
        <f t="shared" si="13"/>
        <v>দূর্বল</v>
      </c>
      <c r="BI4" t="str">
        <f t="shared" si="14"/>
        <v>Weak</v>
      </c>
      <c r="BJ4" s="104" t="str">
        <f t="shared" si="15"/>
        <v>D</v>
      </c>
    </row>
    <row r="5" spans="1:62" ht="15" thickBot="1" x14ac:dyDescent="0.4">
      <c r="A5" s="3" t="str">
        <f>'Student Basic Info'!B5</f>
        <v>Business Studies</v>
      </c>
      <c r="B5" s="3">
        <f>'Student Basic Info'!A5</f>
        <v>504</v>
      </c>
      <c r="C5" s="3" t="str">
        <f>'Student Basic Info'!C5</f>
        <v>Nusrat Zahan</v>
      </c>
      <c r="D5" s="3" t="str">
        <f>'Student Basic Info'!D5</f>
        <v>Md. Ibrahim</v>
      </c>
      <c r="E5" s="3" t="str">
        <f>'Student Basic Info'!E5</f>
        <v>Mst. Marjahan</v>
      </c>
      <c r="F5" s="3" t="str">
        <f>'Student Basic Info'!F5</f>
        <v>Female</v>
      </c>
      <c r="G5" s="79" t="s">
        <v>830</v>
      </c>
      <c r="H5" s="59" t="str">
        <f>IF(Bangla!B5="","",Bangla!B5)</f>
        <v/>
      </c>
      <c r="I5" s="59">
        <f>IF(Bangla!C5="","",Bangla!C5)</f>
        <v>56</v>
      </c>
      <c r="J5" s="60">
        <f>IF(Bangla!D5="","",Bangla!D5)</f>
        <v>56</v>
      </c>
      <c r="K5" s="61">
        <f>IF(English!C5="","",English!C5)</f>
        <v>21</v>
      </c>
      <c r="L5" s="35">
        <f>IF(ICT!B5="","",ICT!B5)</f>
        <v>7</v>
      </c>
      <c r="M5" s="35">
        <f>IF(ICT!C5="","",ICT!C5)</f>
        <v>17</v>
      </c>
      <c r="N5" s="35">
        <f>IF(ICT!D5="","",ICT!D5)</f>
        <v>20</v>
      </c>
      <c r="O5" s="42">
        <f>IF(ICT!E5="","",ICT!E5)</f>
        <v>44</v>
      </c>
      <c r="P5" s="40">
        <f>IF(Accounting!B5="","",Accounting!B5)</f>
        <v>7</v>
      </c>
      <c r="Q5" s="40">
        <f>IF(Accounting!C5="","",Accounting!C5)</f>
        <v>24</v>
      </c>
      <c r="R5" s="44">
        <f>IF(Accounting!D5="","",Accounting!D5)</f>
        <v>31</v>
      </c>
      <c r="S5" s="35">
        <f>IF('Business Organization'!B5="","",'Business Organization'!B5)</f>
        <v>14</v>
      </c>
      <c r="T5" s="35">
        <f>IF('Business Organization'!C5="","",'Business Organization'!C5)</f>
        <v>17</v>
      </c>
      <c r="U5" s="42">
        <f>IF('Business Organization'!D5="","",'Business Organization'!D5)</f>
        <v>31</v>
      </c>
      <c r="V5" s="36">
        <f>IF(SubjectList!G5="Finance",IF(Finance!B5=0,"", Finance!B5),IF(SubjectList!G5="Production",IF(Production!B5=0,"", Production!B5),IF(SubjectList!G5="Economics",IF(Economics!B5=0,"", Economics!B5))))</f>
        <v>10</v>
      </c>
      <c r="W5" s="36">
        <f>IF(SubjectList!G5="Finance",IF(Finance!C5=0,"", Finance!C5),IF(SubjectList!G5="Production",IF(Production!C5=0,"", Production!C5),IF(SubjectList!G5="Economics",IF(Economics!C5=0,"", Economics!C5))))</f>
        <v>37</v>
      </c>
      <c r="X5" s="43">
        <f>IF(SubjectList!G5="Finance",IF(Finance!D5=0,"", Finance!D5),IF(SubjectList!G5="Production",IF(Production!D5=0,"", Production!D5),IF(SubjectList!G5="Economics",IF(Economics!D5=0,"", Economics!D5))))</f>
        <v>47</v>
      </c>
      <c r="Y5" s="40">
        <f>IF(SubjectList!H5="Finance",IF(Finance!B5=0,"", Finance!B5),IF(SubjectList!H5="Production",IF(Production!B5=0,"", Production!B5),IF(SubjectList!H5="Economics",IF(Economics!B5=0,"", Economics!B5))))</f>
        <v>16</v>
      </c>
      <c r="Z5" s="40">
        <f>IF(SubjectList!H5="Finance",IF(Finance!C5=0,"", Finance!C5),IF(SubjectList!H5="Production",IF(Production!C5=0,"", Production!C5),IF(SubjectList!H5="Economics",IF(Economics!C5=0,"", Economics!C5))))</f>
        <v>31</v>
      </c>
      <c r="AA5" s="44">
        <f>IF(SubjectList!H5="Finance",IF(Finance!D5=0,"", Finance!D5),IF(SubjectList!H5="Production",IF(Production!D5=0,"", Production!D5),IF(SubjectList!H5="Economics",IF(Economics!D5=0,"", Economics!D5))))</f>
        <v>47</v>
      </c>
      <c r="AB5" s="37" t="str">
        <f>IF(SubjectList!G5="Finance","Finance",IF(SubjectList!G5="Production","Production",IF(SubjectList!G5="Economics","Not Given")))</f>
        <v>Production</v>
      </c>
      <c r="AC5" s="37" t="str">
        <f>IF(SubjectList!H5="Finance","Finance",IF(SubjectList!H5="Production","Production",IF(SubjectList!H5="Economics","Economics","Not Given")))</f>
        <v>Economics</v>
      </c>
      <c r="AD5" s="38" t="str">
        <f>Bangla!F5</f>
        <v>B</v>
      </c>
      <c r="AE5" s="38" t="str">
        <f>English!E5</f>
        <v>F</v>
      </c>
      <c r="AF5" s="38" t="str">
        <f>ICT!G5</f>
        <v>F</v>
      </c>
      <c r="AG5" s="38" t="str">
        <f>Accounting!F5</f>
        <v>F</v>
      </c>
      <c r="AH5" s="38" t="str">
        <f>'Business Organization'!F5</f>
        <v>F</v>
      </c>
      <c r="AI5" s="38" t="str">
        <f>IF(SubjectList!G5="Finance",IF(Finance!F5=0,"", Finance!F5),IF(SubjectList!G5="Production",IF(Production!F5=0,"", Production!F5),IF(SubjectList!G5="Economics",IF(Economics!D5=0,"", Economics!D5))))</f>
        <v>C</v>
      </c>
      <c r="AJ5" s="38" t="str">
        <f>IF(SubjectList!H5="Finance",IF(Finance!F5=0,"", Finance!F5),IF(SubjectList!H5="Production",IF(Production!F5=0,"", Production!F5),IF(SubjectList!H5="Economics",IF(Economics!F5=0,"", Economics!F5))))</f>
        <v>C</v>
      </c>
      <c r="AK5" s="39">
        <f>Bangla!G5</f>
        <v>3</v>
      </c>
      <c r="AL5" s="39">
        <f>English!F5</f>
        <v>0</v>
      </c>
      <c r="AM5" s="39">
        <f>ICT!H5</f>
        <v>0</v>
      </c>
      <c r="AN5" s="39">
        <f>Accounting!G5</f>
        <v>0</v>
      </c>
      <c r="AO5" s="39">
        <f>'Business Organization'!G5</f>
        <v>0</v>
      </c>
      <c r="AP5" s="39">
        <f>IF(SubjectList!G5="Finance",Finance!G5,IF(SubjectList!G5="Production",Production!G5,IF(SubjectList!G5="Economics",Economics!G5)))</f>
        <v>2</v>
      </c>
      <c r="AQ5" s="39">
        <f>IF(Optional!H5="","", Optional!H5)</f>
        <v>2</v>
      </c>
      <c r="AR5" s="39">
        <f>Optional!H5</f>
        <v>2</v>
      </c>
      <c r="AS5" s="39">
        <f>Optional!I5</f>
        <v>0</v>
      </c>
      <c r="AT5" s="39">
        <f t="shared" si="0"/>
        <v>5</v>
      </c>
      <c r="AU5" s="39">
        <f t="shared" si="9"/>
        <v>5</v>
      </c>
      <c r="AV5" s="39" t="str">
        <f t="shared" si="1"/>
        <v/>
      </c>
      <c r="AW5" s="39" t="str">
        <f t="shared" si="2"/>
        <v/>
      </c>
      <c r="AX5" s="5">
        <f t="shared" si="10"/>
        <v>277</v>
      </c>
      <c r="AY5" s="41">
        <f t="shared" si="3"/>
        <v>1</v>
      </c>
      <c r="AZ5" s="41">
        <f t="shared" si="4"/>
        <v>0</v>
      </c>
      <c r="BA5" s="41">
        <f t="shared" si="5"/>
        <v>0</v>
      </c>
      <c r="BB5" s="41">
        <f t="shared" si="6"/>
        <v>0</v>
      </c>
      <c r="BC5" s="41">
        <f t="shared" si="7"/>
        <v>0</v>
      </c>
      <c r="BD5" s="41">
        <f t="shared" si="8"/>
        <v>1</v>
      </c>
      <c r="BE5" s="3">
        <f t="shared" si="11"/>
        <v>2</v>
      </c>
      <c r="BF5" s="3" t="str">
        <f t="shared" si="12"/>
        <v>Failed in 4 Subjects</v>
      </c>
      <c r="BG5" s="5" t="str">
        <f>IF(AW5="","",RANK(AW5,AW$2:AW145,0))</f>
        <v/>
      </c>
      <c r="BH5" s="3" t="str">
        <f t="shared" si="13"/>
        <v>খুবই দুর্বল</v>
      </c>
      <c r="BI5" t="str">
        <f t="shared" si="14"/>
        <v>Very Weak</v>
      </c>
      <c r="BJ5" s="104" t="str">
        <f t="shared" si="15"/>
        <v/>
      </c>
    </row>
    <row r="6" spans="1:62" ht="15" thickBot="1" x14ac:dyDescent="0.4">
      <c r="A6" s="3" t="str">
        <f>'Student Basic Info'!B6</f>
        <v>Business Studies</v>
      </c>
      <c r="B6" s="3">
        <f>'Student Basic Info'!A6</f>
        <v>505</v>
      </c>
      <c r="C6" s="3" t="str">
        <f>'Student Basic Info'!C6</f>
        <v>Istiaque Mahmud</v>
      </c>
      <c r="D6" s="3" t="str">
        <f>'Student Basic Info'!D6</f>
        <v>Samsuddin Rumu</v>
      </c>
      <c r="E6" s="3" t="str">
        <f>'Student Basic Info'!E6</f>
        <v>Nur Nahar Begum</v>
      </c>
      <c r="F6" s="3" t="str">
        <f>'Student Basic Info'!F6</f>
        <v>Male</v>
      </c>
      <c r="G6" s="79" t="s">
        <v>831</v>
      </c>
      <c r="H6" s="59" t="str">
        <f>IF(Bangla!B6="","",Bangla!B6)</f>
        <v/>
      </c>
      <c r="I6" s="59" t="str">
        <f>IF(Bangla!C6="","",Bangla!C6)</f>
        <v/>
      </c>
      <c r="J6" s="60" t="str">
        <f>IF(Bangla!D6="","",Bangla!D6)</f>
        <v/>
      </c>
      <c r="K6" s="61" t="str">
        <f>IF(English!C6="","",English!C6)</f>
        <v/>
      </c>
      <c r="L6" s="35" t="str">
        <f>IF(ICT!B6="","",ICT!B6)</f>
        <v/>
      </c>
      <c r="M6" s="35" t="str">
        <f>IF(ICT!C6="","",ICT!C6)</f>
        <v/>
      </c>
      <c r="N6" s="35" t="str">
        <f>IF(ICT!D6="","",ICT!D6)</f>
        <v/>
      </c>
      <c r="O6" s="42" t="str">
        <f>IF(ICT!E6="","",ICT!E6)</f>
        <v/>
      </c>
      <c r="P6" s="40" t="str">
        <f>IF(Accounting!B6="","",Accounting!B6)</f>
        <v/>
      </c>
      <c r="Q6" s="40" t="str">
        <f>IF(Accounting!C6="","",Accounting!C6)</f>
        <v/>
      </c>
      <c r="R6" s="44" t="str">
        <f>IF(Accounting!D6="","",Accounting!D6)</f>
        <v/>
      </c>
      <c r="S6" s="35" t="str">
        <f>IF('Business Organization'!B6="","",'Business Organization'!B6)</f>
        <v/>
      </c>
      <c r="T6" s="35" t="str">
        <f>IF('Business Organization'!C6="","",'Business Organization'!C6)</f>
        <v/>
      </c>
      <c r="U6" s="42" t="str">
        <f>IF('Business Organization'!D6="","",'Business Organization'!D6)</f>
        <v/>
      </c>
      <c r="V6" s="36" t="str">
        <f>IF(SubjectList!G6="Finance",IF(Finance!B6=0,"", Finance!B6),IF(SubjectList!G6="Production",IF(Production!B6=0,"", Production!B6),IF(SubjectList!G6="Economics",IF(Economics!B6=0,"", Economics!B6))))</f>
        <v/>
      </c>
      <c r="W6" s="36" t="str">
        <f>IF(SubjectList!G6="Finance",IF(Finance!C6=0,"", Finance!C6),IF(SubjectList!G6="Production",IF(Production!C6=0,"", Production!C6),IF(SubjectList!G6="Economics",IF(Economics!C6=0,"", Economics!C6))))</f>
        <v/>
      </c>
      <c r="X6" s="43" t="str">
        <f>IF(SubjectList!G6="Finance",IF(Finance!D6=0,"", Finance!D6),IF(SubjectList!G6="Production",IF(Production!D6=0,"", Production!D6),IF(SubjectList!G6="Economics",IF(Economics!D6=0,"", Economics!D6))))</f>
        <v/>
      </c>
      <c r="Y6" s="40" t="str">
        <f>IF(SubjectList!H6="Finance",IF(Finance!B6=0,"", Finance!B6),IF(SubjectList!H6="Production",IF(Production!B6=0,"", Production!B6),IF(SubjectList!H6="Economics",IF(Economics!B6=0,"", Economics!B6))))</f>
        <v/>
      </c>
      <c r="Z6" s="40" t="str">
        <f>IF(SubjectList!H6="Finance",IF(Finance!C6=0,"", Finance!C6),IF(SubjectList!H6="Production",IF(Production!C6=0,"", Production!C6),IF(SubjectList!H6="Economics",IF(Economics!C6=0,"", Economics!C6))))</f>
        <v/>
      </c>
      <c r="AA6" s="44" t="str">
        <f>IF(SubjectList!H6="Finance",IF(Finance!D6=0,"", Finance!D6),IF(SubjectList!H6="Production",IF(Production!D6=0,"", Production!D6),IF(SubjectList!H6="Economics",IF(Economics!D6=0,"", Economics!D6))))</f>
        <v/>
      </c>
      <c r="AB6" s="37" t="str">
        <f>IF(SubjectList!G6="Finance","Finance",IF(SubjectList!G6="Production","Production",IF(SubjectList!G6="Economics","Not Given")))</f>
        <v>Finance</v>
      </c>
      <c r="AC6" s="37" t="str">
        <f>IF(SubjectList!H6="Finance","Finance",IF(SubjectList!H6="Production","Production",IF(SubjectList!H6="Economics","Economics","Not Given")))</f>
        <v>Economics</v>
      </c>
      <c r="AD6" s="38" t="str">
        <f>Bangla!F6</f>
        <v/>
      </c>
      <c r="AE6" s="38" t="str">
        <f>English!E6</f>
        <v/>
      </c>
      <c r="AF6" s="38" t="str">
        <f>ICT!G6</f>
        <v/>
      </c>
      <c r="AG6" s="38" t="str">
        <f>Accounting!F6</f>
        <v/>
      </c>
      <c r="AH6" s="38" t="str">
        <f>'Business Organization'!F6</f>
        <v/>
      </c>
      <c r="AI6" s="38" t="str">
        <f>IF(SubjectList!G6="Finance",IF(Finance!F6=0,"", Finance!F6),IF(SubjectList!G6="Production",IF(Production!F6=0,"", Production!F6),IF(SubjectList!G6="Economics",IF(Economics!D6=0,"", Economics!D6))))</f>
        <v/>
      </c>
      <c r="AJ6" s="38" t="str">
        <f>IF(SubjectList!H6="Finance",IF(Finance!F6=0,"", Finance!F6),IF(SubjectList!H6="Production",IF(Production!F6=0,"", Production!F6),IF(SubjectList!H6="Economics",IF(Economics!F6=0,"", Economics!F6))))</f>
        <v/>
      </c>
      <c r="AK6" s="39" t="str">
        <f>Bangla!G6</f>
        <v/>
      </c>
      <c r="AL6" s="39" t="str">
        <f>English!F6</f>
        <v/>
      </c>
      <c r="AM6" s="39" t="str">
        <f>ICT!H6</f>
        <v/>
      </c>
      <c r="AN6" s="39" t="str">
        <f>Accounting!G6</f>
        <v/>
      </c>
      <c r="AO6" s="39" t="str">
        <f>'Business Organization'!G6</f>
        <v/>
      </c>
      <c r="AP6" s="39" t="str">
        <f>IF(SubjectList!G6="Finance",Finance!G6,IF(SubjectList!G6="Production",Production!G6,IF(SubjectList!G6="Economics",Economics!G6)))</f>
        <v/>
      </c>
      <c r="AQ6" s="39" t="str">
        <f>IF(Optional!H6="","", Optional!H6)</f>
        <v/>
      </c>
      <c r="AR6" s="39" t="str">
        <f>Optional!H6</f>
        <v/>
      </c>
      <c r="AS6" s="39" t="str">
        <f>Optional!I6</f>
        <v/>
      </c>
      <c r="AT6" s="39" t="str">
        <f t="shared" si="0"/>
        <v/>
      </c>
      <c r="AU6" s="39">
        <f t="shared" si="9"/>
        <v>0</v>
      </c>
      <c r="AV6" s="39" t="str">
        <f t="shared" si="1"/>
        <v/>
      </c>
      <c r="AW6" s="39" t="str">
        <f t="shared" si="2"/>
        <v/>
      </c>
      <c r="AX6" s="5">
        <f t="shared" si="10"/>
        <v>0</v>
      </c>
      <c r="AY6" s="41">
        <f t="shared" si="3"/>
        <v>0</v>
      </c>
      <c r="AZ6" s="41">
        <f t="shared" si="4"/>
        <v>0</v>
      </c>
      <c r="BA6" s="41">
        <f t="shared" si="5"/>
        <v>0</v>
      </c>
      <c r="BB6" s="41">
        <f t="shared" si="6"/>
        <v>0</v>
      </c>
      <c r="BC6" s="41">
        <f t="shared" si="7"/>
        <v>0</v>
      </c>
      <c r="BD6" s="41">
        <f t="shared" si="8"/>
        <v>0</v>
      </c>
      <c r="BE6" s="3">
        <f t="shared" si="11"/>
        <v>0</v>
      </c>
      <c r="BF6" s="3" t="str">
        <f t="shared" si="12"/>
        <v>Failed in 6 Subjects</v>
      </c>
      <c r="BG6" s="5" t="str">
        <f>IF(AW6="","",RANK(AW6,AW$2:AW145,0))</f>
        <v/>
      </c>
      <c r="BH6" s="3" t="str">
        <f t="shared" si="13"/>
        <v>খুবই দুর্বল</v>
      </c>
      <c r="BI6" t="str">
        <f t="shared" si="14"/>
        <v>Very Weak</v>
      </c>
      <c r="BJ6" s="104" t="str">
        <f t="shared" si="15"/>
        <v/>
      </c>
    </row>
    <row r="7" spans="1:62" ht="15" thickBot="1" x14ac:dyDescent="0.4">
      <c r="A7" s="3" t="str">
        <f>'Student Basic Info'!B7</f>
        <v>Business Studies</v>
      </c>
      <c r="B7" s="3">
        <f>'Student Basic Info'!A7</f>
        <v>506</v>
      </c>
      <c r="C7" s="3" t="str">
        <f>'Student Basic Info'!C7</f>
        <v>Naznin Aktar</v>
      </c>
      <c r="D7" s="3" t="str">
        <f>'Student Basic Info'!D7</f>
        <v>Ruhul Amin</v>
      </c>
      <c r="E7" s="3" t="str">
        <f>'Student Basic Info'!E7</f>
        <v>Hasina Aktar</v>
      </c>
      <c r="F7" s="3" t="str">
        <f>'Student Basic Info'!F7</f>
        <v>Female</v>
      </c>
      <c r="G7" s="79" t="s">
        <v>832</v>
      </c>
      <c r="H7" s="59" t="str">
        <f>IF(Bangla!B7="","",Bangla!B7)</f>
        <v/>
      </c>
      <c r="I7" s="59" t="str">
        <f>IF(Bangla!C7="","",Bangla!C7)</f>
        <v/>
      </c>
      <c r="J7" s="60" t="str">
        <f>IF(Bangla!D7="","",Bangla!D7)</f>
        <v/>
      </c>
      <c r="K7" s="61" t="str">
        <f>IF(English!C7="","",English!C7)</f>
        <v/>
      </c>
      <c r="L7" s="35" t="str">
        <f>IF(ICT!B7="","",ICT!B7)</f>
        <v/>
      </c>
      <c r="M7" s="35" t="str">
        <f>IF(ICT!C7="","",ICT!C7)</f>
        <v/>
      </c>
      <c r="N7" s="35" t="str">
        <f>IF(ICT!D7="","",ICT!D7)</f>
        <v/>
      </c>
      <c r="O7" s="42" t="str">
        <f>IF(ICT!E7="","",ICT!E7)</f>
        <v/>
      </c>
      <c r="P7" s="40" t="str">
        <f>IF(Accounting!B7="","",Accounting!B7)</f>
        <v/>
      </c>
      <c r="Q7" s="40" t="str">
        <f>IF(Accounting!C7="","",Accounting!C7)</f>
        <v/>
      </c>
      <c r="R7" s="44" t="str">
        <f>IF(Accounting!D7="","",Accounting!D7)</f>
        <v/>
      </c>
      <c r="S7" s="35" t="str">
        <f>IF('Business Organization'!B7="","",'Business Organization'!B7)</f>
        <v/>
      </c>
      <c r="T7" s="35" t="str">
        <f>IF('Business Organization'!C7="","",'Business Organization'!C7)</f>
        <v/>
      </c>
      <c r="U7" s="42" t="str">
        <f>IF('Business Organization'!D7="","",'Business Organization'!D7)</f>
        <v/>
      </c>
      <c r="V7" s="36" t="str">
        <f>IF(SubjectList!G7="Finance",IF(Finance!B7=0,"", Finance!B7),IF(SubjectList!G7="Production",IF(Production!B7=0,"", Production!B7),IF(SubjectList!G7="Economics",IF(Economics!B7=0,"", Economics!B7))))</f>
        <v/>
      </c>
      <c r="W7" s="36" t="str">
        <f>IF(SubjectList!G7="Finance",IF(Finance!C7=0,"", Finance!C7),IF(SubjectList!G7="Production",IF(Production!C7=0,"", Production!C7),IF(SubjectList!G7="Economics",IF(Economics!C7=0,"", Economics!C7))))</f>
        <v/>
      </c>
      <c r="X7" s="43" t="str">
        <f>IF(SubjectList!G7="Finance",IF(Finance!D7=0,"", Finance!D7),IF(SubjectList!G7="Production",IF(Production!D7=0,"", Production!D7),IF(SubjectList!G7="Economics",IF(Economics!D7=0,"", Economics!D7))))</f>
        <v/>
      </c>
      <c r="Y7" s="40" t="str">
        <f>IF(SubjectList!H7="Finance",IF(Finance!B7=0,"", Finance!B7),IF(SubjectList!H7="Production",IF(Production!B7=0,"", Production!B7),IF(SubjectList!H7="Economics",IF(Economics!B7=0,"", Economics!B7))))</f>
        <v/>
      </c>
      <c r="Z7" s="40" t="str">
        <f>IF(SubjectList!H7="Finance",IF(Finance!C7=0,"", Finance!C7),IF(SubjectList!H7="Production",IF(Production!C7=0,"", Production!C7),IF(SubjectList!H7="Economics",IF(Economics!C7=0,"", Economics!C7))))</f>
        <v/>
      </c>
      <c r="AA7" s="44" t="str">
        <f>IF(SubjectList!H7="Finance",IF(Finance!D7=0,"", Finance!D7),IF(SubjectList!H7="Production",IF(Production!D7=0,"", Production!D7),IF(SubjectList!H7="Economics",IF(Economics!D7=0,"", Economics!D7))))</f>
        <v/>
      </c>
      <c r="AB7" s="37" t="str">
        <f>IF(SubjectList!G7="Finance","Finance",IF(SubjectList!G7="Production","Production",IF(SubjectList!G7="Economics","Not Given")))</f>
        <v>Finance</v>
      </c>
      <c r="AC7" s="37" t="str">
        <f>IF(SubjectList!H7="Finance","Finance",IF(SubjectList!H7="Production","Production",IF(SubjectList!H7="Economics","Economics","Not Given")))</f>
        <v>Economics</v>
      </c>
      <c r="AD7" s="38" t="str">
        <f>Bangla!F7</f>
        <v/>
      </c>
      <c r="AE7" s="38" t="str">
        <f>English!E7</f>
        <v/>
      </c>
      <c r="AF7" s="38" t="str">
        <f>ICT!G7</f>
        <v/>
      </c>
      <c r="AG7" s="38" t="str">
        <f>Accounting!F7</f>
        <v/>
      </c>
      <c r="AH7" s="38" t="str">
        <f>'Business Organization'!F7</f>
        <v/>
      </c>
      <c r="AI7" s="38" t="str">
        <f>IF(SubjectList!G7="Finance",IF(Finance!F7=0,"", Finance!F7),IF(SubjectList!G7="Production",IF(Production!F7=0,"", Production!F7),IF(SubjectList!G7="Economics",IF(Economics!D7=0,"", Economics!D7))))</f>
        <v/>
      </c>
      <c r="AJ7" s="38" t="str">
        <f>IF(SubjectList!H7="Finance",IF(Finance!F7=0,"", Finance!F7),IF(SubjectList!H7="Production",IF(Production!F7=0,"", Production!F7),IF(SubjectList!H7="Economics",IF(Economics!F7=0,"", Economics!F7))))</f>
        <v/>
      </c>
      <c r="AK7" s="39" t="str">
        <f>Bangla!G7</f>
        <v/>
      </c>
      <c r="AL7" s="39" t="str">
        <f>English!F7</f>
        <v/>
      </c>
      <c r="AM7" s="39" t="str">
        <f>ICT!H7</f>
        <v/>
      </c>
      <c r="AN7" s="39" t="str">
        <f>Accounting!G7</f>
        <v/>
      </c>
      <c r="AO7" s="39" t="str">
        <f>'Business Organization'!G7</f>
        <v/>
      </c>
      <c r="AP7" s="39" t="str">
        <f>IF(SubjectList!G7="Finance",Finance!G7,IF(SubjectList!G7="Production",Production!G7,IF(SubjectList!G7="Economics",Economics!G7)))</f>
        <v/>
      </c>
      <c r="AQ7" s="39" t="str">
        <f>IF(Optional!H7="","", Optional!H7)</f>
        <v/>
      </c>
      <c r="AR7" s="39" t="str">
        <f>Optional!H7</f>
        <v/>
      </c>
      <c r="AS7" s="39" t="str">
        <f>Optional!I7</f>
        <v/>
      </c>
      <c r="AT7" s="39" t="str">
        <f t="shared" si="0"/>
        <v/>
      </c>
      <c r="AU7" s="39">
        <f t="shared" si="9"/>
        <v>0</v>
      </c>
      <c r="AV7" s="39" t="str">
        <f t="shared" si="1"/>
        <v/>
      </c>
      <c r="AW7" s="39" t="str">
        <f t="shared" si="2"/>
        <v/>
      </c>
      <c r="AX7" s="5">
        <f t="shared" si="10"/>
        <v>0</v>
      </c>
      <c r="AY7" s="41">
        <f t="shared" si="3"/>
        <v>0</v>
      </c>
      <c r="AZ7" s="41">
        <f t="shared" si="4"/>
        <v>0</v>
      </c>
      <c r="BA7" s="41">
        <f t="shared" si="5"/>
        <v>0</v>
      </c>
      <c r="BB7" s="41">
        <f t="shared" si="6"/>
        <v>0</v>
      </c>
      <c r="BC7" s="41">
        <f t="shared" si="7"/>
        <v>0</v>
      </c>
      <c r="BD7" s="41">
        <f t="shared" si="8"/>
        <v>0</v>
      </c>
      <c r="BE7" s="3">
        <f t="shared" si="11"/>
        <v>0</v>
      </c>
      <c r="BF7" s="3" t="str">
        <f t="shared" si="12"/>
        <v>Failed in 6 Subjects</v>
      </c>
      <c r="BG7" s="5" t="str">
        <f>IF(AW7="","",RANK(AW7,AW$2:AW145,0))</f>
        <v/>
      </c>
      <c r="BH7" s="3" t="str">
        <f t="shared" si="13"/>
        <v>খুবই দুর্বল</v>
      </c>
      <c r="BI7" t="str">
        <f t="shared" si="14"/>
        <v>Very Weak</v>
      </c>
      <c r="BJ7" s="104" t="str">
        <f t="shared" si="15"/>
        <v/>
      </c>
    </row>
    <row r="8" spans="1:62" ht="15" thickBot="1" x14ac:dyDescent="0.4">
      <c r="A8" s="3" t="str">
        <f>'Student Basic Info'!B8</f>
        <v>Business Studies</v>
      </c>
      <c r="B8" s="3">
        <f>'Student Basic Info'!A8</f>
        <v>507</v>
      </c>
      <c r="C8" s="3" t="str">
        <f>'Student Basic Info'!C8</f>
        <v>Fariha Islam</v>
      </c>
      <c r="D8" s="3" t="str">
        <f>'Student Basic Info'!D8</f>
        <v>Mohammad Selim</v>
      </c>
      <c r="E8" s="3" t="str">
        <f>'Student Basic Info'!E8</f>
        <v>Parvin Aktar</v>
      </c>
      <c r="F8" s="3" t="str">
        <f>'Student Basic Info'!F8</f>
        <v>Female</v>
      </c>
      <c r="G8" s="79" t="s">
        <v>833</v>
      </c>
      <c r="H8" s="59" t="str">
        <f>IF(Bangla!B8="","",Bangla!B8)</f>
        <v/>
      </c>
      <c r="I8" s="59">
        <f>IF(Bangla!C8="","",Bangla!C8)</f>
        <v>60</v>
      </c>
      <c r="J8" s="60">
        <f>IF(Bangla!D8="","",Bangla!D8)</f>
        <v>60</v>
      </c>
      <c r="K8" s="61">
        <f>IF(English!C8="","",English!C8)</f>
        <v>44</v>
      </c>
      <c r="L8" s="35">
        <f>IF(ICT!B8="","",ICT!B8)</f>
        <v>16</v>
      </c>
      <c r="M8" s="35">
        <f>IF(ICT!C8="","",ICT!C8)</f>
        <v>30</v>
      </c>
      <c r="N8" s="35">
        <f>IF(ICT!D8="","",ICT!D8)</f>
        <v>24</v>
      </c>
      <c r="O8" s="42">
        <f>IF(ICT!E8="","",ICT!E8)</f>
        <v>70</v>
      </c>
      <c r="P8" s="40">
        <f>IF(Accounting!B8="","",Accounting!B8)</f>
        <v>12</v>
      </c>
      <c r="Q8" s="40">
        <f>IF(Accounting!C8="","",Accounting!C8)</f>
        <v>35</v>
      </c>
      <c r="R8" s="44">
        <f>IF(Accounting!D8="","",Accounting!D8)</f>
        <v>47</v>
      </c>
      <c r="S8" s="35">
        <f>IF('Business Organization'!B8="","",'Business Organization'!B8)</f>
        <v>21</v>
      </c>
      <c r="T8" s="35">
        <f>IF('Business Organization'!C8="","",'Business Organization'!C8)</f>
        <v>42</v>
      </c>
      <c r="U8" s="42">
        <f>IF('Business Organization'!D8="","",'Business Organization'!D8)</f>
        <v>63</v>
      </c>
      <c r="V8" s="36">
        <f>IF(SubjectList!G8="Finance",IF(Finance!B8=0,"", Finance!B8),IF(SubjectList!G8="Production",IF(Production!B8=0,"", Production!B8),IF(SubjectList!G8="Economics",IF(Economics!B8=0,"", Economics!B8))))</f>
        <v>10</v>
      </c>
      <c r="W8" s="36">
        <f>IF(SubjectList!G8="Finance",IF(Finance!C8=0,"", Finance!C8),IF(SubjectList!G8="Production",IF(Production!C8=0,"", Production!C8),IF(SubjectList!G8="Economics",IF(Economics!C8=0,"", Economics!C8))))</f>
        <v>25</v>
      </c>
      <c r="X8" s="43">
        <f>IF(SubjectList!G8="Finance",IF(Finance!D8=0,"", Finance!D8),IF(SubjectList!G8="Production",IF(Production!D8=0,"", Production!D8),IF(SubjectList!G8="Economics",IF(Economics!D8=0,"", Economics!D8))))</f>
        <v>35</v>
      </c>
      <c r="Y8" s="40">
        <f>IF(SubjectList!H8="Finance",IF(Finance!B8=0,"", Finance!B8),IF(SubjectList!H8="Production",IF(Production!B8=0,"", Production!B8),IF(SubjectList!H8="Economics",IF(Economics!B8=0,"", Economics!B8))))</f>
        <v>21</v>
      </c>
      <c r="Z8" s="40">
        <f>IF(SubjectList!H8="Finance",IF(Finance!C8=0,"", Finance!C8),IF(SubjectList!H8="Production",IF(Production!C8=0,"", Production!C8),IF(SubjectList!H8="Economics",IF(Economics!C8=0,"", Economics!C8))))</f>
        <v>44</v>
      </c>
      <c r="AA8" s="44">
        <f>IF(SubjectList!H8="Finance",IF(Finance!D8=0,"", Finance!D8),IF(SubjectList!H8="Production",IF(Production!D8=0,"", Production!D8),IF(SubjectList!H8="Economics",IF(Economics!D8=0,"", Economics!D8))))</f>
        <v>65</v>
      </c>
      <c r="AB8" s="37" t="str">
        <f>IF(SubjectList!G8="Finance","Finance",IF(SubjectList!G8="Production","Production",IF(SubjectList!G8="Economics","Not Given")))</f>
        <v>Finance</v>
      </c>
      <c r="AC8" s="37" t="str">
        <f>IF(SubjectList!H8="Finance","Finance",IF(SubjectList!H8="Production","Production",IF(SubjectList!H8="Economics","Economics","Not Given")))</f>
        <v>Production</v>
      </c>
      <c r="AD8" s="38" t="str">
        <f>Bangla!F8</f>
        <v>A-</v>
      </c>
      <c r="AE8" s="38" t="str">
        <f>English!E8</f>
        <v>C</v>
      </c>
      <c r="AF8" s="38" t="str">
        <f>ICT!G8</f>
        <v>A</v>
      </c>
      <c r="AG8" s="38" t="str">
        <f>Accounting!F8</f>
        <v>C</v>
      </c>
      <c r="AH8" s="38" t="str">
        <f>'Business Organization'!F8</f>
        <v>A-</v>
      </c>
      <c r="AI8" s="38" t="str">
        <f>IF(SubjectList!G8="Finance",IF(Finance!F8=0,"", Finance!F8),IF(SubjectList!G8="Production",IF(Production!F8=0,"", Production!F8),IF(SubjectList!G8="Economics",IF(Economics!D8=0,"", Economics!D8))))</f>
        <v>D</v>
      </c>
      <c r="AJ8" s="38" t="str">
        <f>IF(SubjectList!H8="Finance",IF(Finance!F8=0,"", Finance!F8),IF(SubjectList!H8="Production",IF(Production!F8=0,"", Production!F8),IF(SubjectList!H8="Economics",IF(Economics!F8=0,"", Economics!F8))))</f>
        <v>A-</v>
      </c>
      <c r="AK8" s="39">
        <f>Bangla!G8</f>
        <v>3.5</v>
      </c>
      <c r="AL8" s="39">
        <f>English!F8</f>
        <v>2</v>
      </c>
      <c r="AM8" s="39">
        <f>ICT!H8</f>
        <v>4</v>
      </c>
      <c r="AN8" s="39">
        <f>Accounting!G8</f>
        <v>2</v>
      </c>
      <c r="AO8" s="39">
        <f>'Business Organization'!G8</f>
        <v>3.5</v>
      </c>
      <c r="AP8" s="39">
        <f>IF(SubjectList!G8="Finance",Finance!G8,IF(SubjectList!G8="Production",Production!G8,IF(SubjectList!G8="Economics",Economics!G8)))</f>
        <v>1</v>
      </c>
      <c r="AQ8" s="39">
        <f>IF(Optional!H8="","", Optional!H8)</f>
        <v>3.5</v>
      </c>
      <c r="AR8" s="39">
        <f>Optional!H8</f>
        <v>3.5</v>
      </c>
      <c r="AS8" s="39">
        <f>Optional!I8</f>
        <v>1.5</v>
      </c>
      <c r="AT8" s="39">
        <f t="shared" si="0"/>
        <v>16</v>
      </c>
      <c r="AU8" s="39">
        <f t="shared" si="9"/>
        <v>17.5</v>
      </c>
      <c r="AV8" s="39">
        <f t="shared" si="1"/>
        <v>2.6666666666666665</v>
      </c>
      <c r="AW8" s="39">
        <f t="shared" si="2"/>
        <v>2.9166666666666665</v>
      </c>
      <c r="AX8" s="5">
        <f t="shared" si="10"/>
        <v>384</v>
      </c>
      <c r="AY8" s="41">
        <f t="shared" si="3"/>
        <v>1</v>
      </c>
      <c r="AZ8" s="41">
        <f t="shared" si="4"/>
        <v>1</v>
      </c>
      <c r="BA8" s="41">
        <f t="shared" si="5"/>
        <v>1</v>
      </c>
      <c r="BB8" s="41">
        <f t="shared" si="6"/>
        <v>1</v>
      </c>
      <c r="BC8" s="41">
        <f t="shared" si="7"/>
        <v>1</v>
      </c>
      <c r="BD8" s="41">
        <f t="shared" si="8"/>
        <v>1</v>
      </c>
      <c r="BE8" s="3">
        <f t="shared" si="11"/>
        <v>6</v>
      </c>
      <c r="BF8" s="3" t="str">
        <f t="shared" si="12"/>
        <v>Pass</v>
      </c>
      <c r="BG8" s="5">
        <f>IF(AW8="","",RANK(AW8,AW$2:AW145,0))</f>
        <v>4</v>
      </c>
      <c r="BH8" s="3" t="str">
        <f t="shared" si="13"/>
        <v>যত্ন প্রয়োজন</v>
      </c>
      <c r="BI8" t="str">
        <f t="shared" si="14"/>
        <v>Need to improve</v>
      </c>
      <c r="BJ8" s="104" t="str">
        <f t="shared" si="15"/>
        <v>C</v>
      </c>
    </row>
    <row r="9" spans="1:62" ht="15" thickBot="1" x14ac:dyDescent="0.4">
      <c r="A9" s="3" t="str">
        <f>'Student Basic Info'!B9</f>
        <v>Business Studies</v>
      </c>
      <c r="B9" s="3">
        <f>'Student Basic Info'!A9</f>
        <v>508</v>
      </c>
      <c r="C9" s="3" t="str">
        <f>'Student Basic Info'!C9</f>
        <v>Suraiya Aktar</v>
      </c>
      <c r="D9" s="3" t="str">
        <f>'Student Basic Info'!D9</f>
        <v>Nur Alom</v>
      </c>
      <c r="E9" s="3" t="str">
        <f>'Student Basic Info'!E9</f>
        <v>Selina Aktar</v>
      </c>
      <c r="F9" s="3" t="str">
        <f>'Student Basic Info'!F9</f>
        <v>Female</v>
      </c>
      <c r="G9" s="79" t="s">
        <v>834</v>
      </c>
      <c r="H9" s="59" t="str">
        <f>IF(Bangla!B9="","",Bangla!B9)</f>
        <v/>
      </c>
      <c r="I9" s="59">
        <f>IF(Bangla!C9="","",Bangla!C9)</f>
        <v>50</v>
      </c>
      <c r="J9" s="60">
        <f>IF(Bangla!D9="","",Bangla!D9)</f>
        <v>50</v>
      </c>
      <c r="K9" s="61">
        <f>IF(English!C9="","",English!C9)</f>
        <v>33</v>
      </c>
      <c r="L9" s="35">
        <f>IF(ICT!B9="","",ICT!B9)</f>
        <v>11</v>
      </c>
      <c r="M9" s="35">
        <f>IF(ICT!C9="","",ICT!C9)</f>
        <v>19</v>
      </c>
      <c r="N9" s="35">
        <f>IF(ICT!D9="","",ICT!D9)</f>
        <v>20</v>
      </c>
      <c r="O9" s="42">
        <f>IF(ICT!E9="","",ICT!E9)</f>
        <v>50</v>
      </c>
      <c r="P9" s="40">
        <f>IF(Accounting!B9="","",Accounting!B9)</f>
        <v>10</v>
      </c>
      <c r="Q9" s="40">
        <f>IF(Accounting!C9="","",Accounting!C9)</f>
        <v>40</v>
      </c>
      <c r="R9" s="44">
        <f>IF(Accounting!D9="","",Accounting!D9)</f>
        <v>50</v>
      </c>
      <c r="S9" s="35">
        <f>IF('Business Organization'!B9="","",'Business Organization'!B9)</f>
        <v>20</v>
      </c>
      <c r="T9" s="35">
        <f>IF('Business Organization'!C9="","",'Business Organization'!C9)</f>
        <v>37</v>
      </c>
      <c r="U9" s="42">
        <f>IF('Business Organization'!D9="","",'Business Organization'!D9)</f>
        <v>57</v>
      </c>
      <c r="V9" s="36">
        <f>IF(SubjectList!G9="Finance",IF(Finance!B9=0,"", Finance!B9),IF(SubjectList!G9="Production",IF(Production!B9=0,"", Production!B9),IF(SubjectList!G9="Economics",IF(Economics!B9=0,"", Economics!B9))))</f>
        <v>14</v>
      </c>
      <c r="W9" s="36">
        <f>IF(SubjectList!G9="Finance",IF(Finance!C9=0,"", Finance!C9),IF(SubjectList!G9="Production",IF(Production!C9=0,"", Production!C9),IF(SubjectList!G9="Economics",IF(Economics!C9=0,"", Economics!C9))))</f>
        <v>45</v>
      </c>
      <c r="X9" s="43">
        <f>IF(SubjectList!G9="Finance",IF(Finance!D9=0,"", Finance!D9),IF(SubjectList!G9="Production",IF(Production!D9=0,"", Production!D9),IF(SubjectList!G9="Economics",IF(Economics!D9=0,"", Economics!D9))))</f>
        <v>59</v>
      </c>
      <c r="Y9" s="40">
        <f>IF(SubjectList!H9="Finance",IF(Finance!B9=0,"", Finance!B9),IF(SubjectList!H9="Production",IF(Production!B9=0,"", Production!B9),IF(SubjectList!H9="Economics",IF(Economics!B9=0,"", Economics!B9))))</f>
        <v>10</v>
      </c>
      <c r="Z9" s="40">
        <f>IF(SubjectList!H9="Finance",IF(Finance!C9=0,"", Finance!C9),IF(SubjectList!H9="Production",IF(Production!C9=0,"", Production!C9),IF(SubjectList!H9="Economics",IF(Economics!C9=0,"", Economics!C9))))</f>
        <v>15</v>
      </c>
      <c r="AA9" s="44">
        <f>IF(SubjectList!H9="Finance",IF(Finance!D9=0,"", Finance!D9),IF(SubjectList!H9="Production",IF(Production!D9=0,"", Production!D9),IF(SubjectList!H9="Economics",IF(Economics!D9=0,"", Economics!D9))))</f>
        <v>25</v>
      </c>
      <c r="AB9" s="37" t="str">
        <f>IF(SubjectList!G9="Finance","Finance",IF(SubjectList!G9="Production","Production",IF(SubjectList!G9="Economics","Not Given")))</f>
        <v>Production</v>
      </c>
      <c r="AC9" s="37" t="str">
        <f>IF(SubjectList!H9="Finance","Finance",IF(SubjectList!H9="Production","Production",IF(SubjectList!H9="Economics","Economics","Not Given")))</f>
        <v>Finance</v>
      </c>
      <c r="AD9" s="38" t="str">
        <f>Bangla!F9</f>
        <v>B</v>
      </c>
      <c r="AE9" s="38" t="str">
        <f>English!E9</f>
        <v>D</v>
      </c>
      <c r="AF9" s="38" t="str">
        <f>ICT!G9</f>
        <v>B</v>
      </c>
      <c r="AG9" s="38" t="str">
        <f>Accounting!F9</f>
        <v>B</v>
      </c>
      <c r="AH9" s="38" t="str">
        <f>'Business Organization'!F9</f>
        <v>B</v>
      </c>
      <c r="AI9" s="38" t="str">
        <f>IF(SubjectList!G9="Finance",IF(Finance!F9=0,"", Finance!F9),IF(SubjectList!G9="Production",IF(Production!F9=0,"", Production!F9),IF(SubjectList!G9="Economics",IF(Economics!D9=0,"", Economics!D9))))</f>
        <v>B</v>
      </c>
      <c r="AJ9" s="38" t="str">
        <f>IF(SubjectList!H9="Finance",IF(Finance!F9=0,"", Finance!F9),IF(SubjectList!H9="Production",IF(Production!F9=0,"", Production!F9),IF(SubjectList!H9="Economics",IF(Economics!F9=0,"", Economics!F9))))</f>
        <v>F</v>
      </c>
      <c r="AK9" s="39">
        <f>Bangla!G9</f>
        <v>3</v>
      </c>
      <c r="AL9" s="39">
        <f>English!F9</f>
        <v>1</v>
      </c>
      <c r="AM9" s="39">
        <f>ICT!H9</f>
        <v>3</v>
      </c>
      <c r="AN9" s="39">
        <f>Accounting!G9</f>
        <v>3</v>
      </c>
      <c r="AO9" s="39">
        <f>'Business Organization'!G9</f>
        <v>3</v>
      </c>
      <c r="AP9" s="39">
        <f>IF(SubjectList!G9="Finance",Finance!G9,IF(SubjectList!G9="Production",Production!G9,IF(SubjectList!G9="Economics",Economics!G9)))</f>
        <v>3</v>
      </c>
      <c r="AQ9" s="39">
        <f>IF(Optional!H9="","", Optional!H9)</f>
        <v>0</v>
      </c>
      <c r="AR9" s="39">
        <f>Optional!H9</f>
        <v>0</v>
      </c>
      <c r="AS9" s="39">
        <f>Optional!I9</f>
        <v>0</v>
      </c>
      <c r="AT9" s="39">
        <f t="shared" si="0"/>
        <v>16</v>
      </c>
      <c r="AU9" s="39">
        <f t="shared" si="9"/>
        <v>16</v>
      </c>
      <c r="AV9" s="39">
        <f t="shared" si="1"/>
        <v>2.6666666666666665</v>
      </c>
      <c r="AW9" s="39">
        <f t="shared" si="2"/>
        <v>2.6666666666666665</v>
      </c>
      <c r="AX9" s="5">
        <f t="shared" si="10"/>
        <v>324</v>
      </c>
      <c r="AY9" s="41">
        <f t="shared" si="3"/>
        <v>1</v>
      </c>
      <c r="AZ9" s="41">
        <f t="shared" si="4"/>
        <v>1</v>
      </c>
      <c r="BA9" s="41">
        <f t="shared" si="5"/>
        <v>1</v>
      </c>
      <c r="BB9" s="41">
        <f t="shared" si="6"/>
        <v>1</v>
      </c>
      <c r="BC9" s="41">
        <f t="shared" si="7"/>
        <v>1</v>
      </c>
      <c r="BD9" s="41">
        <f t="shared" si="8"/>
        <v>1</v>
      </c>
      <c r="BE9" s="3">
        <f t="shared" si="11"/>
        <v>6</v>
      </c>
      <c r="BF9" s="3" t="str">
        <f t="shared" si="12"/>
        <v>Pass</v>
      </c>
      <c r="BG9" s="5">
        <f>IF(AW9="","",RANK(AW9,AW$2:AW145,0))</f>
        <v>7</v>
      </c>
      <c r="BH9" s="3" t="str">
        <f t="shared" si="13"/>
        <v>যত্ন প্রয়োজন</v>
      </c>
      <c r="BI9" t="str">
        <f t="shared" si="14"/>
        <v>Need to improve</v>
      </c>
      <c r="BJ9" s="104" t="str">
        <f t="shared" si="15"/>
        <v>C</v>
      </c>
    </row>
    <row r="10" spans="1:62" ht="15" thickBot="1" x14ac:dyDescent="0.4">
      <c r="A10" s="3" t="str">
        <f>'Student Basic Info'!B10</f>
        <v>Business Studies</v>
      </c>
      <c r="B10" s="3">
        <f>'Student Basic Info'!A10</f>
        <v>509</v>
      </c>
      <c r="C10" s="3" t="str">
        <f>'Student Basic Info'!C10</f>
        <v>Muntasir Ahamml Siyam</v>
      </c>
      <c r="D10" s="3" t="str">
        <f>'Student Basic Info'!D10</f>
        <v>Hannan Ahmed</v>
      </c>
      <c r="E10" s="3" t="str">
        <f>'Student Basic Info'!E10</f>
        <v>Nilufa Yeasmin</v>
      </c>
      <c r="F10" s="3" t="str">
        <f>'Student Basic Info'!F10</f>
        <v>Male</v>
      </c>
      <c r="G10" s="79" t="s">
        <v>835</v>
      </c>
      <c r="H10" s="59" t="str">
        <f>IF(Bangla!B10="","",Bangla!B10)</f>
        <v/>
      </c>
      <c r="I10" s="59">
        <f>IF(Bangla!C10="","",Bangla!C10)</f>
        <v>33</v>
      </c>
      <c r="J10" s="60">
        <f>IF(Bangla!D10="","",Bangla!D10)</f>
        <v>33</v>
      </c>
      <c r="K10" s="61">
        <f>IF(English!C10="","",English!C10)</f>
        <v>21</v>
      </c>
      <c r="L10" s="35">
        <f>IF(ICT!B10="","",ICT!B10)</f>
        <v>12</v>
      </c>
      <c r="M10" s="35">
        <f>IF(ICT!C10="","",ICT!C10)</f>
        <v>16</v>
      </c>
      <c r="N10" s="35">
        <f>IF(ICT!D10="","",ICT!D10)</f>
        <v>22</v>
      </c>
      <c r="O10" s="42">
        <f>IF(ICT!E10="","",ICT!E10)</f>
        <v>50</v>
      </c>
      <c r="P10" s="40">
        <f>IF(Accounting!B10="","",Accounting!B10)</f>
        <v>7</v>
      </c>
      <c r="Q10" s="40">
        <f>IF(Accounting!C10="","",Accounting!C10)</f>
        <v>14</v>
      </c>
      <c r="R10" s="44">
        <f>IF(Accounting!D10="","",Accounting!D10)</f>
        <v>21</v>
      </c>
      <c r="S10" s="35">
        <f>IF('Business Organization'!B10="","",'Business Organization'!B10)</f>
        <v>14</v>
      </c>
      <c r="T10" s="35">
        <f>IF('Business Organization'!C10="","",'Business Organization'!C10)</f>
        <v>15</v>
      </c>
      <c r="U10" s="42">
        <f>IF('Business Organization'!D10="","",'Business Organization'!D10)</f>
        <v>29</v>
      </c>
      <c r="V10" s="36">
        <f>IF(SubjectList!G10="Finance",IF(Finance!B10=0,"", Finance!B10),IF(SubjectList!G10="Production",IF(Production!B10=0,"", Production!B10),IF(SubjectList!G10="Economics",IF(Economics!B10=0,"", Economics!B10))))</f>
        <v>7</v>
      </c>
      <c r="W10" s="36">
        <f>IF(SubjectList!G10="Finance",IF(Finance!C10=0,"", Finance!C10),IF(SubjectList!G10="Production",IF(Production!C10=0,"", Production!C10),IF(SubjectList!G10="Economics",IF(Economics!C10=0,"", Economics!C10))))</f>
        <v>8</v>
      </c>
      <c r="X10" s="43">
        <f>IF(SubjectList!G10="Finance",IF(Finance!D10=0,"", Finance!D10),IF(SubjectList!G10="Production",IF(Production!D10=0,"", Production!D10),IF(SubjectList!G10="Economics",IF(Economics!D10=0,"", Economics!D10))))</f>
        <v>15</v>
      </c>
      <c r="Y10" s="40">
        <f>IF(SubjectList!H10="Finance",IF(Finance!B10=0,"", Finance!B10),IF(SubjectList!H10="Production",IF(Production!B10=0,"", Production!B10),IF(SubjectList!H10="Economics",IF(Economics!B10=0,"", Economics!B10))))</f>
        <v>13</v>
      </c>
      <c r="Z10" s="40">
        <f>IF(SubjectList!H10="Finance",IF(Finance!C10=0,"", Finance!C10),IF(SubjectList!H10="Production",IF(Production!C10=0,"", Production!C10),IF(SubjectList!H10="Economics",IF(Economics!C10=0,"", Economics!C10))))</f>
        <v>24</v>
      </c>
      <c r="AA10" s="44">
        <f>IF(SubjectList!H10="Finance",IF(Finance!D10=0,"", Finance!D10),IF(SubjectList!H10="Production",IF(Production!D10=0,"", Production!D10),IF(SubjectList!H10="Economics",IF(Economics!D10=0,"", Economics!D10))))</f>
        <v>37</v>
      </c>
      <c r="AB10" s="37" t="str">
        <f>IF(SubjectList!G10="Finance","Finance",IF(SubjectList!G10="Production","Production",IF(SubjectList!G10="Economics","Not Given")))</f>
        <v>Finance</v>
      </c>
      <c r="AC10" s="37" t="str">
        <f>IF(SubjectList!H10="Finance","Finance",IF(SubjectList!H10="Production","Production",IF(SubjectList!H10="Economics","Economics","Not Given")))</f>
        <v>Production</v>
      </c>
      <c r="AD10" s="38" t="str">
        <f>Bangla!F10</f>
        <v>D</v>
      </c>
      <c r="AE10" s="38" t="str">
        <f>English!E10</f>
        <v>F</v>
      </c>
      <c r="AF10" s="38" t="str">
        <f>ICT!G10</f>
        <v>F</v>
      </c>
      <c r="AG10" s="38" t="str">
        <f>Accounting!F10</f>
        <v>F</v>
      </c>
      <c r="AH10" s="38" t="str">
        <f>'Business Organization'!F10</f>
        <v>F</v>
      </c>
      <c r="AI10" s="38" t="str">
        <f>IF(SubjectList!G10="Finance",IF(Finance!F10=0,"", Finance!F10),IF(SubjectList!G10="Production",IF(Production!F10=0,"", Production!F10),IF(SubjectList!G10="Economics",IF(Economics!D10=0,"", Economics!D10))))</f>
        <v>F</v>
      </c>
      <c r="AJ10" s="38" t="str">
        <f>IF(SubjectList!H10="Finance",IF(Finance!F10=0,"", Finance!F10),IF(SubjectList!H10="Production",IF(Production!F10=0,"", Production!F10),IF(SubjectList!H10="Economics",IF(Economics!F10=0,"", Economics!F10))))</f>
        <v>D</v>
      </c>
      <c r="AK10" s="39">
        <f>Bangla!G10</f>
        <v>1</v>
      </c>
      <c r="AL10" s="39">
        <f>English!F10</f>
        <v>0</v>
      </c>
      <c r="AM10" s="39">
        <f>ICT!H10</f>
        <v>0</v>
      </c>
      <c r="AN10" s="39">
        <f>Accounting!G10</f>
        <v>0</v>
      </c>
      <c r="AO10" s="39">
        <f>'Business Organization'!G10</f>
        <v>0</v>
      </c>
      <c r="AP10" s="39">
        <f>IF(SubjectList!G10="Finance",Finance!G10,IF(SubjectList!G10="Production",Production!G10,IF(SubjectList!G10="Economics",Economics!G10)))</f>
        <v>0</v>
      </c>
      <c r="AQ10" s="39">
        <f>IF(Optional!H10="","", Optional!H10)</f>
        <v>1</v>
      </c>
      <c r="AR10" s="39">
        <f>Optional!H10</f>
        <v>1</v>
      </c>
      <c r="AS10" s="39">
        <f>Optional!I10</f>
        <v>0</v>
      </c>
      <c r="AT10" s="39">
        <f t="shared" si="0"/>
        <v>1</v>
      </c>
      <c r="AU10" s="39">
        <f t="shared" si="9"/>
        <v>1</v>
      </c>
      <c r="AV10" s="39" t="str">
        <f t="shared" si="1"/>
        <v/>
      </c>
      <c r="AW10" s="39" t="str">
        <f t="shared" si="2"/>
        <v/>
      </c>
      <c r="AX10" s="5">
        <f t="shared" si="10"/>
        <v>206</v>
      </c>
      <c r="AY10" s="41">
        <f t="shared" si="3"/>
        <v>1</v>
      </c>
      <c r="AZ10" s="41">
        <f t="shared" si="4"/>
        <v>0</v>
      </c>
      <c r="BA10" s="41">
        <f t="shared" si="5"/>
        <v>0</v>
      </c>
      <c r="BB10" s="41">
        <f t="shared" si="6"/>
        <v>0</v>
      </c>
      <c r="BC10" s="41">
        <f t="shared" si="7"/>
        <v>0</v>
      </c>
      <c r="BD10" s="41">
        <f t="shared" si="8"/>
        <v>0</v>
      </c>
      <c r="BE10" s="3">
        <f t="shared" si="11"/>
        <v>1</v>
      </c>
      <c r="BF10" s="3" t="str">
        <f t="shared" si="12"/>
        <v>Failed in 5 Subjects</v>
      </c>
      <c r="BG10" s="5" t="str">
        <f>IF(AW10="","",RANK(AW10,AW$2:AW145,0))</f>
        <v/>
      </c>
      <c r="BH10" s="3" t="str">
        <f t="shared" si="13"/>
        <v>খুবই দুর্বল</v>
      </c>
      <c r="BI10" t="str">
        <f t="shared" si="14"/>
        <v>Very Weak</v>
      </c>
      <c r="BJ10" s="104" t="str">
        <f t="shared" si="15"/>
        <v/>
      </c>
    </row>
    <row r="11" spans="1:62" ht="15" thickBot="1" x14ac:dyDescent="0.4">
      <c r="A11" s="3" t="str">
        <f>'Student Basic Info'!B11</f>
        <v>Business Studies</v>
      </c>
      <c r="B11" s="3">
        <f>'Student Basic Info'!A11</f>
        <v>510</v>
      </c>
      <c r="C11" s="3" t="str">
        <f>'Student Basic Info'!C11</f>
        <v>Tanbir Ahammed Alif</v>
      </c>
      <c r="D11" s="3" t="str">
        <f>'Student Basic Info'!D11</f>
        <v>Daud Ahamod</v>
      </c>
      <c r="E11" s="3" t="str">
        <f>'Student Basic Info'!E11</f>
        <v>Shokhina Khatun</v>
      </c>
      <c r="F11" s="3" t="str">
        <f>'Student Basic Info'!F11</f>
        <v>Male</v>
      </c>
      <c r="G11" s="79" t="s">
        <v>836</v>
      </c>
      <c r="H11" s="59" t="str">
        <f>IF(Bangla!B11="","",Bangla!B11)</f>
        <v/>
      </c>
      <c r="I11" s="59" t="str">
        <f>IF(Bangla!C11="","",Bangla!C11)</f>
        <v/>
      </c>
      <c r="J11" s="60" t="str">
        <f>IF(Bangla!D11="","",Bangla!D11)</f>
        <v/>
      </c>
      <c r="K11" s="61" t="str">
        <f>IF(English!C11="","",English!C11)</f>
        <v/>
      </c>
      <c r="L11" s="35" t="str">
        <f>IF(ICT!B11="","",ICT!B11)</f>
        <v/>
      </c>
      <c r="M11" s="35" t="str">
        <f>IF(ICT!C11="","",ICT!C11)</f>
        <v/>
      </c>
      <c r="N11" s="35" t="str">
        <f>IF(ICT!D11="","",ICT!D11)</f>
        <v/>
      </c>
      <c r="O11" s="42" t="str">
        <f>IF(ICT!E11="","",ICT!E11)</f>
        <v/>
      </c>
      <c r="P11" s="40" t="str">
        <f>IF(Accounting!B11="","",Accounting!B11)</f>
        <v/>
      </c>
      <c r="Q11" s="40" t="str">
        <f>IF(Accounting!C11="","",Accounting!C11)</f>
        <v/>
      </c>
      <c r="R11" s="44" t="str">
        <f>IF(Accounting!D11="","",Accounting!D11)</f>
        <v/>
      </c>
      <c r="S11" s="35" t="str">
        <f>IF('Business Organization'!B11="","",'Business Organization'!B11)</f>
        <v/>
      </c>
      <c r="T11" s="35" t="str">
        <f>IF('Business Organization'!C11="","",'Business Organization'!C11)</f>
        <v/>
      </c>
      <c r="U11" s="42" t="str">
        <f>IF('Business Organization'!D11="","",'Business Organization'!D11)</f>
        <v/>
      </c>
      <c r="V11" s="36" t="str">
        <f>IF(SubjectList!G11="Finance",IF(Finance!B11=0,"", Finance!B11),IF(SubjectList!G11="Production",IF(Production!B11=0,"", Production!B11),IF(SubjectList!G11="Economics",IF(Economics!B11=0,"", Economics!B11))))</f>
        <v/>
      </c>
      <c r="W11" s="36" t="str">
        <f>IF(SubjectList!G11="Finance",IF(Finance!C11=0,"", Finance!C11),IF(SubjectList!G11="Production",IF(Production!C11=0,"", Production!C11),IF(SubjectList!G11="Economics",IF(Economics!C11=0,"", Economics!C11))))</f>
        <v/>
      </c>
      <c r="X11" s="43" t="str">
        <f>IF(SubjectList!G11="Finance",IF(Finance!D11=0,"", Finance!D11),IF(SubjectList!G11="Production",IF(Production!D11=0,"", Production!D11),IF(SubjectList!G11="Economics",IF(Economics!D11=0,"", Economics!D11))))</f>
        <v/>
      </c>
      <c r="Y11" s="40" t="str">
        <f>IF(SubjectList!H11="Finance",IF(Finance!B11=0,"", Finance!B11),IF(SubjectList!H11="Production",IF(Production!B11=0,"", Production!B11),IF(SubjectList!H11="Economics",IF(Economics!B11=0,"", Economics!B11))))</f>
        <v/>
      </c>
      <c r="Z11" s="40" t="str">
        <f>IF(SubjectList!H11="Finance",IF(Finance!C11=0,"", Finance!C11),IF(SubjectList!H11="Production",IF(Production!C11=0,"", Production!C11),IF(SubjectList!H11="Economics",IF(Economics!C11=0,"", Economics!C11))))</f>
        <v/>
      </c>
      <c r="AA11" s="44" t="str">
        <f>IF(SubjectList!H11="Finance",IF(Finance!D11=0,"", Finance!D11),IF(SubjectList!H11="Production",IF(Production!D11=0,"", Production!D11),IF(SubjectList!H11="Economics",IF(Economics!D11=0,"", Economics!D11))))</f>
        <v/>
      </c>
      <c r="AB11" s="37" t="str">
        <f>IF(SubjectList!G11="Finance","Finance",IF(SubjectList!G11="Production","Production",IF(SubjectList!G11="Economics","Not Given")))</f>
        <v>Finance</v>
      </c>
      <c r="AC11" s="37" t="str">
        <f>IF(SubjectList!H11="Finance","Finance",IF(SubjectList!H11="Production","Production",IF(SubjectList!H11="Economics","Economics","Not Given")))</f>
        <v>Production</v>
      </c>
      <c r="AD11" s="38" t="str">
        <f>Bangla!F11</f>
        <v/>
      </c>
      <c r="AE11" s="38" t="str">
        <f>English!E11</f>
        <v/>
      </c>
      <c r="AF11" s="38" t="str">
        <f>ICT!G11</f>
        <v/>
      </c>
      <c r="AG11" s="38" t="str">
        <f>Accounting!F11</f>
        <v/>
      </c>
      <c r="AH11" s="38" t="str">
        <f>'Business Organization'!F11</f>
        <v/>
      </c>
      <c r="AI11" s="38" t="str">
        <f>IF(SubjectList!G11="Finance",IF(Finance!F11=0,"", Finance!F11),IF(SubjectList!G11="Production",IF(Production!F11=0,"", Production!F11),IF(SubjectList!G11="Economics",IF(Economics!D11=0,"", Economics!D11))))</f>
        <v/>
      </c>
      <c r="AJ11" s="38" t="str">
        <f>IF(SubjectList!H11="Finance",IF(Finance!F11=0,"", Finance!F11),IF(SubjectList!H11="Production",IF(Production!F11=0,"", Production!F11),IF(SubjectList!H11="Economics",IF(Economics!F11=0,"", Economics!F11))))</f>
        <v/>
      </c>
      <c r="AK11" s="39" t="str">
        <f>Bangla!G11</f>
        <v/>
      </c>
      <c r="AL11" s="39" t="str">
        <f>English!F11</f>
        <v/>
      </c>
      <c r="AM11" s="39" t="str">
        <f>ICT!H11</f>
        <v/>
      </c>
      <c r="AN11" s="39" t="str">
        <f>Accounting!G11</f>
        <v/>
      </c>
      <c r="AO11" s="39" t="str">
        <f>'Business Organization'!G11</f>
        <v/>
      </c>
      <c r="AP11" s="39" t="str">
        <f>IF(SubjectList!G11="Finance",Finance!G11,IF(SubjectList!G11="Production",Production!G11,IF(SubjectList!G11="Economics",Economics!G11)))</f>
        <v/>
      </c>
      <c r="AQ11" s="39" t="str">
        <f>IF(Optional!H11="","", Optional!H11)</f>
        <v/>
      </c>
      <c r="AR11" s="39" t="str">
        <f>Optional!H11</f>
        <v/>
      </c>
      <c r="AS11" s="39" t="str">
        <f>Optional!I11</f>
        <v/>
      </c>
      <c r="AT11" s="39" t="str">
        <f t="shared" si="0"/>
        <v/>
      </c>
      <c r="AU11" s="39">
        <f t="shared" si="9"/>
        <v>0</v>
      </c>
      <c r="AV11" s="39" t="str">
        <f t="shared" si="1"/>
        <v/>
      </c>
      <c r="AW11" s="39" t="str">
        <f t="shared" si="2"/>
        <v/>
      </c>
      <c r="AX11" s="5">
        <f t="shared" si="10"/>
        <v>0</v>
      </c>
      <c r="AY11" s="41">
        <f t="shared" si="3"/>
        <v>0</v>
      </c>
      <c r="AZ11" s="41">
        <f t="shared" si="4"/>
        <v>0</v>
      </c>
      <c r="BA11" s="41">
        <f t="shared" si="5"/>
        <v>0</v>
      </c>
      <c r="BB11" s="41">
        <f t="shared" si="6"/>
        <v>0</v>
      </c>
      <c r="BC11" s="41">
        <f t="shared" si="7"/>
        <v>0</v>
      </c>
      <c r="BD11" s="41">
        <f t="shared" si="8"/>
        <v>0</v>
      </c>
      <c r="BE11" s="3">
        <f t="shared" si="11"/>
        <v>0</v>
      </c>
      <c r="BF11" s="3" t="str">
        <f t="shared" si="12"/>
        <v>Failed in 6 Subjects</v>
      </c>
      <c r="BG11" s="5" t="str">
        <f>IF(AW11="","",RANK(AW11,AW$2:AW145,0))</f>
        <v/>
      </c>
      <c r="BH11" s="3" t="str">
        <f t="shared" si="13"/>
        <v>খুবই দুর্বল</v>
      </c>
      <c r="BI11" t="str">
        <f t="shared" si="14"/>
        <v>Very Weak</v>
      </c>
      <c r="BJ11" s="104" t="str">
        <f t="shared" si="15"/>
        <v/>
      </c>
    </row>
    <row r="12" spans="1:62" ht="15" thickBot="1" x14ac:dyDescent="0.4">
      <c r="A12" s="3" t="str">
        <f>'Student Basic Info'!B12</f>
        <v>Business Studies</v>
      </c>
      <c r="B12" s="3">
        <f>'Student Basic Info'!A12</f>
        <v>511</v>
      </c>
      <c r="C12" s="3" t="str">
        <f>'Student Basic Info'!C12</f>
        <v xml:space="preserve">Asifuz Zaman </v>
      </c>
      <c r="D12" s="3" t="str">
        <f>'Student Basic Info'!D12</f>
        <v>Abul Hosain</v>
      </c>
      <c r="E12" s="3" t="str">
        <f>'Student Basic Info'!E12</f>
        <v>Arzu Begum</v>
      </c>
      <c r="F12" s="3" t="str">
        <f>'Student Basic Info'!F12</f>
        <v>Male</v>
      </c>
      <c r="G12" s="79" t="s">
        <v>837</v>
      </c>
      <c r="H12" s="59" t="str">
        <f>IF(Bangla!B12="","",Bangla!B12)</f>
        <v/>
      </c>
      <c r="I12" s="59">
        <f>IF(Bangla!C12="","",Bangla!C12)</f>
        <v>41</v>
      </c>
      <c r="J12" s="60">
        <f>IF(Bangla!D12="","",Bangla!D12)</f>
        <v>41</v>
      </c>
      <c r="K12" s="61">
        <f>IF(English!C12="","",English!C12)</f>
        <v>26</v>
      </c>
      <c r="L12" s="35">
        <f>IF(ICT!B12="","",ICT!B12)</f>
        <v>12</v>
      </c>
      <c r="M12" s="35">
        <f>IF(ICT!C12="","",ICT!C12)</f>
        <v>7</v>
      </c>
      <c r="N12" s="35">
        <f>IF(ICT!D12="","",ICT!D12)</f>
        <v>24</v>
      </c>
      <c r="O12" s="42">
        <f>IF(ICT!E12="","",ICT!E12)</f>
        <v>43</v>
      </c>
      <c r="P12" s="40">
        <f>IF(Accounting!B12="","",Accounting!B12)</f>
        <v>10</v>
      </c>
      <c r="Q12" s="40">
        <f>IF(Accounting!C12="","",Accounting!C12)</f>
        <v>23</v>
      </c>
      <c r="R12" s="44">
        <f>IF(Accounting!D12="","",Accounting!D12)</f>
        <v>33</v>
      </c>
      <c r="S12" s="35">
        <f>IF('Business Organization'!B12="","",'Business Organization'!B12)</f>
        <v>18</v>
      </c>
      <c r="T12" s="35">
        <f>IF('Business Organization'!C12="","",'Business Organization'!C12)</f>
        <v>17</v>
      </c>
      <c r="U12" s="42">
        <f>IF('Business Organization'!D12="","",'Business Organization'!D12)</f>
        <v>35</v>
      </c>
      <c r="V12" s="36">
        <f>IF(SubjectList!G12="Finance",IF(Finance!B12=0,"", Finance!B12),IF(SubjectList!G12="Production",IF(Production!B12=0,"", Production!B12),IF(SubjectList!G12="Economics",IF(Economics!B12=0,"", Economics!B12))))</f>
        <v>13</v>
      </c>
      <c r="W12" s="36">
        <f>IF(SubjectList!G12="Finance",IF(Finance!C12=0,"", Finance!C12),IF(SubjectList!G12="Production",IF(Production!C12=0,"", Production!C12),IF(SubjectList!G12="Economics",IF(Economics!C12=0,"", Economics!C12))))</f>
        <v>25</v>
      </c>
      <c r="X12" s="43">
        <f>IF(SubjectList!G12="Finance",IF(Finance!D12=0,"", Finance!D12),IF(SubjectList!G12="Production",IF(Production!D12=0,"", Production!D12),IF(SubjectList!G12="Economics",IF(Economics!D12=0,"", Economics!D12))))</f>
        <v>38</v>
      </c>
      <c r="Y12" s="40">
        <f>IF(SubjectList!H12="Finance",IF(Finance!B12=0,"", Finance!B12),IF(SubjectList!H12="Production",IF(Production!B12=0,"", Production!B12),IF(SubjectList!H12="Economics",IF(Economics!B12=0,"", Economics!B12))))</f>
        <v>10</v>
      </c>
      <c r="Z12" s="40">
        <f>IF(SubjectList!H12="Finance",IF(Finance!C12=0,"", Finance!C12),IF(SubjectList!H12="Production",IF(Production!C12=0,"", Production!C12),IF(SubjectList!H12="Economics",IF(Economics!C12=0,"", Economics!C12))))</f>
        <v>12</v>
      </c>
      <c r="AA12" s="44">
        <f>IF(SubjectList!H12="Finance",IF(Finance!D12=0,"", Finance!D12),IF(SubjectList!H12="Production",IF(Production!D12=0,"", Production!D12),IF(SubjectList!H12="Economics",IF(Economics!D12=0,"", Economics!D12))))</f>
        <v>22</v>
      </c>
      <c r="AB12" s="37" t="str">
        <f>IF(SubjectList!G12="Finance","Finance",IF(SubjectList!G12="Production","Production",IF(SubjectList!G12="Economics","Not Given")))</f>
        <v>Production</v>
      </c>
      <c r="AC12" s="37" t="str">
        <f>IF(SubjectList!H12="Finance","Finance",IF(SubjectList!H12="Production","Production",IF(SubjectList!H12="Economics","Economics","Not Given")))</f>
        <v>Finance</v>
      </c>
      <c r="AD12" s="38" t="str">
        <f>Bangla!F12</f>
        <v>C</v>
      </c>
      <c r="AE12" s="38" t="str">
        <f>English!E12</f>
        <v>F</v>
      </c>
      <c r="AF12" s="38" t="str">
        <f>ICT!G12</f>
        <v>F</v>
      </c>
      <c r="AG12" s="38" t="str">
        <f>Accounting!F12</f>
        <v>D</v>
      </c>
      <c r="AH12" s="38" t="str">
        <f>'Business Organization'!F12</f>
        <v>F</v>
      </c>
      <c r="AI12" s="38" t="str">
        <f>IF(SubjectList!G12="Finance",IF(Finance!F12=0,"", Finance!F12),IF(SubjectList!G12="Production",IF(Production!F12=0,"", Production!F12),IF(SubjectList!G12="Economics",IF(Economics!D12=0,"", Economics!D12))))</f>
        <v>D</v>
      </c>
      <c r="AJ12" s="38" t="str">
        <f>IF(SubjectList!H12="Finance",IF(Finance!F12=0,"", Finance!F12),IF(SubjectList!H12="Production",IF(Production!F12=0,"", Production!F12),IF(SubjectList!H12="Economics",IF(Economics!F12=0,"", Economics!F12))))</f>
        <v>F</v>
      </c>
      <c r="AK12" s="39">
        <f>Bangla!G12</f>
        <v>2</v>
      </c>
      <c r="AL12" s="39">
        <f>English!F12</f>
        <v>0</v>
      </c>
      <c r="AM12" s="39">
        <f>ICT!H12</f>
        <v>0</v>
      </c>
      <c r="AN12" s="39">
        <f>Accounting!G12</f>
        <v>1</v>
      </c>
      <c r="AO12" s="39">
        <f>'Business Organization'!G12</f>
        <v>0</v>
      </c>
      <c r="AP12" s="39">
        <f>IF(SubjectList!G12="Finance",Finance!G12,IF(SubjectList!G12="Production",Production!G12,IF(SubjectList!G12="Economics",Economics!G12)))</f>
        <v>1</v>
      </c>
      <c r="AQ12" s="39">
        <f>IF(Optional!H12="","", Optional!H12)</f>
        <v>0</v>
      </c>
      <c r="AR12" s="39">
        <f>Optional!H12</f>
        <v>0</v>
      </c>
      <c r="AS12" s="39">
        <f>Optional!I12</f>
        <v>0</v>
      </c>
      <c r="AT12" s="39">
        <f t="shared" si="0"/>
        <v>4</v>
      </c>
      <c r="AU12" s="39">
        <f t="shared" si="9"/>
        <v>4</v>
      </c>
      <c r="AV12" s="39" t="str">
        <f t="shared" si="1"/>
        <v/>
      </c>
      <c r="AW12" s="39" t="str">
        <f t="shared" si="2"/>
        <v/>
      </c>
      <c r="AX12" s="5">
        <f t="shared" si="10"/>
        <v>238</v>
      </c>
      <c r="AY12" s="41">
        <f t="shared" si="3"/>
        <v>1</v>
      </c>
      <c r="AZ12" s="41">
        <f t="shared" si="4"/>
        <v>0</v>
      </c>
      <c r="BA12" s="41">
        <f t="shared" si="5"/>
        <v>0</v>
      </c>
      <c r="BB12" s="41">
        <f t="shared" si="6"/>
        <v>1</v>
      </c>
      <c r="BC12" s="41">
        <f t="shared" si="7"/>
        <v>0</v>
      </c>
      <c r="BD12" s="41">
        <f t="shared" si="8"/>
        <v>1</v>
      </c>
      <c r="BE12" s="3">
        <f t="shared" si="11"/>
        <v>3</v>
      </c>
      <c r="BF12" s="3" t="str">
        <f t="shared" si="12"/>
        <v>Failed in 3 Subjects</v>
      </c>
      <c r="BG12" s="5" t="str">
        <f>IF(AW12="","",RANK(AW12,AW$2:AW145,0))</f>
        <v/>
      </c>
      <c r="BH12" s="3" t="str">
        <f t="shared" si="13"/>
        <v>খুবই দুর্বল</v>
      </c>
      <c r="BI12" t="str">
        <f t="shared" si="14"/>
        <v>Very Weak</v>
      </c>
      <c r="BJ12" s="104" t="str">
        <f t="shared" si="15"/>
        <v/>
      </c>
    </row>
    <row r="13" spans="1:62" ht="15" thickBot="1" x14ac:dyDescent="0.4">
      <c r="A13" s="3" t="str">
        <f>'Student Basic Info'!B13</f>
        <v>Business Studies</v>
      </c>
      <c r="B13" s="3">
        <f>'Student Basic Info'!A13</f>
        <v>512</v>
      </c>
      <c r="C13" s="3" t="str">
        <f>'Student Basic Info'!C13</f>
        <v>Md. Arfatuzzaman</v>
      </c>
      <c r="D13" s="3" t="str">
        <f>'Student Basic Info'!D13</f>
        <v xml:space="preserve">Md. Alomgir </v>
      </c>
      <c r="E13" s="3" t="str">
        <f>'Student Basic Info'!E13</f>
        <v>Joinob Bibi</v>
      </c>
      <c r="F13" s="3" t="str">
        <f>'Student Basic Info'!F13</f>
        <v>Male</v>
      </c>
      <c r="G13" s="78" t="s">
        <v>838</v>
      </c>
      <c r="H13" s="59" t="str">
        <f>IF(Bangla!B13="","",Bangla!B13)</f>
        <v/>
      </c>
      <c r="I13" s="59">
        <f>IF(Bangla!C13="","",Bangla!C13)</f>
        <v>34</v>
      </c>
      <c r="J13" s="60">
        <f>IF(Bangla!D13="","",Bangla!D13)</f>
        <v>34</v>
      </c>
      <c r="K13" s="61">
        <f>IF(English!C13="","",English!C13)</f>
        <v>11</v>
      </c>
      <c r="L13" s="35">
        <f>IF(ICT!B13="","",ICT!B13)</f>
        <v>7</v>
      </c>
      <c r="M13" s="35">
        <f>IF(ICT!C13="","",ICT!C13)</f>
        <v>6</v>
      </c>
      <c r="N13" s="35">
        <f>IF(ICT!D13="","",ICT!D13)</f>
        <v>20</v>
      </c>
      <c r="O13" s="42">
        <f>IF(ICT!E13="","",ICT!E13)</f>
        <v>33</v>
      </c>
      <c r="P13" s="40">
        <f>IF(Accounting!B13="","",Accounting!B13)</f>
        <v>10</v>
      </c>
      <c r="Q13" s="40">
        <f>IF(Accounting!C13="","",Accounting!C13)</f>
        <v>17</v>
      </c>
      <c r="R13" s="44">
        <f>IF(Accounting!D13="","",Accounting!D13)</f>
        <v>27</v>
      </c>
      <c r="S13" s="35">
        <f>IF('Business Organization'!B13="","",'Business Organization'!B13)</f>
        <v>14</v>
      </c>
      <c r="T13" s="35">
        <f>IF('Business Organization'!C13="","",'Business Organization'!C13)</f>
        <v>23</v>
      </c>
      <c r="U13" s="42">
        <f>IF('Business Organization'!D13="","",'Business Organization'!D13)</f>
        <v>37</v>
      </c>
      <c r="V13" s="36">
        <f>IF(SubjectList!G13="Finance",IF(Finance!B13=0,"", Finance!B13),IF(SubjectList!G13="Production",IF(Production!B13=0,"", Production!B13),IF(SubjectList!G13="Economics",IF(Economics!B13=0,"", Economics!B13))))</f>
        <v>8</v>
      </c>
      <c r="W13" s="36">
        <f>IF(SubjectList!G13="Finance",IF(Finance!C13=0,"", Finance!C13),IF(SubjectList!G13="Production",IF(Production!C13=0,"", Production!C13),IF(SubjectList!G13="Economics",IF(Economics!C13=0,"", Economics!C13))))</f>
        <v>8</v>
      </c>
      <c r="X13" s="43">
        <f>IF(SubjectList!G13="Finance",IF(Finance!D13=0,"", Finance!D13),IF(SubjectList!G13="Production",IF(Production!D13=0,"", Production!D13),IF(SubjectList!G13="Economics",IF(Economics!D13=0,"", Economics!D13))))</f>
        <v>16</v>
      </c>
      <c r="Y13" s="40">
        <f>IF(SubjectList!H13="Finance",IF(Finance!B13=0,"", Finance!B13),IF(SubjectList!H13="Production",IF(Production!B13=0,"", Production!B13),IF(SubjectList!H13="Economics",IF(Economics!B13=0,"", Economics!B13))))</f>
        <v>14</v>
      </c>
      <c r="Z13" s="40">
        <f>IF(SubjectList!H13="Finance",IF(Finance!C13=0,"", Finance!C13),IF(SubjectList!H13="Production",IF(Production!C13=0,"", Production!C13),IF(SubjectList!H13="Economics",IF(Economics!C13=0,"", Economics!C13))))</f>
        <v>23</v>
      </c>
      <c r="AA13" s="44">
        <f>IF(SubjectList!H13="Finance",IF(Finance!D13=0,"", Finance!D13),IF(SubjectList!H13="Production",IF(Production!D13=0,"", Production!D13),IF(SubjectList!H13="Economics",IF(Economics!D13=0,"", Economics!D13))))</f>
        <v>37</v>
      </c>
      <c r="AB13" s="37" t="str">
        <f>IF(SubjectList!G13="Finance","Finance",IF(SubjectList!G13="Production","Production",IF(SubjectList!G13="Economics","Not Given")))</f>
        <v>Finance</v>
      </c>
      <c r="AC13" s="37" t="str">
        <f>IF(SubjectList!H13="Finance","Finance",IF(SubjectList!H13="Production","Production",IF(SubjectList!H13="Economics","Economics","Not Given")))</f>
        <v>Production</v>
      </c>
      <c r="AD13" s="38" t="str">
        <f>Bangla!F13</f>
        <v>D</v>
      </c>
      <c r="AE13" s="38" t="str">
        <f>English!E13</f>
        <v>F</v>
      </c>
      <c r="AF13" s="38" t="str">
        <f>ICT!G13</f>
        <v>F</v>
      </c>
      <c r="AG13" s="38" t="str">
        <f>Accounting!F13</f>
        <v>F</v>
      </c>
      <c r="AH13" s="38" t="str">
        <f>'Business Organization'!F13</f>
        <v>D</v>
      </c>
      <c r="AI13" s="38" t="str">
        <f>IF(SubjectList!G13="Finance",IF(Finance!F13=0,"", Finance!F13),IF(SubjectList!G13="Production",IF(Production!F13=0,"", Production!F13),IF(SubjectList!G13="Economics",IF(Economics!D13=0,"", Economics!D13))))</f>
        <v>F</v>
      </c>
      <c r="AJ13" s="38" t="str">
        <f>IF(SubjectList!H13="Finance",IF(Finance!F13=0,"", Finance!F13),IF(SubjectList!H13="Production",IF(Production!F13=0,"", Production!F13),IF(SubjectList!H13="Economics",IF(Economics!F13=0,"", Economics!F13))))</f>
        <v>D</v>
      </c>
      <c r="AK13" s="39">
        <f>Bangla!G13</f>
        <v>1</v>
      </c>
      <c r="AL13" s="39">
        <f>English!F13</f>
        <v>0</v>
      </c>
      <c r="AM13" s="39">
        <f>ICT!H13</f>
        <v>0</v>
      </c>
      <c r="AN13" s="39">
        <f>Accounting!G13</f>
        <v>0</v>
      </c>
      <c r="AO13" s="39">
        <f>'Business Organization'!G13</f>
        <v>1</v>
      </c>
      <c r="AP13" s="39">
        <f>IF(SubjectList!G13="Finance",Finance!G13,IF(SubjectList!G13="Production",Production!G13,IF(SubjectList!G13="Economics",Economics!G13)))</f>
        <v>0</v>
      </c>
      <c r="AQ13" s="39">
        <f>IF(Optional!H13="","", Optional!H13)</f>
        <v>1</v>
      </c>
      <c r="AR13" s="39">
        <f>Optional!H13</f>
        <v>1</v>
      </c>
      <c r="AS13" s="39">
        <f>Optional!I13</f>
        <v>0</v>
      </c>
      <c r="AT13" s="39">
        <f t="shared" si="0"/>
        <v>2</v>
      </c>
      <c r="AU13" s="39">
        <f t="shared" si="9"/>
        <v>2</v>
      </c>
      <c r="AV13" s="39" t="str">
        <f t="shared" si="1"/>
        <v/>
      </c>
      <c r="AW13" s="39" t="str">
        <f t="shared" si="2"/>
        <v/>
      </c>
      <c r="AX13" s="5">
        <f t="shared" si="10"/>
        <v>195</v>
      </c>
      <c r="AY13" s="41">
        <f t="shared" si="3"/>
        <v>1</v>
      </c>
      <c r="AZ13" s="41">
        <f t="shared" si="4"/>
        <v>0</v>
      </c>
      <c r="BA13" s="41">
        <f t="shared" si="5"/>
        <v>0</v>
      </c>
      <c r="BB13" s="41">
        <f t="shared" si="6"/>
        <v>0</v>
      </c>
      <c r="BC13" s="41">
        <f t="shared" si="7"/>
        <v>1</v>
      </c>
      <c r="BD13" s="41">
        <f t="shared" si="8"/>
        <v>0</v>
      </c>
      <c r="BE13" s="3">
        <f t="shared" si="11"/>
        <v>2</v>
      </c>
      <c r="BF13" s="3" t="str">
        <f t="shared" si="12"/>
        <v>Failed in 4 Subjects</v>
      </c>
      <c r="BG13" s="5" t="str">
        <f>IF(AW13="","",RANK(AW13,AW$2:AW145,0))</f>
        <v/>
      </c>
      <c r="BH13" s="3" t="str">
        <f t="shared" si="13"/>
        <v>খুবই দুর্বল</v>
      </c>
      <c r="BI13" t="str">
        <f t="shared" si="14"/>
        <v>Very Weak</v>
      </c>
      <c r="BJ13" s="104" t="str">
        <f t="shared" si="15"/>
        <v/>
      </c>
    </row>
    <row r="14" spans="1:62" ht="15" thickBot="1" x14ac:dyDescent="0.4">
      <c r="A14" s="3" t="str">
        <f>'Student Basic Info'!B14</f>
        <v>Business Studies</v>
      </c>
      <c r="B14" s="3">
        <f>'Student Basic Info'!A14</f>
        <v>513</v>
      </c>
      <c r="C14" s="3" t="str">
        <f>'Student Basic Info'!C14</f>
        <v>Meherab Hosain</v>
      </c>
      <c r="D14" s="3" t="str">
        <f>'Student Basic Info'!D14</f>
        <v>Zaker Hosain</v>
      </c>
      <c r="E14" s="3" t="str">
        <f>'Student Basic Info'!E14</f>
        <v>Roksana Aktar</v>
      </c>
      <c r="F14" s="3" t="str">
        <f>'Student Basic Info'!F14</f>
        <v>Male</v>
      </c>
      <c r="G14" s="79" t="s">
        <v>839</v>
      </c>
      <c r="H14" s="59" t="str">
        <f>IF(Bangla!B14="","",Bangla!B14)</f>
        <v/>
      </c>
      <c r="I14" s="59">
        <f>IF(Bangla!C14="","",Bangla!C14)</f>
        <v>36</v>
      </c>
      <c r="J14" s="60">
        <f>IF(Bangla!D14="","",Bangla!D14)</f>
        <v>36</v>
      </c>
      <c r="K14" s="61">
        <f>IF(English!C14="","",English!C14)</f>
        <v>29</v>
      </c>
      <c r="L14" s="35">
        <f>IF(ICT!B14="","",ICT!B14)</f>
        <v>13</v>
      </c>
      <c r="M14" s="35">
        <f>IF(ICT!C14="","",ICT!C14)</f>
        <v>8</v>
      </c>
      <c r="N14" s="35">
        <f>IF(ICT!D14="","",ICT!D14)</f>
        <v>24</v>
      </c>
      <c r="O14" s="42">
        <f>IF(ICT!E14="","",ICT!E14)</f>
        <v>45</v>
      </c>
      <c r="P14" s="40">
        <f>IF(Accounting!B14="","",Accounting!B14)</f>
        <v>12</v>
      </c>
      <c r="Q14" s="40">
        <f>IF(Accounting!C14="","",Accounting!C14)</f>
        <v>23</v>
      </c>
      <c r="R14" s="44">
        <f>IF(Accounting!D14="","",Accounting!D14)</f>
        <v>35</v>
      </c>
      <c r="S14" s="35">
        <f>IF('Business Organization'!B14="","",'Business Organization'!B14)</f>
        <v>17</v>
      </c>
      <c r="T14" s="35">
        <f>IF('Business Organization'!C14="","",'Business Organization'!C14)</f>
        <v>24</v>
      </c>
      <c r="U14" s="42">
        <f>IF('Business Organization'!D14="","",'Business Organization'!D14)</f>
        <v>41</v>
      </c>
      <c r="V14" s="36">
        <f>IF(SubjectList!G14="Finance",IF(Finance!B14=0,"", Finance!B14),IF(SubjectList!G14="Production",IF(Production!B14=0,"", Production!B14),IF(SubjectList!G14="Economics",IF(Economics!B14=0,"", Economics!B14))))</f>
        <v>13</v>
      </c>
      <c r="W14" s="36">
        <f>IF(SubjectList!G14="Finance",IF(Finance!C14=0,"", Finance!C14),IF(SubjectList!G14="Production",IF(Production!C14=0,"", Production!C14),IF(SubjectList!G14="Economics",IF(Economics!C14=0,"", Economics!C14))))</f>
        <v>7</v>
      </c>
      <c r="X14" s="43">
        <f>IF(SubjectList!G14="Finance",IF(Finance!D14=0,"", Finance!D14),IF(SubjectList!G14="Production",IF(Production!D14=0,"", Production!D14),IF(SubjectList!G14="Economics",IF(Economics!D14=0,"", Economics!D14))))</f>
        <v>20</v>
      </c>
      <c r="Y14" s="40">
        <f>IF(SubjectList!H14="Finance",IF(Finance!B14=0,"", Finance!B14),IF(SubjectList!H14="Production",IF(Production!B14=0,"", Production!B14),IF(SubjectList!H14="Economics",IF(Economics!B14=0,"", Economics!B14))))</f>
        <v>12</v>
      </c>
      <c r="Z14" s="40">
        <f>IF(SubjectList!H14="Finance",IF(Finance!C14=0,"", Finance!C14),IF(SubjectList!H14="Production",IF(Production!C14=0,"", Production!C14),IF(SubjectList!H14="Economics",IF(Economics!C14=0,"", Economics!C14))))</f>
        <v>25</v>
      </c>
      <c r="AA14" s="44">
        <f>IF(SubjectList!H14="Finance",IF(Finance!D14=0,"", Finance!D14),IF(SubjectList!H14="Production",IF(Production!D14=0,"", Production!D14),IF(SubjectList!H14="Economics",IF(Economics!D14=0,"", Economics!D14))))</f>
        <v>37</v>
      </c>
      <c r="AB14" s="37" t="str">
        <f>IF(SubjectList!G14="Finance","Finance",IF(SubjectList!G14="Production","Production",IF(SubjectList!G14="Economics","Not Given")))</f>
        <v>Finance</v>
      </c>
      <c r="AC14" s="37" t="str">
        <f>IF(SubjectList!H14="Finance","Finance",IF(SubjectList!H14="Production","Production",IF(SubjectList!H14="Economics","Economics","Not Given")))</f>
        <v>Production</v>
      </c>
      <c r="AD14" s="38" t="str">
        <f>Bangla!F14</f>
        <v>D</v>
      </c>
      <c r="AE14" s="38" t="str">
        <f>English!E14</f>
        <v>F</v>
      </c>
      <c r="AF14" s="38" t="str">
        <f>ICT!G14</f>
        <v>F</v>
      </c>
      <c r="AG14" s="38" t="str">
        <f>Accounting!F14</f>
        <v>D</v>
      </c>
      <c r="AH14" s="38" t="str">
        <f>'Business Organization'!F14</f>
        <v>C</v>
      </c>
      <c r="AI14" s="38" t="str">
        <f>IF(SubjectList!G14="Finance",IF(Finance!F14=0,"", Finance!F14),IF(SubjectList!G14="Production",IF(Production!F14=0,"", Production!F14),IF(SubjectList!G14="Economics",IF(Economics!D14=0,"", Economics!D14))))</f>
        <v>F</v>
      </c>
      <c r="AJ14" s="38" t="str">
        <f>IF(SubjectList!H14="Finance",IF(Finance!F14=0,"", Finance!F14),IF(SubjectList!H14="Production",IF(Production!F14=0,"", Production!F14),IF(SubjectList!H14="Economics",IF(Economics!F14=0,"", Economics!F14))))</f>
        <v>D</v>
      </c>
      <c r="AK14" s="39">
        <f>Bangla!G14</f>
        <v>1</v>
      </c>
      <c r="AL14" s="39">
        <f>English!F14</f>
        <v>0</v>
      </c>
      <c r="AM14" s="39">
        <f>ICT!H14</f>
        <v>0</v>
      </c>
      <c r="AN14" s="39">
        <f>Accounting!G14</f>
        <v>1</v>
      </c>
      <c r="AO14" s="39">
        <f>'Business Organization'!G14</f>
        <v>2</v>
      </c>
      <c r="AP14" s="39">
        <f>IF(SubjectList!G14="Finance",Finance!G14,IF(SubjectList!G14="Production",Production!G14,IF(SubjectList!G14="Economics",Economics!G14)))</f>
        <v>0</v>
      </c>
      <c r="AQ14" s="39">
        <f>IF(Optional!H14="","", Optional!H14)</f>
        <v>1</v>
      </c>
      <c r="AR14" s="39">
        <f>Optional!H14</f>
        <v>1</v>
      </c>
      <c r="AS14" s="39">
        <f>Optional!I14</f>
        <v>0</v>
      </c>
      <c r="AT14" s="39">
        <f t="shared" si="0"/>
        <v>4</v>
      </c>
      <c r="AU14" s="39">
        <f t="shared" si="9"/>
        <v>4</v>
      </c>
      <c r="AV14" s="39" t="str">
        <f t="shared" si="1"/>
        <v/>
      </c>
      <c r="AW14" s="39" t="str">
        <f t="shared" si="2"/>
        <v/>
      </c>
      <c r="AX14" s="5">
        <f t="shared" si="10"/>
        <v>243</v>
      </c>
      <c r="AY14" s="41">
        <f t="shared" si="3"/>
        <v>1</v>
      </c>
      <c r="AZ14" s="41">
        <f t="shared" si="4"/>
        <v>0</v>
      </c>
      <c r="BA14" s="41">
        <f t="shared" si="5"/>
        <v>0</v>
      </c>
      <c r="BB14" s="41">
        <f t="shared" si="6"/>
        <v>1</v>
      </c>
      <c r="BC14" s="41">
        <f t="shared" si="7"/>
        <v>1</v>
      </c>
      <c r="BD14" s="41">
        <f t="shared" si="8"/>
        <v>0</v>
      </c>
      <c r="BE14" s="3">
        <f t="shared" si="11"/>
        <v>3</v>
      </c>
      <c r="BF14" s="3" t="str">
        <f t="shared" si="12"/>
        <v>Failed in 3 Subjects</v>
      </c>
      <c r="BG14" s="5" t="str">
        <f>IF(AW14="","",RANK(AW14,AW$2:AW145,0))</f>
        <v/>
      </c>
      <c r="BH14" s="3" t="str">
        <f t="shared" si="13"/>
        <v>খুবই দুর্বল</v>
      </c>
      <c r="BI14" t="str">
        <f t="shared" si="14"/>
        <v>Very Weak</v>
      </c>
      <c r="BJ14" s="104" t="str">
        <f t="shared" si="15"/>
        <v/>
      </c>
    </row>
    <row r="15" spans="1:62" ht="15" thickBot="1" x14ac:dyDescent="0.4">
      <c r="A15" s="3" t="str">
        <f>'Student Basic Info'!B15</f>
        <v>Business Studies</v>
      </c>
      <c r="B15" s="3">
        <f>'Student Basic Info'!A15</f>
        <v>514</v>
      </c>
      <c r="C15" s="3" t="str">
        <f>'Student Basic Info'!C15</f>
        <v>Amirul Islam</v>
      </c>
      <c r="D15" s="3" t="str">
        <f>'Student Basic Info'!D15</f>
        <v>Sana Ullah</v>
      </c>
      <c r="E15" s="3" t="str">
        <f>'Student Basic Info'!E15</f>
        <v>Gol Sanara Begum</v>
      </c>
      <c r="F15" s="3" t="str">
        <f>'Student Basic Info'!F15</f>
        <v>Male</v>
      </c>
      <c r="G15" s="79" t="s">
        <v>840</v>
      </c>
      <c r="H15" s="59" t="str">
        <f>IF(Bangla!B15="","",Bangla!B15)</f>
        <v/>
      </c>
      <c r="I15" s="59" t="str">
        <f>IF(Bangla!C15="","",Bangla!C15)</f>
        <v/>
      </c>
      <c r="J15" s="60" t="str">
        <f>IF(Bangla!D15="","",Bangla!D15)</f>
        <v/>
      </c>
      <c r="K15" s="61" t="str">
        <f>IF(English!C15="","",English!C15)</f>
        <v/>
      </c>
      <c r="L15" s="35" t="str">
        <f>IF(ICT!B15="","",ICT!B15)</f>
        <v/>
      </c>
      <c r="M15" s="35" t="str">
        <f>IF(ICT!C15="","",ICT!C15)</f>
        <v/>
      </c>
      <c r="N15" s="35" t="str">
        <f>IF(ICT!D15="","",ICT!D15)</f>
        <v/>
      </c>
      <c r="O15" s="42" t="str">
        <f>IF(ICT!E15="","",ICT!E15)</f>
        <v/>
      </c>
      <c r="P15" s="40" t="str">
        <f>IF(Accounting!B15="","",Accounting!B15)</f>
        <v/>
      </c>
      <c r="Q15" s="40" t="str">
        <f>IF(Accounting!C15="","",Accounting!C15)</f>
        <v/>
      </c>
      <c r="R15" s="44" t="str">
        <f>IF(Accounting!D15="","",Accounting!D15)</f>
        <v/>
      </c>
      <c r="S15" s="35" t="str">
        <f>IF('Business Organization'!B15="","",'Business Organization'!B15)</f>
        <v/>
      </c>
      <c r="T15" s="35" t="str">
        <f>IF('Business Organization'!C15="","",'Business Organization'!C15)</f>
        <v/>
      </c>
      <c r="U15" s="42" t="str">
        <f>IF('Business Organization'!D15="","",'Business Organization'!D15)</f>
        <v/>
      </c>
      <c r="V15" s="36" t="str">
        <f>IF(SubjectList!G15="Finance",IF(Finance!B15=0,"", Finance!B15),IF(SubjectList!G15="Production",IF(Production!B15=0,"", Production!B15),IF(SubjectList!G15="Economics",IF(Economics!B15=0,"", Economics!B15))))</f>
        <v/>
      </c>
      <c r="W15" s="36" t="str">
        <f>IF(SubjectList!G15="Finance",IF(Finance!C15=0,"", Finance!C15),IF(SubjectList!G15="Production",IF(Production!C15=0,"", Production!C15),IF(SubjectList!G15="Economics",IF(Economics!C15=0,"", Economics!C15))))</f>
        <v/>
      </c>
      <c r="X15" s="43" t="str">
        <f>IF(SubjectList!G15="Finance",IF(Finance!D15=0,"", Finance!D15),IF(SubjectList!G15="Production",IF(Production!D15=0,"", Production!D15),IF(SubjectList!G15="Economics",IF(Economics!D15=0,"", Economics!D15))))</f>
        <v/>
      </c>
      <c r="Y15" s="40" t="str">
        <f>IF(SubjectList!H15="Finance",IF(Finance!B15=0,"", Finance!B15),IF(SubjectList!H15="Production",IF(Production!B15=0,"", Production!B15),IF(SubjectList!H15="Economics",IF(Economics!B15=0,"", Economics!B15))))</f>
        <v/>
      </c>
      <c r="Z15" s="40" t="str">
        <f>IF(SubjectList!H15="Finance",IF(Finance!C15=0,"", Finance!C15),IF(SubjectList!H15="Production",IF(Production!C15=0,"", Production!C15),IF(SubjectList!H15="Economics",IF(Economics!C15=0,"", Economics!C15))))</f>
        <v/>
      </c>
      <c r="AA15" s="44" t="str">
        <f>IF(SubjectList!H15="Finance",IF(Finance!D15=0,"", Finance!D15),IF(SubjectList!H15="Production",IF(Production!D15=0,"", Production!D15),IF(SubjectList!H15="Economics",IF(Economics!D15=0,"", Economics!D15))))</f>
        <v/>
      </c>
      <c r="AB15" s="37" t="str">
        <f>IF(SubjectList!G15="Finance","Finance",IF(SubjectList!G15="Production","Production",IF(SubjectList!G15="Economics","Not Given")))</f>
        <v>Finance</v>
      </c>
      <c r="AC15" s="37" t="str">
        <f>IF(SubjectList!H15="Finance","Finance",IF(SubjectList!H15="Production","Production",IF(SubjectList!H15="Economics","Economics","Not Given")))</f>
        <v>Production</v>
      </c>
      <c r="AD15" s="38" t="str">
        <f>Bangla!F15</f>
        <v/>
      </c>
      <c r="AE15" s="38" t="str">
        <f>English!E15</f>
        <v/>
      </c>
      <c r="AF15" s="38" t="str">
        <f>ICT!G15</f>
        <v/>
      </c>
      <c r="AG15" s="38" t="str">
        <f>Accounting!F15</f>
        <v/>
      </c>
      <c r="AH15" s="38" t="str">
        <f>'Business Organization'!F15</f>
        <v/>
      </c>
      <c r="AI15" s="38" t="str">
        <f>IF(SubjectList!G15="Finance",IF(Finance!F15=0,"", Finance!F15),IF(SubjectList!G15="Production",IF(Production!F15=0,"", Production!F15),IF(SubjectList!G15="Economics",IF(Economics!D15=0,"", Economics!D15))))</f>
        <v/>
      </c>
      <c r="AJ15" s="38" t="str">
        <f>IF(SubjectList!H15="Finance",IF(Finance!F15=0,"", Finance!F15),IF(SubjectList!H15="Production",IF(Production!F15=0,"", Production!F15),IF(SubjectList!H15="Economics",IF(Economics!F15=0,"", Economics!F15))))</f>
        <v/>
      </c>
      <c r="AK15" s="39" t="str">
        <f>Bangla!G15</f>
        <v/>
      </c>
      <c r="AL15" s="39" t="str">
        <f>English!F15</f>
        <v/>
      </c>
      <c r="AM15" s="39" t="str">
        <f>ICT!H15</f>
        <v/>
      </c>
      <c r="AN15" s="39" t="str">
        <f>Accounting!G15</f>
        <v/>
      </c>
      <c r="AO15" s="39" t="str">
        <f>'Business Organization'!G15</f>
        <v/>
      </c>
      <c r="AP15" s="39" t="str">
        <f>IF(SubjectList!G15="Finance",Finance!G15,IF(SubjectList!G15="Production",Production!G15,IF(SubjectList!G15="Economics",Economics!G15)))</f>
        <v/>
      </c>
      <c r="AQ15" s="39" t="str">
        <f>IF(Optional!H15="","", Optional!H15)</f>
        <v/>
      </c>
      <c r="AR15" s="39" t="str">
        <f>Optional!H15</f>
        <v/>
      </c>
      <c r="AS15" s="39" t="str">
        <f>Optional!I15</f>
        <v/>
      </c>
      <c r="AT15" s="39" t="str">
        <f t="shared" si="0"/>
        <v/>
      </c>
      <c r="AU15" s="39">
        <f t="shared" si="9"/>
        <v>0</v>
      </c>
      <c r="AV15" s="39" t="str">
        <f t="shared" si="1"/>
        <v/>
      </c>
      <c r="AW15" s="39" t="str">
        <f t="shared" si="2"/>
        <v/>
      </c>
      <c r="AX15" s="5">
        <f t="shared" si="10"/>
        <v>0</v>
      </c>
      <c r="AY15" s="41">
        <f t="shared" si="3"/>
        <v>0</v>
      </c>
      <c r="AZ15" s="41">
        <f t="shared" si="4"/>
        <v>0</v>
      </c>
      <c r="BA15" s="41">
        <f t="shared" si="5"/>
        <v>0</v>
      </c>
      <c r="BB15" s="41">
        <f t="shared" si="6"/>
        <v>0</v>
      </c>
      <c r="BC15" s="41">
        <f t="shared" si="7"/>
        <v>0</v>
      </c>
      <c r="BD15" s="41">
        <f t="shared" si="8"/>
        <v>0</v>
      </c>
      <c r="BE15" s="3">
        <f t="shared" si="11"/>
        <v>0</v>
      </c>
      <c r="BF15" s="3" t="str">
        <f t="shared" si="12"/>
        <v>Failed in 6 Subjects</v>
      </c>
      <c r="BG15" s="5" t="str">
        <f>IF(AW15="","",RANK(AW15,AW$2:AW145,0))</f>
        <v/>
      </c>
      <c r="BH15" s="3" t="str">
        <f t="shared" si="13"/>
        <v>খুবই দুর্বল</v>
      </c>
      <c r="BI15" t="str">
        <f t="shared" si="14"/>
        <v>Very Weak</v>
      </c>
      <c r="BJ15" s="104" t="str">
        <f t="shared" si="15"/>
        <v/>
      </c>
    </row>
    <row r="16" spans="1:62" ht="15" thickBot="1" x14ac:dyDescent="0.4">
      <c r="A16" s="3" t="str">
        <f>'Student Basic Info'!B16</f>
        <v>Business Studies</v>
      </c>
      <c r="B16" s="3">
        <f>'Student Basic Info'!A16</f>
        <v>515</v>
      </c>
      <c r="C16" s="3" t="str">
        <f>'Student Basic Info'!C16</f>
        <v>Bibi Amena Begum Sraboni</v>
      </c>
      <c r="D16" s="3" t="str">
        <f>'Student Basic Info'!D16</f>
        <v>Md. Helal Uddin</v>
      </c>
      <c r="E16" s="3" t="str">
        <f>'Student Basic Info'!E16</f>
        <v>Bibi Zoynob</v>
      </c>
      <c r="F16" s="3" t="str">
        <f>'Student Basic Info'!F16</f>
        <v>Female</v>
      </c>
      <c r="G16" s="79" t="s">
        <v>841</v>
      </c>
      <c r="H16" s="59" t="str">
        <f>IF(Bangla!B16="","",Bangla!B16)</f>
        <v/>
      </c>
      <c r="I16" s="59">
        <f>IF(Bangla!C16="","",Bangla!C16)</f>
        <v>60</v>
      </c>
      <c r="J16" s="60">
        <f>IF(Bangla!D16="","",Bangla!D16)</f>
        <v>60</v>
      </c>
      <c r="K16" s="61">
        <f>IF(English!C16="","",English!C16)</f>
        <v>38</v>
      </c>
      <c r="L16" s="35">
        <f>IF(ICT!B16="","",ICT!B16)</f>
        <v>12</v>
      </c>
      <c r="M16" s="35">
        <f>IF(ICT!C16="","",ICT!C16)</f>
        <v>27</v>
      </c>
      <c r="N16" s="35">
        <f>IF(ICT!D16="","",ICT!D16)</f>
        <v>18</v>
      </c>
      <c r="O16" s="42">
        <f>IF(ICT!E16="","",ICT!E16)</f>
        <v>57</v>
      </c>
      <c r="P16" s="40">
        <f>IF(Accounting!B16="","",Accounting!B16)</f>
        <v>17</v>
      </c>
      <c r="Q16" s="40">
        <f>IF(Accounting!C16="","",Accounting!C16)</f>
        <v>41</v>
      </c>
      <c r="R16" s="44">
        <f>IF(Accounting!D16="","",Accounting!D16)</f>
        <v>58</v>
      </c>
      <c r="S16" s="35">
        <f>IF('Business Organization'!B16="","",'Business Organization'!B16)</f>
        <v>12</v>
      </c>
      <c r="T16" s="35">
        <f>IF('Business Organization'!C16="","",'Business Organization'!C16)</f>
        <v>17</v>
      </c>
      <c r="U16" s="42">
        <f>IF('Business Organization'!D16="","",'Business Organization'!D16)</f>
        <v>29</v>
      </c>
      <c r="V16" s="36">
        <f>IF(SubjectList!G16="Finance",IF(Finance!B16=0,"", Finance!B16),IF(SubjectList!G16="Production",IF(Production!B16=0,"", Production!B16),IF(SubjectList!G16="Economics",IF(Economics!B16=0,"", Economics!B16))))</f>
        <v>10</v>
      </c>
      <c r="W16" s="36">
        <f>IF(SubjectList!G16="Finance",IF(Finance!C16=0,"", Finance!C16),IF(SubjectList!G16="Production",IF(Production!C16=0,"", Production!C16),IF(SubjectList!G16="Economics",IF(Economics!C16=0,"", Economics!C16))))</f>
        <v>23</v>
      </c>
      <c r="X16" s="43">
        <f>IF(SubjectList!G16="Finance",IF(Finance!D16=0,"", Finance!D16),IF(SubjectList!G16="Production",IF(Production!D16=0,"", Production!D16),IF(SubjectList!G16="Economics",IF(Economics!D16=0,"", Economics!D16))))</f>
        <v>33</v>
      </c>
      <c r="Y16" s="40">
        <f>IF(SubjectList!H16="Finance",IF(Finance!B16=0,"", Finance!B16),IF(SubjectList!H16="Production",IF(Production!B16=0,"", Production!B16),IF(SubjectList!H16="Economics",IF(Economics!B16=0,"", Economics!B16))))</f>
        <v>17</v>
      </c>
      <c r="Z16" s="40">
        <f>IF(SubjectList!H16="Finance",IF(Finance!C16=0,"", Finance!C16),IF(SubjectList!H16="Production",IF(Production!C16=0,"", Production!C16),IF(SubjectList!H16="Economics",IF(Economics!C16=0,"", Economics!C16))))</f>
        <v>18</v>
      </c>
      <c r="AA16" s="44">
        <f>IF(SubjectList!H16="Finance",IF(Finance!D16=0,"", Finance!D16),IF(SubjectList!H16="Production",IF(Production!D16=0,"", Production!D16),IF(SubjectList!H16="Economics",IF(Economics!D16=0,"", Economics!D16))))</f>
        <v>35</v>
      </c>
      <c r="AB16" s="37" t="str">
        <f>IF(SubjectList!G16="Finance","Finance",IF(SubjectList!G16="Production","Production",IF(SubjectList!G16="Economics","Not Given")))</f>
        <v>Finance</v>
      </c>
      <c r="AC16" s="37" t="str">
        <f>IF(SubjectList!H16="Finance","Finance",IF(SubjectList!H16="Production","Production",IF(SubjectList!H16="Economics","Economics","Not Given")))</f>
        <v>Production</v>
      </c>
      <c r="AD16" s="38" t="str">
        <f>Bangla!F16</f>
        <v>A-</v>
      </c>
      <c r="AE16" s="38" t="str">
        <f>English!E16</f>
        <v>D</v>
      </c>
      <c r="AF16" s="38" t="str">
        <f>ICT!G16</f>
        <v>B</v>
      </c>
      <c r="AG16" s="38" t="str">
        <f>Accounting!F16</f>
        <v>B</v>
      </c>
      <c r="AH16" s="38" t="str">
        <f>'Business Organization'!F16</f>
        <v>F</v>
      </c>
      <c r="AI16" s="38" t="str">
        <f>IF(SubjectList!G16="Finance",IF(Finance!F16=0,"", Finance!F16),IF(SubjectList!G16="Production",IF(Production!F16=0,"", Production!F16),IF(SubjectList!G16="Economics",IF(Economics!D16=0,"", Economics!D16))))</f>
        <v>D</v>
      </c>
      <c r="AJ16" s="38" t="str">
        <f>IF(SubjectList!H16="Finance",IF(Finance!F16=0,"", Finance!F16),IF(SubjectList!H16="Production",IF(Production!F16=0,"", Production!F16),IF(SubjectList!H16="Economics",IF(Economics!F16=0,"", Economics!F16))))</f>
        <v>F</v>
      </c>
      <c r="AK16" s="39">
        <f>Bangla!G16</f>
        <v>3.5</v>
      </c>
      <c r="AL16" s="39">
        <f>English!F16</f>
        <v>1</v>
      </c>
      <c r="AM16" s="39">
        <f>ICT!H16</f>
        <v>3</v>
      </c>
      <c r="AN16" s="39">
        <f>Accounting!G16</f>
        <v>3</v>
      </c>
      <c r="AO16" s="39">
        <f>'Business Organization'!G16</f>
        <v>0</v>
      </c>
      <c r="AP16" s="39">
        <f>IF(SubjectList!G16="Finance",Finance!G16,IF(SubjectList!G16="Production",Production!G16,IF(SubjectList!G16="Economics",Economics!G16)))</f>
        <v>1</v>
      </c>
      <c r="AQ16" s="39">
        <f>IF(Optional!H16="","", Optional!H16)</f>
        <v>0</v>
      </c>
      <c r="AR16" s="39">
        <f>Optional!H16</f>
        <v>0</v>
      </c>
      <c r="AS16" s="39">
        <f>Optional!I16</f>
        <v>0</v>
      </c>
      <c r="AT16" s="39">
        <f t="shared" si="0"/>
        <v>11.5</v>
      </c>
      <c r="AU16" s="39">
        <f t="shared" si="9"/>
        <v>11.5</v>
      </c>
      <c r="AV16" s="39" t="str">
        <f t="shared" si="1"/>
        <v/>
      </c>
      <c r="AW16" s="39" t="str">
        <f t="shared" si="2"/>
        <v/>
      </c>
      <c r="AX16" s="5">
        <f t="shared" si="10"/>
        <v>310</v>
      </c>
      <c r="AY16" s="41">
        <f t="shared" si="3"/>
        <v>1</v>
      </c>
      <c r="AZ16" s="41">
        <f t="shared" si="4"/>
        <v>1</v>
      </c>
      <c r="BA16" s="41">
        <f t="shared" si="5"/>
        <v>1</v>
      </c>
      <c r="BB16" s="41">
        <f t="shared" si="6"/>
        <v>1</v>
      </c>
      <c r="BC16" s="41">
        <f t="shared" si="7"/>
        <v>0</v>
      </c>
      <c r="BD16" s="41">
        <f t="shared" si="8"/>
        <v>1</v>
      </c>
      <c r="BE16" s="3">
        <f t="shared" si="11"/>
        <v>5</v>
      </c>
      <c r="BF16" s="3" t="str">
        <f t="shared" si="12"/>
        <v>Failed in 1 Subject</v>
      </c>
      <c r="BG16" s="5" t="str">
        <f>IF(AW16="","",RANK(AW16,AW$2:AW145,0))</f>
        <v/>
      </c>
      <c r="BH16" s="3" t="str">
        <f t="shared" si="13"/>
        <v>খুবই দুর্বল</v>
      </c>
      <c r="BI16" t="str">
        <f t="shared" si="14"/>
        <v>Very Weak</v>
      </c>
      <c r="BJ16" s="104" t="str">
        <f t="shared" si="15"/>
        <v/>
      </c>
    </row>
    <row r="17" spans="1:62" ht="15" thickBot="1" x14ac:dyDescent="0.4">
      <c r="A17" s="3" t="str">
        <f>'Student Basic Info'!B17</f>
        <v>Business Studies</v>
      </c>
      <c r="B17" s="3">
        <f>'Student Basic Info'!A17</f>
        <v>516</v>
      </c>
      <c r="C17" s="3" t="str">
        <f>'Student Basic Info'!C17</f>
        <v>Zannatul Nayem</v>
      </c>
      <c r="D17" s="3" t="str">
        <f>'Student Basic Info'!D17</f>
        <v>Md. Khaked Saifullah</v>
      </c>
      <c r="E17" s="3" t="str">
        <f>'Student Basic Info'!E17</f>
        <v>Hazera Aktar</v>
      </c>
      <c r="F17" s="3" t="str">
        <f>'Student Basic Info'!F17</f>
        <v>Female</v>
      </c>
      <c r="G17" s="79" t="s">
        <v>842</v>
      </c>
      <c r="H17" s="59" t="str">
        <f>IF(Bangla!B17="","",Bangla!B17)</f>
        <v/>
      </c>
      <c r="I17" s="59">
        <f>IF(Bangla!C17="","",Bangla!C17)</f>
        <v>66</v>
      </c>
      <c r="J17" s="60">
        <f>IF(Bangla!D17="","",Bangla!D17)</f>
        <v>66</v>
      </c>
      <c r="K17" s="61">
        <f>IF(English!C17="","",English!C17)</f>
        <v>48</v>
      </c>
      <c r="L17" s="35">
        <f>IF(ICT!B17="","",ICT!B17)</f>
        <v>15</v>
      </c>
      <c r="M17" s="35">
        <f>IF(ICT!C17="","",ICT!C17)</f>
        <v>39</v>
      </c>
      <c r="N17" s="35">
        <f>IF(ICT!D17="","",ICT!D17)</f>
        <v>24</v>
      </c>
      <c r="O17" s="42">
        <f>IF(ICT!E17="","",ICT!E17)</f>
        <v>78</v>
      </c>
      <c r="P17" s="40">
        <f>IF(Accounting!B17="","",Accounting!B17)</f>
        <v>16</v>
      </c>
      <c r="Q17" s="40">
        <f>IF(Accounting!C17="","",Accounting!C17)</f>
        <v>43</v>
      </c>
      <c r="R17" s="44">
        <f>IF(Accounting!D17="","",Accounting!D17)</f>
        <v>59</v>
      </c>
      <c r="S17" s="35">
        <f>IF('Business Organization'!B17="","",'Business Organization'!B17)</f>
        <v>22</v>
      </c>
      <c r="T17" s="35">
        <f>IF('Business Organization'!C17="","",'Business Organization'!C17)</f>
        <v>43</v>
      </c>
      <c r="U17" s="42">
        <f>IF('Business Organization'!D17="","",'Business Organization'!D17)</f>
        <v>65</v>
      </c>
      <c r="V17" s="36">
        <f>IF(SubjectList!G17="Finance",IF(Finance!B17=0,"", Finance!B17),IF(SubjectList!G17="Production",IF(Production!B17=0,"", Production!B17),IF(SubjectList!G17="Economics",IF(Economics!B17=0,"", Economics!B17))))</f>
        <v>13</v>
      </c>
      <c r="W17" s="36">
        <f>IF(SubjectList!G17="Finance",IF(Finance!C17=0,"", Finance!C17),IF(SubjectList!G17="Production",IF(Production!C17=0,"", Production!C17),IF(SubjectList!G17="Economics",IF(Economics!C17=0,"", Economics!C17))))</f>
        <v>23</v>
      </c>
      <c r="X17" s="43">
        <f>IF(SubjectList!G17="Finance",IF(Finance!D17=0,"", Finance!D17),IF(SubjectList!G17="Production",IF(Production!D17=0,"", Production!D17),IF(SubjectList!G17="Economics",IF(Economics!D17=0,"", Economics!D17))))</f>
        <v>36</v>
      </c>
      <c r="Y17" s="40">
        <f>IF(SubjectList!H17="Finance",IF(Finance!B17=0,"", Finance!B17),IF(SubjectList!H17="Production",IF(Production!B17=0,"", Production!B17),IF(SubjectList!H17="Economics",IF(Economics!B17=0,"", Economics!B17))))</f>
        <v>18</v>
      </c>
      <c r="Z17" s="40">
        <f>IF(SubjectList!H17="Finance",IF(Finance!C17=0,"", Finance!C17),IF(SubjectList!H17="Production",IF(Production!C17=0,"", Production!C17),IF(SubjectList!H17="Economics",IF(Economics!C17=0,"", Economics!C17))))</f>
        <v>54</v>
      </c>
      <c r="AA17" s="44">
        <f>IF(SubjectList!H17="Finance",IF(Finance!D17=0,"", Finance!D17),IF(SubjectList!H17="Production",IF(Production!D17=0,"", Production!D17),IF(SubjectList!H17="Economics",IF(Economics!D17=0,"", Economics!D17))))</f>
        <v>72</v>
      </c>
      <c r="AB17" s="37" t="str">
        <f>IF(SubjectList!G17="Finance","Finance",IF(SubjectList!G17="Production","Production",IF(SubjectList!G17="Economics","Not Given")))</f>
        <v>Finance</v>
      </c>
      <c r="AC17" s="37" t="str">
        <f>IF(SubjectList!H17="Finance","Finance",IF(SubjectList!H17="Production","Production",IF(SubjectList!H17="Economics","Economics","Not Given")))</f>
        <v>Production</v>
      </c>
      <c r="AD17" s="38" t="str">
        <f>Bangla!F17</f>
        <v>A-</v>
      </c>
      <c r="AE17" s="38" t="str">
        <f>English!E17</f>
        <v>C</v>
      </c>
      <c r="AF17" s="38" t="str">
        <f>ICT!G17</f>
        <v>A</v>
      </c>
      <c r="AG17" s="38" t="str">
        <f>Accounting!F17</f>
        <v>B</v>
      </c>
      <c r="AH17" s="38" t="str">
        <f>'Business Organization'!F17</f>
        <v>A-</v>
      </c>
      <c r="AI17" s="38" t="str">
        <f>IF(SubjectList!G17="Finance",IF(Finance!F17=0,"", Finance!F17),IF(SubjectList!G17="Production",IF(Production!F17=0,"", Production!F17),IF(SubjectList!G17="Economics",IF(Economics!D17=0,"", Economics!D17))))</f>
        <v>D</v>
      </c>
      <c r="AJ17" s="38" t="str">
        <f>IF(SubjectList!H17="Finance",IF(Finance!F17=0,"", Finance!F17),IF(SubjectList!H17="Production",IF(Production!F17=0,"", Production!F17),IF(SubjectList!H17="Economics",IF(Economics!F17=0,"", Economics!F17))))</f>
        <v>A</v>
      </c>
      <c r="AK17" s="39">
        <f>Bangla!G17</f>
        <v>3.5</v>
      </c>
      <c r="AL17" s="39">
        <f>English!F17</f>
        <v>2</v>
      </c>
      <c r="AM17" s="39">
        <f>ICT!H17</f>
        <v>4</v>
      </c>
      <c r="AN17" s="39">
        <f>Accounting!G17</f>
        <v>3</v>
      </c>
      <c r="AO17" s="39">
        <f>'Business Organization'!G17</f>
        <v>3.5</v>
      </c>
      <c r="AP17" s="39">
        <f>IF(SubjectList!G17="Finance",Finance!G17,IF(SubjectList!G17="Production",Production!G17,IF(SubjectList!G17="Economics",Economics!G17)))</f>
        <v>1</v>
      </c>
      <c r="AQ17" s="39">
        <f>IF(Optional!H17="","", Optional!H17)</f>
        <v>4</v>
      </c>
      <c r="AR17" s="39">
        <f>Optional!H17</f>
        <v>4</v>
      </c>
      <c r="AS17" s="39">
        <f>Optional!I17</f>
        <v>2</v>
      </c>
      <c r="AT17" s="39">
        <f t="shared" si="0"/>
        <v>17</v>
      </c>
      <c r="AU17" s="39">
        <f t="shared" si="9"/>
        <v>19</v>
      </c>
      <c r="AV17" s="39">
        <f t="shared" si="1"/>
        <v>2.8333333333333335</v>
      </c>
      <c r="AW17" s="39">
        <f t="shared" si="2"/>
        <v>3.1666666666666665</v>
      </c>
      <c r="AX17" s="5">
        <f t="shared" si="10"/>
        <v>424</v>
      </c>
      <c r="AY17" s="41">
        <f t="shared" si="3"/>
        <v>1</v>
      </c>
      <c r="AZ17" s="41">
        <f t="shared" si="4"/>
        <v>1</v>
      </c>
      <c r="BA17" s="41">
        <f t="shared" si="5"/>
        <v>1</v>
      </c>
      <c r="BB17" s="41">
        <f t="shared" si="6"/>
        <v>1</v>
      </c>
      <c r="BC17" s="41">
        <f t="shared" si="7"/>
        <v>1</v>
      </c>
      <c r="BD17" s="41">
        <f t="shared" si="8"/>
        <v>1</v>
      </c>
      <c r="BE17" s="3">
        <f t="shared" si="11"/>
        <v>6</v>
      </c>
      <c r="BF17" s="3" t="str">
        <f t="shared" si="12"/>
        <v>Pass</v>
      </c>
      <c r="BG17" s="5">
        <f>IF(AW17="","",RANK(AW17,AW$2:AW145,0))</f>
        <v>2</v>
      </c>
      <c r="BH17" s="3" t="str">
        <f t="shared" si="13"/>
        <v>মধ্যম মানের</v>
      </c>
      <c r="BI17" t="str">
        <f t="shared" si="14"/>
        <v>Average</v>
      </c>
      <c r="BJ17" s="104" t="str">
        <f t="shared" si="15"/>
        <v>B</v>
      </c>
    </row>
    <row r="18" spans="1:62" ht="15" thickBot="1" x14ac:dyDescent="0.4">
      <c r="A18" s="3" t="str">
        <f>'Student Basic Info'!B18</f>
        <v>Business Studies</v>
      </c>
      <c r="B18" s="3">
        <f>'Student Basic Info'!A18</f>
        <v>517</v>
      </c>
      <c r="C18" s="3" t="str">
        <f>'Student Basic Info'!C18</f>
        <v>Imam Hosain Apurbo</v>
      </c>
      <c r="D18" s="3" t="str">
        <f>'Student Basic Info'!D18</f>
        <v>Kausar Alom</v>
      </c>
      <c r="E18" s="3" t="str">
        <f>'Student Basic Info'!E18</f>
        <v>Fency</v>
      </c>
      <c r="F18" s="3" t="str">
        <f>'Student Basic Info'!F18</f>
        <v>Male</v>
      </c>
      <c r="G18" s="79" t="s">
        <v>843</v>
      </c>
      <c r="H18" s="59" t="str">
        <f>IF(Bangla!B18="","",Bangla!B18)</f>
        <v/>
      </c>
      <c r="I18" s="59" t="str">
        <f>IF(Bangla!C18="","",Bangla!C18)</f>
        <v/>
      </c>
      <c r="J18" s="60" t="str">
        <f>IF(Bangla!D18="","",Bangla!D18)</f>
        <v/>
      </c>
      <c r="K18" s="61" t="str">
        <f>IF(English!C18="","",English!C18)</f>
        <v/>
      </c>
      <c r="L18" s="35" t="str">
        <f>IF(ICT!B18="","",ICT!B18)</f>
        <v/>
      </c>
      <c r="M18" s="35" t="str">
        <f>IF(ICT!C18="","",ICT!C18)</f>
        <v/>
      </c>
      <c r="N18" s="35" t="str">
        <f>IF(ICT!D18="","",ICT!D18)</f>
        <v/>
      </c>
      <c r="O18" s="42" t="str">
        <f>IF(ICT!E18="","",ICT!E18)</f>
        <v/>
      </c>
      <c r="P18" s="40" t="str">
        <f>IF(Accounting!B18="","",Accounting!B18)</f>
        <v/>
      </c>
      <c r="Q18" s="40" t="str">
        <f>IF(Accounting!C18="","",Accounting!C18)</f>
        <v/>
      </c>
      <c r="R18" s="44" t="str">
        <f>IF(Accounting!D18="","",Accounting!D18)</f>
        <v/>
      </c>
      <c r="S18" s="35" t="str">
        <f>IF('Business Organization'!B18="","",'Business Organization'!B18)</f>
        <v/>
      </c>
      <c r="T18" s="35" t="str">
        <f>IF('Business Organization'!C18="","",'Business Organization'!C18)</f>
        <v/>
      </c>
      <c r="U18" s="42" t="str">
        <f>IF('Business Organization'!D18="","",'Business Organization'!D18)</f>
        <v/>
      </c>
      <c r="V18" s="36" t="str">
        <f>IF(SubjectList!G18="Finance",IF(Finance!B18=0,"", Finance!B18),IF(SubjectList!G18="Production",IF(Production!B18=0,"", Production!B18),IF(SubjectList!G18="Economics",IF(Economics!B18=0,"", Economics!B18))))</f>
        <v/>
      </c>
      <c r="W18" s="36" t="str">
        <f>IF(SubjectList!G18="Finance",IF(Finance!C18=0,"", Finance!C18),IF(SubjectList!G18="Production",IF(Production!C18=0,"", Production!C18),IF(SubjectList!G18="Economics",IF(Economics!C18=0,"", Economics!C18))))</f>
        <v/>
      </c>
      <c r="X18" s="43" t="str">
        <f>IF(SubjectList!G18="Finance",IF(Finance!D18=0,"", Finance!D18),IF(SubjectList!G18="Production",IF(Production!D18=0,"", Production!D18),IF(SubjectList!G18="Economics",IF(Economics!D18=0,"", Economics!D18))))</f>
        <v/>
      </c>
      <c r="Y18" s="40" t="str">
        <f>IF(SubjectList!H18="Finance",IF(Finance!B18=0,"", Finance!B18),IF(SubjectList!H18="Production",IF(Production!B18=0,"", Production!B18),IF(SubjectList!H18="Economics",IF(Economics!B18=0,"", Economics!B18))))</f>
        <v/>
      </c>
      <c r="Z18" s="40" t="str">
        <f>IF(SubjectList!H18="Finance",IF(Finance!C18=0,"", Finance!C18),IF(SubjectList!H18="Production",IF(Production!C18=0,"", Production!C18),IF(SubjectList!H18="Economics",IF(Economics!C18=0,"", Economics!C18))))</f>
        <v/>
      </c>
      <c r="AA18" s="44" t="str">
        <f>IF(SubjectList!H18="Finance",IF(Finance!D18=0,"", Finance!D18),IF(SubjectList!H18="Production",IF(Production!D18=0,"", Production!D18),IF(SubjectList!H18="Economics",IF(Economics!D18=0,"", Economics!D18))))</f>
        <v/>
      </c>
      <c r="AB18" s="37" t="str">
        <f>IF(SubjectList!G18="Finance","Finance",IF(SubjectList!G18="Production","Production",IF(SubjectList!G18="Economics","Not Given")))</f>
        <v>Finance</v>
      </c>
      <c r="AC18" s="37" t="str">
        <f>IF(SubjectList!H18="Finance","Finance",IF(SubjectList!H18="Production","Production",IF(SubjectList!H18="Economics","Economics","Not Given")))</f>
        <v>Production</v>
      </c>
      <c r="AD18" s="38" t="str">
        <f>Bangla!F18</f>
        <v/>
      </c>
      <c r="AE18" s="38" t="str">
        <f>English!E18</f>
        <v/>
      </c>
      <c r="AF18" s="38" t="str">
        <f>ICT!G18</f>
        <v/>
      </c>
      <c r="AG18" s="38" t="str">
        <f>Accounting!F18</f>
        <v/>
      </c>
      <c r="AH18" s="38" t="str">
        <f>'Business Organization'!F18</f>
        <v/>
      </c>
      <c r="AI18" s="38" t="str">
        <f>IF(SubjectList!G18="Finance",IF(Finance!F18=0,"", Finance!F18),IF(SubjectList!G18="Production",IF(Production!F18=0,"", Production!F18),IF(SubjectList!G18="Economics",IF(Economics!D18=0,"", Economics!D18))))</f>
        <v/>
      </c>
      <c r="AJ18" s="38" t="str">
        <f>IF(SubjectList!H18="Finance",IF(Finance!F18=0,"", Finance!F18),IF(SubjectList!H18="Production",IF(Production!F18=0,"", Production!F18),IF(SubjectList!H18="Economics",IF(Economics!F18=0,"", Economics!F18))))</f>
        <v/>
      </c>
      <c r="AK18" s="39" t="str">
        <f>Bangla!G18</f>
        <v/>
      </c>
      <c r="AL18" s="39" t="str">
        <f>English!F18</f>
        <v/>
      </c>
      <c r="AM18" s="39" t="str">
        <f>ICT!H18</f>
        <v/>
      </c>
      <c r="AN18" s="39" t="str">
        <f>Accounting!G18</f>
        <v/>
      </c>
      <c r="AO18" s="39" t="str">
        <f>'Business Organization'!G18</f>
        <v/>
      </c>
      <c r="AP18" s="39" t="str">
        <f>IF(SubjectList!G18="Finance",Finance!G18,IF(SubjectList!G18="Production",Production!G18,IF(SubjectList!G18="Economics",Economics!G18)))</f>
        <v/>
      </c>
      <c r="AQ18" s="39" t="str">
        <f>IF(Optional!H18="","", Optional!H18)</f>
        <v/>
      </c>
      <c r="AR18" s="39" t="str">
        <f>Optional!H18</f>
        <v/>
      </c>
      <c r="AS18" s="39" t="str">
        <f>Optional!I18</f>
        <v/>
      </c>
      <c r="AT18" s="39" t="str">
        <f t="shared" si="0"/>
        <v/>
      </c>
      <c r="AU18" s="39">
        <f t="shared" si="9"/>
        <v>0</v>
      </c>
      <c r="AV18" s="39" t="str">
        <f t="shared" si="1"/>
        <v/>
      </c>
      <c r="AW18" s="39" t="str">
        <f t="shared" si="2"/>
        <v/>
      </c>
      <c r="AX18" s="5">
        <f t="shared" si="10"/>
        <v>0</v>
      </c>
      <c r="AY18" s="41">
        <f t="shared" si="3"/>
        <v>0</v>
      </c>
      <c r="AZ18" s="41">
        <f t="shared" si="4"/>
        <v>0</v>
      </c>
      <c r="BA18" s="41">
        <f t="shared" si="5"/>
        <v>0</v>
      </c>
      <c r="BB18" s="41">
        <f t="shared" si="6"/>
        <v>0</v>
      </c>
      <c r="BC18" s="41">
        <f t="shared" si="7"/>
        <v>0</v>
      </c>
      <c r="BD18" s="41">
        <f t="shared" si="8"/>
        <v>0</v>
      </c>
      <c r="BE18" s="3">
        <f t="shared" si="11"/>
        <v>0</v>
      </c>
      <c r="BF18" s="3" t="str">
        <f t="shared" si="12"/>
        <v>Failed in 6 Subjects</v>
      </c>
      <c r="BG18" s="5" t="str">
        <f>IF(AW18="","",RANK(AW18,AW$2:AW145,0))</f>
        <v/>
      </c>
      <c r="BH18" s="3" t="str">
        <f t="shared" si="13"/>
        <v>খুবই দুর্বল</v>
      </c>
      <c r="BI18" t="str">
        <f t="shared" si="14"/>
        <v>Very Weak</v>
      </c>
      <c r="BJ18" s="104" t="str">
        <f t="shared" si="15"/>
        <v/>
      </c>
    </row>
    <row r="19" spans="1:62" ht="15" thickBot="1" x14ac:dyDescent="0.4">
      <c r="A19" s="3" t="str">
        <f>'Student Basic Info'!B19</f>
        <v>Business Studies</v>
      </c>
      <c r="B19" s="3">
        <f>'Student Basic Info'!A19</f>
        <v>518</v>
      </c>
      <c r="C19" s="3" t="str">
        <f>'Student Basic Info'!C19</f>
        <v>Mowasser Hosain</v>
      </c>
      <c r="D19" s="3" t="str">
        <f>'Student Basic Info'!D19</f>
        <v>Mostofa Kamal</v>
      </c>
      <c r="E19" s="3" t="str">
        <f>'Student Basic Info'!E19</f>
        <v>Rokeya Begum</v>
      </c>
      <c r="F19" s="3" t="str">
        <f>'Student Basic Info'!F19</f>
        <v>Male</v>
      </c>
      <c r="G19" s="79" t="s">
        <v>844</v>
      </c>
      <c r="H19" s="59" t="str">
        <f>IF(Bangla!B19="","",Bangla!B19)</f>
        <v/>
      </c>
      <c r="I19" s="59" t="str">
        <f>IF(Bangla!C19="","",Bangla!C19)</f>
        <v/>
      </c>
      <c r="J19" s="60" t="str">
        <f>IF(Bangla!D19="","",Bangla!D19)</f>
        <v/>
      </c>
      <c r="K19" s="61" t="str">
        <f>IF(English!C19="","",English!C19)</f>
        <v/>
      </c>
      <c r="L19" s="35" t="str">
        <f>IF(ICT!B19="","",ICT!B19)</f>
        <v/>
      </c>
      <c r="M19" s="35" t="str">
        <f>IF(ICT!C19="","",ICT!C19)</f>
        <v/>
      </c>
      <c r="N19" s="35" t="str">
        <f>IF(ICT!D19="","",ICT!D19)</f>
        <v/>
      </c>
      <c r="O19" s="42" t="str">
        <f>IF(ICT!E19="","",ICT!E19)</f>
        <v/>
      </c>
      <c r="P19" s="40" t="str">
        <f>IF(Accounting!B19="","",Accounting!B19)</f>
        <v/>
      </c>
      <c r="Q19" s="40" t="str">
        <f>IF(Accounting!C19="","",Accounting!C19)</f>
        <v/>
      </c>
      <c r="R19" s="44" t="str">
        <f>IF(Accounting!D19="","",Accounting!D19)</f>
        <v/>
      </c>
      <c r="S19" s="35" t="str">
        <f>IF('Business Organization'!B19="","",'Business Organization'!B19)</f>
        <v/>
      </c>
      <c r="T19" s="35" t="str">
        <f>IF('Business Organization'!C19="","",'Business Organization'!C19)</f>
        <v/>
      </c>
      <c r="U19" s="42" t="str">
        <f>IF('Business Organization'!D19="","",'Business Organization'!D19)</f>
        <v/>
      </c>
      <c r="V19" s="36" t="str">
        <f>IF(SubjectList!G19="Finance",IF(Finance!B19=0,"", Finance!B19),IF(SubjectList!G19="Production",IF(Production!B19=0,"", Production!B19),IF(SubjectList!G19="Economics",IF(Economics!B19=0,"", Economics!B19))))</f>
        <v/>
      </c>
      <c r="W19" s="36" t="str">
        <f>IF(SubjectList!G19="Finance",IF(Finance!C19=0,"", Finance!C19),IF(SubjectList!G19="Production",IF(Production!C19=0,"", Production!C19),IF(SubjectList!G19="Economics",IF(Economics!C19=0,"", Economics!C19))))</f>
        <v/>
      </c>
      <c r="X19" s="43" t="str">
        <f>IF(SubjectList!G19="Finance",IF(Finance!D19=0,"", Finance!D19),IF(SubjectList!G19="Production",IF(Production!D19=0,"", Production!D19),IF(SubjectList!G19="Economics",IF(Economics!D19=0,"", Economics!D19))))</f>
        <v/>
      </c>
      <c r="Y19" s="40" t="str">
        <f>IF(SubjectList!H19="Finance",IF(Finance!B19=0,"", Finance!B19),IF(SubjectList!H19="Production",IF(Production!B19=0,"", Production!B19),IF(SubjectList!H19="Economics",IF(Economics!B19=0,"", Economics!B19))))</f>
        <v/>
      </c>
      <c r="Z19" s="40" t="str">
        <f>IF(SubjectList!H19="Finance",IF(Finance!C19=0,"", Finance!C19),IF(SubjectList!H19="Production",IF(Production!C19=0,"", Production!C19),IF(SubjectList!H19="Economics",IF(Economics!C19=0,"", Economics!C19))))</f>
        <v/>
      </c>
      <c r="AA19" s="44" t="str">
        <f>IF(SubjectList!H19="Finance",IF(Finance!D19=0,"", Finance!D19),IF(SubjectList!H19="Production",IF(Production!D19=0,"", Production!D19),IF(SubjectList!H19="Economics",IF(Economics!D19=0,"", Economics!D19))))</f>
        <v/>
      </c>
      <c r="AB19" s="37" t="str">
        <f>IF(SubjectList!G19="Finance","Finance",IF(SubjectList!G19="Production","Production",IF(SubjectList!G19="Economics","Not Given")))</f>
        <v>Finance</v>
      </c>
      <c r="AC19" s="37" t="str">
        <f>IF(SubjectList!H19="Finance","Finance",IF(SubjectList!H19="Production","Production",IF(SubjectList!H19="Economics","Economics","Not Given")))</f>
        <v>Production</v>
      </c>
      <c r="AD19" s="38" t="str">
        <f>Bangla!F19</f>
        <v/>
      </c>
      <c r="AE19" s="38" t="str">
        <f>English!E19</f>
        <v/>
      </c>
      <c r="AF19" s="38" t="str">
        <f>ICT!G19</f>
        <v/>
      </c>
      <c r="AG19" s="38" t="str">
        <f>Accounting!F19</f>
        <v/>
      </c>
      <c r="AH19" s="38" t="str">
        <f>'Business Organization'!F19</f>
        <v/>
      </c>
      <c r="AI19" s="38" t="str">
        <f>IF(SubjectList!G19="Finance",IF(Finance!F19=0,"", Finance!F19),IF(SubjectList!G19="Production",IF(Production!F19=0,"", Production!F19),IF(SubjectList!G19="Economics",IF(Economics!D19=0,"", Economics!D19))))</f>
        <v/>
      </c>
      <c r="AJ19" s="38" t="str">
        <f>IF(SubjectList!H19="Finance",IF(Finance!F19=0,"", Finance!F19),IF(SubjectList!H19="Production",IF(Production!F19=0,"", Production!F19),IF(SubjectList!H19="Economics",IF(Economics!F19=0,"", Economics!F19))))</f>
        <v/>
      </c>
      <c r="AK19" s="39" t="str">
        <f>Bangla!G19</f>
        <v/>
      </c>
      <c r="AL19" s="39" t="str">
        <f>English!F19</f>
        <v/>
      </c>
      <c r="AM19" s="39" t="str">
        <f>ICT!H19</f>
        <v/>
      </c>
      <c r="AN19" s="39" t="str">
        <f>Accounting!G19</f>
        <v/>
      </c>
      <c r="AO19" s="39" t="str">
        <f>'Business Organization'!G19</f>
        <v/>
      </c>
      <c r="AP19" s="39" t="str">
        <f>IF(SubjectList!G19="Finance",Finance!G19,IF(SubjectList!G19="Production",Production!G19,IF(SubjectList!G19="Economics",Economics!G19)))</f>
        <v/>
      </c>
      <c r="AQ19" s="39" t="str">
        <f>IF(Optional!H19="","", Optional!H19)</f>
        <v/>
      </c>
      <c r="AR19" s="39" t="str">
        <f>Optional!H19</f>
        <v/>
      </c>
      <c r="AS19" s="39" t="str">
        <f>Optional!I19</f>
        <v/>
      </c>
      <c r="AT19" s="39" t="str">
        <f t="shared" si="0"/>
        <v/>
      </c>
      <c r="AU19" s="39">
        <f t="shared" si="9"/>
        <v>0</v>
      </c>
      <c r="AV19" s="39" t="str">
        <f t="shared" si="1"/>
        <v/>
      </c>
      <c r="AW19" s="39" t="str">
        <f t="shared" si="2"/>
        <v/>
      </c>
      <c r="AX19" s="5">
        <f t="shared" si="10"/>
        <v>0</v>
      </c>
      <c r="AY19" s="41">
        <f t="shared" si="3"/>
        <v>0</v>
      </c>
      <c r="AZ19" s="41">
        <f t="shared" si="4"/>
        <v>0</v>
      </c>
      <c r="BA19" s="41">
        <f t="shared" si="5"/>
        <v>0</v>
      </c>
      <c r="BB19" s="41">
        <f t="shared" si="6"/>
        <v>0</v>
      </c>
      <c r="BC19" s="41">
        <f t="shared" si="7"/>
        <v>0</v>
      </c>
      <c r="BD19" s="41">
        <f t="shared" si="8"/>
        <v>0</v>
      </c>
      <c r="BE19" s="3">
        <f t="shared" si="11"/>
        <v>0</v>
      </c>
      <c r="BF19" s="3" t="str">
        <f t="shared" si="12"/>
        <v>Failed in 6 Subjects</v>
      </c>
      <c r="BG19" s="5" t="str">
        <f>IF(AW19="","",RANK(AW19,AW$2:AW145,0))</f>
        <v/>
      </c>
      <c r="BH19" s="3" t="str">
        <f t="shared" si="13"/>
        <v>খুবই দুর্বল</v>
      </c>
      <c r="BI19" t="str">
        <f t="shared" si="14"/>
        <v>Very Weak</v>
      </c>
      <c r="BJ19" s="104" t="str">
        <f t="shared" si="15"/>
        <v/>
      </c>
    </row>
    <row r="20" spans="1:62" ht="15" thickBot="1" x14ac:dyDescent="0.4">
      <c r="A20" s="3" t="str">
        <f>'Student Basic Info'!B20</f>
        <v>Business Studies</v>
      </c>
      <c r="B20" s="3">
        <f>'Student Basic Info'!A20</f>
        <v>519</v>
      </c>
      <c r="C20" s="3" t="str">
        <f>'Student Basic Info'!C20</f>
        <v>Tanvir</v>
      </c>
      <c r="D20" s="3" t="str">
        <f>'Student Basic Info'!D20</f>
        <v>Shahab Uddin</v>
      </c>
      <c r="E20" s="3" t="str">
        <f>'Student Basic Info'!E20</f>
        <v>Bibi Amena</v>
      </c>
      <c r="F20" s="3" t="str">
        <f>'Student Basic Info'!F20</f>
        <v>Male</v>
      </c>
      <c r="G20" s="79" t="s">
        <v>845</v>
      </c>
      <c r="H20" s="59" t="str">
        <f>IF(Bangla!B20="","",Bangla!B20)</f>
        <v/>
      </c>
      <c r="I20" s="59">
        <f>IF(Bangla!C20="","",Bangla!C20)</f>
        <v>37</v>
      </c>
      <c r="J20" s="60">
        <f>IF(Bangla!D20="","",Bangla!D20)</f>
        <v>37</v>
      </c>
      <c r="K20" s="61">
        <f>IF(English!C20="","",English!C20)</f>
        <v>37</v>
      </c>
      <c r="L20" s="35">
        <f>IF(ICT!B20="","",ICT!B20)</f>
        <v>15</v>
      </c>
      <c r="M20" s="35">
        <f>IF(ICT!C20="","",ICT!C20)</f>
        <v>17</v>
      </c>
      <c r="N20" s="35">
        <f>IF(ICT!D20="","",ICT!D20)</f>
        <v>23</v>
      </c>
      <c r="O20" s="42">
        <f>IF(ICT!E20="","",ICT!E20)</f>
        <v>55</v>
      </c>
      <c r="P20" s="40">
        <f>IF(Accounting!B20="","",Accounting!B20)</f>
        <v>11</v>
      </c>
      <c r="Q20" s="40">
        <f>IF(Accounting!C20="","",Accounting!C20)</f>
        <v>40</v>
      </c>
      <c r="R20" s="44">
        <f>IF(Accounting!D20="","",Accounting!D20)</f>
        <v>51</v>
      </c>
      <c r="S20" s="35">
        <f>IF('Business Organization'!B20="","",'Business Organization'!B20)</f>
        <v>22</v>
      </c>
      <c r="T20" s="35">
        <f>IF('Business Organization'!C20="","",'Business Organization'!C20)</f>
        <v>32</v>
      </c>
      <c r="U20" s="42">
        <f>IF('Business Organization'!D20="","",'Business Organization'!D20)</f>
        <v>54</v>
      </c>
      <c r="V20" s="36">
        <f>IF(SubjectList!G20="Finance",IF(Finance!B20=0,"", Finance!B20),IF(SubjectList!G20="Production",IF(Production!B20=0,"", Production!B20),IF(SubjectList!G20="Economics",IF(Economics!B20=0,"", Economics!B20))))</f>
        <v>13</v>
      </c>
      <c r="W20" s="36">
        <f>IF(SubjectList!G20="Finance",IF(Finance!C20=0,"", Finance!C20),IF(SubjectList!G20="Production",IF(Production!C20=0,"", Production!C20),IF(SubjectList!G20="Economics",IF(Economics!C20=0,"", Economics!C20))))</f>
        <v>12</v>
      </c>
      <c r="X20" s="43">
        <f>IF(SubjectList!G20="Finance",IF(Finance!D20=0,"", Finance!D20),IF(SubjectList!G20="Production",IF(Production!D20=0,"", Production!D20),IF(SubjectList!G20="Economics",IF(Economics!D20=0,"", Economics!D20))))</f>
        <v>25</v>
      </c>
      <c r="Y20" s="40">
        <f>IF(SubjectList!H20="Finance",IF(Finance!B20=0,"", Finance!B20),IF(SubjectList!H20="Production",IF(Production!B20=0,"", Production!B20),IF(SubjectList!H20="Economics",IF(Economics!B20=0,"", Economics!B20))))</f>
        <v>10</v>
      </c>
      <c r="Z20" s="40">
        <f>IF(SubjectList!H20="Finance",IF(Finance!C20=0,"", Finance!C20),IF(SubjectList!H20="Production",IF(Production!C20=0,"", Production!C20),IF(SubjectList!H20="Economics",IF(Economics!C20=0,"", Economics!C20))))</f>
        <v>37</v>
      </c>
      <c r="AA20" s="44">
        <f>IF(SubjectList!H20="Finance",IF(Finance!D20=0,"", Finance!D20),IF(SubjectList!H20="Production",IF(Production!D20=0,"", Production!D20),IF(SubjectList!H20="Economics",IF(Economics!D20=0,"", Economics!D20))))</f>
        <v>47</v>
      </c>
      <c r="AB20" s="37" t="str">
        <f>IF(SubjectList!G20="Finance","Finance",IF(SubjectList!G20="Production","Production",IF(SubjectList!G20="Economics","Not Given")))</f>
        <v>Finance</v>
      </c>
      <c r="AC20" s="37" t="str">
        <f>IF(SubjectList!H20="Finance","Finance",IF(SubjectList!H20="Production","Production",IF(SubjectList!H20="Economics","Economics","Not Given")))</f>
        <v>Economics</v>
      </c>
      <c r="AD20" s="38" t="str">
        <f>Bangla!F20</f>
        <v>D</v>
      </c>
      <c r="AE20" s="38" t="str">
        <f>English!E20</f>
        <v>D</v>
      </c>
      <c r="AF20" s="38" t="str">
        <f>ICT!G20</f>
        <v>B</v>
      </c>
      <c r="AG20" s="38" t="str">
        <f>Accounting!F20</f>
        <v>B</v>
      </c>
      <c r="AH20" s="38" t="str">
        <f>'Business Organization'!F20</f>
        <v>B</v>
      </c>
      <c r="AI20" s="38" t="str">
        <f>IF(SubjectList!G20="Finance",IF(Finance!F20=0,"", Finance!F20),IF(SubjectList!G20="Production",IF(Production!F20=0,"", Production!F20),IF(SubjectList!G20="Economics",IF(Economics!D20=0,"", Economics!D20))))</f>
        <v>F</v>
      </c>
      <c r="AJ20" s="38" t="str">
        <f>Finance!F20</f>
        <v>F</v>
      </c>
      <c r="AK20" s="39">
        <f>Bangla!G20</f>
        <v>1</v>
      </c>
      <c r="AL20" s="39">
        <f>English!F20</f>
        <v>1</v>
      </c>
      <c r="AM20" s="39">
        <f>ICT!H20</f>
        <v>3</v>
      </c>
      <c r="AN20" s="39">
        <f>Accounting!G20</f>
        <v>3</v>
      </c>
      <c r="AO20" s="39">
        <f>'Business Organization'!G20</f>
        <v>3</v>
      </c>
      <c r="AP20" s="39">
        <f>IF(SubjectList!G20="Finance",Finance!G20,IF(SubjectList!G20="Production",Production!G20,IF(SubjectList!G20="Economics",Economics!G20)))</f>
        <v>0</v>
      </c>
      <c r="AQ20" s="39">
        <f>IF(Optional!H20="","", Optional!H20)</f>
        <v>2</v>
      </c>
      <c r="AR20" s="39">
        <f>Optional!H20</f>
        <v>2</v>
      </c>
      <c r="AS20" s="39">
        <f>Optional!I20</f>
        <v>0</v>
      </c>
      <c r="AT20" s="39">
        <f t="shared" si="0"/>
        <v>11</v>
      </c>
      <c r="AU20" s="39">
        <f t="shared" si="9"/>
        <v>11</v>
      </c>
      <c r="AV20" s="39" t="str">
        <f t="shared" si="1"/>
        <v/>
      </c>
      <c r="AW20" s="39" t="str">
        <f t="shared" si="2"/>
        <v/>
      </c>
      <c r="AX20" s="5">
        <f t="shared" si="10"/>
        <v>306</v>
      </c>
      <c r="AY20" s="41">
        <f t="shared" si="3"/>
        <v>1</v>
      </c>
      <c r="AZ20" s="41">
        <f t="shared" si="4"/>
        <v>1</v>
      </c>
      <c r="BA20" s="41">
        <f t="shared" si="5"/>
        <v>1</v>
      </c>
      <c r="BB20" s="41">
        <f t="shared" si="6"/>
        <v>1</v>
      </c>
      <c r="BC20" s="41">
        <f t="shared" si="7"/>
        <v>1</v>
      </c>
      <c r="BD20" s="41">
        <f t="shared" si="8"/>
        <v>0</v>
      </c>
      <c r="BE20" s="3">
        <f t="shared" si="11"/>
        <v>5</v>
      </c>
      <c r="BF20" s="3" t="str">
        <f t="shared" si="12"/>
        <v>Failed in 1 Subject</v>
      </c>
      <c r="BG20" s="5" t="str">
        <f>IF(AW20="","",RANK(AW20,AW$2:AW145,0))</f>
        <v/>
      </c>
      <c r="BH20" s="3" t="str">
        <f t="shared" si="13"/>
        <v>খুবই দুর্বল</v>
      </c>
      <c r="BI20" t="str">
        <f t="shared" si="14"/>
        <v>Very Weak</v>
      </c>
      <c r="BJ20" s="104" t="str">
        <f t="shared" si="15"/>
        <v/>
      </c>
    </row>
    <row r="21" spans="1:62" ht="15" thickBot="1" x14ac:dyDescent="0.4">
      <c r="A21" s="3" t="str">
        <f>'Student Basic Info'!B21</f>
        <v>Business Studies</v>
      </c>
      <c r="B21" s="3">
        <f>'Student Basic Info'!A21</f>
        <v>520</v>
      </c>
      <c r="C21" s="3" t="str">
        <f>'Student Basic Info'!C21</f>
        <v>Md. Shakib</v>
      </c>
      <c r="D21" s="3" t="str">
        <f>'Student Basic Info'!D21</f>
        <v>Md. Hanif</v>
      </c>
      <c r="E21" s="3" t="str">
        <f>'Student Basic Info'!E21</f>
        <v>Gunai Bibi</v>
      </c>
      <c r="F21" s="3" t="str">
        <f>'Student Basic Info'!F21</f>
        <v>Male</v>
      </c>
      <c r="G21" s="79">
        <v>1843388535</v>
      </c>
      <c r="H21" s="59" t="str">
        <f>IF(Bangla!B21="","",Bangla!B21)</f>
        <v/>
      </c>
      <c r="I21" s="59">
        <f>IF(Bangla!C21="","",Bangla!C21)</f>
        <v>25</v>
      </c>
      <c r="J21" s="60">
        <f>IF(Bangla!D21="","",Bangla!D21)</f>
        <v>25</v>
      </c>
      <c r="K21" s="61">
        <f>IF(English!C21="","",English!C21)</f>
        <v>16</v>
      </c>
      <c r="L21" s="35">
        <f>IF(ICT!B21="","",ICT!B21)</f>
        <v>14</v>
      </c>
      <c r="M21" s="35">
        <f>IF(ICT!C21="","",ICT!C21)</f>
        <v>2</v>
      </c>
      <c r="N21" s="35">
        <f>IF(ICT!D21="","",ICT!D21)</f>
        <v>24</v>
      </c>
      <c r="O21" s="42">
        <f>IF(ICT!E21="","",ICT!E21)</f>
        <v>40</v>
      </c>
      <c r="P21" s="40">
        <f>IF(Accounting!B21="","",Accounting!B21)</f>
        <v>10</v>
      </c>
      <c r="Q21" s="40">
        <f>IF(Accounting!C21="","",Accounting!C21)</f>
        <v>8</v>
      </c>
      <c r="R21" s="44">
        <f>IF(Accounting!D21="","",Accounting!D21)</f>
        <v>18</v>
      </c>
      <c r="S21" s="35">
        <f>IF('Business Organization'!B21="","",'Business Organization'!B21)</f>
        <v>15</v>
      </c>
      <c r="T21" s="35">
        <f>IF('Business Organization'!C21="","",'Business Organization'!C21)</f>
        <v>4</v>
      </c>
      <c r="U21" s="42">
        <f>IF('Business Organization'!D21="","",'Business Organization'!D21)</f>
        <v>19</v>
      </c>
      <c r="V21" s="36">
        <f>IF(SubjectList!G21="Finance",IF(Finance!B21=0,"", Finance!B21),IF(SubjectList!G21="Production",IF(Production!B21=0,"", Production!B21),IF(SubjectList!G21="Economics",IF(Economics!B21=0,"", Economics!B21))))</f>
        <v>11</v>
      </c>
      <c r="W21" s="36">
        <f>IF(SubjectList!G21="Finance",IF(Finance!C21=0,"", Finance!C21),IF(SubjectList!G21="Production",IF(Production!C21=0,"", Production!C21),IF(SubjectList!G21="Economics",IF(Economics!C21=0,"", Economics!C21))))</f>
        <v>25</v>
      </c>
      <c r="X21" s="43">
        <f>IF(SubjectList!G21="Finance",IF(Finance!D21=0,"", Finance!D21),IF(SubjectList!G21="Production",IF(Production!D21=0,"", Production!D21),IF(SubjectList!G21="Economics",IF(Economics!D21=0,"", Economics!D21))))</f>
        <v>36</v>
      </c>
      <c r="Y21" s="40">
        <f>IF(SubjectList!H21="Finance",IF(Finance!B21=0,"", Finance!B21),IF(SubjectList!H21="Production",IF(Production!B21=0,"", Production!B21),IF(SubjectList!H21="Economics",IF(Economics!B21=0,"", Economics!B21))))</f>
        <v>6</v>
      </c>
      <c r="Z21" s="40">
        <f>IF(SubjectList!H21="Finance",IF(Finance!C21=0,"", Finance!C21),IF(SubjectList!H21="Production",IF(Production!C21=0,"", Production!C21),IF(SubjectList!H21="Economics",IF(Economics!C21=0,"", Economics!C21))))</f>
        <v>6</v>
      </c>
      <c r="AA21" s="44">
        <f>IF(SubjectList!H21="Finance",IF(Finance!D21=0,"", Finance!D21),IF(SubjectList!H21="Production",IF(Production!D21=0,"", Production!D21),IF(SubjectList!H21="Economics",IF(Economics!D21=0,"", Economics!D21))))</f>
        <v>12</v>
      </c>
      <c r="AB21" s="37" t="str">
        <f>IF(SubjectList!G21="Finance","Finance",IF(SubjectList!G21="Production","Production",IF(SubjectList!G21="Economics","Not Given")))</f>
        <v>Production</v>
      </c>
      <c r="AC21" s="37" t="str">
        <f>IF(SubjectList!H21="Finance","Finance",IF(SubjectList!H21="Production","Production",IF(SubjectList!H21="Economics","Economics","Not Given")))</f>
        <v>Finance</v>
      </c>
      <c r="AD21" s="38" t="str">
        <f>Bangla!F21</f>
        <v>F</v>
      </c>
      <c r="AE21" s="38" t="str">
        <f>English!E21</f>
        <v>F</v>
      </c>
      <c r="AF21" s="38" t="str">
        <f>ICT!G21</f>
        <v>F</v>
      </c>
      <c r="AG21" s="38" t="str">
        <f>Accounting!F21</f>
        <v>F</v>
      </c>
      <c r="AH21" s="38" t="str">
        <f>'Business Organization'!F21</f>
        <v>F</v>
      </c>
      <c r="AI21" s="38" t="str">
        <f>Production!F21</f>
        <v>D</v>
      </c>
      <c r="AJ21" s="38" t="str">
        <f>Finance!F21</f>
        <v>F</v>
      </c>
      <c r="AK21" s="39">
        <f>Bangla!G21</f>
        <v>0</v>
      </c>
      <c r="AL21" s="39">
        <f>English!F21</f>
        <v>0</v>
      </c>
      <c r="AM21" s="39">
        <f>ICT!H21</f>
        <v>0</v>
      </c>
      <c r="AN21" s="39">
        <f>Accounting!G21</f>
        <v>0</v>
      </c>
      <c r="AO21" s="39">
        <f>'Business Organization'!G21</f>
        <v>0</v>
      </c>
      <c r="AP21" s="39">
        <f>IF(SubjectList!G21="Finance",Finance!G21,IF(SubjectList!G21="Production",Production!G21,IF(SubjectList!G21="Economics",Economics!G21)))</f>
        <v>1</v>
      </c>
      <c r="AQ21" s="39">
        <f>IF(Optional!H21="","", Optional!H21)</f>
        <v>0</v>
      </c>
      <c r="AR21" s="39">
        <f>Optional!H21</f>
        <v>0</v>
      </c>
      <c r="AS21" s="39">
        <f>Optional!I21</f>
        <v>0</v>
      </c>
      <c r="AT21" s="39">
        <f t="shared" si="0"/>
        <v>1</v>
      </c>
      <c r="AU21" s="39">
        <f t="shared" si="9"/>
        <v>1</v>
      </c>
      <c r="AV21" s="39" t="str">
        <f t="shared" si="1"/>
        <v/>
      </c>
      <c r="AW21" s="39" t="str">
        <f t="shared" si="2"/>
        <v/>
      </c>
      <c r="AX21" s="5">
        <f t="shared" si="10"/>
        <v>166</v>
      </c>
      <c r="AY21" s="41">
        <f t="shared" si="3"/>
        <v>0</v>
      </c>
      <c r="AZ21" s="41">
        <f t="shared" si="4"/>
        <v>0</v>
      </c>
      <c r="BA21" s="41">
        <f t="shared" si="5"/>
        <v>0</v>
      </c>
      <c r="BB21" s="41">
        <f t="shared" si="6"/>
        <v>0</v>
      </c>
      <c r="BC21" s="41">
        <f t="shared" si="7"/>
        <v>0</v>
      </c>
      <c r="BD21" s="41">
        <f t="shared" si="8"/>
        <v>1</v>
      </c>
      <c r="BE21" s="3">
        <f t="shared" si="11"/>
        <v>1</v>
      </c>
      <c r="BF21" s="3" t="str">
        <f t="shared" si="12"/>
        <v>Failed in 5 Subjects</v>
      </c>
      <c r="BG21" s="5" t="str">
        <f>IF(AW21="","",RANK(AW21,AW$2:AW145,0))</f>
        <v/>
      </c>
      <c r="BH21" s="3" t="str">
        <f t="shared" si="13"/>
        <v>খুবই দুর্বল</v>
      </c>
      <c r="BI21" t="str">
        <f t="shared" si="14"/>
        <v>Very Weak</v>
      </c>
      <c r="BJ21" s="104" t="str">
        <f t="shared" si="15"/>
        <v/>
      </c>
    </row>
    <row r="22" spans="1:62" ht="15" thickBot="1" x14ac:dyDescent="0.4">
      <c r="A22" s="3" t="str">
        <f>'Student Basic Info'!B22</f>
        <v>Business Studies</v>
      </c>
      <c r="B22" s="3">
        <f>'Student Basic Info'!A22</f>
        <v>521</v>
      </c>
      <c r="C22" s="3" t="str">
        <f>'Student Basic Info'!C22</f>
        <v>Farzana Aktar Zitu</v>
      </c>
      <c r="D22" s="3" t="str">
        <f>'Student Basic Info'!D22</f>
        <v>Abdul Mannan</v>
      </c>
      <c r="E22" s="3" t="str">
        <f>'Student Basic Info'!E22</f>
        <v>Monowara Begum</v>
      </c>
      <c r="F22" s="3" t="str">
        <f>'Student Basic Info'!F22</f>
        <v>Female</v>
      </c>
      <c r="G22" s="79" t="s">
        <v>846</v>
      </c>
      <c r="H22" s="59" t="str">
        <f>IF(Bangla!B22="","",Bangla!B22)</f>
        <v/>
      </c>
      <c r="I22" s="59" t="str">
        <f>IF(Bangla!C22="","",Bangla!C22)</f>
        <v/>
      </c>
      <c r="J22" s="60" t="str">
        <f>IF(Bangla!D22="","",Bangla!D22)</f>
        <v/>
      </c>
      <c r="K22" s="61" t="str">
        <f>IF(English!C22="","",English!C22)</f>
        <v/>
      </c>
      <c r="L22" s="35" t="str">
        <f>IF(ICT!B22="","",ICT!B22)</f>
        <v/>
      </c>
      <c r="M22" s="35" t="str">
        <f>IF(ICT!C22="","",ICT!C22)</f>
        <v/>
      </c>
      <c r="N22" s="35" t="str">
        <f>IF(ICT!D22="","",ICT!D22)</f>
        <v/>
      </c>
      <c r="O22" s="42" t="str">
        <f>IF(ICT!E22="","",ICT!E22)</f>
        <v/>
      </c>
      <c r="P22" s="40" t="str">
        <f>IF(Accounting!B22="","",Accounting!B22)</f>
        <v/>
      </c>
      <c r="Q22" s="40" t="str">
        <f>IF(Accounting!C22="","",Accounting!C22)</f>
        <v/>
      </c>
      <c r="R22" s="44" t="str">
        <f>IF(Accounting!D22="","",Accounting!D22)</f>
        <v/>
      </c>
      <c r="S22" s="35" t="str">
        <f>IF('Business Organization'!B22="","",'Business Organization'!B22)</f>
        <v/>
      </c>
      <c r="T22" s="35" t="str">
        <f>IF('Business Organization'!C22="","",'Business Organization'!C22)</f>
        <v/>
      </c>
      <c r="U22" s="42" t="str">
        <f>IF('Business Organization'!D22="","",'Business Organization'!D22)</f>
        <v/>
      </c>
      <c r="V22" s="36" t="str">
        <f>IF(SubjectList!G22="Finance",IF(Finance!B22=0,"", Finance!B22),IF(SubjectList!G22="Production",IF(Production!B22=0,"", Production!B22),IF(SubjectList!G22="Economics",IF(Economics!B22=0,"", Economics!B22))))</f>
        <v/>
      </c>
      <c r="W22" s="36" t="str">
        <f>IF(SubjectList!G22="Finance",IF(Finance!C22=0,"", Finance!C22),IF(SubjectList!G22="Production",IF(Production!C22=0,"", Production!C22),IF(SubjectList!G22="Economics",IF(Economics!C22=0,"", Economics!C22))))</f>
        <v/>
      </c>
      <c r="X22" s="43" t="str">
        <f>IF(SubjectList!G22="Finance",IF(Finance!D22=0,"", Finance!D22),IF(SubjectList!G22="Production",IF(Production!D22=0,"", Production!D22),IF(SubjectList!G22="Economics",IF(Economics!D22=0,"", Economics!D22))))</f>
        <v/>
      </c>
      <c r="Y22" s="40" t="str">
        <f>IF(SubjectList!H22="Finance",IF(Finance!B22=0,"", Finance!B22),IF(SubjectList!H22="Production",IF(Production!B22=0,"", Production!B22),IF(SubjectList!H22="Economics",IF(Economics!B22=0,"", Economics!B22))))</f>
        <v/>
      </c>
      <c r="Z22" s="40" t="str">
        <f>IF(SubjectList!H22="Finance",IF(Finance!C22=0,"", Finance!C22),IF(SubjectList!H22="Production",IF(Production!C22=0,"", Production!C22),IF(SubjectList!H22="Economics",IF(Economics!C22=0,"", Economics!C22))))</f>
        <v/>
      </c>
      <c r="AA22" s="44" t="str">
        <f>IF(SubjectList!H22="Finance",IF(Finance!D22=0,"", Finance!D22),IF(SubjectList!H22="Production",IF(Production!D22=0,"", Production!D22),IF(SubjectList!H22="Economics",IF(Economics!D22=0,"", Economics!D22))))</f>
        <v/>
      </c>
      <c r="AB22" s="37" t="str">
        <f>IF(SubjectList!G22="Finance","Finance",IF(SubjectList!G22="Production","Production",IF(SubjectList!G22="Economics","Not Given")))</f>
        <v>Finance</v>
      </c>
      <c r="AC22" s="37" t="str">
        <f>IF(SubjectList!H22="Finance","Finance",IF(SubjectList!H22="Production","Production",IF(SubjectList!H22="Economics","Economics","Not Given")))</f>
        <v>Production</v>
      </c>
      <c r="AD22" s="38" t="str">
        <f>Bangla!F22</f>
        <v/>
      </c>
      <c r="AE22" s="38" t="str">
        <f>English!E22</f>
        <v/>
      </c>
      <c r="AF22" s="38" t="str">
        <f>ICT!G22</f>
        <v/>
      </c>
      <c r="AG22" s="38" t="str">
        <f>Accounting!F22</f>
        <v/>
      </c>
      <c r="AH22" s="38" t="str">
        <f>'Business Organization'!F22</f>
        <v/>
      </c>
      <c r="AI22" s="38" t="str">
        <f>Production!F22</f>
        <v/>
      </c>
      <c r="AJ22" s="38" t="str">
        <f>Finance!F22</f>
        <v/>
      </c>
      <c r="AK22" s="39" t="str">
        <f>Bangla!G22</f>
        <v/>
      </c>
      <c r="AL22" s="39" t="str">
        <f>English!F22</f>
        <v/>
      </c>
      <c r="AM22" s="39" t="str">
        <f>ICT!H22</f>
        <v/>
      </c>
      <c r="AN22" s="39" t="str">
        <f>Accounting!G22</f>
        <v/>
      </c>
      <c r="AO22" s="39" t="str">
        <f>'Business Organization'!G22</f>
        <v/>
      </c>
      <c r="AP22" s="39" t="str">
        <f>IF(SubjectList!G22="Finance",Finance!G22,IF(SubjectList!G22="Production",Production!G22,IF(SubjectList!G22="Economics",Economics!G22)))</f>
        <v/>
      </c>
      <c r="AQ22" s="39" t="str">
        <f>IF(Optional!H22="","", Optional!H22)</f>
        <v/>
      </c>
      <c r="AR22" s="39" t="str">
        <f>Optional!H22</f>
        <v/>
      </c>
      <c r="AS22" s="39" t="str">
        <f>Optional!I22</f>
        <v/>
      </c>
      <c r="AT22" s="39" t="str">
        <f t="shared" si="0"/>
        <v/>
      </c>
      <c r="AU22" s="39">
        <f t="shared" si="9"/>
        <v>0</v>
      </c>
      <c r="AV22" s="39" t="str">
        <f t="shared" si="1"/>
        <v/>
      </c>
      <c r="AW22" s="39" t="str">
        <f t="shared" si="2"/>
        <v/>
      </c>
      <c r="AX22" s="5">
        <f t="shared" si="10"/>
        <v>0</v>
      </c>
      <c r="AY22" s="41">
        <f t="shared" si="3"/>
        <v>0</v>
      </c>
      <c r="AZ22" s="41">
        <f t="shared" si="4"/>
        <v>0</v>
      </c>
      <c r="BA22" s="41">
        <f t="shared" si="5"/>
        <v>0</v>
      </c>
      <c r="BB22" s="41">
        <f t="shared" si="6"/>
        <v>0</v>
      </c>
      <c r="BC22" s="41">
        <f t="shared" si="7"/>
        <v>0</v>
      </c>
      <c r="BD22" s="41">
        <f t="shared" si="8"/>
        <v>0</v>
      </c>
      <c r="BE22" s="3">
        <f t="shared" si="11"/>
        <v>0</v>
      </c>
      <c r="BF22" s="3" t="str">
        <f t="shared" si="12"/>
        <v>Failed in 6 Subjects</v>
      </c>
      <c r="BG22" s="5" t="str">
        <f>IF(AW22="","",RANK(AW22,AW$2:AW145,0))</f>
        <v/>
      </c>
      <c r="BH22" s="3" t="str">
        <f t="shared" si="13"/>
        <v>খুবই দুর্বল</v>
      </c>
      <c r="BI22" t="str">
        <f t="shared" si="14"/>
        <v>Very Weak</v>
      </c>
      <c r="BJ22" s="104" t="str">
        <f t="shared" si="15"/>
        <v/>
      </c>
    </row>
    <row r="23" spans="1:62" ht="15" thickBot="1" x14ac:dyDescent="0.4">
      <c r="A23" s="3" t="str">
        <f>'Student Basic Info'!B23</f>
        <v>Business Studies</v>
      </c>
      <c r="B23" s="3">
        <f>'Student Basic Info'!A23</f>
        <v>522</v>
      </c>
      <c r="C23" s="3" t="str">
        <f>'Student Basic Info'!C23</f>
        <v>Sumaiya Ferdaus Neha</v>
      </c>
      <c r="D23" s="3" t="str">
        <f>'Student Basic Info'!D23</f>
        <v>Md. Nizam Uddin</v>
      </c>
      <c r="E23" s="3" t="str">
        <f>'Student Basic Info'!E23</f>
        <v>Ferdaus Ara Begum</v>
      </c>
      <c r="F23" s="3" t="str">
        <f>'Student Basic Info'!F23</f>
        <v>Female</v>
      </c>
      <c r="G23" s="79" t="s">
        <v>847</v>
      </c>
      <c r="H23" s="59" t="str">
        <f>IF(Bangla!B23="","",Bangla!B23)</f>
        <v/>
      </c>
      <c r="I23" s="59">
        <f>IF(Bangla!C23="","",Bangla!C23)</f>
        <v>64</v>
      </c>
      <c r="J23" s="60">
        <f>IF(Bangla!D23="","",Bangla!D23)</f>
        <v>64</v>
      </c>
      <c r="K23" s="61">
        <f>IF(English!C23="","",English!C23)</f>
        <v>54</v>
      </c>
      <c r="L23" s="35">
        <f>IF(ICT!B23="","",ICT!B23)</f>
        <v>19</v>
      </c>
      <c r="M23" s="35">
        <f>IF(ICT!C23="","",ICT!C23)</f>
        <v>40</v>
      </c>
      <c r="N23" s="35">
        <f>IF(ICT!D23="","",ICT!D23)</f>
        <v>24</v>
      </c>
      <c r="O23" s="42">
        <f>IF(ICT!E23="","",ICT!E23)</f>
        <v>83</v>
      </c>
      <c r="P23" s="40">
        <f>IF(Accounting!B23="","",Accounting!B23)</f>
        <v>15</v>
      </c>
      <c r="Q23" s="40">
        <f>IF(Accounting!C23="","",Accounting!C23)</f>
        <v>45</v>
      </c>
      <c r="R23" s="44">
        <f>IF(Accounting!D23="","",Accounting!D23)</f>
        <v>60</v>
      </c>
      <c r="S23" s="35">
        <f>IF('Business Organization'!B23="","",'Business Organization'!B23)</f>
        <v>24</v>
      </c>
      <c r="T23" s="35">
        <f>IF('Business Organization'!C23="","",'Business Organization'!C23)</f>
        <v>47</v>
      </c>
      <c r="U23" s="42">
        <f>IF('Business Organization'!D23="","",'Business Organization'!D23)</f>
        <v>71</v>
      </c>
      <c r="V23" s="36">
        <f>IF(SubjectList!G23="Finance",IF(Finance!B23=0,"", Finance!B23),IF(SubjectList!G23="Production",IF(Production!B23=0,"", Production!B23),IF(SubjectList!G23="Economics",IF(Economics!B23=0,"", Economics!B23))))</f>
        <v>18</v>
      </c>
      <c r="W23" s="36">
        <f>IF(SubjectList!G23="Finance",IF(Finance!C23=0,"", Finance!C23),IF(SubjectList!G23="Production",IF(Production!C23=0,"", Production!C23),IF(SubjectList!G23="Economics",IF(Economics!C23=0,"", Economics!C23))))</f>
        <v>44</v>
      </c>
      <c r="X23" s="43">
        <f>IF(SubjectList!G23="Finance",IF(Finance!D23=0,"", Finance!D23),IF(SubjectList!G23="Production",IF(Production!D23=0,"", Production!D23),IF(SubjectList!G23="Economics",IF(Economics!D23=0,"", Economics!D23))))</f>
        <v>62</v>
      </c>
      <c r="Y23" s="40">
        <f>IF(SubjectList!H23="Finance",IF(Finance!B23=0,"", Finance!B23),IF(SubjectList!H23="Production",IF(Production!B23=0,"", Production!B23),IF(SubjectList!H23="Economics",IF(Economics!B23=0,"", Economics!B23))))</f>
        <v>23</v>
      </c>
      <c r="Z23" s="40">
        <f>IF(SubjectList!H23="Finance",IF(Finance!C23=0,"", Finance!C23),IF(SubjectList!H23="Production",IF(Production!C23=0,"", Production!C23),IF(SubjectList!H23="Economics",IF(Economics!C23=0,"", Economics!C23))))</f>
        <v>57</v>
      </c>
      <c r="AA23" s="44">
        <f>IF(SubjectList!H23="Finance",IF(Finance!D23=0,"", Finance!D23),IF(SubjectList!H23="Production",IF(Production!D23=0,"", Production!D23),IF(SubjectList!H23="Economics",IF(Economics!D23=0,"", Economics!D23))))</f>
        <v>80</v>
      </c>
      <c r="AB23" s="37" t="str">
        <f>IF(SubjectList!G23="Finance","Finance",IF(SubjectList!G23="Production","Production",IF(SubjectList!G23="Economics","Not Given")))</f>
        <v>Finance</v>
      </c>
      <c r="AC23" s="37" t="str">
        <f>IF(SubjectList!H23="Finance","Finance",IF(SubjectList!H23="Production","Production",IF(SubjectList!H23="Economics","Economics","Not Given")))</f>
        <v>Production</v>
      </c>
      <c r="AD23" s="38" t="str">
        <f>Bangla!F23</f>
        <v>A-</v>
      </c>
      <c r="AE23" s="38" t="str">
        <f>English!E23</f>
        <v>B</v>
      </c>
      <c r="AF23" s="38" t="str">
        <f>ICT!G23</f>
        <v>A+</v>
      </c>
      <c r="AG23" s="38" t="str">
        <f>Accounting!F23</f>
        <v>A-</v>
      </c>
      <c r="AH23" s="38" t="str">
        <f>'Business Organization'!F23</f>
        <v>A</v>
      </c>
      <c r="AI23" s="38" t="str">
        <f>Production!F23</f>
        <v>A+</v>
      </c>
      <c r="AJ23" s="38" t="str">
        <f>Finance!F23</f>
        <v>A-</v>
      </c>
      <c r="AK23" s="39">
        <f>Bangla!G23</f>
        <v>3.5</v>
      </c>
      <c r="AL23" s="39">
        <f>English!F23</f>
        <v>3</v>
      </c>
      <c r="AM23" s="39">
        <f>ICT!H23</f>
        <v>5</v>
      </c>
      <c r="AN23" s="39">
        <f>Accounting!G23</f>
        <v>3.5</v>
      </c>
      <c r="AO23" s="39">
        <f>'Business Organization'!G23</f>
        <v>4</v>
      </c>
      <c r="AP23" s="39">
        <f>IF(SubjectList!G23="Finance",Finance!G23,IF(SubjectList!G23="Production",Production!G23,IF(SubjectList!G23="Economics",Economics!G23)))</f>
        <v>3.5</v>
      </c>
      <c r="AQ23" s="39">
        <f>IF(Optional!H23="","", Optional!H23)</f>
        <v>5</v>
      </c>
      <c r="AR23" s="39">
        <f>Optional!H23</f>
        <v>5</v>
      </c>
      <c r="AS23" s="39">
        <f>Optional!I23</f>
        <v>3</v>
      </c>
      <c r="AT23" s="39">
        <f t="shared" si="0"/>
        <v>22.5</v>
      </c>
      <c r="AU23" s="39">
        <f t="shared" si="9"/>
        <v>25.5</v>
      </c>
      <c r="AV23" s="39">
        <f t="shared" si="1"/>
        <v>3.75</v>
      </c>
      <c r="AW23" s="39">
        <f t="shared" si="2"/>
        <v>4.25</v>
      </c>
      <c r="AX23" s="5">
        <f t="shared" si="10"/>
        <v>474</v>
      </c>
      <c r="AY23" s="41">
        <f t="shared" si="3"/>
        <v>1</v>
      </c>
      <c r="AZ23" s="41">
        <f t="shared" si="4"/>
        <v>1</v>
      </c>
      <c r="BA23" s="41">
        <f t="shared" si="5"/>
        <v>1</v>
      </c>
      <c r="BB23" s="41">
        <f t="shared" si="6"/>
        <v>1</v>
      </c>
      <c r="BC23" s="41">
        <f t="shared" si="7"/>
        <v>1</v>
      </c>
      <c r="BD23" s="41">
        <f t="shared" si="8"/>
        <v>1</v>
      </c>
      <c r="BE23" s="3">
        <f t="shared" si="11"/>
        <v>6</v>
      </c>
      <c r="BF23" s="3" t="str">
        <f t="shared" si="12"/>
        <v>Pass</v>
      </c>
      <c r="BG23" s="5">
        <f>IF(AW23="","",RANK(AW23,AW$2:AW145,0))</f>
        <v>1</v>
      </c>
      <c r="BH23" s="3" t="str">
        <f t="shared" si="13"/>
        <v>খুব ভালো</v>
      </c>
      <c r="BI23" t="str">
        <f t="shared" si="14"/>
        <v>Very Good</v>
      </c>
      <c r="BJ23" s="104" t="str">
        <f t="shared" si="15"/>
        <v>A</v>
      </c>
    </row>
    <row r="24" spans="1:62" ht="15" thickBot="1" x14ac:dyDescent="0.4">
      <c r="A24" s="3" t="str">
        <f>'Student Basic Info'!B24</f>
        <v>Business Studies</v>
      </c>
      <c r="B24" s="3">
        <f>'Student Basic Info'!A24</f>
        <v>523</v>
      </c>
      <c r="C24" s="3" t="str">
        <f>'Student Basic Info'!C24</f>
        <v>Zannatul Mawa Prema</v>
      </c>
      <c r="D24" s="3" t="str">
        <f>'Student Basic Info'!D24</f>
        <v>Abul Kalam</v>
      </c>
      <c r="E24" s="3" t="str">
        <f>'Student Basic Info'!E24</f>
        <v>Lutfun Nahar</v>
      </c>
      <c r="F24" s="3" t="str">
        <f>'Student Basic Info'!F24</f>
        <v>Female</v>
      </c>
      <c r="G24" s="80" t="s">
        <v>848</v>
      </c>
      <c r="H24" s="59" t="str">
        <f>IF(Bangla!B24="","",Bangla!B24)</f>
        <v/>
      </c>
      <c r="I24" s="59">
        <f>IF(Bangla!C24="","",Bangla!C24)</f>
        <v>43</v>
      </c>
      <c r="J24" s="60">
        <f>IF(Bangla!D24="","",Bangla!D24)</f>
        <v>43</v>
      </c>
      <c r="K24" s="61">
        <f>IF(English!C24="","",English!C24)</f>
        <v>39</v>
      </c>
      <c r="L24" s="35">
        <f>IF(ICT!B24="","",ICT!B24)</f>
        <v>10</v>
      </c>
      <c r="M24" s="35">
        <f>IF(ICT!C24="","",ICT!C24)</f>
        <v>11</v>
      </c>
      <c r="N24" s="35">
        <f>IF(ICT!D24="","",ICT!D24)</f>
        <v>20</v>
      </c>
      <c r="O24" s="42">
        <f>IF(ICT!E24="","",ICT!E24)</f>
        <v>41</v>
      </c>
      <c r="P24" s="40">
        <f>IF(Accounting!B24="","",Accounting!B24)</f>
        <v>7</v>
      </c>
      <c r="Q24" s="40">
        <f>IF(Accounting!C24="","",Accounting!C24)</f>
        <v>23</v>
      </c>
      <c r="R24" s="44">
        <f>IF(Accounting!D24="","",Accounting!D24)</f>
        <v>30</v>
      </c>
      <c r="S24" s="35">
        <f>IF('Business Organization'!B24="","",'Business Organization'!B24)</f>
        <v>26</v>
      </c>
      <c r="T24" s="35">
        <f>IF('Business Organization'!C24="","",'Business Organization'!C24)</f>
        <v>19</v>
      </c>
      <c r="U24" s="42">
        <f>IF('Business Organization'!D24="","",'Business Organization'!D24)</f>
        <v>45</v>
      </c>
      <c r="V24" s="36">
        <f>IF(SubjectList!G24="Finance",IF(Finance!B24=0,"", Finance!B24),IF(SubjectList!G24="Production",IF(Production!B24=0,"", Production!B24),IF(SubjectList!G24="Economics",IF(Economics!B24=0,"", Economics!B24))))</f>
        <v>10</v>
      </c>
      <c r="W24" s="36">
        <f>IF(SubjectList!G24="Finance",IF(Finance!C24=0,"", Finance!C24),IF(SubjectList!G24="Production",IF(Production!C24=0,"", Production!C24),IF(SubjectList!G24="Economics",IF(Economics!C24=0,"", Economics!C24))))</f>
        <v>10</v>
      </c>
      <c r="X24" s="43">
        <f>IF(SubjectList!G24="Finance",IF(Finance!D24=0,"", Finance!D24),IF(SubjectList!G24="Production",IF(Production!D24=0,"", Production!D24),IF(SubjectList!G24="Economics",IF(Economics!D24=0,"", Economics!D24))))</f>
        <v>20</v>
      </c>
      <c r="Y24" s="40">
        <f>IF(SubjectList!H24="Finance",IF(Finance!B24=0,"", Finance!B24),IF(SubjectList!H24="Production",IF(Production!B24=0,"", Production!B24),IF(SubjectList!H24="Economics",IF(Economics!B24=0,"", Economics!B24))))</f>
        <v>15</v>
      </c>
      <c r="Z24" s="40">
        <f>IF(SubjectList!H24="Finance",IF(Finance!C24=0,"", Finance!C24),IF(SubjectList!H24="Production",IF(Production!C24=0,"", Production!C24),IF(SubjectList!H24="Economics",IF(Economics!C24=0,"", Economics!C24))))</f>
        <v>31</v>
      </c>
      <c r="AA24" s="44">
        <f>IF(SubjectList!H24="Finance",IF(Finance!D24=0,"", Finance!D24),IF(SubjectList!H24="Production",IF(Production!D24=0,"", Production!D24),IF(SubjectList!H24="Economics",IF(Economics!D24=0,"", Economics!D24))))</f>
        <v>46</v>
      </c>
      <c r="AB24" s="37" t="str">
        <f>IF(SubjectList!G24="Finance","Finance",IF(SubjectList!G24="Production","Production",IF(SubjectList!G24="Economics","Not Given")))</f>
        <v>Finance</v>
      </c>
      <c r="AC24" s="37" t="str">
        <f>IF(SubjectList!H24="Finance","Finance",IF(SubjectList!H24="Production","Production",IF(SubjectList!H24="Economics","Economics","Not Given")))</f>
        <v>Production</v>
      </c>
      <c r="AD24" s="38" t="str">
        <f>Bangla!F24</f>
        <v>C</v>
      </c>
      <c r="AE24" s="38" t="str">
        <f>English!E24</f>
        <v>D</v>
      </c>
      <c r="AF24" s="38" t="str">
        <f>ICT!G24</f>
        <v>F</v>
      </c>
      <c r="AG24" s="38" t="str">
        <f>Accounting!F24</f>
        <v>F</v>
      </c>
      <c r="AH24" s="38" t="str">
        <f>'Business Organization'!F24</f>
        <v>F</v>
      </c>
      <c r="AI24" s="38" t="str">
        <f>Production!F24</f>
        <v>C</v>
      </c>
      <c r="AJ24" s="38" t="str">
        <f>Finance!F24</f>
        <v>F</v>
      </c>
      <c r="AK24" s="39">
        <f>Bangla!G24</f>
        <v>2</v>
      </c>
      <c r="AL24" s="39">
        <f>English!F24</f>
        <v>1</v>
      </c>
      <c r="AM24" s="39">
        <f>ICT!H24</f>
        <v>0</v>
      </c>
      <c r="AN24" s="39">
        <f>Accounting!G24</f>
        <v>0</v>
      </c>
      <c r="AO24" s="39">
        <f>'Business Organization'!G24</f>
        <v>0</v>
      </c>
      <c r="AP24" s="39">
        <f>IF(SubjectList!G24="Finance",Finance!G24,IF(SubjectList!G24="Production",Production!G24,IF(SubjectList!G24="Economics",Economics!G24)))</f>
        <v>0</v>
      </c>
      <c r="AQ24" s="39">
        <f>IF(Optional!H24="","", Optional!H24)</f>
        <v>2</v>
      </c>
      <c r="AR24" s="39">
        <f>Optional!H24</f>
        <v>2</v>
      </c>
      <c r="AS24" s="39">
        <f>Optional!I24</f>
        <v>0</v>
      </c>
      <c r="AT24" s="39">
        <f t="shared" si="0"/>
        <v>3</v>
      </c>
      <c r="AU24" s="39">
        <f t="shared" si="9"/>
        <v>3</v>
      </c>
      <c r="AV24" s="39" t="str">
        <f t="shared" si="1"/>
        <v/>
      </c>
      <c r="AW24" s="39" t="str">
        <f t="shared" si="2"/>
        <v/>
      </c>
      <c r="AX24" s="5">
        <f t="shared" si="10"/>
        <v>264</v>
      </c>
      <c r="AY24" s="41">
        <f t="shared" si="3"/>
        <v>1</v>
      </c>
      <c r="AZ24" s="41">
        <f t="shared" si="4"/>
        <v>1</v>
      </c>
      <c r="BA24" s="41">
        <f t="shared" si="5"/>
        <v>0</v>
      </c>
      <c r="BB24" s="41">
        <f t="shared" si="6"/>
        <v>0</v>
      </c>
      <c r="BC24" s="41">
        <f t="shared" si="7"/>
        <v>0</v>
      </c>
      <c r="BD24" s="41">
        <f t="shared" si="8"/>
        <v>0</v>
      </c>
      <c r="BE24" s="3">
        <f t="shared" si="11"/>
        <v>2</v>
      </c>
      <c r="BF24" s="3" t="str">
        <f t="shared" si="12"/>
        <v>Failed in 4 Subjects</v>
      </c>
      <c r="BG24" s="5" t="str">
        <f>IF(AW24="","",RANK(AW24,AW$2:AW145,0))</f>
        <v/>
      </c>
      <c r="BH24" s="3" t="str">
        <f t="shared" si="13"/>
        <v>খুবই দুর্বল</v>
      </c>
      <c r="BI24" t="str">
        <f t="shared" si="14"/>
        <v>Very Weak</v>
      </c>
      <c r="BJ24" s="104" t="str">
        <f t="shared" si="15"/>
        <v/>
      </c>
    </row>
    <row r="25" spans="1:62" ht="15" thickBot="1" x14ac:dyDescent="0.4">
      <c r="A25" s="3" t="str">
        <f>'Student Basic Info'!B25</f>
        <v>Business Studies</v>
      </c>
      <c r="B25" s="3">
        <f>'Student Basic Info'!A25</f>
        <v>524</v>
      </c>
      <c r="C25" s="3" t="str">
        <f>'Student Basic Info'!C25</f>
        <v>Zannatul Ferdaus</v>
      </c>
      <c r="D25" s="3" t="str">
        <f>'Student Basic Info'!D25</f>
        <v>Abdul Barik Miya</v>
      </c>
      <c r="E25" s="3" t="str">
        <f>'Student Basic Info'!E25</f>
        <v>Momtaz Begum</v>
      </c>
      <c r="F25" s="3" t="str">
        <f>'Student Basic Info'!F25</f>
        <v>Female</v>
      </c>
      <c r="G25" s="81" t="s">
        <v>849</v>
      </c>
      <c r="H25" s="59" t="str">
        <f>IF(Bangla!B25="","",Bangla!B25)</f>
        <v/>
      </c>
      <c r="I25" s="59">
        <f>IF(Bangla!C25="","",Bangla!C25)</f>
        <v>60</v>
      </c>
      <c r="J25" s="60">
        <f>IF(Bangla!D25="","",Bangla!D25)</f>
        <v>60</v>
      </c>
      <c r="K25" s="61">
        <f>IF(English!C25="","",English!C25)</f>
        <v>38</v>
      </c>
      <c r="L25" s="35">
        <f>IF(ICT!B25="","",ICT!B25)</f>
        <v>13</v>
      </c>
      <c r="M25" s="35">
        <f>IF(ICT!C25="","",ICT!C25)</f>
        <v>21</v>
      </c>
      <c r="N25" s="35">
        <f>IF(ICT!D25="","",ICT!D25)</f>
        <v>20</v>
      </c>
      <c r="O25" s="42">
        <f>IF(ICT!E25="","",ICT!E25)</f>
        <v>54</v>
      </c>
      <c r="P25" s="40">
        <f>IF(Accounting!B25="","",Accounting!B25)</f>
        <v>10</v>
      </c>
      <c r="Q25" s="40">
        <f>IF(Accounting!C25="","",Accounting!C25)</f>
        <v>32</v>
      </c>
      <c r="R25" s="44">
        <f>IF(Accounting!D25="","",Accounting!D25)</f>
        <v>42</v>
      </c>
      <c r="S25" s="35">
        <f>IF('Business Organization'!B25="","",'Business Organization'!B25)</f>
        <v>25</v>
      </c>
      <c r="T25" s="35">
        <f>IF('Business Organization'!C25="","",'Business Organization'!C25)</f>
        <v>29</v>
      </c>
      <c r="U25" s="42">
        <f>IF('Business Organization'!D25="","",'Business Organization'!D25)</f>
        <v>54</v>
      </c>
      <c r="V25" s="36">
        <f>IF(SubjectList!G25="Finance",IF(Finance!B25=0,"", Finance!B25),IF(SubjectList!G25="Production",IF(Production!B25=0,"", Production!B25),IF(SubjectList!G25="Economics",IF(Economics!B25=0,"", Economics!B25))))</f>
        <v>13</v>
      </c>
      <c r="W25" s="36">
        <f>IF(SubjectList!G25="Finance",IF(Finance!C25=0,"", Finance!C25),IF(SubjectList!G25="Production",IF(Production!C25=0,"", Production!C25),IF(SubjectList!G25="Economics",IF(Economics!C25=0,"", Economics!C25))))</f>
        <v>24</v>
      </c>
      <c r="X25" s="43">
        <f>IF(SubjectList!G25="Finance",IF(Finance!D25=0,"", Finance!D25),IF(SubjectList!G25="Production",IF(Production!D25=0,"", Production!D25),IF(SubjectList!G25="Economics",IF(Economics!D25=0,"", Economics!D25))))</f>
        <v>37</v>
      </c>
      <c r="Y25" s="40">
        <f>IF(SubjectList!H25="Finance",IF(Finance!B25=0,"", Finance!B25),IF(SubjectList!H25="Production",IF(Production!B25=0,"", Production!B25),IF(SubjectList!H25="Economics",IF(Economics!B25=0,"", Economics!B25))))</f>
        <v>17</v>
      </c>
      <c r="Z25" s="40">
        <f>IF(SubjectList!H25="Finance",IF(Finance!C25=0,"", Finance!C25),IF(SubjectList!H25="Production",IF(Production!C25=0,"", Production!C25),IF(SubjectList!H25="Economics",IF(Economics!C25=0,"", Economics!C25))))</f>
        <v>45</v>
      </c>
      <c r="AA25" s="44">
        <f>IF(SubjectList!H25="Finance",IF(Finance!D25=0,"", Finance!D25),IF(SubjectList!H25="Production",IF(Production!D25=0,"", Production!D25),IF(SubjectList!H25="Economics",IF(Economics!D25=0,"", Economics!D25))))</f>
        <v>62</v>
      </c>
      <c r="AB25" s="37" t="str">
        <f>IF(SubjectList!G25="Finance","Finance",IF(SubjectList!G25="Production","Production",IF(SubjectList!G25="Economics","Not Given")))</f>
        <v>Finance</v>
      </c>
      <c r="AC25" s="37" t="str">
        <f>IF(SubjectList!H25="Finance","Finance",IF(SubjectList!H25="Production","Production",IF(SubjectList!H25="Economics","Economics","Not Given")))</f>
        <v>Production</v>
      </c>
      <c r="AD25" s="38" t="str">
        <f>Bangla!F25</f>
        <v>A-</v>
      </c>
      <c r="AE25" s="38" t="str">
        <f>English!E25</f>
        <v>D</v>
      </c>
      <c r="AF25" s="38" t="str">
        <f>ICT!G25</f>
        <v>B</v>
      </c>
      <c r="AG25" s="38" t="str">
        <f>Accounting!F25</f>
        <v>C</v>
      </c>
      <c r="AH25" s="38" t="str">
        <f>'Business Organization'!F25</f>
        <v>B</v>
      </c>
      <c r="AI25" s="38" t="str">
        <f>Production!F25</f>
        <v>A-</v>
      </c>
      <c r="AJ25" s="38" t="str">
        <f>Finance!F25</f>
        <v>D</v>
      </c>
      <c r="AK25" s="39">
        <f>Bangla!G25</f>
        <v>3.5</v>
      </c>
      <c r="AL25" s="39">
        <f>English!F25</f>
        <v>1</v>
      </c>
      <c r="AM25" s="39">
        <f>ICT!H25</f>
        <v>3</v>
      </c>
      <c r="AN25" s="39">
        <f>Accounting!G25</f>
        <v>2</v>
      </c>
      <c r="AO25" s="39">
        <f>'Business Organization'!G25</f>
        <v>3</v>
      </c>
      <c r="AP25" s="39">
        <f>IF(SubjectList!G25="Finance",Finance!G25,IF(SubjectList!G25="Production",Production!G25,IF(SubjectList!G25="Economics",Economics!G25)))</f>
        <v>1</v>
      </c>
      <c r="AQ25" s="39">
        <f>IF(Optional!H25="","", Optional!H25)</f>
        <v>3.5</v>
      </c>
      <c r="AR25" s="39">
        <f>Optional!H25</f>
        <v>3.5</v>
      </c>
      <c r="AS25" s="39">
        <f>Optional!I25</f>
        <v>1.5</v>
      </c>
      <c r="AT25" s="39">
        <f t="shared" si="0"/>
        <v>13.5</v>
      </c>
      <c r="AU25" s="39">
        <f t="shared" si="9"/>
        <v>15</v>
      </c>
      <c r="AV25" s="39">
        <f t="shared" si="1"/>
        <v>2.25</v>
      </c>
      <c r="AW25" s="39">
        <f t="shared" si="2"/>
        <v>2.5</v>
      </c>
      <c r="AX25" s="5">
        <f t="shared" si="10"/>
        <v>347</v>
      </c>
      <c r="AY25" s="41">
        <f t="shared" si="3"/>
        <v>1</v>
      </c>
      <c r="AZ25" s="41">
        <f t="shared" si="4"/>
        <v>1</v>
      </c>
      <c r="BA25" s="41">
        <f t="shared" si="5"/>
        <v>1</v>
      </c>
      <c r="BB25" s="41">
        <f t="shared" si="6"/>
        <v>1</v>
      </c>
      <c r="BC25" s="41">
        <f t="shared" si="7"/>
        <v>1</v>
      </c>
      <c r="BD25" s="41">
        <f t="shared" si="8"/>
        <v>1</v>
      </c>
      <c r="BE25" s="3">
        <f t="shared" si="11"/>
        <v>6</v>
      </c>
      <c r="BF25" s="3" t="str">
        <f t="shared" si="12"/>
        <v>Pass</v>
      </c>
      <c r="BG25" s="5">
        <f>IF(AW25="","",RANK(AW25,AW$2:AW145,0))</f>
        <v>8</v>
      </c>
      <c r="BH25" s="3" t="str">
        <f t="shared" si="13"/>
        <v>যত্ন প্রয়োজন</v>
      </c>
      <c r="BI25" t="str">
        <f t="shared" si="14"/>
        <v>Need to improve</v>
      </c>
      <c r="BJ25" s="104" t="str">
        <f t="shared" si="15"/>
        <v>C</v>
      </c>
    </row>
    <row r="26" spans="1:62" ht="15" thickBot="1" x14ac:dyDescent="0.4">
      <c r="A26" s="3" t="str">
        <f>'Student Basic Info'!B26</f>
        <v>Business Studies</v>
      </c>
      <c r="B26" s="3">
        <f>'Student Basic Info'!A26</f>
        <v>525</v>
      </c>
      <c r="C26" s="3" t="str">
        <f>'Student Basic Info'!C26</f>
        <v>Narkis Aktar Nupur</v>
      </c>
      <c r="D26" s="3" t="str">
        <f>'Student Basic Info'!D26</f>
        <v>Zoynal Abdin</v>
      </c>
      <c r="E26" s="3" t="str">
        <f>'Student Basic Info'!E26</f>
        <v>Zahanara Begum</v>
      </c>
      <c r="F26" s="3" t="str">
        <f>'Student Basic Info'!F26</f>
        <v>Female</v>
      </c>
      <c r="G26" s="81" t="s">
        <v>850</v>
      </c>
      <c r="H26" s="59" t="str">
        <f>IF(Bangla!B26="","",Bangla!B26)</f>
        <v/>
      </c>
      <c r="I26" s="59" t="str">
        <f>IF(Bangla!C26="","",Bangla!C26)</f>
        <v/>
      </c>
      <c r="J26" s="60" t="str">
        <f>IF(Bangla!D26="","",Bangla!D26)</f>
        <v/>
      </c>
      <c r="K26" s="61" t="str">
        <f>IF(English!C26="","",English!C26)</f>
        <v/>
      </c>
      <c r="L26" s="35" t="str">
        <f>IF(ICT!B26="","",ICT!B26)</f>
        <v/>
      </c>
      <c r="M26" s="35" t="str">
        <f>IF(ICT!C26="","",ICT!C26)</f>
        <v/>
      </c>
      <c r="N26" s="35" t="str">
        <f>IF(ICT!D26="","",ICT!D26)</f>
        <v/>
      </c>
      <c r="O26" s="42" t="str">
        <f>IF(ICT!E26="","",ICT!E26)</f>
        <v/>
      </c>
      <c r="P26" s="40" t="str">
        <f>IF(Accounting!B26="","",Accounting!B26)</f>
        <v/>
      </c>
      <c r="Q26" s="40" t="str">
        <f>IF(Accounting!C26="","",Accounting!C26)</f>
        <v/>
      </c>
      <c r="R26" s="44" t="str">
        <f>IF(Accounting!D26="","",Accounting!D26)</f>
        <v/>
      </c>
      <c r="S26" s="35" t="str">
        <f>IF('Business Organization'!B26="","",'Business Organization'!B26)</f>
        <v/>
      </c>
      <c r="T26" s="35" t="str">
        <f>IF('Business Organization'!C26="","",'Business Organization'!C26)</f>
        <v/>
      </c>
      <c r="U26" s="42" t="str">
        <f>IF('Business Organization'!D26="","",'Business Organization'!D26)</f>
        <v/>
      </c>
      <c r="V26" s="36" t="str">
        <f>IF(SubjectList!G26="Finance",IF(Finance!B26=0,"", Finance!B26),IF(SubjectList!G26="Production",IF(Production!B26=0,"", Production!B26),IF(SubjectList!G26="Economics",IF(Economics!B26=0,"", Economics!B26))))</f>
        <v/>
      </c>
      <c r="W26" s="36" t="str">
        <f>IF(SubjectList!G26="Finance",IF(Finance!C26=0,"", Finance!C26),IF(SubjectList!G26="Production",IF(Production!C26=0,"", Production!C26),IF(SubjectList!G26="Economics",IF(Economics!C26=0,"", Economics!C26))))</f>
        <v/>
      </c>
      <c r="X26" s="43" t="str">
        <f>IF(SubjectList!G26="Finance",IF(Finance!D26=0,"", Finance!D26),IF(SubjectList!G26="Production",IF(Production!D26=0,"", Production!D26),IF(SubjectList!G26="Economics",IF(Economics!D26=0,"", Economics!D26))))</f>
        <v/>
      </c>
      <c r="Y26" s="40" t="str">
        <f>IF(SubjectList!H26="Finance",IF(Finance!B26=0,"", Finance!B26),IF(SubjectList!H26="Production",IF(Production!B26=0,"", Production!B26),IF(SubjectList!H26="Economics",IF(Economics!B26=0,"", Economics!B26))))</f>
        <v/>
      </c>
      <c r="Z26" s="40" t="str">
        <f>IF(SubjectList!H26="Finance",IF(Finance!C26=0,"", Finance!C26),IF(SubjectList!H26="Production",IF(Production!C26=0,"", Production!C26),IF(SubjectList!H26="Economics",IF(Economics!C26=0,"", Economics!C26))))</f>
        <v/>
      </c>
      <c r="AA26" s="44" t="str">
        <f>IF(SubjectList!H26="Finance",IF(Finance!D26=0,"", Finance!D26),IF(SubjectList!H26="Production",IF(Production!D26=0,"", Production!D26),IF(SubjectList!H26="Economics",IF(Economics!D26=0,"", Economics!D26))))</f>
        <v/>
      </c>
      <c r="AB26" s="37" t="str">
        <f>IF(SubjectList!G26="Finance","Finance",IF(SubjectList!G26="Production","Production",IF(SubjectList!G26="Economics","Not Given")))</f>
        <v>Finance</v>
      </c>
      <c r="AC26" s="37" t="str">
        <f>IF(SubjectList!H26="Finance","Finance",IF(SubjectList!H26="Production","Production",IF(SubjectList!H26="Economics","Economics","Not Given")))</f>
        <v>Production</v>
      </c>
      <c r="AD26" s="38" t="str">
        <f>Bangla!F26</f>
        <v/>
      </c>
      <c r="AE26" s="38" t="str">
        <f>English!E26</f>
        <v/>
      </c>
      <c r="AF26" s="38" t="str">
        <f>ICT!G26</f>
        <v/>
      </c>
      <c r="AG26" s="38" t="str">
        <f>Accounting!F26</f>
        <v/>
      </c>
      <c r="AH26" s="38" t="str">
        <f>'Business Organization'!F26</f>
        <v/>
      </c>
      <c r="AI26" s="38" t="str">
        <f>Production!F26</f>
        <v/>
      </c>
      <c r="AJ26" s="38" t="str">
        <f>Finance!F26</f>
        <v/>
      </c>
      <c r="AK26" s="39" t="str">
        <f>Bangla!G26</f>
        <v/>
      </c>
      <c r="AL26" s="39" t="str">
        <f>English!F26</f>
        <v/>
      </c>
      <c r="AM26" s="39" t="str">
        <f>ICT!H26</f>
        <v/>
      </c>
      <c r="AN26" s="39" t="str">
        <f>Accounting!G26</f>
        <v/>
      </c>
      <c r="AO26" s="39" t="str">
        <f>'Business Organization'!G26</f>
        <v/>
      </c>
      <c r="AP26" s="39" t="str">
        <f>IF(SubjectList!G26="Finance",Finance!G26,IF(SubjectList!G26="Production",Production!G26,IF(SubjectList!G26="Economics",Economics!G26)))</f>
        <v/>
      </c>
      <c r="AQ26" s="39" t="str">
        <f>IF(Optional!H26="","", Optional!H26)</f>
        <v/>
      </c>
      <c r="AR26" s="39" t="str">
        <f>Optional!H26</f>
        <v/>
      </c>
      <c r="AS26" s="39" t="str">
        <f>Optional!I26</f>
        <v/>
      </c>
      <c r="AT26" s="39" t="str">
        <f t="shared" si="0"/>
        <v/>
      </c>
      <c r="AU26" s="39">
        <f t="shared" si="9"/>
        <v>0</v>
      </c>
      <c r="AV26" s="39" t="str">
        <f t="shared" si="1"/>
        <v/>
      </c>
      <c r="AW26" s="39" t="str">
        <f t="shared" si="2"/>
        <v/>
      </c>
      <c r="AX26" s="5">
        <f t="shared" si="10"/>
        <v>0</v>
      </c>
      <c r="AY26" s="41">
        <f t="shared" si="3"/>
        <v>0</v>
      </c>
      <c r="AZ26" s="41">
        <f t="shared" si="4"/>
        <v>0</v>
      </c>
      <c r="BA26" s="41">
        <f t="shared" si="5"/>
        <v>0</v>
      </c>
      <c r="BB26" s="41">
        <f t="shared" si="6"/>
        <v>0</v>
      </c>
      <c r="BC26" s="41">
        <f t="shared" si="7"/>
        <v>0</v>
      </c>
      <c r="BD26" s="41">
        <f t="shared" si="8"/>
        <v>0</v>
      </c>
      <c r="BE26" s="3">
        <f t="shared" si="11"/>
        <v>0</v>
      </c>
      <c r="BF26" s="3" t="str">
        <f t="shared" si="12"/>
        <v>Failed in 6 Subjects</v>
      </c>
      <c r="BG26" s="5" t="str">
        <f>IF(AW26="","",RANK(AW26,AW$2:AW145,0))</f>
        <v/>
      </c>
      <c r="BH26" s="3" t="str">
        <f t="shared" si="13"/>
        <v>খুবই দুর্বল</v>
      </c>
      <c r="BI26" t="str">
        <f t="shared" si="14"/>
        <v>Very Weak</v>
      </c>
      <c r="BJ26" s="104" t="str">
        <f t="shared" si="15"/>
        <v/>
      </c>
    </row>
    <row r="27" spans="1:62" ht="15" thickBot="1" x14ac:dyDescent="0.4">
      <c r="A27" s="3" t="str">
        <f>'Student Basic Info'!B27</f>
        <v>Business Studies</v>
      </c>
      <c r="B27" s="3">
        <f>'Student Basic Info'!A27</f>
        <v>526</v>
      </c>
      <c r="C27" s="3" t="str">
        <f>'Student Basic Info'!C27</f>
        <v>Sidratul Muntaha</v>
      </c>
      <c r="D27" s="3" t="str">
        <f>'Student Basic Info'!D27</f>
        <v>Md. Ismail Harun</v>
      </c>
      <c r="E27" s="3" t="str">
        <f>'Student Basic Info'!E27</f>
        <v>Anjuman Ara Rosi</v>
      </c>
      <c r="F27" s="3" t="str">
        <f>'Student Basic Info'!F27</f>
        <v>Female</v>
      </c>
      <c r="G27" s="81">
        <v>1819333348</v>
      </c>
      <c r="H27" s="59" t="str">
        <f>IF(Bangla!B27="","",Bangla!B27)</f>
        <v/>
      </c>
      <c r="I27" s="59">
        <f>IF(Bangla!C27="","",Bangla!C27)</f>
        <v>57</v>
      </c>
      <c r="J27" s="60">
        <f>IF(Bangla!D27="","",Bangla!D27)</f>
        <v>57</v>
      </c>
      <c r="K27" s="61">
        <f>IF(English!C27="","",English!C27)</f>
        <v>34</v>
      </c>
      <c r="L27" s="35">
        <f>IF(ICT!B27="","",ICT!B27)</f>
        <v>16</v>
      </c>
      <c r="M27" s="35">
        <f>IF(ICT!C27="","",ICT!C27)</f>
        <v>19</v>
      </c>
      <c r="N27" s="35">
        <f>IF(ICT!D27="","",ICT!D27)</f>
        <v>18</v>
      </c>
      <c r="O27" s="42">
        <f>IF(ICT!E27="","",ICT!E27)</f>
        <v>53</v>
      </c>
      <c r="P27" s="40">
        <f>IF(Accounting!B27="","",Accounting!B27)</f>
        <v>10</v>
      </c>
      <c r="Q27" s="40">
        <f>IF(Accounting!C27="","",Accounting!C27)</f>
        <v>40</v>
      </c>
      <c r="R27" s="44">
        <f>IF(Accounting!D27="","",Accounting!D27)</f>
        <v>50</v>
      </c>
      <c r="S27" s="35">
        <f>IF('Business Organization'!B27="","",'Business Organization'!B27)</f>
        <v>24</v>
      </c>
      <c r="T27" s="35">
        <f>IF('Business Organization'!C27="","",'Business Organization'!C27)</f>
        <v>35</v>
      </c>
      <c r="U27" s="42">
        <f>IF('Business Organization'!D27="","",'Business Organization'!D27)</f>
        <v>59</v>
      </c>
      <c r="V27" s="36">
        <f>IF(SubjectList!G27="Finance",IF(Finance!B27=0,"", Finance!B27),IF(SubjectList!G27="Production",IF(Production!B27=0,"", Production!B27),IF(SubjectList!G27="Economics",IF(Economics!B27=0,"", Economics!B27))))</f>
        <v>12</v>
      </c>
      <c r="W27" s="36">
        <f>IF(SubjectList!G27="Finance",IF(Finance!C27=0,"", Finance!C27),IF(SubjectList!G27="Production",IF(Production!C27=0,"", Production!C27),IF(SubjectList!G27="Economics",IF(Economics!C27=0,"", Economics!C27))))</f>
        <v>24</v>
      </c>
      <c r="X27" s="43">
        <f>IF(SubjectList!G27="Finance",IF(Finance!D27=0,"", Finance!D27),IF(SubjectList!G27="Production",IF(Production!D27=0,"", Production!D27),IF(SubjectList!G27="Economics",IF(Economics!D27=0,"", Economics!D27))))</f>
        <v>36</v>
      </c>
      <c r="Y27" s="40">
        <f>IF(SubjectList!H27="Finance",IF(Finance!B27=0,"", Finance!B27),IF(SubjectList!H27="Production",IF(Production!B27=0,"", Production!B27),IF(SubjectList!H27="Economics",IF(Economics!B27=0,"", Economics!B27))))</f>
        <v>14</v>
      </c>
      <c r="Z27" s="40">
        <f>IF(SubjectList!H27="Finance",IF(Finance!C27=0,"", Finance!C27),IF(SubjectList!H27="Production",IF(Production!C27=0,"", Production!C27),IF(SubjectList!H27="Economics",IF(Economics!C27=0,"", Economics!C27))))</f>
        <v>45</v>
      </c>
      <c r="AA27" s="44">
        <f>IF(SubjectList!H27="Finance",IF(Finance!D27=0,"", Finance!D27),IF(SubjectList!H27="Production",IF(Production!D27=0,"", Production!D27),IF(SubjectList!H27="Economics",IF(Economics!D27=0,"", Economics!D27))))</f>
        <v>59</v>
      </c>
      <c r="AB27" s="37" t="str">
        <f>IF(SubjectList!G27="Finance","Finance",IF(SubjectList!G27="Production","Production",IF(SubjectList!G27="Economics","Not Given")))</f>
        <v>Finance</v>
      </c>
      <c r="AC27" s="37" t="str">
        <f>IF(SubjectList!H27="Finance","Finance",IF(SubjectList!H27="Production","Production",IF(SubjectList!H27="Economics","Economics","Not Given")))</f>
        <v>Production</v>
      </c>
      <c r="AD27" s="38" t="str">
        <f>Bangla!F27</f>
        <v>B</v>
      </c>
      <c r="AE27" s="38" t="str">
        <f>English!E27</f>
        <v>D</v>
      </c>
      <c r="AF27" s="38" t="str">
        <f>ICT!G27</f>
        <v>B</v>
      </c>
      <c r="AG27" s="38" t="str">
        <f>Accounting!F27</f>
        <v>B</v>
      </c>
      <c r="AH27" s="38" t="str">
        <f>'Business Organization'!F27</f>
        <v>B</v>
      </c>
      <c r="AI27" s="38" t="str">
        <f>Production!F27</f>
        <v>B</v>
      </c>
      <c r="AJ27" s="38" t="str">
        <f>Finance!F27</f>
        <v>D</v>
      </c>
      <c r="AK27" s="39">
        <f>Bangla!G27</f>
        <v>3</v>
      </c>
      <c r="AL27" s="39">
        <f>English!F27</f>
        <v>1</v>
      </c>
      <c r="AM27" s="39">
        <f>ICT!H27</f>
        <v>3</v>
      </c>
      <c r="AN27" s="39">
        <f>Accounting!G27</f>
        <v>3</v>
      </c>
      <c r="AO27" s="39">
        <f>'Business Organization'!G27</f>
        <v>3</v>
      </c>
      <c r="AP27" s="39">
        <f>IF(SubjectList!G27="Finance",Finance!G27,IF(SubjectList!G27="Production",Production!G27,IF(SubjectList!G27="Economics",Economics!G27)))</f>
        <v>1</v>
      </c>
      <c r="AQ27" s="39">
        <f>IF(Optional!H27="","", Optional!H27)</f>
        <v>3</v>
      </c>
      <c r="AR27" s="39">
        <f>Optional!H27</f>
        <v>3</v>
      </c>
      <c r="AS27" s="39">
        <f>Optional!I27</f>
        <v>1</v>
      </c>
      <c r="AT27" s="39">
        <f t="shared" si="0"/>
        <v>14</v>
      </c>
      <c r="AU27" s="39">
        <f t="shared" si="9"/>
        <v>15</v>
      </c>
      <c r="AV27" s="39">
        <f t="shared" si="1"/>
        <v>2.3333333333333335</v>
      </c>
      <c r="AW27" s="39">
        <f t="shared" si="2"/>
        <v>2.5</v>
      </c>
      <c r="AX27" s="5">
        <f t="shared" si="10"/>
        <v>348</v>
      </c>
      <c r="AY27" s="41">
        <f t="shared" si="3"/>
        <v>1</v>
      </c>
      <c r="AZ27" s="41">
        <f t="shared" si="4"/>
        <v>1</v>
      </c>
      <c r="BA27" s="41">
        <f t="shared" si="5"/>
        <v>1</v>
      </c>
      <c r="BB27" s="41">
        <f t="shared" si="6"/>
        <v>1</v>
      </c>
      <c r="BC27" s="41">
        <f t="shared" si="7"/>
        <v>1</v>
      </c>
      <c r="BD27" s="41">
        <f t="shared" si="8"/>
        <v>1</v>
      </c>
      <c r="BE27" s="3">
        <f t="shared" si="11"/>
        <v>6</v>
      </c>
      <c r="BF27" s="3" t="str">
        <f t="shared" si="12"/>
        <v>Pass</v>
      </c>
      <c r="BG27" s="5">
        <f>IF(AW27="","",RANK(AW27,AW$2:AW145,0))</f>
        <v>8</v>
      </c>
      <c r="BH27" s="3" t="str">
        <f t="shared" si="13"/>
        <v>যত্ন প্রয়োজন</v>
      </c>
      <c r="BI27" t="str">
        <f t="shared" si="14"/>
        <v>Need to improve</v>
      </c>
      <c r="BJ27" s="104" t="str">
        <f t="shared" si="15"/>
        <v>C</v>
      </c>
    </row>
    <row r="28" spans="1:62" ht="15" thickBot="1" x14ac:dyDescent="0.4">
      <c r="A28" s="3" t="str">
        <f>'Student Basic Info'!B28</f>
        <v>Business Studies</v>
      </c>
      <c r="B28" s="3">
        <f>'Student Basic Info'!A28</f>
        <v>527</v>
      </c>
      <c r="C28" s="3" t="str">
        <f>'Student Basic Info'!C28</f>
        <v>Sanzida Aktar</v>
      </c>
      <c r="D28" s="3" t="str">
        <f>'Student Basic Info'!D28</f>
        <v>Azizul Haque</v>
      </c>
      <c r="E28" s="3" t="str">
        <f>'Student Basic Info'!E28</f>
        <v>Rabeya Begum</v>
      </c>
      <c r="F28" s="3" t="str">
        <f>'Student Basic Info'!F28</f>
        <v>Female</v>
      </c>
      <c r="G28" s="81" t="s">
        <v>851</v>
      </c>
      <c r="H28" s="59" t="str">
        <f>IF(Bangla!B28="","",Bangla!B28)</f>
        <v/>
      </c>
      <c r="I28" s="59" t="str">
        <f>IF(Bangla!C28="","",Bangla!C28)</f>
        <v/>
      </c>
      <c r="J28" s="60" t="str">
        <f>IF(Bangla!D28="","",Bangla!D28)</f>
        <v/>
      </c>
      <c r="K28" s="61" t="str">
        <f>IF(English!C28="","",English!C28)</f>
        <v/>
      </c>
      <c r="L28" s="35" t="str">
        <f>IF(ICT!B28="","",ICT!B28)</f>
        <v/>
      </c>
      <c r="M28" s="35" t="str">
        <f>IF(ICT!C28="","",ICT!C28)</f>
        <v/>
      </c>
      <c r="N28" s="35" t="str">
        <f>IF(ICT!D28="","",ICT!D28)</f>
        <v/>
      </c>
      <c r="O28" s="42" t="str">
        <f>IF(ICT!E28="","",ICT!E28)</f>
        <v/>
      </c>
      <c r="P28" s="40" t="str">
        <f>IF(Accounting!B28="","",Accounting!B28)</f>
        <v/>
      </c>
      <c r="Q28" s="40" t="str">
        <f>IF(Accounting!C28="","",Accounting!C28)</f>
        <v/>
      </c>
      <c r="R28" s="44" t="str">
        <f>IF(Accounting!D28="","",Accounting!D28)</f>
        <v/>
      </c>
      <c r="S28" s="35" t="str">
        <f>IF('Business Organization'!B28="","",'Business Organization'!B28)</f>
        <v/>
      </c>
      <c r="T28" s="35" t="str">
        <f>IF('Business Organization'!C28="","",'Business Organization'!C28)</f>
        <v/>
      </c>
      <c r="U28" s="42" t="str">
        <f>IF('Business Organization'!D28="","",'Business Organization'!D28)</f>
        <v/>
      </c>
      <c r="V28" s="36" t="str">
        <f>IF(SubjectList!G28="Finance",IF(Finance!B28=0,"", Finance!B28),IF(SubjectList!G28="Production",IF(Production!B28=0,"", Production!B28),IF(SubjectList!G28="Economics",IF(Economics!B28=0,"", Economics!B28))))</f>
        <v/>
      </c>
      <c r="W28" s="36" t="str">
        <f>IF(SubjectList!G28="Finance",IF(Finance!C28=0,"", Finance!C28),IF(SubjectList!G28="Production",IF(Production!C28=0,"", Production!C28),IF(SubjectList!G28="Economics",IF(Economics!C28=0,"", Economics!C28))))</f>
        <v/>
      </c>
      <c r="X28" s="43" t="str">
        <f>IF(SubjectList!G28="Finance",IF(Finance!D28=0,"", Finance!D28),IF(SubjectList!G28="Production",IF(Production!D28=0,"", Production!D28),IF(SubjectList!G28="Economics",IF(Economics!D28=0,"", Economics!D28))))</f>
        <v/>
      </c>
      <c r="Y28" s="40" t="str">
        <f>IF(SubjectList!H28="Finance",IF(Finance!B28=0,"", Finance!B28),IF(SubjectList!H28="Production",IF(Production!B28=0,"", Production!B28),IF(SubjectList!H28="Economics",IF(Economics!B28=0,"", Economics!B28))))</f>
        <v/>
      </c>
      <c r="Z28" s="40" t="str">
        <f>IF(SubjectList!H28="Finance",IF(Finance!C28=0,"", Finance!C28),IF(SubjectList!H28="Production",IF(Production!C28=0,"", Production!C28),IF(SubjectList!H28="Economics",IF(Economics!C28=0,"", Economics!C28))))</f>
        <v/>
      </c>
      <c r="AA28" s="44" t="str">
        <f>IF(SubjectList!H28="Finance",IF(Finance!D28=0,"", Finance!D28),IF(SubjectList!H28="Production",IF(Production!D28=0,"", Production!D28),IF(SubjectList!H28="Economics",IF(Economics!D28=0,"", Economics!D28))))</f>
        <v/>
      </c>
      <c r="AB28" s="37" t="str">
        <f>IF(SubjectList!G28="Finance","Finance",IF(SubjectList!G28="Production","Production",IF(SubjectList!G28="Economics","Not Given")))</f>
        <v>Production</v>
      </c>
      <c r="AC28" s="37" t="str">
        <f>IF(SubjectList!H28="Finance","Finance",IF(SubjectList!H28="Production","Production",IF(SubjectList!H28="Economics","Economics","Not Given")))</f>
        <v>Finance</v>
      </c>
      <c r="AD28" s="38" t="str">
        <f>Bangla!F28</f>
        <v/>
      </c>
      <c r="AE28" s="38" t="str">
        <f>English!E28</f>
        <v/>
      </c>
      <c r="AF28" s="38" t="str">
        <f>ICT!G28</f>
        <v/>
      </c>
      <c r="AG28" s="38" t="str">
        <f>Accounting!F28</f>
        <v/>
      </c>
      <c r="AH28" s="38" t="str">
        <f>'Business Organization'!F28</f>
        <v/>
      </c>
      <c r="AI28" s="38" t="str">
        <f>Production!F28</f>
        <v/>
      </c>
      <c r="AJ28" s="38" t="str">
        <f>Finance!F28</f>
        <v/>
      </c>
      <c r="AK28" s="39" t="str">
        <f>Bangla!G28</f>
        <v/>
      </c>
      <c r="AL28" s="39" t="str">
        <f>English!F28</f>
        <v/>
      </c>
      <c r="AM28" s="39" t="str">
        <f>ICT!H28</f>
        <v/>
      </c>
      <c r="AN28" s="39" t="str">
        <f>Accounting!G28</f>
        <v/>
      </c>
      <c r="AO28" s="39" t="str">
        <f>'Business Organization'!G28</f>
        <v/>
      </c>
      <c r="AP28" s="39" t="str">
        <f>IF(SubjectList!G28="Finance",Finance!G28,IF(SubjectList!G28="Production",Production!G28,IF(SubjectList!G28="Economics",Economics!G28)))</f>
        <v/>
      </c>
      <c r="AQ28" s="39" t="str">
        <f>IF(Optional!H28="","", Optional!H28)</f>
        <v/>
      </c>
      <c r="AR28" s="39" t="str">
        <f>Optional!H28</f>
        <v/>
      </c>
      <c r="AS28" s="39" t="str">
        <f>Optional!I28</f>
        <v/>
      </c>
      <c r="AT28" s="39" t="str">
        <f t="shared" si="0"/>
        <v/>
      </c>
      <c r="AU28" s="39">
        <f t="shared" si="9"/>
        <v>0</v>
      </c>
      <c r="AV28" s="39" t="str">
        <f t="shared" si="1"/>
        <v/>
      </c>
      <c r="AW28" s="39" t="str">
        <f t="shared" si="2"/>
        <v/>
      </c>
      <c r="AX28" s="5">
        <f t="shared" si="10"/>
        <v>0</v>
      </c>
      <c r="AY28" s="41">
        <f t="shared" si="3"/>
        <v>0</v>
      </c>
      <c r="AZ28" s="41">
        <f t="shared" si="4"/>
        <v>0</v>
      </c>
      <c r="BA28" s="41">
        <f t="shared" si="5"/>
        <v>0</v>
      </c>
      <c r="BB28" s="41">
        <f t="shared" si="6"/>
        <v>0</v>
      </c>
      <c r="BC28" s="41">
        <f t="shared" si="7"/>
        <v>0</v>
      </c>
      <c r="BD28" s="41">
        <f t="shared" si="8"/>
        <v>0</v>
      </c>
      <c r="BE28" s="3">
        <f t="shared" si="11"/>
        <v>0</v>
      </c>
      <c r="BF28" s="3" t="str">
        <f t="shared" si="12"/>
        <v>Failed in 6 Subjects</v>
      </c>
      <c r="BG28" s="5" t="str">
        <f>IF(AW28="","",RANK(AW28,AW$2:AW145,0))</f>
        <v/>
      </c>
      <c r="BH28" s="3" t="str">
        <f t="shared" si="13"/>
        <v>খুবই দুর্বল</v>
      </c>
      <c r="BI28" t="str">
        <f t="shared" si="14"/>
        <v>Very Weak</v>
      </c>
      <c r="BJ28" s="104" t="str">
        <f t="shared" si="15"/>
        <v/>
      </c>
    </row>
    <row r="29" spans="1:62" ht="15" thickBot="1" x14ac:dyDescent="0.4">
      <c r="A29" s="3" t="str">
        <f>'Student Basic Info'!B29</f>
        <v>Business Studies</v>
      </c>
      <c r="B29" s="3">
        <f>'Student Basic Info'!A29</f>
        <v>528</v>
      </c>
      <c r="C29" s="3" t="str">
        <f>'Student Basic Info'!C29</f>
        <v>Mazhar Uddin</v>
      </c>
      <c r="D29" s="3" t="str">
        <f>'Student Basic Info'!D29</f>
        <v>Main Uddin</v>
      </c>
      <c r="E29" s="3" t="str">
        <f>'Student Basic Info'!E29</f>
        <v>Aleya Begum</v>
      </c>
      <c r="F29" s="3" t="str">
        <f>'Student Basic Info'!F29</f>
        <v>Male</v>
      </c>
      <c r="G29" s="81" t="s">
        <v>852</v>
      </c>
      <c r="H29" s="59" t="str">
        <f>IF(Bangla!B29="","",Bangla!B29)</f>
        <v/>
      </c>
      <c r="I29" s="59">
        <f>IF(Bangla!C29="","",Bangla!C29)</f>
        <v>60</v>
      </c>
      <c r="J29" s="60">
        <f>IF(Bangla!D29="","",Bangla!D29)</f>
        <v>60</v>
      </c>
      <c r="K29" s="61">
        <f>IF(English!C29="","",English!C29)</f>
        <v>42</v>
      </c>
      <c r="L29" s="35">
        <f>IF(ICT!B29="","",ICT!B29)</f>
        <v>16</v>
      </c>
      <c r="M29" s="35">
        <f>IF(ICT!C29="","",ICT!C29)</f>
        <v>36</v>
      </c>
      <c r="N29" s="35">
        <f>IF(ICT!D29="","",ICT!D29)</f>
        <v>20</v>
      </c>
      <c r="O29" s="42">
        <f>IF(ICT!E29="","",ICT!E29)</f>
        <v>72</v>
      </c>
      <c r="P29" s="40">
        <f>IF(Accounting!B29="","",Accounting!B29)</f>
        <v>14</v>
      </c>
      <c r="Q29" s="40">
        <f>IF(Accounting!C29="","",Accounting!C29)</f>
        <v>40</v>
      </c>
      <c r="R29" s="44">
        <f>IF(Accounting!D29="","",Accounting!D29)</f>
        <v>54</v>
      </c>
      <c r="S29" s="35">
        <f>IF('Business Organization'!B29="","",'Business Organization'!B29)</f>
        <v>25</v>
      </c>
      <c r="T29" s="35">
        <f>IF('Business Organization'!C29="","",'Business Organization'!C29)</f>
        <v>32</v>
      </c>
      <c r="U29" s="42">
        <f>IF('Business Organization'!D29="","",'Business Organization'!D29)</f>
        <v>57</v>
      </c>
      <c r="V29" s="36">
        <f>IF(SubjectList!G29="Finance",IF(Finance!B29=0,"", Finance!B29),IF(SubjectList!G29="Production",IF(Production!B29=0,"", Production!B29),IF(SubjectList!G29="Economics",IF(Economics!B29=0,"", Economics!B29))))</f>
        <v>16</v>
      </c>
      <c r="W29" s="36">
        <f>IF(SubjectList!G29="Finance",IF(Finance!C29=0,"", Finance!C29),IF(SubjectList!G29="Production",IF(Production!C29=0,"", Production!C29),IF(SubjectList!G29="Economics",IF(Economics!C29=0,"", Economics!C29))))</f>
        <v>28</v>
      </c>
      <c r="X29" s="43">
        <f>IF(SubjectList!G29="Finance",IF(Finance!D29=0,"", Finance!D29),IF(SubjectList!G29="Production",IF(Production!D29=0,"", Production!D29),IF(SubjectList!G29="Economics",IF(Economics!D29=0,"", Economics!D29))))</f>
        <v>44</v>
      </c>
      <c r="Y29" s="40">
        <f>IF(SubjectList!H29="Finance",IF(Finance!B29=0,"", Finance!B29),IF(SubjectList!H29="Production",IF(Production!B29=0,"", Production!B29),IF(SubjectList!H29="Economics",IF(Economics!B29=0,"", Economics!B29))))</f>
        <v>20</v>
      </c>
      <c r="Z29" s="40">
        <f>IF(SubjectList!H29="Finance",IF(Finance!C29=0,"", Finance!C29),IF(SubjectList!H29="Production",IF(Production!C29=0,"", Production!C29),IF(SubjectList!H29="Economics",IF(Economics!C29=0,"", Economics!C29))))</f>
        <v>45</v>
      </c>
      <c r="AA29" s="44">
        <f>IF(SubjectList!H29="Finance",IF(Finance!D29=0,"", Finance!D29),IF(SubjectList!H29="Production",IF(Production!D29=0,"", Production!D29),IF(SubjectList!H29="Economics",IF(Economics!D29=0,"", Economics!D29))))</f>
        <v>65</v>
      </c>
      <c r="AB29" s="37" t="str">
        <f>IF(SubjectList!G29="Finance","Finance",IF(SubjectList!G29="Production","Production",IF(SubjectList!G29="Economics","Not Given")))</f>
        <v>Finance</v>
      </c>
      <c r="AC29" s="37" t="str">
        <f>IF(SubjectList!H29="Finance","Finance",IF(SubjectList!H29="Production","Production",IF(SubjectList!H29="Economics","Economics","Not Given")))</f>
        <v>Economics</v>
      </c>
      <c r="AD29" s="38" t="str">
        <f>Bangla!F29</f>
        <v>A-</v>
      </c>
      <c r="AE29" s="38" t="str">
        <f>English!E29</f>
        <v>C</v>
      </c>
      <c r="AF29" s="38" t="str">
        <f>ICT!G29</f>
        <v>A</v>
      </c>
      <c r="AG29" s="38" t="str">
        <f>Accounting!F29</f>
        <v>B</v>
      </c>
      <c r="AH29" s="38" t="str">
        <f>'Business Organization'!F29</f>
        <v>B</v>
      </c>
      <c r="AI29" s="38" t="str">
        <f>Production!F29</f>
        <v/>
      </c>
      <c r="AJ29" s="38" t="str">
        <f>Finance!F29</f>
        <v>C</v>
      </c>
      <c r="AK29" s="39">
        <f>Bangla!G29</f>
        <v>3.5</v>
      </c>
      <c r="AL29" s="39">
        <f>English!F29</f>
        <v>2</v>
      </c>
      <c r="AM29" s="39">
        <f>ICT!H29</f>
        <v>4</v>
      </c>
      <c r="AN29" s="39">
        <f>Accounting!G29</f>
        <v>3</v>
      </c>
      <c r="AO29" s="39">
        <f>'Business Organization'!G29</f>
        <v>3</v>
      </c>
      <c r="AP29" s="39">
        <f>IF(SubjectList!G29="Finance",Finance!G29,IF(SubjectList!G29="Production",Production!G29,IF(SubjectList!G29="Economics",Economics!G29)))</f>
        <v>2</v>
      </c>
      <c r="AQ29" s="39">
        <f>IF(Optional!H29="","", Optional!H29)</f>
        <v>3.5</v>
      </c>
      <c r="AR29" s="39">
        <f>Optional!H29</f>
        <v>3.5</v>
      </c>
      <c r="AS29" s="39">
        <f>Optional!I29</f>
        <v>1.5</v>
      </c>
      <c r="AT29" s="39">
        <f t="shared" si="0"/>
        <v>17.5</v>
      </c>
      <c r="AU29" s="39">
        <f t="shared" si="9"/>
        <v>19</v>
      </c>
      <c r="AV29" s="39">
        <f t="shared" si="1"/>
        <v>2.9166666666666665</v>
      </c>
      <c r="AW29" s="39">
        <f t="shared" si="2"/>
        <v>3.1666666666666665</v>
      </c>
      <c r="AX29" s="5">
        <f t="shared" si="10"/>
        <v>394</v>
      </c>
      <c r="AY29" s="41">
        <f t="shared" si="3"/>
        <v>1</v>
      </c>
      <c r="AZ29" s="41">
        <f t="shared" si="4"/>
        <v>1</v>
      </c>
      <c r="BA29" s="41">
        <f t="shared" si="5"/>
        <v>1</v>
      </c>
      <c r="BB29" s="41">
        <f t="shared" si="6"/>
        <v>1</v>
      </c>
      <c r="BC29" s="41">
        <f t="shared" si="7"/>
        <v>1</v>
      </c>
      <c r="BD29" s="41">
        <f t="shared" si="8"/>
        <v>1</v>
      </c>
      <c r="BE29" s="3">
        <f t="shared" si="11"/>
        <v>6</v>
      </c>
      <c r="BF29" s="3" t="str">
        <f t="shared" si="12"/>
        <v>Pass</v>
      </c>
      <c r="BG29" s="5">
        <f>IF(AW29="","",RANK(AW29,AW$2:AW145,0))</f>
        <v>2</v>
      </c>
      <c r="BH29" s="3" t="str">
        <f t="shared" si="13"/>
        <v>মধ্যম মানের</v>
      </c>
      <c r="BI29" t="str">
        <f t="shared" si="14"/>
        <v>Average</v>
      </c>
      <c r="BJ29" s="104" t="str">
        <f t="shared" si="15"/>
        <v>B</v>
      </c>
    </row>
    <row r="30" spans="1:62" ht="15" thickBot="1" x14ac:dyDescent="0.4">
      <c r="A30" s="3" t="str">
        <f>'Student Basic Info'!B30</f>
        <v>Business Studies</v>
      </c>
      <c r="B30" s="3">
        <f>'Student Basic Info'!A30</f>
        <v>529</v>
      </c>
      <c r="C30" s="3" t="str">
        <f>'Student Basic Info'!C30</f>
        <v>Nahid Hasan</v>
      </c>
      <c r="D30" s="3" t="str">
        <f>'Student Basic Info'!D30</f>
        <v>Neyamot Ullah</v>
      </c>
      <c r="E30" s="3" t="str">
        <f>'Student Basic Info'!E30</f>
        <v>Dawlat Ara Begum</v>
      </c>
      <c r="F30" s="3" t="str">
        <f>'Student Basic Info'!F30</f>
        <v>Male</v>
      </c>
      <c r="G30" s="81">
        <v>1753679167</v>
      </c>
      <c r="H30" s="59" t="str">
        <f>IF(Bangla!B30="","",Bangla!B30)</f>
        <v/>
      </c>
      <c r="I30" s="59">
        <f>IF(Bangla!C30="","",Bangla!C30)</f>
        <v>25</v>
      </c>
      <c r="J30" s="60">
        <f>IF(Bangla!D30="","",Bangla!D30)</f>
        <v>25</v>
      </c>
      <c r="K30" s="61">
        <f>IF(English!C30="","",English!C30)</f>
        <v>14</v>
      </c>
      <c r="L30" s="35">
        <f>IF(ICT!B30="","",ICT!B30)</f>
        <v>15</v>
      </c>
      <c r="M30" s="35">
        <f>IF(ICT!C30="","",ICT!C30)</f>
        <v>2</v>
      </c>
      <c r="N30" s="35">
        <f>IF(ICT!D30="","",ICT!D30)</f>
        <v>24</v>
      </c>
      <c r="O30" s="42">
        <f>IF(ICT!E30="","",ICT!E30)</f>
        <v>41</v>
      </c>
      <c r="P30" s="40">
        <f>IF(Accounting!B30="","",Accounting!B30)</f>
        <v>11</v>
      </c>
      <c r="Q30" s="40">
        <f>IF(Accounting!C30="","",Accounting!C30)</f>
        <v>9</v>
      </c>
      <c r="R30" s="44">
        <f>IF(Accounting!D30="","",Accounting!D30)</f>
        <v>20</v>
      </c>
      <c r="S30" s="35">
        <f>IF('Business Organization'!B30="","",'Business Organization'!B30)</f>
        <v>17</v>
      </c>
      <c r="T30" s="35">
        <f>IF('Business Organization'!C30="","",'Business Organization'!C30)</f>
        <v>20</v>
      </c>
      <c r="U30" s="42">
        <f>IF('Business Organization'!D30="","",'Business Organization'!D30)</f>
        <v>37</v>
      </c>
      <c r="V30" s="36">
        <f>IF(SubjectList!G30="Finance",IF(Finance!B30=0,"", Finance!B30),IF(SubjectList!G30="Production",IF(Production!B30=0,"", Production!B30),IF(SubjectList!G30="Economics",IF(Economics!B30=0,"", Economics!B30))))</f>
        <v>10</v>
      </c>
      <c r="W30" s="36">
        <f>IF(SubjectList!G30="Finance",IF(Finance!C30=0,"", Finance!C30),IF(SubjectList!G30="Production",IF(Production!C30=0,"", Production!C30),IF(SubjectList!G30="Economics",IF(Economics!C30=0,"", Economics!C30))))</f>
        <v>9</v>
      </c>
      <c r="X30" s="43">
        <f>IF(SubjectList!G30="Finance",IF(Finance!D30=0,"", Finance!D30),IF(SubjectList!G30="Production",IF(Production!D30=0,"", Production!D30),IF(SubjectList!G30="Economics",IF(Economics!D30=0,"", Economics!D30))))</f>
        <v>19</v>
      </c>
      <c r="Y30" s="40">
        <f>IF(SubjectList!H30="Finance",IF(Finance!B30=0,"", Finance!B30),IF(SubjectList!H30="Production",IF(Production!B30=0,"", Production!B30),IF(SubjectList!H30="Economics",IF(Economics!B30=0,"", Economics!B30))))</f>
        <v>13</v>
      </c>
      <c r="Z30" s="40">
        <f>IF(SubjectList!H30="Finance",IF(Finance!C30=0,"", Finance!C30),IF(SubjectList!H30="Production",IF(Production!C30=0,"", Production!C30),IF(SubjectList!H30="Economics",IF(Economics!C30=0,"", Economics!C30))))</f>
        <v>21</v>
      </c>
      <c r="AA30" s="44">
        <f>IF(SubjectList!H30="Finance",IF(Finance!D30=0,"", Finance!D30),IF(SubjectList!H30="Production",IF(Production!D30=0,"", Production!D30),IF(SubjectList!H30="Economics",IF(Economics!D30=0,"", Economics!D30))))</f>
        <v>34</v>
      </c>
      <c r="AB30" s="37" t="str">
        <f>IF(SubjectList!G30="Finance","Finance",IF(SubjectList!G30="Production","Production",IF(SubjectList!G30="Economics","Not Given")))</f>
        <v>Finance</v>
      </c>
      <c r="AC30" s="37" t="str">
        <f>IF(SubjectList!H30="Finance","Finance",IF(SubjectList!H30="Production","Production",IF(SubjectList!H30="Economics","Economics","Not Given")))</f>
        <v>Economics</v>
      </c>
      <c r="AD30" s="38" t="str">
        <f>Bangla!F30</f>
        <v>F</v>
      </c>
      <c r="AE30" s="38" t="str">
        <f>English!E30</f>
        <v>F</v>
      </c>
      <c r="AF30" s="38" t="str">
        <f>ICT!G30</f>
        <v>F</v>
      </c>
      <c r="AG30" s="38" t="str">
        <f>Accounting!F30</f>
        <v>F</v>
      </c>
      <c r="AH30" s="38" t="str">
        <f>'Business Organization'!F30</f>
        <v>F</v>
      </c>
      <c r="AI30" s="38" t="str">
        <f>Production!F30</f>
        <v/>
      </c>
      <c r="AJ30" s="38" t="str">
        <f>Finance!F30</f>
        <v>F</v>
      </c>
      <c r="AK30" s="39">
        <f>Bangla!G30</f>
        <v>0</v>
      </c>
      <c r="AL30" s="39">
        <f>English!F30</f>
        <v>0</v>
      </c>
      <c r="AM30" s="39">
        <f>ICT!H30</f>
        <v>0</v>
      </c>
      <c r="AN30" s="39">
        <f>Accounting!G30</f>
        <v>0</v>
      </c>
      <c r="AO30" s="39">
        <f>'Business Organization'!G30</f>
        <v>0</v>
      </c>
      <c r="AP30" s="39">
        <f>IF(SubjectList!G30="Finance",Finance!G30,IF(SubjectList!G30="Production",Production!G30,IF(SubjectList!G30="Economics",Economics!G30)))</f>
        <v>0</v>
      </c>
      <c r="AQ30" s="39">
        <f>IF(Optional!H30="","", Optional!H30)</f>
        <v>0</v>
      </c>
      <c r="AR30" s="39">
        <f>Optional!H30</f>
        <v>0</v>
      </c>
      <c r="AS30" s="39">
        <f>Optional!I30</f>
        <v>0</v>
      </c>
      <c r="AT30" s="39" t="str">
        <f t="shared" si="0"/>
        <v/>
      </c>
      <c r="AU30" s="39">
        <f t="shared" si="9"/>
        <v>0</v>
      </c>
      <c r="AV30" s="39" t="str">
        <f t="shared" si="1"/>
        <v/>
      </c>
      <c r="AW30" s="39" t="str">
        <f t="shared" si="2"/>
        <v/>
      </c>
      <c r="AX30" s="5">
        <f t="shared" si="10"/>
        <v>190</v>
      </c>
      <c r="AY30" s="41">
        <f t="shared" si="3"/>
        <v>0</v>
      </c>
      <c r="AZ30" s="41">
        <f t="shared" si="4"/>
        <v>0</v>
      </c>
      <c r="BA30" s="41">
        <f t="shared" si="5"/>
        <v>0</v>
      </c>
      <c r="BB30" s="41">
        <f t="shared" si="6"/>
        <v>0</v>
      </c>
      <c r="BC30" s="41">
        <f t="shared" si="7"/>
        <v>0</v>
      </c>
      <c r="BD30" s="41">
        <f t="shared" si="8"/>
        <v>0</v>
      </c>
      <c r="BE30" s="3">
        <f t="shared" si="11"/>
        <v>0</v>
      </c>
      <c r="BF30" s="3" t="str">
        <f t="shared" si="12"/>
        <v>Failed in 6 Subjects</v>
      </c>
      <c r="BG30" s="5" t="str">
        <f>IF(AW30="","",RANK(AW30,AW$2:AW145,0))</f>
        <v/>
      </c>
      <c r="BH30" s="3" t="str">
        <f t="shared" si="13"/>
        <v>খুবই দুর্বল</v>
      </c>
      <c r="BI30" t="str">
        <f t="shared" si="14"/>
        <v>Very Weak</v>
      </c>
      <c r="BJ30" s="104" t="str">
        <f t="shared" si="15"/>
        <v/>
      </c>
    </row>
    <row r="31" spans="1:62" ht="15" thickBot="1" x14ac:dyDescent="0.4">
      <c r="A31" s="3" t="str">
        <f>'Student Basic Info'!B31</f>
        <v>Business Studies</v>
      </c>
      <c r="B31" s="3">
        <f>'Student Basic Info'!A31</f>
        <v>530</v>
      </c>
      <c r="C31" s="3" t="str">
        <f>'Student Basic Info'!C31</f>
        <v>Mahmud Hasan Fuad</v>
      </c>
      <c r="D31" s="3" t="str">
        <f>'Student Basic Info'!D31</f>
        <v>Mohammod Mahfuzul Haqueq</v>
      </c>
      <c r="E31" s="3" t="str">
        <f>'Student Basic Info'!E31</f>
        <v>Rahima Aktar</v>
      </c>
      <c r="F31" s="3" t="str">
        <f>'Student Basic Info'!F31</f>
        <v>Male</v>
      </c>
      <c r="G31" s="81">
        <v>1859922157</v>
      </c>
      <c r="H31" s="59" t="str">
        <f>IF(Bangla!B31="","",Bangla!B31)</f>
        <v/>
      </c>
      <c r="I31" s="59" t="str">
        <f>IF(Bangla!C31="","",Bangla!C31)</f>
        <v/>
      </c>
      <c r="J31" s="60" t="str">
        <f>IF(Bangla!D31="","",Bangla!D31)</f>
        <v/>
      </c>
      <c r="K31" s="61" t="str">
        <f>IF(English!C31="","",English!C31)</f>
        <v/>
      </c>
      <c r="L31" s="35" t="str">
        <f>IF(ICT!B31="","",ICT!B31)</f>
        <v/>
      </c>
      <c r="M31" s="35" t="str">
        <f>IF(ICT!C31="","",ICT!C31)</f>
        <v/>
      </c>
      <c r="N31" s="35" t="str">
        <f>IF(ICT!D31="","",ICT!D31)</f>
        <v/>
      </c>
      <c r="O31" s="42" t="str">
        <f>IF(ICT!E31="","",ICT!E31)</f>
        <v/>
      </c>
      <c r="P31" s="40" t="str">
        <f>IF(Accounting!B31="","",Accounting!B31)</f>
        <v/>
      </c>
      <c r="Q31" s="40" t="str">
        <f>IF(Accounting!C31="","",Accounting!C31)</f>
        <v/>
      </c>
      <c r="R31" s="44" t="str">
        <f>IF(Accounting!D31="","",Accounting!D31)</f>
        <v/>
      </c>
      <c r="S31" s="35" t="str">
        <f>IF('Business Organization'!B31="","",'Business Organization'!B31)</f>
        <v/>
      </c>
      <c r="T31" s="35" t="str">
        <f>IF('Business Organization'!C31="","",'Business Organization'!C31)</f>
        <v/>
      </c>
      <c r="U31" s="42" t="str">
        <f>IF('Business Organization'!D31="","",'Business Organization'!D31)</f>
        <v/>
      </c>
      <c r="V31" s="36" t="str">
        <f>IF(SubjectList!G31="Finance",IF(Finance!B31=0,"", Finance!B31),IF(SubjectList!G31="Production",IF(Production!B31=0,"", Production!B31),IF(SubjectList!G31="Economics",IF(Economics!B31=0,"", Economics!B31))))</f>
        <v/>
      </c>
      <c r="W31" s="36" t="str">
        <f>IF(SubjectList!G31="Finance",IF(Finance!C31=0,"", Finance!C31),IF(SubjectList!G31="Production",IF(Production!C31=0,"", Production!C31),IF(SubjectList!G31="Economics",IF(Economics!C31=0,"", Economics!C31))))</f>
        <v/>
      </c>
      <c r="X31" s="43" t="str">
        <f>IF(SubjectList!G31="Finance",IF(Finance!D31=0,"", Finance!D31),IF(SubjectList!G31="Production",IF(Production!D31=0,"", Production!D31),IF(SubjectList!G31="Economics",IF(Economics!D31=0,"", Economics!D31))))</f>
        <v/>
      </c>
      <c r="Y31" s="40" t="str">
        <f>IF(SubjectList!H31="Finance",IF(Finance!B31=0,"", Finance!B31),IF(SubjectList!H31="Production",IF(Production!B31=0,"", Production!B31),IF(SubjectList!H31="Economics",IF(Economics!B31=0,"", Economics!B31))))</f>
        <v/>
      </c>
      <c r="Z31" s="40" t="str">
        <f>IF(SubjectList!H31="Finance",IF(Finance!C31=0,"", Finance!C31),IF(SubjectList!H31="Production",IF(Production!C31=0,"", Production!C31),IF(SubjectList!H31="Economics",IF(Economics!C31=0,"", Economics!C31))))</f>
        <v/>
      </c>
      <c r="AA31" s="44" t="str">
        <f>IF(SubjectList!H31="Finance",IF(Finance!D31=0,"", Finance!D31),IF(SubjectList!H31="Production",IF(Production!D31=0,"", Production!D31),IF(SubjectList!H31="Economics",IF(Economics!D31=0,"", Economics!D31))))</f>
        <v/>
      </c>
      <c r="AB31" s="37" t="str">
        <f>IF(SubjectList!G31="Finance","Finance",IF(SubjectList!G31="Production","Production",IF(SubjectList!G31="Economics","Not Given")))</f>
        <v>Finance</v>
      </c>
      <c r="AC31" s="37" t="str">
        <f>IF(SubjectList!H31="Finance","Finance",IF(SubjectList!H31="Production","Production",IF(SubjectList!H31="Economics","Economics","Not Given")))</f>
        <v>Production</v>
      </c>
      <c r="AD31" s="38" t="str">
        <f>Bangla!F31</f>
        <v/>
      </c>
      <c r="AE31" s="38" t="str">
        <f>English!E31</f>
        <v/>
      </c>
      <c r="AF31" s="38" t="str">
        <f>ICT!G31</f>
        <v/>
      </c>
      <c r="AG31" s="38" t="str">
        <f>Accounting!F31</f>
        <v/>
      </c>
      <c r="AH31" s="38" t="str">
        <f>'Business Organization'!F31</f>
        <v/>
      </c>
      <c r="AI31" s="38" t="str">
        <f>Production!F31</f>
        <v/>
      </c>
      <c r="AJ31" s="38" t="str">
        <f>Finance!F31</f>
        <v/>
      </c>
      <c r="AK31" s="39" t="str">
        <f>Bangla!G31</f>
        <v/>
      </c>
      <c r="AL31" s="39" t="str">
        <f>English!F31</f>
        <v/>
      </c>
      <c r="AM31" s="39" t="str">
        <f>ICT!H31</f>
        <v/>
      </c>
      <c r="AN31" s="39" t="str">
        <f>Accounting!G31</f>
        <v/>
      </c>
      <c r="AO31" s="39" t="str">
        <f>'Business Organization'!G31</f>
        <v/>
      </c>
      <c r="AP31" s="39" t="str">
        <f>IF(SubjectList!G31="Finance",Finance!G31,IF(SubjectList!G31="Production",Production!G31,IF(SubjectList!G31="Economics",Economics!G31)))</f>
        <v/>
      </c>
      <c r="AQ31" s="39" t="str">
        <f>IF(Optional!H31="","", Optional!H31)</f>
        <v/>
      </c>
      <c r="AR31" s="39" t="str">
        <f>Optional!H31</f>
        <v/>
      </c>
      <c r="AS31" s="39" t="str">
        <f>Optional!I31</f>
        <v/>
      </c>
      <c r="AT31" s="39" t="str">
        <f t="shared" si="0"/>
        <v/>
      </c>
      <c r="AU31" s="39">
        <f t="shared" si="9"/>
        <v>0</v>
      </c>
      <c r="AV31" s="39" t="str">
        <f t="shared" si="1"/>
        <v/>
      </c>
      <c r="AW31" s="39" t="str">
        <f t="shared" si="2"/>
        <v/>
      </c>
      <c r="AX31" s="5">
        <f t="shared" si="10"/>
        <v>0</v>
      </c>
      <c r="AY31" s="41">
        <f t="shared" si="3"/>
        <v>0</v>
      </c>
      <c r="AZ31" s="41">
        <f t="shared" si="4"/>
        <v>0</v>
      </c>
      <c r="BA31" s="41">
        <f t="shared" si="5"/>
        <v>0</v>
      </c>
      <c r="BB31" s="41">
        <f t="shared" si="6"/>
        <v>0</v>
      </c>
      <c r="BC31" s="41">
        <f t="shared" si="7"/>
        <v>0</v>
      </c>
      <c r="BD31" s="41">
        <f t="shared" si="8"/>
        <v>0</v>
      </c>
      <c r="BE31" s="3">
        <f t="shared" si="11"/>
        <v>0</v>
      </c>
      <c r="BF31" s="3" t="str">
        <f t="shared" si="12"/>
        <v>Failed in 6 Subjects</v>
      </c>
      <c r="BG31" s="5" t="str">
        <f>IF(AW31="","",RANK(AW31,AW$2:AW145,0))</f>
        <v/>
      </c>
      <c r="BH31" s="3" t="str">
        <f t="shared" si="13"/>
        <v>খুবই দুর্বল</v>
      </c>
      <c r="BI31" t="str">
        <f t="shared" si="14"/>
        <v>Very Weak</v>
      </c>
      <c r="BJ31" s="104" t="str">
        <f t="shared" si="15"/>
        <v/>
      </c>
    </row>
    <row r="32" spans="1:62" ht="15" thickBot="1" x14ac:dyDescent="0.4">
      <c r="A32" s="3" t="str">
        <f>'Student Basic Info'!B32</f>
        <v>Business Studies</v>
      </c>
      <c r="B32" s="3">
        <f>'Student Basic Info'!A32</f>
        <v>531</v>
      </c>
      <c r="C32" s="3" t="str">
        <f>'Student Basic Info'!C32</f>
        <v>Zabeb Hosain</v>
      </c>
      <c r="D32" s="3" t="str">
        <f>'Student Basic Info'!D32</f>
        <v>Zahangir Hosain</v>
      </c>
      <c r="E32" s="3" t="str">
        <f>'Student Basic Info'!E32</f>
        <v>Rahela Begum</v>
      </c>
      <c r="F32" s="3" t="str">
        <f>'Student Basic Info'!F32</f>
        <v>Male</v>
      </c>
      <c r="G32" s="81">
        <v>1784143566</v>
      </c>
      <c r="H32" s="59" t="str">
        <f>IF(Bangla!B32="","",Bangla!B32)</f>
        <v/>
      </c>
      <c r="I32" s="59">
        <f>IF(Bangla!C32="","",Bangla!C32)</f>
        <v>33</v>
      </c>
      <c r="J32" s="60">
        <f>IF(Bangla!D32="","",Bangla!D32)</f>
        <v>33</v>
      </c>
      <c r="K32" s="61">
        <f>IF(English!C32="","",English!C32)</f>
        <v>17</v>
      </c>
      <c r="L32" s="35">
        <f>IF(ICT!B32="","",ICT!B32)</f>
        <v>9</v>
      </c>
      <c r="M32" s="35">
        <f>IF(ICT!C32="","",ICT!C32)</f>
        <v>8</v>
      </c>
      <c r="N32" s="35">
        <f>IF(ICT!D32="","",ICT!D32)</f>
        <v>8</v>
      </c>
      <c r="O32" s="42">
        <f>IF(ICT!E32="","",ICT!E32)</f>
        <v>25</v>
      </c>
      <c r="P32" s="40">
        <f>IF(Accounting!B32="","",Accounting!B32)</f>
        <v>8</v>
      </c>
      <c r="Q32" s="40">
        <f>IF(Accounting!C32="","",Accounting!C32)</f>
        <v>12</v>
      </c>
      <c r="R32" s="44">
        <f>IF(Accounting!D32="","",Accounting!D32)</f>
        <v>20</v>
      </c>
      <c r="S32" s="35">
        <f>IF('Business Organization'!B32="","",'Business Organization'!B32)</f>
        <v>17</v>
      </c>
      <c r="T32" s="35">
        <f>IF('Business Organization'!C32="","",'Business Organization'!C32)</f>
        <v>9</v>
      </c>
      <c r="U32" s="42">
        <f>IF('Business Organization'!D32="","",'Business Organization'!D32)</f>
        <v>26</v>
      </c>
      <c r="V32" s="36">
        <f>IF(SubjectList!G32="Finance",IF(Finance!B32=0,"", Finance!B32),IF(SubjectList!G32="Production",IF(Production!B32=0,"", Production!B32),IF(SubjectList!G32="Economics",IF(Economics!B32=0,"", Economics!B32))))</f>
        <v>7</v>
      </c>
      <c r="W32" s="36">
        <f>IF(SubjectList!G32="Finance",IF(Finance!C32=0,"", Finance!C32),IF(SubjectList!G32="Production",IF(Production!C32=0,"", Production!C32),IF(SubjectList!G32="Economics",IF(Economics!C32=0,"", Economics!C32))))</f>
        <v>13</v>
      </c>
      <c r="X32" s="43">
        <f>IF(SubjectList!G32="Finance",IF(Finance!D32=0,"", Finance!D32),IF(SubjectList!G32="Production",IF(Production!D32=0,"", Production!D32),IF(SubjectList!G32="Economics",IF(Economics!D32=0,"", Economics!D32))))</f>
        <v>20</v>
      </c>
      <c r="Y32" s="40">
        <f>IF(SubjectList!H32="Finance",IF(Finance!B32=0,"", Finance!B32),IF(SubjectList!H32="Production",IF(Production!B32=0,"", Production!B32),IF(SubjectList!H32="Economics",IF(Economics!B32=0,"", Economics!B32))))</f>
        <v>13</v>
      </c>
      <c r="Z32" s="40">
        <f>IF(SubjectList!H32="Finance",IF(Finance!C32=0,"", Finance!C32),IF(SubjectList!H32="Production",IF(Production!C32=0,"", Production!C32),IF(SubjectList!H32="Economics",IF(Economics!C32=0,"", Economics!C32))))</f>
        <v>30</v>
      </c>
      <c r="AA32" s="44">
        <f>IF(SubjectList!H32="Finance",IF(Finance!D32=0,"", Finance!D32),IF(SubjectList!H32="Production",IF(Production!D32=0,"", Production!D32),IF(SubjectList!H32="Economics",IF(Economics!D32=0,"", Economics!D32))))</f>
        <v>43</v>
      </c>
      <c r="AB32" s="37" t="str">
        <f>IF(SubjectList!G32="Finance","Finance",IF(SubjectList!G32="Production","Production",IF(SubjectList!G32="Economics","Not Given")))</f>
        <v>Finance</v>
      </c>
      <c r="AC32" s="37" t="str">
        <f>IF(SubjectList!H32="Finance","Finance",IF(SubjectList!H32="Production","Production",IF(SubjectList!H32="Economics","Economics","Not Given")))</f>
        <v>Production</v>
      </c>
      <c r="AD32" s="38" t="str">
        <f>Bangla!F32</f>
        <v>D</v>
      </c>
      <c r="AE32" s="38" t="str">
        <f>English!E32</f>
        <v>F</v>
      </c>
      <c r="AF32" s="38" t="str">
        <f>ICT!G32</f>
        <v>F</v>
      </c>
      <c r="AG32" s="38" t="str">
        <f>Accounting!F32</f>
        <v>F</v>
      </c>
      <c r="AH32" s="38" t="str">
        <f>'Business Organization'!F32</f>
        <v>F</v>
      </c>
      <c r="AI32" s="38" t="str">
        <f>Production!F32</f>
        <v>C</v>
      </c>
      <c r="AJ32" s="38" t="str">
        <f>Finance!F32</f>
        <v>F</v>
      </c>
      <c r="AK32" s="39">
        <f>Bangla!G32</f>
        <v>1</v>
      </c>
      <c r="AL32" s="39">
        <f>English!F32</f>
        <v>0</v>
      </c>
      <c r="AM32" s="39">
        <f>ICT!H32</f>
        <v>0</v>
      </c>
      <c r="AN32" s="39">
        <f>Accounting!G32</f>
        <v>0</v>
      </c>
      <c r="AO32" s="39">
        <f>'Business Organization'!G32</f>
        <v>0</v>
      </c>
      <c r="AP32" s="39">
        <f>IF(SubjectList!G32="Finance",Finance!G32,IF(SubjectList!G32="Production",Production!G32,IF(SubjectList!G32="Economics",Economics!G32)))</f>
        <v>0</v>
      </c>
      <c r="AQ32" s="39">
        <f>IF(Optional!H32="","", Optional!H32)</f>
        <v>2</v>
      </c>
      <c r="AR32" s="39">
        <f>Optional!H32</f>
        <v>2</v>
      </c>
      <c r="AS32" s="39">
        <f>Optional!I32</f>
        <v>0</v>
      </c>
      <c r="AT32" s="39">
        <f t="shared" si="0"/>
        <v>1</v>
      </c>
      <c r="AU32" s="39">
        <f t="shared" si="9"/>
        <v>1</v>
      </c>
      <c r="AV32" s="39" t="str">
        <f t="shared" si="1"/>
        <v/>
      </c>
      <c r="AW32" s="39" t="str">
        <f t="shared" si="2"/>
        <v/>
      </c>
      <c r="AX32" s="5">
        <f t="shared" si="10"/>
        <v>184</v>
      </c>
      <c r="AY32" s="41">
        <f t="shared" si="3"/>
        <v>1</v>
      </c>
      <c r="AZ32" s="41">
        <f t="shared" si="4"/>
        <v>0</v>
      </c>
      <c r="BA32" s="41">
        <f t="shared" si="5"/>
        <v>0</v>
      </c>
      <c r="BB32" s="41">
        <f t="shared" si="6"/>
        <v>0</v>
      </c>
      <c r="BC32" s="41">
        <f t="shared" si="7"/>
        <v>0</v>
      </c>
      <c r="BD32" s="41">
        <f t="shared" si="8"/>
        <v>0</v>
      </c>
      <c r="BE32" s="3">
        <f t="shared" si="11"/>
        <v>1</v>
      </c>
      <c r="BF32" s="3" t="str">
        <f t="shared" si="12"/>
        <v>Failed in 5 Subjects</v>
      </c>
      <c r="BG32" s="5" t="str">
        <f>IF(AW32="","",RANK(AW32,AW$2:AW145,0))</f>
        <v/>
      </c>
      <c r="BH32" s="3" t="str">
        <f t="shared" si="13"/>
        <v>খুবই দুর্বল</v>
      </c>
      <c r="BI32" t="str">
        <f t="shared" si="14"/>
        <v>Very Weak</v>
      </c>
      <c r="BJ32" s="104" t="str">
        <f t="shared" si="15"/>
        <v/>
      </c>
    </row>
    <row r="33" spans="1:62" ht="15" thickBot="1" x14ac:dyDescent="0.4">
      <c r="A33" s="3" t="str">
        <f>'Student Basic Info'!B33</f>
        <v>Business Studies</v>
      </c>
      <c r="B33" s="3">
        <f>'Student Basic Info'!A33</f>
        <v>532</v>
      </c>
      <c r="C33" s="3" t="str">
        <f>'Student Basic Info'!C33</f>
        <v>Shahinur Islam</v>
      </c>
      <c r="D33" s="3" t="str">
        <f>'Student Basic Info'!D33</f>
        <v>Dulal</v>
      </c>
      <c r="E33" s="3" t="str">
        <f>'Student Basic Info'!E33</f>
        <v>Gulnahar Begum</v>
      </c>
      <c r="F33" s="3" t="str">
        <f>'Student Basic Info'!F33</f>
        <v>Male</v>
      </c>
      <c r="G33" s="81">
        <v>1749159479</v>
      </c>
      <c r="H33" s="59" t="str">
        <f>IF(Bangla!B33="","",Bangla!B33)</f>
        <v/>
      </c>
      <c r="I33" s="59" t="str">
        <f>IF(Bangla!C33="","",Bangla!C33)</f>
        <v/>
      </c>
      <c r="J33" s="60" t="str">
        <f>IF(Bangla!D33="","",Bangla!D33)</f>
        <v/>
      </c>
      <c r="K33" s="61" t="str">
        <f>IF(English!C33="","",English!C33)</f>
        <v/>
      </c>
      <c r="L33" s="35" t="str">
        <f>IF(ICT!B33="","",ICT!B33)</f>
        <v/>
      </c>
      <c r="M33" s="35" t="str">
        <f>IF(ICT!C33="","",ICT!C33)</f>
        <v/>
      </c>
      <c r="N33" s="35" t="str">
        <f>IF(ICT!D33="","",ICT!D33)</f>
        <v/>
      </c>
      <c r="O33" s="42" t="str">
        <f>IF(ICT!E33="","",ICT!E33)</f>
        <v/>
      </c>
      <c r="P33" s="40" t="str">
        <f>IF(Accounting!B33="","",Accounting!B33)</f>
        <v/>
      </c>
      <c r="Q33" s="40" t="str">
        <f>IF(Accounting!C33="","",Accounting!C33)</f>
        <v/>
      </c>
      <c r="R33" s="44" t="str">
        <f>IF(Accounting!D33="","",Accounting!D33)</f>
        <v/>
      </c>
      <c r="S33" s="35" t="str">
        <f>IF('Business Organization'!B33="","",'Business Organization'!B33)</f>
        <v/>
      </c>
      <c r="T33" s="35" t="str">
        <f>IF('Business Organization'!C33="","",'Business Organization'!C33)</f>
        <v/>
      </c>
      <c r="U33" s="42" t="str">
        <f>IF('Business Organization'!D33="","",'Business Organization'!D33)</f>
        <v/>
      </c>
      <c r="V33" s="36" t="str">
        <f>IF(SubjectList!G33="Finance",IF(Finance!B33=0,"", Finance!B33),IF(SubjectList!G33="Production",IF(Production!B33=0,"", Production!B33),IF(SubjectList!G33="Economics",IF(Economics!B33=0,"", Economics!B33))))</f>
        <v/>
      </c>
      <c r="W33" s="36" t="str">
        <f>IF(SubjectList!G33="Finance",IF(Finance!C33=0,"", Finance!C33),IF(SubjectList!G33="Production",IF(Production!C33=0,"", Production!C33),IF(SubjectList!G33="Economics",IF(Economics!C33=0,"", Economics!C33))))</f>
        <v/>
      </c>
      <c r="X33" s="43" t="str">
        <f>IF(SubjectList!G33="Finance",IF(Finance!D33=0,"", Finance!D33),IF(SubjectList!G33="Production",IF(Production!D33=0,"", Production!D33),IF(SubjectList!G33="Economics",IF(Economics!D33=0,"", Economics!D33))))</f>
        <v/>
      </c>
      <c r="Y33" s="40" t="str">
        <f>IF(SubjectList!H33="Finance",IF(Finance!B33=0,"", Finance!B33),IF(SubjectList!H33="Production",IF(Production!B33=0,"", Production!B33),IF(SubjectList!H33="Economics",IF(Economics!B33=0,"", Economics!B33))))</f>
        <v/>
      </c>
      <c r="Z33" s="40" t="str">
        <f>IF(SubjectList!H33="Finance",IF(Finance!C33=0,"", Finance!C33),IF(SubjectList!H33="Production",IF(Production!C33=0,"", Production!C33),IF(SubjectList!H33="Economics",IF(Economics!C33=0,"", Economics!C33))))</f>
        <v/>
      </c>
      <c r="AA33" s="44" t="str">
        <f>IF(SubjectList!H33="Finance",IF(Finance!D33=0,"", Finance!D33),IF(SubjectList!H33="Production",IF(Production!D33=0,"", Production!D33),IF(SubjectList!H33="Economics",IF(Economics!D33=0,"", Economics!D33))))</f>
        <v/>
      </c>
      <c r="AB33" s="37" t="str">
        <f>IF(SubjectList!G33="Finance","Finance",IF(SubjectList!G33="Production","Production",IF(SubjectList!G33="Economics","Not Given")))</f>
        <v>Finance</v>
      </c>
      <c r="AC33" s="37" t="str">
        <f>IF(SubjectList!H33="Finance","Finance",IF(SubjectList!H33="Production","Production",IF(SubjectList!H33="Economics","Economics","Not Given")))</f>
        <v>Production</v>
      </c>
      <c r="AD33" s="38" t="str">
        <f>Bangla!F33</f>
        <v/>
      </c>
      <c r="AE33" s="38" t="str">
        <f>English!E33</f>
        <v/>
      </c>
      <c r="AF33" s="38" t="str">
        <f>ICT!G33</f>
        <v/>
      </c>
      <c r="AG33" s="38" t="str">
        <f>Accounting!F33</f>
        <v/>
      </c>
      <c r="AH33" s="38" t="str">
        <f>'Business Organization'!F33</f>
        <v/>
      </c>
      <c r="AI33" s="38" t="str">
        <f>Production!F33</f>
        <v/>
      </c>
      <c r="AJ33" s="38" t="str">
        <f>Finance!F33</f>
        <v/>
      </c>
      <c r="AK33" s="39" t="str">
        <f>Bangla!G33</f>
        <v/>
      </c>
      <c r="AL33" s="39" t="str">
        <f>English!F33</f>
        <v/>
      </c>
      <c r="AM33" s="39" t="str">
        <f>ICT!H33</f>
        <v/>
      </c>
      <c r="AN33" s="39" t="str">
        <f>Accounting!G33</f>
        <v/>
      </c>
      <c r="AO33" s="39" t="str">
        <f>'Business Organization'!G33</f>
        <v/>
      </c>
      <c r="AP33" s="39" t="str">
        <f>IF(SubjectList!G33="Finance",Finance!G33,IF(SubjectList!G33="Production",Production!G33,IF(SubjectList!G33="Economics",Economics!G33)))</f>
        <v/>
      </c>
      <c r="AQ33" s="39" t="str">
        <f>IF(Optional!H33="","", Optional!H33)</f>
        <v/>
      </c>
      <c r="AR33" s="39" t="str">
        <f>Optional!H33</f>
        <v/>
      </c>
      <c r="AS33" s="39" t="str">
        <f>Optional!I33</f>
        <v/>
      </c>
      <c r="AT33" s="39" t="str">
        <f t="shared" si="0"/>
        <v/>
      </c>
      <c r="AU33" s="39">
        <f t="shared" si="9"/>
        <v>0</v>
      </c>
      <c r="AV33" s="39" t="str">
        <f t="shared" si="1"/>
        <v/>
      </c>
      <c r="AW33" s="39" t="str">
        <f t="shared" si="2"/>
        <v/>
      </c>
      <c r="AX33" s="5">
        <f t="shared" si="10"/>
        <v>0</v>
      </c>
      <c r="AY33" s="41">
        <f t="shared" si="3"/>
        <v>0</v>
      </c>
      <c r="AZ33" s="41">
        <f t="shared" si="4"/>
        <v>0</v>
      </c>
      <c r="BA33" s="41">
        <f t="shared" si="5"/>
        <v>0</v>
      </c>
      <c r="BB33" s="41">
        <f t="shared" si="6"/>
        <v>0</v>
      </c>
      <c r="BC33" s="41">
        <f t="shared" si="7"/>
        <v>0</v>
      </c>
      <c r="BD33" s="41">
        <f t="shared" si="8"/>
        <v>0</v>
      </c>
      <c r="BE33" s="3">
        <f t="shared" si="11"/>
        <v>0</v>
      </c>
      <c r="BF33" s="3" t="str">
        <f t="shared" si="12"/>
        <v>Failed in 6 Subjects</v>
      </c>
      <c r="BG33" s="5" t="str">
        <f>IF(AW33="","",RANK(AW33,AW$2:AW145,0))</f>
        <v/>
      </c>
      <c r="BH33" s="3" t="str">
        <f t="shared" si="13"/>
        <v>খুবই দুর্বল</v>
      </c>
      <c r="BI33" t="str">
        <f t="shared" si="14"/>
        <v>Very Weak</v>
      </c>
      <c r="BJ33" s="104" t="str">
        <f t="shared" si="15"/>
        <v/>
      </c>
    </row>
    <row r="34" spans="1:62" ht="15" thickBot="1" x14ac:dyDescent="0.4">
      <c r="A34" s="3" t="str">
        <f>'Student Basic Info'!B34</f>
        <v>Business Studies</v>
      </c>
      <c r="B34" s="3">
        <f>'Student Basic Info'!A34</f>
        <v>533</v>
      </c>
      <c r="C34" s="3" t="str">
        <f>'Student Basic Info'!C34</f>
        <v>Md. Al Amin Haydar</v>
      </c>
      <c r="D34" s="3" t="str">
        <f>'Student Basic Info'!D34</f>
        <v>Misul Haydar</v>
      </c>
      <c r="E34" s="3" t="str">
        <f>'Student Basic Info'!E34</f>
        <v>Rehena Haydar</v>
      </c>
      <c r="F34" s="3" t="str">
        <f>'Student Basic Info'!F34</f>
        <v>Male</v>
      </c>
      <c r="G34" s="81">
        <v>1895422263</v>
      </c>
      <c r="H34" s="59" t="str">
        <f>IF(Bangla!B34="","",Bangla!B34)</f>
        <v/>
      </c>
      <c r="I34" s="59" t="str">
        <f>IF(Bangla!C34="","",Bangla!C34)</f>
        <v/>
      </c>
      <c r="J34" s="60" t="str">
        <f>IF(Bangla!D34="","",Bangla!D34)</f>
        <v/>
      </c>
      <c r="K34" s="61" t="str">
        <f>IF(English!C34="","",English!C34)</f>
        <v/>
      </c>
      <c r="L34" s="35" t="str">
        <f>IF(ICT!B34="","",ICT!B34)</f>
        <v/>
      </c>
      <c r="M34" s="35" t="str">
        <f>IF(ICT!C34="","",ICT!C34)</f>
        <v/>
      </c>
      <c r="N34" s="35" t="str">
        <f>IF(ICT!D34="","",ICT!D34)</f>
        <v/>
      </c>
      <c r="O34" s="42" t="str">
        <f>IF(ICT!E34="","",ICT!E34)</f>
        <v/>
      </c>
      <c r="P34" s="40" t="str">
        <f>IF(Accounting!B34="","",Accounting!B34)</f>
        <v/>
      </c>
      <c r="Q34" s="40" t="str">
        <f>IF(Accounting!C34="","",Accounting!C34)</f>
        <v/>
      </c>
      <c r="R34" s="44" t="str">
        <f>IF(Accounting!D34="","",Accounting!D34)</f>
        <v/>
      </c>
      <c r="S34" s="35" t="str">
        <f>IF('Business Organization'!B34="","",'Business Organization'!B34)</f>
        <v/>
      </c>
      <c r="T34" s="35" t="str">
        <f>IF('Business Organization'!C34="","",'Business Organization'!C34)</f>
        <v/>
      </c>
      <c r="U34" s="42" t="str">
        <f>IF('Business Organization'!D34="","",'Business Organization'!D34)</f>
        <v/>
      </c>
      <c r="V34" s="36" t="str">
        <f>IF(SubjectList!G34="Finance",IF(Finance!B34=0,"", Finance!B34),IF(SubjectList!G34="Production",IF(Production!B34=0,"", Production!B34),IF(SubjectList!G34="Economics",IF(Economics!B34=0,"", Economics!B34))))</f>
        <v/>
      </c>
      <c r="W34" s="36" t="str">
        <f>IF(SubjectList!G34="Finance",IF(Finance!C34=0,"", Finance!C34),IF(SubjectList!G34="Production",IF(Production!C34=0,"", Production!C34),IF(SubjectList!G34="Economics",IF(Economics!C34=0,"", Economics!C34))))</f>
        <v/>
      </c>
      <c r="X34" s="43" t="str">
        <f>IF(SubjectList!G34="Finance",IF(Finance!D34=0,"", Finance!D34),IF(SubjectList!G34="Production",IF(Production!D34=0,"", Production!D34),IF(SubjectList!G34="Economics",IF(Economics!D34=0,"", Economics!D34))))</f>
        <v/>
      </c>
      <c r="Y34" s="40" t="str">
        <f>IF(SubjectList!H34="Finance",IF(Finance!B34=0,"", Finance!B34),IF(SubjectList!H34="Production",IF(Production!B34=0,"", Production!B34),IF(SubjectList!H34="Economics",IF(Economics!B34=0,"", Economics!B34))))</f>
        <v/>
      </c>
      <c r="Z34" s="40" t="str">
        <f>IF(SubjectList!H34="Finance",IF(Finance!C34=0,"", Finance!C34),IF(SubjectList!H34="Production",IF(Production!C34=0,"", Production!C34),IF(SubjectList!H34="Economics",IF(Economics!C34=0,"", Economics!C34))))</f>
        <v/>
      </c>
      <c r="AA34" s="44" t="str">
        <f>IF(SubjectList!H34="Finance",IF(Finance!D34=0,"", Finance!D34),IF(SubjectList!H34="Production",IF(Production!D34=0,"", Production!D34),IF(SubjectList!H34="Economics",IF(Economics!D34=0,"", Economics!D34))))</f>
        <v/>
      </c>
      <c r="AB34" s="37" t="str">
        <f>IF(SubjectList!G34="Finance","Finance",IF(SubjectList!G34="Production","Production",IF(SubjectList!G34="Economics","Not Given")))</f>
        <v>Finance</v>
      </c>
      <c r="AC34" s="37" t="str">
        <f>IF(SubjectList!H34="Finance","Finance",IF(SubjectList!H34="Production","Production",IF(SubjectList!H34="Economics","Economics","Not Given")))</f>
        <v>Production</v>
      </c>
      <c r="AD34" s="38" t="str">
        <f>Bangla!F34</f>
        <v/>
      </c>
      <c r="AE34" s="38" t="str">
        <f>English!E34</f>
        <v/>
      </c>
      <c r="AF34" s="38" t="str">
        <f>ICT!G34</f>
        <v/>
      </c>
      <c r="AG34" s="38" t="str">
        <f>Accounting!F34</f>
        <v/>
      </c>
      <c r="AH34" s="38" t="str">
        <f>'Business Organization'!F34</f>
        <v/>
      </c>
      <c r="AI34" s="38" t="str">
        <f>Production!F34</f>
        <v/>
      </c>
      <c r="AJ34" s="38" t="str">
        <f>Finance!F34</f>
        <v/>
      </c>
      <c r="AK34" s="39" t="str">
        <f>Bangla!G34</f>
        <v/>
      </c>
      <c r="AL34" s="39" t="str">
        <f>English!F34</f>
        <v/>
      </c>
      <c r="AM34" s="39" t="str">
        <f>ICT!H34</f>
        <v/>
      </c>
      <c r="AN34" s="39" t="str">
        <f>Accounting!G34</f>
        <v/>
      </c>
      <c r="AO34" s="39" t="str">
        <f>'Business Organization'!G34</f>
        <v/>
      </c>
      <c r="AP34" s="39" t="str">
        <f>IF(SubjectList!G34="Finance",Finance!G34,IF(SubjectList!G34="Production",Production!G34,IF(SubjectList!G34="Economics",Economics!G34)))</f>
        <v/>
      </c>
      <c r="AQ34" s="39" t="str">
        <f>IF(Optional!H34="","", Optional!H34)</f>
        <v/>
      </c>
      <c r="AR34" s="39" t="str">
        <f>Optional!H34</f>
        <v/>
      </c>
      <c r="AS34" s="39" t="str">
        <f>Optional!I34</f>
        <v/>
      </c>
      <c r="AT34" s="39" t="str">
        <f t="shared" ref="AT34:AT65" si="16">IF(BE34=0, "", SUM(AK34:AP34))</f>
        <v/>
      </c>
      <c r="AU34" s="39">
        <f t="shared" si="9"/>
        <v>0</v>
      </c>
      <c r="AV34" s="39" t="str">
        <f t="shared" ref="AV34:AV65" si="17">IF(BE34=6,IF(AU34&gt;=30,5,(AU34-AS34)/6),"")</f>
        <v/>
      </c>
      <c r="AW34" s="39" t="str">
        <f t="shared" ref="AW34:AW65" si="18">IF(BE34=6, IF(AU34&gt;=30,5,AU34/6), "")</f>
        <v/>
      </c>
      <c r="AX34" s="5">
        <f t="shared" si="10"/>
        <v>0</v>
      </c>
      <c r="AY34" s="41">
        <f t="shared" ref="AY34:AY65" si="19">(IF(AK34="",0,IF(AK34=0,0,1)))</f>
        <v>0</v>
      </c>
      <c r="AZ34" s="41">
        <f t="shared" ref="AZ34:AZ65" si="20">(IF(AL34="",0,IF(AL34=0,0,1)))</f>
        <v>0</v>
      </c>
      <c r="BA34" s="41">
        <f t="shared" ref="BA34:BA65" si="21">(IF(AM34="",0,IF(AM34=0,0,1)))</f>
        <v>0</v>
      </c>
      <c r="BB34" s="41">
        <f t="shared" ref="BB34:BB65" si="22">(IF(AN34="",0,IF(AN34=0,0,1)))</f>
        <v>0</v>
      </c>
      <c r="BC34" s="41">
        <f t="shared" ref="BC34:BC65" si="23">(IF(AO34="",0,IF(AO34=0,0,1)))</f>
        <v>0</v>
      </c>
      <c r="BD34" s="41">
        <f t="shared" ref="BD34:BD65" si="24">(IF(AP34="",0,IF(AP34=0,0,1)))</f>
        <v>0</v>
      </c>
      <c r="BE34" s="3">
        <f t="shared" si="11"/>
        <v>0</v>
      </c>
      <c r="BF34" s="3" t="str">
        <f t="shared" si="12"/>
        <v>Failed in 6 Subjects</v>
      </c>
      <c r="BG34" s="5" t="str">
        <f>IF(AW34="","",RANK(AW34,AW$2:AW145,0))</f>
        <v/>
      </c>
      <c r="BH34" s="3" t="str">
        <f t="shared" si="13"/>
        <v>খুবই দুর্বল</v>
      </c>
      <c r="BI34" t="str">
        <f t="shared" si="14"/>
        <v>Very Weak</v>
      </c>
      <c r="BJ34" s="104" t="str">
        <f t="shared" si="15"/>
        <v/>
      </c>
    </row>
    <row r="35" spans="1:62" ht="15" thickBot="1" x14ac:dyDescent="0.4">
      <c r="A35" s="3" t="str">
        <f>'Student Basic Info'!B35</f>
        <v>Business Studies</v>
      </c>
      <c r="B35" s="3">
        <f>'Student Basic Info'!A35</f>
        <v>534</v>
      </c>
      <c r="C35" s="3" t="str">
        <f>'Student Basic Info'!C35</f>
        <v>Md. Hasanain Hosain</v>
      </c>
      <c r="D35" s="3" t="str">
        <f>'Student Basic Info'!D35</f>
        <v>Altap Hosain</v>
      </c>
      <c r="E35" s="3" t="str">
        <f>'Student Basic Info'!E35</f>
        <v>Bibi Kulsum</v>
      </c>
      <c r="F35" s="3" t="str">
        <f>'Student Basic Info'!F35</f>
        <v>Male</v>
      </c>
      <c r="G35" s="78">
        <v>1883581417</v>
      </c>
      <c r="H35" s="59" t="str">
        <f>IF(Bangla!B35="","",Bangla!B35)</f>
        <v/>
      </c>
      <c r="I35" s="59" t="str">
        <f>IF(Bangla!C35="","",Bangla!C35)</f>
        <v/>
      </c>
      <c r="J35" s="60" t="str">
        <f>IF(Bangla!D35="","",Bangla!D35)</f>
        <v/>
      </c>
      <c r="K35" s="61" t="str">
        <f>IF(English!C35="","",English!C35)</f>
        <v/>
      </c>
      <c r="L35" s="35" t="str">
        <f>IF(ICT!B35="","",ICT!B35)</f>
        <v/>
      </c>
      <c r="M35" s="35" t="str">
        <f>IF(ICT!C35="","",ICT!C35)</f>
        <v/>
      </c>
      <c r="N35" s="35" t="str">
        <f>IF(ICT!D35="","",ICT!D35)</f>
        <v/>
      </c>
      <c r="O35" s="42" t="str">
        <f>IF(ICT!E35="","",ICT!E35)</f>
        <v/>
      </c>
      <c r="P35" s="40" t="str">
        <f>IF(Accounting!B35="","",Accounting!B35)</f>
        <v/>
      </c>
      <c r="Q35" s="40" t="str">
        <f>IF(Accounting!C35="","",Accounting!C35)</f>
        <v/>
      </c>
      <c r="R35" s="44" t="str">
        <f>IF(Accounting!D35="","",Accounting!D35)</f>
        <v/>
      </c>
      <c r="S35" s="35" t="str">
        <f>IF('Business Organization'!B35="","",'Business Organization'!B35)</f>
        <v/>
      </c>
      <c r="T35" s="35" t="str">
        <f>IF('Business Organization'!C35="","",'Business Organization'!C35)</f>
        <v/>
      </c>
      <c r="U35" s="42" t="str">
        <f>IF('Business Organization'!D35="","",'Business Organization'!D35)</f>
        <v/>
      </c>
      <c r="V35" s="36" t="str">
        <f>IF(SubjectList!G35="Finance",IF(Finance!B35=0,"", Finance!B35),IF(SubjectList!G35="Production",IF(Production!B35=0,"", Production!B35),IF(SubjectList!G35="Economics",IF(Economics!B35=0,"", Economics!B35))))</f>
        <v/>
      </c>
      <c r="W35" s="36" t="str">
        <f>IF(SubjectList!G35="Finance",IF(Finance!C35=0,"", Finance!C35),IF(SubjectList!G35="Production",IF(Production!C35=0,"", Production!C35),IF(SubjectList!G35="Economics",IF(Economics!C35=0,"", Economics!C35))))</f>
        <v/>
      </c>
      <c r="X35" s="43" t="str">
        <f>IF(SubjectList!G35="Finance",IF(Finance!D35=0,"", Finance!D35),IF(SubjectList!G35="Production",IF(Production!D35=0,"", Production!D35),IF(SubjectList!G35="Economics",IF(Economics!D35=0,"", Economics!D35))))</f>
        <v/>
      </c>
      <c r="Y35" s="40" t="str">
        <f>IF(SubjectList!H35="Finance",IF(Finance!B35=0,"", Finance!B35),IF(SubjectList!H35="Production",IF(Production!B35=0,"", Production!B35),IF(SubjectList!H35="Economics",IF(Economics!B35=0,"", Economics!B35))))</f>
        <v/>
      </c>
      <c r="Z35" s="40" t="str">
        <f>IF(SubjectList!H35="Finance",IF(Finance!C35=0,"", Finance!C35),IF(SubjectList!H35="Production",IF(Production!C35=0,"", Production!C35),IF(SubjectList!H35="Economics",IF(Economics!C35=0,"", Economics!C35))))</f>
        <v/>
      </c>
      <c r="AA35" s="44" t="str">
        <f>IF(SubjectList!H35="Finance",IF(Finance!D35=0,"", Finance!D35),IF(SubjectList!H35="Production",IF(Production!D35=0,"", Production!D35),IF(SubjectList!H35="Economics",IF(Economics!D35=0,"", Economics!D35))))</f>
        <v/>
      </c>
      <c r="AB35" s="37" t="str">
        <f>IF(SubjectList!G35="Finance","Finance",IF(SubjectList!G35="Production","Production",IF(SubjectList!G35="Economics","Not Given")))</f>
        <v>Production</v>
      </c>
      <c r="AC35" s="37" t="str">
        <f>IF(SubjectList!H35="Finance","Finance",IF(SubjectList!H35="Production","Production",IF(SubjectList!H35="Economics","Economics","Not Given")))</f>
        <v>Economics</v>
      </c>
      <c r="AD35" s="38" t="str">
        <f>Bangla!F35</f>
        <v/>
      </c>
      <c r="AE35" s="38" t="str">
        <f>English!E35</f>
        <v/>
      </c>
      <c r="AF35" s="38" t="str">
        <f>ICT!G35</f>
        <v/>
      </c>
      <c r="AG35" s="38" t="str">
        <f>Accounting!F35</f>
        <v/>
      </c>
      <c r="AH35" s="38" t="str">
        <f>'Business Organization'!F35</f>
        <v/>
      </c>
      <c r="AI35" s="38" t="str">
        <f>Production!F35</f>
        <v/>
      </c>
      <c r="AJ35" s="38" t="str">
        <f>Finance!F35</f>
        <v/>
      </c>
      <c r="AK35" s="39" t="str">
        <f>Bangla!G35</f>
        <v/>
      </c>
      <c r="AL35" s="39" t="str">
        <f>English!F35</f>
        <v/>
      </c>
      <c r="AM35" s="39" t="str">
        <f>ICT!H35</f>
        <v/>
      </c>
      <c r="AN35" s="39" t="str">
        <f>Accounting!G35</f>
        <v/>
      </c>
      <c r="AO35" s="39" t="str">
        <f>'Business Organization'!G35</f>
        <v/>
      </c>
      <c r="AP35" s="39" t="str">
        <f>IF(SubjectList!G35="Finance",Finance!G35,IF(SubjectList!G35="Production",Production!G35,IF(SubjectList!G35="Economics",Economics!G35)))</f>
        <v/>
      </c>
      <c r="AQ35" s="39" t="str">
        <f>IF(Optional!H35="","", Optional!H35)</f>
        <v/>
      </c>
      <c r="AR35" s="39" t="str">
        <f>Optional!H35</f>
        <v/>
      </c>
      <c r="AS35" s="39" t="str">
        <f>Optional!I35</f>
        <v/>
      </c>
      <c r="AT35" s="39" t="str">
        <f t="shared" si="16"/>
        <v/>
      </c>
      <c r="AU35" s="39">
        <f t="shared" si="9"/>
        <v>0</v>
      </c>
      <c r="AV35" s="39" t="str">
        <f t="shared" si="17"/>
        <v/>
      </c>
      <c r="AW35" s="39" t="str">
        <f t="shared" si="18"/>
        <v/>
      </c>
      <c r="AX35" s="5">
        <f t="shared" si="10"/>
        <v>0</v>
      </c>
      <c r="AY35" s="41">
        <f t="shared" si="19"/>
        <v>0</v>
      </c>
      <c r="AZ35" s="41">
        <f t="shared" si="20"/>
        <v>0</v>
      </c>
      <c r="BA35" s="41">
        <f t="shared" si="21"/>
        <v>0</v>
      </c>
      <c r="BB35" s="41">
        <f t="shared" si="22"/>
        <v>0</v>
      </c>
      <c r="BC35" s="41">
        <f t="shared" si="23"/>
        <v>0</v>
      </c>
      <c r="BD35" s="41">
        <f t="shared" si="24"/>
        <v>0</v>
      </c>
      <c r="BE35" s="3">
        <f t="shared" si="11"/>
        <v>0</v>
      </c>
      <c r="BF35" s="3" t="str">
        <f t="shared" si="12"/>
        <v>Failed in 6 Subjects</v>
      </c>
      <c r="BG35" s="5" t="str">
        <f>IF(AW35="","",RANK(AW35,AW$2:AW145,0))</f>
        <v/>
      </c>
      <c r="BH35" s="3" t="str">
        <f t="shared" si="13"/>
        <v>খুবই দুর্বল</v>
      </c>
      <c r="BI35" t="str">
        <f t="shared" si="14"/>
        <v>Very Weak</v>
      </c>
      <c r="BJ35" s="104" t="str">
        <f t="shared" si="15"/>
        <v/>
      </c>
    </row>
    <row r="36" spans="1:62" ht="15" thickBot="1" x14ac:dyDescent="0.4">
      <c r="A36" s="3" t="str">
        <f>'Student Basic Info'!B36</f>
        <v>Business Studies</v>
      </c>
      <c r="B36" s="3">
        <f>'Student Basic Info'!A36</f>
        <v>535</v>
      </c>
      <c r="C36" s="3" t="str">
        <f>'Student Basic Info'!C36</f>
        <v>Md. Abu Taher Zitu</v>
      </c>
      <c r="D36" s="3" t="str">
        <f>'Student Basic Info'!D36</f>
        <v>Md. Abul Kashem</v>
      </c>
      <c r="E36" s="3" t="str">
        <f>'Student Basic Info'!E36</f>
        <v>Parvin Aktar</v>
      </c>
      <c r="F36" s="3" t="str">
        <f>'Student Basic Info'!F36</f>
        <v>Male</v>
      </c>
      <c r="G36" s="79">
        <v>1867026541</v>
      </c>
      <c r="H36" s="59" t="str">
        <f>IF(Bangla!B36="","",Bangla!B36)</f>
        <v/>
      </c>
      <c r="I36" s="59" t="str">
        <f>IF(Bangla!C36="","",Bangla!C36)</f>
        <v/>
      </c>
      <c r="J36" s="60" t="str">
        <f>IF(Bangla!D36="","",Bangla!D36)</f>
        <v/>
      </c>
      <c r="K36" s="61" t="str">
        <f>IF(English!C36="","",English!C36)</f>
        <v/>
      </c>
      <c r="L36" s="35" t="str">
        <f>IF(ICT!B36="","",ICT!B36)</f>
        <v/>
      </c>
      <c r="M36" s="35" t="str">
        <f>IF(ICT!C36="","",ICT!C36)</f>
        <v/>
      </c>
      <c r="N36" s="35" t="str">
        <f>IF(ICT!D36="","",ICT!D36)</f>
        <v/>
      </c>
      <c r="O36" s="42" t="str">
        <f>IF(ICT!E36="","",ICT!E36)</f>
        <v/>
      </c>
      <c r="P36" s="40" t="str">
        <f>IF(Accounting!B36="","",Accounting!B36)</f>
        <v/>
      </c>
      <c r="Q36" s="40" t="str">
        <f>IF(Accounting!C36="","",Accounting!C36)</f>
        <v/>
      </c>
      <c r="R36" s="44" t="str">
        <f>IF(Accounting!D36="","",Accounting!D36)</f>
        <v/>
      </c>
      <c r="S36" s="35" t="str">
        <f>IF('Business Organization'!B36="","",'Business Organization'!B36)</f>
        <v/>
      </c>
      <c r="T36" s="35" t="str">
        <f>IF('Business Organization'!C36="","",'Business Organization'!C36)</f>
        <v/>
      </c>
      <c r="U36" s="42" t="str">
        <f>IF('Business Organization'!D36="","",'Business Organization'!D36)</f>
        <v/>
      </c>
      <c r="V36" s="36" t="str">
        <f>IF(SubjectList!G36="Finance",IF(Finance!B36=0,"", Finance!B36),IF(SubjectList!G36="Production",IF(Production!B36=0,"", Production!B36),IF(SubjectList!G36="Economics",IF(Economics!B36=0,"", Economics!B36))))</f>
        <v/>
      </c>
      <c r="W36" s="36" t="str">
        <f>IF(SubjectList!G36="Finance",IF(Finance!C36=0,"", Finance!C36),IF(SubjectList!G36="Production",IF(Production!C36=0,"", Production!C36),IF(SubjectList!G36="Economics",IF(Economics!C36=0,"", Economics!C36))))</f>
        <v/>
      </c>
      <c r="X36" s="43" t="str">
        <f>IF(SubjectList!G36="Finance",IF(Finance!D36=0,"", Finance!D36),IF(SubjectList!G36="Production",IF(Production!D36=0,"", Production!D36),IF(SubjectList!G36="Economics",IF(Economics!D36=0,"", Economics!D36))))</f>
        <v/>
      </c>
      <c r="Y36" s="40" t="str">
        <f>IF(SubjectList!H36="Finance",IF(Finance!B36=0,"", Finance!B36),IF(SubjectList!H36="Production",IF(Production!B36=0,"", Production!B36),IF(SubjectList!H36="Economics",IF(Economics!B36=0,"", Economics!B36))))</f>
        <v/>
      </c>
      <c r="Z36" s="40" t="str">
        <f>IF(SubjectList!H36="Finance",IF(Finance!C36=0,"", Finance!C36),IF(SubjectList!H36="Production",IF(Production!C36=0,"", Production!C36),IF(SubjectList!H36="Economics",IF(Economics!C36=0,"", Economics!C36))))</f>
        <v/>
      </c>
      <c r="AA36" s="44" t="str">
        <f>IF(SubjectList!H36="Finance",IF(Finance!D36=0,"", Finance!D36),IF(SubjectList!H36="Production",IF(Production!D36=0,"", Production!D36),IF(SubjectList!H36="Economics",IF(Economics!D36=0,"", Economics!D36))))</f>
        <v/>
      </c>
      <c r="AB36" s="37" t="str">
        <f>IF(SubjectList!G36="Finance","Finance",IF(SubjectList!G36="Production","Production",IF(SubjectList!G36="Economics","Not Given")))</f>
        <v>Finance</v>
      </c>
      <c r="AC36" s="37" t="str">
        <f>IF(SubjectList!H36="Finance","Finance",IF(SubjectList!H36="Production","Production",IF(SubjectList!H36="Economics","Economics","Not Given")))</f>
        <v>Production</v>
      </c>
      <c r="AD36" s="38" t="str">
        <f>Bangla!F36</f>
        <v/>
      </c>
      <c r="AE36" s="38" t="str">
        <f>English!E36</f>
        <v/>
      </c>
      <c r="AF36" s="38" t="str">
        <f>ICT!G36</f>
        <v/>
      </c>
      <c r="AG36" s="38" t="str">
        <f>Accounting!F36</f>
        <v/>
      </c>
      <c r="AH36" s="38" t="str">
        <f>'Business Organization'!F36</f>
        <v/>
      </c>
      <c r="AI36" s="38" t="str">
        <f>Production!F36</f>
        <v/>
      </c>
      <c r="AJ36" s="38" t="str">
        <f>Finance!F36</f>
        <v/>
      </c>
      <c r="AK36" s="39" t="str">
        <f>Bangla!G36</f>
        <v/>
      </c>
      <c r="AL36" s="39" t="str">
        <f>English!F36</f>
        <v/>
      </c>
      <c r="AM36" s="39" t="str">
        <f>ICT!H36</f>
        <v/>
      </c>
      <c r="AN36" s="39" t="str">
        <f>Accounting!G36</f>
        <v/>
      </c>
      <c r="AO36" s="39" t="str">
        <f>'Business Organization'!G36</f>
        <v/>
      </c>
      <c r="AP36" s="39" t="str">
        <f>IF(SubjectList!G36="Finance",Finance!G36,IF(SubjectList!G36="Production",Production!G36,IF(SubjectList!G36="Economics",Economics!G36)))</f>
        <v/>
      </c>
      <c r="AQ36" s="39" t="str">
        <f>IF(Optional!H36="","", Optional!H36)</f>
        <v/>
      </c>
      <c r="AR36" s="39" t="str">
        <f>Optional!H36</f>
        <v/>
      </c>
      <c r="AS36" s="39" t="str">
        <f>Optional!I36</f>
        <v/>
      </c>
      <c r="AT36" s="39" t="str">
        <f t="shared" si="16"/>
        <v/>
      </c>
      <c r="AU36" s="39">
        <f t="shared" si="9"/>
        <v>0</v>
      </c>
      <c r="AV36" s="39" t="str">
        <f t="shared" si="17"/>
        <v/>
      </c>
      <c r="AW36" s="39" t="str">
        <f t="shared" si="18"/>
        <v/>
      </c>
      <c r="AX36" s="5">
        <f t="shared" si="10"/>
        <v>0</v>
      </c>
      <c r="AY36" s="41">
        <f t="shared" si="19"/>
        <v>0</v>
      </c>
      <c r="AZ36" s="41">
        <f t="shared" si="20"/>
        <v>0</v>
      </c>
      <c r="BA36" s="41">
        <f t="shared" si="21"/>
        <v>0</v>
      </c>
      <c r="BB36" s="41">
        <f t="shared" si="22"/>
        <v>0</v>
      </c>
      <c r="BC36" s="41">
        <f t="shared" si="23"/>
        <v>0</v>
      </c>
      <c r="BD36" s="41">
        <f t="shared" si="24"/>
        <v>0</v>
      </c>
      <c r="BE36" s="3">
        <f t="shared" si="11"/>
        <v>0</v>
      </c>
      <c r="BF36" s="3" t="str">
        <f t="shared" si="12"/>
        <v>Failed in 6 Subjects</v>
      </c>
      <c r="BG36" s="5" t="str">
        <f>IF(AW36="","",RANK(AW36,AW$2:AW145,0))</f>
        <v/>
      </c>
      <c r="BH36" s="3" t="str">
        <f t="shared" si="13"/>
        <v>খুবই দুর্বল</v>
      </c>
      <c r="BI36" t="str">
        <f t="shared" si="14"/>
        <v>Very Weak</v>
      </c>
      <c r="BJ36" s="104" t="str">
        <f t="shared" si="15"/>
        <v/>
      </c>
    </row>
    <row r="37" spans="1:62" ht="15" thickBot="1" x14ac:dyDescent="0.4">
      <c r="A37" s="3" t="str">
        <f>'Student Basic Info'!B37</f>
        <v>Business Studies</v>
      </c>
      <c r="B37" s="3">
        <f>'Student Basic Info'!A37</f>
        <v>536</v>
      </c>
      <c r="C37" s="3" t="str">
        <f>'Student Basic Info'!C37</f>
        <v>Khalid Bin Alom</v>
      </c>
      <c r="D37" s="3" t="str">
        <f>'Student Basic Info'!D37</f>
        <v>Sairul Alom</v>
      </c>
      <c r="E37" s="3" t="str">
        <f>'Student Basic Info'!E37</f>
        <v>Kanrun Nahar</v>
      </c>
      <c r="F37" s="3" t="str">
        <f>'Student Basic Info'!F37</f>
        <v>Male</v>
      </c>
      <c r="G37" s="79">
        <v>1813052216</v>
      </c>
      <c r="H37" s="59" t="str">
        <f>IF(Bangla!B37="","",Bangla!B37)</f>
        <v/>
      </c>
      <c r="I37" s="59">
        <f>IF(Bangla!C37="","",Bangla!C37)</f>
        <v>25</v>
      </c>
      <c r="J37" s="60">
        <f>IF(Bangla!D37="","",Bangla!D37)</f>
        <v>25</v>
      </c>
      <c r="K37" s="61">
        <f>IF(English!C37="","",English!C37)</f>
        <v>24</v>
      </c>
      <c r="L37" s="35">
        <f>IF(ICT!B37="","",ICT!B37)</f>
        <v>9</v>
      </c>
      <c r="M37" s="35">
        <f>IF(ICT!C37="","",ICT!C37)</f>
        <v>6</v>
      </c>
      <c r="N37" s="35">
        <f>IF(ICT!D37="","",ICT!D37)</f>
        <v>25</v>
      </c>
      <c r="O37" s="42">
        <f>IF(ICT!E37="","",ICT!E37)</f>
        <v>40</v>
      </c>
      <c r="P37" s="40">
        <f>IF(Accounting!B37="","",Accounting!B37)</f>
        <v>10</v>
      </c>
      <c r="Q37" s="40">
        <f>IF(Accounting!C37="","",Accounting!C37)</f>
        <v>17</v>
      </c>
      <c r="R37" s="44">
        <f>IF(Accounting!D37="","",Accounting!D37)</f>
        <v>27</v>
      </c>
      <c r="S37" s="35">
        <f>IF('Business Organization'!B37="","",'Business Organization'!B37)</f>
        <v>17</v>
      </c>
      <c r="T37" s="35">
        <f>IF('Business Organization'!C37="","",'Business Organization'!C37)</f>
        <v>18</v>
      </c>
      <c r="U37" s="42">
        <f>IF('Business Organization'!D37="","",'Business Organization'!D37)</f>
        <v>35</v>
      </c>
      <c r="V37" s="36">
        <f>IF(SubjectList!G37="Finance",IF(Finance!B37=0,"", Finance!B37),IF(SubjectList!G37="Production",IF(Production!B37=0,"", Production!B37),IF(SubjectList!G37="Economics",IF(Economics!B37=0,"", Economics!B37))))</f>
        <v>12</v>
      </c>
      <c r="W37" s="36">
        <f>IF(SubjectList!G37="Finance",IF(Finance!C37=0,"", Finance!C37),IF(SubjectList!G37="Production",IF(Production!C37=0,"", Production!C37),IF(SubjectList!G37="Economics",IF(Economics!C37=0,"", Economics!C37))))</f>
        <v>10</v>
      </c>
      <c r="X37" s="43">
        <f>IF(SubjectList!G37="Finance",IF(Finance!D37=0,"", Finance!D37),IF(SubjectList!G37="Production",IF(Production!D37=0,"", Production!D37),IF(SubjectList!G37="Economics",IF(Economics!D37=0,"", Economics!D37))))</f>
        <v>22</v>
      </c>
      <c r="Y37" s="40">
        <f>IF(SubjectList!H37="Finance",IF(Finance!B37=0,"", Finance!B37),IF(SubjectList!H37="Production",IF(Production!B37=0,"", Production!B37),IF(SubjectList!H37="Economics",IF(Economics!B37=0,"", Economics!B37))))</f>
        <v>15</v>
      </c>
      <c r="Z37" s="40">
        <f>IF(SubjectList!H37="Finance",IF(Finance!C37=0,"", Finance!C37),IF(SubjectList!H37="Production",IF(Production!C37=0,"", Production!C37),IF(SubjectList!H37="Economics",IF(Economics!C37=0,"", Economics!C37))))</f>
        <v>27</v>
      </c>
      <c r="AA37" s="44">
        <f>IF(SubjectList!H37="Finance",IF(Finance!D37=0,"", Finance!D37),IF(SubjectList!H37="Production",IF(Production!D37=0,"", Production!D37),IF(SubjectList!H37="Economics",IF(Economics!D37=0,"", Economics!D37))))</f>
        <v>42</v>
      </c>
      <c r="AB37" s="37" t="str">
        <f>IF(SubjectList!G37="Finance","Finance",IF(SubjectList!G37="Production","Production",IF(SubjectList!G37="Economics","Not Given")))</f>
        <v>Finance</v>
      </c>
      <c r="AC37" s="37" t="str">
        <f>IF(SubjectList!H37="Finance","Finance",IF(SubjectList!H37="Production","Production",IF(SubjectList!H37="Economics","Economics","Not Given")))</f>
        <v>Production</v>
      </c>
      <c r="AD37" s="38" t="str">
        <f>Bangla!F37</f>
        <v>F</v>
      </c>
      <c r="AE37" s="38" t="str">
        <f>English!E37</f>
        <v>F</v>
      </c>
      <c r="AF37" s="38" t="str">
        <f>ICT!G37</f>
        <v>F</v>
      </c>
      <c r="AG37" s="38" t="str">
        <f>Accounting!F37</f>
        <v>F</v>
      </c>
      <c r="AH37" s="38" t="str">
        <f>'Business Organization'!F37</f>
        <v>F</v>
      </c>
      <c r="AI37" s="38" t="str">
        <f>Production!F37</f>
        <v>C</v>
      </c>
      <c r="AJ37" s="38" t="str">
        <f>Finance!F37</f>
        <v>F</v>
      </c>
      <c r="AK37" s="39">
        <f>Bangla!G37</f>
        <v>0</v>
      </c>
      <c r="AL37" s="39">
        <f>English!F37</f>
        <v>0</v>
      </c>
      <c r="AM37" s="39">
        <f>ICT!H37</f>
        <v>0</v>
      </c>
      <c r="AN37" s="39">
        <f>Accounting!G37</f>
        <v>0</v>
      </c>
      <c r="AO37" s="39">
        <f>'Business Organization'!G37</f>
        <v>0</v>
      </c>
      <c r="AP37" s="39">
        <f>IF(SubjectList!G37="Finance",Finance!G37,IF(SubjectList!G37="Production",Production!G37,IF(SubjectList!G37="Economics",Economics!G37)))</f>
        <v>0</v>
      </c>
      <c r="AQ37" s="39">
        <f>IF(Optional!H37="","", Optional!H37)</f>
        <v>2</v>
      </c>
      <c r="AR37" s="39">
        <f>Optional!H37</f>
        <v>2</v>
      </c>
      <c r="AS37" s="39">
        <f>Optional!I37</f>
        <v>0</v>
      </c>
      <c r="AT37" s="39" t="str">
        <f t="shared" si="16"/>
        <v/>
      </c>
      <c r="AU37" s="39">
        <f t="shared" si="9"/>
        <v>0</v>
      </c>
      <c r="AV37" s="39" t="str">
        <f t="shared" si="17"/>
        <v/>
      </c>
      <c r="AW37" s="39" t="str">
        <f t="shared" si="18"/>
        <v/>
      </c>
      <c r="AX37" s="5">
        <f t="shared" si="10"/>
        <v>215</v>
      </c>
      <c r="AY37" s="41">
        <f t="shared" si="19"/>
        <v>0</v>
      </c>
      <c r="AZ37" s="41">
        <f t="shared" si="20"/>
        <v>0</v>
      </c>
      <c r="BA37" s="41">
        <f t="shared" si="21"/>
        <v>0</v>
      </c>
      <c r="BB37" s="41">
        <f t="shared" si="22"/>
        <v>0</v>
      </c>
      <c r="BC37" s="41">
        <f t="shared" si="23"/>
        <v>0</v>
      </c>
      <c r="BD37" s="41">
        <f t="shared" si="24"/>
        <v>0</v>
      </c>
      <c r="BE37" s="3">
        <f t="shared" si="11"/>
        <v>0</v>
      </c>
      <c r="BF37" s="3" t="str">
        <f t="shared" si="12"/>
        <v>Failed in 6 Subjects</v>
      </c>
      <c r="BG37" s="5" t="str">
        <f>IF(AW37="","",RANK(AW37,AW$2:AW145,0))</f>
        <v/>
      </c>
      <c r="BH37" s="3" t="str">
        <f t="shared" si="13"/>
        <v>খুবই দুর্বল</v>
      </c>
      <c r="BI37" t="str">
        <f t="shared" si="14"/>
        <v>Very Weak</v>
      </c>
      <c r="BJ37" s="104" t="str">
        <f t="shared" si="15"/>
        <v/>
      </c>
    </row>
    <row r="38" spans="1:62" ht="15" thickBot="1" x14ac:dyDescent="0.4">
      <c r="A38" s="3" t="str">
        <f>'Student Basic Info'!B38</f>
        <v>Business Studies</v>
      </c>
      <c r="B38" s="3">
        <f>'Student Basic Info'!A38</f>
        <v>537</v>
      </c>
      <c r="C38" s="3" t="str">
        <f>'Student Basic Info'!C38</f>
        <v>Mobarok Hosain</v>
      </c>
      <c r="D38" s="3" t="str">
        <f>'Student Basic Info'!D38</f>
        <v>Md. Mosharof Hosain</v>
      </c>
      <c r="E38" s="3" t="str">
        <f>'Student Basic Info'!E38</f>
        <v>Nazmun Nahar</v>
      </c>
      <c r="F38" s="3" t="str">
        <f>'Student Basic Info'!F38</f>
        <v>Male</v>
      </c>
      <c r="G38" s="79"/>
      <c r="H38" s="59" t="str">
        <f>IF(Bangla!B38="","",Bangla!B38)</f>
        <v/>
      </c>
      <c r="I38" s="59">
        <f>IF(Bangla!C38="","",Bangla!C38)</f>
        <v>22</v>
      </c>
      <c r="J38" s="60">
        <f>IF(Bangla!D38="","",Bangla!D38)</f>
        <v>22</v>
      </c>
      <c r="K38" s="61">
        <f>IF(English!C38="","",English!C38)</f>
        <v>21</v>
      </c>
      <c r="L38" s="35">
        <f>IF(ICT!B38="","",ICT!B38)</f>
        <v>12</v>
      </c>
      <c r="M38" s="35">
        <f>IF(ICT!C38="","",ICT!C38)</f>
        <v>9</v>
      </c>
      <c r="N38" s="35">
        <f>IF(ICT!D38="","",ICT!D38)</f>
        <v>8</v>
      </c>
      <c r="O38" s="42">
        <f>IF(ICT!E38="","",ICT!E38)</f>
        <v>29</v>
      </c>
      <c r="P38" s="40">
        <f>IF(Accounting!B38="","",Accounting!B38)</f>
        <v>10</v>
      </c>
      <c r="Q38" s="40">
        <f>IF(Accounting!C38="","",Accounting!C38)</f>
        <v>12</v>
      </c>
      <c r="R38" s="44">
        <f>IF(Accounting!D38="","",Accounting!D38)</f>
        <v>22</v>
      </c>
      <c r="S38" s="35">
        <f>IF('Business Organization'!B38="","",'Business Organization'!B38)</f>
        <v>16</v>
      </c>
      <c r="T38" s="35">
        <f>IF('Business Organization'!C38="","",'Business Organization'!C38)</f>
        <v>19</v>
      </c>
      <c r="U38" s="42">
        <f>IF('Business Organization'!D38="","",'Business Organization'!D38)</f>
        <v>35</v>
      </c>
      <c r="V38" s="36">
        <f>IF(SubjectList!G38="Finance",IF(Finance!B38=0,"", Finance!B38),IF(SubjectList!G38="Production",IF(Production!B38=0,"", Production!B38),IF(SubjectList!G38="Economics",IF(Economics!B38=0,"", Economics!B38))))</f>
        <v>10</v>
      </c>
      <c r="W38" s="36">
        <f>IF(SubjectList!G38="Finance",IF(Finance!C38=0,"", Finance!C38),IF(SubjectList!G38="Production",IF(Production!C38=0,"", Production!C38),IF(SubjectList!G38="Economics",IF(Economics!C38=0,"", Economics!C38))))</f>
        <v>12</v>
      </c>
      <c r="X38" s="43">
        <f>IF(SubjectList!G38="Finance",IF(Finance!D38=0,"", Finance!D38),IF(SubjectList!G38="Production",IF(Production!D38=0,"", Production!D38),IF(SubjectList!G38="Economics",IF(Economics!D38=0,"", Economics!D38))))</f>
        <v>22</v>
      </c>
      <c r="Y38" s="40">
        <f>IF(SubjectList!H38="Finance",IF(Finance!B38=0,"", Finance!B38),IF(SubjectList!H38="Production",IF(Production!B38=0,"", Production!B38),IF(SubjectList!H38="Economics",IF(Economics!B38=0,"", Economics!B38))))</f>
        <v>13</v>
      </c>
      <c r="Z38" s="40">
        <f>IF(SubjectList!H38="Finance",IF(Finance!C38=0,"", Finance!C38),IF(SubjectList!H38="Production",IF(Production!C38=0,"", Production!C38),IF(SubjectList!H38="Economics",IF(Economics!C38=0,"", Economics!C38))))</f>
        <v>18</v>
      </c>
      <c r="AA38" s="44">
        <f>IF(SubjectList!H38="Finance",IF(Finance!D38=0,"", Finance!D38),IF(SubjectList!H38="Production",IF(Production!D38=0,"", Production!D38),IF(SubjectList!H38="Economics",IF(Economics!D38=0,"", Economics!D38))))</f>
        <v>31</v>
      </c>
      <c r="AB38" s="37" t="str">
        <f>IF(SubjectList!G38="Finance","Finance",IF(SubjectList!G38="Production","Production",IF(SubjectList!G38="Economics","Not Given")))</f>
        <v>Finance</v>
      </c>
      <c r="AC38" s="37" t="str">
        <f>IF(SubjectList!H38="Finance","Finance",IF(SubjectList!H38="Production","Production",IF(SubjectList!H38="Economics","Economics","Not Given")))</f>
        <v>Economics</v>
      </c>
      <c r="AD38" s="38" t="str">
        <f>Bangla!F38</f>
        <v>F</v>
      </c>
      <c r="AE38" s="38" t="str">
        <f>English!E38</f>
        <v>F</v>
      </c>
      <c r="AF38" s="38" t="str">
        <f>ICT!G38</f>
        <v>F</v>
      </c>
      <c r="AG38" s="38" t="str">
        <f>Accounting!F38</f>
        <v>F</v>
      </c>
      <c r="AH38" s="38" t="str">
        <f>'Business Organization'!F38</f>
        <v>F</v>
      </c>
      <c r="AI38" s="38" t="str">
        <f>Production!F38</f>
        <v/>
      </c>
      <c r="AJ38" s="38" t="str">
        <f>Finance!F38</f>
        <v>F</v>
      </c>
      <c r="AK38" s="39">
        <f>Bangla!G38</f>
        <v>0</v>
      </c>
      <c r="AL38" s="39">
        <f>English!F38</f>
        <v>0</v>
      </c>
      <c r="AM38" s="39">
        <f>ICT!H38</f>
        <v>0</v>
      </c>
      <c r="AN38" s="39">
        <f>Accounting!G38</f>
        <v>0</v>
      </c>
      <c r="AO38" s="39">
        <f>'Business Organization'!G38</f>
        <v>0</v>
      </c>
      <c r="AP38" s="39">
        <f>IF(SubjectList!G38="Finance",Finance!G38,IF(SubjectList!G38="Production",Production!G38,IF(SubjectList!G38="Economics",Economics!G38)))</f>
        <v>0</v>
      </c>
      <c r="AQ38" s="39">
        <f>IF(Optional!H38="","", Optional!H38)</f>
        <v>0</v>
      </c>
      <c r="AR38" s="39">
        <f>Optional!H38</f>
        <v>0</v>
      </c>
      <c r="AS38" s="39">
        <f>Optional!I38</f>
        <v>0</v>
      </c>
      <c r="AT38" s="39" t="str">
        <f t="shared" si="16"/>
        <v/>
      </c>
      <c r="AU38" s="39">
        <f t="shared" si="9"/>
        <v>0</v>
      </c>
      <c r="AV38" s="39" t="str">
        <f t="shared" si="17"/>
        <v/>
      </c>
      <c r="AW38" s="39" t="str">
        <f t="shared" si="18"/>
        <v/>
      </c>
      <c r="AX38" s="5">
        <f t="shared" si="10"/>
        <v>182</v>
      </c>
      <c r="AY38" s="41">
        <f t="shared" si="19"/>
        <v>0</v>
      </c>
      <c r="AZ38" s="41">
        <f t="shared" si="20"/>
        <v>0</v>
      </c>
      <c r="BA38" s="41">
        <f t="shared" si="21"/>
        <v>0</v>
      </c>
      <c r="BB38" s="41">
        <f t="shared" si="22"/>
        <v>0</v>
      </c>
      <c r="BC38" s="41">
        <f t="shared" si="23"/>
        <v>0</v>
      </c>
      <c r="BD38" s="41">
        <f t="shared" si="24"/>
        <v>0</v>
      </c>
      <c r="BE38" s="3">
        <f t="shared" si="11"/>
        <v>0</v>
      </c>
      <c r="BF38" s="3" t="str">
        <f t="shared" si="12"/>
        <v>Failed in 6 Subjects</v>
      </c>
      <c r="BG38" s="5" t="str">
        <f>IF(AW38="","",RANK(AW38,AW$2:AW145,0))</f>
        <v/>
      </c>
      <c r="BH38" s="3" t="str">
        <f t="shared" si="13"/>
        <v>খুবই দুর্বল</v>
      </c>
      <c r="BI38" t="str">
        <f t="shared" si="14"/>
        <v>Very Weak</v>
      </c>
      <c r="BJ38" s="104" t="str">
        <f t="shared" si="15"/>
        <v/>
      </c>
    </row>
    <row r="39" spans="1:62" ht="15" thickBot="1" x14ac:dyDescent="0.4">
      <c r="A39" s="3" t="str">
        <f>'Student Basic Info'!B39</f>
        <v>Business Studies</v>
      </c>
      <c r="B39" s="3">
        <f>'Student Basic Info'!A39</f>
        <v>538</v>
      </c>
      <c r="C39" s="3" t="str">
        <f>'Student Basic Info'!C39</f>
        <v>Jomir Hosain</v>
      </c>
      <c r="D39" s="3" t="str">
        <f>'Student Basic Info'!D39</f>
        <v>Md. Zosim Uddin</v>
      </c>
      <c r="E39" s="3" t="str">
        <f>'Student Basic Info'!E39</f>
        <v>Rokeya Begum</v>
      </c>
      <c r="F39" s="3" t="str">
        <f>'Student Basic Info'!F39</f>
        <v>Male</v>
      </c>
      <c r="G39" s="79">
        <v>1882146135</v>
      </c>
      <c r="H39" s="59" t="str">
        <f>IF(Bangla!B39="","",Bangla!B39)</f>
        <v/>
      </c>
      <c r="I39" s="59">
        <f>IF(Bangla!C39="","",Bangla!C39)</f>
        <v>33</v>
      </c>
      <c r="J39" s="60">
        <f>IF(Bangla!D39="","",Bangla!D39)</f>
        <v>33</v>
      </c>
      <c r="K39" s="61">
        <f>IF(English!C39="","",English!C39)</f>
        <v>10</v>
      </c>
      <c r="L39" s="35">
        <f>IF(ICT!B39="","",ICT!B39)</f>
        <v>12</v>
      </c>
      <c r="M39" s="35">
        <f>IF(ICT!C39="","",ICT!C39)</f>
        <v>7</v>
      </c>
      <c r="N39" s="35">
        <f>IF(ICT!D39="","",ICT!D39)</f>
        <v>24</v>
      </c>
      <c r="O39" s="42">
        <f>IF(ICT!E39="","",ICT!E39)</f>
        <v>43</v>
      </c>
      <c r="P39" s="40">
        <f>IF(Accounting!B39="","",Accounting!B39)</f>
        <v>10</v>
      </c>
      <c r="Q39" s="40">
        <f>IF(Accounting!C39="","",Accounting!C39)</f>
        <v>5</v>
      </c>
      <c r="R39" s="44">
        <f>IF(Accounting!D39="","",Accounting!D39)</f>
        <v>15</v>
      </c>
      <c r="S39" s="35">
        <f>IF('Business Organization'!B39="","",'Business Organization'!B39)</f>
        <v>18</v>
      </c>
      <c r="T39" s="35">
        <f>IF('Business Organization'!C39="","",'Business Organization'!C39)</f>
        <v>25</v>
      </c>
      <c r="U39" s="42">
        <f>IF('Business Organization'!D39="","",'Business Organization'!D39)</f>
        <v>43</v>
      </c>
      <c r="V39" s="36">
        <f>IF(SubjectList!G39="Finance",IF(Finance!B39=0,"", Finance!B39),IF(SubjectList!G39="Production",IF(Production!B39=0,"", Production!B39),IF(SubjectList!G39="Economics",IF(Economics!B39=0,"", Economics!B39))))</f>
        <v>15</v>
      </c>
      <c r="W39" s="36">
        <f>IF(SubjectList!G39="Finance",IF(Finance!C39=0,"", Finance!C39),IF(SubjectList!G39="Production",IF(Production!C39=0,"", Production!C39),IF(SubjectList!G39="Economics",IF(Economics!C39=0,"", Economics!C39))))</f>
        <v>40</v>
      </c>
      <c r="X39" s="43">
        <f>IF(SubjectList!G39="Finance",IF(Finance!D39=0,"", Finance!D39),IF(SubjectList!G39="Production",IF(Production!D39=0,"", Production!D39),IF(SubjectList!G39="Economics",IF(Economics!D39=0,"", Economics!D39))))</f>
        <v>55</v>
      </c>
      <c r="Y39" s="40">
        <f>IF(SubjectList!H39="Finance",IF(Finance!B39=0,"", Finance!B39),IF(SubjectList!H39="Production",IF(Production!B39=0,"", Production!B39),IF(SubjectList!H39="Economics",IF(Economics!B39=0,"", Economics!B39))))</f>
        <v>10</v>
      </c>
      <c r="Z39" s="40">
        <f>IF(SubjectList!H39="Finance",IF(Finance!C39=0,"", Finance!C39),IF(SubjectList!H39="Production",IF(Production!C39=0,"", Production!C39),IF(SubjectList!H39="Economics",IF(Economics!C39=0,"", Economics!C39))))</f>
        <v>23</v>
      </c>
      <c r="AA39" s="44">
        <f>IF(SubjectList!H39="Finance",IF(Finance!D39=0,"", Finance!D39),IF(SubjectList!H39="Production",IF(Production!D39=0,"", Production!D39),IF(SubjectList!H39="Economics",IF(Economics!D39=0,"", Economics!D39))))</f>
        <v>33</v>
      </c>
      <c r="AB39" s="37" t="str">
        <f>IF(SubjectList!G39="Finance","Finance",IF(SubjectList!G39="Production","Production",IF(SubjectList!G39="Economics","Not Given")))</f>
        <v>Production</v>
      </c>
      <c r="AC39" s="37" t="str">
        <f>IF(SubjectList!H39="Finance","Finance",IF(SubjectList!H39="Production","Production",IF(SubjectList!H39="Economics","Economics","Not Given")))</f>
        <v>Finance</v>
      </c>
      <c r="AD39" s="38" t="str">
        <f>Bangla!F39</f>
        <v>D</v>
      </c>
      <c r="AE39" s="38" t="str">
        <f>English!E39</f>
        <v>F</v>
      </c>
      <c r="AF39" s="38" t="str">
        <f>ICT!G39</f>
        <v>F</v>
      </c>
      <c r="AG39" s="38" t="str">
        <f>Accounting!F39</f>
        <v>F</v>
      </c>
      <c r="AH39" s="38" t="str">
        <f>'Business Organization'!F39</f>
        <v>C</v>
      </c>
      <c r="AI39" s="38" t="str">
        <f>Production!F39</f>
        <v>B</v>
      </c>
      <c r="AJ39" s="38" t="str">
        <f>Finance!F39</f>
        <v>D</v>
      </c>
      <c r="AK39" s="39">
        <f>Bangla!G39</f>
        <v>1</v>
      </c>
      <c r="AL39" s="39">
        <f>English!F39</f>
        <v>0</v>
      </c>
      <c r="AM39" s="39">
        <f>ICT!H39</f>
        <v>0</v>
      </c>
      <c r="AN39" s="39">
        <f>Accounting!G39</f>
        <v>0</v>
      </c>
      <c r="AO39" s="39">
        <f>'Business Organization'!G39</f>
        <v>2</v>
      </c>
      <c r="AP39" s="39">
        <f>IF(SubjectList!G39="Finance",Finance!G39,IF(SubjectList!G39="Production",Production!G39,IF(SubjectList!G39="Economics",Economics!G39)))</f>
        <v>3</v>
      </c>
      <c r="AQ39" s="39">
        <f>IF(Optional!H39="","", Optional!H39)</f>
        <v>1</v>
      </c>
      <c r="AR39" s="39">
        <f>Optional!H39</f>
        <v>1</v>
      </c>
      <c r="AS39" s="39">
        <f>Optional!I39</f>
        <v>0</v>
      </c>
      <c r="AT39" s="39">
        <f t="shared" si="16"/>
        <v>6</v>
      </c>
      <c r="AU39" s="39">
        <f t="shared" si="9"/>
        <v>6</v>
      </c>
      <c r="AV39" s="39" t="str">
        <f t="shared" si="17"/>
        <v/>
      </c>
      <c r="AW39" s="39" t="str">
        <f t="shared" si="18"/>
        <v/>
      </c>
      <c r="AX39" s="5">
        <f t="shared" si="10"/>
        <v>232</v>
      </c>
      <c r="AY39" s="41">
        <f t="shared" si="19"/>
        <v>1</v>
      </c>
      <c r="AZ39" s="41">
        <f t="shared" si="20"/>
        <v>0</v>
      </c>
      <c r="BA39" s="41">
        <f t="shared" si="21"/>
        <v>0</v>
      </c>
      <c r="BB39" s="41">
        <f t="shared" si="22"/>
        <v>0</v>
      </c>
      <c r="BC39" s="41">
        <f t="shared" si="23"/>
        <v>1</v>
      </c>
      <c r="BD39" s="41">
        <f t="shared" si="24"/>
        <v>1</v>
      </c>
      <c r="BE39" s="3">
        <f t="shared" si="11"/>
        <v>3</v>
      </c>
      <c r="BF39" s="3" t="str">
        <f t="shared" si="12"/>
        <v>Failed in 3 Subjects</v>
      </c>
      <c r="BG39" s="5" t="str">
        <f>IF(AW39="","",RANK(AW39,AW$2:AW145,0))</f>
        <v/>
      </c>
      <c r="BH39" s="3" t="str">
        <f t="shared" si="13"/>
        <v>খুবই দুর্বল</v>
      </c>
      <c r="BI39" t="str">
        <f t="shared" si="14"/>
        <v>Very Weak</v>
      </c>
      <c r="BJ39" s="104" t="str">
        <f t="shared" si="15"/>
        <v/>
      </c>
    </row>
    <row r="40" spans="1:62" ht="15" thickBot="1" x14ac:dyDescent="0.4">
      <c r="A40" s="3" t="str">
        <f>'Student Basic Info'!B40</f>
        <v>Business Studies</v>
      </c>
      <c r="B40" s="3">
        <f>'Student Basic Info'!A40</f>
        <v>539</v>
      </c>
      <c r="C40" s="3" t="str">
        <f>'Student Basic Info'!C40</f>
        <v>Walid Hasan Anol</v>
      </c>
      <c r="D40" s="3" t="str">
        <f>'Student Basic Info'!D40</f>
        <v>Osman Goni</v>
      </c>
      <c r="E40" s="3" t="str">
        <f>'Student Basic Info'!E40</f>
        <v>Ankurer Nesa</v>
      </c>
      <c r="F40" s="3" t="str">
        <f>'Student Basic Info'!F40</f>
        <v>Male</v>
      </c>
      <c r="G40" s="79">
        <v>1830223544</v>
      </c>
      <c r="H40" s="59" t="str">
        <f>IF(Bangla!B40="","",Bangla!B40)</f>
        <v/>
      </c>
      <c r="I40" s="59">
        <f>IF(Bangla!C40="","",Bangla!C40)</f>
        <v>21</v>
      </c>
      <c r="J40" s="60">
        <f>IF(Bangla!D40="","",Bangla!D40)</f>
        <v>21</v>
      </c>
      <c r="K40" s="61">
        <f>IF(English!C40="","",English!C40)</f>
        <v>15</v>
      </c>
      <c r="L40" s="35">
        <f>IF(ICT!B40="","",ICT!B40)</f>
        <v>10</v>
      </c>
      <c r="M40" s="35">
        <f>IF(ICT!C40="","",ICT!C40)</f>
        <v>4</v>
      </c>
      <c r="N40" s="35">
        <f>IF(ICT!D40="","",ICT!D40)</f>
        <v>8</v>
      </c>
      <c r="O40" s="42">
        <f>IF(ICT!E40="","",ICT!E40)</f>
        <v>22</v>
      </c>
      <c r="P40" s="40">
        <f>IF(Accounting!B40="","",Accounting!B40)</f>
        <v>10</v>
      </c>
      <c r="Q40" s="40">
        <f>IF(Accounting!C40="","",Accounting!C40)</f>
        <v>2</v>
      </c>
      <c r="R40" s="44">
        <f>IF(Accounting!D40="","",Accounting!D40)</f>
        <v>12</v>
      </c>
      <c r="S40" s="35">
        <f>IF('Business Organization'!B40="","",'Business Organization'!B40)</f>
        <v>14</v>
      </c>
      <c r="T40" s="35">
        <f>IF('Business Organization'!C40="","",'Business Organization'!C40)</f>
        <v>3</v>
      </c>
      <c r="U40" s="42">
        <f>IF('Business Organization'!D40="","",'Business Organization'!D40)</f>
        <v>17</v>
      </c>
      <c r="V40" s="36">
        <f>IF(SubjectList!G40="Finance",IF(Finance!B40=0,"", Finance!B40),IF(SubjectList!G40="Production",IF(Production!B40=0,"", Production!B40),IF(SubjectList!G40="Economics",IF(Economics!B40=0,"", Economics!B40))))</f>
        <v>3</v>
      </c>
      <c r="W40" s="36">
        <f>IF(SubjectList!G40="Finance",IF(Finance!C40=0,"", Finance!C40),IF(SubjectList!G40="Production",IF(Production!C40=0,"", Production!C40),IF(SubjectList!G40="Economics",IF(Economics!C40=0,"", Economics!C40))))</f>
        <v>2</v>
      </c>
      <c r="X40" s="43">
        <f>IF(SubjectList!G40="Finance",IF(Finance!D40=0,"", Finance!D40),IF(SubjectList!G40="Production",IF(Production!D40=0,"", Production!D40),IF(SubjectList!G40="Economics",IF(Economics!D40=0,"", Economics!D40))))</f>
        <v>5</v>
      </c>
      <c r="Y40" s="40">
        <f>IF(SubjectList!H40="Finance",IF(Finance!B40=0,"", Finance!B40),IF(SubjectList!H40="Production",IF(Production!B40=0,"", Production!B40),IF(SubjectList!H40="Economics",IF(Economics!B40=0,"", Economics!B40))))</f>
        <v>14</v>
      </c>
      <c r="Z40" s="40">
        <f>IF(SubjectList!H40="Finance",IF(Finance!C40=0,"", Finance!C40),IF(SubjectList!H40="Production",IF(Production!C40=0,"", Production!C40),IF(SubjectList!H40="Economics",IF(Economics!C40=0,"", Economics!C40))))</f>
        <v>4</v>
      </c>
      <c r="AA40" s="44">
        <f>IF(SubjectList!H40="Finance",IF(Finance!D40=0,"", Finance!D40),IF(SubjectList!H40="Production",IF(Production!D40=0,"", Production!D40),IF(SubjectList!H40="Economics",IF(Economics!D40=0,"", Economics!D40))))</f>
        <v>18</v>
      </c>
      <c r="AB40" s="37" t="str">
        <f>IF(SubjectList!G40="Finance","Finance",IF(SubjectList!G40="Production","Production",IF(SubjectList!G40="Economics","Not Given")))</f>
        <v>Finance</v>
      </c>
      <c r="AC40" s="37" t="str">
        <f>IF(SubjectList!H40="Finance","Finance",IF(SubjectList!H40="Production","Production",IF(SubjectList!H40="Economics","Economics","Not Given")))</f>
        <v>Production</v>
      </c>
      <c r="AD40" s="38" t="str">
        <f>Bangla!F40</f>
        <v>F</v>
      </c>
      <c r="AE40" s="38" t="str">
        <f>English!E40</f>
        <v>F</v>
      </c>
      <c r="AF40" s="38" t="str">
        <f>ICT!G40</f>
        <v>F</v>
      </c>
      <c r="AG40" s="38" t="str">
        <f>Accounting!F40</f>
        <v>F</v>
      </c>
      <c r="AH40" s="38" t="str">
        <f>'Business Organization'!F40</f>
        <v>F</v>
      </c>
      <c r="AI40" s="38" t="str">
        <f>Production!F40</f>
        <v>F</v>
      </c>
      <c r="AJ40" s="38" t="str">
        <f>Finance!F40</f>
        <v>F</v>
      </c>
      <c r="AK40" s="39">
        <f>Bangla!G40</f>
        <v>0</v>
      </c>
      <c r="AL40" s="39">
        <f>English!F40</f>
        <v>0</v>
      </c>
      <c r="AM40" s="39">
        <f>ICT!H40</f>
        <v>0</v>
      </c>
      <c r="AN40" s="39">
        <f>Accounting!G40</f>
        <v>0</v>
      </c>
      <c r="AO40" s="39">
        <f>'Business Organization'!G40</f>
        <v>0</v>
      </c>
      <c r="AP40" s="39">
        <f>IF(SubjectList!G40="Finance",Finance!G40,IF(SubjectList!G40="Production",Production!G40,IF(SubjectList!G40="Economics",Economics!G40)))</f>
        <v>0</v>
      </c>
      <c r="AQ40" s="39">
        <f>IF(Optional!H40="","", Optional!H40)</f>
        <v>0</v>
      </c>
      <c r="AR40" s="39">
        <f>Optional!H40</f>
        <v>0</v>
      </c>
      <c r="AS40" s="39">
        <f>Optional!I40</f>
        <v>0</v>
      </c>
      <c r="AT40" s="39" t="str">
        <f t="shared" si="16"/>
        <v/>
      </c>
      <c r="AU40" s="39">
        <f t="shared" si="9"/>
        <v>0</v>
      </c>
      <c r="AV40" s="39" t="str">
        <f t="shared" si="17"/>
        <v/>
      </c>
      <c r="AW40" s="39" t="str">
        <f t="shared" si="18"/>
        <v/>
      </c>
      <c r="AX40" s="5">
        <f t="shared" si="10"/>
        <v>110</v>
      </c>
      <c r="AY40" s="41">
        <f t="shared" si="19"/>
        <v>0</v>
      </c>
      <c r="AZ40" s="41">
        <f t="shared" si="20"/>
        <v>0</v>
      </c>
      <c r="BA40" s="41">
        <f t="shared" si="21"/>
        <v>0</v>
      </c>
      <c r="BB40" s="41">
        <f t="shared" si="22"/>
        <v>0</v>
      </c>
      <c r="BC40" s="41">
        <f t="shared" si="23"/>
        <v>0</v>
      </c>
      <c r="BD40" s="41">
        <f t="shared" si="24"/>
        <v>0</v>
      </c>
      <c r="BE40" s="3">
        <f t="shared" si="11"/>
        <v>0</v>
      </c>
      <c r="BF40" s="3" t="str">
        <f t="shared" si="12"/>
        <v>Failed in 6 Subjects</v>
      </c>
      <c r="BG40" s="5" t="str">
        <f>IF(AW40="","",RANK(AW40,AW$2:AW145,0))</f>
        <v/>
      </c>
      <c r="BH40" s="3" t="str">
        <f t="shared" si="13"/>
        <v>খুবই দুর্বল</v>
      </c>
      <c r="BI40" t="str">
        <f t="shared" si="14"/>
        <v>Very Weak</v>
      </c>
      <c r="BJ40" s="104" t="str">
        <f t="shared" si="15"/>
        <v/>
      </c>
    </row>
    <row r="41" spans="1:62" ht="15" thickBot="1" x14ac:dyDescent="0.4">
      <c r="A41" s="3" t="str">
        <f>'Student Basic Info'!B41</f>
        <v>Business Studies</v>
      </c>
      <c r="B41" s="3">
        <f>'Student Basic Info'!A41</f>
        <v>540</v>
      </c>
      <c r="C41" s="3" t="str">
        <f>'Student Basic Info'!C41</f>
        <v>Golam Mahnud</v>
      </c>
      <c r="D41" s="3" t="str">
        <f>'Student Basic Info'!D41</f>
        <v>Gius Uddin</v>
      </c>
      <c r="E41" s="3" t="str">
        <f>'Student Basic Info'!E41</f>
        <v>Anowara Begum</v>
      </c>
      <c r="F41" s="3" t="str">
        <f>'Student Basic Info'!F41</f>
        <v>Male</v>
      </c>
      <c r="G41" s="79">
        <v>1818198934</v>
      </c>
      <c r="H41" s="59" t="str">
        <f>IF(Bangla!B41="","",Bangla!B41)</f>
        <v/>
      </c>
      <c r="I41" s="59">
        <f>IF(Bangla!C41="","",Bangla!C41)</f>
        <v>33</v>
      </c>
      <c r="J41" s="60">
        <f>IF(Bangla!D41="","",Bangla!D41)</f>
        <v>33</v>
      </c>
      <c r="K41" s="61">
        <f>IF(English!C41="","",English!C41)</f>
        <v>10</v>
      </c>
      <c r="L41" s="35">
        <f>IF(ICT!B41="","",ICT!B41)</f>
        <v>10</v>
      </c>
      <c r="M41" s="35">
        <f>IF(ICT!C41="","",ICT!C41)</f>
        <v>9</v>
      </c>
      <c r="N41" s="35">
        <f>IF(ICT!D41="","",ICT!D41)</f>
        <v>8</v>
      </c>
      <c r="O41" s="42">
        <f>IF(ICT!E41="","",ICT!E41)</f>
        <v>27</v>
      </c>
      <c r="P41" s="40">
        <f>IF(Accounting!B41="","",Accounting!B41)</f>
        <v>8</v>
      </c>
      <c r="Q41" s="40">
        <f>IF(Accounting!C41="","",Accounting!C41)</f>
        <v>8</v>
      </c>
      <c r="R41" s="44">
        <f>IF(Accounting!D41="","",Accounting!D41)</f>
        <v>16</v>
      </c>
      <c r="S41" s="35">
        <f>IF('Business Organization'!B41="","",'Business Organization'!B41)</f>
        <v>15</v>
      </c>
      <c r="T41" s="35">
        <f>IF('Business Organization'!C41="","",'Business Organization'!C41)</f>
        <v>14</v>
      </c>
      <c r="U41" s="42">
        <f>IF('Business Organization'!D41="","",'Business Organization'!D41)</f>
        <v>29</v>
      </c>
      <c r="V41" s="36">
        <f>IF(SubjectList!G41="Finance",IF(Finance!B41=0,"", Finance!B41),IF(SubjectList!G41="Production",IF(Production!B41=0,"", Production!B41),IF(SubjectList!G41="Economics",IF(Economics!B41=0,"", Economics!B41))))</f>
        <v>10</v>
      </c>
      <c r="W41" s="36">
        <f>IF(SubjectList!G41="Finance",IF(Finance!C41=0,"", Finance!C41),IF(SubjectList!G41="Production",IF(Production!C41=0,"", Production!C41),IF(SubjectList!G41="Economics",IF(Economics!C41=0,"", Economics!C41))))</f>
        <v>3</v>
      </c>
      <c r="X41" s="43">
        <f>IF(SubjectList!G41="Finance",IF(Finance!D41=0,"", Finance!D41),IF(SubjectList!G41="Production",IF(Production!D41=0,"", Production!D41),IF(SubjectList!G41="Economics",IF(Economics!D41=0,"", Economics!D41))))</f>
        <v>13</v>
      </c>
      <c r="Y41" s="40">
        <f>IF(SubjectList!H41="Finance",IF(Finance!B41=0,"", Finance!B41),IF(SubjectList!H41="Production",IF(Production!B41=0,"", Production!B41),IF(SubjectList!H41="Economics",IF(Economics!B41=0,"", Economics!B41))))</f>
        <v>13</v>
      </c>
      <c r="Z41" s="40">
        <f>IF(SubjectList!H41="Finance",IF(Finance!C41=0,"", Finance!C41),IF(SubjectList!H41="Production",IF(Production!C41=0,"", Production!C41),IF(SubjectList!H41="Economics",IF(Economics!C41=0,"", Economics!C41))))</f>
        <v>6</v>
      </c>
      <c r="AA41" s="44">
        <f>IF(SubjectList!H41="Finance",IF(Finance!D41=0,"", Finance!D41),IF(SubjectList!H41="Production",IF(Production!D41=0,"", Production!D41),IF(SubjectList!H41="Economics",IF(Economics!D41=0,"", Economics!D41))))</f>
        <v>19</v>
      </c>
      <c r="AB41" s="37" t="str">
        <f>IF(SubjectList!G41="Finance","Finance",IF(SubjectList!G41="Production","Production",IF(SubjectList!G41="Economics","Not Given")))</f>
        <v>Finance</v>
      </c>
      <c r="AC41" s="37" t="str">
        <f>IF(SubjectList!H41="Finance","Finance",IF(SubjectList!H41="Production","Production",IF(SubjectList!H41="Economics","Economics","Not Given")))</f>
        <v>Production</v>
      </c>
      <c r="AD41" s="38" t="str">
        <f>Bangla!F41</f>
        <v>D</v>
      </c>
      <c r="AE41" s="38" t="str">
        <f>English!E41</f>
        <v>F</v>
      </c>
      <c r="AF41" s="38" t="str">
        <f>ICT!G41</f>
        <v>F</v>
      </c>
      <c r="AG41" s="38" t="str">
        <f>Accounting!F41</f>
        <v>F</v>
      </c>
      <c r="AH41" s="38" t="str">
        <f>'Business Organization'!F41</f>
        <v>F</v>
      </c>
      <c r="AI41" s="38" t="str">
        <f>Production!F41</f>
        <v>F</v>
      </c>
      <c r="AJ41" s="38" t="str">
        <f>Finance!F41</f>
        <v>F</v>
      </c>
      <c r="AK41" s="39">
        <f>Bangla!G41</f>
        <v>1</v>
      </c>
      <c r="AL41" s="39">
        <f>English!F41</f>
        <v>0</v>
      </c>
      <c r="AM41" s="39">
        <f>ICT!H41</f>
        <v>0</v>
      </c>
      <c r="AN41" s="39">
        <f>Accounting!G41</f>
        <v>0</v>
      </c>
      <c r="AO41" s="39">
        <f>'Business Organization'!G41</f>
        <v>0</v>
      </c>
      <c r="AP41" s="39">
        <f>IF(SubjectList!G41="Finance",Finance!G41,IF(SubjectList!G41="Production",Production!G41,IF(SubjectList!G41="Economics",Economics!G41)))</f>
        <v>0</v>
      </c>
      <c r="AQ41" s="39">
        <f>IF(Optional!H41="","", Optional!H41)</f>
        <v>0</v>
      </c>
      <c r="AR41" s="39">
        <f>Optional!H41</f>
        <v>0</v>
      </c>
      <c r="AS41" s="39">
        <f>Optional!I41</f>
        <v>0</v>
      </c>
      <c r="AT41" s="39">
        <f t="shared" si="16"/>
        <v>1</v>
      </c>
      <c r="AU41" s="39">
        <f t="shared" si="9"/>
        <v>1</v>
      </c>
      <c r="AV41" s="39" t="str">
        <f t="shared" si="17"/>
        <v/>
      </c>
      <c r="AW41" s="39" t="str">
        <f t="shared" si="18"/>
        <v/>
      </c>
      <c r="AX41" s="5">
        <f t="shared" si="10"/>
        <v>147</v>
      </c>
      <c r="AY41" s="41">
        <f t="shared" si="19"/>
        <v>1</v>
      </c>
      <c r="AZ41" s="41">
        <f t="shared" si="20"/>
        <v>0</v>
      </c>
      <c r="BA41" s="41">
        <f t="shared" si="21"/>
        <v>0</v>
      </c>
      <c r="BB41" s="41">
        <f t="shared" si="22"/>
        <v>0</v>
      </c>
      <c r="BC41" s="41">
        <f t="shared" si="23"/>
        <v>0</v>
      </c>
      <c r="BD41" s="41">
        <f t="shared" si="24"/>
        <v>0</v>
      </c>
      <c r="BE41" s="3">
        <f t="shared" si="11"/>
        <v>1</v>
      </c>
      <c r="BF41" s="3" t="str">
        <f t="shared" si="12"/>
        <v>Failed in 5 Subjects</v>
      </c>
      <c r="BG41" s="5" t="str">
        <f>IF(AW41="","",RANK(AW41,AW$2:AW145,0))</f>
        <v/>
      </c>
      <c r="BH41" s="3" t="str">
        <f t="shared" si="13"/>
        <v>খুবই দুর্বল</v>
      </c>
      <c r="BI41" t="str">
        <f t="shared" si="14"/>
        <v>Very Weak</v>
      </c>
      <c r="BJ41" s="104" t="str">
        <f t="shared" si="15"/>
        <v/>
      </c>
    </row>
    <row r="42" spans="1:62" ht="15" thickBot="1" x14ac:dyDescent="0.4">
      <c r="A42" s="3" t="str">
        <f>'Student Basic Info'!B42</f>
        <v>Business Studies</v>
      </c>
      <c r="B42" s="3">
        <f>'Student Basic Info'!A42</f>
        <v>541</v>
      </c>
      <c r="C42" s="3" t="str">
        <f>'Student Basic Info'!C42</f>
        <v>Md. Samir Hosain</v>
      </c>
      <c r="D42" s="3" t="str">
        <f>'Student Basic Info'!D42</f>
        <v>Ismail Hosain</v>
      </c>
      <c r="E42" s="3" t="str">
        <f>'Student Basic Info'!E42</f>
        <v>Masum Ara Begum</v>
      </c>
      <c r="F42" s="3" t="str">
        <f>'Student Basic Info'!F42</f>
        <v>Male</v>
      </c>
      <c r="G42" s="79">
        <v>1821920441</v>
      </c>
      <c r="H42" s="59" t="str">
        <f>IF(Bangla!B42="","",Bangla!B42)</f>
        <v/>
      </c>
      <c r="I42" s="59">
        <f>IF(Bangla!C42="","",Bangla!C42)</f>
        <v>50</v>
      </c>
      <c r="J42" s="60">
        <f>IF(Bangla!D42="","",Bangla!D42)</f>
        <v>50</v>
      </c>
      <c r="K42" s="61" t="str">
        <f>IF(English!C42="","",English!C42)</f>
        <v/>
      </c>
      <c r="L42" s="35" t="str">
        <f>IF(ICT!B42="","",ICT!B42)</f>
        <v/>
      </c>
      <c r="M42" s="35" t="str">
        <f>IF(ICT!C42="","",ICT!C42)</f>
        <v/>
      </c>
      <c r="N42" s="35" t="str">
        <f>IF(ICT!D42="","",ICT!D42)</f>
        <v/>
      </c>
      <c r="O42" s="42" t="str">
        <f>IF(ICT!E42="","",ICT!E42)</f>
        <v/>
      </c>
      <c r="P42" s="40" t="str">
        <f>IF(Accounting!B42="","",Accounting!B42)</f>
        <v/>
      </c>
      <c r="Q42" s="40" t="str">
        <f>IF(Accounting!C42="","",Accounting!C42)</f>
        <v/>
      </c>
      <c r="R42" s="44" t="str">
        <f>IF(Accounting!D42="","",Accounting!D42)</f>
        <v/>
      </c>
      <c r="S42" s="35" t="str">
        <f>IF('Business Organization'!B42="","",'Business Organization'!B42)</f>
        <v/>
      </c>
      <c r="T42" s="35" t="str">
        <f>IF('Business Organization'!C42="","",'Business Organization'!C42)</f>
        <v/>
      </c>
      <c r="U42" s="42" t="str">
        <f>IF('Business Organization'!D42="","",'Business Organization'!D42)</f>
        <v/>
      </c>
      <c r="V42" s="36" t="str">
        <f>IF(SubjectList!G42="Finance",IF(Finance!B42=0,"", Finance!B42),IF(SubjectList!G42="Production",IF(Production!B42=0,"", Production!B42),IF(SubjectList!G42="Economics",IF(Economics!B42=0,"", Economics!B42))))</f>
        <v/>
      </c>
      <c r="W42" s="36" t="str">
        <f>IF(SubjectList!G42="Finance",IF(Finance!C42=0,"", Finance!C42),IF(SubjectList!G42="Production",IF(Production!C42=0,"", Production!C42),IF(SubjectList!G42="Economics",IF(Economics!C42=0,"", Economics!C42))))</f>
        <v/>
      </c>
      <c r="X42" s="43" t="str">
        <f>IF(SubjectList!G42="Finance",IF(Finance!D42=0,"", Finance!D42),IF(SubjectList!G42="Production",IF(Production!D42=0,"", Production!D42),IF(SubjectList!G42="Economics",IF(Economics!D42=0,"", Economics!D42))))</f>
        <v/>
      </c>
      <c r="Y42" s="40" t="str">
        <f>IF(SubjectList!H42="Finance",IF(Finance!B42=0,"", Finance!B42),IF(SubjectList!H42="Production",IF(Production!B42=0,"", Production!B42),IF(SubjectList!H42="Economics",IF(Economics!B42=0,"", Economics!B42))))</f>
        <v/>
      </c>
      <c r="Z42" s="40" t="str">
        <f>IF(SubjectList!H42="Finance",IF(Finance!C42=0,"", Finance!C42),IF(SubjectList!H42="Production",IF(Production!C42=0,"", Production!C42),IF(SubjectList!H42="Economics",IF(Economics!C42=0,"", Economics!C42))))</f>
        <v/>
      </c>
      <c r="AA42" s="44" t="str">
        <f>IF(SubjectList!H42="Finance",IF(Finance!D42=0,"", Finance!D42),IF(SubjectList!H42="Production",IF(Production!D42=0,"", Production!D42),IF(SubjectList!H42="Economics",IF(Economics!D42=0,"", Economics!D42))))</f>
        <v/>
      </c>
      <c r="AB42" s="37" t="str">
        <f>IF(SubjectList!G42="Finance","Finance",IF(SubjectList!G42="Production","Production",IF(SubjectList!G42="Economics","Not Given")))</f>
        <v>Finance</v>
      </c>
      <c r="AC42" s="37" t="str">
        <f>IF(SubjectList!H42="Finance","Finance",IF(SubjectList!H42="Production","Production",IF(SubjectList!H42="Economics","Economics","Not Given")))</f>
        <v>Production</v>
      </c>
      <c r="AD42" s="38" t="str">
        <f>Bangla!F42</f>
        <v>B</v>
      </c>
      <c r="AE42" s="38" t="str">
        <f>English!E42</f>
        <v/>
      </c>
      <c r="AF42" s="38" t="str">
        <f>ICT!G42</f>
        <v/>
      </c>
      <c r="AG42" s="38" t="str">
        <f>Accounting!F42</f>
        <v/>
      </c>
      <c r="AH42" s="38" t="str">
        <f>'Business Organization'!F42</f>
        <v/>
      </c>
      <c r="AI42" s="38" t="str">
        <f>Production!F42</f>
        <v/>
      </c>
      <c r="AJ42" s="38" t="str">
        <f>Finance!F42</f>
        <v/>
      </c>
      <c r="AK42" s="39">
        <f>Bangla!G42</f>
        <v>3</v>
      </c>
      <c r="AL42" s="39" t="str">
        <f>English!F42</f>
        <v/>
      </c>
      <c r="AM42" s="39" t="str">
        <f>ICT!H42</f>
        <v/>
      </c>
      <c r="AN42" s="39" t="str">
        <f>Accounting!G42</f>
        <v/>
      </c>
      <c r="AO42" s="39" t="str">
        <f>'Business Organization'!G42</f>
        <v/>
      </c>
      <c r="AP42" s="39" t="str">
        <f>IF(SubjectList!G42="Finance",Finance!G42,IF(SubjectList!G42="Production",Production!G42,IF(SubjectList!G42="Economics",Economics!G42)))</f>
        <v/>
      </c>
      <c r="AQ42" s="39" t="str">
        <f>IF(Optional!H42="","", Optional!H42)</f>
        <v/>
      </c>
      <c r="AR42" s="39" t="str">
        <f>Optional!H42</f>
        <v/>
      </c>
      <c r="AS42" s="39" t="str">
        <f>Optional!I42</f>
        <v/>
      </c>
      <c r="AT42" s="39">
        <f t="shared" si="16"/>
        <v>3</v>
      </c>
      <c r="AU42" s="39">
        <f t="shared" si="9"/>
        <v>3</v>
      </c>
      <c r="AV42" s="39" t="str">
        <f t="shared" si="17"/>
        <v/>
      </c>
      <c r="AW42" s="39" t="str">
        <f t="shared" si="18"/>
        <v/>
      </c>
      <c r="AX42" s="5">
        <f t="shared" si="10"/>
        <v>50</v>
      </c>
      <c r="AY42" s="41">
        <f t="shared" si="19"/>
        <v>1</v>
      </c>
      <c r="AZ42" s="41">
        <f t="shared" si="20"/>
        <v>0</v>
      </c>
      <c r="BA42" s="41">
        <f t="shared" si="21"/>
        <v>0</v>
      </c>
      <c r="BB42" s="41">
        <f t="shared" si="22"/>
        <v>0</v>
      </c>
      <c r="BC42" s="41">
        <f t="shared" si="23"/>
        <v>0</v>
      </c>
      <c r="BD42" s="41">
        <f t="shared" si="24"/>
        <v>0</v>
      </c>
      <c r="BE42" s="3">
        <f t="shared" si="11"/>
        <v>1</v>
      </c>
      <c r="BF42" s="3" t="str">
        <f t="shared" si="12"/>
        <v>Failed in 5 Subjects</v>
      </c>
      <c r="BG42" s="5" t="str">
        <f>IF(AW42="","",RANK(AW42,AW$2:AW145,0))</f>
        <v/>
      </c>
      <c r="BH42" s="3" t="str">
        <f t="shared" si="13"/>
        <v>খুবই দুর্বল</v>
      </c>
      <c r="BI42" t="str">
        <f t="shared" si="14"/>
        <v>Very Weak</v>
      </c>
      <c r="BJ42" s="104" t="str">
        <f t="shared" si="15"/>
        <v/>
      </c>
    </row>
    <row r="43" spans="1:62" ht="15" thickBot="1" x14ac:dyDescent="0.4">
      <c r="A43" s="3" t="str">
        <f>'Student Basic Info'!B43</f>
        <v>Business Studies</v>
      </c>
      <c r="B43" s="3">
        <f>'Student Basic Info'!A43</f>
        <v>542</v>
      </c>
      <c r="C43" s="3" t="str">
        <f>'Student Basic Info'!C43</f>
        <v>Md. Imran Hosain</v>
      </c>
      <c r="D43" s="3" t="str">
        <f>'Student Basic Info'!D43</f>
        <v>Md. Faruk Hosain</v>
      </c>
      <c r="E43" s="3" t="str">
        <f>'Student Basic Info'!E43</f>
        <v>Rehana Aktar</v>
      </c>
      <c r="F43" s="3" t="str">
        <f>'Student Basic Info'!F43</f>
        <v>Male</v>
      </c>
      <c r="G43" s="79">
        <v>160761502</v>
      </c>
      <c r="H43" s="59" t="str">
        <f>IF(Bangla!B43="","",Bangla!B43)</f>
        <v/>
      </c>
      <c r="I43" s="59">
        <f>IF(Bangla!C43="","",Bangla!C43)</f>
        <v>33</v>
      </c>
      <c r="J43" s="60">
        <f>IF(Bangla!D43="","",Bangla!D43)</f>
        <v>33</v>
      </c>
      <c r="K43" s="61">
        <f>IF(English!C43="","",English!C43)</f>
        <v>25</v>
      </c>
      <c r="L43" s="35">
        <f>IF(ICT!B43="","",ICT!B43)</f>
        <v>11</v>
      </c>
      <c r="M43" s="35">
        <f>IF(ICT!C43="","",ICT!C43)</f>
        <v>9</v>
      </c>
      <c r="N43" s="35">
        <f>IF(ICT!D43="","",ICT!D43)</f>
        <v>20</v>
      </c>
      <c r="O43" s="42">
        <f>IF(ICT!E43="","",ICT!E43)</f>
        <v>40</v>
      </c>
      <c r="P43" s="40">
        <f>IF(Accounting!B43="","",Accounting!B43)</f>
        <v>10</v>
      </c>
      <c r="Q43" s="40">
        <f>IF(Accounting!C43="","",Accounting!C43)</f>
        <v>13</v>
      </c>
      <c r="R43" s="44">
        <f>IF(Accounting!D43="","",Accounting!D43)</f>
        <v>23</v>
      </c>
      <c r="S43" s="35">
        <f>IF('Business Organization'!B43="","",'Business Organization'!B43)</f>
        <v>17</v>
      </c>
      <c r="T43" s="35">
        <f>IF('Business Organization'!C43="","",'Business Organization'!C43)</f>
        <v>17</v>
      </c>
      <c r="U43" s="42">
        <f>IF('Business Organization'!D43="","",'Business Organization'!D43)</f>
        <v>34</v>
      </c>
      <c r="V43" s="36">
        <f>IF(SubjectList!G43="Finance",IF(Finance!B43=0,"", Finance!B43),IF(SubjectList!G43="Production",IF(Production!B43=0,"", Production!B43),IF(SubjectList!G43="Economics",IF(Economics!B43=0,"", Economics!B43))))</f>
        <v>13</v>
      </c>
      <c r="W43" s="36">
        <f>IF(SubjectList!G43="Finance",IF(Finance!C43=0,"", Finance!C43),IF(SubjectList!G43="Production",IF(Production!C43=0,"", Production!C43),IF(SubjectList!G43="Economics",IF(Economics!C43=0,"", Economics!C43))))</f>
        <v>24</v>
      </c>
      <c r="X43" s="43">
        <f>IF(SubjectList!G43="Finance",IF(Finance!D43=0,"", Finance!D43),IF(SubjectList!G43="Production",IF(Production!D43=0,"", Production!D43),IF(SubjectList!G43="Economics",IF(Economics!D43=0,"", Economics!D43))))</f>
        <v>37</v>
      </c>
      <c r="Y43" s="40">
        <f>IF(SubjectList!H43="Finance",IF(Finance!B43=0,"", Finance!B43),IF(SubjectList!H43="Production",IF(Production!B43=0,"", Production!B43),IF(SubjectList!H43="Economics",IF(Economics!B43=0,"", Economics!B43))))</f>
        <v>9</v>
      </c>
      <c r="Z43" s="40">
        <f>IF(SubjectList!H43="Finance",IF(Finance!C43=0,"", Finance!C43),IF(SubjectList!H43="Production",IF(Production!C43=0,"", Production!C43),IF(SubjectList!H43="Economics",IF(Economics!C43=0,"", Economics!C43))))</f>
        <v>3</v>
      </c>
      <c r="AA43" s="44">
        <f>IF(SubjectList!H43="Finance",IF(Finance!D43=0,"", Finance!D43),IF(SubjectList!H43="Production",IF(Production!D43=0,"", Production!D43),IF(SubjectList!H43="Economics",IF(Economics!D43=0,"", Economics!D43))))</f>
        <v>12</v>
      </c>
      <c r="AB43" s="37" t="str">
        <f>IF(SubjectList!G43="Finance","Finance",IF(SubjectList!G43="Production","Production",IF(SubjectList!G43="Economics","Not Given")))</f>
        <v>Production</v>
      </c>
      <c r="AC43" s="37" t="str">
        <f>IF(SubjectList!H43="Finance","Finance",IF(SubjectList!H43="Production","Production",IF(SubjectList!H43="Economics","Economics","Not Given")))</f>
        <v>Economics</v>
      </c>
      <c r="AD43" s="38" t="str">
        <f>Bangla!F43</f>
        <v>D</v>
      </c>
      <c r="AE43" s="38" t="str">
        <f>English!E43</f>
        <v>F</v>
      </c>
      <c r="AF43" s="38" t="str">
        <f>ICT!G43</f>
        <v>F</v>
      </c>
      <c r="AG43" s="38" t="str">
        <f>Accounting!F43</f>
        <v>F</v>
      </c>
      <c r="AH43" s="38" t="str">
        <f>'Business Organization'!F43</f>
        <v>F</v>
      </c>
      <c r="AI43" s="38" t="str">
        <f>Production!F43</f>
        <v>D</v>
      </c>
      <c r="AJ43" s="38" t="str">
        <f>Finance!F43</f>
        <v/>
      </c>
      <c r="AK43" s="39">
        <f>Bangla!G43</f>
        <v>1</v>
      </c>
      <c r="AL43" s="39">
        <f>English!F43</f>
        <v>0</v>
      </c>
      <c r="AM43" s="39">
        <f>ICT!H43</f>
        <v>0</v>
      </c>
      <c r="AN43" s="39">
        <f>Accounting!G43</f>
        <v>0</v>
      </c>
      <c r="AO43" s="39">
        <f>'Business Organization'!G43</f>
        <v>0</v>
      </c>
      <c r="AP43" s="39">
        <f>IF(SubjectList!G43="Finance",Finance!G43,IF(SubjectList!G43="Production",Production!G43,IF(SubjectList!G43="Economics",Economics!G43)))</f>
        <v>1</v>
      </c>
      <c r="AQ43" s="39">
        <f>IF(Optional!H43="","", Optional!H43)</f>
        <v>0</v>
      </c>
      <c r="AR43" s="39">
        <f>Optional!H43</f>
        <v>0</v>
      </c>
      <c r="AS43" s="39">
        <f>Optional!I43</f>
        <v>0</v>
      </c>
      <c r="AT43" s="39">
        <f t="shared" si="16"/>
        <v>2</v>
      </c>
      <c r="AU43" s="39">
        <f t="shared" si="9"/>
        <v>2</v>
      </c>
      <c r="AV43" s="39" t="str">
        <f t="shared" si="17"/>
        <v/>
      </c>
      <c r="AW43" s="39" t="str">
        <f t="shared" si="18"/>
        <v/>
      </c>
      <c r="AX43" s="5">
        <f t="shared" si="10"/>
        <v>204</v>
      </c>
      <c r="AY43" s="41">
        <f t="shared" si="19"/>
        <v>1</v>
      </c>
      <c r="AZ43" s="41">
        <f t="shared" si="20"/>
        <v>0</v>
      </c>
      <c r="BA43" s="41">
        <f t="shared" si="21"/>
        <v>0</v>
      </c>
      <c r="BB43" s="41">
        <f t="shared" si="22"/>
        <v>0</v>
      </c>
      <c r="BC43" s="41">
        <f t="shared" si="23"/>
        <v>0</v>
      </c>
      <c r="BD43" s="41">
        <f t="shared" si="24"/>
        <v>1</v>
      </c>
      <c r="BE43" s="3">
        <f t="shared" si="11"/>
        <v>2</v>
      </c>
      <c r="BF43" s="3" t="str">
        <f t="shared" si="12"/>
        <v>Failed in 4 Subjects</v>
      </c>
      <c r="BG43" s="5" t="str">
        <f>IF(AW43="","",RANK(AW43,AW$2:AW145,0))</f>
        <v/>
      </c>
      <c r="BH43" s="3" t="str">
        <f t="shared" si="13"/>
        <v>খুবই দুর্বল</v>
      </c>
      <c r="BI43" t="str">
        <f t="shared" si="14"/>
        <v>Very Weak</v>
      </c>
      <c r="BJ43" s="104" t="str">
        <f t="shared" si="15"/>
        <v/>
      </c>
    </row>
    <row r="44" spans="1:62" ht="15" thickBot="1" x14ac:dyDescent="0.4">
      <c r="A44" s="3" t="str">
        <f>'Student Basic Info'!B44</f>
        <v>Business Studies</v>
      </c>
      <c r="B44" s="3">
        <f>'Student Basic Info'!A44</f>
        <v>543</v>
      </c>
      <c r="C44" s="3" t="str">
        <f>'Student Basic Info'!C44</f>
        <v>Mohammad Yeasin</v>
      </c>
      <c r="D44" s="3" t="str">
        <f>'Student Basic Info'!D44</f>
        <v>Shariyat Ullah</v>
      </c>
      <c r="E44" s="3" t="str">
        <f>'Student Basic Info'!E44</f>
        <v>Josna Bagum</v>
      </c>
      <c r="F44" s="3" t="str">
        <f>'Student Basic Info'!F44</f>
        <v>Male</v>
      </c>
      <c r="G44" s="79">
        <v>1818408337</v>
      </c>
      <c r="H44" s="59" t="str">
        <f>IF(Bangla!B44="","",Bangla!B44)</f>
        <v/>
      </c>
      <c r="I44" s="59">
        <f>IF(Bangla!C44="","",Bangla!C44)</f>
        <v>33</v>
      </c>
      <c r="J44" s="60">
        <f>IF(Bangla!D44="","",Bangla!D44)</f>
        <v>33</v>
      </c>
      <c r="K44" s="61">
        <f>IF(English!C44="","",English!C44)</f>
        <v>6</v>
      </c>
      <c r="L44" s="35">
        <f>IF(ICT!B44="","",ICT!B44)</f>
        <v>10</v>
      </c>
      <c r="M44" s="35">
        <f>IF(ICT!C44="","",ICT!C44)</f>
        <v>10</v>
      </c>
      <c r="N44" s="35">
        <f>IF(ICT!D44="","",ICT!D44)</f>
        <v>8</v>
      </c>
      <c r="O44" s="42">
        <f>IF(ICT!E44="","",ICT!E44)</f>
        <v>28</v>
      </c>
      <c r="P44" s="40">
        <f>IF(Accounting!B44="","",Accounting!B44)</f>
        <v>8</v>
      </c>
      <c r="Q44" s="40">
        <f>IF(Accounting!C44="","",Accounting!C44)</f>
        <v>12</v>
      </c>
      <c r="R44" s="44">
        <f>IF(Accounting!D44="","",Accounting!D44)</f>
        <v>20</v>
      </c>
      <c r="S44" s="35">
        <f>IF('Business Organization'!B44="","",'Business Organization'!B44)</f>
        <v>17</v>
      </c>
      <c r="T44" s="35">
        <f>IF('Business Organization'!C44="","",'Business Organization'!C44)</f>
        <v>8</v>
      </c>
      <c r="U44" s="42">
        <f>IF('Business Organization'!D44="","",'Business Organization'!D44)</f>
        <v>25</v>
      </c>
      <c r="V44" s="36">
        <f>IF(SubjectList!G44="Finance",IF(Finance!B44=0,"", Finance!B44),IF(SubjectList!G44="Production",IF(Production!B44=0,"", Production!B44),IF(SubjectList!G44="Economics",IF(Economics!B44=0,"", Economics!B44))))</f>
        <v>15</v>
      </c>
      <c r="W44" s="36">
        <f>IF(SubjectList!G44="Finance",IF(Finance!C44=0,"", Finance!C44),IF(SubjectList!G44="Production",IF(Production!C44=0,"", Production!C44),IF(SubjectList!G44="Economics",IF(Economics!C44=0,"", Economics!C44))))</f>
        <v>23</v>
      </c>
      <c r="X44" s="43">
        <f>IF(SubjectList!G44="Finance",IF(Finance!D44=0,"", Finance!D44),IF(SubjectList!G44="Production",IF(Production!D44=0,"", Production!D44),IF(SubjectList!G44="Economics",IF(Economics!D44=0,"", Economics!D44))))</f>
        <v>38</v>
      </c>
      <c r="Y44" s="40">
        <f>IF(SubjectList!H44="Finance",IF(Finance!B44=0,"", Finance!B44),IF(SubjectList!H44="Production",IF(Production!B44=0,"", Production!B44),IF(SubjectList!H44="Economics",IF(Economics!B44=0,"", Economics!B44))))</f>
        <v>6</v>
      </c>
      <c r="Z44" s="40">
        <f>IF(SubjectList!H44="Finance",IF(Finance!C44=0,"", Finance!C44),IF(SubjectList!H44="Production",IF(Production!C44=0,"", Production!C44),IF(SubjectList!H44="Economics",IF(Economics!C44=0,"", Economics!C44))))</f>
        <v>4</v>
      </c>
      <c r="AA44" s="44">
        <f>IF(SubjectList!H44="Finance",IF(Finance!D44=0,"", Finance!D44),IF(SubjectList!H44="Production",IF(Production!D44=0,"", Production!D44),IF(SubjectList!H44="Economics",IF(Economics!D44=0,"", Economics!D44))))</f>
        <v>10</v>
      </c>
      <c r="AB44" s="37" t="str">
        <f>IF(SubjectList!G44="Finance","Finance",IF(SubjectList!G44="Production","Production",IF(SubjectList!G44="Economics","Not Given")))</f>
        <v>Production</v>
      </c>
      <c r="AC44" s="37" t="str">
        <f>IF(SubjectList!H44="Finance","Finance",IF(SubjectList!H44="Production","Production",IF(SubjectList!H44="Economics","Economics","Not Given")))</f>
        <v>Economics</v>
      </c>
      <c r="AD44" s="38" t="str">
        <f>Bangla!F44</f>
        <v>D</v>
      </c>
      <c r="AE44" s="38" t="str">
        <f>English!E44</f>
        <v>F</v>
      </c>
      <c r="AF44" s="38" t="str">
        <f>ICT!G44</f>
        <v>F</v>
      </c>
      <c r="AG44" s="38" t="str">
        <f>Accounting!F44</f>
        <v>F</v>
      </c>
      <c r="AH44" s="38" t="str">
        <f>'Business Organization'!F44</f>
        <v>F</v>
      </c>
      <c r="AI44" s="38" t="str">
        <f>Production!F44</f>
        <v>D</v>
      </c>
      <c r="AJ44" s="38" t="str">
        <f>Finance!F44</f>
        <v/>
      </c>
      <c r="AK44" s="39">
        <f>Bangla!G44</f>
        <v>1</v>
      </c>
      <c r="AL44" s="39">
        <f>English!F44</f>
        <v>0</v>
      </c>
      <c r="AM44" s="39">
        <f>ICT!H44</f>
        <v>0</v>
      </c>
      <c r="AN44" s="39">
        <f>Accounting!G44</f>
        <v>0</v>
      </c>
      <c r="AO44" s="39">
        <f>'Business Organization'!G44</f>
        <v>0</v>
      </c>
      <c r="AP44" s="39">
        <f>IF(SubjectList!G44="Finance",Finance!G44,IF(SubjectList!G44="Production",Production!G44,IF(SubjectList!G44="Economics",Economics!G44)))</f>
        <v>1</v>
      </c>
      <c r="AQ44" s="39">
        <f>IF(Optional!H44="","", Optional!H44)</f>
        <v>0</v>
      </c>
      <c r="AR44" s="39">
        <f>Optional!H44</f>
        <v>0</v>
      </c>
      <c r="AS44" s="39">
        <f>Optional!I44</f>
        <v>0</v>
      </c>
      <c r="AT44" s="39">
        <f t="shared" si="16"/>
        <v>2</v>
      </c>
      <c r="AU44" s="39">
        <f t="shared" si="9"/>
        <v>2</v>
      </c>
      <c r="AV44" s="39" t="str">
        <f t="shared" si="17"/>
        <v/>
      </c>
      <c r="AW44" s="39" t="str">
        <f t="shared" si="18"/>
        <v/>
      </c>
      <c r="AX44" s="5">
        <f t="shared" si="10"/>
        <v>160</v>
      </c>
      <c r="AY44" s="41">
        <f t="shared" si="19"/>
        <v>1</v>
      </c>
      <c r="AZ44" s="41">
        <f t="shared" si="20"/>
        <v>0</v>
      </c>
      <c r="BA44" s="41">
        <f t="shared" si="21"/>
        <v>0</v>
      </c>
      <c r="BB44" s="41">
        <f t="shared" si="22"/>
        <v>0</v>
      </c>
      <c r="BC44" s="41">
        <f t="shared" si="23"/>
        <v>0</v>
      </c>
      <c r="BD44" s="41">
        <f t="shared" si="24"/>
        <v>1</v>
      </c>
      <c r="BE44" s="3">
        <f t="shared" si="11"/>
        <v>2</v>
      </c>
      <c r="BF44" s="3" t="str">
        <f t="shared" si="12"/>
        <v>Failed in 4 Subjects</v>
      </c>
      <c r="BG44" s="5" t="str">
        <f>IF(AW44="","",RANK(AW44,AW$2:AW145,0))</f>
        <v/>
      </c>
      <c r="BH44" s="3" t="str">
        <f t="shared" si="13"/>
        <v>খুবই দুর্বল</v>
      </c>
      <c r="BI44" t="str">
        <f t="shared" si="14"/>
        <v>Very Weak</v>
      </c>
      <c r="BJ44" s="104" t="str">
        <f t="shared" si="15"/>
        <v/>
      </c>
    </row>
    <row r="45" spans="1:62" ht="15" thickBot="1" x14ac:dyDescent="0.4">
      <c r="A45" s="3" t="str">
        <f>'Student Basic Info'!B45</f>
        <v>Business Studies</v>
      </c>
      <c r="B45" s="3">
        <f>'Student Basic Info'!A45</f>
        <v>544</v>
      </c>
      <c r="C45" s="3" t="str">
        <f>'Student Basic Info'!C45</f>
        <v>Abdur Rahman</v>
      </c>
      <c r="D45" s="3" t="str">
        <f>'Student Basic Info'!D45</f>
        <v>Zamal Uddin</v>
      </c>
      <c r="E45" s="3" t="str">
        <f>'Student Basic Info'!E45</f>
        <v>Shamsun Nahar</v>
      </c>
      <c r="F45" s="3" t="str">
        <f>'Student Basic Info'!F45</f>
        <v>Male</v>
      </c>
      <c r="G45" s="79" t="s">
        <v>853</v>
      </c>
      <c r="H45" s="59" t="str">
        <f>IF(Bangla!B45="","",Bangla!B45)</f>
        <v/>
      </c>
      <c r="I45" s="59">
        <f>IF(Bangla!C45="","",Bangla!C45)</f>
        <v>40</v>
      </c>
      <c r="J45" s="60">
        <f>IF(Bangla!D45="","",Bangla!D45)</f>
        <v>40</v>
      </c>
      <c r="K45" s="61">
        <f>IF(English!C45="","",English!C45)</f>
        <v>28</v>
      </c>
      <c r="L45" s="35">
        <f>IF(ICT!B45="","",ICT!B45)</f>
        <v>11</v>
      </c>
      <c r="M45" s="35">
        <f>IF(ICT!C45="","",ICT!C45)</f>
        <v>22</v>
      </c>
      <c r="N45" s="35">
        <f>IF(ICT!D45="","",ICT!D45)</f>
        <v>20</v>
      </c>
      <c r="O45" s="42">
        <f>IF(ICT!E45="","",ICT!E45)</f>
        <v>53</v>
      </c>
      <c r="P45" s="40">
        <f>IF(Accounting!B45="","",Accounting!B45)</f>
        <v>10</v>
      </c>
      <c r="Q45" s="40">
        <f>IF(Accounting!C45="","",Accounting!C45)</f>
        <v>23</v>
      </c>
      <c r="R45" s="44">
        <f>IF(Accounting!D45="","",Accounting!D45)</f>
        <v>33</v>
      </c>
      <c r="S45" s="35">
        <f>IF('Business Organization'!B45="","",'Business Organization'!B45)</f>
        <v>17</v>
      </c>
      <c r="T45" s="35">
        <f>IF('Business Organization'!C45="","",'Business Organization'!C45)</f>
        <v>8</v>
      </c>
      <c r="U45" s="42">
        <f>IF('Business Organization'!D45="","",'Business Organization'!D45)</f>
        <v>25</v>
      </c>
      <c r="V45" s="36">
        <f>IF(SubjectList!G45="Finance",IF(Finance!B45=0,"", Finance!B45),IF(SubjectList!G45="Production",IF(Production!B45=0,"", Production!B45),IF(SubjectList!G45="Economics",IF(Economics!B45=0,"", Economics!B45))))</f>
        <v>10</v>
      </c>
      <c r="W45" s="36">
        <f>IF(SubjectList!G45="Finance",IF(Finance!C45=0,"", Finance!C45),IF(SubjectList!G45="Production",IF(Production!C45=0,"", Production!C45),IF(SubjectList!G45="Economics",IF(Economics!C45=0,"", Economics!C45))))</f>
        <v>8</v>
      </c>
      <c r="X45" s="43">
        <f>IF(SubjectList!G45="Finance",IF(Finance!D45=0,"", Finance!D45),IF(SubjectList!G45="Production",IF(Production!D45=0,"", Production!D45),IF(SubjectList!G45="Economics",IF(Economics!D45=0,"", Economics!D45))))</f>
        <v>18</v>
      </c>
      <c r="Y45" s="40">
        <f>IF(SubjectList!H45="Finance",IF(Finance!B45=0,"", Finance!B45),IF(SubjectList!H45="Production",IF(Production!B45=0,"", Production!B45),IF(SubjectList!H45="Economics",IF(Economics!B45=0,"", Economics!B45))))</f>
        <v>15</v>
      </c>
      <c r="Z45" s="40">
        <f>IF(SubjectList!H45="Finance",IF(Finance!C45=0,"", Finance!C45),IF(SubjectList!H45="Production",IF(Production!C45=0,"", Production!C45),IF(SubjectList!H45="Economics",IF(Economics!C45=0,"", Economics!C45))))</f>
        <v>25</v>
      </c>
      <c r="AA45" s="44">
        <f>IF(SubjectList!H45="Finance",IF(Finance!D45=0,"", Finance!D45),IF(SubjectList!H45="Production",IF(Production!D45=0,"", Production!D45),IF(SubjectList!H45="Economics",IF(Economics!D45=0,"", Economics!D45))))</f>
        <v>40</v>
      </c>
      <c r="AB45" s="37" t="str">
        <f>IF(SubjectList!G45="Finance","Finance",IF(SubjectList!G45="Production","Production",IF(SubjectList!G45="Economics","Not Given")))</f>
        <v>Finance</v>
      </c>
      <c r="AC45" s="37" t="str">
        <f>IF(SubjectList!H45="Finance","Finance",IF(SubjectList!H45="Production","Production",IF(SubjectList!H45="Economics","Economics","Not Given")))</f>
        <v>Production</v>
      </c>
      <c r="AD45" s="38" t="str">
        <f>Bangla!F45</f>
        <v>C</v>
      </c>
      <c r="AE45" s="38" t="str">
        <f>English!E45</f>
        <v>F</v>
      </c>
      <c r="AF45" s="38" t="str">
        <f>ICT!G45</f>
        <v>B</v>
      </c>
      <c r="AG45" s="38" t="str">
        <f>Accounting!F45</f>
        <v>D</v>
      </c>
      <c r="AH45" s="38" t="str">
        <f>'Business Organization'!F45</f>
        <v>F</v>
      </c>
      <c r="AI45" s="38" t="str">
        <f>Production!F45</f>
        <v>C</v>
      </c>
      <c r="AJ45" s="38" t="str">
        <f>Finance!F45</f>
        <v>F</v>
      </c>
      <c r="AK45" s="39">
        <f>Bangla!G45</f>
        <v>2</v>
      </c>
      <c r="AL45" s="39">
        <f>English!F45</f>
        <v>0</v>
      </c>
      <c r="AM45" s="39">
        <f>ICT!H45</f>
        <v>3</v>
      </c>
      <c r="AN45" s="39">
        <f>Accounting!G45</f>
        <v>1</v>
      </c>
      <c r="AO45" s="39">
        <f>'Business Organization'!G45</f>
        <v>0</v>
      </c>
      <c r="AP45" s="39">
        <f>IF(SubjectList!G45="Finance",Finance!G45,IF(SubjectList!G45="Production",Production!G45,IF(SubjectList!G45="Economics",Economics!G45)))</f>
        <v>0</v>
      </c>
      <c r="AQ45" s="39">
        <f>IF(Optional!H45="","", Optional!H45)</f>
        <v>2</v>
      </c>
      <c r="AR45" s="39">
        <f>Optional!H45</f>
        <v>2</v>
      </c>
      <c r="AS45" s="39">
        <f>Optional!I45</f>
        <v>0</v>
      </c>
      <c r="AT45" s="39">
        <f t="shared" si="16"/>
        <v>6</v>
      </c>
      <c r="AU45" s="39">
        <f t="shared" si="9"/>
        <v>6</v>
      </c>
      <c r="AV45" s="39" t="str">
        <f t="shared" si="17"/>
        <v/>
      </c>
      <c r="AW45" s="39" t="str">
        <f t="shared" si="18"/>
        <v/>
      </c>
      <c r="AX45" s="5">
        <f t="shared" si="10"/>
        <v>237</v>
      </c>
      <c r="AY45" s="41">
        <f t="shared" si="19"/>
        <v>1</v>
      </c>
      <c r="AZ45" s="41">
        <f t="shared" si="20"/>
        <v>0</v>
      </c>
      <c r="BA45" s="41">
        <f t="shared" si="21"/>
        <v>1</v>
      </c>
      <c r="BB45" s="41">
        <f t="shared" si="22"/>
        <v>1</v>
      </c>
      <c r="BC45" s="41">
        <f t="shared" si="23"/>
        <v>0</v>
      </c>
      <c r="BD45" s="41">
        <f t="shared" si="24"/>
        <v>0</v>
      </c>
      <c r="BE45" s="3">
        <f t="shared" si="11"/>
        <v>3</v>
      </c>
      <c r="BF45" s="3" t="str">
        <f t="shared" si="12"/>
        <v>Failed in 3 Subjects</v>
      </c>
      <c r="BG45" s="5" t="str">
        <f>IF(AW45="","",RANK(AW45,AW$2:AW145,0))</f>
        <v/>
      </c>
      <c r="BH45" s="3" t="str">
        <f t="shared" si="13"/>
        <v>খুবই দুর্বল</v>
      </c>
      <c r="BI45" t="str">
        <f t="shared" si="14"/>
        <v>Very Weak</v>
      </c>
      <c r="BJ45" s="104" t="str">
        <f t="shared" si="15"/>
        <v/>
      </c>
    </row>
    <row r="46" spans="1:62" x14ac:dyDescent="0.35">
      <c r="A46" s="3" t="str">
        <f>'Student Basic Info'!B46</f>
        <v>Business Studies</v>
      </c>
      <c r="B46" s="3">
        <f>'Student Basic Info'!A46</f>
        <v>545</v>
      </c>
      <c r="C46" s="3" t="str">
        <f>'Student Basic Info'!C46</f>
        <v>Md. Osman Goni</v>
      </c>
      <c r="D46" s="3" t="str">
        <f>'Student Basic Info'!D46</f>
        <v xml:space="preserve">Ala Uddin Manik </v>
      </c>
      <c r="E46" s="3" t="str">
        <f>'Student Basic Info'!E46</f>
        <v>Bibi Amena</v>
      </c>
      <c r="F46" s="3" t="str">
        <f>'Student Basic Info'!F46</f>
        <v>Male</v>
      </c>
      <c r="G46" s="82" t="s">
        <v>854</v>
      </c>
      <c r="H46" s="59" t="str">
        <f>IF(Bangla!B46="","",Bangla!B46)</f>
        <v/>
      </c>
      <c r="I46" s="59" t="str">
        <f>IF(Bangla!C46="","",Bangla!C46)</f>
        <v/>
      </c>
      <c r="J46" s="60" t="str">
        <f>IF(Bangla!D46="","",Bangla!D46)</f>
        <v/>
      </c>
      <c r="K46" s="61" t="str">
        <f>IF(English!C46="","",English!C46)</f>
        <v/>
      </c>
      <c r="L46" s="35" t="str">
        <f>IF(ICT!B46="","",ICT!B46)</f>
        <v/>
      </c>
      <c r="M46" s="35" t="str">
        <f>IF(ICT!C46="","",ICT!C46)</f>
        <v/>
      </c>
      <c r="N46" s="35" t="str">
        <f>IF(ICT!D46="","",ICT!D46)</f>
        <v/>
      </c>
      <c r="O46" s="42" t="str">
        <f>IF(ICT!E46="","",ICT!E46)</f>
        <v/>
      </c>
      <c r="P46" s="40" t="str">
        <f>IF(Accounting!B46="","",Accounting!B46)</f>
        <v/>
      </c>
      <c r="Q46" s="40" t="str">
        <f>IF(Accounting!C46="","",Accounting!C46)</f>
        <v/>
      </c>
      <c r="R46" s="44" t="str">
        <f>IF(Accounting!D46="","",Accounting!D46)</f>
        <v/>
      </c>
      <c r="S46" s="35" t="str">
        <f>IF('Business Organization'!B46="","",'Business Organization'!B46)</f>
        <v/>
      </c>
      <c r="T46" s="35" t="str">
        <f>IF('Business Organization'!C46="","",'Business Organization'!C46)</f>
        <v/>
      </c>
      <c r="U46" s="42" t="str">
        <f>IF('Business Organization'!D46="","",'Business Organization'!D46)</f>
        <v/>
      </c>
      <c r="V46" s="36" t="str">
        <f>IF(SubjectList!G46="Finance",IF(Finance!B46=0,"", Finance!B46),IF(SubjectList!G46="Production",IF(Production!B46=0,"", Production!B46),IF(SubjectList!G46="Economics",IF(Economics!B46=0,"", Economics!B46))))</f>
        <v/>
      </c>
      <c r="W46" s="36" t="str">
        <f>IF(SubjectList!G46="Finance",IF(Finance!C46=0,"", Finance!C46),IF(SubjectList!G46="Production",IF(Production!C46=0,"", Production!C46),IF(SubjectList!G46="Economics",IF(Economics!C46=0,"", Economics!C46))))</f>
        <v/>
      </c>
      <c r="X46" s="43" t="str">
        <f>IF(SubjectList!G46="Finance",IF(Finance!D46=0,"", Finance!D46),IF(SubjectList!G46="Production",IF(Production!D46=0,"", Production!D46),IF(SubjectList!G46="Economics",IF(Economics!D46=0,"", Economics!D46))))</f>
        <v/>
      </c>
      <c r="Y46" s="40" t="str">
        <f>IF(SubjectList!H46="Finance",IF(Finance!B46=0,"", Finance!B46),IF(SubjectList!H46="Production",IF(Production!B46=0,"", Production!B46),IF(SubjectList!H46="Economics",IF(Economics!B46=0,"", Economics!B46))))</f>
        <v/>
      </c>
      <c r="Z46" s="40" t="str">
        <f>IF(SubjectList!H46="Finance",IF(Finance!C46=0,"", Finance!C46),IF(SubjectList!H46="Production",IF(Production!C46=0,"", Production!C46),IF(SubjectList!H46="Economics",IF(Economics!C46=0,"", Economics!C46))))</f>
        <v/>
      </c>
      <c r="AA46" s="44" t="str">
        <f>IF(SubjectList!H46="Finance",IF(Finance!D46=0,"", Finance!D46),IF(SubjectList!H46="Production",IF(Production!D46=0,"", Production!D46),IF(SubjectList!H46="Economics",IF(Economics!D46=0,"", Economics!D46))))</f>
        <v/>
      </c>
      <c r="AB46" s="37" t="str">
        <f>IF(SubjectList!G46="Finance","Finance",IF(SubjectList!G46="Production","Production",IF(SubjectList!G46="Economics","Not Given")))</f>
        <v>Finance</v>
      </c>
      <c r="AC46" s="37" t="str">
        <f>IF(SubjectList!H46="Finance","Finance",IF(SubjectList!H46="Production","Production",IF(SubjectList!H46="Economics","Economics","Not Given")))</f>
        <v>Production</v>
      </c>
      <c r="AD46" s="38" t="str">
        <f>Bangla!F46</f>
        <v/>
      </c>
      <c r="AE46" s="38" t="str">
        <f>English!E46</f>
        <v/>
      </c>
      <c r="AF46" s="38" t="str">
        <f>ICT!G46</f>
        <v/>
      </c>
      <c r="AG46" s="38" t="str">
        <f>Accounting!F46</f>
        <v/>
      </c>
      <c r="AH46" s="38" t="str">
        <f>'Business Organization'!F46</f>
        <v/>
      </c>
      <c r="AI46" s="38" t="str">
        <f>Production!F46</f>
        <v/>
      </c>
      <c r="AJ46" s="38" t="str">
        <f>Finance!F46</f>
        <v/>
      </c>
      <c r="AK46" s="39" t="str">
        <f>Bangla!G46</f>
        <v/>
      </c>
      <c r="AL46" s="39" t="str">
        <f>English!F46</f>
        <v/>
      </c>
      <c r="AM46" s="39" t="str">
        <f>ICT!H46</f>
        <v/>
      </c>
      <c r="AN46" s="39" t="str">
        <f>Accounting!G46</f>
        <v/>
      </c>
      <c r="AO46" s="39" t="str">
        <f>'Business Organization'!G46</f>
        <v/>
      </c>
      <c r="AP46" s="39" t="str">
        <f>IF(SubjectList!G46="Finance",Finance!G46,IF(SubjectList!G46="Production",Production!G46,IF(SubjectList!G46="Economics",Economics!G46)))</f>
        <v/>
      </c>
      <c r="AQ46" s="39" t="str">
        <f>IF(Optional!H46="","", Optional!H46)</f>
        <v/>
      </c>
      <c r="AR46" s="39" t="str">
        <f>Optional!H46</f>
        <v/>
      </c>
      <c r="AS46" s="39" t="str">
        <f>Optional!I46</f>
        <v/>
      </c>
      <c r="AT46" s="39" t="str">
        <f t="shared" si="16"/>
        <v/>
      </c>
      <c r="AU46" s="39">
        <f t="shared" si="9"/>
        <v>0</v>
      </c>
      <c r="AV46" s="39" t="str">
        <f t="shared" si="17"/>
        <v/>
      </c>
      <c r="AW46" s="39" t="str">
        <f t="shared" si="18"/>
        <v/>
      </c>
      <c r="AX46" s="5">
        <f t="shared" si="10"/>
        <v>0</v>
      </c>
      <c r="AY46" s="41">
        <f t="shared" si="19"/>
        <v>0</v>
      </c>
      <c r="AZ46" s="41">
        <f t="shared" si="20"/>
        <v>0</v>
      </c>
      <c r="BA46" s="41">
        <f t="shared" si="21"/>
        <v>0</v>
      </c>
      <c r="BB46" s="41">
        <f t="shared" si="22"/>
        <v>0</v>
      </c>
      <c r="BC46" s="41">
        <f t="shared" si="23"/>
        <v>0</v>
      </c>
      <c r="BD46" s="41">
        <f t="shared" si="24"/>
        <v>0</v>
      </c>
      <c r="BE46" s="3">
        <f t="shared" si="11"/>
        <v>0</v>
      </c>
      <c r="BF46" s="3" t="str">
        <f t="shared" si="12"/>
        <v>Failed in 6 Subjects</v>
      </c>
      <c r="BG46" s="5" t="str">
        <f>IF(AW46="","",RANK(AW46,AW$2:AW145,0))</f>
        <v/>
      </c>
      <c r="BH46" s="3" t="str">
        <f t="shared" si="13"/>
        <v>খুবই দুর্বল</v>
      </c>
      <c r="BI46" t="str">
        <f t="shared" si="14"/>
        <v>Very Weak</v>
      </c>
      <c r="BJ46" s="104" t="str">
        <f t="shared" si="15"/>
        <v/>
      </c>
    </row>
    <row r="47" spans="1:62" ht="15" thickBot="1" x14ac:dyDescent="0.4">
      <c r="A47" s="3" t="str">
        <f>'Student Basic Info'!B47</f>
        <v>Business Studies</v>
      </c>
      <c r="B47" s="3">
        <f>'Student Basic Info'!A47</f>
        <v>546</v>
      </c>
      <c r="C47" s="3" t="str">
        <f>'Student Basic Info'!C47</f>
        <v>Tanvir Hosain</v>
      </c>
      <c r="D47" s="3" t="str">
        <f>'Student Basic Info'!D47</f>
        <v>Belayet Hosain</v>
      </c>
      <c r="E47" s="3" t="str">
        <f>'Student Basic Info'!E47</f>
        <v>Moriyum Runa</v>
      </c>
      <c r="F47" s="3" t="str">
        <f>'Student Basic Info'!F47</f>
        <v>Male</v>
      </c>
      <c r="G47" s="79" t="s">
        <v>855</v>
      </c>
      <c r="H47" s="59" t="str">
        <f>IF(Bangla!B47="","",Bangla!B47)</f>
        <v/>
      </c>
      <c r="I47" s="59">
        <f>IF(Bangla!C47="","",Bangla!C47)</f>
        <v>40</v>
      </c>
      <c r="J47" s="60">
        <f>IF(Bangla!D47="","",Bangla!D47)</f>
        <v>40</v>
      </c>
      <c r="K47" s="61">
        <f>IF(English!C47="","",English!C47)</f>
        <v>28</v>
      </c>
      <c r="L47" s="35">
        <f>IF(ICT!B47="","",ICT!B47)</f>
        <v>12</v>
      </c>
      <c r="M47" s="35">
        <f>IF(ICT!C47="","",ICT!C47)</f>
        <v>17</v>
      </c>
      <c r="N47" s="35">
        <f>IF(ICT!D47="","",ICT!D47)</f>
        <v>18</v>
      </c>
      <c r="O47" s="42">
        <f>IF(ICT!E47="","",ICT!E47)</f>
        <v>47</v>
      </c>
      <c r="P47" s="40">
        <f>IF(Accounting!B47="","",Accounting!B47)</f>
        <v>11</v>
      </c>
      <c r="Q47" s="40">
        <f>IF(Accounting!C47="","",Accounting!C47)</f>
        <v>13</v>
      </c>
      <c r="R47" s="44">
        <f>IF(Accounting!D47="","",Accounting!D47)</f>
        <v>24</v>
      </c>
      <c r="S47" s="35">
        <f>IF('Business Organization'!B47="","",'Business Organization'!B47)</f>
        <v>15</v>
      </c>
      <c r="T47" s="35">
        <f>IF('Business Organization'!C47="","",'Business Organization'!C47)</f>
        <v>8</v>
      </c>
      <c r="U47" s="42">
        <f>IF('Business Organization'!D47="","",'Business Organization'!D47)</f>
        <v>23</v>
      </c>
      <c r="V47" s="36">
        <f>IF(SubjectList!G47="Finance",IF(Finance!B47=0,"", Finance!B47),IF(SubjectList!G47="Production",IF(Production!B47=0,"", Production!B47),IF(SubjectList!G47="Economics",IF(Economics!B47=0,"", Economics!B47))))</f>
        <v>3</v>
      </c>
      <c r="W47" s="36">
        <f>IF(SubjectList!G47="Finance",IF(Finance!C47=0,"", Finance!C47),IF(SubjectList!G47="Production",IF(Production!C47=0,"", Production!C47),IF(SubjectList!G47="Economics",IF(Economics!C47=0,"", Economics!C47))))</f>
        <v>8</v>
      </c>
      <c r="X47" s="43">
        <f>IF(SubjectList!G47="Finance",IF(Finance!D47=0,"", Finance!D47),IF(SubjectList!G47="Production",IF(Production!D47=0,"", Production!D47),IF(SubjectList!G47="Economics",IF(Economics!D47=0,"", Economics!D47))))</f>
        <v>11</v>
      </c>
      <c r="Y47" s="40">
        <f>IF(SubjectList!H47="Finance",IF(Finance!B47=0,"", Finance!B47),IF(SubjectList!H47="Production",IF(Production!B47=0,"", Production!B47),IF(SubjectList!H47="Economics",IF(Economics!B47=0,"", Economics!B47))))</f>
        <v>17</v>
      </c>
      <c r="Z47" s="40">
        <f>IF(SubjectList!H47="Finance",IF(Finance!C47=0,"", Finance!C47),IF(SubjectList!H47="Production",IF(Production!C47=0,"", Production!C47),IF(SubjectList!H47="Economics",IF(Economics!C47=0,"", Economics!C47))))</f>
        <v>23</v>
      </c>
      <c r="AA47" s="44">
        <f>IF(SubjectList!H47="Finance",IF(Finance!D47=0,"", Finance!D47),IF(SubjectList!H47="Production",IF(Production!D47=0,"", Production!D47),IF(SubjectList!H47="Economics",IF(Economics!D47=0,"", Economics!D47))))</f>
        <v>40</v>
      </c>
      <c r="AB47" s="37" t="str">
        <f>IF(SubjectList!G47="Finance","Finance",IF(SubjectList!G47="Production","Production",IF(SubjectList!G47="Economics","Not Given")))</f>
        <v>Finance</v>
      </c>
      <c r="AC47" s="37" t="str">
        <f>IF(SubjectList!H47="Finance","Finance",IF(SubjectList!H47="Production","Production",IF(SubjectList!H47="Economics","Economics","Not Given")))</f>
        <v>Production</v>
      </c>
      <c r="AD47" s="38" t="str">
        <f>Bangla!F47</f>
        <v>C</v>
      </c>
      <c r="AE47" s="38" t="str">
        <f>English!E47</f>
        <v>F</v>
      </c>
      <c r="AF47" s="38" t="str">
        <f>ICT!G47</f>
        <v>C</v>
      </c>
      <c r="AG47" s="38" t="str">
        <f>Accounting!F47</f>
        <v>F</v>
      </c>
      <c r="AH47" s="38" t="str">
        <f>'Business Organization'!F47</f>
        <v>F</v>
      </c>
      <c r="AI47" s="38" t="str">
        <f>Production!F47</f>
        <v>C</v>
      </c>
      <c r="AJ47" s="38" t="str">
        <f>Finance!F47</f>
        <v>F</v>
      </c>
      <c r="AK47" s="39">
        <f>Bangla!G47</f>
        <v>2</v>
      </c>
      <c r="AL47" s="39">
        <f>English!F47</f>
        <v>0</v>
      </c>
      <c r="AM47" s="39">
        <f>ICT!H47</f>
        <v>2</v>
      </c>
      <c r="AN47" s="39">
        <f>Accounting!G47</f>
        <v>0</v>
      </c>
      <c r="AO47" s="39">
        <f>'Business Organization'!G47</f>
        <v>0</v>
      </c>
      <c r="AP47" s="39">
        <f>IF(SubjectList!G47="Finance",Finance!G47,IF(SubjectList!G47="Production",Production!G47,IF(SubjectList!G47="Economics",Economics!G47)))</f>
        <v>0</v>
      </c>
      <c r="AQ47" s="39">
        <f>IF(Optional!H47="","", Optional!H47)</f>
        <v>2</v>
      </c>
      <c r="AR47" s="39">
        <f>Optional!H47</f>
        <v>2</v>
      </c>
      <c r="AS47" s="39">
        <f>Optional!I47</f>
        <v>0</v>
      </c>
      <c r="AT47" s="39">
        <f t="shared" si="16"/>
        <v>4</v>
      </c>
      <c r="AU47" s="39">
        <f t="shared" si="9"/>
        <v>4</v>
      </c>
      <c r="AV47" s="39" t="str">
        <f t="shared" si="17"/>
        <v/>
      </c>
      <c r="AW47" s="39" t="str">
        <f t="shared" si="18"/>
        <v/>
      </c>
      <c r="AX47" s="5">
        <f t="shared" si="10"/>
        <v>213</v>
      </c>
      <c r="AY47" s="41">
        <f t="shared" si="19"/>
        <v>1</v>
      </c>
      <c r="AZ47" s="41">
        <f t="shared" si="20"/>
        <v>0</v>
      </c>
      <c r="BA47" s="41">
        <f t="shared" si="21"/>
        <v>1</v>
      </c>
      <c r="BB47" s="41">
        <f t="shared" si="22"/>
        <v>0</v>
      </c>
      <c r="BC47" s="41">
        <f t="shared" si="23"/>
        <v>0</v>
      </c>
      <c r="BD47" s="41">
        <f t="shared" si="24"/>
        <v>0</v>
      </c>
      <c r="BE47" s="3">
        <f t="shared" si="11"/>
        <v>2</v>
      </c>
      <c r="BF47" s="3" t="str">
        <f t="shared" si="12"/>
        <v>Failed in 4 Subjects</v>
      </c>
      <c r="BG47" s="5" t="str">
        <f>IF(AW47="","",RANK(AW47,AW$2:AW145,0))</f>
        <v/>
      </c>
      <c r="BH47" s="3" t="str">
        <f t="shared" si="13"/>
        <v>খুবই দুর্বল</v>
      </c>
      <c r="BI47" t="str">
        <f t="shared" si="14"/>
        <v>Very Weak</v>
      </c>
      <c r="BJ47" s="104" t="str">
        <f t="shared" si="15"/>
        <v/>
      </c>
    </row>
    <row r="48" spans="1:62" ht="15" thickBot="1" x14ac:dyDescent="0.4">
      <c r="A48" s="3" t="str">
        <f>'Student Basic Info'!B48</f>
        <v>Business Studies</v>
      </c>
      <c r="B48" s="3">
        <f>'Student Basic Info'!A48</f>
        <v>547</v>
      </c>
      <c r="C48" s="3" t="str">
        <f>'Student Basic Info'!C48</f>
        <v>Monowar Hosain</v>
      </c>
      <c r="D48" s="3" t="str">
        <f>'Student Basic Info'!D48</f>
        <v>Delwar Hosain</v>
      </c>
      <c r="E48" s="3" t="str">
        <f>'Student Basic Info'!E48</f>
        <v>Rojina Sultana</v>
      </c>
      <c r="F48" s="3" t="str">
        <f>'Student Basic Info'!F48</f>
        <v>Male</v>
      </c>
      <c r="G48" s="79">
        <v>1603088211</v>
      </c>
      <c r="H48" s="59" t="str">
        <f>IF(Bangla!B48="","",Bangla!B48)</f>
        <v/>
      </c>
      <c r="I48" s="59" t="str">
        <f>IF(Bangla!C48="","",Bangla!C48)</f>
        <v/>
      </c>
      <c r="J48" s="60" t="str">
        <f>IF(Bangla!D48="","",Bangla!D48)</f>
        <v/>
      </c>
      <c r="K48" s="61" t="str">
        <f>IF(English!C48="","",English!C48)</f>
        <v/>
      </c>
      <c r="L48" s="35" t="str">
        <f>IF(ICT!B48="","",ICT!B48)</f>
        <v/>
      </c>
      <c r="M48" s="35" t="str">
        <f>IF(ICT!C48="","",ICT!C48)</f>
        <v/>
      </c>
      <c r="N48" s="35" t="str">
        <f>IF(ICT!D48="","",ICT!D48)</f>
        <v/>
      </c>
      <c r="O48" s="42" t="str">
        <f>IF(ICT!E48="","",ICT!E48)</f>
        <v/>
      </c>
      <c r="P48" s="40" t="str">
        <f>IF(Accounting!B48="","",Accounting!B48)</f>
        <v/>
      </c>
      <c r="Q48" s="40" t="str">
        <f>IF(Accounting!C48="","",Accounting!C48)</f>
        <v/>
      </c>
      <c r="R48" s="44" t="str">
        <f>IF(Accounting!D48="","",Accounting!D48)</f>
        <v/>
      </c>
      <c r="S48" s="35" t="str">
        <f>IF('Business Organization'!B48="","",'Business Organization'!B48)</f>
        <v/>
      </c>
      <c r="T48" s="35" t="str">
        <f>IF('Business Organization'!C48="","",'Business Organization'!C48)</f>
        <v/>
      </c>
      <c r="U48" s="42" t="str">
        <f>IF('Business Organization'!D48="","",'Business Organization'!D48)</f>
        <v/>
      </c>
      <c r="V48" s="36" t="str">
        <f>IF(SubjectList!G48="Finance",IF(Finance!B48=0,"", Finance!B48),IF(SubjectList!G48="Production",IF(Production!B48=0,"", Production!B48),IF(SubjectList!G48="Economics",IF(Economics!B48=0,"", Economics!B48))))</f>
        <v/>
      </c>
      <c r="W48" s="36" t="str">
        <f>IF(SubjectList!G48="Finance",IF(Finance!C48=0,"", Finance!C48),IF(SubjectList!G48="Production",IF(Production!C48=0,"", Production!C48),IF(SubjectList!G48="Economics",IF(Economics!C48=0,"", Economics!C48))))</f>
        <v/>
      </c>
      <c r="X48" s="43" t="str">
        <f>IF(SubjectList!G48="Finance",IF(Finance!D48=0,"", Finance!D48),IF(SubjectList!G48="Production",IF(Production!D48=0,"", Production!D48),IF(SubjectList!G48="Economics",IF(Economics!D48=0,"", Economics!D48))))</f>
        <v/>
      </c>
      <c r="Y48" s="40" t="str">
        <f>IF(SubjectList!H48="Finance",IF(Finance!B48=0,"", Finance!B48),IF(SubjectList!H48="Production",IF(Production!B48=0,"", Production!B48),IF(SubjectList!H48="Economics",IF(Economics!B48=0,"", Economics!B48))))</f>
        <v/>
      </c>
      <c r="Z48" s="40" t="str">
        <f>IF(SubjectList!H48="Finance",IF(Finance!C48=0,"", Finance!C48),IF(SubjectList!H48="Production",IF(Production!C48=0,"", Production!C48),IF(SubjectList!H48="Economics",IF(Economics!C48=0,"", Economics!C48))))</f>
        <v/>
      </c>
      <c r="AA48" s="44" t="str">
        <f>IF(SubjectList!H48="Finance",IF(Finance!D48=0,"", Finance!D48),IF(SubjectList!H48="Production",IF(Production!D48=0,"", Production!D48),IF(SubjectList!H48="Economics",IF(Economics!D48=0,"", Economics!D48))))</f>
        <v/>
      </c>
      <c r="AB48" s="37" t="str">
        <f>IF(SubjectList!G48="Finance","Finance",IF(SubjectList!G48="Production","Production",IF(SubjectList!G48="Economics","Not Given")))</f>
        <v>Finance</v>
      </c>
      <c r="AC48" s="37" t="str">
        <f>IF(SubjectList!H48="Finance","Finance",IF(SubjectList!H48="Production","Production",IF(SubjectList!H48="Economics","Economics","Not Given")))</f>
        <v>Production</v>
      </c>
      <c r="AD48" s="38" t="str">
        <f>Bangla!F48</f>
        <v/>
      </c>
      <c r="AE48" s="38" t="str">
        <f>English!E48</f>
        <v/>
      </c>
      <c r="AF48" s="38" t="str">
        <f>ICT!G48</f>
        <v/>
      </c>
      <c r="AG48" s="38" t="str">
        <f>Accounting!F48</f>
        <v/>
      </c>
      <c r="AH48" s="38" t="str">
        <f>'Business Organization'!F48</f>
        <v/>
      </c>
      <c r="AI48" s="38" t="str">
        <f>Production!F48</f>
        <v/>
      </c>
      <c r="AJ48" s="38" t="str">
        <f>Finance!F48</f>
        <v/>
      </c>
      <c r="AK48" s="39" t="str">
        <f>Bangla!G48</f>
        <v/>
      </c>
      <c r="AL48" s="39" t="str">
        <f>English!F48</f>
        <v/>
      </c>
      <c r="AM48" s="39" t="str">
        <f>ICT!H48</f>
        <v/>
      </c>
      <c r="AN48" s="39" t="str">
        <f>Accounting!G48</f>
        <v/>
      </c>
      <c r="AO48" s="39" t="str">
        <f>'Business Organization'!G48</f>
        <v/>
      </c>
      <c r="AP48" s="39" t="str">
        <f>IF(SubjectList!G48="Finance",Finance!G48,IF(SubjectList!G48="Production",Production!G48,IF(SubjectList!G48="Economics",Economics!G48)))</f>
        <v/>
      </c>
      <c r="AQ48" s="39" t="str">
        <f>IF(Optional!H48="","", Optional!H48)</f>
        <v/>
      </c>
      <c r="AR48" s="39" t="str">
        <f>Optional!H48</f>
        <v/>
      </c>
      <c r="AS48" s="39" t="str">
        <f>Optional!I48</f>
        <v/>
      </c>
      <c r="AT48" s="39" t="str">
        <f t="shared" si="16"/>
        <v/>
      </c>
      <c r="AU48" s="39">
        <f t="shared" si="9"/>
        <v>0</v>
      </c>
      <c r="AV48" s="39" t="str">
        <f t="shared" si="17"/>
        <v/>
      </c>
      <c r="AW48" s="39" t="str">
        <f t="shared" si="18"/>
        <v/>
      </c>
      <c r="AX48" s="5">
        <f t="shared" si="10"/>
        <v>0</v>
      </c>
      <c r="AY48" s="41">
        <f t="shared" si="19"/>
        <v>0</v>
      </c>
      <c r="AZ48" s="41">
        <f t="shared" si="20"/>
        <v>0</v>
      </c>
      <c r="BA48" s="41">
        <f t="shared" si="21"/>
        <v>0</v>
      </c>
      <c r="BB48" s="41">
        <f t="shared" si="22"/>
        <v>0</v>
      </c>
      <c r="BC48" s="41">
        <f t="shared" si="23"/>
        <v>0</v>
      </c>
      <c r="BD48" s="41">
        <f t="shared" si="24"/>
        <v>0</v>
      </c>
      <c r="BE48" s="3">
        <f t="shared" si="11"/>
        <v>0</v>
      </c>
      <c r="BF48" s="3" t="str">
        <f t="shared" si="12"/>
        <v>Failed in 6 Subjects</v>
      </c>
      <c r="BG48" s="5" t="str">
        <f>IF(AW48="","",RANK(AW48,AW$2:AW145,0))</f>
        <v/>
      </c>
      <c r="BH48" s="3" t="str">
        <f t="shared" si="13"/>
        <v>খুবই দুর্বল</v>
      </c>
      <c r="BI48" t="str">
        <f t="shared" si="14"/>
        <v>Very Weak</v>
      </c>
      <c r="BJ48" s="104" t="str">
        <f t="shared" si="15"/>
        <v/>
      </c>
    </row>
    <row r="49" spans="1:62" ht="15" thickBot="1" x14ac:dyDescent="0.4">
      <c r="A49" s="3" t="str">
        <f>'Student Basic Info'!B49</f>
        <v>Business Studies</v>
      </c>
      <c r="B49" s="3">
        <f>'Student Basic Info'!A49</f>
        <v>548</v>
      </c>
      <c r="C49" s="3" t="str">
        <f>'Student Basic Info'!C49</f>
        <v>Mehedi Hasan</v>
      </c>
      <c r="D49" s="3" t="str">
        <f>'Student Basic Info'!D49</f>
        <v>Ala Uddin</v>
      </c>
      <c r="E49" s="3" t="str">
        <f>'Student Basic Info'!E49</f>
        <v>Parvin Aktar</v>
      </c>
      <c r="F49" s="3" t="str">
        <f>'Student Basic Info'!F49</f>
        <v>Male</v>
      </c>
      <c r="G49" s="79" t="s">
        <v>856</v>
      </c>
      <c r="H49" s="59" t="str">
        <f>IF(Bangla!B49="","",Bangla!B49)</f>
        <v/>
      </c>
      <c r="I49" s="59" t="str">
        <f>IF(Bangla!C49="","",Bangla!C49)</f>
        <v/>
      </c>
      <c r="J49" s="60" t="str">
        <f>IF(Bangla!D49="","",Bangla!D49)</f>
        <v/>
      </c>
      <c r="K49" s="61" t="str">
        <f>IF(English!C49="","",English!C49)</f>
        <v/>
      </c>
      <c r="L49" s="35" t="str">
        <f>IF(ICT!B49="","",ICT!B49)</f>
        <v/>
      </c>
      <c r="M49" s="35" t="str">
        <f>IF(ICT!C49="","",ICT!C49)</f>
        <v/>
      </c>
      <c r="N49" s="35" t="str">
        <f>IF(ICT!D49="","",ICT!D49)</f>
        <v/>
      </c>
      <c r="O49" s="42" t="str">
        <f>IF(ICT!E49="","",ICT!E49)</f>
        <v/>
      </c>
      <c r="P49" s="40" t="str">
        <f>IF(Accounting!B49="","",Accounting!B49)</f>
        <v/>
      </c>
      <c r="Q49" s="40" t="str">
        <f>IF(Accounting!C49="","",Accounting!C49)</f>
        <v/>
      </c>
      <c r="R49" s="44" t="str">
        <f>IF(Accounting!D49="","",Accounting!D49)</f>
        <v/>
      </c>
      <c r="S49" s="35" t="str">
        <f>IF('Business Organization'!B49="","",'Business Organization'!B49)</f>
        <v/>
      </c>
      <c r="T49" s="35" t="str">
        <f>IF('Business Organization'!C49="","",'Business Organization'!C49)</f>
        <v/>
      </c>
      <c r="U49" s="42" t="str">
        <f>IF('Business Organization'!D49="","",'Business Organization'!D49)</f>
        <v/>
      </c>
      <c r="V49" s="36" t="str">
        <f>IF(SubjectList!G49="Finance",IF(Finance!B49=0,"", Finance!B49),IF(SubjectList!G49="Production",IF(Production!B49=0,"", Production!B49),IF(SubjectList!G49="Economics",IF(Economics!B49=0,"", Economics!B49))))</f>
        <v/>
      </c>
      <c r="W49" s="36" t="str">
        <f>IF(SubjectList!G49="Finance",IF(Finance!C49=0,"", Finance!C49),IF(SubjectList!G49="Production",IF(Production!C49=0,"", Production!C49),IF(SubjectList!G49="Economics",IF(Economics!C49=0,"", Economics!C49))))</f>
        <v/>
      </c>
      <c r="X49" s="43" t="str">
        <f>IF(SubjectList!G49="Finance",IF(Finance!D49=0,"", Finance!D49),IF(SubjectList!G49="Production",IF(Production!D49=0,"", Production!D49),IF(SubjectList!G49="Economics",IF(Economics!D49=0,"", Economics!D49))))</f>
        <v/>
      </c>
      <c r="Y49" s="40" t="str">
        <f>IF(SubjectList!H49="Finance",IF(Finance!B49=0,"", Finance!B49),IF(SubjectList!H49="Production",IF(Production!B49=0,"", Production!B49),IF(SubjectList!H49="Economics",IF(Economics!B49=0,"", Economics!B49))))</f>
        <v/>
      </c>
      <c r="Z49" s="40" t="str">
        <f>IF(SubjectList!H49="Finance",IF(Finance!C49=0,"", Finance!C49),IF(SubjectList!H49="Production",IF(Production!C49=0,"", Production!C49),IF(SubjectList!H49="Economics",IF(Economics!C49=0,"", Economics!C49))))</f>
        <v/>
      </c>
      <c r="AA49" s="44" t="str">
        <f>IF(SubjectList!H49="Finance",IF(Finance!D49=0,"", Finance!D49),IF(SubjectList!H49="Production",IF(Production!D49=0,"", Production!D49),IF(SubjectList!H49="Economics",IF(Economics!D49=0,"", Economics!D49))))</f>
        <v/>
      </c>
      <c r="AB49" s="37" t="str">
        <f>IF(SubjectList!G49="Finance","Finance",IF(SubjectList!G49="Production","Production",IF(SubjectList!G49="Economics","Not Given")))</f>
        <v>Finance</v>
      </c>
      <c r="AC49" s="37" t="str">
        <f>IF(SubjectList!H49="Finance","Finance",IF(SubjectList!H49="Production","Production",IF(SubjectList!H49="Economics","Economics","Not Given")))</f>
        <v>Production</v>
      </c>
      <c r="AD49" s="38" t="str">
        <f>Bangla!F49</f>
        <v/>
      </c>
      <c r="AE49" s="38" t="str">
        <f>English!E49</f>
        <v/>
      </c>
      <c r="AF49" s="38" t="str">
        <f>ICT!G49</f>
        <v/>
      </c>
      <c r="AG49" s="38" t="str">
        <f>Accounting!F49</f>
        <v/>
      </c>
      <c r="AH49" s="38" t="str">
        <f>'Business Organization'!F49</f>
        <v/>
      </c>
      <c r="AI49" s="38" t="str">
        <f>Production!F49</f>
        <v/>
      </c>
      <c r="AJ49" s="38" t="str">
        <f>Finance!F49</f>
        <v/>
      </c>
      <c r="AK49" s="39" t="str">
        <f>Bangla!G49</f>
        <v/>
      </c>
      <c r="AL49" s="39" t="str">
        <f>English!F49</f>
        <v/>
      </c>
      <c r="AM49" s="39" t="str">
        <f>ICT!H49</f>
        <v/>
      </c>
      <c r="AN49" s="39" t="str">
        <f>Accounting!G49</f>
        <v/>
      </c>
      <c r="AO49" s="39" t="str">
        <f>'Business Organization'!G49</f>
        <v/>
      </c>
      <c r="AP49" s="39" t="str">
        <f>IF(SubjectList!G49="Finance",Finance!G49,IF(SubjectList!G49="Production",Production!G49,IF(SubjectList!G49="Economics",Economics!G49)))</f>
        <v/>
      </c>
      <c r="AQ49" s="39" t="str">
        <f>IF(Optional!H49="","", Optional!H49)</f>
        <v/>
      </c>
      <c r="AR49" s="39" t="str">
        <f>Optional!H49</f>
        <v/>
      </c>
      <c r="AS49" s="39" t="str">
        <f>Optional!I49</f>
        <v/>
      </c>
      <c r="AT49" s="39" t="str">
        <f t="shared" si="16"/>
        <v/>
      </c>
      <c r="AU49" s="39">
        <f t="shared" si="9"/>
        <v>0</v>
      </c>
      <c r="AV49" s="39" t="str">
        <f t="shared" si="17"/>
        <v/>
      </c>
      <c r="AW49" s="39" t="str">
        <f t="shared" si="18"/>
        <v/>
      </c>
      <c r="AX49" s="5">
        <f t="shared" si="10"/>
        <v>0</v>
      </c>
      <c r="AY49" s="41">
        <f t="shared" si="19"/>
        <v>0</v>
      </c>
      <c r="AZ49" s="41">
        <f t="shared" si="20"/>
        <v>0</v>
      </c>
      <c r="BA49" s="41">
        <f t="shared" si="21"/>
        <v>0</v>
      </c>
      <c r="BB49" s="41">
        <f t="shared" si="22"/>
        <v>0</v>
      </c>
      <c r="BC49" s="41">
        <f t="shared" si="23"/>
        <v>0</v>
      </c>
      <c r="BD49" s="41">
        <f t="shared" si="24"/>
        <v>0</v>
      </c>
      <c r="BE49" s="3">
        <f t="shared" si="11"/>
        <v>0</v>
      </c>
      <c r="BF49" s="3" t="str">
        <f t="shared" si="12"/>
        <v>Failed in 6 Subjects</v>
      </c>
      <c r="BG49" s="5" t="str">
        <f>IF(AW49="","",RANK(AW49,AW$2:AW145,0))</f>
        <v/>
      </c>
      <c r="BH49" s="3" t="str">
        <f t="shared" si="13"/>
        <v>খুবই দুর্বল</v>
      </c>
      <c r="BI49" t="str">
        <f t="shared" si="14"/>
        <v>Very Weak</v>
      </c>
      <c r="BJ49" s="104" t="str">
        <f t="shared" si="15"/>
        <v/>
      </c>
    </row>
    <row r="50" spans="1:62" ht="15" thickBot="1" x14ac:dyDescent="0.4">
      <c r="A50" s="3" t="str">
        <f>'Student Basic Info'!B50</f>
        <v>Business Studies</v>
      </c>
      <c r="B50" s="3">
        <f>'Student Basic Info'!A50</f>
        <v>549</v>
      </c>
      <c r="C50" s="3" t="str">
        <f>'Student Basic Info'!C50</f>
        <v>Mia Md. Mahrup Murshid</v>
      </c>
      <c r="D50" s="3" t="str">
        <f>'Student Basic Info'!D50</f>
        <v>Zohirul Haque</v>
      </c>
      <c r="E50" s="3" t="str">
        <f>'Student Basic Info'!E50</f>
        <v>Anowara Begum</v>
      </c>
      <c r="F50" s="3" t="str">
        <f>'Student Basic Info'!F50</f>
        <v>Male</v>
      </c>
      <c r="G50" s="79">
        <v>1791865670</v>
      </c>
      <c r="H50" s="59" t="str">
        <f>IF(Bangla!B50="","",Bangla!B50)</f>
        <v/>
      </c>
      <c r="I50" s="59">
        <f>IF(Bangla!C50="","",Bangla!C50)</f>
        <v>33</v>
      </c>
      <c r="J50" s="60">
        <f>IF(Bangla!D50="","",Bangla!D50)</f>
        <v>33</v>
      </c>
      <c r="K50" s="61">
        <f>IF(English!C50="","",English!C50)</f>
        <v>7</v>
      </c>
      <c r="L50" s="35">
        <f>IF(ICT!B50="","",ICT!B50)</f>
        <v>12</v>
      </c>
      <c r="M50" s="35">
        <f>IF(ICT!C50="","",ICT!C50)</f>
        <v>9</v>
      </c>
      <c r="N50" s="35">
        <f>IF(ICT!D50="","",ICT!D50)</f>
        <v>18</v>
      </c>
      <c r="O50" s="42">
        <f>IF(ICT!E50="","",ICT!E50)</f>
        <v>39</v>
      </c>
      <c r="P50" s="40">
        <f>IF(Accounting!B50="","",Accounting!B50)</f>
        <v>10</v>
      </c>
      <c r="Q50" s="40">
        <f>IF(Accounting!C50="","",Accounting!C50)</f>
        <v>20</v>
      </c>
      <c r="R50" s="44">
        <f>IF(Accounting!D50="","",Accounting!D50)</f>
        <v>30</v>
      </c>
      <c r="S50" s="35">
        <f>IF('Business Organization'!B50="","",'Business Organization'!B50)</f>
        <v>19</v>
      </c>
      <c r="T50" s="35">
        <f>IF('Business Organization'!C50="","",'Business Organization'!C50)</f>
        <v>23</v>
      </c>
      <c r="U50" s="42">
        <f>IF('Business Organization'!D50="","",'Business Organization'!D50)</f>
        <v>42</v>
      </c>
      <c r="V50" s="36">
        <f>IF(SubjectList!G50="Finance",IF(Finance!B50=0,"", Finance!B50),IF(SubjectList!G50="Production",IF(Production!B50=0,"", Production!B50),IF(SubjectList!G50="Economics",IF(Economics!B50=0,"", Economics!B50))))</f>
        <v>10</v>
      </c>
      <c r="W50" s="36">
        <f>IF(SubjectList!G50="Finance",IF(Finance!C50=0,"", Finance!C50),IF(SubjectList!G50="Production",IF(Production!C50=0,"", Production!C50),IF(SubjectList!G50="Economics",IF(Economics!C50=0,"", Economics!C50))))</f>
        <v>1</v>
      </c>
      <c r="X50" s="43">
        <f>IF(SubjectList!G50="Finance",IF(Finance!D50=0,"", Finance!D50),IF(SubjectList!G50="Production",IF(Production!D50=0,"", Production!D50),IF(SubjectList!G50="Economics",IF(Economics!D50=0,"", Economics!D50))))</f>
        <v>11</v>
      </c>
      <c r="Y50" s="40">
        <f>IF(SubjectList!H50="Finance",IF(Finance!B50=0,"", Finance!B50),IF(SubjectList!H50="Production",IF(Production!B50=0,"", Production!B50),IF(SubjectList!H50="Economics",IF(Economics!B50=0,"", Economics!B50))))</f>
        <v>15</v>
      </c>
      <c r="Z50" s="40">
        <f>IF(SubjectList!H50="Finance",IF(Finance!C50=0,"", Finance!C50),IF(SubjectList!H50="Production",IF(Production!C50=0,"", Production!C50),IF(SubjectList!H50="Economics",IF(Economics!C50=0,"", Economics!C50))))</f>
        <v>19</v>
      </c>
      <c r="AA50" s="44">
        <f>IF(SubjectList!H50="Finance",IF(Finance!D50=0,"", Finance!D50),IF(SubjectList!H50="Production",IF(Production!D50=0,"", Production!D50),IF(SubjectList!H50="Economics",IF(Economics!D50=0,"", Economics!D50))))</f>
        <v>34</v>
      </c>
      <c r="AB50" s="37" t="str">
        <f>IF(SubjectList!G50="Finance","Finance",IF(SubjectList!G50="Production","Production",IF(SubjectList!G50="Economics","Not Given")))</f>
        <v>Finance</v>
      </c>
      <c r="AC50" s="37" t="str">
        <f>IF(SubjectList!H50="Finance","Finance",IF(SubjectList!H50="Production","Production",IF(SubjectList!H50="Economics","Economics","Not Given")))</f>
        <v>Production</v>
      </c>
      <c r="AD50" s="38" t="str">
        <f>Bangla!F50</f>
        <v>D</v>
      </c>
      <c r="AE50" s="38" t="str">
        <f>English!E50</f>
        <v>F</v>
      </c>
      <c r="AF50" s="38" t="str">
        <f>ICT!G50</f>
        <v>F</v>
      </c>
      <c r="AG50" s="38" t="str">
        <f>Accounting!F50</f>
        <v>F</v>
      </c>
      <c r="AH50" s="38" t="str">
        <f>'Business Organization'!F50</f>
        <v>C</v>
      </c>
      <c r="AI50" s="38" t="str">
        <f>Production!F50</f>
        <v>F</v>
      </c>
      <c r="AJ50" s="38" t="str">
        <f>Finance!F50</f>
        <v>F</v>
      </c>
      <c r="AK50" s="39">
        <f>Bangla!G50</f>
        <v>1</v>
      </c>
      <c r="AL50" s="39">
        <f>English!F50</f>
        <v>0</v>
      </c>
      <c r="AM50" s="39">
        <f>ICT!H50</f>
        <v>0</v>
      </c>
      <c r="AN50" s="39">
        <f>Accounting!G50</f>
        <v>0</v>
      </c>
      <c r="AO50" s="39">
        <f>'Business Organization'!G50</f>
        <v>2</v>
      </c>
      <c r="AP50" s="39">
        <f>IF(SubjectList!G50="Finance",Finance!G50,IF(SubjectList!G50="Production",Production!G50,IF(SubjectList!G50="Economics",Economics!G50)))</f>
        <v>0</v>
      </c>
      <c r="AQ50" s="39">
        <f>IF(Optional!H50="","", Optional!H50)</f>
        <v>0</v>
      </c>
      <c r="AR50" s="39">
        <f>Optional!H50</f>
        <v>0</v>
      </c>
      <c r="AS50" s="39">
        <f>Optional!I50</f>
        <v>0</v>
      </c>
      <c r="AT50" s="39">
        <f t="shared" si="16"/>
        <v>3</v>
      </c>
      <c r="AU50" s="39">
        <f t="shared" si="9"/>
        <v>3</v>
      </c>
      <c r="AV50" s="39" t="str">
        <f t="shared" si="17"/>
        <v/>
      </c>
      <c r="AW50" s="39" t="str">
        <f t="shared" si="18"/>
        <v/>
      </c>
      <c r="AX50" s="5">
        <f t="shared" si="10"/>
        <v>196</v>
      </c>
      <c r="AY50" s="41">
        <f t="shared" si="19"/>
        <v>1</v>
      </c>
      <c r="AZ50" s="41">
        <f t="shared" si="20"/>
        <v>0</v>
      </c>
      <c r="BA50" s="41">
        <f t="shared" si="21"/>
        <v>0</v>
      </c>
      <c r="BB50" s="41">
        <f t="shared" si="22"/>
        <v>0</v>
      </c>
      <c r="BC50" s="41">
        <f t="shared" si="23"/>
        <v>1</v>
      </c>
      <c r="BD50" s="41">
        <f t="shared" si="24"/>
        <v>0</v>
      </c>
      <c r="BE50" s="3">
        <f t="shared" si="11"/>
        <v>2</v>
      </c>
      <c r="BF50" s="3" t="str">
        <f t="shared" si="12"/>
        <v>Failed in 4 Subjects</v>
      </c>
      <c r="BG50" s="5" t="str">
        <f>IF(AW50="","",RANK(AW50,AW$2:AW145,0))</f>
        <v/>
      </c>
      <c r="BH50" s="3" t="str">
        <f t="shared" si="13"/>
        <v>খুবই দুর্বল</v>
      </c>
      <c r="BI50" t="str">
        <f t="shared" si="14"/>
        <v>Very Weak</v>
      </c>
      <c r="BJ50" s="104" t="str">
        <f t="shared" si="15"/>
        <v/>
      </c>
    </row>
    <row r="51" spans="1:62" ht="15" thickBot="1" x14ac:dyDescent="0.4">
      <c r="A51" s="3" t="str">
        <f>'Student Basic Info'!B51</f>
        <v>Business Studies</v>
      </c>
      <c r="B51" s="3">
        <f>'Student Basic Info'!A51</f>
        <v>550</v>
      </c>
      <c r="C51" s="3" t="str">
        <f>'Student Basic Info'!C51</f>
        <v>Mishu Alom Suddik</v>
      </c>
      <c r="D51" s="3" t="str">
        <f>'Student Basic Info'!D51</f>
        <v>Abu Bokkor Siddik</v>
      </c>
      <c r="E51" s="3" t="str">
        <f>'Student Basic Info'!E51</f>
        <v>Selina Aktar</v>
      </c>
      <c r="F51" s="3" t="str">
        <f>'Student Basic Info'!F51</f>
        <v>Male</v>
      </c>
      <c r="G51" s="79">
        <v>1894636686</v>
      </c>
      <c r="H51" s="59" t="str">
        <f>IF(Bangla!B51="","",Bangla!B51)</f>
        <v/>
      </c>
      <c r="I51" s="59" t="str">
        <f>IF(Bangla!C51="","",Bangla!C51)</f>
        <v/>
      </c>
      <c r="J51" s="60" t="str">
        <f>IF(Bangla!D51="","",Bangla!D51)</f>
        <v/>
      </c>
      <c r="K51" s="61" t="str">
        <f>IF(English!C51="","",English!C51)</f>
        <v/>
      </c>
      <c r="L51" s="35" t="str">
        <f>IF(ICT!B51="","",ICT!B51)</f>
        <v/>
      </c>
      <c r="M51" s="35" t="str">
        <f>IF(ICT!C51="","",ICT!C51)</f>
        <v/>
      </c>
      <c r="N51" s="35" t="str">
        <f>IF(ICT!D51="","",ICT!D51)</f>
        <v/>
      </c>
      <c r="O51" s="42" t="str">
        <f>IF(ICT!E51="","",ICT!E51)</f>
        <v/>
      </c>
      <c r="P51" s="40" t="str">
        <f>IF(Accounting!B51="","",Accounting!B51)</f>
        <v/>
      </c>
      <c r="Q51" s="40" t="str">
        <f>IF(Accounting!C51="","",Accounting!C51)</f>
        <v/>
      </c>
      <c r="R51" s="44" t="str">
        <f>IF(Accounting!D51="","",Accounting!D51)</f>
        <v/>
      </c>
      <c r="S51" s="35" t="str">
        <f>IF('Business Organization'!B51="","",'Business Organization'!B51)</f>
        <v/>
      </c>
      <c r="T51" s="35" t="str">
        <f>IF('Business Organization'!C51="","",'Business Organization'!C51)</f>
        <v/>
      </c>
      <c r="U51" s="42" t="str">
        <f>IF('Business Organization'!D51="","",'Business Organization'!D51)</f>
        <v/>
      </c>
      <c r="V51" s="36" t="str">
        <f>IF(SubjectList!G51="Finance",IF(Finance!B51=0,"", Finance!B51),IF(SubjectList!G51="Production",IF(Production!B51=0,"", Production!B51),IF(SubjectList!G51="Economics",IF(Economics!B51=0,"", Economics!B51))))</f>
        <v/>
      </c>
      <c r="W51" s="36" t="str">
        <f>IF(SubjectList!G51="Finance",IF(Finance!C51=0,"", Finance!C51),IF(SubjectList!G51="Production",IF(Production!C51=0,"", Production!C51),IF(SubjectList!G51="Economics",IF(Economics!C51=0,"", Economics!C51))))</f>
        <v/>
      </c>
      <c r="X51" s="43" t="str">
        <f>IF(SubjectList!G51="Finance",IF(Finance!D51=0,"", Finance!D51),IF(SubjectList!G51="Production",IF(Production!D51=0,"", Production!D51),IF(SubjectList!G51="Economics",IF(Economics!D51=0,"", Economics!D51))))</f>
        <v/>
      </c>
      <c r="Y51" s="40" t="str">
        <f>IF(SubjectList!H51="Finance",IF(Finance!B51=0,"", Finance!B51),IF(SubjectList!H51="Production",IF(Production!B51=0,"", Production!B51),IF(SubjectList!H51="Economics",IF(Economics!B51=0,"", Economics!B51))))</f>
        <v/>
      </c>
      <c r="Z51" s="40" t="str">
        <f>IF(SubjectList!H51="Finance",IF(Finance!C51=0,"", Finance!C51),IF(SubjectList!H51="Production",IF(Production!C51=0,"", Production!C51),IF(SubjectList!H51="Economics",IF(Economics!C51=0,"", Economics!C51))))</f>
        <v/>
      </c>
      <c r="AA51" s="44" t="str">
        <f>IF(SubjectList!H51="Finance",IF(Finance!D51=0,"", Finance!D51),IF(SubjectList!H51="Production",IF(Production!D51=0,"", Production!D51),IF(SubjectList!H51="Economics",IF(Economics!D51=0,"", Economics!D51))))</f>
        <v/>
      </c>
      <c r="AB51" s="37" t="str">
        <f>IF(SubjectList!G51="Finance","Finance",IF(SubjectList!G51="Production","Production",IF(SubjectList!G51="Economics","Not Given")))</f>
        <v>Finance</v>
      </c>
      <c r="AC51" s="37" t="str">
        <f>IF(SubjectList!H51="Finance","Finance",IF(SubjectList!H51="Production","Production",IF(SubjectList!H51="Economics","Economics","Not Given")))</f>
        <v>Production</v>
      </c>
      <c r="AD51" s="38" t="str">
        <f>Bangla!F51</f>
        <v/>
      </c>
      <c r="AE51" s="38" t="str">
        <f>English!E51</f>
        <v/>
      </c>
      <c r="AF51" s="38" t="str">
        <f>ICT!G51</f>
        <v/>
      </c>
      <c r="AG51" s="38" t="str">
        <f>Accounting!F51</f>
        <v/>
      </c>
      <c r="AH51" s="38" t="str">
        <f>'Business Organization'!F51</f>
        <v/>
      </c>
      <c r="AI51" s="38" t="str">
        <f>Production!F51</f>
        <v/>
      </c>
      <c r="AJ51" s="38" t="str">
        <f>Finance!F51</f>
        <v/>
      </c>
      <c r="AK51" s="39" t="str">
        <f>Bangla!G51</f>
        <v/>
      </c>
      <c r="AL51" s="39" t="str">
        <f>English!F51</f>
        <v/>
      </c>
      <c r="AM51" s="39" t="str">
        <f>ICT!H51</f>
        <v/>
      </c>
      <c r="AN51" s="39" t="str">
        <f>Accounting!G51</f>
        <v/>
      </c>
      <c r="AO51" s="39" t="str">
        <f>'Business Organization'!G51</f>
        <v/>
      </c>
      <c r="AP51" s="39" t="str">
        <f>IF(SubjectList!G51="Finance",Finance!G51,IF(SubjectList!G51="Production",Production!G51,IF(SubjectList!G51="Economics",Economics!G51)))</f>
        <v/>
      </c>
      <c r="AQ51" s="39" t="str">
        <f>IF(Optional!H51="","", Optional!H51)</f>
        <v/>
      </c>
      <c r="AR51" s="39" t="str">
        <f>Optional!H51</f>
        <v/>
      </c>
      <c r="AS51" s="39" t="str">
        <f>Optional!I51</f>
        <v/>
      </c>
      <c r="AT51" s="39" t="str">
        <f t="shared" si="16"/>
        <v/>
      </c>
      <c r="AU51" s="39">
        <f t="shared" si="9"/>
        <v>0</v>
      </c>
      <c r="AV51" s="39" t="str">
        <f t="shared" si="17"/>
        <v/>
      </c>
      <c r="AW51" s="39" t="str">
        <f t="shared" si="18"/>
        <v/>
      </c>
      <c r="AX51" s="5">
        <f t="shared" si="10"/>
        <v>0</v>
      </c>
      <c r="AY51" s="41">
        <f t="shared" si="19"/>
        <v>0</v>
      </c>
      <c r="AZ51" s="41">
        <f t="shared" si="20"/>
        <v>0</v>
      </c>
      <c r="BA51" s="41">
        <f t="shared" si="21"/>
        <v>0</v>
      </c>
      <c r="BB51" s="41">
        <f t="shared" si="22"/>
        <v>0</v>
      </c>
      <c r="BC51" s="41">
        <f t="shared" si="23"/>
        <v>0</v>
      </c>
      <c r="BD51" s="41">
        <f t="shared" si="24"/>
        <v>0</v>
      </c>
      <c r="BE51" s="3">
        <f t="shared" si="11"/>
        <v>0</v>
      </c>
      <c r="BF51" s="3" t="str">
        <f t="shared" si="12"/>
        <v>Failed in 6 Subjects</v>
      </c>
      <c r="BG51" s="5" t="str">
        <f>IF(AW51="","",RANK(AW51,AW$2:AW145,0))</f>
        <v/>
      </c>
      <c r="BH51" s="3" t="str">
        <f t="shared" si="13"/>
        <v>খুবই দুর্বল</v>
      </c>
      <c r="BI51" t="str">
        <f t="shared" si="14"/>
        <v>Very Weak</v>
      </c>
      <c r="BJ51" s="104" t="str">
        <f t="shared" si="15"/>
        <v/>
      </c>
    </row>
    <row r="52" spans="1:62" ht="15" thickBot="1" x14ac:dyDescent="0.4">
      <c r="A52" s="3" t="str">
        <f>'Student Basic Info'!B52</f>
        <v>Business Studies</v>
      </c>
      <c r="B52" s="3">
        <f>'Student Basic Info'!A52</f>
        <v>551</v>
      </c>
      <c r="C52" s="3" t="str">
        <f>'Student Basic Info'!C52</f>
        <v>Ismail Hosain</v>
      </c>
      <c r="D52" s="3" t="str">
        <f>'Student Basic Info'!D52</f>
        <v>Md. Dulal</v>
      </c>
      <c r="E52" s="3" t="str">
        <f>'Student Basic Info'!E52</f>
        <v>Kanrun Nahar</v>
      </c>
      <c r="F52" s="3" t="str">
        <f>'Student Basic Info'!F52</f>
        <v>Male</v>
      </c>
      <c r="G52" s="79" t="s">
        <v>857</v>
      </c>
      <c r="H52" s="59" t="str">
        <f>IF(Bangla!B52="","",Bangla!B52)</f>
        <v/>
      </c>
      <c r="I52" s="59" t="str">
        <f>IF(Bangla!C52="","",Bangla!C52)</f>
        <v/>
      </c>
      <c r="J52" s="60" t="str">
        <f>IF(Bangla!D52="","",Bangla!D52)</f>
        <v/>
      </c>
      <c r="K52" s="61" t="str">
        <f>IF(English!C52="","",English!C52)</f>
        <v/>
      </c>
      <c r="L52" s="35" t="str">
        <f>IF(ICT!B52="","",ICT!B52)</f>
        <v/>
      </c>
      <c r="M52" s="35" t="str">
        <f>IF(ICT!C52="","",ICT!C52)</f>
        <v/>
      </c>
      <c r="N52" s="35" t="str">
        <f>IF(ICT!D52="","",ICT!D52)</f>
        <v/>
      </c>
      <c r="O52" s="42" t="str">
        <f>IF(ICT!E52="","",ICT!E52)</f>
        <v/>
      </c>
      <c r="P52" s="40" t="str">
        <f>IF(Accounting!B52="","",Accounting!B52)</f>
        <v/>
      </c>
      <c r="Q52" s="40" t="str">
        <f>IF(Accounting!C52="","",Accounting!C52)</f>
        <v/>
      </c>
      <c r="R52" s="44" t="str">
        <f>IF(Accounting!D52="","",Accounting!D52)</f>
        <v/>
      </c>
      <c r="S52" s="35" t="str">
        <f>IF('Business Organization'!B52="","",'Business Organization'!B52)</f>
        <v/>
      </c>
      <c r="T52" s="35" t="str">
        <f>IF('Business Organization'!C52="","",'Business Organization'!C52)</f>
        <v/>
      </c>
      <c r="U52" s="42" t="str">
        <f>IF('Business Organization'!D52="","",'Business Organization'!D52)</f>
        <v/>
      </c>
      <c r="V52" s="36" t="str">
        <f>IF(SubjectList!G52="Finance",IF(Finance!B52=0,"", Finance!B52),IF(SubjectList!G52="Production",IF(Production!B52=0,"", Production!B52),IF(SubjectList!G52="Economics",IF(Economics!B52=0,"", Economics!B52))))</f>
        <v/>
      </c>
      <c r="W52" s="36" t="str">
        <f>IF(SubjectList!G52="Finance",IF(Finance!C52=0,"", Finance!C52),IF(SubjectList!G52="Production",IF(Production!C52=0,"", Production!C52),IF(SubjectList!G52="Economics",IF(Economics!C52=0,"", Economics!C52))))</f>
        <v/>
      </c>
      <c r="X52" s="43" t="str">
        <f>IF(SubjectList!G52="Finance",IF(Finance!D52=0,"", Finance!D52),IF(SubjectList!G52="Production",IF(Production!D52=0,"", Production!D52),IF(SubjectList!G52="Economics",IF(Economics!D52=0,"", Economics!D52))))</f>
        <v/>
      </c>
      <c r="Y52" s="40" t="str">
        <f>IF(SubjectList!H52="Finance",IF(Finance!B52=0,"", Finance!B52),IF(SubjectList!H52="Production",IF(Production!B52=0,"", Production!B52),IF(SubjectList!H52="Economics",IF(Economics!B52=0,"", Economics!B52))))</f>
        <v/>
      </c>
      <c r="Z52" s="40" t="str">
        <f>IF(SubjectList!H52="Finance",IF(Finance!C52=0,"", Finance!C52),IF(SubjectList!H52="Production",IF(Production!C52=0,"", Production!C52),IF(SubjectList!H52="Economics",IF(Economics!C52=0,"", Economics!C52))))</f>
        <v/>
      </c>
      <c r="AA52" s="44" t="str">
        <f>IF(SubjectList!H52="Finance",IF(Finance!D52=0,"", Finance!D52),IF(SubjectList!H52="Production",IF(Production!D52=0,"", Production!D52),IF(SubjectList!H52="Economics",IF(Economics!D52=0,"", Economics!D52))))</f>
        <v/>
      </c>
      <c r="AB52" s="37" t="str">
        <f>IF(SubjectList!G52="Finance","Finance",IF(SubjectList!G52="Production","Production",IF(SubjectList!G52="Economics","Not Given")))</f>
        <v>Production</v>
      </c>
      <c r="AC52" s="37" t="str">
        <f>IF(SubjectList!H52="Finance","Finance",IF(SubjectList!H52="Production","Production",IF(SubjectList!H52="Economics","Economics","Not Given")))</f>
        <v>Finance</v>
      </c>
      <c r="AD52" s="38" t="str">
        <f>Bangla!F52</f>
        <v/>
      </c>
      <c r="AE52" s="38" t="str">
        <f>English!E52</f>
        <v/>
      </c>
      <c r="AF52" s="38" t="str">
        <f>ICT!G52</f>
        <v/>
      </c>
      <c r="AG52" s="38" t="str">
        <f>Accounting!F52</f>
        <v/>
      </c>
      <c r="AH52" s="38" t="str">
        <f>'Business Organization'!F52</f>
        <v/>
      </c>
      <c r="AI52" s="38" t="str">
        <f>Production!F52</f>
        <v/>
      </c>
      <c r="AJ52" s="38" t="str">
        <f>Finance!F52</f>
        <v/>
      </c>
      <c r="AK52" s="39" t="str">
        <f>Bangla!G52</f>
        <v/>
      </c>
      <c r="AL52" s="39" t="str">
        <f>English!F52</f>
        <v/>
      </c>
      <c r="AM52" s="39" t="str">
        <f>ICT!H52</f>
        <v/>
      </c>
      <c r="AN52" s="39" t="str">
        <f>Accounting!G52</f>
        <v/>
      </c>
      <c r="AO52" s="39" t="str">
        <f>'Business Organization'!G52</f>
        <v/>
      </c>
      <c r="AP52" s="39" t="str">
        <f>IF(SubjectList!G52="Finance",Finance!G52,IF(SubjectList!G52="Production",Production!G52,IF(SubjectList!G52="Economics",Economics!G52)))</f>
        <v/>
      </c>
      <c r="AQ52" s="39" t="str">
        <f>IF(Optional!H52="","", Optional!H52)</f>
        <v/>
      </c>
      <c r="AR52" s="39" t="str">
        <f>Optional!H52</f>
        <v/>
      </c>
      <c r="AS52" s="39" t="str">
        <f>Optional!I52</f>
        <v/>
      </c>
      <c r="AT52" s="39" t="str">
        <f t="shared" si="16"/>
        <v/>
      </c>
      <c r="AU52" s="39">
        <f t="shared" si="9"/>
        <v>0</v>
      </c>
      <c r="AV52" s="39" t="str">
        <f t="shared" si="17"/>
        <v/>
      </c>
      <c r="AW52" s="39" t="str">
        <f t="shared" si="18"/>
        <v/>
      </c>
      <c r="AX52" s="5">
        <f t="shared" si="10"/>
        <v>0</v>
      </c>
      <c r="AY52" s="41">
        <f t="shared" si="19"/>
        <v>0</v>
      </c>
      <c r="AZ52" s="41">
        <f t="shared" si="20"/>
        <v>0</v>
      </c>
      <c r="BA52" s="41">
        <f t="shared" si="21"/>
        <v>0</v>
      </c>
      <c r="BB52" s="41">
        <f t="shared" si="22"/>
        <v>0</v>
      </c>
      <c r="BC52" s="41">
        <f t="shared" si="23"/>
        <v>0</v>
      </c>
      <c r="BD52" s="41">
        <f t="shared" si="24"/>
        <v>0</v>
      </c>
      <c r="BE52" s="3">
        <f t="shared" si="11"/>
        <v>0</v>
      </c>
      <c r="BF52" s="3" t="str">
        <f t="shared" si="12"/>
        <v>Failed in 6 Subjects</v>
      </c>
      <c r="BG52" s="5" t="str">
        <f>IF(AW52="","",RANK(AW52,AW$2:AW145,0))</f>
        <v/>
      </c>
      <c r="BH52" s="3" t="str">
        <f t="shared" si="13"/>
        <v>খুবই দুর্বল</v>
      </c>
      <c r="BI52" t="str">
        <f t="shared" si="14"/>
        <v>Very Weak</v>
      </c>
      <c r="BJ52" s="104" t="str">
        <f t="shared" si="15"/>
        <v/>
      </c>
    </row>
    <row r="53" spans="1:62" ht="15" thickBot="1" x14ac:dyDescent="0.4">
      <c r="A53" s="3" t="str">
        <f>'Student Basic Info'!B53</f>
        <v>Business Studies</v>
      </c>
      <c r="B53" s="3">
        <f>'Student Basic Info'!A53</f>
        <v>552</v>
      </c>
      <c r="C53" s="3" t="str">
        <f>'Student Basic Info'!C53</f>
        <v>Abu Bokkor Siddik</v>
      </c>
      <c r="D53" s="3" t="str">
        <f>'Student Basic Info'!D53</f>
        <v>Abu Taher</v>
      </c>
      <c r="E53" s="3" t="str">
        <f>'Student Basic Info'!E53</f>
        <v>Zannatul Ferdous</v>
      </c>
      <c r="F53" s="3" t="str">
        <f>'Student Basic Info'!F53</f>
        <v>Male</v>
      </c>
      <c r="G53" s="79" t="s">
        <v>858</v>
      </c>
      <c r="H53" s="59" t="str">
        <f>IF(Bangla!B53="","",Bangla!B53)</f>
        <v/>
      </c>
      <c r="I53" s="59">
        <f>IF(Bangla!C53="","",Bangla!C53)</f>
        <v>33</v>
      </c>
      <c r="J53" s="60">
        <f>IF(Bangla!D53="","",Bangla!D53)</f>
        <v>33</v>
      </c>
      <c r="K53" s="61">
        <f>IF(English!C53="","",English!C53)</f>
        <v>16</v>
      </c>
      <c r="L53" s="35">
        <f>IF(ICT!B53="","",ICT!B53)</f>
        <v>10</v>
      </c>
      <c r="M53" s="35">
        <f>IF(ICT!C53="","",ICT!C53)</f>
        <v>8</v>
      </c>
      <c r="N53" s="35">
        <f>IF(ICT!D53="","",ICT!D53)</f>
        <v>20</v>
      </c>
      <c r="O53" s="42">
        <f>IF(ICT!E53="","",ICT!E53)</f>
        <v>38</v>
      </c>
      <c r="P53" s="40">
        <f>IF(Accounting!B53="","",Accounting!B53)</f>
        <v>10</v>
      </c>
      <c r="Q53" s="40">
        <f>IF(Accounting!C53="","",Accounting!C53)</f>
        <v>13</v>
      </c>
      <c r="R53" s="44">
        <f>IF(Accounting!D53="","",Accounting!D53)</f>
        <v>23</v>
      </c>
      <c r="S53" s="35">
        <f>IF('Business Organization'!B53="","",'Business Organization'!B53)</f>
        <v>18</v>
      </c>
      <c r="T53" s="35">
        <f>IF('Business Organization'!C53="","",'Business Organization'!C53)</f>
        <v>12</v>
      </c>
      <c r="U53" s="42">
        <f>IF('Business Organization'!D53="","",'Business Organization'!D53)</f>
        <v>30</v>
      </c>
      <c r="V53" s="36">
        <f>IF(SubjectList!G53="Finance",IF(Finance!B53=0,"", Finance!B53),IF(SubjectList!G53="Production",IF(Production!B53=0,"", Production!B53),IF(SubjectList!G53="Economics",IF(Economics!B53=0,"", Economics!B53))))</f>
        <v>10</v>
      </c>
      <c r="W53" s="36">
        <f>IF(SubjectList!G53="Finance",IF(Finance!C53=0,"", Finance!C53),IF(SubjectList!G53="Production",IF(Production!C53=0,"", Production!C53),IF(SubjectList!G53="Economics",IF(Economics!C53=0,"", Economics!C53))))</f>
        <v>8</v>
      </c>
      <c r="X53" s="43">
        <f>IF(SubjectList!G53="Finance",IF(Finance!D53=0,"", Finance!D53),IF(SubjectList!G53="Production",IF(Production!D53=0,"", Production!D53),IF(SubjectList!G53="Economics",IF(Economics!D53=0,"", Economics!D53))))</f>
        <v>18</v>
      </c>
      <c r="Y53" s="40">
        <f>IF(SubjectList!H53="Finance",IF(Finance!B53=0,"", Finance!B53),IF(SubjectList!H53="Production",IF(Production!B53=0,"", Production!B53),IF(SubjectList!H53="Economics",IF(Economics!B53=0,"", Economics!B53))))</f>
        <v>14</v>
      </c>
      <c r="Z53" s="40">
        <f>IF(SubjectList!H53="Finance",IF(Finance!C53=0,"", Finance!C53),IF(SubjectList!H53="Production",IF(Production!C53=0,"", Production!C53),IF(SubjectList!H53="Economics",IF(Economics!C53=0,"", Economics!C53))))</f>
        <v>23</v>
      </c>
      <c r="AA53" s="44">
        <f>IF(SubjectList!H53="Finance",IF(Finance!D53=0,"", Finance!D53),IF(SubjectList!H53="Production",IF(Production!D53=0,"", Production!D53),IF(SubjectList!H53="Economics",IF(Economics!D53=0,"", Economics!D53))))</f>
        <v>37</v>
      </c>
      <c r="AB53" s="37" t="str">
        <f>IF(SubjectList!G53="Finance","Finance",IF(SubjectList!G53="Production","Production",IF(SubjectList!G53="Economics","Not Given")))</f>
        <v>Finance</v>
      </c>
      <c r="AC53" s="37" t="str">
        <f>IF(SubjectList!H53="Finance","Finance",IF(SubjectList!H53="Production","Production",IF(SubjectList!H53="Economics","Economics","Not Given")))</f>
        <v>Production</v>
      </c>
      <c r="AD53" s="38" t="str">
        <f>Bangla!F53</f>
        <v>D</v>
      </c>
      <c r="AE53" s="38" t="str">
        <f>English!E53</f>
        <v>F</v>
      </c>
      <c r="AF53" s="38" t="str">
        <f>ICT!G53</f>
        <v>F</v>
      </c>
      <c r="AG53" s="38" t="str">
        <f>Accounting!F53</f>
        <v>F</v>
      </c>
      <c r="AH53" s="38" t="str">
        <f>'Business Organization'!F53</f>
        <v>F</v>
      </c>
      <c r="AI53" s="38" t="str">
        <f>Production!F53</f>
        <v>D</v>
      </c>
      <c r="AJ53" s="38" t="str">
        <f>Finance!F53</f>
        <v>F</v>
      </c>
      <c r="AK53" s="39">
        <f>Bangla!G53</f>
        <v>1</v>
      </c>
      <c r="AL53" s="39">
        <f>English!F53</f>
        <v>0</v>
      </c>
      <c r="AM53" s="39">
        <f>ICT!H53</f>
        <v>0</v>
      </c>
      <c r="AN53" s="39">
        <f>Accounting!G53</f>
        <v>0</v>
      </c>
      <c r="AO53" s="39">
        <f>'Business Organization'!G53</f>
        <v>0</v>
      </c>
      <c r="AP53" s="39">
        <f>IF(SubjectList!G53="Finance",Finance!G53,IF(SubjectList!G53="Production",Production!G53,IF(SubjectList!G53="Economics",Economics!G53)))</f>
        <v>0</v>
      </c>
      <c r="AQ53" s="39">
        <f>IF(Optional!H53="","", Optional!H53)</f>
        <v>1</v>
      </c>
      <c r="AR53" s="39">
        <f>Optional!H53</f>
        <v>1</v>
      </c>
      <c r="AS53" s="39">
        <f>Optional!I53</f>
        <v>0</v>
      </c>
      <c r="AT53" s="39">
        <f t="shared" si="16"/>
        <v>1</v>
      </c>
      <c r="AU53" s="39">
        <f t="shared" si="9"/>
        <v>1</v>
      </c>
      <c r="AV53" s="39" t="str">
        <f t="shared" si="17"/>
        <v/>
      </c>
      <c r="AW53" s="39" t="str">
        <f t="shared" si="18"/>
        <v/>
      </c>
      <c r="AX53" s="5">
        <f t="shared" si="10"/>
        <v>195</v>
      </c>
      <c r="AY53" s="41">
        <f t="shared" si="19"/>
        <v>1</v>
      </c>
      <c r="AZ53" s="41">
        <f t="shared" si="20"/>
        <v>0</v>
      </c>
      <c r="BA53" s="41">
        <f t="shared" si="21"/>
        <v>0</v>
      </c>
      <c r="BB53" s="41">
        <f t="shared" si="22"/>
        <v>0</v>
      </c>
      <c r="BC53" s="41">
        <f t="shared" si="23"/>
        <v>0</v>
      </c>
      <c r="BD53" s="41">
        <f t="shared" si="24"/>
        <v>0</v>
      </c>
      <c r="BE53" s="3">
        <f t="shared" si="11"/>
        <v>1</v>
      </c>
      <c r="BF53" s="3" t="str">
        <f t="shared" si="12"/>
        <v>Failed in 5 Subjects</v>
      </c>
      <c r="BG53" s="5" t="str">
        <f>IF(AW53="","",RANK(AW53,AW$2:AW145,0))</f>
        <v/>
      </c>
      <c r="BH53" s="3" t="str">
        <f t="shared" si="13"/>
        <v>খুবই দুর্বল</v>
      </c>
      <c r="BI53" t="str">
        <f t="shared" si="14"/>
        <v>Very Weak</v>
      </c>
      <c r="BJ53" s="104" t="str">
        <f t="shared" si="15"/>
        <v/>
      </c>
    </row>
    <row r="54" spans="1:62" ht="15" thickBot="1" x14ac:dyDescent="0.4">
      <c r="A54" s="3" t="str">
        <f>'Student Basic Info'!B54</f>
        <v>Business Studies</v>
      </c>
      <c r="B54" s="3">
        <f>'Student Basic Info'!A54</f>
        <v>553</v>
      </c>
      <c r="C54" s="3" t="str">
        <f>'Student Basic Info'!C54</f>
        <v>Nowshad Ali</v>
      </c>
      <c r="D54" s="3" t="str">
        <f>'Student Basic Info'!D54</f>
        <v>Iqbal Hosain</v>
      </c>
      <c r="E54" s="3" t="str">
        <f>'Student Basic Info'!E54</f>
        <v>Bibi Kulsum</v>
      </c>
      <c r="F54" s="3" t="str">
        <f>'Student Basic Info'!F54</f>
        <v>Male</v>
      </c>
      <c r="G54" s="79">
        <v>1894184159</v>
      </c>
      <c r="H54" s="59" t="str">
        <f>IF(Bangla!B54="","",Bangla!B54)</f>
        <v/>
      </c>
      <c r="I54" s="59" t="str">
        <f>IF(Bangla!C54="","",Bangla!C54)</f>
        <v/>
      </c>
      <c r="J54" s="60" t="str">
        <f>IF(Bangla!D54="","",Bangla!D54)</f>
        <v/>
      </c>
      <c r="K54" s="61" t="str">
        <f>IF(English!C54="","",English!C54)</f>
        <v/>
      </c>
      <c r="L54" s="35" t="str">
        <f>IF(ICT!B54="","",ICT!B54)</f>
        <v/>
      </c>
      <c r="M54" s="35" t="str">
        <f>IF(ICT!C54="","",ICT!C54)</f>
        <v/>
      </c>
      <c r="N54" s="35" t="str">
        <f>IF(ICT!D54="","",ICT!D54)</f>
        <v/>
      </c>
      <c r="O54" s="42" t="str">
        <f>IF(ICT!E54="","",ICT!E54)</f>
        <v/>
      </c>
      <c r="P54" s="40" t="str">
        <f>IF(Accounting!B54="","",Accounting!B54)</f>
        <v/>
      </c>
      <c r="Q54" s="40" t="str">
        <f>IF(Accounting!C54="","",Accounting!C54)</f>
        <v/>
      </c>
      <c r="R54" s="44" t="str">
        <f>IF(Accounting!D54="","",Accounting!D54)</f>
        <v/>
      </c>
      <c r="S54" s="35" t="str">
        <f>IF('Business Organization'!B54="","",'Business Organization'!B54)</f>
        <v/>
      </c>
      <c r="T54" s="35" t="str">
        <f>IF('Business Organization'!C54="","",'Business Organization'!C54)</f>
        <v/>
      </c>
      <c r="U54" s="42" t="str">
        <f>IF('Business Organization'!D54="","",'Business Organization'!D54)</f>
        <v/>
      </c>
      <c r="V54" s="36" t="str">
        <f>IF(SubjectList!G54="Finance",IF(Finance!B54=0,"", Finance!B54),IF(SubjectList!G54="Production",IF(Production!B54=0,"", Production!B54),IF(SubjectList!G54="Economics",IF(Economics!B54=0,"", Economics!B54))))</f>
        <v/>
      </c>
      <c r="W54" s="36" t="str">
        <f>IF(SubjectList!G54="Finance",IF(Finance!C54=0,"", Finance!C54),IF(SubjectList!G54="Production",IF(Production!C54=0,"", Production!C54),IF(SubjectList!G54="Economics",IF(Economics!C54=0,"", Economics!C54))))</f>
        <v/>
      </c>
      <c r="X54" s="43" t="str">
        <f>IF(SubjectList!G54="Finance",IF(Finance!D54=0,"", Finance!D54),IF(SubjectList!G54="Production",IF(Production!D54=0,"", Production!D54),IF(SubjectList!G54="Economics",IF(Economics!D54=0,"", Economics!D54))))</f>
        <v/>
      </c>
      <c r="Y54" s="40" t="str">
        <f>IF(SubjectList!H54="Finance",IF(Finance!B54=0,"", Finance!B54),IF(SubjectList!H54="Production",IF(Production!B54=0,"", Production!B54),IF(SubjectList!H54="Economics",IF(Economics!B54=0,"", Economics!B54))))</f>
        <v/>
      </c>
      <c r="Z54" s="40" t="str">
        <f>IF(SubjectList!H54="Finance",IF(Finance!C54=0,"", Finance!C54),IF(SubjectList!H54="Production",IF(Production!C54=0,"", Production!C54),IF(SubjectList!H54="Economics",IF(Economics!C54=0,"", Economics!C54))))</f>
        <v/>
      </c>
      <c r="AA54" s="44" t="str">
        <f>IF(SubjectList!H54="Finance",IF(Finance!D54=0,"", Finance!D54),IF(SubjectList!H54="Production",IF(Production!D54=0,"", Production!D54),IF(SubjectList!H54="Economics",IF(Economics!D54=0,"", Economics!D54))))</f>
        <v/>
      </c>
      <c r="AB54" s="37" t="str">
        <f>IF(SubjectList!G54="Finance","Finance",IF(SubjectList!G54="Production","Production",IF(SubjectList!G54="Economics","Not Given")))</f>
        <v>Finance</v>
      </c>
      <c r="AC54" s="37" t="str">
        <f>IF(SubjectList!H54="Finance","Finance",IF(SubjectList!H54="Production","Production",IF(SubjectList!H54="Economics","Economics","Not Given")))</f>
        <v>Production</v>
      </c>
      <c r="AD54" s="38" t="str">
        <f>Bangla!F54</f>
        <v/>
      </c>
      <c r="AE54" s="38" t="str">
        <f>English!E54</f>
        <v/>
      </c>
      <c r="AF54" s="38" t="str">
        <f>ICT!G54</f>
        <v/>
      </c>
      <c r="AG54" s="38" t="str">
        <f>Accounting!F54</f>
        <v/>
      </c>
      <c r="AH54" s="38" t="str">
        <f>'Business Organization'!F54</f>
        <v/>
      </c>
      <c r="AI54" s="38" t="str">
        <f>Production!F54</f>
        <v/>
      </c>
      <c r="AJ54" s="38" t="str">
        <f>Finance!F54</f>
        <v/>
      </c>
      <c r="AK54" s="39" t="str">
        <f>Bangla!G54</f>
        <v/>
      </c>
      <c r="AL54" s="39" t="str">
        <f>English!F54</f>
        <v/>
      </c>
      <c r="AM54" s="39" t="str">
        <f>ICT!H54</f>
        <v/>
      </c>
      <c r="AN54" s="39" t="str">
        <f>Accounting!G54</f>
        <v/>
      </c>
      <c r="AO54" s="39" t="str">
        <f>'Business Organization'!G54</f>
        <v/>
      </c>
      <c r="AP54" s="39" t="str">
        <f>IF(SubjectList!G54="Finance",Finance!G54,IF(SubjectList!G54="Production",Production!G54,IF(SubjectList!G54="Economics",Economics!G54)))</f>
        <v/>
      </c>
      <c r="AQ54" s="39" t="str">
        <f>IF(Optional!H54="","", Optional!H54)</f>
        <v/>
      </c>
      <c r="AR54" s="39" t="str">
        <f>Optional!H54</f>
        <v/>
      </c>
      <c r="AS54" s="39" t="str">
        <f>Optional!I54</f>
        <v/>
      </c>
      <c r="AT54" s="39" t="str">
        <f t="shared" si="16"/>
        <v/>
      </c>
      <c r="AU54" s="39">
        <f t="shared" si="9"/>
        <v>0</v>
      </c>
      <c r="AV54" s="39" t="str">
        <f t="shared" si="17"/>
        <v/>
      </c>
      <c r="AW54" s="39" t="str">
        <f t="shared" si="18"/>
        <v/>
      </c>
      <c r="AX54" s="5">
        <f t="shared" si="10"/>
        <v>0</v>
      </c>
      <c r="AY54" s="41">
        <f t="shared" si="19"/>
        <v>0</v>
      </c>
      <c r="AZ54" s="41">
        <f t="shared" si="20"/>
        <v>0</v>
      </c>
      <c r="BA54" s="41">
        <f t="shared" si="21"/>
        <v>0</v>
      </c>
      <c r="BB54" s="41">
        <f t="shared" si="22"/>
        <v>0</v>
      </c>
      <c r="BC54" s="41">
        <f t="shared" si="23"/>
        <v>0</v>
      </c>
      <c r="BD54" s="41">
        <f t="shared" si="24"/>
        <v>0</v>
      </c>
      <c r="BE54" s="3">
        <f t="shared" si="11"/>
        <v>0</v>
      </c>
      <c r="BF54" s="3" t="str">
        <f t="shared" si="12"/>
        <v>Failed in 6 Subjects</v>
      </c>
      <c r="BG54" s="5" t="str">
        <f>IF(AW54="","",RANK(AW54,AW$2:AW145,0))</f>
        <v/>
      </c>
      <c r="BH54" s="3" t="str">
        <f t="shared" si="13"/>
        <v>খুবই দুর্বল</v>
      </c>
      <c r="BI54" t="str">
        <f t="shared" si="14"/>
        <v>Very Weak</v>
      </c>
      <c r="BJ54" s="104" t="str">
        <f t="shared" si="15"/>
        <v/>
      </c>
    </row>
    <row r="55" spans="1:62" ht="15" thickBot="1" x14ac:dyDescent="0.4">
      <c r="A55" s="3" t="str">
        <f>'Student Basic Info'!B55</f>
        <v>Business Studies</v>
      </c>
      <c r="B55" s="3">
        <f>'Student Basic Info'!A55</f>
        <v>554</v>
      </c>
      <c r="C55" s="3" t="str">
        <f>'Student Basic Info'!C55</f>
        <v>Md. Musa</v>
      </c>
      <c r="D55" s="3" t="str">
        <f>'Student Basic Info'!D55</f>
        <v>Md. Younus</v>
      </c>
      <c r="E55" s="3" t="str">
        <f>'Student Basic Info'!E55</f>
        <v>Najmun Nahar</v>
      </c>
      <c r="F55" s="3" t="str">
        <f>'Student Basic Info'!F55</f>
        <v>Male</v>
      </c>
      <c r="G55" s="79" t="s">
        <v>859</v>
      </c>
      <c r="H55" s="59" t="str">
        <f>IF(Bangla!B55="","",Bangla!B55)</f>
        <v/>
      </c>
      <c r="I55" s="59">
        <f>IF(Bangla!C55="","",Bangla!C55)</f>
        <v>33</v>
      </c>
      <c r="J55" s="60">
        <f>IF(Bangla!D55="","",Bangla!D55)</f>
        <v>33</v>
      </c>
      <c r="K55" s="61">
        <f>IF(English!C55="","",English!C55)</f>
        <v>12</v>
      </c>
      <c r="L55" s="35">
        <f>IF(ICT!B55="","",ICT!B55)</f>
        <v>9</v>
      </c>
      <c r="M55" s="35">
        <f>IF(ICT!C55="","",ICT!C55)</f>
        <v>6</v>
      </c>
      <c r="N55" s="35">
        <f>IF(ICT!D55="","",ICT!D55)</f>
        <v>8</v>
      </c>
      <c r="O55" s="42">
        <f>IF(ICT!E55="","",ICT!E55)</f>
        <v>23</v>
      </c>
      <c r="P55" s="40">
        <f>IF(Accounting!B55="","",Accounting!B55)</f>
        <v>10</v>
      </c>
      <c r="Q55" s="40">
        <f>IF(Accounting!C55="","",Accounting!C55)</f>
        <v>9</v>
      </c>
      <c r="R55" s="44">
        <f>IF(Accounting!D55="","",Accounting!D55)</f>
        <v>19</v>
      </c>
      <c r="S55" s="35">
        <f>IF('Business Organization'!B55="","",'Business Organization'!B55)</f>
        <v>18</v>
      </c>
      <c r="T55" s="35">
        <f>IF('Business Organization'!C55="","",'Business Organization'!C55)</f>
        <v>8</v>
      </c>
      <c r="U55" s="42">
        <f>IF('Business Organization'!D55="","",'Business Organization'!D55)</f>
        <v>26</v>
      </c>
      <c r="V55" s="36">
        <f>IF(SubjectList!G55="Finance",IF(Finance!B55=0,"", Finance!B55),IF(SubjectList!G55="Production",IF(Production!B55=0,"", Production!B55),IF(SubjectList!G55="Economics",IF(Economics!B55=0,"", Economics!B55))))</f>
        <v>7</v>
      </c>
      <c r="W55" s="36">
        <f>IF(SubjectList!G55="Finance",IF(Finance!C55=0,"", Finance!C55),IF(SubjectList!G55="Production",IF(Production!C55=0,"", Production!C55),IF(SubjectList!G55="Economics",IF(Economics!C55=0,"", Economics!C55))))</f>
        <v>2</v>
      </c>
      <c r="X55" s="43">
        <f>IF(SubjectList!G55="Finance",IF(Finance!D55=0,"", Finance!D55),IF(SubjectList!G55="Production",IF(Production!D55=0,"", Production!D55),IF(SubjectList!G55="Economics",IF(Economics!D55=0,"", Economics!D55))))</f>
        <v>9</v>
      </c>
      <c r="Y55" s="40">
        <f>IF(SubjectList!H55="Finance",IF(Finance!B55=0,"", Finance!B55),IF(SubjectList!H55="Production",IF(Production!B55=0,"", Production!B55),IF(SubjectList!H55="Economics",IF(Economics!B55=0,"", Economics!B55))))</f>
        <v>15</v>
      </c>
      <c r="Z55" s="40">
        <f>IF(SubjectList!H55="Finance",IF(Finance!C55=0,"", Finance!C55),IF(SubjectList!H55="Production",IF(Production!C55=0,"", Production!C55),IF(SubjectList!H55="Economics",IF(Economics!C55=0,"", Economics!C55))))</f>
        <v>2</v>
      </c>
      <c r="AA55" s="44">
        <f>IF(SubjectList!H55="Finance",IF(Finance!D55=0,"", Finance!D55),IF(SubjectList!H55="Production",IF(Production!D55=0,"", Production!D55),IF(SubjectList!H55="Economics",IF(Economics!D55=0,"", Economics!D55))))</f>
        <v>17</v>
      </c>
      <c r="AB55" s="37" t="str">
        <f>IF(SubjectList!G55="Finance","Finance",IF(SubjectList!G55="Production","Production",IF(SubjectList!G55="Economics","Not Given")))</f>
        <v>Finance</v>
      </c>
      <c r="AC55" s="37" t="str">
        <f>IF(SubjectList!H55="Finance","Finance",IF(SubjectList!H55="Production","Production",IF(SubjectList!H55="Economics","Economics","Not Given")))</f>
        <v>Production</v>
      </c>
      <c r="AD55" s="38" t="str">
        <f>Bangla!F55</f>
        <v>D</v>
      </c>
      <c r="AE55" s="38" t="str">
        <f>English!E55</f>
        <v>F</v>
      </c>
      <c r="AF55" s="38" t="str">
        <f>ICT!G55</f>
        <v>F</v>
      </c>
      <c r="AG55" s="38" t="str">
        <f>Accounting!F55</f>
        <v>F</v>
      </c>
      <c r="AH55" s="38" t="str">
        <f>'Business Organization'!F55</f>
        <v>F</v>
      </c>
      <c r="AI55" s="38" t="str">
        <f>Production!F55</f>
        <v>F</v>
      </c>
      <c r="AJ55" s="38" t="str">
        <f>Finance!F55</f>
        <v>F</v>
      </c>
      <c r="AK55" s="39">
        <f>Bangla!G55</f>
        <v>1</v>
      </c>
      <c r="AL55" s="39">
        <f>English!F55</f>
        <v>0</v>
      </c>
      <c r="AM55" s="39">
        <f>ICT!H55</f>
        <v>0</v>
      </c>
      <c r="AN55" s="39">
        <f>Accounting!G55</f>
        <v>0</v>
      </c>
      <c r="AO55" s="39">
        <f>'Business Organization'!G55</f>
        <v>0</v>
      </c>
      <c r="AP55" s="39">
        <f>IF(SubjectList!G55="Finance",Finance!G55,IF(SubjectList!G55="Production",Production!G55,IF(SubjectList!G55="Economics",Economics!G55)))</f>
        <v>0</v>
      </c>
      <c r="AQ55" s="39">
        <f>IF(Optional!H55="","", Optional!H55)</f>
        <v>0</v>
      </c>
      <c r="AR55" s="39">
        <f>Optional!H55</f>
        <v>0</v>
      </c>
      <c r="AS55" s="39">
        <f>Optional!I55</f>
        <v>0</v>
      </c>
      <c r="AT55" s="39">
        <f t="shared" si="16"/>
        <v>1</v>
      </c>
      <c r="AU55" s="39">
        <f t="shared" si="9"/>
        <v>1</v>
      </c>
      <c r="AV55" s="39" t="str">
        <f t="shared" si="17"/>
        <v/>
      </c>
      <c r="AW55" s="39" t="str">
        <f t="shared" si="18"/>
        <v/>
      </c>
      <c r="AX55" s="5">
        <f t="shared" si="10"/>
        <v>139</v>
      </c>
      <c r="AY55" s="41">
        <f t="shared" si="19"/>
        <v>1</v>
      </c>
      <c r="AZ55" s="41">
        <f t="shared" si="20"/>
        <v>0</v>
      </c>
      <c r="BA55" s="41">
        <f t="shared" si="21"/>
        <v>0</v>
      </c>
      <c r="BB55" s="41">
        <f t="shared" si="22"/>
        <v>0</v>
      </c>
      <c r="BC55" s="41">
        <f t="shared" si="23"/>
        <v>0</v>
      </c>
      <c r="BD55" s="41">
        <f t="shared" si="24"/>
        <v>0</v>
      </c>
      <c r="BE55" s="3">
        <f t="shared" si="11"/>
        <v>1</v>
      </c>
      <c r="BF55" s="3" t="str">
        <f t="shared" si="12"/>
        <v>Failed in 5 Subjects</v>
      </c>
      <c r="BG55" s="5" t="str">
        <f>IF(AW55="","",RANK(AW55,AW$2:AW145,0))</f>
        <v/>
      </c>
      <c r="BH55" s="3" t="str">
        <f t="shared" si="13"/>
        <v>খুবই দুর্বল</v>
      </c>
      <c r="BI55" t="str">
        <f t="shared" si="14"/>
        <v>Very Weak</v>
      </c>
      <c r="BJ55" s="104" t="str">
        <f t="shared" si="15"/>
        <v/>
      </c>
    </row>
    <row r="56" spans="1:62" ht="15" thickBot="1" x14ac:dyDescent="0.4">
      <c r="A56" s="3" t="str">
        <f>'Student Basic Info'!B56</f>
        <v>Business Studies</v>
      </c>
      <c r="B56" s="3">
        <f>'Student Basic Info'!A56</f>
        <v>555</v>
      </c>
      <c r="C56" s="3" t="str">
        <f>'Student Basic Info'!C56</f>
        <v>Setara Bagum</v>
      </c>
      <c r="D56" s="3" t="str">
        <f>'Student Basic Info'!D56</f>
        <v>Belayet Hosain</v>
      </c>
      <c r="E56" s="3" t="str">
        <f>'Student Basic Info'!E56</f>
        <v>Anowara Begum</v>
      </c>
      <c r="F56" s="3" t="str">
        <f>'Student Basic Info'!F56</f>
        <v>Female</v>
      </c>
      <c r="G56" s="79">
        <v>1610913258</v>
      </c>
      <c r="H56" s="59" t="str">
        <f>IF(Bangla!B56="","",Bangla!B56)</f>
        <v/>
      </c>
      <c r="I56" s="59">
        <f>IF(Bangla!C56="","",Bangla!C56)</f>
        <v>53</v>
      </c>
      <c r="J56" s="60">
        <f>IF(Bangla!D56="","",Bangla!D56)</f>
        <v>53</v>
      </c>
      <c r="K56" s="61">
        <f>IF(English!C56="","",English!C56)</f>
        <v>28</v>
      </c>
      <c r="L56" s="35">
        <f>IF(ICT!B56="","",ICT!B56)</f>
        <v>13</v>
      </c>
      <c r="M56" s="35">
        <f>IF(ICT!C56="","",ICT!C56)</f>
        <v>22</v>
      </c>
      <c r="N56" s="35">
        <f>IF(ICT!D56="","",ICT!D56)</f>
        <v>18</v>
      </c>
      <c r="O56" s="42">
        <f>IF(ICT!E56="","",ICT!E56)</f>
        <v>53</v>
      </c>
      <c r="P56" s="40">
        <f>IF(Accounting!B56="","",Accounting!B56)</f>
        <v>14</v>
      </c>
      <c r="Q56" s="40">
        <f>IF(Accounting!C56="","",Accounting!C56)</f>
        <v>43</v>
      </c>
      <c r="R56" s="44">
        <f>IF(Accounting!D56="","",Accounting!D56)</f>
        <v>57</v>
      </c>
      <c r="S56" s="35">
        <f>IF('Business Organization'!B56="","",'Business Organization'!B56)</f>
        <v>23</v>
      </c>
      <c r="T56" s="35">
        <f>IF('Business Organization'!C56="","",'Business Organization'!C56)</f>
        <v>33</v>
      </c>
      <c r="U56" s="42">
        <f>IF('Business Organization'!D56="","",'Business Organization'!D56)</f>
        <v>56</v>
      </c>
      <c r="V56" s="36">
        <f>IF(SubjectList!G56="Finance",IF(Finance!B56=0,"", Finance!B56),IF(SubjectList!G56="Production",IF(Production!B56=0,"", Production!B56),IF(SubjectList!G56="Economics",IF(Economics!B56=0,"", Economics!B56))))</f>
        <v>13</v>
      </c>
      <c r="W56" s="36">
        <f>IF(SubjectList!G56="Finance",IF(Finance!C56=0,"", Finance!C56),IF(SubjectList!G56="Production",IF(Production!C56=0,"", Production!C56),IF(SubjectList!G56="Economics",IF(Economics!C56=0,"", Economics!C56))))</f>
        <v>40</v>
      </c>
      <c r="X56" s="43">
        <f>IF(SubjectList!G56="Finance",IF(Finance!D56=0,"", Finance!D56),IF(SubjectList!G56="Production",IF(Production!D56=0,"", Production!D56),IF(SubjectList!G56="Economics",IF(Economics!D56=0,"", Economics!D56))))</f>
        <v>53</v>
      </c>
      <c r="Y56" s="40">
        <f>IF(SubjectList!H56="Finance",IF(Finance!B56=0,"", Finance!B56),IF(SubjectList!H56="Production",IF(Production!B56=0,"", Production!B56),IF(SubjectList!H56="Economics",IF(Economics!B56=0,"", Economics!B56))))</f>
        <v>13</v>
      </c>
      <c r="Z56" s="40">
        <f>IF(SubjectList!H56="Finance",IF(Finance!C56=0,"", Finance!C56),IF(SubjectList!H56="Production",IF(Production!C56=0,"", Production!C56),IF(SubjectList!H56="Economics",IF(Economics!C56=0,"", Economics!C56))))</f>
        <v>23</v>
      </c>
      <c r="AA56" s="44">
        <f>IF(SubjectList!H56="Finance",IF(Finance!D56=0,"", Finance!D56),IF(SubjectList!H56="Production",IF(Production!D56=0,"", Production!D56),IF(SubjectList!H56="Economics",IF(Economics!D56=0,"", Economics!D56))))</f>
        <v>36</v>
      </c>
      <c r="AB56" s="37" t="str">
        <f>IF(SubjectList!G56="Finance","Finance",IF(SubjectList!G56="Production","Production",IF(SubjectList!G56="Economics","Not Given")))</f>
        <v>Production</v>
      </c>
      <c r="AC56" s="37" t="str">
        <f>IF(SubjectList!H56="Finance","Finance",IF(SubjectList!H56="Production","Production",IF(SubjectList!H56="Economics","Economics","Not Given")))</f>
        <v>Finance</v>
      </c>
      <c r="AD56" s="38" t="str">
        <f>Bangla!F56</f>
        <v>B</v>
      </c>
      <c r="AE56" s="38" t="str">
        <f>English!E56</f>
        <v>F</v>
      </c>
      <c r="AF56" s="38" t="str">
        <f>ICT!G56</f>
        <v>B</v>
      </c>
      <c r="AG56" s="38" t="str">
        <f>Accounting!F56</f>
        <v>B</v>
      </c>
      <c r="AH56" s="38" t="str">
        <f>'Business Organization'!F56</f>
        <v>B</v>
      </c>
      <c r="AI56" s="38" t="str">
        <f>Production!F56</f>
        <v>B</v>
      </c>
      <c r="AJ56" s="38" t="str">
        <f>Finance!F56</f>
        <v>D</v>
      </c>
      <c r="AK56" s="39">
        <f>Bangla!G56</f>
        <v>3</v>
      </c>
      <c r="AL56" s="39">
        <f>English!F56</f>
        <v>0</v>
      </c>
      <c r="AM56" s="39">
        <f>ICT!H56</f>
        <v>3</v>
      </c>
      <c r="AN56" s="39">
        <f>Accounting!G56</f>
        <v>3</v>
      </c>
      <c r="AO56" s="39">
        <f>'Business Organization'!G56</f>
        <v>3</v>
      </c>
      <c r="AP56" s="39">
        <f>IF(SubjectList!G56="Finance",Finance!G56,IF(SubjectList!G56="Production",Production!G56,IF(SubjectList!G56="Economics",Economics!G56)))</f>
        <v>3</v>
      </c>
      <c r="AQ56" s="39">
        <f>IF(Optional!H56="","", Optional!H56)</f>
        <v>1</v>
      </c>
      <c r="AR56" s="39">
        <f>Optional!H56</f>
        <v>1</v>
      </c>
      <c r="AS56" s="39">
        <f>Optional!I56</f>
        <v>0</v>
      </c>
      <c r="AT56" s="39">
        <f t="shared" si="16"/>
        <v>15</v>
      </c>
      <c r="AU56" s="39">
        <f t="shared" si="9"/>
        <v>15</v>
      </c>
      <c r="AV56" s="39" t="str">
        <f t="shared" si="17"/>
        <v/>
      </c>
      <c r="AW56" s="39" t="str">
        <f t="shared" si="18"/>
        <v/>
      </c>
      <c r="AX56" s="5">
        <f t="shared" si="10"/>
        <v>336</v>
      </c>
      <c r="AY56" s="41">
        <f t="shared" si="19"/>
        <v>1</v>
      </c>
      <c r="AZ56" s="41">
        <f t="shared" si="20"/>
        <v>0</v>
      </c>
      <c r="BA56" s="41">
        <f t="shared" si="21"/>
        <v>1</v>
      </c>
      <c r="BB56" s="41">
        <f t="shared" si="22"/>
        <v>1</v>
      </c>
      <c r="BC56" s="41">
        <f t="shared" si="23"/>
        <v>1</v>
      </c>
      <c r="BD56" s="41">
        <f t="shared" si="24"/>
        <v>1</v>
      </c>
      <c r="BE56" s="3">
        <f t="shared" si="11"/>
        <v>5</v>
      </c>
      <c r="BF56" s="3" t="str">
        <f t="shared" si="12"/>
        <v>Failed in 1 Subject</v>
      </c>
      <c r="BG56" s="5" t="str">
        <f>IF(AW56="","",RANK(AW56,AW$2:AW145,0))</f>
        <v/>
      </c>
      <c r="BH56" s="3" t="str">
        <f t="shared" si="13"/>
        <v>খুবই দুর্বল</v>
      </c>
      <c r="BI56" t="str">
        <f t="shared" si="14"/>
        <v>Very Weak</v>
      </c>
      <c r="BJ56" s="104" t="str">
        <f t="shared" si="15"/>
        <v/>
      </c>
    </row>
    <row r="57" spans="1:62" ht="15" thickBot="1" x14ac:dyDescent="0.4">
      <c r="A57" s="3" t="str">
        <f>'Student Basic Info'!B57</f>
        <v>Business Studies</v>
      </c>
      <c r="B57" s="3">
        <f>'Student Basic Info'!A57</f>
        <v>556</v>
      </c>
      <c r="C57" s="3" t="str">
        <f>'Student Basic Info'!C57</f>
        <v>Tahamina Tabassum</v>
      </c>
      <c r="D57" s="3" t="str">
        <f>'Student Basic Info'!D57</f>
        <v>Md. Hasan Sabuj</v>
      </c>
      <c r="E57" s="3" t="str">
        <f>'Student Basic Info'!E57</f>
        <v>Bibi Marjahan Rosi</v>
      </c>
      <c r="F57" s="3" t="str">
        <f>'Student Basic Info'!F57</f>
        <v>Female</v>
      </c>
      <c r="G57" s="78">
        <v>1610913258</v>
      </c>
      <c r="H57" s="59" t="str">
        <f>IF(Bangla!B57="","",Bangla!B57)</f>
        <v/>
      </c>
      <c r="I57" s="59">
        <f>IF(Bangla!C57="","",Bangla!C57)</f>
        <v>60</v>
      </c>
      <c r="J57" s="60">
        <f>IF(Bangla!D57="","",Bangla!D57)</f>
        <v>60</v>
      </c>
      <c r="K57" s="61">
        <f>IF(English!C57="","",English!C57)</f>
        <v>27</v>
      </c>
      <c r="L57" s="35">
        <f>IF(ICT!B57="","",ICT!B57)</f>
        <v>10</v>
      </c>
      <c r="M57" s="35">
        <f>IF(ICT!C57="","",ICT!C57)</f>
        <v>11</v>
      </c>
      <c r="N57" s="35">
        <f>IF(ICT!D57="","",ICT!D57)</f>
        <v>20</v>
      </c>
      <c r="O57" s="42">
        <f>IF(ICT!E57="","",ICT!E57)</f>
        <v>41</v>
      </c>
      <c r="P57" s="40">
        <f>IF(Accounting!B57="","",Accounting!B57)</f>
        <v>12</v>
      </c>
      <c r="Q57" s="40">
        <f>IF(Accounting!C57="","",Accounting!C57)</f>
        <v>6</v>
      </c>
      <c r="R57" s="44">
        <f>IF(Accounting!D57="","",Accounting!D57)</f>
        <v>18</v>
      </c>
      <c r="S57" s="35">
        <f>IF('Business Organization'!B57="","",'Business Organization'!B57)</f>
        <v>21</v>
      </c>
      <c r="T57" s="35">
        <f>IF('Business Organization'!C57="","",'Business Organization'!C57)</f>
        <v>31</v>
      </c>
      <c r="U57" s="42">
        <f>IF('Business Organization'!D57="","",'Business Organization'!D57)</f>
        <v>52</v>
      </c>
      <c r="V57" s="36">
        <f>IF(SubjectList!G57="Finance",IF(Finance!B57=0,"", Finance!B57),IF(SubjectList!G57="Production",IF(Production!B57=0,"", Production!B57),IF(SubjectList!G57="Economics",IF(Economics!B57=0,"", Economics!B57))))</f>
        <v>10</v>
      </c>
      <c r="W57" s="36">
        <f>IF(SubjectList!G57="Finance",IF(Finance!C57=0,"", Finance!C57),IF(SubjectList!G57="Production",IF(Production!C57=0,"", Production!C57),IF(SubjectList!G57="Economics",IF(Economics!C57=0,"", Economics!C57))))</f>
        <v>16</v>
      </c>
      <c r="X57" s="43">
        <f>IF(SubjectList!G57="Finance",IF(Finance!D57=0,"", Finance!D57),IF(SubjectList!G57="Production",IF(Production!D57=0,"", Production!D57),IF(SubjectList!G57="Economics",IF(Economics!D57=0,"", Economics!D57))))</f>
        <v>26</v>
      </c>
      <c r="Y57" s="40">
        <f>IF(SubjectList!H57="Finance",IF(Finance!B57=0,"", Finance!B57),IF(SubjectList!H57="Production",IF(Production!B57=0,"", Production!B57),IF(SubjectList!H57="Economics",IF(Economics!B57=0,"", Economics!B57))))</f>
        <v>12</v>
      </c>
      <c r="Z57" s="40">
        <f>IF(SubjectList!H57="Finance",IF(Finance!C57=0,"", Finance!C57),IF(SubjectList!H57="Production",IF(Production!C57=0,"", Production!C57),IF(SubjectList!H57="Economics",IF(Economics!C57=0,"", Economics!C57))))</f>
        <v>30</v>
      </c>
      <c r="AA57" s="44">
        <f>IF(SubjectList!H57="Finance",IF(Finance!D57=0,"", Finance!D57),IF(SubjectList!H57="Production",IF(Production!D57=0,"", Production!D57),IF(SubjectList!H57="Economics",IF(Economics!D57=0,"", Economics!D57))))</f>
        <v>42</v>
      </c>
      <c r="AB57" s="37" t="str">
        <f>IF(SubjectList!G57="Finance","Finance",IF(SubjectList!G57="Production","Production",IF(SubjectList!G57="Economics","Not Given")))</f>
        <v>Finance</v>
      </c>
      <c r="AC57" s="37" t="str">
        <f>IF(SubjectList!H57="Finance","Finance",IF(SubjectList!H57="Production","Production",IF(SubjectList!H57="Economics","Economics","Not Given")))</f>
        <v>Production</v>
      </c>
      <c r="AD57" s="38" t="str">
        <f>Bangla!F57</f>
        <v>A-</v>
      </c>
      <c r="AE57" s="38" t="str">
        <f>English!E57</f>
        <v>F</v>
      </c>
      <c r="AF57" s="38" t="str">
        <f>ICT!G57</f>
        <v>F</v>
      </c>
      <c r="AG57" s="38" t="str">
        <f>Accounting!F57</f>
        <v>F</v>
      </c>
      <c r="AH57" s="38" t="str">
        <f>'Business Organization'!F57</f>
        <v>B</v>
      </c>
      <c r="AI57" s="38" t="str">
        <f>Production!F57</f>
        <v>C</v>
      </c>
      <c r="AJ57" s="38" t="str">
        <f>Finance!F57</f>
        <v>F</v>
      </c>
      <c r="AK57" s="39">
        <f>Bangla!G57</f>
        <v>3.5</v>
      </c>
      <c r="AL57" s="39">
        <f>English!F57</f>
        <v>0</v>
      </c>
      <c r="AM57" s="39">
        <f>ICT!H57</f>
        <v>0</v>
      </c>
      <c r="AN57" s="39">
        <f>Accounting!G57</f>
        <v>0</v>
      </c>
      <c r="AO57" s="39">
        <f>'Business Organization'!G57</f>
        <v>3</v>
      </c>
      <c r="AP57" s="39">
        <f>IF(SubjectList!G57="Finance",Finance!G57,IF(SubjectList!G57="Production",Production!G57,IF(SubjectList!G57="Economics",Economics!G57)))</f>
        <v>0</v>
      </c>
      <c r="AQ57" s="39">
        <f>IF(Optional!H57="","", Optional!H57)</f>
        <v>2</v>
      </c>
      <c r="AR57" s="39">
        <f>Optional!H57</f>
        <v>2</v>
      </c>
      <c r="AS57" s="39">
        <f>Optional!I57</f>
        <v>0</v>
      </c>
      <c r="AT57" s="39">
        <f t="shared" si="16"/>
        <v>6.5</v>
      </c>
      <c r="AU57" s="39">
        <f t="shared" si="9"/>
        <v>6.5</v>
      </c>
      <c r="AV57" s="39" t="str">
        <f t="shared" si="17"/>
        <v/>
      </c>
      <c r="AW57" s="39" t="str">
        <f t="shared" si="18"/>
        <v/>
      </c>
      <c r="AX57" s="5">
        <f t="shared" si="10"/>
        <v>266</v>
      </c>
      <c r="AY57" s="41">
        <f t="shared" si="19"/>
        <v>1</v>
      </c>
      <c r="AZ57" s="41">
        <f t="shared" si="20"/>
        <v>0</v>
      </c>
      <c r="BA57" s="41">
        <f t="shared" si="21"/>
        <v>0</v>
      </c>
      <c r="BB57" s="41">
        <f t="shared" si="22"/>
        <v>0</v>
      </c>
      <c r="BC57" s="41">
        <f t="shared" si="23"/>
        <v>1</v>
      </c>
      <c r="BD57" s="41">
        <f t="shared" si="24"/>
        <v>0</v>
      </c>
      <c r="BE57" s="3">
        <f t="shared" si="11"/>
        <v>2</v>
      </c>
      <c r="BF57" s="3" t="str">
        <f t="shared" si="12"/>
        <v>Failed in 4 Subjects</v>
      </c>
      <c r="BG57" s="5" t="str">
        <f>IF(AW57="","",RANK(AW57,AW$2:AW145,0))</f>
        <v/>
      </c>
      <c r="BH57" s="3" t="str">
        <f t="shared" si="13"/>
        <v>খুবই দুর্বল</v>
      </c>
      <c r="BI57" t="str">
        <f t="shared" si="14"/>
        <v>Very Weak</v>
      </c>
      <c r="BJ57" s="104" t="str">
        <f t="shared" si="15"/>
        <v/>
      </c>
    </row>
    <row r="58" spans="1:62" ht="15" thickBot="1" x14ac:dyDescent="0.4">
      <c r="A58" s="3" t="str">
        <f>'Student Basic Info'!B58</f>
        <v>Business Studies</v>
      </c>
      <c r="B58" s="3">
        <f>'Student Basic Info'!A58</f>
        <v>557</v>
      </c>
      <c r="C58" s="3" t="str">
        <f>'Student Basic Info'!C58</f>
        <v>Tanjila Akrar</v>
      </c>
      <c r="D58" s="3" t="str">
        <f>'Student Basic Info'!D58</f>
        <v>Muzammel Haque</v>
      </c>
      <c r="E58" s="3" t="str">
        <f>'Student Basic Info'!E58</f>
        <v>Zahan Ara Begum</v>
      </c>
      <c r="F58" s="3" t="str">
        <f>'Student Basic Info'!F58</f>
        <v>Female</v>
      </c>
      <c r="G58" s="79">
        <v>1610913258</v>
      </c>
      <c r="H58" s="59" t="str">
        <f>IF(Bangla!B58="","",Bangla!B58)</f>
        <v/>
      </c>
      <c r="I58" s="59">
        <f>IF(Bangla!C58="","",Bangla!C58)</f>
        <v>50</v>
      </c>
      <c r="J58" s="60">
        <f>IF(Bangla!D58="","",Bangla!D58)</f>
        <v>50</v>
      </c>
      <c r="K58" s="61">
        <f>IF(English!C58="","",English!C58)</f>
        <v>33</v>
      </c>
      <c r="L58" s="35">
        <f>IF(ICT!B58="","",ICT!B58)</f>
        <v>13</v>
      </c>
      <c r="M58" s="35">
        <f>IF(ICT!C58="","",ICT!C58)</f>
        <v>17</v>
      </c>
      <c r="N58" s="35">
        <f>IF(ICT!D58="","",ICT!D58)</f>
        <v>18</v>
      </c>
      <c r="O58" s="42">
        <f>IF(ICT!E58="","",ICT!E58)</f>
        <v>48</v>
      </c>
      <c r="P58" s="40">
        <f>IF(Accounting!B58="","",Accounting!B58)</f>
        <v>12</v>
      </c>
      <c r="Q58" s="40">
        <f>IF(Accounting!C58="","",Accounting!C58)</f>
        <v>25</v>
      </c>
      <c r="R58" s="44">
        <f>IF(Accounting!D58="","",Accounting!D58)</f>
        <v>37</v>
      </c>
      <c r="S58" s="35">
        <f>IF('Business Organization'!B58="","",'Business Organization'!B58)</f>
        <v>23</v>
      </c>
      <c r="T58" s="35">
        <f>IF('Business Organization'!C58="","",'Business Organization'!C58)</f>
        <v>36</v>
      </c>
      <c r="U58" s="42">
        <f>IF('Business Organization'!D58="","",'Business Organization'!D58)</f>
        <v>59</v>
      </c>
      <c r="V58" s="36">
        <f>IF(SubjectList!G58="Finance",IF(Finance!B58=0,"", Finance!B58),IF(SubjectList!G58="Production",IF(Production!B58=0,"", Production!B58),IF(SubjectList!G58="Economics",IF(Economics!B58=0,"", Economics!B58))))</f>
        <v>10</v>
      </c>
      <c r="W58" s="36">
        <f>IF(SubjectList!G58="Finance",IF(Finance!C58=0,"", Finance!C58),IF(SubjectList!G58="Production",IF(Production!C58=0,"", Production!C58),IF(SubjectList!G58="Economics",IF(Economics!C58=0,"", Economics!C58))))</f>
        <v>23</v>
      </c>
      <c r="X58" s="43">
        <f>IF(SubjectList!G58="Finance",IF(Finance!D58=0,"", Finance!D58),IF(SubjectList!G58="Production",IF(Production!D58=0,"", Production!D58),IF(SubjectList!G58="Economics",IF(Economics!D58=0,"", Economics!D58))))</f>
        <v>33</v>
      </c>
      <c r="Y58" s="40">
        <f>IF(SubjectList!H58="Finance",IF(Finance!B58=0,"", Finance!B58),IF(SubjectList!H58="Production",IF(Production!B58=0,"", Production!B58),IF(SubjectList!H58="Economics",IF(Economics!B58=0,"", Economics!B58))))</f>
        <v>12</v>
      </c>
      <c r="Z58" s="40">
        <f>IF(SubjectList!H58="Finance",IF(Finance!C58=0,"", Finance!C58),IF(SubjectList!H58="Production",IF(Production!C58=0,"", Production!C58),IF(SubjectList!H58="Economics",IF(Economics!C58=0,"", Economics!C58))))</f>
        <v>35</v>
      </c>
      <c r="AA58" s="44">
        <f>IF(SubjectList!H58="Finance",IF(Finance!D58=0,"", Finance!D58),IF(SubjectList!H58="Production",IF(Production!D58=0,"", Production!D58),IF(SubjectList!H58="Economics",IF(Economics!D58=0,"", Economics!D58))))</f>
        <v>47</v>
      </c>
      <c r="AB58" s="37" t="str">
        <f>IF(SubjectList!G58="Finance","Finance",IF(SubjectList!G58="Production","Production",IF(SubjectList!G58="Economics","Not Given")))</f>
        <v>Finance</v>
      </c>
      <c r="AC58" s="37" t="str">
        <f>IF(SubjectList!H58="Finance","Finance",IF(SubjectList!H58="Production","Production",IF(SubjectList!H58="Economics","Economics","Not Given")))</f>
        <v>Production</v>
      </c>
      <c r="AD58" s="38" t="str">
        <f>Bangla!F58</f>
        <v>B</v>
      </c>
      <c r="AE58" s="38" t="str">
        <f>English!E58</f>
        <v>D</v>
      </c>
      <c r="AF58" s="38" t="str">
        <f>ICT!G58</f>
        <v>C</v>
      </c>
      <c r="AG58" s="38" t="str">
        <f>Accounting!F58</f>
        <v>D</v>
      </c>
      <c r="AH58" s="38" t="str">
        <f>'Business Organization'!F58</f>
        <v>B</v>
      </c>
      <c r="AI58" s="38" t="str">
        <f>Production!F58</f>
        <v>C</v>
      </c>
      <c r="AJ58" s="38" t="str">
        <f>Finance!F58</f>
        <v>D</v>
      </c>
      <c r="AK58" s="39">
        <f>Bangla!G58</f>
        <v>3</v>
      </c>
      <c r="AL58" s="39">
        <f>English!F58</f>
        <v>1</v>
      </c>
      <c r="AM58" s="39">
        <f>ICT!H58</f>
        <v>2</v>
      </c>
      <c r="AN58" s="39">
        <f>Accounting!G58</f>
        <v>1</v>
      </c>
      <c r="AO58" s="39">
        <f>'Business Organization'!G58</f>
        <v>3</v>
      </c>
      <c r="AP58" s="39">
        <f>IF(SubjectList!G58="Finance",Finance!G58,IF(SubjectList!G58="Production",Production!G58,IF(SubjectList!G58="Economics",Economics!G58)))</f>
        <v>1</v>
      </c>
      <c r="AQ58" s="39">
        <f>IF(Optional!H58="","", Optional!H58)</f>
        <v>2</v>
      </c>
      <c r="AR58" s="39">
        <f>Optional!H58</f>
        <v>2</v>
      </c>
      <c r="AS58" s="39">
        <f>Optional!I58</f>
        <v>0</v>
      </c>
      <c r="AT58" s="39">
        <f t="shared" si="16"/>
        <v>11</v>
      </c>
      <c r="AU58" s="39">
        <f t="shared" si="9"/>
        <v>11</v>
      </c>
      <c r="AV58" s="39">
        <f t="shared" si="17"/>
        <v>1.8333333333333333</v>
      </c>
      <c r="AW58" s="39">
        <f t="shared" si="18"/>
        <v>1.8333333333333333</v>
      </c>
      <c r="AX58" s="5">
        <f t="shared" si="10"/>
        <v>307</v>
      </c>
      <c r="AY58" s="41">
        <f t="shared" si="19"/>
        <v>1</v>
      </c>
      <c r="AZ58" s="41">
        <f t="shared" si="20"/>
        <v>1</v>
      </c>
      <c r="BA58" s="41">
        <f t="shared" si="21"/>
        <v>1</v>
      </c>
      <c r="BB58" s="41">
        <f t="shared" si="22"/>
        <v>1</v>
      </c>
      <c r="BC58" s="41">
        <f t="shared" si="23"/>
        <v>1</v>
      </c>
      <c r="BD58" s="41">
        <f t="shared" si="24"/>
        <v>1</v>
      </c>
      <c r="BE58" s="3">
        <f t="shared" si="11"/>
        <v>6</v>
      </c>
      <c r="BF58" s="3" t="str">
        <f t="shared" si="12"/>
        <v>Pass</v>
      </c>
      <c r="BG58" s="5">
        <f>IF(AW58="","",RANK(AW58,AW$2:AW145,0))</f>
        <v>11</v>
      </c>
      <c r="BH58" s="3" t="str">
        <f t="shared" si="13"/>
        <v>দূর্বল</v>
      </c>
      <c r="BI58" t="str">
        <f t="shared" si="14"/>
        <v>Weak</v>
      </c>
      <c r="BJ58" s="104" t="str">
        <f t="shared" si="15"/>
        <v>D</v>
      </c>
    </row>
    <row r="59" spans="1:62" ht="15" thickBot="1" x14ac:dyDescent="0.4">
      <c r="A59" s="3" t="str">
        <f>'Student Basic Info'!B59</f>
        <v>Business Studies</v>
      </c>
      <c r="B59" s="3">
        <f>'Student Basic Info'!A59</f>
        <v>558</v>
      </c>
      <c r="C59" s="3" t="str">
        <f>'Student Basic Info'!C59</f>
        <v>Nusrat Zahan Evana</v>
      </c>
      <c r="D59" s="3" t="str">
        <f>'Student Basic Info'!D59</f>
        <v>Golam Sarowar</v>
      </c>
      <c r="E59" s="3" t="str">
        <f>'Student Basic Info'!E59</f>
        <v>Laily Begum</v>
      </c>
      <c r="F59" s="3" t="str">
        <f>'Student Basic Info'!F59</f>
        <v>Female</v>
      </c>
      <c r="G59" s="79">
        <v>1849863292</v>
      </c>
      <c r="H59" s="59" t="str">
        <f>IF(Bangla!B59="","",Bangla!B59)</f>
        <v/>
      </c>
      <c r="I59" s="59">
        <f>IF(Bangla!C59="","",Bangla!C59)</f>
        <v>60</v>
      </c>
      <c r="J59" s="60">
        <f>IF(Bangla!D59="","",Bangla!D59)</f>
        <v>60</v>
      </c>
      <c r="K59" s="61">
        <f>IF(English!C59="","",English!C59)</f>
        <v>33</v>
      </c>
      <c r="L59" s="35">
        <f>IF(ICT!B59="","",ICT!B59)</f>
        <v>10</v>
      </c>
      <c r="M59" s="35">
        <f>IF(ICT!C59="","",ICT!C59)</f>
        <v>26</v>
      </c>
      <c r="N59" s="35">
        <f>IF(ICT!D59="","",ICT!D59)</f>
        <v>20</v>
      </c>
      <c r="O59" s="42">
        <f>IF(ICT!E59="","",ICT!E59)</f>
        <v>56</v>
      </c>
      <c r="P59" s="40">
        <f>IF(Accounting!B59="","",Accounting!B59)</f>
        <v>11</v>
      </c>
      <c r="Q59" s="40">
        <f>IF(Accounting!C59="","",Accounting!C59)</f>
        <v>40</v>
      </c>
      <c r="R59" s="44">
        <f>IF(Accounting!D59="","",Accounting!D59)</f>
        <v>51</v>
      </c>
      <c r="S59" s="35">
        <f>IF('Business Organization'!B59="","",'Business Organization'!B59)</f>
        <v>22</v>
      </c>
      <c r="T59" s="35">
        <f>IF('Business Organization'!C59="","",'Business Organization'!C59)</f>
        <v>43</v>
      </c>
      <c r="U59" s="42">
        <f>IF('Business Organization'!D59="","",'Business Organization'!D59)</f>
        <v>65</v>
      </c>
      <c r="V59" s="36">
        <f>IF(SubjectList!G59="Finance",IF(Finance!B59=0,"", Finance!B59),IF(SubjectList!G59="Production",IF(Production!B59=0,"", Production!B59),IF(SubjectList!G59="Economics",IF(Economics!B59=0,"", Economics!B59))))</f>
        <v>15</v>
      </c>
      <c r="W59" s="36">
        <f>IF(SubjectList!G59="Finance",IF(Finance!C59=0,"", Finance!C59),IF(SubjectList!G59="Production",IF(Production!C59=0,"", Production!C59),IF(SubjectList!G59="Economics",IF(Economics!C59=0,"", Economics!C59))))</f>
        <v>25</v>
      </c>
      <c r="X59" s="43">
        <f>IF(SubjectList!G59="Finance",IF(Finance!D59=0,"", Finance!D59),IF(SubjectList!G59="Production",IF(Production!D59=0,"", Production!D59),IF(SubjectList!G59="Economics",IF(Economics!D59=0,"", Economics!D59))))</f>
        <v>40</v>
      </c>
      <c r="Y59" s="40">
        <f>IF(SubjectList!H59="Finance",IF(Finance!B59=0,"", Finance!B59),IF(SubjectList!H59="Production",IF(Production!B59=0,"", Production!B59),IF(SubjectList!H59="Economics",IF(Economics!B59=0,"", Economics!B59))))</f>
        <v>15</v>
      </c>
      <c r="Z59" s="40">
        <f>IF(SubjectList!H59="Finance",IF(Finance!C59=0,"", Finance!C59),IF(SubjectList!H59="Production",IF(Production!C59=0,"", Production!C59),IF(SubjectList!H59="Economics",IF(Economics!C59=0,"", Economics!C59))))</f>
        <v>44</v>
      </c>
      <c r="AA59" s="44">
        <f>IF(SubjectList!H59="Finance",IF(Finance!D59=0,"", Finance!D59),IF(SubjectList!H59="Production",IF(Production!D59=0,"", Production!D59),IF(SubjectList!H59="Economics",IF(Economics!D59=0,"", Economics!D59))))</f>
        <v>59</v>
      </c>
      <c r="AB59" s="37" t="str">
        <f>IF(SubjectList!G59="Finance","Finance",IF(SubjectList!G59="Production","Production",IF(SubjectList!G59="Economics","Not Given")))</f>
        <v>Finance</v>
      </c>
      <c r="AC59" s="37" t="str">
        <f>IF(SubjectList!H59="Finance","Finance",IF(SubjectList!H59="Production","Production",IF(SubjectList!H59="Economics","Economics","Not Given")))</f>
        <v>Production</v>
      </c>
      <c r="AD59" s="38" t="str">
        <f>Bangla!F59</f>
        <v>A-</v>
      </c>
      <c r="AE59" s="38" t="str">
        <f>English!E59</f>
        <v>D</v>
      </c>
      <c r="AF59" s="38" t="str">
        <f>ICT!G59</f>
        <v>B</v>
      </c>
      <c r="AG59" s="38" t="str">
        <f>Accounting!F59</f>
        <v>B</v>
      </c>
      <c r="AH59" s="38" t="str">
        <f>'Business Organization'!F59</f>
        <v>A-</v>
      </c>
      <c r="AI59" s="38" t="str">
        <f>Production!F59</f>
        <v>B</v>
      </c>
      <c r="AJ59" s="38" t="str">
        <f>Finance!F59</f>
        <v>C</v>
      </c>
      <c r="AK59" s="39">
        <f>Bangla!G59</f>
        <v>3.5</v>
      </c>
      <c r="AL59" s="39">
        <f>English!F59</f>
        <v>1</v>
      </c>
      <c r="AM59" s="39">
        <f>ICT!H59</f>
        <v>3</v>
      </c>
      <c r="AN59" s="39">
        <f>Accounting!G59</f>
        <v>3</v>
      </c>
      <c r="AO59" s="39">
        <f>'Business Organization'!G59</f>
        <v>3.5</v>
      </c>
      <c r="AP59" s="39">
        <f>IF(SubjectList!G59="Finance",Finance!G59,IF(SubjectList!G59="Production",Production!G59,IF(SubjectList!G59="Economics",Economics!G59)))</f>
        <v>2</v>
      </c>
      <c r="AQ59" s="39">
        <f>IF(Optional!H59="","", Optional!H59)</f>
        <v>3</v>
      </c>
      <c r="AR59" s="39">
        <f>Optional!H59</f>
        <v>3</v>
      </c>
      <c r="AS59" s="39">
        <f>Optional!I59</f>
        <v>1</v>
      </c>
      <c r="AT59" s="39">
        <f t="shared" si="16"/>
        <v>16</v>
      </c>
      <c r="AU59" s="39">
        <f t="shared" si="9"/>
        <v>17</v>
      </c>
      <c r="AV59" s="39">
        <f t="shared" si="17"/>
        <v>2.6666666666666665</v>
      </c>
      <c r="AW59" s="39">
        <f t="shared" si="18"/>
        <v>2.8333333333333335</v>
      </c>
      <c r="AX59" s="5">
        <f t="shared" si="10"/>
        <v>364</v>
      </c>
      <c r="AY59" s="41">
        <f t="shared" si="19"/>
        <v>1</v>
      </c>
      <c r="AZ59" s="41">
        <f t="shared" si="20"/>
        <v>1</v>
      </c>
      <c r="BA59" s="41">
        <f t="shared" si="21"/>
        <v>1</v>
      </c>
      <c r="BB59" s="41">
        <f t="shared" si="22"/>
        <v>1</v>
      </c>
      <c r="BC59" s="41">
        <f t="shared" si="23"/>
        <v>1</v>
      </c>
      <c r="BD59" s="41">
        <f t="shared" si="24"/>
        <v>1</v>
      </c>
      <c r="BE59" s="3">
        <f t="shared" si="11"/>
        <v>6</v>
      </c>
      <c r="BF59" s="3" t="str">
        <f t="shared" si="12"/>
        <v>Pass</v>
      </c>
      <c r="BG59" s="5">
        <f>IF(AW59="","",RANK(AW59,AW$2:AW145,0))</f>
        <v>5</v>
      </c>
      <c r="BH59" s="3" t="str">
        <f t="shared" si="13"/>
        <v>যত্ন প্রয়োজন</v>
      </c>
      <c r="BI59" t="str">
        <f t="shared" si="14"/>
        <v>Need to improve</v>
      </c>
      <c r="BJ59" s="104" t="str">
        <f t="shared" si="15"/>
        <v>C</v>
      </c>
    </row>
    <row r="60" spans="1:62" ht="15" thickBot="1" x14ac:dyDescent="0.4">
      <c r="A60" s="3" t="str">
        <f>'Student Basic Info'!B60</f>
        <v>Business Studies</v>
      </c>
      <c r="B60" s="3">
        <f>'Student Basic Info'!A60</f>
        <v>559</v>
      </c>
      <c r="C60" s="3" t="str">
        <f>'Student Basic Info'!C60</f>
        <v>Nahat Binte Raju</v>
      </c>
      <c r="D60" s="3" t="str">
        <f>'Student Basic Info'!D60</f>
        <v>Shahab Uddin</v>
      </c>
      <c r="E60" s="3" t="str">
        <f>'Student Basic Info'!E60</f>
        <v>Sharmin Aktar</v>
      </c>
      <c r="F60" s="3" t="str">
        <f>'Student Basic Info'!F60</f>
        <v>Female</v>
      </c>
      <c r="G60" s="79">
        <v>1860403827</v>
      </c>
      <c r="H60" s="59" t="str">
        <f>IF(Bangla!B60="","",Bangla!B60)</f>
        <v/>
      </c>
      <c r="I60" s="59">
        <f>IF(Bangla!C60="","",Bangla!C60)</f>
        <v>60</v>
      </c>
      <c r="J60" s="60">
        <f>IF(Bangla!D60="","",Bangla!D60)</f>
        <v>60</v>
      </c>
      <c r="K60" s="61">
        <f>IF(English!C60="","",English!C60)</f>
        <v>41</v>
      </c>
      <c r="L60" s="35">
        <f>IF(ICT!B60="","",ICT!B60)</f>
        <v>18</v>
      </c>
      <c r="M60" s="35">
        <f>IF(ICT!C60="","",ICT!C60)</f>
        <v>19</v>
      </c>
      <c r="N60" s="35">
        <f>IF(ICT!D60="","",ICT!D60)</f>
        <v>20</v>
      </c>
      <c r="O60" s="42">
        <f>IF(ICT!E60="","",ICT!E60)</f>
        <v>57</v>
      </c>
      <c r="P60" s="40">
        <f>IF(Accounting!B60="","",Accounting!B60)</f>
        <v>11</v>
      </c>
      <c r="Q60" s="40">
        <f>IF(Accounting!C60="","",Accounting!C60)</f>
        <v>38</v>
      </c>
      <c r="R60" s="44">
        <f>IF(Accounting!D60="","",Accounting!D60)</f>
        <v>49</v>
      </c>
      <c r="S60" s="35">
        <f>IF('Business Organization'!B60="","",'Business Organization'!B60)</f>
        <v>19</v>
      </c>
      <c r="T60" s="35">
        <f>IF('Business Organization'!C60="","",'Business Organization'!C60)</f>
        <v>25</v>
      </c>
      <c r="U60" s="42">
        <f>IF('Business Organization'!D60="","",'Business Organization'!D60)</f>
        <v>44</v>
      </c>
      <c r="V60" s="36">
        <f>IF(SubjectList!G60="Finance",IF(Finance!B60=0,"", Finance!B60),IF(SubjectList!G60="Production",IF(Production!B60=0,"", Production!B60),IF(SubjectList!G60="Economics",IF(Economics!B60=0,"", Economics!B60))))</f>
        <v>10</v>
      </c>
      <c r="W60" s="36">
        <f>IF(SubjectList!G60="Finance",IF(Finance!C60=0,"", Finance!C60),IF(SubjectList!G60="Production",IF(Production!C60=0,"", Production!C60),IF(SubjectList!G60="Economics",IF(Economics!C60=0,"", Economics!C60))))</f>
        <v>23</v>
      </c>
      <c r="X60" s="43">
        <f>IF(SubjectList!G60="Finance",IF(Finance!D60=0,"", Finance!D60),IF(SubjectList!G60="Production",IF(Production!D60=0,"", Production!D60),IF(SubjectList!G60="Economics",IF(Economics!D60=0,"", Economics!D60))))</f>
        <v>33</v>
      </c>
      <c r="Y60" s="40">
        <f>IF(SubjectList!H60="Finance",IF(Finance!B60=0,"", Finance!B60),IF(SubjectList!H60="Production",IF(Production!B60=0,"", Production!B60),IF(SubjectList!H60="Economics",IF(Economics!B60=0,"", Economics!B60))))</f>
        <v>16</v>
      </c>
      <c r="Z60" s="40">
        <f>IF(SubjectList!H60="Finance",IF(Finance!C60=0,"", Finance!C60),IF(SubjectList!H60="Production",IF(Production!C60=0,"", Production!C60),IF(SubjectList!H60="Economics",IF(Economics!C60=0,"", Economics!C60))))</f>
        <v>32</v>
      </c>
      <c r="AA60" s="44">
        <f>IF(SubjectList!H60="Finance",IF(Finance!D60=0,"", Finance!D60),IF(SubjectList!H60="Production",IF(Production!D60=0,"", Production!D60),IF(SubjectList!H60="Economics",IF(Economics!D60=0,"", Economics!D60))))</f>
        <v>48</v>
      </c>
      <c r="AB60" s="37" t="str">
        <f>IF(SubjectList!G60="Finance","Finance",IF(SubjectList!G60="Production","Production",IF(SubjectList!G60="Economics","Not Given")))</f>
        <v>Finance</v>
      </c>
      <c r="AC60" s="37" t="str">
        <f>IF(SubjectList!H60="Finance","Finance",IF(SubjectList!H60="Production","Production",IF(SubjectList!H60="Economics","Economics","Not Given")))</f>
        <v>Production</v>
      </c>
      <c r="AD60" s="38" t="str">
        <f>Bangla!F60</f>
        <v>A-</v>
      </c>
      <c r="AE60" s="38" t="str">
        <f>English!E60</f>
        <v>C</v>
      </c>
      <c r="AF60" s="38" t="str">
        <f>ICT!G60</f>
        <v>B</v>
      </c>
      <c r="AG60" s="38" t="str">
        <f>Accounting!F60</f>
        <v>C</v>
      </c>
      <c r="AH60" s="38" t="str">
        <f>'Business Organization'!F60</f>
        <v>C</v>
      </c>
      <c r="AI60" s="38" t="str">
        <f>Production!F60</f>
        <v>C</v>
      </c>
      <c r="AJ60" s="38" t="str">
        <f>Finance!F60</f>
        <v>D</v>
      </c>
      <c r="AK60" s="39">
        <f>Bangla!G60</f>
        <v>3.5</v>
      </c>
      <c r="AL60" s="39">
        <f>English!F60</f>
        <v>2</v>
      </c>
      <c r="AM60" s="39">
        <f>ICT!H60</f>
        <v>3</v>
      </c>
      <c r="AN60" s="39">
        <f>Accounting!G60</f>
        <v>2</v>
      </c>
      <c r="AO60" s="39">
        <f>'Business Organization'!G60</f>
        <v>2</v>
      </c>
      <c r="AP60" s="39">
        <f>IF(SubjectList!G60="Finance",Finance!G60,IF(SubjectList!G60="Production",Production!G60,IF(SubjectList!G60="Economics",Economics!G60)))</f>
        <v>1</v>
      </c>
      <c r="AQ60" s="39">
        <f>IF(Optional!H60="","", Optional!H60)</f>
        <v>2</v>
      </c>
      <c r="AR60" s="39">
        <f>Optional!H60</f>
        <v>2</v>
      </c>
      <c r="AS60" s="39">
        <f>Optional!I60</f>
        <v>0</v>
      </c>
      <c r="AT60" s="39">
        <f t="shared" si="16"/>
        <v>13.5</v>
      </c>
      <c r="AU60" s="39">
        <f t="shared" si="9"/>
        <v>13.5</v>
      </c>
      <c r="AV60" s="39">
        <f t="shared" si="17"/>
        <v>2.25</v>
      </c>
      <c r="AW60" s="39">
        <f t="shared" si="18"/>
        <v>2.25</v>
      </c>
      <c r="AX60" s="5">
        <f t="shared" si="10"/>
        <v>332</v>
      </c>
      <c r="AY60" s="41">
        <f t="shared" si="19"/>
        <v>1</v>
      </c>
      <c r="AZ60" s="41">
        <f t="shared" si="20"/>
        <v>1</v>
      </c>
      <c r="BA60" s="41">
        <f t="shared" si="21"/>
        <v>1</v>
      </c>
      <c r="BB60" s="41">
        <f t="shared" si="22"/>
        <v>1</v>
      </c>
      <c r="BC60" s="41">
        <f t="shared" si="23"/>
        <v>1</v>
      </c>
      <c r="BD60" s="41">
        <f t="shared" si="24"/>
        <v>1</v>
      </c>
      <c r="BE60" s="3">
        <f t="shared" si="11"/>
        <v>6</v>
      </c>
      <c r="BF60" s="3" t="str">
        <f t="shared" si="12"/>
        <v>Pass</v>
      </c>
      <c r="BG60" s="5">
        <f>IF(AW60="","",RANK(AW60,AW$2:AW145,0))</f>
        <v>10</v>
      </c>
      <c r="BH60" s="3" t="str">
        <f t="shared" si="13"/>
        <v>যত্ন প্রয়োজন</v>
      </c>
      <c r="BI60" t="str">
        <f t="shared" si="14"/>
        <v>Need to improve</v>
      </c>
      <c r="BJ60" s="104" t="str">
        <f t="shared" si="15"/>
        <v>C</v>
      </c>
    </row>
    <row r="61" spans="1:62" ht="15" thickBot="1" x14ac:dyDescent="0.4">
      <c r="A61" s="3" t="str">
        <f>'Student Basic Info'!B61</f>
        <v>Business Studies</v>
      </c>
      <c r="B61" s="3">
        <f>'Student Basic Info'!A61</f>
        <v>560</v>
      </c>
      <c r="C61" s="3" t="str">
        <f>'Student Basic Info'!C61</f>
        <v>Nadiya Tasmin Nipu</v>
      </c>
      <c r="D61" s="3" t="str">
        <f>'Student Basic Info'!D61</f>
        <v>Nurul Haque</v>
      </c>
      <c r="E61" s="3" t="str">
        <f>'Student Basic Info'!E61</f>
        <v>Hasina Khatun</v>
      </c>
      <c r="F61" s="3" t="str">
        <f>'Student Basic Info'!F61</f>
        <v>Female</v>
      </c>
      <c r="G61" s="79">
        <v>1815941193</v>
      </c>
      <c r="H61" s="59" t="str">
        <f>IF(Bangla!B61="","",Bangla!B61)</f>
        <v/>
      </c>
      <c r="I61" s="59">
        <f>IF(Bangla!C61="","",Bangla!C61)</f>
        <v>60</v>
      </c>
      <c r="J61" s="60">
        <f>IF(Bangla!D61="","",Bangla!D61)</f>
        <v>60</v>
      </c>
      <c r="K61" s="61">
        <f>IF(English!C61="","",English!C61)</f>
        <v>16</v>
      </c>
      <c r="L61" s="35">
        <f>IF(ICT!B61="","",ICT!B61)</f>
        <v>11</v>
      </c>
      <c r="M61" s="35">
        <f>IF(ICT!C61="","",ICT!C61)</f>
        <v>17</v>
      </c>
      <c r="N61" s="35">
        <f>IF(ICT!D61="","",ICT!D61)</f>
        <v>18</v>
      </c>
      <c r="O61" s="42">
        <f>IF(ICT!E61="","",ICT!E61)</f>
        <v>46</v>
      </c>
      <c r="P61" s="40">
        <f>IF(Accounting!B61="","",Accounting!B61)</f>
        <v>8</v>
      </c>
      <c r="Q61" s="40">
        <f>IF(Accounting!C61="","",Accounting!C61)</f>
        <v>30</v>
      </c>
      <c r="R61" s="44">
        <f>IF(Accounting!D61="","",Accounting!D61)</f>
        <v>38</v>
      </c>
      <c r="S61" s="35">
        <f>IF('Business Organization'!B61="","",'Business Organization'!B61)</f>
        <v>19</v>
      </c>
      <c r="T61" s="35">
        <f>IF('Business Organization'!C61="","",'Business Organization'!C61)</f>
        <v>27</v>
      </c>
      <c r="U61" s="42">
        <f>IF('Business Organization'!D61="","",'Business Organization'!D61)</f>
        <v>46</v>
      </c>
      <c r="V61" s="36">
        <f>IF(SubjectList!G61="Finance",IF(Finance!B61=0,"", Finance!B61),IF(SubjectList!G61="Production",IF(Production!B61=0,"", Production!B61),IF(SubjectList!G61="Economics",IF(Economics!B61=0,"", Economics!B61))))</f>
        <v>10</v>
      </c>
      <c r="W61" s="36">
        <f>IF(SubjectList!G61="Finance",IF(Finance!C61=0,"", Finance!C61),IF(SubjectList!G61="Production",IF(Production!C61=0,"", Production!C61),IF(SubjectList!G61="Economics",IF(Economics!C61=0,"", Economics!C61))))</f>
        <v>23</v>
      </c>
      <c r="X61" s="43">
        <f>IF(SubjectList!G61="Finance",IF(Finance!D61=0,"", Finance!D61),IF(SubjectList!G61="Production",IF(Production!D61=0,"", Production!D61),IF(SubjectList!G61="Economics",IF(Economics!D61=0,"", Economics!D61))))</f>
        <v>33</v>
      </c>
      <c r="Y61" s="40">
        <f>IF(SubjectList!H61="Finance",IF(Finance!B61=0,"", Finance!B61),IF(SubjectList!H61="Production",IF(Production!B61=0,"", Production!B61),IF(SubjectList!H61="Economics",IF(Economics!B61=0,"", Economics!B61))))</f>
        <v>13</v>
      </c>
      <c r="Z61" s="40">
        <f>IF(SubjectList!H61="Finance",IF(Finance!C61=0,"", Finance!C61),IF(SubjectList!H61="Production",IF(Production!C61=0,"", Production!C61),IF(SubjectList!H61="Economics",IF(Economics!C61=0,"", Economics!C61))))</f>
        <v>32</v>
      </c>
      <c r="AA61" s="44">
        <f>IF(SubjectList!H61="Finance",IF(Finance!D61=0,"", Finance!D61),IF(SubjectList!H61="Production",IF(Production!D61=0,"", Production!D61),IF(SubjectList!H61="Economics",IF(Economics!D61=0,"", Economics!D61))))</f>
        <v>45</v>
      </c>
      <c r="AB61" s="37" t="str">
        <f>IF(SubjectList!G61="Finance","Finance",IF(SubjectList!G61="Production","Production",IF(SubjectList!G61="Economics","Not Given")))</f>
        <v>Finance</v>
      </c>
      <c r="AC61" s="37" t="str">
        <f>IF(SubjectList!H61="Finance","Finance",IF(SubjectList!H61="Production","Production",IF(SubjectList!H61="Economics","Economics","Not Given")))</f>
        <v>Production</v>
      </c>
      <c r="AD61" s="38" t="str">
        <f>Bangla!F61</f>
        <v>A-</v>
      </c>
      <c r="AE61" s="38" t="str">
        <f>English!E61</f>
        <v>F</v>
      </c>
      <c r="AF61" s="38" t="str">
        <f>ICT!G61</f>
        <v>C</v>
      </c>
      <c r="AG61" s="38" t="str">
        <f>Accounting!F61</f>
        <v>F</v>
      </c>
      <c r="AH61" s="38" t="str">
        <f>'Business Organization'!F61</f>
        <v>C</v>
      </c>
      <c r="AI61" s="38" t="str">
        <f>Production!F61</f>
        <v>C</v>
      </c>
      <c r="AJ61" s="38" t="str">
        <f>Finance!F61</f>
        <v>D</v>
      </c>
      <c r="AK61" s="39">
        <f>Bangla!G61</f>
        <v>3.5</v>
      </c>
      <c r="AL61" s="39">
        <f>English!F61</f>
        <v>0</v>
      </c>
      <c r="AM61" s="39">
        <f>ICT!H61</f>
        <v>2</v>
      </c>
      <c r="AN61" s="39">
        <f>Accounting!G61</f>
        <v>0</v>
      </c>
      <c r="AO61" s="39">
        <f>'Business Organization'!G61</f>
        <v>2</v>
      </c>
      <c r="AP61" s="39">
        <f>IF(SubjectList!G61="Finance",Finance!G61,IF(SubjectList!G61="Production",Production!G61,IF(SubjectList!G61="Economics",Economics!G61)))</f>
        <v>1</v>
      </c>
      <c r="AQ61" s="39">
        <f>IF(Optional!H61="","", Optional!H61)</f>
        <v>2</v>
      </c>
      <c r="AR61" s="39">
        <f>Optional!H61</f>
        <v>2</v>
      </c>
      <c r="AS61" s="39">
        <f>Optional!I61</f>
        <v>0</v>
      </c>
      <c r="AT61" s="39">
        <f t="shared" si="16"/>
        <v>8.5</v>
      </c>
      <c r="AU61" s="39">
        <f t="shared" si="9"/>
        <v>8.5</v>
      </c>
      <c r="AV61" s="39" t="str">
        <f t="shared" si="17"/>
        <v/>
      </c>
      <c r="AW61" s="39" t="str">
        <f t="shared" si="18"/>
        <v/>
      </c>
      <c r="AX61" s="5">
        <f t="shared" si="10"/>
        <v>284</v>
      </c>
      <c r="AY61" s="41">
        <f t="shared" si="19"/>
        <v>1</v>
      </c>
      <c r="AZ61" s="41">
        <f t="shared" si="20"/>
        <v>0</v>
      </c>
      <c r="BA61" s="41">
        <f t="shared" si="21"/>
        <v>1</v>
      </c>
      <c r="BB61" s="41">
        <f t="shared" si="22"/>
        <v>0</v>
      </c>
      <c r="BC61" s="41">
        <f t="shared" si="23"/>
        <v>1</v>
      </c>
      <c r="BD61" s="41">
        <f t="shared" si="24"/>
        <v>1</v>
      </c>
      <c r="BE61" s="3">
        <f t="shared" si="11"/>
        <v>4</v>
      </c>
      <c r="BF61" s="3" t="str">
        <f t="shared" si="12"/>
        <v>Failed in 2 Subjects</v>
      </c>
      <c r="BG61" s="5" t="str">
        <f>IF(AW61="","",RANK(AW61,AW$2:AW145,0))</f>
        <v/>
      </c>
      <c r="BH61" s="3" t="str">
        <f t="shared" si="13"/>
        <v>খুবই দুর্বল</v>
      </c>
      <c r="BI61" t="str">
        <f t="shared" si="14"/>
        <v>Very Weak</v>
      </c>
      <c r="BJ61" s="104" t="str">
        <f t="shared" si="15"/>
        <v/>
      </c>
    </row>
    <row r="62" spans="1:62" ht="15" thickBot="1" x14ac:dyDescent="0.4">
      <c r="A62" s="3" t="str">
        <f>'Student Basic Info'!B62</f>
        <v>Business Studies</v>
      </c>
      <c r="B62" s="3">
        <f>'Student Basic Info'!A62</f>
        <v>561</v>
      </c>
      <c r="C62" s="3" t="str">
        <f>'Student Basic Info'!C62</f>
        <v>Umme Habiba Niha</v>
      </c>
      <c r="D62" s="3" t="str">
        <f>'Student Basic Info'!D62</f>
        <v>Imam Uddin</v>
      </c>
      <c r="E62" s="3" t="str">
        <f>'Student Basic Info'!E62</f>
        <v>Zannatul Ferdous</v>
      </c>
      <c r="F62" s="3" t="str">
        <f>'Student Basic Info'!F62</f>
        <v>Female</v>
      </c>
      <c r="G62" s="79">
        <v>1875334853</v>
      </c>
      <c r="H62" s="59" t="str">
        <f>IF(Bangla!B62="","",Bangla!B62)</f>
        <v/>
      </c>
      <c r="I62" s="59">
        <f>IF(Bangla!C62="","",Bangla!C62)</f>
        <v>18</v>
      </c>
      <c r="J62" s="60">
        <f>IF(Bangla!D62="","",Bangla!D62)</f>
        <v>18</v>
      </c>
      <c r="K62" s="61">
        <f>IF(English!C62="","",English!C62)</f>
        <v>14</v>
      </c>
      <c r="L62" s="35">
        <f>IF(ICT!B62="","",ICT!B62)</f>
        <v>7</v>
      </c>
      <c r="M62" s="35">
        <f>IF(ICT!C62="","",ICT!C62)</f>
        <v>11</v>
      </c>
      <c r="N62" s="35">
        <f>IF(ICT!D62="","",ICT!D62)</f>
        <v>24</v>
      </c>
      <c r="O62" s="42">
        <f>IF(ICT!E62="","",ICT!E62)</f>
        <v>42</v>
      </c>
      <c r="P62" s="40">
        <f>IF(Accounting!B62="","",Accounting!B62)</f>
        <v>6</v>
      </c>
      <c r="Q62" s="40">
        <f>IF(Accounting!C62="","",Accounting!C62)</f>
        <v>11</v>
      </c>
      <c r="R62" s="44">
        <f>IF(Accounting!D62="","",Accounting!D62)</f>
        <v>17</v>
      </c>
      <c r="S62" s="35">
        <f>IF('Business Organization'!B62="","",'Business Organization'!B62)</f>
        <v>11</v>
      </c>
      <c r="T62" s="35">
        <f>IF('Business Organization'!C62="","",'Business Organization'!C62)</f>
        <v>14</v>
      </c>
      <c r="U62" s="42">
        <f>IF('Business Organization'!D62="","",'Business Organization'!D62)</f>
        <v>25</v>
      </c>
      <c r="V62" s="36" t="str">
        <f>IF(SubjectList!G62="Finance",IF(Finance!B62=0,"", Finance!B62),IF(SubjectList!G62="Production",IF(Production!B62=0,"", Production!B62),IF(SubjectList!G62="Economics",IF(Economics!B62=0,"", Economics!B62))))</f>
        <v/>
      </c>
      <c r="W62" s="36" t="str">
        <f>IF(SubjectList!G62="Finance",IF(Finance!C62=0,"", Finance!C62),IF(SubjectList!G62="Production",IF(Production!C62=0,"", Production!C62),IF(SubjectList!G62="Economics",IF(Economics!C62=0,"", Economics!C62))))</f>
        <v/>
      </c>
      <c r="X62" s="43" t="str">
        <f>IF(SubjectList!G62="Finance",IF(Finance!D62=0,"", Finance!D62),IF(SubjectList!G62="Production",IF(Production!D62=0,"", Production!D62),IF(SubjectList!G62="Economics",IF(Economics!D62=0,"", Economics!D62))))</f>
        <v/>
      </c>
      <c r="Y62" s="40">
        <f>IF(SubjectList!H62="Finance",IF(Finance!B62=0,"", Finance!B62),IF(SubjectList!H62="Production",IF(Production!B62=0,"", Production!B62),IF(SubjectList!H62="Economics",IF(Economics!B62=0,"", Economics!B62))))</f>
        <v>8</v>
      </c>
      <c r="Z62" s="40">
        <f>IF(SubjectList!H62="Finance",IF(Finance!C62=0,"", Finance!C62),IF(SubjectList!H62="Production",IF(Production!C62=0,"", Production!C62),IF(SubjectList!H62="Economics",IF(Economics!C62=0,"", Economics!C62))))</f>
        <v>7</v>
      </c>
      <c r="AA62" s="44">
        <f>IF(SubjectList!H62="Finance",IF(Finance!D62=0,"", Finance!D62),IF(SubjectList!H62="Production",IF(Production!D62=0,"", Production!D62),IF(SubjectList!H62="Economics",IF(Economics!D62=0,"", Economics!D62))))</f>
        <v>15</v>
      </c>
      <c r="AB62" s="37" t="str">
        <f>IF(SubjectList!G62="Finance","Finance",IF(SubjectList!G62="Production","Production",IF(SubjectList!G62="Economics","Not Given")))</f>
        <v>Finance</v>
      </c>
      <c r="AC62" s="37" t="str">
        <f>IF(SubjectList!H62="Finance","Finance",IF(SubjectList!H62="Production","Production",IF(SubjectList!H62="Economics","Economics","Not Given")))</f>
        <v>Production</v>
      </c>
      <c r="AD62" s="38" t="str">
        <f>Bangla!F62</f>
        <v>F</v>
      </c>
      <c r="AE62" s="38" t="str">
        <f>English!E62</f>
        <v>F</v>
      </c>
      <c r="AF62" s="38" t="str">
        <f>ICT!G62</f>
        <v>F</v>
      </c>
      <c r="AG62" s="38" t="str">
        <f>Accounting!F62</f>
        <v>F</v>
      </c>
      <c r="AH62" s="38" t="str">
        <f>'Business Organization'!F62</f>
        <v>F</v>
      </c>
      <c r="AI62" s="38" t="str">
        <f>Production!F62</f>
        <v>F</v>
      </c>
      <c r="AJ62" s="38" t="str">
        <f>Finance!F62</f>
        <v/>
      </c>
      <c r="AK62" s="39">
        <f>Bangla!G62</f>
        <v>0</v>
      </c>
      <c r="AL62" s="39">
        <f>English!F62</f>
        <v>0</v>
      </c>
      <c r="AM62" s="39">
        <f>ICT!H62</f>
        <v>0</v>
      </c>
      <c r="AN62" s="39">
        <f>Accounting!G62</f>
        <v>0</v>
      </c>
      <c r="AO62" s="39">
        <f>'Business Organization'!G62</f>
        <v>0</v>
      </c>
      <c r="AP62" s="39" t="str">
        <f>IF(SubjectList!G62="Finance",Finance!G62,IF(SubjectList!G62="Production",Production!G62,IF(SubjectList!G62="Economics",Economics!G62)))</f>
        <v/>
      </c>
      <c r="AQ62" s="39">
        <f>IF(Optional!H62="","", Optional!H62)</f>
        <v>0</v>
      </c>
      <c r="AR62" s="39">
        <f>Optional!H62</f>
        <v>0</v>
      </c>
      <c r="AS62" s="39">
        <f>Optional!I62</f>
        <v>0</v>
      </c>
      <c r="AT62" s="39" t="str">
        <f t="shared" si="16"/>
        <v/>
      </c>
      <c r="AU62" s="39">
        <f t="shared" si="9"/>
        <v>0</v>
      </c>
      <c r="AV62" s="39" t="str">
        <f t="shared" si="17"/>
        <v/>
      </c>
      <c r="AW62" s="39" t="str">
        <f t="shared" si="18"/>
        <v/>
      </c>
      <c r="AX62" s="5">
        <f t="shared" si="10"/>
        <v>131</v>
      </c>
      <c r="AY62" s="41">
        <f t="shared" si="19"/>
        <v>0</v>
      </c>
      <c r="AZ62" s="41">
        <f t="shared" si="20"/>
        <v>0</v>
      </c>
      <c r="BA62" s="41">
        <f t="shared" si="21"/>
        <v>0</v>
      </c>
      <c r="BB62" s="41">
        <f t="shared" si="22"/>
        <v>0</v>
      </c>
      <c r="BC62" s="41">
        <f t="shared" si="23"/>
        <v>0</v>
      </c>
      <c r="BD62" s="41">
        <f t="shared" si="24"/>
        <v>0</v>
      </c>
      <c r="BE62" s="3">
        <f t="shared" si="11"/>
        <v>0</v>
      </c>
      <c r="BF62" s="3" t="str">
        <f t="shared" si="12"/>
        <v>Failed in 6 Subjects</v>
      </c>
      <c r="BG62" s="5" t="str">
        <f>IF(AW62="","",RANK(AW62,AW$2:AW145,0))</f>
        <v/>
      </c>
      <c r="BH62" s="3" t="str">
        <f t="shared" si="13"/>
        <v>খুবই দুর্বল</v>
      </c>
      <c r="BI62" t="str">
        <f t="shared" si="14"/>
        <v>Very Weak</v>
      </c>
      <c r="BJ62" s="104" t="str">
        <f t="shared" si="15"/>
        <v/>
      </c>
    </row>
    <row r="63" spans="1:62" ht="15" thickBot="1" x14ac:dyDescent="0.4">
      <c r="A63" s="3" t="str">
        <f>'Student Basic Info'!B63</f>
        <v>Business Studies</v>
      </c>
      <c r="B63" s="3">
        <f>'Student Basic Info'!A63</f>
        <v>562</v>
      </c>
      <c r="C63" s="3" t="str">
        <f>'Student Basic Info'!C63</f>
        <v>Md. Ridwan Hosain</v>
      </c>
      <c r="D63" s="3" t="str">
        <f>'Student Basic Info'!D63</f>
        <v>Md. Roisul Haque</v>
      </c>
      <c r="E63" s="3" t="str">
        <f>'Student Basic Info'!E63</f>
        <v>Ferdous Aktar</v>
      </c>
      <c r="F63" s="3" t="str">
        <f>'Student Basic Info'!F63</f>
        <v>Male</v>
      </c>
      <c r="G63" s="79">
        <v>1619492428</v>
      </c>
      <c r="H63" s="59" t="str">
        <f>IF(Bangla!B63="","",Bangla!B63)</f>
        <v/>
      </c>
      <c r="I63" s="59" t="str">
        <f>IF(Bangla!C63="","",Bangla!C63)</f>
        <v/>
      </c>
      <c r="J63" s="60" t="str">
        <f>IF(Bangla!D63="","",Bangla!D63)</f>
        <v/>
      </c>
      <c r="K63" s="61" t="str">
        <f>IF(English!C63="","",English!C63)</f>
        <v/>
      </c>
      <c r="L63" s="35" t="str">
        <f>IF(ICT!B63="","",ICT!B63)</f>
        <v/>
      </c>
      <c r="M63" s="35" t="str">
        <f>IF(ICT!C63="","",ICT!C63)</f>
        <v/>
      </c>
      <c r="N63" s="35" t="str">
        <f>IF(ICT!D63="","",ICT!D63)</f>
        <v/>
      </c>
      <c r="O63" s="42" t="str">
        <f>IF(ICT!E63="","",ICT!E63)</f>
        <v/>
      </c>
      <c r="P63" s="40" t="str">
        <f>IF(Accounting!B63="","",Accounting!B63)</f>
        <v/>
      </c>
      <c r="Q63" s="40" t="str">
        <f>IF(Accounting!C63="","",Accounting!C63)</f>
        <v/>
      </c>
      <c r="R63" s="44" t="str">
        <f>IF(Accounting!D63="","",Accounting!D63)</f>
        <v/>
      </c>
      <c r="S63" s="35" t="str">
        <f>IF('Business Organization'!B63="","",'Business Organization'!B63)</f>
        <v/>
      </c>
      <c r="T63" s="35" t="str">
        <f>IF('Business Organization'!C63="","",'Business Organization'!C63)</f>
        <v/>
      </c>
      <c r="U63" s="42" t="str">
        <f>IF('Business Organization'!D63="","",'Business Organization'!D63)</f>
        <v/>
      </c>
      <c r="V63" s="36" t="str">
        <f>IF(SubjectList!G63="Finance",IF(Finance!B63=0,"", Finance!B63),IF(SubjectList!G63="Production",IF(Production!B63=0,"", Production!B63),IF(SubjectList!G63="Economics",IF(Economics!B63=0,"", Economics!B63))))</f>
        <v/>
      </c>
      <c r="W63" s="36" t="str">
        <f>IF(SubjectList!G63="Finance",IF(Finance!C63=0,"", Finance!C63),IF(SubjectList!G63="Production",IF(Production!C63=0,"", Production!C63),IF(SubjectList!G63="Economics",IF(Economics!C63=0,"", Economics!C63))))</f>
        <v/>
      </c>
      <c r="X63" s="43" t="str">
        <f>IF(SubjectList!G63="Finance",IF(Finance!D63=0,"", Finance!D63),IF(SubjectList!G63="Production",IF(Production!D63=0,"", Production!D63),IF(SubjectList!G63="Economics",IF(Economics!D63=0,"", Economics!D63))))</f>
        <v/>
      </c>
      <c r="Y63" s="40" t="str">
        <f>IF(SubjectList!H63="Finance",IF(Finance!B63=0,"", Finance!B63),IF(SubjectList!H63="Production",IF(Production!B63=0,"", Production!B63),IF(SubjectList!H63="Economics",IF(Economics!B63=0,"", Economics!B63))))</f>
        <v/>
      </c>
      <c r="Z63" s="40" t="str">
        <f>IF(SubjectList!H63="Finance",IF(Finance!C63=0,"", Finance!C63),IF(SubjectList!H63="Production",IF(Production!C63=0,"", Production!C63),IF(SubjectList!H63="Economics",IF(Economics!C63=0,"", Economics!C63))))</f>
        <v/>
      </c>
      <c r="AA63" s="44" t="str">
        <f>IF(SubjectList!H63="Finance",IF(Finance!D63=0,"", Finance!D63),IF(SubjectList!H63="Production",IF(Production!D63=0,"", Production!D63),IF(SubjectList!H63="Economics",IF(Economics!D63=0,"", Economics!D63))))</f>
        <v/>
      </c>
      <c r="AB63" s="37" t="str">
        <f>IF(SubjectList!G63="Finance","Finance",IF(SubjectList!G63="Production","Production",IF(SubjectList!G63="Economics","Not Given")))</f>
        <v>Finance</v>
      </c>
      <c r="AC63" s="37" t="str">
        <f>IF(SubjectList!H63="Finance","Finance",IF(SubjectList!H63="Production","Production",IF(SubjectList!H63="Economics","Economics","Not Given")))</f>
        <v>Production</v>
      </c>
      <c r="AD63" s="38" t="str">
        <f>Bangla!F63</f>
        <v/>
      </c>
      <c r="AE63" s="38" t="str">
        <f>English!E63</f>
        <v/>
      </c>
      <c r="AF63" s="38" t="str">
        <f>ICT!G63</f>
        <v/>
      </c>
      <c r="AG63" s="38" t="str">
        <f>Accounting!F63</f>
        <v/>
      </c>
      <c r="AH63" s="38" t="str">
        <f>'Business Organization'!F63</f>
        <v/>
      </c>
      <c r="AI63" s="38" t="str">
        <f>Production!F63</f>
        <v/>
      </c>
      <c r="AJ63" s="38" t="str">
        <f>Finance!F63</f>
        <v/>
      </c>
      <c r="AK63" s="39" t="str">
        <f>Bangla!G63</f>
        <v/>
      </c>
      <c r="AL63" s="39" t="str">
        <f>English!F63</f>
        <v/>
      </c>
      <c r="AM63" s="39" t="str">
        <f>ICT!H63</f>
        <v/>
      </c>
      <c r="AN63" s="39" t="str">
        <f>Accounting!G63</f>
        <v/>
      </c>
      <c r="AO63" s="39" t="str">
        <f>'Business Organization'!G63</f>
        <v/>
      </c>
      <c r="AP63" s="39" t="str">
        <f>IF(SubjectList!G63="Finance",Finance!G63,IF(SubjectList!G63="Production",Production!G63,IF(SubjectList!G63="Economics",Economics!G63)))</f>
        <v/>
      </c>
      <c r="AQ63" s="39" t="str">
        <f>IF(Optional!H63="","", Optional!H63)</f>
        <v/>
      </c>
      <c r="AR63" s="39" t="str">
        <f>Optional!H63</f>
        <v/>
      </c>
      <c r="AS63" s="39" t="str">
        <f>Optional!I63</f>
        <v/>
      </c>
      <c r="AT63" s="39" t="str">
        <f t="shared" si="16"/>
        <v/>
      </c>
      <c r="AU63" s="39">
        <f t="shared" si="9"/>
        <v>0</v>
      </c>
      <c r="AV63" s="39" t="str">
        <f t="shared" si="17"/>
        <v/>
      </c>
      <c r="AW63" s="39" t="str">
        <f t="shared" si="18"/>
        <v/>
      </c>
      <c r="AX63" s="5">
        <f t="shared" si="10"/>
        <v>0</v>
      </c>
      <c r="AY63" s="41">
        <f t="shared" si="19"/>
        <v>0</v>
      </c>
      <c r="AZ63" s="41">
        <f t="shared" si="20"/>
        <v>0</v>
      </c>
      <c r="BA63" s="41">
        <f t="shared" si="21"/>
        <v>0</v>
      </c>
      <c r="BB63" s="41">
        <f t="shared" si="22"/>
        <v>0</v>
      </c>
      <c r="BC63" s="41">
        <f t="shared" si="23"/>
        <v>0</v>
      </c>
      <c r="BD63" s="41">
        <f t="shared" si="24"/>
        <v>0</v>
      </c>
      <c r="BE63" s="3">
        <f t="shared" si="11"/>
        <v>0</v>
      </c>
      <c r="BF63" s="3" t="str">
        <f t="shared" si="12"/>
        <v>Failed in 6 Subjects</v>
      </c>
      <c r="BG63" s="5" t="str">
        <f>IF(AW63="","",RANK(AW63,AW$2:AW145,0))</f>
        <v/>
      </c>
      <c r="BH63" s="3" t="str">
        <f t="shared" si="13"/>
        <v>খুবই দুর্বল</v>
      </c>
      <c r="BI63" t="str">
        <f t="shared" si="14"/>
        <v>Very Weak</v>
      </c>
      <c r="BJ63" s="104" t="str">
        <f t="shared" si="15"/>
        <v/>
      </c>
    </row>
    <row r="64" spans="1:62" ht="15" thickBot="1" x14ac:dyDescent="0.4">
      <c r="A64" s="3" t="str">
        <f>'Student Basic Info'!B64</f>
        <v>Business Studies</v>
      </c>
      <c r="B64" s="3">
        <f>'Student Basic Info'!A64</f>
        <v>563</v>
      </c>
      <c r="C64" s="3" t="str">
        <f>'Student Basic Info'!C64</f>
        <v>Mehedi Hasan Rahim</v>
      </c>
      <c r="D64" s="3" t="str">
        <f>'Student Basic Info'!D64</f>
        <v>Shahid Ullah</v>
      </c>
      <c r="E64" s="3" t="str">
        <f>'Student Basic Info'!E64</f>
        <v>Nur Nahar Begum</v>
      </c>
      <c r="F64" s="3" t="str">
        <f>'Student Basic Info'!F64</f>
        <v>Male</v>
      </c>
      <c r="G64" s="79">
        <v>1883295644</v>
      </c>
      <c r="H64" s="59" t="str">
        <f>IF(Bangla!B64="","",Bangla!B64)</f>
        <v/>
      </c>
      <c r="I64" s="59" t="str">
        <f>IF(Bangla!C64="","",Bangla!C64)</f>
        <v/>
      </c>
      <c r="J64" s="60" t="str">
        <f>IF(Bangla!D64="","",Bangla!D64)</f>
        <v/>
      </c>
      <c r="K64" s="61" t="str">
        <f>IF(English!C64="","",English!C64)</f>
        <v/>
      </c>
      <c r="L64" s="35" t="str">
        <f>IF(ICT!B64="","",ICT!B64)</f>
        <v/>
      </c>
      <c r="M64" s="35" t="str">
        <f>IF(ICT!C64="","",ICT!C64)</f>
        <v/>
      </c>
      <c r="N64" s="35" t="str">
        <f>IF(ICT!D64="","",ICT!D64)</f>
        <v/>
      </c>
      <c r="O64" s="42" t="str">
        <f>IF(ICT!E64="","",ICT!E64)</f>
        <v/>
      </c>
      <c r="P64" s="40" t="str">
        <f>IF(Accounting!B64="","",Accounting!B64)</f>
        <v/>
      </c>
      <c r="Q64" s="40" t="str">
        <f>IF(Accounting!C64="","",Accounting!C64)</f>
        <v/>
      </c>
      <c r="R64" s="44" t="str">
        <f>IF(Accounting!D64="","",Accounting!D64)</f>
        <v/>
      </c>
      <c r="S64" s="35" t="str">
        <f>IF('Business Organization'!B64="","",'Business Organization'!B64)</f>
        <v/>
      </c>
      <c r="T64" s="35" t="str">
        <f>IF('Business Organization'!C64="","",'Business Organization'!C64)</f>
        <v/>
      </c>
      <c r="U64" s="42" t="str">
        <f>IF('Business Organization'!D64="","",'Business Organization'!D64)</f>
        <v/>
      </c>
      <c r="V64" s="36" t="str">
        <f>IF(SubjectList!G64="Finance",IF(Finance!B64=0,"", Finance!B64),IF(SubjectList!G64="Production",IF(Production!B64=0,"", Production!B64),IF(SubjectList!G64="Economics",IF(Economics!B64=0,"", Economics!B64))))</f>
        <v/>
      </c>
      <c r="W64" s="36" t="str">
        <f>IF(SubjectList!G64="Finance",IF(Finance!C64=0,"", Finance!C64),IF(SubjectList!G64="Production",IF(Production!C64=0,"", Production!C64),IF(SubjectList!G64="Economics",IF(Economics!C64=0,"", Economics!C64))))</f>
        <v/>
      </c>
      <c r="X64" s="43" t="str">
        <f>IF(SubjectList!G64="Finance",IF(Finance!D64=0,"", Finance!D64),IF(SubjectList!G64="Production",IF(Production!D64=0,"", Production!D64),IF(SubjectList!G64="Economics",IF(Economics!D64=0,"", Economics!D64))))</f>
        <v/>
      </c>
      <c r="Y64" s="40" t="str">
        <f>IF(SubjectList!H64="Finance",IF(Finance!B64=0,"", Finance!B64),IF(SubjectList!H64="Production",IF(Production!B64=0,"", Production!B64),IF(SubjectList!H64="Economics",IF(Economics!B64=0,"", Economics!B64))))</f>
        <v/>
      </c>
      <c r="Z64" s="40" t="str">
        <f>IF(SubjectList!H64="Finance",IF(Finance!C64=0,"", Finance!C64),IF(SubjectList!H64="Production",IF(Production!C64=0,"", Production!C64),IF(SubjectList!H64="Economics",IF(Economics!C64=0,"", Economics!C64))))</f>
        <v/>
      </c>
      <c r="AA64" s="44" t="str">
        <f>IF(SubjectList!H64="Finance",IF(Finance!D64=0,"", Finance!D64),IF(SubjectList!H64="Production",IF(Production!D64=0,"", Production!D64),IF(SubjectList!H64="Economics",IF(Economics!D64=0,"", Economics!D64))))</f>
        <v/>
      </c>
      <c r="AB64" s="37" t="str">
        <f>IF(SubjectList!G64="Finance","Finance",IF(SubjectList!G64="Production","Production",IF(SubjectList!G64="Economics","Not Given")))</f>
        <v>Finance</v>
      </c>
      <c r="AC64" s="37" t="str">
        <f>IF(SubjectList!H64="Finance","Finance",IF(SubjectList!H64="Production","Production",IF(SubjectList!H64="Economics","Economics","Not Given")))</f>
        <v>Economics</v>
      </c>
      <c r="AD64" s="38" t="str">
        <f>Bangla!F64</f>
        <v/>
      </c>
      <c r="AE64" s="38" t="str">
        <f>English!E64</f>
        <v/>
      </c>
      <c r="AF64" s="38" t="str">
        <f>ICT!G64</f>
        <v/>
      </c>
      <c r="AG64" s="38" t="str">
        <f>Accounting!F64</f>
        <v/>
      </c>
      <c r="AH64" s="38" t="str">
        <f>'Business Organization'!F64</f>
        <v/>
      </c>
      <c r="AI64" s="38" t="str">
        <f>Production!F64</f>
        <v/>
      </c>
      <c r="AJ64" s="38" t="str">
        <f>Finance!F64</f>
        <v/>
      </c>
      <c r="AK64" s="39" t="str">
        <f>Bangla!G64</f>
        <v/>
      </c>
      <c r="AL64" s="39" t="str">
        <f>English!F64</f>
        <v/>
      </c>
      <c r="AM64" s="39" t="str">
        <f>ICT!H64</f>
        <v/>
      </c>
      <c r="AN64" s="39" t="str">
        <f>Accounting!G64</f>
        <v/>
      </c>
      <c r="AO64" s="39" t="str">
        <f>'Business Organization'!G64</f>
        <v/>
      </c>
      <c r="AP64" s="39" t="str">
        <f>IF(SubjectList!G64="Finance",Finance!G64,IF(SubjectList!G64="Production",Production!G64,IF(SubjectList!G64="Economics",Economics!G64)))</f>
        <v/>
      </c>
      <c r="AQ64" s="39" t="str">
        <f>IF(Optional!H64="","", Optional!H64)</f>
        <v/>
      </c>
      <c r="AR64" s="39" t="str">
        <f>Optional!H64</f>
        <v/>
      </c>
      <c r="AS64" s="39" t="str">
        <f>Optional!I64</f>
        <v/>
      </c>
      <c r="AT64" s="39" t="str">
        <f t="shared" si="16"/>
        <v/>
      </c>
      <c r="AU64" s="39">
        <f t="shared" si="9"/>
        <v>0</v>
      </c>
      <c r="AV64" s="39" t="str">
        <f t="shared" si="17"/>
        <v/>
      </c>
      <c r="AW64" s="39" t="str">
        <f t="shared" si="18"/>
        <v/>
      </c>
      <c r="AX64" s="5">
        <f t="shared" si="10"/>
        <v>0</v>
      </c>
      <c r="AY64" s="41">
        <f t="shared" si="19"/>
        <v>0</v>
      </c>
      <c r="AZ64" s="41">
        <f t="shared" si="20"/>
        <v>0</v>
      </c>
      <c r="BA64" s="41">
        <f t="shared" si="21"/>
        <v>0</v>
      </c>
      <c r="BB64" s="41">
        <f t="shared" si="22"/>
        <v>0</v>
      </c>
      <c r="BC64" s="41">
        <f t="shared" si="23"/>
        <v>0</v>
      </c>
      <c r="BD64" s="41">
        <f t="shared" si="24"/>
        <v>0</v>
      </c>
      <c r="BE64" s="3">
        <f t="shared" si="11"/>
        <v>0</v>
      </c>
      <c r="BF64" s="3" t="str">
        <f t="shared" si="12"/>
        <v>Failed in 6 Subjects</v>
      </c>
      <c r="BG64" s="5" t="str">
        <f>IF(AW64="","",RANK(AW64,AW$2:AW145,0))</f>
        <v/>
      </c>
      <c r="BH64" s="3" t="str">
        <f t="shared" si="13"/>
        <v>খুবই দুর্বল</v>
      </c>
      <c r="BI64" t="str">
        <f t="shared" si="14"/>
        <v>Very Weak</v>
      </c>
      <c r="BJ64" s="104" t="str">
        <f t="shared" si="15"/>
        <v/>
      </c>
    </row>
    <row r="65" spans="1:62" ht="15" thickBot="1" x14ac:dyDescent="0.4">
      <c r="A65" s="3" t="str">
        <f>'Student Basic Info'!B65</f>
        <v>Business Studies</v>
      </c>
      <c r="B65" s="3">
        <f>'Student Basic Info'!A65</f>
        <v>564</v>
      </c>
      <c r="C65" s="3" t="str">
        <f>'Student Basic Info'!C65</f>
        <v>Mominul Haque</v>
      </c>
      <c r="D65" s="3" t="str">
        <f>'Student Basic Info'!D65</f>
        <v>Mahfuzur Rahman</v>
      </c>
      <c r="E65" s="3" t="str">
        <f>'Student Basic Info'!E65</f>
        <v>Kohinur Aktar</v>
      </c>
      <c r="F65" s="3" t="str">
        <f>'Student Basic Info'!F65</f>
        <v>Male</v>
      </c>
      <c r="G65" s="79">
        <v>1799025225</v>
      </c>
      <c r="H65" s="59" t="str">
        <f>IF(Bangla!B65="","",Bangla!B65)</f>
        <v/>
      </c>
      <c r="I65" s="59" t="str">
        <f>IF(Bangla!C65="","",Bangla!C65)</f>
        <v/>
      </c>
      <c r="J65" s="60" t="str">
        <f>IF(Bangla!D65="","",Bangla!D65)</f>
        <v/>
      </c>
      <c r="K65" s="61" t="str">
        <f>IF(English!C65="","",English!C65)</f>
        <v/>
      </c>
      <c r="L65" s="35" t="str">
        <f>IF(ICT!B65="","",ICT!B65)</f>
        <v/>
      </c>
      <c r="M65" s="35" t="str">
        <f>IF(ICT!C65="","",ICT!C65)</f>
        <v/>
      </c>
      <c r="N65" s="35" t="str">
        <f>IF(ICT!D65="","",ICT!D65)</f>
        <v/>
      </c>
      <c r="O65" s="42" t="str">
        <f>IF(ICT!E65="","",ICT!E65)</f>
        <v/>
      </c>
      <c r="P65" s="40" t="str">
        <f>IF(Accounting!B65="","",Accounting!B65)</f>
        <v/>
      </c>
      <c r="Q65" s="40" t="str">
        <f>IF(Accounting!C65="","",Accounting!C65)</f>
        <v/>
      </c>
      <c r="R65" s="44" t="str">
        <f>IF(Accounting!D65="","",Accounting!D65)</f>
        <v/>
      </c>
      <c r="S65" s="35" t="str">
        <f>IF('Business Organization'!B65="","",'Business Organization'!B65)</f>
        <v/>
      </c>
      <c r="T65" s="35" t="str">
        <f>IF('Business Organization'!C65="","",'Business Organization'!C65)</f>
        <v/>
      </c>
      <c r="U65" s="42" t="str">
        <f>IF('Business Organization'!D65="","",'Business Organization'!D65)</f>
        <v/>
      </c>
      <c r="V65" s="36" t="str">
        <f>IF(SubjectList!G65="Finance",IF(Finance!B65=0,"", Finance!B65),IF(SubjectList!G65="Production",IF(Production!B65=0,"", Production!B65),IF(SubjectList!G65="Economics",IF(Economics!B65=0,"", Economics!B65))))</f>
        <v/>
      </c>
      <c r="W65" s="36" t="str">
        <f>IF(SubjectList!G65="Finance",IF(Finance!C65=0,"", Finance!C65),IF(SubjectList!G65="Production",IF(Production!C65=0,"", Production!C65),IF(SubjectList!G65="Economics",IF(Economics!C65=0,"", Economics!C65))))</f>
        <v/>
      </c>
      <c r="X65" s="43" t="str">
        <f>IF(SubjectList!G65="Finance",IF(Finance!D65=0,"", Finance!D65),IF(SubjectList!G65="Production",IF(Production!D65=0,"", Production!D65),IF(SubjectList!G65="Economics",IF(Economics!D65=0,"", Economics!D65))))</f>
        <v/>
      </c>
      <c r="Y65" s="40" t="str">
        <f>IF(SubjectList!H65="Finance",IF(Finance!B65=0,"", Finance!B65),IF(SubjectList!H65="Production",IF(Production!B65=0,"", Production!B65),IF(SubjectList!H65="Economics",IF(Economics!B65=0,"", Economics!B65))))</f>
        <v/>
      </c>
      <c r="Z65" s="40" t="str">
        <f>IF(SubjectList!H65="Finance",IF(Finance!C65=0,"", Finance!C65),IF(SubjectList!H65="Production",IF(Production!C65=0,"", Production!C65),IF(SubjectList!H65="Economics",IF(Economics!C65=0,"", Economics!C65))))</f>
        <v/>
      </c>
      <c r="AA65" s="44" t="str">
        <f>IF(SubjectList!H65="Finance",IF(Finance!D65=0,"", Finance!D65),IF(SubjectList!H65="Production",IF(Production!D65=0,"", Production!D65),IF(SubjectList!H65="Economics",IF(Economics!D65=0,"", Economics!D65))))</f>
        <v/>
      </c>
      <c r="AB65" s="37" t="str">
        <f>IF(SubjectList!G65="Finance","Finance",IF(SubjectList!G65="Production","Production",IF(SubjectList!G65="Economics","Not Given")))</f>
        <v>Finance</v>
      </c>
      <c r="AC65" s="37" t="str">
        <f>IF(SubjectList!H65="Finance","Finance",IF(SubjectList!H65="Production","Production",IF(SubjectList!H65="Economics","Economics","Not Given")))</f>
        <v>Production</v>
      </c>
      <c r="AD65" s="38" t="str">
        <f>Bangla!F65</f>
        <v/>
      </c>
      <c r="AE65" s="38" t="str">
        <f>English!E65</f>
        <v/>
      </c>
      <c r="AF65" s="38" t="str">
        <f>ICT!G65</f>
        <v/>
      </c>
      <c r="AG65" s="38" t="str">
        <f>Accounting!F65</f>
        <v/>
      </c>
      <c r="AH65" s="38" t="str">
        <f>'Business Organization'!F65</f>
        <v/>
      </c>
      <c r="AI65" s="38" t="str">
        <f>Production!F65</f>
        <v/>
      </c>
      <c r="AJ65" s="38" t="str">
        <f>Finance!F65</f>
        <v/>
      </c>
      <c r="AK65" s="39" t="str">
        <f>Bangla!G65</f>
        <v/>
      </c>
      <c r="AL65" s="39" t="str">
        <f>English!F65</f>
        <v/>
      </c>
      <c r="AM65" s="39" t="str">
        <f>ICT!H65</f>
        <v/>
      </c>
      <c r="AN65" s="39" t="str">
        <f>Accounting!G65</f>
        <v/>
      </c>
      <c r="AO65" s="39" t="str">
        <f>'Business Organization'!G65</f>
        <v/>
      </c>
      <c r="AP65" s="39" t="str">
        <f>IF(SubjectList!G65="Finance",Finance!G65,IF(SubjectList!G65="Production",Production!G65,IF(SubjectList!G65="Economics",Economics!G65)))</f>
        <v/>
      </c>
      <c r="AQ65" s="39" t="str">
        <f>IF(Optional!H65="","", Optional!H65)</f>
        <v/>
      </c>
      <c r="AR65" s="39" t="str">
        <f>Optional!H65</f>
        <v/>
      </c>
      <c r="AS65" s="39" t="str">
        <f>Optional!I65</f>
        <v/>
      </c>
      <c r="AT65" s="39" t="str">
        <f t="shared" si="16"/>
        <v/>
      </c>
      <c r="AU65" s="39">
        <f t="shared" si="9"/>
        <v>0</v>
      </c>
      <c r="AV65" s="39" t="str">
        <f t="shared" si="17"/>
        <v/>
      </c>
      <c r="AW65" s="39" t="str">
        <f t="shared" si="18"/>
        <v/>
      </c>
      <c r="AX65" s="5">
        <f t="shared" si="10"/>
        <v>0</v>
      </c>
      <c r="AY65" s="41">
        <f t="shared" si="19"/>
        <v>0</v>
      </c>
      <c r="AZ65" s="41">
        <f t="shared" si="20"/>
        <v>0</v>
      </c>
      <c r="BA65" s="41">
        <f t="shared" si="21"/>
        <v>0</v>
      </c>
      <c r="BB65" s="41">
        <f t="shared" si="22"/>
        <v>0</v>
      </c>
      <c r="BC65" s="41">
        <f t="shared" si="23"/>
        <v>0</v>
      </c>
      <c r="BD65" s="41">
        <f t="shared" si="24"/>
        <v>0</v>
      </c>
      <c r="BE65" s="3">
        <f t="shared" si="11"/>
        <v>0</v>
      </c>
      <c r="BF65" s="3" t="str">
        <f t="shared" si="12"/>
        <v>Failed in 6 Subjects</v>
      </c>
      <c r="BG65" s="5" t="str">
        <f>IF(AW65="","",RANK(AW65,AW$2:AW145,0))</f>
        <v/>
      </c>
      <c r="BH65" s="3" t="str">
        <f t="shared" si="13"/>
        <v>খুবই দুর্বল</v>
      </c>
      <c r="BI65" t="str">
        <f t="shared" si="14"/>
        <v>Very Weak</v>
      </c>
      <c r="BJ65" s="104" t="str">
        <f t="shared" si="15"/>
        <v/>
      </c>
    </row>
    <row r="66" spans="1:62" ht="15" thickBot="1" x14ac:dyDescent="0.4">
      <c r="A66" s="3" t="str">
        <f>'Student Basic Info'!B66</f>
        <v>Business Studies</v>
      </c>
      <c r="B66" s="3">
        <f>'Student Basic Info'!A66</f>
        <v>565</v>
      </c>
      <c r="C66" s="3" t="str">
        <f>'Student Basic Info'!C66</f>
        <v>Farhana Islam</v>
      </c>
      <c r="D66" s="3" t="str">
        <f>'Student Basic Info'!D66</f>
        <v>Rafiq Ullah</v>
      </c>
      <c r="E66" s="3" t="str">
        <f>'Student Basic Info'!E66</f>
        <v>Rowshon Ara Begum</v>
      </c>
      <c r="F66" s="3" t="str">
        <f>'Student Basic Info'!F66</f>
        <v>Female</v>
      </c>
      <c r="G66" s="79">
        <v>1817223458</v>
      </c>
      <c r="H66" s="59" t="str">
        <f>IF(Bangla!B66="","",Bangla!B66)</f>
        <v/>
      </c>
      <c r="I66" s="59">
        <f>IF(Bangla!C66="","",Bangla!C66)</f>
        <v>40</v>
      </c>
      <c r="J66" s="60">
        <f>IF(Bangla!D66="","",Bangla!D66)</f>
        <v>40</v>
      </c>
      <c r="K66" s="61">
        <f>IF(English!C66="","",English!C66)</f>
        <v>19</v>
      </c>
      <c r="L66" s="35">
        <f>IF(ICT!B66="","",ICT!B66)</f>
        <v>11</v>
      </c>
      <c r="M66" s="35">
        <f>IF(ICT!C66="","",ICT!C66)</f>
        <v>17</v>
      </c>
      <c r="N66" s="35">
        <f>IF(ICT!D66="","",ICT!D66)</f>
        <v>20</v>
      </c>
      <c r="O66" s="42">
        <f>IF(ICT!E66="","",ICT!E66)</f>
        <v>48</v>
      </c>
      <c r="P66" s="40">
        <f>IF(Accounting!B66="","",Accounting!B66)</f>
        <v>11</v>
      </c>
      <c r="Q66" s="40">
        <f>IF(Accounting!C66="","",Accounting!C66)</f>
        <v>40</v>
      </c>
      <c r="R66" s="44">
        <f>IF(Accounting!D66="","",Accounting!D66)</f>
        <v>51</v>
      </c>
      <c r="S66" s="35">
        <f>IF('Business Organization'!B66="","",'Business Organization'!B66)</f>
        <v>21</v>
      </c>
      <c r="T66" s="35">
        <f>IF('Business Organization'!C66="","",'Business Organization'!C66)</f>
        <v>19</v>
      </c>
      <c r="U66" s="42">
        <f>IF('Business Organization'!D66="","",'Business Organization'!D66)</f>
        <v>40</v>
      </c>
      <c r="V66" s="36">
        <f>IF(SubjectList!G66="Finance",IF(Finance!B66=0,"", Finance!B66),IF(SubjectList!G66="Production",IF(Production!B66=0,"", Production!B66),IF(SubjectList!G66="Economics",IF(Economics!B66=0,"", Economics!B66))))</f>
        <v>13</v>
      </c>
      <c r="W66" s="36">
        <f>IF(SubjectList!G66="Finance",IF(Finance!C66=0,"", Finance!C66),IF(SubjectList!G66="Production",IF(Production!C66=0,"", Production!C66),IF(SubjectList!G66="Economics",IF(Economics!C66=0,"", Economics!C66))))</f>
        <v>30</v>
      </c>
      <c r="X66" s="43">
        <f>IF(SubjectList!G66="Finance",IF(Finance!D66=0,"", Finance!D66),IF(SubjectList!G66="Production",IF(Production!D66=0,"", Production!D66),IF(SubjectList!G66="Economics",IF(Economics!D66=0,"", Economics!D66))))</f>
        <v>43</v>
      </c>
      <c r="Y66" s="40" t="str">
        <f>IF(SubjectList!H66="Finance",IF(Finance!B66=0,"", Finance!B66),IF(SubjectList!H66="Production",IF(Production!B66=0,"", Production!B66),IF(SubjectList!H66="Economics",IF(Economics!B66=0,"", Economics!B66))))</f>
        <v/>
      </c>
      <c r="Z66" s="40" t="str">
        <f>IF(SubjectList!H66="Finance",IF(Finance!C66=0,"", Finance!C66),IF(SubjectList!H66="Production",IF(Production!C66=0,"", Production!C66),IF(SubjectList!H66="Economics",IF(Economics!C66=0,"", Economics!C66))))</f>
        <v/>
      </c>
      <c r="AA66" s="44" t="str">
        <f>IF(SubjectList!H66="Finance",IF(Finance!D66=0,"", Finance!D66),IF(SubjectList!H66="Production",IF(Production!D66=0,"", Production!D66),IF(SubjectList!H66="Economics",IF(Economics!D66=0,"", Economics!D66))))</f>
        <v/>
      </c>
      <c r="AB66" s="37" t="str">
        <f>IF(SubjectList!G66="Finance","Finance",IF(SubjectList!G66="Production","Production",IF(SubjectList!G66="Economics","Not Given")))</f>
        <v>Production</v>
      </c>
      <c r="AC66" s="37" t="str">
        <f>IF(SubjectList!H66="Finance","Finance",IF(SubjectList!H66="Production","Production",IF(SubjectList!H66="Economics","Economics","Not Given")))</f>
        <v>Finance</v>
      </c>
      <c r="AD66" s="38" t="str">
        <f>Bangla!F66</f>
        <v>C</v>
      </c>
      <c r="AE66" s="38" t="str">
        <f>English!E66</f>
        <v>F</v>
      </c>
      <c r="AF66" s="38" t="str">
        <f>ICT!G66</f>
        <v>C</v>
      </c>
      <c r="AG66" s="38" t="str">
        <f>Accounting!F66</f>
        <v>B</v>
      </c>
      <c r="AH66" s="38" t="str">
        <f>'Business Organization'!F66</f>
        <v>F</v>
      </c>
      <c r="AI66" s="38" t="str">
        <f>Production!F66</f>
        <v>C</v>
      </c>
      <c r="AJ66" s="38" t="str">
        <f>Finance!F66</f>
        <v/>
      </c>
      <c r="AK66" s="39">
        <f>Bangla!G66</f>
        <v>2</v>
      </c>
      <c r="AL66" s="39">
        <f>English!F66</f>
        <v>0</v>
      </c>
      <c r="AM66" s="39">
        <f>ICT!H66</f>
        <v>2</v>
      </c>
      <c r="AN66" s="39">
        <f>Accounting!G66</f>
        <v>3</v>
      </c>
      <c r="AO66" s="39">
        <f>'Business Organization'!G66</f>
        <v>0</v>
      </c>
      <c r="AP66" s="39">
        <f>IF(SubjectList!G66="Finance",Finance!G66,IF(SubjectList!G66="Production",Production!G66,IF(SubjectList!G66="Economics",Economics!G66)))</f>
        <v>2</v>
      </c>
      <c r="AQ66" s="39" t="str">
        <f>IF(Optional!H66="","", Optional!H66)</f>
        <v/>
      </c>
      <c r="AR66" s="39" t="str">
        <f>Optional!H66</f>
        <v/>
      </c>
      <c r="AS66" s="39" t="str">
        <f>Optional!I66</f>
        <v/>
      </c>
      <c r="AT66" s="39">
        <f t="shared" ref="AT66:AT78" si="25">IF(BE66=0, "", SUM(AK66:AP66))</f>
        <v>9</v>
      </c>
      <c r="AU66" s="39">
        <f t="shared" si="9"/>
        <v>9</v>
      </c>
      <c r="AV66" s="39" t="str">
        <f t="shared" ref="AV66:AV78" si="26">IF(BE66=6,IF(AU66&gt;=30,5,(AU66-AS66)/6),"")</f>
        <v/>
      </c>
      <c r="AW66" s="39" t="str">
        <f t="shared" ref="AW66:AW78" si="27">IF(BE66=6, IF(AU66&gt;=30,5,AU66/6), "")</f>
        <v/>
      </c>
      <c r="AX66" s="5">
        <f t="shared" si="10"/>
        <v>241</v>
      </c>
      <c r="AY66" s="41">
        <f t="shared" ref="AY66:AY78" si="28">(IF(AK66="",0,IF(AK66=0,0,1)))</f>
        <v>1</v>
      </c>
      <c r="AZ66" s="41">
        <f t="shared" ref="AZ66:AZ78" si="29">(IF(AL66="",0,IF(AL66=0,0,1)))</f>
        <v>0</v>
      </c>
      <c r="BA66" s="41">
        <f t="shared" ref="BA66:BA78" si="30">(IF(AM66="",0,IF(AM66=0,0,1)))</f>
        <v>1</v>
      </c>
      <c r="BB66" s="41">
        <f t="shared" ref="BB66:BB78" si="31">(IF(AN66="",0,IF(AN66=0,0,1)))</f>
        <v>1</v>
      </c>
      <c r="BC66" s="41">
        <f t="shared" ref="BC66:BC78" si="32">(IF(AO66="",0,IF(AO66=0,0,1)))</f>
        <v>0</v>
      </c>
      <c r="BD66" s="41">
        <f t="shared" ref="BD66:BD78" si="33">(IF(AP66="",0,IF(AP66=0,0,1)))</f>
        <v>1</v>
      </c>
      <c r="BE66" s="3">
        <f t="shared" si="11"/>
        <v>4</v>
      </c>
      <c r="BF66" s="3" t="str">
        <f t="shared" si="12"/>
        <v>Failed in 2 Subjects</v>
      </c>
      <c r="BG66" s="5" t="str">
        <f>IF(AW66="","",RANK(AW66,AW$2:AW145,0))</f>
        <v/>
      </c>
      <c r="BH66" s="3" t="str">
        <f t="shared" si="13"/>
        <v>খুবই দুর্বল</v>
      </c>
      <c r="BI66" t="str">
        <f t="shared" si="14"/>
        <v>Very Weak</v>
      </c>
      <c r="BJ66" s="104" t="str">
        <f t="shared" si="15"/>
        <v/>
      </c>
    </row>
    <row r="67" spans="1:62" ht="15" thickBot="1" x14ac:dyDescent="0.4">
      <c r="A67" s="3" t="str">
        <f>'Student Basic Info'!B67</f>
        <v>Business Studies</v>
      </c>
      <c r="B67" s="3">
        <f>'Student Basic Info'!A67</f>
        <v>566</v>
      </c>
      <c r="C67" s="3" t="str">
        <f>'Student Basic Info'!C67</f>
        <v>Md. Mushfiqul Alom</v>
      </c>
      <c r="D67" s="3" t="str">
        <f>'Student Basic Info'!D67</f>
        <v>Mofiz Alom</v>
      </c>
      <c r="E67" s="3" t="str">
        <f>'Student Basic Info'!E67</f>
        <v>Monowara Begum</v>
      </c>
      <c r="F67" s="3" t="str">
        <f>'Student Basic Info'!F67</f>
        <v>Male</v>
      </c>
      <c r="G67" s="79">
        <v>1824066501</v>
      </c>
      <c r="H67" s="59" t="str">
        <f>IF(Bangla!B67="","",Bangla!B67)</f>
        <v/>
      </c>
      <c r="I67" s="59" t="str">
        <f>IF(Bangla!C67="","",Bangla!C67)</f>
        <v/>
      </c>
      <c r="J67" s="60" t="str">
        <f>IF(Bangla!D67="","",Bangla!D67)</f>
        <v/>
      </c>
      <c r="K67" s="61" t="str">
        <f>IF(English!C67="","",English!C67)</f>
        <v/>
      </c>
      <c r="L67" s="35" t="str">
        <f>IF(ICT!B67="","",ICT!B67)</f>
        <v/>
      </c>
      <c r="M67" s="35" t="str">
        <f>IF(ICT!C67="","",ICT!C67)</f>
        <v/>
      </c>
      <c r="N67" s="35" t="str">
        <f>IF(ICT!D67="","",ICT!D67)</f>
        <v/>
      </c>
      <c r="O67" s="42" t="str">
        <f>IF(ICT!E67="","",ICT!E67)</f>
        <v/>
      </c>
      <c r="P67" s="40" t="str">
        <f>IF(Accounting!B67="","",Accounting!B67)</f>
        <v/>
      </c>
      <c r="Q67" s="40" t="str">
        <f>IF(Accounting!C67="","",Accounting!C67)</f>
        <v/>
      </c>
      <c r="R67" s="44" t="str">
        <f>IF(Accounting!D67="","",Accounting!D67)</f>
        <v/>
      </c>
      <c r="S67" s="35" t="str">
        <f>IF('Business Organization'!B67="","",'Business Organization'!B67)</f>
        <v/>
      </c>
      <c r="T67" s="35" t="str">
        <f>IF('Business Organization'!C67="","",'Business Organization'!C67)</f>
        <v/>
      </c>
      <c r="U67" s="42" t="str">
        <f>IF('Business Organization'!D67="","",'Business Organization'!D67)</f>
        <v/>
      </c>
      <c r="V67" s="36" t="str">
        <f>IF(SubjectList!G67="Finance",IF(Finance!B67=0,"", Finance!B67),IF(SubjectList!G67="Production",IF(Production!B67=0,"", Production!B67),IF(SubjectList!G67="Economics",IF(Economics!B67=0,"", Economics!B67))))</f>
        <v/>
      </c>
      <c r="W67" s="36" t="str">
        <f>IF(SubjectList!G67="Finance",IF(Finance!C67=0,"", Finance!C67),IF(SubjectList!G67="Production",IF(Production!C67=0,"", Production!C67),IF(SubjectList!G67="Economics",IF(Economics!C67=0,"", Economics!C67))))</f>
        <v/>
      </c>
      <c r="X67" s="43" t="str">
        <f>IF(SubjectList!G67="Finance",IF(Finance!D67=0,"", Finance!D67),IF(SubjectList!G67="Production",IF(Production!D67=0,"", Production!D67),IF(SubjectList!G67="Economics",IF(Economics!D67=0,"", Economics!D67))))</f>
        <v/>
      </c>
      <c r="Y67" s="40" t="str">
        <f>IF(SubjectList!H67="Finance",IF(Finance!B67=0,"", Finance!B67),IF(SubjectList!H67="Production",IF(Production!B67=0,"", Production!B67),IF(SubjectList!H67="Economics",IF(Economics!B67=0,"", Economics!B67))))</f>
        <v/>
      </c>
      <c r="Z67" s="40" t="str">
        <f>IF(SubjectList!H67="Finance",IF(Finance!C67=0,"", Finance!C67),IF(SubjectList!H67="Production",IF(Production!C67=0,"", Production!C67),IF(SubjectList!H67="Economics",IF(Economics!C67=0,"", Economics!C67))))</f>
        <v/>
      </c>
      <c r="AA67" s="44" t="str">
        <f>IF(SubjectList!H67="Finance",IF(Finance!D67=0,"", Finance!D67),IF(SubjectList!H67="Production",IF(Production!D67=0,"", Production!D67),IF(SubjectList!H67="Economics",IF(Economics!D67=0,"", Economics!D67))))</f>
        <v/>
      </c>
      <c r="AB67" s="37" t="str">
        <f>IF(SubjectList!G67="Finance","Finance",IF(SubjectList!G67="Production","Production",IF(SubjectList!G67="Economics","Not Given")))</f>
        <v>Finance</v>
      </c>
      <c r="AC67" s="37" t="str">
        <f>IF(SubjectList!H67="Finance","Finance",IF(SubjectList!H67="Production","Production",IF(SubjectList!H67="Economics","Economics","Not Given")))</f>
        <v>Production</v>
      </c>
      <c r="AD67" s="38" t="str">
        <f>Bangla!F67</f>
        <v/>
      </c>
      <c r="AE67" s="38" t="str">
        <f>English!E67</f>
        <v/>
      </c>
      <c r="AF67" s="38" t="str">
        <f>ICT!G67</f>
        <v/>
      </c>
      <c r="AG67" s="38" t="str">
        <f>Accounting!F67</f>
        <v/>
      </c>
      <c r="AH67" s="38" t="str">
        <f>'Business Organization'!F67</f>
        <v/>
      </c>
      <c r="AI67" s="38" t="str">
        <f>Production!F67</f>
        <v/>
      </c>
      <c r="AJ67" s="38" t="str">
        <f>Finance!F67</f>
        <v/>
      </c>
      <c r="AK67" s="39" t="str">
        <f>Bangla!G67</f>
        <v/>
      </c>
      <c r="AL67" s="39" t="str">
        <f>English!F67</f>
        <v/>
      </c>
      <c r="AM67" s="39" t="str">
        <f>ICT!H67</f>
        <v/>
      </c>
      <c r="AN67" s="39" t="str">
        <f>Accounting!G67</f>
        <v/>
      </c>
      <c r="AO67" s="39" t="str">
        <f>'Business Organization'!G67</f>
        <v/>
      </c>
      <c r="AP67" s="39" t="str">
        <f>IF(SubjectList!G67="Finance",Finance!G67,IF(SubjectList!G67="Production",Production!G67,IF(SubjectList!G67="Economics",Economics!G67)))</f>
        <v/>
      </c>
      <c r="AQ67" s="39" t="str">
        <f>IF(Optional!H67="","", Optional!H67)</f>
        <v/>
      </c>
      <c r="AR67" s="39" t="str">
        <f>Optional!H67</f>
        <v/>
      </c>
      <c r="AS67" s="39" t="str">
        <f>Optional!I67</f>
        <v/>
      </c>
      <c r="AT67" s="39" t="str">
        <f t="shared" si="25"/>
        <v/>
      </c>
      <c r="AU67" s="39">
        <f t="shared" ref="AU67:AU78" si="34">SUM(AS67:AT67)</f>
        <v>0</v>
      </c>
      <c r="AV67" s="39" t="str">
        <f t="shared" si="26"/>
        <v/>
      </c>
      <c r="AW67" s="39" t="str">
        <f t="shared" si="27"/>
        <v/>
      </c>
      <c r="AX67" s="5">
        <f t="shared" ref="AX67:AX130" si="35">IF(J67="",0,J67)+IF(K67="",0,K67)+IF(O67="",0,O67)+IF(R67="",0,R67)+IF(U67="",0,U67)+IF(X67="",0,X67)+IF(AA67="",0,AA67)</f>
        <v>0</v>
      </c>
      <c r="AY67" s="41">
        <f t="shared" si="28"/>
        <v>0</v>
      </c>
      <c r="AZ67" s="41">
        <f t="shared" si="29"/>
        <v>0</v>
      </c>
      <c r="BA67" s="41">
        <f t="shared" si="30"/>
        <v>0</v>
      </c>
      <c r="BB67" s="41">
        <f t="shared" si="31"/>
        <v>0</v>
      </c>
      <c r="BC67" s="41">
        <f t="shared" si="32"/>
        <v>0</v>
      </c>
      <c r="BD67" s="41">
        <f t="shared" si="33"/>
        <v>0</v>
      </c>
      <c r="BE67" s="3">
        <f t="shared" ref="BE67:BE78" si="36">SUM(AY67:BD67)</f>
        <v>0</v>
      </c>
      <c r="BF67" s="3" t="str">
        <f t="shared" ref="BF67:BF130" si="37">IF(BE67=0,"Failed in 6 Subjects",IF(BE67=1,"Failed in 5 Subjects",IF(BE67=2,"Failed in 4 Subjects",IF(BE67=3,"Failed in 3 Subjects",IF(BE67=4,"Failed in 2 Subjects",IF(BE67=5,"Failed in 1 Subject",IF(BE67=6,"Pass")))))))</f>
        <v>Failed in 6 Subjects</v>
      </c>
      <c r="BG67" s="5" t="str">
        <f>IF(AW67="","",RANK(AW67,AW$2:AW145,0))</f>
        <v/>
      </c>
      <c r="BH67" s="3" t="str">
        <f t="shared" ref="BH67:BH130" si="38">(IF(AW67="","খুবই দুর্বল",IF(AW67=5,"অসাধারন",IF(AW67&gt;=4,"খুব ভালো",IF(AW67&gt;=3.5,"ভালো",IF(AW67&gt;=3,"মধ্যম মানের",IF(AW67&gt;=2,"যত্ন প্রয়োজন",IF(AW67&gt;=1,"দূর্বল",IF(AW67&gt;=0,"খুবই দূর্বল","খুবই দূর্বল")))))))))</f>
        <v>খুবই দুর্বল</v>
      </c>
      <c r="BI67" t="str">
        <f t="shared" ref="BI67:BI130" si="39">(IF(AW67="","Very Weak",IF(AW67=5,"Excellent",IF(AW67&gt;=4,"Very Good",IF(AW67&gt;=3.5,"Good",IF(AW67&gt;=3,"Average",IF(AW67&gt;=2,"Need to improve",IF(AW67&gt;=1,"Weak",IF(AW67&gt;=0,"Very Weak","Very Weak")))))))))</f>
        <v>Very Weak</v>
      </c>
      <c r="BJ67" s="104" t="str">
        <f t="shared" ref="BJ67:BJ130" si="40">IF(AW67&gt;=5,"",IF(AW67&gt;=4,"A",IF(AW67&gt;=3.5,"A-",IF(AW67&gt;=3,"B",IF(AW67&gt;=2,"C",IF(AW67&gt;=1,"D","F"))))))</f>
        <v/>
      </c>
    </row>
    <row r="68" spans="1:62" ht="15" thickBot="1" x14ac:dyDescent="0.4">
      <c r="A68" s="3" t="str">
        <f>'Student Basic Info'!B68</f>
        <v>Business Studies</v>
      </c>
      <c r="B68" s="3">
        <f>'Student Basic Info'!A68</f>
        <v>567</v>
      </c>
      <c r="C68" s="3" t="str">
        <f>'Student Basic Info'!C68</f>
        <v>Fokhrul Alom</v>
      </c>
      <c r="D68" s="3" t="str">
        <f>'Student Basic Info'!D68</f>
        <v>Firoz Alom</v>
      </c>
      <c r="E68" s="3" t="str">
        <f>'Student Basic Info'!E68</f>
        <v>Parvin Aktar</v>
      </c>
      <c r="F68" s="3" t="str">
        <f>'Student Basic Info'!F68</f>
        <v>Male</v>
      </c>
      <c r="G68" s="78" t="s">
        <v>860</v>
      </c>
      <c r="H68" s="59" t="str">
        <f>IF(Bangla!B68="","",Bangla!B68)</f>
        <v/>
      </c>
      <c r="I68" s="59">
        <f>IF(Bangla!C68="","",Bangla!C68)</f>
        <v>16</v>
      </c>
      <c r="J68" s="60">
        <f>IF(Bangla!D68="","",Bangla!D68)</f>
        <v>16</v>
      </c>
      <c r="K68" s="61">
        <f>IF(English!C68="","",English!C68)</f>
        <v>9</v>
      </c>
      <c r="L68" s="35">
        <f>IF(ICT!B68="","",ICT!B68)</f>
        <v>5</v>
      </c>
      <c r="M68" s="35">
        <f>IF(ICT!C68="","",ICT!C68)</f>
        <v>1</v>
      </c>
      <c r="N68" s="35">
        <f>IF(ICT!D68="","",ICT!D68)</f>
        <v>8</v>
      </c>
      <c r="O68" s="42">
        <f>IF(ICT!E68="","",ICT!E68)</f>
        <v>14</v>
      </c>
      <c r="P68" s="40">
        <f>IF(Accounting!B68="","",Accounting!B68)</f>
        <v>5</v>
      </c>
      <c r="Q68" s="40">
        <f>IF(Accounting!C68="","",Accounting!C68)</f>
        <v>8</v>
      </c>
      <c r="R68" s="44">
        <f>IF(Accounting!D68="","",Accounting!D68)</f>
        <v>13</v>
      </c>
      <c r="S68" s="35">
        <f>IF('Business Organization'!B68="","",'Business Organization'!B68)</f>
        <v>13</v>
      </c>
      <c r="T68" s="35">
        <f>IF('Business Organization'!C68="","",'Business Organization'!C68)</f>
        <v>7</v>
      </c>
      <c r="U68" s="42">
        <f>IF('Business Organization'!D68="","",'Business Organization'!D68)</f>
        <v>20</v>
      </c>
      <c r="V68" s="36">
        <f>IF(SubjectList!G68="Finance",IF(Finance!B68=0,"", Finance!B68),IF(SubjectList!G68="Production",IF(Production!B68=0,"", Production!B68),IF(SubjectList!G68="Economics",IF(Economics!B68=0,"", Economics!B68))))</f>
        <v>5</v>
      </c>
      <c r="W68" s="36">
        <f>IF(SubjectList!G68="Finance",IF(Finance!C68=0,"", Finance!C68),IF(SubjectList!G68="Production",IF(Production!C68=0,"", Production!C68),IF(SubjectList!G68="Economics",IF(Economics!C68=0,"", Economics!C68))))</f>
        <v>7</v>
      </c>
      <c r="X68" s="43">
        <f>IF(SubjectList!G68="Finance",IF(Finance!D68=0,"", Finance!D68),IF(SubjectList!G68="Production",IF(Production!D68=0,"", Production!D68),IF(SubjectList!G68="Economics",IF(Economics!D68=0,"", Economics!D68))))</f>
        <v>12</v>
      </c>
      <c r="Y68" s="40">
        <f>IF(SubjectList!H68="Finance",IF(Finance!B68=0,"", Finance!B68),IF(SubjectList!H68="Production",IF(Production!B68=0,"", Production!B68),IF(SubjectList!H68="Economics",IF(Economics!B68=0,"", Economics!B68))))</f>
        <v>13</v>
      </c>
      <c r="Z68" s="40">
        <f>IF(SubjectList!H68="Finance",IF(Finance!C68=0,"", Finance!C68),IF(SubjectList!H68="Production",IF(Production!C68=0,"", Production!C68),IF(SubjectList!H68="Economics",IF(Economics!C68=0,"", Economics!C68))))</f>
        <v>17</v>
      </c>
      <c r="AA68" s="44">
        <f>IF(SubjectList!H68="Finance",IF(Finance!D68=0,"", Finance!D68),IF(SubjectList!H68="Production",IF(Production!D68=0,"", Production!D68),IF(SubjectList!H68="Economics",IF(Economics!D68=0,"", Economics!D68))))</f>
        <v>30</v>
      </c>
      <c r="AB68" s="37" t="str">
        <f>IF(SubjectList!G68="Finance","Finance",IF(SubjectList!G68="Production","Production",IF(SubjectList!G68="Economics","Not Given")))</f>
        <v>Finance</v>
      </c>
      <c r="AC68" s="37" t="str">
        <f>IF(SubjectList!H68="Finance","Finance",IF(SubjectList!H68="Production","Production",IF(SubjectList!H68="Economics","Economics","Not Given")))</f>
        <v>Production</v>
      </c>
      <c r="AD68" s="38" t="str">
        <f>Bangla!F68</f>
        <v>F</v>
      </c>
      <c r="AE68" s="38" t="str">
        <f>English!E68</f>
        <v>F</v>
      </c>
      <c r="AF68" s="38" t="str">
        <f>ICT!G68</f>
        <v>F</v>
      </c>
      <c r="AG68" s="38" t="str">
        <f>Accounting!F68</f>
        <v>F</v>
      </c>
      <c r="AH68" s="38" t="str">
        <f>'Business Organization'!F68</f>
        <v>F</v>
      </c>
      <c r="AI68" s="38" t="str">
        <f>Production!F68</f>
        <v>F</v>
      </c>
      <c r="AJ68" s="38" t="str">
        <f>Finance!F68</f>
        <v>F</v>
      </c>
      <c r="AK68" s="39">
        <f>Bangla!G68</f>
        <v>0</v>
      </c>
      <c r="AL68" s="39">
        <f>English!F68</f>
        <v>0</v>
      </c>
      <c r="AM68" s="39">
        <f>ICT!H68</f>
        <v>0</v>
      </c>
      <c r="AN68" s="39">
        <f>Accounting!G68</f>
        <v>0</v>
      </c>
      <c r="AO68" s="39">
        <f>'Business Organization'!G68</f>
        <v>0</v>
      </c>
      <c r="AP68" s="39">
        <f>IF(SubjectList!G68="Finance",Finance!G68,IF(SubjectList!G68="Production",Production!G68,IF(SubjectList!G68="Economics",Economics!G68)))</f>
        <v>0</v>
      </c>
      <c r="AQ68" s="39">
        <f>IF(Optional!H68="","", Optional!H68)</f>
        <v>0</v>
      </c>
      <c r="AR68" s="39">
        <f>Optional!H68</f>
        <v>0</v>
      </c>
      <c r="AS68" s="39">
        <f>Optional!I68</f>
        <v>0</v>
      </c>
      <c r="AT68" s="39" t="str">
        <f t="shared" si="25"/>
        <v/>
      </c>
      <c r="AU68" s="39">
        <f t="shared" si="34"/>
        <v>0</v>
      </c>
      <c r="AV68" s="39" t="str">
        <f t="shared" si="26"/>
        <v/>
      </c>
      <c r="AW68" s="39" t="str">
        <f t="shared" si="27"/>
        <v/>
      </c>
      <c r="AX68" s="5">
        <f t="shared" si="35"/>
        <v>114</v>
      </c>
      <c r="AY68" s="41">
        <f t="shared" si="28"/>
        <v>0</v>
      </c>
      <c r="AZ68" s="41">
        <f t="shared" si="29"/>
        <v>0</v>
      </c>
      <c r="BA68" s="41">
        <f t="shared" si="30"/>
        <v>0</v>
      </c>
      <c r="BB68" s="41">
        <f t="shared" si="31"/>
        <v>0</v>
      </c>
      <c r="BC68" s="41">
        <f t="shared" si="32"/>
        <v>0</v>
      </c>
      <c r="BD68" s="41">
        <f t="shared" si="33"/>
        <v>0</v>
      </c>
      <c r="BE68" s="3">
        <f t="shared" si="36"/>
        <v>0</v>
      </c>
      <c r="BF68" s="3" t="str">
        <f t="shared" si="37"/>
        <v>Failed in 6 Subjects</v>
      </c>
      <c r="BG68" s="5" t="str">
        <f>IF(AW68="","",RANK(AW68,AW$2:AW145,0))</f>
        <v/>
      </c>
      <c r="BH68" s="3" t="str">
        <f t="shared" si="38"/>
        <v>খুবই দুর্বল</v>
      </c>
      <c r="BI68" t="str">
        <f t="shared" si="39"/>
        <v>Very Weak</v>
      </c>
      <c r="BJ68" s="104" t="str">
        <f t="shared" si="40"/>
        <v/>
      </c>
    </row>
    <row r="69" spans="1:62" ht="15" thickBot="1" x14ac:dyDescent="0.4">
      <c r="A69" s="3" t="str">
        <f>'Student Basic Info'!B69</f>
        <v>Business Studies</v>
      </c>
      <c r="B69" s="3">
        <f>'Student Basic Info'!A69</f>
        <v>568</v>
      </c>
      <c r="C69" s="3" t="str">
        <f>'Student Basic Info'!C69</f>
        <v>Sanzida Aktar Ruhi</v>
      </c>
      <c r="D69" s="3" t="str">
        <f>'Student Basic Info'!D69</f>
        <v>Abul Kasen Mintu</v>
      </c>
      <c r="E69" s="3" t="str">
        <f>'Student Basic Info'!E69</f>
        <v>Marzahan Begum</v>
      </c>
      <c r="F69" s="3" t="str">
        <f>'Student Basic Info'!F69</f>
        <v>Female</v>
      </c>
      <c r="G69" s="79">
        <v>1839848231</v>
      </c>
      <c r="H69" s="59" t="str">
        <f>IF(Bangla!B69="","",Bangla!B69)</f>
        <v/>
      </c>
      <c r="I69" s="59">
        <f>IF(Bangla!C69="","",Bangla!C69)</f>
        <v>13</v>
      </c>
      <c r="J69" s="60">
        <f>IF(Bangla!D69="","",Bangla!D69)</f>
        <v>13</v>
      </c>
      <c r="K69" s="61">
        <f>IF(English!C69="","",English!C69)</f>
        <v>9</v>
      </c>
      <c r="L69" s="35">
        <f>IF(ICT!B69="","",ICT!B69)</f>
        <v>7</v>
      </c>
      <c r="M69" s="35">
        <f>IF(ICT!C69="","",ICT!C69)</f>
        <v>1</v>
      </c>
      <c r="N69" s="35">
        <f>IF(ICT!D69="","",ICT!D69)</f>
        <v>24</v>
      </c>
      <c r="O69" s="42">
        <f>IF(ICT!E69="","",ICT!E69)</f>
        <v>32</v>
      </c>
      <c r="P69" s="40">
        <f>IF(Accounting!B69="","",Accounting!B69)</f>
        <v>7</v>
      </c>
      <c r="Q69" s="40">
        <f>IF(Accounting!C69="","",Accounting!C69)</f>
        <v>7</v>
      </c>
      <c r="R69" s="44">
        <f>IF(Accounting!D69="","",Accounting!D69)</f>
        <v>14</v>
      </c>
      <c r="S69" s="35">
        <f>IF('Business Organization'!B69="","",'Business Organization'!B69)</f>
        <v>9</v>
      </c>
      <c r="T69" s="35">
        <f>IF('Business Organization'!C69="","",'Business Organization'!C69)</f>
        <v>2</v>
      </c>
      <c r="U69" s="42">
        <f>IF('Business Organization'!D69="","",'Business Organization'!D69)</f>
        <v>11</v>
      </c>
      <c r="V69" s="36">
        <f>IF(SubjectList!G69="Finance",IF(Finance!B69=0,"", Finance!B69),IF(SubjectList!G69="Production",IF(Production!B69=0,"", Production!B69),IF(SubjectList!G69="Economics",IF(Economics!B69=0,"", Economics!B69))))</f>
        <v>12</v>
      </c>
      <c r="W69" s="36">
        <f>IF(SubjectList!G69="Finance",IF(Finance!C69=0,"", Finance!C69),IF(SubjectList!G69="Production",IF(Production!C69=0,"", Production!C69),IF(SubjectList!G69="Economics",IF(Economics!C69=0,"", Economics!C69))))</f>
        <v>13</v>
      </c>
      <c r="X69" s="43">
        <f>IF(SubjectList!G69="Finance",IF(Finance!D69=0,"", Finance!D69),IF(SubjectList!G69="Production",IF(Production!D69=0,"", Production!D69),IF(SubjectList!G69="Economics",IF(Economics!D69=0,"", Economics!D69))))</f>
        <v>25</v>
      </c>
      <c r="Y69" s="40">
        <f>IF(SubjectList!H69="Finance",IF(Finance!B69=0,"", Finance!B69),IF(SubjectList!H69="Production",IF(Production!B69=0,"", Production!B69),IF(SubjectList!H69="Economics",IF(Economics!B69=0,"", Economics!B69))))</f>
        <v>11</v>
      </c>
      <c r="Z69" s="40">
        <f>IF(SubjectList!H69="Finance",IF(Finance!C69=0,"", Finance!C69),IF(SubjectList!H69="Production",IF(Production!C69=0,"", Production!C69),IF(SubjectList!H69="Economics",IF(Economics!C69=0,"", Economics!C69))))</f>
        <v>3</v>
      </c>
      <c r="AA69" s="44">
        <f>IF(SubjectList!H69="Finance",IF(Finance!D69=0,"", Finance!D69),IF(SubjectList!H69="Production",IF(Production!D69=0,"", Production!D69),IF(SubjectList!H69="Economics",IF(Economics!D69=0,"", Economics!D69))))</f>
        <v>14</v>
      </c>
      <c r="AB69" s="37" t="str">
        <f>IF(SubjectList!G69="Finance","Finance",IF(SubjectList!G69="Production","Production",IF(SubjectList!G69="Economics","Not Given")))</f>
        <v>Production</v>
      </c>
      <c r="AC69" s="37" t="str">
        <f>IF(SubjectList!H69="Finance","Finance",IF(SubjectList!H69="Production","Production",IF(SubjectList!H69="Economics","Economics","Not Given")))</f>
        <v>Finance</v>
      </c>
      <c r="AD69" s="38" t="str">
        <f>Bangla!F69</f>
        <v>F</v>
      </c>
      <c r="AE69" s="38" t="str">
        <f>English!E69</f>
        <v>F</v>
      </c>
      <c r="AF69" s="38" t="str">
        <f>ICT!G69</f>
        <v>F</v>
      </c>
      <c r="AG69" s="38" t="str">
        <f>Accounting!F69</f>
        <v>F</v>
      </c>
      <c r="AH69" s="38" t="str">
        <f>'Business Organization'!F69</f>
        <v>F</v>
      </c>
      <c r="AI69" s="38" t="str">
        <f>Production!F69</f>
        <v>F</v>
      </c>
      <c r="AJ69" s="38" t="str">
        <f>Finance!F69</f>
        <v>F</v>
      </c>
      <c r="AK69" s="39">
        <f>Bangla!G69</f>
        <v>0</v>
      </c>
      <c r="AL69" s="39">
        <f>English!F69</f>
        <v>0</v>
      </c>
      <c r="AM69" s="39">
        <f>ICT!H69</f>
        <v>0</v>
      </c>
      <c r="AN69" s="39">
        <f>Accounting!G69</f>
        <v>0</v>
      </c>
      <c r="AO69" s="39">
        <f>'Business Organization'!G69</f>
        <v>0</v>
      </c>
      <c r="AP69" s="39">
        <f>IF(SubjectList!G69="Finance",Finance!G69,IF(SubjectList!G69="Production",Production!G69,IF(SubjectList!G69="Economics",Economics!G69)))</f>
        <v>0</v>
      </c>
      <c r="AQ69" s="39">
        <f>IF(Optional!H69="","", Optional!H69)</f>
        <v>0</v>
      </c>
      <c r="AR69" s="39">
        <f>Optional!H69</f>
        <v>0</v>
      </c>
      <c r="AS69" s="39">
        <f>Optional!I69</f>
        <v>0</v>
      </c>
      <c r="AT69" s="39" t="str">
        <f t="shared" si="25"/>
        <v/>
      </c>
      <c r="AU69" s="39">
        <f t="shared" si="34"/>
        <v>0</v>
      </c>
      <c r="AV69" s="39" t="str">
        <f t="shared" si="26"/>
        <v/>
      </c>
      <c r="AW69" s="39" t="str">
        <f t="shared" si="27"/>
        <v/>
      </c>
      <c r="AX69" s="5">
        <f t="shared" si="35"/>
        <v>118</v>
      </c>
      <c r="AY69" s="41">
        <f t="shared" si="28"/>
        <v>0</v>
      </c>
      <c r="AZ69" s="41">
        <f t="shared" si="29"/>
        <v>0</v>
      </c>
      <c r="BA69" s="41">
        <f t="shared" si="30"/>
        <v>0</v>
      </c>
      <c r="BB69" s="41">
        <f t="shared" si="31"/>
        <v>0</v>
      </c>
      <c r="BC69" s="41">
        <f t="shared" si="32"/>
        <v>0</v>
      </c>
      <c r="BD69" s="41">
        <f t="shared" si="33"/>
        <v>0</v>
      </c>
      <c r="BE69" s="3">
        <f t="shared" si="36"/>
        <v>0</v>
      </c>
      <c r="BF69" s="3" t="str">
        <f t="shared" si="37"/>
        <v>Failed in 6 Subjects</v>
      </c>
      <c r="BG69" s="5" t="str">
        <f>IF(AW69="","",RANK(AW69,AW$2:AW145,0))</f>
        <v/>
      </c>
      <c r="BH69" s="3" t="str">
        <f t="shared" si="38"/>
        <v>খুবই দুর্বল</v>
      </c>
      <c r="BI69" t="str">
        <f t="shared" si="39"/>
        <v>Very Weak</v>
      </c>
      <c r="BJ69" s="104" t="str">
        <f t="shared" si="40"/>
        <v/>
      </c>
    </row>
    <row r="70" spans="1:62" ht="15" thickBot="1" x14ac:dyDescent="0.4">
      <c r="A70" s="3" t="str">
        <f>'Student Basic Info'!B70</f>
        <v>Business Studies</v>
      </c>
      <c r="B70" s="3">
        <f>'Student Basic Info'!A70</f>
        <v>569</v>
      </c>
      <c r="C70" s="3" t="str">
        <f>'Student Basic Info'!C70</f>
        <v>Miheraz Hosain</v>
      </c>
      <c r="D70" s="3" t="str">
        <f>'Student Basic Info'!D70</f>
        <v xml:space="preserve">Md. Yousuf </v>
      </c>
      <c r="E70" s="3" t="str">
        <f>'Student Basic Info'!E70</f>
        <v>Bibi Tahera</v>
      </c>
      <c r="F70" s="3" t="str">
        <f>'Student Basic Info'!F70</f>
        <v>Male</v>
      </c>
      <c r="G70" s="79">
        <v>1895455895</v>
      </c>
      <c r="H70" s="59" t="str">
        <f>IF(Bangla!B70="","",Bangla!B70)</f>
        <v/>
      </c>
      <c r="I70" s="59" t="str">
        <f>IF(Bangla!C70="","",Bangla!C70)</f>
        <v/>
      </c>
      <c r="J70" s="60" t="str">
        <f>IF(Bangla!D70="","",Bangla!D70)</f>
        <v/>
      </c>
      <c r="K70" s="61" t="str">
        <f>IF(English!C70="","",English!C70)</f>
        <v/>
      </c>
      <c r="L70" s="35" t="str">
        <f>IF(ICT!B70="","",ICT!B70)</f>
        <v/>
      </c>
      <c r="M70" s="35" t="str">
        <f>IF(ICT!C70="","",ICT!C70)</f>
        <v/>
      </c>
      <c r="N70" s="35" t="str">
        <f>IF(ICT!D70="","",ICT!D70)</f>
        <v/>
      </c>
      <c r="O70" s="42" t="str">
        <f>IF(ICT!E70="","",ICT!E70)</f>
        <v/>
      </c>
      <c r="P70" s="40" t="str">
        <f>IF(Accounting!B70="","",Accounting!B70)</f>
        <v/>
      </c>
      <c r="Q70" s="40" t="str">
        <f>IF(Accounting!C70="","",Accounting!C70)</f>
        <v/>
      </c>
      <c r="R70" s="44" t="str">
        <f>IF(Accounting!D70="","",Accounting!D70)</f>
        <v/>
      </c>
      <c r="S70" s="35" t="str">
        <f>IF('Business Organization'!B70="","",'Business Organization'!B70)</f>
        <v/>
      </c>
      <c r="T70" s="35" t="str">
        <f>IF('Business Organization'!C70="","",'Business Organization'!C70)</f>
        <v/>
      </c>
      <c r="U70" s="42" t="str">
        <f>IF('Business Organization'!D70="","",'Business Organization'!D70)</f>
        <v/>
      </c>
      <c r="V70" s="36" t="str">
        <f>IF(SubjectList!G70="Finance",IF(Finance!B70=0,"", Finance!B70),IF(SubjectList!G70="Production",IF(Production!B70=0,"", Production!B70),IF(SubjectList!G70="Economics",IF(Economics!B70=0,"", Economics!B70))))</f>
        <v/>
      </c>
      <c r="W70" s="36" t="str">
        <f>IF(SubjectList!G70="Finance",IF(Finance!C70=0,"", Finance!C70),IF(SubjectList!G70="Production",IF(Production!C70=0,"", Production!C70),IF(SubjectList!G70="Economics",IF(Economics!C70=0,"", Economics!C70))))</f>
        <v/>
      </c>
      <c r="X70" s="43" t="str">
        <f>IF(SubjectList!G70="Finance",IF(Finance!D70=0,"", Finance!D70),IF(SubjectList!G70="Production",IF(Production!D70=0,"", Production!D70),IF(SubjectList!G70="Economics",IF(Economics!D70=0,"", Economics!D70))))</f>
        <v/>
      </c>
      <c r="Y70" s="40" t="str">
        <f>IF(SubjectList!H70="Finance",IF(Finance!B70=0,"", Finance!B70),IF(SubjectList!H70="Production",IF(Production!B70=0,"", Production!B70),IF(SubjectList!H70="Economics",IF(Economics!B70=0,"", Economics!B70))))</f>
        <v/>
      </c>
      <c r="Z70" s="40" t="str">
        <f>IF(SubjectList!H70="Finance",IF(Finance!C70=0,"", Finance!C70),IF(SubjectList!H70="Production",IF(Production!C70=0,"", Production!C70),IF(SubjectList!H70="Economics",IF(Economics!C70=0,"", Economics!C70))))</f>
        <v/>
      </c>
      <c r="AA70" s="44" t="str">
        <f>IF(SubjectList!H70="Finance",IF(Finance!D70=0,"", Finance!D70),IF(SubjectList!H70="Production",IF(Production!D70=0,"", Production!D70),IF(SubjectList!H70="Economics",IF(Economics!D70=0,"", Economics!D70))))</f>
        <v/>
      </c>
      <c r="AB70" s="37" t="str">
        <f>IF(SubjectList!G70="Finance","Finance",IF(SubjectList!G70="Production","Production",IF(SubjectList!G70="Economics","Not Given")))</f>
        <v>Finance</v>
      </c>
      <c r="AC70" s="37" t="str">
        <f>IF(SubjectList!H70="Finance","Finance",IF(SubjectList!H70="Production","Production",IF(SubjectList!H70="Economics","Economics","Not Given")))</f>
        <v>Economics</v>
      </c>
      <c r="AD70" s="38" t="str">
        <f>Bangla!F70</f>
        <v/>
      </c>
      <c r="AE70" s="38" t="str">
        <f>English!E70</f>
        <v/>
      </c>
      <c r="AF70" s="38" t="str">
        <f>ICT!G70</f>
        <v/>
      </c>
      <c r="AG70" s="38" t="str">
        <f>Accounting!F70</f>
        <v/>
      </c>
      <c r="AH70" s="38" t="str">
        <f>'Business Organization'!F70</f>
        <v/>
      </c>
      <c r="AI70" s="38" t="str">
        <f>Production!F70</f>
        <v/>
      </c>
      <c r="AJ70" s="38" t="str">
        <f>Finance!F70</f>
        <v/>
      </c>
      <c r="AK70" s="39" t="str">
        <f>Bangla!G70</f>
        <v/>
      </c>
      <c r="AL70" s="39" t="str">
        <f>English!F70</f>
        <v/>
      </c>
      <c r="AM70" s="39" t="str">
        <f>ICT!H70</f>
        <v/>
      </c>
      <c r="AN70" s="39" t="str">
        <f>Accounting!G70</f>
        <v/>
      </c>
      <c r="AO70" s="39" t="str">
        <f>'Business Organization'!G70</f>
        <v/>
      </c>
      <c r="AP70" s="39" t="str">
        <f>IF(SubjectList!G70="Finance",Finance!G70,IF(SubjectList!G70="Production",Production!G70,IF(SubjectList!G70="Economics",Economics!G70)))</f>
        <v/>
      </c>
      <c r="AQ70" s="39" t="str">
        <f>IF(Optional!H70="","", Optional!H70)</f>
        <v/>
      </c>
      <c r="AR70" s="39" t="str">
        <f>Optional!H70</f>
        <v/>
      </c>
      <c r="AS70" s="39" t="str">
        <f>Optional!I70</f>
        <v/>
      </c>
      <c r="AT70" s="39" t="str">
        <f t="shared" si="25"/>
        <v/>
      </c>
      <c r="AU70" s="39">
        <f t="shared" si="34"/>
        <v>0</v>
      </c>
      <c r="AV70" s="39" t="str">
        <f t="shared" si="26"/>
        <v/>
      </c>
      <c r="AW70" s="39" t="str">
        <f t="shared" si="27"/>
        <v/>
      </c>
      <c r="AX70" s="5">
        <f t="shared" si="35"/>
        <v>0</v>
      </c>
      <c r="AY70" s="41">
        <f t="shared" si="28"/>
        <v>0</v>
      </c>
      <c r="AZ70" s="41">
        <f t="shared" si="29"/>
        <v>0</v>
      </c>
      <c r="BA70" s="41">
        <f t="shared" si="30"/>
        <v>0</v>
      </c>
      <c r="BB70" s="41">
        <f t="shared" si="31"/>
        <v>0</v>
      </c>
      <c r="BC70" s="41">
        <f t="shared" si="32"/>
        <v>0</v>
      </c>
      <c r="BD70" s="41">
        <f t="shared" si="33"/>
        <v>0</v>
      </c>
      <c r="BE70" s="3">
        <f t="shared" si="36"/>
        <v>0</v>
      </c>
      <c r="BF70" s="3" t="str">
        <f t="shared" si="37"/>
        <v>Failed in 6 Subjects</v>
      </c>
      <c r="BG70" s="5" t="str">
        <f>IF(AW70="","",RANK(AW70,AW$2:AW145,0))</f>
        <v/>
      </c>
      <c r="BH70" s="3" t="str">
        <f t="shared" si="38"/>
        <v>খুবই দুর্বল</v>
      </c>
      <c r="BI70" t="str">
        <f t="shared" si="39"/>
        <v>Very Weak</v>
      </c>
      <c r="BJ70" s="104" t="str">
        <f t="shared" si="40"/>
        <v/>
      </c>
    </row>
    <row r="71" spans="1:62" ht="15" thickBot="1" x14ac:dyDescent="0.4">
      <c r="A71" s="3" t="str">
        <f>'Student Basic Info'!B71</f>
        <v>Business Studies</v>
      </c>
      <c r="B71" s="3">
        <f>'Student Basic Info'!A71</f>
        <v>570</v>
      </c>
      <c r="C71" s="3" t="str">
        <f>'Student Basic Info'!C71</f>
        <v>Md. Naymul Islam</v>
      </c>
      <c r="D71" s="3" t="str">
        <f>'Student Basic Info'!D71</f>
        <v>Md. Zafor Ullah</v>
      </c>
      <c r="E71" s="3" t="str">
        <f>'Student Basic Info'!E71</f>
        <v>Aklima Begum</v>
      </c>
      <c r="F71" s="3" t="str">
        <f>'Student Basic Info'!F71</f>
        <v>Male</v>
      </c>
      <c r="G71" s="79">
        <v>1869802760</v>
      </c>
      <c r="H71" s="59" t="str">
        <f>IF(Bangla!B71="","",Bangla!B71)</f>
        <v/>
      </c>
      <c r="I71" s="59" t="str">
        <f>IF(Bangla!C71="","",Bangla!C71)</f>
        <v/>
      </c>
      <c r="J71" s="60" t="str">
        <f>IF(Bangla!D71="","",Bangla!D71)</f>
        <v/>
      </c>
      <c r="K71" s="61" t="str">
        <f>IF(English!C71="","",English!C71)</f>
        <v/>
      </c>
      <c r="L71" s="35" t="str">
        <f>IF(ICT!B71="","",ICT!B71)</f>
        <v/>
      </c>
      <c r="M71" s="35" t="str">
        <f>IF(ICT!C71="","",ICT!C71)</f>
        <v/>
      </c>
      <c r="N71" s="35" t="str">
        <f>IF(ICT!D71="","",ICT!D71)</f>
        <v/>
      </c>
      <c r="O71" s="42" t="str">
        <f>IF(ICT!E71="","",ICT!E71)</f>
        <v/>
      </c>
      <c r="P71" s="40" t="str">
        <f>IF(Accounting!B71="","",Accounting!B71)</f>
        <v/>
      </c>
      <c r="Q71" s="40" t="str">
        <f>IF(Accounting!C71="","",Accounting!C71)</f>
        <v/>
      </c>
      <c r="R71" s="44" t="str">
        <f>IF(Accounting!D71="","",Accounting!D71)</f>
        <v/>
      </c>
      <c r="S71" s="35" t="str">
        <f>IF('Business Organization'!B71="","",'Business Organization'!B71)</f>
        <v/>
      </c>
      <c r="T71" s="35" t="str">
        <f>IF('Business Organization'!C71="","",'Business Organization'!C71)</f>
        <v/>
      </c>
      <c r="U71" s="42" t="str">
        <f>IF('Business Organization'!D71="","",'Business Organization'!D71)</f>
        <v/>
      </c>
      <c r="V71" s="36" t="str">
        <f>IF(SubjectList!G71="Finance",IF(Finance!B71=0,"", Finance!B71),IF(SubjectList!G71="Production",IF(Production!B71=0,"", Production!B71),IF(SubjectList!G71="Economics",IF(Economics!B71=0,"", Economics!B71))))</f>
        <v/>
      </c>
      <c r="W71" s="36" t="str">
        <f>IF(SubjectList!G71="Finance",IF(Finance!C71=0,"", Finance!C71),IF(SubjectList!G71="Production",IF(Production!C71=0,"", Production!C71),IF(SubjectList!G71="Economics",IF(Economics!C71=0,"", Economics!C71))))</f>
        <v/>
      </c>
      <c r="X71" s="43" t="str">
        <f>IF(SubjectList!G71="Finance",IF(Finance!D71=0,"", Finance!D71),IF(SubjectList!G71="Production",IF(Production!D71=0,"", Production!D71),IF(SubjectList!G71="Economics",IF(Economics!D71=0,"", Economics!D71))))</f>
        <v/>
      </c>
      <c r="Y71" s="40" t="str">
        <f>IF(SubjectList!H71="Finance",IF(Finance!B71=0,"", Finance!B71),IF(SubjectList!H71="Production",IF(Production!B71=0,"", Production!B71),IF(SubjectList!H71="Economics",IF(Economics!B71=0,"", Economics!B71))))</f>
        <v/>
      </c>
      <c r="Z71" s="40" t="str">
        <f>IF(SubjectList!H71="Finance",IF(Finance!C71=0,"", Finance!C71),IF(SubjectList!H71="Production",IF(Production!C71=0,"", Production!C71),IF(SubjectList!H71="Economics",IF(Economics!C71=0,"", Economics!C71))))</f>
        <v/>
      </c>
      <c r="AA71" s="44" t="str">
        <f>IF(SubjectList!H71="Finance",IF(Finance!D71=0,"", Finance!D71),IF(SubjectList!H71="Production",IF(Production!D71=0,"", Production!D71),IF(SubjectList!H71="Economics",IF(Economics!D71=0,"", Economics!D71))))</f>
        <v/>
      </c>
      <c r="AB71" s="37" t="str">
        <f>IF(SubjectList!G71="Finance","Finance",IF(SubjectList!G71="Production","Production",IF(SubjectList!G71="Economics","Not Given")))</f>
        <v>Production</v>
      </c>
      <c r="AC71" s="37" t="str">
        <f>IF(SubjectList!H71="Finance","Finance",IF(SubjectList!H71="Production","Production",IF(SubjectList!H71="Economics","Economics","Not Given")))</f>
        <v>Economics</v>
      </c>
      <c r="AD71" s="38" t="str">
        <f>Bangla!F71</f>
        <v/>
      </c>
      <c r="AE71" s="38" t="str">
        <f>English!E71</f>
        <v/>
      </c>
      <c r="AF71" s="38" t="str">
        <f>ICT!G71</f>
        <v/>
      </c>
      <c r="AG71" s="38" t="str">
        <f>Accounting!F71</f>
        <v/>
      </c>
      <c r="AH71" s="38" t="str">
        <f>'Business Organization'!F71</f>
        <v/>
      </c>
      <c r="AI71" s="38" t="str">
        <f>Production!F71</f>
        <v/>
      </c>
      <c r="AJ71" s="38" t="str">
        <f>Finance!F71</f>
        <v/>
      </c>
      <c r="AK71" s="39" t="str">
        <f>Bangla!G71</f>
        <v/>
      </c>
      <c r="AL71" s="39" t="str">
        <f>English!F71</f>
        <v/>
      </c>
      <c r="AM71" s="39" t="str">
        <f>ICT!H71</f>
        <v/>
      </c>
      <c r="AN71" s="39" t="str">
        <f>Accounting!G71</f>
        <v/>
      </c>
      <c r="AO71" s="39" t="str">
        <f>'Business Organization'!G71</f>
        <v/>
      </c>
      <c r="AP71" s="39" t="str">
        <f>IF(SubjectList!G71="Finance",Finance!G71,IF(SubjectList!G71="Production",Production!G71,IF(SubjectList!G71="Economics",Economics!G71)))</f>
        <v/>
      </c>
      <c r="AQ71" s="39" t="str">
        <f>IF(Optional!H71="","", Optional!H71)</f>
        <v/>
      </c>
      <c r="AR71" s="39" t="str">
        <f>Optional!H71</f>
        <v/>
      </c>
      <c r="AS71" s="39" t="str">
        <f>Optional!I71</f>
        <v/>
      </c>
      <c r="AT71" s="39" t="str">
        <f t="shared" si="25"/>
        <v/>
      </c>
      <c r="AU71" s="39">
        <f t="shared" si="34"/>
        <v>0</v>
      </c>
      <c r="AV71" s="39" t="str">
        <f t="shared" si="26"/>
        <v/>
      </c>
      <c r="AW71" s="39" t="str">
        <f t="shared" si="27"/>
        <v/>
      </c>
      <c r="AX71" s="5">
        <f t="shared" si="35"/>
        <v>0</v>
      </c>
      <c r="AY71" s="41">
        <f t="shared" si="28"/>
        <v>0</v>
      </c>
      <c r="AZ71" s="41">
        <f t="shared" si="29"/>
        <v>0</v>
      </c>
      <c r="BA71" s="41">
        <f t="shared" si="30"/>
        <v>0</v>
      </c>
      <c r="BB71" s="41">
        <f t="shared" si="31"/>
        <v>0</v>
      </c>
      <c r="BC71" s="41">
        <f t="shared" si="32"/>
        <v>0</v>
      </c>
      <c r="BD71" s="41">
        <f t="shared" si="33"/>
        <v>0</v>
      </c>
      <c r="BE71" s="3">
        <f t="shared" si="36"/>
        <v>0</v>
      </c>
      <c r="BF71" s="3" t="str">
        <f t="shared" si="37"/>
        <v>Failed in 6 Subjects</v>
      </c>
      <c r="BG71" s="5" t="str">
        <f>IF(AW71="","",RANK(AW71,AW$2:AW145,0))</f>
        <v/>
      </c>
      <c r="BH71" s="3" t="str">
        <f t="shared" si="38"/>
        <v>খুবই দুর্বল</v>
      </c>
      <c r="BI71" t="str">
        <f t="shared" si="39"/>
        <v>Very Weak</v>
      </c>
      <c r="BJ71" s="104" t="str">
        <f t="shared" si="40"/>
        <v/>
      </c>
    </row>
    <row r="72" spans="1:62" ht="15" thickBot="1" x14ac:dyDescent="0.4">
      <c r="A72" s="3" t="str">
        <f>'Student Basic Info'!B72</f>
        <v>Business Studies</v>
      </c>
      <c r="B72" s="3">
        <f>'Student Basic Info'!A72</f>
        <v>571</v>
      </c>
      <c r="C72" s="3" t="str">
        <f>'Student Basic Info'!C72</f>
        <v>Nirob Chandra Dhupi</v>
      </c>
      <c r="D72" s="3" t="str">
        <f>'Student Basic Info'!D72</f>
        <v>Samir Chandra Dhupi</v>
      </c>
      <c r="E72" s="3" t="str">
        <f>'Student Basic Info'!E72</f>
        <v>Shilpi Rani Das</v>
      </c>
      <c r="F72" s="3" t="str">
        <f>'Student Basic Info'!F72</f>
        <v>Male</v>
      </c>
      <c r="G72" s="79">
        <v>1812936141</v>
      </c>
      <c r="H72" s="59" t="str">
        <f>IF(Bangla!B72="","",Bangla!B72)</f>
        <v/>
      </c>
      <c r="I72" s="59" t="str">
        <f>IF(Bangla!C72="","",Bangla!C72)</f>
        <v/>
      </c>
      <c r="J72" s="60" t="str">
        <f>IF(Bangla!D72="","",Bangla!D72)</f>
        <v/>
      </c>
      <c r="K72" s="61" t="str">
        <f>IF(English!C72="","",English!C72)</f>
        <v/>
      </c>
      <c r="L72" s="35" t="str">
        <f>IF(ICT!B72="","",ICT!B72)</f>
        <v/>
      </c>
      <c r="M72" s="35" t="str">
        <f>IF(ICT!C72="","",ICT!C72)</f>
        <v/>
      </c>
      <c r="N72" s="35" t="str">
        <f>IF(ICT!D72="","",ICT!D72)</f>
        <v/>
      </c>
      <c r="O72" s="42" t="str">
        <f>IF(ICT!E72="","",ICT!E72)</f>
        <v/>
      </c>
      <c r="P72" s="40" t="str">
        <f>IF(Accounting!B72="","",Accounting!B72)</f>
        <v/>
      </c>
      <c r="Q72" s="40" t="str">
        <f>IF(Accounting!C72="","",Accounting!C72)</f>
        <v/>
      </c>
      <c r="R72" s="44" t="str">
        <f>IF(Accounting!D72="","",Accounting!D72)</f>
        <v/>
      </c>
      <c r="S72" s="35" t="str">
        <f>IF('Business Organization'!B72="","",'Business Organization'!B72)</f>
        <v/>
      </c>
      <c r="T72" s="35" t="str">
        <f>IF('Business Organization'!C72="","",'Business Organization'!C72)</f>
        <v/>
      </c>
      <c r="U72" s="42" t="str">
        <f>IF('Business Organization'!D72="","",'Business Organization'!D72)</f>
        <v/>
      </c>
      <c r="V72" s="36" t="str">
        <f>IF(SubjectList!G72="Finance",IF(Finance!B72=0,"", Finance!B72),IF(SubjectList!G72="Production",IF(Production!B72=0,"", Production!B72),IF(SubjectList!G72="Economics",IF(Economics!B72=0,"", Economics!B72))))</f>
        <v/>
      </c>
      <c r="W72" s="36" t="str">
        <f>IF(SubjectList!G72="Finance",IF(Finance!C72=0,"", Finance!C72),IF(SubjectList!G72="Production",IF(Production!C72=0,"", Production!C72),IF(SubjectList!G72="Economics",IF(Economics!C72=0,"", Economics!C72))))</f>
        <v/>
      </c>
      <c r="X72" s="43" t="str">
        <f>IF(SubjectList!G72="Finance",IF(Finance!D72=0,"", Finance!D72),IF(SubjectList!G72="Production",IF(Production!D72=0,"", Production!D72),IF(SubjectList!G72="Economics",IF(Economics!D72=0,"", Economics!D72))))</f>
        <v/>
      </c>
      <c r="Y72" s="40" t="str">
        <f>IF(SubjectList!H72="Finance",IF(Finance!B72=0,"", Finance!B72),IF(SubjectList!H72="Production",IF(Production!B72=0,"", Production!B72),IF(SubjectList!H72="Economics",IF(Economics!B72=0,"", Economics!B72))))</f>
        <v/>
      </c>
      <c r="Z72" s="40" t="str">
        <f>IF(SubjectList!H72="Finance",IF(Finance!C72=0,"", Finance!C72),IF(SubjectList!H72="Production",IF(Production!C72=0,"", Production!C72),IF(SubjectList!H72="Economics",IF(Economics!C72=0,"", Economics!C72))))</f>
        <v/>
      </c>
      <c r="AA72" s="44" t="str">
        <f>IF(SubjectList!H72="Finance",IF(Finance!D72=0,"", Finance!D72),IF(SubjectList!H72="Production",IF(Production!D72=0,"", Production!D72),IF(SubjectList!H72="Economics",IF(Economics!D72=0,"", Economics!D72))))</f>
        <v/>
      </c>
      <c r="AB72" s="37" t="str">
        <f>IF(SubjectList!G72="Finance","Finance",IF(SubjectList!G72="Production","Production",IF(SubjectList!G72="Economics","Not Given")))</f>
        <v>Production</v>
      </c>
      <c r="AC72" s="37" t="str">
        <f>IF(SubjectList!H72="Finance","Finance",IF(SubjectList!H72="Production","Production",IF(SubjectList!H72="Economics","Economics","Not Given")))</f>
        <v>Economics</v>
      </c>
      <c r="AD72" s="38" t="str">
        <f>Bangla!F72</f>
        <v/>
      </c>
      <c r="AE72" s="38" t="str">
        <f>English!E72</f>
        <v/>
      </c>
      <c r="AF72" s="38" t="str">
        <f>ICT!G72</f>
        <v/>
      </c>
      <c r="AG72" s="38" t="str">
        <f>Accounting!F72</f>
        <v/>
      </c>
      <c r="AH72" s="38" t="str">
        <f>'Business Organization'!F72</f>
        <v/>
      </c>
      <c r="AI72" s="38" t="str">
        <f>Production!F72</f>
        <v/>
      </c>
      <c r="AJ72" s="38" t="str">
        <f>Finance!F72</f>
        <v/>
      </c>
      <c r="AK72" s="39" t="str">
        <f>Bangla!G72</f>
        <v/>
      </c>
      <c r="AL72" s="39" t="str">
        <f>English!F72</f>
        <v/>
      </c>
      <c r="AM72" s="39" t="str">
        <f>ICT!H72</f>
        <v/>
      </c>
      <c r="AN72" s="39" t="str">
        <f>Accounting!G72</f>
        <v/>
      </c>
      <c r="AO72" s="39" t="str">
        <f>'Business Organization'!G72</f>
        <v/>
      </c>
      <c r="AP72" s="39" t="str">
        <f>IF(SubjectList!G72="Finance",Finance!G72,IF(SubjectList!G72="Production",Production!G72,IF(SubjectList!G72="Economics",Economics!G72)))</f>
        <v/>
      </c>
      <c r="AQ72" s="39" t="str">
        <f>IF(Optional!H72="","", Optional!H72)</f>
        <v/>
      </c>
      <c r="AR72" s="39" t="str">
        <f>Optional!H72</f>
        <v/>
      </c>
      <c r="AS72" s="39" t="str">
        <f>Optional!I72</f>
        <v/>
      </c>
      <c r="AT72" s="39" t="str">
        <f t="shared" si="25"/>
        <v/>
      </c>
      <c r="AU72" s="39">
        <f t="shared" si="34"/>
        <v>0</v>
      </c>
      <c r="AV72" s="39" t="str">
        <f t="shared" si="26"/>
        <v/>
      </c>
      <c r="AW72" s="39" t="str">
        <f t="shared" si="27"/>
        <v/>
      </c>
      <c r="AX72" s="5">
        <f t="shared" si="35"/>
        <v>0</v>
      </c>
      <c r="AY72" s="41">
        <f t="shared" si="28"/>
        <v>0</v>
      </c>
      <c r="AZ72" s="41">
        <f t="shared" si="29"/>
        <v>0</v>
      </c>
      <c r="BA72" s="41">
        <f t="shared" si="30"/>
        <v>0</v>
      </c>
      <c r="BB72" s="41">
        <f t="shared" si="31"/>
        <v>0</v>
      </c>
      <c r="BC72" s="41">
        <f t="shared" si="32"/>
        <v>0</v>
      </c>
      <c r="BD72" s="41">
        <f t="shared" si="33"/>
        <v>0</v>
      </c>
      <c r="BE72" s="3">
        <f t="shared" si="36"/>
        <v>0</v>
      </c>
      <c r="BF72" s="3" t="str">
        <f t="shared" si="37"/>
        <v>Failed in 6 Subjects</v>
      </c>
      <c r="BG72" s="5" t="str">
        <f>IF(AW72="","",RANK(AW72,AW$2:AW145,0))</f>
        <v/>
      </c>
      <c r="BH72" s="3" t="str">
        <f t="shared" si="38"/>
        <v>খুবই দুর্বল</v>
      </c>
      <c r="BI72" t="str">
        <f t="shared" si="39"/>
        <v>Very Weak</v>
      </c>
      <c r="BJ72" s="104" t="str">
        <f t="shared" si="40"/>
        <v/>
      </c>
    </row>
    <row r="73" spans="1:62" ht="15" thickBot="1" x14ac:dyDescent="0.4">
      <c r="A73" s="3" t="str">
        <f>'Student Basic Info'!B73</f>
        <v>Business Studies</v>
      </c>
      <c r="B73" s="3">
        <f>'Student Basic Info'!A73</f>
        <v>572</v>
      </c>
      <c r="C73" s="3" t="str">
        <f>'Student Basic Info'!C73</f>
        <v>Abu Bokkor Siddik</v>
      </c>
      <c r="D73" s="3" t="str">
        <f>'Student Basic Info'!D73</f>
        <v>Mohammad Ibrahim</v>
      </c>
      <c r="E73" s="3" t="str">
        <f>'Student Basic Info'!E73</f>
        <v>Setara Begum</v>
      </c>
      <c r="F73" s="3" t="str">
        <f>'Student Basic Info'!F73</f>
        <v>Male</v>
      </c>
      <c r="G73" s="79">
        <v>1865615310</v>
      </c>
      <c r="H73" s="59" t="str">
        <f>IF(Bangla!B73="","",Bangla!B73)</f>
        <v/>
      </c>
      <c r="I73" s="59">
        <f>IF(Bangla!C73="","",Bangla!C73)</f>
        <v>19</v>
      </c>
      <c r="J73" s="60">
        <f>IF(Bangla!D73="","",Bangla!D73)</f>
        <v>19</v>
      </c>
      <c r="K73" s="61">
        <f>IF(English!C73="","",English!C73)</f>
        <v>7</v>
      </c>
      <c r="L73" s="35">
        <f>IF(ICT!B73="","",ICT!B73)</f>
        <v>11</v>
      </c>
      <c r="M73" s="35">
        <f>IF(ICT!C73="","",ICT!C73)</f>
        <v>2</v>
      </c>
      <c r="N73" s="35">
        <f>IF(ICT!D73="","",ICT!D73)</f>
        <v>23</v>
      </c>
      <c r="O73" s="42">
        <f>IF(ICT!E73="","",ICT!E73)</f>
        <v>36</v>
      </c>
      <c r="P73" s="40">
        <f>IF(Accounting!B73="","",Accounting!B73)</f>
        <v>5</v>
      </c>
      <c r="Q73" s="40">
        <f>IF(Accounting!C73="","",Accounting!C73)</f>
        <v>6</v>
      </c>
      <c r="R73" s="44">
        <f>IF(Accounting!D73="","",Accounting!D73)</f>
        <v>11</v>
      </c>
      <c r="S73" s="35">
        <f>IF('Business Organization'!B73="","",'Business Organization'!B73)</f>
        <v>16</v>
      </c>
      <c r="T73" s="35">
        <f>IF('Business Organization'!C73="","",'Business Organization'!C73)</f>
        <v>7</v>
      </c>
      <c r="U73" s="42">
        <f>IF('Business Organization'!D73="","",'Business Organization'!D73)</f>
        <v>23</v>
      </c>
      <c r="V73" s="36">
        <f>IF(SubjectList!G73="Finance",IF(Finance!B73=0,"", Finance!B73),IF(SubjectList!G73="Production",IF(Production!B73=0,"", Production!B73),IF(SubjectList!G73="Economics",IF(Economics!B73=0,"", Economics!B73))))</f>
        <v>5</v>
      </c>
      <c r="W73" s="36">
        <f>IF(SubjectList!G73="Finance",IF(Finance!C73=0,"", Finance!C73),IF(SubjectList!G73="Production",IF(Production!C73=0,"", Production!C73),IF(SubjectList!G73="Economics",IF(Economics!C73=0,"", Economics!C73))))</f>
        <v>3</v>
      </c>
      <c r="X73" s="43">
        <f>IF(SubjectList!G73="Finance",IF(Finance!D73=0,"", Finance!D73),IF(SubjectList!G73="Production",IF(Production!D73=0,"", Production!D73),IF(SubjectList!G73="Economics",IF(Economics!D73=0,"", Economics!D73))))</f>
        <v>8</v>
      </c>
      <c r="Y73" s="40">
        <f>IF(SubjectList!H73="Finance",IF(Finance!B73=0,"", Finance!B73),IF(SubjectList!H73="Production",IF(Production!B73=0,"", Production!B73),IF(SubjectList!H73="Economics",IF(Economics!B73=0,"", Economics!B73))))</f>
        <v>7</v>
      </c>
      <c r="Z73" s="40">
        <f>IF(SubjectList!H73="Finance",IF(Finance!C73=0,"", Finance!C73),IF(SubjectList!H73="Production",IF(Production!C73=0,"", Production!C73),IF(SubjectList!H73="Economics",IF(Economics!C73=0,"", Economics!C73))))</f>
        <v>2</v>
      </c>
      <c r="AA73" s="44">
        <f>IF(SubjectList!H73="Finance",IF(Finance!D73=0,"", Finance!D73),IF(SubjectList!H73="Production",IF(Production!D73=0,"", Production!D73),IF(SubjectList!H73="Economics",IF(Economics!D73=0,"", Economics!D73))))</f>
        <v>9</v>
      </c>
      <c r="AB73" s="37" t="str">
        <f>IF(SubjectList!G73="Finance","Finance",IF(SubjectList!G73="Production","Production",IF(SubjectList!G73="Economics","Not Given")))</f>
        <v>Finance</v>
      </c>
      <c r="AC73" s="37" t="str">
        <f>IF(SubjectList!H73="Finance","Finance",IF(SubjectList!H73="Production","Production",IF(SubjectList!H73="Economics","Economics","Not Given")))</f>
        <v>Production</v>
      </c>
      <c r="AD73" s="38" t="str">
        <f>Bangla!F73</f>
        <v>F</v>
      </c>
      <c r="AE73" s="38" t="str">
        <f>English!E73</f>
        <v>F</v>
      </c>
      <c r="AF73" s="38" t="str">
        <f>ICT!G73</f>
        <v>F</v>
      </c>
      <c r="AG73" s="38" t="str">
        <f>Accounting!F73</f>
        <v>F</v>
      </c>
      <c r="AH73" s="38" t="str">
        <f>'Business Organization'!F73</f>
        <v>F</v>
      </c>
      <c r="AI73" s="38" t="str">
        <f>Production!F73</f>
        <v>F</v>
      </c>
      <c r="AJ73" s="38" t="str">
        <f>Finance!F73</f>
        <v>F</v>
      </c>
      <c r="AK73" s="39">
        <f>Bangla!G73</f>
        <v>0</v>
      </c>
      <c r="AL73" s="39">
        <f>English!F73</f>
        <v>0</v>
      </c>
      <c r="AM73" s="39">
        <f>ICT!H73</f>
        <v>0</v>
      </c>
      <c r="AN73" s="39">
        <f>Accounting!G73</f>
        <v>0</v>
      </c>
      <c r="AO73" s="39">
        <f>'Business Organization'!G73</f>
        <v>0</v>
      </c>
      <c r="AP73" s="39">
        <f>IF(SubjectList!G73="Finance",Finance!G73,IF(SubjectList!G73="Production",Production!G73,IF(SubjectList!G73="Economics",Economics!G73)))</f>
        <v>0</v>
      </c>
      <c r="AQ73" s="39">
        <f>IF(Optional!H73="","", Optional!H73)</f>
        <v>0</v>
      </c>
      <c r="AR73" s="39">
        <f>Optional!H73</f>
        <v>0</v>
      </c>
      <c r="AS73" s="39">
        <f>Optional!I73</f>
        <v>0</v>
      </c>
      <c r="AT73" s="39" t="str">
        <f t="shared" si="25"/>
        <v/>
      </c>
      <c r="AU73" s="39">
        <f t="shared" si="34"/>
        <v>0</v>
      </c>
      <c r="AV73" s="39" t="str">
        <f t="shared" si="26"/>
        <v/>
      </c>
      <c r="AW73" s="39" t="str">
        <f t="shared" si="27"/>
        <v/>
      </c>
      <c r="AX73" s="5">
        <f t="shared" si="35"/>
        <v>113</v>
      </c>
      <c r="AY73" s="41">
        <f t="shared" si="28"/>
        <v>0</v>
      </c>
      <c r="AZ73" s="41">
        <f t="shared" si="29"/>
        <v>0</v>
      </c>
      <c r="BA73" s="41">
        <f t="shared" si="30"/>
        <v>0</v>
      </c>
      <c r="BB73" s="41">
        <f t="shared" si="31"/>
        <v>0</v>
      </c>
      <c r="BC73" s="41">
        <f t="shared" si="32"/>
        <v>0</v>
      </c>
      <c r="BD73" s="41">
        <f t="shared" si="33"/>
        <v>0</v>
      </c>
      <c r="BE73" s="3">
        <f t="shared" si="36"/>
        <v>0</v>
      </c>
      <c r="BF73" s="3" t="str">
        <f t="shared" si="37"/>
        <v>Failed in 6 Subjects</v>
      </c>
      <c r="BG73" s="5" t="str">
        <f>IF(AW73="","",RANK(AW73,AW$2:AW145,0))</f>
        <v/>
      </c>
      <c r="BH73" s="3" t="str">
        <f t="shared" si="38"/>
        <v>খুবই দুর্বল</v>
      </c>
      <c r="BI73" t="str">
        <f t="shared" si="39"/>
        <v>Very Weak</v>
      </c>
      <c r="BJ73" s="104" t="str">
        <f t="shared" si="40"/>
        <v/>
      </c>
    </row>
    <row r="74" spans="1:62" ht="15" thickBot="1" x14ac:dyDescent="0.4">
      <c r="A74" s="3" t="str">
        <f>'Student Basic Info'!B74</f>
        <v>Business Studies</v>
      </c>
      <c r="B74" s="3">
        <f>'Student Basic Info'!A74</f>
        <v>573</v>
      </c>
      <c r="C74" s="3" t="str">
        <f>'Student Basic Info'!C74</f>
        <v>Sultan Ahammed Nafiz</v>
      </c>
      <c r="D74" s="3" t="str">
        <f>'Student Basic Info'!D74</f>
        <v>Abul Kasem</v>
      </c>
      <c r="E74" s="3" t="str">
        <f>'Student Basic Info'!E74</f>
        <v>Mahmuda Khatum</v>
      </c>
      <c r="F74" s="3" t="str">
        <f>'Student Basic Info'!F74</f>
        <v>Male</v>
      </c>
      <c r="G74" s="79">
        <v>1834900634</v>
      </c>
      <c r="H74" s="59" t="str">
        <f>IF(Bangla!B74="","",Bangla!B74)</f>
        <v/>
      </c>
      <c r="I74" s="59">
        <f>IF(Bangla!C74="","",Bangla!C74)</f>
        <v>20</v>
      </c>
      <c r="J74" s="60">
        <f>IF(Bangla!D74="","",Bangla!D74)</f>
        <v>20</v>
      </c>
      <c r="K74" s="61">
        <f>IF(English!C74="","",English!C74)</f>
        <v>9</v>
      </c>
      <c r="L74" s="35">
        <f>IF(ICT!B74="","",ICT!B74)</f>
        <v>8</v>
      </c>
      <c r="M74" s="35">
        <f>IF(ICT!C74="","",ICT!C74)</f>
        <v>2</v>
      </c>
      <c r="N74" s="35">
        <f>IF(ICT!D74="","",ICT!D74)</f>
        <v>23</v>
      </c>
      <c r="O74" s="42">
        <f>IF(ICT!E74="","",ICT!E74)</f>
        <v>33</v>
      </c>
      <c r="P74" s="40">
        <f>IF(Accounting!B74="","",Accounting!B74)</f>
        <v>7</v>
      </c>
      <c r="Q74" s="40">
        <f>IF(Accounting!C74="","",Accounting!C74)</f>
        <v>5</v>
      </c>
      <c r="R74" s="44">
        <f>IF(Accounting!D74="","",Accounting!D74)</f>
        <v>12</v>
      </c>
      <c r="S74" s="35">
        <f>IF('Business Organization'!B74="","",'Business Organization'!B74)</f>
        <v>13</v>
      </c>
      <c r="T74" s="35">
        <f>IF('Business Organization'!C74="","",'Business Organization'!C74)</f>
        <v>6</v>
      </c>
      <c r="U74" s="42">
        <f>IF('Business Organization'!D74="","",'Business Organization'!D74)</f>
        <v>19</v>
      </c>
      <c r="V74" s="36">
        <f>IF(SubjectList!G74="Finance",IF(Finance!B74=0,"", Finance!B74),IF(SubjectList!G74="Production",IF(Production!B74=0,"", Production!B74),IF(SubjectList!G74="Economics",IF(Economics!B74=0,"", Economics!B74))))</f>
        <v>14</v>
      </c>
      <c r="W74" s="36">
        <f>IF(SubjectList!G74="Finance",IF(Finance!C74=0,"", Finance!C74),IF(SubjectList!G74="Production",IF(Production!C74=0,"", Production!C74),IF(SubjectList!G74="Economics",IF(Economics!C74=0,"", Economics!C74))))</f>
        <v>3</v>
      </c>
      <c r="X74" s="43">
        <f>IF(SubjectList!G74="Finance",IF(Finance!D74=0,"", Finance!D74),IF(SubjectList!G74="Production",IF(Production!D74=0,"", Production!D74),IF(SubjectList!G74="Economics",IF(Economics!D74=0,"", Economics!D74))))</f>
        <v>17</v>
      </c>
      <c r="Y74" s="40">
        <f>IF(SubjectList!H74="Finance",IF(Finance!B74=0,"", Finance!B74),IF(SubjectList!H74="Production",IF(Production!B74=0,"", Production!B74),IF(SubjectList!H74="Economics",IF(Economics!B74=0,"", Economics!B74))))</f>
        <v>7</v>
      </c>
      <c r="Z74" s="40">
        <f>IF(SubjectList!H74="Finance",IF(Finance!C74=0,"", Finance!C74),IF(SubjectList!H74="Production",IF(Production!C74=0,"", Production!C74),IF(SubjectList!H74="Economics",IF(Economics!C74=0,"", Economics!C74))))</f>
        <v>4</v>
      </c>
      <c r="AA74" s="44">
        <f>IF(SubjectList!H74="Finance",IF(Finance!D74=0,"", Finance!D74),IF(SubjectList!H74="Production",IF(Production!D74=0,"", Production!D74),IF(SubjectList!H74="Economics",IF(Economics!D74=0,"", Economics!D74))))</f>
        <v>11</v>
      </c>
      <c r="AB74" s="37" t="str">
        <f>IF(SubjectList!G74="Finance","Finance",IF(SubjectList!G74="Production","Production",IF(SubjectList!G74="Economics","Not Given")))</f>
        <v>Production</v>
      </c>
      <c r="AC74" s="37" t="str">
        <f>IF(SubjectList!H74="Finance","Finance",IF(SubjectList!H74="Production","Production",IF(SubjectList!H74="Economics","Economics","Not Given")))</f>
        <v>Finance</v>
      </c>
      <c r="AD74" s="38" t="str">
        <f>Bangla!F74</f>
        <v>F</v>
      </c>
      <c r="AE74" s="38" t="str">
        <f>English!E74</f>
        <v>F</v>
      </c>
      <c r="AF74" s="38" t="str">
        <f>ICT!G74</f>
        <v>F</v>
      </c>
      <c r="AG74" s="38" t="str">
        <f>Accounting!F74</f>
        <v>F</v>
      </c>
      <c r="AH74" s="38" t="str">
        <f>'Business Organization'!F74</f>
        <v>F</v>
      </c>
      <c r="AI74" s="38" t="str">
        <f>Production!F74</f>
        <v>F</v>
      </c>
      <c r="AJ74" s="38" t="str">
        <f>Finance!F74</f>
        <v>F</v>
      </c>
      <c r="AK74" s="39">
        <f>Bangla!G74</f>
        <v>0</v>
      </c>
      <c r="AL74" s="39">
        <f>English!F74</f>
        <v>0</v>
      </c>
      <c r="AM74" s="39">
        <f>ICT!H74</f>
        <v>0</v>
      </c>
      <c r="AN74" s="39">
        <f>Accounting!G74</f>
        <v>0</v>
      </c>
      <c r="AO74" s="39">
        <f>'Business Organization'!G74</f>
        <v>0</v>
      </c>
      <c r="AP74" s="39">
        <f>IF(SubjectList!G74="Finance",Finance!G74,IF(SubjectList!G74="Production",Production!G74,IF(SubjectList!G74="Economics",Economics!G74)))</f>
        <v>0</v>
      </c>
      <c r="AQ74" s="39">
        <f>IF(Optional!H74="","", Optional!H74)</f>
        <v>0</v>
      </c>
      <c r="AR74" s="39">
        <f>Optional!H74</f>
        <v>0</v>
      </c>
      <c r="AS74" s="39">
        <f>Optional!I74</f>
        <v>0</v>
      </c>
      <c r="AT74" s="39" t="str">
        <f t="shared" si="25"/>
        <v/>
      </c>
      <c r="AU74" s="39">
        <f t="shared" si="34"/>
        <v>0</v>
      </c>
      <c r="AV74" s="39" t="str">
        <f t="shared" si="26"/>
        <v/>
      </c>
      <c r="AW74" s="39" t="str">
        <f t="shared" si="27"/>
        <v/>
      </c>
      <c r="AX74" s="5">
        <f t="shared" si="35"/>
        <v>121</v>
      </c>
      <c r="AY74" s="41">
        <f t="shared" si="28"/>
        <v>0</v>
      </c>
      <c r="AZ74" s="41">
        <f t="shared" si="29"/>
        <v>0</v>
      </c>
      <c r="BA74" s="41">
        <f t="shared" si="30"/>
        <v>0</v>
      </c>
      <c r="BB74" s="41">
        <f t="shared" si="31"/>
        <v>0</v>
      </c>
      <c r="BC74" s="41">
        <f t="shared" si="32"/>
        <v>0</v>
      </c>
      <c r="BD74" s="41">
        <f t="shared" si="33"/>
        <v>0</v>
      </c>
      <c r="BE74" s="3">
        <f t="shared" si="36"/>
        <v>0</v>
      </c>
      <c r="BF74" s="3" t="str">
        <f t="shared" si="37"/>
        <v>Failed in 6 Subjects</v>
      </c>
      <c r="BG74" s="5" t="str">
        <f>IF(AW74="","",RANK(AW74,AW$2:AW145,0))</f>
        <v/>
      </c>
      <c r="BH74" s="3" t="str">
        <f t="shared" si="38"/>
        <v>খুবই দুর্বল</v>
      </c>
      <c r="BI74" t="str">
        <f t="shared" si="39"/>
        <v>Very Weak</v>
      </c>
      <c r="BJ74" s="104" t="str">
        <f t="shared" si="40"/>
        <v/>
      </c>
    </row>
    <row r="75" spans="1:62" ht="15" thickBot="1" x14ac:dyDescent="0.4">
      <c r="A75" s="3" t="str">
        <f>'Student Basic Info'!B75</f>
        <v>Business Studies</v>
      </c>
      <c r="B75" s="3">
        <f>'Student Basic Info'!A75</f>
        <v>574</v>
      </c>
      <c r="C75" s="3" t="str">
        <f>'Student Basic Info'!C75</f>
        <v xml:space="preserve">Mehedi Hasan </v>
      </c>
      <c r="D75" s="3" t="str">
        <f>'Student Basic Info'!D75</f>
        <v>Md. Jebal Haque</v>
      </c>
      <c r="E75" s="3" t="str">
        <f>'Student Basic Info'!E75</f>
        <v>Fatema Khatun</v>
      </c>
      <c r="F75" s="3" t="str">
        <f>'Student Basic Info'!F75</f>
        <v>Male</v>
      </c>
      <c r="G75" s="79">
        <v>1903563746</v>
      </c>
      <c r="H75" s="59" t="str">
        <f>IF(Bangla!B75="","",Bangla!B75)</f>
        <v/>
      </c>
      <c r="I75" s="59" t="str">
        <f>IF(Bangla!C75="","",Bangla!C75)</f>
        <v/>
      </c>
      <c r="J75" s="60" t="str">
        <f>IF(Bangla!D75="","",Bangla!D75)</f>
        <v/>
      </c>
      <c r="K75" s="61" t="str">
        <f>IF(English!C75="","",English!C75)</f>
        <v/>
      </c>
      <c r="L75" s="35">
        <f>IF(ICT!B75="","",ICT!B75)</f>
        <v>3</v>
      </c>
      <c r="M75" s="35">
        <f>IF(ICT!C75="","",ICT!C75)</f>
        <v>1</v>
      </c>
      <c r="N75" s="35">
        <f>IF(ICT!D75="","",ICT!D75)</f>
        <v>24</v>
      </c>
      <c r="O75" s="42">
        <f>IF(ICT!E75="","",ICT!E75)</f>
        <v>28</v>
      </c>
      <c r="P75" s="40">
        <f>IF(Accounting!B75="","",Accounting!B75)</f>
        <v>6</v>
      </c>
      <c r="Q75" s="40">
        <f>IF(Accounting!C75="","",Accounting!C75)</f>
        <v>17</v>
      </c>
      <c r="R75" s="44">
        <f>IF(Accounting!D75="","",Accounting!D75)</f>
        <v>23</v>
      </c>
      <c r="S75" s="35">
        <f>IF('Business Organization'!B75="","",'Business Organization'!B75)</f>
        <v>10</v>
      </c>
      <c r="T75" s="35">
        <f>IF('Business Organization'!C75="","",'Business Organization'!C75)</f>
        <v>6</v>
      </c>
      <c r="U75" s="42">
        <f>IF('Business Organization'!D75="","",'Business Organization'!D75)</f>
        <v>16</v>
      </c>
      <c r="V75" s="36">
        <f>IF(SubjectList!G75="Finance",IF(Finance!B75=0,"", Finance!B75),IF(SubjectList!G75="Production",IF(Production!B75=0,"", Production!B75),IF(SubjectList!G75="Economics",IF(Economics!B75=0,"", Economics!B75))))</f>
        <v>7</v>
      </c>
      <c r="W75" s="36">
        <f>IF(SubjectList!G75="Finance",IF(Finance!C75=0,"", Finance!C75),IF(SubjectList!G75="Production",IF(Production!C75=0,"", Production!C75),IF(SubjectList!G75="Economics",IF(Economics!C75=0,"", Economics!C75))))</f>
        <v>7</v>
      </c>
      <c r="X75" s="43">
        <f>IF(SubjectList!G75="Finance",IF(Finance!D75=0,"", Finance!D75),IF(SubjectList!G75="Production",IF(Production!D75=0,"", Production!D75),IF(SubjectList!G75="Economics",IF(Economics!D75=0,"", Economics!D75))))</f>
        <v>14</v>
      </c>
      <c r="Y75" s="40" t="str">
        <f>IF(SubjectList!H75="Finance",IF(Finance!B75=0,"", Finance!B75),IF(SubjectList!H75="Production",IF(Production!B75=0,"", Production!B75),IF(SubjectList!H75="Economics",IF(Economics!B75=0,"", Economics!B75))))</f>
        <v/>
      </c>
      <c r="Z75" s="40" t="str">
        <f>IF(SubjectList!H75="Finance",IF(Finance!C75=0,"", Finance!C75),IF(SubjectList!H75="Production",IF(Production!C75=0,"", Production!C75),IF(SubjectList!H75="Economics",IF(Economics!C75=0,"", Economics!C75))))</f>
        <v/>
      </c>
      <c r="AA75" s="44" t="str">
        <f>IF(SubjectList!H75="Finance",IF(Finance!D75=0,"", Finance!D75),IF(SubjectList!H75="Production",IF(Production!D75=0,"", Production!D75),IF(SubjectList!H75="Economics",IF(Economics!D75=0,"", Economics!D75))))</f>
        <v/>
      </c>
      <c r="AB75" s="37" t="str">
        <f>IF(SubjectList!G75="Finance","Finance",IF(SubjectList!G75="Production","Production",IF(SubjectList!G75="Economics","Not Given")))</f>
        <v>Finance</v>
      </c>
      <c r="AC75" s="37" t="str">
        <f>IF(SubjectList!H75="Finance","Finance",IF(SubjectList!H75="Production","Production",IF(SubjectList!H75="Economics","Economics","Not Given")))</f>
        <v>Economics</v>
      </c>
      <c r="AD75" s="38" t="str">
        <f>Bangla!F75</f>
        <v/>
      </c>
      <c r="AE75" s="38" t="str">
        <f>English!E75</f>
        <v/>
      </c>
      <c r="AF75" s="38" t="str">
        <f>ICT!G75</f>
        <v>F</v>
      </c>
      <c r="AG75" s="38" t="str">
        <f>Accounting!F75</f>
        <v>F</v>
      </c>
      <c r="AH75" s="38" t="str">
        <f>'Business Organization'!F75</f>
        <v>F</v>
      </c>
      <c r="AI75" s="38" t="str">
        <f>Production!F75</f>
        <v>F</v>
      </c>
      <c r="AJ75" s="38" t="str">
        <f>Finance!F75</f>
        <v>F</v>
      </c>
      <c r="AK75" s="39" t="str">
        <f>Bangla!G75</f>
        <v/>
      </c>
      <c r="AL75" s="39" t="str">
        <f>English!F75</f>
        <v/>
      </c>
      <c r="AM75" s="39">
        <f>ICT!H75</f>
        <v>0</v>
      </c>
      <c r="AN75" s="39">
        <f>Accounting!G75</f>
        <v>0</v>
      </c>
      <c r="AO75" s="39">
        <f>'Business Organization'!G75</f>
        <v>0</v>
      </c>
      <c r="AP75" s="39">
        <f>IF(SubjectList!G75="Finance",Finance!G75,IF(SubjectList!G75="Production",Production!G75,IF(SubjectList!G75="Economics",Economics!G75)))</f>
        <v>0</v>
      </c>
      <c r="AQ75" s="39" t="str">
        <f>IF(Optional!H75="","", Optional!H75)</f>
        <v/>
      </c>
      <c r="AR75" s="39" t="str">
        <f>Optional!H75</f>
        <v/>
      </c>
      <c r="AS75" s="39" t="str">
        <f>Optional!I75</f>
        <v/>
      </c>
      <c r="AT75" s="39" t="str">
        <f t="shared" si="25"/>
        <v/>
      </c>
      <c r="AU75" s="39">
        <f t="shared" si="34"/>
        <v>0</v>
      </c>
      <c r="AV75" s="39" t="str">
        <f t="shared" si="26"/>
        <v/>
      </c>
      <c r="AW75" s="39" t="str">
        <f t="shared" si="27"/>
        <v/>
      </c>
      <c r="AX75" s="5">
        <f t="shared" si="35"/>
        <v>81</v>
      </c>
      <c r="AY75" s="41">
        <f t="shared" si="28"/>
        <v>0</v>
      </c>
      <c r="AZ75" s="41">
        <f t="shared" si="29"/>
        <v>0</v>
      </c>
      <c r="BA75" s="41">
        <f t="shared" si="30"/>
        <v>0</v>
      </c>
      <c r="BB75" s="41">
        <f t="shared" si="31"/>
        <v>0</v>
      </c>
      <c r="BC75" s="41">
        <f t="shared" si="32"/>
        <v>0</v>
      </c>
      <c r="BD75" s="41">
        <f t="shared" si="33"/>
        <v>0</v>
      </c>
      <c r="BE75" s="3">
        <f t="shared" si="36"/>
        <v>0</v>
      </c>
      <c r="BF75" s="3" t="str">
        <f t="shared" si="37"/>
        <v>Failed in 6 Subjects</v>
      </c>
      <c r="BG75" s="5" t="str">
        <f>IF(AW75="","",RANK(AW75,AW$2:AW145,0))</f>
        <v/>
      </c>
      <c r="BH75" s="3" t="str">
        <f t="shared" si="38"/>
        <v>খুবই দুর্বল</v>
      </c>
      <c r="BI75" t="str">
        <f t="shared" si="39"/>
        <v>Very Weak</v>
      </c>
      <c r="BJ75" s="104" t="str">
        <f t="shared" si="40"/>
        <v/>
      </c>
    </row>
    <row r="76" spans="1:62" ht="15" thickBot="1" x14ac:dyDescent="0.4">
      <c r="A76" s="3" t="str">
        <f>'Student Basic Info'!B76</f>
        <v>Business Studies</v>
      </c>
      <c r="B76" s="3">
        <f>'Student Basic Info'!A76</f>
        <v>575</v>
      </c>
      <c r="C76" s="3" t="str">
        <f>'Student Basic Info'!C76</f>
        <v>Torikul Islam</v>
      </c>
      <c r="D76" s="3" t="str">
        <f>'Student Basic Info'!D76</f>
        <v>Jahangir Hosain</v>
      </c>
      <c r="E76" s="3" t="str">
        <f>'Student Basic Info'!E76</f>
        <v>Momtaz Begum</v>
      </c>
      <c r="F76" s="3" t="str">
        <f>'Student Basic Info'!F76</f>
        <v>Male</v>
      </c>
      <c r="G76" s="79">
        <v>1834437356</v>
      </c>
      <c r="H76" s="59" t="str">
        <f>IF(Bangla!B76="","",Bangla!B76)</f>
        <v/>
      </c>
      <c r="I76" s="59" t="str">
        <f>IF(Bangla!C76="","",Bangla!C76)</f>
        <v/>
      </c>
      <c r="J76" s="60" t="str">
        <f>IF(Bangla!D76="","",Bangla!D76)</f>
        <v/>
      </c>
      <c r="K76" s="61" t="str">
        <f>IF(English!C76="","",English!C76)</f>
        <v/>
      </c>
      <c r="L76" s="35" t="str">
        <f>IF(ICT!B76="","",ICT!B76)</f>
        <v/>
      </c>
      <c r="M76" s="35" t="str">
        <f>IF(ICT!C76="","",ICT!C76)</f>
        <v/>
      </c>
      <c r="N76" s="35" t="str">
        <f>IF(ICT!D76="","",ICT!D76)</f>
        <v/>
      </c>
      <c r="O76" s="42" t="str">
        <f>IF(ICT!E76="","",ICT!E76)</f>
        <v/>
      </c>
      <c r="P76" s="40" t="str">
        <f>IF(Accounting!B76="","",Accounting!B76)</f>
        <v/>
      </c>
      <c r="Q76" s="40" t="str">
        <f>IF(Accounting!C76="","",Accounting!C76)</f>
        <v/>
      </c>
      <c r="R76" s="44" t="str">
        <f>IF(Accounting!D76="","",Accounting!D76)</f>
        <v/>
      </c>
      <c r="S76" s="35" t="str">
        <f>IF('Business Organization'!B76="","",'Business Organization'!B76)</f>
        <v/>
      </c>
      <c r="T76" s="35" t="str">
        <f>IF('Business Organization'!C76="","",'Business Organization'!C76)</f>
        <v/>
      </c>
      <c r="U76" s="42" t="str">
        <f>IF('Business Organization'!D76="","",'Business Organization'!D76)</f>
        <v/>
      </c>
      <c r="V76" s="36" t="str">
        <f>IF(SubjectList!G76="Finance",IF(Finance!B76=0,"", Finance!B76),IF(SubjectList!G76="Production",IF(Production!B76=0,"", Production!B76),IF(SubjectList!G76="Economics",IF(Economics!B76=0,"", Economics!B76))))</f>
        <v/>
      </c>
      <c r="W76" s="36" t="str">
        <f>IF(SubjectList!G76="Finance",IF(Finance!C76=0,"", Finance!C76),IF(SubjectList!G76="Production",IF(Production!C76=0,"", Production!C76),IF(SubjectList!G76="Economics",IF(Economics!C76=0,"", Economics!C76))))</f>
        <v/>
      </c>
      <c r="X76" s="43" t="str">
        <f>IF(SubjectList!G76="Finance",IF(Finance!D76=0,"", Finance!D76),IF(SubjectList!G76="Production",IF(Production!D76=0,"", Production!D76),IF(SubjectList!G76="Economics",IF(Economics!D76=0,"", Economics!D76))))</f>
        <v/>
      </c>
      <c r="Y76" s="40" t="str">
        <f>IF(SubjectList!H76="Finance",IF(Finance!B76=0,"", Finance!B76),IF(SubjectList!H76="Production",IF(Production!B76=0,"", Production!B76),IF(SubjectList!H76="Economics",IF(Economics!B76=0,"", Economics!B76))))</f>
        <v/>
      </c>
      <c r="Z76" s="40" t="str">
        <f>IF(SubjectList!H76="Finance",IF(Finance!C76=0,"", Finance!C76),IF(SubjectList!H76="Production",IF(Production!C76=0,"", Production!C76),IF(SubjectList!H76="Economics",IF(Economics!C76=0,"", Economics!C76))))</f>
        <v/>
      </c>
      <c r="AA76" s="44" t="str">
        <f>IF(SubjectList!H76="Finance",IF(Finance!D76=0,"", Finance!D76),IF(SubjectList!H76="Production",IF(Production!D76=0,"", Production!D76),IF(SubjectList!H76="Economics",IF(Economics!D76=0,"", Economics!D76))))</f>
        <v/>
      </c>
      <c r="AB76" s="37" t="str">
        <f>IF(SubjectList!G76="Finance","Finance",IF(SubjectList!G76="Production","Production",IF(SubjectList!G76="Economics","Not Given")))</f>
        <v>Finance</v>
      </c>
      <c r="AC76" s="37" t="str">
        <f>IF(SubjectList!H76="Finance","Finance",IF(SubjectList!H76="Production","Production",IF(SubjectList!H76="Economics","Economics","Not Given")))</f>
        <v>Economics</v>
      </c>
      <c r="AD76" s="38" t="str">
        <f>Bangla!F76</f>
        <v/>
      </c>
      <c r="AE76" s="38" t="str">
        <f>English!E76</f>
        <v/>
      </c>
      <c r="AF76" s="38" t="str">
        <f>ICT!G76</f>
        <v/>
      </c>
      <c r="AG76" s="38" t="str">
        <f>Accounting!F76</f>
        <v/>
      </c>
      <c r="AH76" s="38" t="str">
        <f>'Business Organization'!F76</f>
        <v/>
      </c>
      <c r="AI76" s="38" t="str">
        <f>Production!F76</f>
        <v/>
      </c>
      <c r="AJ76" s="38" t="str">
        <f>Finance!F76</f>
        <v/>
      </c>
      <c r="AK76" s="39" t="str">
        <f>Bangla!G76</f>
        <v/>
      </c>
      <c r="AL76" s="39" t="str">
        <f>English!F76</f>
        <v/>
      </c>
      <c r="AM76" s="39" t="str">
        <f>ICT!H76</f>
        <v/>
      </c>
      <c r="AN76" s="39" t="str">
        <f>Accounting!G76</f>
        <v/>
      </c>
      <c r="AO76" s="39" t="str">
        <f>'Business Organization'!G76</f>
        <v/>
      </c>
      <c r="AP76" s="39" t="str">
        <f>IF(SubjectList!G76="Finance",Finance!G76,IF(SubjectList!G76="Production",Production!G76,IF(SubjectList!G76="Economics",Economics!G76)))</f>
        <v/>
      </c>
      <c r="AQ76" s="39" t="str">
        <f>IF(Optional!H76="","", Optional!H76)</f>
        <v/>
      </c>
      <c r="AR76" s="39" t="str">
        <f>Optional!H76</f>
        <v/>
      </c>
      <c r="AS76" s="39" t="str">
        <f>Optional!I76</f>
        <v/>
      </c>
      <c r="AT76" s="39" t="str">
        <f t="shared" si="25"/>
        <v/>
      </c>
      <c r="AU76" s="39">
        <f t="shared" si="34"/>
        <v>0</v>
      </c>
      <c r="AV76" s="39" t="str">
        <f t="shared" si="26"/>
        <v/>
      </c>
      <c r="AW76" s="39" t="str">
        <f t="shared" si="27"/>
        <v/>
      </c>
      <c r="AX76" s="5">
        <f t="shared" si="35"/>
        <v>0</v>
      </c>
      <c r="AY76" s="41">
        <f t="shared" si="28"/>
        <v>0</v>
      </c>
      <c r="AZ76" s="41">
        <f t="shared" si="29"/>
        <v>0</v>
      </c>
      <c r="BA76" s="41">
        <f t="shared" si="30"/>
        <v>0</v>
      </c>
      <c r="BB76" s="41">
        <f t="shared" si="31"/>
        <v>0</v>
      </c>
      <c r="BC76" s="41">
        <f t="shared" si="32"/>
        <v>0</v>
      </c>
      <c r="BD76" s="41">
        <f t="shared" si="33"/>
        <v>0</v>
      </c>
      <c r="BE76" s="3">
        <f t="shared" si="36"/>
        <v>0</v>
      </c>
      <c r="BF76" s="3" t="str">
        <f t="shared" si="37"/>
        <v>Failed in 6 Subjects</v>
      </c>
      <c r="BG76" s="5" t="str">
        <f>IF(AW76="","",RANK(AW76,AW$2:AW145,0))</f>
        <v/>
      </c>
      <c r="BH76" s="3" t="str">
        <f t="shared" si="38"/>
        <v>খুবই দুর্বল</v>
      </c>
      <c r="BI76" t="str">
        <f t="shared" si="39"/>
        <v>Very Weak</v>
      </c>
      <c r="BJ76" s="104" t="str">
        <f t="shared" si="40"/>
        <v/>
      </c>
    </row>
    <row r="77" spans="1:62" ht="15" thickBot="1" x14ac:dyDescent="0.4">
      <c r="A77" s="3" t="str">
        <f>'Student Basic Info'!B77</f>
        <v>Business Studies</v>
      </c>
      <c r="B77" s="3">
        <f>'Student Basic Info'!A77</f>
        <v>576</v>
      </c>
      <c r="C77" s="3" t="str">
        <f>'Student Basic Info'!C77</f>
        <v>Irin Aktar</v>
      </c>
      <c r="D77" s="3" t="str">
        <f>'Student Basic Info'!D77</f>
        <v>Hamidul Haque</v>
      </c>
      <c r="E77" s="3" t="str">
        <f>'Student Basic Info'!E77</f>
        <v>Zohura Khatun</v>
      </c>
      <c r="F77" s="3" t="str">
        <f>'Student Basic Info'!F77</f>
        <v>Female</v>
      </c>
      <c r="G77" s="79">
        <v>1869363129</v>
      </c>
      <c r="H77" s="59" t="str">
        <f>IF(Bangla!B77="","",Bangla!B77)</f>
        <v/>
      </c>
      <c r="I77" s="59" t="str">
        <f>IF(Bangla!C77="","",Bangla!C77)</f>
        <v/>
      </c>
      <c r="J77" s="60" t="str">
        <f>IF(Bangla!D77="","",Bangla!D77)</f>
        <v/>
      </c>
      <c r="K77" s="61" t="str">
        <f>IF(English!C77="","",English!C77)</f>
        <v/>
      </c>
      <c r="L77" s="35" t="str">
        <f>IF(ICT!B77="","",ICT!B77)</f>
        <v/>
      </c>
      <c r="M77" s="35" t="str">
        <f>IF(ICT!C77="","",ICT!C77)</f>
        <v/>
      </c>
      <c r="N77" s="35" t="str">
        <f>IF(ICT!D77="","",ICT!D77)</f>
        <v/>
      </c>
      <c r="O77" s="42" t="str">
        <f>IF(ICT!E77="","",ICT!E77)</f>
        <v/>
      </c>
      <c r="P77" s="40" t="str">
        <f>IF(Accounting!B77="","",Accounting!B77)</f>
        <v/>
      </c>
      <c r="Q77" s="40" t="str">
        <f>IF(Accounting!C77="","",Accounting!C77)</f>
        <v/>
      </c>
      <c r="R77" s="44" t="str">
        <f>IF(Accounting!D77="","",Accounting!D77)</f>
        <v/>
      </c>
      <c r="S77" s="35" t="str">
        <f>IF('Business Organization'!B77="","",'Business Organization'!B77)</f>
        <v/>
      </c>
      <c r="T77" s="35" t="str">
        <f>IF('Business Organization'!C77="","",'Business Organization'!C77)</f>
        <v/>
      </c>
      <c r="U77" s="42" t="str">
        <f>IF('Business Organization'!D77="","",'Business Organization'!D77)</f>
        <v/>
      </c>
      <c r="V77" s="36" t="str">
        <f>IF(SubjectList!G77="Finance",IF(Finance!B77=0,"", Finance!B77),IF(SubjectList!G77="Production",IF(Production!B77=0,"", Production!B77),IF(SubjectList!G77="Economics",IF(Economics!B77=0,"", Economics!B77))))</f>
        <v/>
      </c>
      <c r="W77" s="36" t="str">
        <f>IF(SubjectList!G77="Finance",IF(Finance!C77=0,"", Finance!C77),IF(SubjectList!G77="Production",IF(Production!C77=0,"", Production!C77),IF(SubjectList!G77="Economics",IF(Economics!C77=0,"", Economics!C77))))</f>
        <v/>
      </c>
      <c r="X77" s="43" t="str">
        <f>IF(SubjectList!G77="Finance",IF(Finance!D77=0,"", Finance!D77),IF(SubjectList!G77="Production",IF(Production!D77=0,"", Production!D77),IF(SubjectList!G77="Economics",IF(Economics!D77=0,"", Economics!D77))))</f>
        <v/>
      </c>
      <c r="Y77" s="40" t="str">
        <f>IF(SubjectList!H77="Finance",IF(Finance!B77=0,"", Finance!B77),IF(SubjectList!H77="Production",IF(Production!B77=0,"", Production!B77),IF(SubjectList!H77="Economics",IF(Economics!B77=0,"", Economics!B77))))</f>
        <v/>
      </c>
      <c r="Z77" s="40" t="str">
        <f>IF(SubjectList!H77="Finance",IF(Finance!C77=0,"", Finance!C77),IF(SubjectList!H77="Production",IF(Production!C77=0,"", Production!C77),IF(SubjectList!H77="Economics",IF(Economics!C77=0,"", Economics!C77))))</f>
        <v/>
      </c>
      <c r="AA77" s="44" t="str">
        <f>IF(SubjectList!H77="Finance",IF(Finance!D77=0,"", Finance!D77),IF(SubjectList!H77="Production",IF(Production!D77=0,"", Production!D77),IF(SubjectList!H77="Economics",IF(Economics!D77=0,"", Economics!D77))))</f>
        <v/>
      </c>
      <c r="AB77" s="37" t="str">
        <f>IF(SubjectList!G77="Finance","Finance",IF(SubjectList!G77="Production","Production",IF(SubjectList!G77="Economics","Not Given")))</f>
        <v>Finance</v>
      </c>
      <c r="AC77" s="37" t="str">
        <f>IF(SubjectList!H77="Finance","Finance",IF(SubjectList!H77="Production","Production",IF(SubjectList!H77="Economics","Economics","Not Given")))</f>
        <v>Production</v>
      </c>
      <c r="AD77" s="38" t="str">
        <f>Bangla!F77</f>
        <v/>
      </c>
      <c r="AE77" s="38" t="str">
        <f>English!E77</f>
        <v/>
      </c>
      <c r="AF77" s="38" t="str">
        <f>ICT!G77</f>
        <v/>
      </c>
      <c r="AG77" s="38" t="str">
        <f>Accounting!F77</f>
        <v/>
      </c>
      <c r="AH77" s="38" t="str">
        <f>'Business Organization'!F77</f>
        <v/>
      </c>
      <c r="AI77" s="38" t="str">
        <f>Production!F77</f>
        <v/>
      </c>
      <c r="AJ77" s="38" t="str">
        <f>Finance!F77</f>
        <v/>
      </c>
      <c r="AK77" s="39" t="str">
        <f>Bangla!G77</f>
        <v/>
      </c>
      <c r="AL77" s="39" t="str">
        <f>English!F77</f>
        <v/>
      </c>
      <c r="AM77" s="39" t="str">
        <f>ICT!H77</f>
        <v/>
      </c>
      <c r="AN77" s="39" t="str">
        <f>Accounting!G77</f>
        <v/>
      </c>
      <c r="AO77" s="39" t="str">
        <f>'Business Organization'!G77</f>
        <v/>
      </c>
      <c r="AP77" s="39" t="str">
        <f>IF(SubjectList!G77="Finance",Finance!G77,IF(SubjectList!G77="Production",Production!G77,IF(SubjectList!G77="Economics",Economics!G77)))</f>
        <v/>
      </c>
      <c r="AQ77" s="39" t="str">
        <f>IF(Optional!H77="","", Optional!H77)</f>
        <v/>
      </c>
      <c r="AR77" s="39" t="str">
        <f>Optional!H77</f>
        <v/>
      </c>
      <c r="AS77" s="39" t="str">
        <f>Optional!I77</f>
        <v/>
      </c>
      <c r="AT77" s="39" t="str">
        <f t="shared" si="25"/>
        <v/>
      </c>
      <c r="AU77" s="39">
        <f t="shared" si="34"/>
        <v>0</v>
      </c>
      <c r="AV77" s="39" t="str">
        <f t="shared" si="26"/>
        <v/>
      </c>
      <c r="AW77" s="39" t="str">
        <f t="shared" si="27"/>
        <v/>
      </c>
      <c r="AX77" s="5">
        <f t="shared" si="35"/>
        <v>0</v>
      </c>
      <c r="AY77" s="41">
        <f t="shared" si="28"/>
        <v>0</v>
      </c>
      <c r="AZ77" s="41">
        <f t="shared" si="29"/>
        <v>0</v>
      </c>
      <c r="BA77" s="41">
        <f t="shared" si="30"/>
        <v>0</v>
      </c>
      <c r="BB77" s="41">
        <f t="shared" si="31"/>
        <v>0</v>
      </c>
      <c r="BC77" s="41">
        <f t="shared" si="32"/>
        <v>0</v>
      </c>
      <c r="BD77" s="41">
        <f t="shared" si="33"/>
        <v>0</v>
      </c>
      <c r="BE77" s="3">
        <f t="shared" si="36"/>
        <v>0</v>
      </c>
      <c r="BF77" s="3" t="str">
        <f t="shared" si="37"/>
        <v>Failed in 6 Subjects</v>
      </c>
      <c r="BG77" s="5" t="str">
        <f>IF(AW77="","",RANK(AW77,AW$2:AW145,0))</f>
        <v/>
      </c>
      <c r="BH77" s="3" t="str">
        <f t="shared" si="38"/>
        <v>খুবই দুর্বল</v>
      </c>
      <c r="BI77" t="str">
        <f t="shared" si="39"/>
        <v>Very Weak</v>
      </c>
      <c r="BJ77" s="104" t="str">
        <f t="shared" si="40"/>
        <v/>
      </c>
    </row>
    <row r="78" spans="1:62" ht="15" thickBot="1" x14ac:dyDescent="0.4">
      <c r="A78" s="3" t="str">
        <f>'Student Basic Info'!B78</f>
        <v>Business Studies</v>
      </c>
      <c r="B78" s="3">
        <f>'Student Basic Info'!A78</f>
        <v>577</v>
      </c>
      <c r="C78" s="3" t="str">
        <f>'Student Basic Info'!C78</f>
        <v>Karimul Islam</v>
      </c>
      <c r="D78" s="3" t="str">
        <f>'Student Basic Info'!D78</f>
        <v>Fokhrul Islam</v>
      </c>
      <c r="E78" s="3" t="str">
        <f>'Student Basic Info'!E78</f>
        <v>Lutfun Nahar</v>
      </c>
      <c r="F78" s="3" t="str">
        <f>'Student Basic Info'!F78</f>
        <v>Male</v>
      </c>
      <c r="G78" s="79">
        <v>1882545587</v>
      </c>
      <c r="H78" s="59" t="str">
        <f>IF(Bangla!B78="","",Bangla!B78)</f>
        <v/>
      </c>
      <c r="I78" s="59">
        <f>IF(Bangla!C78="","",Bangla!C78)</f>
        <v>33</v>
      </c>
      <c r="J78" s="60">
        <f>IF(Bangla!D78="","",Bangla!D78)</f>
        <v>33</v>
      </c>
      <c r="K78" s="61">
        <f>IF(English!C78="","",English!C78)</f>
        <v>12</v>
      </c>
      <c r="L78" s="35">
        <f>IF(ICT!B78="","",ICT!B78)</f>
        <v>9</v>
      </c>
      <c r="M78" s="35">
        <f>IF(ICT!C78="","",ICT!C78)</f>
        <v>4</v>
      </c>
      <c r="N78" s="35">
        <f>IF(ICT!D78="","",ICT!D78)</f>
        <v>23</v>
      </c>
      <c r="O78" s="42">
        <f>IF(ICT!E78="","",ICT!E78)</f>
        <v>36</v>
      </c>
      <c r="P78" s="40">
        <f>IF(Accounting!B78="","",Accounting!B78)</f>
        <v>8</v>
      </c>
      <c r="Q78" s="40">
        <f>IF(Accounting!C78="","",Accounting!C78)</f>
        <v>12</v>
      </c>
      <c r="R78" s="44">
        <f>IF(Accounting!D78="","",Accounting!D78)</f>
        <v>20</v>
      </c>
      <c r="S78" s="35">
        <f>IF('Business Organization'!B78="","",'Business Organization'!B78)</f>
        <v>17</v>
      </c>
      <c r="T78" s="35">
        <f>IF('Business Organization'!C78="","",'Business Organization'!C78)</f>
        <v>10</v>
      </c>
      <c r="U78" s="42">
        <f>IF('Business Organization'!D78="","",'Business Organization'!D78)</f>
        <v>27</v>
      </c>
      <c r="V78" s="36">
        <f>IF(SubjectList!G78="Finance",IF(Finance!B78=0,"", Finance!B78),IF(SubjectList!G78="Production",IF(Production!B78=0,"", Production!B78),IF(SubjectList!G78="Economics",IF(Economics!B78=0,"", Economics!B78))))</f>
        <v>6</v>
      </c>
      <c r="W78" s="36">
        <f>IF(SubjectList!G78="Finance",IF(Finance!C78=0,"", Finance!C78),IF(SubjectList!G78="Production",IF(Production!C78=0,"", Production!C78),IF(SubjectList!G78="Economics",IF(Economics!C78=0,"", Economics!C78))))</f>
        <v>11</v>
      </c>
      <c r="X78" s="43">
        <f>IF(SubjectList!G78="Finance",IF(Finance!D78=0,"", Finance!D78),IF(SubjectList!G78="Production",IF(Production!D78=0,"", Production!D78),IF(SubjectList!G78="Economics",IF(Economics!D78=0,"", Economics!D78))))</f>
        <v>17</v>
      </c>
      <c r="Y78" s="40">
        <f>IF(SubjectList!H78="Finance",IF(Finance!B78=0,"", Finance!B78),IF(SubjectList!H78="Production",IF(Production!B78=0,"", Production!B78),IF(SubjectList!H78="Economics",IF(Economics!B78=0,"", Economics!B78))))</f>
        <v>10</v>
      </c>
      <c r="Z78" s="40">
        <f>IF(SubjectList!H78="Finance",IF(Finance!C78=0,"", Finance!C78),IF(SubjectList!H78="Production",IF(Production!C78=0,"", Production!C78),IF(SubjectList!H78="Economics",IF(Economics!C78=0,"", Economics!C78))))</f>
        <v>23</v>
      </c>
      <c r="AA78" s="44">
        <f>IF(SubjectList!H78="Finance",IF(Finance!D78=0,"", Finance!D78),IF(SubjectList!H78="Production",IF(Production!D78=0,"", Production!D78),IF(SubjectList!H78="Economics",IF(Economics!D78=0,"", Economics!D78))))</f>
        <v>33</v>
      </c>
      <c r="AB78" s="37" t="str">
        <f>IF(SubjectList!G78="Finance","Finance",IF(SubjectList!G78="Production","Production",IF(SubjectList!G78="Economics","Not Given")))</f>
        <v>Finance</v>
      </c>
      <c r="AC78" s="37" t="str">
        <f>IF(SubjectList!H78="Finance","Finance",IF(SubjectList!H78="Production","Production",IF(SubjectList!H78="Economics","Economics","Not Given")))</f>
        <v>Production</v>
      </c>
      <c r="AD78" s="38" t="str">
        <f>Bangla!F78</f>
        <v>D</v>
      </c>
      <c r="AE78" s="38" t="str">
        <f>English!E78</f>
        <v>F</v>
      </c>
      <c r="AF78" s="38" t="str">
        <f>ICT!G78</f>
        <v>F</v>
      </c>
      <c r="AG78" s="38" t="str">
        <f>Accounting!F78</f>
        <v>F</v>
      </c>
      <c r="AH78" s="38" t="str">
        <f>'Business Organization'!F78</f>
        <v>F</v>
      </c>
      <c r="AI78" s="38" t="str">
        <f>Production!F78</f>
        <v>D</v>
      </c>
      <c r="AJ78" s="38" t="str">
        <f>Finance!F78</f>
        <v>F</v>
      </c>
      <c r="AK78" s="39">
        <f>Bangla!G78</f>
        <v>1</v>
      </c>
      <c r="AL78" s="39">
        <f>English!F78</f>
        <v>0</v>
      </c>
      <c r="AM78" s="39">
        <f>ICT!H78</f>
        <v>0</v>
      </c>
      <c r="AN78" s="39">
        <f>Accounting!G78</f>
        <v>0</v>
      </c>
      <c r="AO78" s="39">
        <f>'Business Organization'!G78</f>
        <v>0</v>
      </c>
      <c r="AP78" s="39">
        <f>IF(SubjectList!G78="Finance",Finance!G78,IF(SubjectList!G78="Production",Production!G78,IF(SubjectList!G78="Economics",Economics!G78)))</f>
        <v>0</v>
      </c>
      <c r="AQ78" s="39">
        <f>IF(Optional!H78="","", Optional!H78)</f>
        <v>1</v>
      </c>
      <c r="AR78" s="39">
        <f>Optional!H78</f>
        <v>1</v>
      </c>
      <c r="AS78" s="39">
        <f>Optional!I78</f>
        <v>0</v>
      </c>
      <c r="AT78" s="39">
        <f t="shared" si="25"/>
        <v>1</v>
      </c>
      <c r="AU78" s="39">
        <f t="shared" si="34"/>
        <v>1</v>
      </c>
      <c r="AV78" s="39" t="str">
        <f t="shared" si="26"/>
        <v/>
      </c>
      <c r="AW78" s="39" t="str">
        <f t="shared" si="27"/>
        <v/>
      </c>
      <c r="AX78" s="5">
        <f t="shared" si="35"/>
        <v>178</v>
      </c>
      <c r="AY78" s="41">
        <f t="shared" si="28"/>
        <v>1</v>
      </c>
      <c r="AZ78" s="41">
        <f t="shared" si="29"/>
        <v>0</v>
      </c>
      <c r="BA78" s="41">
        <f t="shared" si="30"/>
        <v>0</v>
      </c>
      <c r="BB78" s="41">
        <f t="shared" si="31"/>
        <v>0</v>
      </c>
      <c r="BC78" s="41">
        <f t="shared" si="32"/>
        <v>0</v>
      </c>
      <c r="BD78" s="41">
        <f t="shared" si="33"/>
        <v>0</v>
      </c>
      <c r="BE78" s="3">
        <f t="shared" si="36"/>
        <v>1</v>
      </c>
      <c r="BF78" s="3" t="str">
        <f t="shared" si="37"/>
        <v>Failed in 5 Subjects</v>
      </c>
      <c r="BG78" s="5" t="str">
        <f>IF(AW78="","",RANK(AW78,AW$2:AW145,0))</f>
        <v/>
      </c>
      <c r="BH78" s="3" t="str">
        <f t="shared" si="38"/>
        <v>খুবই দুর্বল</v>
      </c>
      <c r="BI78" t="str">
        <f t="shared" si="39"/>
        <v>Very Weak</v>
      </c>
      <c r="BJ78" s="104" t="str">
        <f t="shared" si="40"/>
        <v/>
      </c>
    </row>
    <row r="79" spans="1:62" ht="15" thickBot="1" x14ac:dyDescent="0.4">
      <c r="A79" s="3" t="str">
        <f>'Student Basic Info'!B79</f>
        <v>Business Studies</v>
      </c>
      <c r="B79" s="3">
        <f>'Student Basic Info'!A79</f>
        <v>578</v>
      </c>
      <c r="C79" s="3" t="str">
        <f>'Student Basic Info'!C79</f>
        <v>Omor Faruque</v>
      </c>
      <c r="D79" s="3" t="str">
        <f>'Student Basic Info'!D79</f>
        <v>Md. Hanif</v>
      </c>
      <c r="E79" s="3" t="str">
        <f>'Student Basic Info'!E79</f>
        <v>Marzahan Aktar</v>
      </c>
      <c r="F79" s="3" t="str">
        <f>'Student Basic Info'!F79</f>
        <v>Male</v>
      </c>
      <c r="G79" s="78">
        <v>1752843012</v>
      </c>
      <c r="H79" s="59" t="str">
        <f>IF(Bangla!B79="","",Bangla!B79)</f>
        <v/>
      </c>
      <c r="I79" s="59" t="str">
        <f>IF(Bangla!C79="","",Bangla!C79)</f>
        <v/>
      </c>
      <c r="J79" s="60" t="str">
        <f>IF(Bangla!D79="","",Bangla!D79)</f>
        <v/>
      </c>
      <c r="K79" s="61" t="str">
        <f>IF(English!C79="","",English!C79)</f>
        <v/>
      </c>
      <c r="L79" s="35" t="str">
        <f>IF(ICT!B79="","",ICT!B79)</f>
        <v/>
      </c>
      <c r="M79" s="35" t="str">
        <f>IF(ICT!C79="","",ICT!C79)</f>
        <v/>
      </c>
      <c r="N79" s="35" t="str">
        <f>IF(ICT!D79="","",ICT!D79)</f>
        <v/>
      </c>
      <c r="O79" s="42" t="str">
        <f>IF(ICT!E79="","",ICT!E79)</f>
        <v/>
      </c>
      <c r="P79" s="40" t="str">
        <f>IF(Accounting!B79="","",Accounting!B79)</f>
        <v/>
      </c>
      <c r="Q79" s="40" t="str">
        <f>IF(Accounting!C79="","",Accounting!C79)</f>
        <v/>
      </c>
      <c r="R79" s="44" t="str">
        <f>IF(Accounting!D79="","",Accounting!D79)</f>
        <v/>
      </c>
      <c r="S79" s="35" t="str">
        <f>IF('Business Organization'!B79="","",'Business Organization'!B79)</f>
        <v/>
      </c>
      <c r="T79" s="35" t="str">
        <f>IF('Business Organization'!C79="","",'Business Organization'!C79)</f>
        <v/>
      </c>
      <c r="U79" s="42" t="str">
        <f>IF('Business Organization'!D79="","",'Business Organization'!D79)</f>
        <v/>
      </c>
      <c r="V79" s="36" t="str">
        <f>IF(SubjectList!G79="Finance",IF(Finance!B79=0,"", Finance!B79),IF(SubjectList!G79="Production",IF(Production!B79=0,"", Production!B79),IF(SubjectList!G79="Economics",IF(Economics!B79=0,"", Economics!B79))))</f>
        <v/>
      </c>
      <c r="W79" s="36" t="str">
        <f>IF(SubjectList!G79="Finance",IF(Finance!C79=0,"", Finance!C79),IF(SubjectList!G79="Production",IF(Production!C79=0,"", Production!C79),IF(SubjectList!G79="Economics",IF(Economics!C79=0,"", Economics!C79))))</f>
        <v/>
      </c>
      <c r="X79" s="43" t="str">
        <f>IF(SubjectList!G79="Finance",IF(Finance!D79=0,"", Finance!D79),IF(SubjectList!G79="Production",IF(Production!D79=0,"", Production!D79),IF(SubjectList!G79="Economics",IF(Economics!D79=0,"", Economics!D79))))</f>
        <v/>
      </c>
      <c r="Y79" s="40" t="str">
        <f>IF(SubjectList!H79="Finance",IF(Finance!B79=0,"", Finance!B79),IF(SubjectList!H79="Production",IF(Production!B79=0,"", Production!B79),IF(SubjectList!H79="Economics",IF(Economics!B79=0,"", Economics!B79))))</f>
        <v/>
      </c>
      <c r="Z79" s="40" t="str">
        <f>IF(SubjectList!H79="Finance",IF(Finance!C79=0,"", Finance!C79),IF(SubjectList!H79="Production",IF(Production!C79=0,"", Production!C79),IF(SubjectList!H79="Economics",IF(Economics!C79=0,"", Economics!C79))))</f>
        <v/>
      </c>
      <c r="AA79" s="44" t="str">
        <f>IF(SubjectList!H79="Finance",IF(Finance!D79=0,"", Finance!D79),IF(SubjectList!H79="Production",IF(Production!D79=0,"", Production!D79),IF(SubjectList!H79="Economics",IF(Economics!D79=0,"", Economics!D79))))</f>
        <v/>
      </c>
      <c r="AB79" s="37" t="str">
        <f>IF(SubjectList!G79="Finance","Finance",IF(SubjectList!G79="Production","Production",IF(SubjectList!G79="Economics","Not Given")))</f>
        <v>Finance</v>
      </c>
      <c r="AC79" s="37" t="str">
        <f>IF(SubjectList!H79="Finance","Finance",IF(SubjectList!H79="Production","Production",IF(SubjectList!H79="Economics","Economics","Not Given")))</f>
        <v>Production</v>
      </c>
      <c r="AD79" s="38" t="str">
        <f>Bangla!F79</f>
        <v/>
      </c>
      <c r="AE79" s="38" t="str">
        <f>English!E79</f>
        <v/>
      </c>
      <c r="AF79" s="38" t="str">
        <f>ICT!G79</f>
        <v/>
      </c>
      <c r="AG79" s="38" t="str">
        <f>Accounting!F79</f>
        <v/>
      </c>
      <c r="AH79" s="38" t="str">
        <f>'Business Organization'!F79</f>
        <v/>
      </c>
      <c r="AI79" s="38" t="str">
        <f>Production!F79</f>
        <v/>
      </c>
      <c r="AJ79" s="38" t="str">
        <f>Finance!F79</f>
        <v/>
      </c>
      <c r="AK79" s="39" t="str">
        <f>Bangla!G79</f>
        <v/>
      </c>
      <c r="AL79" s="39" t="str">
        <f>English!F79</f>
        <v/>
      </c>
      <c r="AM79" s="39" t="str">
        <f>ICT!H79</f>
        <v/>
      </c>
      <c r="AN79" s="39" t="str">
        <f>Accounting!G79</f>
        <v/>
      </c>
      <c r="AO79" s="39" t="str">
        <f>'Business Organization'!G79</f>
        <v/>
      </c>
      <c r="AP79" s="39" t="str">
        <f>IF(SubjectList!G79="Finance",Finance!G79,IF(SubjectList!G79="Production",Production!G79,IF(SubjectList!G79="Economics",Economics!G79)))</f>
        <v/>
      </c>
      <c r="AQ79" s="39" t="str">
        <f>IF(Optional!H79="","", Optional!H79)</f>
        <v/>
      </c>
      <c r="AR79" s="39" t="str">
        <f>Optional!H79</f>
        <v/>
      </c>
      <c r="AS79" s="39" t="str">
        <f>Optional!I79</f>
        <v/>
      </c>
      <c r="AT79" s="39" t="str">
        <f t="shared" ref="AT79:AT142" si="41">IF(BE79=0, "", SUM(AK79:AP79))</f>
        <v/>
      </c>
      <c r="AU79" s="39">
        <f t="shared" ref="AU79:AU142" si="42">SUM(AS79:AT79)</f>
        <v>0</v>
      </c>
      <c r="AV79" s="39" t="str">
        <f t="shared" ref="AV79:AV142" si="43">IF(BE79=6,IF(AU79&gt;=30,5,(AU79-AS79)/6),"")</f>
        <v/>
      </c>
      <c r="AW79" s="39" t="str">
        <f t="shared" ref="AW79:AW142" si="44">IF(BE79=6, IF(AU79&gt;=30,5,AU79/6), "")</f>
        <v/>
      </c>
      <c r="AX79" s="5">
        <f t="shared" si="35"/>
        <v>0</v>
      </c>
      <c r="AY79" s="41">
        <f t="shared" ref="AY79:AY142" si="45">(IF(AK79="",0,IF(AK79=0,0,1)))</f>
        <v>0</v>
      </c>
      <c r="AZ79" s="41">
        <f t="shared" ref="AZ79:AZ142" si="46">(IF(AL79="",0,IF(AL79=0,0,1)))</f>
        <v>0</v>
      </c>
      <c r="BA79" s="41">
        <f t="shared" ref="BA79:BA142" si="47">(IF(AM79="",0,IF(AM79=0,0,1)))</f>
        <v>0</v>
      </c>
      <c r="BB79" s="41">
        <f t="shared" ref="BB79:BB142" si="48">(IF(AN79="",0,IF(AN79=0,0,1)))</f>
        <v>0</v>
      </c>
      <c r="BC79" s="41">
        <f t="shared" ref="BC79:BC142" si="49">(IF(AO79="",0,IF(AO79=0,0,1)))</f>
        <v>0</v>
      </c>
      <c r="BD79" s="41">
        <f t="shared" ref="BD79:BD142" si="50">(IF(AP79="",0,IF(AP79=0,0,1)))</f>
        <v>0</v>
      </c>
      <c r="BE79" s="3">
        <f t="shared" ref="BE79:BE142" si="51">SUM(AY79:BD79)</f>
        <v>0</v>
      </c>
      <c r="BF79" s="3" t="str">
        <f t="shared" si="37"/>
        <v>Failed in 6 Subjects</v>
      </c>
      <c r="BG79" s="5" t="str">
        <f>IF(AW79="","",RANK(AW79,AW$2:AW145,0))</f>
        <v/>
      </c>
      <c r="BH79" s="3" t="str">
        <f t="shared" si="38"/>
        <v>খুবই দুর্বল</v>
      </c>
      <c r="BI79" t="str">
        <f t="shared" si="39"/>
        <v>Very Weak</v>
      </c>
      <c r="BJ79" s="104" t="str">
        <f t="shared" si="40"/>
        <v/>
      </c>
    </row>
    <row r="80" spans="1:62" ht="15" thickBot="1" x14ac:dyDescent="0.4">
      <c r="A80" s="3" t="str">
        <f>'Student Basic Info'!B80</f>
        <v>Business Studies</v>
      </c>
      <c r="B80" s="3">
        <f>'Student Basic Info'!A80</f>
        <v>579</v>
      </c>
      <c r="C80" s="3" t="str">
        <f>'Student Basic Info'!C80</f>
        <v xml:space="preserve">Yousup Ashraf </v>
      </c>
      <c r="D80" s="3" t="str">
        <f>'Student Basic Info'!D80</f>
        <v>Kamruzzaman</v>
      </c>
      <c r="E80" s="3" t="str">
        <f>'Student Basic Info'!E80</f>
        <v>Golapi Khatun</v>
      </c>
      <c r="F80" s="3" t="str">
        <f>'Student Basic Info'!F80</f>
        <v>Male</v>
      </c>
      <c r="G80" s="79"/>
      <c r="H80" s="59" t="str">
        <f>IF(Bangla!B80="","",Bangla!B80)</f>
        <v/>
      </c>
      <c r="I80" s="59" t="str">
        <f>IF(Bangla!C80="","",Bangla!C80)</f>
        <v/>
      </c>
      <c r="J80" s="60" t="str">
        <f>IF(Bangla!D80="","",Bangla!D80)</f>
        <v/>
      </c>
      <c r="K80" s="61" t="str">
        <f>IF(English!C80="","",English!C80)</f>
        <v/>
      </c>
      <c r="L80" s="35" t="str">
        <f>IF(ICT!B80="","",ICT!B80)</f>
        <v/>
      </c>
      <c r="M80" s="35" t="str">
        <f>IF(ICT!C80="","",ICT!C80)</f>
        <v/>
      </c>
      <c r="N80" s="35" t="str">
        <f>IF(ICT!D80="","",ICT!D80)</f>
        <v/>
      </c>
      <c r="O80" s="42" t="str">
        <f>IF(ICT!E80="","",ICT!E80)</f>
        <v/>
      </c>
      <c r="P80" s="40" t="str">
        <f>IF(Accounting!B80="","",Accounting!B80)</f>
        <v/>
      </c>
      <c r="Q80" s="40" t="str">
        <f>IF(Accounting!C80="","",Accounting!C80)</f>
        <v/>
      </c>
      <c r="R80" s="44" t="str">
        <f>IF(Accounting!D80="","",Accounting!D80)</f>
        <v/>
      </c>
      <c r="S80" s="35" t="str">
        <f>IF('Business Organization'!B80="","",'Business Organization'!B80)</f>
        <v/>
      </c>
      <c r="T80" s="35" t="str">
        <f>IF('Business Organization'!C80="","",'Business Organization'!C80)</f>
        <v/>
      </c>
      <c r="U80" s="42" t="str">
        <f>IF('Business Organization'!D80="","",'Business Organization'!D80)</f>
        <v/>
      </c>
      <c r="V80" s="36" t="str">
        <f>IF(SubjectList!G80="Finance",IF(Finance!B80=0,"", Finance!B80),IF(SubjectList!G80="Production",IF(Production!B80=0,"", Production!B80),IF(SubjectList!G80="Economics",IF(Economics!B80=0,"", Economics!B80))))</f>
        <v/>
      </c>
      <c r="W80" s="36" t="str">
        <f>IF(SubjectList!G80="Finance",IF(Finance!C80=0,"", Finance!C80),IF(SubjectList!G80="Production",IF(Production!C80=0,"", Production!C80),IF(SubjectList!G80="Economics",IF(Economics!C80=0,"", Economics!C80))))</f>
        <v/>
      </c>
      <c r="X80" s="43" t="str">
        <f>IF(SubjectList!G80="Finance",IF(Finance!D80=0,"", Finance!D80),IF(SubjectList!G80="Production",IF(Production!D80=0,"", Production!D80),IF(SubjectList!G80="Economics",IF(Economics!D80=0,"", Economics!D80))))</f>
        <v/>
      </c>
      <c r="Y80" s="40" t="str">
        <f>IF(SubjectList!H80="Finance",IF(Finance!B80=0,"", Finance!B80),IF(SubjectList!H80="Production",IF(Production!B80=0,"", Production!B80),IF(SubjectList!H80="Economics",IF(Economics!B80=0,"", Economics!B80))))</f>
        <v/>
      </c>
      <c r="Z80" s="40" t="str">
        <f>IF(SubjectList!H80="Finance",IF(Finance!C80=0,"", Finance!C80),IF(SubjectList!H80="Production",IF(Production!C80=0,"", Production!C80),IF(SubjectList!H80="Economics",IF(Economics!C80=0,"", Economics!C80))))</f>
        <v/>
      </c>
      <c r="AA80" s="44" t="str">
        <f>IF(SubjectList!H80="Finance",IF(Finance!D80=0,"", Finance!D80),IF(SubjectList!H80="Production",IF(Production!D80=0,"", Production!D80),IF(SubjectList!H80="Economics",IF(Economics!D80=0,"", Economics!D80))))</f>
        <v/>
      </c>
      <c r="AB80" s="37" t="str">
        <f>IF(SubjectList!G80="Finance","Finance",IF(SubjectList!G80="Production","Production",IF(SubjectList!G80="Economics","Not Given")))</f>
        <v>Production</v>
      </c>
      <c r="AC80" s="37" t="str">
        <f>IF(SubjectList!H80="Finance","Finance",IF(SubjectList!H80="Production","Production",IF(SubjectList!H80="Economics","Economics","Not Given")))</f>
        <v>Finance</v>
      </c>
      <c r="AD80" s="38" t="str">
        <f>Bangla!F80</f>
        <v/>
      </c>
      <c r="AE80" s="38" t="str">
        <f>English!E80</f>
        <v/>
      </c>
      <c r="AF80" s="38" t="str">
        <f>ICT!G80</f>
        <v/>
      </c>
      <c r="AG80" s="38" t="str">
        <f>Accounting!F80</f>
        <v/>
      </c>
      <c r="AH80" s="38" t="str">
        <f>'Business Organization'!F80</f>
        <v/>
      </c>
      <c r="AI80" s="38" t="str">
        <f>Production!F80</f>
        <v/>
      </c>
      <c r="AJ80" s="38" t="str">
        <f>Finance!F80</f>
        <v/>
      </c>
      <c r="AK80" s="39" t="str">
        <f>Bangla!G80</f>
        <v/>
      </c>
      <c r="AL80" s="39" t="str">
        <f>English!F80</f>
        <v/>
      </c>
      <c r="AM80" s="39" t="str">
        <f>ICT!H80</f>
        <v/>
      </c>
      <c r="AN80" s="39" t="str">
        <f>Accounting!G80</f>
        <v/>
      </c>
      <c r="AO80" s="39" t="str">
        <f>'Business Organization'!G80</f>
        <v/>
      </c>
      <c r="AP80" s="39" t="str">
        <f>IF(SubjectList!G80="Finance",Finance!G80,IF(SubjectList!G80="Production",Production!G80,IF(SubjectList!G80="Economics",Economics!G80)))</f>
        <v/>
      </c>
      <c r="AQ80" s="39" t="str">
        <f>IF(Optional!H80="","", Optional!H80)</f>
        <v/>
      </c>
      <c r="AR80" s="39" t="str">
        <f>Optional!H80</f>
        <v/>
      </c>
      <c r="AS80" s="39" t="str">
        <f>Optional!I80</f>
        <v/>
      </c>
      <c r="AT80" s="39" t="str">
        <f t="shared" si="41"/>
        <v/>
      </c>
      <c r="AU80" s="39">
        <f t="shared" si="42"/>
        <v>0</v>
      </c>
      <c r="AV80" s="39" t="str">
        <f t="shared" si="43"/>
        <v/>
      </c>
      <c r="AW80" s="39" t="str">
        <f t="shared" si="44"/>
        <v/>
      </c>
      <c r="AX80" s="5">
        <f t="shared" si="35"/>
        <v>0</v>
      </c>
      <c r="AY80" s="41">
        <f t="shared" si="45"/>
        <v>0</v>
      </c>
      <c r="AZ80" s="41">
        <f t="shared" si="46"/>
        <v>0</v>
      </c>
      <c r="BA80" s="41">
        <f t="shared" si="47"/>
        <v>0</v>
      </c>
      <c r="BB80" s="41">
        <f t="shared" si="48"/>
        <v>0</v>
      </c>
      <c r="BC80" s="41">
        <f t="shared" si="49"/>
        <v>0</v>
      </c>
      <c r="BD80" s="41">
        <f t="shared" si="50"/>
        <v>0</v>
      </c>
      <c r="BE80" s="3">
        <f t="shared" si="51"/>
        <v>0</v>
      </c>
      <c r="BF80" s="3" t="str">
        <f t="shared" si="37"/>
        <v>Failed in 6 Subjects</v>
      </c>
      <c r="BG80" s="5" t="str">
        <f>IF(AW80="","",RANK(AW80,AW$2:AW145,0))</f>
        <v/>
      </c>
      <c r="BH80" s="3" t="str">
        <f t="shared" si="38"/>
        <v>খুবই দুর্বল</v>
      </c>
      <c r="BI80" t="str">
        <f t="shared" si="39"/>
        <v>Very Weak</v>
      </c>
      <c r="BJ80" s="104" t="str">
        <f t="shared" si="40"/>
        <v/>
      </c>
    </row>
    <row r="81" spans="1:62" ht="15" thickBot="1" x14ac:dyDescent="0.4">
      <c r="A81" s="3" t="str">
        <f>'Student Basic Info'!B81</f>
        <v>Business Studies</v>
      </c>
      <c r="B81" s="3">
        <f>'Student Basic Info'!A81</f>
        <v>580</v>
      </c>
      <c r="C81" s="3" t="str">
        <f>'Student Basic Info'!C81</f>
        <v>Ala Uddin</v>
      </c>
      <c r="D81" s="3" t="str">
        <f>'Student Basic Info'!D81</f>
        <v>Zoshim Uddin</v>
      </c>
      <c r="E81" s="3" t="str">
        <f>'Student Basic Info'!E81</f>
        <v>Taslima Khatun</v>
      </c>
      <c r="F81" s="3" t="str">
        <f>'Student Basic Info'!F81</f>
        <v>Male</v>
      </c>
      <c r="G81" s="79">
        <v>1838271849</v>
      </c>
      <c r="H81" s="59" t="str">
        <f>IF(Bangla!B81="","",Bangla!B81)</f>
        <v/>
      </c>
      <c r="I81" s="59" t="str">
        <f>IF(Bangla!C81="","",Bangla!C81)</f>
        <v/>
      </c>
      <c r="J81" s="60" t="str">
        <f>IF(Bangla!D81="","",Bangla!D81)</f>
        <v/>
      </c>
      <c r="K81" s="61" t="str">
        <f>IF(English!C81="","",English!C81)</f>
        <v/>
      </c>
      <c r="L81" s="35" t="str">
        <f>IF(ICT!B81="","",ICT!B81)</f>
        <v/>
      </c>
      <c r="M81" s="35" t="str">
        <f>IF(ICT!C81="","",ICT!C81)</f>
        <v/>
      </c>
      <c r="N81" s="35" t="str">
        <f>IF(ICT!D81="","",ICT!D81)</f>
        <v/>
      </c>
      <c r="O81" s="42" t="str">
        <f>IF(ICT!E81="","",ICT!E81)</f>
        <v/>
      </c>
      <c r="P81" s="40" t="str">
        <f>IF(Accounting!B81="","",Accounting!B81)</f>
        <v/>
      </c>
      <c r="Q81" s="40" t="str">
        <f>IF(Accounting!C81="","",Accounting!C81)</f>
        <v/>
      </c>
      <c r="R81" s="44" t="str">
        <f>IF(Accounting!D81="","",Accounting!D81)</f>
        <v/>
      </c>
      <c r="S81" s="35" t="str">
        <f>IF('Business Organization'!B81="","",'Business Organization'!B81)</f>
        <v/>
      </c>
      <c r="T81" s="35" t="str">
        <f>IF('Business Organization'!C81="","",'Business Organization'!C81)</f>
        <v/>
      </c>
      <c r="U81" s="42" t="str">
        <f>IF('Business Organization'!D81="","",'Business Organization'!D81)</f>
        <v/>
      </c>
      <c r="V81" s="36" t="str">
        <f>IF(SubjectList!G81="Finance",IF(Finance!B81=0,"", Finance!B81),IF(SubjectList!G81="Production",IF(Production!B81=0,"", Production!B81),IF(SubjectList!G81="Economics",IF(Economics!B81=0,"", Economics!B81))))</f>
        <v/>
      </c>
      <c r="W81" s="36" t="str">
        <f>IF(SubjectList!G81="Finance",IF(Finance!C81=0,"", Finance!C81),IF(SubjectList!G81="Production",IF(Production!C81=0,"", Production!C81),IF(SubjectList!G81="Economics",IF(Economics!C81=0,"", Economics!C81))))</f>
        <v/>
      </c>
      <c r="X81" s="43" t="str">
        <f>IF(SubjectList!G81="Finance",IF(Finance!D81=0,"", Finance!D81),IF(SubjectList!G81="Production",IF(Production!D81=0,"", Production!D81),IF(SubjectList!G81="Economics",IF(Economics!D81=0,"", Economics!D81))))</f>
        <v/>
      </c>
      <c r="Y81" s="40" t="str">
        <f>IF(SubjectList!H81="Finance",IF(Finance!B81=0,"", Finance!B81),IF(SubjectList!H81="Production",IF(Production!B81=0,"", Production!B81),IF(SubjectList!H81="Economics",IF(Economics!B81=0,"", Economics!B81))))</f>
        <v/>
      </c>
      <c r="Z81" s="40" t="str">
        <f>IF(SubjectList!H81="Finance",IF(Finance!C81=0,"", Finance!C81),IF(SubjectList!H81="Production",IF(Production!C81=0,"", Production!C81),IF(SubjectList!H81="Economics",IF(Economics!C81=0,"", Economics!C81))))</f>
        <v/>
      </c>
      <c r="AA81" s="44" t="str">
        <f>IF(SubjectList!H81="Finance",IF(Finance!D81=0,"", Finance!D81),IF(SubjectList!H81="Production",IF(Production!D81=0,"", Production!D81),IF(SubjectList!H81="Economics",IF(Economics!D81=0,"", Economics!D81))))</f>
        <v/>
      </c>
      <c r="AB81" s="37" t="str">
        <f>IF(SubjectList!G81="Finance","Finance",IF(SubjectList!G81="Production","Production",IF(SubjectList!G81="Economics","Not Given")))</f>
        <v>Production</v>
      </c>
      <c r="AC81" s="37" t="str">
        <f>IF(SubjectList!H81="Finance","Finance",IF(SubjectList!H81="Production","Production",IF(SubjectList!H81="Economics","Economics","Not Given")))</f>
        <v>Finance</v>
      </c>
      <c r="AD81" s="38" t="str">
        <f>Bangla!F81</f>
        <v/>
      </c>
      <c r="AE81" s="38" t="str">
        <f>English!E81</f>
        <v/>
      </c>
      <c r="AF81" s="38" t="str">
        <f>ICT!G81</f>
        <v/>
      </c>
      <c r="AG81" s="38" t="str">
        <f>Accounting!F81</f>
        <v/>
      </c>
      <c r="AH81" s="38" t="str">
        <f>'Business Organization'!F81</f>
        <v/>
      </c>
      <c r="AI81" s="38" t="str">
        <f>Production!F81</f>
        <v/>
      </c>
      <c r="AJ81" s="38" t="str">
        <f>Finance!F81</f>
        <v/>
      </c>
      <c r="AK81" s="39" t="str">
        <f>Bangla!G81</f>
        <v/>
      </c>
      <c r="AL81" s="39" t="str">
        <f>English!F81</f>
        <v/>
      </c>
      <c r="AM81" s="39" t="str">
        <f>ICT!H81</f>
        <v/>
      </c>
      <c r="AN81" s="39" t="str">
        <f>Accounting!G81</f>
        <v/>
      </c>
      <c r="AO81" s="39" t="str">
        <f>'Business Organization'!G81</f>
        <v/>
      </c>
      <c r="AP81" s="39" t="str">
        <f>IF(SubjectList!G81="Finance",Finance!G81,IF(SubjectList!G81="Production",Production!G81,IF(SubjectList!G81="Economics",Economics!G81)))</f>
        <v/>
      </c>
      <c r="AQ81" s="39" t="str">
        <f>IF(Optional!H81="","", Optional!H81)</f>
        <v/>
      </c>
      <c r="AR81" s="39" t="str">
        <f>Optional!H81</f>
        <v/>
      </c>
      <c r="AS81" s="39" t="str">
        <f>Optional!I81</f>
        <v/>
      </c>
      <c r="AT81" s="39" t="str">
        <f t="shared" si="41"/>
        <v/>
      </c>
      <c r="AU81" s="39">
        <f t="shared" si="42"/>
        <v>0</v>
      </c>
      <c r="AV81" s="39" t="str">
        <f t="shared" si="43"/>
        <v/>
      </c>
      <c r="AW81" s="39" t="str">
        <f t="shared" si="44"/>
        <v/>
      </c>
      <c r="AX81" s="5">
        <f t="shared" si="35"/>
        <v>0</v>
      </c>
      <c r="AY81" s="41">
        <f t="shared" si="45"/>
        <v>0</v>
      </c>
      <c r="AZ81" s="41">
        <f t="shared" si="46"/>
        <v>0</v>
      </c>
      <c r="BA81" s="41">
        <f t="shared" si="47"/>
        <v>0</v>
      </c>
      <c r="BB81" s="41">
        <f t="shared" si="48"/>
        <v>0</v>
      </c>
      <c r="BC81" s="41">
        <f t="shared" si="49"/>
        <v>0</v>
      </c>
      <c r="BD81" s="41">
        <f t="shared" si="50"/>
        <v>0</v>
      </c>
      <c r="BE81" s="3">
        <f t="shared" si="51"/>
        <v>0</v>
      </c>
      <c r="BF81" s="3" t="str">
        <f t="shared" si="37"/>
        <v>Failed in 6 Subjects</v>
      </c>
      <c r="BG81" s="5" t="str">
        <f>IF(AW81="","",RANK(AW81,AW$2:AW145,0))</f>
        <v/>
      </c>
      <c r="BH81" s="3" t="str">
        <f t="shared" si="38"/>
        <v>খুবই দুর্বল</v>
      </c>
      <c r="BI81" t="str">
        <f t="shared" si="39"/>
        <v>Very Weak</v>
      </c>
      <c r="BJ81" s="104" t="str">
        <f t="shared" si="40"/>
        <v/>
      </c>
    </row>
    <row r="82" spans="1:62" ht="15" thickBot="1" x14ac:dyDescent="0.4">
      <c r="A82" s="3" t="str">
        <f>'Student Basic Info'!B82</f>
        <v>Business Studies</v>
      </c>
      <c r="B82" s="3">
        <f>'Student Basic Info'!A82</f>
        <v>581</v>
      </c>
      <c r="C82" s="3" t="str">
        <f>'Student Basic Info'!C82</f>
        <v>Meheraz Hasan</v>
      </c>
      <c r="D82" s="3" t="str">
        <f>'Student Basic Info'!D82</f>
        <v>Emdad Hosain</v>
      </c>
      <c r="E82" s="3" t="str">
        <f>'Student Basic Info'!E82</f>
        <v>Dawlat Ara Begum</v>
      </c>
      <c r="F82" s="3" t="str">
        <f>'Student Basic Info'!F82</f>
        <v>Male</v>
      </c>
      <c r="G82" s="79">
        <v>1815960748</v>
      </c>
      <c r="H82" s="59" t="str">
        <f>IF(Bangla!B82="","",Bangla!B82)</f>
        <v/>
      </c>
      <c r="I82" s="59" t="str">
        <f>IF(Bangla!C82="","",Bangla!C82)</f>
        <v/>
      </c>
      <c r="J82" s="60" t="str">
        <f>IF(Bangla!D82="","",Bangla!D82)</f>
        <v/>
      </c>
      <c r="K82" s="61">
        <f>IF(English!C82="","",English!C82)</f>
        <v>3</v>
      </c>
      <c r="L82" s="35">
        <f>IF(ICT!B82="","",ICT!B82)</f>
        <v>7</v>
      </c>
      <c r="M82" s="35">
        <f>IF(ICT!C82="","",ICT!C82)</f>
        <v>1</v>
      </c>
      <c r="N82" s="35">
        <f>IF(ICT!D82="","",ICT!D82)</f>
        <v>8</v>
      </c>
      <c r="O82" s="42">
        <f>IF(ICT!E82="","",ICT!E82)</f>
        <v>16</v>
      </c>
      <c r="P82" s="40" t="str">
        <f>IF(Accounting!B82="","",Accounting!B82)</f>
        <v/>
      </c>
      <c r="Q82" s="40" t="str">
        <f>IF(Accounting!C82="","",Accounting!C82)</f>
        <v/>
      </c>
      <c r="R82" s="44" t="str">
        <f>IF(Accounting!D82="","",Accounting!D82)</f>
        <v/>
      </c>
      <c r="S82" s="35" t="str">
        <f>IF('Business Organization'!B82="","",'Business Organization'!B82)</f>
        <v/>
      </c>
      <c r="T82" s="35" t="str">
        <f>IF('Business Organization'!C82="","",'Business Organization'!C82)</f>
        <v/>
      </c>
      <c r="U82" s="42" t="str">
        <f>IF('Business Organization'!D82="","",'Business Organization'!D82)</f>
        <v/>
      </c>
      <c r="V82" s="36">
        <f>IF(SubjectList!G82="Finance",IF(Finance!B82=0,"", Finance!B82),IF(SubjectList!G82="Production",IF(Production!B82=0,"", Production!B82),IF(SubjectList!G82="Economics",IF(Economics!B82=0,"", Economics!B82))))</f>
        <v>11</v>
      </c>
      <c r="W82" s="36">
        <f>IF(SubjectList!G82="Finance",IF(Finance!C82=0,"", Finance!C82),IF(SubjectList!G82="Production",IF(Production!C82=0,"", Production!C82),IF(SubjectList!G82="Economics",IF(Economics!C82=0,"", Economics!C82))))</f>
        <v>1</v>
      </c>
      <c r="X82" s="43">
        <f>IF(SubjectList!G82="Finance",IF(Finance!D82=0,"", Finance!D82),IF(SubjectList!G82="Production",IF(Production!D82=0,"", Production!D82),IF(SubjectList!G82="Economics",IF(Economics!D82=0,"", Economics!D82))))</f>
        <v>12</v>
      </c>
      <c r="Y82" s="40">
        <f>IF(SubjectList!H82="Finance",IF(Finance!B82=0,"", Finance!B82),IF(SubjectList!H82="Production",IF(Production!B82=0,"", Production!B82),IF(SubjectList!H82="Economics",IF(Economics!B82=0,"", Economics!B82))))</f>
        <v>12</v>
      </c>
      <c r="Z82" s="40">
        <f>IF(SubjectList!H82="Finance",IF(Finance!C82=0,"", Finance!C82),IF(SubjectList!H82="Production",IF(Production!C82=0,"", Production!C82),IF(SubjectList!H82="Economics",IF(Economics!C82=0,"", Economics!C82))))</f>
        <v>2</v>
      </c>
      <c r="AA82" s="44">
        <f>IF(SubjectList!H82="Finance",IF(Finance!D82=0,"", Finance!D82),IF(SubjectList!H82="Production",IF(Production!D82=0,"", Production!D82),IF(SubjectList!H82="Economics",IF(Economics!D82=0,"", Economics!D82))))</f>
        <v>14</v>
      </c>
      <c r="AB82" s="37" t="str">
        <f>IF(SubjectList!G82="Finance","Finance",IF(SubjectList!G82="Production","Production",IF(SubjectList!G82="Economics","Not Given")))</f>
        <v>Production</v>
      </c>
      <c r="AC82" s="37" t="str">
        <f>IF(SubjectList!H82="Finance","Finance",IF(SubjectList!H82="Production","Production",IF(SubjectList!H82="Economics","Economics","Not Given")))</f>
        <v>Finance</v>
      </c>
      <c r="AD82" s="38" t="str">
        <f>Bangla!F82</f>
        <v/>
      </c>
      <c r="AE82" s="38" t="str">
        <f>English!E82</f>
        <v>F</v>
      </c>
      <c r="AF82" s="38" t="str">
        <f>ICT!G82</f>
        <v>F</v>
      </c>
      <c r="AG82" s="38" t="str">
        <f>Accounting!F82</f>
        <v/>
      </c>
      <c r="AH82" s="38" t="str">
        <f>'Business Organization'!F82</f>
        <v/>
      </c>
      <c r="AI82" s="38" t="str">
        <f>Production!F82</f>
        <v>F</v>
      </c>
      <c r="AJ82" s="38" t="str">
        <f>Finance!F82</f>
        <v>F</v>
      </c>
      <c r="AK82" s="39" t="str">
        <f>Bangla!G82</f>
        <v/>
      </c>
      <c r="AL82" s="39">
        <f>English!F82</f>
        <v>0</v>
      </c>
      <c r="AM82" s="39">
        <f>ICT!H82</f>
        <v>0</v>
      </c>
      <c r="AN82" s="39" t="str">
        <f>Accounting!G82</f>
        <v/>
      </c>
      <c r="AO82" s="39" t="str">
        <f>'Business Organization'!G82</f>
        <v/>
      </c>
      <c r="AP82" s="39">
        <f>IF(SubjectList!G82="Finance",Finance!G82,IF(SubjectList!G82="Production",Production!G82,IF(SubjectList!G82="Economics",Economics!G82)))</f>
        <v>0</v>
      </c>
      <c r="AQ82" s="39">
        <f>IF(Optional!H82="","", Optional!H82)</f>
        <v>0</v>
      </c>
      <c r="AR82" s="39">
        <f>Optional!H82</f>
        <v>0</v>
      </c>
      <c r="AS82" s="39">
        <f>Optional!I82</f>
        <v>0</v>
      </c>
      <c r="AT82" s="39" t="str">
        <f t="shared" si="41"/>
        <v/>
      </c>
      <c r="AU82" s="39">
        <f t="shared" si="42"/>
        <v>0</v>
      </c>
      <c r="AV82" s="39" t="str">
        <f t="shared" si="43"/>
        <v/>
      </c>
      <c r="AW82" s="39" t="str">
        <f t="shared" si="44"/>
        <v/>
      </c>
      <c r="AX82" s="5">
        <f t="shared" si="35"/>
        <v>45</v>
      </c>
      <c r="AY82" s="41">
        <f t="shared" si="45"/>
        <v>0</v>
      </c>
      <c r="AZ82" s="41">
        <f t="shared" si="46"/>
        <v>0</v>
      </c>
      <c r="BA82" s="41">
        <f t="shared" si="47"/>
        <v>0</v>
      </c>
      <c r="BB82" s="41">
        <f t="shared" si="48"/>
        <v>0</v>
      </c>
      <c r="BC82" s="41">
        <f t="shared" si="49"/>
        <v>0</v>
      </c>
      <c r="BD82" s="41">
        <f t="shared" si="50"/>
        <v>0</v>
      </c>
      <c r="BE82" s="3">
        <f t="shared" si="51"/>
        <v>0</v>
      </c>
      <c r="BF82" s="3" t="str">
        <f t="shared" si="37"/>
        <v>Failed in 6 Subjects</v>
      </c>
      <c r="BG82" s="5" t="str">
        <f>IF(AW82="","",RANK(AW82,AW$2:AW145,0))</f>
        <v/>
      </c>
      <c r="BH82" s="3" t="str">
        <f t="shared" si="38"/>
        <v>খুবই দুর্বল</v>
      </c>
      <c r="BI82" t="str">
        <f t="shared" si="39"/>
        <v>Very Weak</v>
      </c>
      <c r="BJ82" s="104" t="str">
        <f t="shared" si="40"/>
        <v/>
      </c>
    </row>
    <row r="83" spans="1:62" ht="15" thickBot="1" x14ac:dyDescent="0.4">
      <c r="A83" s="3" t="str">
        <f>'Student Basic Info'!B83</f>
        <v>Business Studies</v>
      </c>
      <c r="B83" s="3">
        <f>'Student Basic Info'!A83</f>
        <v>582</v>
      </c>
      <c r="C83" s="3" t="str">
        <f>'Student Basic Info'!C83</f>
        <v>Imran Hosain</v>
      </c>
      <c r="D83" s="3" t="str">
        <f>'Student Basic Info'!D83</f>
        <v>Nur Alom</v>
      </c>
      <c r="E83" s="3" t="str">
        <f>'Student Basic Info'!E83</f>
        <v>Kohinur Begum</v>
      </c>
      <c r="F83" s="3" t="str">
        <f>'Student Basic Info'!F83</f>
        <v>Male</v>
      </c>
      <c r="G83" s="79">
        <v>1301645505</v>
      </c>
      <c r="H83" s="59" t="str">
        <f>IF(Bangla!B83="","",Bangla!B83)</f>
        <v/>
      </c>
      <c r="I83" s="59" t="str">
        <f>IF(Bangla!C83="","",Bangla!C83)</f>
        <v/>
      </c>
      <c r="J83" s="60" t="str">
        <f>IF(Bangla!D83="","",Bangla!D83)</f>
        <v/>
      </c>
      <c r="K83" s="61" t="str">
        <f>IF(English!C83="","",English!C83)</f>
        <v/>
      </c>
      <c r="L83" s="35" t="str">
        <f>IF(ICT!B83="","",ICT!B83)</f>
        <v/>
      </c>
      <c r="M83" s="35" t="str">
        <f>IF(ICT!C83="","",ICT!C83)</f>
        <v/>
      </c>
      <c r="N83" s="35" t="str">
        <f>IF(ICT!D83="","",ICT!D83)</f>
        <v/>
      </c>
      <c r="O83" s="42" t="str">
        <f>IF(ICT!E83="","",ICT!E83)</f>
        <v/>
      </c>
      <c r="P83" s="40" t="str">
        <f>IF(Accounting!B83="","",Accounting!B83)</f>
        <v/>
      </c>
      <c r="Q83" s="40" t="str">
        <f>IF(Accounting!C83="","",Accounting!C83)</f>
        <v/>
      </c>
      <c r="R83" s="44" t="str">
        <f>IF(Accounting!D83="","",Accounting!D83)</f>
        <v/>
      </c>
      <c r="S83" s="35" t="str">
        <f>IF('Business Organization'!B83="","",'Business Organization'!B83)</f>
        <v/>
      </c>
      <c r="T83" s="35" t="str">
        <f>IF('Business Organization'!C83="","",'Business Organization'!C83)</f>
        <v/>
      </c>
      <c r="U83" s="42" t="str">
        <f>IF('Business Organization'!D83="","",'Business Organization'!D83)</f>
        <v/>
      </c>
      <c r="V83" s="36" t="str">
        <f>IF(SubjectList!G83="Finance",IF(Finance!B83=0,"", Finance!B83),IF(SubjectList!G83="Production",IF(Production!B83=0,"", Production!B83),IF(SubjectList!G83="Economics",IF(Economics!B83=0,"", Economics!B83))))</f>
        <v/>
      </c>
      <c r="W83" s="36" t="str">
        <f>IF(SubjectList!G83="Finance",IF(Finance!C83=0,"", Finance!C83),IF(SubjectList!G83="Production",IF(Production!C83=0,"", Production!C83),IF(SubjectList!G83="Economics",IF(Economics!C83=0,"", Economics!C83))))</f>
        <v/>
      </c>
      <c r="X83" s="43" t="str">
        <f>IF(SubjectList!G83="Finance",IF(Finance!D83=0,"", Finance!D83),IF(SubjectList!G83="Production",IF(Production!D83=0,"", Production!D83),IF(SubjectList!G83="Economics",IF(Economics!D83=0,"", Economics!D83))))</f>
        <v/>
      </c>
      <c r="Y83" s="40" t="str">
        <f>IF(SubjectList!H83="Finance",IF(Finance!B83=0,"", Finance!B83),IF(SubjectList!H83="Production",IF(Production!B83=0,"", Production!B83),IF(SubjectList!H83="Economics",IF(Economics!B83=0,"", Economics!B83))))</f>
        <v/>
      </c>
      <c r="Z83" s="40" t="str">
        <f>IF(SubjectList!H83="Finance",IF(Finance!C83=0,"", Finance!C83),IF(SubjectList!H83="Production",IF(Production!C83=0,"", Production!C83),IF(SubjectList!H83="Economics",IF(Economics!C83=0,"", Economics!C83))))</f>
        <v/>
      </c>
      <c r="AA83" s="44" t="str">
        <f>IF(SubjectList!H83="Finance",IF(Finance!D83=0,"", Finance!D83),IF(SubjectList!H83="Production",IF(Production!D83=0,"", Production!D83),IF(SubjectList!H83="Economics",IF(Economics!D83=0,"", Economics!D83))))</f>
        <v/>
      </c>
      <c r="AB83" s="37" t="str">
        <f>IF(SubjectList!G83="Finance","Finance",IF(SubjectList!G83="Production","Production",IF(SubjectList!G83="Economics","Not Given")))</f>
        <v>Production</v>
      </c>
      <c r="AC83" s="37" t="str">
        <f>IF(SubjectList!H83="Finance","Finance",IF(SubjectList!H83="Production","Production",IF(SubjectList!H83="Economics","Economics","Not Given")))</f>
        <v>Finance</v>
      </c>
      <c r="AD83" s="38" t="str">
        <f>Bangla!F83</f>
        <v/>
      </c>
      <c r="AE83" s="38" t="str">
        <f>English!E83</f>
        <v/>
      </c>
      <c r="AF83" s="38" t="str">
        <f>ICT!G83</f>
        <v/>
      </c>
      <c r="AG83" s="38" t="str">
        <f>Accounting!F83</f>
        <v/>
      </c>
      <c r="AH83" s="38" t="str">
        <f>'Business Organization'!F83</f>
        <v/>
      </c>
      <c r="AI83" s="38" t="str">
        <f>Production!F83</f>
        <v/>
      </c>
      <c r="AJ83" s="38" t="str">
        <f>Finance!F83</f>
        <v/>
      </c>
      <c r="AK83" s="39" t="str">
        <f>Bangla!G83</f>
        <v/>
      </c>
      <c r="AL83" s="39" t="str">
        <f>English!F83</f>
        <v/>
      </c>
      <c r="AM83" s="39" t="str">
        <f>ICT!H83</f>
        <v/>
      </c>
      <c r="AN83" s="39" t="str">
        <f>Accounting!G83</f>
        <v/>
      </c>
      <c r="AO83" s="39" t="str">
        <f>'Business Organization'!G83</f>
        <v/>
      </c>
      <c r="AP83" s="39" t="str">
        <f>IF(SubjectList!G83="Finance",Finance!G83,IF(SubjectList!G83="Production",Production!G83,IF(SubjectList!G83="Economics",Economics!G83)))</f>
        <v/>
      </c>
      <c r="AQ83" s="39" t="str">
        <f>IF(Optional!H83="","", Optional!H83)</f>
        <v/>
      </c>
      <c r="AR83" s="39" t="str">
        <f>Optional!H83</f>
        <v/>
      </c>
      <c r="AS83" s="39" t="str">
        <f>Optional!I83</f>
        <v/>
      </c>
      <c r="AT83" s="39" t="str">
        <f t="shared" si="41"/>
        <v/>
      </c>
      <c r="AU83" s="39">
        <f t="shared" si="42"/>
        <v>0</v>
      </c>
      <c r="AV83" s="39" t="str">
        <f t="shared" si="43"/>
        <v/>
      </c>
      <c r="AW83" s="39" t="str">
        <f t="shared" si="44"/>
        <v/>
      </c>
      <c r="AX83" s="5">
        <f t="shared" si="35"/>
        <v>0</v>
      </c>
      <c r="AY83" s="41">
        <f t="shared" si="45"/>
        <v>0</v>
      </c>
      <c r="AZ83" s="41">
        <f t="shared" si="46"/>
        <v>0</v>
      </c>
      <c r="BA83" s="41">
        <f t="shared" si="47"/>
        <v>0</v>
      </c>
      <c r="BB83" s="41">
        <f t="shared" si="48"/>
        <v>0</v>
      </c>
      <c r="BC83" s="41">
        <f t="shared" si="49"/>
        <v>0</v>
      </c>
      <c r="BD83" s="41">
        <f t="shared" si="50"/>
        <v>0</v>
      </c>
      <c r="BE83" s="3">
        <f t="shared" si="51"/>
        <v>0</v>
      </c>
      <c r="BF83" s="3" t="str">
        <f t="shared" si="37"/>
        <v>Failed in 6 Subjects</v>
      </c>
      <c r="BG83" s="5" t="str">
        <f>IF(AW83="","",RANK(AW83,AW$2:AW145,0))</f>
        <v/>
      </c>
      <c r="BH83" s="3" t="str">
        <f t="shared" si="38"/>
        <v>খুবই দুর্বল</v>
      </c>
      <c r="BI83" t="str">
        <f t="shared" si="39"/>
        <v>Very Weak</v>
      </c>
      <c r="BJ83" s="104" t="str">
        <f t="shared" si="40"/>
        <v/>
      </c>
    </row>
    <row r="84" spans="1:62" ht="15" thickBot="1" x14ac:dyDescent="0.4">
      <c r="A84" s="3" t="str">
        <f>'Student Basic Info'!B84</f>
        <v>Business Studies</v>
      </c>
      <c r="B84" s="3">
        <f>'Student Basic Info'!A84</f>
        <v>583</v>
      </c>
      <c r="C84" s="3" t="str">
        <f>'Student Basic Info'!C84</f>
        <v>Raihanul Haque</v>
      </c>
      <c r="D84" s="3" t="str">
        <f>'Student Basic Info'!D84</f>
        <v>Enamul Haque</v>
      </c>
      <c r="E84" s="3" t="str">
        <f>'Student Basic Info'!E84</f>
        <v>Bibi Hazera</v>
      </c>
      <c r="F84" s="3" t="str">
        <f>'Student Basic Info'!F84</f>
        <v>Male</v>
      </c>
      <c r="G84" s="79">
        <v>1825809213</v>
      </c>
      <c r="H84" s="59" t="str">
        <f>IF(Bangla!B84="","",Bangla!B84)</f>
        <v/>
      </c>
      <c r="I84" s="59" t="str">
        <f>IF(Bangla!C84="","",Bangla!C84)</f>
        <v/>
      </c>
      <c r="J84" s="60" t="str">
        <f>IF(Bangla!D84="","",Bangla!D84)</f>
        <v/>
      </c>
      <c r="K84" s="61" t="str">
        <f>IF(English!C84="","",English!C84)</f>
        <v/>
      </c>
      <c r="L84" s="35" t="str">
        <f>IF(ICT!B84="","",ICT!B84)</f>
        <v/>
      </c>
      <c r="M84" s="35" t="str">
        <f>IF(ICT!C84="","",ICT!C84)</f>
        <v/>
      </c>
      <c r="N84" s="35" t="str">
        <f>IF(ICT!D84="","",ICT!D84)</f>
        <v/>
      </c>
      <c r="O84" s="42" t="str">
        <f>IF(ICT!E84="","",ICT!E84)</f>
        <v/>
      </c>
      <c r="P84" s="40" t="str">
        <f>IF(Accounting!B84="","",Accounting!B84)</f>
        <v/>
      </c>
      <c r="Q84" s="40" t="str">
        <f>IF(Accounting!C84="","",Accounting!C84)</f>
        <v/>
      </c>
      <c r="R84" s="44" t="str">
        <f>IF(Accounting!D84="","",Accounting!D84)</f>
        <v/>
      </c>
      <c r="S84" s="35" t="str">
        <f>IF('Business Organization'!B84="","",'Business Organization'!B84)</f>
        <v/>
      </c>
      <c r="T84" s="35" t="str">
        <f>IF('Business Organization'!C84="","",'Business Organization'!C84)</f>
        <v/>
      </c>
      <c r="U84" s="42" t="str">
        <f>IF('Business Organization'!D84="","",'Business Organization'!D84)</f>
        <v/>
      </c>
      <c r="V84" s="36" t="str">
        <f>IF(SubjectList!G84="Finance",IF(Finance!B84=0,"", Finance!B84),IF(SubjectList!G84="Production",IF(Production!B84=0,"", Production!B84),IF(SubjectList!G84="Economics",IF(Economics!B84=0,"", Economics!B84))))</f>
        <v/>
      </c>
      <c r="W84" s="36" t="str">
        <f>IF(SubjectList!G84="Finance",IF(Finance!C84=0,"", Finance!C84),IF(SubjectList!G84="Production",IF(Production!C84=0,"", Production!C84),IF(SubjectList!G84="Economics",IF(Economics!C84=0,"", Economics!C84))))</f>
        <v/>
      </c>
      <c r="X84" s="43" t="str">
        <f>IF(SubjectList!G84="Finance",IF(Finance!D84=0,"", Finance!D84),IF(SubjectList!G84="Production",IF(Production!D84=0,"", Production!D84),IF(SubjectList!G84="Economics",IF(Economics!D84=0,"", Economics!D84))))</f>
        <v/>
      </c>
      <c r="Y84" s="40" t="str">
        <f>IF(SubjectList!H84="Finance",IF(Finance!B84=0,"", Finance!B84),IF(SubjectList!H84="Production",IF(Production!B84=0,"", Production!B84),IF(SubjectList!H84="Economics",IF(Economics!B84=0,"", Economics!B84))))</f>
        <v/>
      </c>
      <c r="Z84" s="40" t="str">
        <f>IF(SubjectList!H84="Finance",IF(Finance!C84=0,"", Finance!C84),IF(SubjectList!H84="Production",IF(Production!C84=0,"", Production!C84),IF(SubjectList!H84="Economics",IF(Economics!C84=0,"", Economics!C84))))</f>
        <v/>
      </c>
      <c r="AA84" s="44" t="str">
        <f>IF(SubjectList!H84="Finance",IF(Finance!D84=0,"", Finance!D84),IF(SubjectList!H84="Production",IF(Production!D84=0,"", Production!D84),IF(SubjectList!H84="Economics",IF(Economics!D84=0,"", Economics!D84))))</f>
        <v/>
      </c>
      <c r="AB84" s="37" t="str">
        <f>IF(SubjectList!G84="Finance","Finance",IF(SubjectList!G84="Production","Production",IF(SubjectList!G84="Economics","Not Given")))</f>
        <v>Production</v>
      </c>
      <c r="AC84" s="37" t="str">
        <f>IF(SubjectList!H84="Finance","Finance",IF(SubjectList!H84="Production","Production",IF(SubjectList!H84="Economics","Economics","Not Given")))</f>
        <v>Finance</v>
      </c>
      <c r="AD84" s="38" t="str">
        <f>Bangla!F84</f>
        <v/>
      </c>
      <c r="AE84" s="38" t="str">
        <f>English!E84</f>
        <v/>
      </c>
      <c r="AF84" s="38" t="str">
        <f>ICT!G84</f>
        <v/>
      </c>
      <c r="AG84" s="38" t="str">
        <f>Accounting!F84</f>
        <v/>
      </c>
      <c r="AH84" s="38" t="str">
        <f>'Business Organization'!F84</f>
        <v/>
      </c>
      <c r="AI84" s="38" t="str">
        <f>Production!F84</f>
        <v/>
      </c>
      <c r="AJ84" s="38" t="str">
        <f>Finance!F84</f>
        <v/>
      </c>
      <c r="AK84" s="39" t="str">
        <f>Bangla!G84</f>
        <v/>
      </c>
      <c r="AL84" s="39" t="str">
        <f>English!F84</f>
        <v/>
      </c>
      <c r="AM84" s="39" t="str">
        <f>ICT!H84</f>
        <v/>
      </c>
      <c r="AN84" s="39" t="str">
        <f>Accounting!G84</f>
        <v/>
      </c>
      <c r="AO84" s="39" t="str">
        <f>'Business Organization'!G84</f>
        <v/>
      </c>
      <c r="AP84" s="39" t="str">
        <f>IF(SubjectList!G84="Finance",Finance!G84,IF(SubjectList!G84="Production",Production!G84,IF(SubjectList!G84="Economics",Economics!G84)))</f>
        <v/>
      </c>
      <c r="AQ84" s="39" t="str">
        <f>IF(Optional!H84="","", Optional!H84)</f>
        <v/>
      </c>
      <c r="AR84" s="39" t="str">
        <f>Optional!H84</f>
        <v/>
      </c>
      <c r="AS84" s="39" t="str">
        <f>Optional!I84</f>
        <v/>
      </c>
      <c r="AT84" s="39" t="str">
        <f t="shared" si="41"/>
        <v/>
      </c>
      <c r="AU84" s="39">
        <f t="shared" si="42"/>
        <v>0</v>
      </c>
      <c r="AV84" s="39" t="str">
        <f t="shared" si="43"/>
        <v/>
      </c>
      <c r="AW84" s="39" t="str">
        <f t="shared" si="44"/>
        <v/>
      </c>
      <c r="AX84" s="5">
        <f t="shared" si="35"/>
        <v>0</v>
      </c>
      <c r="AY84" s="41">
        <f t="shared" si="45"/>
        <v>0</v>
      </c>
      <c r="AZ84" s="41">
        <f t="shared" si="46"/>
        <v>0</v>
      </c>
      <c r="BA84" s="41">
        <f t="shared" si="47"/>
        <v>0</v>
      </c>
      <c r="BB84" s="41">
        <f t="shared" si="48"/>
        <v>0</v>
      </c>
      <c r="BC84" s="41">
        <f t="shared" si="49"/>
        <v>0</v>
      </c>
      <c r="BD84" s="41">
        <f t="shared" si="50"/>
        <v>0</v>
      </c>
      <c r="BE84" s="3">
        <f t="shared" si="51"/>
        <v>0</v>
      </c>
      <c r="BF84" s="3" t="str">
        <f t="shared" si="37"/>
        <v>Failed in 6 Subjects</v>
      </c>
      <c r="BG84" s="5" t="str">
        <f>IF(AW84="","",RANK(AW84,AW$2:AW145,0))</f>
        <v/>
      </c>
      <c r="BH84" s="3" t="str">
        <f t="shared" si="38"/>
        <v>খুবই দুর্বল</v>
      </c>
      <c r="BI84" t="str">
        <f t="shared" si="39"/>
        <v>Very Weak</v>
      </c>
      <c r="BJ84" s="104" t="str">
        <f t="shared" si="40"/>
        <v/>
      </c>
    </row>
    <row r="85" spans="1:62" ht="15" thickBot="1" x14ac:dyDescent="0.4">
      <c r="A85" s="3" t="str">
        <f>'Student Basic Info'!B85</f>
        <v>Business Studies</v>
      </c>
      <c r="B85" s="3">
        <f>'Student Basic Info'!A85</f>
        <v>584</v>
      </c>
      <c r="C85" s="3" t="str">
        <f>'Student Basic Info'!C85</f>
        <v>Mohammad Tahmid</v>
      </c>
      <c r="D85" s="3" t="str">
        <f>'Student Basic Info'!D85</f>
        <v>Abu Sufiyan</v>
      </c>
      <c r="E85" s="3" t="str">
        <f>'Student Basic Info'!E85</f>
        <v>Rehana Aktar</v>
      </c>
      <c r="F85" s="3" t="str">
        <f>'Student Basic Info'!F85</f>
        <v>Male</v>
      </c>
      <c r="G85" s="79">
        <v>1830223584</v>
      </c>
      <c r="H85" s="59" t="str">
        <f>IF(Bangla!B85="","",Bangla!B85)</f>
        <v/>
      </c>
      <c r="I85" s="59">
        <f>IF(Bangla!C85="","",Bangla!C85)</f>
        <v>40</v>
      </c>
      <c r="J85" s="60">
        <f>IF(Bangla!D85="","",Bangla!D85)</f>
        <v>40</v>
      </c>
      <c r="K85" s="61">
        <f>IF(English!C85="","",English!C85)</f>
        <v>5</v>
      </c>
      <c r="L85" s="35">
        <f>IF(ICT!B85="","",ICT!B85)</f>
        <v>17</v>
      </c>
      <c r="M85" s="35">
        <f>IF(ICT!C85="","",ICT!C85)</f>
        <v>5</v>
      </c>
      <c r="N85" s="35">
        <f>IF(ICT!D85="","",ICT!D85)</f>
        <v>8</v>
      </c>
      <c r="O85" s="42">
        <f>IF(ICT!E85="","",ICT!E85)</f>
        <v>30</v>
      </c>
      <c r="P85" s="40">
        <f>IF(Accounting!B85="","",Accounting!B85)</f>
        <v>10</v>
      </c>
      <c r="Q85" s="40">
        <f>IF(Accounting!C85="","",Accounting!C85)</f>
        <v>5</v>
      </c>
      <c r="R85" s="44">
        <f>IF(Accounting!D85="","",Accounting!D85)</f>
        <v>15</v>
      </c>
      <c r="S85" s="35" t="str">
        <f>IF('Business Organization'!B85="","",'Business Organization'!B85)</f>
        <v/>
      </c>
      <c r="T85" s="35" t="str">
        <f>IF('Business Organization'!C85="","",'Business Organization'!C85)</f>
        <v/>
      </c>
      <c r="U85" s="42" t="str">
        <f>IF('Business Organization'!D85="","",'Business Organization'!D85)</f>
        <v/>
      </c>
      <c r="V85" s="36">
        <f>IF(SubjectList!G85="Finance",IF(Finance!B85=0,"", Finance!B85),IF(SubjectList!G85="Production",IF(Production!B85=0,"", Production!B85),IF(SubjectList!G85="Economics",IF(Economics!B85=0,"", Economics!B85))))</f>
        <v>9</v>
      </c>
      <c r="W85" s="36" t="str">
        <f>IF(SubjectList!G85="Finance",IF(Finance!C85=0,"", Finance!C85),IF(SubjectList!G85="Production",IF(Production!C85=0,"", Production!C85),IF(SubjectList!G85="Economics",IF(Economics!C85=0,"", Economics!C85))))</f>
        <v/>
      </c>
      <c r="X85" s="43">
        <f>IF(SubjectList!G85="Finance",IF(Finance!D85=0,"", Finance!D85),IF(SubjectList!G85="Production",IF(Production!D85=0,"", Production!D85),IF(SubjectList!G85="Economics",IF(Economics!D85=0,"", Economics!D85))))</f>
        <v>9</v>
      </c>
      <c r="Y85" s="40">
        <f>IF(SubjectList!H85="Finance",IF(Finance!B85=0,"", Finance!B85),IF(SubjectList!H85="Production",IF(Production!B85=0,"", Production!B85),IF(SubjectList!H85="Economics",IF(Economics!B85=0,"", Economics!B85))))</f>
        <v>10</v>
      </c>
      <c r="Z85" s="40">
        <f>IF(SubjectList!H85="Finance",IF(Finance!C85=0,"", Finance!C85),IF(SubjectList!H85="Production",IF(Production!C85=0,"", Production!C85),IF(SubjectList!H85="Economics",IF(Economics!C85=0,"", Economics!C85))))</f>
        <v>1</v>
      </c>
      <c r="AA85" s="44">
        <f>IF(SubjectList!H85="Finance",IF(Finance!D85=0,"", Finance!D85),IF(SubjectList!H85="Production",IF(Production!D85=0,"", Production!D85),IF(SubjectList!H85="Economics",IF(Economics!D85=0,"", Economics!D85))))</f>
        <v>11</v>
      </c>
      <c r="AB85" s="37" t="str">
        <f>IF(SubjectList!G85="Finance","Finance",IF(SubjectList!G85="Production","Production",IF(SubjectList!G85="Economics","Not Given")))</f>
        <v>Production</v>
      </c>
      <c r="AC85" s="37" t="str">
        <f>IF(SubjectList!H85="Finance","Finance",IF(SubjectList!H85="Production","Production",IF(SubjectList!H85="Economics","Economics","Not Given")))</f>
        <v>Finance</v>
      </c>
      <c r="AD85" s="38" t="str">
        <f>Bangla!F85</f>
        <v>C</v>
      </c>
      <c r="AE85" s="38" t="str">
        <f>English!E85</f>
        <v>F</v>
      </c>
      <c r="AF85" s="38" t="str">
        <f>ICT!G85</f>
        <v>F</v>
      </c>
      <c r="AG85" s="38" t="str">
        <f>Accounting!F85</f>
        <v>F</v>
      </c>
      <c r="AH85" s="38" t="str">
        <f>'Business Organization'!F85</f>
        <v/>
      </c>
      <c r="AI85" s="38" t="str">
        <f>Production!F85</f>
        <v>F</v>
      </c>
      <c r="AJ85" s="38" t="str">
        <f>Finance!F85</f>
        <v>F</v>
      </c>
      <c r="AK85" s="39">
        <f>Bangla!G85</f>
        <v>2</v>
      </c>
      <c r="AL85" s="39">
        <f>English!F85</f>
        <v>0</v>
      </c>
      <c r="AM85" s="39">
        <f>ICT!H85</f>
        <v>0</v>
      </c>
      <c r="AN85" s="39">
        <f>Accounting!G85</f>
        <v>0</v>
      </c>
      <c r="AO85" s="39" t="str">
        <f>'Business Organization'!G85</f>
        <v/>
      </c>
      <c r="AP85" s="39">
        <f>IF(SubjectList!G85="Finance",Finance!G85,IF(SubjectList!G85="Production",Production!G85,IF(SubjectList!G85="Economics",Economics!G85)))</f>
        <v>0</v>
      </c>
      <c r="AQ85" s="39">
        <f>IF(Optional!H85="","", Optional!H85)</f>
        <v>0</v>
      </c>
      <c r="AR85" s="39">
        <f>Optional!H85</f>
        <v>0</v>
      </c>
      <c r="AS85" s="39">
        <f>Optional!I85</f>
        <v>0</v>
      </c>
      <c r="AT85" s="39">
        <f t="shared" si="41"/>
        <v>2</v>
      </c>
      <c r="AU85" s="39">
        <f t="shared" si="42"/>
        <v>2</v>
      </c>
      <c r="AV85" s="39" t="str">
        <f t="shared" si="43"/>
        <v/>
      </c>
      <c r="AW85" s="39" t="str">
        <f t="shared" si="44"/>
        <v/>
      </c>
      <c r="AX85" s="5">
        <f t="shared" si="35"/>
        <v>110</v>
      </c>
      <c r="AY85" s="41">
        <f t="shared" si="45"/>
        <v>1</v>
      </c>
      <c r="AZ85" s="41">
        <f t="shared" si="46"/>
        <v>0</v>
      </c>
      <c r="BA85" s="41">
        <f t="shared" si="47"/>
        <v>0</v>
      </c>
      <c r="BB85" s="41">
        <f t="shared" si="48"/>
        <v>0</v>
      </c>
      <c r="BC85" s="41">
        <f t="shared" si="49"/>
        <v>0</v>
      </c>
      <c r="BD85" s="41">
        <f t="shared" si="50"/>
        <v>0</v>
      </c>
      <c r="BE85" s="3">
        <f t="shared" si="51"/>
        <v>1</v>
      </c>
      <c r="BF85" s="3" t="str">
        <f t="shared" si="37"/>
        <v>Failed in 5 Subjects</v>
      </c>
      <c r="BG85" s="5" t="str">
        <f>IF(AW85="","",RANK(AW85,AW$2:AW145,0))</f>
        <v/>
      </c>
      <c r="BH85" s="3" t="str">
        <f t="shared" si="38"/>
        <v>খুবই দুর্বল</v>
      </c>
      <c r="BI85" t="str">
        <f t="shared" si="39"/>
        <v>Very Weak</v>
      </c>
      <c r="BJ85" s="104" t="str">
        <f t="shared" si="40"/>
        <v/>
      </c>
    </row>
    <row r="86" spans="1:62" ht="15" thickBot="1" x14ac:dyDescent="0.4">
      <c r="A86" s="3" t="str">
        <f>'Student Basic Info'!B86</f>
        <v>Business Studies</v>
      </c>
      <c r="B86" s="3">
        <f>'Student Basic Info'!A86</f>
        <v>585</v>
      </c>
      <c r="C86" s="3" t="str">
        <f>'Student Basic Info'!C86</f>
        <v xml:space="preserve">Imam Hosain </v>
      </c>
      <c r="D86" s="3" t="str">
        <f>'Student Basic Info'!D86</f>
        <v>Shah Alom</v>
      </c>
      <c r="E86" s="3" t="str">
        <f>'Student Basic Info'!E86</f>
        <v>Nur Nahar</v>
      </c>
      <c r="F86" s="3" t="str">
        <f>'Student Basic Info'!F86</f>
        <v>Male</v>
      </c>
      <c r="G86" s="79">
        <v>1719889249</v>
      </c>
      <c r="H86" s="59" t="str">
        <f>IF(Bangla!B86="","",Bangla!B86)</f>
        <v/>
      </c>
      <c r="I86" s="59">
        <f>IF(Bangla!C86="","",Bangla!C86)</f>
        <v>33</v>
      </c>
      <c r="J86" s="60">
        <f>IF(Bangla!D86="","",Bangla!D86)</f>
        <v>33</v>
      </c>
      <c r="K86" s="61">
        <f>IF(English!C86="","",English!C86)</f>
        <v>22</v>
      </c>
      <c r="L86" s="35">
        <f>IF(ICT!B86="","",ICT!B86)</f>
        <v>9</v>
      </c>
      <c r="M86" s="35">
        <f>IF(ICT!C86="","",ICT!C86)</f>
        <v>7</v>
      </c>
      <c r="N86" s="35">
        <f>IF(ICT!D86="","",ICT!D86)</f>
        <v>8</v>
      </c>
      <c r="O86" s="42">
        <f>IF(ICT!E86="","",ICT!E86)</f>
        <v>24</v>
      </c>
      <c r="P86" s="40">
        <f>IF(Accounting!B86="","",Accounting!B86)</f>
        <v>8</v>
      </c>
      <c r="Q86" s="40">
        <f>IF(Accounting!C86="","",Accounting!C86)</f>
        <v>11</v>
      </c>
      <c r="R86" s="44">
        <f>IF(Accounting!D86="","",Accounting!D86)</f>
        <v>19</v>
      </c>
      <c r="S86" s="35">
        <f>IF('Business Organization'!B86="","",'Business Organization'!B86)</f>
        <v>16</v>
      </c>
      <c r="T86" s="35">
        <f>IF('Business Organization'!C86="","",'Business Organization'!C86)</f>
        <v>8</v>
      </c>
      <c r="U86" s="42">
        <f>IF('Business Organization'!D86="","",'Business Organization'!D86)</f>
        <v>24</v>
      </c>
      <c r="V86" s="36">
        <f>IF(SubjectList!G86="Finance",IF(Finance!B86=0,"", Finance!B86),IF(SubjectList!G86="Production",IF(Production!B86=0,"", Production!B86),IF(SubjectList!G86="Economics",IF(Economics!B86=0,"", Economics!B86))))</f>
        <v>16</v>
      </c>
      <c r="W86" s="36">
        <f>IF(SubjectList!G86="Finance",IF(Finance!C86=0,"", Finance!C86),IF(SubjectList!G86="Production",IF(Production!C86=0,"", Production!C86),IF(SubjectList!G86="Economics",IF(Economics!C86=0,"", Economics!C86))))</f>
        <v>24</v>
      </c>
      <c r="X86" s="43">
        <f>IF(SubjectList!G86="Finance",IF(Finance!D86=0,"", Finance!D86),IF(SubjectList!G86="Production",IF(Production!D86=0,"", Production!D86),IF(SubjectList!G86="Economics",IF(Economics!D86=0,"", Economics!D86))))</f>
        <v>40</v>
      </c>
      <c r="Y86" s="40">
        <f>IF(SubjectList!H86="Finance",IF(Finance!B86=0,"", Finance!B86),IF(SubjectList!H86="Production",IF(Production!B86=0,"", Production!B86),IF(SubjectList!H86="Economics",IF(Economics!B86=0,"", Economics!B86))))</f>
        <v>7</v>
      </c>
      <c r="Z86" s="40">
        <f>IF(SubjectList!H86="Finance",IF(Finance!C86=0,"", Finance!C86),IF(SubjectList!H86="Production",IF(Production!C86=0,"", Production!C86),IF(SubjectList!H86="Economics",IF(Economics!C86=0,"", Economics!C86))))</f>
        <v>6</v>
      </c>
      <c r="AA86" s="44">
        <f>IF(SubjectList!H86="Finance",IF(Finance!D86=0,"", Finance!D86),IF(SubjectList!H86="Production",IF(Production!D86=0,"", Production!D86),IF(SubjectList!H86="Economics",IF(Economics!D86=0,"", Economics!D86))))</f>
        <v>13</v>
      </c>
      <c r="AB86" s="37" t="str">
        <f>IF(SubjectList!G86="Finance","Finance",IF(SubjectList!G86="Production","Production",IF(SubjectList!G86="Economics","Not Given")))</f>
        <v>Production</v>
      </c>
      <c r="AC86" s="37" t="str">
        <f>IF(SubjectList!H86="Finance","Finance",IF(SubjectList!H86="Production","Production",IF(SubjectList!H86="Economics","Economics","Not Given")))</f>
        <v>Finance</v>
      </c>
      <c r="AD86" s="38" t="str">
        <f>Bangla!F86</f>
        <v>D</v>
      </c>
      <c r="AE86" s="38" t="str">
        <f>English!E86</f>
        <v>F</v>
      </c>
      <c r="AF86" s="38" t="str">
        <f>ICT!G86</f>
        <v>F</v>
      </c>
      <c r="AG86" s="38" t="str">
        <f>Accounting!F86</f>
        <v>F</v>
      </c>
      <c r="AH86" s="38" t="str">
        <f>'Business Organization'!F86</f>
        <v>F</v>
      </c>
      <c r="AI86" s="38" t="str">
        <f>Production!F86</f>
        <v>C</v>
      </c>
      <c r="AJ86" s="38" t="str">
        <f>Finance!F86</f>
        <v>F</v>
      </c>
      <c r="AK86" s="39">
        <f>Bangla!G86</f>
        <v>1</v>
      </c>
      <c r="AL86" s="39">
        <f>English!F86</f>
        <v>0</v>
      </c>
      <c r="AM86" s="39">
        <f>ICT!H86</f>
        <v>0</v>
      </c>
      <c r="AN86" s="39">
        <f>Accounting!G86</f>
        <v>0</v>
      </c>
      <c r="AO86" s="39">
        <f>'Business Organization'!G86</f>
        <v>0</v>
      </c>
      <c r="AP86" s="39">
        <f>IF(SubjectList!G86="Finance",Finance!G86,IF(SubjectList!G86="Production",Production!G86,IF(SubjectList!G86="Economics",Economics!G86)))</f>
        <v>2</v>
      </c>
      <c r="AQ86" s="39">
        <f>IF(Optional!H86="","", Optional!H86)</f>
        <v>0</v>
      </c>
      <c r="AR86" s="39">
        <f>Optional!H86</f>
        <v>0</v>
      </c>
      <c r="AS86" s="39">
        <f>Optional!I86</f>
        <v>0</v>
      </c>
      <c r="AT86" s="39">
        <f t="shared" si="41"/>
        <v>3</v>
      </c>
      <c r="AU86" s="39">
        <f t="shared" si="42"/>
        <v>3</v>
      </c>
      <c r="AV86" s="39" t="str">
        <f t="shared" si="43"/>
        <v/>
      </c>
      <c r="AW86" s="39" t="str">
        <f t="shared" si="44"/>
        <v/>
      </c>
      <c r="AX86" s="5">
        <f t="shared" si="35"/>
        <v>175</v>
      </c>
      <c r="AY86" s="41">
        <f t="shared" si="45"/>
        <v>1</v>
      </c>
      <c r="AZ86" s="41">
        <f t="shared" si="46"/>
        <v>0</v>
      </c>
      <c r="BA86" s="41">
        <f t="shared" si="47"/>
        <v>0</v>
      </c>
      <c r="BB86" s="41">
        <f t="shared" si="48"/>
        <v>0</v>
      </c>
      <c r="BC86" s="41">
        <f t="shared" si="49"/>
        <v>0</v>
      </c>
      <c r="BD86" s="41">
        <f t="shared" si="50"/>
        <v>1</v>
      </c>
      <c r="BE86" s="3">
        <f t="shared" si="51"/>
        <v>2</v>
      </c>
      <c r="BF86" s="3" t="str">
        <f t="shared" si="37"/>
        <v>Failed in 4 Subjects</v>
      </c>
      <c r="BG86" s="5" t="str">
        <f>IF(AW86="","",RANK(AW86,AW$2:AW145,0))</f>
        <v/>
      </c>
      <c r="BH86" s="3" t="str">
        <f t="shared" si="38"/>
        <v>খুবই দুর্বল</v>
      </c>
      <c r="BI86" t="str">
        <f t="shared" si="39"/>
        <v>Very Weak</v>
      </c>
      <c r="BJ86" s="104" t="str">
        <f t="shared" si="40"/>
        <v/>
      </c>
    </row>
    <row r="87" spans="1:62" ht="15" thickBot="1" x14ac:dyDescent="0.4">
      <c r="A87" s="3" t="str">
        <f>'Student Basic Info'!B87</f>
        <v>Business Studies</v>
      </c>
      <c r="B87" s="3">
        <f>'Student Basic Info'!A87</f>
        <v>586</v>
      </c>
      <c r="C87" s="3" t="str">
        <f>'Student Basic Info'!C87</f>
        <v>Abdur Rahman</v>
      </c>
      <c r="D87" s="3" t="str">
        <f>'Student Basic Info'!D87</f>
        <v>Abdul Kader</v>
      </c>
      <c r="E87" s="3" t="str">
        <f>'Student Basic Info'!E87</f>
        <v>Zibon Ara Begum</v>
      </c>
      <c r="F87" s="3" t="str">
        <f>'Student Basic Info'!F87</f>
        <v>Male</v>
      </c>
      <c r="G87" s="79">
        <v>1872549777</v>
      </c>
      <c r="H87" s="59" t="str">
        <f>IF(Bangla!B87="","",Bangla!B87)</f>
        <v/>
      </c>
      <c r="I87" s="59">
        <f>IF(Bangla!C87="","",Bangla!C87)</f>
        <v>33</v>
      </c>
      <c r="J87" s="60">
        <f>IF(Bangla!D87="","",Bangla!D87)</f>
        <v>33</v>
      </c>
      <c r="K87" s="61">
        <f>IF(English!C87="","",English!C87)</f>
        <v>24</v>
      </c>
      <c r="L87" s="35">
        <f>IF(ICT!B87="","",ICT!B87)</f>
        <v>17</v>
      </c>
      <c r="M87" s="35">
        <f>IF(ICT!C87="","",ICT!C87)</f>
        <v>11</v>
      </c>
      <c r="N87" s="35">
        <f>IF(ICT!D87="","",ICT!D87)</f>
        <v>8</v>
      </c>
      <c r="O87" s="42">
        <f>IF(ICT!E87="","",ICT!E87)</f>
        <v>36</v>
      </c>
      <c r="P87" s="40">
        <f>IF(Accounting!B87="","",Accounting!B87)</f>
        <v>8</v>
      </c>
      <c r="Q87" s="40">
        <f>IF(Accounting!C87="","",Accounting!C87)</f>
        <v>4</v>
      </c>
      <c r="R87" s="44">
        <f>IF(Accounting!D87="","",Accounting!D87)</f>
        <v>12</v>
      </c>
      <c r="S87" s="35">
        <f>IF('Business Organization'!B87="","",'Business Organization'!B87)</f>
        <v>18</v>
      </c>
      <c r="T87" s="35">
        <f>IF('Business Organization'!C87="","",'Business Organization'!C87)</f>
        <v>7</v>
      </c>
      <c r="U87" s="42">
        <f>IF('Business Organization'!D87="","",'Business Organization'!D87)</f>
        <v>25</v>
      </c>
      <c r="V87" s="36">
        <f>IF(SubjectList!G87="Finance",IF(Finance!B87=0,"", Finance!B87),IF(SubjectList!G87="Production",IF(Production!B87=0,"", Production!B87),IF(SubjectList!G87="Economics",IF(Economics!B87=0,"", Economics!B87))))</f>
        <v>16</v>
      </c>
      <c r="W87" s="36">
        <f>IF(SubjectList!G87="Finance",IF(Finance!C87=0,"", Finance!C87),IF(SubjectList!G87="Production",IF(Production!C87=0,"", Production!C87),IF(SubjectList!G87="Economics",IF(Economics!C87=0,"", Economics!C87))))</f>
        <v>3</v>
      </c>
      <c r="X87" s="43">
        <f>IF(SubjectList!G87="Finance",IF(Finance!D87=0,"", Finance!D87),IF(SubjectList!G87="Production",IF(Production!D87=0,"", Production!D87),IF(SubjectList!G87="Economics",IF(Economics!D87=0,"", Economics!D87))))</f>
        <v>19</v>
      </c>
      <c r="Y87" s="40">
        <f>IF(SubjectList!H87="Finance",IF(Finance!B87=0,"", Finance!B87),IF(SubjectList!H87="Production",IF(Production!B87=0,"", Production!B87),IF(SubjectList!H87="Economics",IF(Economics!B87=0,"", Economics!B87))))</f>
        <v>6</v>
      </c>
      <c r="Z87" s="40">
        <f>IF(SubjectList!H87="Finance",IF(Finance!C87=0,"", Finance!C87),IF(SubjectList!H87="Production",IF(Production!C87=0,"", Production!C87),IF(SubjectList!H87="Economics",IF(Economics!C87=0,"", Economics!C87))))</f>
        <v>4</v>
      </c>
      <c r="AA87" s="44">
        <f>IF(SubjectList!H87="Finance",IF(Finance!D87=0,"", Finance!D87),IF(SubjectList!H87="Production",IF(Production!D87=0,"", Production!D87),IF(SubjectList!H87="Economics",IF(Economics!D87=0,"", Economics!D87))))</f>
        <v>10</v>
      </c>
      <c r="AB87" s="37" t="str">
        <f>IF(SubjectList!G87="Finance","Finance",IF(SubjectList!G87="Production","Production",IF(SubjectList!G87="Economics","Not Given")))</f>
        <v>Production</v>
      </c>
      <c r="AC87" s="37" t="str">
        <f>IF(SubjectList!H87="Finance","Finance",IF(SubjectList!H87="Production","Production",IF(SubjectList!H87="Economics","Economics","Not Given")))</f>
        <v>Finance</v>
      </c>
      <c r="AD87" s="38" t="str">
        <f>Bangla!F87</f>
        <v>D</v>
      </c>
      <c r="AE87" s="38" t="str">
        <f>English!E87</f>
        <v>F</v>
      </c>
      <c r="AF87" s="38" t="str">
        <f>ICT!G87</f>
        <v>F</v>
      </c>
      <c r="AG87" s="38" t="str">
        <f>Accounting!F87</f>
        <v>F</v>
      </c>
      <c r="AH87" s="38" t="str">
        <f>'Business Organization'!F87</f>
        <v>F</v>
      </c>
      <c r="AI87" s="38" t="str">
        <f>Production!F87</f>
        <v>F</v>
      </c>
      <c r="AJ87" s="38" t="str">
        <f>Finance!F87</f>
        <v>F</v>
      </c>
      <c r="AK87" s="39">
        <f>Bangla!G87</f>
        <v>1</v>
      </c>
      <c r="AL87" s="39">
        <f>English!F87</f>
        <v>0</v>
      </c>
      <c r="AM87" s="39">
        <f>ICT!H87</f>
        <v>0</v>
      </c>
      <c r="AN87" s="39">
        <f>Accounting!G87</f>
        <v>0</v>
      </c>
      <c r="AO87" s="39">
        <f>'Business Organization'!G87</f>
        <v>0</v>
      </c>
      <c r="AP87" s="39">
        <f>IF(SubjectList!G87="Finance",Finance!G87,IF(SubjectList!G87="Production",Production!G87,IF(SubjectList!G87="Economics",Economics!G87)))</f>
        <v>0</v>
      </c>
      <c r="AQ87" s="39">
        <f>IF(Optional!H87="","", Optional!H87)</f>
        <v>0</v>
      </c>
      <c r="AR87" s="39">
        <f>Optional!H87</f>
        <v>0</v>
      </c>
      <c r="AS87" s="39">
        <f>Optional!I87</f>
        <v>0</v>
      </c>
      <c r="AT87" s="39">
        <f t="shared" si="41"/>
        <v>1</v>
      </c>
      <c r="AU87" s="39">
        <f t="shared" si="42"/>
        <v>1</v>
      </c>
      <c r="AV87" s="39" t="str">
        <f t="shared" si="43"/>
        <v/>
      </c>
      <c r="AW87" s="39" t="str">
        <f t="shared" si="44"/>
        <v/>
      </c>
      <c r="AX87" s="5">
        <f t="shared" si="35"/>
        <v>159</v>
      </c>
      <c r="AY87" s="41">
        <f t="shared" si="45"/>
        <v>1</v>
      </c>
      <c r="AZ87" s="41">
        <f t="shared" si="46"/>
        <v>0</v>
      </c>
      <c r="BA87" s="41">
        <f t="shared" si="47"/>
        <v>0</v>
      </c>
      <c r="BB87" s="41">
        <f t="shared" si="48"/>
        <v>0</v>
      </c>
      <c r="BC87" s="41">
        <f t="shared" si="49"/>
        <v>0</v>
      </c>
      <c r="BD87" s="41">
        <f t="shared" si="50"/>
        <v>0</v>
      </c>
      <c r="BE87" s="3">
        <f t="shared" si="51"/>
        <v>1</v>
      </c>
      <c r="BF87" s="3" t="str">
        <f t="shared" si="37"/>
        <v>Failed in 5 Subjects</v>
      </c>
      <c r="BG87" s="5" t="str">
        <f>IF(AW87="","",RANK(AW87,AW$2:AW145,0))</f>
        <v/>
      </c>
      <c r="BH87" s="3" t="str">
        <f t="shared" si="38"/>
        <v>খুবই দুর্বল</v>
      </c>
      <c r="BI87" t="str">
        <f t="shared" si="39"/>
        <v>Very Weak</v>
      </c>
      <c r="BJ87" s="104" t="str">
        <f t="shared" si="40"/>
        <v/>
      </c>
    </row>
    <row r="88" spans="1:62" ht="15" thickBot="1" x14ac:dyDescent="0.4">
      <c r="A88" s="3" t="str">
        <f>'Student Basic Info'!B88</f>
        <v>Business Studies</v>
      </c>
      <c r="B88" s="3">
        <f>'Student Basic Info'!A88</f>
        <v>587</v>
      </c>
      <c r="C88" s="3" t="str">
        <f>'Student Basic Info'!C88</f>
        <v xml:space="preserve">Romana Aktar </v>
      </c>
      <c r="D88" s="3" t="str">
        <f>'Student Basic Info'!D88</f>
        <v>Abdur Rob</v>
      </c>
      <c r="E88" s="3" t="str">
        <f>'Student Basic Info'!E88</f>
        <v>Rehana Aktar</v>
      </c>
      <c r="F88" s="3" t="str">
        <f>'Student Basic Info'!F88</f>
        <v>Female</v>
      </c>
      <c r="G88" s="79">
        <v>1842307025</v>
      </c>
      <c r="H88" s="59" t="str">
        <f>IF(Bangla!B88="","",Bangla!B88)</f>
        <v/>
      </c>
      <c r="I88" s="59">
        <f>IF(Bangla!C88="","",Bangla!C88)</f>
        <v>50</v>
      </c>
      <c r="J88" s="60">
        <f>IF(Bangla!D88="","",Bangla!D88)</f>
        <v>50</v>
      </c>
      <c r="K88" s="61">
        <f>IF(English!C88="","",English!C88)</f>
        <v>21</v>
      </c>
      <c r="L88" s="35">
        <f>IF(ICT!B88="","",ICT!B88)</f>
        <v>8</v>
      </c>
      <c r="M88" s="35">
        <f>IF(ICT!C88="","",ICT!C88)</f>
        <v>11</v>
      </c>
      <c r="N88" s="35">
        <f>IF(ICT!D88="","",ICT!D88)</f>
        <v>18</v>
      </c>
      <c r="O88" s="42">
        <f>IF(ICT!E88="","",ICT!E88)</f>
        <v>37</v>
      </c>
      <c r="P88" s="40">
        <f>IF(Accounting!B88="","",Accounting!B88)</f>
        <v>8</v>
      </c>
      <c r="Q88" s="40">
        <f>IF(Accounting!C88="","",Accounting!C88)</f>
        <v>15</v>
      </c>
      <c r="R88" s="44">
        <f>IF(Accounting!D88="","",Accounting!D88)</f>
        <v>23</v>
      </c>
      <c r="S88" s="35">
        <f>IF('Business Organization'!B88="","",'Business Organization'!B88)</f>
        <v>17</v>
      </c>
      <c r="T88" s="35">
        <f>IF('Business Organization'!C88="","",'Business Organization'!C88)</f>
        <v>16</v>
      </c>
      <c r="U88" s="42">
        <f>IF('Business Organization'!D88="","",'Business Organization'!D88)</f>
        <v>33</v>
      </c>
      <c r="V88" s="36">
        <f>IF(SubjectList!G88="Finance",IF(Finance!B88=0,"", Finance!B88),IF(SubjectList!G88="Production",IF(Production!B88=0,"", Production!B88),IF(SubjectList!G88="Economics",IF(Economics!B88=0,"", Economics!B88))))</f>
        <v>15</v>
      </c>
      <c r="W88" s="36">
        <f>IF(SubjectList!G88="Finance",IF(Finance!C88=0,"", Finance!C88),IF(SubjectList!G88="Production",IF(Production!C88=0,"", Production!C88),IF(SubjectList!G88="Economics",IF(Economics!C88=0,"", Economics!C88))))</f>
        <v>31</v>
      </c>
      <c r="X88" s="43">
        <f>IF(SubjectList!G88="Finance",IF(Finance!D88=0,"", Finance!D88),IF(SubjectList!G88="Production",IF(Production!D88=0,"", Production!D88),IF(SubjectList!G88="Economics",IF(Economics!D88=0,"", Economics!D88))))</f>
        <v>46</v>
      </c>
      <c r="Y88" s="40">
        <f>IF(SubjectList!H88="Finance",IF(Finance!B88=0,"", Finance!B88),IF(SubjectList!H88="Production",IF(Production!B88=0,"", Production!B88),IF(SubjectList!H88="Economics",IF(Economics!B88=0,"", Economics!B88))))</f>
        <v>10</v>
      </c>
      <c r="Z88" s="40">
        <f>IF(SubjectList!H88="Finance",IF(Finance!C88=0,"", Finance!C88),IF(SubjectList!H88="Production",IF(Production!C88=0,"", Production!C88),IF(SubjectList!H88="Economics",IF(Economics!C88=0,"", Economics!C88))))</f>
        <v>6</v>
      </c>
      <c r="AA88" s="44">
        <f>IF(SubjectList!H88="Finance",IF(Finance!D88=0,"", Finance!D88),IF(SubjectList!H88="Production",IF(Production!D88=0,"", Production!D88),IF(SubjectList!H88="Economics",IF(Economics!D88=0,"", Economics!D88))))</f>
        <v>16</v>
      </c>
      <c r="AB88" s="37" t="str">
        <f>IF(SubjectList!G88="Finance","Finance",IF(SubjectList!G88="Production","Production",IF(SubjectList!G88="Economics","Not Given")))</f>
        <v>Production</v>
      </c>
      <c r="AC88" s="37" t="str">
        <f>IF(SubjectList!H88="Finance","Finance",IF(SubjectList!H88="Production","Production",IF(SubjectList!H88="Economics","Economics","Not Given")))</f>
        <v>Finance</v>
      </c>
      <c r="AD88" s="38" t="str">
        <f>Bangla!F88</f>
        <v>B</v>
      </c>
      <c r="AE88" s="38" t="str">
        <f>English!E88</f>
        <v>F</v>
      </c>
      <c r="AF88" s="38" t="str">
        <f>ICT!G88</f>
        <v>F</v>
      </c>
      <c r="AG88" s="38" t="str">
        <f>Accounting!F88</f>
        <v>F</v>
      </c>
      <c r="AH88" s="38" t="str">
        <f>'Business Organization'!F88</f>
        <v>F</v>
      </c>
      <c r="AI88" s="38" t="str">
        <f>Production!F88</f>
        <v>C</v>
      </c>
      <c r="AJ88" s="38" t="str">
        <f>Finance!F88</f>
        <v>F</v>
      </c>
      <c r="AK88" s="39">
        <f>Bangla!G88</f>
        <v>3</v>
      </c>
      <c r="AL88" s="39">
        <f>English!F88</f>
        <v>0</v>
      </c>
      <c r="AM88" s="39">
        <f>ICT!H88</f>
        <v>0</v>
      </c>
      <c r="AN88" s="39">
        <f>Accounting!G88</f>
        <v>0</v>
      </c>
      <c r="AO88" s="39">
        <f>'Business Organization'!G88</f>
        <v>0</v>
      </c>
      <c r="AP88" s="39">
        <f>IF(SubjectList!G88="Finance",Finance!G88,IF(SubjectList!G88="Production",Production!G88,IF(SubjectList!G88="Economics",Economics!G88)))</f>
        <v>2</v>
      </c>
      <c r="AQ88" s="39">
        <f>IF(Optional!H88="","", Optional!H88)</f>
        <v>0</v>
      </c>
      <c r="AR88" s="39">
        <f>Optional!H88</f>
        <v>0</v>
      </c>
      <c r="AS88" s="39">
        <f>Optional!I88</f>
        <v>0</v>
      </c>
      <c r="AT88" s="39">
        <f t="shared" si="41"/>
        <v>5</v>
      </c>
      <c r="AU88" s="39">
        <f t="shared" si="42"/>
        <v>5</v>
      </c>
      <c r="AV88" s="39" t="str">
        <f t="shared" si="43"/>
        <v/>
      </c>
      <c r="AW88" s="39" t="str">
        <f t="shared" si="44"/>
        <v/>
      </c>
      <c r="AX88" s="5">
        <f t="shared" si="35"/>
        <v>226</v>
      </c>
      <c r="AY88" s="41">
        <f t="shared" si="45"/>
        <v>1</v>
      </c>
      <c r="AZ88" s="41">
        <f t="shared" si="46"/>
        <v>0</v>
      </c>
      <c r="BA88" s="41">
        <f t="shared" si="47"/>
        <v>0</v>
      </c>
      <c r="BB88" s="41">
        <f t="shared" si="48"/>
        <v>0</v>
      </c>
      <c r="BC88" s="41">
        <f t="shared" si="49"/>
        <v>0</v>
      </c>
      <c r="BD88" s="41">
        <f t="shared" si="50"/>
        <v>1</v>
      </c>
      <c r="BE88" s="3">
        <f t="shared" si="51"/>
        <v>2</v>
      </c>
      <c r="BF88" s="3" t="str">
        <f t="shared" si="37"/>
        <v>Failed in 4 Subjects</v>
      </c>
      <c r="BG88" s="5" t="str">
        <f>IF(AW88="","",RANK(AW88,AW$2:AW145,0))</f>
        <v/>
      </c>
      <c r="BH88" s="3" t="str">
        <f t="shared" si="38"/>
        <v>খুবই দুর্বল</v>
      </c>
      <c r="BI88" t="str">
        <f t="shared" si="39"/>
        <v>Very Weak</v>
      </c>
      <c r="BJ88" s="104" t="str">
        <f t="shared" si="40"/>
        <v/>
      </c>
    </row>
    <row r="89" spans="1:62" ht="15" thickBot="1" x14ac:dyDescent="0.4">
      <c r="A89" s="3" t="str">
        <f>'Student Basic Info'!B89</f>
        <v>Business Studies</v>
      </c>
      <c r="B89" s="3">
        <f>'Student Basic Info'!A89</f>
        <v>588</v>
      </c>
      <c r="C89" s="3" t="str">
        <f>'Student Basic Info'!C89</f>
        <v>Prithika Rani Debi</v>
      </c>
      <c r="D89" s="3" t="str">
        <f>'Student Basic Info'!D89</f>
        <v>Manik Chandra Nath</v>
      </c>
      <c r="E89" s="3" t="str">
        <f>'Student Basic Info'!E89</f>
        <v>Konika Rani Debi</v>
      </c>
      <c r="F89" s="3" t="str">
        <f>'Student Basic Info'!F89</f>
        <v>Female</v>
      </c>
      <c r="G89" s="79">
        <v>1922396824</v>
      </c>
      <c r="H89" s="59" t="str">
        <f>IF(Bangla!B89="","",Bangla!B89)</f>
        <v/>
      </c>
      <c r="I89" s="59">
        <f>IF(Bangla!C89="","",Bangla!C89)</f>
        <v>50</v>
      </c>
      <c r="J89" s="60">
        <f>IF(Bangla!D89="","",Bangla!D89)</f>
        <v>50</v>
      </c>
      <c r="K89" s="61">
        <f>IF(English!C89="","",English!C89)</f>
        <v>23</v>
      </c>
      <c r="L89" s="35">
        <f>IF(ICT!B89="","",ICT!B89)</f>
        <v>10</v>
      </c>
      <c r="M89" s="35">
        <f>IF(ICT!C89="","",ICT!C89)</f>
        <v>12</v>
      </c>
      <c r="N89" s="35">
        <f>IF(ICT!D89="","",ICT!D89)</f>
        <v>18</v>
      </c>
      <c r="O89" s="42">
        <f>IF(ICT!E89="","",ICT!E89)</f>
        <v>40</v>
      </c>
      <c r="P89" s="40">
        <f>IF(Accounting!B89="","",Accounting!B89)</f>
        <v>8</v>
      </c>
      <c r="Q89" s="40">
        <f>IF(Accounting!C89="","",Accounting!C89)</f>
        <v>23</v>
      </c>
      <c r="R89" s="44">
        <f>IF(Accounting!D89="","",Accounting!D89)</f>
        <v>31</v>
      </c>
      <c r="S89" s="35">
        <f>IF('Business Organization'!B89="","",'Business Organization'!B89)</f>
        <v>21</v>
      </c>
      <c r="T89" s="35">
        <f>IF('Business Organization'!C89="","",'Business Organization'!C89)</f>
        <v>16</v>
      </c>
      <c r="U89" s="42">
        <f>IF('Business Organization'!D89="","",'Business Organization'!D89)</f>
        <v>37</v>
      </c>
      <c r="V89" s="36">
        <f>IF(SubjectList!G89="Finance",IF(Finance!B89=0,"", Finance!B89),IF(SubjectList!G89="Production",IF(Production!B89=0,"", Production!B89),IF(SubjectList!G89="Economics",IF(Economics!B89=0,"", Economics!B89))))</f>
        <v>12</v>
      </c>
      <c r="W89" s="36">
        <f>IF(SubjectList!G89="Finance",IF(Finance!C89=0,"", Finance!C89),IF(SubjectList!G89="Production",IF(Production!C89=0,"", Production!C89),IF(SubjectList!G89="Economics",IF(Economics!C89=0,"", Economics!C89))))</f>
        <v>33</v>
      </c>
      <c r="X89" s="43">
        <f>IF(SubjectList!G89="Finance",IF(Finance!D89=0,"", Finance!D89),IF(SubjectList!G89="Production",IF(Production!D89=0,"", Production!D89),IF(SubjectList!G89="Economics",IF(Economics!D89=0,"", Economics!D89))))</f>
        <v>45</v>
      </c>
      <c r="Y89" s="40">
        <f>IF(SubjectList!H89="Finance",IF(Finance!B89=0,"", Finance!B89),IF(SubjectList!H89="Production",IF(Production!B89=0,"", Production!B89),IF(SubjectList!H89="Economics",IF(Economics!B89=0,"", Economics!B89))))</f>
        <v>11</v>
      </c>
      <c r="Z89" s="40">
        <f>IF(SubjectList!H89="Finance",IF(Finance!C89=0,"", Finance!C89),IF(SubjectList!H89="Production",IF(Production!C89=0,"", Production!C89),IF(SubjectList!H89="Economics",IF(Economics!C89=0,"", Economics!C89))))</f>
        <v>8</v>
      </c>
      <c r="AA89" s="44">
        <f>IF(SubjectList!H89="Finance",IF(Finance!D89=0,"", Finance!D89),IF(SubjectList!H89="Production",IF(Production!D89=0,"", Production!D89),IF(SubjectList!H89="Economics",IF(Economics!D89=0,"", Economics!D89))))</f>
        <v>19</v>
      </c>
      <c r="AB89" s="37" t="str">
        <f>IF(SubjectList!G89="Finance","Finance",IF(SubjectList!G89="Production","Production",IF(SubjectList!G89="Economics","Not Given")))</f>
        <v>Production</v>
      </c>
      <c r="AC89" s="37" t="str">
        <f>IF(SubjectList!H89="Finance","Finance",IF(SubjectList!H89="Production","Production",IF(SubjectList!H89="Economics","Economics","Not Given")))</f>
        <v>Finance</v>
      </c>
      <c r="AD89" s="38" t="str">
        <f>Bangla!F89</f>
        <v>B</v>
      </c>
      <c r="AE89" s="38" t="str">
        <f>English!E89</f>
        <v>F</v>
      </c>
      <c r="AF89" s="38" t="str">
        <f>ICT!G89</f>
        <v>F</v>
      </c>
      <c r="AG89" s="38" t="str">
        <f>Accounting!F89</f>
        <v>F</v>
      </c>
      <c r="AH89" s="38" t="str">
        <f>'Business Organization'!F89</f>
        <v>F</v>
      </c>
      <c r="AI89" s="38" t="str">
        <f>Production!F89</f>
        <v>C</v>
      </c>
      <c r="AJ89" s="38" t="str">
        <f>Finance!F89</f>
        <v>F</v>
      </c>
      <c r="AK89" s="39">
        <f>Bangla!G89</f>
        <v>3</v>
      </c>
      <c r="AL89" s="39">
        <f>English!F89</f>
        <v>0</v>
      </c>
      <c r="AM89" s="39">
        <f>ICT!H89</f>
        <v>0</v>
      </c>
      <c r="AN89" s="39">
        <f>Accounting!G89</f>
        <v>0</v>
      </c>
      <c r="AO89" s="39">
        <f>'Business Organization'!G89</f>
        <v>0</v>
      </c>
      <c r="AP89" s="39">
        <f>IF(SubjectList!G89="Finance",Finance!G89,IF(SubjectList!G89="Production",Production!G89,IF(SubjectList!G89="Economics",Economics!G89)))</f>
        <v>2</v>
      </c>
      <c r="AQ89" s="39">
        <f>IF(Optional!H89="","", Optional!H89)</f>
        <v>0</v>
      </c>
      <c r="AR89" s="39">
        <f>Optional!H89</f>
        <v>0</v>
      </c>
      <c r="AS89" s="39">
        <f>Optional!I89</f>
        <v>0</v>
      </c>
      <c r="AT89" s="39">
        <f t="shared" si="41"/>
        <v>5</v>
      </c>
      <c r="AU89" s="39">
        <f t="shared" si="42"/>
        <v>5</v>
      </c>
      <c r="AV89" s="39" t="str">
        <f t="shared" si="43"/>
        <v/>
      </c>
      <c r="AW89" s="39" t="str">
        <f t="shared" si="44"/>
        <v/>
      </c>
      <c r="AX89" s="5">
        <f t="shared" si="35"/>
        <v>245</v>
      </c>
      <c r="AY89" s="41">
        <f t="shared" si="45"/>
        <v>1</v>
      </c>
      <c r="AZ89" s="41">
        <f t="shared" si="46"/>
        <v>0</v>
      </c>
      <c r="BA89" s="41">
        <f t="shared" si="47"/>
        <v>0</v>
      </c>
      <c r="BB89" s="41">
        <f t="shared" si="48"/>
        <v>0</v>
      </c>
      <c r="BC89" s="41">
        <f t="shared" si="49"/>
        <v>0</v>
      </c>
      <c r="BD89" s="41">
        <f t="shared" si="50"/>
        <v>1</v>
      </c>
      <c r="BE89" s="3">
        <f t="shared" si="51"/>
        <v>2</v>
      </c>
      <c r="BF89" s="3" t="str">
        <f t="shared" si="37"/>
        <v>Failed in 4 Subjects</v>
      </c>
      <c r="BG89" s="5" t="str">
        <f>IF(AW89="","",RANK(AW89,AW$2:AW145,0))</f>
        <v/>
      </c>
      <c r="BH89" s="3" t="str">
        <f t="shared" si="38"/>
        <v>খুবই দুর্বল</v>
      </c>
      <c r="BI89" t="str">
        <f t="shared" si="39"/>
        <v>Very Weak</v>
      </c>
      <c r="BJ89" s="104" t="str">
        <f t="shared" si="40"/>
        <v/>
      </c>
    </row>
    <row r="90" spans="1:62" ht="15" thickBot="1" x14ac:dyDescent="0.4">
      <c r="A90" s="3" t="str">
        <f>'Student Basic Info'!B90</f>
        <v>Business Studies</v>
      </c>
      <c r="B90" s="3">
        <f>'Student Basic Info'!A90</f>
        <v>589</v>
      </c>
      <c r="C90" s="3" t="str">
        <f>'Student Basic Info'!C90</f>
        <v>Mohammad Shahriyar Nafiz</v>
      </c>
      <c r="D90" s="3" t="str">
        <f>'Student Basic Info'!D90</f>
        <v>Md. Golam Sarowar</v>
      </c>
      <c r="E90" s="3" t="str">
        <f>'Student Basic Info'!E90</f>
        <v>Kamrun Nahar</v>
      </c>
      <c r="F90" s="3" t="str">
        <f>'Student Basic Info'!F90</f>
        <v>Male</v>
      </c>
      <c r="G90" s="78">
        <v>1846572996</v>
      </c>
      <c r="H90" s="59" t="str">
        <f>IF(Bangla!B90="","",Bangla!B90)</f>
        <v/>
      </c>
      <c r="I90" s="59" t="str">
        <f>IF(Bangla!C90="","",Bangla!C90)</f>
        <v/>
      </c>
      <c r="J90" s="60" t="str">
        <f>IF(Bangla!D90="","",Bangla!D90)</f>
        <v/>
      </c>
      <c r="K90" s="61" t="str">
        <f>IF(English!C90="","",English!C90)</f>
        <v/>
      </c>
      <c r="L90" s="35" t="str">
        <f>IF(ICT!B90="","",ICT!B90)</f>
        <v/>
      </c>
      <c r="M90" s="35" t="str">
        <f>IF(ICT!C90="","",ICT!C90)</f>
        <v/>
      </c>
      <c r="N90" s="35" t="str">
        <f>IF(ICT!D90="","",ICT!D90)</f>
        <v/>
      </c>
      <c r="O90" s="42" t="str">
        <f>IF(ICT!E90="","",ICT!E90)</f>
        <v/>
      </c>
      <c r="P90" s="40" t="str">
        <f>IF(Accounting!B90="","",Accounting!B90)</f>
        <v/>
      </c>
      <c r="Q90" s="40" t="str">
        <f>IF(Accounting!C90="","",Accounting!C90)</f>
        <v/>
      </c>
      <c r="R90" s="44" t="str">
        <f>IF(Accounting!D90="","",Accounting!D90)</f>
        <v/>
      </c>
      <c r="S90" s="35" t="str">
        <f>IF('Business Organization'!B90="","",'Business Organization'!B90)</f>
        <v/>
      </c>
      <c r="T90" s="35" t="str">
        <f>IF('Business Organization'!C90="","",'Business Organization'!C90)</f>
        <v/>
      </c>
      <c r="U90" s="42" t="str">
        <f>IF('Business Organization'!D90="","",'Business Organization'!D90)</f>
        <v/>
      </c>
      <c r="V90" s="36" t="str">
        <f>IF(SubjectList!G90="Finance",IF(Finance!B90=0,"", Finance!B90),IF(SubjectList!G90="Production",IF(Production!B90=0,"", Production!B90),IF(SubjectList!G90="Economics",IF(Economics!B90=0,"", Economics!B90))))</f>
        <v/>
      </c>
      <c r="W90" s="36" t="str">
        <f>IF(SubjectList!G90="Finance",IF(Finance!C90=0,"", Finance!C90),IF(SubjectList!G90="Production",IF(Production!C90=0,"", Production!C90),IF(SubjectList!G90="Economics",IF(Economics!C90=0,"", Economics!C90))))</f>
        <v/>
      </c>
      <c r="X90" s="43" t="str">
        <f>IF(SubjectList!G90="Finance",IF(Finance!D90=0,"", Finance!D90),IF(SubjectList!G90="Production",IF(Production!D90=0,"", Production!D90),IF(SubjectList!G90="Economics",IF(Economics!D90=0,"", Economics!D90))))</f>
        <v/>
      </c>
      <c r="Y90" s="40" t="str">
        <f>IF(SubjectList!H90="Finance",IF(Finance!B90=0,"", Finance!B90),IF(SubjectList!H90="Production",IF(Production!B90=0,"", Production!B90),IF(SubjectList!H90="Economics",IF(Economics!B90=0,"", Economics!B90))))</f>
        <v/>
      </c>
      <c r="Z90" s="40" t="str">
        <f>IF(SubjectList!H90="Finance",IF(Finance!C90=0,"", Finance!C90),IF(SubjectList!H90="Production",IF(Production!C90=0,"", Production!C90),IF(SubjectList!H90="Economics",IF(Economics!C90=0,"", Economics!C90))))</f>
        <v/>
      </c>
      <c r="AA90" s="44" t="str">
        <f>IF(SubjectList!H90="Finance",IF(Finance!D90=0,"", Finance!D90),IF(SubjectList!H90="Production",IF(Production!D90=0,"", Production!D90),IF(SubjectList!H90="Economics",IF(Economics!D90=0,"", Economics!D90))))</f>
        <v/>
      </c>
      <c r="AB90" s="37" t="str">
        <f>IF(SubjectList!G90="Finance","Finance",IF(SubjectList!G90="Production","Production",IF(SubjectList!G90="Economics","Not Given")))</f>
        <v>Production</v>
      </c>
      <c r="AC90" s="37" t="str">
        <f>IF(SubjectList!H90="Finance","Finance",IF(SubjectList!H90="Production","Production",IF(SubjectList!H90="Economics","Economics","Not Given")))</f>
        <v>Finance</v>
      </c>
      <c r="AD90" s="38" t="str">
        <f>Bangla!F90</f>
        <v/>
      </c>
      <c r="AE90" s="38" t="str">
        <f>English!E90</f>
        <v/>
      </c>
      <c r="AF90" s="38" t="str">
        <f>ICT!G90</f>
        <v/>
      </c>
      <c r="AG90" s="38" t="str">
        <f>Accounting!F90</f>
        <v/>
      </c>
      <c r="AH90" s="38" t="str">
        <f>'Business Organization'!F90</f>
        <v/>
      </c>
      <c r="AI90" s="38" t="str">
        <f>Production!F90</f>
        <v/>
      </c>
      <c r="AJ90" s="38" t="str">
        <f>Finance!F90</f>
        <v/>
      </c>
      <c r="AK90" s="39" t="str">
        <f>Bangla!G90</f>
        <v/>
      </c>
      <c r="AL90" s="39" t="str">
        <f>English!F90</f>
        <v/>
      </c>
      <c r="AM90" s="39" t="str">
        <f>ICT!H90</f>
        <v/>
      </c>
      <c r="AN90" s="39" t="str">
        <f>Accounting!G90</f>
        <v/>
      </c>
      <c r="AO90" s="39" t="str">
        <f>'Business Organization'!G90</f>
        <v/>
      </c>
      <c r="AP90" s="39" t="str">
        <f>IF(SubjectList!G90="Finance",Finance!G90,IF(SubjectList!G90="Production",Production!G90,IF(SubjectList!G90="Economics",Economics!G90)))</f>
        <v/>
      </c>
      <c r="AQ90" s="39" t="str">
        <f>IF(Optional!H90="","", Optional!H90)</f>
        <v/>
      </c>
      <c r="AR90" s="39" t="str">
        <f>Optional!H90</f>
        <v/>
      </c>
      <c r="AS90" s="39" t="str">
        <f>Optional!I90</f>
        <v/>
      </c>
      <c r="AT90" s="39" t="str">
        <f t="shared" si="41"/>
        <v/>
      </c>
      <c r="AU90" s="39">
        <f t="shared" si="42"/>
        <v>0</v>
      </c>
      <c r="AV90" s="39" t="str">
        <f t="shared" si="43"/>
        <v/>
      </c>
      <c r="AW90" s="39" t="str">
        <f t="shared" si="44"/>
        <v/>
      </c>
      <c r="AX90" s="5">
        <f t="shared" si="35"/>
        <v>0</v>
      </c>
      <c r="AY90" s="41">
        <f t="shared" si="45"/>
        <v>0</v>
      </c>
      <c r="AZ90" s="41">
        <f t="shared" si="46"/>
        <v>0</v>
      </c>
      <c r="BA90" s="41">
        <f t="shared" si="47"/>
        <v>0</v>
      </c>
      <c r="BB90" s="41">
        <f t="shared" si="48"/>
        <v>0</v>
      </c>
      <c r="BC90" s="41">
        <f t="shared" si="49"/>
        <v>0</v>
      </c>
      <c r="BD90" s="41">
        <f t="shared" si="50"/>
        <v>0</v>
      </c>
      <c r="BE90" s="3">
        <f t="shared" si="51"/>
        <v>0</v>
      </c>
      <c r="BF90" s="3" t="str">
        <f t="shared" si="37"/>
        <v>Failed in 6 Subjects</v>
      </c>
      <c r="BG90" s="5" t="str">
        <f>IF(AW90="","",RANK(AW90,AW$2:AW145,0))</f>
        <v/>
      </c>
      <c r="BH90" s="3" t="str">
        <f t="shared" si="38"/>
        <v>খুবই দুর্বল</v>
      </c>
      <c r="BI90" t="str">
        <f t="shared" si="39"/>
        <v>Very Weak</v>
      </c>
      <c r="BJ90" s="104" t="str">
        <f t="shared" si="40"/>
        <v/>
      </c>
    </row>
    <row r="91" spans="1:62" ht="15" thickBot="1" x14ac:dyDescent="0.4">
      <c r="A91" s="3" t="str">
        <f>'Student Basic Info'!B91</f>
        <v>Business Studies</v>
      </c>
      <c r="B91" s="3">
        <f>'Student Basic Info'!A91</f>
        <v>590</v>
      </c>
      <c r="C91" s="3" t="str">
        <f>'Student Basic Info'!C91</f>
        <v>Rumpa Rani Debi</v>
      </c>
      <c r="D91" s="3" t="str">
        <f>'Student Basic Info'!D91</f>
        <v>Kantilal Debnath</v>
      </c>
      <c r="E91" s="3" t="str">
        <f>'Student Basic Info'!E91</f>
        <v>Shobita Rani Debi</v>
      </c>
      <c r="F91" s="3" t="str">
        <f>'Student Basic Info'!F91</f>
        <v>Female</v>
      </c>
      <c r="G91" s="79">
        <v>1837423814</v>
      </c>
      <c r="H91" s="59" t="str">
        <f>IF(Bangla!B91="","",Bangla!B91)</f>
        <v/>
      </c>
      <c r="I91" s="59" t="str">
        <f>IF(Bangla!C91="","",Bangla!C91)</f>
        <v/>
      </c>
      <c r="J91" s="60" t="str">
        <f>IF(Bangla!D91="","",Bangla!D91)</f>
        <v/>
      </c>
      <c r="K91" s="61" t="str">
        <f>IF(English!C91="","",English!C91)</f>
        <v/>
      </c>
      <c r="L91" s="35" t="str">
        <f>IF(ICT!B91="","",ICT!B91)</f>
        <v/>
      </c>
      <c r="M91" s="35" t="str">
        <f>IF(ICT!C91="","",ICT!C91)</f>
        <v/>
      </c>
      <c r="N91" s="35" t="str">
        <f>IF(ICT!D91="","",ICT!D91)</f>
        <v/>
      </c>
      <c r="O91" s="42" t="str">
        <f>IF(ICT!E91="","",ICT!E91)</f>
        <v/>
      </c>
      <c r="P91" s="40" t="str">
        <f>IF(Accounting!B91="","",Accounting!B91)</f>
        <v/>
      </c>
      <c r="Q91" s="40" t="str">
        <f>IF(Accounting!C91="","",Accounting!C91)</f>
        <v/>
      </c>
      <c r="R91" s="44" t="str">
        <f>IF(Accounting!D91="","",Accounting!D91)</f>
        <v/>
      </c>
      <c r="S91" s="35" t="str">
        <f>IF('Business Organization'!B91="","",'Business Organization'!B91)</f>
        <v/>
      </c>
      <c r="T91" s="35" t="str">
        <f>IF('Business Organization'!C91="","",'Business Organization'!C91)</f>
        <v/>
      </c>
      <c r="U91" s="42" t="str">
        <f>IF('Business Organization'!D91="","",'Business Organization'!D91)</f>
        <v/>
      </c>
      <c r="V91" s="36" t="str">
        <f>IF(SubjectList!G91="Finance",IF(Finance!B91=0,"", Finance!B91),IF(SubjectList!G91="Production",IF(Production!B91=0,"", Production!B91),IF(SubjectList!G91="Economics",IF(Economics!B91=0,"", Economics!B91))))</f>
        <v/>
      </c>
      <c r="W91" s="36" t="str">
        <f>IF(SubjectList!G91="Finance",IF(Finance!C91=0,"", Finance!C91),IF(SubjectList!G91="Production",IF(Production!C91=0,"", Production!C91),IF(SubjectList!G91="Economics",IF(Economics!C91=0,"", Economics!C91))))</f>
        <v/>
      </c>
      <c r="X91" s="43" t="str">
        <f>IF(SubjectList!G91="Finance",IF(Finance!D91=0,"", Finance!D91),IF(SubjectList!G91="Production",IF(Production!D91=0,"", Production!D91),IF(SubjectList!G91="Economics",IF(Economics!D91=0,"", Economics!D91))))</f>
        <v/>
      </c>
      <c r="Y91" s="40" t="str">
        <f>IF(SubjectList!H91="Finance",IF(Finance!B91=0,"", Finance!B91),IF(SubjectList!H91="Production",IF(Production!B91=0,"", Production!B91),IF(SubjectList!H91="Economics",IF(Economics!B91=0,"", Economics!B91))))</f>
        <v/>
      </c>
      <c r="Z91" s="40" t="str">
        <f>IF(SubjectList!H91="Finance",IF(Finance!C91=0,"", Finance!C91),IF(SubjectList!H91="Production",IF(Production!C91=0,"", Production!C91),IF(SubjectList!H91="Economics",IF(Economics!C91=0,"", Economics!C91))))</f>
        <v/>
      </c>
      <c r="AA91" s="44" t="str">
        <f>IF(SubjectList!H91="Finance",IF(Finance!D91=0,"", Finance!D91),IF(SubjectList!H91="Production",IF(Production!D91=0,"", Production!D91),IF(SubjectList!H91="Economics",IF(Economics!D91=0,"", Economics!D91))))</f>
        <v/>
      </c>
      <c r="AB91" s="37" t="str">
        <f>IF(SubjectList!G91="Finance","Finance",IF(SubjectList!G91="Production","Production",IF(SubjectList!G91="Economics","Not Given")))</f>
        <v>Production</v>
      </c>
      <c r="AC91" s="37" t="str">
        <f>IF(SubjectList!H91="Finance","Finance",IF(SubjectList!H91="Production","Production",IF(SubjectList!H91="Economics","Economics","Not Given")))</f>
        <v>Finance</v>
      </c>
      <c r="AD91" s="38" t="str">
        <f>Bangla!F91</f>
        <v/>
      </c>
      <c r="AE91" s="38" t="str">
        <f>English!E91</f>
        <v/>
      </c>
      <c r="AF91" s="38" t="str">
        <f>ICT!G91</f>
        <v/>
      </c>
      <c r="AG91" s="38" t="str">
        <f>Accounting!F91</f>
        <v/>
      </c>
      <c r="AH91" s="38" t="str">
        <f>'Business Organization'!F91</f>
        <v/>
      </c>
      <c r="AI91" s="38" t="str">
        <f>Production!F91</f>
        <v/>
      </c>
      <c r="AJ91" s="38" t="str">
        <f>Finance!F91</f>
        <v/>
      </c>
      <c r="AK91" s="39" t="str">
        <f>Bangla!G91</f>
        <v/>
      </c>
      <c r="AL91" s="39" t="str">
        <f>English!F91</f>
        <v/>
      </c>
      <c r="AM91" s="39" t="str">
        <f>ICT!H91</f>
        <v/>
      </c>
      <c r="AN91" s="39" t="str">
        <f>Accounting!G91</f>
        <v/>
      </c>
      <c r="AO91" s="39" t="str">
        <f>'Business Organization'!G91</f>
        <v/>
      </c>
      <c r="AP91" s="39" t="str">
        <f>IF(SubjectList!G91="Finance",Finance!G91,IF(SubjectList!G91="Production",Production!G91,IF(SubjectList!G91="Economics",Economics!G91)))</f>
        <v/>
      </c>
      <c r="AQ91" s="39" t="str">
        <f>IF(Optional!H91="","", Optional!H91)</f>
        <v/>
      </c>
      <c r="AR91" s="39" t="str">
        <f>Optional!H91</f>
        <v/>
      </c>
      <c r="AS91" s="39" t="str">
        <f>Optional!I91</f>
        <v/>
      </c>
      <c r="AT91" s="39" t="str">
        <f t="shared" si="41"/>
        <v/>
      </c>
      <c r="AU91" s="39">
        <f t="shared" si="42"/>
        <v>0</v>
      </c>
      <c r="AV91" s="39" t="str">
        <f t="shared" si="43"/>
        <v/>
      </c>
      <c r="AW91" s="39" t="str">
        <f t="shared" si="44"/>
        <v/>
      </c>
      <c r="AX91" s="5">
        <f t="shared" si="35"/>
        <v>0</v>
      </c>
      <c r="AY91" s="41">
        <f t="shared" si="45"/>
        <v>0</v>
      </c>
      <c r="AZ91" s="41">
        <f t="shared" si="46"/>
        <v>0</v>
      </c>
      <c r="BA91" s="41">
        <f t="shared" si="47"/>
        <v>0</v>
      </c>
      <c r="BB91" s="41">
        <f t="shared" si="48"/>
        <v>0</v>
      </c>
      <c r="BC91" s="41">
        <f t="shared" si="49"/>
        <v>0</v>
      </c>
      <c r="BD91" s="41">
        <f t="shared" si="50"/>
        <v>0</v>
      </c>
      <c r="BE91" s="3">
        <f t="shared" si="51"/>
        <v>0</v>
      </c>
      <c r="BF91" s="3" t="str">
        <f t="shared" si="37"/>
        <v>Failed in 6 Subjects</v>
      </c>
      <c r="BG91" s="5" t="str">
        <f>IF(AW91="","",RANK(AW91,AW$2:AW145,0))</f>
        <v/>
      </c>
      <c r="BH91" s="3" t="str">
        <f t="shared" si="38"/>
        <v>খুবই দুর্বল</v>
      </c>
      <c r="BI91" t="str">
        <f t="shared" si="39"/>
        <v>Very Weak</v>
      </c>
      <c r="BJ91" s="104" t="str">
        <f t="shared" si="40"/>
        <v/>
      </c>
    </row>
    <row r="92" spans="1:62" ht="15" thickBot="1" x14ac:dyDescent="0.4">
      <c r="A92" s="3" t="str">
        <f>'Student Basic Info'!B92</f>
        <v>Business Studies</v>
      </c>
      <c r="B92" s="3">
        <f>'Student Basic Info'!A92</f>
        <v>591</v>
      </c>
      <c r="C92" s="3" t="str">
        <f>'Student Basic Info'!C92</f>
        <v>Saiful Islam</v>
      </c>
      <c r="D92" s="3" t="str">
        <f>'Student Basic Info'!D92</f>
        <v>Nur Islam</v>
      </c>
      <c r="E92" s="3" t="str">
        <f>'Student Basic Info'!E92</f>
        <v>Khotiza Khatun</v>
      </c>
      <c r="F92" s="3" t="str">
        <f>'Student Basic Info'!F92</f>
        <v>Male</v>
      </c>
      <c r="G92" s="79">
        <v>1310019779</v>
      </c>
      <c r="H92" s="59" t="str">
        <f>IF(Bangla!B92="","",Bangla!B92)</f>
        <v/>
      </c>
      <c r="I92" s="59">
        <f>IF(Bangla!C92="","",Bangla!C92)</f>
        <v>46</v>
      </c>
      <c r="J92" s="60">
        <f>IF(Bangla!D92="","",Bangla!D92)</f>
        <v>46</v>
      </c>
      <c r="K92" s="61">
        <f>IF(English!C92="","",English!C92)</f>
        <v>33</v>
      </c>
      <c r="L92" s="35">
        <f>IF(ICT!B92="","",ICT!B92)</f>
        <v>10</v>
      </c>
      <c r="M92" s="35">
        <f>IF(ICT!C92="","",ICT!C92)</f>
        <v>19</v>
      </c>
      <c r="N92" s="35">
        <f>IF(ICT!D92="","",ICT!D92)</f>
        <v>24</v>
      </c>
      <c r="O92" s="42">
        <f>IF(ICT!E92="","",ICT!E92)</f>
        <v>53</v>
      </c>
      <c r="P92" s="40">
        <f>IF(Accounting!B92="","",Accounting!B92)</f>
        <v>11</v>
      </c>
      <c r="Q92" s="40">
        <f>IF(Accounting!C92="","",Accounting!C92)</f>
        <v>15</v>
      </c>
      <c r="R92" s="44">
        <f>IF(Accounting!D92="","",Accounting!D92)</f>
        <v>26</v>
      </c>
      <c r="S92" s="35">
        <f>IF('Business Organization'!B92="","",'Business Organization'!B92)</f>
        <v>12</v>
      </c>
      <c r="T92" s="35">
        <f>IF('Business Organization'!C92="","",'Business Organization'!C92)</f>
        <v>20</v>
      </c>
      <c r="U92" s="42">
        <f>IF('Business Organization'!D92="","",'Business Organization'!D92)</f>
        <v>32</v>
      </c>
      <c r="V92" s="36">
        <f>IF(SubjectList!G92="Finance",IF(Finance!B92=0,"", Finance!B92),IF(SubjectList!G92="Production",IF(Production!B92=0,"", Production!B92),IF(SubjectList!G92="Economics",IF(Economics!B92=0,"", Economics!B92))))</f>
        <v>11</v>
      </c>
      <c r="W92" s="36">
        <f>IF(SubjectList!G92="Finance",IF(Finance!C92=0,"", Finance!C92),IF(SubjectList!G92="Production",IF(Production!C92=0,"", Production!C92),IF(SubjectList!G92="Economics",IF(Economics!C92=0,"", Economics!C92))))</f>
        <v>18</v>
      </c>
      <c r="X92" s="43">
        <f>IF(SubjectList!G92="Finance",IF(Finance!D92=0,"", Finance!D92),IF(SubjectList!G92="Production",IF(Production!D92=0,"", Production!D92),IF(SubjectList!G92="Economics",IF(Economics!D92=0,"", Economics!D92))))</f>
        <v>29</v>
      </c>
      <c r="Y92" s="40">
        <f>IF(SubjectList!H92="Finance",IF(Finance!B92=0,"", Finance!B92),IF(SubjectList!H92="Production",IF(Production!B92=0,"", Production!B92),IF(SubjectList!H92="Economics",IF(Economics!B92=0,"", Economics!B92))))</f>
        <v>7</v>
      </c>
      <c r="Z92" s="40">
        <f>IF(SubjectList!H92="Finance",IF(Finance!C92=0,"", Finance!C92),IF(SubjectList!H92="Production",IF(Production!C92=0,"", Production!C92),IF(SubjectList!H92="Economics",IF(Economics!C92=0,"", Economics!C92))))</f>
        <v>5</v>
      </c>
      <c r="AA92" s="44">
        <f>IF(SubjectList!H92="Finance",IF(Finance!D92=0,"", Finance!D92),IF(SubjectList!H92="Production",IF(Production!D92=0,"", Production!D92),IF(SubjectList!H92="Economics",IF(Economics!D92=0,"", Economics!D92))))</f>
        <v>12</v>
      </c>
      <c r="AB92" s="37" t="str">
        <f>IF(SubjectList!G92="Finance","Finance",IF(SubjectList!G92="Production","Production",IF(SubjectList!G92="Economics","Not Given")))</f>
        <v>Production</v>
      </c>
      <c r="AC92" s="37" t="str">
        <f>IF(SubjectList!H92="Finance","Finance",IF(SubjectList!H92="Production","Production",IF(SubjectList!H92="Economics","Economics","Not Given")))</f>
        <v>Finance</v>
      </c>
      <c r="AD92" s="38" t="str">
        <f>Bangla!F92</f>
        <v>C</v>
      </c>
      <c r="AE92" s="38" t="str">
        <f>English!E92</f>
        <v>D</v>
      </c>
      <c r="AF92" s="38" t="str">
        <f>ICT!G92</f>
        <v>B</v>
      </c>
      <c r="AG92" s="38" t="str">
        <f>Accounting!F92</f>
        <v>F</v>
      </c>
      <c r="AH92" s="38" t="str">
        <f>'Business Organization'!F92</f>
        <v>F</v>
      </c>
      <c r="AI92" s="38" t="str">
        <f>Production!F92</f>
        <v>F</v>
      </c>
      <c r="AJ92" s="38" t="str">
        <f>Finance!F92</f>
        <v>F</v>
      </c>
      <c r="AK92" s="39">
        <f>Bangla!G92</f>
        <v>2</v>
      </c>
      <c r="AL92" s="39">
        <f>English!F92</f>
        <v>1</v>
      </c>
      <c r="AM92" s="39">
        <f>ICT!H92</f>
        <v>3</v>
      </c>
      <c r="AN92" s="39">
        <f>Accounting!G92</f>
        <v>0</v>
      </c>
      <c r="AO92" s="39">
        <f>'Business Organization'!G92</f>
        <v>0</v>
      </c>
      <c r="AP92" s="39">
        <f>IF(SubjectList!G92="Finance",Finance!G92,IF(SubjectList!G92="Production",Production!G92,IF(SubjectList!G92="Economics",Economics!G92)))</f>
        <v>0</v>
      </c>
      <c r="AQ92" s="39">
        <f>IF(Optional!H92="","", Optional!H92)</f>
        <v>0</v>
      </c>
      <c r="AR92" s="39">
        <f>Optional!H92</f>
        <v>0</v>
      </c>
      <c r="AS92" s="39">
        <f>Optional!I92</f>
        <v>0</v>
      </c>
      <c r="AT92" s="39">
        <f t="shared" si="41"/>
        <v>6</v>
      </c>
      <c r="AU92" s="39">
        <f t="shared" si="42"/>
        <v>6</v>
      </c>
      <c r="AV92" s="39" t="str">
        <f t="shared" si="43"/>
        <v/>
      </c>
      <c r="AW92" s="39" t="str">
        <f t="shared" si="44"/>
        <v/>
      </c>
      <c r="AX92" s="5">
        <f t="shared" si="35"/>
        <v>231</v>
      </c>
      <c r="AY92" s="41">
        <f t="shared" si="45"/>
        <v>1</v>
      </c>
      <c r="AZ92" s="41">
        <f t="shared" si="46"/>
        <v>1</v>
      </c>
      <c r="BA92" s="41">
        <f t="shared" si="47"/>
        <v>1</v>
      </c>
      <c r="BB92" s="41">
        <f t="shared" si="48"/>
        <v>0</v>
      </c>
      <c r="BC92" s="41">
        <f t="shared" si="49"/>
        <v>0</v>
      </c>
      <c r="BD92" s="41">
        <f t="shared" si="50"/>
        <v>0</v>
      </c>
      <c r="BE92" s="3">
        <f t="shared" si="51"/>
        <v>3</v>
      </c>
      <c r="BF92" s="3" t="str">
        <f t="shared" si="37"/>
        <v>Failed in 3 Subjects</v>
      </c>
      <c r="BG92" s="5" t="str">
        <f>IF(AW92="","",RANK(AW92,AW$2:AW145,0))</f>
        <v/>
      </c>
      <c r="BH92" s="3" t="str">
        <f t="shared" si="38"/>
        <v>খুবই দুর্বল</v>
      </c>
      <c r="BI92" t="str">
        <f t="shared" si="39"/>
        <v>Very Weak</v>
      </c>
      <c r="BJ92" s="104" t="str">
        <f t="shared" si="40"/>
        <v/>
      </c>
    </row>
    <row r="93" spans="1:62" ht="15" thickBot="1" x14ac:dyDescent="0.4">
      <c r="A93" s="3" t="str">
        <f>'Student Basic Info'!B93</f>
        <v>Business Studies</v>
      </c>
      <c r="B93" s="3">
        <f>'Student Basic Info'!A93</f>
        <v>592</v>
      </c>
      <c r="C93" s="3" t="str">
        <f>'Student Basic Info'!C93</f>
        <v>Zohirul Islam</v>
      </c>
      <c r="D93" s="3" t="str">
        <f>'Student Basic Info'!D93</f>
        <v>Md. Nur Nobi</v>
      </c>
      <c r="E93" s="3" t="str">
        <f>'Student Basic Info'!E93</f>
        <v>Nur Zahan Begum</v>
      </c>
      <c r="F93" s="3" t="str">
        <f>'Student Basic Info'!F93</f>
        <v>Male</v>
      </c>
      <c r="G93" s="79">
        <v>1868924082</v>
      </c>
      <c r="H93" s="59" t="str">
        <f>IF(Bangla!B93="","",Bangla!B93)</f>
        <v/>
      </c>
      <c r="I93" s="59">
        <f>IF(Bangla!C93="","",Bangla!C93)</f>
        <v>23</v>
      </c>
      <c r="J93" s="60">
        <f>IF(Bangla!D93="","",Bangla!D93)</f>
        <v>23</v>
      </c>
      <c r="K93" s="61">
        <f>IF(English!C93="","",English!C93)</f>
        <v>10</v>
      </c>
      <c r="L93" s="35">
        <f>IF(ICT!B93="","",ICT!B93)</f>
        <v>8</v>
      </c>
      <c r="M93" s="35">
        <f>IF(ICT!C93="","",ICT!C93)</f>
        <v>7</v>
      </c>
      <c r="N93" s="35">
        <f>IF(ICT!D93="","",ICT!D93)</f>
        <v>20</v>
      </c>
      <c r="O93" s="42">
        <f>IF(ICT!E93="","",ICT!E93)</f>
        <v>35</v>
      </c>
      <c r="P93" s="40">
        <f>IF(Accounting!B93="","",Accounting!B93)</f>
        <v>7</v>
      </c>
      <c r="Q93" s="40">
        <f>IF(Accounting!C93="","",Accounting!C93)</f>
        <v>5</v>
      </c>
      <c r="R93" s="44">
        <f>IF(Accounting!D93="","",Accounting!D93)</f>
        <v>12</v>
      </c>
      <c r="S93" s="35">
        <f>IF('Business Organization'!B93="","",'Business Organization'!B93)</f>
        <v>11</v>
      </c>
      <c r="T93" s="35">
        <f>IF('Business Organization'!C93="","",'Business Organization'!C93)</f>
        <v>6</v>
      </c>
      <c r="U93" s="42">
        <f>IF('Business Organization'!D93="","",'Business Organization'!D93)</f>
        <v>17</v>
      </c>
      <c r="V93" s="36">
        <f>IF(SubjectList!G93="Finance",IF(Finance!B93=0,"", Finance!B93),IF(SubjectList!G93="Production",IF(Production!B93=0,"", Production!B93),IF(SubjectList!G93="Economics",IF(Economics!B93=0,"", Economics!B93))))</f>
        <v>7</v>
      </c>
      <c r="W93" s="36">
        <f>IF(SubjectList!G93="Finance",IF(Finance!C93=0,"", Finance!C93),IF(SubjectList!G93="Production",IF(Production!C93=0,"", Production!C93),IF(SubjectList!G93="Economics",IF(Economics!C93=0,"", Economics!C93))))</f>
        <v>10</v>
      </c>
      <c r="X93" s="43">
        <f>IF(SubjectList!G93="Finance",IF(Finance!D93=0,"", Finance!D93),IF(SubjectList!G93="Production",IF(Production!D93=0,"", Production!D93),IF(SubjectList!G93="Economics",IF(Economics!D93=0,"", Economics!D93))))</f>
        <v>17</v>
      </c>
      <c r="Y93" s="40">
        <f>IF(SubjectList!H93="Finance",IF(Finance!B93=0,"", Finance!B93),IF(SubjectList!H93="Production",IF(Production!B93=0,"", Production!B93),IF(SubjectList!H93="Economics",IF(Economics!B93=0,"", Economics!B93))))</f>
        <v>7</v>
      </c>
      <c r="Z93" s="40">
        <f>IF(SubjectList!H93="Finance",IF(Finance!C93=0,"", Finance!C93),IF(SubjectList!H93="Production",IF(Production!C93=0,"", Production!C93),IF(SubjectList!H93="Economics",IF(Economics!C93=0,"", Economics!C93))))</f>
        <v>16</v>
      </c>
      <c r="AA93" s="44">
        <f>IF(SubjectList!H93="Finance",IF(Finance!D93=0,"", Finance!D93),IF(SubjectList!H93="Production",IF(Production!D93=0,"", Production!D93),IF(SubjectList!H93="Economics",IF(Economics!D93=0,"", Economics!D93))))</f>
        <v>23</v>
      </c>
      <c r="AB93" s="37" t="str">
        <f>IF(SubjectList!G93="Finance","Finance",IF(SubjectList!G93="Production","Production",IF(SubjectList!G93="Economics","Not Given")))</f>
        <v>Finance</v>
      </c>
      <c r="AC93" s="37" t="str">
        <f>IF(SubjectList!H93="Finance","Finance",IF(SubjectList!H93="Production","Production",IF(SubjectList!H93="Economics","Economics","Not Given")))</f>
        <v>Production</v>
      </c>
      <c r="AD93" s="38" t="str">
        <f>Bangla!F93</f>
        <v>F</v>
      </c>
      <c r="AE93" s="38" t="str">
        <f>English!E93</f>
        <v>F</v>
      </c>
      <c r="AF93" s="38" t="str">
        <f>ICT!G93</f>
        <v>F</v>
      </c>
      <c r="AG93" s="38" t="str">
        <f>Accounting!F93</f>
        <v>F</v>
      </c>
      <c r="AH93" s="38" t="str">
        <f>'Business Organization'!F93</f>
        <v>F</v>
      </c>
      <c r="AI93" s="38" t="str">
        <f>Production!F93</f>
        <v>F</v>
      </c>
      <c r="AJ93" s="38" t="str">
        <f>Finance!F93</f>
        <v>F</v>
      </c>
      <c r="AK93" s="39">
        <f>Bangla!G93</f>
        <v>0</v>
      </c>
      <c r="AL93" s="39">
        <f>English!F93</f>
        <v>0</v>
      </c>
      <c r="AM93" s="39">
        <f>ICT!H93</f>
        <v>0</v>
      </c>
      <c r="AN93" s="39">
        <f>Accounting!G93</f>
        <v>0</v>
      </c>
      <c r="AO93" s="39">
        <f>'Business Organization'!G93</f>
        <v>0</v>
      </c>
      <c r="AP93" s="39">
        <f>IF(SubjectList!G93="Finance",Finance!G93,IF(SubjectList!G93="Production",Production!G93,IF(SubjectList!G93="Economics",Economics!G93)))</f>
        <v>0</v>
      </c>
      <c r="AQ93" s="39">
        <f>IF(Optional!H93="","", Optional!H93)</f>
        <v>0</v>
      </c>
      <c r="AR93" s="39">
        <f>Optional!H93</f>
        <v>0</v>
      </c>
      <c r="AS93" s="39">
        <f>Optional!I93</f>
        <v>0</v>
      </c>
      <c r="AT93" s="39" t="str">
        <f t="shared" si="41"/>
        <v/>
      </c>
      <c r="AU93" s="39">
        <f t="shared" si="42"/>
        <v>0</v>
      </c>
      <c r="AV93" s="39" t="str">
        <f t="shared" si="43"/>
        <v/>
      </c>
      <c r="AW93" s="39" t="str">
        <f t="shared" si="44"/>
        <v/>
      </c>
      <c r="AX93" s="5">
        <f t="shared" si="35"/>
        <v>137</v>
      </c>
      <c r="AY93" s="41">
        <f t="shared" si="45"/>
        <v>0</v>
      </c>
      <c r="AZ93" s="41">
        <f t="shared" si="46"/>
        <v>0</v>
      </c>
      <c r="BA93" s="41">
        <f t="shared" si="47"/>
        <v>0</v>
      </c>
      <c r="BB93" s="41">
        <f t="shared" si="48"/>
        <v>0</v>
      </c>
      <c r="BC93" s="41">
        <f t="shared" si="49"/>
        <v>0</v>
      </c>
      <c r="BD93" s="41">
        <f t="shared" si="50"/>
        <v>0</v>
      </c>
      <c r="BE93" s="3">
        <f t="shared" si="51"/>
        <v>0</v>
      </c>
      <c r="BF93" s="3" t="str">
        <f t="shared" si="37"/>
        <v>Failed in 6 Subjects</v>
      </c>
      <c r="BG93" s="5" t="str">
        <f>IF(AW93="","",RANK(AW93,AW$2:AW145,0))</f>
        <v/>
      </c>
      <c r="BH93" s="3" t="str">
        <f t="shared" si="38"/>
        <v>খুবই দুর্বল</v>
      </c>
      <c r="BI93" t="str">
        <f t="shared" si="39"/>
        <v>Very Weak</v>
      </c>
      <c r="BJ93" s="104" t="str">
        <f t="shared" si="40"/>
        <v/>
      </c>
    </row>
    <row r="94" spans="1:62" ht="15" thickBot="1" x14ac:dyDescent="0.4">
      <c r="A94" s="3" t="str">
        <f>'Student Basic Info'!B94</f>
        <v>Business Studies</v>
      </c>
      <c r="B94" s="3">
        <f>'Student Basic Info'!A94</f>
        <v>593</v>
      </c>
      <c r="C94" s="3" t="str">
        <f>'Student Basic Info'!C94</f>
        <v>Jahedul Islam</v>
      </c>
      <c r="D94" s="3" t="str">
        <f>'Student Basic Info'!D94</f>
        <v>Shahid Uddal</v>
      </c>
      <c r="E94" s="3" t="str">
        <f>'Student Basic Info'!E94</f>
        <v>Rupali</v>
      </c>
      <c r="F94" s="3" t="str">
        <f>'Student Basic Info'!F94</f>
        <v>Male</v>
      </c>
      <c r="G94" s="79">
        <v>1824306700</v>
      </c>
      <c r="H94" s="59" t="str">
        <f>IF(Bangla!B94="","",Bangla!B94)</f>
        <v/>
      </c>
      <c r="I94" s="59">
        <f>IF(Bangla!C94="","",Bangla!C94)</f>
        <v>45</v>
      </c>
      <c r="J94" s="60">
        <f>IF(Bangla!D94="","",Bangla!D94)</f>
        <v>45</v>
      </c>
      <c r="K94" s="61">
        <f>IF(English!C94="","",English!C94)</f>
        <v>40</v>
      </c>
      <c r="L94" s="35">
        <f>IF(ICT!B94="","",ICT!B94)</f>
        <v>10</v>
      </c>
      <c r="M94" s="35">
        <f>IF(ICT!C94="","",ICT!C94)</f>
        <v>5</v>
      </c>
      <c r="N94" s="35">
        <f>IF(ICT!D94="","",ICT!D94)</f>
        <v>20</v>
      </c>
      <c r="O94" s="42">
        <f>IF(ICT!E94="","",ICT!E94)</f>
        <v>35</v>
      </c>
      <c r="P94" s="40">
        <f>IF(Accounting!B94="","",Accounting!B94)</f>
        <v>5</v>
      </c>
      <c r="Q94" s="40">
        <f>IF(Accounting!C94="","",Accounting!C94)</f>
        <v>11</v>
      </c>
      <c r="R94" s="44">
        <f>IF(Accounting!D94="","",Accounting!D94)</f>
        <v>16</v>
      </c>
      <c r="S94" s="35">
        <f>IF('Business Organization'!B94="","",'Business Organization'!B94)</f>
        <v>14</v>
      </c>
      <c r="T94" s="35">
        <f>IF('Business Organization'!C94="","",'Business Organization'!C94)</f>
        <v>13</v>
      </c>
      <c r="U94" s="42">
        <f>IF('Business Organization'!D94="","",'Business Organization'!D94)</f>
        <v>27</v>
      </c>
      <c r="V94" s="36">
        <f>IF(SubjectList!G94="Finance",IF(Finance!B94=0,"", Finance!B94),IF(SubjectList!G94="Production",IF(Production!B94=0,"", Production!B94),IF(SubjectList!G94="Economics",IF(Economics!B94=0,"", Economics!B94))))</f>
        <v>10</v>
      </c>
      <c r="W94" s="36">
        <f>IF(SubjectList!G94="Finance",IF(Finance!C94=0,"", Finance!C94),IF(SubjectList!G94="Production",IF(Production!C94=0,"", Production!C94),IF(SubjectList!G94="Economics",IF(Economics!C94=0,"", Economics!C94))))</f>
        <v>18</v>
      </c>
      <c r="X94" s="43">
        <f>IF(SubjectList!G94="Finance",IF(Finance!D94=0,"", Finance!D94),IF(SubjectList!G94="Production",IF(Production!D94=0,"", Production!D94),IF(SubjectList!G94="Economics",IF(Economics!D94=0,"", Economics!D94))))</f>
        <v>28</v>
      </c>
      <c r="Y94" s="40">
        <f>IF(SubjectList!H94="Finance",IF(Finance!B94=0,"", Finance!B94),IF(SubjectList!H94="Production",IF(Production!B94=0,"", Production!B94),IF(SubjectList!H94="Economics",IF(Economics!B94=0,"", Economics!B94))))</f>
        <v>8</v>
      </c>
      <c r="Z94" s="40">
        <f>IF(SubjectList!H94="Finance",IF(Finance!C94=0,"", Finance!C94),IF(SubjectList!H94="Production",IF(Production!C94=0,"", Production!C94),IF(SubjectList!H94="Economics",IF(Economics!C94=0,"", Economics!C94))))</f>
        <v>2</v>
      </c>
      <c r="AA94" s="44">
        <f>IF(SubjectList!H94="Finance",IF(Finance!D94=0,"", Finance!D94),IF(SubjectList!H94="Production",IF(Production!D94=0,"", Production!D94),IF(SubjectList!H94="Economics",IF(Economics!D94=0,"", Economics!D94))))</f>
        <v>10</v>
      </c>
      <c r="AB94" s="37" t="str">
        <f>IF(SubjectList!G94="Finance","Finance",IF(SubjectList!G94="Production","Production",IF(SubjectList!G94="Economics","Not Given")))</f>
        <v>Production</v>
      </c>
      <c r="AC94" s="37" t="str">
        <f>IF(SubjectList!H94="Finance","Finance",IF(SubjectList!H94="Production","Production",IF(SubjectList!H94="Economics","Economics","Not Given")))</f>
        <v>Finance</v>
      </c>
      <c r="AD94" s="38" t="str">
        <f>Bangla!F94</f>
        <v>C</v>
      </c>
      <c r="AE94" s="38" t="str">
        <f>English!E94</f>
        <v>C</v>
      </c>
      <c r="AF94" s="38" t="str">
        <f>ICT!G94</f>
        <v>F</v>
      </c>
      <c r="AG94" s="38" t="str">
        <f>Accounting!F94</f>
        <v>F</v>
      </c>
      <c r="AH94" s="38" t="str">
        <f>'Business Organization'!F94</f>
        <v>F</v>
      </c>
      <c r="AI94" s="38" t="str">
        <f>Production!F94</f>
        <v>F</v>
      </c>
      <c r="AJ94" s="38" t="str">
        <f>Finance!F94</f>
        <v>F</v>
      </c>
      <c r="AK94" s="39">
        <f>Bangla!G94</f>
        <v>2</v>
      </c>
      <c r="AL94" s="39">
        <f>English!F94</f>
        <v>2</v>
      </c>
      <c r="AM94" s="39">
        <f>ICT!H94</f>
        <v>0</v>
      </c>
      <c r="AN94" s="39">
        <f>Accounting!G94</f>
        <v>0</v>
      </c>
      <c r="AO94" s="39">
        <f>'Business Organization'!G94</f>
        <v>0</v>
      </c>
      <c r="AP94" s="39">
        <f>IF(SubjectList!G94="Finance",Finance!G94,IF(SubjectList!G94="Production",Production!G94,IF(SubjectList!G94="Economics",Economics!G94)))</f>
        <v>0</v>
      </c>
      <c r="AQ94" s="39">
        <f>IF(Optional!H94="","", Optional!H94)</f>
        <v>0</v>
      </c>
      <c r="AR94" s="39">
        <f>Optional!H94</f>
        <v>0</v>
      </c>
      <c r="AS94" s="39">
        <f>Optional!I94</f>
        <v>0</v>
      </c>
      <c r="AT94" s="39">
        <f t="shared" si="41"/>
        <v>4</v>
      </c>
      <c r="AU94" s="39">
        <f t="shared" si="42"/>
        <v>4</v>
      </c>
      <c r="AV94" s="39" t="str">
        <f t="shared" si="43"/>
        <v/>
      </c>
      <c r="AW94" s="39" t="str">
        <f t="shared" si="44"/>
        <v/>
      </c>
      <c r="AX94" s="5">
        <f t="shared" si="35"/>
        <v>201</v>
      </c>
      <c r="AY94" s="41">
        <f t="shared" si="45"/>
        <v>1</v>
      </c>
      <c r="AZ94" s="41">
        <f t="shared" si="46"/>
        <v>1</v>
      </c>
      <c r="BA94" s="41">
        <f t="shared" si="47"/>
        <v>0</v>
      </c>
      <c r="BB94" s="41">
        <f t="shared" si="48"/>
        <v>0</v>
      </c>
      <c r="BC94" s="41">
        <f t="shared" si="49"/>
        <v>0</v>
      </c>
      <c r="BD94" s="41">
        <f t="shared" si="50"/>
        <v>0</v>
      </c>
      <c r="BE94" s="3">
        <f t="shared" si="51"/>
        <v>2</v>
      </c>
      <c r="BF94" s="3" t="str">
        <f t="shared" si="37"/>
        <v>Failed in 4 Subjects</v>
      </c>
      <c r="BG94" s="5" t="str">
        <f>IF(AW94="","",RANK(AW94,AW$2:AW145,0))</f>
        <v/>
      </c>
      <c r="BH94" s="3" t="str">
        <f t="shared" si="38"/>
        <v>খুবই দুর্বল</v>
      </c>
      <c r="BI94" t="str">
        <f t="shared" si="39"/>
        <v>Very Weak</v>
      </c>
      <c r="BJ94" s="104" t="str">
        <f t="shared" si="40"/>
        <v/>
      </c>
    </row>
    <row r="95" spans="1:62" ht="15" thickBot="1" x14ac:dyDescent="0.4">
      <c r="A95" s="3" t="str">
        <f>'Student Basic Info'!B95</f>
        <v>Business Studies</v>
      </c>
      <c r="B95" s="3">
        <f>'Student Basic Info'!A95</f>
        <v>594</v>
      </c>
      <c r="C95" s="3" t="str">
        <f>'Student Basic Info'!C95</f>
        <v>Ali Hosain</v>
      </c>
      <c r="D95" s="3" t="str">
        <f>'Student Basic Info'!D95</f>
        <v>Alauddin</v>
      </c>
      <c r="E95" s="3" t="str">
        <f>'Student Basic Info'!E95</f>
        <v>Lakima Begum</v>
      </c>
      <c r="F95" s="3" t="str">
        <f>'Student Basic Info'!F95</f>
        <v>Male</v>
      </c>
      <c r="G95" s="79">
        <v>1306862667</v>
      </c>
      <c r="H95" s="59" t="str">
        <f>IF(Bangla!B95="","",Bangla!B95)</f>
        <v/>
      </c>
      <c r="I95" s="59" t="str">
        <f>IF(Bangla!C95="","",Bangla!C95)</f>
        <v/>
      </c>
      <c r="J95" s="60" t="str">
        <f>IF(Bangla!D95="","",Bangla!D95)</f>
        <v/>
      </c>
      <c r="K95" s="61" t="str">
        <f>IF(English!C95="","",English!C95)</f>
        <v/>
      </c>
      <c r="L95" s="35" t="str">
        <f>IF(ICT!B95="","",ICT!B95)</f>
        <v/>
      </c>
      <c r="M95" s="35" t="str">
        <f>IF(ICT!C95="","",ICT!C95)</f>
        <v/>
      </c>
      <c r="N95" s="35" t="str">
        <f>IF(ICT!D95="","",ICT!D95)</f>
        <v/>
      </c>
      <c r="O95" s="42" t="str">
        <f>IF(ICT!E95="","",ICT!E95)</f>
        <v/>
      </c>
      <c r="P95" s="40" t="str">
        <f>IF(Accounting!B95="","",Accounting!B95)</f>
        <v/>
      </c>
      <c r="Q95" s="40" t="str">
        <f>IF(Accounting!C95="","",Accounting!C95)</f>
        <v/>
      </c>
      <c r="R95" s="44" t="str">
        <f>IF(Accounting!D95="","",Accounting!D95)</f>
        <v/>
      </c>
      <c r="S95" s="35" t="str">
        <f>IF('Business Organization'!B95="","",'Business Organization'!B95)</f>
        <v/>
      </c>
      <c r="T95" s="35" t="str">
        <f>IF('Business Organization'!C95="","",'Business Organization'!C95)</f>
        <v/>
      </c>
      <c r="U95" s="42" t="str">
        <f>IF('Business Organization'!D95="","",'Business Organization'!D95)</f>
        <v/>
      </c>
      <c r="V95" s="36" t="str">
        <f>IF(SubjectList!G95="Finance",IF(Finance!B95=0,"", Finance!B95),IF(SubjectList!G95="Production",IF(Production!B95=0,"", Production!B95),IF(SubjectList!G95="Economics",IF(Economics!B95=0,"", Economics!B95))))</f>
        <v/>
      </c>
      <c r="W95" s="36" t="str">
        <f>IF(SubjectList!G95="Finance",IF(Finance!C95=0,"", Finance!C95),IF(SubjectList!G95="Production",IF(Production!C95=0,"", Production!C95),IF(SubjectList!G95="Economics",IF(Economics!C95=0,"", Economics!C95))))</f>
        <v/>
      </c>
      <c r="X95" s="43" t="str">
        <f>IF(SubjectList!G95="Finance",IF(Finance!D95=0,"", Finance!D95),IF(SubjectList!G95="Production",IF(Production!D95=0,"", Production!D95),IF(SubjectList!G95="Economics",IF(Economics!D95=0,"", Economics!D95))))</f>
        <v/>
      </c>
      <c r="Y95" s="40" t="str">
        <f>IF(SubjectList!H95="Finance",IF(Finance!B95=0,"", Finance!B95),IF(SubjectList!H95="Production",IF(Production!B95=0,"", Production!B95),IF(SubjectList!H95="Economics",IF(Economics!B95=0,"", Economics!B95))))</f>
        <v/>
      </c>
      <c r="Z95" s="40" t="str">
        <f>IF(SubjectList!H95="Finance",IF(Finance!C95=0,"", Finance!C95),IF(SubjectList!H95="Production",IF(Production!C95=0,"", Production!C95),IF(SubjectList!H95="Economics",IF(Economics!C95=0,"", Economics!C95))))</f>
        <v/>
      </c>
      <c r="AA95" s="44" t="str">
        <f>IF(SubjectList!H95="Finance",IF(Finance!D95=0,"", Finance!D95),IF(SubjectList!H95="Production",IF(Production!D95=0,"", Production!D95),IF(SubjectList!H95="Economics",IF(Economics!D95=0,"", Economics!D95))))</f>
        <v/>
      </c>
      <c r="AB95" s="37" t="str">
        <f>IF(SubjectList!G95="Finance","Finance",IF(SubjectList!G95="Production","Production",IF(SubjectList!G95="Economics","Not Given")))</f>
        <v>Finance</v>
      </c>
      <c r="AC95" s="37" t="str">
        <f>IF(SubjectList!H95="Finance","Finance",IF(SubjectList!H95="Production","Production",IF(SubjectList!H95="Economics","Economics","Not Given")))</f>
        <v>Production</v>
      </c>
      <c r="AD95" s="38" t="str">
        <f>Bangla!F95</f>
        <v/>
      </c>
      <c r="AE95" s="38" t="str">
        <f>English!E95</f>
        <v/>
      </c>
      <c r="AF95" s="38" t="str">
        <f>ICT!G95</f>
        <v/>
      </c>
      <c r="AG95" s="38" t="str">
        <f>Accounting!F95</f>
        <v/>
      </c>
      <c r="AH95" s="38" t="str">
        <f>'Business Organization'!F95</f>
        <v/>
      </c>
      <c r="AI95" s="38" t="str">
        <f>Production!F95</f>
        <v/>
      </c>
      <c r="AJ95" s="38" t="str">
        <f>Finance!F95</f>
        <v/>
      </c>
      <c r="AK95" s="39" t="str">
        <f>Bangla!G95</f>
        <v/>
      </c>
      <c r="AL95" s="39" t="str">
        <f>English!F95</f>
        <v/>
      </c>
      <c r="AM95" s="39" t="str">
        <f>ICT!H95</f>
        <v/>
      </c>
      <c r="AN95" s="39" t="str">
        <f>Accounting!G95</f>
        <v/>
      </c>
      <c r="AO95" s="39" t="str">
        <f>'Business Organization'!G95</f>
        <v/>
      </c>
      <c r="AP95" s="39" t="str">
        <f>IF(SubjectList!G95="Finance",Finance!G95,IF(SubjectList!G95="Production",Production!G95,IF(SubjectList!G95="Economics",Economics!G95)))</f>
        <v/>
      </c>
      <c r="AQ95" s="39" t="str">
        <f>IF(Optional!H95="","", Optional!H95)</f>
        <v/>
      </c>
      <c r="AR95" s="39" t="str">
        <f>Optional!H95</f>
        <v/>
      </c>
      <c r="AS95" s="39" t="str">
        <f>Optional!I95</f>
        <v/>
      </c>
      <c r="AT95" s="39" t="str">
        <f t="shared" si="41"/>
        <v/>
      </c>
      <c r="AU95" s="39">
        <f t="shared" si="42"/>
        <v>0</v>
      </c>
      <c r="AV95" s="39" t="str">
        <f t="shared" si="43"/>
        <v/>
      </c>
      <c r="AW95" s="39" t="str">
        <f t="shared" si="44"/>
        <v/>
      </c>
      <c r="AX95" s="5">
        <f t="shared" si="35"/>
        <v>0</v>
      </c>
      <c r="AY95" s="41">
        <f t="shared" si="45"/>
        <v>0</v>
      </c>
      <c r="AZ95" s="41">
        <f t="shared" si="46"/>
        <v>0</v>
      </c>
      <c r="BA95" s="41">
        <f t="shared" si="47"/>
        <v>0</v>
      </c>
      <c r="BB95" s="41">
        <f t="shared" si="48"/>
        <v>0</v>
      </c>
      <c r="BC95" s="41">
        <f t="shared" si="49"/>
        <v>0</v>
      </c>
      <c r="BD95" s="41">
        <f t="shared" si="50"/>
        <v>0</v>
      </c>
      <c r="BE95" s="3">
        <f t="shared" si="51"/>
        <v>0</v>
      </c>
      <c r="BF95" s="3" t="str">
        <f t="shared" si="37"/>
        <v>Failed in 6 Subjects</v>
      </c>
      <c r="BG95" s="5" t="str">
        <f>IF(AW95="","",RANK(AW95,AW$2:AW145,0))</f>
        <v/>
      </c>
      <c r="BH95" s="3" t="str">
        <f t="shared" si="38"/>
        <v>খুবই দুর্বল</v>
      </c>
      <c r="BI95" t="str">
        <f t="shared" si="39"/>
        <v>Very Weak</v>
      </c>
      <c r="BJ95" s="104" t="str">
        <f t="shared" si="40"/>
        <v/>
      </c>
    </row>
    <row r="96" spans="1:62" ht="15" thickBot="1" x14ac:dyDescent="0.4">
      <c r="A96" s="3" t="str">
        <f>'Student Basic Info'!B96</f>
        <v>Business Studies</v>
      </c>
      <c r="B96" s="3">
        <f>'Student Basic Info'!A96</f>
        <v>595</v>
      </c>
      <c r="C96" s="3" t="str">
        <f>'Student Basic Info'!C96</f>
        <v>Md. Saiful Islam</v>
      </c>
      <c r="D96" s="3" t="str">
        <f>'Student Basic Info'!D96</f>
        <v>Mohammad Ibrahim Faruk</v>
      </c>
      <c r="E96" s="3" t="str">
        <f>'Student Basic Info'!E96</f>
        <v>Ajima Khatun</v>
      </c>
      <c r="F96" s="3" t="str">
        <f>'Student Basic Info'!F96</f>
        <v>Male</v>
      </c>
      <c r="G96" s="79">
        <v>184465584</v>
      </c>
      <c r="H96" s="59" t="str">
        <f>IF(Bangla!B96="","",Bangla!B96)</f>
        <v/>
      </c>
      <c r="I96" s="59" t="str">
        <f>IF(Bangla!C96="","",Bangla!C96)</f>
        <v/>
      </c>
      <c r="J96" s="60" t="str">
        <f>IF(Bangla!D96="","",Bangla!D96)</f>
        <v/>
      </c>
      <c r="K96" s="61" t="str">
        <f>IF(English!C96="","",English!C96)</f>
        <v/>
      </c>
      <c r="L96" s="35" t="str">
        <f>IF(ICT!B96="","",ICT!B96)</f>
        <v/>
      </c>
      <c r="M96" s="35" t="str">
        <f>IF(ICT!C96="","",ICT!C96)</f>
        <v/>
      </c>
      <c r="N96" s="35" t="str">
        <f>IF(ICT!D96="","",ICT!D96)</f>
        <v/>
      </c>
      <c r="O96" s="42" t="str">
        <f>IF(ICT!E96="","",ICT!E96)</f>
        <v/>
      </c>
      <c r="P96" s="40" t="str">
        <f>IF(Accounting!B96="","",Accounting!B96)</f>
        <v/>
      </c>
      <c r="Q96" s="40" t="str">
        <f>IF(Accounting!C96="","",Accounting!C96)</f>
        <v/>
      </c>
      <c r="R96" s="44" t="str">
        <f>IF(Accounting!D96="","",Accounting!D96)</f>
        <v/>
      </c>
      <c r="S96" s="35" t="str">
        <f>IF('Business Organization'!B96="","",'Business Organization'!B96)</f>
        <v/>
      </c>
      <c r="T96" s="35" t="str">
        <f>IF('Business Organization'!C96="","",'Business Organization'!C96)</f>
        <v/>
      </c>
      <c r="U96" s="42" t="str">
        <f>IF('Business Organization'!D96="","",'Business Organization'!D96)</f>
        <v/>
      </c>
      <c r="V96" s="36" t="str">
        <f>IF(SubjectList!G96="Finance",IF(Finance!B96=0,"", Finance!B96),IF(SubjectList!G96="Production",IF(Production!B96=0,"", Production!B96),IF(SubjectList!G96="Economics",IF(Economics!B96=0,"", Economics!B96))))</f>
        <v/>
      </c>
      <c r="W96" s="36" t="str">
        <f>IF(SubjectList!G96="Finance",IF(Finance!C96=0,"", Finance!C96),IF(SubjectList!G96="Production",IF(Production!C96=0,"", Production!C96),IF(SubjectList!G96="Economics",IF(Economics!C96=0,"", Economics!C96))))</f>
        <v/>
      </c>
      <c r="X96" s="43" t="str">
        <f>IF(SubjectList!G96="Finance",IF(Finance!D96=0,"", Finance!D96),IF(SubjectList!G96="Production",IF(Production!D96=0,"", Production!D96),IF(SubjectList!G96="Economics",IF(Economics!D96=0,"", Economics!D96))))</f>
        <v/>
      </c>
      <c r="Y96" s="40" t="str">
        <f>IF(SubjectList!H96="Finance",IF(Finance!B96=0,"", Finance!B96),IF(SubjectList!H96="Production",IF(Production!B96=0,"", Production!B96),IF(SubjectList!H96="Economics",IF(Economics!B96=0,"", Economics!B96))))</f>
        <v/>
      </c>
      <c r="Z96" s="40" t="str">
        <f>IF(SubjectList!H96="Finance",IF(Finance!C96=0,"", Finance!C96),IF(SubjectList!H96="Production",IF(Production!C96=0,"", Production!C96),IF(SubjectList!H96="Economics",IF(Economics!C96=0,"", Economics!C96))))</f>
        <v/>
      </c>
      <c r="AA96" s="44" t="str">
        <f>IF(SubjectList!H96="Finance",IF(Finance!D96=0,"", Finance!D96),IF(SubjectList!H96="Production",IF(Production!D96=0,"", Production!D96),IF(SubjectList!H96="Economics",IF(Economics!D96=0,"", Economics!D96))))</f>
        <v/>
      </c>
      <c r="AB96" s="37" t="str">
        <f>IF(SubjectList!G96="Finance","Finance",IF(SubjectList!G96="Production","Production",IF(SubjectList!G96="Economics","Not Given")))</f>
        <v>Production</v>
      </c>
      <c r="AC96" s="37" t="str">
        <f>IF(SubjectList!H96="Finance","Finance",IF(SubjectList!H96="Production","Production",IF(SubjectList!H96="Economics","Economics","Not Given")))</f>
        <v>Finance</v>
      </c>
      <c r="AD96" s="38" t="str">
        <f>Bangla!F96</f>
        <v/>
      </c>
      <c r="AE96" s="38" t="str">
        <f>English!E96</f>
        <v/>
      </c>
      <c r="AF96" s="38" t="str">
        <f>ICT!G96</f>
        <v/>
      </c>
      <c r="AG96" s="38" t="str">
        <f>Accounting!F96</f>
        <v/>
      </c>
      <c r="AH96" s="38" t="str">
        <f>'Business Organization'!F96</f>
        <v/>
      </c>
      <c r="AI96" s="38" t="str">
        <f>Production!F96</f>
        <v/>
      </c>
      <c r="AJ96" s="38" t="str">
        <f>Finance!F96</f>
        <v/>
      </c>
      <c r="AK96" s="39" t="str">
        <f>Bangla!G96</f>
        <v/>
      </c>
      <c r="AL96" s="39" t="str">
        <f>English!F96</f>
        <v/>
      </c>
      <c r="AM96" s="39" t="str">
        <f>ICT!H96</f>
        <v/>
      </c>
      <c r="AN96" s="39" t="str">
        <f>Accounting!G96</f>
        <v/>
      </c>
      <c r="AO96" s="39" t="str">
        <f>'Business Organization'!G96</f>
        <v/>
      </c>
      <c r="AP96" s="39" t="str">
        <f>IF(SubjectList!G96="Finance",Finance!G96,IF(SubjectList!G96="Production",Production!G96,IF(SubjectList!G96="Economics",Economics!G96)))</f>
        <v/>
      </c>
      <c r="AQ96" s="39" t="str">
        <f>IF(Optional!H96="","", Optional!H96)</f>
        <v/>
      </c>
      <c r="AR96" s="39" t="str">
        <f>Optional!H96</f>
        <v/>
      </c>
      <c r="AS96" s="39" t="str">
        <f>Optional!I96</f>
        <v/>
      </c>
      <c r="AT96" s="39" t="str">
        <f t="shared" si="41"/>
        <v/>
      </c>
      <c r="AU96" s="39">
        <f t="shared" si="42"/>
        <v>0</v>
      </c>
      <c r="AV96" s="39" t="str">
        <f t="shared" si="43"/>
        <v/>
      </c>
      <c r="AW96" s="39" t="str">
        <f t="shared" si="44"/>
        <v/>
      </c>
      <c r="AX96" s="5">
        <f t="shared" si="35"/>
        <v>0</v>
      </c>
      <c r="AY96" s="41">
        <f t="shared" si="45"/>
        <v>0</v>
      </c>
      <c r="AZ96" s="41">
        <f t="shared" si="46"/>
        <v>0</v>
      </c>
      <c r="BA96" s="41">
        <f t="shared" si="47"/>
        <v>0</v>
      </c>
      <c r="BB96" s="41">
        <f t="shared" si="48"/>
        <v>0</v>
      </c>
      <c r="BC96" s="41">
        <f t="shared" si="49"/>
        <v>0</v>
      </c>
      <c r="BD96" s="41">
        <f t="shared" si="50"/>
        <v>0</v>
      </c>
      <c r="BE96" s="3">
        <f t="shared" si="51"/>
        <v>0</v>
      </c>
      <c r="BF96" s="3" t="str">
        <f t="shared" si="37"/>
        <v>Failed in 6 Subjects</v>
      </c>
      <c r="BG96" s="5" t="str">
        <f>IF(AW96="","",RANK(AW96,AW$2:AW145,0))</f>
        <v/>
      </c>
      <c r="BH96" s="3" t="str">
        <f t="shared" si="38"/>
        <v>খুবই দুর্বল</v>
      </c>
      <c r="BI96" t="str">
        <f t="shared" si="39"/>
        <v>Very Weak</v>
      </c>
      <c r="BJ96" s="104" t="str">
        <f t="shared" si="40"/>
        <v/>
      </c>
    </row>
    <row r="97" spans="1:62" ht="15" thickBot="1" x14ac:dyDescent="0.4">
      <c r="A97" s="3" t="str">
        <f>'Student Basic Info'!B97</f>
        <v>Business Studies</v>
      </c>
      <c r="B97" s="3">
        <f>'Student Basic Info'!A97</f>
        <v>596</v>
      </c>
      <c r="C97" s="3" t="str">
        <f>'Student Basic Info'!C97</f>
        <v>Ashiqur Rahman</v>
      </c>
      <c r="D97" s="3" t="str">
        <f>'Student Basic Info'!D97</f>
        <v>Md. Abul Hosain</v>
      </c>
      <c r="E97" s="3" t="str">
        <f>'Student Basic Info'!E97</f>
        <v>Bibi Kulsum</v>
      </c>
      <c r="F97" s="3" t="str">
        <f>'Student Basic Info'!F97</f>
        <v>Male</v>
      </c>
      <c r="G97" s="79">
        <v>1608065046</v>
      </c>
      <c r="H97" s="59" t="str">
        <f>IF(Bangla!B97="","",Bangla!B97)</f>
        <v/>
      </c>
      <c r="I97" s="59" t="str">
        <f>IF(Bangla!C97="","",Bangla!C97)</f>
        <v/>
      </c>
      <c r="J97" s="60" t="str">
        <f>IF(Bangla!D97="","",Bangla!D97)</f>
        <v/>
      </c>
      <c r="K97" s="61" t="str">
        <f>IF(English!C97="","",English!C97)</f>
        <v/>
      </c>
      <c r="L97" s="35" t="str">
        <f>IF(ICT!B97="","",ICT!B97)</f>
        <v/>
      </c>
      <c r="M97" s="35" t="str">
        <f>IF(ICT!C97="","",ICT!C97)</f>
        <v/>
      </c>
      <c r="N97" s="35" t="str">
        <f>IF(ICT!D97="","",ICT!D97)</f>
        <v/>
      </c>
      <c r="O97" s="42" t="str">
        <f>IF(ICT!E97="","",ICT!E97)</f>
        <v/>
      </c>
      <c r="P97" s="40" t="str">
        <f>IF(Accounting!B97="","",Accounting!B97)</f>
        <v/>
      </c>
      <c r="Q97" s="40" t="str">
        <f>IF(Accounting!C97="","",Accounting!C97)</f>
        <v/>
      </c>
      <c r="R97" s="44" t="str">
        <f>IF(Accounting!D97="","",Accounting!D97)</f>
        <v/>
      </c>
      <c r="S97" s="35" t="str">
        <f>IF('Business Organization'!B97="","",'Business Organization'!B97)</f>
        <v/>
      </c>
      <c r="T97" s="35" t="str">
        <f>IF('Business Organization'!C97="","",'Business Organization'!C97)</f>
        <v/>
      </c>
      <c r="U97" s="42" t="str">
        <f>IF('Business Organization'!D97="","",'Business Organization'!D97)</f>
        <v/>
      </c>
      <c r="V97" s="36" t="str">
        <f>IF(SubjectList!G97="Finance",IF(Finance!B97=0,"", Finance!B97),IF(SubjectList!G97="Production",IF(Production!B97=0,"", Production!B97),IF(SubjectList!G97="Economics",IF(Economics!B97=0,"", Economics!B97))))</f>
        <v/>
      </c>
      <c r="W97" s="36" t="str">
        <f>IF(SubjectList!G97="Finance",IF(Finance!C97=0,"", Finance!C97),IF(SubjectList!G97="Production",IF(Production!C97=0,"", Production!C97),IF(SubjectList!G97="Economics",IF(Economics!C97=0,"", Economics!C97))))</f>
        <v/>
      </c>
      <c r="X97" s="43" t="str">
        <f>IF(SubjectList!G97="Finance",IF(Finance!D97=0,"", Finance!D97),IF(SubjectList!G97="Production",IF(Production!D97=0,"", Production!D97),IF(SubjectList!G97="Economics",IF(Economics!D97=0,"", Economics!D97))))</f>
        <v/>
      </c>
      <c r="Y97" s="40" t="str">
        <f>IF(SubjectList!H97="Finance",IF(Finance!B97=0,"", Finance!B97),IF(SubjectList!H97="Production",IF(Production!B97=0,"", Production!B97),IF(SubjectList!H97="Economics",IF(Economics!B97=0,"", Economics!B97))))</f>
        <v/>
      </c>
      <c r="Z97" s="40" t="str">
        <f>IF(SubjectList!H97="Finance",IF(Finance!C97=0,"", Finance!C97),IF(SubjectList!H97="Production",IF(Production!C97=0,"", Production!C97),IF(SubjectList!H97="Economics",IF(Economics!C97=0,"", Economics!C97))))</f>
        <v/>
      </c>
      <c r="AA97" s="44" t="str">
        <f>IF(SubjectList!H97="Finance",IF(Finance!D97=0,"", Finance!D97),IF(SubjectList!H97="Production",IF(Production!D97=0,"", Production!D97),IF(SubjectList!H97="Economics",IF(Economics!D97=0,"", Economics!D97))))</f>
        <v/>
      </c>
      <c r="AB97" s="37" t="str">
        <f>IF(SubjectList!G97="Finance","Finance",IF(SubjectList!G97="Production","Production",IF(SubjectList!G97="Economics","Not Given")))</f>
        <v>Production</v>
      </c>
      <c r="AC97" s="37" t="str">
        <f>IF(SubjectList!H97="Finance","Finance",IF(SubjectList!H97="Production","Production",IF(SubjectList!H97="Economics","Economics","Not Given")))</f>
        <v>Finance</v>
      </c>
      <c r="AD97" s="38" t="str">
        <f>Bangla!F97</f>
        <v/>
      </c>
      <c r="AE97" s="38" t="str">
        <f>English!E97</f>
        <v/>
      </c>
      <c r="AF97" s="38" t="str">
        <f>ICT!G97</f>
        <v/>
      </c>
      <c r="AG97" s="38" t="str">
        <f>Accounting!F97</f>
        <v/>
      </c>
      <c r="AH97" s="38" t="str">
        <f>'Business Organization'!F97</f>
        <v/>
      </c>
      <c r="AI97" s="38" t="str">
        <f>Production!F97</f>
        <v/>
      </c>
      <c r="AJ97" s="38" t="str">
        <f>Finance!F97</f>
        <v/>
      </c>
      <c r="AK97" s="39" t="str">
        <f>Bangla!G97</f>
        <v/>
      </c>
      <c r="AL97" s="39" t="str">
        <f>English!F97</f>
        <v/>
      </c>
      <c r="AM97" s="39" t="str">
        <f>ICT!H97</f>
        <v/>
      </c>
      <c r="AN97" s="39" t="str">
        <f>Accounting!G97</f>
        <v/>
      </c>
      <c r="AO97" s="39" t="str">
        <f>'Business Organization'!G97</f>
        <v/>
      </c>
      <c r="AP97" s="39" t="str">
        <f>IF(SubjectList!G97="Finance",Finance!G97,IF(SubjectList!G97="Production",Production!G97,IF(SubjectList!G97="Economics",Economics!G97)))</f>
        <v/>
      </c>
      <c r="AQ97" s="39" t="str">
        <f>IF(Optional!H97="","", Optional!H97)</f>
        <v/>
      </c>
      <c r="AR97" s="39" t="str">
        <f>Optional!H97</f>
        <v/>
      </c>
      <c r="AS97" s="39" t="str">
        <f>Optional!I97</f>
        <v/>
      </c>
      <c r="AT97" s="39" t="str">
        <f t="shared" si="41"/>
        <v/>
      </c>
      <c r="AU97" s="39">
        <f t="shared" si="42"/>
        <v>0</v>
      </c>
      <c r="AV97" s="39" t="str">
        <f t="shared" si="43"/>
        <v/>
      </c>
      <c r="AW97" s="39" t="str">
        <f t="shared" si="44"/>
        <v/>
      </c>
      <c r="AX97" s="5">
        <f t="shared" si="35"/>
        <v>0</v>
      </c>
      <c r="AY97" s="41">
        <f t="shared" si="45"/>
        <v>0</v>
      </c>
      <c r="AZ97" s="41">
        <f t="shared" si="46"/>
        <v>0</v>
      </c>
      <c r="BA97" s="41">
        <f t="shared" si="47"/>
        <v>0</v>
      </c>
      <c r="BB97" s="41">
        <f t="shared" si="48"/>
        <v>0</v>
      </c>
      <c r="BC97" s="41">
        <f t="shared" si="49"/>
        <v>0</v>
      </c>
      <c r="BD97" s="41">
        <f t="shared" si="50"/>
        <v>0</v>
      </c>
      <c r="BE97" s="3">
        <f t="shared" si="51"/>
        <v>0</v>
      </c>
      <c r="BF97" s="3" t="str">
        <f t="shared" si="37"/>
        <v>Failed in 6 Subjects</v>
      </c>
      <c r="BG97" s="5" t="str">
        <f>IF(AW97="","",RANK(AW97,AW$2:AW145,0))</f>
        <v/>
      </c>
      <c r="BH97" s="3" t="str">
        <f t="shared" si="38"/>
        <v>খুবই দুর্বল</v>
      </c>
      <c r="BI97" t="str">
        <f t="shared" si="39"/>
        <v>Very Weak</v>
      </c>
      <c r="BJ97" s="104" t="str">
        <f t="shared" si="40"/>
        <v/>
      </c>
    </row>
    <row r="98" spans="1:62" ht="15" thickBot="1" x14ac:dyDescent="0.4">
      <c r="A98" s="3" t="str">
        <f>'Student Basic Info'!B98</f>
        <v>Business Studies</v>
      </c>
      <c r="B98" s="3">
        <f>'Student Basic Info'!A98</f>
        <v>597</v>
      </c>
      <c r="C98" s="3" t="str">
        <f>'Student Basic Info'!C98</f>
        <v>Md. Shahadat Hosain Shakib</v>
      </c>
      <c r="D98" s="3" t="str">
        <f>'Student Basic Info'!D98</f>
        <v>Md. Belal Hossain</v>
      </c>
      <c r="E98" s="3" t="str">
        <f>'Student Basic Info'!E98</f>
        <v>Bibi Marjahan</v>
      </c>
      <c r="F98" s="3" t="str">
        <f>'Student Basic Info'!F98</f>
        <v>Male</v>
      </c>
      <c r="G98" s="79">
        <v>1825739530</v>
      </c>
      <c r="H98" s="59" t="str">
        <f>IF(Bangla!B98="","",Bangla!B98)</f>
        <v/>
      </c>
      <c r="I98" s="59" t="str">
        <f>IF(Bangla!C98="","",Bangla!C98)</f>
        <v/>
      </c>
      <c r="J98" s="60" t="str">
        <f>IF(Bangla!D98="","",Bangla!D98)</f>
        <v/>
      </c>
      <c r="K98" s="61" t="str">
        <f>IF(English!C98="","",English!C98)</f>
        <v/>
      </c>
      <c r="L98" s="35" t="str">
        <f>IF(ICT!B98="","",ICT!B98)</f>
        <v/>
      </c>
      <c r="M98" s="35" t="str">
        <f>IF(ICT!C98="","",ICT!C98)</f>
        <v/>
      </c>
      <c r="N98" s="35" t="str">
        <f>IF(ICT!D98="","",ICT!D98)</f>
        <v/>
      </c>
      <c r="O98" s="42" t="str">
        <f>IF(ICT!E98="","",ICT!E98)</f>
        <v/>
      </c>
      <c r="P98" s="40" t="str">
        <f>IF(Accounting!B98="","",Accounting!B98)</f>
        <v/>
      </c>
      <c r="Q98" s="40" t="str">
        <f>IF(Accounting!C98="","",Accounting!C98)</f>
        <v/>
      </c>
      <c r="R98" s="44" t="str">
        <f>IF(Accounting!D98="","",Accounting!D98)</f>
        <v/>
      </c>
      <c r="S98" s="35" t="str">
        <f>IF('Business Organization'!B98="","",'Business Organization'!B98)</f>
        <v/>
      </c>
      <c r="T98" s="35" t="str">
        <f>IF('Business Organization'!C98="","",'Business Organization'!C98)</f>
        <v/>
      </c>
      <c r="U98" s="42" t="str">
        <f>IF('Business Organization'!D98="","",'Business Organization'!D98)</f>
        <v/>
      </c>
      <c r="V98" s="36" t="str">
        <f>IF(SubjectList!G98="Finance",IF(Finance!B98=0,"", Finance!B98),IF(SubjectList!G98="Production",IF(Production!B98=0,"", Production!B98),IF(SubjectList!G98="Economics",IF(Economics!B98=0,"", Economics!B98))))</f>
        <v/>
      </c>
      <c r="W98" s="36" t="str">
        <f>IF(SubjectList!G98="Finance",IF(Finance!C98=0,"", Finance!C98),IF(SubjectList!G98="Production",IF(Production!C98=0,"", Production!C98),IF(SubjectList!G98="Economics",IF(Economics!C98=0,"", Economics!C98))))</f>
        <v/>
      </c>
      <c r="X98" s="43" t="str">
        <f>IF(SubjectList!G98="Finance",IF(Finance!D98=0,"", Finance!D98),IF(SubjectList!G98="Production",IF(Production!D98=0,"", Production!D98),IF(SubjectList!G98="Economics",IF(Economics!D98=0,"", Economics!D98))))</f>
        <v/>
      </c>
      <c r="Y98" s="40" t="str">
        <f>IF(SubjectList!H98="Finance",IF(Finance!B98=0,"", Finance!B98),IF(SubjectList!H98="Production",IF(Production!B98=0,"", Production!B98),IF(SubjectList!H98="Economics",IF(Economics!B98=0,"", Economics!B98))))</f>
        <v/>
      </c>
      <c r="Z98" s="40" t="str">
        <f>IF(SubjectList!H98="Finance",IF(Finance!C98=0,"", Finance!C98),IF(SubjectList!H98="Production",IF(Production!C98=0,"", Production!C98),IF(SubjectList!H98="Economics",IF(Economics!C98=0,"", Economics!C98))))</f>
        <v/>
      </c>
      <c r="AA98" s="44" t="str">
        <f>IF(SubjectList!H98="Finance",IF(Finance!D98=0,"", Finance!D98),IF(SubjectList!H98="Production",IF(Production!D98=0,"", Production!D98),IF(SubjectList!H98="Economics",IF(Economics!D98=0,"", Economics!D98))))</f>
        <v/>
      </c>
      <c r="AB98" s="37" t="str">
        <f>IF(SubjectList!G98="Finance","Finance",IF(SubjectList!G98="Production","Production",IF(SubjectList!G98="Economics","Not Given")))</f>
        <v>Production</v>
      </c>
      <c r="AC98" s="37" t="str">
        <f>IF(SubjectList!H98="Finance","Finance",IF(SubjectList!H98="Production","Production",IF(SubjectList!H98="Economics","Economics","Not Given")))</f>
        <v>Finance</v>
      </c>
      <c r="AD98" s="38" t="str">
        <f>Bangla!F98</f>
        <v/>
      </c>
      <c r="AE98" s="38" t="str">
        <f>English!E98</f>
        <v/>
      </c>
      <c r="AF98" s="38" t="str">
        <f>ICT!G98</f>
        <v/>
      </c>
      <c r="AG98" s="38" t="str">
        <f>Accounting!F98</f>
        <v/>
      </c>
      <c r="AH98" s="38" t="str">
        <f>'Business Organization'!F98</f>
        <v/>
      </c>
      <c r="AI98" s="38" t="str">
        <f>Production!F98</f>
        <v/>
      </c>
      <c r="AJ98" s="38" t="str">
        <f>Finance!F98</f>
        <v/>
      </c>
      <c r="AK98" s="39" t="str">
        <f>Bangla!G98</f>
        <v/>
      </c>
      <c r="AL98" s="39" t="str">
        <f>English!F98</f>
        <v/>
      </c>
      <c r="AM98" s="39" t="str">
        <f>ICT!H98</f>
        <v/>
      </c>
      <c r="AN98" s="39" t="str">
        <f>Accounting!G98</f>
        <v/>
      </c>
      <c r="AO98" s="39" t="str">
        <f>'Business Organization'!G98</f>
        <v/>
      </c>
      <c r="AP98" s="39" t="str">
        <f>IF(SubjectList!G98="Finance",Finance!G98,IF(SubjectList!G98="Production",Production!G98,IF(SubjectList!G98="Economics",Economics!G98)))</f>
        <v/>
      </c>
      <c r="AQ98" s="39" t="str">
        <f>IF(Optional!H98="","", Optional!H98)</f>
        <v/>
      </c>
      <c r="AR98" s="39" t="str">
        <f>Optional!H98</f>
        <v/>
      </c>
      <c r="AS98" s="39" t="str">
        <f>Optional!I98</f>
        <v/>
      </c>
      <c r="AT98" s="39" t="str">
        <f t="shared" si="41"/>
        <v/>
      </c>
      <c r="AU98" s="39">
        <f t="shared" si="42"/>
        <v>0</v>
      </c>
      <c r="AV98" s="39" t="str">
        <f t="shared" si="43"/>
        <v/>
      </c>
      <c r="AW98" s="39" t="str">
        <f t="shared" si="44"/>
        <v/>
      </c>
      <c r="AX98" s="5">
        <f t="shared" si="35"/>
        <v>0</v>
      </c>
      <c r="AY98" s="41">
        <f t="shared" si="45"/>
        <v>0</v>
      </c>
      <c r="AZ98" s="41">
        <f t="shared" si="46"/>
        <v>0</v>
      </c>
      <c r="BA98" s="41">
        <f t="shared" si="47"/>
        <v>0</v>
      </c>
      <c r="BB98" s="41">
        <f t="shared" si="48"/>
        <v>0</v>
      </c>
      <c r="BC98" s="41">
        <f t="shared" si="49"/>
        <v>0</v>
      </c>
      <c r="BD98" s="41">
        <f t="shared" si="50"/>
        <v>0</v>
      </c>
      <c r="BE98" s="3">
        <f t="shared" si="51"/>
        <v>0</v>
      </c>
      <c r="BF98" s="3" t="str">
        <f t="shared" si="37"/>
        <v>Failed in 6 Subjects</v>
      </c>
      <c r="BG98" s="5" t="str">
        <f>IF(AW98="","",RANK(AW98,AW$2:AW145,0))</f>
        <v/>
      </c>
      <c r="BH98" s="3" t="str">
        <f t="shared" si="38"/>
        <v>খুবই দুর্বল</v>
      </c>
      <c r="BI98" t="str">
        <f t="shared" si="39"/>
        <v>Very Weak</v>
      </c>
      <c r="BJ98" s="104" t="str">
        <f t="shared" si="40"/>
        <v/>
      </c>
    </row>
    <row r="99" spans="1:62" x14ac:dyDescent="0.35">
      <c r="A99" s="3" t="str">
        <f>'Student Basic Info'!B99</f>
        <v>Business Studies</v>
      </c>
      <c r="B99" s="3">
        <f>'Student Basic Info'!A99</f>
        <v>598</v>
      </c>
      <c r="C99" s="3" t="str">
        <f>'Student Basic Info'!C99</f>
        <v>Shekh Shourov</v>
      </c>
      <c r="D99" s="3" t="str">
        <f>'Student Basic Info'!D99</f>
        <v>Shekh Forid</v>
      </c>
      <c r="E99" s="3" t="str">
        <f>'Student Basic Info'!E99</f>
        <v>Shamsun Nahar</v>
      </c>
      <c r="F99" s="3" t="str">
        <f>'Student Basic Info'!F99</f>
        <v>Male</v>
      </c>
      <c r="G99" s="154">
        <v>188214477</v>
      </c>
      <c r="H99" s="59" t="str">
        <f>IF(Bangla!B99="","",Bangla!B99)</f>
        <v/>
      </c>
      <c r="I99" s="59" t="str">
        <f>IF(Bangla!C99="","",Bangla!C99)</f>
        <v/>
      </c>
      <c r="J99" s="60" t="str">
        <f>IF(Bangla!D99="","",Bangla!D99)</f>
        <v/>
      </c>
      <c r="K99" s="61" t="str">
        <f>IF(English!C99="","",English!C99)</f>
        <v/>
      </c>
      <c r="L99" s="35" t="str">
        <f>IF(ICT!B99="","",ICT!B99)</f>
        <v/>
      </c>
      <c r="M99" s="35" t="str">
        <f>IF(ICT!C99="","",ICT!C99)</f>
        <v/>
      </c>
      <c r="N99" s="35" t="str">
        <f>IF(ICT!D99="","",ICT!D99)</f>
        <v/>
      </c>
      <c r="O99" s="42" t="str">
        <f>IF(ICT!E99="","",ICT!E99)</f>
        <v/>
      </c>
      <c r="P99" s="40" t="str">
        <f>IF(Accounting!B99="","",Accounting!B99)</f>
        <v/>
      </c>
      <c r="Q99" s="40" t="str">
        <f>IF(Accounting!C99="","",Accounting!C99)</f>
        <v/>
      </c>
      <c r="R99" s="44" t="str">
        <f>IF(Accounting!D99="","",Accounting!D99)</f>
        <v/>
      </c>
      <c r="S99" s="35" t="str">
        <f>IF('Business Organization'!B99="","",'Business Organization'!B99)</f>
        <v/>
      </c>
      <c r="T99" s="35" t="str">
        <f>IF('Business Organization'!C99="","",'Business Organization'!C99)</f>
        <v/>
      </c>
      <c r="U99" s="42" t="str">
        <f>IF('Business Organization'!D99="","",'Business Organization'!D99)</f>
        <v/>
      </c>
      <c r="V99" s="36" t="str">
        <f>IF(SubjectList!G99="Finance",IF(Finance!B99=0,"", Finance!B99),IF(SubjectList!G99="Production",IF(Production!B99=0,"", Production!B99),IF(SubjectList!G99="Economics",IF(Economics!B99=0,"", Economics!B99))))</f>
        <v/>
      </c>
      <c r="W99" s="36" t="str">
        <f>IF(SubjectList!G99="Finance",IF(Finance!C99=0,"", Finance!C99),IF(SubjectList!G99="Production",IF(Production!C99=0,"", Production!C99),IF(SubjectList!G99="Economics",IF(Economics!C99=0,"", Economics!C99))))</f>
        <v/>
      </c>
      <c r="X99" s="43" t="str">
        <f>IF(SubjectList!G99="Finance",IF(Finance!D99=0,"", Finance!D99),IF(SubjectList!G99="Production",IF(Production!D99=0,"", Production!D99),IF(SubjectList!G99="Economics",IF(Economics!D99=0,"", Economics!D99))))</f>
        <v/>
      </c>
      <c r="Y99" s="40" t="str">
        <f>IF(SubjectList!H99="Finance",IF(Finance!B99=0,"", Finance!B99),IF(SubjectList!H99="Production",IF(Production!B99=0,"", Production!B99),IF(SubjectList!H99="Economics",IF(Economics!B99=0,"", Economics!B99))))</f>
        <v/>
      </c>
      <c r="Z99" s="40" t="str">
        <f>IF(SubjectList!H99="Finance",IF(Finance!C99=0,"", Finance!C99),IF(SubjectList!H99="Production",IF(Production!C99=0,"", Production!C99),IF(SubjectList!H99="Economics",IF(Economics!C99=0,"", Economics!C99))))</f>
        <v/>
      </c>
      <c r="AA99" s="44" t="str">
        <f>IF(SubjectList!H99="Finance",IF(Finance!D99=0,"", Finance!D99),IF(SubjectList!H99="Production",IF(Production!D99=0,"", Production!D99),IF(SubjectList!H99="Economics",IF(Economics!D99=0,"", Economics!D99))))</f>
        <v/>
      </c>
      <c r="AB99" s="37" t="str">
        <f>IF(SubjectList!G99="Finance","Finance",IF(SubjectList!G99="Production","Production",IF(SubjectList!G99="Economics","Not Given")))</f>
        <v>Production</v>
      </c>
      <c r="AC99" s="37" t="str">
        <f>IF(SubjectList!H99="Finance","Finance",IF(SubjectList!H99="Production","Production",IF(SubjectList!H99="Economics","Economics","Not Given")))</f>
        <v>Economics</v>
      </c>
      <c r="AD99" s="38" t="str">
        <f>Bangla!F99</f>
        <v/>
      </c>
      <c r="AE99" s="38" t="str">
        <f>English!E99</f>
        <v/>
      </c>
      <c r="AF99" s="38" t="str">
        <f>ICT!G99</f>
        <v/>
      </c>
      <c r="AG99" s="38" t="str">
        <f>Accounting!F99</f>
        <v/>
      </c>
      <c r="AH99" s="38" t="str">
        <f>'Business Organization'!F99</f>
        <v/>
      </c>
      <c r="AI99" s="38" t="str">
        <f>Production!F99</f>
        <v/>
      </c>
      <c r="AJ99" s="38" t="str">
        <f>Finance!F99</f>
        <v/>
      </c>
      <c r="AK99" s="39" t="str">
        <f>Bangla!G99</f>
        <v/>
      </c>
      <c r="AL99" s="39" t="str">
        <f>English!F99</f>
        <v/>
      </c>
      <c r="AM99" s="39" t="str">
        <f>ICT!H99</f>
        <v/>
      </c>
      <c r="AN99" s="39" t="str">
        <f>Accounting!G99</f>
        <v/>
      </c>
      <c r="AO99" s="39" t="str">
        <f>'Business Organization'!G99</f>
        <v/>
      </c>
      <c r="AP99" s="39" t="str">
        <f>IF(SubjectList!G99="Finance",Finance!G99,IF(SubjectList!G99="Production",Production!G99,IF(SubjectList!G99="Economics",Economics!G99)))</f>
        <v/>
      </c>
      <c r="AQ99" s="39" t="str">
        <f>IF(Optional!H99="","", Optional!H99)</f>
        <v/>
      </c>
      <c r="AR99" s="39" t="str">
        <f>Optional!H99</f>
        <v/>
      </c>
      <c r="AS99" s="39" t="str">
        <f>Optional!I99</f>
        <v/>
      </c>
      <c r="AT99" s="39" t="str">
        <f t="shared" si="41"/>
        <v/>
      </c>
      <c r="AU99" s="39">
        <f t="shared" si="42"/>
        <v>0</v>
      </c>
      <c r="AV99" s="39" t="str">
        <f t="shared" si="43"/>
        <v/>
      </c>
      <c r="AW99" s="39" t="str">
        <f t="shared" si="44"/>
        <v/>
      </c>
      <c r="AX99" s="5">
        <f t="shared" si="35"/>
        <v>0</v>
      </c>
      <c r="AY99" s="41">
        <f t="shared" si="45"/>
        <v>0</v>
      </c>
      <c r="AZ99" s="41">
        <f t="shared" si="46"/>
        <v>0</v>
      </c>
      <c r="BA99" s="41">
        <f t="shared" si="47"/>
        <v>0</v>
      </c>
      <c r="BB99" s="41">
        <f t="shared" si="48"/>
        <v>0</v>
      </c>
      <c r="BC99" s="41">
        <f t="shared" si="49"/>
        <v>0</v>
      </c>
      <c r="BD99" s="41">
        <f t="shared" si="50"/>
        <v>0</v>
      </c>
      <c r="BE99" s="3">
        <f t="shared" si="51"/>
        <v>0</v>
      </c>
      <c r="BF99" s="3" t="str">
        <f t="shared" si="37"/>
        <v>Failed in 6 Subjects</v>
      </c>
      <c r="BG99" s="5" t="str">
        <f>IF(AW99="","",RANK(AW99,AW$2:AW145,0))</f>
        <v/>
      </c>
      <c r="BH99" s="3" t="str">
        <f t="shared" si="38"/>
        <v>খুবই দুর্বল</v>
      </c>
      <c r="BI99" t="str">
        <f t="shared" si="39"/>
        <v>Very Weak</v>
      </c>
      <c r="BJ99" s="104" t="str">
        <f t="shared" si="40"/>
        <v/>
      </c>
    </row>
    <row r="100" spans="1:62" ht="15" thickBot="1" x14ac:dyDescent="0.4">
      <c r="A100" s="3" t="str">
        <f>'Student Basic Info'!B100</f>
        <v>Business Studies</v>
      </c>
      <c r="B100" s="3">
        <f>'Student Basic Info'!A100</f>
        <v>599</v>
      </c>
      <c r="C100" s="3" t="str">
        <f>'Student Basic Info'!C100</f>
        <v>Maliha Aktar</v>
      </c>
      <c r="D100" s="3" t="str">
        <f>'Student Basic Info'!D100</f>
        <v>Salim Ullah Babul</v>
      </c>
      <c r="E100" s="3" t="str">
        <f>'Student Basic Info'!E100</f>
        <v>Kamrun Nahar</v>
      </c>
      <c r="F100" s="3" t="str">
        <f>'Student Basic Info'!F100</f>
        <v>Female</v>
      </c>
      <c r="G100" s="155"/>
      <c r="H100" s="59" t="str">
        <f>IF(Bangla!B100="","",Bangla!B100)</f>
        <v/>
      </c>
      <c r="I100" s="59" t="str">
        <f>IF(Bangla!C100="","",Bangla!C100)</f>
        <v/>
      </c>
      <c r="J100" s="60" t="str">
        <f>IF(Bangla!D100="","",Bangla!D100)</f>
        <v/>
      </c>
      <c r="K100" s="61" t="str">
        <f>IF(English!C100="","",English!C100)</f>
        <v/>
      </c>
      <c r="L100" s="35" t="str">
        <f>IF(ICT!B100="","",ICT!B100)</f>
        <v/>
      </c>
      <c r="M100" s="35" t="str">
        <f>IF(ICT!C100="","",ICT!C100)</f>
        <v/>
      </c>
      <c r="N100" s="35" t="str">
        <f>IF(ICT!D100="","",ICT!D100)</f>
        <v/>
      </c>
      <c r="O100" s="42" t="str">
        <f>IF(ICT!E100="","",ICT!E100)</f>
        <v/>
      </c>
      <c r="P100" s="40" t="str">
        <f>IF(Accounting!B100="","",Accounting!B100)</f>
        <v/>
      </c>
      <c r="Q100" s="40" t="str">
        <f>IF(Accounting!C100="","",Accounting!C100)</f>
        <v/>
      </c>
      <c r="R100" s="44" t="str">
        <f>IF(Accounting!D100="","",Accounting!D100)</f>
        <v/>
      </c>
      <c r="S100" s="35" t="str">
        <f>IF('Business Organization'!B100="","",'Business Organization'!B100)</f>
        <v/>
      </c>
      <c r="T100" s="35" t="str">
        <f>IF('Business Organization'!C100="","",'Business Organization'!C100)</f>
        <v/>
      </c>
      <c r="U100" s="42" t="str">
        <f>IF('Business Organization'!D100="","",'Business Organization'!D100)</f>
        <v/>
      </c>
      <c r="V100" s="36" t="str">
        <f>IF(SubjectList!G100="Finance",IF(Finance!B100=0,"", Finance!B100),IF(SubjectList!G100="Production",IF(Production!B100=0,"", Production!B100),IF(SubjectList!G100="Economics",IF(Economics!B100=0,"", Economics!B100))))</f>
        <v/>
      </c>
      <c r="W100" s="36" t="str">
        <f>IF(SubjectList!G100="Finance",IF(Finance!C100=0,"", Finance!C100),IF(SubjectList!G100="Production",IF(Production!C100=0,"", Production!C100),IF(SubjectList!G100="Economics",IF(Economics!C100=0,"", Economics!C100))))</f>
        <v/>
      </c>
      <c r="X100" s="43" t="str">
        <f>IF(SubjectList!G100="Finance",IF(Finance!D100=0,"", Finance!D100),IF(SubjectList!G100="Production",IF(Production!D100=0,"", Production!D100),IF(SubjectList!G100="Economics",IF(Economics!D100=0,"", Economics!D100))))</f>
        <v/>
      </c>
      <c r="Y100" s="40" t="str">
        <f>IF(SubjectList!H100="Finance",IF(Finance!B100=0,"", Finance!B100),IF(SubjectList!H100="Production",IF(Production!B100=0,"", Production!B100),IF(SubjectList!H100="Economics",IF(Economics!B100=0,"", Economics!B100))))</f>
        <v/>
      </c>
      <c r="Z100" s="40" t="str">
        <f>IF(SubjectList!H100="Finance",IF(Finance!C100=0,"", Finance!C100),IF(SubjectList!H100="Production",IF(Production!C100=0,"", Production!C100),IF(SubjectList!H100="Economics",IF(Economics!C100=0,"", Economics!C100))))</f>
        <v/>
      </c>
      <c r="AA100" s="44" t="str">
        <f>IF(SubjectList!H100="Finance",IF(Finance!D100=0,"", Finance!D100),IF(SubjectList!H100="Production",IF(Production!D100=0,"", Production!D100),IF(SubjectList!H100="Economics",IF(Economics!D100=0,"", Economics!D100))))</f>
        <v/>
      </c>
      <c r="AB100" s="37" t="str">
        <f>IF(SubjectList!G100="Finance","Finance",IF(SubjectList!G100="Production","Production",IF(SubjectList!G100="Economics","Not Given")))</f>
        <v>Production</v>
      </c>
      <c r="AC100" s="37" t="str">
        <f>IF(SubjectList!H100="Finance","Finance",IF(SubjectList!H100="Production","Production",IF(SubjectList!H100="Economics","Economics","Not Given")))</f>
        <v>Economics</v>
      </c>
      <c r="AD100" s="38" t="str">
        <f>Bangla!F100</f>
        <v/>
      </c>
      <c r="AE100" s="38" t="str">
        <f>English!E100</f>
        <v/>
      </c>
      <c r="AF100" s="38" t="str">
        <f>ICT!G100</f>
        <v/>
      </c>
      <c r="AG100" s="38" t="str">
        <f>Accounting!F100</f>
        <v/>
      </c>
      <c r="AH100" s="38" t="str">
        <f>'Business Organization'!F100</f>
        <v/>
      </c>
      <c r="AI100" s="38" t="str">
        <f>Production!F100</f>
        <v/>
      </c>
      <c r="AJ100" s="38" t="str">
        <f>Finance!F100</f>
        <v/>
      </c>
      <c r="AK100" s="39" t="str">
        <f>Bangla!G100</f>
        <v/>
      </c>
      <c r="AL100" s="39" t="str">
        <f>English!F100</f>
        <v/>
      </c>
      <c r="AM100" s="39" t="str">
        <f>ICT!H100</f>
        <v/>
      </c>
      <c r="AN100" s="39" t="str">
        <f>Accounting!G100</f>
        <v/>
      </c>
      <c r="AO100" s="39" t="str">
        <f>'Business Organization'!G100</f>
        <v/>
      </c>
      <c r="AP100" s="39" t="str">
        <f>IF(SubjectList!G100="Finance",Finance!G100,IF(SubjectList!G100="Production",Production!G100,IF(SubjectList!G100="Economics",Economics!G100)))</f>
        <v/>
      </c>
      <c r="AQ100" s="39" t="str">
        <f>IF(Optional!H100="","", Optional!H100)</f>
        <v/>
      </c>
      <c r="AR100" s="39" t="str">
        <f>Optional!H100</f>
        <v/>
      </c>
      <c r="AS100" s="39" t="str">
        <f>Optional!I100</f>
        <v/>
      </c>
      <c r="AT100" s="39" t="str">
        <f t="shared" si="41"/>
        <v/>
      </c>
      <c r="AU100" s="39">
        <f t="shared" si="42"/>
        <v>0</v>
      </c>
      <c r="AV100" s="39" t="str">
        <f t="shared" si="43"/>
        <v/>
      </c>
      <c r="AW100" s="39" t="str">
        <f t="shared" si="44"/>
        <v/>
      </c>
      <c r="AX100" s="5">
        <f t="shared" si="35"/>
        <v>0</v>
      </c>
      <c r="AY100" s="41">
        <f t="shared" si="45"/>
        <v>0</v>
      </c>
      <c r="AZ100" s="41">
        <f t="shared" si="46"/>
        <v>0</v>
      </c>
      <c r="BA100" s="41">
        <f t="shared" si="47"/>
        <v>0</v>
      </c>
      <c r="BB100" s="41">
        <f t="shared" si="48"/>
        <v>0</v>
      </c>
      <c r="BC100" s="41">
        <f t="shared" si="49"/>
        <v>0</v>
      </c>
      <c r="BD100" s="41">
        <f t="shared" si="50"/>
        <v>0</v>
      </c>
      <c r="BE100" s="3">
        <f t="shared" si="51"/>
        <v>0</v>
      </c>
      <c r="BF100" s="3" t="str">
        <f t="shared" si="37"/>
        <v>Failed in 6 Subjects</v>
      </c>
      <c r="BG100" s="5" t="str">
        <f>IF(AW100="","",RANK(AW100,AW$2:AW145,0))</f>
        <v/>
      </c>
      <c r="BH100" s="3" t="str">
        <f t="shared" si="38"/>
        <v>খুবই দুর্বল</v>
      </c>
      <c r="BI100" t="str">
        <f t="shared" si="39"/>
        <v>Very Weak</v>
      </c>
      <c r="BJ100" s="104" t="str">
        <f t="shared" si="40"/>
        <v/>
      </c>
    </row>
    <row r="101" spans="1:62" ht="15" thickBot="1" x14ac:dyDescent="0.4">
      <c r="A101" s="3" t="str">
        <f>'Student Basic Info'!B101</f>
        <v>Business Studies</v>
      </c>
      <c r="B101" s="3">
        <f>'Student Basic Info'!A101</f>
        <v>600</v>
      </c>
      <c r="C101" s="3" t="str">
        <f>'Student Basic Info'!C101</f>
        <v>Nazmun Sabik Siyam</v>
      </c>
      <c r="D101" s="3" t="str">
        <f>'Student Basic Info'!D101</f>
        <v>Fokhor Uddin</v>
      </c>
      <c r="E101" s="3" t="str">
        <f>'Student Basic Info'!E101</f>
        <v>Nur Jahan Begum</v>
      </c>
      <c r="F101" s="3" t="str">
        <f>'Student Basic Info'!F101</f>
        <v>Male</v>
      </c>
      <c r="G101" s="79">
        <v>1864729213</v>
      </c>
      <c r="H101" s="59" t="str">
        <f>IF(Bangla!B101="","",Bangla!B101)</f>
        <v/>
      </c>
      <c r="I101" s="59">
        <f>IF(Bangla!C101="","",Bangla!C101)</f>
        <v>10</v>
      </c>
      <c r="J101" s="60">
        <f>IF(Bangla!D101="","",Bangla!D101)</f>
        <v>10</v>
      </c>
      <c r="K101" s="61">
        <f>IF(English!C101="","",English!C101)</f>
        <v>16</v>
      </c>
      <c r="L101" s="35">
        <f>IF(ICT!B101="","",ICT!B101)</f>
        <v>5</v>
      </c>
      <c r="M101" s="35">
        <f>IF(ICT!C101="","",ICT!C101)</f>
        <v>9</v>
      </c>
      <c r="N101" s="35">
        <f>IF(ICT!D101="","",ICT!D101)</f>
        <v>24</v>
      </c>
      <c r="O101" s="42">
        <f>IF(ICT!E101="","",ICT!E101)</f>
        <v>38</v>
      </c>
      <c r="P101" s="40">
        <f>IF(Accounting!B101="","",Accounting!B101)</f>
        <v>8</v>
      </c>
      <c r="Q101" s="40">
        <f>IF(Accounting!C101="","",Accounting!C101)</f>
        <v>0</v>
      </c>
      <c r="R101" s="44">
        <f>IF(Accounting!D101="","",Accounting!D101)</f>
        <v>8</v>
      </c>
      <c r="S101" s="35">
        <f>IF('Business Organization'!B101="","",'Business Organization'!B101)</f>
        <v>10</v>
      </c>
      <c r="T101" s="35">
        <f>IF('Business Organization'!C101="","",'Business Organization'!C101)</f>
        <v>3</v>
      </c>
      <c r="U101" s="42">
        <f>IF('Business Organization'!D101="","",'Business Organization'!D101)</f>
        <v>13</v>
      </c>
      <c r="V101" s="36" t="str">
        <f>IF(SubjectList!G101="Finance",IF(Finance!B101=0,"", Finance!B101),IF(SubjectList!G101="Production",IF(Production!B101=0,"", Production!B101),IF(SubjectList!G101="Economics",IF(Economics!B101=0,"", Economics!B101))))</f>
        <v/>
      </c>
      <c r="W101" s="36" t="str">
        <f>IF(SubjectList!G101="Finance",IF(Finance!C101=0,"", Finance!C101),IF(SubjectList!G101="Production",IF(Production!C101=0,"", Production!C101),IF(SubjectList!G101="Economics",IF(Economics!C101=0,"", Economics!C101))))</f>
        <v/>
      </c>
      <c r="X101" s="43" t="str">
        <f>IF(SubjectList!G101="Finance",IF(Finance!D101=0,"", Finance!D101),IF(SubjectList!G101="Production",IF(Production!D101=0,"", Production!D101),IF(SubjectList!G101="Economics",IF(Economics!D101=0,"", Economics!D101))))</f>
        <v/>
      </c>
      <c r="Y101" s="40">
        <f>IF(SubjectList!H101="Finance",IF(Finance!B101=0,"", Finance!B101),IF(SubjectList!H101="Production",IF(Production!B101=0,"", Production!B101),IF(SubjectList!H101="Economics",IF(Economics!B101=0,"", Economics!B101))))</f>
        <v>18</v>
      </c>
      <c r="Z101" s="40">
        <f>IF(SubjectList!H101="Finance",IF(Finance!C101=0,"", Finance!C101),IF(SubjectList!H101="Production",IF(Production!C101=0,"", Production!C101),IF(SubjectList!H101="Economics",IF(Economics!C101=0,"", Economics!C101))))</f>
        <v>3</v>
      </c>
      <c r="AA101" s="44">
        <f>IF(SubjectList!H101="Finance",IF(Finance!D101=0,"", Finance!D101),IF(SubjectList!H101="Production",IF(Production!D101=0,"", Production!D101),IF(SubjectList!H101="Economics",IF(Economics!D101=0,"", Economics!D101))))</f>
        <v>21</v>
      </c>
      <c r="AB101" s="37" t="str">
        <f>IF(SubjectList!G101="Finance","Finance",IF(SubjectList!G101="Production","Production",IF(SubjectList!G101="Economics","Not Given")))</f>
        <v>Finance</v>
      </c>
      <c r="AC101" s="37" t="str">
        <f>IF(SubjectList!H101="Finance","Finance",IF(SubjectList!H101="Production","Production",IF(SubjectList!H101="Economics","Economics","Not Given")))</f>
        <v>Production</v>
      </c>
      <c r="AD101" s="38" t="str">
        <f>Bangla!F101</f>
        <v>F</v>
      </c>
      <c r="AE101" s="38" t="str">
        <f>English!E101</f>
        <v>F</v>
      </c>
      <c r="AF101" s="38" t="str">
        <f>ICT!G101</f>
        <v>F</v>
      </c>
      <c r="AG101" s="38" t="str">
        <f>Accounting!F101</f>
        <v>F</v>
      </c>
      <c r="AH101" s="38" t="str">
        <f>'Business Organization'!F101</f>
        <v>F</v>
      </c>
      <c r="AI101" s="38" t="str">
        <f>Production!F101</f>
        <v>F</v>
      </c>
      <c r="AJ101" s="38" t="str">
        <f>Finance!F101</f>
        <v/>
      </c>
      <c r="AK101" s="39">
        <f>Bangla!G101</f>
        <v>0</v>
      </c>
      <c r="AL101" s="39">
        <f>English!F101</f>
        <v>0</v>
      </c>
      <c r="AM101" s="39">
        <f>ICT!H101</f>
        <v>0</v>
      </c>
      <c r="AN101" s="39">
        <f>Accounting!G101</f>
        <v>0</v>
      </c>
      <c r="AO101" s="39">
        <f>'Business Organization'!G101</f>
        <v>0</v>
      </c>
      <c r="AP101" s="39" t="str">
        <f>IF(SubjectList!G101="Finance",Finance!G101,IF(SubjectList!G101="Production",Production!G101,IF(SubjectList!G101="Economics",Economics!G101)))</f>
        <v/>
      </c>
      <c r="AQ101" s="39">
        <f>IF(Optional!H101="","", Optional!H101)</f>
        <v>0</v>
      </c>
      <c r="AR101" s="39">
        <f>Optional!H101</f>
        <v>0</v>
      </c>
      <c r="AS101" s="39">
        <f>Optional!I101</f>
        <v>0</v>
      </c>
      <c r="AT101" s="39" t="str">
        <f t="shared" si="41"/>
        <v/>
      </c>
      <c r="AU101" s="39">
        <f t="shared" si="42"/>
        <v>0</v>
      </c>
      <c r="AV101" s="39" t="str">
        <f t="shared" si="43"/>
        <v/>
      </c>
      <c r="AW101" s="39" t="str">
        <f t="shared" si="44"/>
        <v/>
      </c>
      <c r="AX101" s="5">
        <f t="shared" si="35"/>
        <v>106</v>
      </c>
      <c r="AY101" s="41">
        <f t="shared" si="45"/>
        <v>0</v>
      </c>
      <c r="AZ101" s="41">
        <f t="shared" si="46"/>
        <v>0</v>
      </c>
      <c r="BA101" s="41">
        <f t="shared" si="47"/>
        <v>0</v>
      </c>
      <c r="BB101" s="41">
        <f t="shared" si="48"/>
        <v>0</v>
      </c>
      <c r="BC101" s="41">
        <f t="shared" si="49"/>
        <v>0</v>
      </c>
      <c r="BD101" s="41">
        <f t="shared" si="50"/>
        <v>0</v>
      </c>
      <c r="BE101" s="3">
        <f t="shared" si="51"/>
        <v>0</v>
      </c>
      <c r="BF101" s="3" t="str">
        <f t="shared" si="37"/>
        <v>Failed in 6 Subjects</v>
      </c>
      <c r="BG101" s="5" t="str">
        <f>IF(AW101="","",RANK(AW101,AW$2:AW145,0))</f>
        <v/>
      </c>
      <c r="BH101" s="3" t="str">
        <f t="shared" si="38"/>
        <v>খুবই দুর্বল</v>
      </c>
      <c r="BI101" t="str">
        <f t="shared" si="39"/>
        <v>Very Weak</v>
      </c>
      <c r="BJ101" s="104" t="str">
        <f t="shared" si="40"/>
        <v/>
      </c>
    </row>
    <row r="102" spans="1:62" ht="15" thickBot="1" x14ac:dyDescent="0.4">
      <c r="A102" s="3" t="str">
        <f>'Student Basic Info'!B102</f>
        <v>Business Studies</v>
      </c>
      <c r="B102" s="3">
        <f>'Student Basic Info'!A102</f>
        <v>601</v>
      </c>
      <c r="C102" s="3" t="str">
        <f>'Student Basic Info'!C102</f>
        <v>Md. Ali Ashraf</v>
      </c>
      <c r="D102" s="3" t="str">
        <f>'Student Basic Info'!D102</f>
        <v>Md. Zebol Haque</v>
      </c>
      <c r="E102" s="3" t="str">
        <f>'Student Basic Info'!E102</f>
        <v>Monowara Begum</v>
      </c>
      <c r="F102" s="3" t="str">
        <f>'Student Basic Info'!F102</f>
        <v>Male</v>
      </c>
      <c r="G102" s="83">
        <v>1871569722</v>
      </c>
      <c r="H102" s="59" t="str">
        <f>IF(Bangla!B102="","",Bangla!B102)</f>
        <v/>
      </c>
      <c r="I102" s="59">
        <f>IF(Bangla!C102="","",Bangla!C102)</f>
        <v>20</v>
      </c>
      <c r="J102" s="60">
        <f>IF(Bangla!D102="","",Bangla!D102)</f>
        <v>20</v>
      </c>
      <c r="K102" s="61">
        <f>IF(English!C102="","",English!C102)</f>
        <v>5</v>
      </c>
      <c r="L102" s="35">
        <f>IF(ICT!B102="","",ICT!B102)</f>
        <v>10</v>
      </c>
      <c r="M102" s="35">
        <f>IF(ICT!C102="","",ICT!C102)</f>
        <v>2</v>
      </c>
      <c r="N102" s="35">
        <f>IF(ICT!D102="","",ICT!D102)</f>
        <v>8</v>
      </c>
      <c r="O102" s="42">
        <f>IF(ICT!E102="","",ICT!E102)</f>
        <v>20</v>
      </c>
      <c r="P102" s="40">
        <f>IF(Accounting!B102="","",Accounting!B102)</f>
        <v>8</v>
      </c>
      <c r="Q102" s="40">
        <f>IF(Accounting!C102="","",Accounting!C102)</f>
        <v>0</v>
      </c>
      <c r="R102" s="44">
        <f>IF(Accounting!D102="","",Accounting!D102)</f>
        <v>8</v>
      </c>
      <c r="S102" s="35">
        <f>IF('Business Organization'!B102="","",'Business Organization'!B102)</f>
        <v>18</v>
      </c>
      <c r="T102" s="35">
        <f>IF('Business Organization'!C102="","",'Business Organization'!C102)</f>
        <v>7</v>
      </c>
      <c r="U102" s="42">
        <f>IF('Business Organization'!D102="","",'Business Organization'!D102)</f>
        <v>25</v>
      </c>
      <c r="V102" s="36">
        <f>IF(SubjectList!G102="Finance",IF(Finance!B102=0,"", Finance!B102),IF(SubjectList!G102="Production",IF(Production!B102=0,"", Production!B102),IF(SubjectList!G102="Economics",IF(Economics!B102=0,"", Economics!B102))))</f>
        <v>10</v>
      </c>
      <c r="W102" s="36">
        <f>IF(SubjectList!G102="Finance",IF(Finance!C102=0,"", Finance!C102),IF(SubjectList!G102="Production",IF(Production!C102=0,"", Production!C102),IF(SubjectList!G102="Economics",IF(Economics!C102=0,"", Economics!C102))))</f>
        <v>3</v>
      </c>
      <c r="X102" s="43">
        <f>IF(SubjectList!G102="Finance",IF(Finance!D102=0,"", Finance!D102),IF(SubjectList!G102="Production",IF(Production!D102=0,"", Production!D102),IF(SubjectList!G102="Economics",IF(Economics!D102=0,"", Economics!D102))))</f>
        <v>13</v>
      </c>
      <c r="Y102" s="40">
        <f>IF(SubjectList!H102="Finance",IF(Finance!B102=0,"", Finance!B102),IF(SubjectList!H102="Production",IF(Production!B102=0,"", Production!B102),IF(SubjectList!H102="Economics",IF(Economics!B102=0,"", Economics!B102))))</f>
        <v>11</v>
      </c>
      <c r="Z102" s="40">
        <f>IF(SubjectList!H102="Finance",IF(Finance!C102=0,"", Finance!C102),IF(SubjectList!H102="Production",IF(Production!C102=0,"", Production!C102),IF(SubjectList!H102="Economics",IF(Economics!C102=0,"", Economics!C102))))</f>
        <v>1</v>
      </c>
      <c r="AA102" s="44">
        <f>IF(SubjectList!H102="Finance",IF(Finance!D102=0,"", Finance!D102),IF(SubjectList!H102="Production",IF(Production!D102=0,"", Production!D102),IF(SubjectList!H102="Economics",IF(Economics!D102=0,"", Economics!D102))))</f>
        <v>12</v>
      </c>
      <c r="AB102" s="37" t="str">
        <f>IF(SubjectList!G102="Finance","Finance",IF(SubjectList!G102="Production","Production",IF(SubjectList!G102="Economics","Not Given")))</f>
        <v>Finance</v>
      </c>
      <c r="AC102" s="37" t="str">
        <f>IF(SubjectList!H102="Finance","Finance",IF(SubjectList!H102="Production","Production",IF(SubjectList!H102="Economics","Economics","Not Given")))</f>
        <v>Production</v>
      </c>
      <c r="AD102" s="38" t="str">
        <f>Bangla!F102</f>
        <v>F</v>
      </c>
      <c r="AE102" s="38" t="str">
        <f>English!E102</f>
        <v>F</v>
      </c>
      <c r="AF102" s="38" t="str">
        <f>ICT!G102</f>
        <v>F</v>
      </c>
      <c r="AG102" s="38" t="str">
        <f>Accounting!F102</f>
        <v>F</v>
      </c>
      <c r="AH102" s="38" t="str">
        <f>'Business Organization'!F102</f>
        <v>F</v>
      </c>
      <c r="AI102" s="38" t="str">
        <f>Production!F102</f>
        <v>F</v>
      </c>
      <c r="AJ102" s="38" t="str">
        <f>Finance!F102</f>
        <v>F</v>
      </c>
      <c r="AK102" s="39">
        <f>Bangla!G102</f>
        <v>0</v>
      </c>
      <c r="AL102" s="39">
        <f>English!F102</f>
        <v>0</v>
      </c>
      <c r="AM102" s="39">
        <f>ICT!H102</f>
        <v>0</v>
      </c>
      <c r="AN102" s="39">
        <f>Accounting!G102</f>
        <v>0</v>
      </c>
      <c r="AO102" s="39">
        <f>'Business Organization'!G102</f>
        <v>0</v>
      </c>
      <c r="AP102" s="39">
        <f>IF(SubjectList!G102="Finance",Finance!G102,IF(SubjectList!G102="Production",Production!G102,IF(SubjectList!G102="Economics",Economics!G102)))</f>
        <v>0</v>
      </c>
      <c r="AQ102" s="39">
        <f>IF(Optional!H102="","", Optional!H102)</f>
        <v>0</v>
      </c>
      <c r="AR102" s="39">
        <f>Optional!H102</f>
        <v>0</v>
      </c>
      <c r="AS102" s="39">
        <f>Optional!I102</f>
        <v>0</v>
      </c>
      <c r="AT102" s="39" t="str">
        <f t="shared" si="41"/>
        <v/>
      </c>
      <c r="AU102" s="39">
        <f t="shared" si="42"/>
        <v>0</v>
      </c>
      <c r="AV102" s="39" t="str">
        <f t="shared" si="43"/>
        <v/>
      </c>
      <c r="AW102" s="39" t="str">
        <f t="shared" si="44"/>
        <v/>
      </c>
      <c r="AX102" s="5">
        <f t="shared" si="35"/>
        <v>103</v>
      </c>
      <c r="AY102" s="41">
        <f t="shared" si="45"/>
        <v>0</v>
      </c>
      <c r="AZ102" s="41">
        <f t="shared" si="46"/>
        <v>0</v>
      </c>
      <c r="BA102" s="41">
        <f t="shared" si="47"/>
        <v>0</v>
      </c>
      <c r="BB102" s="41">
        <f t="shared" si="48"/>
        <v>0</v>
      </c>
      <c r="BC102" s="41">
        <f t="shared" si="49"/>
        <v>0</v>
      </c>
      <c r="BD102" s="41">
        <f t="shared" si="50"/>
        <v>0</v>
      </c>
      <c r="BE102" s="3">
        <f t="shared" si="51"/>
        <v>0</v>
      </c>
      <c r="BF102" s="3" t="str">
        <f t="shared" si="37"/>
        <v>Failed in 6 Subjects</v>
      </c>
      <c r="BG102" s="5" t="str">
        <f>IF(AW102="","",RANK(AW102,AW$2:AW145,0))</f>
        <v/>
      </c>
      <c r="BH102" s="3" t="str">
        <f t="shared" si="38"/>
        <v>খুবই দুর্বল</v>
      </c>
      <c r="BI102" t="str">
        <f t="shared" si="39"/>
        <v>Very Weak</v>
      </c>
      <c r="BJ102" s="104" t="str">
        <f t="shared" si="40"/>
        <v/>
      </c>
    </row>
    <row r="103" spans="1:62" ht="15" thickBot="1" x14ac:dyDescent="0.4">
      <c r="A103" s="3" t="str">
        <f>'Student Basic Info'!B103</f>
        <v>Business Studies</v>
      </c>
      <c r="B103" s="3">
        <f>'Student Basic Info'!A103</f>
        <v>602</v>
      </c>
      <c r="C103" s="3" t="str">
        <f>'Student Basic Info'!C103</f>
        <v>Abu Sufiyan Noyon</v>
      </c>
      <c r="D103" s="3" t="str">
        <f>'Student Basic Info'!D103</f>
        <v>Abul Bashar</v>
      </c>
      <c r="E103" s="3" t="str">
        <f>'Student Basic Info'!E103</f>
        <v>Laily Begum</v>
      </c>
      <c r="F103" s="3" t="str">
        <f>'Student Basic Info'!F103</f>
        <v>Male</v>
      </c>
      <c r="G103" s="78">
        <v>1834552551</v>
      </c>
      <c r="H103" s="59" t="str">
        <f>IF(Bangla!B103="","",Bangla!B103)</f>
        <v/>
      </c>
      <c r="I103" s="59" t="str">
        <f>IF(Bangla!C103="","",Bangla!C103)</f>
        <v/>
      </c>
      <c r="J103" s="60" t="str">
        <f>IF(Bangla!D103="","",Bangla!D103)</f>
        <v/>
      </c>
      <c r="K103" s="61" t="str">
        <f>IF(English!C103="","",English!C103)</f>
        <v/>
      </c>
      <c r="L103" s="35" t="str">
        <f>IF(ICT!B103="","",ICT!B103)</f>
        <v/>
      </c>
      <c r="M103" s="35" t="str">
        <f>IF(ICT!C103="","",ICT!C103)</f>
        <v/>
      </c>
      <c r="N103" s="35" t="str">
        <f>IF(ICT!D103="","",ICT!D103)</f>
        <v/>
      </c>
      <c r="O103" s="42" t="str">
        <f>IF(ICT!E103="","",ICT!E103)</f>
        <v/>
      </c>
      <c r="P103" s="40" t="str">
        <f>IF(Accounting!B103="","",Accounting!B103)</f>
        <v/>
      </c>
      <c r="Q103" s="40" t="str">
        <f>IF(Accounting!C103="","",Accounting!C103)</f>
        <v/>
      </c>
      <c r="R103" s="44" t="str">
        <f>IF(Accounting!D103="","",Accounting!D103)</f>
        <v/>
      </c>
      <c r="S103" s="35" t="str">
        <f>IF('Business Organization'!B103="","",'Business Organization'!B103)</f>
        <v/>
      </c>
      <c r="T103" s="35" t="str">
        <f>IF('Business Organization'!C103="","",'Business Organization'!C103)</f>
        <v/>
      </c>
      <c r="U103" s="42" t="str">
        <f>IF('Business Organization'!D103="","",'Business Organization'!D103)</f>
        <v/>
      </c>
      <c r="V103" s="36" t="str">
        <f>IF(SubjectList!G103="Finance",IF(Finance!B103=0,"", Finance!B103),IF(SubjectList!G103="Production",IF(Production!B103=0,"", Production!B103),IF(SubjectList!G103="Economics",IF(Economics!B103=0,"", Economics!B103))))</f>
        <v/>
      </c>
      <c r="W103" s="36" t="str">
        <f>IF(SubjectList!G103="Finance",IF(Finance!C103=0,"", Finance!C103),IF(SubjectList!G103="Production",IF(Production!C103=0,"", Production!C103),IF(SubjectList!G103="Economics",IF(Economics!C103=0,"", Economics!C103))))</f>
        <v/>
      </c>
      <c r="X103" s="43" t="str">
        <f>IF(SubjectList!G103="Finance",IF(Finance!D103=0,"", Finance!D103),IF(SubjectList!G103="Production",IF(Production!D103=0,"", Production!D103),IF(SubjectList!G103="Economics",IF(Economics!D103=0,"", Economics!D103))))</f>
        <v/>
      </c>
      <c r="Y103" s="40" t="str">
        <f>IF(SubjectList!H103="Finance",IF(Finance!B103=0,"", Finance!B103),IF(SubjectList!H103="Production",IF(Production!B103=0,"", Production!B103),IF(SubjectList!H103="Economics",IF(Economics!B103=0,"", Economics!B103))))</f>
        <v/>
      </c>
      <c r="Z103" s="40" t="str">
        <f>IF(SubjectList!H103="Finance",IF(Finance!C103=0,"", Finance!C103),IF(SubjectList!H103="Production",IF(Production!C103=0,"", Production!C103),IF(SubjectList!H103="Economics",IF(Economics!C103=0,"", Economics!C103))))</f>
        <v/>
      </c>
      <c r="AA103" s="44" t="str">
        <f>IF(SubjectList!H103="Finance",IF(Finance!D103=0,"", Finance!D103),IF(SubjectList!H103="Production",IF(Production!D103=0,"", Production!D103),IF(SubjectList!H103="Economics",IF(Economics!D103=0,"", Economics!D103))))</f>
        <v/>
      </c>
      <c r="AB103" s="37" t="str">
        <f>IF(SubjectList!G103="Finance","Finance",IF(SubjectList!G103="Production","Production",IF(SubjectList!G103="Economics","Not Given")))</f>
        <v>Finance</v>
      </c>
      <c r="AC103" s="37" t="str">
        <f>IF(SubjectList!H103="Finance","Finance",IF(SubjectList!H103="Production","Production",IF(SubjectList!H103="Economics","Economics","Not Given")))</f>
        <v>Economics</v>
      </c>
      <c r="AD103" s="38" t="str">
        <f>Bangla!F103</f>
        <v/>
      </c>
      <c r="AE103" s="38" t="str">
        <f>English!E103</f>
        <v/>
      </c>
      <c r="AF103" s="38" t="str">
        <f>ICT!G103</f>
        <v/>
      </c>
      <c r="AG103" s="38" t="str">
        <f>Accounting!F103</f>
        <v/>
      </c>
      <c r="AH103" s="38" t="str">
        <f>'Business Organization'!F103</f>
        <v/>
      </c>
      <c r="AI103" s="38" t="str">
        <f>Production!F103</f>
        <v/>
      </c>
      <c r="AJ103" s="38" t="str">
        <f>Finance!F103</f>
        <v/>
      </c>
      <c r="AK103" s="39" t="str">
        <f>Bangla!G103</f>
        <v/>
      </c>
      <c r="AL103" s="39" t="str">
        <f>English!F103</f>
        <v/>
      </c>
      <c r="AM103" s="39" t="str">
        <f>ICT!H103</f>
        <v/>
      </c>
      <c r="AN103" s="39" t="str">
        <f>Accounting!G103</f>
        <v/>
      </c>
      <c r="AO103" s="39" t="str">
        <f>'Business Organization'!G103</f>
        <v/>
      </c>
      <c r="AP103" s="39" t="str">
        <f>IF(SubjectList!G103="Finance",Finance!G103,IF(SubjectList!G103="Production",Production!G103,IF(SubjectList!G103="Economics",Economics!G103)))</f>
        <v/>
      </c>
      <c r="AQ103" s="39" t="str">
        <f>IF(Optional!H103="","", Optional!H103)</f>
        <v/>
      </c>
      <c r="AR103" s="39" t="str">
        <f>Optional!H103</f>
        <v/>
      </c>
      <c r="AS103" s="39" t="str">
        <f>Optional!I103</f>
        <v/>
      </c>
      <c r="AT103" s="39" t="str">
        <f t="shared" si="41"/>
        <v/>
      </c>
      <c r="AU103" s="39">
        <f t="shared" si="42"/>
        <v>0</v>
      </c>
      <c r="AV103" s="39" t="str">
        <f t="shared" si="43"/>
        <v/>
      </c>
      <c r="AW103" s="39" t="str">
        <f t="shared" si="44"/>
        <v/>
      </c>
      <c r="AX103" s="5">
        <f t="shared" si="35"/>
        <v>0</v>
      </c>
      <c r="AY103" s="41">
        <f t="shared" si="45"/>
        <v>0</v>
      </c>
      <c r="AZ103" s="41">
        <f t="shared" si="46"/>
        <v>0</v>
      </c>
      <c r="BA103" s="41">
        <f t="shared" si="47"/>
        <v>0</v>
      </c>
      <c r="BB103" s="41">
        <f t="shared" si="48"/>
        <v>0</v>
      </c>
      <c r="BC103" s="41">
        <f t="shared" si="49"/>
        <v>0</v>
      </c>
      <c r="BD103" s="41">
        <f t="shared" si="50"/>
        <v>0</v>
      </c>
      <c r="BE103" s="3">
        <f t="shared" si="51"/>
        <v>0</v>
      </c>
      <c r="BF103" s="3" t="str">
        <f t="shared" si="37"/>
        <v>Failed in 6 Subjects</v>
      </c>
      <c r="BG103" s="5" t="str">
        <f>IF(AW103="","",RANK(AW103,AW$2:AW145,0))</f>
        <v/>
      </c>
      <c r="BH103" s="3" t="str">
        <f t="shared" si="38"/>
        <v>খুবই দুর্বল</v>
      </c>
      <c r="BI103" t="str">
        <f t="shared" si="39"/>
        <v>Very Weak</v>
      </c>
      <c r="BJ103" s="104" t="str">
        <f t="shared" si="40"/>
        <v/>
      </c>
    </row>
    <row r="104" spans="1:62" ht="15" thickBot="1" x14ac:dyDescent="0.4">
      <c r="A104" s="3" t="str">
        <f>'Student Basic Info'!B104</f>
        <v>Business Studies</v>
      </c>
      <c r="B104" s="3">
        <f>'Student Basic Info'!A104</f>
        <v>603</v>
      </c>
      <c r="C104" s="3" t="str">
        <f>'Student Basic Info'!C104</f>
        <v>Md. Omor Ali Zidan</v>
      </c>
      <c r="D104" s="3" t="str">
        <f>'Student Basic Info'!D104</f>
        <v>Mohammad Ali Babul</v>
      </c>
      <c r="E104" s="3" t="str">
        <f>'Student Basic Info'!E104</f>
        <v>Roksana Aktar</v>
      </c>
      <c r="F104" s="3" t="str">
        <f>'Student Basic Info'!F104</f>
        <v>Male</v>
      </c>
      <c r="G104" s="79">
        <v>1872916530</v>
      </c>
      <c r="H104" s="59" t="str">
        <f>IF(Bangla!B104="","",Bangla!B104)</f>
        <v/>
      </c>
      <c r="I104" s="59" t="str">
        <f>IF(Bangla!C104="","",Bangla!C104)</f>
        <v/>
      </c>
      <c r="J104" s="60" t="str">
        <f>IF(Bangla!D104="","",Bangla!D104)</f>
        <v/>
      </c>
      <c r="K104" s="61" t="str">
        <f>IF(English!C104="","",English!C104)</f>
        <v/>
      </c>
      <c r="L104" s="35" t="str">
        <f>IF(ICT!B104="","",ICT!B104)</f>
        <v/>
      </c>
      <c r="M104" s="35" t="str">
        <f>IF(ICT!C104="","",ICT!C104)</f>
        <v/>
      </c>
      <c r="N104" s="35" t="str">
        <f>IF(ICT!D104="","",ICT!D104)</f>
        <v/>
      </c>
      <c r="O104" s="42" t="str">
        <f>IF(ICT!E104="","",ICT!E104)</f>
        <v/>
      </c>
      <c r="P104" s="40" t="str">
        <f>IF(Accounting!B104="","",Accounting!B104)</f>
        <v/>
      </c>
      <c r="Q104" s="40" t="str">
        <f>IF(Accounting!C104="","",Accounting!C104)</f>
        <v/>
      </c>
      <c r="R104" s="44" t="str">
        <f>IF(Accounting!D104="","",Accounting!D104)</f>
        <v/>
      </c>
      <c r="S104" s="35" t="str">
        <f>IF('Business Organization'!B104="","",'Business Organization'!B104)</f>
        <v/>
      </c>
      <c r="T104" s="35" t="str">
        <f>IF('Business Organization'!C104="","",'Business Organization'!C104)</f>
        <v/>
      </c>
      <c r="U104" s="42" t="str">
        <f>IF('Business Organization'!D104="","",'Business Organization'!D104)</f>
        <v/>
      </c>
      <c r="V104" s="36" t="str">
        <f>IF(SubjectList!G104="Finance",IF(Finance!B104=0,"", Finance!B104),IF(SubjectList!G104="Production",IF(Production!B104=0,"", Production!B104),IF(SubjectList!G104="Economics",IF(Economics!B104=0,"", Economics!B104))))</f>
        <v/>
      </c>
      <c r="W104" s="36" t="str">
        <f>IF(SubjectList!G104="Finance",IF(Finance!C104=0,"", Finance!C104),IF(SubjectList!G104="Production",IF(Production!C104=0,"", Production!C104),IF(SubjectList!G104="Economics",IF(Economics!C104=0,"", Economics!C104))))</f>
        <v/>
      </c>
      <c r="X104" s="43" t="str">
        <f>IF(SubjectList!G104="Finance",IF(Finance!D104=0,"", Finance!D104),IF(SubjectList!G104="Production",IF(Production!D104=0,"", Production!D104),IF(SubjectList!G104="Economics",IF(Economics!D104=0,"", Economics!D104))))</f>
        <v/>
      </c>
      <c r="Y104" s="40" t="str">
        <f>IF(SubjectList!H104="Finance",IF(Finance!B104=0,"", Finance!B104),IF(SubjectList!H104="Production",IF(Production!B104=0,"", Production!B104),IF(SubjectList!H104="Economics",IF(Economics!B104=0,"", Economics!B104))))</f>
        <v/>
      </c>
      <c r="Z104" s="40" t="str">
        <f>IF(SubjectList!H104="Finance",IF(Finance!C104=0,"", Finance!C104),IF(SubjectList!H104="Production",IF(Production!C104=0,"", Production!C104),IF(SubjectList!H104="Economics",IF(Economics!C104=0,"", Economics!C104))))</f>
        <v/>
      </c>
      <c r="AA104" s="44" t="str">
        <f>IF(SubjectList!H104="Finance",IF(Finance!D104=0,"", Finance!D104),IF(SubjectList!H104="Production",IF(Production!D104=0,"", Production!D104),IF(SubjectList!H104="Economics",IF(Economics!D104=0,"", Economics!D104))))</f>
        <v/>
      </c>
      <c r="AB104" s="37" t="str">
        <f>IF(SubjectList!G104="Finance","Finance",IF(SubjectList!G104="Production","Production",IF(SubjectList!G104="Economics","Not Given")))</f>
        <v>Finance</v>
      </c>
      <c r="AC104" s="37" t="str">
        <f>IF(SubjectList!H104="Finance","Finance",IF(SubjectList!H104="Production","Production",IF(SubjectList!H104="Economics","Economics","Not Given")))</f>
        <v>Production</v>
      </c>
      <c r="AD104" s="38" t="str">
        <f>Bangla!F104</f>
        <v/>
      </c>
      <c r="AE104" s="38" t="str">
        <f>English!E104</f>
        <v/>
      </c>
      <c r="AF104" s="38" t="str">
        <f>ICT!G104</f>
        <v/>
      </c>
      <c r="AG104" s="38" t="str">
        <f>Accounting!F104</f>
        <v/>
      </c>
      <c r="AH104" s="38" t="str">
        <f>'Business Organization'!F104</f>
        <v/>
      </c>
      <c r="AI104" s="38" t="str">
        <f>Production!F104</f>
        <v/>
      </c>
      <c r="AJ104" s="38" t="str">
        <f>Finance!F104</f>
        <v/>
      </c>
      <c r="AK104" s="39" t="str">
        <f>Bangla!G104</f>
        <v/>
      </c>
      <c r="AL104" s="39" t="str">
        <f>English!F104</f>
        <v/>
      </c>
      <c r="AM104" s="39" t="str">
        <f>ICT!H104</f>
        <v/>
      </c>
      <c r="AN104" s="39" t="str">
        <f>Accounting!G104</f>
        <v/>
      </c>
      <c r="AO104" s="39" t="str">
        <f>'Business Organization'!G104</f>
        <v/>
      </c>
      <c r="AP104" s="39" t="str">
        <f>IF(SubjectList!G104="Finance",Finance!G104,IF(SubjectList!G104="Production",Production!G104,IF(SubjectList!G104="Economics",Economics!G104)))</f>
        <v/>
      </c>
      <c r="AQ104" s="39" t="str">
        <f>IF(Optional!H104="","", Optional!H104)</f>
        <v/>
      </c>
      <c r="AR104" s="39" t="str">
        <f>Optional!H104</f>
        <v/>
      </c>
      <c r="AS104" s="39" t="str">
        <f>Optional!I104</f>
        <v/>
      </c>
      <c r="AT104" s="39" t="str">
        <f t="shared" si="41"/>
        <v/>
      </c>
      <c r="AU104" s="39">
        <f t="shared" si="42"/>
        <v>0</v>
      </c>
      <c r="AV104" s="39" t="str">
        <f t="shared" si="43"/>
        <v/>
      </c>
      <c r="AW104" s="39" t="str">
        <f t="shared" si="44"/>
        <v/>
      </c>
      <c r="AX104" s="5">
        <f t="shared" si="35"/>
        <v>0</v>
      </c>
      <c r="AY104" s="41">
        <f t="shared" si="45"/>
        <v>0</v>
      </c>
      <c r="AZ104" s="41">
        <f t="shared" si="46"/>
        <v>0</v>
      </c>
      <c r="BA104" s="41">
        <f t="shared" si="47"/>
        <v>0</v>
      </c>
      <c r="BB104" s="41">
        <f t="shared" si="48"/>
        <v>0</v>
      </c>
      <c r="BC104" s="41">
        <f t="shared" si="49"/>
        <v>0</v>
      </c>
      <c r="BD104" s="41">
        <f t="shared" si="50"/>
        <v>0</v>
      </c>
      <c r="BE104" s="3">
        <f t="shared" si="51"/>
        <v>0</v>
      </c>
      <c r="BF104" s="3" t="str">
        <f t="shared" si="37"/>
        <v>Failed in 6 Subjects</v>
      </c>
      <c r="BG104" s="5" t="str">
        <f>IF(AW104="","",RANK(AW104,AW$2:AW145,0))</f>
        <v/>
      </c>
      <c r="BH104" s="3" t="str">
        <f t="shared" si="38"/>
        <v>খুবই দুর্বল</v>
      </c>
      <c r="BI104" t="str">
        <f t="shared" si="39"/>
        <v>Very Weak</v>
      </c>
      <c r="BJ104" s="104" t="str">
        <f t="shared" si="40"/>
        <v/>
      </c>
    </row>
    <row r="105" spans="1:62" ht="15" thickBot="1" x14ac:dyDescent="0.4">
      <c r="A105" s="3" t="str">
        <f>'Student Basic Info'!B105</f>
        <v>Business Studies</v>
      </c>
      <c r="B105" s="3">
        <f>'Student Basic Info'!A105</f>
        <v>604</v>
      </c>
      <c r="C105" s="3" t="str">
        <f>'Student Basic Info'!C105</f>
        <v>Eti</v>
      </c>
      <c r="D105" s="3" t="str">
        <f>'Student Basic Info'!D105</f>
        <v>Nironzon Mozumdar</v>
      </c>
      <c r="E105" s="3" t="str">
        <f>'Student Basic Info'!E105</f>
        <v>Taposhi Rani Das</v>
      </c>
      <c r="F105" s="3" t="str">
        <f>'Student Basic Info'!F105</f>
        <v>Female</v>
      </c>
      <c r="G105" s="79">
        <v>1859842458</v>
      </c>
      <c r="H105" s="59" t="str">
        <f>IF(Bangla!B105="","",Bangla!B105)</f>
        <v/>
      </c>
      <c r="I105" s="59" t="str">
        <f>IF(Bangla!C105="","",Bangla!C105)</f>
        <v/>
      </c>
      <c r="J105" s="60" t="str">
        <f>IF(Bangla!D105="","",Bangla!D105)</f>
        <v/>
      </c>
      <c r="K105" s="61" t="str">
        <f>IF(English!C105="","",English!C105)</f>
        <v/>
      </c>
      <c r="L105" s="35" t="str">
        <f>IF(ICT!B105="","",ICT!B105)</f>
        <v/>
      </c>
      <c r="M105" s="35" t="str">
        <f>IF(ICT!C105="","",ICT!C105)</f>
        <v/>
      </c>
      <c r="N105" s="35" t="str">
        <f>IF(ICT!D105="","",ICT!D105)</f>
        <v/>
      </c>
      <c r="O105" s="42" t="str">
        <f>IF(ICT!E105="","",ICT!E105)</f>
        <v/>
      </c>
      <c r="P105" s="40" t="str">
        <f>IF(Accounting!B105="","",Accounting!B105)</f>
        <v/>
      </c>
      <c r="Q105" s="40" t="str">
        <f>IF(Accounting!C105="","",Accounting!C105)</f>
        <v/>
      </c>
      <c r="R105" s="44" t="str">
        <f>IF(Accounting!D105="","",Accounting!D105)</f>
        <v/>
      </c>
      <c r="S105" s="35" t="str">
        <f>IF('Business Organization'!B105="","",'Business Organization'!B105)</f>
        <v/>
      </c>
      <c r="T105" s="35" t="str">
        <f>IF('Business Organization'!C105="","",'Business Organization'!C105)</f>
        <v/>
      </c>
      <c r="U105" s="42" t="str">
        <f>IF('Business Organization'!D105="","",'Business Organization'!D105)</f>
        <v/>
      </c>
      <c r="V105" s="36" t="str">
        <f>IF(SubjectList!G105="Finance",IF(Finance!B105=0,"", Finance!B105),IF(SubjectList!G105="Production",IF(Production!B105=0,"", Production!B105),IF(SubjectList!G105="Economics",IF(Economics!B105=0,"", Economics!B105))))</f>
        <v/>
      </c>
      <c r="W105" s="36" t="str">
        <f>IF(SubjectList!G105="Finance",IF(Finance!C105=0,"", Finance!C105),IF(SubjectList!G105="Production",IF(Production!C105=0,"", Production!C105),IF(SubjectList!G105="Economics",IF(Economics!C105=0,"", Economics!C105))))</f>
        <v/>
      </c>
      <c r="X105" s="43" t="str">
        <f>IF(SubjectList!G105="Finance",IF(Finance!D105=0,"", Finance!D105),IF(SubjectList!G105="Production",IF(Production!D105=0,"", Production!D105),IF(SubjectList!G105="Economics",IF(Economics!D105=0,"", Economics!D105))))</f>
        <v/>
      </c>
      <c r="Y105" s="40" t="str">
        <f>IF(SubjectList!H105="Finance",IF(Finance!B105=0,"", Finance!B105),IF(SubjectList!H105="Production",IF(Production!B105=0,"", Production!B105),IF(SubjectList!H105="Economics",IF(Economics!B105=0,"", Economics!B105))))</f>
        <v/>
      </c>
      <c r="Z105" s="40" t="str">
        <f>IF(SubjectList!H105="Finance",IF(Finance!C105=0,"", Finance!C105),IF(SubjectList!H105="Production",IF(Production!C105=0,"", Production!C105),IF(SubjectList!H105="Economics",IF(Economics!C105=0,"", Economics!C105))))</f>
        <v/>
      </c>
      <c r="AA105" s="44" t="str">
        <f>IF(SubjectList!H105="Finance",IF(Finance!D105=0,"", Finance!D105),IF(SubjectList!H105="Production",IF(Production!D105=0,"", Production!D105),IF(SubjectList!H105="Economics",IF(Economics!D105=0,"", Economics!D105))))</f>
        <v/>
      </c>
      <c r="AB105" s="37" t="str">
        <f>IF(SubjectList!G105="Finance","Finance",IF(SubjectList!G105="Production","Production",IF(SubjectList!G105="Economics","Not Given")))</f>
        <v>Finance</v>
      </c>
      <c r="AC105" s="37" t="str">
        <f>IF(SubjectList!H105="Finance","Finance",IF(SubjectList!H105="Production","Production",IF(SubjectList!H105="Economics","Economics","Not Given")))</f>
        <v>Production</v>
      </c>
      <c r="AD105" s="38" t="str">
        <f>Bangla!F105</f>
        <v/>
      </c>
      <c r="AE105" s="38" t="str">
        <f>English!E105</f>
        <v/>
      </c>
      <c r="AF105" s="38" t="str">
        <f>ICT!G105</f>
        <v/>
      </c>
      <c r="AG105" s="38" t="str">
        <f>Accounting!F105</f>
        <v/>
      </c>
      <c r="AH105" s="38" t="str">
        <f>'Business Organization'!F105</f>
        <v/>
      </c>
      <c r="AI105" s="38" t="str">
        <f>Production!F105</f>
        <v/>
      </c>
      <c r="AJ105" s="38" t="str">
        <f>Finance!F105</f>
        <v/>
      </c>
      <c r="AK105" s="39" t="str">
        <f>Bangla!G105</f>
        <v/>
      </c>
      <c r="AL105" s="39" t="str">
        <f>English!F105</f>
        <v/>
      </c>
      <c r="AM105" s="39" t="str">
        <f>ICT!H105</f>
        <v/>
      </c>
      <c r="AN105" s="39" t="str">
        <f>Accounting!G105</f>
        <v/>
      </c>
      <c r="AO105" s="39" t="str">
        <f>'Business Organization'!G105</f>
        <v/>
      </c>
      <c r="AP105" s="39" t="str">
        <f>IF(SubjectList!G105="Finance",Finance!G105,IF(SubjectList!G105="Production",Production!G105,IF(SubjectList!G105="Economics",Economics!G105)))</f>
        <v/>
      </c>
      <c r="AQ105" s="39" t="str">
        <f>IF(Optional!H105="","", Optional!H105)</f>
        <v/>
      </c>
      <c r="AR105" s="39" t="str">
        <f>Optional!H105</f>
        <v/>
      </c>
      <c r="AS105" s="39" t="str">
        <f>Optional!I105</f>
        <v/>
      </c>
      <c r="AT105" s="39" t="str">
        <f t="shared" si="41"/>
        <v/>
      </c>
      <c r="AU105" s="39">
        <f t="shared" si="42"/>
        <v>0</v>
      </c>
      <c r="AV105" s="39" t="str">
        <f t="shared" si="43"/>
        <v/>
      </c>
      <c r="AW105" s="39" t="str">
        <f t="shared" si="44"/>
        <v/>
      </c>
      <c r="AX105" s="5">
        <f t="shared" si="35"/>
        <v>0</v>
      </c>
      <c r="AY105" s="41">
        <f t="shared" si="45"/>
        <v>0</v>
      </c>
      <c r="AZ105" s="41">
        <f t="shared" si="46"/>
        <v>0</v>
      </c>
      <c r="BA105" s="41">
        <f t="shared" si="47"/>
        <v>0</v>
      </c>
      <c r="BB105" s="41">
        <f t="shared" si="48"/>
        <v>0</v>
      </c>
      <c r="BC105" s="41">
        <f t="shared" si="49"/>
        <v>0</v>
      </c>
      <c r="BD105" s="41">
        <f t="shared" si="50"/>
        <v>0</v>
      </c>
      <c r="BE105" s="3">
        <f t="shared" si="51"/>
        <v>0</v>
      </c>
      <c r="BF105" s="3" t="str">
        <f t="shared" si="37"/>
        <v>Failed in 6 Subjects</v>
      </c>
      <c r="BG105" s="5" t="str">
        <f>IF(AW105="","",RANK(AW105,AW$2:AW145,0))</f>
        <v/>
      </c>
      <c r="BH105" s="3" t="str">
        <f t="shared" si="38"/>
        <v>খুবই দুর্বল</v>
      </c>
      <c r="BI105" t="str">
        <f t="shared" si="39"/>
        <v>Very Weak</v>
      </c>
      <c r="BJ105" s="104" t="str">
        <f t="shared" si="40"/>
        <v/>
      </c>
    </row>
    <row r="106" spans="1:62" ht="15" thickBot="1" x14ac:dyDescent="0.4">
      <c r="A106" s="3" t="str">
        <f>'Student Basic Info'!B106</f>
        <v>Business Studies</v>
      </c>
      <c r="B106" s="3">
        <f>'Student Basic Info'!A106</f>
        <v>605</v>
      </c>
      <c r="C106" s="3" t="str">
        <f>'Student Basic Info'!C106</f>
        <v>Jhumur Mojumdar</v>
      </c>
      <c r="D106" s="3" t="str">
        <f>'Student Basic Info'!D106</f>
        <v>Gopal Chandra Mojumdar</v>
      </c>
      <c r="E106" s="3" t="str">
        <f>'Student Basic Info'!E106</f>
        <v>Joshna Rani Mojumdar</v>
      </c>
      <c r="F106" s="3" t="str">
        <f>'Student Basic Info'!F106</f>
        <v>Female</v>
      </c>
      <c r="G106" s="79">
        <v>1838989781</v>
      </c>
      <c r="H106" s="59" t="str">
        <f>IF(Bangla!B106="","",Bangla!B106)</f>
        <v/>
      </c>
      <c r="I106" s="59">
        <f>IF(Bangla!C106="","",Bangla!C106)</f>
        <v>40</v>
      </c>
      <c r="J106" s="60">
        <f>IF(Bangla!D106="","",Bangla!D106)</f>
        <v>40</v>
      </c>
      <c r="K106" s="61">
        <f>IF(English!C106="","",English!C106)</f>
        <v>14</v>
      </c>
      <c r="L106" s="35">
        <f>IF(ICT!B106="","",ICT!B106)</f>
        <v>6</v>
      </c>
      <c r="M106" s="35">
        <f>IF(ICT!C106="","",ICT!C106)</f>
        <v>11</v>
      </c>
      <c r="N106" s="35">
        <f>IF(ICT!D106="","",ICT!D106)</f>
        <v>20</v>
      </c>
      <c r="O106" s="42">
        <f>IF(ICT!E106="","",ICT!E106)</f>
        <v>37</v>
      </c>
      <c r="P106" s="40">
        <f>IF(Accounting!B106="","",Accounting!B106)</f>
        <v>8</v>
      </c>
      <c r="Q106" s="40">
        <f>IF(Accounting!C106="","",Accounting!C106)</f>
        <v>24</v>
      </c>
      <c r="R106" s="44">
        <f>IF(Accounting!D106="","",Accounting!D106)</f>
        <v>32</v>
      </c>
      <c r="S106" s="35">
        <f>IF('Business Organization'!B106="","",'Business Organization'!B106)</f>
        <v>17</v>
      </c>
      <c r="T106" s="35">
        <f>IF('Business Organization'!C106="","",'Business Organization'!C106)</f>
        <v>16</v>
      </c>
      <c r="U106" s="42">
        <f>IF('Business Organization'!D106="","",'Business Organization'!D106)</f>
        <v>33</v>
      </c>
      <c r="V106" s="36">
        <f>IF(SubjectList!G106="Finance",IF(Finance!B106=0,"", Finance!B106),IF(SubjectList!G106="Production",IF(Production!B106=0,"", Production!B106),IF(SubjectList!G106="Economics",IF(Economics!B106=0,"", Economics!B106))))</f>
        <v>13</v>
      </c>
      <c r="W106" s="36">
        <f>IF(SubjectList!G106="Finance",IF(Finance!C106=0,"", Finance!C106),IF(SubjectList!G106="Production",IF(Production!C106=0,"", Production!C106),IF(SubjectList!G106="Economics",IF(Economics!C106=0,"", Economics!C106))))</f>
        <v>23</v>
      </c>
      <c r="X106" s="43">
        <f>IF(SubjectList!G106="Finance",IF(Finance!D106=0,"", Finance!D106),IF(SubjectList!G106="Production",IF(Production!D106=0,"", Production!D106),IF(SubjectList!G106="Economics",IF(Economics!D106=0,"", Economics!D106))))</f>
        <v>36</v>
      </c>
      <c r="Y106" s="40">
        <f>IF(SubjectList!H106="Finance",IF(Finance!B106=0,"", Finance!B106),IF(SubjectList!H106="Production",IF(Production!B106=0,"", Production!B106),IF(SubjectList!H106="Economics",IF(Economics!B106=0,"", Economics!B106))))</f>
        <v>13</v>
      </c>
      <c r="Z106" s="40">
        <f>IF(SubjectList!H106="Finance",IF(Finance!C106=0,"", Finance!C106),IF(SubjectList!H106="Production",IF(Production!C106=0,"", Production!C106),IF(SubjectList!H106="Economics",IF(Economics!C106=0,"", Economics!C106))))</f>
        <v>27</v>
      </c>
      <c r="AA106" s="44">
        <f>IF(SubjectList!H106="Finance",IF(Finance!D106=0,"", Finance!D106),IF(SubjectList!H106="Production",IF(Production!D106=0,"", Production!D106),IF(SubjectList!H106="Economics",IF(Economics!D106=0,"", Economics!D106))))</f>
        <v>40</v>
      </c>
      <c r="AB106" s="37" t="str">
        <f>IF(SubjectList!G106="Finance","Finance",IF(SubjectList!G106="Production","Production",IF(SubjectList!G106="Economics","Not Given")))</f>
        <v>Finance</v>
      </c>
      <c r="AC106" s="37" t="str">
        <f>IF(SubjectList!H106="Finance","Finance",IF(SubjectList!H106="Production","Production",IF(SubjectList!H106="Economics","Economics","Not Given")))</f>
        <v>Production</v>
      </c>
      <c r="AD106" s="38" t="str">
        <f>Bangla!F106</f>
        <v>C</v>
      </c>
      <c r="AE106" s="38" t="str">
        <f>English!E106</f>
        <v>F</v>
      </c>
      <c r="AF106" s="38" t="str">
        <f>ICT!G106</f>
        <v>F</v>
      </c>
      <c r="AG106" s="38" t="str">
        <f>Accounting!F106</f>
        <v>F</v>
      </c>
      <c r="AH106" s="38" t="str">
        <f>'Business Organization'!F106</f>
        <v>F</v>
      </c>
      <c r="AI106" s="38" t="str">
        <f>Production!F106</f>
        <v>C</v>
      </c>
      <c r="AJ106" s="38" t="str">
        <f>Finance!F106</f>
        <v>D</v>
      </c>
      <c r="AK106" s="39">
        <f>Bangla!G106</f>
        <v>2</v>
      </c>
      <c r="AL106" s="39">
        <f>English!F106</f>
        <v>0</v>
      </c>
      <c r="AM106" s="39">
        <f>ICT!H106</f>
        <v>0</v>
      </c>
      <c r="AN106" s="39">
        <f>Accounting!G106</f>
        <v>0</v>
      </c>
      <c r="AO106" s="39">
        <f>'Business Organization'!G106</f>
        <v>0</v>
      </c>
      <c r="AP106" s="39">
        <f>IF(SubjectList!G106="Finance",Finance!G106,IF(SubjectList!G106="Production",Production!G106,IF(SubjectList!G106="Economics",Economics!G106)))</f>
        <v>1</v>
      </c>
      <c r="AQ106" s="39">
        <f>IF(Optional!H106="","", Optional!H106)</f>
        <v>2</v>
      </c>
      <c r="AR106" s="39">
        <f>Optional!H106</f>
        <v>2</v>
      </c>
      <c r="AS106" s="39">
        <f>Optional!I106</f>
        <v>0</v>
      </c>
      <c r="AT106" s="39">
        <f t="shared" si="41"/>
        <v>3</v>
      </c>
      <c r="AU106" s="39">
        <f t="shared" si="42"/>
        <v>3</v>
      </c>
      <c r="AV106" s="39" t="str">
        <f t="shared" si="43"/>
        <v/>
      </c>
      <c r="AW106" s="39" t="str">
        <f t="shared" si="44"/>
        <v/>
      </c>
      <c r="AX106" s="5">
        <f t="shared" si="35"/>
        <v>232</v>
      </c>
      <c r="AY106" s="41">
        <f t="shared" si="45"/>
        <v>1</v>
      </c>
      <c r="AZ106" s="41">
        <f t="shared" si="46"/>
        <v>0</v>
      </c>
      <c r="BA106" s="41">
        <f t="shared" si="47"/>
        <v>0</v>
      </c>
      <c r="BB106" s="41">
        <f t="shared" si="48"/>
        <v>0</v>
      </c>
      <c r="BC106" s="41">
        <f t="shared" si="49"/>
        <v>0</v>
      </c>
      <c r="BD106" s="41">
        <f t="shared" si="50"/>
        <v>1</v>
      </c>
      <c r="BE106" s="3">
        <f t="shared" si="51"/>
        <v>2</v>
      </c>
      <c r="BF106" s="3" t="str">
        <f t="shared" si="37"/>
        <v>Failed in 4 Subjects</v>
      </c>
      <c r="BG106" s="5" t="str">
        <f>IF(AW106="","",RANK(AW106,AW$2:AW145,0))</f>
        <v/>
      </c>
      <c r="BH106" s="3" t="str">
        <f t="shared" si="38"/>
        <v>খুবই দুর্বল</v>
      </c>
      <c r="BI106" t="str">
        <f t="shared" si="39"/>
        <v>Very Weak</v>
      </c>
      <c r="BJ106" s="104" t="str">
        <f t="shared" si="40"/>
        <v/>
      </c>
    </row>
    <row r="107" spans="1:62" ht="15" thickBot="1" x14ac:dyDescent="0.4">
      <c r="A107" s="3" t="str">
        <f>'Student Basic Info'!B107</f>
        <v>Business Studies</v>
      </c>
      <c r="B107" s="3">
        <f>'Student Basic Info'!A107</f>
        <v>606</v>
      </c>
      <c r="C107" s="3" t="str">
        <f>'Student Basic Info'!C107</f>
        <v>Boishakhi Mojumdar</v>
      </c>
      <c r="D107" s="3" t="str">
        <f>'Student Basic Info'!D107</f>
        <v>Priyolal Mojumdar</v>
      </c>
      <c r="E107" s="3" t="str">
        <f>'Student Basic Info'!E107</f>
        <v>Chiku Rani Mojumdar</v>
      </c>
      <c r="F107" s="3" t="str">
        <f>'Student Basic Info'!F107</f>
        <v>Female</v>
      </c>
      <c r="G107" s="79">
        <v>1620376554</v>
      </c>
      <c r="H107" s="59" t="str">
        <f>IF(Bangla!B107="","",Bangla!B107)</f>
        <v/>
      </c>
      <c r="I107" s="59">
        <f>IF(Bangla!C107="","",Bangla!C107)</f>
        <v>33</v>
      </c>
      <c r="J107" s="60">
        <f>IF(Bangla!D107="","",Bangla!D107)</f>
        <v>33</v>
      </c>
      <c r="K107" s="61">
        <f>IF(English!C107="","",English!C107)</f>
        <v>10</v>
      </c>
      <c r="L107" s="35">
        <f>IF(ICT!B107="","",ICT!B107)</f>
        <v>3</v>
      </c>
      <c r="M107" s="35">
        <f>IF(ICT!C107="","",ICT!C107)</f>
        <v>7</v>
      </c>
      <c r="N107" s="35">
        <f>IF(ICT!D107="","",ICT!D107)</f>
        <v>22</v>
      </c>
      <c r="O107" s="42">
        <f>IF(ICT!E107="","",ICT!E107)</f>
        <v>32</v>
      </c>
      <c r="P107" s="40">
        <f>IF(Accounting!B107="","",Accounting!B107)</f>
        <v>6</v>
      </c>
      <c r="Q107" s="40">
        <f>IF(Accounting!C107="","",Accounting!C107)</f>
        <v>19</v>
      </c>
      <c r="R107" s="44">
        <f>IF(Accounting!D107="","",Accounting!D107)</f>
        <v>25</v>
      </c>
      <c r="S107" s="35">
        <f>IF('Business Organization'!B107="","",'Business Organization'!B107)</f>
        <v>10</v>
      </c>
      <c r="T107" s="35">
        <f>IF('Business Organization'!C107="","",'Business Organization'!C107)</f>
        <v>9</v>
      </c>
      <c r="U107" s="42">
        <f>IF('Business Organization'!D107="","",'Business Organization'!D107)</f>
        <v>19</v>
      </c>
      <c r="V107" s="36">
        <f>IF(SubjectList!G107="Finance",IF(Finance!B107=0,"", Finance!B107),IF(SubjectList!G107="Production",IF(Production!B107=0,"", Production!B107),IF(SubjectList!G107="Economics",IF(Economics!B107=0,"", Economics!B107))))</f>
        <v>7</v>
      </c>
      <c r="W107" s="36">
        <f>IF(SubjectList!G107="Finance",IF(Finance!C107=0,"", Finance!C107),IF(SubjectList!G107="Production",IF(Production!C107=0,"", Production!C107),IF(SubjectList!G107="Economics",IF(Economics!C107=0,"", Economics!C107))))</f>
        <v>13</v>
      </c>
      <c r="X107" s="43">
        <f>IF(SubjectList!G107="Finance",IF(Finance!D107=0,"", Finance!D107),IF(SubjectList!G107="Production",IF(Production!D107=0,"", Production!D107),IF(SubjectList!G107="Economics",IF(Economics!D107=0,"", Economics!D107))))</f>
        <v>20</v>
      </c>
      <c r="Y107" s="40">
        <f>IF(SubjectList!H107="Finance",IF(Finance!B107=0,"", Finance!B107),IF(SubjectList!H107="Production",IF(Production!B107=0,"", Production!B107),IF(SubjectList!H107="Economics",IF(Economics!B107=0,"", Economics!B107))))</f>
        <v>6</v>
      </c>
      <c r="Z107" s="40">
        <f>IF(SubjectList!H107="Finance",IF(Finance!C107=0,"", Finance!C107),IF(SubjectList!H107="Production",IF(Production!C107=0,"", Production!C107),IF(SubjectList!H107="Economics",IF(Economics!C107=0,"", Economics!C107))))</f>
        <v>23</v>
      </c>
      <c r="AA107" s="44">
        <f>IF(SubjectList!H107="Finance",IF(Finance!D107=0,"", Finance!D107),IF(SubjectList!H107="Production",IF(Production!D107=0,"", Production!D107),IF(SubjectList!H107="Economics",IF(Economics!D107=0,"", Economics!D107))))</f>
        <v>29</v>
      </c>
      <c r="AB107" s="37" t="str">
        <f>IF(SubjectList!G107="Finance","Finance",IF(SubjectList!G107="Production","Production",IF(SubjectList!G107="Economics","Not Given")))</f>
        <v>Production</v>
      </c>
      <c r="AC107" s="37" t="str">
        <f>IF(SubjectList!H107="Finance","Finance",IF(SubjectList!H107="Production","Production",IF(SubjectList!H107="Economics","Economics","Not Given")))</f>
        <v>Finance</v>
      </c>
      <c r="AD107" s="38" t="str">
        <f>Bangla!F107</f>
        <v>D</v>
      </c>
      <c r="AE107" s="38" t="str">
        <f>English!E107</f>
        <v>F</v>
      </c>
      <c r="AF107" s="38" t="str">
        <f>ICT!G107</f>
        <v>F</v>
      </c>
      <c r="AG107" s="38" t="str">
        <f>Accounting!F107</f>
        <v>F</v>
      </c>
      <c r="AH107" s="38" t="str">
        <f>'Business Organization'!F107</f>
        <v>F</v>
      </c>
      <c r="AI107" s="38" t="str">
        <f>Production!F107</f>
        <v>F</v>
      </c>
      <c r="AJ107" s="38" t="str">
        <f>Finance!F107</f>
        <v>F</v>
      </c>
      <c r="AK107" s="39">
        <f>Bangla!G107</f>
        <v>1</v>
      </c>
      <c r="AL107" s="39">
        <f>English!F107</f>
        <v>0</v>
      </c>
      <c r="AM107" s="39">
        <f>ICT!H107</f>
        <v>0</v>
      </c>
      <c r="AN107" s="39">
        <f>Accounting!G107</f>
        <v>0</v>
      </c>
      <c r="AO107" s="39">
        <f>'Business Organization'!G107</f>
        <v>0</v>
      </c>
      <c r="AP107" s="39">
        <f>IF(SubjectList!G107="Finance",Finance!G107,IF(SubjectList!G107="Production",Production!G107,IF(SubjectList!G107="Economics",Economics!G107)))</f>
        <v>0</v>
      </c>
      <c r="AQ107" s="39">
        <f>IF(Optional!H107="","", Optional!H107)</f>
        <v>0</v>
      </c>
      <c r="AR107" s="39">
        <f>Optional!H107</f>
        <v>0</v>
      </c>
      <c r="AS107" s="39">
        <f>Optional!I107</f>
        <v>0</v>
      </c>
      <c r="AT107" s="39">
        <f t="shared" si="41"/>
        <v>1</v>
      </c>
      <c r="AU107" s="39">
        <f t="shared" si="42"/>
        <v>1</v>
      </c>
      <c r="AV107" s="39" t="str">
        <f t="shared" si="43"/>
        <v/>
      </c>
      <c r="AW107" s="39" t="str">
        <f t="shared" si="44"/>
        <v/>
      </c>
      <c r="AX107" s="5">
        <f t="shared" si="35"/>
        <v>168</v>
      </c>
      <c r="AY107" s="41">
        <f t="shared" si="45"/>
        <v>1</v>
      </c>
      <c r="AZ107" s="41">
        <f t="shared" si="46"/>
        <v>0</v>
      </c>
      <c r="BA107" s="41">
        <f t="shared" si="47"/>
        <v>0</v>
      </c>
      <c r="BB107" s="41">
        <f t="shared" si="48"/>
        <v>0</v>
      </c>
      <c r="BC107" s="41">
        <f t="shared" si="49"/>
        <v>0</v>
      </c>
      <c r="BD107" s="41">
        <f t="shared" si="50"/>
        <v>0</v>
      </c>
      <c r="BE107" s="3">
        <f t="shared" si="51"/>
        <v>1</v>
      </c>
      <c r="BF107" s="3" t="str">
        <f t="shared" si="37"/>
        <v>Failed in 5 Subjects</v>
      </c>
      <c r="BG107" s="5" t="str">
        <f>IF(AW107="","",RANK(AW107,AW$2:AW145,0))</f>
        <v/>
      </c>
      <c r="BH107" s="3" t="str">
        <f t="shared" si="38"/>
        <v>খুবই দুর্বল</v>
      </c>
      <c r="BI107" t="str">
        <f t="shared" si="39"/>
        <v>Very Weak</v>
      </c>
      <c r="BJ107" s="104" t="str">
        <f t="shared" si="40"/>
        <v/>
      </c>
    </row>
    <row r="108" spans="1:62" ht="15" thickBot="1" x14ac:dyDescent="0.4">
      <c r="A108" s="3" t="str">
        <f>'Student Basic Info'!B108</f>
        <v>Business Studies</v>
      </c>
      <c r="B108" s="3">
        <f>'Student Basic Info'!A108</f>
        <v>607</v>
      </c>
      <c r="C108" s="3" t="str">
        <f>'Student Basic Info'!C108</f>
        <v>Shekh Shahriyar Aziz</v>
      </c>
      <c r="D108" s="3" t="str">
        <f>'Student Basic Info'!D108</f>
        <v>Shekh Jamal</v>
      </c>
      <c r="E108" s="3" t="str">
        <f>'Student Basic Info'!E108</f>
        <v>Forida Yeasmin</v>
      </c>
      <c r="F108" s="3" t="str">
        <f>'Student Basic Info'!F108</f>
        <v>Male</v>
      </c>
      <c r="G108" s="79">
        <v>1311603288</v>
      </c>
      <c r="H108" s="59" t="str">
        <f>IF(Bangla!B108="","",Bangla!B108)</f>
        <v/>
      </c>
      <c r="I108" s="59">
        <f>IF(Bangla!C108="","",Bangla!C108)</f>
        <v>26</v>
      </c>
      <c r="J108" s="60">
        <f>IF(Bangla!D108="","",Bangla!D108)</f>
        <v>26</v>
      </c>
      <c r="K108" s="61">
        <f>IF(English!C108="","",English!C108)</f>
        <v>13</v>
      </c>
      <c r="L108" s="35">
        <f>IF(ICT!B108="","",ICT!B108)</f>
        <v>12</v>
      </c>
      <c r="M108" s="35">
        <f>IF(ICT!C108="","",ICT!C108)</f>
        <v>4</v>
      </c>
      <c r="N108" s="35">
        <f>IF(ICT!D108="","",ICT!D108)</f>
        <v>8</v>
      </c>
      <c r="O108" s="42">
        <f>IF(ICT!E108="","",ICT!E108)</f>
        <v>24</v>
      </c>
      <c r="P108" s="40">
        <f>IF(Accounting!B108="","",Accounting!B108)</f>
        <v>10</v>
      </c>
      <c r="Q108" s="40">
        <f>IF(Accounting!C108="","",Accounting!C108)</f>
        <v>20</v>
      </c>
      <c r="R108" s="44">
        <f>IF(Accounting!D108="","",Accounting!D108)</f>
        <v>30</v>
      </c>
      <c r="S108" s="35">
        <f>IF('Business Organization'!B108="","",'Business Organization'!B108)</f>
        <v>12</v>
      </c>
      <c r="T108" s="35">
        <f>IF('Business Organization'!C108="","",'Business Organization'!C108)</f>
        <v>6</v>
      </c>
      <c r="U108" s="42">
        <f>IF('Business Organization'!D108="","",'Business Organization'!D108)</f>
        <v>18</v>
      </c>
      <c r="V108" s="36">
        <f>IF(SubjectList!G108="Finance",IF(Finance!B108=0,"", Finance!B108),IF(SubjectList!G108="Production",IF(Production!B108=0,"", Production!B108),IF(SubjectList!G108="Economics",IF(Economics!B108=0,"", Economics!B108))))</f>
        <v>12</v>
      </c>
      <c r="W108" s="36">
        <f>IF(SubjectList!G108="Finance",IF(Finance!C108=0,"", Finance!C108),IF(SubjectList!G108="Production",IF(Production!C108=0,"", Production!C108),IF(SubjectList!G108="Economics",IF(Economics!C108=0,"", Economics!C108))))</f>
        <v>3</v>
      </c>
      <c r="X108" s="43">
        <f>IF(SubjectList!G108="Finance",IF(Finance!D108=0,"", Finance!D108),IF(SubjectList!G108="Production",IF(Production!D108=0,"", Production!D108),IF(SubjectList!G108="Economics",IF(Economics!D108=0,"", Economics!D108))))</f>
        <v>15</v>
      </c>
      <c r="Y108" s="40">
        <f>IF(SubjectList!H108="Finance",IF(Finance!B108=0,"", Finance!B108),IF(SubjectList!H108="Production",IF(Production!B108=0,"", Production!B108),IF(SubjectList!H108="Economics",IF(Economics!B108=0,"", Economics!B108))))</f>
        <v>10</v>
      </c>
      <c r="Z108" s="40">
        <f>IF(SubjectList!H108="Finance",IF(Finance!C108=0,"", Finance!C108),IF(SubjectList!H108="Production",IF(Production!C108=0,"", Production!C108),IF(SubjectList!H108="Economics",IF(Economics!C108=0,"", Economics!C108))))</f>
        <v>3</v>
      </c>
      <c r="AA108" s="44">
        <f>IF(SubjectList!H108="Finance",IF(Finance!D108=0,"", Finance!D108),IF(SubjectList!H108="Production",IF(Production!D108=0,"", Production!D108),IF(SubjectList!H108="Economics",IF(Economics!D108=0,"", Economics!D108))))</f>
        <v>13</v>
      </c>
      <c r="AB108" s="37" t="str">
        <f>IF(SubjectList!G108="Finance","Finance",IF(SubjectList!G108="Production","Production",IF(SubjectList!G108="Economics","Not Given")))</f>
        <v>Finance</v>
      </c>
      <c r="AC108" s="37" t="str">
        <f>IF(SubjectList!H108="Finance","Finance",IF(SubjectList!H108="Production","Production",IF(SubjectList!H108="Economics","Economics","Not Given")))</f>
        <v>Production</v>
      </c>
      <c r="AD108" s="38" t="str">
        <f>Bangla!F108</f>
        <v>F</v>
      </c>
      <c r="AE108" s="38" t="str">
        <f>English!E108</f>
        <v>F</v>
      </c>
      <c r="AF108" s="38" t="str">
        <f>ICT!G108</f>
        <v>F</v>
      </c>
      <c r="AG108" s="38" t="str">
        <f>Accounting!F108</f>
        <v>F</v>
      </c>
      <c r="AH108" s="38" t="str">
        <f>'Business Organization'!F108</f>
        <v>F</v>
      </c>
      <c r="AI108" s="38" t="str">
        <f>Production!F108</f>
        <v>F</v>
      </c>
      <c r="AJ108" s="38" t="str">
        <f>Finance!F108</f>
        <v>F</v>
      </c>
      <c r="AK108" s="39">
        <f>Bangla!G108</f>
        <v>0</v>
      </c>
      <c r="AL108" s="39">
        <f>English!F108</f>
        <v>0</v>
      </c>
      <c r="AM108" s="39">
        <f>ICT!H108</f>
        <v>0</v>
      </c>
      <c r="AN108" s="39">
        <f>Accounting!G108</f>
        <v>0</v>
      </c>
      <c r="AO108" s="39">
        <f>'Business Organization'!G108</f>
        <v>0</v>
      </c>
      <c r="AP108" s="39">
        <f>IF(SubjectList!G108="Finance",Finance!G108,IF(SubjectList!G108="Production",Production!G108,IF(SubjectList!G108="Economics",Economics!G108)))</f>
        <v>0</v>
      </c>
      <c r="AQ108" s="39">
        <f>IF(Optional!H108="","", Optional!H108)</f>
        <v>0</v>
      </c>
      <c r="AR108" s="39">
        <f>Optional!H108</f>
        <v>0</v>
      </c>
      <c r="AS108" s="39">
        <f>Optional!I108</f>
        <v>0</v>
      </c>
      <c r="AT108" s="39" t="str">
        <f t="shared" si="41"/>
        <v/>
      </c>
      <c r="AU108" s="39">
        <f t="shared" si="42"/>
        <v>0</v>
      </c>
      <c r="AV108" s="39" t="str">
        <f t="shared" si="43"/>
        <v/>
      </c>
      <c r="AW108" s="39" t="str">
        <f t="shared" si="44"/>
        <v/>
      </c>
      <c r="AX108" s="5">
        <f t="shared" si="35"/>
        <v>139</v>
      </c>
      <c r="AY108" s="41">
        <f t="shared" si="45"/>
        <v>0</v>
      </c>
      <c r="AZ108" s="41">
        <f t="shared" si="46"/>
        <v>0</v>
      </c>
      <c r="BA108" s="41">
        <f t="shared" si="47"/>
        <v>0</v>
      </c>
      <c r="BB108" s="41">
        <f t="shared" si="48"/>
        <v>0</v>
      </c>
      <c r="BC108" s="41">
        <f t="shared" si="49"/>
        <v>0</v>
      </c>
      <c r="BD108" s="41">
        <f t="shared" si="50"/>
        <v>0</v>
      </c>
      <c r="BE108" s="3">
        <f t="shared" si="51"/>
        <v>0</v>
      </c>
      <c r="BF108" s="3" t="str">
        <f t="shared" si="37"/>
        <v>Failed in 6 Subjects</v>
      </c>
      <c r="BG108" s="5" t="str">
        <f>IF(AW108="","",RANK(AW108,AW$2:AW145,0))</f>
        <v/>
      </c>
      <c r="BH108" s="3" t="str">
        <f t="shared" si="38"/>
        <v>খুবই দুর্বল</v>
      </c>
      <c r="BI108" t="str">
        <f t="shared" si="39"/>
        <v>Very Weak</v>
      </c>
      <c r="BJ108" s="104" t="str">
        <f t="shared" si="40"/>
        <v/>
      </c>
    </row>
    <row r="109" spans="1:62" ht="15" thickBot="1" x14ac:dyDescent="0.4">
      <c r="A109" s="3" t="str">
        <f>'Student Basic Info'!B109</f>
        <v>Business Studies</v>
      </c>
      <c r="B109" s="3">
        <f>'Student Basic Info'!A109</f>
        <v>608</v>
      </c>
      <c r="C109" s="3" t="str">
        <f>'Student Basic Info'!C109</f>
        <v xml:space="preserve">Zahidul Islam </v>
      </c>
      <c r="D109" s="3" t="str">
        <f>'Student Basic Info'!D109</f>
        <v>Md. Nur Nobi</v>
      </c>
      <c r="E109" s="3" t="str">
        <f>'Student Basic Info'!E109</f>
        <v>Ayesha Siddika</v>
      </c>
      <c r="F109" s="3" t="str">
        <f>'Student Basic Info'!F109</f>
        <v>Male</v>
      </c>
      <c r="G109" s="79">
        <v>1858033391</v>
      </c>
      <c r="H109" s="59" t="str">
        <f>IF(Bangla!B109="","",Bangla!B109)</f>
        <v/>
      </c>
      <c r="I109" s="59">
        <f>IF(Bangla!C109="","",Bangla!C109)</f>
        <v>40</v>
      </c>
      <c r="J109" s="60">
        <f>IF(Bangla!D109="","",Bangla!D109)</f>
        <v>40</v>
      </c>
      <c r="K109" s="61">
        <f>IF(English!C109="","",English!C109)</f>
        <v>33</v>
      </c>
      <c r="L109" s="35">
        <f>IF(ICT!B109="","",ICT!B109)</f>
        <v>12</v>
      </c>
      <c r="M109" s="35">
        <f>IF(ICT!C109="","",ICT!C109)</f>
        <v>12</v>
      </c>
      <c r="N109" s="35">
        <f>IF(ICT!D109="","",ICT!D109)</f>
        <v>8</v>
      </c>
      <c r="O109" s="42">
        <f>IF(ICT!E109="","",ICT!E109)</f>
        <v>32</v>
      </c>
      <c r="P109" s="40">
        <f>IF(Accounting!B109="","",Accounting!B109)</f>
        <v>10</v>
      </c>
      <c r="Q109" s="40">
        <f>IF(Accounting!C109="","",Accounting!C109)</f>
        <v>6</v>
      </c>
      <c r="R109" s="44">
        <f>IF(Accounting!D109="","",Accounting!D109)</f>
        <v>16</v>
      </c>
      <c r="S109" s="35">
        <f>IF('Business Organization'!B109="","",'Business Organization'!B109)</f>
        <v>18</v>
      </c>
      <c r="T109" s="35">
        <f>IF('Business Organization'!C109="","",'Business Organization'!C109)</f>
        <v>19</v>
      </c>
      <c r="U109" s="42">
        <f>IF('Business Organization'!D109="","",'Business Organization'!D109)</f>
        <v>37</v>
      </c>
      <c r="V109" s="36">
        <f>IF(SubjectList!G109="Finance",IF(Finance!B109=0,"", Finance!B109),IF(SubjectList!G109="Production",IF(Production!B109=0,"", Production!B109),IF(SubjectList!G109="Economics",IF(Economics!B109=0,"", Economics!B109))))</f>
        <v>19</v>
      </c>
      <c r="W109" s="36">
        <f>IF(SubjectList!G109="Finance",IF(Finance!C109=0,"", Finance!C109),IF(SubjectList!G109="Production",IF(Production!C109=0,"", Production!C109),IF(SubjectList!G109="Economics",IF(Economics!C109=0,"", Economics!C109))))</f>
        <v>32</v>
      </c>
      <c r="X109" s="43">
        <f>IF(SubjectList!G109="Finance",IF(Finance!D109=0,"", Finance!D109),IF(SubjectList!G109="Production",IF(Production!D109=0,"", Production!D109),IF(SubjectList!G109="Economics",IF(Economics!D109=0,"", Economics!D109))))</f>
        <v>51</v>
      </c>
      <c r="Y109" s="40">
        <f>IF(SubjectList!H109="Finance",IF(Finance!B109=0,"", Finance!B109),IF(SubjectList!H109="Production",IF(Production!B109=0,"", Production!B109),IF(SubjectList!H109="Economics",IF(Economics!B109=0,"", Economics!B109))))</f>
        <v>10</v>
      </c>
      <c r="Z109" s="40">
        <f>IF(SubjectList!H109="Finance",IF(Finance!C109=0,"", Finance!C109),IF(SubjectList!H109="Production",IF(Production!C109=0,"", Production!C109),IF(SubjectList!H109="Economics",IF(Economics!C109=0,"", Economics!C109))))</f>
        <v>2</v>
      </c>
      <c r="AA109" s="44">
        <f>IF(SubjectList!H109="Finance",IF(Finance!D109=0,"", Finance!D109),IF(SubjectList!H109="Production",IF(Production!D109=0,"", Production!D109),IF(SubjectList!H109="Economics",IF(Economics!D109=0,"", Economics!D109))))</f>
        <v>12</v>
      </c>
      <c r="AB109" s="37" t="str">
        <f>IF(SubjectList!G109="Finance","Finance",IF(SubjectList!G109="Production","Production",IF(SubjectList!G109="Economics","Not Given")))</f>
        <v>Production</v>
      </c>
      <c r="AC109" s="37" t="str">
        <f>IF(SubjectList!H109="Finance","Finance",IF(SubjectList!H109="Production","Production",IF(SubjectList!H109="Economics","Economics","Not Given")))</f>
        <v>Finance</v>
      </c>
      <c r="AD109" s="38" t="str">
        <f>Bangla!F109</f>
        <v>C</v>
      </c>
      <c r="AE109" s="38" t="str">
        <f>English!E109</f>
        <v>D</v>
      </c>
      <c r="AF109" s="38" t="str">
        <f>ICT!G109</f>
        <v>F</v>
      </c>
      <c r="AG109" s="38" t="str">
        <f>Accounting!F109</f>
        <v>F</v>
      </c>
      <c r="AH109" s="38" t="str">
        <f>'Business Organization'!F109</f>
        <v>F</v>
      </c>
      <c r="AI109" s="38" t="str">
        <f>Production!F109</f>
        <v>B</v>
      </c>
      <c r="AJ109" s="38" t="str">
        <f>Finance!F109</f>
        <v>F</v>
      </c>
      <c r="AK109" s="39">
        <f>Bangla!G109</f>
        <v>2</v>
      </c>
      <c r="AL109" s="39">
        <f>English!F109</f>
        <v>1</v>
      </c>
      <c r="AM109" s="39">
        <f>ICT!H109</f>
        <v>0</v>
      </c>
      <c r="AN109" s="39">
        <f>Accounting!G109</f>
        <v>0</v>
      </c>
      <c r="AO109" s="39">
        <f>'Business Organization'!G109</f>
        <v>0</v>
      </c>
      <c r="AP109" s="39">
        <f>IF(SubjectList!G109="Finance",Finance!G109,IF(SubjectList!G109="Production",Production!G109,IF(SubjectList!G109="Economics",Economics!G109)))</f>
        <v>3</v>
      </c>
      <c r="AQ109" s="39">
        <f>IF(Optional!H109="","", Optional!H109)</f>
        <v>0</v>
      </c>
      <c r="AR109" s="39">
        <f>Optional!H109</f>
        <v>0</v>
      </c>
      <c r="AS109" s="39">
        <f>Optional!I109</f>
        <v>0</v>
      </c>
      <c r="AT109" s="39">
        <f t="shared" si="41"/>
        <v>6</v>
      </c>
      <c r="AU109" s="39">
        <f t="shared" si="42"/>
        <v>6</v>
      </c>
      <c r="AV109" s="39" t="str">
        <f t="shared" si="43"/>
        <v/>
      </c>
      <c r="AW109" s="39" t="str">
        <f t="shared" si="44"/>
        <v/>
      </c>
      <c r="AX109" s="5">
        <f t="shared" si="35"/>
        <v>221</v>
      </c>
      <c r="AY109" s="41">
        <f t="shared" si="45"/>
        <v>1</v>
      </c>
      <c r="AZ109" s="41">
        <f t="shared" si="46"/>
        <v>1</v>
      </c>
      <c r="BA109" s="41">
        <f t="shared" si="47"/>
        <v>0</v>
      </c>
      <c r="BB109" s="41">
        <f t="shared" si="48"/>
        <v>0</v>
      </c>
      <c r="BC109" s="41">
        <f t="shared" si="49"/>
        <v>0</v>
      </c>
      <c r="BD109" s="41">
        <f t="shared" si="50"/>
        <v>1</v>
      </c>
      <c r="BE109" s="3">
        <f t="shared" si="51"/>
        <v>3</v>
      </c>
      <c r="BF109" s="3" t="str">
        <f t="shared" si="37"/>
        <v>Failed in 3 Subjects</v>
      </c>
      <c r="BG109" s="5" t="str">
        <f>IF(AW109="","",RANK(AW109,AW$2:AW145,0))</f>
        <v/>
      </c>
      <c r="BH109" s="3" t="str">
        <f t="shared" si="38"/>
        <v>খুবই দুর্বল</v>
      </c>
      <c r="BI109" t="str">
        <f t="shared" si="39"/>
        <v>Very Weak</v>
      </c>
      <c r="BJ109" s="104" t="str">
        <f t="shared" si="40"/>
        <v/>
      </c>
    </row>
    <row r="110" spans="1:62" ht="15" thickBot="1" x14ac:dyDescent="0.4">
      <c r="A110" s="3" t="str">
        <f>'Student Basic Info'!B110</f>
        <v>Business Studies</v>
      </c>
      <c r="B110" s="3">
        <f>'Student Basic Info'!A110</f>
        <v>609</v>
      </c>
      <c r="C110" s="3" t="str">
        <f>'Student Basic Info'!C110</f>
        <v>Jorina Aktar</v>
      </c>
      <c r="D110" s="3" t="str">
        <f>'Student Basic Info'!D110</f>
        <v>Md. Boshir Ullah</v>
      </c>
      <c r="E110" s="3" t="str">
        <f>'Student Basic Info'!E110</f>
        <v>Asmaul Hosna</v>
      </c>
      <c r="F110" s="3" t="str">
        <f>'Student Basic Info'!F110</f>
        <v>Female</v>
      </c>
      <c r="G110" s="79">
        <v>1857099625</v>
      </c>
      <c r="H110" s="59" t="str">
        <f>IF(Bangla!B110="","",Bangla!B110)</f>
        <v/>
      </c>
      <c r="I110" s="59">
        <f>IF(Bangla!C110="","",Bangla!C110)</f>
        <v>33</v>
      </c>
      <c r="J110" s="60">
        <f>IF(Bangla!D110="","",Bangla!D110)</f>
        <v>33</v>
      </c>
      <c r="K110" s="61">
        <f>IF(English!C110="","",English!C110)</f>
        <v>13</v>
      </c>
      <c r="L110" s="35">
        <f>IF(ICT!B110="","",ICT!B110)</f>
        <v>8</v>
      </c>
      <c r="M110" s="35">
        <f>IF(ICT!C110="","",ICT!C110)</f>
        <v>6</v>
      </c>
      <c r="N110" s="35">
        <f>IF(ICT!D110="","",ICT!D110)</f>
        <v>18</v>
      </c>
      <c r="O110" s="42">
        <f>IF(ICT!E110="","",ICT!E110)</f>
        <v>32</v>
      </c>
      <c r="P110" s="40">
        <f>IF(Accounting!B110="","",Accounting!B110)</f>
        <v>5</v>
      </c>
      <c r="Q110" s="40">
        <f>IF(Accounting!C110="","",Accounting!C110)</f>
        <v>25</v>
      </c>
      <c r="R110" s="44">
        <f>IF(Accounting!D110="","",Accounting!D110)</f>
        <v>30</v>
      </c>
      <c r="S110" s="35">
        <f>IF('Business Organization'!B110="","",'Business Organization'!B110)</f>
        <v>10</v>
      </c>
      <c r="T110" s="35">
        <f>IF('Business Organization'!C110="","",'Business Organization'!C110)</f>
        <v>16</v>
      </c>
      <c r="U110" s="42">
        <f>IF('Business Organization'!D110="","",'Business Organization'!D110)</f>
        <v>26</v>
      </c>
      <c r="V110" s="36">
        <f>IF(SubjectList!G110="Finance",IF(Finance!B110=0,"", Finance!B110),IF(SubjectList!G110="Production",IF(Production!B110=0,"", Production!B110),IF(SubjectList!G110="Economics",IF(Economics!B110=0,"", Economics!B110))))</f>
        <v>11</v>
      </c>
      <c r="W110" s="36">
        <f>IF(SubjectList!G110="Finance",IF(Finance!C110=0,"", Finance!C110),IF(SubjectList!G110="Production",IF(Production!C110=0,"", Production!C110),IF(SubjectList!G110="Economics",IF(Economics!C110=0,"", Economics!C110))))</f>
        <v>23</v>
      </c>
      <c r="X110" s="43">
        <f>IF(SubjectList!G110="Finance",IF(Finance!D110=0,"", Finance!D110),IF(SubjectList!G110="Production",IF(Production!D110=0,"", Production!D110),IF(SubjectList!G110="Economics",IF(Economics!D110=0,"", Economics!D110))))</f>
        <v>34</v>
      </c>
      <c r="Y110" s="40">
        <f>IF(SubjectList!H110="Finance",IF(Finance!B110=0,"", Finance!B110),IF(SubjectList!H110="Production",IF(Production!B110=0,"", Production!B110),IF(SubjectList!H110="Economics",IF(Economics!B110=0,"", Economics!B110))))</f>
        <v>6</v>
      </c>
      <c r="Z110" s="40">
        <f>IF(SubjectList!H110="Finance",IF(Finance!C110=0,"", Finance!C110),IF(SubjectList!H110="Production",IF(Production!C110=0,"", Production!C110),IF(SubjectList!H110="Economics",IF(Economics!C110=0,"", Economics!C110))))</f>
        <v>17</v>
      </c>
      <c r="AA110" s="44">
        <f>IF(SubjectList!H110="Finance",IF(Finance!D110=0,"", Finance!D110),IF(SubjectList!H110="Production",IF(Production!D110=0,"", Production!D110),IF(SubjectList!H110="Economics",IF(Economics!D110=0,"", Economics!D110))))</f>
        <v>23</v>
      </c>
      <c r="AB110" s="37" t="str">
        <f>IF(SubjectList!G110="Finance","Finance",IF(SubjectList!G110="Production","Production",IF(SubjectList!G110="Economics","Not Given")))</f>
        <v>Production</v>
      </c>
      <c r="AC110" s="37" t="str">
        <f>IF(SubjectList!H110="Finance","Finance",IF(SubjectList!H110="Production","Production",IF(SubjectList!H110="Economics","Economics","Not Given")))</f>
        <v>Finance</v>
      </c>
      <c r="AD110" s="38" t="str">
        <f>Bangla!F110</f>
        <v>D</v>
      </c>
      <c r="AE110" s="38" t="str">
        <f>English!E110</f>
        <v>F</v>
      </c>
      <c r="AF110" s="38" t="str">
        <f>ICT!G110</f>
        <v>F</v>
      </c>
      <c r="AG110" s="38" t="str">
        <f>Accounting!F110</f>
        <v>F</v>
      </c>
      <c r="AH110" s="38" t="str">
        <f>'Business Organization'!F110</f>
        <v>F</v>
      </c>
      <c r="AI110" s="38" t="str">
        <f>Production!F110</f>
        <v>D</v>
      </c>
      <c r="AJ110" s="38" t="str">
        <f>Finance!F110</f>
        <v>F</v>
      </c>
      <c r="AK110" s="39">
        <f>Bangla!G110</f>
        <v>1</v>
      </c>
      <c r="AL110" s="39">
        <f>English!F110</f>
        <v>0</v>
      </c>
      <c r="AM110" s="39">
        <f>ICT!H110</f>
        <v>0</v>
      </c>
      <c r="AN110" s="39">
        <f>Accounting!G110</f>
        <v>0</v>
      </c>
      <c r="AO110" s="39">
        <f>'Business Organization'!G110</f>
        <v>0</v>
      </c>
      <c r="AP110" s="39">
        <f>IF(SubjectList!G110="Finance",Finance!G110,IF(SubjectList!G110="Production",Production!G110,IF(SubjectList!G110="Economics",Economics!G110)))</f>
        <v>1</v>
      </c>
      <c r="AQ110" s="39">
        <f>IF(Optional!H110="","", Optional!H110)</f>
        <v>0</v>
      </c>
      <c r="AR110" s="39">
        <f>Optional!H110</f>
        <v>0</v>
      </c>
      <c r="AS110" s="39">
        <f>Optional!I110</f>
        <v>0</v>
      </c>
      <c r="AT110" s="39">
        <f t="shared" si="41"/>
        <v>2</v>
      </c>
      <c r="AU110" s="39">
        <f t="shared" si="42"/>
        <v>2</v>
      </c>
      <c r="AV110" s="39" t="str">
        <f t="shared" si="43"/>
        <v/>
      </c>
      <c r="AW110" s="39" t="str">
        <f t="shared" si="44"/>
        <v/>
      </c>
      <c r="AX110" s="5">
        <f t="shared" si="35"/>
        <v>191</v>
      </c>
      <c r="AY110" s="41">
        <f t="shared" si="45"/>
        <v>1</v>
      </c>
      <c r="AZ110" s="41">
        <f t="shared" si="46"/>
        <v>0</v>
      </c>
      <c r="BA110" s="41">
        <f t="shared" si="47"/>
        <v>0</v>
      </c>
      <c r="BB110" s="41">
        <f t="shared" si="48"/>
        <v>0</v>
      </c>
      <c r="BC110" s="41">
        <f t="shared" si="49"/>
        <v>0</v>
      </c>
      <c r="BD110" s="41">
        <f t="shared" si="50"/>
        <v>1</v>
      </c>
      <c r="BE110" s="3">
        <f t="shared" si="51"/>
        <v>2</v>
      </c>
      <c r="BF110" s="3" t="str">
        <f t="shared" si="37"/>
        <v>Failed in 4 Subjects</v>
      </c>
      <c r="BG110" s="5" t="str">
        <f>IF(AW110="","",RANK(AW110,AW$2:AW145,0))</f>
        <v/>
      </c>
      <c r="BH110" s="3" t="str">
        <f t="shared" si="38"/>
        <v>খুবই দুর্বল</v>
      </c>
      <c r="BI110" t="str">
        <f t="shared" si="39"/>
        <v>Very Weak</v>
      </c>
      <c r="BJ110" s="104" t="str">
        <f t="shared" si="40"/>
        <v/>
      </c>
    </row>
    <row r="111" spans="1:62" ht="15" thickBot="1" x14ac:dyDescent="0.4">
      <c r="A111" s="3" t="str">
        <f>'Student Basic Info'!B111</f>
        <v>Business Studies</v>
      </c>
      <c r="B111" s="3">
        <f>'Student Basic Info'!A111</f>
        <v>610</v>
      </c>
      <c r="C111" s="3" t="str">
        <f>'Student Basic Info'!C111</f>
        <v>Youhidul Islam</v>
      </c>
      <c r="D111" s="3" t="str">
        <f>'Student Basic Info'!D111</f>
        <v>Saiful Islam</v>
      </c>
      <c r="E111" s="3" t="str">
        <f>'Student Basic Info'!E111</f>
        <v>Marzahan Begum</v>
      </c>
      <c r="F111" s="3" t="str">
        <f>'Student Basic Info'!F111</f>
        <v>Male</v>
      </c>
      <c r="G111" s="79">
        <v>1836061690</v>
      </c>
      <c r="H111" s="59" t="str">
        <f>IF(Bangla!B111="","",Bangla!B111)</f>
        <v/>
      </c>
      <c r="I111" s="59">
        <f>IF(Bangla!C111="","",Bangla!C111)</f>
        <v>33</v>
      </c>
      <c r="J111" s="60">
        <f>IF(Bangla!D111="","",Bangla!D111)</f>
        <v>33</v>
      </c>
      <c r="K111" s="61">
        <f>IF(English!C111="","",English!C111)</f>
        <v>19</v>
      </c>
      <c r="L111" s="35">
        <f>IF(ICT!B111="","",ICT!B111)</f>
        <v>6</v>
      </c>
      <c r="M111" s="35">
        <f>IF(ICT!C111="","",ICT!C111)</f>
        <v>8</v>
      </c>
      <c r="N111" s="35">
        <f>IF(ICT!D111="","",ICT!D111)</f>
        <v>8</v>
      </c>
      <c r="O111" s="42">
        <f>IF(ICT!E111="","",ICT!E111)</f>
        <v>22</v>
      </c>
      <c r="P111" s="40">
        <f>IF(Accounting!B111="","",Accounting!B111)</f>
        <v>8</v>
      </c>
      <c r="Q111" s="40">
        <f>IF(Accounting!C111="","",Accounting!C111)</f>
        <v>2</v>
      </c>
      <c r="R111" s="44">
        <f>IF(Accounting!D111="","",Accounting!D111)</f>
        <v>10</v>
      </c>
      <c r="S111" s="35" t="str">
        <f>IF('Business Organization'!B111="","",'Business Organization'!B111)</f>
        <v/>
      </c>
      <c r="T111" s="35" t="str">
        <f>IF('Business Organization'!C111="","",'Business Organization'!C111)</f>
        <v/>
      </c>
      <c r="U111" s="42" t="str">
        <f>IF('Business Organization'!D111="","",'Business Organization'!D111)</f>
        <v/>
      </c>
      <c r="V111" s="36" t="str">
        <f>IF(SubjectList!G111="Finance",IF(Finance!B111=0,"", Finance!B111),IF(SubjectList!G111="Production",IF(Production!B111=0,"", Production!B111),IF(SubjectList!G111="Economics",IF(Economics!B111=0,"", Economics!B111))))</f>
        <v/>
      </c>
      <c r="W111" s="36" t="str">
        <f>IF(SubjectList!G111="Finance",IF(Finance!C111=0,"", Finance!C111),IF(SubjectList!G111="Production",IF(Production!C111=0,"", Production!C111),IF(SubjectList!G111="Economics",IF(Economics!C111=0,"", Economics!C111))))</f>
        <v/>
      </c>
      <c r="X111" s="43" t="str">
        <f>IF(SubjectList!G111="Finance",IF(Finance!D111=0,"", Finance!D111),IF(SubjectList!G111="Production",IF(Production!D111=0,"", Production!D111),IF(SubjectList!G111="Economics",IF(Economics!D111=0,"", Economics!D111))))</f>
        <v/>
      </c>
      <c r="Y111" s="40" t="str">
        <f>IF(SubjectList!H111="Finance",IF(Finance!B111=0,"", Finance!B111),IF(SubjectList!H111="Production",IF(Production!B111=0,"", Production!B111),IF(SubjectList!H111="Economics",IF(Economics!B111=0,"", Economics!B111))))</f>
        <v/>
      </c>
      <c r="Z111" s="40" t="str">
        <f>IF(SubjectList!H111="Finance",IF(Finance!C111=0,"", Finance!C111),IF(SubjectList!H111="Production",IF(Production!C111=0,"", Production!C111),IF(SubjectList!H111="Economics",IF(Economics!C111=0,"", Economics!C111))))</f>
        <v/>
      </c>
      <c r="AA111" s="44" t="str">
        <f>IF(SubjectList!H111="Finance",IF(Finance!D111=0,"", Finance!D111),IF(SubjectList!H111="Production",IF(Production!D111=0,"", Production!D111),IF(SubjectList!H111="Economics",IF(Economics!D111=0,"", Economics!D111))))</f>
        <v/>
      </c>
      <c r="AB111" s="37" t="str">
        <f>IF(SubjectList!G111="Finance","Finance",IF(SubjectList!G111="Production","Production",IF(SubjectList!G111="Economics","Not Given")))</f>
        <v>Finance</v>
      </c>
      <c r="AC111" s="37" t="str">
        <f>IF(SubjectList!H111="Finance","Finance",IF(SubjectList!H111="Production","Production",IF(SubjectList!H111="Economics","Economics","Not Given")))</f>
        <v>Economics</v>
      </c>
      <c r="AD111" s="38" t="str">
        <f>Bangla!F111</f>
        <v>D</v>
      </c>
      <c r="AE111" s="38" t="str">
        <f>English!E111</f>
        <v>F</v>
      </c>
      <c r="AF111" s="38" t="str">
        <f>ICT!G111</f>
        <v>F</v>
      </c>
      <c r="AG111" s="38" t="str">
        <f>Accounting!F111</f>
        <v>F</v>
      </c>
      <c r="AH111" s="38" t="str">
        <f>'Business Organization'!F111</f>
        <v/>
      </c>
      <c r="AI111" s="38" t="str">
        <f>Production!F111</f>
        <v/>
      </c>
      <c r="AJ111" s="38" t="str">
        <f>Finance!F111</f>
        <v/>
      </c>
      <c r="AK111" s="39">
        <f>Bangla!G111</f>
        <v>1</v>
      </c>
      <c r="AL111" s="39">
        <f>English!F111</f>
        <v>0</v>
      </c>
      <c r="AM111" s="39">
        <f>ICT!H111</f>
        <v>0</v>
      </c>
      <c r="AN111" s="39">
        <f>Accounting!G111</f>
        <v>0</v>
      </c>
      <c r="AO111" s="39" t="str">
        <f>'Business Organization'!G111</f>
        <v/>
      </c>
      <c r="AP111" s="39" t="str">
        <f>IF(SubjectList!G111="Finance",Finance!G111,IF(SubjectList!G111="Production",Production!G111,IF(SubjectList!G111="Economics",Economics!G111)))</f>
        <v/>
      </c>
      <c r="AQ111" s="39" t="str">
        <f>IF(Optional!H111="","", Optional!H111)</f>
        <v/>
      </c>
      <c r="AR111" s="39" t="str">
        <f>Optional!H111</f>
        <v/>
      </c>
      <c r="AS111" s="39" t="str">
        <f>Optional!I111</f>
        <v/>
      </c>
      <c r="AT111" s="39">
        <f t="shared" si="41"/>
        <v>1</v>
      </c>
      <c r="AU111" s="39">
        <f t="shared" si="42"/>
        <v>1</v>
      </c>
      <c r="AV111" s="39" t="str">
        <f t="shared" si="43"/>
        <v/>
      </c>
      <c r="AW111" s="39" t="str">
        <f t="shared" si="44"/>
        <v/>
      </c>
      <c r="AX111" s="5">
        <f t="shared" si="35"/>
        <v>84</v>
      </c>
      <c r="AY111" s="41">
        <f t="shared" si="45"/>
        <v>1</v>
      </c>
      <c r="AZ111" s="41">
        <f t="shared" si="46"/>
        <v>0</v>
      </c>
      <c r="BA111" s="41">
        <f t="shared" si="47"/>
        <v>0</v>
      </c>
      <c r="BB111" s="41">
        <f t="shared" si="48"/>
        <v>0</v>
      </c>
      <c r="BC111" s="41">
        <f t="shared" si="49"/>
        <v>0</v>
      </c>
      <c r="BD111" s="41">
        <f t="shared" si="50"/>
        <v>0</v>
      </c>
      <c r="BE111" s="3">
        <f t="shared" si="51"/>
        <v>1</v>
      </c>
      <c r="BF111" s="3" t="str">
        <f t="shared" si="37"/>
        <v>Failed in 5 Subjects</v>
      </c>
      <c r="BG111" s="5" t="str">
        <f>IF(AW111="","",RANK(AW111,AW$2:AW145,0))</f>
        <v/>
      </c>
      <c r="BH111" s="3" t="str">
        <f t="shared" si="38"/>
        <v>খুবই দুর্বল</v>
      </c>
      <c r="BI111" t="str">
        <f t="shared" si="39"/>
        <v>Very Weak</v>
      </c>
      <c r="BJ111" s="104" t="str">
        <f t="shared" si="40"/>
        <v/>
      </c>
    </row>
    <row r="112" spans="1:62" ht="15" thickBot="1" x14ac:dyDescent="0.4">
      <c r="A112" s="3" t="str">
        <f>'Student Basic Info'!B112</f>
        <v>Business Studies</v>
      </c>
      <c r="B112" s="3">
        <f>'Student Basic Info'!A112</f>
        <v>611</v>
      </c>
      <c r="C112" s="3" t="str">
        <f>'Student Basic Info'!C112</f>
        <v>Aman Ullah</v>
      </c>
      <c r="D112" s="3" t="str">
        <f>'Student Basic Info'!D112</f>
        <v>Shiraj Ullah Bahar</v>
      </c>
      <c r="E112" s="3" t="str">
        <f>'Student Basic Info'!E112</f>
        <v>Taslima Khatun</v>
      </c>
      <c r="F112" s="3" t="str">
        <f>'Student Basic Info'!F112</f>
        <v>Male</v>
      </c>
      <c r="G112" s="79">
        <v>1822384728</v>
      </c>
      <c r="H112" s="59" t="str">
        <f>IF(Bangla!B112="","",Bangla!B112)</f>
        <v/>
      </c>
      <c r="I112" s="59">
        <f>IF(Bangla!C112="","",Bangla!C112)</f>
        <v>33</v>
      </c>
      <c r="J112" s="60">
        <f>IF(Bangla!D112="","",Bangla!D112)</f>
        <v>33</v>
      </c>
      <c r="K112" s="61">
        <f>IF(English!C112="","",English!C112)</f>
        <v>28</v>
      </c>
      <c r="L112" s="35">
        <f>IF(ICT!B112="","",ICT!B112)</f>
        <v>6</v>
      </c>
      <c r="M112" s="35">
        <f>IF(ICT!C112="","",ICT!C112)</f>
        <v>4</v>
      </c>
      <c r="N112" s="35">
        <f>IF(ICT!D112="","",ICT!D112)</f>
        <v>20</v>
      </c>
      <c r="O112" s="42">
        <f>IF(ICT!E112="","",ICT!E112)</f>
        <v>30</v>
      </c>
      <c r="P112" s="40">
        <f>IF(Accounting!B112="","",Accounting!B112)</f>
        <v>13</v>
      </c>
      <c r="Q112" s="40">
        <f>IF(Accounting!C112="","",Accounting!C112)</f>
        <v>17</v>
      </c>
      <c r="R112" s="44">
        <f>IF(Accounting!D112="","",Accounting!D112)</f>
        <v>30</v>
      </c>
      <c r="S112" s="35">
        <f>IF('Business Organization'!B112="","",'Business Organization'!B112)</f>
        <v>12</v>
      </c>
      <c r="T112" s="35">
        <f>IF('Business Organization'!C112="","",'Business Organization'!C112)</f>
        <v>23</v>
      </c>
      <c r="U112" s="42">
        <f>IF('Business Organization'!D112="","",'Business Organization'!D112)</f>
        <v>35</v>
      </c>
      <c r="V112" s="36">
        <f>IF(SubjectList!G112="Finance",IF(Finance!B112=0,"", Finance!B112),IF(SubjectList!G112="Production",IF(Production!B112=0,"", Production!B112),IF(SubjectList!G112="Economics",IF(Economics!B112=0,"", Economics!B112))))</f>
        <v>7</v>
      </c>
      <c r="W112" s="36">
        <f>IF(SubjectList!G112="Finance",IF(Finance!C112=0,"", Finance!C112),IF(SubjectList!G112="Production",IF(Production!C112=0,"", Production!C112),IF(SubjectList!G112="Economics",IF(Economics!C112=0,"", Economics!C112))))</f>
        <v>16</v>
      </c>
      <c r="X112" s="43">
        <f>IF(SubjectList!G112="Finance",IF(Finance!D112=0,"", Finance!D112),IF(SubjectList!G112="Production",IF(Production!D112=0,"", Production!D112),IF(SubjectList!G112="Economics",IF(Economics!D112=0,"", Economics!D112))))</f>
        <v>23</v>
      </c>
      <c r="Y112" s="40">
        <f>IF(SubjectList!H112="Finance",IF(Finance!B112=0,"", Finance!B112),IF(SubjectList!H112="Production",IF(Production!B112=0,"", Production!B112),IF(SubjectList!H112="Economics",IF(Economics!B112=0,"", Economics!B112))))</f>
        <v>10</v>
      </c>
      <c r="Z112" s="40">
        <f>IF(SubjectList!H112="Finance",IF(Finance!C112=0,"", Finance!C112),IF(SubjectList!H112="Production",IF(Production!C112=0,"", Production!C112),IF(SubjectList!H112="Economics",IF(Economics!C112=0,"", Economics!C112))))</f>
        <v>17</v>
      </c>
      <c r="AA112" s="44">
        <f>IF(SubjectList!H112="Finance",IF(Finance!D112=0,"", Finance!D112),IF(SubjectList!H112="Production",IF(Production!D112=0,"", Production!D112),IF(SubjectList!H112="Economics",IF(Economics!D112=0,"", Economics!D112))))</f>
        <v>27</v>
      </c>
      <c r="AB112" s="37" t="str">
        <f>IF(SubjectList!G112="Finance","Finance",IF(SubjectList!G112="Production","Production",IF(SubjectList!G112="Economics","Not Given")))</f>
        <v>Finance</v>
      </c>
      <c r="AC112" s="37" t="str">
        <f>IF(SubjectList!H112="Finance","Finance",IF(SubjectList!H112="Production","Production",IF(SubjectList!H112="Economics","Economics","Not Given")))</f>
        <v>Economics</v>
      </c>
      <c r="AD112" s="38" t="str">
        <f>Bangla!F112</f>
        <v>D</v>
      </c>
      <c r="AE112" s="38" t="str">
        <f>English!E112</f>
        <v>F</v>
      </c>
      <c r="AF112" s="38" t="str">
        <f>ICT!G112</f>
        <v>F</v>
      </c>
      <c r="AG112" s="38" t="str">
        <f>Accounting!F112</f>
        <v>F</v>
      </c>
      <c r="AH112" s="38" t="str">
        <f>'Business Organization'!F112</f>
        <v>D</v>
      </c>
      <c r="AI112" s="38" t="str">
        <f>Production!F112</f>
        <v/>
      </c>
      <c r="AJ112" s="38" t="str">
        <f>Finance!F112</f>
        <v>F</v>
      </c>
      <c r="AK112" s="39">
        <f>Bangla!G112</f>
        <v>1</v>
      </c>
      <c r="AL112" s="39">
        <f>English!F112</f>
        <v>0</v>
      </c>
      <c r="AM112" s="39">
        <f>ICT!H112</f>
        <v>0</v>
      </c>
      <c r="AN112" s="39">
        <f>Accounting!G112</f>
        <v>0</v>
      </c>
      <c r="AO112" s="39">
        <f>'Business Organization'!G112</f>
        <v>1</v>
      </c>
      <c r="AP112" s="39">
        <f>IF(SubjectList!G112="Finance",Finance!G112,IF(SubjectList!G112="Production",Production!G112,IF(SubjectList!G112="Economics",Economics!G112)))</f>
        <v>0</v>
      </c>
      <c r="AQ112" s="39">
        <f>IF(Optional!H112="","", Optional!H112)</f>
        <v>0</v>
      </c>
      <c r="AR112" s="39">
        <f>Optional!H112</f>
        <v>0</v>
      </c>
      <c r="AS112" s="39">
        <f>Optional!I112</f>
        <v>0</v>
      </c>
      <c r="AT112" s="39">
        <f t="shared" si="41"/>
        <v>2</v>
      </c>
      <c r="AU112" s="39">
        <f t="shared" si="42"/>
        <v>2</v>
      </c>
      <c r="AV112" s="39" t="str">
        <f t="shared" si="43"/>
        <v/>
      </c>
      <c r="AW112" s="39" t="str">
        <f t="shared" si="44"/>
        <v/>
      </c>
      <c r="AX112" s="5">
        <f t="shared" si="35"/>
        <v>206</v>
      </c>
      <c r="AY112" s="41">
        <f t="shared" si="45"/>
        <v>1</v>
      </c>
      <c r="AZ112" s="41">
        <f t="shared" si="46"/>
        <v>0</v>
      </c>
      <c r="BA112" s="41">
        <f t="shared" si="47"/>
        <v>0</v>
      </c>
      <c r="BB112" s="41">
        <f t="shared" si="48"/>
        <v>0</v>
      </c>
      <c r="BC112" s="41">
        <f t="shared" si="49"/>
        <v>1</v>
      </c>
      <c r="BD112" s="41">
        <f t="shared" si="50"/>
        <v>0</v>
      </c>
      <c r="BE112" s="3">
        <f t="shared" si="51"/>
        <v>2</v>
      </c>
      <c r="BF112" s="3" t="str">
        <f t="shared" si="37"/>
        <v>Failed in 4 Subjects</v>
      </c>
      <c r="BG112" s="5" t="str">
        <f>IF(AW112="","",RANK(AW112,AW$2:AW145,0))</f>
        <v/>
      </c>
      <c r="BH112" s="3" t="str">
        <f t="shared" si="38"/>
        <v>খুবই দুর্বল</v>
      </c>
      <c r="BI112" t="str">
        <f t="shared" si="39"/>
        <v>Very Weak</v>
      </c>
      <c r="BJ112" s="104" t="str">
        <f t="shared" si="40"/>
        <v/>
      </c>
    </row>
    <row r="113" spans="1:62" ht="15" thickBot="1" x14ac:dyDescent="0.4">
      <c r="A113" s="3" t="str">
        <f>'Student Basic Info'!B113</f>
        <v>Business Studies</v>
      </c>
      <c r="B113" s="3">
        <f>'Student Basic Info'!A113</f>
        <v>612</v>
      </c>
      <c r="C113" s="3" t="str">
        <f>'Student Basic Info'!C113</f>
        <v>Ajharul Islam</v>
      </c>
      <c r="D113" s="3" t="str">
        <f>'Student Basic Info'!D113</f>
        <v>Zafor Ullah</v>
      </c>
      <c r="E113" s="3" t="str">
        <f>'Student Basic Info'!E113</f>
        <v>umme Salma</v>
      </c>
      <c r="F113" s="3" t="str">
        <f>'Student Basic Info'!F113</f>
        <v>Male</v>
      </c>
      <c r="G113" s="78">
        <v>1307844800</v>
      </c>
      <c r="H113" s="59" t="str">
        <f>IF(Bangla!B113="","",Bangla!B113)</f>
        <v/>
      </c>
      <c r="I113" s="59">
        <f>IF(Bangla!C113="","",Bangla!C113)</f>
        <v>33</v>
      </c>
      <c r="J113" s="60">
        <f>IF(Bangla!D113="","",Bangla!D113)</f>
        <v>33</v>
      </c>
      <c r="K113" s="61">
        <f>IF(English!C113="","",English!C113)</f>
        <v>38</v>
      </c>
      <c r="L113" s="35">
        <f>IF(ICT!B113="","",ICT!B113)</f>
        <v>10</v>
      </c>
      <c r="M113" s="35">
        <f>IF(ICT!C113="","",ICT!C113)</f>
        <v>5</v>
      </c>
      <c r="N113" s="35">
        <f>IF(ICT!D113="","",ICT!D113)</f>
        <v>24</v>
      </c>
      <c r="O113" s="42">
        <f>IF(ICT!E113="","",ICT!E113)</f>
        <v>39</v>
      </c>
      <c r="P113" s="40">
        <f>IF(Accounting!B113="","",Accounting!B113)</f>
        <v>11</v>
      </c>
      <c r="Q113" s="40">
        <f>IF(Accounting!C113="","",Accounting!C113)</f>
        <v>20</v>
      </c>
      <c r="R113" s="44">
        <f>IF(Accounting!D113="","",Accounting!D113)</f>
        <v>31</v>
      </c>
      <c r="S113" s="35">
        <f>IF('Business Organization'!B113="","",'Business Organization'!B113)</f>
        <v>18</v>
      </c>
      <c r="T113" s="35">
        <f>IF('Business Organization'!C113="","",'Business Organization'!C113)</f>
        <v>25</v>
      </c>
      <c r="U113" s="42">
        <f>IF('Business Organization'!D113="","",'Business Organization'!D113)</f>
        <v>43</v>
      </c>
      <c r="V113" s="36">
        <f>IF(SubjectList!G113="Finance",IF(Finance!B113=0,"", Finance!B113),IF(SubjectList!G113="Production",IF(Production!B113=0,"", Production!B113),IF(SubjectList!G113="Economics",IF(Economics!B113=0,"", Economics!B113))))</f>
        <v>10</v>
      </c>
      <c r="W113" s="36">
        <f>IF(SubjectList!G113="Finance",IF(Finance!C113=0,"", Finance!C113),IF(SubjectList!G113="Production",IF(Production!C113=0,"", Production!C113),IF(SubjectList!G113="Economics",IF(Economics!C113=0,"", Economics!C113))))</f>
        <v>12</v>
      </c>
      <c r="X113" s="43">
        <f>IF(SubjectList!G113="Finance",IF(Finance!D113=0,"", Finance!D113),IF(SubjectList!G113="Production",IF(Production!D113=0,"", Production!D113),IF(SubjectList!G113="Economics",IF(Economics!D113=0,"", Economics!D113))))</f>
        <v>22</v>
      </c>
      <c r="Y113" s="40">
        <f>IF(SubjectList!H113="Finance",IF(Finance!B113=0,"", Finance!B113),IF(SubjectList!H113="Production",IF(Production!B113=0,"", Production!B113),IF(SubjectList!H113="Economics",IF(Economics!B113=0,"", Economics!B113))))</f>
        <v>13</v>
      </c>
      <c r="Z113" s="40">
        <f>IF(SubjectList!H113="Finance",IF(Finance!C113=0,"", Finance!C113),IF(SubjectList!H113="Production",IF(Production!C113=0,"", Production!C113),IF(SubjectList!H113="Economics",IF(Economics!C113=0,"", Economics!C113))))</f>
        <v>23</v>
      </c>
      <c r="AA113" s="44">
        <f>IF(SubjectList!H113="Finance",IF(Finance!D113=0,"", Finance!D113),IF(SubjectList!H113="Production",IF(Production!D113=0,"", Production!D113),IF(SubjectList!H113="Economics",IF(Economics!D113=0,"", Economics!D113))))</f>
        <v>36</v>
      </c>
      <c r="AB113" s="37" t="str">
        <f>IF(SubjectList!G113="Finance","Finance",IF(SubjectList!G113="Production","Production",IF(SubjectList!G113="Economics","Not Given")))</f>
        <v>Finance</v>
      </c>
      <c r="AC113" s="37" t="str">
        <f>IF(SubjectList!H113="Finance","Finance",IF(SubjectList!H113="Production","Production",IF(SubjectList!H113="Economics","Economics","Not Given")))</f>
        <v>Economics</v>
      </c>
      <c r="AD113" s="38" t="str">
        <f>Bangla!F113</f>
        <v>D</v>
      </c>
      <c r="AE113" s="38" t="str">
        <f>English!E113</f>
        <v>D</v>
      </c>
      <c r="AF113" s="38" t="str">
        <f>ICT!G113</f>
        <v>F</v>
      </c>
      <c r="AG113" s="38" t="str">
        <f>Accounting!F113</f>
        <v>F</v>
      </c>
      <c r="AH113" s="38" t="str">
        <f>'Business Organization'!F113</f>
        <v>C</v>
      </c>
      <c r="AI113" s="38" t="str">
        <f>Production!F113</f>
        <v/>
      </c>
      <c r="AJ113" s="38" t="str">
        <f>Finance!F113</f>
        <v>F</v>
      </c>
      <c r="AK113" s="39">
        <f>Bangla!G113</f>
        <v>1</v>
      </c>
      <c r="AL113" s="39">
        <f>English!F113</f>
        <v>1</v>
      </c>
      <c r="AM113" s="39">
        <f>ICT!H113</f>
        <v>0</v>
      </c>
      <c r="AN113" s="39">
        <f>Accounting!G113</f>
        <v>0</v>
      </c>
      <c r="AO113" s="39">
        <f>'Business Organization'!G113</f>
        <v>2</v>
      </c>
      <c r="AP113" s="39">
        <f>IF(SubjectList!G113="Finance",Finance!G113,IF(SubjectList!G113="Production",Production!G113,IF(SubjectList!G113="Economics",Economics!G113)))</f>
        <v>0</v>
      </c>
      <c r="AQ113" s="39">
        <f>IF(Optional!H113="","", Optional!H113)</f>
        <v>1</v>
      </c>
      <c r="AR113" s="39">
        <f>Optional!H113</f>
        <v>1</v>
      </c>
      <c r="AS113" s="39">
        <f>Optional!I113</f>
        <v>0</v>
      </c>
      <c r="AT113" s="39">
        <f t="shared" si="41"/>
        <v>4</v>
      </c>
      <c r="AU113" s="39">
        <f t="shared" si="42"/>
        <v>4</v>
      </c>
      <c r="AV113" s="39" t="str">
        <f t="shared" si="43"/>
        <v/>
      </c>
      <c r="AW113" s="39" t="str">
        <f t="shared" si="44"/>
        <v/>
      </c>
      <c r="AX113" s="5">
        <f t="shared" si="35"/>
        <v>242</v>
      </c>
      <c r="AY113" s="41">
        <f t="shared" si="45"/>
        <v>1</v>
      </c>
      <c r="AZ113" s="41">
        <f t="shared" si="46"/>
        <v>1</v>
      </c>
      <c r="BA113" s="41">
        <f t="shared" si="47"/>
        <v>0</v>
      </c>
      <c r="BB113" s="41">
        <f t="shared" si="48"/>
        <v>0</v>
      </c>
      <c r="BC113" s="41">
        <f t="shared" si="49"/>
        <v>1</v>
      </c>
      <c r="BD113" s="41">
        <f t="shared" si="50"/>
        <v>0</v>
      </c>
      <c r="BE113" s="3">
        <f t="shared" si="51"/>
        <v>3</v>
      </c>
      <c r="BF113" s="3" t="str">
        <f t="shared" si="37"/>
        <v>Failed in 3 Subjects</v>
      </c>
      <c r="BG113" s="5" t="str">
        <f>IF(AW113="","",RANK(AW113,AW$2:AW145,0))</f>
        <v/>
      </c>
      <c r="BH113" s="3" t="str">
        <f t="shared" si="38"/>
        <v>খুবই দুর্বল</v>
      </c>
      <c r="BI113" t="str">
        <f t="shared" si="39"/>
        <v>Very Weak</v>
      </c>
      <c r="BJ113" s="104" t="str">
        <f t="shared" si="40"/>
        <v/>
      </c>
    </row>
    <row r="114" spans="1:62" ht="15" thickBot="1" x14ac:dyDescent="0.4">
      <c r="A114" s="3" t="str">
        <f>'Student Basic Info'!B114</f>
        <v>Business Studies</v>
      </c>
      <c r="B114" s="3">
        <f>'Student Basic Info'!A114</f>
        <v>613</v>
      </c>
      <c r="C114" s="3" t="str">
        <f>'Student Basic Info'!C114</f>
        <v>Fokkrul Islam</v>
      </c>
      <c r="D114" s="3" t="str">
        <f>'Student Basic Info'!D114</f>
        <v>Md. A</v>
      </c>
      <c r="E114" s="3" t="str">
        <f>'Student Basic Info'!E114</f>
        <v>Bibi Kulsum</v>
      </c>
      <c r="F114" s="3" t="str">
        <f>'Student Basic Info'!F114</f>
        <v>Male</v>
      </c>
      <c r="G114" s="79">
        <v>1843235094</v>
      </c>
      <c r="H114" s="59" t="str">
        <f>IF(Bangla!B114="","",Bangla!B114)</f>
        <v/>
      </c>
      <c r="I114" s="59" t="str">
        <f>IF(Bangla!C114="","",Bangla!C114)</f>
        <v/>
      </c>
      <c r="J114" s="60" t="str">
        <f>IF(Bangla!D114="","",Bangla!D114)</f>
        <v/>
      </c>
      <c r="K114" s="61" t="str">
        <f>IF(English!C114="","",English!C114)</f>
        <v/>
      </c>
      <c r="L114" s="35" t="str">
        <f>IF(ICT!B114="","",ICT!B114)</f>
        <v/>
      </c>
      <c r="M114" s="35" t="str">
        <f>IF(ICT!C114="","",ICT!C114)</f>
        <v/>
      </c>
      <c r="N114" s="35" t="str">
        <f>IF(ICT!D114="","",ICT!D114)</f>
        <v/>
      </c>
      <c r="O114" s="42" t="str">
        <f>IF(ICT!E114="","",ICT!E114)</f>
        <v/>
      </c>
      <c r="P114" s="40" t="str">
        <f>IF(Accounting!B114="","",Accounting!B114)</f>
        <v/>
      </c>
      <c r="Q114" s="40" t="str">
        <f>IF(Accounting!C114="","",Accounting!C114)</f>
        <v/>
      </c>
      <c r="R114" s="44" t="str">
        <f>IF(Accounting!D114="","",Accounting!D114)</f>
        <v/>
      </c>
      <c r="S114" s="35" t="str">
        <f>IF('Business Organization'!B114="","",'Business Organization'!B114)</f>
        <v/>
      </c>
      <c r="T114" s="35" t="str">
        <f>IF('Business Organization'!C114="","",'Business Organization'!C114)</f>
        <v/>
      </c>
      <c r="U114" s="42" t="str">
        <f>IF('Business Organization'!D114="","",'Business Organization'!D114)</f>
        <v/>
      </c>
      <c r="V114" s="36" t="str">
        <f>IF(SubjectList!G114="Finance",IF(Finance!B114=0,"", Finance!B114),IF(SubjectList!G114="Production",IF(Production!B114=0,"", Production!B114),IF(SubjectList!G114="Economics",IF(Economics!B114=0,"", Economics!B114))))</f>
        <v/>
      </c>
      <c r="W114" s="36" t="str">
        <f>IF(SubjectList!G114="Finance",IF(Finance!C114=0,"", Finance!C114),IF(SubjectList!G114="Production",IF(Production!C114=0,"", Production!C114),IF(SubjectList!G114="Economics",IF(Economics!C114=0,"", Economics!C114))))</f>
        <v/>
      </c>
      <c r="X114" s="43" t="str">
        <f>IF(SubjectList!G114="Finance",IF(Finance!D114=0,"", Finance!D114),IF(SubjectList!G114="Production",IF(Production!D114=0,"", Production!D114),IF(SubjectList!G114="Economics",IF(Economics!D114=0,"", Economics!D114))))</f>
        <v/>
      </c>
      <c r="Y114" s="40" t="str">
        <f>IF(SubjectList!H114="Finance",IF(Finance!B114=0,"", Finance!B114),IF(SubjectList!H114="Production",IF(Production!B114=0,"", Production!B114),IF(SubjectList!H114="Economics",IF(Economics!B114=0,"", Economics!B114))))</f>
        <v/>
      </c>
      <c r="Z114" s="40" t="str">
        <f>IF(SubjectList!H114="Finance",IF(Finance!C114=0,"", Finance!C114),IF(SubjectList!H114="Production",IF(Production!C114=0,"", Production!C114),IF(SubjectList!H114="Economics",IF(Economics!C114=0,"", Economics!C114))))</f>
        <v/>
      </c>
      <c r="AA114" s="44" t="str">
        <f>IF(SubjectList!H114="Finance",IF(Finance!D114=0,"", Finance!D114),IF(SubjectList!H114="Production",IF(Production!D114=0,"", Production!D114),IF(SubjectList!H114="Economics",IF(Economics!D114=0,"", Economics!D114))))</f>
        <v/>
      </c>
      <c r="AB114" s="37" t="str">
        <f>IF(SubjectList!G114="Finance","Finance",IF(SubjectList!G114="Production","Production",IF(SubjectList!G114="Economics","Not Given")))</f>
        <v>Finance</v>
      </c>
      <c r="AC114" s="37" t="str">
        <f>IF(SubjectList!H114="Finance","Finance",IF(SubjectList!H114="Production","Production",IF(SubjectList!H114="Economics","Economics","Not Given")))</f>
        <v>Production</v>
      </c>
      <c r="AD114" s="38" t="str">
        <f>Bangla!F114</f>
        <v/>
      </c>
      <c r="AE114" s="38" t="str">
        <f>English!E114</f>
        <v/>
      </c>
      <c r="AF114" s="38" t="str">
        <f>ICT!G114</f>
        <v/>
      </c>
      <c r="AG114" s="38" t="str">
        <f>Accounting!F114</f>
        <v/>
      </c>
      <c r="AH114" s="38" t="str">
        <f>'Business Organization'!F114</f>
        <v/>
      </c>
      <c r="AI114" s="38" t="str">
        <f>Production!F114</f>
        <v/>
      </c>
      <c r="AJ114" s="38" t="str">
        <f>Finance!F114</f>
        <v/>
      </c>
      <c r="AK114" s="39" t="str">
        <f>Bangla!G114</f>
        <v/>
      </c>
      <c r="AL114" s="39" t="str">
        <f>English!F114</f>
        <v/>
      </c>
      <c r="AM114" s="39" t="str">
        <f>ICT!H114</f>
        <v/>
      </c>
      <c r="AN114" s="39" t="str">
        <f>Accounting!G114</f>
        <v/>
      </c>
      <c r="AO114" s="39" t="str">
        <f>'Business Organization'!G114</f>
        <v/>
      </c>
      <c r="AP114" s="39" t="str">
        <f>IF(SubjectList!G114="Finance",Finance!G114,IF(SubjectList!G114="Production",Production!G114,IF(SubjectList!G114="Economics",Economics!G114)))</f>
        <v/>
      </c>
      <c r="AQ114" s="39" t="str">
        <f>IF(Optional!H114="","", Optional!H114)</f>
        <v/>
      </c>
      <c r="AR114" s="39" t="str">
        <f>Optional!H114</f>
        <v/>
      </c>
      <c r="AS114" s="39" t="str">
        <f>Optional!I114</f>
        <v/>
      </c>
      <c r="AT114" s="39" t="str">
        <f t="shared" si="41"/>
        <v/>
      </c>
      <c r="AU114" s="39">
        <f t="shared" si="42"/>
        <v>0</v>
      </c>
      <c r="AV114" s="39" t="str">
        <f t="shared" si="43"/>
        <v/>
      </c>
      <c r="AW114" s="39" t="str">
        <f t="shared" si="44"/>
        <v/>
      </c>
      <c r="AX114" s="5">
        <f t="shared" si="35"/>
        <v>0</v>
      </c>
      <c r="AY114" s="41">
        <f t="shared" si="45"/>
        <v>0</v>
      </c>
      <c r="AZ114" s="41">
        <f t="shared" si="46"/>
        <v>0</v>
      </c>
      <c r="BA114" s="41">
        <f t="shared" si="47"/>
        <v>0</v>
      </c>
      <c r="BB114" s="41">
        <f t="shared" si="48"/>
        <v>0</v>
      </c>
      <c r="BC114" s="41">
        <f t="shared" si="49"/>
        <v>0</v>
      </c>
      <c r="BD114" s="41">
        <f t="shared" si="50"/>
        <v>0</v>
      </c>
      <c r="BE114" s="3">
        <f t="shared" si="51"/>
        <v>0</v>
      </c>
      <c r="BF114" s="3" t="str">
        <f t="shared" si="37"/>
        <v>Failed in 6 Subjects</v>
      </c>
      <c r="BG114" s="5" t="str">
        <f>IF(AW114="","",RANK(AW114,AW$2:AW145,0))</f>
        <v/>
      </c>
      <c r="BH114" s="3" t="str">
        <f t="shared" si="38"/>
        <v>খুবই দুর্বল</v>
      </c>
      <c r="BI114" t="str">
        <f t="shared" si="39"/>
        <v>Very Weak</v>
      </c>
      <c r="BJ114" s="104" t="str">
        <f t="shared" si="40"/>
        <v/>
      </c>
    </row>
    <row r="115" spans="1:62" ht="15" thickBot="1" x14ac:dyDescent="0.4">
      <c r="A115" s="3" t="str">
        <f>'Student Basic Info'!B115</f>
        <v>Business Studies</v>
      </c>
      <c r="B115" s="3">
        <f>'Student Basic Info'!A115</f>
        <v>614</v>
      </c>
      <c r="C115" s="3" t="str">
        <f>'Student Basic Info'!C115</f>
        <v>Moumita Tabassum</v>
      </c>
      <c r="D115" s="3" t="str">
        <f>'Student Basic Info'!D115</f>
        <v>Delowar Hossain</v>
      </c>
      <c r="E115" s="3" t="str">
        <f>'Student Basic Info'!E115</f>
        <v>Mahera Aktar</v>
      </c>
      <c r="F115" s="3" t="str">
        <f>'Student Basic Info'!F115</f>
        <v>Female</v>
      </c>
      <c r="G115" s="79">
        <v>1772324963</v>
      </c>
      <c r="H115" s="59" t="str">
        <f>IF(Bangla!B115="","",Bangla!B115)</f>
        <v/>
      </c>
      <c r="I115" s="59">
        <f>IF(Bangla!C115="","",Bangla!C115)</f>
        <v>63</v>
      </c>
      <c r="J115" s="60">
        <f>IF(Bangla!D115="","",Bangla!D115)</f>
        <v>63</v>
      </c>
      <c r="K115" s="61">
        <f>IF(English!C115="","",English!C115)</f>
        <v>61</v>
      </c>
      <c r="L115" s="35">
        <f>IF(ICT!B115="","",ICT!B115)</f>
        <v>15</v>
      </c>
      <c r="M115" s="35">
        <f>IF(ICT!C115="","",ICT!C115)</f>
        <v>31</v>
      </c>
      <c r="N115" s="35">
        <f>IF(ICT!D115="","",ICT!D115)</f>
        <v>25</v>
      </c>
      <c r="O115" s="42">
        <f>IF(ICT!E115="","",ICT!E115)</f>
        <v>71</v>
      </c>
      <c r="P115" s="40">
        <f>IF(Accounting!B115="","",Accounting!B115)</f>
        <v>15</v>
      </c>
      <c r="Q115" s="40">
        <f>IF(Accounting!C115="","",Accounting!C115)</f>
        <v>43</v>
      </c>
      <c r="R115" s="44">
        <f>IF(Accounting!D115="","",Accounting!D115)</f>
        <v>58</v>
      </c>
      <c r="S115" s="35">
        <f>IF('Business Organization'!B115="","",'Business Organization'!B115)</f>
        <v>23</v>
      </c>
      <c r="T115" s="35">
        <f>IF('Business Organization'!C115="","",'Business Organization'!C115)</f>
        <v>24</v>
      </c>
      <c r="U115" s="42">
        <f>IF('Business Organization'!D115="","",'Business Organization'!D115)</f>
        <v>47</v>
      </c>
      <c r="V115" s="36">
        <f>IF(SubjectList!G115="Finance",IF(Finance!B115=0,"", Finance!B115),IF(SubjectList!G115="Production",IF(Production!B115=0,"", Production!B115),IF(SubjectList!G115="Economics",IF(Economics!B115=0,"", Economics!B115))))</f>
        <v>13</v>
      </c>
      <c r="W115" s="36">
        <f>IF(SubjectList!G115="Finance",IF(Finance!C115=0,"", Finance!C115),IF(SubjectList!G115="Production",IF(Production!C115=0,"", Production!C115),IF(SubjectList!G115="Economics",IF(Economics!C115=0,"", Economics!C115))))</f>
        <v>23</v>
      </c>
      <c r="X115" s="43">
        <f>IF(SubjectList!G115="Finance",IF(Finance!D115=0,"", Finance!D115),IF(SubjectList!G115="Production",IF(Production!D115=0,"", Production!D115),IF(SubjectList!G115="Economics",IF(Economics!D115=0,"", Economics!D115))))</f>
        <v>36</v>
      </c>
      <c r="Y115" s="40">
        <f>IF(SubjectList!H115="Finance",IF(Finance!B115=0,"", Finance!B115),IF(SubjectList!H115="Production",IF(Production!B115=0,"", Production!B115),IF(SubjectList!H115="Economics",IF(Economics!B115=0,"", Economics!B115))))</f>
        <v>15</v>
      </c>
      <c r="Z115" s="40">
        <f>IF(SubjectList!H115="Finance",IF(Finance!C115=0,"", Finance!C115),IF(SubjectList!H115="Production",IF(Production!C115=0,"", Production!C115),IF(SubjectList!H115="Economics",IF(Economics!C115=0,"", Economics!C115))))</f>
        <v>27</v>
      </c>
      <c r="AA115" s="44">
        <f>IF(SubjectList!H115="Finance",IF(Finance!D115=0,"", Finance!D115),IF(SubjectList!H115="Production",IF(Production!D115=0,"", Production!D115),IF(SubjectList!H115="Economics",IF(Economics!D115=0,"", Economics!D115))))</f>
        <v>42</v>
      </c>
      <c r="AB115" s="37" t="str">
        <f>IF(SubjectList!G115="Finance","Finance",IF(SubjectList!G115="Production","Production",IF(SubjectList!G115="Economics","Not Given")))</f>
        <v>Finance</v>
      </c>
      <c r="AC115" s="37" t="str">
        <f>IF(SubjectList!H115="Finance","Finance",IF(SubjectList!H115="Production","Production",IF(SubjectList!H115="Economics","Economics","Not Given")))</f>
        <v>Production</v>
      </c>
      <c r="AD115" s="38" t="str">
        <f>Bangla!F115</f>
        <v>A-</v>
      </c>
      <c r="AE115" s="38" t="str">
        <f>English!E115</f>
        <v>A-</v>
      </c>
      <c r="AF115" s="38" t="str">
        <f>ICT!G115</f>
        <v>A</v>
      </c>
      <c r="AG115" s="38" t="str">
        <f>Accounting!F115</f>
        <v>B</v>
      </c>
      <c r="AH115" s="38" t="str">
        <f>'Business Organization'!F115</f>
        <v>C</v>
      </c>
      <c r="AI115" s="38" t="str">
        <f>Production!F115</f>
        <v>C</v>
      </c>
      <c r="AJ115" s="38" t="str">
        <f>Finance!F115</f>
        <v>D</v>
      </c>
      <c r="AK115" s="39">
        <f>Bangla!G115</f>
        <v>3.5</v>
      </c>
      <c r="AL115" s="39">
        <f>English!F115</f>
        <v>3.5</v>
      </c>
      <c r="AM115" s="39">
        <f>ICT!H115</f>
        <v>4</v>
      </c>
      <c r="AN115" s="39">
        <f>Accounting!G115</f>
        <v>3</v>
      </c>
      <c r="AO115" s="39">
        <f>'Business Organization'!G115</f>
        <v>2</v>
      </c>
      <c r="AP115" s="39">
        <f>IF(SubjectList!G115="Finance",Finance!G115,IF(SubjectList!G115="Production",Production!G115,IF(SubjectList!G115="Economics",Economics!G115)))</f>
        <v>1</v>
      </c>
      <c r="AQ115" s="39">
        <f>IF(Optional!H115="","", Optional!H115)</f>
        <v>2</v>
      </c>
      <c r="AR115" s="39">
        <f>Optional!H115</f>
        <v>2</v>
      </c>
      <c r="AS115" s="39">
        <f>Optional!I115</f>
        <v>0</v>
      </c>
      <c r="AT115" s="39">
        <f t="shared" si="41"/>
        <v>17</v>
      </c>
      <c r="AU115" s="39">
        <f t="shared" si="42"/>
        <v>17</v>
      </c>
      <c r="AV115" s="39">
        <f t="shared" si="43"/>
        <v>2.8333333333333335</v>
      </c>
      <c r="AW115" s="39">
        <f t="shared" si="44"/>
        <v>2.8333333333333335</v>
      </c>
      <c r="AX115" s="5">
        <f t="shared" si="35"/>
        <v>378</v>
      </c>
      <c r="AY115" s="41">
        <f t="shared" si="45"/>
        <v>1</v>
      </c>
      <c r="AZ115" s="41">
        <f t="shared" si="46"/>
        <v>1</v>
      </c>
      <c r="BA115" s="41">
        <f t="shared" si="47"/>
        <v>1</v>
      </c>
      <c r="BB115" s="41">
        <f t="shared" si="48"/>
        <v>1</v>
      </c>
      <c r="BC115" s="41">
        <f t="shared" si="49"/>
        <v>1</v>
      </c>
      <c r="BD115" s="41">
        <f t="shared" si="50"/>
        <v>1</v>
      </c>
      <c r="BE115" s="3">
        <f t="shared" si="51"/>
        <v>6</v>
      </c>
      <c r="BF115" s="3" t="str">
        <f t="shared" si="37"/>
        <v>Pass</v>
      </c>
      <c r="BG115" s="5">
        <f>IF(AW115="","",RANK(AW115,AW$2:AW145,0))</f>
        <v>5</v>
      </c>
      <c r="BH115" s="3" t="str">
        <f t="shared" si="38"/>
        <v>যত্ন প্রয়োজন</v>
      </c>
      <c r="BI115" t="str">
        <f t="shared" si="39"/>
        <v>Need to improve</v>
      </c>
      <c r="BJ115" s="104" t="str">
        <f t="shared" si="40"/>
        <v>C</v>
      </c>
    </row>
    <row r="116" spans="1:62" ht="15" thickBot="1" x14ac:dyDescent="0.4">
      <c r="A116" s="3" t="str">
        <f>'Student Basic Info'!B116</f>
        <v>Business Studies</v>
      </c>
      <c r="B116" s="3">
        <f>'Student Basic Info'!A116</f>
        <v>615</v>
      </c>
      <c r="C116" s="3" t="str">
        <f>'Student Basic Info'!C116</f>
        <v>Tasfia Atrar</v>
      </c>
      <c r="D116" s="3" t="str">
        <f>'Student Basic Info'!D116</f>
        <v>Md. Hamidul Haqqur</v>
      </c>
      <c r="E116" s="3" t="str">
        <f>'Student Basic Info'!E116</f>
        <v>Sultana Aktar</v>
      </c>
      <c r="F116" s="3" t="str">
        <f>'Student Basic Info'!F116</f>
        <v>Female</v>
      </c>
      <c r="G116" s="79">
        <v>1817403451</v>
      </c>
      <c r="H116" s="59" t="str">
        <f>IF(Bangla!B116="","",Bangla!B116)</f>
        <v/>
      </c>
      <c r="I116" s="59">
        <f>IF(Bangla!C116="","",Bangla!C116)</f>
        <v>33</v>
      </c>
      <c r="J116" s="60">
        <f>IF(Bangla!D116="","",Bangla!D116)</f>
        <v>33</v>
      </c>
      <c r="K116" s="61">
        <f>IF(English!C116="","",English!C116)</f>
        <v>14</v>
      </c>
      <c r="L116" s="35">
        <f>IF(ICT!B116="","",ICT!B116)</f>
        <v>8</v>
      </c>
      <c r="M116" s="35">
        <f>IF(ICT!C116="","",ICT!C116)</f>
        <v>4</v>
      </c>
      <c r="N116" s="35">
        <f>IF(ICT!D116="","",ICT!D116)</f>
        <v>25</v>
      </c>
      <c r="O116" s="42">
        <f>IF(ICT!E116="","",ICT!E116)</f>
        <v>37</v>
      </c>
      <c r="P116" s="40">
        <f>IF(Accounting!B116="","",Accounting!B116)</f>
        <v>6</v>
      </c>
      <c r="Q116" s="40">
        <f>IF(Accounting!C116="","",Accounting!C116)</f>
        <v>19</v>
      </c>
      <c r="R116" s="44">
        <f>IF(Accounting!D116="","",Accounting!D116)</f>
        <v>25</v>
      </c>
      <c r="S116" s="35">
        <f>IF('Business Organization'!B116="","",'Business Organization'!B116)</f>
        <v>14</v>
      </c>
      <c r="T116" s="35">
        <f>IF('Business Organization'!C116="","",'Business Organization'!C116)</f>
        <v>17</v>
      </c>
      <c r="U116" s="42">
        <f>IF('Business Organization'!D116="","",'Business Organization'!D116)</f>
        <v>31</v>
      </c>
      <c r="V116" s="36">
        <f>IF(SubjectList!G116="Finance",IF(Finance!B116=0,"", Finance!B116),IF(SubjectList!G116="Production",IF(Production!B116=0,"", Production!B116),IF(SubjectList!G116="Economics",IF(Economics!B116=0,"", Economics!B116))))</f>
        <v>10</v>
      </c>
      <c r="W116" s="36">
        <f>IF(SubjectList!G116="Finance",IF(Finance!C116=0,"", Finance!C116),IF(SubjectList!G116="Production",IF(Production!C116=0,"", Production!C116),IF(SubjectList!G116="Economics",IF(Economics!C116=0,"", Economics!C116))))</f>
        <v>23</v>
      </c>
      <c r="X116" s="43">
        <f>IF(SubjectList!G116="Finance",IF(Finance!D116=0,"", Finance!D116),IF(SubjectList!G116="Production",IF(Production!D116=0,"", Production!D116),IF(SubjectList!G116="Economics",IF(Economics!D116=0,"", Economics!D116))))</f>
        <v>33</v>
      </c>
      <c r="Y116" s="40">
        <f>IF(SubjectList!H116="Finance",IF(Finance!B116=0,"", Finance!B116),IF(SubjectList!H116="Production",IF(Production!B116=0,"", Production!B116),IF(SubjectList!H116="Economics",IF(Economics!B116=0,"", Economics!B116))))</f>
        <v>8</v>
      </c>
      <c r="Z116" s="40">
        <f>IF(SubjectList!H116="Finance",IF(Finance!C116=0,"", Finance!C116),IF(SubjectList!H116="Production",IF(Production!C116=0,"", Production!C116),IF(SubjectList!H116="Economics",IF(Economics!C116=0,"", Economics!C116))))</f>
        <v>28</v>
      </c>
      <c r="AA116" s="44">
        <f>IF(SubjectList!H116="Finance",IF(Finance!D116=0,"", Finance!D116),IF(SubjectList!H116="Production",IF(Production!D116=0,"", Production!D116),IF(SubjectList!H116="Economics",IF(Economics!D116=0,"", Economics!D116))))</f>
        <v>36</v>
      </c>
      <c r="AB116" s="37" t="str">
        <f>IF(SubjectList!G116="Finance","Finance",IF(SubjectList!G116="Production","Production",IF(SubjectList!G116="Economics","Not Given")))</f>
        <v>Finance</v>
      </c>
      <c r="AC116" s="37" t="str">
        <f>IF(SubjectList!H116="Finance","Finance",IF(SubjectList!H116="Production","Production",IF(SubjectList!H116="Economics","Economics","Not Given")))</f>
        <v>Production</v>
      </c>
      <c r="AD116" s="38" t="str">
        <f>Bangla!F116</f>
        <v>D</v>
      </c>
      <c r="AE116" s="38" t="str">
        <f>English!E116</f>
        <v>F</v>
      </c>
      <c r="AF116" s="38" t="str">
        <f>ICT!G116</f>
        <v>F</v>
      </c>
      <c r="AG116" s="38" t="str">
        <f>Accounting!F116</f>
        <v>F</v>
      </c>
      <c r="AH116" s="38" t="str">
        <f>'Business Organization'!F116</f>
        <v>F</v>
      </c>
      <c r="AI116" s="38" t="str">
        <f>Production!F116</f>
        <v>F</v>
      </c>
      <c r="AJ116" s="38" t="str">
        <f>Finance!F116</f>
        <v>D</v>
      </c>
      <c r="AK116" s="39">
        <f>Bangla!G116</f>
        <v>1</v>
      </c>
      <c r="AL116" s="39">
        <f>English!F116</f>
        <v>0</v>
      </c>
      <c r="AM116" s="39">
        <f>ICT!H116</f>
        <v>0</v>
      </c>
      <c r="AN116" s="39">
        <f>Accounting!G116</f>
        <v>0</v>
      </c>
      <c r="AO116" s="39">
        <f>'Business Organization'!G116</f>
        <v>0</v>
      </c>
      <c r="AP116" s="39">
        <f>IF(SubjectList!G116="Finance",Finance!G116,IF(SubjectList!G116="Production",Production!G116,IF(SubjectList!G116="Economics",Economics!G116)))</f>
        <v>1</v>
      </c>
      <c r="AQ116" s="39">
        <f>IF(Optional!H116="","", Optional!H116)</f>
        <v>0</v>
      </c>
      <c r="AR116" s="39">
        <f>Optional!H116</f>
        <v>0</v>
      </c>
      <c r="AS116" s="39">
        <f>Optional!I116</f>
        <v>0</v>
      </c>
      <c r="AT116" s="39">
        <f t="shared" si="41"/>
        <v>2</v>
      </c>
      <c r="AU116" s="39">
        <f t="shared" si="42"/>
        <v>2</v>
      </c>
      <c r="AV116" s="39" t="str">
        <f t="shared" si="43"/>
        <v/>
      </c>
      <c r="AW116" s="39" t="str">
        <f t="shared" si="44"/>
        <v/>
      </c>
      <c r="AX116" s="5">
        <f t="shared" si="35"/>
        <v>209</v>
      </c>
      <c r="AY116" s="41">
        <f t="shared" si="45"/>
        <v>1</v>
      </c>
      <c r="AZ116" s="41">
        <f t="shared" si="46"/>
        <v>0</v>
      </c>
      <c r="BA116" s="41">
        <f t="shared" si="47"/>
        <v>0</v>
      </c>
      <c r="BB116" s="41">
        <f t="shared" si="48"/>
        <v>0</v>
      </c>
      <c r="BC116" s="41">
        <f t="shared" si="49"/>
        <v>0</v>
      </c>
      <c r="BD116" s="41">
        <f t="shared" si="50"/>
        <v>1</v>
      </c>
      <c r="BE116" s="3">
        <f t="shared" si="51"/>
        <v>2</v>
      </c>
      <c r="BF116" s="3" t="str">
        <f t="shared" si="37"/>
        <v>Failed in 4 Subjects</v>
      </c>
      <c r="BG116" s="5" t="str">
        <f>IF(AW116="","",RANK(AW116,AW$2:AW145,0))</f>
        <v/>
      </c>
      <c r="BH116" s="3" t="str">
        <f t="shared" si="38"/>
        <v>খুবই দুর্বল</v>
      </c>
      <c r="BI116" t="str">
        <f t="shared" si="39"/>
        <v>Very Weak</v>
      </c>
      <c r="BJ116" s="104" t="str">
        <f t="shared" si="40"/>
        <v/>
      </c>
    </row>
    <row r="117" spans="1:62" ht="15" thickBot="1" x14ac:dyDescent="0.4">
      <c r="A117" s="3" t="str">
        <f>'Student Basic Info'!B117</f>
        <v>Business Studies</v>
      </c>
      <c r="B117" s="3">
        <f>'Student Basic Info'!A117</f>
        <v>616</v>
      </c>
      <c r="C117" s="3" t="str">
        <f>'Student Basic Info'!C117</f>
        <v>Farzana Aktar Mili</v>
      </c>
      <c r="D117" s="3" t="str">
        <f>'Student Basic Info'!D117</f>
        <v>Md. Alomgir Hossain</v>
      </c>
      <c r="E117" s="3" t="str">
        <f>'Student Basic Info'!E117</f>
        <v>Marjahan Begum</v>
      </c>
      <c r="F117" s="3" t="str">
        <f>'Student Basic Info'!F117</f>
        <v>Female</v>
      </c>
      <c r="G117" s="79">
        <v>1307831313</v>
      </c>
      <c r="H117" s="59" t="str">
        <f>IF(Bangla!B117="","",Bangla!B117)</f>
        <v/>
      </c>
      <c r="I117" s="59" t="str">
        <f>IF(Bangla!C117="","",Bangla!C117)</f>
        <v/>
      </c>
      <c r="J117" s="60" t="str">
        <f>IF(Bangla!D117="","",Bangla!D117)</f>
        <v/>
      </c>
      <c r="K117" s="61" t="str">
        <f>IF(English!C117="","",English!C117)</f>
        <v/>
      </c>
      <c r="L117" s="35" t="str">
        <f>IF(ICT!B117="","",ICT!B117)</f>
        <v/>
      </c>
      <c r="M117" s="35" t="str">
        <f>IF(ICT!C117="","",ICT!C117)</f>
        <v/>
      </c>
      <c r="N117" s="35" t="str">
        <f>IF(ICT!D117="","",ICT!D117)</f>
        <v/>
      </c>
      <c r="O117" s="42" t="str">
        <f>IF(ICT!E117="","",ICT!E117)</f>
        <v/>
      </c>
      <c r="P117" s="40" t="str">
        <f>IF(Accounting!B117="","",Accounting!B117)</f>
        <v/>
      </c>
      <c r="Q117" s="40" t="str">
        <f>IF(Accounting!C117="","",Accounting!C117)</f>
        <v/>
      </c>
      <c r="R117" s="44" t="str">
        <f>IF(Accounting!D117="","",Accounting!D117)</f>
        <v/>
      </c>
      <c r="S117" s="35" t="str">
        <f>IF('Business Organization'!B117="","",'Business Organization'!B117)</f>
        <v/>
      </c>
      <c r="T117" s="35" t="str">
        <f>IF('Business Organization'!C117="","",'Business Organization'!C117)</f>
        <v/>
      </c>
      <c r="U117" s="42" t="str">
        <f>IF('Business Organization'!D117="","",'Business Organization'!D117)</f>
        <v/>
      </c>
      <c r="V117" s="36" t="str">
        <f>IF(SubjectList!G117="Finance",IF(Finance!B117=0,"", Finance!B117),IF(SubjectList!G117="Production",IF(Production!B117=0,"", Production!B117),IF(SubjectList!G117="Economics",IF(Economics!B117=0,"", Economics!B117))))</f>
        <v/>
      </c>
      <c r="W117" s="36" t="str">
        <f>IF(SubjectList!G117="Finance",IF(Finance!C117=0,"", Finance!C117),IF(SubjectList!G117="Production",IF(Production!C117=0,"", Production!C117),IF(SubjectList!G117="Economics",IF(Economics!C117=0,"", Economics!C117))))</f>
        <v/>
      </c>
      <c r="X117" s="43" t="str">
        <f>IF(SubjectList!G117="Finance",IF(Finance!D117=0,"", Finance!D117),IF(SubjectList!G117="Production",IF(Production!D117=0,"", Production!D117),IF(SubjectList!G117="Economics",IF(Economics!D117=0,"", Economics!D117))))</f>
        <v/>
      </c>
      <c r="Y117" s="40" t="str">
        <f>IF(SubjectList!H117="Finance",IF(Finance!B117=0,"", Finance!B117),IF(SubjectList!H117="Production",IF(Production!B117=0,"", Production!B117),IF(SubjectList!H117="Economics",IF(Economics!B117=0,"", Economics!B117))))</f>
        <v/>
      </c>
      <c r="Z117" s="40" t="str">
        <f>IF(SubjectList!H117="Finance",IF(Finance!C117=0,"", Finance!C117),IF(SubjectList!H117="Production",IF(Production!C117=0,"", Production!C117),IF(SubjectList!H117="Economics",IF(Economics!C117=0,"", Economics!C117))))</f>
        <v/>
      </c>
      <c r="AA117" s="44" t="str">
        <f>IF(SubjectList!H117="Finance",IF(Finance!D117=0,"", Finance!D117),IF(SubjectList!H117="Production",IF(Production!D117=0,"", Production!D117),IF(SubjectList!H117="Economics",IF(Economics!D117=0,"", Economics!D117))))</f>
        <v/>
      </c>
      <c r="AB117" s="37" t="str">
        <f>IF(SubjectList!G117="Finance","Finance",IF(SubjectList!G117="Production","Production",IF(SubjectList!G117="Economics","Not Given")))</f>
        <v>Finance</v>
      </c>
      <c r="AC117" s="37" t="str">
        <f>IF(SubjectList!H117="Finance","Finance",IF(SubjectList!H117="Production","Production",IF(SubjectList!H117="Economics","Economics","Not Given")))</f>
        <v>Production</v>
      </c>
      <c r="AD117" s="38" t="str">
        <f>Bangla!F117</f>
        <v/>
      </c>
      <c r="AE117" s="38" t="str">
        <f>English!E117</f>
        <v/>
      </c>
      <c r="AF117" s="38" t="str">
        <f>ICT!G117</f>
        <v/>
      </c>
      <c r="AG117" s="38" t="str">
        <f>Accounting!F117</f>
        <v/>
      </c>
      <c r="AH117" s="38" t="str">
        <f>'Business Organization'!F117</f>
        <v/>
      </c>
      <c r="AI117" s="38" t="str">
        <f>Production!F117</f>
        <v/>
      </c>
      <c r="AJ117" s="38" t="str">
        <f>Finance!F117</f>
        <v/>
      </c>
      <c r="AK117" s="39" t="str">
        <f>Bangla!G117</f>
        <v/>
      </c>
      <c r="AL117" s="39" t="str">
        <f>English!F117</f>
        <v/>
      </c>
      <c r="AM117" s="39" t="str">
        <f>ICT!H117</f>
        <v/>
      </c>
      <c r="AN117" s="39" t="str">
        <f>Accounting!G117</f>
        <v/>
      </c>
      <c r="AO117" s="39" t="str">
        <f>'Business Organization'!G117</f>
        <v/>
      </c>
      <c r="AP117" s="39" t="str">
        <f>IF(SubjectList!G117="Finance",Finance!G117,IF(SubjectList!G117="Production",Production!G117,IF(SubjectList!G117="Economics",Economics!G117)))</f>
        <v/>
      </c>
      <c r="AQ117" s="39" t="str">
        <f>IF(Optional!H117="","", Optional!H117)</f>
        <v/>
      </c>
      <c r="AR117" s="39" t="str">
        <f>Optional!H117</f>
        <v/>
      </c>
      <c r="AS117" s="39" t="str">
        <f>Optional!I117</f>
        <v/>
      </c>
      <c r="AT117" s="39" t="str">
        <f t="shared" si="41"/>
        <v/>
      </c>
      <c r="AU117" s="39">
        <f t="shared" si="42"/>
        <v>0</v>
      </c>
      <c r="AV117" s="39" t="str">
        <f t="shared" si="43"/>
        <v/>
      </c>
      <c r="AW117" s="39" t="str">
        <f t="shared" si="44"/>
        <v/>
      </c>
      <c r="AX117" s="5">
        <f t="shared" si="35"/>
        <v>0</v>
      </c>
      <c r="AY117" s="41">
        <f t="shared" si="45"/>
        <v>0</v>
      </c>
      <c r="AZ117" s="41">
        <f t="shared" si="46"/>
        <v>0</v>
      </c>
      <c r="BA117" s="41">
        <f t="shared" si="47"/>
        <v>0</v>
      </c>
      <c r="BB117" s="41">
        <f t="shared" si="48"/>
        <v>0</v>
      </c>
      <c r="BC117" s="41">
        <f t="shared" si="49"/>
        <v>0</v>
      </c>
      <c r="BD117" s="41">
        <f t="shared" si="50"/>
        <v>0</v>
      </c>
      <c r="BE117" s="3">
        <f t="shared" si="51"/>
        <v>0</v>
      </c>
      <c r="BF117" s="3" t="str">
        <f t="shared" si="37"/>
        <v>Failed in 6 Subjects</v>
      </c>
      <c r="BG117" s="5" t="str">
        <f>IF(AW117="","",RANK(AW117,AW$2:AW145,0))</f>
        <v/>
      </c>
      <c r="BH117" s="3" t="str">
        <f t="shared" si="38"/>
        <v>খুবই দুর্বল</v>
      </c>
      <c r="BI117" t="str">
        <f t="shared" si="39"/>
        <v>Very Weak</v>
      </c>
      <c r="BJ117" s="104" t="str">
        <f t="shared" si="40"/>
        <v/>
      </c>
    </row>
    <row r="118" spans="1:62" ht="15" thickBot="1" x14ac:dyDescent="0.4">
      <c r="A118" s="3" t="str">
        <f>'Student Basic Info'!B118</f>
        <v>Business Studies</v>
      </c>
      <c r="B118" s="3">
        <f>'Student Basic Info'!A118</f>
        <v>617</v>
      </c>
      <c r="C118" s="3" t="str">
        <f>'Student Basic Info'!C118</f>
        <v>Tanvir Hossain</v>
      </c>
      <c r="D118" s="3" t="str">
        <f>'Student Basic Info'!D118</f>
        <v>Main Uddin</v>
      </c>
      <c r="E118" s="3" t="str">
        <f>'Student Basic Info'!E118</f>
        <v>Ayesha Aktar</v>
      </c>
      <c r="F118" s="3" t="str">
        <f>'Student Basic Info'!F118</f>
        <v>Male</v>
      </c>
      <c r="G118" s="79">
        <v>1825146391</v>
      </c>
      <c r="H118" s="59" t="str">
        <f>IF(Bangla!B118="","",Bangla!B118)</f>
        <v/>
      </c>
      <c r="I118" s="59" t="str">
        <f>IF(Bangla!C118="","",Bangla!C118)</f>
        <v/>
      </c>
      <c r="J118" s="60" t="str">
        <f>IF(Bangla!D118="","",Bangla!D118)</f>
        <v/>
      </c>
      <c r="K118" s="61" t="str">
        <f>IF(English!C118="","",English!C118)</f>
        <v/>
      </c>
      <c r="L118" s="35" t="str">
        <f>IF(ICT!B118="","",ICT!B118)</f>
        <v/>
      </c>
      <c r="M118" s="35" t="str">
        <f>IF(ICT!C118="","",ICT!C118)</f>
        <v/>
      </c>
      <c r="N118" s="35" t="str">
        <f>IF(ICT!D118="","",ICT!D118)</f>
        <v/>
      </c>
      <c r="O118" s="42" t="str">
        <f>IF(ICT!E118="","",ICT!E118)</f>
        <v/>
      </c>
      <c r="P118" s="40" t="str">
        <f>IF(Accounting!B118="","",Accounting!B118)</f>
        <v/>
      </c>
      <c r="Q118" s="40" t="str">
        <f>IF(Accounting!C118="","",Accounting!C118)</f>
        <v/>
      </c>
      <c r="R118" s="44" t="str">
        <f>IF(Accounting!D118="","",Accounting!D118)</f>
        <v/>
      </c>
      <c r="S118" s="35" t="str">
        <f>IF('Business Organization'!B118="","",'Business Organization'!B118)</f>
        <v/>
      </c>
      <c r="T118" s="35" t="str">
        <f>IF('Business Organization'!C118="","",'Business Organization'!C118)</f>
        <v/>
      </c>
      <c r="U118" s="42" t="str">
        <f>IF('Business Organization'!D118="","",'Business Organization'!D118)</f>
        <v/>
      </c>
      <c r="V118" s="36" t="str">
        <f>IF(SubjectList!G118="Finance",IF(Finance!B118=0,"", Finance!B118),IF(SubjectList!G118="Production",IF(Production!B118=0,"", Production!B118),IF(SubjectList!G118="Economics",IF(Economics!B118=0,"", Economics!B118))))</f>
        <v/>
      </c>
      <c r="W118" s="36" t="str">
        <f>IF(SubjectList!G118="Finance",IF(Finance!C118=0,"", Finance!C118),IF(SubjectList!G118="Production",IF(Production!C118=0,"", Production!C118),IF(SubjectList!G118="Economics",IF(Economics!C118=0,"", Economics!C118))))</f>
        <v/>
      </c>
      <c r="X118" s="43" t="str">
        <f>IF(SubjectList!G118="Finance",IF(Finance!D118=0,"", Finance!D118),IF(SubjectList!G118="Production",IF(Production!D118=0,"", Production!D118),IF(SubjectList!G118="Economics",IF(Economics!D118=0,"", Economics!D118))))</f>
        <v/>
      </c>
      <c r="Y118" s="40" t="str">
        <f>IF(SubjectList!H118="Finance",IF(Finance!B118=0,"", Finance!B118),IF(SubjectList!H118="Production",IF(Production!B118=0,"", Production!B118),IF(SubjectList!H118="Economics",IF(Economics!B118=0,"", Economics!B118))))</f>
        <v/>
      </c>
      <c r="Z118" s="40" t="str">
        <f>IF(SubjectList!H118="Finance",IF(Finance!C118=0,"", Finance!C118),IF(SubjectList!H118="Production",IF(Production!C118=0,"", Production!C118),IF(SubjectList!H118="Economics",IF(Economics!C118=0,"", Economics!C118))))</f>
        <v/>
      </c>
      <c r="AA118" s="44" t="str">
        <f>IF(SubjectList!H118="Finance",IF(Finance!D118=0,"", Finance!D118),IF(SubjectList!H118="Production",IF(Production!D118=0,"", Production!D118),IF(SubjectList!H118="Economics",IF(Economics!D118=0,"", Economics!D118))))</f>
        <v/>
      </c>
      <c r="AB118" s="37" t="str">
        <f>IF(SubjectList!G118="Finance","Finance",IF(SubjectList!G118="Production","Production",IF(SubjectList!G118="Economics","Not Given")))</f>
        <v>Finance</v>
      </c>
      <c r="AC118" s="37" t="str">
        <f>IF(SubjectList!H118="Finance","Finance",IF(SubjectList!H118="Production","Production",IF(SubjectList!H118="Economics","Economics","Not Given")))</f>
        <v>Production</v>
      </c>
      <c r="AD118" s="38" t="str">
        <f>Bangla!F118</f>
        <v/>
      </c>
      <c r="AE118" s="38" t="str">
        <f>English!E118</f>
        <v/>
      </c>
      <c r="AF118" s="38" t="str">
        <f>ICT!G118</f>
        <v/>
      </c>
      <c r="AG118" s="38" t="str">
        <f>Accounting!F118</f>
        <v/>
      </c>
      <c r="AH118" s="38" t="str">
        <f>'Business Organization'!F118</f>
        <v/>
      </c>
      <c r="AI118" s="38" t="str">
        <f>Production!F118</f>
        <v/>
      </c>
      <c r="AJ118" s="38" t="str">
        <f>Finance!F118</f>
        <v/>
      </c>
      <c r="AK118" s="39" t="str">
        <f>Bangla!G118</f>
        <v/>
      </c>
      <c r="AL118" s="39" t="str">
        <f>English!F118</f>
        <v/>
      </c>
      <c r="AM118" s="39" t="str">
        <f>ICT!H118</f>
        <v/>
      </c>
      <c r="AN118" s="39" t="str">
        <f>Accounting!G118</f>
        <v/>
      </c>
      <c r="AO118" s="39" t="str">
        <f>'Business Organization'!G118</f>
        <v/>
      </c>
      <c r="AP118" s="39" t="str">
        <f>IF(SubjectList!G118="Finance",Finance!G118,IF(SubjectList!G118="Production",Production!G118,IF(SubjectList!G118="Economics",Economics!G118)))</f>
        <v/>
      </c>
      <c r="AQ118" s="39" t="str">
        <f>IF(Optional!H118="","", Optional!H118)</f>
        <v/>
      </c>
      <c r="AR118" s="39" t="str">
        <f>Optional!H118</f>
        <v/>
      </c>
      <c r="AS118" s="39" t="str">
        <f>Optional!I118</f>
        <v/>
      </c>
      <c r="AT118" s="39" t="str">
        <f t="shared" si="41"/>
        <v/>
      </c>
      <c r="AU118" s="39">
        <f t="shared" si="42"/>
        <v>0</v>
      </c>
      <c r="AV118" s="39" t="str">
        <f t="shared" si="43"/>
        <v/>
      </c>
      <c r="AW118" s="39" t="str">
        <f t="shared" si="44"/>
        <v/>
      </c>
      <c r="AX118" s="5">
        <f t="shared" si="35"/>
        <v>0</v>
      </c>
      <c r="AY118" s="41">
        <f t="shared" si="45"/>
        <v>0</v>
      </c>
      <c r="AZ118" s="41">
        <f t="shared" si="46"/>
        <v>0</v>
      </c>
      <c r="BA118" s="41">
        <f t="shared" si="47"/>
        <v>0</v>
      </c>
      <c r="BB118" s="41">
        <f t="shared" si="48"/>
        <v>0</v>
      </c>
      <c r="BC118" s="41">
        <f t="shared" si="49"/>
        <v>0</v>
      </c>
      <c r="BD118" s="41">
        <f t="shared" si="50"/>
        <v>0</v>
      </c>
      <c r="BE118" s="3">
        <f t="shared" si="51"/>
        <v>0</v>
      </c>
      <c r="BF118" s="3" t="str">
        <f t="shared" si="37"/>
        <v>Failed in 6 Subjects</v>
      </c>
      <c r="BG118" s="5" t="str">
        <f>IF(AW118="","",RANK(AW118,AW$2:AW145,0))</f>
        <v/>
      </c>
      <c r="BH118" s="3" t="str">
        <f t="shared" si="38"/>
        <v>খুবই দুর্বল</v>
      </c>
      <c r="BI118" t="str">
        <f t="shared" si="39"/>
        <v>Very Weak</v>
      </c>
      <c r="BJ118" s="104" t="str">
        <f t="shared" si="40"/>
        <v/>
      </c>
    </row>
    <row r="119" spans="1:62" ht="15" thickBot="1" x14ac:dyDescent="0.4">
      <c r="A119" s="3" t="str">
        <f>'Student Basic Info'!B119</f>
        <v>Business Studies</v>
      </c>
      <c r="B119" s="3">
        <f>'Student Basic Info'!A119</f>
        <v>618</v>
      </c>
      <c r="C119" s="3" t="str">
        <f>'Student Basic Info'!C119</f>
        <v>Mizanur Rahman</v>
      </c>
      <c r="D119" s="3" t="str">
        <f>'Student Basic Info'!D119</f>
        <v>Obaydul Haque</v>
      </c>
      <c r="E119" s="3" t="str">
        <f>'Student Basic Info'!E119</f>
        <v>Marzahan Begum</v>
      </c>
      <c r="F119" s="3" t="str">
        <f>'Student Basic Info'!F119</f>
        <v>Male</v>
      </c>
      <c r="G119" s="79">
        <v>1811606254</v>
      </c>
      <c r="H119" s="59" t="str">
        <f>IF(Bangla!B119="","",Bangla!B119)</f>
        <v/>
      </c>
      <c r="I119" s="59" t="str">
        <f>IF(Bangla!C119="","",Bangla!C119)</f>
        <v/>
      </c>
      <c r="J119" s="60" t="str">
        <f>IF(Bangla!D119="","",Bangla!D119)</f>
        <v/>
      </c>
      <c r="K119" s="61" t="str">
        <f>IF(English!C119="","",English!C119)</f>
        <v/>
      </c>
      <c r="L119" s="35" t="str">
        <f>IF(ICT!B119="","",ICT!B119)</f>
        <v/>
      </c>
      <c r="M119" s="35" t="str">
        <f>IF(ICT!C119="","",ICT!C119)</f>
        <v/>
      </c>
      <c r="N119" s="35" t="str">
        <f>IF(ICT!D119="","",ICT!D119)</f>
        <v/>
      </c>
      <c r="O119" s="42" t="str">
        <f>IF(ICT!E119="","",ICT!E119)</f>
        <v/>
      </c>
      <c r="P119" s="40" t="str">
        <f>IF(Accounting!B119="","",Accounting!B119)</f>
        <v/>
      </c>
      <c r="Q119" s="40" t="str">
        <f>IF(Accounting!C119="","",Accounting!C119)</f>
        <v/>
      </c>
      <c r="R119" s="44" t="str">
        <f>IF(Accounting!D119="","",Accounting!D119)</f>
        <v/>
      </c>
      <c r="S119" s="35" t="str">
        <f>IF('Business Organization'!B119="","",'Business Organization'!B119)</f>
        <v/>
      </c>
      <c r="T119" s="35" t="str">
        <f>IF('Business Organization'!C119="","",'Business Organization'!C119)</f>
        <v/>
      </c>
      <c r="U119" s="42" t="str">
        <f>IF('Business Organization'!D119="","",'Business Organization'!D119)</f>
        <v/>
      </c>
      <c r="V119" s="36" t="str">
        <f>IF(SubjectList!G119="Finance",IF(Finance!B119=0,"", Finance!B119),IF(SubjectList!G119="Production",IF(Production!B119=0,"", Production!B119),IF(SubjectList!G119="Economics",IF(Economics!B119=0,"", Economics!B119))))</f>
        <v/>
      </c>
      <c r="W119" s="36" t="str">
        <f>IF(SubjectList!G119="Finance",IF(Finance!C119=0,"", Finance!C119),IF(SubjectList!G119="Production",IF(Production!C119=0,"", Production!C119),IF(SubjectList!G119="Economics",IF(Economics!C119=0,"", Economics!C119))))</f>
        <v/>
      </c>
      <c r="X119" s="43" t="str">
        <f>IF(SubjectList!G119="Finance",IF(Finance!D119=0,"", Finance!D119),IF(SubjectList!G119="Production",IF(Production!D119=0,"", Production!D119),IF(SubjectList!G119="Economics",IF(Economics!D119=0,"", Economics!D119))))</f>
        <v/>
      </c>
      <c r="Y119" s="40" t="str">
        <f>IF(SubjectList!H119="Finance",IF(Finance!B119=0,"", Finance!B119),IF(SubjectList!H119="Production",IF(Production!B119=0,"", Production!B119),IF(SubjectList!H119="Economics",IF(Economics!B119=0,"", Economics!B119))))</f>
        <v/>
      </c>
      <c r="Z119" s="40" t="str">
        <f>IF(SubjectList!H119="Finance",IF(Finance!C119=0,"", Finance!C119),IF(SubjectList!H119="Production",IF(Production!C119=0,"", Production!C119),IF(SubjectList!H119="Economics",IF(Economics!C119=0,"", Economics!C119))))</f>
        <v/>
      </c>
      <c r="AA119" s="44" t="str">
        <f>IF(SubjectList!H119="Finance",IF(Finance!D119=0,"", Finance!D119),IF(SubjectList!H119="Production",IF(Production!D119=0,"", Production!D119),IF(SubjectList!H119="Economics",IF(Economics!D119=0,"", Economics!D119))))</f>
        <v/>
      </c>
      <c r="AB119" s="37" t="str">
        <f>IF(SubjectList!G119="Finance","Finance",IF(SubjectList!G119="Production","Production",IF(SubjectList!G119="Economics","Not Given")))</f>
        <v>Production</v>
      </c>
      <c r="AC119" s="37" t="str">
        <f>IF(SubjectList!H119="Finance","Finance",IF(SubjectList!H119="Production","Production",IF(SubjectList!H119="Economics","Economics","Not Given")))</f>
        <v>Economics</v>
      </c>
      <c r="AD119" s="38" t="str">
        <f>Bangla!F119</f>
        <v/>
      </c>
      <c r="AE119" s="38" t="str">
        <f>English!E119</f>
        <v/>
      </c>
      <c r="AF119" s="38" t="str">
        <f>ICT!G119</f>
        <v/>
      </c>
      <c r="AG119" s="38" t="str">
        <f>Accounting!F119</f>
        <v/>
      </c>
      <c r="AH119" s="38" t="str">
        <f>'Business Organization'!F119</f>
        <v/>
      </c>
      <c r="AI119" s="38" t="str">
        <f>Production!F119</f>
        <v/>
      </c>
      <c r="AJ119" s="38" t="str">
        <f>Finance!F119</f>
        <v/>
      </c>
      <c r="AK119" s="39" t="str">
        <f>Bangla!G119</f>
        <v/>
      </c>
      <c r="AL119" s="39" t="str">
        <f>English!F119</f>
        <v/>
      </c>
      <c r="AM119" s="39" t="str">
        <f>ICT!H119</f>
        <v/>
      </c>
      <c r="AN119" s="39" t="str">
        <f>Accounting!G119</f>
        <v/>
      </c>
      <c r="AO119" s="39" t="str">
        <f>'Business Organization'!G119</f>
        <v/>
      </c>
      <c r="AP119" s="39" t="str">
        <f>IF(SubjectList!G119="Finance",Finance!G119,IF(SubjectList!G119="Production",Production!G119,IF(SubjectList!G119="Economics",Economics!G119)))</f>
        <v/>
      </c>
      <c r="AQ119" s="39" t="str">
        <f>IF(Optional!H119="","", Optional!H119)</f>
        <v/>
      </c>
      <c r="AR119" s="39" t="str">
        <f>Optional!H119</f>
        <v/>
      </c>
      <c r="AS119" s="39" t="str">
        <f>Optional!I119</f>
        <v/>
      </c>
      <c r="AT119" s="39" t="str">
        <f t="shared" si="41"/>
        <v/>
      </c>
      <c r="AU119" s="39">
        <f t="shared" si="42"/>
        <v>0</v>
      </c>
      <c r="AV119" s="39" t="str">
        <f t="shared" si="43"/>
        <v/>
      </c>
      <c r="AW119" s="39" t="str">
        <f t="shared" si="44"/>
        <v/>
      </c>
      <c r="AX119" s="5">
        <f t="shared" si="35"/>
        <v>0</v>
      </c>
      <c r="AY119" s="41">
        <f t="shared" si="45"/>
        <v>0</v>
      </c>
      <c r="AZ119" s="41">
        <f t="shared" si="46"/>
        <v>0</v>
      </c>
      <c r="BA119" s="41">
        <f t="shared" si="47"/>
        <v>0</v>
      </c>
      <c r="BB119" s="41">
        <f t="shared" si="48"/>
        <v>0</v>
      </c>
      <c r="BC119" s="41">
        <f t="shared" si="49"/>
        <v>0</v>
      </c>
      <c r="BD119" s="41">
        <f t="shared" si="50"/>
        <v>0</v>
      </c>
      <c r="BE119" s="3">
        <f t="shared" si="51"/>
        <v>0</v>
      </c>
      <c r="BF119" s="3" t="str">
        <f t="shared" si="37"/>
        <v>Failed in 6 Subjects</v>
      </c>
      <c r="BG119" s="5" t="str">
        <f>IF(AW119="","",RANK(AW119,AW$2:AW145,0))</f>
        <v/>
      </c>
      <c r="BH119" s="3" t="str">
        <f t="shared" si="38"/>
        <v>খুবই দুর্বল</v>
      </c>
      <c r="BI119" t="str">
        <f t="shared" si="39"/>
        <v>Very Weak</v>
      </c>
      <c r="BJ119" s="104" t="str">
        <f t="shared" si="40"/>
        <v/>
      </c>
    </row>
    <row r="120" spans="1:62" ht="15" thickBot="1" x14ac:dyDescent="0.4">
      <c r="A120" s="3" t="str">
        <f>'Student Basic Info'!B120</f>
        <v>Business Studies</v>
      </c>
      <c r="B120" s="3">
        <f>'Student Basic Info'!A120</f>
        <v>619</v>
      </c>
      <c r="C120" s="3" t="str">
        <f>'Student Basic Info'!C120</f>
        <v>Yeasin Arafat</v>
      </c>
      <c r="D120" s="3" t="str">
        <f>'Student Basic Info'!D120</f>
        <v>Golam Mawla</v>
      </c>
      <c r="E120" s="3" t="str">
        <f>'Student Basic Info'!E120</f>
        <v>Bibi Ayesha</v>
      </c>
      <c r="F120" s="3" t="str">
        <f>'Student Basic Info'!F120</f>
        <v>Male</v>
      </c>
      <c r="G120" s="79">
        <v>1827944273</v>
      </c>
      <c r="H120" s="59" t="str">
        <f>IF(Bangla!B120="","",Bangla!B120)</f>
        <v/>
      </c>
      <c r="I120" s="59" t="str">
        <f>IF(Bangla!C120="","",Bangla!C120)</f>
        <v/>
      </c>
      <c r="J120" s="60" t="str">
        <f>IF(Bangla!D120="","",Bangla!D120)</f>
        <v/>
      </c>
      <c r="K120" s="61" t="str">
        <f>IF(English!C120="","",English!C120)</f>
        <v/>
      </c>
      <c r="L120" s="35" t="str">
        <f>IF(ICT!B120="","",ICT!B120)</f>
        <v/>
      </c>
      <c r="M120" s="35" t="str">
        <f>IF(ICT!C120="","",ICT!C120)</f>
        <v/>
      </c>
      <c r="N120" s="35" t="str">
        <f>IF(ICT!D120="","",ICT!D120)</f>
        <v/>
      </c>
      <c r="O120" s="42" t="str">
        <f>IF(ICT!E120="","",ICT!E120)</f>
        <v/>
      </c>
      <c r="P120" s="40" t="str">
        <f>IF(Accounting!B120="","",Accounting!B120)</f>
        <v/>
      </c>
      <c r="Q120" s="40" t="str">
        <f>IF(Accounting!C120="","",Accounting!C120)</f>
        <v/>
      </c>
      <c r="R120" s="44" t="str">
        <f>IF(Accounting!D120="","",Accounting!D120)</f>
        <v/>
      </c>
      <c r="S120" s="35" t="str">
        <f>IF('Business Organization'!B120="","",'Business Organization'!B120)</f>
        <v/>
      </c>
      <c r="T120" s="35" t="str">
        <f>IF('Business Organization'!C120="","",'Business Organization'!C120)</f>
        <v/>
      </c>
      <c r="U120" s="42" t="str">
        <f>IF('Business Organization'!D120="","",'Business Organization'!D120)</f>
        <v/>
      </c>
      <c r="V120" s="36" t="str">
        <f>IF(SubjectList!G120="Finance",IF(Finance!B120=0,"", Finance!B120),IF(SubjectList!G120="Production",IF(Production!B120=0,"", Production!B120),IF(SubjectList!G120="Economics",IF(Economics!B120=0,"", Economics!B120))))</f>
        <v/>
      </c>
      <c r="W120" s="36" t="str">
        <f>IF(SubjectList!G120="Finance",IF(Finance!C120=0,"", Finance!C120),IF(SubjectList!G120="Production",IF(Production!C120=0,"", Production!C120),IF(SubjectList!G120="Economics",IF(Economics!C120=0,"", Economics!C120))))</f>
        <v/>
      </c>
      <c r="X120" s="43" t="str">
        <f>IF(SubjectList!G120="Finance",IF(Finance!D120=0,"", Finance!D120),IF(SubjectList!G120="Production",IF(Production!D120=0,"", Production!D120),IF(SubjectList!G120="Economics",IF(Economics!D120=0,"", Economics!D120))))</f>
        <v/>
      </c>
      <c r="Y120" s="40" t="str">
        <f>IF(SubjectList!H120="Finance",IF(Finance!B120=0,"", Finance!B120),IF(SubjectList!H120="Production",IF(Production!B120=0,"", Production!B120),IF(SubjectList!H120="Economics",IF(Economics!B120=0,"", Economics!B120))))</f>
        <v/>
      </c>
      <c r="Z120" s="40" t="str">
        <f>IF(SubjectList!H120="Finance",IF(Finance!C120=0,"", Finance!C120),IF(SubjectList!H120="Production",IF(Production!C120=0,"", Production!C120),IF(SubjectList!H120="Economics",IF(Economics!C120=0,"", Economics!C120))))</f>
        <v/>
      </c>
      <c r="AA120" s="44" t="str">
        <f>IF(SubjectList!H120="Finance",IF(Finance!D120=0,"", Finance!D120),IF(SubjectList!H120="Production",IF(Production!D120=0,"", Production!D120),IF(SubjectList!H120="Economics",IF(Economics!D120=0,"", Economics!D120))))</f>
        <v/>
      </c>
      <c r="AB120" s="37" t="str">
        <f>IF(SubjectList!G120="Finance","Finance",IF(SubjectList!G120="Production","Production",IF(SubjectList!G120="Economics","Not Given")))</f>
        <v>Finance</v>
      </c>
      <c r="AC120" s="37" t="str">
        <f>IF(SubjectList!H120="Finance","Finance",IF(SubjectList!H120="Production","Production",IF(SubjectList!H120="Economics","Economics","Not Given")))</f>
        <v>Production</v>
      </c>
      <c r="AD120" s="38" t="str">
        <f>Bangla!F120</f>
        <v/>
      </c>
      <c r="AE120" s="38" t="str">
        <f>English!E120</f>
        <v/>
      </c>
      <c r="AF120" s="38" t="str">
        <f>ICT!G120</f>
        <v/>
      </c>
      <c r="AG120" s="38" t="str">
        <f>Accounting!F120</f>
        <v/>
      </c>
      <c r="AH120" s="38" t="str">
        <f>'Business Organization'!F120</f>
        <v/>
      </c>
      <c r="AI120" s="38" t="str">
        <f>Production!F120</f>
        <v/>
      </c>
      <c r="AJ120" s="38" t="str">
        <f>Finance!F120</f>
        <v/>
      </c>
      <c r="AK120" s="39" t="str">
        <f>Bangla!G120</f>
        <v/>
      </c>
      <c r="AL120" s="39" t="str">
        <f>English!F120</f>
        <v/>
      </c>
      <c r="AM120" s="39" t="str">
        <f>ICT!H120</f>
        <v/>
      </c>
      <c r="AN120" s="39" t="str">
        <f>Accounting!G120</f>
        <v/>
      </c>
      <c r="AO120" s="39" t="str">
        <f>'Business Organization'!G120</f>
        <v/>
      </c>
      <c r="AP120" s="39" t="str">
        <f>IF(SubjectList!G120="Finance",Finance!G120,IF(SubjectList!G120="Production",Production!G120,IF(SubjectList!G120="Economics",Economics!G120)))</f>
        <v/>
      </c>
      <c r="AQ120" s="39" t="str">
        <f>IF(Optional!H120="","", Optional!H120)</f>
        <v/>
      </c>
      <c r="AR120" s="39" t="str">
        <f>Optional!H120</f>
        <v/>
      </c>
      <c r="AS120" s="39" t="str">
        <f>Optional!I120</f>
        <v/>
      </c>
      <c r="AT120" s="39" t="str">
        <f t="shared" si="41"/>
        <v/>
      </c>
      <c r="AU120" s="39">
        <f t="shared" si="42"/>
        <v>0</v>
      </c>
      <c r="AV120" s="39" t="str">
        <f t="shared" si="43"/>
        <v/>
      </c>
      <c r="AW120" s="39" t="str">
        <f t="shared" si="44"/>
        <v/>
      </c>
      <c r="AX120" s="5">
        <f t="shared" si="35"/>
        <v>0</v>
      </c>
      <c r="AY120" s="41">
        <f t="shared" si="45"/>
        <v>0</v>
      </c>
      <c r="AZ120" s="41">
        <f t="shared" si="46"/>
        <v>0</v>
      </c>
      <c r="BA120" s="41">
        <f t="shared" si="47"/>
        <v>0</v>
      </c>
      <c r="BB120" s="41">
        <f t="shared" si="48"/>
        <v>0</v>
      </c>
      <c r="BC120" s="41">
        <f t="shared" si="49"/>
        <v>0</v>
      </c>
      <c r="BD120" s="41">
        <f t="shared" si="50"/>
        <v>0</v>
      </c>
      <c r="BE120" s="3">
        <f t="shared" si="51"/>
        <v>0</v>
      </c>
      <c r="BF120" s="3" t="str">
        <f t="shared" si="37"/>
        <v>Failed in 6 Subjects</v>
      </c>
      <c r="BG120" s="5" t="str">
        <f>IF(AW120="","",RANK(AW120,AW$2:AW145,0))</f>
        <v/>
      </c>
      <c r="BH120" s="3" t="str">
        <f t="shared" si="38"/>
        <v>খুবই দুর্বল</v>
      </c>
      <c r="BI120" t="str">
        <f t="shared" si="39"/>
        <v>Very Weak</v>
      </c>
      <c r="BJ120" s="104" t="str">
        <f t="shared" si="40"/>
        <v/>
      </c>
    </row>
    <row r="121" spans="1:62" ht="15" thickBot="1" x14ac:dyDescent="0.4">
      <c r="A121" s="3" t="str">
        <f>'Student Basic Info'!B121</f>
        <v>Business Studies</v>
      </c>
      <c r="B121" s="3">
        <f>'Student Basic Info'!A121</f>
        <v>620</v>
      </c>
      <c r="C121" s="3" t="str">
        <f>'Student Basic Info'!C121</f>
        <v>Abdullah Al Noman</v>
      </c>
      <c r="D121" s="3" t="str">
        <f>'Student Basic Info'!D121</f>
        <v>Abdur Rahman</v>
      </c>
      <c r="E121" s="3" t="str">
        <f>'Student Basic Info'!E121</f>
        <v>Momtaz Begum</v>
      </c>
      <c r="F121" s="3" t="str">
        <f>'Student Basic Info'!F121</f>
        <v>Male</v>
      </c>
      <c r="G121" s="79">
        <v>1882720562</v>
      </c>
      <c r="H121" s="59" t="str">
        <f>IF(Bangla!B121="","",Bangla!B121)</f>
        <v/>
      </c>
      <c r="I121" s="59" t="str">
        <f>IF(Bangla!C121="","",Bangla!C121)</f>
        <v/>
      </c>
      <c r="J121" s="60" t="str">
        <f>IF(Bangla!D121="","",Bangla!D121)</f>
        <v/>
      </c>
      <c r="K121" s="61" t="str">
        <f>IF(English!C121="","",English!C121)</f>
        <v/>
      </c>
      <c r="L121" s="35" t="str">
        <f>IF(ICT!B121="","",ICT!B121)</f>
        <v/>
      </c>
      <c r="M121" s="35" t="str">
        <f>IF(ICT!C121="","",ICT!C121)</f>
        <v/>
      </c>
      <c r="N121" s="35" t="str">
        <f>IF(ICT!D121="","",ICT!D121)</f>
        <v/>
      </c>
      <c r="O121" s="42" t="str">
        <f>IF(ICT!E121="","",ICT!E121)</f>
        <v/>
      </c>
      <c r="P121" s="40" t="str">
        <f>IF(Accounting!B121="","",Accounting!B121)</f>
        <v/>
      </c>
      <c r="Q121" s="40" t="str">
        <f>IF(Accounting!C121="","",Accounting!C121)</f>
        <v/>
      </c>
      <c r="R121" s="44" t="str">
        <f>IF(Accounting!D121="","",Accounting!D121)</f>
        <v/>
      </c>
      <c r="S121" s="35" t="str">
        <f>IF('Business Organization'!B121="","",'Business Organization'!B121)</f>
        <v/>
      </c>
      <c r="T121" s="35" t="str">
        <f>IF('Business Organization'!C121="","",'Business Organization'!C121)</f>
        <v/>
      </c>
      <c r="U121" s="42" t="str">
        <f>IF('Business Organization'!D121="","",'Business Organization'!D121)</f>
        <v/>
      </c>
      <c r="V121" s="36" t="str">
        <f>IF(SubjectList!G121="Finance",IF(Finance!B121=0,"", Finance!B121),IF(SubjectList!G121="Production",IF(Production!B121=0,"", Production!B121),IF(SubjectList!G121="Economics",IF(Economics!B121=0,"", Economics!B121))))</f>
        <v/>
      </c>
      <c r="W121" s="36" t="str">
        <f>IF(SubjectList!G121="Finance",IF(Finance!C121=0,"", Finance!C121),IF(SubjectList!G121="Production",IF(Production!C121=0,"", Production!C121),IF(SubjectList!G121="Economics",IF(Economics!C121=0,"", Economics!C121))))</f>
        <v/>
      </c>
      <c r="X121" s="43" t="str">
        <f>IF(SubjectList!G121="Finance",IF(Finance!D121=0,"", Finance!D121),IF(SubjectList!G121="Production",IF(Production!D121=0,"", Production!D121),IF(SubjectList!G121="Economics",IF(Economics!D121=0,"", Economics!D121))))</f>
        <v/>
      </c>
      <c r="Y121" s="40" t="str">
        <f>IF(SubjectList!H121="Finance",IF(Finance!B121=0,"", Finance!B121),IF(SubjectList!H121="Production",IF(Production!B121=0,"", Production!B121),IF(SubjectList!H121="Economics",IF(Economics!B121=0,"", Economics!B121))))</f>
        <v/>
      </c>
      <c r="Z121" s="40" t="str">
        <f>IF(SubjectList!H121="Finance",IF(Finance!C121=0,"", Finance!C121),IF(SubjectList!H121="Production",IF(Production!C121=0,"", Production!C121),IF(SubjectList!H121="Economics",IF(Economics!C121=0,"", Economics!C121))))</f>
        <v/>
      </c>
      <c r="AA121" s="44" t="str">
        <f>IF(SubjectList!H121="Finance",IF(Finance!D121=0,"", Finance!D121),IF(SubjectList!H121="Production",IF(Production!D121=0,"", Production!D121),IF(SubjectList!H121="Economics",IF(Economics!D121=0,"", Economics!D121))))</f>
        <v/>
      </c>
      <c r="AB121" s="37" t="str">
        <f>IF(SubjectList!G121="Finance","Finance",IF(SubjectList!G121="Production","Production",IF(SubjectList!G121="Economics","Not Given")))</f>
        <v>Finance</v>
      </c>
      <c r="AC121" s="37" t="str">
        <f>IF(SubjectList!H121="Finance","Finance",IF(SubjectList!H121="Production","Production",IF(SubjectList!H121="Economics","Economics","Not Given")))</f>
        <v>Production</v>
      </c>
      <c r="AD121" s="38" t="str">
        <f>Bangla!F121</f>
        <v/>
      </c>
      <c r="AE121" s="38" t="str">
        <f>English!E121</f>
        <v/>
      </c>
      <c r="AF121" s="38" t="str">
        <f>ICT!G121</f>
        <v/>
      </c>
      <c r="AG121" s="38" t="str">
        <f>Accounting!F121</f>
        <v/>
      </c>
      <c r="AH121" s="38" t="str">
        <f>'Business Organization'!F121</f>
        <v/>
      </c>
      <c r="AI121" s="38" t="str">
        <f>Production!F121</f>
        <v/>
      </c>
      <c r="AJ121" s="38" t="str">
        <f>Finance!F121</f>
        <v/>
      </c>
      <c r="AK121" s="39" t="str">
        <f>Bangla!G121</f>
        <v/>
      </c>
      <c r="AL121" s="39" t="str">
        <f>English!F121</f>
        <v/>
      </c>
      <c r="AM121" s="39" t="str">
        <f>ICT!H121</f>
        <v/>
      </c>
      <c r="AN121" s="39" t="str">
        <f>Accounting!G121</f>
        <v/>
      </c>
      <c r="AO121" s="39" t="str">
        <f>'Business Organization'!G121</f>
        <v/>
      </c>
      <c r="AP121" s="39" t="str">
        <f>IF(SubjectList!G121="Finance",Finance!G121,IF(SubjectList!G121="Production",Production!G121,IF(SubjectList!G121="Economics",Economics!G121)))</f>
        <v/>
      </c>
      <c r="AQ121" s="39" t="str">
        <f>IF(Optional!H121="","", Optional!H121)</f>
        <v/>
      </c>
      <c r="AR121" s="39" t="str">
        <f>Optional!H121</f>
        <v/>
      </c>
      <c r="AS121" s="39" t="str">
        <f>Optional!I121</f>
        <v/>
      </c>
      <c r="AT121" s="39" t="str">
        <f t="shared" si="41"/>
        <v/>
      </c>
      <c r="AU121" s="39">
        <f t="shared" si="42"/>
        <v>0</v>
      </c>
      <c r="AV121" s="39" t="str">
        <f t="shared" si="43"/>
        <v/>
      </c>
      <c r="AW121" s="39" t="str">
        <f t="shared" si="44"/>
        <v/>
      </c>
      <c r="AX121" s="5">
        <f t="shared" si="35"/>
        <v>0</v>
      </c>
      <c r="AY121" s="41">
        <f t="shared" si="45"/>
        <v>0</v>
      </c>
      <c r="AZ121" s="41">
        <f t="shared" si="46"/>
        <v>0</v>
      </c>
      <c r="BA121" s="41">
        <f t="shared" si="47"/>
        <v>0</v>
      </c>
      <c r="BB121" s="41">
        <f t="shared" si="48"/>
        <v>0</v>
      </c>
      <c r="BC121" s="41">
        <f t="shared" si="49"/>
        <v>0</v>
      </c>
      <c r="BD121" s="41">
        <f t="shared" si="50"/>
        <v>0</v>
      </c>
      <c r="BE121" s="3">
        <f t="shared" si="51"/>
        <v>0</v>
      </c>
      <c r="BF121" s="3" t="str">
        <f t="shared" si="37"/>
        <v>Failed in 6 Subjects</v>
      </c>
      <c r="BG121" s="5" t="str">
        <f>IF(AW121="","",RANK(AW121,AW$2:AW145,0))</f>
        <v/>
      </c>
      <c r="BH121" s="3" t="str">
        <f t="shared" si="38"/>
        <v>খুবই দুর্বল</v>
      </c>
      <c r="BI121" t="str">
        <f t="shared" si="39"/>
        <v>Very Weak</v>
      </c>
      <c r="BJ121" s="104" t="str">
        <f t="shared" si="40"/>
        <v/>
      </c>
    </row>
    <row r="122" spans="1:62" ht="15" thickBot="1" x14ac:dyDescent="0.4">
      <c r="A122" s="3" t="str">
        <f>'Student Basic Info'!B122</f>
        <v>Business Studies</v>
      </c>
      <c r="B122" s="3">
        <f>'Student Basic Info'!A122</f>
        <v>621</v>
      </c>
      <c r="C122" s="3" t="str">
        <f>'Student Basic Info'!C122</f>
        <v>Delower Hossain</v>
      </c>
      <c r="D122" s="3" t="str">
        <f>'Student Basic Info'!D122</f>
        <v>Zahangir Alam</v>
      </c>
      <c r="E122" s="3" t="str">
        <f>'Student Basic Info'!E122</f>
        <v>Ashrafun Nesa</v>
      </c>
      <c r="F122" s="3" t="str">
        <f>'Student Basic Info'!F122</f>
        <v>Male</v>
      </c>
      <c r="G122" s="79">
        <v>1610250855</v>
      </c>
      <c r="H122" s="59" t="str">
        <f>IF(Bangla!B122="","",Bangla!B122)</f>
        <v/>
      </c>
      <c r="I122" s="59">
        <f>IF(Bangla!C122="","",Bangla!C122)</f>
        <v>40</v>
      </c>
      <c r="J122" s="60">
        <f>IF(Bangla!D122="","",Bangla!D122)</f>
        <v>40</v>
      </c>
      <c r="K122" s="61">
        <f>IF(English!C122="","",English!C122)</f>
        <v>17</v>
      </c>
      <c r="L122" s="35">
        <f>IF(ICT!B122="","",ICT!B122)</f>
        <v>18</v>
      </c>
      <c r="M122" s="35">
        <f>IF(ICT!C122="","",ICT!C122)</f>
        <v>18</v>
      </c>
      <c r="N122" s="35">
        <f>IF(ICT!D122="","",ICT!D122)</f>
        <v>18</v>
      </c>
      <c r="O122" s="42">
        <f>IF(ICT!E122="","",ICT!E122)</f>
        <v>54</v>
      </c>
      <c r="P122" s="40">
        <f>IF(Accounting!B122="","",Accounting!B122)</f>
        <v>14</v>
      </c>
      <c r="Q122" s="40">
        <f>IF(Accounting!C122="","",Accounting!C122)</f>
        <v>23</v>
      </c>
      <c r="R122" s="44">
        <f>IF(Accounting!D122="","",Accounting!D122)</f>
        <v>37</v>
      </c>
      <c r="S122" s="35">
        <f>IF('Business Organization'!B122="","",'Business Organization'!B122)</f>
        <v>18</v>
      </c>
      <c r="T122" s="35">
        <f>IF('Business Organization'!C122="","",'Business Organization'!C122)</f>
        <v>9</v>
      </c>
      <c r="U122" s="42">
        <f>IF('Business Organization'!D122="","",'Business Organization'!D122)</f>
        <v>27</v>
      </c>
      <c r="V122" s="36">
        <f>IF(SubjectList!G122="Finance",IF(Finance!B122=0,"", Finance!B122),IF(SubjectList!G122="Production",IF(Production!B122=0,"", Production!B122),IF(SubjectList!G122="Economics",IF(Economics!B122=0,"", Economics!B122))))</f>
        <v>10</v>
      </c>
      <c r="W122" s="36">
        <f>IF(SubjectList!G122="Finance",IF(Finance!C122=0,"", Finance!C122),IF(SubjectList!G122="Production",IF(Production!C122=0,"", Production!C122),IF(SubjectList!G122="Economics",IF(Economics!C122=0,"", Economics!C122))))</f>
        <v>10</v>
      </c>
      <c r="X122" s="43">
        <f>IF(SubjectList!G122="Finance",IF(Finance!D122=0,"", Finance!D122),IF(SubjectList!G122="Production",IF(Production!D122=0,"", Production!D122),IF(SubjectList!G122="Economics",IF(Economics!D122=0,"", Economics!D122))))</f>
        <v>20</v>
      </c>
      <c r="Y122" s="40">
        <f>IF(SubjectList!H122="Finance",IF(Finance!B122=0,"", Finance!B122),IF(SubjectList!H122="Production",IF(Production!B122=0,"", Production!B122),IF(SubjectList!H122="Economics",IF(Economics!B122=0,"", Economics!B122))))</f>
        <v>14</v>
      </c>
      <c r="Z122" s="40">
        <f>IF(SubjectList!H122="Finance",IF(Finance!C122=0,"", Finance!C122),IF(SubjectList!H122="Production",IF(Production!C122=0,"", Production!C122),IF(SubjectList!H122="Economics",IF(Economics!C122=0,"", Economics!C122))))</f>
        <v>31</v>
      </c>
      <c r="AA122" s="44">
        <f>IF(SubjectList!H122="Finance",IF(Finance!D122=0,"", Finance!D122),IF(SubjectList!H122="Production",IF(Production!D122=0,"", Production!D122),IF(SubjectList!H122="Economics",IF(Economics!D122=0,"", Economics!D122))))</f>
        <v>45</v>
      </c>
      <c r="AB122" s="37" t="str">
        <f>IF(SubjectList!G122="Finance","Finance",IF(SubjectList!G122="Production","Production",IF(SubjectList!G122="Economics","Not Given")))</f>
        <v>Finance</v>
      </c>
      <c r="AC122" s="37" t="str">
        <f>IF(SubjectList!H122="Finance","Finance",IF(SubjectList!H122="Production","Production",IF(SubjectList!H122="Economics","Economics","Not Given")))</f>
        <v>Production</v>
      </c>
      <c r="AD122" s="38" t="str">
        <f>Bangla!F122</f>
        <v>C</v>
      </c>
      <c r="AE122" s="38" t="str">
        <f>English!E122</f>
        <v>F</v>
      </c>
      <c r="AF122" s="38" t="str">
        <f>ICT!G122</f>
        <v>B</v>
      </c>
      <c r="AG122" s="38" t="str">
        <f>Accounting!F122</f>
        <v>D</v>
      </c>
      <c r="AH122" s="38" t="str">
        <f>'Business Organization'!F122</f>
        <v>F</v>
      </c>
      <c r="AI122" s="38" t="str">
        <f>Production!F122</f>
        <v>C</v>
      </c>
      <c r="AJ122" s="38" t="str">
        <f>Finance!F122</f>
        <v>F</v>
      </c>
      <c r="AK122" s="39">
        <f>Bangla!G122</f>
        <v>2</v>
      </c>
      <c r="AL122" s="39">
        <f>English!F122</f>
        <v>0</v>
      </c>
      <c r="AM122" s="39">
        <f>ICT!H122</f>
        <v>3</v>
      </c>
      <c r="AN122" s="39">
        <f>Accounting!G122</f>
        <v>1</v>
      </c>
      <c r="AO122" s="39">
        <f>'Business Organization'!G122</f>
        <v>0</v>
      </c>
      <c r="AP122" s="39">
        <f>IF(SubjectList!G122="Finance",Finance!G122,IF(SubjectList!G122="Production",Production!G122,IF(SubjectList!G122="Economics",Economics!G122)))</f>
        <v>0</v>
      </c>
      <c r="AQ122" s="39">
        <f>IF(Optional!H122="","", Optional!H122)</f>
        <v>2</v>
      </c>
      <c r="AR122" s="39">
        <f>Optional!H122</f>
        <v>2</v>
      </c>
      <c r="AS122" s="39">
        <f>Optional!I122</f>
        <v>0</v>
      </c>
      <c r="AT122" s="39">
        <f t="shared" si="41"/>
        <v>6</v>
      </c>
      <c r="AU122" s="39">
        <f t="shared" si="42"/>
        <v>6</v>
      </c>
      <c r="AV122" s="39" t="str">
        <f t="shared" si="43"/>
        <v/>
      </c>
      <c r="AW122" s="39" t="str">
        <f t="shared" si="44"/>
        <v/>
      </c>
      <c r="AX122" s="5">
        <f t="shared" si="35"/>
        <v>240</v>
      </c>
      <c r="AY122" s="41">
        <f t="shared" si="45"/>
        <v>1</v>
      </c>
      <c r="AZ122" s="41">
        <f t="shared" si="46"/>
        <v>0</v>
      </c>
      <c r="BA122" s="41">
        <f t="shared" si="47"/>
        <v>1</v>
      </c>
      <c r="BB122" s="41">
        <f t="shared" si="48"/>
        <v>1</v>
      </c>
      <c r="BC122" s="41">
        <f t="shared" si="49"/>
        <v>0</v>
      </c>
      <c r="BD122" s="41">
        <f t="shared" si="50"/>
        <v>0</v>
      </c>
      <c r="BE122" s="3">
        <f t="shared" si="51"/>
        <v>3</v>
      </c>
      <c r="BF122" s="3" t="str">
        <f t="shared" si="37"/>
        <v>Failed in 3 Subjects</v>
      </c>
      <c r="BG122" s="5" t="str">
        <f>IF(AW122="","",RANK(AW122,AW$2:AW145,0))</f>
        <v/>
      </c>
      <c r="BH122" s="3" t="str">
        <f t="shared" si="38"/>
        <v>খুবই দুর্বল</v>
      </c>
      <c r="BI122" t="str">
        <f t="shared" si="39"/>
        <v>Very Weak</v>
      </c>
      <c r="BJ122" s="104" t="str">
        <f t="shared" si="40"/>
        <v/>
      </c>
    </row>
    <row r="123" spans="1:62" ht="15" thickBot="1" x14ac:dyDescent="0.4">
      <c r="A123" s="3" t="str">
        <f>'Student Basic Info'!B123</f>
        <v>Business Studies</v>
      </c>
      <c r="B123" s="3">
        <f>'Student Basic Info'!A123</f>
        <v>622</v>
      </c>
      <c r="C123" s="3" t="str">
        <f>'Student Basic Info'!C123</f>
        <v>Nur Islam</v>
      </c>
      <c r="D123" s="3" t="str">
        <f>'Student Basic Info'!D123</f>
        <v>Md. Alamgir Hossain</v>
      </c>
      <c r="E123" s="3" t="str">
        <f>'Student Basic Info'!E123</f>
        <v>Marjahan Begum</v>
      </c>
      <c r="F123" s="3" t="str">
        <f>'Student Basic Info'!F123</f>
        <v>Male</v>
      </c>
      <c r="G123" s="79">
        <v>1307831313</v>
      </c>
      <c r="H123" s="59" t="str">
        <f>IF(Bangla!B123="","",Bangla!B123)</f>
        <v/>
      </c>
      <c r="I123" s="59">
        <f>IF(Bangla!C123="","",Bangla!C123)</f>
        <v>50</v>
      </c>
      <c r="J123" s="60">
        <f>IF(Bangla!D123="","",Bangla!D123)</f>
        <v>50</v>
      </c>
      <c r="K123" s="61">
        <f>IF(English!C123="","",English!C123)</f>
        <v>23</v>
      </c>
      <c r="L123" s="35">
        <f>IF(ICT!B123="","",ICT!B123)</f>
        <v>14</v>
      </c>
      <c r="M123" s="35">
        <f>IF(ICT!C123="","",ICT!C123)</f>
        <v>24</v>
      </c>
      <c r="N123" s="35">
        <f>IF(ICT!D123="","",ICT!D123)</f>
        <v>24</v>
      </c>
      <c r="O123" s="42">
        <f>IF(ICT!E123="","",ICT!E123)</f>
        <v>62</v>
      </c>
      <c r="P123" s="40">
        <f>IF(Accounting!B123="","",Accounting!B123)</f>
        <v>15</v>
      </c>
      <c r="Q123" s="40">
        <f>IF(Accounting!C123="","",Accounting!C123)</f>
        <v>27</v>
      </c>
      <c r="R123" s="44">
        <f>IF(Accounting!D123="","",Accounting!D123)</f>
        <v>42</v>
      </c>
      <c r="S123" s="35">
        <f>IF('Business Organization'!B123="","",'Business Organization'!B123)</f>
        <v>15</v>
      </c>
      <c r="T123" s="35">
        <f>IF('Business Organization'!C123="","",'Business Organization'!C123)</f>
        <v>18</v>
      </c>
      <c r="U123" s="42">
        <f>IF('Business Organization'!D123="","",'Business Organization'!D123)</f>
        <v>33</v>
      </c>
      <c r="V123" s="36">
        <f>IF(SubjectList!G123="Finance",IF(Finance!B123=0,"", Finance!B123),IF(SubjectList!G123="Production",IF(Production!B123=0,"", Production!B123),IF(SubjectList!G123="Economics",IF(Economics!B123=0,"", Economics!B123))))</f>
        <v>11</v>
      </c>
      <c r="W123" s="36">
        <f>IF(SubjectList!G123="Finance",IF(Finance!C123=0,"", Finance!C123),IF(SubjectList!G123="Production",IF(Production!C123=0,"", Production!C123),IF(SubjectList!G123="Economics",IF(Economics!C123=0,"", Economics!C123))))</f>
        <v>3</v>
      </c>
      <c r="X123" s="43">
        <f>IF(SubjectList!G123="Finance",IF(Finance!D123=0,"", Finance!D123),IF(SubjectList!G123="Production",IF(Production!D123=0,"", Production!D123),IF(SubjectList!G123="Economics",IF(Economics!D123=0,"", Economics!D123))))</f>
        <v>14</v>
      </c>
      <c r="Y123" s="40">
        <f>IF(SubjectList!H123="Finance",IF(Finance!B123=0,"", Finance!B123),IF(SubjectList!H123="Production",IF(Production!B123=0,"", Production!B123),IF(SubjectList!H123="Economics",IF(Economics!B123=0,"", Economics!B123))))</f>
        <v>10</v>
      </c>
      <c r="Z123" s="40">
        <f>IF(SubjectList!H123="Finance",IF(Finance!C123=0,"", Finance!C123),IF(SubjectList!H123="Production",IF(Production!C123=0,"", Production!C123),IF(SubjectList!H123="Economics",IF(Economics!C123=0,"", Economics!C123))))</f>
        <v>27</v>
      </c>
      <c r="AA123" s="44">
        <f>IF(SubjectList!H123="Finance",IF(Finance!D123=0,"", Finance!D123),IF(SubjectList!H123="Production",IF(Production!D123=0,"", Production!D123),IF(SubjectList!H123="Economics",IF(Economics!D123=0,"", Economics!D123))))</f>
        <v>37</v>
      </c>
      <c r="AB123" s="37" t="str">
        <f>IF(SubjectList!G123="Finance","Finance",IF(SubjectList!G123="Production","Production",IF(SubjectList!G123="Economics","Not Given")))</f>
        <v>Finance</v>
      </c>
      <c r="AC123" s="37" t="str">
        <f>IF(SubjectList!H123="Finance","Finance",IF(SubjectList!H123="Production","Production",IF(SubjectList!H123="Economics","Economics","Not Given")))</f>
        <v>Production</v>
      </c>
      <c r="AD123" s="38" t="str">
        <f>Bangla!F123</f>
        <v>B</v>
      </c>
      <c r="AE123" s="38" t="str">
        <f>English!E123</f>
        <v>F</v>
      </c>
      <c r="AF123" s="38" t="str">
        <f>ICT!G123</f>
        <v>A-</v>
      </c>
      <c r="AG123" s="38" t="str">
        <f>Accounting!F123</f>
        <v>C</v>
      </c>
      <c r="AH123" s="38" t="str">
        <f>'Business Organization'!F123</f>
        <v>F</v>
      </c>
      <c r="AI123" s="38" t="str">
        <f>Production!F123</f>
        <v>D</v>
      </c>
      <c r="AJ123" s="38" t="str">
        <f>Finance!F123</f>
        <v>F</v>
      </c>
      <c r="AK123" s="39">
        <f>Bangla!G123</f>
        <v>3</v>
      </c>
      <c r="AL123" s="39">
        <f>English!F123</f>
        <v>0</v>
      </c>
      <c r="AM123" s="39">
        <f>ICT!H123</f>
        <v>3.5</v>
      </c>
      <c r="AN123" s="39">
        <f>Accounting!G123</f>
        <v>2</v>
      </c>
      <c r="AO123" s="39">
        <f>'Business Organization'!G123</f>
        <v>0</v>
      </c>
      <c r="AP123" s="39">
        <f>IF(SubjectList!G123="Finance",Finance!G123,IF(SubjectList!G123="Production",Production!G123,IF(SubjectList!G123="Economics",Economics!G123)))</f>
        <v>0</v>
      </c>
      <c r="AQ123" s="39">
        <f>IF(Optional!H123="","", Optional!H123)</f>
        <v>1</v>
      </c>
      <c r="AR123" s="39">
        <f>Optional!H123</f>
        <v>1</v>
      </c>
      <c r="AS123" s="39">
        <f>Optional!I123</f>
        <v>0</v>
      </c>
      <c r="AT123" s="39">
        <f t="shared" si="41"/>
        <v>8.5</v>
      </c>
      <c r="AU123" s="39">
        <f t="shared" si="42"/>
        <v>8.5</v>
      </c>
      <c r="AV123" s="39" t="str">
        <f t="shared" si="43"/>
        <v/>
      </c>
      <c r="AW123" s="39" t="str">
        <f t="shared" si="44"/>
        <v/>
      </c>
      <c r="AX123" s="5">
        <f t="shared" si="35"/>
        <v>261</v>
      </c>
      <c r="AY123" s="41">
        <f t="shared" si="45"/>
        <v>1</v>
      </c>
      <c r="AZ123" s="41">
        <f t="shared" si="46"/>
        <v>0</v>
      </c>
      <c r="BA123" s="41">
        <f t="shared" si="47"/>
        <v>1</v>
      </c>
      <c r="BB123" s="41">
        <f t="shared" si="48"/>
        <v>1</v>
      </c>
      <c r="BC123" s="41">
        <f t="shared" si="49"/>
        <v>0</v>
      </c>
      <c r="BD123" s="41">
        <f t="shared" si="50"/>
        <v>0</v>
      </c>
      <c r="BE123" s="3">
        <f t="shared" si="51"/>
        <v>3</v>
      </c>
      <c r="BF123" s="3" t="str">
        <f t="shared" si="37"/>
        <v>Failed in 3 Subjects</v>
      </c>
      <c r="BG123" s="5" t="str">
        <f>IF(AW123="","",RANK(AW123,AW$2:AW145,0))</f>
        <v/>
      </c>
      <c r="BH123" s="3" t="str">
        <f t="shared" si="38"/>
        <v>খুবই দুর্বল</v>
      </c>
      <c r="BI123" t="str">
        <f t="shared" si="39"/>
        <v>Very Weak</v>
      </c>
      <c r="BJ123" s="104" t="str">
        <f t="shared" si="40"/>
        <v/>
      </c>
    </row>
    <row r="124" spans="1:62" ht="15" thickBot="1" x14ac:dyDescent="0.4">
      <c r="A124" s="3" t="str">
        <f>'Student Basic Info'!B124</f>
        <v>Business Studies</v>
      </c>
      <c r="B124" s="3">
        <f>'Student Basic Info'!A124</f>
        <v>623</v>
      </c>
      <c r="C124" s="3" t="str">
        <f>'Student Basic Info'!C124</f>
        <v>Mehedi Hasan</v>
      </c>
      <c r="D124" s="3" t="str">
        <f>'Student Basic Info'!D124</f>
        <v>Anayet Ullah</v>
      </c>
      <c r="E124" s="3" t="str">
        <f>'Student Basic Info'!E124</f>
        <v xml:space="preserve">Dawlat Ara </v>
      </c>
      <c r="F124" s="3" t="str">
        <f>'Student Basic Info'!F124</f>
        <v>Male</v>
      </c>
      <c r="G124" s="78">
        <v>1647104863</v>
      </c>
      <c r="H124" s="59" t="str">
        <f>IF(Bangla!B124="","",Bangla!B124)</f>
        <v/>
      </c>
      <c r="I124" s="59" t="str">
        <f>IF(Bangla!C124="","",Bangla!C124)</f>
        <v/>
      </c>
      <c r="J124" s="60" t="str">
        <f>IF(Bangla!D124="","",Bangla!D124)</f>
        <v/>
      </c>
      <c r="K124" s="61" t="str">
        <f>IF(English!C124="","",English!C124)</f>
        <v/>
      </c>
      <c r="L124" s="35" t="str">
        <f>IF(ICT!B124="","",ICT!B124)</f>
        <v/>
      </c>
      <c r="M124" s="35" t="str">
        <f>IF(ICT!C124="","",ICT!C124)</f>
        <v/>
      </c>
      <c r="N124" s="35" t="str">
        <f>IF(ICT!D124="","",ICT!D124)</f>
        <v/>
      </c>
      <c r="O124" s="42" t="str">
        <f>IF(ICT!E124="","",ICT!E124)</f>
        <v/>
      </c>
      <c r="P124" s="40" t="str">
        <f>IF(Accounting!B124="","",Accounting!B124)</f>
        <v/>
      </c>
      <c r="Q124" s="40" t="str">
        <f>IF(Accounting!C124="","",Accounting!C124)</f>
        <v/>
      </c>
      <c r="R124" s="44" t="str">
        <f>IF(Accounting!D124="","",Accounting!D124)</f>
        <v/>
      </c>
      <c r="S124" s="35" t="str">
        <f>IF('Business Organization'!B124="","",'Business Organization'!B124)</f>
        <v/>
      </c>
      <c r="T124" s="35" t="str">
        <f>IF('Business Organization'!C124="","",'Business Organization'!C124)</f>
        <v/>
      </c>
      <c r="U124" s="42" t="str">
        <f>IF('Business Organization'!D124="","",'Business Organization'!D124)</f>
        <v/>
      </c>
      <c r="V124" s="36" t="str">
        <f>IF(SubjectList!G124="Finance",IF(Finance!B124=0,"", Finance!B124),IF(SubjectList!G124="Production",IF(Production!B124=0,"", Production!B124),IF(SubjectList!G124="Economics",IF(Economics!B124=0,"", Economics!B124))))</f>
        <v/>
      </c>
      <c r="W124" s="36" t="str">
        <f>IF(SubjectList!G124="Finance",IF(Finance!C124=0,"", Finance!C124),IF(SubjectList!G124="Production",IF(Production!C124=0,"", Production!C124),IF(SubjectList!G124="Economics",IF(Economics!C124=0,"", Economics!C124))))</f>
        <v/>
      </c>
      <c r="X124" s="43" t="str">
        <f>IF(SubjectList!G124="Finance",IF(Finance!D124=0,"", Finance!D124),IF(SubjectList!G124="Production",IF(Production!D124=0,"", Production!D124),IF(SubjectList!G124="Economics",IF(Economics!D124=0,"", Economics!D124))))</f>
        <v/>
      </c>
      <c r="Y124" s="40" t="str">
        <f>IF(SubjectList!H124="Finance",IF(Finance!B124=0,"", Finance!B124),IF(SubjectList!H124="Production",IF(Production!B124=0,"", Production!B124),IF(SubjectList!H124="Economics",IF(Economics!B124=0,"", Economics!B124))))</f>
        <v/>
      </c>
      <c r="Z124" s="40" t="str">
        <f>IF(SubjectList!H124="Finance",IF(Finance!C124=0,"", Finance!C124),IF(SubjectList!H124="Production",IF(Production!C124=0,"", Production!C124),IF(SubjectList!H124="Economics",IF(Economics!C124=0,"", Economics!C124))))</f>
        <v/>
      </c>
      <c r="AA124" s="44" t="str">
        <f>IF(SubjectList!H124="Finance",IF(Finance!D124=0,"", Finance!D124),IF(SubjectList!H124="Production",IF(Production!D124=0,"", Production!D124),IF(SubjectList!H124="Economics",IF(Economics!D124=0,"", Economics!D124))))</f>
        <v/>
      </c>
      <c r="AB124" s="37" t="str">
        <f>IF(SubjectList!G124="Finance","Finance",IF(SubjectList!G124="Production","Production",IF(SubjectList!G124="Economics","Not Given")))</f>
        <v>Finance</v>
      </c>
      <c r="AC124" s="37" t="str">
        <f>IF(SubjectList!H124="Finance","Finance",IF(SubjectList!H124="Production","Production",IF(SubjectList!H124="Economics","Economics","Not Given")))</f>
        <v>Economics</v>
      </c>
      <c r="AD124" s="38" t="str">
        <f>Bangla!F124</f>
        <v/>
      </c>
      <c r="AE124" s="38" t="str">
        <f>English!E124</f>
        <v/>
      </c>
      <c r="AF124" s="38" t="str">
        <f>ICT!G124</f>
        <v/>
      </c>
      <c r="AG124" s="38" t="str">
        <f>Accounting!F124</f>
        <v/>
      </c>
      <c r="AH124" s="38" t="str">
        <f>'Business Organization'!F124</f>
        <v/>
      </c>
      <c r="AI124" s="38" t="str">
        <f>Production!F124</f>
        <v/>
      </c>
      <c r="AJ124" s="38" t="str">
        <f>Finance!F124</f>
        <v/>
      </c>
      <c r="AK124" s="39" t="str">
        <f>Bangla!G124</f>
        <v/>
      </c>
      <c r="AL124" s="39" t="str">
        <f>English!F124</f>
        <v/>
      </c>
      <c r="AM124" s="39" t="str">
        <f>ICT!H124</f>
        <v/>
      </c>
      <c r="AN124" s="39" t="str">
        <f>Accounting!G124</f>
        <v/>
      </c>
      <c r="AO124" s="39" t="str">
        <f>'Business Organization'!G124</f>
        <v/>
      </c>
      <c r="AP124" s="39" t="str">
        <f>IF(SubjectList!G124="Finance",Finance!G124,IF(SubjectList!G124="Production",Production!G124,IF(SubjectList!G124="Economics",Economics!G124)))</f>
        <v/>
      </c>
      <c r="AQ124" s="39" t="str">
        <f>IF(Optional!H124="","", Optional!H124)</f>
        <v/>
      </c>
      <c r="AR124" s="39" t="str">
        <f>Optional!H124</f>
        <v/>
      </c>
      <c r="AS124" s="39" t="str">
        <f>Optional!I124</f>
        <v/>
      </c>
      <c r="AT124" s="39" t="str">
        <f t="shared" si="41"/>
        <v/>
      </c>
      <c r="AU124" s="39">
        <f t="shared" si="42"/>
        <v>0</v>
      </c>
      <c r="AV124" s="39" t="str">
        <f t="shared" si="43"/>
        <v/>
      </c>
      <c r="AW124" s="39" t="str">
        <f t="shared" si="44"/>
        <v/>
      </c>
      <c r="AX124" s="5">
        <f t="shared" si="35"/>
        <v>0</v>
      </c>
      <c r="AY124" s="41">
        <f t="shared" si="45"/>
        <v>0</v>
      </c>
      <c r="AZ124" s="41">
        <f t="shared" si="46"/>
        <v>0</v>
      </c>
      <c r="BA124" s="41">
        <f t="shared" si="47"/>
        <v>0</v>
      </c>
      <c r="BB124" s="41">
        <f t="shared" si="48"/>
        <v>0</v>
      </c>
      <c r="BC124" s="41">
        <f t="shared" si="49"/>
        <v>0</v>
      </c>
      <c r="BD124" s="41">
        <f t="shared" si="50"/>
        <v>0</v>
      </c>
      <c r="BE124" s="3">
        <f t="shared" si="51"/>
        <v>0</v>
      </c>
      <c r="BF124" s="3" t="str">
        <f t="shared" si="37"/>
        <v>Failed in 6 Subjects</v>
      </c>
      <c r="BG124" s="5" t="str">
        <f>IF(AW124="","",RANK(AW124,AW$2:AW145,0))</f>
        <v/>
      </c>
      <c r="BH124" s="3" t="str">
        <f t="shared" si="38"/>
        <v>খুবই দুর্বল</v>
      </c>
      <c r="BI124" t="str">
        <f t="shared" si="39"/>
        <v>Very Weak</v>
      </c>
      <c r="BJ124" s="104" t="str">
        <f t="shared" si="40"/>
        <v/>
      </c>
    </row>
    <row r="125" spans="1:62" ht="15" thickBot="1" x14ac:dyDescent="0.4">
      <c r="A125" s="3" t="str">
        <f>'Student Basic Info'!B125</f>
        <v>Business Studies</v>
      </c>
      <c r="B125" s="3">
        <f>'Student Basic Info'!A125</f>
        <v>624</v>
      </c>
      <c r="C125" s="3" t="str">
        <f>'Student Basic Info'!C125</f>
        <v>Nurul Afsar Ashraf</v>
      </c>
      <c r="D125" s="3" t="str">
        <f>'Student Basic Info'!D125</f>
        <v>Mofiz Ullah</v>
      </c>
      <c r="E125" s="3" t="str">
        <f>'Student Basic Info'!E125</f>
        <v>Nur Nahar Begum</v>
      </c>
      <c r="F125" s="3" t="str">
        <f>'Student Basic Info'!F125</f>
        <v>Male</v>
      </c>
      <c r="G125" s="79">
        <v>1843156840</v>
      </c>
      <c r="H125" s="59" t="str">
        <f>IF(Bangla!B125="","",Bangla!B125)</f>
        <v/>
      </c>
      <c r="I125" s="59" t="str">
        <f>IF(Bangla!C125="","",Bangla!C125)</f>
        <v/>
      </c>
      <c r="J125" s="60" t="str">
        <f>IF(Bangla!D125="","",Bangla!D125)</f>
        <v/>
      </c>
      <c r="K125" s="61" t="str">
        <f>IF(English!C125="","",English!C125)</f>
        <v/>
      </c>
      <c r="L125" s="35" t="str">
        <f>IF(ICT!B125="","",ICT!B125)</f>
        <v/>
      </c>
      <c r="M125" s="35" t="str">
        <f>IF(ICT!C125="","",ICT!C125)</f>
        <v/>
      </c>
      <c r="N125" s="35" t="str">
        <f>IF(ICT!D125="","",ICT!D125)</f>
        <v/>
      </c>
      <c r="O125" s="42" t="str">
        <f>IF(ICT!E125="","",ICT!E125)</f>
        <v/>
      </c>
      <c r="P125" s="40" t="str">
        <f>IF(Accounting!B125="","",Accounting!B125)</f>
        <v/>
      </c>
      <c r="Q125" s="40" t="str">
        <f>IF(Accounting!C125="","",Accounting!C125)</f>
        <v/>
      </c>
      <c r="R125" s="44" t="str">
        <f>IF(Accounting!D125="","",Accounting!D125)</f>
        <v/>
      </c>
      <c r="S125" s="35" t="str">
        <f>IF('Business Organization'!B125="","",'Business Organization'!B125)</f>
        <v/>
      </c>
      <c r="T125" s="35" t="str">
        <f>IF('Business Organization'!C125="","",'Business Organization'!C125)</f>
        <v/>
      </c>
      <c r="U125" s="42" t="str">
        <f>IF('Business Organization'!D125="","",'Business Organization'!D125)</f>
        <v/>
      </c>
      <c r="V125" s="36" t="str">
        <f>IF(SubjectList!G125="Finance",IF(Finance!B125=0,"", Finance!B125),IF(SubjectList!G125="Production",IF(Production!B125=0,"", Production!B125),IF(SubjectList!G125="Economics",IF(Economics!B125=0,"", Economics!B125))))</f>
        <v/>
      </c>
      <c r="W125" s="36" t="str">
        <f>IF(SubjectList!G125="Finance",IF(Finance!C125=0,"", Finance!C125),IF(SubjectList!G125="Production",IF(Production!C125=0,"", Production!C125),IF(SubjectList!G125="Economics",IF(Economics!C125=0,"", Economics!C125))))</f>
        <v/>
      </c>
      <c r="X125" s="43" t="str">
        <f>IF(SubjectList!G125="Finance",IF(Finance!D125=0,"", Finance!D125),IF(SubjectList!G125="Production",IF(Production!D125=0,"", Production!D125),IF(SubjectList!G125="Economics",IF(Economics!D125=0,"", Economics!D125))))</f>
        <v/>
      </c>
      <c r="Y125" s="40" t="str">
        <f>IF(SubjectList!H125="Finance",IF(Finance!B125=0,"", Finance!B125),IF(SubjectList!H125="Production",IF(Production!B125=0,"", Production!B125),IF(SubjectList!H125="Economics",IF(Economics!B125=0,"", Economics!B125))))</f>
        <v/>
      </c>
      <c r="Z125" s="40" t="str">
        <f>IF(SubjectList!H125="Finance",IF(Finance!C125=0,"", Finance!C125),IF(SubjectList!H125="Production",IF(Production!C125=0,"", Production!C125),IF(SubjectList!H125="Economics",IF(Economics!C125=0,"", Economics!C125))))</f>
        <v/>
      </c>
      <c r="AA125" s="44" t="str">
        <f>IF(SubjectList!H125="Finance",IF(Finance!D125=0,"", Finance!D125),IF(SubjectList!H125="Production",IF(Production!D125=0,"", Production!D125),IF(SubjectList!H125="Economics",IF(Economics!D125=0,"", Economics!D125))))</f>
        <v/>
      </c>
      <c r="AB125" s="37" t="str">
        <f>IF(SubjectList!G125="Finance","Finance",IF(SubjectList!G125="Production","Production",IF(SubjectList!G125="Economics","Not Given")))</f>
        <v>Finance</v>
      </c>
      <c r="AC125" s="37" t="str">
        <f>IF(SubjectList!H125="Finance","Finance",IF(SubjectList!H125="Production","Production",IF(SubjectList!H125="Economics","Economics","Not Given")))</f>
        <v>Production</v>
      </c>
      <c r="AD125" s="38" t="str">
        <f>Bangla!F125</f>
        <v/>
      </c>
      <c r="AE125" s="38" t="str">
        <f>English!E125</f>
        <v/>
      </c>
      <c r="AF125" s="38" t="str">
        <f>ICT!G125</f>
        <v/>
      </c>
      <c r="AG125" s="38" t="str">
        <f>Accounting!F125</f>
        <v/>
      </c>
      <c r="AH125" s="38" t="str">
        <f>'Business Organization'!F125</f>
        <v/>
      </c>
      <c r="AI125" s="38" t="str">
        <f>Production!F125</f>
        <v/>
      </c>
      <c r="AJ125" s="38" t="str">
        <f>Finance!F125</f>
        <v/>
      </c>
      <c r="AK125" s="39" t="str">
        <f>Bangla!G125</f>
        <v/>
      </c>
      <c r="AL125" s="39" t="str">
        <f>English!F125</f>
        <v/>
      </c>
      <c r="AM125" s="39" t="str">
        <f>ICT!H125</f>
        <v/>
      </c>
      <c r="AN125" s="39" t="str">
        <f>Accounting!G125</f>
        <v/>
      </c>
      <c r="AO125" s="39" t="str">
        <f>'Business Organization'!G125</f>
        <v/>
      </c>
      <c r="AP125" s="39" t="str">
        <f>IF(SubjectList!G125="Finance",Finance!G125,IF(SubjectList!G125="Production",Production!G125,IF(SubjectList!G125="Economics",Economics!G125)))</f>
        <v/>
      </c>
      <c r="AQ125" s="39" t="str">
        <f>IF(Optional!H125="","", Optional!H125)</f>
        <v/>
      </c>
      <c r="AR125" s="39" t="str">
        <f>Optional!H125</f>
        <v/>
      </c>
      <c r="AS125" s="39" t="str">
        <f>Optional!I125</f>
        <v/>
      </c>
      <c r="AT125" s="39" t="str">
        <f t="shared" si="41"/>
        <v/>
      </c>
      <c r="AU125" s="39">
        <f t="shared" si="42"/>
        <v>0</v>
      </c>
      <c r="AV125" s="39" t="str">
        <f t="shared" si="43"/>
        <v/>
      </c>
      <c r="AW125" s="39" t="str">
        <f t="shared" si="44"/>
        <v/>
      </c>
      <c r="AX125" s="5">
        <f t="shared" si="35"/>
        <v>0</v>
      </c>
      <c r="AY125" s="41">
        <f t="shared" si="45"/>
        <v>0</v>
      </c>
      <c r="AZ125" s="41">
        <f t="shared" si="46"/>
        <v>0</v>
      </c>
      <c r="BA125" s="41">
        <f t="shared" si="47"/>
        <v>0</v>
      </c>
      <c r="BB125" s="41">
        <f t="shared" si="48"/>
        <v>0</v>
      </c>
      <c r="BC125" s="41">
        <f t="shared" si="49"/>
        <v>0</v>
      </c>
      <c r="BD125" s="41">
        <f t="shared" si="50"/>
        <v>0</v>
      </c>
      <c r="BE125" s="3">
        <f t="shared" si="51"/>
        <v>0</v>
      </c>
      <c r="BF125" s="3" t="str">
        <f t="shared" si="37"/>
        <v>Failed in 6 Subjects</v>
      </c>
      <c r="BG125" s="5" t="str">
        <f>IF(AW125="","",RANK(AW125,AW$2:AW145,0))</f>
        <v/>
      </c>
      <c r="BH125" s="3" t="str">
        <f t="shared" si="38"/>
        <v>খুবই দুর্বল</v>
      </c>
      <c r="BI125" t="str">
        <f t="shared" si="39"/>
        <v>Very Weak</v>
      </c>
      <c r="BJ125" s="104" t="str">
        <f t="shared" si="40"/>
        <v/>
      </c>
    </row>
    <row r="126" spans="1:62" ht="15" thickBot="1" x14ac:dyDescent="0.4">
      <c r="A126" s="3" t="str">
        <f>'Student Basic Info'!B126</f>
        <v>Business Studies</v>
      </c>
      <c r="B126" s="3">
        <f>'Student Basic Info'!A126</f>
        <v>625</v>
      </c>
      <c r="C126" s="3" t="str">
        <f>'Student Basic Info'!C126</f>
        <v>Marjahan Aktar</v>
      </c>
      <c r="D126" s="3" t="str">
        <f>'Student Basic Info'!D126</f>
        <v>Ahsan Ullahq</v>
      </c>
      <c r="E126" s="3" t="str">
        <f>'Student Basic Info'!E126</f>
        <v>Nur Jahan</v>
      </c>
      <c r="F126" s="3" t="str">
        <f>'Student Basic Info'!F126</f>
        <v>Female</v>
      </c>
      <c r="G126" s="79">
        <v>1863126279</v>
      </c>
      <c r="H126" s="59" t="str">
        <f>IF(Bangla!B126="","",Bangla!B126)</f>
        <v/>
      </c>
      <c r="I126" s="59" t="str">
        <f>IF(Bangla!C126="","",Bangla!C126)</f>
        <v/>
      </c>
      <c r="J126" s="60" t="str">
        <f>IF(Bangla!D126="","",Bangla!D126)</f>
        <v/>
      </c>
      <c r="K126" s="61" t="str">
        <f>IF(English!C126="","",English!C126)</f>
        <v/>
      </c>
      <c r="L126" s="35" t="str">
        <f>IF(ICT!B126="","",ICT!B126)</f>
        <v/>
      </c>
      <c r="M126" s="35" t="str">
        <f>IF(ICT!C126="","",ICT!C126)</f>
        <v/>
      </c>
      <c r="N126" s="35" t="str">
        <f>IF(ICT!D126="","",ICT!D126)</f>
        <v/>
      </c>
      <c r="O126" s="42" t="str">
        <f>IF(ICT!E126="","",ICT!E126)</f>
        <v/>
      </c>
      <c r="P126" s="40" t="str">
        <f>IF(Accounting!B126="","",Accounting!B126)</f>
        <v/>
      </c>
      <c r="Q126" s="40" t="str">
        <f>IF(Accounting!C126="","",Accounting!C126)</f>
        <v/>
      </c>
      <c r="R126" s="44" t="str">
        <f>IF(Accounting!D126="","",Accounting!D126)</f>
        <v/>
      </c>
      <c r="S126" s="35" t="str">
        <f>IF('Business Organization'!B126="","",'Business Organization'!B126)</f>
        <v/>
      </c>
      <c r="T126" s="35" t="str">
        <f>IF('Business Organization'!C126="","",'Business Organization'!C126)</f>
        <v/>
      </c>
      <c r="U126" s="42" t="str">
        <f>IF('Business Organization'!D126="","",'Business Organization'!D126)</f>
        <v/>
      </c>
      <c r="V126" s="36" t="str">
        <f>IF(SubjectList!G126="Finance",IF(Finance!B126=0,"", Finance!B126),IF(SubjectList!G126="Production",IF(Production!B126=0,"", Production!B126),IF(SubjectList!G126="Economics",IF(Economics!B126=0,"", Economics!B126))))</f>
        <v/>
      </c>
      <c r="W126" s="36" t="str">
        <f>IF(SubjectList!G126="Finance",IF(Finance!C126=0,"", Finance!C126),IF(SubjectList!G126="Production",IF(Production!C126=0,"", Production!C126),IF(SubjectList!G126="Economics",IF(Economics!C126=0,"", Economics!C126))))</f>
        <v/>
      </c>
      <c r="X126" s="43" t="str">
        <f>IF(SubjectList!G126="Finance",IF(Finance!D126=0,"", Finance!D126),IF(SubjectList!G126="Production",IF(Production!D126=0,"", Production!D126),IF(SubjectList!G126="Economics",IF(Economics!D126=0,"", Economics!D126))))</f>
        <v/>
      </c>
      <c r="Y126" s="40" t="str">
        <f>IF(SubjectList!H126="Finance",IF(Finance!B126=0,"", Finance!B126),IF(SubjectList!H126="Production",IF(Production!B126=0,"", Production!B126),IF(SubjectList!H126="Economics",IF(Economics!B126=0,"", Economics!B126))))</f>
        <v/>
      </c>
      <c r="Z126" s="40" t="str">
        <f>IF(SubjectList!H126="Finance",IF(Finance!C126=0,"", Finance!C126),IF(SubjectList!H126="Production",IF(Production!C126=0,"", Production!C126),IF(SubjectList!H126="Economics",IF(Economics!C126=0,"", Economics!C126))))</f>
        <v/>
      </c>
      <c r="AA126" s="44" t="str">
        <f>IF(SubjectList!H126="Finance",IF(Finance!D126=0,"", Finance!D126),IF(SubjectList!H126="Production",IF(Production!D126=0,"", Production!D126),IF(SubjectList!H126="Economics",IF(Economics!D126=0,"", Economics!D126))))</f>
        <v/>
      </c>
      <c r="AB126" s="37" t="str">
        <f>IF(SubjectList!G126="Finance","Finance",IF(SubjectList!G126="Production","Production",IF(SubjectList!G126="Economics","Not Given")))</f>
        <v>Production</v>
      </c>
      <c r="AC126" s="37" t="str">
        <f>IF(SubjectList!H126="Finance","Finance",IF(SubjectList!H126="Production","Production",IF(SubjectList!H126="Economics","Economics","Not Given")))</f>
        <v>Economics</v>
      </c>
      <c r="AD126" s="38" t="str">
        <f>Bangla!F126</f>
        <v/>
      </c>
      <c r="AE126" s="38" t="str">
        <f>English!E126</f>
        <v/>
      </c>
      <c r="AF126" s="38" t="str">
        <f>ICT!G126</f>
        <v/>
      </c>
      <c r="AG126" s="38" t="str">
        <f>Accounting!F126</f>
        <v/>
      </c>
      <c r="AH126" s="38" t="str">
        <f>'Business Organization'!F126</f>
        <v/>
      </c>
      <c r="AI126" s="38" t="str">
        <f>Production!F126</f>
        <v/>
      </c>
      <c r="AJ126" s="38" t="str">
        <f>Finance!F126</f>
        <v/>
      </c>
      <c r="AK126" s="39" t="str">
        <f>Bangla!G126</f>
        <v/>
      </c>
      <c r="AL126" s="39" t="str">
        <f>English!F126</f>
        <v/>
      </c>
      <c r="AM126" s="39" t="str">
        <f>ICT!H126</f>
        <v/>
      </c>
      <c r="AN126" s="39" t="str">
        <f>Accounting!G126</f>
        <v/>
      </c>
      <c r="AO126" s="39" t="str">
        <f>'Business Organization'!G126</f>
        <v/>
      </c>
      <c r="AP126" s="39" t="str">
        <f>IF(SubjectList!G126="Finance",Finance!G126,IF(SubjectList!G126="Production",Production!G126,IF(SubjectList!G126="Economics",Economics!G126)))</f>
        <v/>
      </c>
      <c r="AQ126" s="39" t="str">
        <f>IF(Optional!H126="","", Optional!H126)</f>
        <v/>
      </c>
      <c r="AR126" s="39" t="str">
        <f>Optional!H126</f>
        <v/>
      </c>
      <c r="AS126" s="39" t="str">
        <f>Optional!I126</f>
        <v/>
      </c>
      <c r="AT126" s="39" t="str">
        <f t="shared" si="41"/>
        <v/>
      </c>
      <c r="AU126" s="39">
        <f t="shared" si="42"/>
        <v>0</v>
      </c>
      <c r="AV126" s="39" t="str">
        <f t="shared" si="43"/>
        <v/>
      </c>
      <c r="AW126" s="39" t="str">
        <f t="shared" si="44"/>
        <v/>
      </c>
      <c r="AX126" s="5">
        <f t="shared" si="35"/>
        <v>0</v>
      </c>
      <c r="AY126" s="41">
        <f t="shared" si="45"/>
        <v>0</v>
      </c>
      <c r="AZ126" s="41">
        <f t="shared" si="46"/>
        <v>0</v>
      </c>
      <c r="BA126" s="41">
        <f t="shared" si="47"/>
        <v>0</v>
      </c>
      <c r="BB126" s="41">
        <f t="shared" si="48"/>
        <v>0</v>
      </c>
      <c r="BC126" s="41">
        <f t="shared" si="49"/>
        <v>0</v>
      </c>
      <c r="BD126" s="41">
        <f t="shared" si="50"/>
        <v>0</v>
      </c>
      <c r="BE126" s="3">
        <f t="shared" si="51"/>
        <v>0</v>
      </c>
      <c r="BF126" s="3" t="str">
        <f t="shared" si="37"/>
        <v>Failed in 6 Subjects</v>
      </c>
      <c r="BG126" s="5" t="str">
        <f>IF(AW126="","",RANK(AW126,AW$2:AW145,0))</f>
        <v/>
      </c>
      <c r="BH126" s="3" t="str">
        <f t="shared" si="38"/>
        <v>খুবই দুর্বল</v>
      </c>
      <c r="BI126" t="str">
        <f t="shared" si="39"/>
        <v>Very Weak</v>
      </c>
      <c r="BJ126" s="104" t="str">
        <f t="shared" si="40"/>
        <v/>
      </c>
    </row>
    <row r="127" spans="1:62" ht="15" thickBot="1" x14ac:dyDescent="0.4">
      <c r="A127" s="3" t="str">
        <f>'Student Basic Info'!B127</f>
        <v>Business Studies</v>
      </c>
      <c r="B127" s="3">
        <f>'Student Basic Info'!A127</f>
        <v>626</v>
      </c>
      <c r="C127" s="3" t="str">
        <f>'Student Basic Info'!C127</f>
        <v>Fokhrul Islam</v>
      </c>
      <c r="D127" s="3" t="str">
        <f>'Student Basic Info'!D127</f>
        <v>Abul Hasim</v>
      </c>
      <c r="E127" s="3" t="str">
        <f>'Student Basic Info'!E127</f>
        <v>Lutfun Nahar</v>
      </c>
      <c r="F127" s="3" t="str">
        <f>'Student Basic Info'!F127</f>
        <v>Male</v>
      </c>
      <c r="G127" s="79">
        <v>1823522855</v>
      </c>
      <c r="H127" s="59" t="str">
        <f>IF(Bangla!B127="","",Bangla!B127)</f>
        <v/>
      </c>
      <c r="I127" s="59" t="str">
        <f>IF(Bangla!C127="","",Bangla!C127)</f>
        <v/>
      </c>
      <c r="J127" s="60" t="str">
        <f>IF(Bangla!D127="","",Bangla!D127)</f>
        <v/>
      </c>
      <c r="K127" s="61" t="str">
        <f>IF(English!C127="","",English!C127)</f>
        <v/>
      </c>
      <c r="L127" s="35" t="str">
        <f>IF(ICT!B127="","",ICT!B127)</f>
        <v/>
      </c>
      <c r="M127" s="35" t="str">
        <f>IF(ICT!C127="","",ICT!C127)</f>
        <v/>
      </c>
      <c r="N127" s="35" t="str">
        <f>IF(ICT!D127="","",ICT!D127)</f>
        <v/>
      </c>
      <c r="O127" s="42" t="str">
        <f>IF(ICT!E127="","",ICT!E127)</f>
        <v/>
      </c>
      <c r="P127" s="40" t="str">
        <f>IF(Accounting!B127="","",Accounting!B127)</f>
        <v/>
      </c>
      <c r="Q127" s="40" t="str">
        <f>IF(Accounting!C127="","",Accounting!C127)</f>
        <v/>
      </c>
      <c r="R127" s="44" t="str">
        <f>IF(Accounting!D127="","",Accounting!D127)</f>
        <v/>
      </c>
      <c r="S127" s="35" t="str">
        <f>IF('Business Organization'!B127="","",'Business Organization'!B127)</f>
        <v/>
      </c>
      <c r="T127" s="35" t="str">
        <f>IF('Business Organization'!C127="","",'Business Organization'!C127)</f>
        <v/>
      </c>
      <c r="U127" s="42" t="str">
        <f>IF('Business Organization'!D127="","",'Business Organization'!D127)</f>
        <v/>
      </c>
      <c r="V127" s="36" t="str">
        <f>IF(SubjectList!G127="Finance",IF(Finance!B127=0,"", Finance!B127),IF(SubjectList!G127="Production",IF(Production!B127=0,"", Production!B127),IF(SubjectList!G127="Economics",IF(Economics!B127=0,"", Economics!B127))))</f>
        <v/>
      </c>
      <c r="W127" s="36" t="str">
        <f>IF(SubjectList!G127="Finance",IF(Finance!C127=0,"", Finance!C127),IF(SubjectList!G127="Production",IF(Production!C127=0,"", Production!C127),IF(SubjectList!G127="Economics",IF(Economics!C127=0,"", Economics!C127))))</f>
        <v/>
      </c>
      <c r="X127" s="43" t="str">
        <f>IF(SubjectList!G127="Finance",IF(Finance!D127=0,"", Finance!D127),IF(SubjectList!G127="Production",IF(Production!D127=0,"", Production!D127),IF(SubjectList!G127="Economics",IF(Economics!D127=0,"", Economics!D127))))</f>
        <v/>
      </c>
      <c r="Y127" s="40" t="str">
        <f>IF(SubjectList!H127="Finance",IF(Finance!B127=0,"", Finance!B127),IF(SubjectList!H127="Production",IF(Production!B127=0,"", Production!B127),IF(SubjectList!H127="Economics",IF(Economics!B127=0,"", Economics!B127))))</f>
        <v/>
      </c>
      <c r="Z127" s="40" t="str">
        <f>IF(SubjectList!H127="Finance",IF(Finance!C127=0,"", Finance!C127),IF(SubjectList!H127="Production",IF(Production!C127=0,"", Production!C127),IF(SubjectList!H127="Economics",IF(Economics!C127=0,"", Economics!C127))))</f>
        <v/>
      </c>
      <c r="AA127" s="44" t="str">
        <f>IF(SubjectList!H127="Finance",IF(Finance!D127=0,"", Finance!D127),IF(SubjectList!H127="Production",IF(Production!D127=0,"", Production!D127),IF(SubjectList!H127="Economics",IF(Economics!D127=0,"", Economics!D127))))</f>
        <v/>
      </c>
      <c r="AB127" s="37" t="str">
        <f>IF(SubjectList!G127="Finance","Finance",IF(SubjectList!G127="Production","Production",IF(SubjectList!G127="Economics","Not Given")))</f>
        <v>Finance</v>
      </c>
      <c r="AC127" s="37" t="str">
        <f>IF(SubjectList!H127="Finance","Finance",IF(SubjectList!H127="Production","Production",IF(SubjectList!H127="Economics","Economics","Not Given")))</f>
        <v>Production</v>
      </c>
      <c r="AD127" s="38" t="str">
        <f>Bangla!F127</f>
        <v/>
      </c>
      <c r="AE127" s="38" t="str">
        <f>English!E127</f>
        <v/>
      </c>
      <c r="AF127" s="38" t="str">
        <f>ICT!G127</f>
        <v/>
      </c>
      <c r="AG127" s="38" t="str">
        <f>Accounting!F127</f>
        <v/>
      </c>
      <c r="AH127" s="38" t="str">
        <f>'Business Organization'!F127</f>
        <v/>
      </c>
      <c r="AI127" s="38" t="str">
        <f>Production!F127</f>
        <v/>
      </c>
      <c r="AJ127" s="38" t="str">
        <f>Finance!F127</f>
        <v/>
      </c>
      <c r="AK127" s="39" t="str">
        <f>Bangla!G127</f>
        <v/>
      </c>
      <c r="AL127" s="39" t="str">
        <f>English!F127</f>
        <v/>
      </c>
      <c r="AM127" s="39" t="str">
        <f>ICT!H127</f>
        <v/>
      </c>
      <c r="AN127" s="39" t="str">
        <f>Accounting!G127</f>
        <v/>
      </c>
      <c r="AO127" s="39" t="str">
        <f>'Business Organization'!G127</f>
        <v/>
      </c>
      <c r="AP127" s="39" t="str">
        <f>IF(SubjectList!G127="Finance",Finance!G127,IF(SubjectList!G127="Production",Production!G127,IF(SubjectList!G127="Economics",Economics!G127)))</f>
        <v/>
      </c>
      <c r="AQ127" s="39" t="str">
        <f>IF(Optional!H127="","", Optional!H127)</f>
        <v/>
      </c>
      <c r="AR127" s="39" t="str">
        <f>Optional!H127</f>
        <v/>
      </c>
      <c r="AS127" s="39" t="str">
        <f>Optional!I127</f>
        <v/>
      </c>
      <c r="AT127" s="39" t="str">
        <f t="shared" si="41"/>
        <v/>
      </c>
      <c r="AU127" s="39">
        <f t="shared" si="42"/>
        <v>0</v>
      </c>
      <c r="AV127" s="39" t="str">
        <f t="shared" si="43"/>
        <v/>
      </c>
      <c r="AW127" s="39" t="str">
        <f t="shared" si="44"/>
        <v/>
      </c>
      <c r="AX127" s="5">
        <f t="shared" si="35"/>
        <v>0</v>
      </c>
      <c r="AY127" s="41">
        <f t="shared" si="45"/>
        <v>0</v>
      </c>
      <c r="AZ127" s="41">
        <f t="shared" si="46"/>
        <v>0</v>
      </c>
      <c r="BA127" s="41">
        <f t="shared" si="47"/>
        <v>0</v>
      </c>
      <c r="BB127" s="41">
        <f t="shared" si="48"/>
        <v>0</v>
      </c>
      <c r="BC127" s="41">
        <f t="shared" si="49"/>
        <v>0</v>
      </c>
      <c r="BD127" s="41">
        <f t="shared" si="50"/>
        <v>0</v>
      </c>
      <c r="BE127" s="3">
        <f t="shared" si="51"/>
        <v>0</v>
      </c>
      <c r="BF127" s="3" t="str">
        <f t="shared" si="37"/>
        <v>Failed in 6 Subjects</v>
      </c>
      <c r="BG127" s="5" t="str">
        <f>IF(AW127="","",RANK(AW127,AW$2:AW145,0))</f>
        <v/>
      </c>
      <c r="BH127" s="3" t="str">
        <f t="shared" si="38"/>
        <v>খুবই দুর্বল</v>
      </c>
      <c r="BI127" t="str">
        <f t="shared" si="39"/>
        <v>Very Weak</v>
      </c>
      <c r="BJ127" s="104" t="str">
        <f t="shared" si="40"/>
        <v/>
      </c>
    </row>
    <row r="128" spans="1:62" ht="15" thickBot="1" x14ac:dyDescent="0.4">
      <c r="A128" s="3" t="str">
        <f>'Student Basic Info'!B128</f>
        <v>Business Studies</v>
      </c>
      <c r="B128" s="3">
        <f>'Student Basic Info'!A128</f>
        <v>627</v>
      </c>
      <c r="C128" s="3" t="str">
        <f>'Student Basic Info'!C128</f>
        <v>Israt Jahan</v>
      </c>
      <c r="D128" s="3" t="str">
        <f>'Student Basic Info'!D128</f>
        <v>Shah Jamal</v>
      </c>
      <c r="E128" s="3" t="str">
        <f>'Student Basic Info'!E128</f>
        <v>Moriumer Nesa</v>
      </c>
      <c r="F128" s="3" t="str">
        <f>'Student Basic Info'!F128</f>
        <v>Female</v>
      </c>
      <c r="G128" s="79">
        <v>1824146007</v>
      </c>
      <c r="H128" s="59" t="str">
        <f>IF(Bangla!B128="","",Bangla!B128)</f>
        <v/>
      </c>
      <c r="I128" s="59" t="str">
        <f>IF(Bangla!C128="","",Bangla!C128)</f>
        <v/>
      </c>
      <c r="J128" s="60" t="str">
        <f>IF(Bangla!D128="","",Bangla!D128)</f>
        <v/>
      </c>
      <c r="K128" s="61" t="str">
        <f>IF(English!C128="","",English!C128)</f>
        <v/>
      </c>
      <c r="L128" s="35" t="str">
        <f>IF(ICT!B128="","",ICT!B128)</f>
        <v/>
      </c>
      <c r="M128" s="35" t="str">
        <f>IF(ICT!C128="","",ICT!C128)</f>
        <v/>
      </c>
      <c r="N128" s="35" t="str">
        <f>IF(ICT!D128="","",ICT!D128)</f>
        <v/>
      </c>
      <c r="O128" s="42" t="str">
        <f>IF(ICT!E128="","",ICT!E128)</f>
        <v/>
      </c>
      <c r="P128" s="40" t="str">
        <f>IF(Accounting!B128="","",Accounting!B128)</f>
        <v/>
      </c>
      <c r="Q128" s="40" t="str">
        <f>IF(Accounting!C128="","",Accounting!C128)</f>
        <v/>
      </c>
      <c r="R128" s="44" t="str">
        <f>IF(Accounting!D128="","",Accounting!D128)</f>
        <v/>
      </c>
      <c r="S128" s="35" t="str">
        <f>IF('Business Organization'!B128="","",'Business Organization'!B128)</f>
        <v/>
      </c>
      <c r="T128" s="35" t="str">
        <f>IF('Business Organization'!C128="","",'Business Organization'!C128)</f>
        <v/>
      </c>
      <c r="U128" s="42" t="str">
        <f>IF('Business Organization'!D128="","",'Business Organization'!D128)</f>
        <v/>
      </c>
      <c r="V128" s="36" t="str">
        <f>IF(SubjectList!G128="Finance",IF(Finance!B128=0,"", Finance!B128),IF(SubjectList!G128="Production",IF(Production!B128=0,"", Production!B128),IF(SubjectList!G128="Economics",IF(Economics!B128=0,"", Economics!B128))))</f>
        <v/>
      </c>
      <c r="W128" s="36" t="str">
        <f>IF(SubjectList!G128="Finance",IF(Finance!C128=0,"", Finance!C128),IF(SubjectList!G128="Production",IF(Production!C128=0,"", Production!C128),IF(SubjectList!G128="Economics",IF(Economics!C128=0,"", Economics!C128))))</f>
        <v/>
      </c>
      <c r="X128" s="43" t="str">
        <f>IF(SubjectList!G128="Finance",IF(Finance!D128=0,"", Finance!D128),IF(SubjectList!G128="Production",IF(Production!D128=0,"", Production!D128),IF(SubjectList!G128="Economics",IF(Economics!D128=0,"", Economics!D128))))</f>
        <v/>
      </c>
      <c r="Y128" s="40" t="str">
        <f>IF(SubjectList!H128="Finance",IF(Finance!B128=0,"", Finance!B128),IF(SubjectList!H128="Production",IF(Production!B128=0,"", Production!B128),IF(SubjectList!H128="Economics",IF(Economics!B128=0,"", Economics!B128))))</f>
        <v/>
      </c>
      <c r="Z128" s="40" t="str">
        <f>IF(SubjectList!H128="Finance",IF(Finance!C128=0,"", Finance!C128),IF(SubjectList!H128="Production",IF(Production!C128=0,"", Production!C128),IF(SubjectList!H128="Economics",IF(Economics!C128=0,"", Economics!C128))))</f>
        <v/>
      </c>
      <c r="AA128" s="44" t="str">
        <f>IF(SubjectList!H128="Finance",IF(Finance!D128=0,"", Finance!D128),IF(SubjectList!H128="Production",IF(Production!D128=0,"", Production!D128),IF(SubjectList!H128="Economics",IF(Economics!D128=0,"", Economics!D128))))</f>
        <v/>
      </c>
      <c r="AB128" s="37" t="str">
        <f>IF(SubjectList!G128="Finance","Finance",IF(SubjectList!G128="Production","Production",IF(SubjectList!G128="Economics","Not Given")))</f>
        <v>Production</v>
      </c>
      <c r="AC128" s="37" t="str">
        <f>IF(SubjectList!H128="Finance","Finance",IF(SubjectList!H128="Production","Production",IF(SubjectList!H128="Economics","Economics","Not Given")))</f>
        <v>Finance</v>
      </c>
      <c r="AD128" s="38" t="str">
        <f>Bangla!F128</f>
        <v/>
      </c>
      <c r="AE128" s="38" t="str">
        <f>English!E128</f>
        <v/>
      </c>
      <c r="AF128" s="38" t="str">
        <f>ICT!G128</f>
        <v/>
      </c>
      <c r="AG128" s="38" t="str">
        <f>Accounting!F128</f>
        <v/>
      </c>
      <c r="AH128" s="38" t="str">
        <f>'Business Organization'!F128</f>
        <v/>
      </c>
      <c r="AI128" s="38" t="str">
        <f>Production!F128</f>
        <v/>
      </c>
      <c r="AJ128" s="38" t="str">
        <f>Finance!F128</f>
        <v/>
      </c>
      <c r="AK128" s="39" t="str">
        <f>Bangla!G128</f>
        <v/>
      </c>
      <c r="AL128" s="39" t="str">
        <f>English!F128</f>
        <v/>
      </c>
      <c r="AM128" s="39" t="str">
        <f>ICT!H128</f>
        <v/>
      </c>
      <c r="AN128" s="39" t="str">
        <f>Accounting!G128</f>
        <v/>
      </c>
      <c r="AO128" s="39" t="str">
        <f>'Business Organization'!G128</f>
        <v/>
      </c>
      <c r="AP128" s="39" t="str">
        <f>IF(SubjectList!G128="Finance",Finance!G128,IF(SubjectList!G128="Production",Production!G128,IF(SubjectList!G128="Economics",Economics!G128)))</f>
        <v/>
      </c>
      <c r="AQ128" s="39" t="str">
        <f>IF(Optional!H128="","", Optional!H128)</f>
        <v/>
      </c>
      <c r="AR128" s="39" t="str">
        <f>Optional!H128</f>
        <v/>
      </c>
      <c r="AS128" s="39" t="str">
        <f>Optional!I128</f>
        <v/>
      </c>
      <c r="AT128" s="39" t="str">
        <f t="shared" si="41"/>
        <v/>
      </c>
      <c r="AU128" s="39">
        <f t="shared" si="42"/>
        <v>0</v>
      </c>
      <c r="AV128" s="39" t="str">
        <f t="shared" si="43"/>
        <v/>
      </c>
      <c r="AW128" s="39" t="str">
        <f t="shared" si="44"/>
        <v/>
      </c>
      <c r="AX128" s="5">
        <f t="shared" si="35"/>
        <v>0</v>
      </c>
      <c r="AY128" s="41">
        <f t="shared" si="45"/>
        <v>0</v>
      </c>
      <c r="AZ128" s="41">
        <f t="shared" si="46"/>
        <v>0</v>
      </c>
      <c r="BA128" s="41">
        <f t="shared" si="47"/>
        <v>0</v>
      </c>
      <c r="BB128" s="41">
        <f t="shared" si="48"/>
        <v>0</v>
      </c>
      <c r="BC128" s="41">
        <f t="shared" si="49"/>
        <v>0</v>
      </c>
      <c r="BD128" s="41">
        <f t="shared" si="50"/>
        <v>0</v>
      </c>
      <c r="BE128" s="3">
        <f t="shared" si="51"/>
        <v>0</v>
      </c>
      <c r="BF128" s="3" t="str">
        <f t="shared" si="37"/>
        <v>Failed in 6 Subjects</v>
      </c>
      <c r="BG128" s="5" t="str">
        <f>IF(AW128="","",RANK(AW128,AW$2:AW145,0))</f>
        <v/>
      </c>
      <c r="BH128" s="3" t="str">
        <f t="shared" si="38"/>
        <v>খুবই দুর্বল</v>
      </c>
      <c r="BI128" t="str">
        <f t="shared" si="39"/>
        <v>Very Weak</v>
      </c>
      <c r="BJ128" s="104" t="str">
        <f t="shared" si="40"/>
        <v/>
      </c>
    </row>
    <row r="129" spans="1:62" ht="15" thickBot="1" x14ac:dyDescent="0.4">
      <c r="A129" s="3" t="str">
        <f>'Student Basic Info'!B129</f>
        <v>Business Studies</v>
      </c>
      <c r="B129" s="3">
        <f>'Student Basic Info'!A129</f>
        <v>628</v>
      </c>
      <c r="C129" s="3" t="str">
        <f>'Student Basic Info'!C129</f>
        <v>Md. Nur Nabi Hasan Roni</v>
      </c>
      <c r="D129" s="3" t="str">
        <f>'Student Basic Info'!D129</f>
        <v>Md. Alomgir</v>
      </c>
      <c r="E129" s="3" t="str">
        <f>'Student Basic Info'!E129</f>
        <v>Ruma Begum</v>
      </c>
      <c r="F129" s="3" t="str">
        <f>'Student Basic Info'!F129</f>
        <v>Male</v>
      </c>
      <c r="G129" s="79">
        <v>1329928195</v>
      </c>
      <c r="H129" s="59" t="str">
        <f>IF(Bangla!B129="","",Bangla!B129)</f>
        <v/>
      </c>
      <c r="I129" s="59" t="str">
        <f>IF(Bangla!C129="","",Bangla!C129)</f>
        <v/>
      </c>
      <c r="J129" s="60" t="str">
        <f>IF(Bangla!D129="","",Bangla!D129)</f>
        <v/>
      </c>
      <c r="K129" s="61" t="str">
        <f>IF(English!C129="","",English!C129)</f>
        <v/>
      </c>
      <c r="L129" s="35" t="str">
        <f>IF(ICT!B129="","",ICT!B129)</f>
        <v/>
      </c>
      <c r="M129" s="35" t="str">
        <f>IF(ICT!C129="","",ICT!C129)</f>
        <v/>
      </c>
      <c r="N129" s="35" t="str">
        <f>IF(ICT!D129="","",ICT!D129)</f>
        <v/>
      </c>
      <c r="O129" s="42" t="str">
        <f>IF(ICT!E129="","",ICT!E129)</f>
        <v/>
      </c>
      <c r="P129" s="40" t="str">
        <f>IF(Accounting!B129="","",Accounting!B129)</f>
        <v/>
      </c>
      <c r="Q129" s="40" t="str">
        <f>IF(Accounting!C129="","",Accounting!C129)</f>
        <v/>
      </c>
      <c r="R129" s="44" t="str">
        <f>IF(Accounting!D129="","",Accounting!D129)</f>
        <v/>
      </c>
      <c r="S129" s="35" t="str">
        <f>IF('Business Organization'!B129="","",'Business Organization'!B129)</f>
        <v/>
      </c>
      <c r="T129" s="35" t="str">
        <f>IF('Business Organization'!C129="","",'Business Organization'!C129)</f>
        <v/>
      </c>
      <c r="U129" s="42" t="str">
        <f>IF('Business Organization'!D129="","",'Business Organization'!D129)</f>
        <v/>
      </c>
      <c r="V129" s="36" t="str">
        <f>IF(SubjectList!G129="Finance",IF(Finance!B129=0,"", Finance!B129),IF(SubjectList!G129="Production",IF(Production!B129=0,"", Production!B129),IF(SubjectList!G129="Economics",IF(Economics!B129=0,"", Economics!B129))))</f>
        <v/>
      </c>
      <c r="W129" s="36" t="str">
        <f>IF(SubjectList!G129="Finance",IF(Finance!C129=0,"", Finance!C129),IF(SubjectList!G129="Production",IF(Production!C129=0,"", Production!C129),IF(SubjectList!G129="Economics",IF(Economics!C129=0,"", Economics!C129))))</f>
        <v/>
      </c>
      <c r="X129" s="43" t="str">
        <f>IF(SubjectList!G129="Finance",IF(Finance!D129=0,"", Finance!D129),IF(SubjectList!G129="Production",IF(Production!D129=0,"", Production!D129),IF(SubjectList!G129="Economics",IF(Economics!D129=0,"", Economics!D129))))</f>
        <v/>
      </c>
      <c r="Y129" s="40" t="str">
        <f>IF(SubjectList!H129="Finance",IF(Finance!B129=0,"", Finance!B129),IF(SubjectList!H129="Production",IF(Production!B129=0,"", Production!B129),IF(SubjectList!H129="Economics",IF(Economics!B129=0,"", Economics!B129))))</f>
        <v/>
      </c>
      <c r="Z129" s="40" t="str">
        <f>IF(SubjectList!H129="Finance",IF(Finance!C129=0,"", Finance!C129),IF(SubjectList!H129="Production",IF(Production!C129=0,"", Production!C129),IF(SubjectList!H129="Economics",IF(Economics!C129=0,"", Economics!C129))))</f>
        <v/>
      </c>
      <c r="AA129" s="44" t="str">
        <f>IF(SubjectList!H129="Finance",IF(Finance!D129=0,"", Finance!D129),IF(SubjectList!H129="Production",IF(Production!D129=0,"", Production!D129),IF(SubjectList!H129="Economics",IF(Economics!D129=0,"", Economics!D129))))</f>
        <v/>
      </c>
      <c r="AB129" s="37" t="str">
        <f>IF(SubjectList!G129="Finance","Finance",IF(SubjectList!G129="Production","Production",IF(SubjectList!G129="Economics","Not Given")))</f>
        <v>Finance</v>
      </c>
      <c r="AC129" s="37" t="str">
        <f>IF(SubjectList!H129="Finance","Finance",IF(SubjectList!H129="Production","Production",IF(SubjectList!H129="Economics","Economics","Not Given")))</f>
        <v>Production</v>
      </c>
      <c r="AD129" s="38" t="str">
        <f>Bangla!F129</f>
        <v/>
      </c>
      <c r="AE129" s="38" t="str">
        <f>English!E129</f>
        <v/>
      </c>
      <c r="AF129" s="38" t="str">
        <f>ICT!G129</f>
        <v/>
      </c>
      <c r="AG129" s="38" t="str">
        <f>Accounting!F129</f>
        <v/>
      </c>
      <c r="AH129" s="38" t="str">
        <f>'Business Organization'!F129</f>
        <v/>
      </c>
      <c r="AI129" s="38" t="str">
        <f>Production!F129</f>
        <v/>
      </c>
      <c r="AJ129" s="38" t="str">
        <f>Finance!F129</f>
        <v/>
      </c>
      <c r="AK129" s="39" t="str">
        <f>Bangla!G129</f>
        <v/>
      </c>
      <c r="AL129" s="39" t="str">
        <f>English!F129</f>
        <v/>
      </c>
      <c r="AM129" s="39" t="str">
        <f>ICT!H129</f>
        <v/>
      </c>
      <c r="AN129" s="39" t="str">
        <f>Accounting!G129</f>
        <v/>
      </c>
      <c r="AO129" s="39" t="str">
        <f>'Business Organization'!G129</f>
        <v/>
      </c>
      <c r="AP129" s="39" t="str">
        <f>IF(SubjectList!G129="Finance",Finance!G129,IF(SubjectList!G129="Production",Production!G129,IF(SubjectList!G129="Economics",Economics!G129)))</f>
        <v/>
      </c>
      <c r="AQ129" s="39" t="str">
        <f>IF(Optional!H129="","", Optional!H129)</f>
        <v/>
      </c>
      <c r="AR129" s="39" t="str">
        <f>Optional!H129</f>
        <v/>
      </c>
      <c r="AS129" s="39" t="str">
        <f>Optional!I129</f>
        <v/>
      </c>
      <c r="AT129" s="39" t="str">
        <f t="shared" si="41"/>
        <v/>
      </c>
      <c r="AU129" s="39">
        <f t="shared" si="42"/>
        <v>0</v>
      </c>
      <c r="AV129" s="39" t="str">
        <f t="shared" si="43"/>
        <v/>
      </c>
      <c r="AW129" s="39" t="str">
        <f t="shared" si="44"/>
        <v/>
      </c>
      <c r="AX129" s="5">
        <f t="shared" si="35"/>
        <v>0</v>
      </c>
      <c r="AY129" s="41">
        <f t="shared" si="45"/>
        <v>0</v>
      </c>
      <c r="AZ129" s="41">
        <f t="shared" si="46"/>
        <v>0</v>
      </c>
      <c r="BA129" s="41">
        <f t="shared" si="47"/>
        <v>0</v>
      </c>
      <c r="BB129" s="41">
        <f t="shared" si="48"/>
        <v>0</v>
      </c>
      <c r="BC129" s="41">
        <f t="shared" si="49"/>
        <v>0</v>
      </c>
      <c r="BD129" s="41">
        <f t="shared" si="50"/>
        <v>0</v>
      </c>
      <c r="BE129" s="3">
        <f t="shared" si="51"/>
        <v>0</v>
      </c>
      <c r="BF129" s="3" t="str">
        <f t="shared" si="37"/>
        <v>Failed in 6 Subjects</v>
      </c>
      <c r="BG129" s="5" t="str">
        <f>IF(AW129="","",RANK(AW129,AW$2:AW145,0))</f>
        <v/>
      </c>
      <c r="BH129" s="3" t="str">
        <f t="shared" si="38"/>
        <v>খুবই দুর্বল</v>
      </c>
      <c r="BI129" t="str">
        <f t="shared" si="39"/>
        <v>Very Weak</v>
      </c>
      <c r="BJ129" s="104" t="str">
        <f t="shared" si="40"/>
        <v/>
      </c>
    </row>
    <row r="130" spans="1:62" ht="15" thickBot="1" x14ac:dyDescent="0.4">
      <c r="A130" s="3" t="str">
        <f>'Student Basic Info'!B130</f>
        <v>Business Studies</v>
      </c>
      <c r="B130" s="3">
        <f>'Student Basic Info'!A130</f>
        <v>629</v>
      </c>
      <c r="C130" s="3" t="str">
        <f>'Student Basic Info'!C130</f>
        <v>Khaled Bin Rahmat</v>
      </c>
      <c r="D130" s="3" t="str">
        <f>'Student Basic Info'!D130</f>
        <v>Zosim Uddin</v>
      </c>
      <c r="E130" s="3" t="str">
        <f>'Student Basic Info'!E130</f>
        <v>Taslima Aktar</v>
      </c>
      <c r="F130" s="3" t="str">
        <f>'Student Basic Info'!F130</f>
        <v>Male</v>
      </c>
      <c r="G130" s="79">
        <v>1860265987</v>
      </c>
      <c r="H130" s="59" t="str">
        <f>IF(Bangla!B130="","",Bangla!B130)</f>
        <v/>
      </c>
      <c r="I130" s="59" t="str">
        <f>IF(Bangla!C130="","",Bangla!C130)</f>
        <v/>
      </c>
      <c r="J130" s="60" t="str">
        <f>IF(Bangla!D130="","",Bangla!D130)</f>
        <v/>
      </c>
      <c r="K130" s="61" t="str">
        <f>IF(English!C130="","",English!C130)</f>
        <v/>
      </c>
      <c r="L130" s="35" t="str">
        <f>IF(ICT!B130="","",ICT!B130)</f>
        <v/>
      </c>
      <c r="M130" s="35" t="str">
        <f>IF(ICT!C130="","",ICT!C130)</f>
        <v/>
      </c>
      <c r="N130" s="35" t="str">
        <f>IF(ICT!D130="","",ICT!D130)</f>
        <v/>
      </c>
      <c r="O130" s="42" t="str">
        <f>IF(ICT!E130="","",ICT!E130)</f>
        <v/>
      </c>
      <c r="P130" s="40" t="str">
        <f>IF(Accounting!B130="","",Accounting!B130)</f>
        <v/>
      </c>
      <c r="Q130" s="40" t="str">
        <f>IF(Accounting!C130="","",Accounting!C130)</f>
        <v/>
      </c>
      <c r="R130" s="44" t="str">
        <f>IF(Accounting!D130="","",Accounting!D130)</f>
        <v/>
      </c>
      <c r="S130" s="35" t="str">
        <f>IF('Business Organization'!B130="","",'Business Organization'!B130)</f>
        <v/>
      </c>
      <c r="T130" s="35" t="str">
        <f>IF('Business Organization'!C130="","",'Business Organization'!C130)</f>
        <v/>
      </c>
      <c r="U130" s="42" t="str">
        <f>IF('Business Organization'!D130="","",'Business Organization'!D130)</f>
        <v/>
      </c>
      <c r="V130" s="36" t="str">
        <f>IF(SubjectList!G130="Finance",IF(Finance!B130=0,"", Finance!B130),IF(SubjectList!G130="Production",IF(Production!B130=0,"", Production!B130),IF(SubjectList!G130="Economics",IF(Economics!B130=0,"", Economics!B130))))</f>
        <v/>
      </c>
      <c r="W130" s="36" t="str">
        <f>IF(SubjectList!G130="Finance",IF(Finance!C130=0,"", Finance!C130),IF(SubjectList!G130="Production",IF(Production!C130=0,"", Production!C130),IF(SubjectList!G130="Economics",IF(Economics!C130=0,"", Economics!C130))))</f>
        <v/>
      </c>
      <c r="X130" s="43" t="str">
        <f>IF(SubjectList!G130="Finance",IF(Finance!D130=0,"", Finance!D130),IF(SubjectList!G130="Production",IF(Production!D130=0,"", Production!D130),IF(SubjectList!G130="Economics",IF(Economics!D130=0,"", Economics!D130))))</f>
        <v/>
      </c>
      <c r="Y130" s="40" t="str">
        <f>IF(SubjectList!H130="Finance",IF(Finance!B130=0,"", Finance!B130),IF(SubjectList!H130="Production",IF(Production!B130=0,"", Production!B130),IF(SubjectList!H130="Economics",IF(Economics!B130=0,"", Economics!B130))))</f>
        <v/>
      </c>
      <c r="Z130" s="40" t="str">
        <f>IF(SubjectList!H130="Finance",IF(Finance!C130=0,"", Finance!C130),IF(SubjectList!H130="Production",IF(Production!C130=0,"", Production!C130),IF(SubjectList!H130="Economics",IF(Economics!C130=0,"", Economics!C130))))</f>
        <v/>
      </c>
      <c r="AA130" s="44" t="str">
        <f>IF(SubjectList!H130="Finance",IF(Finance!D130=0,"", Finance!D130),IF(SubjectList!H130="Production",IF(Production!D130=0,"", Production!D130),IF(SubjectList!H130="Economics",IF(Economics!D130=0,"", Economics!D130))))</f>
        <v/>
      </c>
      <c r="AB130" s="37" t="str">
        <f>IF(SubjectList!G130="Finance","Finance",IF(SubjectList!G130="Production","Production",IF(SubjectList!G130="Economics","Not Given")))</f>
        <v>Finance</v>
      </c>
      <c r="AC130" s="37" t="str">
        <f>IF(SubjectList!H130="Finance","Finance",IF(SubjectList!H130="Production","Production",IF(SubjectList!H130="Economics","Economics","Not Given")))</f>
        <v>Production</v>
      </c>
      <c r="AD130" s="38" t="str">
        <f>Bangla!F130</f>
        <v/>
      </c>
      <c r="AE130" s="38" t="str">
        <f>English!E130</f>
        <v/>
      </c>
      <c r="AF130" s="38" t="str">
        <f>ICT!G130</f>
        <v/>
      </c>
      <c r="AG130" s="38" t="str">
        <f>Accounting!F130</f>
        <v/>
      </c>
      <c r="AH130" s="38" t="str">
        <f>'Business Organization'!F130</f>
        <v/>
      </c>
      <c r="AI130" s="38" t="str">
        <f>Production!F130</f>
        <v/>
      </c>
      <c r="AJ130" s="38" t="str">
        <f>Finance!F130</f>
        <v/>
      </c>
      <c r="AK130" s="39" t="str">
        <f>Bangla!G130</f>
        <v/>
      </c>
      <c r="AL130" s="39" t="str">
        <f>English!F130</f>
        <v/>
      </c>
      <c r="AM130" s="39" t="str">
        <f>ICT!H130</f>
        <v/>
      </c>
      <c r="AN130" s="39" t="str">
        <f>Accounting!G130</f>
        <v/>
      </c>
      <c r="AO130" s="39" t="str">
        <f>'Business Organization'!G130</f>
        <v/>
      </c>
      <c r="AP130" s="39" t="str">
        <f>IF(SubjectList!G130="Finance",Finance!G130,IF(SubjectList!G130="Production",Production!G130,IF(SubjectList!G130="Economics",Economics!G130)))</f>
        <v/>
      </c>
      <c r="AQ130" s="39" t="str">
        <f>IF(Optional!H130="","", Optional!H130)</f>
        <v/>
      </c>
      <c r="AR130" s="39" t="str">
        <f>Optional!H130</f>
        <v/>
      </c>
      <c r="AS130" s="39" t="str">
        <f>Optional!I130</f>
        <v/>
      </c>
      <c r="AT130" s="39" t="str">
        <f t="shared" si="41"/>
        <v/>
      </c>
      <c r="AU130" s="39">
        <f t="shared" si="42"/>
        <v>0</v>
      </c>
      <c r="AV130" s="39" t="str">
        <f t="shared" si="43"/>
        <v/>
      </c>
      <c r="AW130" s="39" t="str">
        <f t="shared" si="44"/>
        <v/>
      </c>
      <c r="AX130" s="5">
        <f t="shared" si="35"/>
        <v>0</v>
      </c>
      <c r="AY130" s="41">
        <f t="shared" si="45"/>
        <v>0</v>
      </c>
      <c r="AZ130" s="41">
        <f t="shared" si="46"/>
        <v>0</v>
      </c>
      <c r="BA130" s="41">
        <f t="shared" si="47"/>
        <v>0</v>
      </c>
      <c r="BB130" s="41">
        <f t="shared" si="48"/>
        <v>0</v>
      </c>
      <c r="BC130" s="41">
        <f t="shared" si="49"/>
        <v>0</v>
      </c>
      <c r="BD130" s="41">
        <f t="shared" si="50"/>
        <v>0</v>
      </c>
      <c r="BE130" s="3">
        <f t="shared" si="51"/>
        <v>0</v>
      </c>
      <c r="BF130" s="3" t="str">
        <f t="shared" si="37"/>
        <v>Failed in 6 Subjects</v>
      </c>
      <c r="BG130" s="5" t="str">
        <f>IF(AW130="","",RANK(AW130,AW$2:AW145,0))</f>
        <v/>
      </c>
      <c r="BH130" s="3" t="str">
        <f t="shared" si="38"/>
        <v>খুবই দুর্বল</v>
      </c>
      <c r="BI130" t="str">
        <f t="shared" si="39"/>
        <v>Very Weak</v>
      </c>
      <c r="BJ130" s="104" t="str">
        <f t="shared" si="40"/>
        <v/>
      </c>
    </row>
    <row r="131" spans="1:62" ht="15" thickBot="1" x14ac:dyDescent="0.4">
      <c r="A131" s="3" t="str">
        <f>'Student Basic Info'!B131</f>
        <v>Business Studies</v>
      </c>
      <c r="B131" s="3">
        <f>'Student Basic Info'!A131</f>
        <v>630</v>
      </c>
      <c r="C131" s="3" t="str">
        <f>'Student Basic Info'!C131</f>
        <v>Fokhrul Islam</v>
      </c>
      <c r="D131" s="3" t="str">
        <f>'Student Basic Info'!D131</f>
        <v>Md. Omor Faruk</v>
      </c>
      <c r="E131" s="3" t="str">
        <f>'Student Basic Info'!E131</f>
        <v>Nasima Aktar</v>
      </c>
      <c r="F131" s="3" t="str">
        <f>'Student Basic Info'!F131</f>
        <v>Male</v>
      </c>
      <c r="G131" s="79">
        <v>1810127984</v>
      </c>
      <c r="H131" s="59" t="str">
        <f>IF(Bangla!B131="","",Bangla!B131)</f>
        <v/>
      </c>
      <c r="I131" s="59" t="str">
        <f>IF(Bangla!C131="","",Bangla!C131)</f>
        <v/>
      </c>
      <c r="J131" s="60" t="str">
        <f>IF(Bangla!D131="","",Bangla!D131)</f>
        <v/>
      </c>
      <c r="K131" s="61" t="str">
        <f>IF(English!C131="","",English!C131)</f>
        <v/>
      </c>
      <c r="L131" s="35" t="str">
        <f>IF(ICT!B131="","",ICT!B131)</f>
        <v/>
      </c>
      <c r="M131" s="35" t="str">
        <f>IF(ICT!C131="","",ICT!C131)</f>
        <v/>
      </c>
      <c r="N131" s="35" t="str">
        <f>IF(ICT!D131="","",ICT!D131)</f>
        <v/>
      </c>
      <c r="O131" s="42" t="str">
        <f>IF(ICT!E131="","",ICT!E131)</f>
        <v/>
      </c>
      <c r="P131" s="40" t="str">
        <f>IF(Accounting!B131="","",Accounting!B131)</f>
        <v/>
      </c>
      <c r="Q131" s="40" t="str">
        <f>IF(Accounting!C131="","",Accounting!C131)</f>
        <v/>
      </c>
      <c r="R131" s="44" t="str">
        <f>IF(Accounting!D131="","",Accounting!D131)</f>
        <v/>
      </c>
      <c r="S131" s="35" t="str">
        <f>IF('Business Organization'!B131="","",'Business Organization'!B131)</f>
        <v/>
      </c>
      <c r="T131" s="35" t="str">
        <f>IF('Business Organization'!C131="","",'Business Organization'!C131)</f>
        <v/>
      </c>
      <c r="U131" s="42" t="str">
        <f>IF('Business Organization'!D131="","",'Business Organization'!D131)</f>
        <v/>
      </c>
      <c r="V131" s="36" t="str">
        <f>IF(SubjectList!G131="Finance",IF(Finance!B131=0,"", Finance!B131),IF(SubjectList!G131="Production",IF(Production!B131=0,"", Production!B131),IF(SubjectList!G131="Economics",IF(Economics!B131=0,"", Economics!B131))))</f>
        <v/>
      </c>
      <c r="W131" s="36" t="str">
        <f>IF(SubjectList!G131="Finance",IF(Finance!C131=0,"", Finance!C131),IF(SubjectList!G131="Production",IF(Production!C131=0,"", Production!C131),IF(SubjectList!G131="Economics",IF(Economics!C131=0,"", Economics!C131))))</f>
        <v/>
      </c>
      <c r="X131" s="43" t="str">
        <f>IF(SubjectList!G131="Finance",IF(Finance!D131=0,"", Finance!D131),IF(SubjectList!G131="Production",IF(Production!D131=0,"", Production!D131),IF(SubjectList!G131="Economics",IF(Economics!D131=0,"", Economics!D131))))</f>
        <v/>
      </c>
      <c r="Y131" s="40" t="str">
        <f>IF(SubjectList!H131="Finance",IF(Finance!B131=0,"", Finance!B131),IF(SubjectList!H131="Production",IF(Production!B131=0,"", Production!B131),IF(SubjectList!H131="Economics",IF(Economics!B131=0,"", Economics!B131))))</f>
        <v/>
      </c>
      <c r="Z131" s="40" t="str">
        <f>IF(SubjectList!H131="Finance",IF(Finance!C131=0,"", Finance!C131),IF(SubjectList!H131="Production",IF(Production!C131=0,"", Production!C131),IF(SubjectList!H131="Economics",IF(Economics!C131=0,"", Economics!C131))))</f>
        <v/>
      </c>
      <c r="AA131" s="44" t="str">
        <f>IF(SubjectList!H131="Finance",IF(Finance!D131=0,"", Finance!D131),IF(SubjectList!H131="Production",IF(Production!D131=0,"", Production!D131),IF(SubjectList!H131="Economics",IF(Economics!D131=0,"", Economics!D131))))</f>
        <v/>
      </c>
      <c r="AB131" s="37" t="str">
        <f>IF(SubjectList!G131="Finance","Finance",IF(SubjectList!G131="Production","Production",IF(SubjectList!G131="Economics","Not Given")))</f>
        <v>Finance</v>
      </c>
      <c r="AC131" s="37" t="str">
        <f>IF(SubjectList!H131="Finance","Finance",IF(SubjectList!H131="Production","Production",IF(SubjectList!H131="Economics","Economics","Not Given")))</f>
        <v>Economics</v>
      </c>
      <c r="AD131" s="38" t="str">
        <f>Bangla!F131</f>
        <v/>
      </c>
      <c r="AE131" s="38" t="str">
        <f>English!E131</f>
        <v/>
      </c>
      <c r="AF131" s="38" t="str">
        <f>ICT!G131</f>
        <v/>
      </c>
      <c r="AG131" s="38" t="str">
        <f>Accounting!F131</f>
        <v/>
      </c>
      <c r="AH131" s="38" t="str">
        <f>'Business Organization'!F131</f>
        <v/>
      </c>
      <c r="AI131" s="38" t="str">
        <f>Production!F131</f>
        <v/>
      </c>
      <c r="AJ131" s="38" t="str">
        <f>Finance!F131</f>
        <v/>
      </c>
      <c r="AK131" s="39" t="str">
        <f>Bangla!G131</f>
        <v/>
      </c>
      <c r="AL131" s="39" t="str">
        <f>English!F131</f>
        <v/>
      </c>
      <c r="AM131" s="39" t="str">
        <f>ICT!H131</f>
        <v/>
      </c>
      <c r="AN131" s="39" t="str">
        <f>Accounting!G131</f>
        <v/>
      </c>
      <c r="AO131" s="39" t="str">
        <f>'Business Organization'!G131</f>
        <v/>
      </c>
      <c r="AP131" s="39" t="str">
        <f>IF(SubjectList!G131="Finance",Finance!G131,IF(SubjectList!G131="Production",Production!G131,IF(SubjectList!G131="Economics",Economics!G131)))</f>
        <v/>
      </c>
      <c r="AQ131" s="39" t="str">
        <f>IF(Optional!H131="","", Optional!H131)</f>
        <v/>
      </c>
      <c r="AR131" s="39" t="str">
        <f>Optional!H131</f>
        <v/>
      </c>
      <c r="AS131" s="39" t="str">
        <f>Optional!I131</f>
        <v/>
      </c>
      <c r="AT131" s="39" t="str">
        <f t="shared" si="41"/>
        <v/>
      </c>
      <c r="AU131" s="39">
        <f t="shared" si="42"/>
        <v>0</v>
      </c>
      <c r="AV131" s="39" t="str">
        <f t="shared" si="43"/>
        <v/>
      </c>
      <c r="AW131" s="39" t="str">
        <f t="shared" si="44"/>
        <v/>
      </c>
      <c r="AX131" s="5">
        <f t="shared" ref="AX131:AX145" si="52">IF(J131="",0,J131)+IF(K131="",0,K131)+IF(O131="",0,O131)+IF(R131="",0,R131)+IF(U131="",0,U131)+IF(X131="",0,X131)+IF(AA131="",0,AA131)</f>
        <v>0</v>
      </c>
      <c r="AY131" s="41">
        <f t="shared" si="45"/>
        <v>0</v>
      </c>
      <c r="AZ131" s="41">
        <f t="shared" si="46"/>
        <v>0</v>
      </c>
      <c r="BA131" s="41">
        <f t="shared" si="47"/>
        <v>0</v>
      </c>
      <c r="BB131" s="41">
        <f t="shared" si="48"/>
        <v>0</v>
      </c>
      <c r="BC131" s="41">
        <f t="shared" si="49"/>
        <v>0</v>
      </c>
      <c r="BD131" s="41">
        <f t="shared" si="50"/>
        <v>0</v>
      </c>
      <c r="BE131" s="3">
        <f t="shared" si="51"/>
        <v>0</v>
      </c>
      <c r="BF131" s="3" t="str">
        <f t="shared" ref="BF131:BF145" si="53">IF(BE131=0,"Failed in 6 Subjects",IF(BE131=1,"Failed in 5 Subjects",IF(BE131=2,"Failed in 4 Subjects",IF(BE131=3,"Failed in 3 Subjects",IF(BE131=4,"Failed in 2 Subjects",IF(BE131=5,"Failed in 1 Subject",IF(BE131=6,"Pass")))))))</f>
        <v>Failed in 6 Subjects</v>
      </c>
      <c r="BG131" s="5" t="str">
        <f>IF(AW131="","",RANK(AW131,AW$2:AW145,0))</f>
        <v/>
      </c>
      <c r="BH131" s="3" t="str">
        <f t="shared" ref="BH131:BH145" si="54">(IF(AW131="","খুবই দুর্বল",IF(AW131=5,"অসাধারন",IF(AW131&gt;=4,"খুব ভালো",IF(AW131&gt;=3.5,"ভালো",IF(AW131&gt;=3,"মধ্যম মানের",IF(AW131&gt;=2,"যত্ন প্রয়োজন",IF(AW131&gt;=1,"দূর্বল",IF(AW131&gt;=0,"খুবই দূর্বল","খুবই দূর্বল")))))))))</f>
        <v>খুবই দুর্বল</v>
      </c>
      <c r="BI131" t="str">
        <f t="shared" ref="BI131:BI145" si="55">(IF(AW131="","Very Weak",IF(AW131=5,"Excellent",IF(AW131&gt;=4,"Very Good",IF(AW131&gt;=3.5,"Good",IF(AW131&gt;=3,"Average",IF(AW131&gt;=2,"Need to improve",IF(AW131&gt;=1,"Weak",IF(AW131&gt;=0,"Very Weak","Very Weak")))))))))</f>
        <v>Very Weak</v>
      </c>
      <c r="BJ131" s="104" t="str">
        <f t="shared" ref="BJ131:BJ145" si="56">IF(AW131&gt;=5,"",IF(AW131&gt;=4,"A",IF(AW131&gt;=3.5,"A-",IF(AW131&gt;=3,"B",IF(AW131&gt;=2,"C",IF(AW131&gt;=1,"D","F"))))))</f>
        <v/>
      </c>
    </row>
    <row r="132" spans="1:62" ht="15" thickBot="1" x14ac:dyDescent="0.4">
      <c r="A132" s="3" t="str">
        <f>'Student Basic Info'!B132</f>
        <v>Business Studies</v>
      </c>
      <c r="B132" s="3">
        <f>'Student Basic Info'!A132</f>
        <v>631</v>
      </c>
      <c r="C132" s="3" t="str">
        <f>'Student Basic Info'!C132</f>
        <v>Zihad Hossain</v>
      </c>
      <c r="D132" s="3" t="str">
        <f>'Student Basic Info'!D132</f>
        <v>Mosharrof Hossain</v>
      </c>
      <c r="E132" s="3" t="str">
        <f>'Student Basic Info'!E132</f>
        <v>Gol Nahar Begum</v>
      </c>
      <c r="F132" s="3" t="str">
        <f>'Student Basic Info'!F132</f>
        <v>Male</v>
      </c>
      <c r="G132" s="79">
        <v>1810308238</v>
      </c>
      <c r="H132" s="59" t="str">
        <f>IF(Bangla!B132="","",Bangla!B132)</f>
        <v/>
      </c>
      <c r="I132" s="59" t="str">
        <f>IF(Bangla!C132="","",Bangla!C132)</f>
        <v/>
      </c>
      <c r="J132" s="60" t="str">
        <f>IF(Bangla!D132="","",Bangla!D132)</f>
        <v/>
      </c>
      <c r="K132" s="61" t="str">
        <f>IF(English!C132="","",English!C132)</f>
        <v/>
      </c>
      <c r="L132" s="35" t="str">
        <f>IF(ICT!B132="","",ICT!B132)</f>
        <v/>
      </c>
      <c r="M132" s="35" t="str">
        <f>IF(ICT!C132="","",ICT!C132)</f>
        <v/>
      </c>
      <c r="N132" s="35" t="str">
        <f>IF(ICT!D132="","",ICT!D132)</f>
        <v/>
      </c>
      <c r="O132" s="42" t="str">
        <f>IF(ICT!E132="","",ICT!E132)</f>
        <v/>
      </c>
      <c r="P132" s="40" t="str">
        <f>IF(Accounting!B132="","",Accounting!B132)</f>
        <v/>
      </c>
      <c r="Q132" s="40" t="str">
        <f>IF(Accounting!C132="","",Accounting!C132)</f>
        <v/>
      </c>
      <c r="R132" s="44" t="str">
        <f>IF(Accounting!D132="","",Accounting!D132)</f>
        <v/>
      </c>
      <c r="S132" s="35" t="str">
        <f>IF('Business Organization'!B132="","",'Business Organization'!B132)</f>
        <v/>
      </c>
      <c r="T132" s="35" t="str">
        <f>IF('Business Organization'!C132="","",'Business Organization'!C132)</f>
        <v/>
      </c>
      <c r="U132" s="42" t="str">
        <f>IF('Business Organization'!D132="","",'Business Organization'!D132)</f>
        <v/>
      </c>
      <c r="V132" s="36" t="str">
        <f>IF(SubjectList!G132="Finance",IF(Finance!B132=0,"", Finance!B132),IF(SubjectList!G132="Production",IF(Production!B132=0,"", Production!B132),IF(SubjectList!G132="Economics",IF(Economics!B132=0,"", Economics!B132))))</f>
        <v/>
      </c>
      <c r="W132" s="36" t="str">
        <f>IF(SubjectList!G132="Finance",IF(Finance!C132=0,"", Finance!C132),IF(SubjectList!G132="Production",IF(Production!C132=0,"", Production!C132),IF(SubjectList!G132="Economics",IF(Economics!C132=0,"", Economics!C132))))</f>
        <v/>
      </c>
      <c r="X132" s="43" t="str">
        <f>IF(SubjectList!G132="Finance",IF(Finance!D132=0,"", Finance!D132),IF(SubjectList!G132="Production",IF(Production!D132=0,"", Production!D132),IF(SubjectList!G132="Economics",IF(Economics!D132=0,"", Economics!D132))))</f>
        <v/>
      </c>
      <c r="Y132" s="40" t="str">
        <f>IF(SubjectList!H132="Finance",IF(Finance!B132=0,"", Finance!B132),IF(SubjectList!H132="Production",IF(Production!B132=0,"", Production!B132),IF(SubjectList!H132="Economics",IF(Economics!B132=0,"", Economics!B132))))</f>
        <v/>
      </c>
      <c r="Z132" s="40" t="str">
        <f>IF(SubjectList!H132="Finance",IF(Finance!C132=0,"", Finance!C132),IF(SubjectList!H132="Production",IF(Production!C132=0,"", Production!C132),IF(SubjectList!H132="Economics",IF(Economics!C132=0,"", Economics!C132))))</f>
        <v/>
      </c>
      <c r="AA132" s="44" t="str">
        <f>IF(SubjectList!H132="Finance",IF(Finance!D132=0,"", Finance!D132),IF(SubjectList!H132="Production",IF(Production!D132=0,"", Production!D132),IF(SubjectList!H132="Economics",IF(Economics!D132=0,"", Economics!D132))))</f>
        <v/>
      </c>
      <c r="AB132" s="37" t="str">
        <f>IF(SubjectList!G132="Finance","Finance",IF(SubjectList!G132="Production","Production",IF(SubjectList!G132="Economics","Not Given")))</f>
        <v>Finance</v>
      </c>
      <c r="AC132" s="37" t="str">
        <f>IF(SubjectList!H132="Finance","Finance",IF(SubjectList!H132="Production","Production",IF(SubjectList!H132="Economics","Economics","Not Given")))</f>
        <v>Production</v>
      </c>
      <c r="AD132" s="38" t="str">
        <f>Bangla!F132</f>
        <v/>
      </c>
      <c r="AE132" s="38" t="str">
        <f>English!E132</f>
        <v/>
      </c>
      <c r="AF132" s="38" t="str">
        <f>ICT!G132</f>
        <v/>
      </c>
      <c r="AG132" s="38" t="str">
        <f>Accounting!F132</f>
        <v/>
      </c>
      <c r="AH132" s="38" t="str">
        <f>'Business Organization'!F132</f>
        <v/>
      </c>
      <c r="AI132" s="38" t="str">
        <f>Production!F132</f>
        <v/>
      </c>
      <c r="AJ132" s="38" t="str">
        <f>Finance!F132</f>
        <v/>
      </c>
      <c r="AK132" s="39" t="str">
        <f>Bangla!G132</f>
        <v/>
      </c>
      <c r="AL132" s="39" t="str">
        <f>English!F132</f>
        <v/>
      </c>
      <c r="AM132" s="39" t="str">
        <f>ICT!H132</f>
        <v/>
      </c>
      <c r="AN132" s="39" t="str">
        <f>Accounting!G132</f>
        <v/>
      </c>
      <c r="AO132" s="39" t="str">
        <f>'Business Organization'!G132</f>
        <v/>
      </c>
      <c r="AP132" s="39" t="str">
        <f>IF(SubjectList!G132="Finance",Finance!G132,IF(SubjectList!G132="Production",Production!G132,IF(SubjectList!G132="Economics",Economics!G132)))</f>
        <v/>
      </c>
      <c r="AQ132" s="39" t="str">
        <f>IF(Optional!H132="","", Optional!H132)</f>
        <v/>
      </c>
      <c r="AR132" s="39" t="str">
        <f>Optional!H132</f>
        <v/>
      </c>
      <c r="AS132" s="39" t="str">
        <f>Optional!I132</f>
        <v/>
      </c>
      <c r="AT132" s="39" t="str">
        <f t="shared" si="41"/>
        <v/>
      </c>
      <c r="AU132" s="39">
        <f t="shared" si="42"/>
        <v>0</v>
      </c>
      <c r="AV132" s="39" t="str">
        <f t="shared" si="43"/>
        <v/>
      </c>
      <c r="AW132" s="39" t="str">
        <f t="shared" si="44"/>
        <v/>
      </c>
      <c r="AX132" s="5">
        <f t="shared" si="52"/>
        <v>0</v>
      </c>
      <c r="AY132" s="41">
        <f t="shared" si="45"/>
        <v>0</v>
      </c>
      <c r="AZ132" s="41">
        <f t="shared" si="46"/>
        <v>0</v>
      </c>
      <c r="BA132" s="41">
        <f t="shared" si="47"/>
        <v>0</v>
      </c>
      <c r="BB132" s="41">
        <f t="shared" si="48"/>
        <v>0</v>
      </c>
      <c r="BC132" s="41">
        <f t="shared" si="49"/>
        <v>0</v>
      </c>
      <c r="BD132" s="41">
        <f t="shared" si="50"/>
        <v>0</v>
      </c>
      <c r="BE132" s="3">
        <f t="shared" si="51"/>
        <v>0</v>
      </c>
      <c r="BF132" s="3" t="str">
        <f t="shared" si="53"/>
        <v>Failed in 6 Subjects</v>
      </c>
      <c r="BG132" s="5" t="str">
        <f>IF(AW132="","",RANK(AW132,AW$2:AW145,0))</f>
        <v/>
      </c>
      <c r="BH132" s="3" t="str">
        <f t="shared" si="54"/>
        <v>খুবই দুর্বল</v>
      </c>
      <c r="BI132" t="str">
        <f t="shared" si="55"/>
        <v>Very Weak</v>
      </c>
      <c r="BJ132" s="104" t="str">
        <f t="shared" si="56"/>
        <v/>
      </c>
    </row>
    <row r="133" spans="1:62" ht="15" thickBot="1" x14ac:dyDescent="0.4">
      <c r="A133" s="3" t="str">
        <f>'Student Basic Info'!B133</f>
        <v>Business Studies</v>
      </c>
      <c r="B133" s="3">
        <f>'Student Basic Info'!A133</f>
        <v>632</v>
      </c>
      <c r="C133" s="3" t="str">
        <f>'Student Basic Info'!C133</f>
        <v>Ayesha Khatun</v>
      </c>
      <c r="D133" s="3" t="str">
        <f>'Student Basic Info'!D133</f>
        <v>Manik Miya</v>
      </c>
      <c r="E133" s="3" t="str">
        <f>'Student Basic Info'!E133</f>
        <v>Khotiza Khatun</v>
      </c>
      <c r="F133" s="3" t="str">
        <f>'Student Basic Info'!F133</f>
        <v>Female</v>
      </c>
      <c r="G133" s="79">
        <v>1832680896</v>
      </c>
      <c r="H133" s="59" t="str">
        <f>IF(Bangla!B133="","",Bangla!B133)</f>
        <v/>
      </c>
      <c r="I133" s="59" t="str">
        <f>IF(Bangla!C133="","",Bangla!C133)</f>
        <v/>
      </c>
      <c r="J133" s="60" t="str">
        <f>IF(Bangla!D133="","",Bangla!D133)</f>
        <v/>
      </c>
      <c r="K133" s="61" t="str">
        <f>IF(English!C133="","",English!C133)</f>
        <v/>
      </c>
      <c r="L133" s="35" t="str">
        <f>IF(ICT!B133="","",ICT!B133)</f>
        <v/>
      </c>
      <c r="M133" s="35" t="str">
        <f>IF(ICT!C133="","",ICT!C133)</f>
        <v/>
      </c>
      <c r="N133" s="35" t="str">
        <f>IF(ICT!D133="","",ICT!D133)</f>
        <v/>
      </c>
      <c r="O133" s="42" t="str">
        <f>IF(ICT!E133="","",ICT!E133)</f>
        <v/>
      </c>
      <c r="P133" s="40" t="str">
        <f>IF(Accounting!B133="","",Accounting!B133)</f>
        <v/>
      </c>
      <c r="Q133" s="40" t="str">
        <f>IF(Accounting!C133="","",Accounting!C133)</f>
        <v/>
      </c>
      <c r="R133" s="44" t="str">
        <f>IF(Accounting!D133="","",Accounting!D133)</f>
        <v/>
      </c>
      <c r="S133" s="35" t="str">
        <f>IF('Business Organization'!B133="","",'Business Organization'!B133)</f>
        <v/>
      </c>
      <c r="T133" s="35" t="str">
        <f>IF('Business Organization'!C133="","",'Business Organization'!C133)</f>
        <v/>
      </c>
      <c r="U133" s="42" t="str">
        <f>IF('Business Organization'!D133="","",'Business Organization'!D133)</f>
        <v/>
      </c>
      <c r="V133" s="36" t="str">
        <f>IF(SubjectList!G133="Finance",IF(Finance!B133=0,"", Finance!B133),IF(SubjectList!G133="Production",IF(Production!B133=0,"", Production!B133),IF(SubjectList!G133="Economics",IF(Economics!B133=0,"", Economics!B133))))</f>
        <v/>
      </c>
      <c r="W133" s="36" t="str">
        <f>IF(SubjectList!G133="Finance",IF(Finance!C133=0,"", Finance!C133),IF(SubjectList!G133="Production",IF(Production!C133=0,"", Production!C133),IF(SubjectList!G133="Economics",IF(Economics!C133=0,"", Economics!C133))))</f>
        <v/>
      </c>
      <c r="X133" s="43" t="str">
        <f>IF(SubjectList!G133="Finance",IF(Finance!D133=0,"", Finance!D133),IF(SubjectList!G133="Production",IF(Production!D133=0,"", Production!D133),IF(SubjectList!G133="Economics",IF(Economics!D133=0,"", Economics!D133))))</f>
        <v/>
      </c>
      <c r="Y133" s="40" t="str">
        <f>IF(SubjectList!H133="Finance",IF(Finance!B133=0,"", Finance!B133),IF(SubjectList!H133="Production",IF(Production!B133=0,"", Production!B133),IF(SubjectList!H133="Economics",IF(Economics!B133=0,"", Economics!B133))))</f>
        <v/>
      </c>
      <c r="Z133" s="40" t="str">
        <f>IF(SubjectList!H133="Finance",IF(Finance!C133=0,"", Finance!C133),IF(SubjectList!H133="Production",IF(Production!C133=0,"", Production!C133),IF(SubjectList!H133="Economics",IF(Economics!C133=0,"", Economics!C133))))</f>
        <v/>
      </c>
      <c r="AA133" s="44" t="str">
        <f>IF(SubjectList!H133="Finance",IF(Finance!D133=0,"", Finance!D133),IF(SubjectList!H133="Production",IF(Production!D133=0,"", Production!D133),IF(SubjectList!H133="Economics",IF(Economics!D133=0,"", Economics!D133))))</f>
        <v/>
      </c>
      <c r="AB133" s="37" t="str">
        <f>IF(SubjectList!G133="Finance","Finance",IF(SubjectList!G133="Production","Production",IF(SubjectList!G133="Economics","Not Given")))</f>
        <v>Finance</v>
      </c>
      <c r="AC133" s="37" t="str">
        <f>IF(SubjectList!H133="Finance","Finance",IF(SubjectList!H133="Production","Production",IF(SubjectList!H133="Economics","Economics","Not Given")))</f>
        <v>Production</v>
      </c>
      <c r="AD133" s="38" t="str">
        <f>Bangla!F133</f>
        <v/>
      </c>
      <c r="AE133" s="38" t="str">
        <f>English!E133</f>
        <v/>
      </c>
      <c r="AF133" s="38" t="str">
        <f>ICT!G133</f>
        <v/>
      </c>
      <c r="AG133" s="38" t="str">
        <f>Accounting!F133</f>
        <v/>
      </c>
      <c r="AH133" s="38" t="str">
        <f>'Business Organization'!F133</f>
        <v/>
      </c>
      <c r="AI133" s="38" t="str">
        <f>Production!F133</f>
        <v/>
      </c>
      <c r="AJ133" s="38" t="str">
        <f>Finance!F133</f>
        <v/>
      </c>
      <c r="AK133" s="39" t="str">
        <f>Bangla!G133</f>
        <v/>
      </c>
      <c r="AL133" s="39" t="str">
        <f>English!F133</f>
        <v/>
      </c>
      <c r="AM133" s="39" t="str">
        <f>ICT!H133</f>
        <v/>
      </c>
      <c r="AN133" s="39" t="str">
        <f>Accounting!G133</f>
        <v/>
      </c>
      <c r="AO133" s="39" t="str">
        <f>'Business Organization'!G133</f>
        <v/>
      </c>
      <c r="AP133" s="39" t="str">
        <f>IF(SubjectList!G133="Finance",Finance!G133,IF(SubjectList!G133="Production",Production!G133,IF(SubjectList!G133="Economics",Economics!G133)))</f>
        <v/>
      </c>
      <c r="AQ133" s="39" t="str">
        <f>IF(Optional!H133="","", Optional!H133)</f>
        <v/>
      </c>
      <c r="AR133" s="39" t="str">
        <f>Optional!H133</f>
        <v/>
      </c>
      <c r="AS133" s="39" t="str">
        <f>Optional!I133</f>
        <v/>
      </c>
      <c r="AT133" s="39" t="str">
        <f t="shared" si="41"/>
        <v/>
      </c>
      <c r="AU133" s="39">
        <f t="shared" si="42"/>
        <v>0</v>
      </c>
      <c r="AV133" s="39" t="str">
        <f t="shared" si="43"/>
        <v/>
      </c>
      <c r="AW133" s="39" t="str">
        <f t="shared" si="44"/>
        <v/>
      </c>
      <c r="AX133" s="5">
        <f t="shared" si="52"/>
        <v>0</v>
      </c>
      <c r="AY133" s="41">
        <f t="shared" si="45"/>
        <v>0</v>
      </c>
      <c r="AZ133" s="41">
        <f t="shared" si="46"/>
        <v>0</v>
      </c>
      <c r="BA133" s="41">
        <f t="shared" si="47"/>
        <v>0</v>
      </c>
      <c r="BB133" s="41">
        <f t="shared" si="48"/>
        <v>0</v>
      </c>
      <c r="BC133" s="41">
        <f t="shared" si="49"/>
        <v>0</v>
      </c>
      <c r="BD133" s="41">
        <f t="shared" si="50"/>
        <v>0</v>
      </c>
      <c r="BE133" s="3">
        <f t="shared" si="51"/>
        <v>0</v>
      </c>
      <c r="BF133" s="3" t="str">
        <f t="shared" si="53"/>
        <v>Failed in 6 Subjects</v>
      </c>
      <c r="BG133" s="5" t="str">
        <f>IF(AW133="","",RANK(AW133,AW$2:AW145,0))</f>
        <v/>
      </c>
      <c r="BH133" s="3" t="str">
        <f t="shared" si="54"/>
        <v>খুবই দুর্বল</v>
      </c>
      <c r="BI133" t="str">
        <f t="shared" si="55"/>
        <v>Very Weak</v>
      </c>
      <c r="BJ133" s="104" t="str">
        <f t="shared" si="56"/>
        <v/>
      </c>
    </row>
    <row r="134" spans="1:62" ht="15" thickBot="1" x14ac:dyDescent="0.4">
      <c r="A134" s="3" t="str">
        <f>'Student Basic Info'!B134</f>
        <v>Business Studies</v>
      </c>
      <c r="B134" s="3">
        <f>'Student Basic Info'!A134</f>
        <v>633</v>
      </c>
      <c r="C134" s="3" t="str">
        <f>'Student Basic Info'!C134</f>
        <v>Ismail Hossain</v>
      </c>
      <c r="D134" s="3" t="str">
        <f>'Student Basic Info'!D134</f>
        <v>Ali Ahmed</v>
      </c>
      <c r="E134" s="3" t="str">
        <f>'Student Basic Info'!E134</f>
        <v>Zahanara Khatun</v>
      </c>
      <c r="F134" s="3" t="str">
        <f>'Student Basic Info'!F134</f>
        <v>Male</v>
      </c>
      <c r="G134" s="79">
        <v>1860855624</v>
      </c>
      <c r="H134" s="59" t="str">
        <f>IF(Bangla!B134="","",Bangla!B134)</f>
        <v/>
      </c>
      <c r="I134" s="59" t="str">
        <f>IF(Bangla!C134="","",Bangla!C134)</f>
        <v/>
      </c>
      <c r="J134" s="60" t="str">
        <f>IF(Bangla!D134="","",Bangla!D134)</f>
        <v/>
      </c>
      <c r="K134" s="61" t="str">
        <f>IF(English!C134="","",English!C134)</f>
        <v/>
      </c>
      <c r="L134" s="35" t="str">
        <f>IF(ICT!B134="","",ICT!B134)</f>
        <v/>
      </c>
      <c r="M134" s="35" t="str">
        <f>IF(ICT!C134="","",ICT!C134)</f>
        <v/>
      </c>
      <c r="N134" s="35" t="str">
        <f>IF(ICT!D134="","",ICT!D134)</f>
        <v/>
      </c>
      <c r="O134" s="42" t="str">
        <f>IF(ICT!E134="","",ICT!E134)</f>
        <v/>
      </c>
      <c r="P134" s="40" t="str">
        <f>IF(Accounting!B134="","",Accounting!B134)</f>
        <v/>
      </c>
      <c r="Q134" s="40" t="str">
        <f>IF(Accounting!C134="","",Accounting!C134)</f>
        <v/>
      </c>
      <c r="R134" s="44" t="str">
        <f>IF(Accounting!D134="","",Accounting!D134)</f>
        <v/>
      </c>
      <c r="S134" s="35" t="str">
        <f>IF('Business Organization'!B134="","",'Business Organization'!B134)</f>
        <v/>
      </c>
      <c r="T134" s="35" t="str">
        <f>IF('Business Organization'!C134="","",'Business Organization'!C134)</f>
        <v/>
      </c>
      <c r="U134" s="42" t="str">
        <f>IF('Business Organization'!D134="","",'Business Organization'!D134)</f>
        <v/>
      </c>
      <c r="V134" s="36" t="str">
        <f>IF(SubjectList!G134="Finance",IF(Finance!B134=0,"", Finance!B134),IF(SubjectList!G134="Production",IF(Production!B134=0,"", Production!B134),IF(SubjectList!G134="Economics",IF(Economics!B134=0,"", Economics!B134))))</f>
        <v/>
      </c>
      <c r="W134" s="36" t="str">
        <f>IF(SubjectList!G134="Finance",IF(Finance!C134=0,"", Finance!C134),IF(SubjectList!G134="Production",IF(Production!C134=0,"", Production!C134),IF(SubjectList!G134="Economics",IF(Economics!C134=0,"", Economics!C134))))</f>
        <v/>
      </c>
      <c r="X134" s="43" t="str">
        <f>IF(SubjectList!G134="Finance",IF(Finance!D134=0,"", Finance!D134),IF(SubjectList!G134="Production",IF(Production!D134=0,"", Production!D134),IF(SubjectList!G134="Economics",IF(Economics!D134=0,"", Economics!D134))))</f>
        <v/>
      </c>
      <c r="Y134" s="40" t="str">
        <f>IF(SubjectList!H134="Finance",IF(Finance!B134=0,"", Finance!B134),IF(SubjectList!H134="Production",IF(Production!B134=0,"", Production!B134),IF(SubjectList!H134="Economics",IF(Economics!B134=0,"", Economics!B134))))</f>
        <v/>
      </c>
      <c r="Z134" s="40" t="str">
        <f>IF(SubjectList!H134="Finance",IF(Finance!C134=0,"", Finance!C134),IF(SubjectList!H134="Production",IF(Production!C134=0,"", Production!C134),IF(SubjectList!H134="Economics",IF(Economics!C134=0,"", Economics!C134))))</f>
        <v/>
      </c>
      <c r="AA134" s="44" t="str">
        <f>IF(SubjectList!H134="Finance",IF(Finance!D134=0,"", Finance!D134),IF(SubjectList!H134="Production",IF(Production!D134=0,"", Production!D134),IF(SubjectList!H134="Economics",IF(Economics!D134=0,"", Economics!D134))))</f>
        <v/>
      </c>
      <c r="AB134" s="37" t="str">
        <f>IF(SubjectList!G134="Finance","Finance",IF(SubjectList!G134="Production","Production",IF(SubjectList!G134="Economics","Not Given")))</f>
        <v>Production</v>
      </c>
      <c r="AC134" s="37" t="str">
        <f>IF(SubjectList!H134="Finance","Finance",IF(SubjectList!H134="Production","Production",IF(SubjectList!H134="Economics","Economics","Not Given")))</f>
        <v>Economics</v>
      </c>
      <c r="AD134" s="38" t="str">
        <f>Bangla!F134</f>
        <v/>
      </c>
      <c r="AE134" s="38" t="str">
        <f>English!E134</f>
        <v/>
      </c>
      <c r="AF134" s="38" t="str">
        <f>ICT!G134</f>
        <v/>
      </c>
      <c r="AG134" s="38" t="str">
        <f>Accounting!F134</f>
        <v/>
      </c>
      <c r="AH134" s="38" t="str">
        <f>'Business Organization'!F134</f>
        <v/>
      </c>
      <c r="AI134" s="38" t="str">
        <f>Production!F134</f>
        <v/>
      </c>
      <c r="AJ134" s="38" t="str">
        <f>Finance!F134</f>
        <v/>
      </c>
      <c r="AK134" s="39" t="str">
        <f>Bangla!G134</f>
        <v/>
      </c>
      <c r="AL134" s="39" t="str">
        <f>English!F134</f>
        <v/>
      </c>
      <c r="AM134" s="39" t="str">
        <f>ICT!H134</f>
        <v/>
      </c>
      <c r="AN134" s="39" t="str">
        <f>Accounting!G134</f>
        <v/>
      </c>
      <c r="AO134" s="39" t="str">
        <f>'Business Organization'!G134</f>
        <v/>
      </c>
      <c r="AP134" s="39" t="str">
        <f>IF(SubjectList!G134="Finance",Finance!G134,IF(SubjectList!G134="Production",Production!G134,IF(SubjectList!G134="Economics",Economics!G134)))</f>
        <v/>
      </c>
      <c r="AQ134" s="39" t="str">
        <f>IF(Optional!H134="","", Optional!H134)</f>
        <v/>
      </c>
      <c r="AR134" s="39" t="str">
        <f>Optional!H134</f>
        <v/>
      </c>
      <c r="AS134" s="39" t="str">
        <f>Optional!I134</f>
        <v/>
      </c>
      <c r="AT134" s="39" t="str">
        <f t="shared" si="41"/>
        <v/>
      </c>
      <c r="AU134" s="39">
        <f t="shared" si="42"/>
        <v>0</v>
      </c>
      <c r="AV134" s="39" t="str">
        <f t="shared" si="43"/>
        <v/>
      </c>
      <c r="AW134" s="39" t="str">
        <f t="shared" si="44"/>
        <v/>
      </c>
      <c r="AX134" s="5">
        <f t="shared" si="52"/>
        <v>0</v>
      </c>
      <c r="AY134" s="41">
        <f t="shared" si="45"/>
        <v>0</v>
      </c>
      <c r="AZ134" s="41">
        <f t="shared" si="46"/>
        <v>0</v>
      </c>
      <c r="BA134" s="41">
        <f t="shared" si="47"/>
        <v>0</v>
      </c>
      <c r="BB134" s="41">
        <f t="shared" si="48"/>
        <v>0</v>
      </c>
      <c r="BC134" s="41">
        <f t="shared" si="49"/>
        <v>0</v>
      </c>
      <c r="BD134" s="41">
        <f t="shared" si="50"/>
        <v>0</v>
      </c>
      <c r="BE134" s="3">
        <f t="shared" si="51"/>
        <v>0</v>
      </c>
      <c r="BF134" s="3" t="str">
        <f t="shared" si="53"/>
        <v>Failed in 6 Subjects</v>
      </c>
      <c r="BG134" s="5" t="str">
        <f>IF(AW134="","",RANK(AW134,AW$2:AW145,0))</f>
        <v/>
      </c>
      <c r="BH134" s="3" t="str">
        <f t="shared" si="54"/>
        <v>খুবই দুর্বল</v>
      </c>
      <c r="BI134" t="str">
        <f t="shared" si="55"/>
        <v>Very Weak</v>
      </c>
      <c r="BJ134" s="104" t="str">
        <f t="shared" si="56"/>
        <v/>
      </c>
    </row>
    <row r="135" spans="1:62" ht="15" thickBot="1" x14ac:dyDescent="0.4">
      <c r="A135" s="3" t="str">
        <f>'Student Basic Info'!B135</f>
        <v>Business Studies</v>
      </c>
      <c r="B135" s="3">
        <f>'Student Basic Info'!A135</f>
        <v>634</v>
      </c>
      <c r="C135" s="3" t="str">
        <f>'Student Basic Info'!C135</f>
        <v>Md. Shahadat Hossain</v>
      </c>
      <c r="D135" s="3" t="str">
        <f>'Student Basic Info'!D135</f>
        <v>Md. Sobuj</v>
      </c>
      <c r="E135" s="3" t="str">
        <f>'Student Basic Info'!E135</f>
        <v>Shahnara Begum</v>
      </c>
      <c r="F135" s="3" t="str">
        <f>'Student Basic Info'!F135</f>
        <v>Male</v>
      </c>
      <c r="G135" s="78">
        <v>1615867804</v>
      </c>
      <c r="H135" s="59" t="str">
        <f>IF(Bangla!B135="","",Bangla!B135)</f>
        <v/>
      </c>
      <c r="I135" s="59" t="str">
        <f>IF(Bangla!C135="","",Bangla!C135)</f>
        <v/>
      </c>
      <c r="J135" s="60" t="str">
        <f>IF(Bangla!D135="","",Bangla!D135)</f>
        <v/>
      </c>
      <c r="K135" s="61" t="str">
        <f>IF(English!C135="","",English!C135)</f>
        <v/>
      </c>
      <c r="L135" s="35" t="str">
        <f>IF(ICT!B135="","",ICT!B135)</f>
        <v/>
      </c>
      <c r="M135" s="35" t="str">
        <f>IF(ICT!C135="","",ICT!C135)</f>
        <v/>
      </c>
      <c r="N135" s="35" t="str">
        <f>IF(ICT!D135="","",ICT!D135)</f>
        <v/>
      </c>
      <c r="O135" s="42" t="str">
        <f>IF(ICT!E135="","",ICT!E135)</f>
        <v/>
      </c>
      <c r="P135" s="40" t="str">
        <f>IF(Accounting!B135="","",Accounting!B135)</f>
        <v/>
      </c>
      <c r="Q135" s="40" t="str">
        <f>IF(Accounting!C135="","",Accounting!C135)</f>
        <v/>
      </c>
      <c r="R135" s="44" t="str">
        <f>IF(Accounting!D135="","",Accounting!D135)</f>
        <v/>
      </c>
      <c r="S135" s="35" t="str">
        <f>IF('Business Organization'!B135="","",'Business Organization'!B135)</f>
        <v/>
      </c>
      <c r="T135" s="35" t="str">
        <f>IF('Business Organization'!C135="","",'Business Organization'!C135)</f>
        <v/>
      </c>
      <c r="U135" s="42" t="str">
        <f>IF('Business Organization'!D135="","",'Business Organization'!D135)</f>
        <v/>
      </c>
      <c r="V135" s="36" t="str">
        <f>IF(SubjectList!G135="Finance",IF(Finance!B135=0,"", Finance!B135),IF(SubjectList!G135="Production",IF(Production!B135=0,"", Production!B135),IF(SubjectList!G135="Economics",IF(Economics!B135=0,"", Economics!B135))))</f>
        <v/>
      </c>
      <c r="W135" s="36" t="str">
        <f>IF(SubjectList!G135="Finance",IF(Finance!C135=0,"", Finance!C135),IF(SubjectList!G135="Production",IF(Production!C135=0,"", Production!C135),IF(SubjectList!G135="Economics",IF(Economics!C135=0,"", Economics!C135))))</f>
        <v/>
      </c>
      <c r="X135" s="43" t="str">
        <f>IF(SubjectList!G135="Finance",IF(Finance!D135=0,"", Finance!D135),IF(SubjectList!G135="Production",IF(Production!D135=0,"", Production!D135),IF(SubjectList!G135="Economics",IF(Economics!D135=0,"", Economics!D135))))</f>
        <v/>
      </c>
      <c r="Y135" s="40" t="str">
        <f>IF(SubjectList!H135="Finance",IF(Finance!B135=0,"", Finance!B135),IF(SubjectList!H135="Production",IF(Production!B135=0,"", Production!B135),IF(SubjectList!H135="Economics",IF(Economics!B135=0,"", Economics!B135))))</f>
        <v/>
      </c>
      <c r="Z135" s="40" t="str">
        <f>IF(SubjectList!H135="Finance",IF(Finance!C135=0,"", Finance!C135),IF(SubjectList!H135="Production",IF(Production!C135=0,"", Production!C135),IF(SubjectList!H135="Economics",IF(Economics!C135=0,"", Economics!C135))))</f>
        <v/>
      </c>
      <c r="AA135" s="44" t="str">
        <f>IF(SubjectList!H135="Finance",IF(Finance!D135=0,"", Finance!D135),IF(SubjectList!H135="Production",IF(Production!D135=0,"", Production!D135),IF(SubjectList!H135="Economics",IF(Economics!D135=0,"", Economics!D135))))</f>
        <v/>
      </c>
      <c r="AB135" s="37" t="str">
        <f>IF(SubjectList!G135="Finance","Finance",IF(SubjectList!G135="Production","Production",IF(SubjectList!G135="Economics","Not Given")))</f>
        <v>Finance</v>
      </c>
      <c r="AC135" s="37" t="str">
        <f>IF(SubjectList!H135="Finance","Finance",IF(SubjectList!H135="Production","Production",IF(SubjectList!H135="Economics","Economics","Not Given")))</f>
        <v>Production</v>
      </c>
      <c r="AD135" s="38" t="str">
        <f>Bangla!F135</f>
        <v/>
      </c>
      <c r="AE135" s="38" t="str">
        <f>English!E135</f>
        <v/>
      </c>
      <c r="AF135" s="38" t="str">
        <f>ICT!G135</f>
        <v/>
      </c>
      <c r="AG135" s="38" t="str">
        <f>Accounting!F135</f>
        <v/>
      </c>
      <c r="AH135" s="38" t="str">
        <f>'Business Organization'!F135</f>
        <v/>
      </c>
      <c r="AI135" s="38" t="str">
        <f>Production!F135</f>
        <v/>
      </c>
      <c r="AJ135" s="38" t="str">
        <f>Finance!F135</f>
        <v/>
      </c>
      <c r="AK135" s="39" t="str">
        <f>Bangla!G135</f>
        <v/>
      </c>
      <c r="AL135" s="39" t="str">
        <f>English!F135</f>
        <v/>
      </c>
      <c r="AM135" s="39" t="str">
        <f>ICT!H135</f>
        <v/>
      </c>
      <c r="AN135" s="39" t="str">
        <f>Accounting!G135</f>
        <v/>
      </c>
      <c r="AO135" s="39" t="str">
        <f>'Business Organization'!G135</f>
        <v/>
      </c>
      <c r="AP135" s="39" t="str">
        <f>IF(SubjectList!G135="Finance",Finance!G135,IF(SubjectList!G135="Production",Production!G135,IF(SubjectList!G135="Economics",Economics!G135)))</f>
        <v/>
      </c>
      <c r="AQ135" s="39" t="str">
        <f>IF(Optional!H135="","", Optional!H135)</f>
        <v/>
      </c>
      <c r="AR135" s="39" t="str">
        <f>Optional!H135</f>
        <v/>
      </c>
      <c r="AS135" s="39" t="str">
        <f>Optional!I135</f>
        <v/>
      </c>
      <c r="AT135" s="39" t="str">
        <f t="shared" si="41"/>
        <v/>
      </c>
      <c r="AU135" s="39">
        <f t="shared" si="42"/>
        <v>0</v>
      </c>
      <c r="AV135" s="39" t="str">
        <f t="shared" si="43"/>
        <v/>
      </c>
      <c r="AW135" s="39" t="str">
        <f t="shared" si="44"/>
        <v/>
      </c>
      <c r="AX135" s="5">
        <f t="shared" si="52"/>
        <v>0</v>
      </c>
      <c r="AY135" s="41">
        <f t="shared" si="45"/>
        <v>0</v>
      </c>
      <c r="AZ135" s="41">
        <f t="shared" si="46"/>
        <v>0</v>
      </c>
      <c r="BA135" s="41">
        <f t="shared" si="47"/>
        <v>0</v>
      </c>
      <c r="BB135" s="41">
        <f t="shared" si="48"/>
        <v>0</v>
      </c>
      <c r="BC135" s="41">
        <f t="shared" si="49"/>
        <v>0</v>
      </c>
      <c r="BD135" s="41">
        <f t="shared" si="50"/>
        <v>0</v>
      </c>
      <c r="BE135" s="3">
        <f t="shared" si="51"/>
        <v>0</v>
      </c>
      <c r="BF135" s="3" t="str">
        <f t="shared" si="53"/>
        <v>Failed in 6 Subjects</v>
      </c>
      <c r="BG135" s="5" t="str">
        <f>IF(AW135="","",RANK(AW135,AW$2:AW145,0))</f>
        <v/>
      </c>
      <c r="BH135" s="3" t="str">
        <f t="shared" si="54"/>
        <v>খুবই দুর্বল</v>
      </c>
      <c r="BI135" t="str">
        <f t="shared" si="55"/>
        <v>Very Weak</v>
      </c>
      <c r="BJ135" s="104" t="str">
        <f t="shared" si="56"/>
        <v/>
      </c>
    </row>
    <row r="136" spans="1:62" ht="15" thickBot="1" x14ac:dyDescent="0.4">
      <c r="A136" s="3" t="str">
        <f>'Student Basic Info'!B136</f>
        <v>Business Studies</v>
      </c>
      <c r="B136" s="3">
        <f>'Student Basic Info'!A136</f>
        <v>635</v>
      </c>
      <c r="C136" s="3" t="str">
        <f>'Student Basic Info'!C136</f>
        <v>Tabzid Mahmud</v>
      </c>
      <c r="D136" s="3" t="str">
        <f>'Student Basic Info'!D136</f>
        <v>Zohir Uddin</v>
      </c>
      <c r="E136" s="3" t="str">
        <f>'Student Basic Info'!E136</f>
        <v>Ayesha Aktar</v>
      </c>
      <c r="F136" s="3" t="str">
        <f>'Student Basic Info'!F136</f>
        <v>Male</v>
      </c>
      <c r="G136" s="79">
        <v>1862770843</v>
      </c>
      <c r="H136" s="59" t="str">
        <f>IF(Bangla!B136="","",Bangla!B136)</f>
        <v/>
      </c>
      <c r="I136" s="59" t="str">
        <f>IF(Bangla!C136="","",Bangla!C136)</f>
        <v/>
      </c>
      <c r="J136" s="60" t="str">
        <f>IF(Bangla!D136="","",Bangla!D136)</f>
        <v/>
      </c>
      <c r="K136" s="61" t="str">
        <f>IF(English!C136="","",English!C136)</f>
        <v/>
      </c>
      <c r="L136" s="35" t="str">
        <f>IF(ICT!B136="","",ICT!B136)</f>
        <v/>
      </c>
      <c r="M136" s="35" t="str">
        <f>IF(ICT!C136="","",ICT!C136)</f>
        <v/>
      </c>
      <c r="N136" s="35" t="str">
        <f>IF(ICT!D136="","",ICT!D136)</f>
        <v/>
      </c>
      <c r="O136" s="42" t="str">
        <f>IF(ICT!E136="","",ICT!E136)</f>
        <v/>
      </c>
      <c r="P136" s="40" t="str">
        <f>IF(Accounting!B136="","",Accounting!B136)</f>
        <v/>
      </c>
      <c r="Q136" s="40" t="str">
        <f>IF(Accounting!C136="","",Accounting!C136)</f>
        <v/>
      </c>
      <c r="R136" s="44" t="str">
        <f>IF(Accounting!D136="","",Accounting!D136)</f>
        <v/>
      </c>
      <c r="S136" s="35" t="str">
        <f>IF('Business Organization'!B136="","",'Business Organization'!B136)</f>
        <v/>
      </c>
      <c r="T136" s="35" t="str">
        <f>IF('Business Organization'!C136="","",'Business Organization'!C136)</f>
        <v/>
      </c>
      <c r="U136" s="42" t="str">
        <f>IF('Business Organization'!D136="","",'Business Organization'!D136)</f>
        <v/>
      </c>
      <c r="V136" s="36" t="str">
        <f>IF(SubjectList!G136="Finance",IF(Finance!B136=0,"", Finance!B136),IF(SubjectList!G136="Production",IF(Production!B136=0,"", Production!B136),IF(SubjectList!G136="Economics",IF(Economics!B136=0,"", Economics!B136))))</f>
        <v/>
      </c>
      <c r="W136" s="36" t="str">
        <f>IF(SubjectList!G136="Finance",IF(Finance!C136=0,"", Finance!C136),IF(SubjectList!G136="Production",IF(Production!C136=0,"", Production!C136),IF(SubjectList!G136="Economics",IF(Economics!C136=0,"", Economics!C136))))</f>
        <v/>
      </c>
      <c r="X136" s="43" t="str">
        <f>IF(SubjectList!G136="Finance",IF(Finance!D136=0,"", Finance!D136),IF(SubjectList!G136="Production",IF(Production!D136=0,"", Production!D136),IF(SubjectList!G136="Economics",IF(Economics!D136=0,"", Economics!D136))))</f>
        <v/>
      </c>
      <c r="Y136" s="40" t="str">
        <f>IF(SubjectList!H136="Finance",IF(Finance!B136=0,"", Finance!B136),IF(SubjectList!H136="Production",IF(Production!B136=0,"", Production!B136),IF(SubjectList!H136="Economics",IF(Economics!B136=0,"", Economics!B136))))</f>
        <v/>
      </c>
      <c r="Z136" s="40" t="str">
        <f>IF(SubjectList!H136="Finance",IF(Finance!C136=0,"", Finance!C136),IF(SubjectList!H136="Production",IF(Production!C136=0,"", Production!C136),IF(SubjectList!H136="Economics",IF(Economics!C136=0,"", Economics!C136))))</f>
        <v/>
      </c>
      <c r="AA136" s="44" t="str">
        <f>IF(SubjectList!H136="Finance",IF(Finance!D136=0,"", Finance!D136),IF(SubjectList!H136="Production",IF(Production!D136=0,"", Production!D136),IF(SubjectList!H136="Economics",IF(Economics!D136=0,"", Economics!D136))))</f>
        <v/>
      </c>
      <c r="AB136" s="37" t="str">
        <f>IF(SubjectList!G136="Finance","Finance",IF(SubjectList!G136="Production","Production",IF(SubjectList!G136="Economics","Not Given")))</f>
        <v>Finance</v>
      </c>
      <c r="AC136" s="37" t="str">
        <f>IF(SubjectList!H136="Finance","Finance",IF(SubjectList!H136="Production","Production",IF(SubjectList!H136="Economics","Economics","Not Given")))</f>
        <v>Economics</v>
      </c>
      <c r="AD136" s="38" t="str">
        <f>Bangla!F136</f>
        <v/>
      </c>
      <c r="AE136" s="38" t="str">
        <f>English!E136</f>
        <v/>
      </c>
      <c r="AF136" s="38" t="str">
        <f>ICT!G136</f>
        <v/>
      </c>
      <c r="AG136" s="38" t="str">
        <f>Accounting!F136</f>
        <v/>
      </c>
      <c r="AH136" s="38" t="str">
        <f>'Business Organization'!F136</f>
        <v/>
      </c>
      <c r="AI136" s="38" t="str">
        <f>Production!F136</f>
        <v/>
      </c>
      <c r="AJ136" s="38" t="str">
        <f>Finance!F136</f>
        <v/>
      </c>
      <c r="AK136" s="39" t="str">
        <f>Bangla!G136</f>
        <v/>
      </c>
      <c r="AL136" s="39" t="str">
        <f>English!F136</f>
        <v/>
      </c>
      <c r="AM136" s="39" t="str">
        <f>ICT!H136</f>
        <v/>
      </c>
      <c r="AN136" s="39" t="str">
        <f>Accounting!G136</f>
        <v/>
      </c>
      <c r="AO136" s="39" t="str">
        <f>'Business Organization'!G136</f>
        <v/>
      </c>
      <c r="AP136" s="39" t="str">
        <f>IF(SubjectList!G136="Finance",Finance!G136,IF(SubjectList!G136="Production",Production!G136,IF(SubjectList!G136="Economics",Economics!G136)))</f>
        <v/>
      </c>
      <c r="AQ136" s="39" t="str">
        <f>IF(Optional!H136="","", Optional!H136)</f>
        <v/>
      </c>
      <c r="AR136" s="39" t="str">
        <f>Optional!H136</f>
        <v/>
      </c>
      <c r="AS136" s="39" t="str">
        <f>Optional!I136</f>
        <v/>
      </c>
      <c r="AT136" s="39" t="str">
        <f t="shared" si="41"/>
        <v/>
      </c>
      <c r="AU136" s="39">
        <f t="shared" si="42"/>
        <v>0</v>
      </c>
      <c r="AV136" s="39" t="str">
        <f t="shared" si="43"/>
        <v/>
      </c>
      <c r="AW136" s="39" t="str">
        <f t="shared" si="44"/>
        <v/>
      </c>
      <c r="AX136" s="5">
        <f t="shared" si="52"/>
        <v>0</v>
      </c>
      <c r="AY136" s="41">
        <f t="shared" si="45"/>
        <v>0</v>
      </c>
      <c r="AZ136" s="41">
        <f t="shared" si="46"/>
        <v>0</v>
      </c>
      <c r="BA136" s="41">
        <f t="shared" si="47"/>
        <v>0</v>
      </c>
      <c r="BB136" s="41">
        <f t="shared" si="48"/>
        <v>0</v>
      </c>
      <c r="BC136" s="41">
        <f t="shared" si="49"/>
        <v>0</v>
      </c>
      <c r="BD136" s="41">
        <f t="shared" si="50"/>
        <v>0</v>
      </c>
      <c r="BE136" s="3">
        <f t="shared" si="51"/>
        <v>0</v>
      </c>
      <c r="BF136" s="3" t="str">
        <f t="shared" si="53"/>
        <v>Failed in 6 Subjects</v>
      </c>
      <c r="BG136" s="5" t="str">
        <f>IF(AW136="","",RANK(AW136,AW$2:AW145,0))</f>
        <v/>
      </c>
      <c r="BH136" s="3" t="str">
        <f t="shared" si="54"/>
        <v>খুবই দুর্বল</v>
      </c>
      <c r="BI136" t="str">
        <f t="shared" si="55"/>
        <v>Very Weak</v>
      </c>
      <c r="BJ136" s="104" t="str">
        <f t="shared" si="56"/>
        <v/>
      </c>
    </row>
    <row r="137" spans="1:62" ht="15" thickBot="1" x14ac:dyDescent="0.4">
      <c r="A137" s="3" t="str">
        <f>'Student Basic Info'!B137</f>
        <v>Business Studies</v>
      </c>
      <c r="B137" s="3">
        <f>'Student Basic Info'!A137</f>
        <v>636</v>
      </c>
      <c r="C137" s="3" t="str">
        <f>'Student Basic Info'!C137</f>
        <v>Md. Ariful Islam</v>
      </c>
      <c r="D137" s="3" t="str">
        <f>'Student Basic Info'!D137</f>
        <v>Md. Tajul Islam</v>
      </c>
      <c r="E137" s="3" t="str">
        <f>'Student Basic Info'!E137</f>
        <v>Arju Islam</v>
      </c>
      <c r="F137" s="3" t="str">
        <f>'Student Basic Info'!F137</f>
        <v>Male</v>
      </c>
      <c r="G137" s="79">
        <v>1821554503</v>
      </c>
      <c r="H137" s="59" t="str">
        <f>IF(Bangla!B137="","",Bangla!B137)</f>
        <v/>
      </c>
      <c r="I137" s="59" t="str">
        <f>IF(Bangla!C137="","",Bangla!C137)</f>
        <v/>
      </c>
      <c r="J137" s="60" t="str">
        <f>IF(Bangla!D137="","",Bangla!D137)</f>
        <v/>
      </c>
      <c r="K137" s="61" t="str">
        <f>IF(English!C137="","",English!C137)</f>
        <v/>
      </c>
      <c r="L137" s="35" t="str">
        <f>IF(ICT!B137="","",ICT!B137)</f>
        <v/>
      </c>
      <c r="M137" s="35" t="str">
        <f>IF(ICT!C137="","",ICT!C137)</f>
        <v/>
      </c>
      <c r="N137" s="35" t="str">
        <f>IF(ICT!D137="","",ICT!D137)</f>
        <v/>
      </c>
      <c r="O137" s="42" t="str">
        <f>IF(ICT!E137="","",ICT!E137)</f>
        <v/>
      </c>
      <c r="P137" s="40" t="str">
        <f>IF(Accounting!B137="","",Accounting!B137)</f>
        <v/>
      </c>
      <c r="Q137" s="40" t="str">
        <f>IF(Accounting!C137="","",Accounting!C137)</f>
        <v/>
      </c>
      <c r="R137" s="44" t="str">
        <f>IF(Accounting!D137="","",Accounting!D137)</f>
        <v/>
      </c>
      <c r="S137" s="35" t="str">
        <f>IF('Business Organization'!B137="","",'Business Organization'!B137)</f>
        <v/>
      </c>
      <c r="T137" s="35" t="str">
        <f>IF('Business Organization'!C137="","",'Business Organization'!C137)</f>
        <v/>
      </c>
      <c r="U137" s="42" t="str">
        <f>IF('Business Organization'!D137="","",'Business Organization'!D137)</f>
        <v/>
      </c>
      <c r="V137" s="36" t="str">
        <f>IF(SubjectList!G137="Finance",IF(Finance!B137=0,"", Finance!B137),IF(SubjectList!G137="Production",IF(Production!B137=0,"", Production!B137),IF(SubjectList!G137="Economics",IF(Economics!B137=0,"", Economics!B137))))</f>
        <v/>
      </c>
      <c r="W137" s="36" t="str">
        <f>IF(SubjectList!G137="Finance",IF(Finance!C137=0,"", Finance!C137),IF(SubjectList!G137="Production",IF(Production!C137=0,"", Production!C137),IF(SubjectList!G137="Economics",IF(Economics!C137=0,"", Economics!C137))))</f>
        <v/>
      </c>
      <c r="X137" s="43" t="str">
        <f>IF(SubjectList!G137="Finance",IF(Finance!D137=0,"", Finance!D137),IF(SubjectList!G137="Production",IF(Production!D137=0,"", Production!D137),IF(SubjectList!G137="Economics",IF(Economics!D137=0,"", Economics!D137))))</f>
        <v/>
      </c>
      <c r="Y137" s="40" t="str">
        <f>IF(SubjectList!H137="Finance",IF(Finance!B137=0,"", Finance!B137),IF(SubjectList!H137="Production",IF(Production!B137=0,"", Production!B137),IF(SubjectList!H137="Economics",IF(Economics!B137=0,"", Economics!B137))))</f>
        <v/>
      </c>
      <c r="Z137" s="40" t="str">
        <f>IF(SubjectList!H137="Finance",IF(Finance!C137=0,"", Finance!C137),IF(SubjectList!H137="Production",IF(Production!C137=0,"", Production!C137),IF(SubjectList!H137="Economics",IF(Economics!C137=0,"", Economics!C137))))</f>
        <v/>
      </c>
      <c r="AA137" s="44" t="str">
        <f>IF(SubjectList!H137="Finance",IF(Finance!D137=0,"", Finance!D137),IF(SubjectList!H137="Production",IF(Production!D137=0,"", Production!D137),IF(SubjectList!H137="Economics",IF(Economics!D137=0,"", Economics!D137))))</f>
        <v/>
      </c>
      <c r="AB137" s="37" t="str">
        <f>IF(SubjectList!G137="Finance","Finance",IF(SubjectList!G137="Production","Production",IF(SubjectList!G137="Economics","Not Given")))</f>
        <v>Production</v>
      </c>
      <c r="AC137" s="37" t="str">
        <f>IF(SubjectList!H137="Finance","Finance",IF(SubjectList!H137="Production","Production",IF(SubjectList!H137="Economics","Economics","Not Given")))</f>
        <v>Finance</v>
      </c>
      <c r="AD137" s="38" t="str">
        <f>Bangla!F137</f>
        <v/>
      </c>
      <c r="AE137" s="38" t="str">
        <f>English!E137</f>
        <v/>
      </c>
      <c r="AF137" s="38" t="str">
        <f>ICT!G137</f>
        <v/>
      </c>
      <c r="AG137" s="38" t="str">
        <f>Accounting!F137</f>
        <v/>
      </c>
      <c r="AH137" s="38" t="str">
        <f>'Business Organization'!F137</f>
        <v/>
      </c>
      <c r="AI137" s="38" t="str">
        <f>Production!F137</f>
        <v/>
      </c>
      <c r="AJ137" s="38" t="str">
        <f>Finance!F137</f>
        <v/>
      </c>
      <c r="AK137" s="39" t="str">
        <f>Bangla!G137</f>
        <v/>
      </c>
      <c r="AL137" s="39" t="str">
        <f>English!F137</f>
        <v/>
      </c>
      <c r="AM137" s="39" t="str">
        <f>ICT!H137</f>
        <v/>
      </c>
      <c r="AN137" s="39" t="str">
        <f>Accounting!G137</f>
        <v/>
      </c>
      <c r="AO137" s="39" t="str">
        <f>'Business Organization'!G137</f>
        <v/>
      </c>
      <c r="AP137" s="39" t="str">
        <f>IF(SubjectList!G137="Finance",Finance!G137,IF(SubjectList!G137="Production",Production!G137,IF(SubjectList!G137="Economics",Economics!G137)))</f>
        <v/>
      </c>
      <c r="AQ137" s="39" t="str">
        <f>IF(Optional!H137="","", Optional!H137)</f>
        <v/>
      </c>
      <c r="AR137" s="39" t="str">
        <f>Optional!H137</f>
        <v/>
      </c>
      <c r="AS137" s="39" t="str">
        <f>Optional!I137</f>
        <v/>
      </c>
      <c r="AT137" s="39" t="str">
        <f t="shared" si="41"/>
        <v/>
      </c>
      <c r="AU137" s="39">
        <f t="shared" si="42"/>
        <v>0</v>
      </c>
      <c r="AV137" s="39" t="str">
        <f t="shared" si="43"/>
        <v/>
      </c>
      <c r="AW137" s="39" t="str">
        <f t="shared" si="44"/>
        <v/>
      </c>
      <c r="AX137" s="5">
        <f t="shared" si="52"/>
        <v>0</v>
      </c>
      <c r="AY137" s="41">
        <f t="shared" si="45"/>
        <v>0</v>
      </c>
      <c r="AZ137" s="41">
        <f t="shared" si="46"/>
        <v>0</v>
      </c>
      <c r="BA137" s="41">
        <f t="shared" si="47"/>
        <v>0</v>
      </c>
      <c r="BB137" s="41">
        <f t="shared" si="48"/>
        <v>0</v>
      </c>
      <c r="BC137" s="41">
        <f t="shared" si="49"/>
        <v>0</v>
      </c>
      <c r="BD137" s="41">
        <f t="shared" si="50"/>
        <v>0</v>
      </c>
      <c r="BE137" s="3">
        <f t="shared" si="51"/>
        <v>0</v>
      </c>
      <c r="BF137" s="3" t="str">
        <f t="shared" si="53"/>
        <v>Failed in 6 Subjects</v>
      </c>
      <c r="BG137" s="5" t="str">
        <f>IF(AW137="","",RANK(AW137,AW$2:AW145,0))</f>
        <v/>
      </c>
      <c r="BH137" s="3" t="str">
        <f t="shared" si="54"/>
        <v>খুবই দুর্বল</v>
      </c>
      <c r="BI137" t="str">
        <f t="shared" si="55"/>
        <v>Very Weak</v>
      </c>
      <c r="BJ137" s="104" t="str">
        <f t="shared" si="56"/>
        <v/>
      </c>
    </row>
    <row r="138" spans="1:62" ht="15" thickBot="1" x14ac:dyDescent="0.4">
      <c r="A138" s="3" t="str">
        <f>'Student Basic Info'!B138</f>
        <v>Business Studies</v>
      </c>
      <c r="B138" s="3">
        <f>'Student Basic Info'!A138</f>
        <v>637</v>
      </c>
      <c r="C138" s="3" t="str">
        <f>'Student Basic Info'!C138</f>
        <v>Mostafizur Rahman</v>
      </c>
      <c r="D138" s="3" t="str">
        <f>'Student Basic Info'!D138</f>
        <v>Mofijul Haque</v>
      </c>
      <c r="E138" s="3" t="str">
        <f>'Student Basic Info'!E138</f>
        <v>Senowara Begum</v>
      </c>
      <c r="F138" s="3" t="str">
        <f>'Student Basic Info'!F138</f>
        <v>Male</v>
      </c>
      <c r="G138" s="79">
        <v>1703879028</v>
      </c>
      <c r="H138" s="59" t="str">
        <f>IF(Bangla!B138="","",Bangla!B138)</f>
        <v/>
      </c>
      <c r="I138" s="59">
        <f>IF(Bangla!C138="","",Bangla!C138)</f>
        <v>33</v>
      </c>
      <c r="J138" s="60">
        <f>IF(Bangla!D138="","",Bangla!D138)</f>
        <v>33</v>
      </c>
      <c r="K138" s="61">
        <f>IF(English!C138="","",English!C138)</f>
        <v>17</v>
      </c>
      <c r="L138" s="35">
        <f>IF(ICT!B138="","",ICT!B138)</f>
        <v>6</v>
      </c>
      <c r="M138" s="35">
        <f>IF(ICT!C138="","",ICT!C138)</f>
        <v>4</v>
      </c>
      <c r="N138" s="35">
        <f>IF(ICT!D138="","",ICT!D138)</f>
        <v>8</v>
      </c>
      <c r="O138" s="42">
        <f>IF(ICT!E138="","",ICT!E138)</f>
        <v>18</v>
      </c>
      <c r="P138" s="40">
        <f>IF(Accounting!B138="","",Accounting!B138)</f>
        <v>7</v>
      </c>
      <c r="Q138" s="40">
        <f>IF(Accounting!C138="","",Accounting!C138)</f>
        <v>8</v>
      </c>
      <c r="R138" s="44">
        <f>IF(Accounting!D138="","",Accounting!D138)</f>
        <v>15</v>
      </c>
      <c r="S138" s="35">
        <f>IF('Business Organization'!B138="","",'Business Organization'!B138)</f>
        <v>13</v>
      </c>
      <c r="T138" s="35">
        <f>IF('Business Organization'!C138="","",'Business Organization'!C138)</f>
        <v>14</v>
      </c>
      <c r="U138" s="42">
        <f>IF('Business Organization'!D138="","",'Business Organization'!D138)</f>
        <v>27</v>
      </c>
      <c r="V138" s="36">
        <f>IF(SubjectList!G138="Finance",IF(Finance!B138=0,"", Finance!B138),IF(SubjectList!G138="Production",IF(Production!B138=0,"", Production!B138),IF(SubjectList!G138="Economics",IF(Economics!B138=0,"", Economics!B138))))</f>
        <v>6</v>
      </c>
      <c r="W138" s="36">
        <f>IF(SubjectList!G138="Finance",IF(Finance!C138=0,"", Finance!C138),IF(SubjectList!G138="Production",IF(Production!C138=0,"", Production!C138),IF(SubjectList!G138="Economics",IF(Economics!C138=0,"", Economics!C138))))</f>
        <v>6</v>
      </c>
      <c r="X138" s="43">
        <f>IF(SubjectList!G138="Finance",IF(Finance!D138=0,"", Finance!D138),IF(SubjectList!G138="Production",IF(Production!D138=0,"", Production!D138),IF(SubjectList!G138="Economics",IF(Economics!D138=0,"", Economics!D138))))</f>
        <v>12</v>
      </c>
      <c r="Y138" s="40">
        <f>IF(SubjectList!H138="Finance",IF(Finance!B138=0,"", Finance!B138),IF(SubjectList!H138="Production",IF(Production!B138=0,"", Production!B138),IF(SubjectList!H138="Economics",IF(Economics!B138=0,"", Economics!B138))))</f>
        <v>15</v>
      </c>
      <c r="Z138" s="40">
        <f>IF(SubjectList!H138="Finance",IF(Finance!C138=0,"", Finance!C138),IF(SubjectList!H138="Production",IF(Production!C138=0,"", Production!C138),IF(SubjectList!H138="Economics",IF(Economics!C138=0,"", Economics!C138))))</f>
        <v>15</v>
      </c>
      <c r="AA138" s="44">
        <f>IF(SubjectList!H138="Finance",IF(Finance!D138=0,"", Finance!D138),IF(SubjectList!H138="Production",IF(Production!D138=0,"", Production!D138),IF(SubjectList!H138="Economics",IF(Economics!D138=0,"", Economics!D138))))</f>
        <v>30</v>
      </c>
      <c r="AB138" s="37" t="str">
        <f>IF(SubjectList!G138="Finance","Finance",IF(SubjectList!G138="Production","Production",IF(SubjectList!G138="Economics","Not Given")))</f>
        <v>Finance</v>
      </c>
      <c r="AC138" s="37" t="str">
        <f>IF(SubjectList!H138="Finance","Finance",IF(SubjectList!H138="Production","Production",IF(SubjectList!H138="Economics","Economics","Not Given")))</f>
        <v>Production</v>
      </c>
      <c r="AD138" s="38" t="str">
        <f>Bangla!F138</f>
        <v>D</v>
      </c>
      <c r="AE138" s="38" t="str">
        <f>English!E138</f>
        <v>F</v>
      </c>
      <c r="AF138" s="38" t="str">
        <f>ICT!G138</f>
        <v>F</v>
      </c>
      <c r="AG138" s="38" t="str">
        <f>Accounting!F138</f>
        <v>F</v>
      </c>
      <c r="AH138" s="38" t="str">
        <f>'Business Organization'!F138</f>
        <v>F</v>
      </c>
      <c r="AI138" s="38" t="str">
        <f>Production!F138</f>
        <v>F</v>
      </c>
      <c r="AJ138" s="38" t="str">
        <f>Finance!F138</f>
        <v>F</v>
      </c>
      <c r="AK138" s="39">
        <f>Bangla!G138</f>
        <v>1</v>
      </c>
      <c r="AL138" s="39">
        <f>English!F138</f>
        <v>0</v>
      </c>
      <c r="AM138" s="39">
        <f>ICT!H138</f>
        <v>0</v>
      </c>
      <c r="AN138" s="39">
        <f>Accounting!G138</f>
        <v>0</v>
      </c>
      <c r="AO138" s="39">
        <f>'Business Organization'!G138</f>
        <v>0</v>
      </c>
      <c r="AP138" s="39">
        <f>IF(SubjectList!G138="Finance",Finance!G138,IF(SubjectList!G138="Production",Production!G138,IF(SubjectList!G138="Economics",Economics!G138)))</f>
        <v>0</v>
      </c>
      <c r="AQ138" s="39">
        <f>IF(Optional!H138="","", Optional!H138)</f>
        <v>0</v>
      </c>
      <c r="AR138" s="39">
        <f>Optional!H138</f>
        <v>0</v>
      </c>
      <c r="AS138" s="39">
        <f>Optional!I138</f>
        <v>0</v>
      </c>
      <c r="AT138" s="39">
        <f t="shared" si="41"/>
        <v>1</v>
      </c>
      <c r="AU138" s="39">
        <f t="shared" si="42"/>
        <v>1</v>
      </c>
      <c r="AV138" s="39" t="str">
        <f t="shared" si="43"/>
        <v/>
      </c>
      <c r="AW138" s="39" t="str">
        <f t="shared" si="44"/>
        <v/>
      </c>
      <c r="AX138" s="5">
        <f t="shared" si="52"/>
        <v>152</v>
      </c>
      <c r="AY138" s="41">
        <f t="shared" si="45"/>
        <v>1</v>
      </c>
      <c r="AZ138" s="41">
        <f t="shared" si="46"/>
        <v>0</v>
      </c>
      <c r="BA138" s="41">
        <f t="shared" si="47"/>
        <v>0</v>
      </c>
      <c r="BB138" s="41">
        <f t="shared" si="48"/>
        <v>0</v>
      </c>
      <c r="BC138" s="41">
        <f t="shared" si="49"/>
        <v>0</v>
      </c>
      <c r="BD138" s="41">
        <f t="shared" si="50"/>
        <v>0</v>
      </c>
      <c r="BE138" s="3">
        <f t="shared" si="51"/>
        <v>1</v>
      </c>
      <c r="BF138" s="3" t="str">
        <f t="shared" si="53"/>
        <v>Failed in 5 Subjects</v>
      </c>
      <c r="BG138" s="5" t="str">
        <f>IF(AW138="","",RANK(AW138,AW$2:AW145,0))</f>
        <v/>
      </c>
      <c r="BH138" s="3" t="str">
        <f t="shared" si="54"/>
        <v>খুবই দুর্বল</v>
      </c>
      <c r="BI138" t="str">
        <f t="shared" si="55"/>
        <v>Very Weak</v>
      </c>
      <c r="BJ138" s="104" t="str">
        <f t="shared" si="56"/>
        <v/>
      </c>
    </row>
    <row r="139" spans="1:62" ht="15" thickBot="1" x14ac:dyDescent="0.4">
      <c r="A139" s="3" t="str">
        <f>'Student Basic Info'!B139</f>
        <v>Business Studies</v>
      </c>
      <c r="B139" s="3">
        <f>'Student Basic Info'!A139</f>
        <v>638</v>
      </c>
      <c r="C139" s="3" t="str">
        <f>'Student Basic Info'!C139</f>
        <v xml:space="preserve">Md. Al Amin </v>
      </c>
      <c r="D139" s="3" t="str">
        <f>'Student Basic Info'!D139</f>
        <v>Nur Mohammad</v>
      </c>
      <c r="E139" s="3" t="str">
        <f>'Student Basic Info'!E139</f>
        <v>Nur Zahan Begum</v>
      </c>
      <c r="F139" s="3" t="str">
        <f>'Student Basic Info'!F139</f>
        <v>Male</v>
      </c>
      <c r="G139" s="79">
        <v>1883293008</v>
      </c>
      <c r="H139" s="59" t="str">
        <f>IF(Bangla!B139="","",Bangla!B139)</f>
        <v/>
      </c>
      <c r="I139" s="59">
        <f>IF(Bangla!C139="","",Bangla!C139)</f>
        <v>33</v>
      </c>
      <c r="J139" s="60">
        <f>IF(Bangla!D139="","",Bangla!D139)</f>
        <v>33</v>
      </c>
      <c r="K139" s="61">
        <f>IF(English!C139="","",English!C139)</f>
        <v>7</v>
      </c>
      <c r="L139" s="35">
        <f>IF(ICT!B139="","",ICT!B139)</f>
        <v>9</v>
      </c>
      <c r="M139" s="35">
        <f>IF(ICT!C139="","",ICT!C139)</f>
        <v>1</v>
      </c>
      <c r="N139" s="35">
        <f>IF(ICT!D139="","",ICT!D139)</f>
        <v>8</v>
      </c>
      <c r="O139" s="42">
        <f>IF(ICT!E139="","",ICT!E139)</f>
        <v>18</v>
      </c>
      <c r="P139" s="40">
        <f>IF(Accounting!B139="","",Accounting!B139)</f>
        <v>5</v>
      </c>
      <c r="Q139" s="40">
        <f>IF(Accounting!C139="","",Accounting!C139)</f>
        <v>0</v>
      </c>
      <c r="R139" s="44">
        <f>IF(Accounting!D139="","",Accounting!D139)</f>
        <v>5</v>
      </c>
      <c r="S139" s="35">
        <f>IF('Business Organization'!B139="","",'Business Organization'!B139)</f>
        <v>12</v>
      </c>
      <c r="T139" s="35">
        <f>IF('Business Organization'!C139="","",'Business Organization'!C139)</f>
        <v>9</v>
      </c>
      <c r="U139" s="42">
        <f>IF('Business Organization'!D139="","",'Business Organization'!D139)</f>
        <v>21</v>
      </c>
      <c r="V139" s="36" t="str">
        <f>IF(SubjectList!G139="Finance",IF(Finance!B139=0,"", Finance!B139),IF(SubjectList!G139="Production",IF(Production!B139=0,"", Production!B139),IF(SubjectList!G139="Economics",IF(Economics!B139=0,"", Economics!B139))))</f>
        <v/>
      </c>
      <c r="W139" s="36" t="str">
        <f>IF(SubjectList!G139="Finance",IF(Finance!C139=0,"", Finance!C139),IF(SubjectList!G139="Production",IF(Production!C139=0,"", Production!C139),IF(SubjectList!G139="Economics",IF(Economics!C139=0,"", Economics!C139))))</f>
        <v/>
      </c>
      <c r="X139" s="43" t="str">
        <f>IF(SubjectList!G139="Finance",IF(Finance!D139=0,"", Finance!D139),IF(SubjectList!G139="Production",IF(Production!D139=0,"", Production!D139),IF(SubjectList!G139="Economics",IF(Economics!D139=0,"", Economics!D139))))</f>
        <v/>
      </c>
      <c r="Y139" s="40">
        <f>IF(SubjectList!H139="Finance",IF(Finance!B139=0,"", Finance!B139),IF(SubjectList!H139="Production",IF(Production!B139=0,"", Production!B139),IF(SubjectList!H139="Economics",IF(Economics!B139=0,"", Economics!B139))))</f>
        <v>10</v>
      </c>
      <c r="Z139" s="40">
        <f>IF(SubjectList!H139="Finance",IF(Finance!C139=0,"", Finance!C139),IF(SubjectList!H139="Production",IF(Production!C139=0,"", Production!C139),IF(SubjectList!H139="Economics",IF(Economics!C139=0,"", Economics!C139))))</f>
        <v>1</v>
      </c>
      <c r="AA139" s="44">
        <f>IF(SubjectList!H139="Finance",IF(Finance!D139=0,"", Finance!D139),IF(SubjectList!H139="Production",IF(Production!D139=0,"", Production!D139),IF(SubjectList!H139="Economics",IF(Economics!D139=0,"", Economics!D139))))</f>
        <v>11</v>
      </c>
      <c r="AB139" s="37" t="str">
        <f>IF(SubjectList!G139="Finance","Finance",IF(SubjectList!G139="Production","Production",IF(SubjectList!G139="Economics","Not Given")))</f>
        <v>Production</v>
      </c>
      <c r="AC139" s="37" t="str">
        <f>IF(SubjectList!H139="Finance","Finance",IF(SubjectList!H139="Production","Production",IF(SubjectList!H139="Economics","Economics","Not Given")))</f>
        <v>Finance</v>
      </c>
      <c r="AD139" s="38" t="str">
        <f>Bangla!F139</f>
        <v>D</v>
      </c>
      <c r="AE139" s="38" t="str">
        <f>English!E139</f>
        <v>F</v>
      </c>
      <c r="AF139" s="38" t="str">
        <f>ICT!G139</f>
        <v>F</v>
      </c>
      <c r="AG139" s="38" t="str">
        <f>Accounting!F139</f>
        <v>F</v>
      </c>
      <c r="AH139" s="38" t="str">
        <f>'Business Organization'!F139</f>
        <v>F</v>
      </c>
      <c r="AI139" s="38" t="str">
        <f>Production!F139</f>
        <v/>
      </c>
      <c r="AJ139" s="38" t="str">
        <f>Finance!F139</f>
        <v>F</v>
      </c>
      <c r="AK139" s="39">
        <f>Bangla!G139</f>
        <v>1</v>
      </c>
      <c r="AL139" s="39">
        <f>English!F139</f>
        <v>0</v>
      </c>
      <c r="AM139" s="39">
        <f>ICT!H139</f>
        <v>0</v>
      </c>
      <c r="AN139" s="39">
        <f>Accounting!G139</f>
        <v>0</v>
      </c>
      <c r="AO139" s="39">
        <f>'Business Organization'!G139</f>
        <v>0</v>
      </c>
      <c r="AP139" s="39" t="str">
        <f>IF(SubjectList!G139="Finance",Finance!G139,IF(SubjectList!G139="Production",Production!G139,IF(SubjectList!G139="Economics",Economics!G139)))</f>
        <v/>
      </c>
      <c r="AQ139" s="39">
        <f>IF(Optional!H139="","", Optional!H139)</f>
        <v>0</v>
      </c>
      <c r="AR139" s="39">
        <f>Optional!H139</f>
        <v>0</v>
      </c>
      <c r="AS139" s="39">
        <f>Optional!I139</f>
        <v>0</v>
      </c>
      <c r="AT139" s="39">
        <f t="shared" si="41"/>
        <v>1</v>
      </c>
      <c r="AU139" s="39">
        <f t="shared" si="42"/>
        <v>1</v>
      </c>
      <c r="AV139" s="39" t="str">
        <f t="shared" si="43"/>
        <v/>
      </c>
      <c r="AW139" s="39" t="str">
        <f t="shared" si="44"/>
        <v/>
      </c>
      <c r="AX139" s="5">
        <f t="shared" si="52"/>
        <v>95</v>
      </c>
      <c r="AY139" s="41">
        <f t="shared" si="45"/>
        <v>1</v>
      </c>
      <c r="AZ139" s="41">
        <f t="shared" si="46"/>
        <v>0</v>
      </c>
      <c r="BA139" s="41">
        <f t="shared" si="47"/>
        <v>0</v>
      </c>
      <c r="BB139" s="41">
        <f t="shared" si="48"/>
        <v>0</v>
      </c>
      <c r="BC139" s="41">
        <f t="shared" si="49"/>
        <v>0</v>
      </c>
      <c r="BD139" s="41">
        <f t="shared" si="50"/>
        <v>0</v>
      </c>
      <c r="BE139" s="3">
        <f t="shared" si="51"/>
        <v>1</v>
      </c>
      <c r="BF139" s="3" t="str">
        <f t="shared" si="53"/>
        <v>Failed in 5 Subjects</v>
      </c>
      <c r="BG139" s="5" t="str">
        <f>IF(AW139="","",RANK(AW139,AW$2:AW145,0))</f>
        <v/>
      </c>
      <c r="BH139" s="3" t="str">
        <f t="shared" si="54"/>
        <v>খুবই দুর্বল</v>
      </c>
      <c r="BI139" t="str">
        <f t="shared" si="55"/>
        <v>Very Weak</v>
      </c>
      <c r="BJ139" s="104" t="str">
        <f t="shared" si="56"/>
        <v/>
      </c>
    </row>
    <row r="140" spans="1:62" ht="15" thickBot="1" x14ac:dyDescent="0.4">
      <c r="A140" s="3" t="str">
        <f>'Student Basic Info'!B140</f>
        <v>Business Studies</v>
      </c>
      <c r="B140" s="3">
        <f>'Student Basic Info'!A140</f>
        <v>639</v>
      </c>
      <c r="C140" s="3" t="str">
        <f>'Student Basic Info'!C140</f>
        <v>Bibi Fatema Khatun</v>
      </c>
      <c r="D140" s="3" t="str">
        <f>'Student Basic Info'!D140</f>
        <v>Abdul Mannan</v>
      </c>
      <c r="E140" s="3" t="str">
        <f>'Student Basic Info'!E140</f>
        <v>Momtaz Begum</v>
      </c>
      <c r="F140" s="3" t="str">
        <f>'Student Basic Info'!F140</f>
        <v>Female</v>
      </c>
      <c r="G140" s="79">
        <v>1882549396</v>
      </c>
      <c r="H140" s="59" t="str">
        <f>IF(Bangla!B140="","",Bangla!B140)</f>
        <v/>
      </c>
      <c r="I140" s="59" t="str">
        <f>IF(Bangla!C140="","",Bangla!C140)</f>
        <v/>
      </c>
      <c r="J140" s="60" t="str">
        <f>IF(Bangla!D140="","",Bangla!D140)</f>
        <v/>
      </c>
      <c r="K140" s="61" t="str">
        <f>IF(English!C140="","",English!C140)</f>
        <v/>
      </c>
      <c r="L140" s="35" t="str">
        <f>IF(ICT!B140="","",ICT!B140)</f>
        <v/>
      </c>
      <c r="M140" s="35" t="str">
        <f>IF(ICT!C140="","",ICT!C140)</f>
        <v/>
      </c>
      <c r="N140" s="35" t="str">
        <f>IF(ICT!D140="","",ICT!D140)</f>
        <v/>
      </c>
      <c r="O140" s="42" t="str">
        <f>IF(ICT!E140="","",ICT!E140)</f>
        <v/>
      </c>
      <c r="P140" s="40" t="str">
        <f>IF(Accounting!B140="","",Accounting!B140)</f>
        <v/>
      </c>
      <c r="Q140" s="40" t="str">
        <f>IF(Accounting!C140="","",Accounting!C140)</f>
        <v/>
      </c>
      <c r="R140" s="44" t="str">
        <f>IF(Accounting!D140="","",Accounting!D140)</f>
        <v/>
      </c>
      <c r="S140" s="35" t="str">
        <f>IF('Business Organization'!B140="","",'Business Organization'!B140)</f>
        <v/>
      </c>
      <c r="T140" s="35" t="str">
        <f>IF('Business Organization'!C140="","",'Business Organization'!C140)</f>
        <v/>
      </c>
      <c r="U140" s="42" t="str">
        <f>IF('Business Organization'!D140="","",'Business Organization'!D140)</f>
        <v/>
      </c>
      <c r="V140" s="36" t="str">
        <f>IF(SubjectList!G140="Finance",IF(Finance!B140=0,"", Finance!B140),IF(SubjectList!G140="Production",IF(Production!B140=0,"", Production!B140),IF(SubjectList!G140="Economics",IF(Economics!B140=0,"", Economics!B140))))</f>
        <v/>
      </c>
      <c r="W140" s="36" t="str">
        <f>IF(SubjectList!G140="Finance",IF(Finance!C140=0,"", Finance!C140),IF(SubjectList!G140="Production",IF(Production!C140=0,"", Production!C140),IF(SubjectList!G140="Economics",IF(Economics!C140=0,"", Economics!C140))))</f>
        <v/>
      </c>
      <c r="X140" s="43" t="str">
        <f>IF(SubjectList!G140="Finance",IF(Finance!D140=0,"", Finance!D140),IF(SubjectList!G140="Production",IF(Production!D140=0,"", Production!D140),IF(SubjectList!G140="Economics",IF(Economics!D140=0,"", Economics!D140))))</f>
        <v/>
      </c>
      <c r="Y140" s="40" t="str">
        <f>IF(SubjectList!H140="Finance",IF(Finance!B140=0,"", Finance!B140),IF(SubjectList!H140="Production",IF(Production!B140=0,"", Production!B140),IF(SubjectList!H140="Economics",IF(Economics!B140=0,"", Economics!B140))))</f>
        <v/>
      </c>
      <c r="Z140" s="40" t="str">
        <f>IF(SubjectList!H140="Finance",IF(Finance!C140=0,"", Finance!C140),IF(SubjectList!H140="Production",IF(Production!C140=0,"", Production!C140),IF(SubjectList!H140="Economics",IF(Economics!C140=0,"", Economics!C140))))</f>
        <v/>
      </c>
      <c r="AA140" s="44" t="str">
        <f>IF(SubjectList!H140="Finance",IF(Finance!D140=0,"", Finance!D140),IF(SubjectList!H140="Production",IF(Production!D140=0,"", Production!D140),IF(SubjectList!H140="Economics",IF(Economics!D140=0,"", Economics!D140))))</f>
        <v/>
      </c>
      <c r="AB140" s="37" t="str">
        <f>IF(SubjectList!G140="Finance","Finance",IF(SubjectList!G140="Production","Production",IF(SubjectList!G140="Economics","Not Given")))</f>
        <v>Finance</v>
      </c>
      <c r="AC140" s="37" t="str">
        <f>IF(SubjectList!H140="Finance","Finance",IF(SubjectList!H140="Production","Production",IF(SubjectList!H140="Economics","Economics","Not Given")))</f>
        <v>Production</v>
      </c>
      <c r="AD140" s="38" t="str">
        <f>Bangla!F140</f>
        <v/>
      </c>
      <c r="AE140" s="38" t="str">
        <f>English!E140</f>
        <v/>
      </c>
      <c r="AF140" s="38" t="str">
        <f>ICT!G140</f>
        <v/>
      </c>
      <c r="AG140" s="38" t="str">
        <f>Accounting!F140</f>
        <v/>
      </c>
      <c r="AH140" s="38" t="str">
        <f>'Business Organization'!F140</f>
        <v/>
      </c>
      <c r="AI140" s="38" t="str">
        <f>Production!F140</f>
        <v/>
      </c>
      <c r="AJ140" s="38" t="str">
        <f>Finance!F140</f>
        <v/>
      </c>
      <c r="AK140" s="39" t="str">
        <f>Bangla!G140</f>
        <v/>
      </c>
      <c r="AL140" s="39" t="str">
        <f>English!F140</f>
        <v/>
      </c>
      <c r="AM140" s="39" t="str">
        <f>ICT!H140</f>
        <v/>
      </c>
      <c r="AN140" s="39" t="str">
        <f>Accounting!G140</f>
        <v/>
      </c>
      <c r="AO140" s="39" t="str">
        <f>'Business Organization'!G140</f>
        <v/>
      </c>
      <c r="AP140" s="39" t="str">
        <f>IF(SubjectList!G140="Finance",Finance!G140,IF(SubjectList!G140="Production",Production!G140,IF(SubjectList!G140="Economics",Economics!G140)))</f>
        <v/>
      </c>
      <c r="AQ140" s="39" t="str">
        <f>IF(Optional!H140="","", Optional!H140)</f>
        <v/>
      </c>
      <c r="AR140" s="39" t="str">
        <f>Optional!H140</f>
        <v/>
      </c>
      <c r="AS140" s="39" t="str">
        <f>Optional!I140</f>
        <v/>
      </c>
      <c r="AT140" s="39" t="str">
        <f t="shared" si="41"/>
        <v/>
      </c>
      <c r="AU140" s="39">
        <f t="shared" si="42"/>
        <v>0</v>
      </c>
      <c r="AV140" s="39" t="str">
        <f t="shared" si="43"/>
        <v/>
      </c>
      <c r="AW140" s="39" t="str">
        <f t="shared" si="44"/>
        <v/>
      </c>
      <c r="AX140" s="5">
        <f t="shared" si="52"/>
        <v>0</v>
      </c>
      <c r="AY140" s="41">
        <f t="shared" si="45"/>
        <v>0</v>
      </c>
      <c r="AZ140" s="41">
        <f t="shared" si="46"/>
        <v>0</v>
      </c>
      <c r="BA140" s="41">
        <f t="shared" si="47"/>
        <v>0</v>
      </c>
      <c r="BB140" s="41">
        <f t="shared" si="48"/>
        <v>0</v>
      </c>
      <c r="BC140" s="41">
        <f t="shared" si="49"/>
        <v>0</v>
      </c>
      <c r="BD140" s="41">
        <f t="shared" si="50"/>
        <v>0</v>
      </c>
      <c r="BE140" s="3">
        <f t="shared" si="51"/>
        <v>0</v>
      </c>
      <c r="BF140" s="3" t="str">
        <f t="shared" si="53"/>
        <v>Failed in 6 Subjects</v>
      </c>
      <c r="BG140" s="5" t="str">
        <f>IF(AW140="","",RANK(AW140,AW$2:AW145,0))</f>
        <v/>
      </c>
      <c r="BH140" s="3" t="str">
        <f t="shared" si="54"/>
        <v>খুবই দুর্বল</v>
      </c>
      <c r="BI140" t="str">
        <f t="shared" si="55"/>
        <v>Very Weak</v>
      </c>
      <c r="BJ140" s="104" t="str">
        <f t="shared" si="56"/>
        <v/>
      </c>
    </row>
    <row r="141" spans="1:62" ht="15" thickBot="1" x14ac:dyDescent="0.4">
      <c r="A141" s="3" t="str">
        <f>'Student Basic Info'!B141</f>
        <v>Business Studies</v>
      </c>
      <c r="B141" s="3">
        <f>'Student Basic Info'!A141</f>
        <v>640</v>
      </c>
      <c r="C141" s="3" t="str">
        <f>'Student Basic Info'!C141</f>
        <v>Sazzad Hossain Sanzid</v>
      </c>
      <c r="D141" s="3" t="str">
        <f>'Student Basic Info'!D141</f>
        <v>Md. Shohel</v>
      </c>
      <c r="E141" s="3" t="str">
        <f>'Student Basic Info'!E141</f>
        <v>Nazmun Nahar Shopna</v>
      </c>
      <c r="F141" s="3" t="str">
        <f>'Student Basic Info'!F141</f>
        <v>Male</v>
      </c>
      <c r="G141" s="79">
        <v>1860272491</v>
      </c>
      <c r="H141" s="59" t="str">
        <f>IF(Bangla!B141="","",Bangla!B141)</f>
        <v/>
      </c>
      <c r="I141" s="59" t="str">
        <f>IF(Bangla!C141="","",Bangla!C141)</f>
        <v/>
      </c>
      <c r="J141" s="60" t="str">
        <f>IF(Bangla!D141="","",Bangla!D141)</f>
        <v/>
      </c>
      <c r="K141" s="61" t="str">
        <f>IF(English!C141="","",English!C141)</f>
        <v/>
      </c>
      <c r="L141" s="35" t="str">
        <f>IF(ICT!B141="","",ICT!B141)</f>
        <v/>
      </c>
      <c r="M141" s="35" t="str">
        <f>IF(ICT!C141="","",ICT!C141)</f>
        <v/>
      </c>
      <c r="N141" s="35" t="str">
        <f>IF(ICT!D141="","",ICT!D141)</f>
        <v/>
      </c>
      <c r="O141" s="42" t="str">
        <f>IF(ICT!E141="","",ICT!E141)</f>
        <v/>
      </c>
      <c r="P141" s="40" t="str">
        <f>IF(Accounting!B141="","",Accounting!B141)</f>
        <v/>
      </c>
      <c r="Q141" s="40" t="str">
        <f>IF(Accounting!C141="","",Accounting!C141)</f>
        <v/>
      </c>
      <c r="R141" s="44" t="str">
        <f>IF(Accounting!D141="","",Accounting!D141)</f>
        <v/>
      </c>
      <c r="S141" s="35" t="str">
        <f>IF('Business Organization'!B141="","",'Business Organization'!B141)</f>
        <v/>
      </c>
      <c r="T141" s="35" t="str">
        <f>IF('Business Organization'!C141="","",'Business Organization'!C141)</f>
        <v/>
      </c>
      <c r="U141" s="42" t="str">
        <f>IF('Business Organization'!D141="","",'Business Organization'!D141)</f>
        <v/>
      </c>
      <c r="V141" s="36" t="str">
        <f>IF(SubjectList!G141="Finance",IF(Finance!B141=0,"", Finance!B141),IF(SubjectList!G141="Production",IF(Production!B141=0,"", Production!B141),IF(SubjectList!G141="Economics",IF(Economics!B141=0,"", Economics!B141))))</f>
        <v/>
      </c>
      <c r="W141" s="36" t="str">
        <f>IF(SubjectList!G141="Finance",IF(Finance!C141=0,"", Finance!C141),IF(SubjectList!G141="Production",IF(Production!C141=0,"", Production!C141),IF(SubjectList!G141="Economics",IF(Economics!C141=0,"", Economics!C141))))</f>
        <v/>
      </c>
      <c r="X141" s="43" t="str">
        <f>IF(SubjectList!G141="Finance",IF(Finance!D141=0,"", Finance!D141),IF(SubjectList!G141="Production",IF(Production!D141=0,"", Production!D141),IF(SubjectList!G141="Economics",IF(Economics!D141=0,"", Economics!D141))))</f>
        <v/>
      </c>
      <c r="Y141" s="40" t="str">
        <f>IF(SubjectList!H141="Finance",IF(Finance!B141=0,"", Finance!B141),IF(SubjectList!H141="Production",IF(Production!B141=0,"", Production!B141),IF(SubjectList!H141="Economics",IF(Economics!B141=0,"", Economics!B141))))</f>
        <v/>
      </c>
      <c r="Z141" s="40" t="str">
        <f>IF(SubjectList!H141="Finance",IF(Finance!C141=0,"", Finance!C141),IF(SubjectList!H141="Production",IF(Production!C141=0,"", Production!C141),IF(SubjectList!H141="Economics",IF(Economics!C141=0,"", Economics!C141))))</f>
        <v/>
      </c>
      <c r="AA141" s="44" t="str">
        <f>IF(SubjectList!H141="Finance",IF(Finance!D141=0,"", Finance!D141),IF(SubjectList!H141="Production",IF(Production!D141=0,"", Production!D141),IF(SubjectList!H141="Economics",IF(Economics!D141=0,"", Economics!D141))))</f>
        <v/>
      </c>
      <c r="AB141" s="37" t="str">
        <f>IF(SubjectList!G141="Finance","Finance",IF(SubjectList!G141="Production","Production",IF(SubjectList!G141="Economics","Not Given")))</f>
        <v>Finance</v>
      </c>
      <c r="AC141" s="37" t="str">
        <f>IF(SubjectList!H141="Finance","Finance",IF(SubjectList!H141="Production","Production",IF(SubjectList!H141="Economics","Economics","Not Given")))</f>
        <v>Production</v>
      </c>
      <c r="AD141" s="38" t="str">
        <f>Bangla!F141</f>
        <v/>
      </c>
      <c r="AE141" s="38" t="str">
        <f>English!E141</f>
        <v/>
      </c>
      <c r="AF141" s="38" t="str">
        <f>ICT!G141</f>
        <v/>
      </c>
      <c r="AG141" s="38" t="str">
        <f>Accounting!F141</f>
        <v/>
      </c>
      <c r="AH141" s="38" t="str">
        <f>'Business Organization'!F141</f>
        <v/>
      </c>
      <c r="AI141" s="38" t="str">
        <f>Production!F141</f>
        <v/>
      </c>
      <c r="AJ141" s="38" t="str">
        <f>Finance!F141</f>
        <v/>
      </c>
      <c r="AK141" s="39" t="str">
        <f>Bangla!G141</f>
        <v/>
      </c>
      <c r="AL141" s="39" t="str">
        <f>English!F141</f>
        <v/>
      </c>
      <c r="AM141" s="39" t="str">
        <f>ICT!H141</f>
        <v/>
      </c>
      <c r="AN141" s="39" t="str">
        <f>Accounting!G141</f>
        <v/>
      </c>
      <c r="AO141" s="39" t="str">
        <f>'Business Organization'!G141</f>
        <v/>
      </c>
      <c r="AP141" s="39" t="str">
        <f>IF(SubjectList!G141="Finance",Finance!G141,IF(SubjectList!G141="Production",Production!G141,IF(SubjectList!G141="Economics",Economics!G141)))</f>
        <v/>
      </c>
      <c r="AQ141" s="39" t="str">
        <f>IF(Optional!H141="","", Optional!H141)</f>
        <v/>
      </c>
      <c r="AR141" s="39" t="str">
        <f>Optional!H141</f>
        <v/>
      </c>
      <c r="AS141" s="39" t="str">
        <f>Optional!I141</f>
        <v/>
      </c>
      <c r="AT141" s="39" t="str">
        <f t="shared" si="41"/>
        <v/>
      </c>
      <c r="AU141" s="39">
        <f t="shared" si="42"/>
        <v>0</v>
      </c>
      <c r="AV141" s="39" t="str">
        <f t="shared" si="43"/>
        <v/>
      </c>
      <c r="AW141" s="39" t="str">
        <f t="shared" si="44"/>
        <v/>
      </c>
      <c r="AX141" s="5">
        <f t="shared" si="52"/>
        <v>0</v>
      </c>
      <c r="AY141" s="41">
        <f t="shared" si="45"/>
        <v>0</v>
      </c>
      <c r="AZ141" s="41">
        <f t="shared" si="46"/>
        <v>0</v>
      </c>
      <c r="BA141" s="41">
        <f t="shared" si="47"/>
        <v>0</v>
      </c>
      <c r="BB141" s="41">
        <f t="shared" si="48"/>
        <v>0</v>
      </c>
      <c r="BC141" s="41">
        <f t="shared" si="49"/>
        <v>0</v>
      </c>
      <c r="BD141" s="41">
        <f t="shared" si="50"/>
        <v>0</v>
      </c>
      <c r="BE141" s="3">
        <f t="shared" si="51"/>
        <v>0</v>
      </c>
      <c r="BF141" s="3" t="str">
        <f t="shared" si="53"/>
        <v>Failed in 6 Subjects</v>
      </c>
      <c r="BG141" s="5" t="str">
        <f>IF(AW141="","",RANK(AW141,AW$2:AW145,0))</f>
        <v/>
      </c>
      <c r="BH141" s="3" t="str">
        <f t="shared" si="54"/>
        <v>খুবই দুর্বল</v>
      </c>
      <c r="BI141" t="str">
        <f t="shared" si="55"/>
        <v>Very Weak</v>
      </c>
      <c r="BJ141" s="104" t="str">
        <f t="shared" si="56"/>
        <v/>
      </c>
    </row>
    <row r="142" spans="1:62" x14ac:dyDescent="0.35">
      <c r="A142" s="3" t="str">
        <f>'Student Basic Info'!B142</f>
        <v>Business Studies</v>
      </c>
      <c r="B142" s="3">
        <f>'Student Basic Info'!A142</f>
        <v>641</v>
      </c>
      <c r="C142" s="3" t="str">
        <f>'Student Basic Info'!C142</f>
        <v>Md. Sohrab Hossain</v>
      </c>
      <c r="D142" s="3">
        <f>'Student Basic Info'!D142</f>
        <v>0</v>
      </c>
      <c r="E142" s="3">
        <f>'Student Basic Info'!E142</f>
        <v>0</v>
      </c>
      <c r="F142" s="3" t="str">
        <f>'Student Basic Info'!F142</f>
        <v>Male</v>
      </c>
      <c r="G142" s="76"/>
      <c r="H142" s="59" t="str">
        <f>IF(Bangla!B142="","",Bangla!B142)</f>
        <v/>
      </c>
      <c r="I142" s="59">
        <f>IF(Bangla!C142="","",Bangla!C142)</f>
        <v>40</v>
      </c>
      <c r="J142" s="60">
        <f>IF(Bangla!D142="","",Bangla!D142)</f>
        <v>40</v>
      </c>
      <c r="K142" s="61">
        <f>IF(English!C142="","",English!C142)</f>
        <v>33</v>
      </c>
      <c r="L142" s="35">
        <f>IF(ICT!B142="","",ICT!B142)</f>
        <v>13</v>
      </c>
      <c r="M142" s="35">
        <f>IF(ICT!C142="","",ICT!C142)</f>
        <v>24</v>
      </c>
      <c r="N142" s="35">
        <f>IF(ICT!D142="","",ICT!D142)</f>
        <v>24</v>
      </c>
      <c r="O142" s="42">
        <f>IF(ICT!E142="","",ICT!E142)</f>
        <v>61</v>
      </c>
      <c r="P142" s="40">
        <f>IF(Accounting!B142="","",Accounting!B142)</f>
        <v>7</v>
      </c>
      <c r="Q142" s="40">
        <f>IF(Accounting!C142="","",Accounting!C142)</f>
        <v>4</v>
      </c>
      <c r="R142" s="44">
        <f>IF(Accounting!D142="","",Accounting!D142)</f>
        <v>11</v>
      </c>
      <c r="S142" s="35">
        <f>IF('Business Organization'!B142="","",'Business Organization'!B142)</f>
        <v>13</v>
      </c>
      <c r="T142" s="35">
        <f>IF('Business Organization'!C142="","",'Business Organization'!C142)</f>
        <v>6</v>
      </c>
      <c r="U142" s="42">
        <f>IF('Business Organization'!D142="","",'Business Organization'!D142)</f>
        <v>19</v>
      </c>
      <c r="V142" s="36">
        <f>IF(SubjectList!G142="Finance",IF(Finance!B142=0,"", Finance!B142),IF(SubjectList!G142="Production",IF(Production!B142=0,"", Production!B142),IF(SubjectList!G142="Economics",IF(Economics!B142=0,"", Economics!B142))))</f>
        <v>16</v>
      </c>
      <c r="W142" s="36">
        <f>IF(SubjectList!G142="Finance",IF(Finance!C142=0,"", Finance!C142),IF(SubjectList!G142="Production",IF(Production!C142=0,"", Production!C142),IF(SubjectList!G142="Economics",IF(Economics!C142=0,"", Economics!C142))))</f>
        <v>31</v>
      </c>
      <c r="X142" s="43">
        <f>IF(SubjectList!G142="Finance",IF(Finance!D142=0,"", Finance!D142),IF(SubjectList!G142="Production",IF(Production!D142=0,"", Production!D142),IF(SubjectList!G142="Economics",IF(Economics!D142=0,"", Economics!D142))))</f>
        <v>47</v>
      </c>
      <c r="Y142" s="40">
        <f>IF(SubjectList!H142="Finance",IF(Finance!B142=0,"", Finance!B142),IF(SubjectList!H142="Production",IF(Production!B142=0,"", Production!B142),IF(SubjectList!H142="Economics",IF(Economics!B142=0,"", Economics!B142))))</f>
        <v>7</v>
      </c>
      <c r="Z142" s="40">
        <f>IF(SubjectList!H142="Finance",IF(Finance!C142=0,"", Finance!C142),IF(SubjectList!H142="Production",IF(Production!C142=0,"", Production!C142),IF(SubjectList!H142="Economics",IF(Economics!C142=0,"", Economics!C142))))</f>
        <v>3</v>
      </c>
      <c r="AA142" s="44">
        <f>IF(SubjectList!H142="Finance",IF(Finance!D142=0,"", Finance!D142),IF(SubjectList!H142="Production",IF(Production!D142=0,"", Production!D142),IF(SubjectList!H142="Economics",IF(Economics!D142=0,"", Economics!D142))))</f>
        <v>10</v>
      </c>
      <c r="AB142" s="37" t="str">
        <f>IF(SubjectList!G142="Finance","Finance",IF(SubjectList!G142="Production","Production",IF(SubjectList!G142="Economics","Not Given")))</f>
        <v>Production</v>
      </c>
      <c r="AC142" s="37" t="str">
        <f>IF(SubjectList!H142="Finance","Finance",IF(SubjectList!H142="Production","Production",IF(SubjectList!H142="Economics","Economics","Not Given")))</f>
        <v>Economics</v>
      </c>
      <c r="AD142" s="38" t="str">
        <f>Bangla!F142</f>
        <v>C</v>
      </c>
      <c r="AE142" s="38" t="str">
        <f>English!E142</f>
        <v>D</v>
      </c>
      <c r="AF142" s="38" t="str">
        <f>ICT!G142</f>
        <v>A-</v>
      </c>
      <c r="AG142" s="38" t="str">
        <f>Accounting!F142</f>
        <v>F</v>
      </c>
      <c r="AH142" s="38" t="str">
        <f>'Business Organization'!F142</f>
        <v>F</v>
      </c>
      <c r="AI142" s="38" t="str">
        <f>Production!F142</f>
        <v>C</v>
      </c>
      <c r="AJ142" s="38" t="str">
        <f>Finance!F142</f>
        <v/>
      </c>
      <c r="AK142" s="39">
        <f>Bangla!G142</f>
        <v>2</v>
      </c>
      <c r="AL142" s="39">
        <f>English!F142</f>
        <v>1</v>
      </c>
      <c r="AM142" s="39">
        <f>ICT!H142</f>
        <v>3.5</v>
      </c>
      <c r="AN142" s="39">
        <f>Accounting!G142</f>
        <v>0</v>
      </c>
      <c r="AO142" s="39">
        <f>'Business Organization'!G142</f>
        <v>0</v>
      </c>
      <c r="AP142" s="39">
        <f>IF(SubjectList!G142="Finance",Finance!G142,IF(SubjectList!G142="Production",Production!G142,IF(SubjectList!G142="Economics",Economics!G142)))</f>
        <v>2</v>
      </c>
      <c r="AQ142" s="39">
        <f>IF(Optional!H142="","", Optional!H142)</f>
        <v>0</v>
      </c>
      <c r="AR142" s="39">
        <f>Optional!H142</f>
        <v>0</v>
      </c>
      <c r="AS142" s="39">
        <f>Optional!I142</f>
        <v>0</v>
      </c>
      <c r="AT142" s="39">
        <f t="shared" si="41"/>
        <v>8.5</v>
      </c>
      <c r="AU142" s="39">
        <f t="shared" si="42"/>
        <v>8.5</v>
      </c>
      <c r="AV142" s="39" t="str">
        <f t="shared" si="43"/>
        <v/>
      </c>
      <c r="AW142" s="39" t="str">
        <f t="shared" si="44"/>
        <v/>
      </c>
      <c r="AX142" s="5">
        <f t="shared" si="52"/>
        <v>221</v>
      </c>
      <c r="AY142" s="41">
        <f t="shared" si="45"/>
        <v>1</v>
      </c>
      <c r="AZ142" s="41">
        <f t="shared" si="46"/>
        <v>1</v>
      </c>
      <c r="BA142" s="41">
        <f t="shared" si="47"/>
        <v>1</v>
      </c>
      <c r="BB142" s="41">
        <f t="shared" si="48"/>
        <v>0</v>
      </c>
      <c r="BC142" s="41">
        <f t="shared" si="49"/>
        <v>0</v>
      </c>
      <c r="BD142" s="41">
        <f t="shared" si="50"/>
        <v>1</v>
      </c>
      <c r="BE142" s="3">
        <f t="shared" si="51"/>
        <v>4</v>
      </c>
      <c r="BF142" s="3" t="str">
        <f t="shared" si="53"/>
        <v>Failed in 2 Subjects</v>
      </c>
      <c r="BG142" s="5" t="str">
        <f>IF(AW142="","",RANK(AW142,AW$2:AW145,0))</f>
        <v/>
      </c>
      <c r="BH142" s="3" t="str">
        <f t="shared" si="54"/>
        <v>খুবই দুর্বল</v>
      </c>
      <c r="BI142" t="str">
        <f t="shared" si="55"/>
        <v>Very Weak</v>
      </c>
      <c r="BJ142" s="104" t="str">
        <f t="shared" si="56"/>
        <v/>
      </c>
    </row>
    <row r="143" spans="1:62" x14ac:dyDescent="0.35">
      <c r="A143" s="3" t="str">
        <f>'Student Basic Info'!B143</f>
        <v>Business Studies</v>
      </c>
      <c r="B143" s="3">
        <f>'Student Basic Info'!A143</f>
        <v>642</v>
      </c>
      <c r="C143" s="3" t="str">
        <f>'Student Basic Info'!C143</f>
        <v>Jannatul Nure Hafsa</v>
      </c>
      <c r="D143" s="3">
        <f>'Student Basic Info'!D143</f>
        <v>0</v>
      </c>
      <c r="E143" s="3">
        <f>'Student Basic Info'!E143</f>
        <v>0</v>
      </c>
      <c r="F143" s="3">
        <f>'Student Basic Info'!F143</f>
        <v>0</v>
      </c>
      <c r="G143" s="76"/>
      <c r="H143" s="59" t="str">
        <f>IF(Bangla!B143="","",Bangla!B143)</f>
        <v/>
      </c>
      <c r="I143" s="59">
        <f>IF(Bangla!C143="","",Bangla!C143)</f>
        <v>24</v>
      </c>
      <c r="J143" s="60">
        <f>IF(Bangla!D143="","",Bangla!D143)</f>
        <v>24</v>
      </c>
      <c r="K143" s="61">
        <f>IF(English!C143="","",English!C143)</f>
        <v>17</v>
      </c>
      <c r="L143" s="35">
        <f>IF(ICT!B143="","",ICT!B143)</f>
        <v>5</v>
      </c>
      <c r="M143" s="35">
        <f>IF(ICT!C143="","",ICT!C143)</f>
        <v>4</v>
      </c>
      <c r="N143" s="35">
        <f>IF(ICT!D143="","",ICT!D143)</f>
        <v>20</v>
      </c>
      <c r="O143" s="42">
        <f>IF(ICT!E143="","",ICT!E143)</f>
        <v>29</v>
      </c>
      <c r="P143" s="40">
        <f>IF(Accounting!B143="","",Accounting!B143)</f>
        <v>12</v>
      </c>
      <c r="Q143" s="40">
        <f>IF(Accounting!C143="","",Accounting!C143)</f>
        <v>33</v>
      </c>
      <c r="R143" s="44">
        <f>IF(Accounting!D143="","",Accounting!D143)</f>
        <v>45</v>
      </c>
      <c r="S143" s="35">
        <f>IF('Business Organization'!B143="","",'Business Organization'!B143)</f>
        <v>17</v>
      </c>
      <c r="T143" s="35">
        <f>IF('Business Organization'!C143="","",'Business Organization'!C143)</f>
        <v>24</v>
      </c>
      <c r="U143" s="42">
        <f>IF('Business Organization'!D143="","",'Business Organization'!D143)</f>
        <v>41</v>
      </c>
      <c r="V143" s="36">
        <f>IF(SubjectList!G143="Finance",IF(Finance!B143=0,"", Finance!B143),IF(SubjectList!G143="Production",IF(Production!B143=0,"", Production!B143),IF(SubjectList!G143="Economics",IF(Economics!B143=0,"", Economics!B143))))</f>
        <v>10</v>
      </c>
      <c r="W143" s="36">
        <f>IF(SubjectList!G143="Finance",IF(Finance!C143=0,"", Finance!C143),IF(SubjectList!G143="Production",IF(Production!C143=0,"", Production!C143),IF(SubjectList!G143="Economics",IF(Economics!C143=0,"", Economics!C143))))</f>
        <v>11</v>
      </c>
      <c r="X143" s="43">
        <f>IF(SubjectList!G143="Finance",IF(Finance!D143=0,"", Finance!D143),IF(SubjectList!G143="Production",IF(Production!D143=0,"", Production!D143),IF(SubjectList!G143="Economics",IF(Economics!D143=0,"", Economics!D143))))</f>
        <v>21</v>
      </c>
      <c r="Y143" s="40">
        <f>IF(SubjectList!H143="Finance",IF(Finance!B143=0,"", Finance!B143),IF(SubjectList!H143="Production",IF(Production!B143=0,"", Production!B143),IF(SubjectList!H143="Economics",IF(Economics!B143=0,"", Economics!B143))))</f>
        <v>12</v>
      </c>
      <c r="Z143" s="40">
        <f>IF(SubjectList!H143="Finance",IF(Finance!C143=0,"", Finance!C143),IF(SubjectList!H143="Production",IF(Production!C143=0,"", Production!C143),IF(SubjectList!H143="Economics",IF(Economics!C143=0,"", Economics!C143))))</f>
        <v>25</v>
      </c>
      <c r="AA143" s="44">
        <f>IF(SubjectList!H143="Finance",IF(Finance!D143=0,"", Finance!D143),IF(SubjectList!H143="Production",IF(Production!D143=0,"", Production!D143),IF(SubjectList!H143="Economics",IF(Economics!D143=0,"", Economics!D143))))</f>
        <v>37</v>
      </c>
      <c r="AB143" s="37" t="str">
        <f>IF(SubjectList!G143="Finance","Finance",IF(SubjectList!G143="Production","Production",IF(SubjectList!G143="Economics","Not Given")))</f>
        <v>Finance</v>
      </c>
      <c r="AC143" s="37" t="str">
        <f>IF(SubjectList!H143="Finance","Finance",IF(SubjectList!H143="Production","Production",IF(SubjectList!H143="Economics","Economics","Not Given")))</f>
        <v>Economics</v>
      </c>
      <c r="AD143" s="38" t="str">
        <f>Bangla!F143</f>
        <v>F</v>
      </c>
      <c r="AE143" s="38" t="str">
        <f>English!E143</f>
        <v>F</v>
      </c>
      <c r="AF143" s="38" t="str">
        <f>ICT!G143</f>
        <v>F</v>
      </c>
      <c r="AG143" s="38" t="str">
        <f>Accounting!F143</f>
        <v>C</v>
      </c>
      <c r="AH143" s="38" t="str">
        <f>'Business Organization'!F143</f>
        <v>C</v>
      </c>
      <c r="AI143" s="38" t="str">
        <f>Production!F143</f>
        <v/>
      </c>
      <c r="AJ143" s="38" t="str">
        <f>Finance!F143</f>
        <v>F</v>
      </c>
      <c r="AK143" s="39">
        <f>Bangla!G143</f>
        <v>0</v>
      </c>
      <c r="AL143" s="39">
        <f>English!F143</f>
        <v>0</v>
      </c>
      <c r="AM143" s="39">
        <f>ICT!H143</f>
        <v>0</v>
      </c>
      <c r="AN143" s="39">
        <f>Accounting!G143</f>
        <v>2</v>
      </c>
      <c r="AO143" s="39">
        <f>'Business Organization'!G143</f>
        <v>2</v>
      </c>
      <c r="AP143" s="39">
        <f>IF(SubjectList!G143="Finance",Finance!G143,IF(SubjectList!G143="Production",Production!G143,IF(SubjectList!G143="Economics",Economics!G143)))</f>
        <v>0</v>
      </c>
      <c r="AQ143" s="39">
        <f>IF(Optional!H143="","", Optional!H143)</f>
        <v>1</v>
      </c>
      <c r="AR143" s="39">
        <f>Optional!H143</f>
        <v>1</v>
      </c>
      <c r="AS143" s="39">
        <f>Optional!I143</f>
        <v>0</v>
      </c>
      <c r="AT143" s="39">
        <f t="shared" ref="AT143:AT145" si="57">IF(BE143=0, "", SUM(AK143:AP143))</f>
        <v>4</v>
      </c>
      <c r="AU143" s="39">
        <f t="shared" ref="AU143:AU145" si="58">SUM(AS143:AT143)</f>
        <v>4</v>
      </c>
      <c r="AV143" s="39" t="str">
        <f t="shared" ref="AV143:AV145" si="59">IF(BE143=6,IF(AU143&gt;=30,5,(AU143-AS143)/6),"")</f>
        <v/>
      </c>
      <c r="AW143" s="39" t="str">
        <f t="shared" ref="AW143:AW145" si="60">IF(BE143=6, IF(AU143&gt;=30,5,AU143/6), "")</f>
        <v/>
      </c>
      <c r="AX143" s="5">
        <f t="shared" si="52"/>
        <v>214</v>
      </c>
      <c r="AY143" s="41">
        <f t="shared" ref="AY143:AY145" si="61">(IF(AK143="",0,IF(AK143=0,0,1)))</f>
        <v>0</v>
      </c>
      <c r="AZ143" s="41">
        <f t="shared" ref="AZ143:AZ145" si="62">(IF(AL143="",0,IF(AL143=0,0,1)))</f>
        <v>0</v>
      </c>
      <c r="BA143" s="41">
        <f t="shared" ref="BA143:BA145" si="63">(IF(AM143="",0,IF(AM143=0,0,1)))</f>
        <v>0</v>
      </c>
      <c r="BB143" s="41">
        <f t="shared" ref="BB143:BB145" si="64">(IF(AN143="",0,IF(AN143=0,0,1)))</f>
        <v>1</v>
      </c>
      <c r="BC143" s="41">
        <f t="shared" ref="BC143:BC145" si="65">(IF(AO143="",0,IF(AO143=0,0,1)))</f>
        <v>1</v>
      </c>
      <c r="BD143" s="41">
        <f t="shared" ref="BD143:BD145" si="66">(IF(AP143="",0,IF(AP143=0,0,1)))</f>
        <v>0</v>
      </c>
      <c r="BE143" s="3">
        <f t="shared" ref="BE143:BE145" si="67">SUM(AY143:BD143)</f>
        <v>2</v>
      </c>
      <c r="BF143" s="3" t="str">
        <f t="shared" si="53"/>
        <v>Failed in 4 Subjects</v>
      </c>
      <c r="BG143" s="5" t="str">
        <f>IF(AW143="","",RANK(AW143,AW$2:AW145,0))</f>
        <v/>
      </c>
      <c r="BH143" s="3" t="str">
        <f t="shared" si="54"/>
        <v>খুবই দুর্বল</v>
      </c>
      <c r="BI143" t="str">
        <f t="shared" si="55"/>
        <v>Very Weak</v>
      </c>
      <c r="BJ143" s="104" t="str">
        <f t="shared" si="56"/>
        <v/>
      </c>
    </row>
    <row r="144" spans="1:62" x14ac:dyDescent="0.35">
      <c r="A144" s="3" t="str">
        <f>'Student Basic Info'!B144</f>
        <v>Business Studies</v>
      </c>
      <c r="B144" s="3">
        <f>'Student Basic Info'!A144</f>
        <v>643</v>
      </c>
      <c r="C144" s="3">
        <f>'Student Basic Info'!C144</f>
        <v>0</v>
      </c>
      <c r="D144" s="3">
        <f>'Student Basic Info'!D144</f>
        <v>0</v>
      </c>
      <c r="E144" s="3">
        <f>'Student Basic Info'!E144</f>
        <v>0</v>
      </c>
      <c r="F144" s="3" t="str">
        <f>'Student Basic Info'!F144</f>
        <v>Female</v>
      </c>
      <c r="G144" s="76"/>
      <c r="H144" s="59" t="str">
        <f>IF(Bangla!B144="","",Bangla!B144)</f>
        <v/>
      </c>
      <c r="I144" s="59" t="str">
        <f>IF(Bangla!C144="","",Bangla!C144)</f>
        <v/>
      </c>
      <c r="J144" s="60" t="str">
        <f>IF(Bangla!D144="","",Bangla!D144)</f>
        <v/>
      </c>
      <c r="K144" s="61" t="str">
        <f>IF(English!C144="","",English!C144)</f>
        <v/>
      </c>
      <c r="L144" s="35" t="str">
        <f>IF(ICT!B144="","",ICT!B144)</f>
        <v/>
      </c>
      <c r="M144" s="35" t="str">
        <f>IF(ICT!C144="","",ICT!C144)</f>
        <v/>
      </c>
      <c r="N144" s="35" t="str">
        <f>IF(ICT!D144="","",ICT!D144)</f>
        <v/>
      </c>
      <c r="O144" s="42" t="str">
        <f>IF(ICT!E144="","",ICT!E144)</f>
        <v/>
      </c>
      <c r="P144" s="40" t="str">
        <f>IF(Accounting!B144="","",Accounting!B144)</f>
        <v/>
      </c>
      <c r="Q144" s="40" t="str">
        <f>IF(Accounting!C144="","",Accounting!C144)</f>
        <v/>
      </c>
      <c r="R144" s="44" t="str">
        <f>IF(Accounting!D144="","",Accounting!D144)</f>
        <v/>
      </c>
      <c r="S144" s="35" t="str">
        <f>IF('Business Organization'!B144="","",'Business Organization'!B144)</f>
        <v/>
      </c>
      <c r="T144" s="35" t="str">
        <f>IF('Business Organization'!C144="","",'Business Organization'!C144)</f>
        <v/>
      </c>
      <c r="U144" s="42" t="str">
        <f>IF('Business Organization'!D144="","",'Business Organization'!D144)</f>
        <v/>
      </c>
      <c r="V144" s="36" t="str">
        <f>IF(SubjectList!G144="Finance",IF(Finance!B144=0,"", Finance!B144),IF(SubjectList!G144="Production",IF(Production!B144=0,"", Production!B144),IF(SubjectList!G144="Economics",IF(Economics!B144=0,"", Economics!B144))))</f>
        <v/>
      </c>
      <c r="W144" s="36" t="str">
        <f>IF(SubjectList!G144="Finance",IF(Finance!C144=0,"", Finance!C144),IF(SubjectList!G144="Production",IF(Production!C144=0,"", Production!C144),IF(SubjectList!G144="Economics",IF(Economics!C144=0,"", Economics!C144))))</f>
        <v/>
      </c>
      <c r="X144" s="43" t="str">
        <f>IF(SubjectList!G144="Finance",IF(Finance!D144=0,"", Finance!D144),IF(SubjectList!G144="Production",IF(Production!D144=0,"", Production!D144),IF(SubjectList!G144="Economics",IF(Economics!D144=0,"", Economics!D144))))</f>
        <v/>
      </c>
      <c r="Y144" s="40" t="str">
        <f>IF(SubjectList!H144="Finance",IF(Finance!B144=0,"", Finance!B144),IF(SubjectList!H144="Production",IF(Production!B144=0,"", Production!B144),IF(SubjectList!H144="Economics",IF(Economics!B144=0,"", Economics!B144))))</f>
        <v/>
      </c>
      <c r="Z144" s="40" t="str">
        <f>IF(SubjectList!H144="Finance",IF(Finance!C144=0,"", Finance!C144),IF(SubjectList!H144="Production",IF(Production!C144=0,"", Production!C144),IF(SubjectList!H144="Economics",IF(Economics!C144=0,"", Economics!C144))))</f>
        <v/>
      </c>
      <c r="AA144" s="44" t="str">
        <f>IF(SubjectList!H144="Finance",IF(Finance!D144=0,"", Finance!D144),IF(SubjectList!H144="Production",IF(Production!D144=0,"", Production!D144),IF(SubjectList!H144="Economics",IF(Economics!D144=0,"", Economics!D144))))</f>
        <v/>
      </c>
      <c r="AB144" s="37" t="str">
        <f>IF(SubjectList!G144="Finance","Finance",IF(SubjectList!G144="Production","Production",IF(SubjectList!G144="Economics","Not Given")))</f>
        <v>Finance</v>
      </c>
      <c r="AC144" s="37" t="str">
        <f>IF(SubjectList!H144="Finance","Finance",IF(SubjectList!H144="Production","Production",IF(SubjectList!H144="Economics","Economics","Not Given")))</f>
        <v>Production</v>
      </c>
      <c r="AD144" s="38" t="str">
        <f>Bangla!F144</f>
        <v/>
      </c>
      <c r="AE144" s="38" t="str">
        <f>English!E144</f>
        <v/>
      </c>
      <c r="AF144" s="38" t="str">
        <f>ICT!G144</f>
        <v/>
      </c>
      <c r="AG144" s="38" t="str">
        <f>Accounting!F144</f>
        <v/>
      </c>
      <c r="AH144" s="38" t="str">
        <f>'Business Organization'!F144</f>
        <v/>
      </c>
      <c r="AI144" s="38" t="str">
        <f>Production!F144</f>
        <v/>
      </c>
      <c r="AJ144" s="38" t="str">
        <f>Finance!F144</f>
        <v/>
      </c>
      <c r="AK144" s="39" t="str">
        <f>Bangla!G144</f>
        <v/>
      </c>
      <c r="AL144" s="39" t="str">
        <f>English!F144</f>
        <v/>
      </c>
      <c r="AM144" s="39" t="str">
        <f>ICT!H144</f>
        <v/>
      </c>
      <c r="AN144" s="39" t="str">
        <f>Accounting!G144</f>
        <v/>
      </c>
      <c r="AO144" s="39" t="str">
        <f>'Business Organization'!G144</f>
        <v/>
      </c>
      <c r="AP144" s="39" t="str">
        <f>IF(SubjectList!G144="Finance",Finance!G144,IF(SubjectList!G144="Production",Production!G144,IF(SubjectList!G144="Economics",Economics!G144)))</f>
        <v/>
      </c>
      <c r="AQ144" s="39" t="str">
        <f>IF(Optional!H144="","", Optional!H144)</f>
        <v/>
      </c>
      <c r="AR144" s="39" t="str">
        <f>Optional!H144</f>
        <v/>
      </c>
      <c r="AS144" s="39" t="str">
        <f>Optional!I144</f>
        <v/>
      </c>
      <c r="AT144" s="39" t="str">
        <f t="shared" si="57"/>
        <v/>
      </c>
      <c r="AU144" s="39">
        <f t="shared" si="58"/>
        <v>0</v>
      </c>
      <c r="AV144" s="39" t="str">
        <f t="shared" si="59"/>
        <v/>
      </c>
      <c r="AW144" s="39" t="str">
        <f t="shared" si="60"/>
        <v/>
      </c>
      <c r="AX144" s="5">
        <f t="shared" si="52"/>
        <v>0</v>
      </c>
      <c r="AY144" s="41">
        <f t="shared" si="61"/>
        <v>0</v>
      </c>
      <c r="AZ144" s="41">
        <f t="shared" si="62"/>
        <v>0</v>
      </c>
      <c r="BA144" s="41">
        <f t="shared" si="63"/>
        <v>0</v>
      </c>
      <c r="BB144" s="41">
        <f t="shared" si="64"/>
        <v>0</v>
      </c>
      <c r="BC144" s="41">
        <f t="shared" si="65"/>
        <v>0</v>
      </c>
      <c r="BD144" s="41">
        <f t="shared" si="66"/>
        <v>0</v>
      </c>
      <c r="BE144" s="3">
        <f t="shared" si="67"/>
        <v>0</v>
      </c>
      <c r="BF144" s="3" t="str">
        <f t="shared" si="53"/>
        <v>Failed in 6 Subjects</v>
      </c>
      <c r="BG144" s="5" t="str">
        <f>IF(AW144="","",RANK(AW144,AW$2:AW145,0))</f>
        <v/>
      </c>
      <c r="BH144" s="3" t="str">
        <f t="shared" si="54"/>
        <v>খুবই দুর্বল</v>
      </c>
      <c r="BI144" t="str">
        <f t="shared" si="55"/>
        <v>Very Weak</v>
      </c>
      <c r="BJ144" s="104" t="str">
        <f t="shared" si="56"/>
        <v/>
      </c>
    </row>
    <row r="145" spans="1:62" x14ac:dyDescent="0.35">
      <c r="A145" s="3" t="str">
        <f>'Student Basic Info'!B145</f>
        <v>Business Studies</v>
      </c>
      <c r="B145" s="3">
        <f>'Student Basic Info'!A145</f>
        <v>644</v>
      </c>
      <c r="C145" s="3" t="str">
        <f>'Student Basic Info'!C145</f>
        <v>Khadiza Aktar</v>
      </c>
      <c r="D145" s="3">
        <f>'Student Basic Info'!D145</f>
        <v>0</v>
      </c>
      <c r="E145" s="3">
        <f>'Student Basic Info'!E145</f>
        <v>0</v>
      </c>
      <c r="F145" s="3" t="str">
        <f>'Student Basic Info'!F145</f>
        <v>Female</v>
      </c>
      <c r="G145" s="76"/>
      <c r="H145" s="59" t="str">
        <f>IF(Bangla!B145="","",Bangla!B145)</f>
        <v/>
      </c>
      <c r="I145" s="59">
        <f>IF(Bangla!C145="","",Bangla!C145)</f>
        <v>22</v>
      </c>
      <c r="J145" s="60">
        <f>IF(Bangla!D145="","",Bangla!D145)</f>
        <v>22</v>
      </c>
      <c r="K145" s="61">
        <f>IF(English!C145="","",English!C145)</f>
        <v>10</v>
      </c>
      <c r="L145" s="35">
        <f>IF(ICT!B145="","",ICT!B145)</f>
        <v>5</v>
      </c>
      <c r="M145" s="35">
        <f>IF(ICT!C145="","",ICT!C145)</f>
        <v>4</v>
      </c>
      <c r="N145" s="35">
        <f>IF(ICT!D145="","",ICT!D145)</f>
        <v>20</v>
      </c>
      <c r="O145" s="42">
        <f>IF(ICT!E145="","",ICT!E145)</f>
        <v>29</v>
      </c>
      <c r="P145" s="40">
        <f>IF(Accounting!B145="","",Accounting!B145)</f>
        <v>7</v>
      </c>
      <c r="Q145" s="40">
        <f>IF(Accounting!C145="","",Accounting!C145)</f>
        <v>23</v>
      </c>
      <c r="R145" s="44">
        <f>IF(Accounting!D145="","",Accounting!D145)</f>
        <v>30</v>
      </c>
      <c r="S145" s="35">
        <f>IF('Business Organization'!B145="","",'Business Organization'!B145)</f>
        <v>17</v>
      </c>
      <c r="T145" s="35">
        <f>IF('Business Organization'!C145="","",'Business Organization'!C145)</f>
        <v>7</v>
      </c>
      <c r="U145" s="42">
        <f>IF('Business Organization'!D145="","",'Business Organization'!D145)</f>
        <v>24</v>
      </c>
      <c r="V145" s="36">
        <f>IF(SubjectList!G145="Finance",IF(Finance!B145=0,"", Finance!B145),IF(SubjectList!G145="Production",IF(Production!B145=0,"", Production!B145),IF(SubjectList!G145="Economics",IF(Economics!B145=0,"", Economics!B145))))</f>
        <v>10</v>
      </c>
      <c r="W145" s="36">
        <f>IF(SubjectList!G145="Finance",IF(Finance!C145=0,"", Finance!C145),IF(SubjectList!G145="Production",IF(Production!C145=0,"", Production!C145),IF(SubjectList!G145="Economics",IF(Economics!C145=0,"", Economics!C145))))</f>
        <v>10</v>
      </c>
      <c r="X145" s="43">
        <f>IF(SubjectList!G145="Finance",IF(Finance!D145=0,"", Finance!D145),IF(SubjectList!G145="Production",IF(Production!D145=0,"", Production!D145),IF(SubjectList!G145="Economics",IF(Economics!D145=0,"", Economics!D145))))</f>
        <v>20</v>
      </c>
      <c r="Y145" s="40">
        <f>IF(SubjectList!H145="Finance",IF(Finance!B145=0,"", Finance!B145),IF(SubjectList!H145="Production",IF(Production!B145=0,"", Production!B145),IF(SubjectList!H145="Economics",IF(Economics!B145=0,"", Economics!B145))))</f>
        <v>9</v>
      </c>
      <c r="Z145" s="40">
        <f>IF(SubjectList!H145="Finance",IF(Finance!C145=0,"", Finance!C145),IF(SubjectList!H145="Production",IF(Production!C145=0,"", Production!C145),IF(SubjectList!H145="Economics",IF(Economics!C145=0,"", Economics!C145))))</f>
        <v>11</v>
      </c>
      <c r="AA145" s="44">
        <f>IF(SubjectList!H145="Finance",IF(Finance!D145=0,"", Finance!D145),IF(SubjectList!H145="Production",IF(Production!D145=0,"", Production!D145),IF(SubjectList!H145="Economics",IF(Economics!D145=0,"", Economics!D145))))</f>
        <v>20</v>
      </c>
      <c r="AB145" s="37" t="str">
        <f>IF(SubjectList!G145="Finance","Finance",IF(SubjectList!G145="Production","Production",IF(SubjectList!G145="Economics","Not Given")))</f>
        <v>Finance</v>
      </c>
      <c r="AC145" s="37" t="str">
        <f>IF(SubjectList!H145="Finance","Finance",IF(SubjectList!H145="Production","Production",IF(SubjectList!H145="Economics","Economics","Not Given")))</f>
        <v>Production</v>
      </c>
      <c r="AD145" s="38" t="str">
        <f>Bangla!F145</f>
        <v>F</v>
      </c>
      <c r="AE145" s="38" t="str">
        <f>English!E145</f>
        <v>F</v>
      </c>
      <c r="AF145" s="38" t="str">
        <f>ICT!G145</f>
        <v>F</v>
      </c>
      <c r="AG145" s="38" t="str">
        <f>Accounting!F145</f>
        <v>F</v>
      </c>
      <c r="AH145" s="38" t="str">
        <f>'Business Organization'!F145</f>
        <v>F</v>
      </c>
      <c r="AI145" s="38" t="str">
        <f>Production!F145</f>
        <v>F</v>
      </c>
      <c r="AJ145" s="38" t="str">
        <f>Finance!F145</f>
        <v>F</v>
      </c>
      <c r="AK145" s="39">
        <f>Bangla!G145</f>
        <v>0</v>
      </c>
      <c r="AL145" s="39">
        <f>English!F145</f>
        <v>0</v>
      </c>
      <c r="AM145" s="39">
        <f>ICT!H145</f>
        <v>0</v>
      </c>
      <c r="AN145" s="39">
        <f>Accounting!G145</f>
        <v>0</v>
      </c>
      <c r="AO145" s="39">
        <f>'Business Organization'!G145</f>
        <v>0</v>
      </c>
      <c r="AP145" s="39">
        <f>IF(SubjectList!G145="Finance",Finance!G145,IF(SubjectList!G145="Production",Production!G145,IF(SubjectList!G145="Economics",Economics!G145)))</f>
        <v>0</v>
      </c>
      <c r="AQ145" s="39">
        <f>IF(Optional!H145="","", Optional!H145)</f>
        <v>0</v>
      </c>
      <c r="AR145" s="39">
        <f>Optional!H145</f>
        <v>0</v>
      </c>
      <c r="AS145" s="39">
        <f>Optional!I145</f>
        <v>0</v>
      </c>
      <c r="AT145" s="39" t="str">
        <f t="shared" si="57"/>
        <v/>
      </c>
      <c r="AU145" s="39">
        <f t="shared" si="58"/>
        <v>0</v>
      </c>
      <c r="AV145" s="39" t="str">
        <f t="shared" si="59"/>
        <v/>
      </c>
      <c r="AW145" s="39" t="str">
        <f t="shared" si="60"/>
        <v/>
      </c>
      <c r="AX145" s="5">
        <f t="shared" si="52"/>
        <v>155</v>
      </c>
      <c r="AY145" s="41">
        <f t="shared" si="61"/>
        <v>0</v>
      </c>
      <c r="AZ145" s="41">
        <f t="shared" si="62"/>
        <v>0</v>
      </c>
      <c r="BA145" s="41">
        <f t="shared" si="63"/>
        <v>0</v>
      </c>
      <c r="BB145" s="41">
        <f t="shared" si="64"/>
        <v>0</v>
      </c>
      <c r="BC145" s="41">
        <f t="shared" si="65"/>
        <v>0</v>
      </c>
      <c r="BD145" s="41">
        <f t="shared" si="66"/>
        <v>0</v>
      </c>
      <c r="BE145" s="3">
        <f t="shared" si="67"/>
        <v>0</v>
      </c>
      <c r="BF145" s="3" t="str">
        <f t="shared" si="53"/>
        <v>Failed in 6 Subjects</v>
      </c>
      <c r="BG145" s="5" t="str">
        <f>IF(AW145="","",RANK(AW145,AW$2:AW145,0))</f>
        <v/>
      </c>
      <c r="BH145" s="3" t="str">
        <f t="shared" si="54"/>
        <v>খুবই দুর্বল</v>
      </c>
      <c r="BI145" t="str">
        <f t="shared" si="55"/>
        <v>Very Weak</v>
      </c>
      <c r="BJ145" s="104" t="str">
        <f t="shared" si="56"/>
        <v/>
      </c>
    </row>
  </sheetData>
  <sheetProtection formatCells="0" formatColumns="0" formatRows="0" insertColumns="0" insertRows="0" insertHyperlinks="0" deleteColumns="0" deleteRows="0"/>
  <mergeCells count="1">
    <mergeCell ref="G99:G100"/>
  </mergeCells>
  <conditionalFormatting sqref="BF2:BF145">
    <cfRule type="containsText" dxfId="9" priority="1" operator="containsText" text="Pass">
      <formula>NOT(ISERROR(SEARCH("Pass",BF2)))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topLeftCell="A100" zoomScaleNormal="100" workbookViewId="0">
      <selection activeCell="B152" sqref="B152"/>
    </sheetView>
  </sheetViews>
  <sheetFormatPr defaultRowHeight="14.5" x14ac:dyDescent="0.35"/>
  <cols>
    <col min="1" max="1" width="8.7265625" style="1"/>
    <col min="2" max="2" width="23.54296875" style="1" bestFit="1" customWidth="1"/>
    <col min="3" max="3" width="0" style="1" hidden="1" customWidth="1"/>
    <col min="4" max="4" width="16.54296875" style="1" hidden="1" customWidth="1"/>
    <col min="5" max="5" width="0" style="1" hidden="1" customWidth="1"/>
    <col min="6" max="6" width="10.08984375" style="1" hidden="1" customWidth="1"/>
    <col min="7" max="7" width="12" style="1" hidden="1" customWidth="1"/>
    <col min="8" max="10" width="0" style="1" hidden="1" customWidth="1"/>
    <col min="11" max="11" width="0" hidden="1" customWidth="1"/>
    <col min="12" max="12" width="10.36328125" hidden="1" customWidth="1"/>
    <col min="13" max="13" width="16.54296875" bestFit="1" customWidth="1"/>
    <col min="16" max="16" width="12.7265625" bestFit="1" customWidth="1"/>
  </cols>
  <sheetData>
    <row r="1" spans="1:16" x14ac:dyDescent="0.35">
      <c r="A1" s="13" t="s">
        <v>0</v>
      </c>
      <c r="B1" s="13" t="s">
        <v>34</v>
      </c>
      <c r="C1" s="13" t="s">
        <v>12</v>
      </c>
      <c r="D1" s="13" t="s">
        <v>13</v>
      </c>
      <c r="E1" s="13" t="s">
        <v>14</v>
      </c>
      <c r="F1" s="13" t="s">
        <v>181</v>
      </c>
      <c r="G1" s="13" t="s">
        <v>870</v>
      </c>
      <c r="H1" s="13" t="s">
        <v>18</v>
      </c>
      <c r="I1" s="13" t="s">
        <v>19</v>
      </c>
      <c r="J1" s="13" t="s">
        <v>869</v>
      </c>
      <c r="K1" s="13" t="s">
        <v>866</v>
      </c>
      <c r="L1" s="84" t="s">
        <v>867</v>
      </c>
      <c r="M1" s="85" t="s">
        <v>7</v>
      </c>
      <c r="N1" s="84" t="s">
        <v>9</v>
      </c>
      <c r="O1" s="84" t="s">
        <v>8</v>
      </c>
      <c r="P1" s="85" t="s">
        <v>868</v>
      </c>
    </row>
    <row r="2" spans="1:16" x14ac:dyDescent="0.35">
      <c r="A2" s="88">
        <f>'Student Basic Info'!A2</f>
        <v>501</v>
      </c>
      <c r="B2" s="86" t="str">
        <f>'Student Basic Info'!C2</f>
        <v xml:space="preserve">Robiul Sani </v>
      </c>
      <c r="C2" s="89" t="str">
        <f>'Detailed Summary'!AK2</f>
        <v/>
      </c>
      <c r="D2" s="89" t="str">
        <f>'Detailed Summary'!AL2</f>
        <v/>
      </c>
      <c r="E2" s="89" t="str">
        <f>'Detailed Summary'!AM2</f>
        <v/>
      </c>
      <c r="F2" s="89" t="str">
        <f>'Detailed Summary'!AN2</f>
        <v/>
      </c>
      <c r="G2" s="89" t="str">
        <f>'Detailed Summary'!AO2</f>
        <v/>
      </c>
      <c r="H2" s="89" t="str">
        <f>'Detailed Summary'!AP2</f>
        <v/>
      </c>
      <c r="I2" s="89" t="str">
        <f>'Detailed Summary'!AR2</f>
        <v/>
      </c>
      <c r="J2" s="89" t="str">
        <f>'Detailed Summary'!AS2</f>
        <v/>
      </c>
      <c r="K2" s="39">
        <f>'Detailed Summary'!AU2</f>
        <v>0</v>
      </c>
      <c r="L2" s="87" t="str">
        <f>'Detailed Summary'!AV2</f>
        <v/>
      </c>
      <c r="M2" s="3" t="str">
        <f>'Detailed Summary'!BF2</f>
        <v>Failed in 6 Subjects</v>
      </c>
      <c r="N2" s="87" t="str">
        <f>'Detailed Summary'!AW2</f>
        <v/>
      </c>
      <c r="O2" s="87" t="str">
        <f>'Detailed Summary'!BJ2</f>
        <v/>
      </c>
      <c r="P2" s="5" t="str">
        <f>'Detailed Summary'!BG2</f>
        <v/>
      </c>
    </row>
    <row r="3" spans="1:16" x14ac:dyDescent="0.35">
      <c r="A3" s="88">
        <f>'Student Basic Info'!A3</f>
        <v>502</v>
      </c>
      <c r="B3" s="86" t="str">
        <f>'Student Basic Info'!C3</f>
        <v>Shakhawat Hosain</v>
      </c>
      <c r="C3" s="89" t="str">
        <f>'Detailed Summary'!AK3</f>
        <v/>
      </c>
      <c r="D3" s="89" t="str">
        <f>'Detailed Summary'!AL3</f>
        <v/>
      </c>
      <c r="E3" s="89" t="str">
        <f>'Detailed Summary'!AM3</f>
        <v/>
      </c>
      <c r="F3" s="89" t="str">
        <f>'Detailed Summary'!AN3</f>
        <v/>
      </c>
      <c r="G3" s="89" t="str">
        <f>'Detailed Summary'!AO3</f>
        <v/>
      </c>
      <c r="H3" s="89" t="str">
        <f>'Detailed Summary'!AP3</f>
        <v/>
      </c>
      <c r="I3" s="89" t="str">
        <f>'Detailed Summary'!AR3</f>
        <v/>
      </c>
      <c r="J3" s="89" t="str">
        <f>'Detailed Summary'!AS3</f>
        <v/>
      </c>
      <c r="K3" s="39">
        <f>'Detailed Summary'!AU3</f>
        <v>0</v>
      </c>
      <c r="L3" s="87" t="str">
        <f>'Detailed Summary'!AV3</f>
        <v/>
      </c>
      <c r="M3" s="3" t="str">
        <f>'Detailed Summary'!BF3</f>
        <v>Failed in 6 Subjects</v>
      </c>
      <c r="N3" s="87" t="str">
        <f>'Detailed Summary'!AW3</f>
        <v/>
      </c>
      <c r="O3" s="87" t="str">
        <f>'Detailed Summary'!BJ3</f>
        <v/>
      </c>
      <c r="P3" s="5" t="str">
        <f>'Detailed Summary'!BG3</f>
        <v/>
      </c>
    </row>
    <row r="4" spans="1:16" x14ac:dyDescent="0.35">
      <c r="A4" s="88">
        <f>'Student Basic Info'!A4</f>
        <v>503</v>
      </c>
      <c r="B4" s="86" t="str">
        <f>'Student Basic Info'!C4</f>
        <v>Nusrat Sultana</v>
      </c>
      <c r="C4" s="89">
        <f>'Detailed Summary'!AK4</f>
        <v>3</v>
      </c>
      <c r="D4" s="89">
        <f>'Detailed Summary'!AL4</f>
        <v>1</v>
      </c>
      <c r="E4" s="89">
        <f>'Detailed Summary'!AM4</f>
        <v>2</v>
      </c>
      <c r="F4" s="89">
        <f>'Detailed Summary'!AN4</f>
        <v>1</v>
      </c>
      <c r="G4" s="89">
        <f>'Detailed Summary'!AO4</f>
        <v>1</v>
      </c>
      <c r="H4" s="89">
        <f>'Detailed Summary'!AP4</f>
        <v>1</v>
      </c>
      <c r="I4" s="89">
        <f>'Detailed Summary'!AR4</f>
        <v>2</v>
      </c>
      <c r="J4" s="89">
        <f>'Detailed Summary'!AS4</f>
        <v>0</v>
      </c>
      <c r="K4" s="39">
        <f>'Detailed Summary'!AU4</f>
        <v>9</v>
      </c>
      <c r="L4" s="87">
        <f>'Detailed Summary'!AV4</f>
        <v>1.5</v>
      </c>
      <c r="M4" s="3" t="str">
        <f>'Detailed Summary'!BF4</f>
        <v>Pass</v>
      </c>
      <c r="N4" s="87">
        <f>'Detailed Summary'!AW4</f>
        <v>1.5</v>
      </c>
      <c r="O4" s="87" t="str">
        <f>'Detailed Summary'!BJ4</f>
        <v>D</v>
      </c>
      <c r="P4" s="5">
        <f>'Detailed Summary'!BG4</f>
        <v>12</v>
      </c>
    </row>
    <row r="5" spans="1:16" x14ac:dyDescent="0.35">
      <c r="A5" s="88">
        <f>'Student Basic Info'!A5</f>
        <v>504</v>
      </c>
      <c r="B5" s="86" t="str">
        <f>'Student Basic Info'!C5</f>
        <v>Nusrat Zahan</v>
      </c>
      <c r="C5" s="89">
        <f>'Detailed Summary'!AK5</f>
        <v>3</v>
      </c>
      <c r="D5" s="89">
        <f>'Detailed Summary'!AL5</f>
        <v>0</v>
      </c>
      <c r="E5" s="89">
        <f>'Detailed Summary'!AM5</f>
        <v>0</v>
      </c>
      <c r="F5" s="89">
        <f>'Detailed Summary'!AN5</f>
        <v>0</v>
      </c>
      <c r="G5" s="89">
        <f>'Detailed Summary'!AO5</f>
        <v>0</v>
      </c>
      <c r="H5" s="89">
        <f>'Detailed Summary'!AP5</f>
        <v>2</v>
      </c>
      <c r="I5" s="89">
        <f>'Detailed Summary'!AR5</f>
        <v>2</v>
      </c>
      <c r="J5" s="89">
        <f>'Detailed Summary'!AS5</f>
        <v>0</v>
      </c>
      <c r="K5" s="39">
        <f>'Detailed Summary'!AU5</f>
        <v>5</v>
      </c>
      <c r="L5" s="87" t="str">
        <f>'Detailed Summary'!AV5</f>
        <v/>
      </c>
      <c r="M5" s="3" t="str">
        <f>'Detailed Summary'!BF5</f>
        <v>Failed in 4 Subjects</v>
      </c>
      <c r="N5" s="87" t="str">
        <f>'Detailed Summary'!AW5</f>
        <v/>
      </c>
      <c r="O5" s="87" t="str">
        <f>'Detailed Summary'!BJ5</f>
        <v/>
      </c>
      <c r="P5" s="5" t="str">
        <f>'Detailed Summary'!BG5</f>
        <v/>
      </c>
    </row>
    <row r="6" spans="1:16" x14ac:dyDescent="0.35">
      <c r="A6" s="88">
        <f>'Student Basic Info'!A6</f>
        <v>505</v>
      </c>
      <c r="B6" s="86" t="str">
        <f>'Student Basic Info'!C6</f>
        <v>Istiaque Mahmud</v>
      </c>
      <c r="C6" s="89" t="str">
        <f>'Detailed Summary'!AK6</f>
        <v/>
      </c>
      <c r="D6" s="89" t="str">
        <f>'Detailed Summary'!AL6</f>
        <v/>
      </c>
      <c r="E6" s="89" t="str">
        <f>'Detailed Summary'!AM6</f>
        <v/>
      </c>
      <c r="F6" s="89" t="str">
        <f>'Detailed Summary'!AN6</f>
        <v/>
      </c>
      <c r="G6" s="89" t="str">
        <f>'Detailed Summary'!AO6</f>
        <v/>
      </c>
      <c r="H6" s="89" t="str">
        <f>'Detailed Summary'!AP6</f>
        <v/>
      </c>
      <c r="I6" s="89" t="str">
        <f>'Detailed Summary'!AR6</f>
        <v/>
      </c>
      <c r="J6" s="89" t="str">
        <f>'Detailed Summary'!AS6</f>
        <v/>
      </c>
      <c r="K6" s="39">
        <f>'Detailed Summary'!AU6</f>
        <v>0</v>
      </c>
      <c r="L6" s="87" t="str">
        <f>'Detailed Summary'!AV6</f>
        <v/>
      </c>
      <c r="M6" s="3" t="str">
        <f>'Detailed Summary'!BF6</f>
        <v>Failed in 6 Subjects</v>
      </c>
      <c r="N6" s="87" t="str">
        <f>'Detailed Summary'!AW6</f>
        <v/>
      </c>
      <c r="O6" s="87" t="str">
        <f>'Detailed Summary'!BJ6</f>
        <v/>
      </c>
      <c r="P6" s="5" t="str">
        <f>'Detailed Summary'!BG6</f>
        <v/>
      </c>
    </row>
    <row r="7" spans="1:16" x14ac:dyDescent="0.35">
      <c r="A7" s="88">
        <f>'Student Basic Info'!A7</f>
        <v>506</v>
      </c>
      <c r="B7" s="86" t="str">
        <f>'Student Basic Info'!C7</f>
        <v>Naznin Aktar</v>
      </c>
      <c r="C7" s="89" t="str">
        <f>'Detailed Summary'!AK7</f>
        <v/>
      </c>
      <c r="D7" s="89" t="str">
        <f>'Detailed Summary'!AL7</f>
        <v/>
      </c>
      <c r="E7" s="89" t="str">
        <f>'Detailed Summary'!AM7</f>
        <v/>
      </c>
      <c r="F7" s="89" t="str">
        <f>'Detailed Summary'!AN7</f>
        <v/>
      </c>
      <c r="G7" s="89" t="str">
        <f>'Detailed Summary'!AO7</f>
        <v/>
      </c>
      <c r="H7" s="89" t="str">
        <f>'Detailed Summary'!AP7</f>
        <v/>
      </c>
      <c r="I7" s="89" t="str">
        <f>'Detailed Summary'!AR7</f>
        <v/>
      </c>
      <c r="J7" s="89" t="str">
        <f>'Detailed Summary'!AS7</f>
        <v/>
      </c>
      <c r="K7" s="39">
        <f>'Detailed Summary'!AU7</f>
        <v>0</v>
      </c>
      <c r="L7" s="87" t="str">
        <f>'Detailed Summary'!AV7</f>
        <v/>
      </c>
      <c r="M7" s="3" t="str">
        <f>'Detailed Summary'!BF7</f>
        <v>Failed in 6 Subjects</v>
      </c>
      <c r="N7" s="87" t="str">
        <f>'Detailed Summary'!AW7</f>
        <v/>
      </c>
      <c r="O7" s="87" t="str">
        <f>'Detailed Summary'!BJ7</f>
        <v/>
      </c>
      <c r="P7" s="5" t="str">
        <f>'Detailed Summary'!BG7</f>
        <v/>
      </c>
    </row>
    <row r="8" spans="1:16" x14ac:dyDescent="0.35">
      <c r="A8" s="88">
        <f>'Student Basic Info'!A8</f>
        <v>507</v>
      </c>
      <c r="B8" s="86" t="str">
        <f>'Student Basic Info'!C8</f>
        <v>Fariha Islam</v>
      </c>
      <c r="C8" s="89">
        <f>'Detailed Summary'!AK8</f>
        <v>3.5</v>
      </c>
      <c r="D8" s="89">
        <f>'Detailed Summary'!AL8</f>
        <v>2</v>
      </c>
      <c r="E8" s="89">
        <f>'Detailed Summary'!AM8</f>
        <v>4</v>
      </c>
      <c r="F8" s="89">
        <f>'Detailed Summary'!AN8</f>
        <v>2</v>
      </c>
      <c r="G8" s="89">
        <f>'Detailed Summary'!AO8</f>
        <v>3.5</v>
      </c>
      <c r="H8" s="89">
        <f>'Detailed Summary'!AP8</f>
        <v>1</v>
      </c>
      <c r="I8" s="89">
        <f>'Detailed Summary'!AR8</f>
        <v>3.5</v>
      </c>
      <c r="J8" s="89">
        <f>'Detailed Summary'!AS8</f>
        <v>1.5</v>
      </c>
      <c r="K8" s="39">
        <f>'Detailed Summary'!AU8</f>
        <v>17.5</v>
      </c>
      <c r="L8" s="87">
        <f>'Detailed Summary'!AV8</f>
        <v>2.6666666666666665</v>
      </c>
      <c r="M8" s="3" t="str">
        <f>'Detailed Summary'!BF8</f>
        <v>Pass</v>
      </c>
      <c r="N8" s="87">
        <f>'Detailed Summary'!AW8</f>
        <v>2.9166666666666665</v>
      </c>
      <c r="O8" s="87" t="str">
        <f>'Detailed Summary'!BJ8</f>
        <v>C</v>
      </c>
      <c r="P8" s="5">
        <f>'Detailed Summary'!BG8</f>
        <v>4</v>
      </c>
    </row>
    <row r="9" spans="1:16" x14ac:dyDescent="0.35">
      <c r="A9" s="88">
        <f>'Student Basic Info'!A9</f>
        <v>508</v>
      </c>
      <c r="B9" s="86" t="str">
        <f>'Student Basic Info'!C9</f>
        <v>Suraiya Aktar</v>
      </c>
      <c r="C9" s="89">
        <f>'Detailed Summary'!AK9</f>
        <v>3</v>
      </c>
      <c r="D9" s="89">
        <f>'Detailed Summary'!AL9</f>
        <v>1</v>
      </c>
      <c r="E9" s="89">
        <f>'Detailed Summary'!AM9</f>
        <v>3</v>
      </c>
      <c r="F9" s="89">
        <f>'Detailed Summary'!AN9</f>
        <v>3</v>
      </c>
      <c r="G9" s="89">
        <f>'Detailed Summary'!AO9</f>
        <v>3</v>
      </c>
      <c r="H9" s="89">
        <f>'Detailed Summary'!AP9</f>
        <v>3</v>
      </c>
      <c r="I9" s="89">
        <f>'Detailed Summary'!AR9</f>
        <v>0</v>
      </c>
      <c r="J9" s="89">
        <f>'Detailed Summary'!AS9</f>
        <v>0</v>
      </c>
      <c r="K9" s="39">
        <f>'Detailed Summary'!AU9</f>
        <v>16</v>
      </c>
      <c r="L9" s="87">
        <f>'Detailed Summary'!AV9</f>
        <v>2.6666666666666665</v>
      </c>
      <c r="M9" s="3" t="str">
        <f>'Detailed Summary'!BF9</f>
        <v>Pass</v>
      </c>
      <c r="N9" s="87">
        <f>'Detailed Summary'!AW9</f>
        <v>2.6666666666666665</v>
      </c>
      <c r="O9" s="87" t="str">
        <f>'Detailed Summary'!BJ9</f>
        <v>C</v>
      </c>
      <c r="P9" s="5">
        <f>'Detailed Summary'!BG9</f>
        <v>7</v>
      </c>
    </row>
    <row r="10" spans="1:16" x14ac:dyDescent="0.35">
      <c r="A10" s="88">
        <f>'Student Basic Info'!A10</f>
        <v>509</v>
      </c>
      <c r="B10" s="86" t="str">
        <f>'Student Basic Info'!C10</f>
        <v>Muntasir Ahamml Siyam</v>
      </c>
      <c r="C10" s="89">
        <f>'Detailed Summary'!AK10</f>
        <v>1</v>
      </c>
      <c r="D10" s="89">
        <f>'Detailed Summary'!AL10</f>
        <v>0</v>
      </c>
      <c r="E10" s="89">
        <f>'Detailed Summary'!AM10</f>
        <v>0</v>
      </c>
      <c r="F10" s="89">
        <f>'Detailed Summary'!AN10</f>
        <v>0</v>
      </c>
      <c r="G10" s="89">
        <f>'Detailed Summary'!AO10</f>
        <v>0</v>
      </c>
      <c r="H10" s="89">
        <f>'Detailed Summary'!AP10</f>
        <v>0</v>
      </c>
      <c r="I10" s="89">
        <f>'Detailed Summary'!AR10</f>
        <v>1</v>
      </c>
      <c r="J10" s="89">
        <f>'Detailed Summary'!AS10</f>
        <v>0</v>
      </c>
      <c r="K10" s="39">
        <f>'Detailed Summary'!AU10</f>
        <v>1</v>
      </c>
      <c r="L10" s="87" t="str">
        <f>'Detailed Summary'!AV10</f>
        <v/>
      </c>
      <c r="M10" s="3" t="str">
        <f>'Detailed Summary'!BF10</f>
        <v>Failed in 5 Subjects</v>
      </c>
      <c r="N10" s="87" t="str">
        <f>'Detailed Summary'!AW10</f>
        <v/>
      </c>
      <c r="O10" s="87" t="str">
        <f>'Detailed Summary'!BJ10</f>
        <v/>
      </c>
      <c r="P10" s="5" t="str">
        <f>'Detailed Summary'!BG10</f>
        <v/>
      </c>
    </row>
    <row r="11" spans="1:16" x14ac:dyDescent="0.35">
      <c r="A11" s="88">
        <f>'Student Basic Info'!A11</f>
        <v>510</v>
      </c>
      <c r="B11" s="86" t="str">
        <f>'Student Basic Info'!C11</f>
        <v>Tanbir Ahammed Alif</v>
      </c>
      <c r="C11" s="89" t="str">
        <f>'Detailed Summary'!AK11</f>
        <v/>
      </c>
      <c r="D11" s="89" t="str">
        <f>'Detailed Summary'!AL11</f>
        <v/>
      </c>
      <c r="E11" s="89" t="str">
        <f>'Detailed Summary'!AM11</f>
        <v/>
      </c>
      <c r="F11" s="89" t="str">
        <f>'Detailed Summary'!AN11</f>
        <v/>
      </c>
      <c r="G11" s="89" t="str">
        <f>'Detailed Summary'!AO11</f>
        <v/>
      </c>
      <c r="H11" s="89" t="str">
        <f>'Detailed Summary'!AP11</f>
        <v/>
      </c>
      <c r="I11" s="89" t="str">
        <f>'Detailed Summary'!AR11</f>
        <v/>
      </c>
      <c r="J11" s="89" t="str">
        <f>'Detailed Summary'!AS11</f>
        <v/>
      </c>
      <c r="K11" s="39">
        <f>'Detailed Summary'!AU11</f>
        <v>0</v>
      </c>
      <c r="L11" s="87" t="str">
        <f>'Detailed Summary'!AV11</f>
        <v/>
      </c>
      <c r="M11" s="3" t="str">
        <f>'Detailed Summary'!BF11</f>
        <v>Failed in 6 Subjects</v>
      </c>
      <c r="N11" s="87" t="str">
        <f>'Detailed Summary'!AW11</f>
        <v/>
      </c>
      <c r="O11" s="87" t="str">
        <f>'Detailed Summary'!BJ11</f>
        <v/>
      </c>
      <c r="P11" s="5" t="str">
        <f>'Detailed Summary'!BG11</f>
        <v/>
      </c>
    </row>
    <row r="12" spans="1:16" x14ac:dyDescent="0.35">
      <c r="A12" s="88">
        <f>'Student Basic Info'!A12</f>
        <v>511</v>
      </c>
      <c r="B12" s="86" t="str">
        <f>'Student Basic Info'!C12</f>
        <v xml:space="preserve">Asifuz Zaman </v>
      </c>
      <c r="C12" s="89">
        <f>'Detailed Summary'!AK12</f>
        <v>2</v>
      </c>
      <c r="D12" s="89">
        <f>'Detailed Summary'!AL12</f>
        <v>0</v>
      </c>
      <c r="E12" s="89">
        <f>'Detailed Summary'!AM12</f>
        <v>0</v>
      </c>
      <c r="F12" s="89">
        <f>'Detailed Summary'!AN12</f>
        <v>1</v>
      </c>
      <c r="G12" s="89">
        <f>'Detailed Summary'!AO12</f>
        <v>0</v>
      </c>
      <c r="H12" s="89">
        <f>'Detailed Summary'!AP12</f>
        <v>1</v>
      </c>
      <c r="I12" s="89">
        <f>'Detailed Summary'!AR12</f>
        <v>0</v>
      </c>
      <c r="J12" s="89">
        <f>'Detailed Summary'!AS12</f>
        <v>0</v>
      </c>
      <c r="K12" s="39">
        <f>'Detailed Summary'!AU12</f>
        <v>4</v>
      </c>
      <c r="L12" s="87" t="str">
        <f>'Detailed Summary'!AV12</f>
        <v/>
      </c>
      <c r="M12" s="3" t="str">
        <f>'Detailed Summary'!BF12</f>
        <v>Failed in 3 Subjects</v>
      </c>
      <c r="N12" s="87" t="str">
        <f>'Detailed Summary'!AW12</f>
        <v/>
      </c>
      <c r="O12" s="87" t="str">
        <f>'Detailed Summary'!BJ12</f>
        <v/>
      </c>
      <c r="P12" s="5" t="str">
        <f>'Detailed Summary'!BG12</f>
        <v/>
      </c>
    </row>
    <row r="13" spans="1:16" x14ac:dyDescent="0.35">
      <c r="A13" s="88">
        <f>'Student Basic Info'!A13</f>
        <v>512</v>
      </c>
      <c r="B13" s="86" t="str">
        <f>'Student Basic Info'!C13</f>
        <v>Md. Arfatuzzaman</v>
      </c>
      <c r="C13" s="89">
        <f>'Detailed Summary'!AK13</f>
        <v>1</v>
      </c>
      <c r="D13" s="89">
        <f>'Detailed Summary'!AL13</f>
        <v>0</v>
      </c>
      <c r="E13" s="89">
        <f>'Detailed Summary'!AM13</f>
        <v>0</v>
      </c>
      <c r="F13" s="89">
        <f>'Detailed Summary'!AN13</f>
        <v>0</v>
      </c>
      <c r="G13" s="89">
        <f>'Detailed Summary'!AO13</f>
        <v>1</v>
      </c>
      <c r="H13" s="89">
        <f>'Detailed Summary'!AP13</f>
        <v>0</v>
      </c>
      <c r="I13" s="89">
        <f>'Detailed Summary'!AR13</f>
        <v>1</v>
      </c>
      <c r="J13" s="89">
        <f>'Detailed Summary'!AS13</f>
        <v>0</v>
      </c>
      <c r="K13" s="39">
        <f>'Detailed Summary'!AU13</f>
        <v>2</v>
      </c>
      <c r="L13" s="87" t="str">
        <f>'Detailed Summary'!AV13</f>
        <v/>
      </c>
      <c r="M13" s="3" t="str">
        <f>'Detailed Summary'!BF13</f>
        <v>Failed in 4 Subjects</v>
      </c>
      <c r="N13" s="87" t="str">
        <f>'Detailed Summary'!AW13</f>
        <v/>
      </c>
      <c r="O13" s="87" t="str">
        <f>'Detailed Summary'!BJ13</f>
        <v/>
      </c>
      <c r="P13" s="5" t="str">
        <f>'Detailed Summary'!BG13</f>
        <v/>
      </c>
    </row>
    <row r="14" spans="1:16" x14ac:dyDescent="0.35">
      <c r="A14" s="88">
        <f>'Student Basic Info'!A14</f>
        <v>513</v>
      </c>
      <c r="B14" s="86" t="str">
        <f>'Student Basic Info'!C14</f>
        <v>Meherab Hosain</v>
      </c>
      <c r="C14" s="89">
        <f>'Detailed Summary'!AK14</f>
        <v>1</v>
      </c>
      <c r="D14" s="89">
        <f>'Detailed Summary'!AL14</f>
        <v>0</v>
      </c>
      <c r="E14" s="89">
        <f>'Detailed Summary'!AM14</f>
        <v>0</v>
      </c>
      <c r="F14" s="89">
        <f>'Detailed Summary'!AN14</f>
        <v>1</v>
      </c>
      <c r="G14" s="89">
        <f>'Detailed Summary'!AO14</f>
        <v>2</v>
      </c>
      <c r="H14" s="89">
        <f>'Detailed Summary'!AP14</f>
        <v>0</v>
      </c>
      <c r="I14" s="89">
        <f>'Detailed Summary'!AR14</f>
        <v>1</v>
      </c>
      <c r="J14" s="89">
        <f>'Detailed Summary'!AS14</f>
        <v>0</v>
      </c>
      <c r="K14" s="39">
        <f>'Detailed Summary'!AU14</f>
        <v>4</v>
      </c>
      <c r="L14" s="87" t="str">
        <f>'Detailed Summary'!AV14</f>
        <v/>
      </c>
      <c r="M14" s="3" t="str">
        <f>'Detailed Summary'!BF14</f>
        <v>Failed in 3 Subjects</v>
      </c>
      <c r="N14" s="87" t="str">
        <f>'Detailed Summary'!AW14</f>
        <v/>
      </c>
      <c r="O14" s="87" t="str">
        <f>'Detailed Summary'!BJ14</f>
        <v/>
      </c>
      <c r="P14" s="5" t="str">
        <f>'Detailed Summary'!BG14</f>
        <v/>
      </c>
    </row>
    <row r="15" spans="1:16" x14ac:dyDescent="0.35">
      <c r="A15" s="88">
        <f>'Student Basic Info'!A15</f>
        <v>514</v>
      </c>
      <c r="B15" s="86" t="str">
        <f>'Student Basic Info'!C15</f>
        <v>Amirul Islam</v>
      </c>
      <c r="C15" s="89" t="str">
        <f>'Detailed Summary'!AK15</f>
        <v/>
      </c>
      <c r="D15" s="89" t="str">
        <f>'Detailed Summary'!AL15</f>
        <v/>
      </c>
      <c r="E15" s="89" t="str">
        <f>'Detailed Summary'!AM15</f>
        <v/>
      </c>
      <c r="F15" s="89" t="str">
        <f>'Detailed Summary'!AN15</f>
        <v/>
      </c>
      <c r="G15" s="89" t="str">
        <f>'Detailed Summary'!AO15</f>
        <v/>
      </c>
      <c r="H15" s="89" t="str">
        <f>'Detailed Summary'!AP15</f>
        <v/>
      </c>
      <c r="I15" s="89" t="str">
        <f>'Detailed Summary'!AR15</f>
        <v/>
      </c>
      <c r="J15" s="89" t="str">
        <f>'Detailed Summary'!AS15</f>
        <v/>
      </c>
      <c r="K15" s="39">
        <f>'Detailed Summary'!AU15</f>
        <v>0</v>
      </c>
      <c r="L15" s="87" t="str">
        <f>'Detailed Summary'!AV15</f>
        <v/>
      </c>
      <c r="M15" s="3" t="str">
        <f>'Detailed Summary'!BF15</f>
        <v>Failed in 6 Subjects</v>
      </c>
      <c r="N15" s="87" t="str">
        <f>'Detailed Summary'!AW15</f>
        <v/>
      </c>
      <c r="O15" s="87" t="str">
        <f>'Detailed Summary'!BJ15</f>
        <v/>
      </c>
      <c r="P15" s="5" t="str">
        <f>'Detailed Summary'!BG15</f>
        <v/>
      </c>
    </row>
    <row r="16" spans="1:16" x14ac:dyDescent="0.35">
      <c r="A16" s="88">
        <f>'Student Basic Info'!A16</f>
        <v>515</v>
      </c>
      <c r="B16" s="86" t="str">
        <f>'Student Basic Info'!C16</f>
        <v>Bibi Amena Begum Sraboni</v>
      </c>
      <c r="C16" s="89">
        <f>'Detailed Summary'!AK16</f>
        <v>3.5</v>
      </c>
      <c r="D16" s="89">
        <f>'Detailed Summary'!AL16</f>
        <v>1</v>
      </c>
      <c r="E16" s="89">
        <f>'Detailed Summary'!AM16</f>
        <v>3</v>
      </c>
      <c r="F16" s="89">
        <f>'Detailed Summary'!AN16</f>
        <v>3</v>
      </c>
      <c r="G16" s="89">
        <f>'Detailed Summary'!AO16</f>
        <v>0</v>
      </c>
      <c r="H16" s="89">
        <f>'Detailed Summary'!AP16</f>
        <v>1</v>
      </c>
      <c r="I16" s="89">
        <f>'Detailed Summary'!AR16</f>
        <v>0</v>
      </c>
      <c r="J16" s="89">
        <f>'Detailed Summary'!AS16</f>
        <v>0</v>
      </c>
      <c r="K16" s="39">
        <f>'Detailed Summary'!AU16</f>
        <v>11.5</v>
      </c>
      <c r="L16" s="87" t="str">
        <f>'Detailed Summary'!AV16</f>
        <v/>
      </c>
      <c r="M16" s="3" t="str">
        <f>'Detailed Summary'!BF16</f>
        <v>Failed in 1 Subject</v>
      </c>
      <c r="N16" s="87" t="str">
        <f>'Detailed Summary'!AW16</f>
        <v/>
      </c>
      <c r="O16" s="87" t="str">
        <f>'Detailed Summary'!BJ16</f>
        <v/>
      </c>
      <c r="P16" s="5" t="str">
        <f>'Detailed Summary'!BG16</f>
        <v/>
      </c>
    </row>
    <row r="17" spans="1:16" x14ac:dyDescent="0.35">
      <c r="A17" s="88">
        <f>'Student Basic Info'!A17</f>
        <v>516</v>
      </c>
      <c r="B17" s="86" t="str">
        <f>'Student Basic Info'!C17</f>
        <v>Zannatul Nayem</v>
      </c>
      <c r="C17" s="89">
        <f>'Detailed Summary'!AK17</f>
        <v>3.5</v>
      </c>
      <c r="D17" s="89">
        <f>'Detailed Summary'!AL17</f>
        <v>2</v>
      </c>
      <c r="E17" s="89">
        <f>'Detailed Summary'!AM17</f>
        <v>4</v>
      </c>
      <c r="F17" s="89">
        <f>'Detailed Summary'!AN17</f>
        <v>3</v>
      </c>
      <c r="G17" s="89">
        <f>'Detailed Summary'!AO17</f>
        <v>3.5</v>
      </c>
      <c r="H17" s="89">
        <f>'Detailed Summary'!AP17</f>
        <v>1</v>
      </c>
      <c r="I17" s="89">
        <f>'Detailed Summary'!AR17</f>
        <v>4</v>
      </c>
      <c r="J17" s="89">
        <f>'Detailed Summary'!AS17</f>
        <v>2</v>
      </c>
      <c r="K17" s="39">
        <f>'Detailed Summary'!AU17</f>
        <v>19</v>
      </c>
      <c r="L17" s="87">
        <f>'Detailed Summary'!AV17</f>
        <v>2.8333333333333335</v>
      </c>
      <c r="M17" s="3" t="str">
        <f>'Detailed Summary'!BF17</f>
        <v>Pass</v>
      </c>
      <c r="N17" s="87">
        <f>'Detailed Summary'!AW17</f>
        <v>3.1666666666666665</v>
      </c>
      <c r="O17" s="87" t="str">
        <f>'Detailed Summary'!BJ17</f>
        <v>B</v>
      </c>
      <c r="P17" s="5">
        <f>'Detailed Summary'!BG17</f>
        <v>2</v>
      </c>
    </row>
    <row r="18" spans="1:16" x14ac:dyDescent="0.35">
      <c r="A18" s="88">
        <f>'Student Basic Info'!A18</f>
        <v>517</v>
      </c>
      <c r="B18" s="86" t="str">
        <f>'Student Basic Info'!C18</f>
        <v>Imam Hosain Apurbo</v>
      </c>
      <c r="C18" s="89" t="str">
        <f>'Detailed Summary'!AK18</f>
        <v/>
      </c>
      <c r="D18" s="89" t="str">
        <f>'Detailed Summary'!AL18</f>
        <v/>
      </c>
      <c r="E18" s="89" t="str">
        <f>'Detailed Summary'!AM18</f>
        <v/>
      </c>
      <c r="F18" s="89" t="str">
        <f>'Detailed Summary'!AN18</f>
        <v/>
      </c>
      <c r="G18" s="89" t="str">
        <f>'Detailed Summary'!AO18</f>
        <v/>
      </c>
      <c r="H18" s="89" t="str">
        <f>'Detailed Summary'!AP18</f>
        <v/>
      </c>
      <c r="I18" s="89" t="str">
        <f>'Detailed Summary'!AR18</f>
        <v/>
      </c>
      <c r="J18" s="89" t="str">
        <f>'Detailed Summary'!AS18</f>
        <v/>
      </c>
      <c r="K18" s="39">
        <f>'Detailed Summary'!AU18</f>
        <v>0</v>
      </c>
      <c r="L18" s="87" t="str">
        <f>'Detailed Summary'!AV18</f>
        <v/>
      </c>
      <c r="M18" s="3" t="str">
        <f>'Detailed Summary'!BF18</f>
        <v>Failed in 6 Subjects</v>
      </c>
      <c r="N18" s="87" t="str">
        <f>'Detailed Summary'!AW18</f>
        <v/>
      </c>
      <c r="O18" s="87" t="str">
        <f>'Detailed Summary'!BJ18</f>
        <v/>
      </c>
      <c r="P18" s="5" t="str">
        <f>'Detailed Summary'!BG18</f>
        <v/>
      </c>
    </row>
    <row r="19" spans="1:16" x14ac:dyDescent="0.35">
      <c r="A19" s="88">
        <f>'Student Basic Info'!A19</f>
        <v>518</v>
      </c>
      <c r="B19" s="86" t="str">
        <f>'Student Basic Info'!C19</f>
        <v>Mowasser Hosain</v>
      </c>
      <c r="C19" s="89" t="str">
        <f>'Detailed Summary'!AK19</f>
        <v/>
      </c>
      <c r="D19" s="89" t="str">
        <f>'Detailed Summary'!AL19</f>
        <v/>
      </c>
      <c r="E19" s="89" t="str">
        <f>'Detailed Summary'!AM19</f>
        <v/>
      </c>
      <c r="F19" s="89" t="str">
        <f>'Detailed Summary'!AN19</f>
        <v/>
      </c>
      <c r="G19" s="89" t="str">
        <f>'Detailed Summary'!AO19</f>
        <v/>
      </c>
      <c r="H19" s="89" t="str">
        <f>'Detailed Summary'!AP19</f>
        <v/>
      </c>
      <c r="I19" s="89" t="str">
        <f>'Detailed Summary'!AR19</f>
        <v/>
      </c>
      <c r="J19" s="89" t="str">
        <f>'Detailed Summary'!AS19</f>
        <v/>
      </c>
      <c r="K19" s="39">
        <f>'Detailed Summary'!AU19</f>
        <v>0</v>
      </c>
      <c r="L19" s="87" t="str">
        <f>'Detailed Summary'!AV19</f>
        <v/>
      </c>
      <c r="M19" s="3" t="str">
        <f>'Detailed Summary'!BF19</f>
        <v>Failed in 6 Subjects</v>
      </c>
      <c r="N19" s="87" t="str">
        <f>'Detailed Summary'!AW19</f>
        <v/>
      </c>
      <c r="O19" s="87" t="str">
        <f>'Detailed Summary'!BJ19</f>
        <v/>
      </c>
      <c r="P19" s="5" t="str">
        <f>'Detailed Summary'!BG19</f>
        <v/>
      </c>
    </row>
    <row r="20" spans="1:16" x14ac:dyDescent="0.35">
      <c r="A20" s="88">
        <f>'Student Basic Info'!A20</f>
        <v>519</v>
      </c>
      <c r="B20" s="86" t="str">
        <f>'Student Basic Info'!C20</f>
        <v>Tanvir</v>
      </c>
      <c r="C20" s="89">
        <f>'Detailed Summary'!AK20</f>
        <v>1</v>
      </c>
      <c r="D20" s="89">
        <f>'Detailed Summary'!AL20</f>
        <v>1</v>
      </c>
      <c r="E20" s="89">
        <f>'Detailed Summary'!AM20</f>
        <v>3</v>
      </c>
      <c r="F20" s="89">
        <f>'Detailed Summary'!AN20</f>
        <v>3</v>
      </c>
      <c r="G20" s="89">
        <f>'Detailed Summary'!AO20</f>
        <v>3</v>
      </c>
      <c r="H20" s="89">
        <f>'Detailed Summary'!AP20</f>
        <v>0</v>
      </c>
      <c r="I20" s="89">
        <f>'Detailed Summary'!AR20</f>
        <v>2</v>
      </c>
      <c r="J20" s="89">
        <f>'Detailed Summary'!AS20</f>
        <v>0</v>
      </c>
      <c r="K20" s="39">
        <f>'Detailed Summary'!AU20</f>
        <v>11</v>
      </c>
      <c r="L20" s="87" t="str">
        <f>'Detailed Summary'!AV20</f>
        <v/>
      </c>
      <c r="M20" s="3" t="str">
        <f>'Detailed Summary'!BF20</f>
        <v>Failed in 1 Subject</v>
      </c>
      <c r="N20" s="87" t="str">
        <f>'Detailed Summary'!AW20</f>
        <v/>
      </c>
      <c r="O20" s="87" t="str">
        <f>'Detailed Summary'!BJ20</f>
        <v/>
      </c>
      <c r="P20" s="5" t="str">
        <f>'Detailed Summary'!BG20</f>
        <v/>
      </c>
    </row>
    <row r="21" spans="1:16" x14ac:dyDescent="0.35">
      <c r="A21" s="88">
        <f>'Student Basic Info'!A21</f>
        <v>520</v>
      </c>
      <c r="B21" s="86" t="str">
        <f>'Student Basic Info'!C21</f>
        <v>Md. Shakib</v>
      </c>
      <c r="C21" s="89">
        <f>'Detailed Summary'!AK21</f>
        <v>0</v>
      </c>
      <c r="D21" s="89">
        <f>'Detailed Summary'!AL21</f>
        <v>0</v>
      </c>
      <c r="E21" s="89">
        <f>'Detailed Summary'!AM21</f>
        <v>0</v>
      </c>
      <c r="F21" s="89">
        <f>'Detailed Summary'!AN21</f>
        <v>0</v>
      </c>
      <c r="G21" s="89">
        <f>'Detailed Summary'!AO21</f>
        <v>0</v>
      </c>
      <c r="H21" s="89">
        <f>'Detailed Summary'!AP21</f>
        <v>1</v>
      </c>
      <c r="I21" s="89">
        <f>'Detailed Summary'!AR21</f>
        <v>0</v>
      </c>
      <c r="J21" s="89">
        <f>'Detailed Summary'!AS21</f>
        <v>0</v>
      </c>
      <c r="K21" s="39">
        <f>'Detailed Summary'!AU21</f>
        <v>1</v>
      </c>
      <c r="L21" s="87" t="str">
        <f>'Detailed Summary'!AV21</f>
        <v/>
      </c>
      <c r="M21" s="3" t="str">
        <f>'Detailed Summary'!BF21</f>
        <v>Failed in 5 Subjects</v>
      </c>
      <c r="N21" s="87" t="str">
        <f>'Detailed Summary'!AW21</f>
        <v/>
      </c>
      <c r="O21" s="87" t="str">
        <f>'Detailed Summary'!BJ21</f>
        <v/>
      </c>
      <c r="P21" s="5" t="str">
        <f>'Detailed Summary'!BG21</f>
        <v/>
      </c>
    </row>
    <row r="22" spans="1:16" x14ac:dyDescent="0.35">
      <c r="A22" s="88">
        <f>'Student Basic Info'!A22</f>
        <v>521</v>
      </c>
      <c r="B22" s="86" t="str">
        <f>'Student Basic Info'!C22</f>
        <v>Farzana Aktar Zitu</v>
      </c>
      <c r="C22" s="89" t="str">
        <f>'Detailed Summary'!AK22</f>
        <v/>
      </c>
      <c r="D22" s="89" t="str">
        <f>'Detailed Summary'!AL22</f>
        <v/>
      </c>
      <c r="E22" s="89" t="str">
        <f>'Detailed Summary'!AM22</f>
        <v/>
      </c>
      <c r="F22" s="89" t="str">
        <f>'Detailed Summary'!AN22</f>
        <v/>
      </c>
      <c r="G22" s="89" t="str">
        <f>'Detailed Summary'!AO22</f>
        <v/>
      </c>
      <c r="H22" s="89" t="str">
        <f>'Detailed Summary'!AP22</f>
        <v/>
      </c>
      <c r="I22" s="89" t="str">
        <f>'Detailed Summary'!AR22</f>
        <v/>
      </c>
      <c r="J22" s="89" t="str">
        <f>'Detailed Summary'!AS22</f>
        <v/>
      </c>
      <c r="K22" s="39">
        <f>'Detailed Summary'!AU22</f>
        <v>0</v>
      </c>
      <c r="L22" s="87" t="str">
        <f>'Detailed Summary'!AV22</f>
        <v/>
      </c>
      <c r="M22" s="3" t="str">
        <f>'Detailed Summary'!BF22</f>
        <v>Failed in 6 Subjects</v>
      </c>
      <c r="N22" s="87" t="str">
        <f>'Detailed Summary'!AW22</f>
        <v/>
      </c>
      <c r="O22" s="87" t="str">
        <f>'Detailed Summary'!BJ22</f>
        <v/>
      </c>
      <c r="P22" s="5" t="str">
        <f>'Detailed Summary'!BG22</f>
        <v/>
      </c>
    </row>
    <row r="23" spans="1:16" x14ac:dyDescent="0.35">
      <c r="A23" s="88">
        <f>'Student Basic Info'!A23</f>
        <v>522</v>
      </c>
      <c r="B23" s="86" t="str">
        <f>'Student Basic Info'!C23</f>
        <v>Sumaiya Ferdaus Neha</v>
      </c>
      <c r="C23" s="89">
        <f>'Detailed Summary'!AK23</f>
        <v>3.5</v>
      </c>
      <c r="D23" s="89">
        <f>'Detailed Summary'!AL23</f>
        <v>3</v>
      </c>
      <c r="E23" s="89">
        <f>'Detailed Summary'!AM23</f>
        <v>5</v>
      </c>
      <c r="F23" s="89">
        <f>'Detailed Summary'!AN23</f>
        <v>3.5</v>
      </c>
      <c r="G23" s="89">
        <f>'Detailed Summary'!AO23</f>
        <v>4</v>
      </c>
      <c r="H23" s="89">
        <f>'Detailed Summary'!AP23</f>
        <v>3.5</v>
      </c>
      <c r="I23" s="89">
        <f>'Detailed Summary'!AR23</f>
        <v>5</v>
      </c>
      <c r="J23" s="89">
        <f>'Detailed Summary'!AS23</f>
        <v>3</v>
      </c>
      <c r="K23" s="39">
        <f>'Detailed Summary'!AU23</f>
        <v>25.5</v>
      </c>
      <c r="L23" s="87">
        <f>'Detailed Summary'!AV23</f>
        <v>3.75</v>
      </c>
      <c r="M23" s="3" t="str">
        <f>'Detailed Summary'!BF23</f>
        <v>Pass</v>
      </c>
      <c r="N23" s="87">
        <f>'Detailed Summary'!AW23</f>
        <v>4.25</v>
      </c>
      <c r="O23" s="87" t="str">
        <f>'Detailed Summary'!BJ23</f>
        <v>A</v>
      </c>
      <c r="P23" s="5">
        <f>'Detailed Summary'!BG23</f>
        <v>1</v>
      </c>
    </row>
    <row r="24" spans="1:16" x14ac:dyDescent="0.35">
      <c r="A24" s="88">
        <f>'Student Basic Info'!A24</f>
        <v>523</v>
      </c>
      <c r="B24" s="86" t="str">
        <f>'Student Basic Info'!C24</f>
        <v>Zannatul Mawa Prema</v>
      </c>
      <c r="C24" s="89">
        <f>'Detailed Summary'!AK24</f>
        <v>2</v>
      </c>
      <c r="D24" s="89">
        <f>'Detailed Summary'!AL24</f>
        <v>1</v>
      </c>
      <c r="E24" s="89">
        <f>'Detailed Summary'!AM24</f>
        <v>0</v>
      </c>
      <c r="F24" s="89">
        <f>'Detailed Summary'!AN24</f>
        <v>0</v>
      </c>
      <c r="G24" s="89">
        <f>'Detailed Summary'!AO24</f>
        <v>0</v>
      </c>
      <c r="H24" s="89">
        <f>'Detailed Summary'!AP24</f>
        <v>0</v>
      </c>
      <c r="I24" s="89">
        <f>'Detailed Summary'!AR24</f>
        <v>2</v>
      </c>
      <c r="J24" s="89">
        <f>'Detailed Summary'!AS24</f>
        <v>0</v>
      </c>
      <c r="K24" s="39">
        <f>'Detailed Summary'!AU24</f>
        <v>3</v>
      </c>
      <c r="L24" s="87" t="str">
        <f>'Detailed Summary'!AV24</f>
        <v/>
      </c>
      <c r="M24" s="3" t="str">
        <f>'Detailed Summary'!BF24</f>
        <v>Failed in 4 Subjects</v>
      </c>
      <c r="N24" s="87" t="str">
        <f>'Detailed Summary'!AW24</f>
        <v/>
      </c>
      <c r="O24" s="87" t="str">
        <f>'Detailed Summary'!BJ24</f>
        <v/>
      </c>
      <c r="P24" s="5" t="str">
        <f>'Detailed Summary'!BG24</f>
        <v/>
      </c>
    </row>
    <row r="25" spans="1:16" x14ac:dyDescent="0.35">
      <c r="A25" s="88">
        <f>'Student Basic Info'!A25</f>
        <v>524</v>
      </c>
      <c r="B25" s="86" t="str">
        <f>'Student Basic Info'!C25</f>
        <v>Zannatul Ferdaus</v>
      </c>
      <c r="C25" s="89">
        <f>'Detailed Summary'!AK25</f>
        <v>3.5</v>
      </c>
      <c r="D25" s="89">
        <f>'Detailed Summary'!AL25</f>
        <v>1</v>
      </c>
      <c r="E25" s="89">
        <f>'Detailed Summary'!AM25</f>
        <v>3</v>
      </c>
      <c r="F25" s="89">
        <f>'Detailed Summary'!AN25</f>
        <v>2</v>
      </c>
      <c r="G25" s="89">
        <f>'Detailed Summary'!AO25</f>
        <v>3</v>
      </c>
      <c r="H25" s="89">
        <f>'Detailed Summary'!AP25</f>
        <v>1</v>
      </c>
      <c r="I25" s="89">
        <f>'Detailed Summary'!AR25</f>
        <v>3.5</v>
      </c>
      <c r="J25" s="89">
        <f>'Detailed Summary'!AS25</f>
        <v>1.5</v>
      </c>
      <c r="K25" s="39">
        <f>'Detailed Summary'!AU25</f>
        <v>15</v>
      </c>
      <c r="L25" s="87">
        <f>'Detailed Summary'!AV25</f>
        <v>2.25</v>
      </c>
      <c r="M25" s="3" t="str">
        <f>'Detailed Summary'!BF25</f>
        <v>Pass</v>
      </c>
      <c r="N25" s="87">
        <f>'Detailed Summary'!AW25</f>
        <v>2.5</v>
      </c>
      <c r="O25" s="87" t="str">
        <f>'Detailed Summary'!BJ25</f>
        <v>C</v>
      </c>
      <c r="P25" s="5">
        <f>'Detailed Summary'!BG25</f>
        <v>8</v>
      </c>
    </row>
    <row r="26" spans="1:16" x14ac:dyDescent="0.35">
      <c r="A26" s="88">
        <f>'Student Basic Info'!A26</f>
        <v>525</v>
      </c>
      <c r="B26" s="86" t="str">
        <f>'Student Basic Info'!C26</f>
        <v>Narkis Aktar Nupur</v>
      </c>
      <c r="C26" s="89" t="str">
        <f>'Detailed Summary'!AK26</f>
        <v/>
      </c>
      <c r="D26" s="89" t="str">
        <f>'Detailed Summary'!AL26</f>
        <v/>
      </c>
      <c r="E26" s="89" t="str">
        <f>'Detailed Summary'!AM26</f>
        <v/>
      </c>
      <c r="F26" s="89" t="str">
        <f>'Detailed Summary'!AN26</f>
        <v/>
      </c>
      <c r="G26" s="89" t="str">
        <f>'Detailed Summary'!AO26</f>
        <v/>
      </c>
      <c r="H26" s="89" t="str">
        <f>'Detailed Summary'!AP26</f>
        <v/>
      </c>
      <c r="I26" s="89" t="str">
        <f>'Detailed Summary'!AR26</f>
        <v/>
      </c>
      <c r="J26" s="89" t="str">
        <f>'Detailed Summary'!AS26</f>
        <v/>
      </c>
      <c r="K26" s="39">
        <f>'Detailed Summary'!AU26</f>
        <v>0</v>
      </c>
      <c r="L26" s="87" t="str">
        <f>'Detailed Summary'!AV26</f>
        <v/>
      </c>
      <c r="M26" s="3" t="str">
        <f>'Detailed Summary'!BF26</f>
        <v>Failed in 6 Subjects</v>
      </c>
      <c r="N26" s="87" t="str">
        <f>'Detailed Summary'!AW26</f>
        <v/>
      </c>
      <c r="O26" s="87" t="str">
        <f>'Detailed Summary'!BJ26</f>
        <v/>
      </c>
      <c r="P26" s="5" t="str">
        <f>'Detailed Summary'!BG26</f>
        <v/>
      </c>
    </row>
    <row r="27" spans="1:16" x14ac:dyDescent="0.35">
      <c r="A27" s="88">
        <f>'Student Basic Info'!A27</f>
        <v>526</v>
      </c>
      <c r="B27" s="86" t="str">
        <f>'Student Basic Info'!C27</f>
        <v>Sidratul Muntaha</v>
      </c>
      <c r="C27" s="89">
        <f>'Detailed Summary'!AK27</f>
        <v>3</v>
      </c>
      <c r="D27" s="89">
        <f>'Detailed Summary'!AL27</f>
        <v>1</v>
      </c>
      <c r="E27" s="89">
        <f>'Detailed Summary'!AM27</f>
        <v>3</v>
      </c>
      <c r="F27" s="89">
        <f>'Detailed Summary'!AN27</f>
        <v>3</v>
      </c>
      <c r="G27" s="89">
        <f>'Detailed Summary'!AO27</f>
        <v>3</v>
      </c>
      <c r="H27" s="89">
        <f>'Detailed Summary'!AP27</f>
        <v>1</v>
      </c>
      <c r="I27" s="89">
        <f>'Detailed Summary'!AR27</f>
        <v>3</v>
      </c>
      <c r="J27" s="89">
        <f>'Detailed Summary'!AS27</f>
        <v>1</v>
      </c>
      <c r="K27" s="39">
        <f>'Detailed Summary'!AU27</f>
        <v>15</v>
      </c>
      <c r="L27" s="87">
        <f>'Detailed Summary'!AV27</f>
        <v>2.3333333333333335</v>
      </c>
      <c r="M27" s="3" t="str">
        <f>'Detailed Summary'!BF27</f>
        <v>Pass</v>
      </c>
      <c r="N27" s="87">
        <f>'Detailed Summary'!AW27</f>
        <v>2.5</v>
      </c>
      <c r="O27" s="87" t="str">
        <f>'Detailed Summary'!BJ27</f>
        <v>C</v>
      </c>
      <c r="P27" s="5">
        <f>'Detailed Summary'!BG27</f>
        <v>8</v>
      </c>
    </row>
    <row r="28" spans="1:16" x14ac:dyDescent="0.35">
      <c r="A28" s="88">
        <f>'Student Basic Info'!A28</f>
        <v>527</v>
      </c>
      <c r="B28" s="86" t="str">
        <f>'Student Basic Info'!C28</f>
        <v>Sanzida Aktar</v>
      </c>
      <c r="C28" s="89" t="str">
        <f>'Detailed Summary'!AK28</f>
        <v/>
      </c>
      <c r="D28" s="89" t="str">
        <f>'Detailed Summary'!AL28</f>
        <v/>
      </c>
      <c r="E28" s="89" t="str">
        <f>'Detailed Summary'!AM28</f>
        <v/>
      </c>
      <c r="F28" s="89" t="str">
        <f>'Detailed Summary'!AN28</f>
        <v/>
      </c>
      <c r="G28" s="89" t="str">
        <f>'Detailed Summary'!AO28</f>
        <v/>
      </c>
      <c r="H28" s="89" t="str">
        <f>'Detailed Summary'!AP28</f>
        <v/>
      </c>
      <c r="I28" s="89" t="str">
        <f>'Detailed Summary'!AR28</f>
        <v/>
      </c>
      <c r="J28" s="89" t="str">
        <f>'Detailed Summary'!AS28</f>
        <v/>
      </c>
      <c r="K28" s="39">
        <f>'Detailed Summary'!AU28</f>
        <v>0</v>
      </c>
      <c r="L28" s="87" t="str">
        <f>'Detailed Summary'!AV28</f>
        <v/>
      </c>
      <c r="M28" s="3" t="str">
        <f>'Detailed Summary'!BF28</f>
        <v>Failed in 6 Subjects</v>
      </c>
      <c r="N28" s="87" t="str">
        <f>'Detailed Summary'!AW28</f>
        <v/>
      </c>
      <c r="O28" s="87" t="str">
        <f>'Detailed Summary'!BJ28</f>
        <v/>
      </c>
      <c r="P28" s="5" t="str">
        <f>'Detailed Summary'!BG28</f>
        <v/>
      </c>
    </row>
    <row r="29" spans="1:16" x14ac:dyDescent="0.35">
      <c r="A29" s="88">
        <f>'Student Basic Info'!A29</f>
        <v>528</v>
      </c>
      <c r="B29" s="86" t="str">
        <f>'Student Basic Info'!C29</f>
        <v>Mazhar Uddin</v>
      </c>
      <c r="C29" s="89">
        <f>'Detailed Summary'!AK29</f>
        <v>3.5</v>
      </c>
      <c r="D29" s="89">
        <f>'Detailed Summary'!AL29</f>
        <v>2</v>
      </c>
      <c r="E29" s="89">
        <f>'Detailed Summary'!AM29</f>
        <v>4</v>
      </c>
      <c r="F29" s="89">
        <f>'Detailed Summary'!AN29</f>
        <v>3</v>
      </c>
      <c r="G29" s="89">
        <f>'Detailed Summary'!AO29</f>
        <v>3</v>
      </c>
      <c r="H29" s="89">
        <f>'Detailed Summary'!AP29</f>
        <v>2</v>
      </c>
      <c r="I29" s="89">
        <f>'Detailed Summary'!AR29</f>
        <v>3.5</v>
      </c>
      <c r="J29" s="89">
        <f>'Detailed Summary'!AS29</f>
        <v>1.5</v>
      </c>
      <c r="K29" s="39">
        <f>'Detailed Summary'!AU29</f>
        <v>19</v>
      </c>
      <c r="L29" s="87">
        <f>'Detailed Summary'!AV29</f>
        <v>2.9166666666666665</v>
      </c>
      <c r="M29" s="3" t="str">
        <f>'Detailed Summary'!BF29</f>
        <v>Pass</v>
      </c>
      <c r="N29" s="87">
        <f>'Detailed Summary'!AW29</f>
        <v>3.1666666666666665</v>
      </c>
      <c r="O29" s="87" t="str">
        <f>'Detailed Summary'!BJ29</f>
        <v>B</v>
      </c>
      <c r="P29" s="5">
        <f>'Detailed Summary'!BG29</f>
        <v>2</v>
      </c>
    </row>
    <row r="30" spans="1:16" x14ac:dyDescent="0.35">
      <c r="A30" s="88">
        <f>'Student Basic Info'!A30</f>
        <v>529</v>
      </c>
      <c r="B30" s="86" t="str">
        <f>'Student Basic Info'!C30</f>
        <v>Nahid Hasan</v>
      </c>
      <c r="C30" s="89">
        <f>'Detailed Summary'!AK30</f>
        <v>0</v>
      </c>
      <c r="D30" s="89">
        <f>'Detailed Summary'!AL30</f>
        <v>0</v>
      </c>
      <c r="E30" s="89">
        <f>'Detailed Summary'!AM30</f>
        <v>0</v>
      </c>
      <c r="F30" s="89">
        <f>'Detailed Summary'!AN30</f>
        <v>0</v>
      </c>
      <c r="G30" s="89">
        <f>'Detailed Summary'!AO30</f>
        <v>0</v>
      </c>
      <c r="H30" s="89">
        <f>'Detailed Summary'!AP30</f>
        <v>0</v>
      </c>
      <c r="I30" s="89">
        <f>'Detailed Summary'!AR30</f>
        <v>0</v>
      </c>
      <c r="J30" s="89">
        <f>'Detailed Summary'!AS30</f>
        <v>0</v>
      </c>
      <c r="K30" s="39">
        <f>'Detailed Summary'!AU30</f>
        <v>0</v>
      </c>
      <c r="L30" s="87" t="str">
        <f>'Detailed Summary'!AV30</f>
        <v/>
      </c>
      <c r="M30" s="3" t="str">
        <f>'Detailed Summary'!BF30</f>
        <v>Failed in 6 Subjects</v>
      </c>
      <c r="N30" s="87" t="str">
        <f>'Detailed Summary'!AW30</f>
        <v/>
      </c>
      <c r="O30" s="87" t="str">
        <f>'Detailed Summary'!BJ30</f>
        <v/>
      </c>
      <c r="P30" s="5" t="str">
        <f>'Detailed Summary'!BG30</f>
        <v/>
      </c>
    </row>
    <row r="31" spans="1:16" x14ac:dyDescent="0.35">
      <c r="A31" s="88">
        <f>'Student Basic Info'!A31</f>
        <v>530</v>
      </c>
      <c r="B31" s="86" t="str">
        <f>'Student Basic Info'!C31</f>
        <v>Mahmud Hasan Fuad</v>
      </c>
      <c r="C31" s="89" t="str">
        <f>'Detailed Summary'!AK31</f>
        <v/>
      </c>
      <c r="D31" s="89" t="str">
        <f>'Detailed Summary'!AL31</f>
        <v/>
      </c>
      <c r="E31" s="89" t="str">
        <f>'Detailed Summary'!AM31</f>
        <v/>
      </c>
      <c r="F31" s="89" t="str">
        <f>'Detailed Summary'!AN31</f>
        <v/>
      </c>
      <c r="G31" s="89" t="str">
        <f>'Detailed Summary'!AO31</f>
        <v/>
      </c>
      <c r="H31" s="89" t="str">
        <f>'Detailed Summary'!AP31</f>
        <v/>
      </c>
      <c r="I31" s="89" t="str">
        <f>'Detailed Summary'!AR31</f>
        <v/>
      </c>
      <c r="J31" s="89" t="str">
        <f>'Detailed Summary'!AS31</f>
        <v/>
      </c>
      <c r="K31" s="39">
        <f>'Detailed Summary'!AU31</f>
        <v>0</v>
      </c>
      <c r="L31" s="87" t="str">
        <f>'Detailed Summary'!AV31</f>
        <v/>
      </c>
      <c r="M31" s="3" t="str">
        <f>'Detailed Summary'!BF31</f>
        <v>Failed in 6 Subjects</v>
      </c>
      <c r="N31" s="87" t="str">
        <f>'Detailed Summary'!AW31</f>
        <v/>
      </c>
      <c r="O31" s="87" t="str">
        <f>'Detailed Summary'!BJ31</f>
        <v/>
      </c>
      <c r="P31" s="5" t="str">
        <f>'Detailed Summary'!BG31</f>
        <v/>
      </c>
    </row>
    <row r="32" spans="1:16" x14ac:dyDescent="0.35">
      <c r="A32" s="88">
        <f>'Student Basic Info'!A32</f>
        <v>531</v>
      </c>
      <c r="B32" s="86" t="str">
        <f>'Student Basic Info'!C32</f>
        <v>Zabeb Hosain</v>
      </c>
      <c r="C32" s="89">
        <f>'Detailed Summary'!AK32</f>
        <v>1</v>
      </c>
      <c r="D32" s="89">
        <f>'Detailed Summary'!AL32</f>
        <v>0</v>
      </c>
      <c r="E32" s="89">
        <f>'Detailed Summary'!AM32</f>
        <v>0</v>
      </c>
      <c r="F32" s="89">
        <f>'Detailed Summary'!AN32</f>
        <v>0</v>
      </c>
      <c r="G32" s="89">
        <f>'Detailed Summary'!AO32</f>
        <v>0</v>
      </c>
      <c r="H32" s="89">
        <f>'Detailed Summary'!AP32</f>
        <v>0</v>
      </c>
      <c r="I32" s="89">
        <f>'Detailed Summary'!AR32</f>
        <v>2</v>
      </c>
      <c r="J32" s="89">
        <f>'Detailed Summary'!AS32</f>
        <v>0</v>
      </c>
      <c r="K32" s="39">
        <f>'Detailed Summary'!AU32</f>
        <v>1</v>
      </c>
      <c r="L32" s="87" t="str">
        <f>'Detailed Summary'!AV32</f>
        <v/>
      </c>
      <c r="M32" s="3" t="str">
        <f>'Detailed Summary'!BF32</f>
        <v>Failed in 5 Subjects</v>
      </c>
      <c r="N32" s="87" t="str">
        <f>'Detailed Summary'!AW32</f>
        <v/>
      </c>
      <c r="O32" s="87" t="str">
        <f>'Detailed Summary'!BJ32</f>
        <v/>
      </c>
      <c r="P32" s="5" t="str">
        <f>'Detailed Summary'!BG32</f>
        <v/>
      </c>
    </row>
    <row r="33" spans="1:16" x14ac:dyDescent="0.35">
      <c r="A33" s="88">
        <f>'Student Basic Info'!A33</f>
        <v>532</v>
      </c>
      <c r="B33" s="86" t="str">
        <f>'Student Basic Info'!C33</f>
        <v>Shahinur Islam</v>
      </c>
      <c r="C33" s="89" t="str">
        <f>'Detailed Summary'!AK33</f>
        <v/>
      </c>
      <c r="D33" s="89" t="str">
        <f>'Detailed Summary'!AL33</f>
        <v/>
      </c>
      <c r="E33" s="89" t="str">
        <f>'Detailed Summary'!AM33</f>
        <v/>
      </c>
      <c r="F33" s="89" t="str">
        <f>'Detailed Summary'!AN33</f>
        <v/>
      </c>
      <c r="G33" s="89" t="str">
        <f>'Detailed Summary'!AO33</f>
        <v/>
      </c>
      <c r="H33" s="89" t="str">
        <f>'Detailed Summary'!AP33</f>
        <v/>
      </c>
      <c r="I33" s="89" t="str">
        <f>'Detailed Summary'!AR33</f>
        <v/>
      </c>
      <c r="J33" s="89" t="str">
        <f>'Detailed Summary'!AS33</f>
        <v/>
      </c>
      <c r="K33" s="39">
        <f>'Detailed Summary'!AU33</f>
        <v>0</v>
      </c>
      <c r="L33" s="87" t="str">
        <f>'Detailed Summary'!AV33</f>
        <v/>
      </c>
      <c r="M33" s="3" t="str">
        <f>'Detailed Summary'!BF33</f>
        <v>Failed in 6 Subjects</v>
      </c>
      <c r="N33" s="87" t="str">
        <f>'Detailed Summary'!AW33</f>
        <v/>
      </c>
      <c r="O33" s="87" t="str">
        <f>'Detailed Summary'!BJ33</f>
        <v/>
      </c>
      <c r="P33" s="5" t="str">
        <f>'Detailed Summary'!BG33</f>
        <v/>
      </c>
    </row>
    <row r="34" spans="1:16" x14ac:dyDescent="0.35">
      <c r="A34" s="88">
        <f>'Student Basic Info'!A34</f>
        <v>533</v>
      </c>
      <c r="B34" s="86" t="str">
        <f>'Student Basic Info'!C34</f>
        <v>Md. Al Amin Haydar</v>
      </c>
      <c r="C34" s="89" t="str">
        <f>'Detailed Summary'!AK34</f>
        <v/>
      </c>
      <c r="D34" s="89" t="str">
        <f>'Detailed Summary'!AL34</f>
        <v/>
      </c>
      <c r="E34" s="89" t="str">
        <f>'Detailed Summary'!AM34</f>
        <v/>
      </c>
      <c r="F34" s="89" t="str">
        <f>'Detailed Summary'!AN34</f>
        <v/>
      </c>
      <c r="G34" s="89" t="str">
        <f>'Detailed Summary'!AO34</f>
        <v/>
      </c>
      <c r="H34" s="89" t="str">
        <f>'Detailed Summary'!AP34</f>
        <v/>
      </c>
      <c r="I34" s="89" t="str">
        <f>'Detailed Summary'!AR34</f>
        <v/>
      </c>
      <c r="J34" s="89" t="str">
        <f>'Detailed Summary'!AS34</f>
        <v/>
      </c>
      <c r="K34" s="39">
        <f>'Detailed Summary'!AU34</f>
        <v>0</v>
      </c>
      <c r="L34" s="87" t="str">
        <f>'Detailed Summary'!AV34</f>
        <v/>
      </c>
      <c r="M34" s="3" t="str">
        <f>'Detailed Summary'!BF34</f>
        <v>Failed in 6 Subjects</v>
      </c>
      <c r="N34" s="87" t="str">
        <f>'Detailed Summary'!AW34</f>
        <v/>
      </c>
      <c r="O34" s="87" t="str">
        <f>'Detailed Summary'!BJ34</f>
        <v/>
      </c>
      <c r="P34" s="5" t="str">
        <f>'Detailed Summary'!BG34</f>
        <v/>
      </c>
    </row>
    <row r="35" spans="1:16" x14ac:dyDescent="0.35">
      <c r="A35" s="88">
        <f>'Student Basic Info'!A35</f>
        <v>534</v>
      </c>
      <c r="B35" s="86" t="str">
        <f>'Student Basic Info'!C35</f>
        <v>Md. Hasanain Hosain</v>
      </c>
      <c r="C35" s="89" t="str">
        <f>'Detailed Summary'!AK35</f>
        <v/>
      </c>
      <c r="D35" s="89" t="str">
        <f>'Detailed Summary'!AL35</f>
        <v/>
      </c>
      <c r="E35" s="89" t="str">
        <f>'Detailed Summary'!AM35</f>
        <v/>
      </c>
      <c r="F35" s="89" t="str">
        <f>'Detailed Summary'!AN35</f>
        <v/>
      </c>
      <c r="G35" s="89" t="str">
        <f>'Detailed Summary'!AO35</f>
        <v/>
      </c>
      <c r="H35" s="89" t="str">
        <f>'Detailed Summary'!AP35</f>
        <v/>
      </c>
      <c r="I35" s="89" t="str">
        <f>'Detailed Summary'!AR35</f>
        <v/>
      </c>
      <c r="J35" s="89" t="str">
        <f>'Detailed Summary'!AS35</f>
        <v/>
      </c>
      <c r="K35" s="39">
        <f>'Detailed Summary'!AU35</f>
        <v>0</v>
      </c>
      <c r="L35" s="87" t="str">
        <f>'Detailed Summary'!AV35</f>
        <v/>
      </c>
      <c r="M35" s="3" t="str">
        <f>'Detailed Summary'!BF35</f>
        <v>Failed in 6 Subjects</v>
      </c>
      <c r="N35" s="87" t="str">
        <f>'Detailed Summary'!AW35</f>
        <v/>
      </c>
      <c r="O35" s="87" t="str">
        <f>'Detailed Summary'!BJ35</f>
        <v/>
      </c>
      <c r="P35" s="5" t="str">
        <f>'Detailed Summary'!BG35</f>
        <v/>
      </c>
    </row>
    <row r="36" spans="1:16" x14ac:dyDescent="0.35">
      <c r="A36" s="88">
        <f>'Student Basic Info'!A36</f>
        <v>535</v>
      </c>
      <c r="B36" s="86" t="str">
        <f>'Student Basic Info'!C36</f>
        <v>Md. Abu Taher Zitu</v>
      </c>
      <c r="C36" s="89" t="str">
        <f>'Detailed Summary'!AK36</f>
        <v/>
      </c>
      <c r="D36" s="89" t="str">
        <f>'Detailed Summary'!AL36</f>
        <v/>
      </c>
      <c r="E36" s="89" t="str">
        <f>'Detailed Summary'!AM36</f>
        <v/>
      </c>
      <c r="F36" s="89" t="str">
        <f>'Detailed Summary'!AN36</f>
        <v/>
      </c>
      <c r="G36" s="89" t="str">
        <f>'Detailed Summary'!AO36</f>
        <v/>
      </c>
      <c r="H36" s="89" t="str">
        <f>'Detailed Summary'!AP36</f>
        <v/>
      </c>
      <c r="I36" s="89" t="str">
        <f>'Detailed Summary'!AR36</f>
        <v/>
      </c>
      <c r="J36" s="89" t="str">
        <f>'Detailed Summary'!AS36</f>
        <v/>
      </c>
      <c r="K36" s="39">
        <f>'Detailed Summary'!AU36</f>
        <v>0</v>
      </c>
      <c r="L36" s="87" t="str">
        <f>'Detailed Summary'!AV36</f>
        <v/>
      </c>
      <c r="M36" s="3" t="str">
        <f>'Detailed Summary'!BF36</f>
        <v>Failed in 6 Subjects</v>
      </c>
      <c r="N36" s="87" t="str">
        <f>'Detailed Summary'!AW36</f>
        <v/>
      </c>
      <c r="O36" s="87" t="str">
        <f>'Detailed Summary'!BJ36</f>
        <v/>
      </c>
      <c r="P36" s="5" t="str">
        <f>'Detailed Summary'!BG36</f>
        <v/>
      </c>
    </row>
    <row r="37" spans="1:16" x14ac:dyDescent="0.35">
      <c r="A37" s="88">
        <f>'Student Basic Info'!A37</f>
        <v>536</v>
      </c>
      <c r="B37" s="86" t="str">
        <f>'Student Basic Info'!C37</f>
        <v>Khalid Bin Alom</v>
      </c>
      <c r="C37" s="89">
        <f>'Detailed Summary'!AK37</f>
        <v>0</v>
      </c>
      <c r="D37" s="89">
        <f>'Detailed Summary'!AL37</f>
        <v>0</v>
      </c>
      <c r="E37" s="89">
        <f>'Detailed Summary'!AM37</f>
        <v>0</v>
      </c>
      <c r="F37" s="89">
        <f>'Detailed Summary'!AN37</f>
        <v>0</v>
      </c>
      <c r="G37" s="89">
        <f>'Detailed Summary'!AO37</f>
        <v>0</v>
      </c>
      <c r="H37" s="89">
        <f>'Detailed Summary'!AP37</f>
        <v>0</v>
      </c>
      <c r="I37" s="89">
        <f>'Detailed Summary'!AR37</f>
        <v>2</v>
      </c>
      <c r="J37" s="89">
        <f>'Detailed Summary'!AS37</f>
        <v>0</v>
      </c>
      <c r="K37" s="39">
        <f>'Detailed Summary'!AU37</f>
        <v>0</v>
      </c>
      <c r="L37" s="87" t="str">
        <f>'Detailed Summary'!AV37</f>
        <v/>
      </c>
      <c r="M37" s="3" t="str">
        <f>'Detailed Summary'!BF37</f>
        <v>Failed in 6 Subjects</v>
      </c>
      <c r="N37" s="87" t="str">
        <f>'Detailed Summary'!AW37</f>
        <v/>
      </c>
      <c r="O37" s="87" t="str">
        <f>'Detailed Summary'!BJ37</f>
        <v/>
      </c>
      <c r="P37" s="5" t="str">
        <f>'Detailed Summary'!BG37</f>
        <v/>
      </c>
    </row>
    <row r="38" spans="1:16" x14ac:dyDescent="0.35">
      <c r="A38" s="88">
        <f>'Student Basic Info'!A38</f>
        <v>537</v>
      </c>
      <c r="B38" s="86" t="str">
        <f>'Student Basic Info'!C38</f>
        <v>Mobarok Hosain</v>
      </c>
      <c r="C38" s="89">
        <f>'Detailed Summary'!AK38</f>
        <v>0</v>
      </c>
      <c r="D38" s="89">
        <f>'Detailed Summary'!AL38</f>
        <v>0</v>
      </c>
      <c r="E38" s="89">
        <f>'Detailed Summary'!AM38</f>
        <v>0</v>
      </c>
      <c r="F38" s="89">
        <f>'Detailed Summary'!AN38</f>
        <v>0</v>
      </c>
      <c r="G38" s="89">
        <f>'Detailed Summary'!AO38</f>
        <v>0</v>
      </c>
      <c r="H38" s="89">
        <f>'Detailed Summary'!AP38</f>
        <v>0</v>
      </c>
      <c r="I38" s="89">
        <f>'Detailed Summary'!AR38</f>
        <v>0</v>
      </c>
      <c r="J38" s="89">
        <f>'Detailed Summary'!AS38</f>
        <v>0</v>
      </c>
      <c r="K38" s="39">
        <f>'Detailed Summary'!AU38</f>
        <v>0</v>
      </c>
      <c r="L38" s="87" t="str">
        <f>'Detailed Summary'!AV38</f>
        <v/>
      </c>
      <c r="M38" s="3" t="str">
        <f>'Detailed Summary'!BF38</f>
        <v>Failed in 6 Subjects</v>
      </c>
      <c r="N38" s="87" t="str">
        <f>'Detailed Summary'!AW38</f>
        <v/>
      </c>
      <c r="O38" s="87" t="str">
        <f>'Detailed Summary'!BJ38</f>
        <v/>
      </c>
      <c r="P38" s="5" t="str">
        <f>'Detailed Summary'!BG38</f>
        <v/>
      </c>
    </row>
    <row r="39" spans="1:16" x14ac:dyDescent="0.35">
      <c r="A39" s="88">
        <f>'Student Basic Info'!A39</f>
        <v>538</v>
      </c>
      <c r="B39" s="86" t="str">
        <f>'Student Basic Info'!C39</f>
        <v>Jomir Hosain</v>
      </c>
      <c r="C39" s="89">
        <f>'Detailed Summary'!AK39</f>
        <v>1</v>
      </c>
      <c r="D39" s="89">
        <f>'Detailed Summary'!AL39</f>
        <v>0</v>
      </c>
      <c r="E39" s="89">
        <f>'Detailed Summary'!AM39</f>
        <v>0</v>
      </c>
      <c r="F39" s="89">
        <f>'Detailed Summary'!AN39</f>
        <v>0</v>
      </c>
      <c r="G39" s="89">
        <f>'Detailed Summary'!AO39</f>
        <v>2</v>
      </c>
      <c r="H39" s="89">
        <f>'Detailed Summary'!AP39</f>
        <v>3</v>
      </c>
      <c r="I39" s="89">
        <f>'Detailed Summary'!AR39</f>
        <v>1</v>
      </c>
      <c r="J39" s="89">
        <f>'Detailed Summary'!AS39</f>
        <v>0</v>
      </c>
      <c r="K39" s="39">
        <f>'Detailed Summary'!AU39</f>
        <v>6</v>
      </c>
      <c r="L39" s="87" t="str">
        <f>'Detailed Summary'!AV39</f>
        <v/>
      </c>
      <c r="M39" s="3" t="str">
        <f>'Detailed Summary'!BF39</f>
        <v>Failed in 3 Subjects</v>
      </c>
      <c r="N39" s="87" t="str">
        <f>'Detailed Summary'!AW39</f>
        <v/>
      </c>
      <c r="O39" s="87" t="str">
        <f>'Detailed Summary'!BJ39</f>
        <v/>
      </c>
      <c r="P39" s="5" t="str">
        <f>'Detailed Summary'!BG39</f>
        <v/>
      </c>
    </row>
    <row r="40" spans="1:16" x14ac:dyDescent="0.35">
      <c r="A40" s="88">
        <f>'Student Basic Info'!A40</f>
        <v>539</v>
      </c>
      <c r="B40" s="86" t="str">
        <f>'Student Basic Info'!C40</f>
        <v>Walid Hasan Anol</v>
      </c>
      <c r="C40" s="89">
        <f>'Detailed Summary'!AK40</f>
        <v>0</v>
      </c>
      <c r="D40" s="89">
        <f>'Detailed Summary'!AL40</f>
        <v>0</v>
      </c>
      <c r="E40" s="89">
        <f>'Detailed Summary'!AM40</f>
        <v>0</v>
      </c>
      <c r="F40" s="89">
        <f>'Detailed Summary'!AN40</f>
        <v>0</v>
      </c>
      <c r="G40" s="89">
        <f>'Detailed Summary'!AO40</f>
        <v>0</v>
      </c>
      <c r="H40" s="89">
        <f>'Detailed Summary'!AP40</f>
        <v>0</v>
      </c>
      <c r="I40" s="89">
        <f>'Detailed Summary'!AR40</f>
        <v>0</v>
      </c>
      <c r="J40" s="89">
        <f>'Detailed Summary'!AS40</f>
        <v>0</v>
      </c>
      <c r="K40" s="39">
        <f>'Detailed Summary'!AU40</f>
        <v>0</v>
      </c>
      <c r="L40" s="87" t="str">
        <f>'Detailed Summary'!AV40</f>
        <v/>
      </c>
      <c r="M40" s="3" t="str">
        <f>'Detailed Summary'!BF40</f>
        <v>Failed in 6 Subjects</v>
      </c>
      <c r="N40" s="87" t="str">
        <f>'Detailed Summary'!AW40</f>
        <v/>
      </c>
      <c r="O40" s="87" t="str">
        <f>'Detailed Summary'!BJ40</f>
        <v/>
      </c>
      <c r="P40" s="5" t="str">
        <f>'Detailed Summary'!BG40</f>
        <v/>
      </c>
    </row>
    <row r="41" spans="1:16" x14ac:dyDescent="0.35">
      <c r="A41" s="88">
        <f>'Student Basic Info'!A41</f>
        <v>540</v>
      </c>
      <c r="B41" s="86" t="str">
        <f>'Student Basic Info'!C41</f>
        <v>Golam Mahnud</v>
      </c>
      <c r="C41" s="89">
        <f>'Detailed Summary'!AK41</f>
        <v>1</v>
      </c>
      <c r="D41" s="89">
        <f>'Detailed Summary'!AL41</f>
        <v>0</v>
      </c>
      <c r="E41" s="89">
        <f>'Detailed Summary'!AM41</f>
        <v>0</v>
      </c>
      <c r="F41" s="89">
        <f>'Detailed Summary'!AN41</f>
        <v>0</v>
      </c>
      <c r="G41" s="89">
        <f>'Detailed Summary'!AO41</f>
        <v>0</v>
      </c>
      <c r="H41" s="89">
        <f>'Detailed Summary'!AP41</f>
        <v>0</v>
      </c>
      <c r="I41" s="89">
        <f>'Detailed Summary'!AR41</f>
        <v>0</v>
      </c>
      <c r="J41" s="89">
        <f>'Detailed Summary'!AS41</f>
        <v>0</v>
      </c>
      <c r="K41" s="39">
        <f>'Detailed Summary'!AU41</f>
        <v>1</v>
      </c>
      <c r="L41" s="87" t="str">
        <f>'Detailed Summary'!AV41</f>
        <v/>
      </c>
      <c r="M41" s="3" t="str">
        <f>'Detailed Summary'!BF41</f>
        <v>Failed in 5 Subjects</v>
      </c>
      <c r="N41" s="87" t="str">
        <f>'Detailed Summary'!AW41</f>
        <v/>
      </c>
      <c r="O41" s="87" t="str">
        <f>'Detailed Summary'!BJ41</f>
        <v/>
      </c>
      <c r="P41" s="5" t="str">
        <f>'Detailed Summary'!BG41</f>
        <v/>
      </c>
    </row>
    <row r="42" spans="1:16" x14ac:dyDescent="0.35">
      <c r="A42" s="88">
        <f>'Student Basic Info'!A42</f>
        <v>541</v>
      </c>
      <c r="B42" s="86" t="str">
        <f>'Student Basic Info'!C42</f>
        <v>Md. Samir Hosain</v>
      </c>
      <c r="C42" s="89">
        <f>'Detailed Summary'!AK42</f>
        <v>3</v>
      </c>
      <c r="D42" s="89" t="str">
        <f>'Detailed Summary'!AL42</f>
        <v/>
      </c>
      <c r="E42" s="89" t="str">
        <f>'Detailed Summary'!AM42</f>
        <v/>
      </c>
      <c r="F42" s="89" t="str">
        <f>'Detailed Summary'!AN42</f>
        <v/>
      </c>
      <c r="G42" s="89" t="str">
        <f>'Detailed Summary'!AO42</f>
        <v/>
      </c>
      <c r="H42" s="89" t="str">
        <f>'Detailed Summary'!AP42</f>
        <v/>
      </c>
      <c r="I42" s="89" t="str">
        <f>'Detailed Summary'!AR42</f>
        <v/>
      </c>
      <c r="J42" s="89" t="str">
        <f>'Detailed Summary'!AS42</f>
        <v/>
      </c>
      <c r="K42" s="39">
        <f>'Detailed Summary'!AU42</f>
        <v>3</v>
      </c>
      <c r="L42" s="87" t="str">
        <f>'Detailed Summary'!AV42</f>
        <v/>
      </c>
      <c r="M42" s="3" t="str">
        <f>'Detailed Summary'!BF42</f>
        <v>Failed in 5 Subjects</v>
      </c>
      <c r="N42" s="87" t="str">
        <f>'Detailed Summary'!AW42</f>
        <v/>
      </c>
      <c r="O42" s="87" t="str">
        <f>'Detailed Summary'!BJ42</f>
        <v/>
      </c>
      <c r="P42" s="5" t="str">
        <f>'Detailed Summary'!BG42</f>
        <v/>
      </c>
    </row>
    <row r="43" spans="1:16" x14ac:dyDescent="0.35">
      <c r="A43" s="88">
        <f>'Student Basic Info'!A43</f>
        <v>542</v>
      </c>
      <c r="B43" s="86" t="str">
        <f>'Student Basic Info'!C43</f>
        <v>Md. Imran Hosain</v>
      </c>
      <c r="C43" s="89">
        <f>'Detailed Summary'!AK43</f>
        <v>1</v>
      </c>
      <c r="D43" s="89">
        <f>'Detailed Summary'!AL43</f>
        <v>0</v>
      </c>
      <c r="E43" s="89">
        <f>'Detailed Summary'!AM43</f>
        <v>0</v>
      </c>
      <c r="F43" s="89">
        <f>'Detailed Summary'!AN43</f>
        <v>0</v>
      </c>
      <c r="G43" s="89">
        <f>'Detailed Summary'!AO43</f>
        <v>0</v>
      </c>
      <c r="H43" s="89">
        <f>'Detailed Summary'!AP43</f>
        <v>1</v>
      </c>
      <c r="I43" s="89">
        <f>'Detailed Summary'!AR43</f>
        <v>0</v>
      </c>
      <c r="J43" s="89">
        <f>'Detailed Summary'!AS43</f>
        <v>0</v>
      </c>
      <c r="K43" s="39">
        <f>'Detailed Summary'!AU43</f>
        <v>2</v>
      </c>
      <c r="L43" s="87" t="str">
        <f>'Detailed Summary'!AV43</f>
        <v/>
      </c>
      <c r="M43" s="3" t="str">
        <f>'Detailed Summary'!BF43</f>
        <v>Failed in 4 Subjects</v>
      </c>
      <c r="N43" s="87" t="str">
        <f>'Detailed Summary'!AW43</f>
        <v/>
      </c>
      <c r="O43" s="87" t="str">
        <f>'Detailed Summary'!BJ43</f>
        <v/>
      </c>
      <c r="P43" s="5" t="str">
        <f>'Detailed Summary'!BG43</f>
        <v/>
      </c>
    </row>
    <row r="44" spans="1:16" x14ac:dyDescent="0.35">
      <c r="A44" s="88">
        <f>'Student Basic Info'!A44</f>
        <v>543</v>
      </c>
      <c r="B44" s="86" t="str">
        <f>'Student Basic Info'!C44</f>
        <v>Mohammad Yeasin</v>
      </c>
      <c r="C44" s="89">
        <f>'Detailed Summary'!AK44</f>
        <v>1</v>
      </c>
      <c r="D44" s="89">
        <f>'Detailed Summary'!AL44</f>
        <v>0</v>
      </c>
      <c r="E44" s="89">
        <f>'Detailed Summary'!AM44</f>
        <v>0</v>
      </c>
      <c r="F44" s="89">
        <f>'Detailed Summary'!AN44</f>
        <v>0</v>
      </c>
      <c r="G44" s="89">
        <f>'Detailed Summary'!AO44</f>
        <v>0</v>
      </c>
      <c r="H44" s="89">
        <f>'Detailed Summary'!AP44</f>
        <v>1</v>
      </c>
      <c r="I44" s="89">
        <f>'Detailed Summary'!AR44</f>
        <v>0</v>
      </c>
      <c r="J44" s="89">
        <f>'Detailed Summary'!AS44</f>
        <v>0</v>
      </c>
      <c r="K44" s="39">
        <f>'Detailed Summary'!AU44</f>
        <v>2</v>
      </c>
      <c r="L44" s="87" t="str">
        <f>'Detailed Summary'!AV44</f>
        <v/>
      </c>
      <c r="M44" s="3" t="str">
        <f>'Detailed Summary'!BF44</f>
        <v>Failed in 4 Subjects</v>
      </c>
      <c r="N44" s="87" t="str">
        <f>'Detailed Summary'!AW44</f>
        <v/>
      </c>
      <c r="O44" s="87" t="str">
        <f>'Detailed Summary'!BJ44</f>
        <v/>
      </c>
      <c r="P44" s="5" t="str">
        <f>'Detailed Summary'!BG44</f>
        <v/>
      </c>
    </row>
    <row r="45" spans="1:16" x14ac:dyDescent="0.35">
      <c r="A45" s="88">
        <f>'Student Basic Info'!A45</f>
        <v>544</v>
      </c>
      <c r="B45" s="86" t="str">
        <f>'Student Basic Info'!C45</f>
        <v>Abdur Rahman</v>
      </c>
      <c r="C45" s="89">
        <f>'Detailed Summary'!AK45</f>
        <v>2</v>
      </c>
      <c r="D45" s="89">
        <f>'Detailed Summary'!AL45</f>
        <v>0</v>
      </c>
      <c r="E45" s="89">
        <f>'Detailed Summary'!AM45</f>
        <v>3</v>
      </c>
      <c r="F45" s="89">
        <f>'Detailed Summary'!AN45</f>
        <v>1</v>
      </c>
      <c r="G45" s="89">
        <f>'Detailed Summary'!AO45</f>
        <v>0</v>
      </c>
      <c r="H45" s="89">
        <f>'Detailed Summary'!AP45</f>
        <v>0</v>
      </c>
      <c r="I45" s="89">
        <f>'Detailed Summary'!AR45</f>
        <v>2</v>
      </c>
      <c r="J45" s="89">
        <f>'Detailed Summary'!AS45</f>
        <v>0</v>
      </c>
      <c r="K45" s="39">
        <f>'Detailed Summary'!AU45</f>
        <v>6</v>
      </c>
      <c r="L45" s="87" t="str">
        <f>'Detailed Summary'!AV45</f>
        <v/>
      </c>
      <c r="M45" s="3" t="str">
        <f>'Detailed Summary'!BF45</f>
        <v>Failed in 3 Subjects</v>
      </c>
      <c r="N45" s="87" t="str">
        <f>'Detailed Summary'!AW45</f>
        <v/>
      </c>
      <c r="O45" s="87" t="str">
        <f>'Detailed Summary'!BJ45</f>
        <v/>
      </c>
      <c r="P45" s="5" t="str">
        <f>'Detailed Summary'!BG45</f>
        <v/>
      </c>
    </row>
    <row r="46" spans="1:16" x14ac:dyDescent="0.35">
      <c r="A46" s="88">
        <f>'Student Basic Info'!A46</f>
        <v>545</v>
      </c>
      <c r="B46" s="86" t="str">
        <f>'Student Basic Info'!C46</f>
        <v>Md. Osman Goni</v>
      </c>
      <c r="C46" s="89" t="str">
        <f>'Detailed Summary'!AK46</f>
        <v/>
      </c>
      <c r="D46" s="89" t="str">
        <f>'Detailed Summary'!AL46</f>
        <v/>
      </c>
      <c r="E46" s="89" t="str">
        <f>'Detailed Summary'!AM46</f>
        <v/>
      </c>
      <c r="F46" s="89" t="str">
        <f>'Detailed Summary'!AN46</f>
        <v/>
      </c>
      <c r="G46" s="89" t="str">
        <f>'Detailed Summary'!AO46</f>
        <v/>
      </c>
      <c r="H46" s="89" t="str">
        <f>'Detailed Summary'!AP46</f>
        <v/>
      </c>
      <c r="I46" s="89" t="str">
        <f>'Detailed Summary'!AR46</f>
        <v/>
      </c>
      <c r="J46" s="89" t="str">
        <f>'Detailed Summary'!AS46</f>
        <v/>
      </c>
      <c r="K46" s="39">
        <f>'Detailed Summary'!AU46</f>
        <v>0</v>
      </c>
      <c r="L46" s="87" t="str">
        <f>'Detailed Summary'!AV46</f>
        <v/>
      </c>
      <c r="M46" s="3" t="str">
        <f>'Detailed Summary'!BF46</f>
        <v>Failed in 6 Subjects</v>
      </c>
      <c r="N46" s="87" t="str">
        <f>'Detailed Summary'!AW46</f>
        <v/>
      </c>
      <c r="O46" s="87" t="str">
        <f>'Detailed Summary'!BJ46</f>
        <v/>
      </c>
      <c r="P46" s="5" t="str">
        <f>'Detailed Summary'!BG46</f>
        <v/>
      </c>
    </row>
    <row r="47" spans="1:16" x14ac:dyDescent="0.35">
      <c r="A47" s="88">
        <f>'Student Basic Info'!A47</f>
        <v>546</v>
      </c>
      <c r="B47" s="86" t="str">
        <f>'Student Basic Info'!C47</f>
        <v>Tanvir Hosain</v>
      </c>
      <c r="C47" s="89">
        <f>'Detailed Summary'!AK47</f>
        <v>2</v>
      </c>
      <c r="D47" s="89">
        <f>'Detailed Summary'!AL47</f>
        <v>0</v>
      </c>
      <c r="E47" s="89">
        <f>'Detailed Summary'!AM47</f>
        <v>2</v>
      </c>
      <c r="F47" s="89">
        <f>'Detailed Summary'!AN47</f>
        <v>0</v>
      </c>
      <c r="G47" s="89">
        <f>'Detailed Summary'!AO47</f>
        <v>0</v>
      </c>
      <c r="H47" s="89">
        <f>'Detailed Summary'!AP47</f>
        <v>0</v>
      </c>
      <c r="I47" s="89">
        <f>'Detailed Summary'!AR47</f>
        <v>2</v>
      </c>
      <c r="J47" s="89">
        <f>'Detailed Summary'!AS47</f>
        <v>0</v>
      </c>
      <c r="K47" s="39">
        <f>'Detailed Summary'!AU47</f>
        <v>4</v>
      </c>
      <c r="L47" s="87" t="str">
        <f>'Detailed Summary'!AV47</f>
        <v/>
      </c>
      <c r="M47" s="3" t="str">
        <f>'Detailed Summary'!BF47</f>
        <v>Failed in 4 Subjects</v>
      </c>
      <c r="N47" s="87" t="str">
        <f>'Detailed Summary'!AW47</f>
        <v/>
      </c>
      <c r="O47" s="87" t="str">
        <f>'Detailed Summary'!BJ47</f>
        <v/>
      </c>
      <c r="P47" s="5" t="str">
        <f>'Detailed Summary'!BG47</f>
        <v/>
      </c>
    </row>
    <row r="48" spans="1:16" x14ac:dyDescent="0.35">
      <c r="A48" s="88">
        <f>'Student Basic Info'!A48</f>
        <v>547</v>
      </c>
      <c r="B48" s="86" t="str">
        <f>'Student Basic Info'!C48</f>
        <v>Monowar Hosain</v>
      </c>
      <c r="C48" s="89" t="str">
        <f>'Detailed Summary'!AK48</f>
        <v/>
      </c>
      <c r="D48" s="89" t="str">
        <f>'Detailed Summary'!AL48</f>
        <v/>
      </c>
      <c r="E48" s="89" t="str">
        <f>'Detailed Summary'!AM48</f>
        <v/>
      </c>
      <c r="F48" s="89" t="str">
        <f>'Detailed Summary'!AN48</f>
        <v/>
      </c>
      <c r="G48" s="89" t="str">
        <f>'Detailed Summary'!AO48</f>
        <v/>
      </c>
      <c r="H48" s="89" t="str">
        <f>'Detailed Summary'!AP48</f>
        <v/>
      </c>
      <c r="I48" s="89" t="str">
        <f>'Detailed Summary'!AR48</f>
        <v/>
      </c>
      <c r="J48" s="89" t="str">
        <f>'Detailed Summary'!AS48</f>
        <v/>
      </c>
      <c r="K48" s="39">
        <f>'Detailed Summary'!AU48</f>
        <v>0</v>
      </c>
      <c r="L48" s="87" t="str">
        <f>'Detailed Summary'!AV48</f>
        <v/>
      </c>
      <c r="M48" s="3" t="str">
        <f>'Detailed Summary'!BF48</f>
        <v>Failed in 6 Subjects</v>
      </c>
      <c r="N48" s="87" t="str">
        <f>'Detailed Summary'!AW48</f>
        <v/>
      </c>
      <c r="O48" s="87" t="str">
        <f>'Detailed Summary'!BJ48</f>
        <v/>
      </c>
      <c r="P48" s="5" t="str">
        <f>'Detailed Summary'!BG48</f>
        <v/>
      </c>
    </row>
    <row r="49" spans="1:16" x14ac:dyDescent="0.35">
      <c r="A49" s="88">
        <f>'Student Basic Info'!A49</f>
        <v>548</v>
      </c>
      <c r="B49" s="86" t="str">
        <f>'Student Basic Info'!C49</f>
        <v>Mehedi Hasan</v>
      </c>
      <c r="C49" s="89" t="str">
        <f>'Detailed Summary'!AK49</f>
        <v/>
      </c>
      <c r="D49" s="89" t="str">
        <f>'Detailed Summary'!AL49</f>
        <v/>
      </c>
      <c r="E49" s="89" t="str">
        <f>'Detailed Summary'!AM49</f>
        <v/>
      </c>
      <c r="F49" s="89" t="str">
        <f>'Detailed Summary'!AN49</f>
        <v/>
      </c>
      <c r="G49" s="89" t="str">
        <f>'Detailed Summary'!AO49</f>
        <v/>
      </c>
      <c r="H49" s="89" t="str">
        <f>'Detailed Summary'!AP49</f>
        <v/>
      </c>
      <c r="I49" s="89" t="str">
        <f>'Detailed Summary'!AR49</f>
        <v/>
      </c>
      <c r="J49" s="89" t="str">
        <f>'Detailed Summary'!AS49</f>
        <v/>
      </c>
      <c r="K49" s="39">
        <f>'Detailed Summary'!AU49</f>
        <v>0</v>
      </c>
      <c r="L49" s="87" t="str">
        <f>'Detailed Summary'!AV49</f>
        <v/>
      </c>
      <c r="M49" s="3" t="str">
        <f>'Detailed Summary'!BF49</f>
        <v>Failed in 6 Subjects</v>
      </c>
      <c r="N49" s="87" t="str">
        <f>'Detailed Summary'!AW49</f>
        <v/>
      </c>
      <c r="O49" s="87" t="str">
        <f>'Detailed Summary'!BJ49</f>
        <v/>
      </c>
      <c r="P49" s="5" t="str">
        <f>'Detailed Summary'!BG49</f>
        <v/>
      </c>
    </row>
    <row r="50" spans="1:16" x14ac:dyDescent="0.35">
      <c r="A50" s="88">
        <f>'Student Basic Info'!A50</f>
        <v>549</v>
      </c>
      <c r="B50" s="86" t="str">
        <f>'Student Basic Info'!C50</f>
        <v>Mia Md. Mahrup Murshid</v>
      </c>
      <c r="C50" s="89">
        <f>'Detailed Summary'!AK50</f>
        <v>1</v>
      </c>
      <c r="D50" s="89">
        <f>'Detailed Summary'!AL50</f>
        <v>0</v>
      </c>
      <c r="E50" s="89">
        <f>'Detailed Summary'!AM50</f>
        <v>0</v>
      </c>
      <c r="F50" s="89">
        <f>'Detailed Summary'!AN50</f>
        <v>0</v>
      </c>
      <c r="G50" s="89">
        <f>'Detailed Summary'!AO50</f>
        <v>2</v>
      </c>
      <c r="H50" s="89">
        <f>'Detailed Summary'!AP50</f>
        <v>0</v>
      </c>
      <c r="I50" s="89">
        <f>'Detailed Summary'!AR50</f>
        <v>0</v>
      </c>
      <c r="J50" s="89">
        <f>'Detailed Summary'!AS50</f>
        <v>0</v>
      </c>
      <c r="K50" s="39">
        <f>'Detailed Summary'!AU50</f>
        <v>3</v>
      </c>
      <c r="L50" s="87" t="str">
        <f>'Detailed Summary'!AV50</f>
        <v/>
      </c>
      <c r="M50" s="3" t="str">
        <f>'Detailed Summary'!BF50</f>
        <v>Failed in 4 Subjects</v>
      </c>
      <c r="N50" s="87" t="str">
        <f>'Detailed Summary'!AW50</f>
        <v/>
      </c>
      <c r="O50" s="87" t="str">
        <f>'Detailed Summary'!BJ50</f>
        <v/>
      </c>
      <c r="P50" s="5" t="str">
        <f>'Detailed Summary'!BG50</f>
        <v/>
      </c>
    </row>
    <row r="51" spans="1:16" x14ac:dyDescent="0.35">
      <c r="A51" s="88">
        <f>'Student Basic Info'!A51</f>
        <v>550</v>
      </c>
      <c r="B51" s="86" t="str">
        <f>'Student Basic Info'!C51</f>
        <v>Mishu Alom Suddik</v>
      </c>
      <c r="C51" s="89" t="str">
        <f>'Detailed Summary'!AK51</f>
        <v/>
      </c>
      <c r="D51" s="89" t="str">
        <f>'Detailed Summary'!AL51</f>
        <v/>
      </c>
      <c r="E51" s="89" t="str">
        <f>'Detailed Summary'!AM51</f>
        <v/>
      </c>
      <c r="F51" s="89" t="str">
        <f>'Detailed Summary'!AN51</f>
        <v/>
      </c>
      <c r="G51" s="89" t="str">
        <f>'Detailed Summary'!AO51</f>
        <v/>
      </c>
      <c r="H51" s="89" t="str">
        <f>'Detailed Summary'!AP51</f>
        <v/>
      </c>
      <c r="I51" s="89" t="str">
        <f>'Detailed Summary'!AR51</f>
        <v/>
      </c>
      <c r="J51" s="89" t="str">
        <f>'Detailed Summary'!AS51</f>
        <v/>
      </c>
      <c r="K51" s="39">
        <f>'Detailed Summary'!AU51</f>
        <v>0</v>
      </c>
      <c r="L51" s="87" t="str">
        <f>'Detailed Summary'!AV51</f>
        <v/>
      </c>
      <c r="M51" s="3" t="str">
        <f>'Detailed Summary'!BF51</f>
        <v>Failed in 6 Subjects</v>
      </c>
      <c r="N51" s="87" t="str">
        <f>'Detailed Summary'!AW51</f>
        <v/>
      </c>
      <c r="O51" s="87" t="str">
        <f>'Detailed Summary'!BJ51</f>
        <v/>
      </c>
      <c r="P51" s="5" t="str">
        <f>'Detailed Summary'!BG51</f>
        <v/>
      </c>
    </row>
    <row r="52" spans="1:16" x14ac:dyDescent="0.35">
      <c r="A52" s="88">
        <f>'Student Basic Info'!A52</f>
        <v>551</v>
      </c>
      <c r="B52" s="86" t="str">
        <f>'Student Basic Info'!C52</f>
        <v>Ismail Hosain</v>
      </c>
      <c r="C52" s="89" t="str">
        <f>'Detailed Summary'!AK52</f>
        <v/>
      </c>
      <c r="D52" s="89" t="str">
        <f>'Detailed Summary'!AL52</f>
        <v/>
      </c>
      <c r="E52" s="89" t="str">
        <f>'Detailed Summary'!AM52</f>
        <v/>
      </c>
      <c r="F52" s="89" t="str">
        <f>'Detailed Summary'!AN52</f>
        <v/>
      </c>
      <c r="G52" s="89" t="str">
        <f>'Detailed Summary'!AO52</f>
        <v/>
      </c>
      <c r="H52" s="89" t="str">
        <f>'Detailed Summary'!AP52</f>
        <v/>
      </c>
      <c r="I52" s="89" t="str">
        <f>'Detailed Summary'!AR52</f>
        <v/>
      </c>
      <c r="J52" s="89" t="str">
        <f>'Detailed Summary'!AS52</f>
        <v/>
      </c>
      <c r="K52" s="39">
        <f>'Detailed Summary'!AU52</f>
        <v>0</v>
      </c>
      <c r="L52" s="87" t="str">
        <f>'Detailed Summary'!AV52</f>
        <v/>
      </c>
      <c r="M52" s="3" t="str">
        <f>'Detailed Summary'!BF52</f>
        <v>Failed in 6 Subjects</v>
      </c>
      <c r="N52" s="87" t="str">
        <f>'Detailed Summary'!AW52</f>
        <v/>
      </c>
      <c r="O52" s="87" t="str">
        <f>'Detailed Summary'!BJ52</f>
        <v/>
      </c>
      <c r="P52" s="5" t="str">
        <f>'Detailed Summary'!BG52</f>
        <v/>
      </c>
    </row>
    <row r="53" spans="1:16" x14ac:dyDescent="0.35">
      <c r="A53" s="88">
        <f>'Student Basic Info'!A53</f>
        <v>552</v>
      </c>
      <c r="B53" s="86" t="str">
        <f>'Student Basic Info'!C53</f>
        <v>Abu Bokkor Siddik</v>
      </c>
      <c r="C53" s="89">
        <f>'Detailed Summary'!AK53</f>
        <v>1</v>
      </c>
      <c r="D53" s="89">
        <f>'Detailed Summary'!AL53</f>
        <v>0</v>
      </c>
      <c r="E53" s="89">
        <f>'Detailed Summary'!AM53</f>
        <v>0</v>
      </c>
      <c r="F53" s="89">
        <f>'Detailed Summary'!AN53</f>
        <v>0</v>
      </c>
      <c r="G53" s="89">
        <f>'Detailed Summary'!AO53</f>
        <v>0</v>
      </c>
      <c r="H53" s="89">
        <f>'Detailed Summary'!AP53</f>
        <v>0</v>
      </c>
      <c r="I53" s="89">
        <f>'Detailed Summary'!AR53</f>
        <v>1</v>
      </c>
      <c r="J53" s="89">
        <f>'Detailed Summary'!AS53</f>
        <v>0</v>
      </c>
      <c r="K53" s="39">
        <f>'Detailed Summary'!AU53</f>
        <v>1</v>
      </c>
      <c r="L53" s="87" t="str">
        <f>'Detailed Summary'!AV53</f>
        <v/>
      </c>
      <c r="M53" s="3" t="str">
        <f>'Detailed Summary'!BF53</f>
        <v>Failed in 5 Subjects</v>
      </c>
      <c r="N53" s="87" t="str">
        <f>'Detailed Summary'!AW53</f>
        <v/>
      </c>
      <c r="O53" s="87" t="str">
        <f>'Detailed Summary'!BJ53</f>
        <v/>
      </c>
      <c r="P53" s="5" t="str">
        <f>'Detailed Summary'!BG53</f>
        <v/>
      </c>
    </row>
    <row r="54" spans="1:16" x14ac:dyDescent="0.35">
      <c r="A54" s="88">
        <f>'Student Basic Info'!A54</f>
        <v>553</v>
      </c>
      <c r="B54" s="86" t="str">
        <f>'Student Basic Info'!C54</f>
        <v>Nowshad Ali</v>
      </c>
      <c r="C54" s="89" t="str">
        <f>'Detailed Summary'!AK54</f>
        <v/>
      </c>
      <c r="D54" s="89" t="str">
        <f>'Detailed Summary'!AL54</f>
        <v/>
      </c>
      <c r="E54" s="89" t="str">
        <f>'Detailed Summary'!AM54</f>
        <v/>
      </c>
      <c r="F54" s="89" t="str">
        <f>'Detailed Summary'!AN54</f>
        <v/>
      </c>
      <c r="G54" s="89" t="str">
        <f>'Detailed Summary'!AO54</f>
        <v/>
      </c>
      <c r="H54" s="89" t="str">
        <f>'Detailed Summary'!AP54</f>
        <v/>
      </c>
      <c r="I54" s="89" t="str">
        <f>'Detailed Summary'!AR54</f>
        <v/>
      </c>
      <c r="J54" s="89" t="str">
        <f>'Detailed Summary'!AS54</f>
        <v/>
      </c>
      <c r="K54" s="39">
        <f>'Detailed Summary'!AU54</f>
        <v>0</v>
      </c>
      <c r="L54" s="87" t="str">
        <f>'Detailed Summary'!AV54</f>
        <v/>
      </c>
      <c r="M54" s="3" t="str">
        <f>'Detailed Summary'!BF54</f>
        <v>Failed in 6 Subjects</v>
      </c>
      <c r="N54" s="87" t="str">
        <f>'Detailed Summary'!AW54</f>
        <v/>
      </c>
      <c r="O54" s="87" t="str">
        <f>'Detailed Summary'!BJ54</f>
        <v/>
      </c>
      <c r="P54" s="5" t="str">
        <f>'Detailed Summary'!BG54</f>
        <v/>
      </c>
    </row>
    <row r="55" spans="1:16" x14ac:dyDescent="0.35">
      <c r="A55" s="88">
        <f>'Student Basic Info'!A55</f>
        <v>554</v>
      </c>
      <c r="B55" s="86" t="str">
        <f>'Student Basic Info'!C55</f>
        <v>Md. Musa</v>
      </c>
      <c r="C55" s="89">
        <f>'Detailed Summary'!AK55</f>
        <v>1</v>
      </c>
      <c r="D55" s="89">
        <f>'Detailed Summary'!AL55</f>
        <v>0</v>
      </c>
      <c r="E55" s="89">
        <f>'Detailed Summary'!AM55</f>
        <v>0</v>
      </c>
      <c r="F55" s="89">
        <f>'Detailed Summary'!AN55</f>
        <v>0</v>
      </c>
      <c r="G55" s="89">
        <f>'Detailed Summary'!AO55</f>
        <v>0</v>
      </c>
      <c r="H55" s="89">
        <f>'Detailed Summary'!AP55</f>
        <v>0</v>
      </c>
      <c r="I55" s="89">
        <f>'Detailed Summary'!AR55</f>
        <v>0</v>
      </c>
      <c r="J55" s="89">
        <f>'Detailed Summary'!AS55</f>
        <v>0</v>
      </c>
      <c r="K55" s="39">
        <f>'Detailed Summary'!AU55</f>
        <v>1</v>
      </c>
      <c r="L55" s="87" t="str">
        <f>'Detailed Summary'!AV55</f>
        <v/>
      </c>
      <c r="M55" s="3" t="str">
        <f>'Detailed Summary'!BF55</f>
        <v>Failed in 5 Subjects</v>
      </c>
      <c r="N55" s="87" t="str">
        <f>'Detailed Summary'!AW55</f>
        <v/>
      </c>
      <c r="O55" s="87" t="str">
        <f>'Detailed Summary'!BJ55</f>
        <v/>
      </c>
      <c r="P55" s="5" t="str">
        <f>'Detailed Summary'!BG55</f>
        <v/>
      </c>
    </row>
    <row r="56" spans="1:16" x14ac:dyDescent="0.35">
      <c r="A56" s="88">
        <f>'Student Basic Info'!A56</f>
        <v>555</v>
      </c>
      <c r="B56" s="86" t="str">
        <f>'Student Basic Info'!C56</f>
        <v>Setara Bagum</v>
      </c>
      <c r="C56" s="89">
        <f>'Detailed Summary'!AK56</f>
        <v>3</v>
      </c>
      <c r="D56" s="89">
        <f>'Detailed Summary'!AL56</f>
        <v>0</v>
      </c>
      <c r="E56" s="89">
        <f>'Detailed Summary'!AM56</f>
        <v>3</v>
      </c>
      <c r="F56" s="89">
        <f>'Detailed Summary'!AN56</f>
        <v>3</v>
      </c>
      <c r="G56" s="89">
        <f>'Detailed Summary'!AO56</f>
        <v>3</v>
      </c>
      <c r="H56" s="89">
        <f>'Detailed Summary'!AP56</f>
        <v>3</v>
      </c>
      <c r="I56" s="89">
        <f>'Detailed Summary'!AR56</f>
        <v>1</v>
      </c>
      <c r="J56" s="89">
        <f>'Detailed Summary'!AS56</f>
        <v>0</v>
      </c>
      <c r="K56" s="39">
        <f>'Detailed Summary'!AU56</f>
        <v>15</v>
      </c>
      <c r="L56" s="87" t="str">
        <f>'Detailed Summary'!AV56</f>
        <v/>
      </c>
      <c r="M56" s="3" t="str">
        <f>'Detailed Summary'!BF56</f>
        <v>Failed in 1 Subject</v>
      </c>
      <c r="N56" s="87" t="str">
        <f>'Detailed Summary'!AW56</f>
        <v/>
      </c>
      <c r="O56" s="87" t="str">
        <f>'Detailed Summary'!BJ56</f>
        <v/>
      </c>
      <c r="P56" s="5" t="str">
        <f>'Detailed Summary'!BG56</f>
        <v/>
      </c>
    </row>
    <row r="57" spans="1:16" x14ac:dyDescent="0.35">
      <c r="A57" s="88">
        <f>'Student Basic Info'!A57</f>
        <v>556</v>
      </c>
      <c r="B57" s="86" t="str">
        <f>'Student Basic Info'!C57</f>
        <v>Tahamina Tabassum</v>
      </c>
      <c r="C57" s="89">
        <f>'Detailed Summary'!AK57</f>
        <v>3.5</v>
      </c>
      <c r="D57" s="89">
        <f>'Detailed Summary'!AL57</f>
        <v>0</v>
      </c>
      <c r="E57" s="89">
        <f>'Detailed Summary'!AM57</f>
        <v>0</v>
      </c>
      <c r="F57" s="89">
        <f>'Detailed Summary'!AN57</f>
        <v>0</v>
      </c>
      <c r="G57" s="89">
        <f>'Detailed Summary'!AO57</f>
        <v>3</v>
      </c>
      <c r="H57" s="89">
        <f>'Detailed Summary'!AP57</f>
        <v>0</v>
      </c>
      <c r="I57" s="89">
        <f>'Detailed Summary'!AR57</f>
        <v>2</v>
      </c>
      <c r="J57" s="89">
        <f>'Detailed Summary'!AS57</f>
        <v>0</v>
      </c>
      <c r="K57" s="39">
        <f>'Detailed Summary'!AU57</f>
        <v>6.5</v>
      </c>
      <c r="L57" s="87" t="str">
        <f>'Detailed Summary'!AV57</f>
        <v/>
      </c>
      <c r="M57" s="3" t="str">
        <f>'Detailed Summary'!BF57</f>
        <v>Failed in 4 Subjects</v>
      </c>
      <c r="N57" s="87" t="str">
        <f>'Detailed Summary'!AW57</f>
        <v/>
      </c>
      <c r="O57" s="87" t="str">
        <f>'Detailed Summary'!BJ57</f>
        <v/>
      </c>
      <c r="P57" s="5" t="str">
        <f>'Detailed Summary'!BG57</f>
        <v/>
      </c>
    </row>
    <row r="58" spans="1:16" x14ac:dyDescent="0.35">
      <c r="A58" s="88">
        <f>'Student Basic Info'!A58</f>
        <v>557</v>
      </c>
      <c r="B58" s="86" t="str">
        <f>'Student Basic Info'!C58</f>
        <v>Tanjila Akrar</v>
      </c>
      <c r="C58" s="89">
        <f>'Detailed Summary'!AK58</f>
        <v>3</v>
      </c>
      <c r="D58" s="89">
        <f>'Detailed Summary'!AL58</f>
        <v>1</v>
      </c>
      <c r="E58" s="89">
        <f>'Detailed Summary'!AM58</f>
        <v>2</v>
      </c>
      <c r="F58" s="89">
        <f>'Detailed Summary'!AN58</f>
        <v>1</v>
      </c>
      <c r="G58" s="89">
        <f>'Detailed Summary'!AO58</f>
        <v>3</v>
      </c>
      <c r="H58" s="89">
        <f>'Detailed Summary'!AP58</f>
        <v>1</v>
      </c>
      <c r="I58" s="89">
        <f>'Detailed Summary'!AR58</f>
        <v>2</v>
      </c>
      <c r="J58" s="89">
        <f>'Detailed Summary'!AS58</f>
        <v>0</v>
      </c>
      <c r="K58" s="39">
        <f>'Detailed Summary'!AU58</f>
        <v>11</v>
      </c>
      <c r="L58" s="87">
        <f>'Detailed Summary'!AV58</f>
        <v>1.8333333333333333</v>
      </c>
      <c r="M58" s="3" t="str">
        <f>'Detailed Summary'!BF58</f>
        <v>Pass</v>
      </c>
      <c r="N58" s="87">
        <f>'Detailed Summary'!AW58</f>
        <v>1.8333333333333333</v>
      </c>
      <c r="O58" s="87" t="str">
        <f>'Detailed Summary'!BJ58</f>
        <v>D</v>
      </c>
      <c r="P58" s="5">
        <f>'Detailed Summary'!BG58</f>
        <v>11</v>
      </c>
    </row>
    <row r="59" spans="1:16" x14ac:dyDescent="0.35">
      <c r="A59" s="88">
        <f>'Student Basic Info'!A59</f>
        <v>558</v>
      </c>
      <c r="B59" s="86" t="str">
        <f>'Student Basic Info'!C59</f>
        <v>Nusrat Zahan Evana</v>
      </c>
      <c r="C59" s="89">
        <f>'Detailed Summary'!AK59</f>
        <v>3.5</v>
      </c>
      <c r="D59" s="89">
        <f>'Detailed Summary'!AL59</f>
        <v>1</v>
      </c>
      <c r="E59" s="89">
        <f>'Detailed Summary'!AM59</f>
        <v>3</v>
      </c>
      <c r="F59" s="89">
        <f>'Detailed Summary'!AN59</f>
        <v>3</v>
      </c>
      <c r="G59" s="89">
        <f>'Detailed Summary'!AO59</f>
        <v>3.5</v>
      </c>
      <c r="H59" s="89">
        <f>'Detailed Summary'!AP59</f>
        <v>2</v>
      </c>
      <c r="I59" s="89">
        <f>'Detailed Summary'!AR59</f>
        <v>3</v>
      </c>
      <c r="J59" s="89">
        <f>'Detailed Summary'!AS59</f>
        <v>1</v>
      </c>
      <c r="K59" s="39">
        <f>'Detailed Summary'!AU59</f>
        <v>17</v>
      </c>
      <c r="L59" s="87">
        <f>'Detailed Summary'!AV59</f>
        <v>2.6666666666666665</v>
      </c>
      <c r="M59" s="3" t="str">
        <f>'Detailed Summary'!BF59</f>
        <v>Pass</v>
      </c>
      <c r="N59" s="87">
        <f>'Detailed Summary'!AW59</f>
        <v>2.8333333333333335</v>
      </c>
      <c r="O59" s="87" t="str">
        <f>'Detailed Summary'!BJ59</f>
        <v>C</v>
      </c>
      <c r="P59" s="5">
        <f>'Detailed Summary'!BG59</f>
        <v>5</v>
      </c>
    </row>
    <row r="60" spans="1:16" x14ac:dyDescent="0.35">
      <c r="A60" s="88">
        <f>'Student Basic Info'!A60</f>
        <v>559</v>
      </c>
      <c r="B60" s="86" t="str">
        <f>'Student Basic Info'!C60</f>
        <v>Nahat Binte Raju</v>
      </c>
      <c r="C60" s="89">
        <f>'Detailed Summary'!AK60</f>
        <v>3.5</v>
      </c>
      <c r="D60" s="89">
        <f>'Detailed Summary'!AL60</f>
        <v>2</v>
      </c>
      <c r="E60" s="89">
        <f>'Detailed Summary'!AM60</f>
        <v>3</v>
      </c>
      <c r="F60" s="89">
        <f>'Detailed Summary'!AN60</f>
        <v>2</v>
      </c>
      <c r="G60" s="89">
        <f>'Detailed Summary'!AO60</f>
        <v>2</v>
      </c>
      <c r="H60" s="89">
        <f>'Detailed Summary'!AP60</f>
        <v>1</v>
      </c>
      <c r="I60" s="89">
        <f>'Detailed Summary'!AR60</f>
        <v>2</v>
      </c>
      <c r="J60" s="89">
        <f>'Detailed Summary'!AS60</f>
        <v>0</v>
      </c>
      <c r="K60" s="39">
        <f>'Detailed Summary'!AU60</f>
        <v>13.5</v>
      </c>
      <c r="L60" s="87">
        <f>'Detailed Summary'!AV60</f>
        <v>2.25</v>
      </c>
      <c r="M60" s="3" t="str">
        <f>'Detailed Summary'!BF60</f>
        <v>Pass</v>
      </c>
      <c r="N60" s="87">
        <f>'Detailed Summary'!AW60</f>
        <v>2.25</v>
      </c>
      <c r="O60" s="87" t="str">
        <f>'Detailed Summary'!BJ60</f>
        <v>C</v>
      </c>
      <c r="P60" s="5">
        <f>'Detailed Summary'!BG60</f>
        <v>10</v>
      </c>
    </row>
    <row r="61" spans="1:16" x14ac:dyDescent="0.35">
      <c r="A61" s="88">
        <f>'Student Basic Info'!A61</f>
        <v>560</v>
      </c>
      <c r="B61" s="86" t="str">
        <f>'Student Basic Info'!C61</f>
        <v>Nadiya Tasmin Nipu</v>
      </c>
      <c r="C61" s="89">
        <f>'Detailed Summary'!AK61</f>
        <v>3.5</v>
      </c>
      <c r="D61" s="89">
        <f>'Detailed Summary'!AL61</f>
        <v>0</v>
      </c>
      <c r="E61" s="89">
        <f>'Detailed Summary'!AM61</f>
        <v>2</v>
      </c>
      <c r="F61" s="89">
        <f>'Detailed Summary'!AN61</f>
        <v>0</v>
      </c>
      <c r="G61" s="89">
        <f>'Detailed Summary'!AO61</f>
        <v>2</v>
      </c>
      <c r="H61" s="89">
        <f>'Detailed Summary'!AP61</f>
        <v>1</v>
      </c>
      <c r="I61" s="89">
        <f>'Detailed Summary'!AR61</f>
        <v>2</v>
      </c>
      <c r="J61" s="89">
        <f>'Detailed Summary'!AS61</f>
        <v>0</v>
      </c>
      <c r="K61" s="39">
        <f>'Detailed Summary'!AU61</f>
        <v>8.5</v>
      </c>
      <c r="L61" s="87" t="str">
        <f>'Detailed Summary'!AV61</f>
        <v/>
      </c>
      <c r="M61" s="3" t="str">
        <f>'Detailed Summary'!BF61</f>
        <v>Failed in 2 Subjects</v>
      </c>
      <c r="N61" s="87" t="str">
        <f>'Detailed Summary'!AW61</f>
        <v/>
      </c>
      <c r="O61" s="87" t="str">
        <f>'Detailed Summary'!BJ61</f>
        <v/>
      </c>
      <c r="P61" s="5" t="str">
        <f>'Detailed Summary'!BG61</f>
        <v/>
      </c>
    </row>
    <row r="62" spans="1:16" x14ac:dyDescent="0.35">
      <c r="A62" s="88">
        <f>'Student Basic Info'!A62</f>
        <v>561</v>
      </c>
      <c r="B62" s="86" t="str">
        <f>'Student Basic Info'!C62</f>
        <v>Umme Habiba Niha</v>
      </c>
      <c r="C62" s="89">
        <f>'Detailed Summary'!AK62</f>
        <v>0</v>
      </c>
      <c r="D62" s="89">
        <f>'Detailed Summary'!AL62</f>
        <v>0</v>
      </c>
      <c r="E62" s="89">
        <f>'Detailed Summary'!AM62</f>
        <v>0</v>
      </c>
      <c r="F62" s="89">
        <f>'Detailed Summary'!AN62</f>
        <v>0</v>
      </c>
      <c r="G62" s="89">
        <f>'Detailed Summary'!AO62</f>
        <v>0</v>
      </c>
      <c r="H62" s="89" t="str">
        <f>'Detailed Summary'!AP62</f>
        <v/>
      </c>
      <c r="I62" s="89">
        <f>'Detailed Summary'!AR62</f>
        <v>0</v>
      </c>
      <c r="J62" s="89">
        <f>'Detailed Summary'!AS62</f>
        <v>0</v>
      </c>
      <c r="K62" s="39">
        <f>'Detailed Summary'!AU62</f>
        <v>0</v>
      </c>
      <c r="L62" s="87" t="str">
        <f>'Detailed Summary'!AV62</f>
        <v/>
      </c>
      <c r="M62" s="3" t="str">
        <f>'Detailed Summary'!BF62</f>
        <v>Failed in 6 Subjects</v>
      </c>
      <c r="N62" s="87" t="str">
        <f>'Detailed Summary'!AW62</f>
        <v/>
      </c>
      <c r="O62" s="87" t="str">
        <f>'Detailed Summary'!BJ62</f>
        <v/>
      </c>
      <c r="P62" s="5" t="str">
        <f>'Detailed Summary'!BG62</f>
        <v/>
      </c>
    </row>
    <row r="63" spans="1:16" x14ac:dyDescent="0.35">
      <c r="A63" s="88">
        <f>'Student Basic Info'!A63</f>
        <v>562</v>
      </c>
      <c r="B63" s="86" t="str">
        <f>'Student Basic Info'!C63</f>
        <v>Md. Ridwan Hosain</v>
      </c>
      <c r="C63" s="89" t="str">
        <f>'Detailed Summary'!AK63</f>
        <v/>
      </c>
      <c r="D63" s="89" t="str">
        <f>'Detailed Summary'!AL63</f>
        <v/>
      </c>
      <c r="E63" s="89" t="str">
        <f>'Detailed Summary'!AM63</f>
        <v/>
      </c>
      <c r="F63" s="89" t="str">
        <f>'Detailed Summary'!AN63</f>
        <v/>
      </c>
      <c r="G63" s="89" t="str">
        <f>'Detailed Summary'!AO63</f>
        <v/>
      </c>
      <c r="H63" s="89" t="str">
        <f>'Detailed Summary'!AP63</f>
        <v/>
      </c>
      <c r="I63" s="89" t="str">
        <f>'Detailed Summary'!AR63</f>
        <v/>
      </c>
      <c r="J63" s="89" t="str">
        <f>'Detailed Summary'!AS63</f>
        <v/>
      </c>
      <c r="K63" s="39">
        <f>'Detailed Summary'!AU63</f>
        <v>0</v>
      </c>
      <c r="L63" s="87" t="str">
        <f>'Detailed Summary'!AV63</f>
        <v/>
      </c>
      <c r="M63" s="3" t="str">
        <f>'Detailed Summary'!BF63</f>
        <v>Failed in 6 Subjects</v>
      </c>
      <c r="N63" s="87" t="str">
        <f>'Detailed Summary'!AW63</f>
        <v/>
      </c>
      <c r="O63" s="87" t="str">
        <f>'Detailed Summary'!BJ63</f>
        <v/>
      </c>
      <c r="P63" s="5" t="str">
        <f>'Detailed Summary'!BG63</f>
        <v/>
      </c>
    </row>
    <row r="64" spans="1:16" x14ac:dyDescent="0.35">
      <c r="A64" s="88">
        <f>'Student Basic Info'!A64</f>
        <v>563</v>
      </c>
      <c r="B64" s="86" t="str">
        <f>'Student Basic Info'!C64</f>
        <v>Mehedi Hasan Rahim</v>
      </c>
      <c r="C64" s="89" t="str">
        <f>'Detailed Summary'!AK64</f>
        <v/>
      </c>
      <c r="D64" s="89" t="str">
        <f>'Detailed Summary'!AL64</f>
        <v/>
      </c>
      <c r="E64" s="89" t="str">
        <f>'Detailed Summary'!AM64</f>
        <v/>
      </c>
      <c r="F64" s="89" t="str">
        <f>'Detailed Summary'!AN64</f>
        <v/>
      </c>
      <c r="G64" s="89" t="str">
        <f>'Detailed Summary'!AO64</f>
        <v/>
      </c>
      <c r="H64" s="89" t="str">
        <f>'Detailed Summary'!AP64</f>
        <v/>
      </c>
      <c r="I64" s="89" t="str">
        <f>'Detailed Summary'!AR64</f>
        <v/>
      </c>
      <c r="J64" s="89" t="str">
        <f>'Detailed Summary'!AS64</f>
        <v/>
      </c>
      <c r="K64" s="39">
        <f>'Detailed Summary'!AU64</f>
        <v>0</v>
      </c>
      <c r="L64" s="87" t="str">
        <f>'Detailed Summary'!AV64</f>
        <v/>
      </c>
      <c r="M64" s="3" t="str">
        <f>'Detailed Summary'!BF64</f>
        <v>Failed in 6 Subjects</v>
      </c>
      <c r="N64" s="87" t="str">
        <f>'Detailed Summary'!AW64</f>
        <v/>
      </c>
      <c r="O64" s="87" t="str">
        <f>'Detailed Summary'!BJ64</f>
        <v/>
      </c>
      <c r="P64" s="5" t="str">
        <f>'Detailed Summary'!BG64</f>
        <v/>
      </c>
    </row>
    <row r="65" spans="1:16" x14ac:dyDescent="0.35">
      <c r="A65" s="88">
        <f>'Student Basic Info'!A65</f>
        <v>564</v>
      </c>
      <c r="B65" s="86" t="str">
        <f>'Student Basic Info'!C65</f>
        <v>Mominul Haque</v>
      </c>
      <c r="C65" s="89" t="str">
        <f>'Detailed Summary'!AK65</f>
        <v/>
      </c>
      <c r="D65" s="89" t="str">
        <f>'Detailed Summary'!AL65</f>
        <v/>
      </c>
      <c r="E65" s="89" t="str">
        <f>'Detailed Summary'!AM65</f>
        <v/>
      </c>
      <c r="F65" s="89" t="str">
        <f>'Detailed Summary'!AN65</f>
        <v/>
      </c>
      <c r="G65" s="89" t="str">
        <f>'Detailed Summary'!AO65</f>
        <v/>
      </c>
      <c r="H65" s="89" t="str">
        <f>'Detailed Summary'!AP65</f>
        <v/>
      </c>
      <c r="I65" s="89" t="str">
        <f>'Detailed Summary'!AR65</f>
        <v/>
      </c>
      <c r="J65" s="89" t="str">
        <f>'Detailed Summary'!AS65</f>
        <v/>
      </c>
      <c r="K65" s="39">
        <f>'Detailed Summary'!AU65</f>
        <v>0</v>
      </c>
      <c r="L65" s="87" t="str">
        <f>'Detailed Summary'!AV65</f>
        <v/>
      </c>
      <c r="M65" s="3" t="str">
        <f>'Detailed Summary'!BF65</f>
        <v>Failed in 6 Subjects</v>
      </c>
      <c r="N65" s="87" t="str">
        <f>'Detailed Summary'!AW65</f>
        <v/>
      </c>
      <c r="O65" s="87" t="str">
        <f>'Detailed Summary'!BJ65</f>
        <v/>
      </c>
      <c r="P65" s="5" t="str">
        <f>'Detailed Summary'!BG65</f>
        <v/>
      </c>
    </row>
    <row r="66" spans="1:16" x14ac:dyDescent="0.35">
      <c r="A66" s="88">
        <f>'Student Basic Info'!A66</f>
        <v>565</v>
      </c>
      <c r="B66" s="86" t="str">
        <f>'Student Basic Info'!C66</f>
        <v>Farhana Islam</v>
      </c>
      <c r="C66" s="89">
        <f>'Detailed Summary'!AK66</f>
        <v>2</v>
      </c>
      <c r="D66" s="89">
        <f>'Detailed Summary'!AL66</f>
        <v>0</v>
      </c>
      <c r="E66" s="89">
        <f>'Detailed Summary'!AM66</f>
        <v>2</v>
      </c>
      <c r="F66" s="89">
        <f>'Detailed Summary'!AN66</f>
        <v>3</v>
      </c>
      <c r="G66" s="89">
        <f>'Detailed Summary'!AO66</f>
        <v>0</v>
      </c>
      <c r="H66" s="89">
        <f>'Detailed Summary'!AP66</f>
        <v>2</v>
      </c>
      <c r="I66" s="89" t="str">
        <f>'Detailed Summary'!AR66</f>
        <v/>
      </c>
      <c r="J66" s="89" t="str">
        <f>'Detailed Summary'!AS66</f>
        <v/>
      </c>
      <c r="K66" s="39">
        <f>'Detailed Summary'!AU66</f>
        <v>9</v>
      </c>
      <c r="L66" s="87" t="str">
        <f>'Detailed Summary'!AV66</f>
        <v/>
      </c>
      <c r="M66" s="3" t="str">
        <f>'Detailed Summary'!BF66</f>
        <v>Failed in 2 Subjects</v>
      </c>
      <c r="N66" s="87" t="str">
        <f>'Detailed Summary'!AW66</f>
        <v/>
      </c>
      <c r="O66" s="87" t="str">
        <f>'Detailed Summary'!BJ66</f>
        <v/>
      </c>
      <c r="P66" s="5" t="str">
        <f>'Detailed Summary'!BG66</f>
        <v/>
      </c>
    </row>
    <row r="67" spans="1:16" x14ac:dyDescent="0.35">
      <c r="A67" s="88">
        <f>'Student Basic Info'!A67</f>
        <v>566</v>
      </c>
      <c r="B67" s="86" t="str">
        <f>'Student Basic Info'!C67</f>
        <v>Md. Mushfiqul Alom</v>
      </c>
      <c r="C67" s="89" t="str">
        <f>'Detailed Summary'!AK67</f>
        <v/>
      </c>
      <c r="D67" s="89" t="str">
        <f>'Detailed Summary'!AL67</f>
        <v/>
      </c>
      <c r="E67" s="89" t="str">
        <f>'Detailed Summary'!AM67</f>
        <v/>
      </c>
      <c r="F67" s="89" t="str">
        <f>'Detailed Summary'!AN67</f>
        <v/>
      </c>
      <c r="G67" s="89" t="str">
        <f>'Detailed Summary'!AO67</f>
        <v/>
      </c>
      <c r="H67" s="89" t="str">
        <f>'Detailed Summary'!AP67</f>
        <v/>
      </c>
      <c r="I67" s="89" t="str">
        <f>'Detailed Summary'!AR67</f>
        <v/>
      </c>
      <c r="J67" s="89" t="str">
        <f>'Detailed Summary'!AS67</f>
        <v/>
      </c>
      <c r="K67" s="39">
        <f>'Detailed Summary'!AU67</f>
        <v>0</v>
      </c>
      <c r="L67" s="87" t="str">
        <f>'Detailed Summary'!AV67</f>
        <v/>
      </c>
      <c r="M67" s="3" t="str">
        <f>'Detailed Summary'!BF67</f>
        <v>Failed in 6 Subjects</v>
      </c>
      <c r="N67" s="87" t="str">
        <f>'Detailed Summary'!AW67</f>
        <v/>
      </c>
      <c r="O67" s="87" t="str">
        <f>'Detailed Summary'!BJ67</f>
        <v/>
      </c>
      <c r="P67" s="5" t="str">
        <f>'Detailed Summary'!BG67</f>
        <v/>
      </c>
    </row>
    <row r="68" spans="1:16" x14ac:dyDescent="0.35">
      <c r="A68" s="88">
        <f>'Student Basic Info'!A68</f>
        <v>567</v>
      </c>
      <c r="B68" s="86" t="str">
        <f>'Student Basic Info'!C68</f>
        <v>Fokhrul Alom</v>
      </c>
      <c r="C68" s="89">
        <f>'Detailed Summary'!AK68</f>
        <v>0</v>
      </c>
      <c r="D68" s="89">
        <f>'Detailed Summary'!AL68</f>
        <v>0</v>
      </c>
      <c r="E68" s="89">
        <f>'Detailed Summary'!AM68</f>
        <v>0</v>
      </c>
      <c r="F68" s="89">
        <f>'Detailed Summary'!AN68</f>
        <v>0</v>
      </c>
      <c r="G68" s="89">
        <f>'Detailed Summary'!AO68</f>
        <v>0</v>
      </c>
      <c r="H68" s="89">
        <f>'Detailed Summary'!AP68</f>
        <v>0</v>
      </c>
      <c r="I68" s="89">
        <f>'Detailed Summary'!AR68</f>
        <v>0</v>
      </c>
      <c r="J68" s="89">
        <f>'Detailed Summary'!AS68</f>
        <v>0</v>
      </c>
      <c r="K68" s="39">
        <f>'Detailed Summary'!AU68</f>
        <v>0</v>
      </c>
      <c r="L68" s="87" t="str">
        <f>'Detailed Summary'!AV68</f>
        <v/>
      </c>
      <c r="M68" s="3" t="str">
        <f>'Detailed Summary'!BF68</f>
        <v>Failed in 6 Subjects</v>
      </c>
      <c r="N68" s="87" t="str">
        <f>'Detailed Summary'!AW68</f>
        <v/>
      </c>
      <c r="O68" s="87" t="str">
        <f>'Detailed Summary'!BJ68</f>
        <v/>
      </c>
      <c r="P68" s="5" t="str">
        <f>'Detailed Summary'!BG68</f>
        <v/>
      </c>
    </row>
    <row r="69" spans="1:16" x14ac:dyDescent="0.35">
      <c r="A69" s="88">
        <f>'Student Basic Info'!A69</f>
        <v>568</v>
      </c>
      <c r="B69" s="86" t="str">
        <f>'Student Basic Info'!C69</f>
        <v>Sanzida Aktar Ruhi</v>
      </c>
      <c r="C69" s="89">
        <f>'Detailed Summary'!AK69</f>
        <v>0</v>
      </c>
      <c r="D69" s="89">
        <f>'Detailed Summary'!AL69</f>
        <v>0</v>
      </c>
      <c r="E69" s="89">
        <f>'Detailed Summary'!AM69</f>
        <v>0</v>
      </c>
      <c r="F69" s="89">
        <f>'Detailed Summary'!AN69</f>
        <v>0</v>
      </c>
      <c r="G69" s="89">
        <f>'Detailed Summary'!AO69</f>
        <v>0</v>
      </c>
      <c r="H69" s="89">
        <f>'Detailed Summary'!AP69</f>
        <v>0</v>
      </c>
      <c r="I69" s="89">
        <f>'Detailed Summary'!AR69</f>
        <v>0</v>
      </c>
      <c r="J69" s="89">
        <f>'Detailed Summary'!AS69</f>
        <v>0</v>
      </c>
      <c r="K69" s="39">
        <f>'Detailed Summary'!AU69</f>
        <v>0</v>
      </c>
      <c r="L69" s="87" t="str">
        <f>'Detailed Summary'!AV69</f>
        <v/>
      </c>
      <c r="M69" s="3" t="str">
        <f>'Detailed Summary'!BF69</f>
        <v>Failed in 6 Subjects</v>
      </c>
      <c r="N69" s="87" t="str">
        <f>'Detailed Summary'!AW69</f>
        <v/>
      </c>
      <c r="O69" s="87" t="str">
        <f>'Detailed Summary'!BJ69</f>
        <v/>
      </c>
      <c r="P69" s="5" t="str">
        <f>'Detailed Summary'!BG69</f>
        <v/>
      </c>
    </row>
    <row r="70" spans="1:16" x14ac:dyDescent="0.35">
      <c r="A70" s="88">
        <f>'Student Basic Info'!A70</f>
        <v>569</v>
      </c>
      <c r="B70" s="86" t="str">
        <f>'Student Basic Info'!C70</f>
        <v>Miheraz Hosain</v>
      </c>
      <c r="C70" s="89" t="str">
        <f>'Detailed Summary'!AK70</f>
        <v/>
      </c>
      <c r="D70" s="89" t="str">
        <f>'Detailed Summary'!AL70</f>
        <v/>
      </c>
      <c r="E70" s="89" t="str">
        <f>'Detailed Summary'!AM70</f>
        <v/>
      </c>
      <c r="F70" s="89" t="str">
        <f>'Detailed Summary'!AN70</f>
        <v/>
      </c>
      <c r="G70" s="89" t="str">
        <f>'Detailed Summary'!AO70</f>
        <v/>
      </c>
      <c r="H70" s="89" t="str">
        <f>'Detailed Summary'!AP70</f>
        <v/>
      </c>
      <c r="I70" s="89" t="str">
        <f>'Detailed Summary'!AR70</f>
        <v/>
      </c>
      <c r="J70" s="89" t="str">
        <f>'Detailed Summary'!AS70</f>
        <v/>
      </c>
      <c r="K70" s="39">
        <f>'Detailed Summary'!AU70</f>
        <v>0</v>
      </c>
      <c r="L70" s="87" t="str">
        <f>'Detailed Summary'!AV70</f>
        <v/>
      </c>
      <c r="M70" s="3" t="str">
        <f>'Detailed Summary'!BF70</f>
        <v>Failed in 6 Subjects</v>
      </c>
      <c r="N70" s="87" t="str">
        <f>'Detailed Summary'!AW70</f>
        <v/>
      </c>
      <c r="O70" s="87" t="str">
        <f>'Detailed Summary'!BJ70</f>
        <v/>
      </c>
      <c r="P70" s="5" t="str">
        <f>'Detailed Summary'!BG70</f>
        <v/>
      </c>
    </row>
    <row r="71" spans="1:16" x14ac:dyDescent="0.35">
      <c r="A71" s="88">
        <f>'Student Basic Info'!A71</f>
        <v>570</v>
      </c>
      <c r="B71" s="86" t="str">
        <f>'Student Basic Info'!C71</f>
        <v>Md. Naymul Islam</v>
      </c>
      <c r="C71" s="89" t="str">
        <f>'Detailed Summary'!AK71</f>
        <v/>
      </c>
      <c r="D71" s="89" t="str">
        <f>'Detailed Summary'!AL71</f>
        <v/>
      </c>
      <c r="E71" s="89" t="str">
        <f>'Detailed Summary'!AM71</f>
        <v/>
      </c>
      <c r="F71" s="89" t="str">
        <f>'Detailed Summary'!AN71</f>
        <v/>
      </c>
      <c r="G71" s="89" t="str">
        <f>'Detailed Summary'!AO71</f>
        <v/>
      </c>
      <c r="H71" s="89" t="str">
        <f>'Detailed Summary'!AP71</f>
        <v/>
      </c>
      <c r="I71" s="89" t="str">
        <f>'Detailed Summary'!AR71</f>
        <v/>
      </c>
      <c r="J71" s="89" t="str">
        <f>'Detailed Summary'!AS71</f>
        <v/>
      </c>
      <c r="K71" s="39">
        <f>'Detailed Summary'!AU71</f>
        <v>0</v>
      </c>
      <c r="L71" s="87" t="str">
        <f>'Detailed Summary'!AV71</f>
        <v/>
      </c>
      <c r="M71" s="3" t="str">
        <f>'Detailed Summary'!BF71</f>
        <v>Failed in 6 Subjects</v>
      </c>
      <c r="N71" s="87" t="str">
        <f>'Detailed Summary'!AW71</f>
        <v/>
      </c>
      <c r="O71" s="87" t="str">
        <f>'Detailed Summary'!BJ71</f>
        <v/>
      </c>
      <c r="P71" s="5" t="str">
        <f>'Detailed Summary'!BG71</f>
        <v/>
      </c>
    </row>
    <row r="72" spans="1:16" x14ac:dyDescent="0.35">
      <c r="A72" s="88">
        <f>'Student Basic Info'!A72</f>
        <v>571</v>
      </c>
      <c r="B72" s="86" t="str">
        <f>'Student Basic Info'!C72</f>
        <v>Nirob Chandra Dhupi</v>
      </c>
      <c r="C72" s="89" t="str">
        <f>'Detailed Summary'!AK72</f>
        <v/>
      </c>
      <c r="D72" s="89" t="str">
        <f>'Detailed Summary'!AL72</f>
        <v/>
      </c>
      <c r="E72" s="89" t="str">
        <f>'Detailed Summary'!AM72</f>
        <v/>
      </c>
      <c r="F72" s="89" t="str">
        <f>'Detailed Summary'!AN72</f>
        <v/>
      </c>
      <c r="G72" s="89" t="str">
        <f>'Detailed Summary'!AO72</f>
        <v/>
      </c>
      <c r="H72" s="89" t="str">
        <f>'Detailed Summary'!AP72</f>
        <v/>
      </c>
      <c r="I72" s="89" t="str">
        <f>'Detailed Summary'!AR72</f>
        <v/>
      </c>
      <c r="J72" s="89" t="str">
        <f>'Detailed Summary'!AS72</f>
        <v/>
      </c>
      <c r="K72" s="39">
        <f>'Detailed Summary'!AU72</f>
        <v>0</v>
      </c>
      <c r="L72" s="87" t="str">
        <f>'Detailed Summary'!AV72</f>
        <v/>
      </c>
      <c r="M72" s="3" t="str">
        <f>'Detailed Summary'!BF72</f>
        <v>Failed in 6 Subjects</v>
      </c>
      <c r="N72" s="87" t="str">
        <f>'Detailed Summary'!AW72</f>
        <v/>
      </c>
      <c r="O72" s="87" t="str">
        <f>'Detailed Summary'!BJ72</f>
        <v/>
      </c>
      <c r="P72" s="5" t="str">
        <f>'Detailed Summary'!BG72</f>
        <v/>
      </c>
    </row>
    <row r="73" spans="1:16" x14ac:dyDescent="0.35">
      <c r="A73" s="88">
        <f>'Student Basic Info'!A73</f>
        <v>572</v>
      </c>
      <c r="B73" s="86" t="str">
        <f>'Student Basic Info'!C73</f>
        <v>Abu Bokkor Siddik</v>
      </c>
      <c r="C73" s="89">
        <f>'Detailed Summary'!AK73</f>
        <v>0</v>
      </c>
      <c r="D73" s="89">
        <f>'Detailed Summary'!AL73</f>
        <v>0</v>
      </c>
      <c r="E73" s="89">
        <f>'Detailed Summary'!AM73</f>
        <v>0</v>
      </c>
      <c r="F73" s="89">
        <f>'Detailed Summary'!AN73</f>
        <v>0</v>
      </c>
      <c r="G73" s="89">
        <f>'Detailed Summary'!AO73</f>
        <v>0</v>
      </c>
      <c r="H73" s="89">
        <f>'Detailed Summary'!AP73</f>
        <v>0</v>
      </c>
      <c r="I73" s="89">
        <f>'Detailed Summary'!AR73</f>
        <v>0</v>
      </c>
      <c r="J73" s="89">
        <f>'Detailed Summary'!AS73</f>
        <v>0</v>
      </c>
      <c r="K73" s="39">
        <f>'Detailed Summary'!AU73</f>
        <v>0</v>
      </c>
      <c r="L73" s="87" t="str">
        <f>'Detailed Summary'!AV73</f>
        <v/>
      </c>
      <c r="M73" s="3" t="str">
        <f>'Detailed Summary'!BF73</f>
        <v>Failed in 6 Subjects</v>
      </c>
      <c r="N73" s="87" t="str">
        <f>'Detailed Summary'!AW73</f>
        <v/>
      </c>
      <c r="O73" s="87" t="str">
        <f>'Detailed Summary'!BJ73</f>
        <v/>
      </c>
      <c r="P73" s="5" t="str">
        <f>'Detailed Summary'!BG73</f>
        <v/>
      </c>
    </row>
    <row r="74" spans="1:16" x14ac:dyDescent="0.35">
      <c r="A74" s="88">
        <f>'Student Basic Info'!A74</f>
        <v>573</v>
      </c>
      <c r="B74" s="86" t="str">
        <f>'Student Basic Info'!C74</f>
        <v>Sultan Ahammed Nafiz</v>
      </c>
      <c r="C74" s="89">
        <f>'Detailed Summary'!AK74</f>
        <v>0</v>
      </c>
      <c r="D74" s="89">
        <f>'Detailed Summary'!AL74</f>
        <v>0</v>
      </c>
      <c r="E74" s="89">
        <f>'Detailed Summary'!AM74</f>
        <v>0</v>
      </c>
      <c r="F74" s="89">
        <f>'Detailed Summary'!AN74</f>
        <v>0</v>
      </c>
      <c r="G74" s="89">
        <f>'Detailed Summary'!AO74</f>
        <v>0</v>
      </c>
      <c r="H74" s="89">
        <f>'Detailed Summary'!AP74</f>
        <v>0</v>
      </c>
      <c r="I74" s="89">
        <f>'Detailed Summary'!AR74</f>
        <v>0</v>
      </c>
      <c r="J74" s="89">
        <f>'Detailed Summary'!AS74</f>
        <v>0</v>
      </c>
      <c r="K74" s="39">
        <f>'Detailed Summary'!AU74</f>
        <v>0</v>
      </c>
      <c r="L74" s="87" t="str">
        <f>'Detailed Summary'!AV74</f>
        <v/>
      </c>
      <c r="M74" s="3" t="str">
        <f>'Detailed Summary'!BF74</f>
        <v>Failed in 6 Subjects</v>
      </c>
      <c r="N74" s="87" t="str">
        <f>'Detailed Summary'!AW74</f>
        <v/>
      </c>
      <c r="O74" s="87" t="str">
        <f>'Detailed Summary'!BJ74</f>
        <v/>
      </c>
      <c r="P74" s="5" t="str">
        <f>'Detailed Summary'!BG74</f>
        <v/>
      </c>
    </row>
    <row r="75" spans="1:16" x14ac:dyDescent="0.35">
      <c r="A75" s="88">
        <f>'Student Basic Info'!A75</f>
        <v>574</v>
      </c>
      <c r="B75" s="86" t="str">
        <f>'Student Basic Info'!C75</f>
        <v xml:space="preserve">Mehedi Hasan </v>
      </c>
      <c r="C75" s="89" t="str">
        <f>'Detailed Summary'!AK75</f>
        <v/>
      </c>
      <c r="D75" s="89" t="str">
        <f>'Detailed Summary'!AL75</f>
        <v/>
      </c>
      <c r="E75" s="89">
        <f>'Detailed Summary'!AM75</f>
        <v>0</v>
      </c>
      <c r="F75" s="89">
        <f>'Detailed Summary'!AN75</f>
        <v>0</v>
      </c>
      <c r="G75" s="89">
        <f>'Detailed Summary'!AO75</f>
        <v>0</v>
      </c>
      <c r="H75" s="89">
        <f>'Detailed Summary'!AP75</f>
        <v>0</v>
      </c>
      <c r="I75" s="89" t="str">
        <f>'Detailed Summary'!AR75</f>
        <v/>
      </c>
      <c r="J75" s="89" t="str">
        <f>'Detailed Summary'!AS75</f>
        <v/>
      </c>
      <c r="K75" s="39">
        <f>'Detailed Summary'!AU75</f>
        <v>0</v>
      </c>
      <c r="L75" s="87" t="str">
        <f>'Detailed Summary'!AV75</f>
        <v/>
      </c>
      <c r="M75" s="3" t="str">
        <f>'Detailed Summary'!BF75</f>
        <v>Failed in 6 Subjects</v>
      </c>
      <c r="N75" s="87" t="str">
        <f>'Detailed Summary'!AW75</f>
        <v/>
      </c>
      <c r="O75" s="87" t="str">
        <f>'Detailed Summary'!BJ75</f>
        <v/>
      </c>
      <c r="P75" s="5" t="str">
        <f>'Detailed Summary'!BG75</f>
        <v/>
      </c>
    </row>
    <row r="76" spans="1:16" x14ac:dyDescent="0.35">
      <c r="A76" s="88">
        <f>'Student Basic Info'!A76</f>
        <v>575</v>
      </c>
      <c r="B76" s="86" t="str">
        <f>'Student Basic Info'!C76</f>
        <v>Torikul Islam</v>
      </c>
      <c r="C76" s="89" t="str">
        <f>'Detailed Summary'!AK76</f>
        <v/>
      </c>
      <c r="D76" s="89" t="str">
        <f>'Detailed Summary'!AL76</f>
        <v/>
      </c>
      <c r="E76" s="89" t="str">
        <f>'Detailed Summary'!AM76</f>
        <v/>
      </c>
      <c r="F76" s="89" t="str">
        <f>'Detailed Summary'!AN76</f>
        <v/>
      </c>
      <c r="G76" s="89" t="str">
        <f>'Detailed Summary'!AO76</f>
        <v/>
      </c>
      <c r="H76" s="89" t="str">
        <f>'Detailed Summary'!AP76</f>
        <v/>
      </c>
      <c r="I76" s="89" t="str">
        <f>'Detailed Summary'!AR76</f>
        <v/>
      </c>
      <c r="J76" s="89" t="str">
        <f>'Detailed Summary'!AS76</f>
        <v/>
      </c>
      <c r="K76" s="39">
        <f>'Detailed Summary'!AU76</f>
        <v>0</v>
      </c>
      <c r="L76" s="87" t="str">
        <f>'Detailed Summary'!AV76</f>
        <v/>
      </c>
      <c r="M76" s="3" t="str">
        <f>'Detailed Summary'!BF76</f>
        <v>Failed in 6 Subjects</v>
      </c>
      <c r="N76" s="87" t="str">
        <f>'Detailed Summary'!AW76</f>
        <v/>
      </c>
      <c r="O76" s="87" t="str">
        <f>'Detailed Summary'!BJ76</f>
        <v/>
      </c>
      <c r="P76" s="5" t="str">
        <f>'Detailed Summary'!BG76</f>
        <v/>
      </c>
    </row>
    <row r="77" spans="1:16" x14ac:dyDescent="0.35">
      <c r="A77" s="88">
        <f>'Student Basic Info'!A77</f>
        <v>576</v>
      </c>
      <c r="B77" s="86" t="str">
        <f>'Student Basic Info'!C77</f>
        <v>Irin Aktar</v>
      </c>
      <c r="C77" s="89" t="str">
        <f>'Detailed Summary'!AK77</f>
        <v/>
      </c>
      <c r="D77" s="89" t="str">
        <f>'Detailed Summary'!AL77</f>
        <v/>
      </c>
      <c r="E77" s="89" t="str">
        <f>'Detailed Summary'!AM77</f>
        <v/>
      </c>
      <c r="F77" s="89" t="str">
        <f>'Detailed Summary'!AN77</f>
        <v/>
      </c>
      <c r="G77" s="89" t="str">
        <f>'Detailed Summary'!AO77</f>
        <v/>
      </c>
      <c r="H77" s="89" t="str">
        <f>'Detailed Summary'!AP77</f>
        <v/>
      </c>
      <c r="I77" s="89" t="str">
        <f>'Detailed Summary'!AR77</f>
        <v/>
      </c>
      <c r="J77" s="89" t="str">
        <f>'Detailed Summary'!AS77</f>
        <v/>
      </c>
      <c r="K77" s="39">
        <f>'Detailed Summary'!AU77</f>
        <v>0</v>
      </c>
      <c r="L77" s="87" t="str">
        <f>'Detailed Summary'!AV77</f>
        <v/>
      </c>
      <c r="M77" s="3" t="str">
        <f>'Detailed Summary'!BF77</f>
        <v>Failed in 6 Subjects</v>
      </c>
      <c r="N77" s="87" t="str">
        <f>'Detailed Summary'!AW77</f>
        <v/>
      </c>
      <c r="O77" s="87" t="str">
        <f>'Detailed Summary'!BJ77</f>
        <v/>
      </c>
      <c r="P77" s="5" t="str">
        <f>'Detailed Summary'!BG77</f>
        <v/>
      </c>
    </row>
    <row r="78" spans="1:16" x14ac:dyDescent="0.35">
      <c r="A78" s="88">
        <f>'Student Basic Info'!A78</f>
        <v>577</v>
      </c>
      <c r="B78" s="86" t="str">
        <f>'Student Basic Info'!C78</f>
        <v>Karimul Islam</v>
      </c>
      <c r="C78" s="89">
        <f>'Detailed Summary'!AK78</f>
        <v>1</v>
      </c>
      <c r="D78" s="89">
        <f>'Detailed Summary'!AL78</f>
        <v>0</v>
      </c>
      <c r="E78" s="89">
        <f>'Detailed Summary'!AM78</f>
        <v>0</v>
      </c>
      <c r="F78" s="89">
        <f>'Detailed Summary'!AN78</f>
        <v>0</v>
      </c>
      <c r="G78" s="89">
        <f>'Detailed Summary'!AO78</f>
        <v>0</v>
      </c>
      <c r="H78" s="89">
        <f>'Detailed Summary'!AP78</f>
        <v>0</v>
      </c>
      <c r="I78" s="89">
        <f>'Detailed Summary'!AR78</f>
        <v>1</v>
      </c>
      <c r="J78" s="89">
        <f>'Detailed Summary'!AS78</f>
        <v>0</v>
      </c>
      <c r="K78" s="39">
        <f>'Detailed Summary'!AU78</f>
        <v>1</v>
      </c>
      <c r="L78" s="87" t="str">
        <f>'Detailed Summary'!AV78</f>
        <v/>
      </c>
      <c r="M78" s="3" t="str">
        <f>'Detailed Summary'!BF78</f>
        <v>Failed in 5 Subjects</v>
      </c>
      <c r="N78" s="87" t="str">
        <f>'Detailed Summary'!AW78</f>
        <v/>
      </c>
      <c r="O78" s="87" t="str">
        <f>'Detailed Summary'!BJ78</f>
        <v/>
      </c>
      <c r="P78" s="5" t="str">
        <f>'Detailed Summary'!BG78</f>
        <v/>
      </c>
    </row>
    <row r="79" spans="1:16" x14ac:dyDescent="0.35">
      <c r="A79" s="88">
        <f>'Student Basic Info'!A79</f>
        <v>578</v>
      </c>
      <c r="B79" s="86" t="str">
        <f>'Student Basic Info'!C79</f>
        <v>Omor Faruque</v>
      </c>
      <c r="C79" s="89" t="str">
        <f>'Detailed Summary'!AK79</f>
        <v/>
      </c>
      <c r="D79" s="89" t="str">
        <f>'Detailed Summary'!AL79</f>
        <v/>
      </c>
      <c r="E79" s="89" t="str">
        <f>'Detailed Summary'!AM79</f>
        <v/>
      </c>
      <c r="F79" s="89" t="str">
        <f>'Detailed Summary'!AN79</f>
        <v/>
      </c>
      <c r="G79" s="89" t="str">
        <f>'Detailed Summary'!AO79</f>
        <v/>
      </c>
      <c r="H79" s="89" t="str">
        <f>'Detailed Summary'!AP79</f>
        <v/>
      </c>
      <c r="I79" s="89" t="str">
        <f>'Detailed Summary'!AR79</f>
        <v/>
      </c>
      <c r="J79" s="89" t="str">
        <f>'Detailed Summary'!AS79</f>
        <v/>
      </c>
      <c r="K79" s="39">
        <f>'Detailed Summary'!AU79</f>
        <v>0</v>
      </c>
      <c r="L79" s="87" t="str">
        <f>'Detailed Summary'!AV79</f>
        <v/>
      </c>
      <c r="M79" s="3" t="str">
        <f>'Detailed Summary'!BF79</f>
        <v>Failed in 6 Subjects</v>
      </c>
      <c r="N79" s="87" t="str">
        <f>'Detailed Summary'!AW79</f>
        <v/>
      </c>
      <c r="O79" s="87" t="str">
        <f>'Detailed Summary'!BJ79</f>
        <v/>
      </c>
      <c r="P79" s="5" t="str">
        <f>'Detailed Summary'!BG79</f>
        <v/>
      </c>
    </row>
    <row r="80" spans="1:16" x14ac:dyDescent="0.35">
      <c r="A80" s="88">
        <f>'Student Basic Info'!A80</f>
        <v>579</v>
      </c>
      <c r="B80" s="86" t="str">
        <f>'Student Basic Info'!C80</f>
        <v xml:space="preserve">Yousup Ashraf </v>
      </c>
      <c r="C80" s="89" t="str">
        <f>'Detailed Summary'!AK80</f>
        <v/>
      </c>
      <c r="D80" s="89" t="str">
        <f>'Detailed Summary'!AL80</f>
        <v/>
      </c>
      <c r="E80" s="89" t="str">
        <f>'Detailed Summary'!AM80</f>
        <v/>
      </c>
      <c r="F80" s="89" t="str">
        <f>'Detailed Summary'!AN80</f>
        <v/>
      </c>
      <c r="G80" s="89" t="str">
        <f>'Detailed Summary'!AO80</f>
        <v/>
      </c>
      <c r="H80" s="89" t="str">
        <f>'Detailed Summary'!AP80</f>
        <v/>
      </c>
      <c r="I80" s="89" t="str">
        <f>'Detailed Summary'!AR80</f>
        <v/>
      </c>
      <c r="J80" s="89" t="str">
        <f>'Detailed Summary'!AS80</f>
        <v/>
      </c>
      <c r="K80" s="39">
        <f>'Detailed Summary'!AU80</f>
        <v>0</v>
      </c>
      <c r="L80" s="87" t="str">
        <f>'Detailed Summary'!AV80</f>
        <v/>
      </c>
      <c r="M80" s="3" t="str">
        <f>'Detailed Summary'!BF80</f>
        <v>Failed in 6 Subjects</v>
      </c>
      <c r="N80" s="87" t="str">
        <f>'Detailed Summary'!AW80</f>
        <v/>
      </c>
      <c r="O80" s="87" t="str">
        <f>'Detailed Summary'!BJ80</f>
        <v/>
      </c>
      <c r="P80" s="5" t="str">
        <f>'Detailed Summary'!BG80</f>
        <v/>
      </c>
    </row>
    <row r="81" spans="1:16" x14ac:dyDescent="0.35">
      <c r="A81" s="88">
        <f>'Student Basic Info'!A81</f>
        <v>580</v>
      </c>
      <c r="B81" s="86" t="str">
        <f>'Student Basic Info'!C81</f>
        <v>Ala Uddin</v>
      </c>
      <c r="C81" s="89" t="str">
        <f>'Detailed Summary'!AK81</f>
        <v/>
      </c>
      <c r="D81" s="89" t="str">
        <f>'Detailed Summary'!AL81</f>
        <v/>
      </c>
      <c r="E81" s="89" t="str">
        <f>'Detailed Summary'!AM81</f>
        <v/>
      </c>
      <c r="F81" s="89" t="str">
        <f>'Detailed Summary'!AN81</f>
        <v/>
      </c>
      <c r="G81" s="89" t="str">
        <f>'Detailed Summary'!AO81</f>
        <v/>
      </c>
      <c r="H81" s="89" t="str">
        <f>'Detailed Summary'!AP81</f>
        <v/>
      </c>
      <c r="I81" s="89" t="str">
        <f>'Detailed Summary'!AR81</f>
        <v/>
      </c>
      <c r="J81" s="89" t="str">
        <f>'Detailed Summary'!AS81</f>
        <v/>
      </c>
      <c r="K81" s="39">
        <f>'Detailed Summary'!AU81</f>
        <v>0</v>
      </c>
      <c r="L81" s="87" t="str">
        <f>'Detailed Summary'!AV81</f>
        <v/>
      </c>
      <c r="M81" s="3" t="str">
        <f>'Detailed Summary'!BF81</f>
        <v>Failed in 6 Subjects</v>
      </c>
      <c r="N81" s="87" t="str">
        <f>'Detailed Summary'!AW81</f>
        <v/>
      </c>
      <c r="O81" s="87" t="str">
        <f>'Detailed Summary'!BJ81</f>
        <v/>
      </c>
      <c r="P81" s="5" t="str">
        <f>'Detailed Summary'!BG81</f>
        <v/>
      </c>
    </row>
    <row r="82" spans="1:16" x14ac:dyDescent="0.35">
      <c r="A82" s="88">
        <f>'Student Basic Info'!A82</f>
        <v>581</v>
      </c>
      <c r="B82" s="86" t="str">
        <f>'Student Basic Info'!C82</f>
        <v>Meheraz Hasan</v>
      </c>
      <c r="C82" s="89" t="str">
        <f>'Detailed Summary'!AK82</f>
        <v/>
      </c>
      <c r="D82" s="89">
        <f>'Detailed Summary'!AL82</f>
        <v>0</v>
      </c>
      <c r="E82" s="89">
        <f>'Detailed Summary'!AM82</f>
        <v>0</v>
      </c>
      <c r="F82" s="89" t="str">
        <f>'Detailed Summary'!AN82</f>
        <v/>
      </c>
      <c r="G82" s="89" t="str">
        <f>'Detailed Summary'!AO82</f>
        <v/>
      </c>
      <c r="H82" s="89">
        <f>'Detailed Summary'!AP82</f>
        <v>0</v>
      </c>
      <c r="I82" s="89">
        <f>'Detailed Summary'!AR82</f>
        <v>0</v>
      </c>
      <c r="J82" s="89">
        <f>'Detailed Summary'!AS82</f>
        <v>0</v>
      </c>
      <c r="K82" s="39">
        <f>'Detailed Summary'!AU82</f>
        <v>0</v>
      </c>
      <c r="L82" s="87" t="str">
        <f>'Detailed Summary'!AV82</f>
        <v/>
      </c>
      <c r="M82" s="3" t="str">
        <f>'Detailed Summary'!BF82</f>
        <v>Failed in 6 Subjects</v>
      </c>
      <c r="N82" s="87" t="str">
        <f>'Detailed Summary'!AW82</f>
        <v/>
      </c>
      <c r="O82" s="87" t="str">
        <f>'Detailed Summary'!BJ82</f>
        <v/>
      </c>
      <c r="P82" s="5" t="str">
        <f>'Detailed Summary'!BG82</f>
        <v/>
      </c>
    </row>
    <row r="83" spans="1:16" x14ac:dyDescent="0.35">
      <c r="A83" s="88">
        <f>'Student Basic Info'!A83</f>
        <v>582</v>
      </c>
      <c r="B83" s="86" t="str">
        <f>'Student Basic Info'!C83</f>
        <v>Imran Hosain</v>
      </c>
      <c r="C83" s="89" t="str">
        <f>'Detailed Summary'!AK83</f>
        <v/>
      </c>
      <c r="D83" s="89" t="str">
        <f>'Detailed Summary'!AL83</f>
        <v/>
      </c>
      <c r="E83" s="89" t="str">
        <f>'Detailed Summary'!AM83</f>
        <v/>
      </c>
      <c r="F83" s="89" t="str">
        <f>'Detailed Summary'!AN83</f>
        <v/>
      </c>
      <c r="G83" s="89" t="str">
        <f>'Detailed Summary'!AO83</f>
        <v/>
      </c>
      <c r="H83" s="89" t="str">
        <f>'Detailed Summary'!AP83</f>
        <v/>
      </c>
      <c r="I83" s="89" t="str">
        <f>'Detailed Summary'!AR83</f>
        <v/>
      </c>
      <c r="J83" s="89" t="str">
        <f>'Detailed Summary'!AS83</f>
        <v/>
      </c>
      <c r="K83" s="39">
        <f>'Detailed Summary'!AU83</f>
        <v>0</v>
      </c>
      <c r="L83" s="87" t="str">
        <f>'Detailed Summary'!AV83</f>
        <v/>
      </c>
      <c r="M83" s="3" t="str">
        <f>'Detailed Summary'!BF83</f>
        <v>Failed in 6 Subjects</v>
      </c>
      <c r="N83" s="87" t="str">
        <f>'Detailed Summary'!AW83</f>
        <v/>
      </c>
      <c r="O83" s="87" t="str">
        <f>'Detailed Summary'!BJ83</f>
        <v/>
      </c>
      <c r="P83" s="5" t="str">
        <f>'Detailed Summary'!BG83</f>
        <v/>
      </c>
    </row>
    <row r="84" spans="1:16" x14ac:dyDescent="0.35">
      <c r="A84" s="88">
        <f>'Student Basic Info'!A84</f>
        <v>583</v>
      </c>
      <c r="B84" s="86" t="str">
        <f>'Student Basic Info'!C84</f>
        <v>Raihanul Haque</v>
      </c>
      <c r="C84" s="89" t="str">
        <f>'Detailed Summary'!AK84</f>
        <v/>
      </c>
      <c r="D84" s="89" t="str">
        <f>'Detailed Summary'!AL84</f>
        <v/>
      </c>
      <c r="E84" s="89" t="str">
        <f>'Detailed Summary'!AM84</f>
        <v/>
      </c>
      <c r="F84" s="89" t="str">
        <f>'Detailed Summary'!AN84</f>
        <v/>
      </c>
      <c r="G84" s="89" t="str">
        <f>'Detailed Summary'!AO84</f>
        <v/>
      </c>
      <c r="H84" s="89" t="str">
        <f>'Detailed Summary'!AP84</f>
        <v/>
      </c>
      <c r="I84" s="89" t="str">
        <f>'Detailed Summary'!AR84</f>
        <v/>
      </c>
      <c r="J84" s="89" t="str">
        <f>'Detailed Summary'!AS84</f>
        <v/>
      </c>
      <c r="K84" s="39">
        <f>'Detailed Summary'!AU84</f>
        <v>0</v>
      </c>
      <c r="L84" s="87" t="str">
        <f>'Detailed Summary'!AV84</f>
        <v/>
      </c>
      <c r="M84" s="3" t="str">
        <f>'Detailed Summary'!BF84</f>
        <v>Failed in 6 Subjects</v>
      </c>
      <c r="N84" s="87" t="str">
        <f>'Detailed Summary'!AW84</f>
        <v/>
      </c>
      <c r="O84" s="87" t="str">
        <f>'Detailed Summary'!BJ84</f>
        <v/>
      </c>
      <c r="P84" s="5" t="str">
        <f>'Detailed Summary'!BG84</f>
        <v/>
      </c>
    </row>
    <row r="85" spans="1:16" x14ac:dyDescent="0.35">
      <c r="A85" s="88">
        <f>'Student Basic Info'!A85</f>
        <v>584</v>
      </c>
      <c r="B85" s="86" t="str">
        <f>'Student Basic Info'!C85</f>
        <v>Mohammad Tahmid</v>
      </c>
      <c r="C85" s="89">
        <f>'Detailed Summary'!AK85</f>
        <v>2</v>
      </c>
      <c r="D85" s="89">
        <f>'Detailed Summary'!AL85</f>
        <v>0</v>
      </c>
      <c r="E85" s="89">
        <f>'Detailed Summary'!AM85</f>
        <v>0</v>
      </c>
      <c r="F85" s="89">
        <f>'Detailed Summary'!AN85</f>
        <v>0</v>
      </c>
      <c r="G85" s="89" t="str">
        <f>'Detailed Summary'!AO85</f>
        <v/>
      </c>
      <c r="H85" s="89">
        <f>'Detailed Summary'!AP85</f>
        <v>0</v>
      </c>
      <c r="I85" s="89">
        <f>'Detailed Summary'!AR85</f>
        <v>0</v>
      </c>
      <c r="J85" s="89">
        <f>'Detailed Summary'!AS85</f>
        <v>0</v>
      </c>
      <c r="K85" s="39">
        <f>'Detailed Summary'!AU85</f>
        <v>2</v>
      </c>
      <c r="L85" s="87" t="str">
        <f>'Detailed Summary'!AV85</f>
        <v/>
      </c>
      <c r="M85" s="3" t="str">
        <f>'Detailed Summary'!BF85</f>
        <v>Failed in 5 Subjects</v>
      </c>
      <c r="N85" s="87" t="str">
        <f>'Detailed Summary'!AW85</f>
        <v/>
      </c>
      <c r="O85" s="87" t="str">
        <f>'Detailed Summary'!BJ85</f>
        <v/>
      </c>
      <c r="P85" s="5" t="str">
        <f>'Detailed Summary'!BG85</f>
        <v/>
      </c>
    </row>
    <row r="86" spans="1:16" x14ac:dyDescent="0.35">
      <c r="A86" s="88">
        <f>'Student Basic Info'!A86</f>
        <v>585</v>
      </c>
      <c r="B86" s="86" t="str">
        <f>'Student Basic Info'!C86</f>
        <v xml:space="preserve">Imam Hosain </v>
      </c>
      <c r="C86" s="89">
        <f>'Detailed Summary'!AK86</f>
        <v>1</v>
      </c>
      <c r="D86" s="89">
        <f>'Detailed Summary'!AL86</f>
        <v>0</v>
      </c>
      <c r="E86" s="89">
        <f>'Detailed Summary'!AM86</f>
        <v>0</v>
      </c>
      <c r="F86" s="89">
        <f>'Detailed Summary'!AN86</f>
        <v>0</v>
      </c>
      <c r="G86" s="89">
        <f>'Detailed Summary'!AO86</f>
        <v>0</v>
      </c>
      <c r="H86" s="89">
        <f>'Detailed Summary'!AP86</f>
        <v>2</v>
      </c>
      <c r="I86" s="89">
        <f>'Detailed Summary'!AR86</f>
        <v>0</v>
      </c>
      <c r="J86" s="89">
        <f>'Detailed Summary'!AS86</f>
        <v>0</v>
      </c>
      <c r="K86" s="39">
        <f>'Detailed Summary'!AU86</f>
        <v>3</v>
      </c>
      <c r="L86" s="87" t="str">
        <f>'Detailed Summary'!AV86</f>
        <v/>
      </c>
      <c r="M86" s="3" t="str">
        <f>'Detailed Summary'!BF86</f>
        <v>Failed in 4 Subjects</v>
      </c>
      <c r="N86" s="87" t="str">
        <f>'Detailed Summary'!AW86</f>
        <v/>
      </c>
      <c r="O86" s="87" t="str">
        <f>'Detailed Summary'!BJ86</f>
        <v/>
      </c>
      <c r="P86" s="5" t="str">
        <f>'Detailed Summary'!BG86</f>
        <v/>
      </c>
    </row>
    <row r="87" spans="1:16" x14ac:dyDescent="0.35">
      <c r="A87" s="88">
        <f>'Student Basic Info'!A87</f>
        <v>586</v>
      </c>
      <c r="B87" s="86" t="str">
        <f>'Student Basic Info'!C87</f>
        <v>Abdur Rahman</v>
      </c>
      <c r="C87" s="89">
        <f>'Detailed Summary'!AK87</f>
        <v>1</v>
      </c>
      <c r="D87" s="89">
        <f>'Detailed Summary'!AL87</f>
        <v>0</v>
      </c>
      <c r="E87" s="89">
        <f>'Detailed Summary'!AM87</f>
        <v>0</v>
      </c>
      <c r="F87" s="89">
        <f>'Detailed Summary'!AN87</f>
        <v>0</v>
      </c>
      <c r="G87" s="89">
        <f>'Detailed Summary'!AO87</f>
        <v>0</v>
      </c>
      <c r="H87" s="89">
        <f>'Detailed Summary'!AP87</f>
        <v>0</v>
      </c>
      <c r="I87" s="89">
        <f>'Detailed Summary'!AR87</f>
        <v>0</v>
      </c>
      <c r="J87" s="89">
        <f>'Detailed Summary'!AS87</f>
        <v>0</v>
      </c>
      <c r="K87" s="39">
        <f>'Detailed Summary'!AU87</f>
        <v>1</v>
      </c>
      <c r="L87" s="87" t="str">
        <f>'Detailed Summary'!AV87</f>
        <v/>
      </c>
      <c r="M87" s="3" t="str">
        <f>'Detailed Summary'!BF87</f>
        <v>Failed in 5 Subjects</v>
      </c>
      <c r="N87" s="87" t="str">
        <f>'Detailed Summary'!AW87</f>
        <v/>
      </c>
      <c r="O87" s="87" t="str">
        <f>'Detailed Summary'!BJ87</f>
        <v/>
      </c>
      <c r="P87" s="5" t="str">
        <f>'Detailed Summary'!BG87</f>
        <v/>
      </c>
    </row>
    <row r="88" spans="1:16" x14ac:dyDescent="0.35">
      <c r="A88" s="88">
        <f>'Student Basic Info'!A88</f>
        <v>587</v>
      </c>
      <c r="B88" s="86" t="str">
        <f>'Student Basic Info'!C88</f>
        <v xml:space="preserve">Romana Aktar </v>
      </c>
      <c r="C88" s="89">
        <f>'Detailed Summary'!AK88</f>
        <v>3</v>
      </c>
      <c r="D88" s="89">
        <f>'Detailed Summary'!AL88</f>
        <v>0</v>
      </c>
      <c r="E88" s="89">
        <f>'Detailed Summary'!AM88</f>
        <v>0</v>
      </c>
      <c r="F88" s="89">
        <f>'Detailed Summary'!AN88</f>
        <v>0</v>
      </c>
      <c r="G88" s="89">
        <f>'Detailed Summary'!AO88</f>
        <v>0</v>
      </c>
      <c r="H88" s="89">
        <f>'Detailed Summary'!AP88</f>
        <v>2</v>
      </c>
      <c r="I88" s="89">
        <f>'Detailed Summary'!AR88</f>
        <v>0</v>
      </c>
      <c r="J88" s="89">
        <f>'Detailed Summary'!AS88</f>
        <v>0</v>
      </c>
      <c r="K88" s="39">
        <f>'Detailed Summary'!AU88</f>
        <v>5</v>
      </c>
      <c r="L88" s="87" t="str">
        <f>'Detailed Summary'!AV88</f>
        <v/>
      </c>
      <c r="M88" s="3" t="str">
        <f>'Detailed Summary'!BF88</f>
        <v>Failed in 4 Subjects</v>
      </c>
      <c r="N88" s="87" t="str">
        <f>'Detailed Summary'!AW88</f>
        <v/>
      </c>
      <c r="O88" s="87" t="str">
        <f>'Detailed Summary'!BJ88</f>
        <v/>
      </c>
      <c r="P88" s="5" t="str">
        <f>'Detailed Summary'!BG88</f>
        <v/>
      </c>
    </row>
    <row r="89" spans="1:16" x14ac:dyDescent="0.35">
      <c r="A89" s="88">
        <f>'Student Basic Info'!A89</f>
        <v>588</v>
      </c>
      <c r="B89" s="86" t="str">
        <f>'Student Basic Info'!C89</f>
        <v>Prithika Rani Debi</v>
      </c>
      <c r="C89" s="89">
        <f>'Detailed Summary'!AK89</f>
        <v>3</v>
      </c>
      <c r="D89" s="89">
        <f>'Detailed Summary'!AL89</f>
        <v>0</v>
      </c>
      <c r="E89" s="89">
        <f>'Detailed Summary'!AM89</f>
        <v>0</v>
      </c>
      <c r="F89" s="89">
        <f>'Detailed Summary'!AN89</f>
        <v>0</v>
      </c>
      <c r="G89" s="89">
        <f>'Detailed Summary'!AO89</f>
        <v>0</v>
      </c>
      <c r="H89" s="89">
        <f>'Detailed Summary'!AP89</f>
        <v>2</v>
      </c>
      <c r="I89" s="89">
        <f>'Detailed Summary'!AR89</f>
        <v>0</v>
      </c>
      <c r="J89" s="89">
        <f>'Detailed Summary'!AS89</f>
        <v>0</v>
      </c>
      <c r="K89" s="39">
        <f>'Detailed Summary'!AU89</f>
        <v>5</v>
      </c>
      <c r="L89" s="87" t="str">
        <f>'Detailed Summary'!AV89</f>
        <v/>
      </c>
      <c r="M89" s="3" t="str">
        <f>'Detailed Summary'!BF89</f>
        <v>Failed in 4 Subjects</v>
      </c>
      <c r="N89" s="87" t="str">
        <f>'Detailed Summary'!AW89</f>
        <v/>
      </c>
      <c r="O89" s="87" t="str">
        <f>'Detailed Summary'!BJ89</f>
        <v/>
      </c>
      <c r="P89" s="5" t="str">
        <f>'Detailed Summary'!BG89</f>
        <v/>
      </c>
    </row>
    <row r="90" spans="1:16" x14ac:dyDescent="0.35">
      <c r="A90" s="88">
        <f>'Student Basic Info'!A90</f>
        <v>589</v>
      </c>
      <c r="B90" s="86" t="str">
        <f>'Student Basic Info'!C90</f>
        <v>Mohammad Shahriyar Nafiz</v>
      </c>
      <c r="C90" s="89" t="str">
        <f>'Detailed Summary'!AK90</f>
        <v/>
      </c>
      <c r="D90" s="89" t="str">
        <f>'Detailed Summary'!AL90</f>
        <v/>
      </c>
      <c r="E90" s="89" t="str">
        <f>'Detailed Summary'!AM90</f>
        <v/>
      </c>
      <c r="F90" s="89" t="str">
        <f>'Detailed Summary'!AN90</f>
        <v/>
      </c>
      <c r="G90" s="89" t="str">
        <f>'Detailed Summary'!AO90</f>
        <v/>
      </c>
      <c r="H90" s="89" t="str">
        <f>'Detailed Summary'!AP90</f>
        <v/>
      </c>
      <c r="I90" s="89" t="str">
        <f>'Detailed Summary'!AR90</f>
        <v/>
      </c>
      <c r="J90" s="89" t="str">
        <f>'Detailed Summary'!AS90</f>
        <v/>
      </c>
      <c r="K90" s="39">
        <f>'Detailed Summary'!AU90</f>
        <v>0</v>
      </c>
      <c r="L90" s="87" t="str">
        <f>'Detailed Summary'!AV90</f>
        <v/>
      </c>
      <c r="M90" s="3" t="str">
        <f>'Detailed Summary'!BF90</f>
        <v>Failed in 6 Subjects</v>
      </c>
      <c r="N90" s="87" t="str">
        <f>'Detailed Summary'!AW90</f>
        <v/>
      </c>
      <c r="O90" s="87" t="str">
        <f>'Detailed Summary'!BJ90</f>
        <v/>
      </c>
      <c r="P90" s="5" t="str">
        <f>'Detailed Summary'!BG90</f>
        <v/>
      </c>
    </row>
    <row r="91" spans="1:16" x14ac:dyDescent="0.35">
      <c r="A91" s="88">
        <f>'Student Basic Info'!A91</f>
        <v>590</v>
      </c>
      <c r="B91" s="86" t="str">
        <f>'Student Basic Info'!C91</f>
        <v>Rumpa Rani Debi</v>
      </c>
      <c r="C91" s="89" t="str">
        <f>'Detailed Summary'!AK91</f>
        <v/>
      </c>
      <c r="D91" s="89" t="str">
        <f>'Detailed Summary'!AL91</f>
        <v/>
      </c>
      <c r="E91" s="89" t="str">
        <f>'Detailed Summary'!AM91</f>
        <v/>
      </c>
      <c r="F91" s="89" t="str">
        <f>'Detailed Summary'!AN91</f>
        <v/>
      </c>
      <c r="G91" s="89" t="str">
        <f>'Detailed Summary'!AO91</f>
        <v/>
      </c>
      <c r="H91" s="89" t="str">
        <f>'Detailed Summary'!AP91</f>
        <v/>
      </c>
      <c r="I91" s="89" t="str">
        <f>'Detailed Summary'!AR91</f>
        <v/>
      </c>
      <c r="J91" s="89" t="str">
        <f>'Detailed Summary'!AS91</f>
        <v/>
      </c>
      <c r="K91" s="39">
        <f>'Detailed Summary'!AU91</f>
        <v>0</v>
      </c>
      <c r="L91" s="87" t="str">
        <f>'Detailed Summary'!AV91</f>
        <v/>
      </c>
      <c r="M91" s="3" t="str">
        <f>'Detailed Summary'!BF91</f>
        <v>Failed in 6 Subjects</v>
      </c>
      <c r="N91" s="87" t="str">
        <f>'Detailed Summary'!AW91</f>
        <v/>
      </c>
      <c r="O91" s="87" t="str">
        <f>'Detailed Summary'!BJ91</f>
        <v/>
      </c>
      <c r="P91" s="5" t="str">
        <f>'Detailed Summary'!BG91</f>
        <v/>
      </c>
    </row>
    <row r="92" spans="1:16" x14ac:dyDescent="0.35">
      <c r="A92" s="88">
        <f>'Student Basic Info'!A92</f>
        <v>591</v>
      </c>
      <c r="B92" s="86" t="str">
        <f>'Student Basic Info'!C92</f>
        <v>Saiful Islam</v>
      </c>
      <c r="C92" s="89">
        <f>'Detailed Summary'!AK92</f>
        <v>2</v>
      </c>
      <c r="D92" s="89">
        <f>'Detailed Summary'!AL92</f>
        <v>1</v>
      </c>
      <c r="E92" s="89">
        <f>'Detailed Summary'!AM92</f>
        <v>3</v>
      </c>
      <c r="F92" s="89">
        <f>'Detailed Summary'!AN92</f>
        <v>0</v>
      </c>
      <c r="G92" s="89">
        <f>'Detailed Summary'!AO92</f>
        <v>0</v>
      </c>
      <c r="H92" s="89">
        <f>'Detailed Summary'!AP92</f>
        <v>0</v>
      </c>
      <c r="I92" s="89">
        <f>'Detailed Summary'!AR92</f>
        <v>0</v>
      </c>
      <c r="J92" s="89">
        <f>'Detailed Summary'!AS92</f>
        <v>0</v>
      </c>
      <c r="K92" s="39">
        <f>'Detailed Summary'!AU92</f>
        <v>6</v>
      </c>
      <c r="L92" s="87" t="str">
        <f>'Detailed Summary'!AV92</f>
        <v/>
      </c>
      <c r="M92" s="3" t="str">
        <f>'Detailed Summary'!BF92</f>
        <v>Failed in 3 Subjects</v>
      </c>
      <c r="N92" s="87" t="str">
        <f>'Detailed Summary'!AW92</f>
        <v/>
      </c>
      <c r="O92" s="87" t="str">
        <f>'Detailed Summary'!BJ92</f>
        <v/>
      </c>
      <c r="P92" s="5" t="str">
        <f>'Detailed Summary'!BG92</f>
        <v/>
      </c>
    </row>
    <row r="93" spans="1:16" x14ac:dyDescent="0.35">
      <c r="A93" s="88">
        <f>'Student Basic Info'!A93</f>
        <v>592</v>
      </c>
      <c r="B93" s="86" t="str">
        <f>'Student Basic Info'!C93</f>
        <v>Zohirul Islam</v>
      </c>
      <c r="C93" s="89">
        <f>'Detailed Summary'!AK93</f>
        <v>0</v>
      </c>
      <c r="D93" s="89">
        <f>'Detailed Summary'!AL93</f>
        <v>0</v>
      </c>
      <c r="E93" s="89">
        <f>'Detailed Summary'!AM93</f>
        <v>0</v>
      </c>
      <c r="F93" s="89">
        <f>'Detailed Summary'!AN93</f>
        <v>0</v>
      </c>
      <c r="G93" s="89">
        <f>'Detailed Summary'!AO93</f>
        <v>0</v>
      </c>
      <c r="H93" s="89">
        <f>'Detailed Summary'!AP93</f>
        <v>0</v>
      </c>
      <c r="I93" s="89">
        <f>'Detailed Summary'!AR93</f>
        <v>0</v>
      </c>
      <c r="J93" s="89">
        <f>'Detailed Summary'!AS93</f>
        <v>0</v>
      </c>
      <c r="K93" s="39">
        <f>'Detailed Summary'!AU93</f>
        <v>0</v>
      </c>
      <c r="L93" s="87" t="str">
        <f>'Detailed Summary'!AV93</f>
        <v/>
      </c>
      <c r="M93" s="3" t="str">
        <f>'Detailed Summary'!BF93</f>
        <v>Failed in 6 Subjects</v>
      </c>
      <c r="N93" s="87" t="str">
        <f>'Detailed Summary'!AW93</f>
        <v/>
      </c>
      <c r="O93" s="87" t="str">
        <f>'Detailed Summary'!BJ93</f>
        <v/>
      </c>
      <c r="P93" s="5" t="str">
        <f>'Detailed Summary'!BG93</f>
        <v/>
      </c>
    </row>
    <row r="94" spans="1:16" x14ac:dyDescent="0.35">
      <c r="A94" s="88">
        <f>'Student Basic Info'!A94</f>
        <v>593</v>
      </c>
      <c r="B94" s="86" t="str">
        <f>'Student Basic Info'!C94</f>
        <v>Jahedul Islam</v>
      </c>
      <c r="C94" s="89">
        <f>'Detailed Summary'!AK94</f>
        <v>2</v>
      </c>
      <c r="D94" s="89">
        <f>'Detailed Summary'!AL94</f>
        <v>2</v>
      </c>
      <c r="E94" s="89">
        <f>'Detailed Summary'!AM94</f>
        <v>0</v>
      </c>
      <c r="F94" s="89">
        <f>'Detailed Summary'!AN94</f>
        <v>0</v>
      </c>
      <c r="G94" s="89">
        <f>'Detailed Summary'!AO94</f>
        <v>0</v>
      </c>
      <c r="H94" s="89">
        <f>'Detailed Summary'!AP94</f>
        <v>0</v>
      </c>
      <c r="I94" s="89">
        <f>'Detailed Summary'!AR94</f>
        <v>0</v>
      </c>
      <c r="J94" s="89">
        <f>'Detailed Summary'!AS94</f>
        <v>0</v>
      </c>
      <c r="K94" s="39">
        <f>'Detailed Summary'!AU94</f>
        <v>4</v>
      </c>
      <c r="L94" s="87" t="str">
        <f>'Detailed Summary'!AV94</f>
        <v/>
      </c>
      <c r="M94" s="3" t="str">
        <f>'Detailed Summary'!BF94</f>
        <v>Failed in 4 Subjects</v>
      </c>
      <c r="N94" s="87" t="str">
        <f>'Detailed Summary'!AW94</f>
        <v/>
      </c>
      <c r="O94" s="87" t="str">
        <f>'Detailed Summary'!BJ94</f>
        <v/>
      </c>
      <c r="P94" s="5" t="str">
        <f>'Detailed Summary'!BG94</f>
        <v/>
      </c>
    </row>
    <row r="95" spans="1:16" x14ac:dyDescent="0.35">
      <c r="A95" s="88">
        <f>'Student Basic Info'!A95</f>
        <v>594</v>
      </c>
      <c r="B95" s="86" t="str">
        <f>'Student Basic Info'!C95</f>
        <v>Ali Hosain</v>
      </c>
      <c r="C95" s="89" t="str">
        <f>'Detailed Summary'!AK95</f>
        <v/>
      </c>
      <c r="D95" s="89" t="str">
        <f>'Detailed Summary'!AL95</f>
        <v/>
      </c>
      <c r="E95" s="89" t="str">
        <f>'Detailed Summary'!AM95</f>
        <v/>
      </c>
      <c r="F95" s="89" t="str">
        <f>'Detailed Summary'!AN95</f>
        <v/>
      </c>
      <c r="G95" s="89" t="str">
        <f>'Detailed Summary'!AO95</f>
        <v/>
      </c>
      <c r="H95" s="89" t="str">
        <f>'Detailed Summary'!AP95</f>
        <v/>
      </c>
      <c r="I95" s="89" t="str">
        <f>'Detailed Summary'!AR95</f>
        <v/>
      </c>
      <c r="J95" s="89" t="str">
        <f>'Detailed Summary'!AS95</f>
        <v/>
      </c>
      <c r="K95" s="39">
        <f>'Detailed Summary'!AU95</f>
        <v>0</v>
      </c>
      <c r="L95" s="87" t="str">
        <f>'Detailed Summary'!AV95</f>
        <v/>
      </c>
      <c r="M95" s="3" t="str">
        <f>'Detailed Summary'!BF95</f>
        <v>Failed in 6 Subjects</v>
      </c>
      <c r="N95" s="87" t="str">
        <f>'Detailed Summary'!AW95</f>
        <v/>
      </c>
      <c r="O95" s="87" t="str">
        <f>'Detailed Summary'!BJ95</f>
        <v/>
      </c>
      <c r="P95" s="5" t="str">
        <f>'Detailed Summary'!BG95</f>
        <v/>
      </c>
    </row>
    <row r="96" spans="1:16" x14ac:dyDescent="0.35">
      <c r="A96" s="88">
        <f>'Student Basic Info'!A96</f>
        <v>595</v>
      </c>
      <c r="B96" s="86" t="str">
        <f>'Student Basic Info'!C96</f>
        <v>Md. Saiful Islam</v>
      </c>
      <c r="C96" s="89" t="str">
        <f>'Detailed Summary'!AK96</f>
        <v/>
      </c>
      <c r="D96" s="89" t="str">
        <f>'Detailed Summary'!AL96</f>
        <v/>
      </c>
      <c r="E96" s="89" t="str">
        <f>'Detailed Summary'!AM96</f>
        <v/>
      </c>
      <c r="F96" s="89" t="str">
        <f>'Detailed Summary'!AN96</f>
        <v/>
      </c>
      <c r="G96" s="89" t="str">
        <f>'Detailed Summary'!AO96</f>
        <v/>
      </c>
      <c r="H96" s="89" t="str">
        <f>'Detailed Summary'!AP96</f>
        <v/>
      </c>
      <c r="I96" s="89" t="str">
        <f>'Detailed Summary'!AR96</f>
        <v/>
      </c>
      <c r="J96" s="89" t="str">
        <f>'Detailed Summary'!AS96</f>
        <v/>
      </c>
      <c r="K96" s="39">
        <f>'Detailed Summary'!AU96</f>
        <v>0</v>
      </c>
      <c r="L96" s="87" t="str">
        <f>'Detailed Summary'!AV96</f>
        <v/>
      </c>
      <c r="M96" s="3" t="str">
        <f>'Detailed Summary'!BF96</f>
        <v>Failed in 6 Subjects</v>
      </c>
      <c r="N96" s="87" t="str">
        <f>'Detailed Summary'!AW96</f>
        <v/>
      </c>
      <c r="O96" s="87" t="str">
        <f>'Detailed Summary'!BJ96</f>
        <v/>
      </c>
      <c r="P96" s="5" t="str">
        <f>'Detailed Summary'!BG96</f>
        <v/>
      </c>
    </row>
    <row r="97" spans="1:16" x14ac:dyDescent="0.35">
      <c r="A97" s="88">
        <f>'Student Basic Info'!A97</f>
        <v>596</v>
      </c>
      <c r="B97" s="86" t="str">
        <f>'Student Basic Info'!C97</f>
        <v>Ashiqur Rahman</v>
      </c>
      <c r="C97" s="89" t="str">
        <f>'Detailed Summary'!AK97</f>
        <v/>
      </c>
      <c r="D97" s="89" t="str">
        <f>'Detailed Summary'!AL97</f>
        <v/>
      </c>
      <c r="E97" s="89" t="str">
        <f>'Detailed Summary'!AM97</f>
        <v/>
      </c>
      <c r="F97" s="89" t="str">
        <f>'Detailed Summary'!AN97</f>
        <v/>
      </c>
      <c r="G97" s="89" t="str">
        <f>'Detailed Summary'!AO97</f>
        <v/>
      </c>
      <c r="H97" s="89" t="str">
        <f>'Detailed Summary'!AP97</f>
        <v/>
      </c>
      <c r="I97" s="89" t="str">
        <f>'Detailed Summary'!AR97</f>
        <v/>
      </c>
      <c r="J97" s="89" t="str">
        <f>'Detailed Summary'!AS97</f>
        <v/>
      </c>
      <c r="K97" s="39">
        <f>'Detailed Summary'!AU97</f>
        <v>0</v>
      </c>
      <c r="L97" s="87" t="str">
        <f>'Detailed Summary'!AV97</f>
        <v/>
      </c>
      <c r="M97" s="3" t="str">
        <f>'Detailed Summary'!BF97</f>
        <v>Failed in 6 Subjects</v>
      </c>
      <c r="N97" s="87" t="str">
        <f>'Detailed Summary'!AW97</f>
        <v/>
      </c>
      <c r="O97" s="87" t="str">
        <f>'Detailed Summary'!BJ97</f>
        <v/>
      </c>
      <c r="P97" s="5" t="str">
        <f>'Detailed Summary'!BG97</f>
        <v/>
      </c>
    </row>
    <row r="98" spans="1:16" x14ac:dyDescent="0.35">
      <c r="A98" s="88">
        <f>'Student Basic Info'!A98</f>
        <v>597</v>
      </c>
      <c r="B98" s="86" t="str">
        <f>'Student Basic Info'!C98</f>
        <v>Md. Shahadat Hosain Shakib</v>
      </c>
      <c r="C98" s="89" t="str">
        <f>'Detailed Summary'!AK98</f>
        <v/>
      </c>
      <c r="D98" s="89" t="str">
        <f>'Detailed Summary'!AL98</f>
        <v/>
      </c>
      <c r="E98" s="89" t="str">
        <f>'Detailed Summary'!AM98</f>
        <v/>
      </c>
      <c r="F98" s="89" t="str">
        <f>'Detailed Summary'!AN98</f>
        <v/>
      </c>
      <c r="G98" s="89" t="str">
        <f>'Detailed Summary'!AO98</f>
        <v/>
      </c>
      <c r="H98" s="89" t="str">
        <f>'Detailed Summary'!AP98</f>
        <v/>
      </c>
      <c r="I98" s="89" t="str">
        <f>'Detailed Summary'!AR98</f>
        <v/>
      </c>
      <c r="J98" s="89" t="str">
        <f>'Detailed Summary'!AS98</f>
        <v/>
      </c>
      <c r="K98" s="39">
        <f>'Detailed Summary'!AU98</f>
        <v>0</v>
      </c>
      <c r="L98" s="87" t="str">
        <f>'Detailed Summary'!AV98</f>
        <v/>
      </c>
      <c r="M98" s="3" t="str">
        <f>'Detailed Summary'!BF98</f>
        <v>Failed in 6 Subjects</v>
      </c>
      <c r="N98" s="87" t="str">
        <f>'Detailed Summary'!AW98</f>
        <v/>
      </c>
      <c r="O98" s="87" t="str">
        <f>'Detailed Summary'!BJ98</f>
        <v/>
      </c>
      <c r="P98" s="5" t="str">
        <f>'Detailed Summary'!BG98</f>
        <v/>
      </c>
    </row>
    <row r="99" spans="1:16" x14ac:dyDescent="0.35">
      <c r="A99" s="88">
        <f>'Student Basic Info'!A99</f>
        <v>598</v>
      </c>
      <c r="B99" s="86" t="str">
        <f>'Student Basic Info'!C99</f>
        <v>Shekh Shourov</v>
      </c>
      <c r="C99" s="89" t="str">
        <f>'Detailed Summary'!AK99</f>
        <v/>
      </c>
      <c r="D99" s="89" t="str">
        <f>'Detailed Summary'!AL99</f>
        <v/>
      </c>
      <c r="E99" s="89" t="str">
        <f>'Detailed Summary'!AM99</f>
        <v/>
      </c>
      <c r="F99" s="89" t="str">
        <f>'Detailed Summary'!AN99</f>
        <v/>
      </c>
      <c r="G99" s="89" t="str">
        <f>'Detailed Summary'!AO99</f>
        <v/>
      </c>
      <c r="H99" s="89" t="str">
        <f>'Detailed Summary'!AP99</f>
        <v/>
      </c>
      <c r="I99" s="89" t="str">
        <f>'Detailed Summary'!AR99</f>
        <v/>
      </c>
      <c r="J99" s="89" t="str">
        <f>'Detailed Summary'!AS99</f>
        <v/>
      </c>
      <c r="K99" s="39">
        <f>'Detailed Summary'!AU99</f>
        <v>0</v>
      </c>
      <c r="L99" s="87" t="str">
        <f>'Detailed Summary'!AV99</f>
        <v/>
      </c>
      <c r="M99" s="3" t="str">
        <f>'Detailed Summary'!BF99</f>
        <v>Failed in 6 Subjects</v>
      </c>
      <c r="N99" s="87" t="str">
        <f>'Detailed Summary'!AW99</f>
        <v/>
      </c>
      <c r="O99" s="87" t="str">
        <f>'Detailed Summary'!BJ99</f>
        <v/>
      </c>
      <c r="P99" s="5" t="str">
        <f>'Detailed Summary'!BG99</f>
        <v/>
      </c>
    </row>
    <row r="100" spans="1:16" x14ac:dyDescent="0.35">
      <c r="A100" s="88">
        <f>'Student Basic Info'!A100</f>
        <v>599</v>
      </c>
      <c r="B100" s="86" t="str">
        <f>'Student Basic Info'!C100</f>
        <v>Maliha Aktar</v>
      </c>
      <c r="C100" s="89" t="str">
        <f>'Detailed Summary'!AK100</f>
        <v/>
      </c>
      <c r="D100" s="89" t="str">
        <f>'Detailed Summary'!AL100</f>
        <v/>
      </c>
      <c r="E100" s="89" t="str">
        <f>'Detailed Summary'!AM100</f>
        <v/>
      </c>
      <c r="F100" s="89" t="str">
        <f>'Detailed Summary'!AN100</f>
        <v/>
      </c>
      <c r="G100" s="89" t="str">
        <f>'Detailed Summary'!AO100</f>
        <v/>
      </c>
      <c r="H100" s="89" t="str">
        <f>'Detailed Summary'!AP100</f>
        <v/>
      </c>
      <c r="I100" s="89" t="str">
        <f>'Detailed Summary'!AR100</f>
        <v/>
      </c>
      <c r="J100" s="89" t="str">
        <f>'Detailed Summary'!AS100</f>
        <v/>
      </c>
      <c r="K100" s="39">
        <f>'Detailed Summary'!AU100</f>
        <v>0</v>
      </c>
      <c r="L100" s="87" t="str">
        <f>'Detailed Summary'!AV100</f>
        <v/>
      </c>
      <c r="M100" s="3" t="str">
        <f>'Detailed Summary'!BF100</f>
        <v>Failed in 6 Subjects</v>
      </c>
      <c r="N100" s="87" t="str">
        <f>'Detailed Summary'!AW100</f>
        <v/>
      </c>
      <c r="O100" s="87" t="str">
        <f>'Detailed Summary'!BJ100</f>
        <v/>
      </c>
      <c r="P100" s="5" t="str">
        <f>'Detailed Summary'!BG100</f>
        <v/>
      </c>
    </row>
    <row r="101" spans="1:16" x14ac:dyDescent="0.35">
      <c r="A101" s="88">
        <f>'Student Basic Info'!A101</f>
        <v>600</v>
      </c>
      <c r="B101" s="86" t="str">
        <f>'Student Basic Info'!C101</f>
        <v>Nazmun Sabik Siyam</v>
      </c>
      <c r="C101" s="89">
        <f>'Detailed Summary'!AK101</f>
        <v>0</v>
      </c>
      <c r="D101" s="89">
        <f>'Detailed Summary'!AL101</f>
        <v>0</v>
      </c>
      <c r="E101" s="89">
        <f>'Detailed Summary'!AM101</f>
        <v>0</v>
      </c>
      <c r="F101" s="89">
        <f>'Detailed Summary'!AN101</f>
        <v>0</v>
      </c>
      <c r="G101" s="89">
        <f>'Detailed Summary'!AO101</f>
        <v>0</v>
      </c>
      <c r="H101" s="89" t="str">
        <f>'Detailed Summary'!AP101</f>
        <v/>
      </c>
      <c r="I101" s="89">
        <f>'Detailed Summary'!AR101</f>
        <v>0</v>
      </c>
      <c r="J101" s="89">
        <f>'Detailed Summary'!AS101</f>
        <v>0</v>
      </c>
      <c r="K101" s="39">
        <f>'Detailed Summary'!AU101</f>
        <v>0</v>
      </c>
      <c r="L101" s="87" t="str">
        <f>'Detailed Summary'!AV101</f>
        <v/>
      </c>
      <c r="M101" s="3" t="str">
        <f>'Detailed Summary'!BF101</f>
        <v>Failed in 6 Subjects</v>
      </c>
      <c r="N101" s="87" t="str">
        <f>'Detailed Summary'!AW101</f>
        <v/>
      </c>
      <c r="O101" s="87" t="str">
        <f>'Detailed Summary'!BJ101</f>
        <v/>
      </c>
      <c r="P101" s="5" t="str">
        <f>'Detailed Summary'!BG101</f>
        <v/>
      </c>
    </row>
    <row r="102" spans="1:16" x14ac:dyDescent="0.35">
      <c r="A102" s="88">
        <f>'Student Basic Info'!A102</f>
        <v>601</v>
      </c>
      <c r="B102" s="86" t="str">
        <f>'Student Basic Info'!C102</f>
        <v>Md. Ali Ashraf</v>
      </c>
      <c r="C102" s="89">
        <f>'Detailed Summary'!AK102</f>
        <v>0</v>
      </c>
      <c r="D102" s="89">
        <f>'Detailed Summary'!AL102</f>
        <v>0</v>
      </c>
      <c r="E102" s="89">
        <f>'Detailed Summary'!AM102</f>
        <v>0</v>
      </c>
      <c r="F102" s="89">
        <f>'Detailed Summary'!AN102</f>
        <v>0</v>
      </c>
      <c r="G102" s="89">
        <f>'Detailed Summary'!AO102</f>
        <v>0</v>
      </c>
      <c r="H102" s="89">
        <f>'Detailed Summary'!AP102</f>
        <v>0</v>
      </c>
      <c r="I102" s="89">
        <f>'Detailed Summary'!AR102</f>
        <v>0</v>
      </c>
      <c r="J102" s="89">
        <f>'Detailed Summary'!AS102</f>
        <v>0</v>
      </c>
      <c r="K102" s="39">
        <f>'Detailed Summary'!AU102</f>
        <v>0</v>
      </c>
      <c r="L102" s="87" t="str">
        <f>'Detailed Summary'!AV102</f>
        <v/>
      </c>
      <c r="M102" s="3" t="str">
        <f>'Detailed Summary'!BF102</f>
        <v>Failed in 6 Subjects</v>
      </c>
      <c r="N102" s="87" t="str">
        <f>'Detailed Summary'!AW102</f>
        <v/>
      </c>
      <c r="O102" s="87" t="str">
        <f>'Detailed Summary'!BJ102</f>
        <v/>
      </c>
      <c r="P102" s="5" t="str">
        <f>'Detailed Summary'!BG102</f>
        <v/>
      </c>
    </row>
    <row r="103" spans="1:16" x14ac:dyDescent="0.35">
      <c r="A103" s="88">
        <f>'Student Basic Info'!A103</f>
        <v>602</v>
      </c>
      <c r="B103" s="86" t="str">
        <f>'Student Basic Info'!C103</f>
        <v>Abu Sufiyan Noyon</v>
      </c>
      <c r="C103" s="89" t="str">
        <f>'Detailed Summary'!AK103</f>
        <v/>
      </c>
      <c r="D103" s="89" t="str">
        <f>'Detailed Summary'!AL103</f>
        <v/>
      </c>
      <c r="E103" s="89" t="str">
        <f>'Detailed Summary'!AM103</f>
        <v/>
      </c>
      <c r="F103" s="89" t="str">
        <f>'Detailed Summary'!AN103</f>
        <v/>
      </c>
      <c r="G103" s="89" t="str">
        <f>'Detailed Summary'!AO103</f>
        <v/>
      </c>
      <c r="H103" s="89" t="str">
        <f>'Detailed Summary'!AP103</f>
        <v/>
      </c>
      <c r="I103" s="89" t="str">
        <f>'Detailed Summary'!AR103</f>
        <v/>
      </c>
      <c r="J103" s="89" t="str">
        <f>'Detailed Summary'!AS103</f>
        <v/>
      </c>
      <c r="K103" s="39">
        <f>'Detailed Summary'!AU103</f>
        <v>0</v>
      </c>
      <c r="L103" s="87" t="str">
        <f>'Detailed Summary'!AV103</f>
        <v/>
      </c>
      <c r="M103" s="3" t="str">
        <f>'Detailed Summary'!BF103</f>
        <v>Failed in 6 Subjects</v>
      </c>
      <c r="N103" s="87" t="str">
        <f>'Detailed Summary'!AW103</f>
        <v/>
      </c>
      <c r="O103" s="87" t="str">
        <f>'Detailed Summary'!BJ103</f>
        <v/>
      </c>
      <c r="P103" s="5" t="str">
        <f>'Detailed Summary'!BG103</f>
        <v/>
      </c>
    </row>
    <row r="104" spans="1:16" x14ac:dyDescent="0.35">
      <c r="A104" s="88">
        <f>'Student Basic Info'!A104</f>
        <v>603</v>
      </c>
      <c r="B104" s="86" t="str">
        <f>'Student Basic Info'!C104</f>
        <v>Md. Omor Ali Zidan</v>
      </c>
      <c r="C104" s="89" t="str">
        <f>'Detailed Summary'!AK104</f>
        <v/>
      </c>
      <c r="D104" s="89" t="str">
        <f>'Detailed Summary'!AL104</f>
        <v/>
      </c>
      <c r="E104" s="89" t="str">
        <f>'Detailed Summary'!AM104</f>
        <v/>
      </c>
      <c r="F104" s="89" t="str">
        <f>'Detailed Summary'!AN104</f>
        <v/>
      </c>
      <c r="G104" s="89" t="str">
        <f>'Detailed Summary'!AO104</f>
        <v/>
      </c>
      <c r="H104" s="89" t="str">
        <f>'Detailed Summary'!AP104</f>
        <v/>
      </c>
      <c r="I104" s="89" t="str">
        <f>'Detailed Summary'!AR104</f>
        <v/>
      </c>
      <c r="J104" s="89" t="str">
        <f>'Detailed Summary'!AS104</f>
        <v/>
      </c>
      <c r="K104" s="39">
        <f>'Detailed Summary'!AU104</f>
        <v>0</v>
      </c>
      <c r="L104" s="87" t="str">
        <f>'Detailed Summary'!AV104</f>
        <v/>
      </c>
      <c r="M104" s="3" t="str">
        <f>'Detailed Summary'!BF104</f>
        <v>Failed in 6 Subjects</v>
      </c>
      <c r="N104" s="87" t="str">
        <f>'Detailed Summary'!AW104</f>
        <v/>
      </c>
      <c r="O104" s="87" t="str">
        <f>'Detailed Summary'!BJ104</f>
        <v/>
      </c>
      <c r="P104" s="5" t="str">
        <f>'Detailed Summary'!BG104</f>
        <v/>
      </c>
    </row>
    <row r="105" spans="1:16" x14ac:dyDescent="0.35">
      <c r="A105" s="88">
        <f>'Student Basic Info'!A105</f>
        <v>604</v>
      </c>
      <c r="B105" s="86" t="str">
        <f>'Student Basic Info'!C105</f>
        <v>Eti</v>
      </c>
      <c r="C105" s="89" t="str">
        <f>'Detailed Summary'!AK105</f>
        <v/>
      </c>
      <c r="D105" s="89" t="str">
        <f>'Detailed Summary'!AL105</f>
        <v/>
      </c>
      <c r="E105" s="89" t="str">
        <f>'Detailed Summary'!AM105</f>
        <v/>
      </c>
      <c r="F105" s="89" t="str">
        <f>'Detailed Summary'!AN105</f>
        <v/>
      </c>
      <c r="G105" s="89" t="str">
        <f>'Detailed Summary'!AO105</f>
        <v/>
      </c>
      <c r="H105" s="89" t="str">
        <f>'Detailed Summary'!AP105</f>
        <v/>
      </c>
      <c r="I105" s="89" t="str">
        <f>'Detailed Summary'!AR105</f>
        <v/>
      </c>
      <c r="J105" s="89" t="str">
        <f>'Detailed Summary'!AS105</f>
        <v/>
      </c>
      <c r="K105" s="39">
        <f>'Detailed Summary'!AU105</f>
        <v>0</v>
      </c>
      <c r="L105" s="87" t="str">
        <f>'Detailed Summary'!AV105</f>
        <v/>
      </c>
      <c r="M105" s="3" t="str">
        <f>'Detailed Summary'!BF105</f>
        <v>Failed in 6 Subjects</v>
      </c>
      <c r="N105" s="87" t="str">
        <f>'Detailed Summary'!AW105</f>
        <v/>
      </c>
      <c r="O105" s="87" t="str">
        <f>'Detailed Summary'!BJ105</f>
        <v/>
      </c>
      <c r="P105" s="5" t="str">
        <f>'Detailed Summary'!BG105</f>
        <v/>
      </c>
    </row>
    <row r="106" spans="1:16" x14ac:dyDescent="0.35">
      <c r="A106" s="88">
        <f>'Student Basic Info'!A106</f>
        <v>605</v>
      </c>
      <c r="B106" s="86" t="str">
        <f>'Student Basic Info'!C106</f>
        <v>Jhumur Mojumdar</v>
      </c>
      <c r="C106" s="89">
        <f>'Detailed Summary'!AK106</f>
        <v>2</v>
      </c>
      <c r="D106" s="89">
        <f>'Detailed Summary'!AL106</f>
        <v>0</v>
      </c>
      <c r="E106" s="89">
        <f>'Detailed Summary'!AM106</f>
        <v>0</v>
      </c>
      <c r="F106" s="89">
        <f>'Detailed Summary'!AN106</f>
        <v>0</v>
      </c>
      <c r="G106" s="89">
        <f>'Detailed Summary'!AO106</f>
        <v>0</v>
      </c>
      <c r="H106" s="89">
        <f>'Detailed Summary'!AP106</f>
        <v>1</v>
      </c>
      <c r="I106" s="89">
        <f>'Detailed Summary'!AR106</f>
        <v>2</v>
      </c>
      <c r="J106" s="89">
        <f>'Detailed Summary'!AS106</f>
        <v>0</v>
      </c>
      <c r="K106" s="39">
        <f>'Detailed Summary'!AU106</f>
        <v>3</v>
      </c>
      <c r="L106" s="87" t="str">
        <f>'Detailed Summary'!AV106</f>
        <v/>
      </c>
      <c r="M106" s="3" t="str">
        <f>'Detailed Summary'!BF106</f>
        <v>Failed in 4 Subjects</v>
      </c>
      <c r="N106" s="87" t="str">
        <f>'Detailed Summary'!AW106</f>
        <v/>
      </c>
      <c r="O106" s="87" t="str">
        <f>'Detailed Summary'!BJ106</f>
        <v/>
      </c>
      <c r="P106" s="5" t="str">
        <f>'Detailed Summary'!BG106</f>
        <v/>
      </c>
    </row>
    <row r="107" spans="1:16" x14ac:dyDescent="0.35">
      <c r="A107" s="88">
        <f>'Student Basic Info'!A107</f>
        <v>606</v>
      </c>
      <c r="B107" s="86" t="str">
        <f>'Student Basic Info'!C107</f>
        <v>Boishakhi Mojumdar</v>
      </c>
      <c r="C107" s="89">
        <f>'Detailed Summary'!AK107</f>
        <v>1</v>
      </c>
      <c r="D107" s="89">
        <f>'Detailed Summary'!AL107</f>
        <v>0</v>
      </c>
      <c r="E107" s="89">
        <f>'Detailed Summary'!AM107</f>
        <v>0</v>
      </c>
      <c r="F107" s="89">
        <f>'Detailed Summary'!AN107</f>
        <v>0</v>
      </c>
      <c r="G107" s="89">
        <f>'Detailed Summary'!AO107</f>
        <v>0</v>
      </c>
      <c r="H107" s="89">
        <f>'Detailed Summary'!AP107</f>
        <v>0</v>
      </c>
      <c r="I107" s="89">
        <f>'Detailed Summary'!AR107</f>
        <v>0</v>
      </c>
      <c r="J107" s="89">
        <f>'Detailed Summary'!AS107</f>
        <v>0</v>
      </c>
      <c r="K107" s="39">
        <f>'Detailed Summary'!AU107</f>
        <v>1</v>
      </c>
      <c r="L107" s="87" t="str">
        <f>'Detailed Summary'!AV107</f>
        <v/>
      </c>
      <c r="M107" s="3" t="str">
        <f>'Detailed Summary'!BF107</f>
        <v>Failed in 5 Subjects</v>
      </c>
      <c r="N107" s="87" t="str">
        <f>'Detailed Summary'!AW107</f>
        <v/>
      </c>
      <c r="O107" s="87" t="str">
        <f>'Detailed Summary'!BJ107</f>
        <v/>
      </c>
      <c r="P107" s="5" t="str">
        <f>'Detailed Summary'!BG107</f>
        <v/>
      </c>
    </row>
    <row r="108" spans="1:16" x14ac:dyDescent="0.35">
      <c r="A108" s="88">
        <f>'Student Basic Info'!A108</f>
        <v>607</v>
      </c>
      <c r="B108" s="86" t="str">
        <f>'Student Basic Info'!C108</f>
        <v>Shekh Shahriyar Aziz</v>
      </c>
      <c r="C108" s="89">
        <f>'Detailed Summary'!AK108</f>
        <v>0</v>
      </c>
      <c r="D108" s="89">
        <f>'Detailed Summary'!AL108</f>
        <v>0</v>
      </c>
      <c r="E108" s="89">
        <f>'Detailed Summary'!AM108</f>
        <v>0</v>
      </c>
      <c r="F108" s="89">
        <f>'Detailed Summary'!AN108</f>
        <v>0</v>
      </c>
      <c r="G108" s="89">
        <f>'Detailed Summary'!AO108</f>
        <v>0</v>
      </c>
      <c r="H108" s="89">
        <f>'Detailed Summary'!AP108</f>
        <v>0</v>
      </c>
      <c r="I108" s="89">
        <f>'Detailed Summary'!AR108</f>
        <v>0</v>
      </c>
      <c r="J108" s="89">
        <f>'Detailed Summary'!AS108</f>
        <v>0</v>
      </c>
      <c r="K108" s="39">
        <f>'Detailed Summary'!AU108</f>
        <v>0</v>
      </c>
      <c r="L108" s="87" t="str">
        <f>'Detailed Summary'!AV108</f>
        <v/>
      </c>
      <c r="M108" s="3" t="str">
        <f>'Detailed Summary'!BF108</f>
        <v>Failed in 6 Subjects</v>
      </c>
      <c r="N108" s="87" t="str">
        <f>'Detailed Summary'!AW108</f>
        <v/>
      </c>
      <c r="O108" s="87" t="str">
        <f>'Detailed Summary'!BJ108</f>
        <v/>
      </c>
      <c r="P108" s="5" t="str">
        <f>'Detailed Summary'!BG108</f>
        <v/>
      </c>
    </row>
    <row r="109" spans="1:16" x14ac:dyDescent="0.35">
      <c r="A109" s="88">
        <f>'Student Basic Info'!A109</f>
        <v>608</v>
      </c>
      <c r="B109" s="86" t="str">
        <f>'Student Basic Info'!C109</f>
        <v xml:space="preserve">Zahidul Islam </v>
      </c>
      <c r="C109" s="89">
        <f>'Detailed Summary'!AK109</f>
        <v>2</v>
      </c>
      <c r="D109" s="89">
        <f>'Detailed Summary'!AL109</f>
        <v>1</v>
      </c>
      <c r="E109" s="89">
        <f>'Detailed Summary'!AM109</f>
        <v>0</v>
      </c>
      <c r="F109" s="89">
        <f>'Detailed Summary'!AN109</f>
        <v>0</v>
      </c>
      <c r="G109" s="89">
        <f>'Detailed Summary'!AO109</f>
        <v>0</v>
      </c>
      <c r="H109" s="89">
        <f>'Detailed Summary'!AP109</f>
        <v>3</v>
      </c>
      <c r="I109" s="89">
        <f>'Detailed Summary'!AR109</f>
        <v>0</v>
      </c>
      <c r="J109" s="89">
        <f>'Detailed Summary'!AS109</f>
        <v>0</v>
      </c>
      <c r="K109" s="39">
        <f>'Detailed Summary'!AU109</f>
        <v>6</v>
      </c>
      <c r="L109" s="87" t="str">
        <f>'Detailed Summary'!AV109</f>
        <v/>
      </c>
      <c r="M109" s="3" t="str">
        <f>'Detailed Summary'!BF109</f>
        <v>Failed in 3 Subjects</v>
      </c>
      <c r="N109" s="87" t="str">
        <f>'Detailed Summary'!AW109</f>
        <v/>
      </c>
      <c r="O109" s="87" t="str">
        <f>'Detailed Summary'!BJ109</f>
        <v/>
      </c>
      <c r="P109" s="5" t="str">
        <f>'Detailed Summary'!BG109</f>
        <v/>
      </c>
    </row>
    <row r="110" spans="1:16" x14ac:dyDescent="0.35">
      <c r="A110" s="88">
        <f>'Student Basic Info'!A110</f>
        <v>609</v>
      </c>
      <c r="B110" s="86" t="str">
        <f>'Student Basic Info'!C110</f>
        <v>Jorina Aktar</v>
      </c>
      <c r="C110" s="89">
        <f>'Detailed Summary'!AK110</f>
        <v>1</v>
      </c>
      <c r="D110" s="89">
        <f>'Detailed Summary'!AL110</f>
        <v>0</v>
      </c>
      <c r="E110" s="89">
        <f>'Detailed Summary'!AM110</f>
        <v>0</v>
      </c>
      <c r="F110" s="89">
        <f>'Detailed Summary'!AN110</f>
        <v>0</v>
      </c>
      <c r="G110" s="89">
        <f>'Detailed Summary'!AO110</f>
        <v>0</v>
      </c>
      <c r="H110" s="89">
        <f>'Detailed Summary'!AP110</f>
        <v>1</v>
      </c>
      <c r="I110" s="89">
        <f>'Detailed Summary'!AR110</f>
        <v>0</v>
      </c>
      <c r="J110" s="89">
        <f>'Detailed Summary'!AS110</f>
        <v>0</v>
      </c>
      <c r="K110" s="39">
        <f>'Detailed Summary'!AU110</f>
        <v>2</v>
      </c>
      <c r="L110" s="87" t="str">
        <f>'Detailed Summary'!AV110</f>
        <v/>
      </c>
      <c r="M110" s="3" t="str">
        <f>'Detailed Summary'!BF110</f>
        <v>Failed in 4 Subjects</v>
      </c>
      <c r="N110" s="87" t="str">
        <f>'Detailed Summary'!AW110</f>
        <v/>
      </c>
      <c r="O110" s="87" t="str">
        <f>'Detailed Summary'!BJ110</f>
        <v/>
      </c>
      <c r="P110" s="5" t="str">
        <f>'Detailed Summary'!BG110</f>
        <v/>
      </c>
    </row>
    <row r="111" spans="1:16" x14ac:dyDescent="0.35">
      <c r="A111" s="88">
        <f>'Student Basic Info'!A111</f>
        <v>610</v>
      </c>
      <c r="B111" s="86" t="str">
        <f>'Student Basic Info'!C111</f>
        <v>Youhidul Islam</v>
      </c>
      <c r="C111" s="89">
        <f>'Detailed Summary'!AK111</f>
        <v>1</v>
      </c>
      <c r="D111" s="89">
        <f>'Detailed Summary'!AL111</f>
        <v>0</v>
      </c>
      <c r="E111" s="89">
        <f>'Detailed Summary'!AM111</f>
        <v>0</v>
      </c>
      <c r="F111" s="89">
        <f>'Detailed Summary'!AN111</f>
        <v>0</v>
      </c>
      <c r="G111" s="89" t="str">
        <f>'Detailed Summary'!AO111</f>
        <v/>
      </c>
      <c r="H111" s="89" t="str">
        <f>'Detailed Summary'!AP111</f>
        <v/>
      </c>
      <c r="I111" s="89" t="str">
        <f>'Detailed Summary'!AR111</f>
        <v/>
      </c>
      <c r="J111" s="89" t="str">
        <f>'Detailed Summary'!AS111</f>
        <v/>
      </c>
      <c r="K111" s="39">
        <f>'Detailed Summary'!AU111</f>
        <v>1</v>
      </c>
      <c r="L111" s="87" t="str">
        <f>'Detailed Summary'!AV111</f>
        <v/>
      </c>
      <c r="M111" s="3" t="str">
        <f>'Detailed Summary'!BF111</f>
        <v>Failed in 5 Subjects</v>
      </c>
      <c r="N111" s="87" t="str">
        <f>'Detailed Summary'!AW111</f>
        <v/>
      </c>
      <c r="O111" s="87" t="str">
        <f>'Detailed Summary'!BJ111</f>
        <v/>
      </c>
      <c r="P111" s="5" t="str">
        <f>'Detailed Summary'!BG111</f>
        <v/>
      </c>
    </row>
    <row r="112" spans="1:16" x14ac:dyDescent="0.35">
      <c r="A112" s="88">
        <f>'Student Basic Info'!A112</f>
        <v>611</v>
      </c>
      <c r="B112" s="86" t="str">
        <f>'Student Basic Info'!C112</f>
        <v>Aman Ullah</v>
      </c>
      <c r="C112" s="89">
        <f>'Detailed Summary'!AK112</f>
        <v>1</v>
      </c>
      <c r="D112" s="89">
        <f>'Detailed Summary'!AL112</f>
        <v>0</v>
      </c>
      <c r="E112" s="89">
        <f>'Detailed Summary'!AM112</f>
        <v>0</v>
      </c>
      <c r="F112" s="89">
        <f>'Detailed Summary'!AN112</f>
        <v>0</v>
      </c>
      <c r="G112" s="89">
        <f>'Detailed Summary'!AO112</f>
        <v>1</v>
      </c>
      <c r="H112" s="89">
        <f>'Detailed Summary'!AP112</f>
        <v>0</v>
      </c>
      <c r="I112" s="89">
        <f>'Detailed Summary'!AR112</f>
        <v>0</v>
      </c>
      <c r="J112" s="89">
        <f>'Detailed Summary'!AS112</f>
        <v>0</v>
      </c>
      <c r="K112" s="39">
        <f>'Detailed Summary'!AU112</f>
        <v>2</v>
      </c>
      <c r="L112" s="87" t="str">
        <f>'Detailed Summary'!AV112</f>
        <v/>
      </c>
      <c r="M112" s="3" t="str">
        <f>'Detailed Summary'!BF112</f>
        <v>Failed in 4 Subjects</v>
      </c>
      <c r="N112" s="87" t="str">
        <f>'Detailed Summary'!AW112</f>
        <v/>
      </c>
      <c r="O112" s="87" t="str">
        <f>'Detailed Summary'!BJ112</f>
        <v/>
      </c>
      <c r="P112" s="5" t="str">
        <f>'Detailed Summary'!BG112</f>
        <v/>
      </c>
    </row>
    <row r="113" spans="1:16" x14ac:dyDescent="0.35">
      <c r="A113" s="88">
        <f>'Student Basic Info'!A113</f>
        <v>612</v>
      </c>
      <c r="B113" s="86" t="str">
        <f>'Student Basic Info'!C113</f>
        <v>Ajharul Islam</v>
      </c>
      <c r="C113" s="89">
        <f>'Detailed Summary'!AK113</f>
        <v>1</v>
      </c>
      <c r="D113" s="89">
        <f>'Detailed Summary'!AL113</f>
        <v>1</v>
      </c>
      <c r="E113" s="89">
        <f>'Detailed Summary'!AM113</f>
        <v>0</v>
      </c>
      <c r="F113" s="89">
        <f>'Detailed Summary'!AN113</f>
        <v>0</v>
      </c>
      <c r="G113" s="89">
        <f>'Detailed Summary'!AO113</f>
        <v>2</v>
      </c>
      <c r="H113" s="89">
        <f>'Detailed Summary'!AP113</f>
        <v>0</v>
      </c>
      <c r="I113" s="89">
        <f>'Detailed Summary'!AR113</f>
        <v>1</v>
      </c>
      <c r="J113" s="89">
        <f>'Detailed Summary'!AS113</f>
        <v>0</v>
      </c>
      <c r="K113" s="39">
        <f>'Detailed Summary'!AU113</f>
        <v>4</v>
      </c>
      <c r="L113" s="87" t="str">
        <f>'Detailed Summary'!AV113</f>
        <v/>
      </c>
      <c r="M113" s="3" t="str">
        <f>'Detailed Summary'!BF113</f>
        <v>Failed in 3 Subjects</v>
      </c>
      <c r="N113" s="87" t="str">
        <f>'Detailed Summary'!AW113</f>
        <v/>
      </c>
      <c r="O113" s="87" t="str">
        <f>'Detailed Summary'!BJ113</f>
        <v/>
      </c>
      <c r="P113" s="5" t="str">
        <f>'Detailed Summary'!BG113</f>
        <v/>
      </c>
    </row>
    <row r="114" spans="1:16" x14ac:dyDescent="0.35">
      <c r="A114" s="88">
        <f>'Student Basic Info'!A114</f>
        <v>613</v>
      </c>
      <c r="B114" s="86" t="str">
        <f>'Student Basic Info'!C114</f>
        <v>Fokkrul Islam</v>
      </c>
      <c r="C114" s="89" t="str">
        <f>'Detailed Summary'!AK114</f>
        <v/>
      </c>
      <c r="D114" s="89" t="str">
        <f>'Detailed Summary'!AL114</f>
        <v/>
      </c>
      <c r="E114" s="89" t="str">
        <f>'Detailed Summary'!AM114</f>
        <v/>
      </c>
      <c r="F114" s="89" t="str">
        <f>'Detailed Summary'!AN114</f>
        <v/>
      </c>
      <c r="G114" s="89" t="str">
        <f>'Detailed Summary'!AO114</f>
        <v/>
      </c>
      <c r="H114" s="89" t="str">
        <f>'Detailed Summary'!AP114</f>
        <v/>
      </c>
      <c r="I114" s="89" t="str">
        <f>'Detailed Summary'!AR114</f>
        <v/>
      </c>
      <c r="J114" s="89" t="str">
        <f>'Detailed Summary'!AS114</f>
        <v/>
      </c>
      <c r="K114" s="39">
        <f>'Detailed Summary'!AU114</f>
        <v>0</v>
      </c>
      <c r="L114" s="87" t="str">
        <f>'Detailed Summary'!AV114</f>
        <v/>
      </c>
      <c r="M114" s="3" t="str">
        <f>'Detailed Summary'!BF114</f>
        <v>Failed in 6 Subjects</v>
      </c>
      <c r="N114" s="87" t="str">
        <f>'Detailed Summary'!AW114</f>
        <v/>
      </c>
      <c r="O114" s="87" t="str">
        <f>'Detailed Summary'!BJ114</f>
        <v/>
      </c>
      <c r="P114" s="5" t="str">
        <f>'Detailed Summary'!BG114</f>
        <v/>
      </c>
    </row>
    <row r="115" spans="1:16" x14ac:dyDescent="0.35">
      <c r="A115" s="88">
        <f>'Student Basic Info'!A115</f>
        <v>614</v>
      </c>
      <c r="B115" s="86" t="str">
        <f>'Student Basic Info'!C115</f>
        <v>Moumita Tabassum</v>
      </c>
      <c r="C115" s="89">
        <f>'Detailed Summary'!AK115</f>
        <v>3.5</v>
      </c>
      <c r="D115" s="89">
        <f>'Detailed Summary'!AL115</f>
        <v>3.5</v>
      </c>
      <c r="E115" s="89">
        <f>'Detailed Summary'!AM115</f>
        <v>4</v>
      </c>
      <c r="F115" s="89">
        <f>'Detailed Summary'!AN115</f>
        <v>3</v>
      </c>
      <c r="G115" s="89">
        <f>'Detailed Summary'!AO115</f>
        <v>2</v>
      </c>
      <c r="H115" s="89">
        <f>'Detailed Summary'!AP115</f>
        <v>1</v>
      </c>
      <c r="I115" s="89">
        <f>'Detailed Summary'!AR115</f>
        <v>2</v>
      </c>
      <c r="J115" s="89">
        <f>'Detailed Summary'!AS115</f>
        <v>0</v>
      </c>
      <c r="K115" s="39">
        <f>'Detailed Summary'!AU115</f>
        <v>17</v>
      </c>
      <c r="L115" s="87">
        <f>'Detailed Summary'!AV115</f>
        <v>2.8333333333333335</v>
      </c>
      <c r="M115" s="3" t="str">
        <f>'Detailed Summary'!BF115</f>
        <v>Pass</v>
      </c>
      <c r="N115" s="87">
        <f>'Detailed Summary'!AW115</f>
        <v>2.8333333333333335</v>
      </c>
      <c r="O115" s="87" t="str">
        <f>'Detailed Summary'!BJ115</f>
        <v>C</v>
      </c>
      <c r="P115" s="5">
        <f>'Detailed Summary'!BG115</f>
        <v>5</v>
      </c>
    </row>
    <row r="116" spans="1:16" x14ac:dyDescent="0.35">
      <c r="A116" s="88">
        <f>'Student Basic Info'!A116</f>
        <v>615</v>
      </c>
      <c r="B116" s="86" t="str">
        <f>'Student Basic Info'!C116</f>
        <v>Tasfia Atrar</v>
      </c>
      <c r="C116" s="89">
        <f>'Detailed Summary'!AK116</f>
        <v>1</v>
      </c>
      <c r="D116" s="89">
        <f>'Detailed Summary'!AL116</f>
        <v>0</v>
      </c>
      <c r="E116" s="89">
        <f>'Detailed Summary'!AM116</f>
        <v>0</v>
      </c>
      <c r="F116" s="89">
        <f>'Detailed Summary'!AN116</f>
        <v>0</v>
      </c>
      <c r="G116" s="89">
        <f>'Detailed Summary'!AO116</f>
        <v>0</v>
      </c>
      <c r="H116" s="89">
        <f>'Detailed Summary'!AP116</f>
        <v>1</v>
      </c>
      <c r="I116" s="89">
        <f>'Detailed Summary'!AR116</f>
        <v>0</v>
      </c>
      <c r="J116" s="89">
        <f>'Detailed Summary'!AS116</f>
        <v>0</v>
      </c>
      <c r="K116" s="39">
        <f>'Detailed Summary'!AU116</f>
        <v>2</v>
      </c>
      <c r="L116" s="87" t="str">
        <f>'Detailed Summary'!AV116</f>
        <v/>
      </c>
      <c r="M116" s="3" t="str">
        <f>'Detailed Summary'!BF116</f>
        <v>Failed in 4 Subjects</v>
      </c>
      <c r="N116" s="87" t="str">
        <f>'Detailed Summary'!AW116</f>
        <v/>
      </c>
      <c r="O116" s="87" t="str">
        <f>'Detailed Summary'!BJ116</f>
        <v/>
      </c>
      <c r="P116" s="5" t="str">
        <f>'Detailed Summary'!BG116</f>
        <v/>
      </c>
    </row>
    <row r="117" spans="1:16" x14ac:dyDescent="0.35">
      <c r="A117" s="88">
        <f>'Student Basic Info'!A117</f>
        <v>616</v>
      </c>
      <c r="B117" s="86" t="str">
        <f>'Student Basic Info'!C117</f>
        <v>Farzana Aktar Mili</v>
      </c>
      <c r="C117" s="89" t="str">
        <f>'Detailed Summary'!AK117</f>
        <v/>
      </c>
      <c r="D117" s="89" t="str">
        <f>'Detailed Summary'!AL117</f>
        <v/>
      </c>
      <c r="E117" s="89" t="str">
        <f>'Detailed Summary'!AM117</f>
        <v/>
      </c>
      <c r="F117" s="89" t="str">
        <f>'Detailed Summary'!AN117</f>
        <v/>
      </c>
      <c r="G117" s="89" t="str">
        <f>'Detailed Summary'!AO117</f>
        <v/>
      </c>
      <c r="H117" s="89" t="str">
        <f>'Detailed Summary'!AP117</f>
        <v/>
      </c>
      <c r="I117" s="89" t="str">
        <f>'Detailed Summary'!AR117</f>
        <v/>
      </c>
      <c r="J117" s="89" t="str">
        <f>'Detailed Summary'!AS117</f>
        <v/>
      </c>
      <c r="K117" s="39">
        <f>'Detailed Summary'!AU117</f>
        <v>0</v>
      </c>
      <c r="L117" s="87" t="str">
        <f>'Detailed Summary'!AV117</f>
        <v/>
      </c>
      <c r="M117" s="3" t="str">
        <f>'Detailed Summary'!BF117</f>
        <v>Failed in 6 Subjects</v>
      </c>
      <c r="N117" s="87" t="str">
        <f>'Detailed Summary'!AW117</f>
        <v/>
      </c>
      <c r="O117" s="87" t="str">
        <f>'Detailed Summary'!BJ117</f>
        <v/>
      </c>
      <c r="P117" s="5" t="str">
        <f>'Detailed Summary'!BG117</f>
        <v/>
      </c>
    </row>
    <row r="118" spans="1:16" x14ac:dyDescent="0.35">
      <c r="A118" s="88">
        <f>'Student Basic Info'!A118</f>
        <v>617</v>
      </c>
      <c r="B118" s="86" t="str">
        <f>'Student Basic Info'!C118</f>
        <v>Tanvir Hossain</v>
      </c>
      <c r="C118" s="89" t="str">
        <f>'Detailed Summary'!AK118</f>
        <v/>
      </c>
      <c r="D118" s="89" t="str">
        <f>'Detailed Summary'!AL118</f>
        <v/>
      </c>
      <c r="E118" s="89" t="str">
        <f>'Detailed Summary'!AM118</f>
        <v/>
      </c>
      <c r="F118" s="89" t="str">
        <f>'Detailed Summary'!AN118</f>
        <v/>
      </c>
      <c r="G118" s="89" t="str">
        <f>'Detailed Summary'!AO118</f>
        <v/>
      </c>
      <c r="H118" s="89" t="str">
        <f>'Detailed Summary'!AP118</f>
        <v/>
      </c>
      <c r="I118" s="89" t="str">
        <f>'Detailed Summary'!AR118</f>
        <v/>
      </c>
      <c r="J118" s="89" t="str">
        <f>'Detailed Summary'!AS118</f>
        <v/>
      </c>
      <c r="K118" s="39">
        <f>'Detailed Summary'!AU118</f>
        <v>0</v>
      </c>
      <c r="L118" s="87" t="str">
        <f>'Detailed Summary'!AV118</f>
        <v/>
      </c>
      <c r="M118" s="3" t="str">
        <f>'Detailed Summary'!BF118</f>
        <v>Failed in 6 Subjects</v>
      </c>
      <c r="N118" s="87" t="str">
        <f>'Detailed Summary'!AW118</f>
        <v/>
      </c>
      <c r="O118" s="87" t="str">
        <f>'Detailed Summary'!BJ118</f>
        <v/>
      </c>
      <c r="P118" s="5" t="str">
        <f>'Detailed Summary'!BG118</f>
        <v/>
      </c>
    </row>
    <row r="119" spans="1:16" x14ac:dyDescent="0.35">
      <c r="A119" s="88">
        <f>'Student Basic Info'!A119</f>
        <v>618</v>
      </c>
      <c r="B119" s="86" t="str">
        <f>'Student Basic Info'!C119</f>
        <v>Mizanur Rahman</v>
      </c>
      <c r="C119" s="89" t="str">
        <f>'Detailed Summary'!AK119</f>
        <v/>
      </c>
      <c r="D119" s="89" t="str">
        <f>'Detailed Summary'!AL119</f>
        <v/>
      </c>
      <c r="E119" s="89" t="str">
        <f>'Detailed Summary'!AM119</f>
        <v/>
      </c>
      <c r="F119" s="89" t="str">
        <f>'Detailed Summary'!AN119</f>
        <v/>
      </c>
      <c r="G119" s="89" t="str">
        <f>'Detailed Summary'!AO119</f>
        <v/>
      </c>
      <c r="H119" s="89" t="str">
        <f>'Detailed Summary'!AP119</f>
        <v/>
      </c>
      <c r="I119" s="89" t="str">
        <f>'Detailed Summary'!AR119</f>
        <v/>
      </c>
      <c r="J119" s="89" t="str">
        <f>'Detailed Summary'!AS119</f>
        <v/>
      </c>
      <c r="K119" s="39">
        <f>'Detailed Summary'!AU119</f>
        <v>0</v>
      </c>
      <c r="L119" s="87" t="str">
        <f>'Detailed Summary'!AV119</f>
        <v/>
      </c>
      <c r="M119" s="3" t="str">
        <f>'Detailed Summary'!BF119</f>
        <v>Failed in 6 Subjects</v>
      </c>
      <c r="N119" s="87" t="str">
        <f>'Detailed Summary'!AW119</f>
        <v/>
      </c>
      <c r="O119" s="87" t="str">
        <f>'Detailed Summary'!BJ119</f>
        <v/>
      </c>
      <c r="P119" s="5" t="str">
        <f>'Detailed Summary'!BG119</f>
        <v/>
      </c>
    </row>
    <row r="120" spans="1:16" x14ac:dyDescent="0.35">
      <c r="A120" s="88">
        <f>'Student Basic Info'!A120</f>
        <v>619</v>
      </c>
      <c r="B120" s="86" t="str">
        <f>'Student Basic Info'!C120</f>
        <v>Yeasin Arafat</v>
      </c>
      <c r="C120" s="89" t="str">
        <f>'Detailed Summary'!AK120</f>
        <v/>
      </c>
      <c r="D120" s="89" t="str">
        <f>'Detailed Summary'!AL120</f>
        <v/>
      </c>
      <c r="E120" s="89" t="str">
        <f>'Detailed Summary'!AM120</f>
        <v/>
      </c>
      <c r="F120" s="89" t="str">
        <f>'Detailed Summary'!AN120</f>
        <v/>
      </c>
      <c r="G120" s="89" t="str">
        <f>'Detailed Summary'!AO120</f>
        <v/>
      </c>
      <c r="H120" s="89" t="str">
        <f>'Detailed Summary'!AP120</f>
        <v/>
      </c>
      <c r="I120" s="89" t="str">
        <f>'Detailed Summary'!AR120</f>
        <v/>
      </c>
      <c r="J120" s="89" t="str">
        <f>'Detailed Summary'!AS120</f>
        <v/>
      </c>
      <c r="K120" s="39">
        <f>'Detailed Summary'!AU120</f>
        <v>0</v>
      </c>
      <c r="L120" s="87" t="str">
        <f>'Detailed Summary'!AV120</f>
        <v/>
      </c>
      <c r="M120" s="3" t="str">
        <f>'Detailed Summary'!BF120</f>
        <v>Failed in 6 Subjects</v>
      </c>
      <c r="N120" s="87" t="str">
        <f>'Detailed Summary'!AW120</f>
        <v/>
      </c>
      <c r="O120" s="87" t="str">
        <f>'Detailed Summary'!BJ120</f>
        <v/>
      </c>
      <c r="P120" s="5" t="str">
        <f>'Detailed Summary'!BG120</f>
        <v/>
      </c>
    </row>
    <row r="121" spans="1:16" x14ac:dyDescent="0.35">
      <c r="A121" s="88">
        <f>'Student Basic Info'!A121</f>
        <v>620</v>
      </c>
      <c r="B121" s="86" t="str">
        <f>'Student Basic Info'!C121</f>
        <v>Abdullah Al Noman</v>
      </c>
      <c r="C121" s="89" t="str">
        <f>'Detailed Summary'!AK121</f>
        <v/>
      </c>
      <c r="D121" s="89" t="str">
        <f>'Detailed Summary'!AL121</f>
        <v/>
      </c>
      <c r="E121" s="89" t="str">
        <f>'Detailed Summary'!AM121</f>
        <v/>
      </c>
      <c r="F121" s="89" t="str">
        <f>'Detailed Summary'!AN121</f>
        <v/>
      </c>
      <c r="G121" s="89" t="str">
        <f>'Detailed Summary'!AO121</f>
        <v/>
      </c>
      <c r="H121" s="89" t="str">
        <f>'Detailed Summary'!AP121</f>
        <v/>
      </c>
      <c r="I121" s="89" t="str">
        <f>'Detailed Summary'!AR121</f>
        <v/>
      </c>
      <c r="J121" s="89" t="str">
        <f>'Detailed Summary'!AS121</f>
        <v/>
      </c>
      <c r="K121" s="39">
        <f>'Detailed Summary'!AU121</f>
        <v>0</v>
      </c>
      <c r="L121" s="87" t="str">
        <f>'Detailed Summary'!AV121</f>
        <v/>
      </c>
      <c r="M121" s="3" t="str">
        <f>'Detailed Summary'!BF121</f>
        <v>Failed in 6 Subjects</v>
      </c>
      <c r="N121" s="87" t="str">
        <f>'Detailed Summary'!AW121</f>
        <v/>
      </c>
      <c r="O121" s="87" t="str">
        <f>'Detailed Summary'!BJ121</f>
        <v/>
      </c>
      <c r="P121" s="5" t="str">
        <f>'Detailed Summary'!BG121</f>
        <v/>
      </c>
    </row>
    <row r="122" spans="1:16" x14ac:dyDescent="0.35">
      <c r="A122" s="88">
        <f>'Student Basic Info'!A122</f>
        <v>621</v>
      </c>
      <c r="B122" s="86" t="str">
        <f>'Student Basic Info'!C122</f>
        <v>Delower Hossain</v>
      </c>
      <c r="C122" s="89">
        <f>'Detailed Summary'!AK122</f>
        <v>2</v>
      </c>
      <c r="D122" s="89">
        <f>'Detailed Summary'!AL122</f>
        <v>0</v>
      </c>
      <c r="E122" s="89">
        <f>'Detailed Summary'!AM122</f>
        <v>3</v>
      </c>
      <c r="F122" s="89">
        <f>'Detailed Summary'!AN122</f>
        <v>1</v>
      </c>
      <c r="G122" s="89">
        <f>'Detailed Summary'!AO122</f>
        <v>0</v>
      </c>
      <c r="H122" s="89">
        <f>'Detailed Summary'!AP122</f>
        <v>0</v>
      </c>
      <c r="I122" s="89">
        <f>'Detailed Summary'!AR122</f>
        <v>2</v>
      </c>
      <c r="J122" s="89">
        <f>'Detailed Summary'!AS122</f>
        <v>0</v>
      </c>
      <c r="K122" s="39">
        <f>'Detailed Summary'!AU122</f>
        <v>6</v>
      </c>
      <c r="L122" s="87" t="str">
        <f>'Detailed Summary'!AV122</f>
        <v/>
      </c>
      <c r="M122" s="3" t="str">
        <f>'Detailed Summary'!BF122</f>
        <v>Failed in 3 Subjects</v>
      </c>
      <c r="N122" s="87" t="str">
        <f>'Detailed Summary'!AW122</f>
        <v/>
      </c>
      <c r="O122" s="87" t="str">
        <f>'Detailed Summary'!BJ122</f>
        <v/>
      </c>
      <c r="P122" s="5" t="str">
        <f>'Detailed Summary'!BG122</f>
        <v/>
      </c>
    </row>
    <row r="123" spans="1:16" x14ac:dyDescent="0.35">
      <c r="A123" s="88">
        <f>'Student Basic Info'!A123</f>
        <v>622</v>
      </c>
      <c r="B123" s="86" t="str">
        <f>'Student Basic Info'!C123</f>
        <v>Nur Islam</v>
      </c>
      <c r="C123" s="89">
        <f>'Detailed Summary'!AK123</f>
        <v>3</v>
      </c>
      <c r="D123" s="89">
        <f>'Detailed Summary'!AL123</f>
        <v>0</v>
      </c>
      <c r="E123" s="89">
        <f>'Detailed Summary'!AM123</f>
        <v>3.5</v>
      </c>
      <c r="F123" s="89">
        <f>'Detailed Summary'!AN123</f>
        <v>2</v>
      </c>
      <c r="G123" s="89">
        <f>'Detailed Summary'!AO123</f>
        <v>0</v>
      </c>
      <c r="H123" s="89">
        <f>'Detailed Summary'!AP123</f>
        <v>0</v>
      </c>
      <c r="I123" s="89">
        <f>'Detailed Summary'!AR123</f>
        <v>1</v>
      </c>
      <c r="J123" s="89">
        <f>'Detailed Summary'!AS123</f>
        <v>0</v>
      </c>
      <c r="K123" s="39">
        <f>'Detailed Summary'!AU123</f>
        <v>8.5</v>
      </c>
      <c r="L123" s="87" t="str">
        <f>'Detailed Summary'!AV123</f>
        <v/>
      </c>
      <c r="M123" s="3" t="str">
        <f>'Detailed Summary'!BF123</f>
        <v>Failed in 3 Subjects</v>
      </c>
      <c r="N123" s="87" t="str">
        <f>'Detailed Summary'!AW123</f>
        <v/>
      </c>
      <c r="O123" s="87" t="str">
        <f>'Detailed Summary'!BJ123</f>
        <v/>
      </c>
      <c r="P123" s="5" t="str">
        <f>'Detailed Summary'!BG123</f>
        <v/>
      </c>
    </row>
    <row r="124" spans="1:16" x14ac:dyDescent="0.35">
      <c r="A124" s="88">
        <f>'Student Basic Info'!A124</f>
        <v>623</v>
      </c>
      <c r="B124" s="86" t="str">
        <f>'Student Basic Info'!C124</f>
        <v>Mehedi Hasan</v>
      </c>
      <c r="C124" s="89" t="str">
        <f>'Detailed Summary'!AK124</f>
        <v/>
      </c>
      <c r="D124" s="89" t="str">
        <f>'Detailed Summary'!AL124</f>
        <v/>
      </c>
      <c r="E124" s="89" t="str">
        <f>'Detailed Summary'!AM124</f>
        <v/>
      </c>
      <c r="F124" s="89" t="str">
        <f>'Detailed Summary'!AN124</f>
        <v/>
      </c>
      <c r="G124" s="89" t="str">
        <f>'Detailed Summary'!AO124</f>
        <v/>
      </c>
      <c r="H124" s="89" t="str">
        <f>'Detailed Summary'!AP124</f>
        <v/>
      </c>
      <c r="I124" s="89" t="str">
        <f>'Detailed Summary'!AR124</f>
        <v/>
      </c>
      <c r="J124" s="89" t="str">
        <f>'Detailed Summary'!AS124</f>
        <v/>
      </c>
      <c r="K124" s="39">
        <f>'Detailed Summary'!AU124</f>
        <v>0</v>
      </c>
      <c r="L124" s="87" t="str">
        <f>'Detailed Summary'!AV124</f>
        <v/>
      </c>
      <c r="M124" s="3" t="str">
        <f>'Detailed Summary'!BF124</f>
        <v>Failed in 6 Subjects</v>
      </c>
      <c r="N124" s="87" t="str">
        <f>'Detailed Summary'!AW124</f>
        <v/>
      </c>
      <c r="O124" s="87" t="str">
        <f>'Detailed Summary'!BJ124</f>
        <v/>
      </c>
      <c r="P124" s="5" t="str">
        <f>'Detailed Summary'!BG124</f>
        <v/>
      </c>
    </row>
    <row r="125" spans="1:16" x14ac:dyDescent="0.35">
      <c r="A125" s="88">
        <f>'Student Basic Info'!A125</f>
        <v>624</v>
      </c>
      <c r="B125" s="86" t="str">
        <f>'Student Basic Info'!C125</f>
        <v>Nurul Afsar Ashraf</v>
      </c>
      <c r="C125" s="89" t="str">
        <f>'Detailed Summary'!AK125</f>
        <v/>
      </c>
      <c r="D125" s="89" t="str">
        <f>'Detailed Summary'!AL125</f>
        <v/>
      </c>
      <c r="E125" s="89" t="str">
        <f>'Detailed Summary'!AM125</f>
        <v/>
      </c>
      <c r="F125" s="89" t="str">
        <f>'Detailed Summary'!AN125</f>
        <v/>
      </c>
      <c r="G125" s="89" t="str">
        <f>'Detailed Summary'!AO125</f>
        <v/>
      </c>
      <c r="H125" s="89" t="str">
        <f>'Detailed Summary'!AP125</f>
        <v/>
      </c>
      <c r="I125" s="89" t="str">
        <f>'Detailed Summary'!AR125</f>
        <v/>
      </c>
      <c r="J125" s="89" t="str">
        <f>'Detailed Summary'!AS125</f>
        <v/>
      </c>
      <c r="K125" s="39">
        <f>'Detailed Summary'!AU125</f>
        <v>0</v>
      </c>
      <c r="L125" s="87" t="str">
        <f>'Detailed Summary'!AV125</f>
        <v/>
      </c>
      <c r="M125" s="3" t="str">
        <f>'Detailed Summary'!BF125</f>
        <v>Failed in 6 Subjects</v>
      </c>
      <c r="N125" s="87" t="str">
        <f>'Detailed Summary'!AW125</f>
        <v/>
      </c>
      <c r="O125" s="87" t="str">
        <f>'Detailed Summary'!BJ125</f>
        <v/>
      </c>
      <c r="P125" s="5" t="str">
        <f>'Detailed Summary'!BG125</f>
        <v/>
      </c>
    </row>
    <row r="126" spans="1:16" x14ac:dyDescent="0.35">
      <c r="A126" s="88">
        <f>'Student Basic Info'!A126</f>
        <v>625</v>
      </c>
      <c r="B126" s="86" t="str">
        <f>'Student Basic Info'!C126</f>
        <v>Marjahan Aktar</v>
      </c>
      <c r="C126" s="89" t="str">
        <f>'Detailed Summary'!AK126</f>
        <v/>
      </c>
      <c r="D126" s="89" t="str">
        <f>'Detailed Summary'!AL126</f>
        <v/>
      </c>
      <c r="E126" s="89" t="str">
        <f>'Detailed Summary'!AM126</f>
        <v/>
      </c>
      <c r="F126" s="89" t="str">
        <f>'Detailed Summary'!AN126</f>
        <v/>
      </c>
      <c r="G126" s="89" t="str">
        <f>'Detailed Summary'!AO126</f>
        <v/>
      </c>
      <c r="H126" s="89" t="str">
        <f>'Detailed Summary'!AP126</f>
        <v/>
      </c>
      <c r="I126" s="89" t="str">
        <f>'Detailed Summary'!AR126</f>
        <v/>
      </c>
      <c r="J126" s="89" t="str">
        <f>'Detailed Summary'!AS126</f>
        <v/>
      </c>
      <c r="K126" s="39">
        <f>'Detailed Summary'!AU126</f>
        <v>0</v>
      </c>
      <c r="L126" s="87" t="str">
        <f>'Detailed Summary'!AV126</f>
        <v/>
      </c>
      <c r="M126" s="3" t="str">
        <f>'Detailed Summary'!BF126</f>
        <v>Failed in 6 Subjects</v>
      </c>
      <c r="N126" s="87" t="str">
        <f>'Detailed Summary'!AW126</f>
        <v/>
      </c>
      <c r="O126" s="87" t="str">
        <f>'Detailed Summary'!BJ126</f>
        <v/>
      </c>
      <c r="P126" s="5" t="str">
        <f>'Detailed Summary'!BG126</f>
        <v/>
      </c>
    </row>
    <row r="127" spans="1:16" x14ac:dyDescent="0.35">
      <c r="A127" s="88">
        <f>'Student Basic Info'!A127</f>
        <v>626</v>
      </c>
      <c r="B127" s="86" t="str">
        <f>'Student Basic Info'!C127</f>
        <v>Fokhrul Islam</v>
      </c>
      <c r="C127" s="89" t="str">
        <f>'Detailed Summary'!AK127</f>
        <v/>
      </c>
      <c r="D127" s="89" t="str">
        <f>'Detailed Summary'!AL127</f>
        <v/>
      </c>
      <c r="E127" s="89" t="str">
        <f>'Detailed Summary'!AM127</f>
        <v/>
      </c>
      <c r="F127" s="89" t="str">
        <f>'Detailed Summary'!AN127</f>
        <v/>
      </c>
      <c r="G127" s="89" t="str">
        <f>'Detailed Summary'!AO127</f>
        <v/>
      </c>
      <c r="H127" s="89" t="str">
        <f>'Detailed Summary'!AP127</f>
        <v/>
      </c>
      <c r="I127" s="89" t="str">
        <f>'Detailed Summary'!AR127</f>
        <v/>
      </c>
      <c r="J127" s="89" t="str">
        <f>'Detailed Summary'!AS127</f>
        <v/>
      </c>
      <c r="K127" s="39">
        <f>'Detailed Summary'!AU127</f>
        <v>0</v>
      </c>
      <c r="L127" s="87" t="str">
        <f>'Detailed Summary'!AV127</f>
        <v/>
      </c>
      <c r="M127" s="3" t="str">
        <f>'Detailed Summary'!BF127</f>
        <v>Failed in 6 Subjects</v>
      </c>
      <c r="N127" s="87" t="str">
        <f>'Detailed Summary'!AW127</f>
        <v/>
      </c>
      <c r="O127" s="87" t="str">
        <f>'Detailed Summary'!BJ127</f>
        <v/>
      </c>
      <c r="P127" s="5" t="str">
        <f>'Detailed Summary'!BG127</f>
        <v/>
      </c>
    </row>
    <row r="128" spans="1:16" x14ac:dyDescent="0.35">
      <c r="A128" s="88">
        <f>'Student Basic Info'!A128</f>
        <v>627</v>
      </c>
      <c r="B128" s="86" t="str">
        <f>'Student Basic Info'!C128</f>
        <v>Israt Jahan</v>
      </c>
      <c r="C128" s="89" t="str">
        <f>'Detailed Summary'!AK128</f>
        <v/>
      </c>
      <c r="D128" s="89" t="str">
        <f>'Detailed Summary'!AL128</f>
        <v/>
      </c>
      <c r="E128" s="89" t="str">
        <f>'Detailed Summary'!AM128</f>
        <v/>
      </c>
      <c r="F128" s="89" t="str">
        <f>'Detailed Summary'!AN128</f>
        <v/>
      </c>
      <c r="G128" s="89" t="str">
        <f>'Detailed Summary'!AO128</f>
        <v/>
      </c>
      <c r="H128" s="89" t="str">
        <f>'Detailed Summary'!AP128</f>
        <v/>
      </c>
      <c r="I128" s="89" t="str">
        <f>'Detailed Summary'!AR128</f>
        <v/>
      </c>
      <c r="J128" s="89" t="str">
        <f>'Detailed Summary'!AS128</f>
        <v/>
      </c>
      <c r="K128" s="39">
        <f>'Detailed Summary'!AU128</f>
        <v>0</v>
      </c>
      <c r="L128" s="87" t="str">
        <f>'Detailed Summary'!AV128</f>
        <v/>
      </c>
      <c r="M128" s="3" t="str">
        <f>'Detailed Summary'!BF128</f>
        <v>Failed in 6 Subjects</v>
      </c>
      <c r="N128" s="87" t="str">
        <f>'Detailed Summary'!AW128</f>
        <v/>
      </c>
      <c r="O128" s="87" t="str">
        <f>'Detailed Summary'!BJ128</f>
        <v/>
      </c>
      <c r="P128" s="5" t="str">
        <f>'Detailed Summary'!BG128</f>
        <v/>
      </c>
    </row>
    <row r="129" spans="1:16" x14ac:dyDescent="0.35">
      <c r="A129" s="88">
        <f>'Student Basic Info'!A129</f>
        <v>628</v>
      </c>
      <c r="B129" s="86" t="str">
        <f>'Student Basic Info'!C129</f>
        <v>Md. Nur Nabi Hasan Roni</v>
      </c>
      <c r="C129" s="89" t="str">
        <f>'Detailed Summary'!AK129</f>
        <v/>
      </c>
      <c r="D129" s="89" t="str">
        <f>'Detailed Summary'!AL129</f>
        <v/>
      </c>
      <c r="E129" s="89" t="str">
        <f>'Detailed Summary'!AM129</f>
        <v/>
      </c>
      <c r="F129" s="89" t="str">
        <f>'Detailed Summary'!AN129</f>
        <v/>
      </c>
      <c r="G129" s="89" t="str">
        <f>'Detailed Summary'!AO129</f>
        <v/>
      </c>
      <c r="H129" s="89" t="str">
        <f>'Detailed Summary'!AP129</f>
        <v/>
      </c>
      <c r="I129" s="89" t="str">
        <f>'Detailed Summary'!AR129</f>
        <v/>
      </c>
      <c r="J129" s="89" t="str">
        <f>'Detailed Summary'!AS129</f>
        <v/>
      </c>
      <c r="K129" s="39">
        <f>'Detailed Summary'!AU129</f>
        <v>0</v>
      </c>
      <c r="L129" s="87" t="str">
        <f>'Detailed Summary'!AV129</f>
        <v/>
      </c>
      <c r="M129" s="3" t="str">
        <f>'Detailed Summary'!BF129</f>
        <v>Failed in 6 Subjects</v>
      </c>
      <c r="N129" s="87" t="str">
        <f>'Detailed Summary'!AW129</f>
        <v/>
      </c>
      <c r="O129" s="87" t="str">
        <f>'Detailed Summary'!BJ129</f>
        <v/>
      </c>
      <c r="P129" s="5" t="str">
        <f>'Detailed Summary'!BG129</f>
        <v/>
      </c>
    </row>
    <row r="130" spans="1:16" x14ac:dyDescent="0.35">
      <c r="A130" s="88">
        <f>'Student Basic Info'!A130</f>
        <v>629</v>
      </c>
      <c r="B130" s="86" t="str">
        <f>'Student Basic Info'!C130</f>
        <v>Khaled Bin Rahmat</v>
      </c>
      <c r="C130" s="89" t="str">
        <f>'Detailed Summary'!AK130</f>
        <v/>
      </c>
      <c r="D130" s="89" t="str">
        <f>'Detailed Summary'!AL130</f>
        <v/>
      </c>
      <c r="E130" s="89" t="str">
        <f>'Detailed Summary'!AM130</f>
        <v/>
      </c>
      <c r="F130" s="89" t="str">
        <f>'Detailed Summary'!AN130</f>
        <v/>
      </c>
      <c r="G130" s="89" t="str">
        <f>'Detailed Summary'!AO130</f>
        <v/>
      </c>
      <c r="H130" s="89" t="str">
        <f>'Detailed Summary'!AP130</f>
        <v/>
      </c>
      <c r="I130" s="89" t="str">
        <f>'Detailed Summary'!AR130</f>
        <v/>
      </c>
      <c r="J130" s="89" t="str">
        <f>'Detailed Summary'!AS130</f>
        <v/>
      </c>
      <c r="K130" s="39">
        <f>'Detailed Summary'!AU130</f>
        <v>0</v>
      </c>
      <c r="L130" s="87" t="str">
        <f>'Detailed Summary'!AV130</f>
        <v/>
      </c>
      <c r="M130" s="3" t="str">
        <f>'Detailed Summary'!BF130</f>
        <v>Failed in 6 Subjects</v>
      </c>
      <c r="N130" s="87" t="str">
        <f>'Detailed Summary'!AW130</f>
        <v/>
      </c>
      <c r="O130" s="87" t="str">
        <f>'Detailed Summary'!BJ130</f>
        <v/>
      </c>
      <c r="P130" s="5" t="str">
        <f>'Detailed Summary'!BG130</f>
        <v/>
      </c>
    </row>
    <row r="131" spans="1:16" x14ac:dyDescent="0.35">
      <c r="A131" s="88">
        <f>'Student Basic Info'!A131</f>
        <v>630</v>
      </c>
      <c r="B131" s="86" t="str">
        <f>'Student Basic Info'!C131</f>
        <v>Fokhrul Islam</v>
      </c>
      <c r="C131" s="89" t="str">
        <f>'Detailed Summary'!AK131</f>
        <v/>
      </c>
      <c r="D131" s="89" t="str">
        <f>'Detailed Summary'!AL131</f>
        <v/>
      </c>
      <c r="E131" s="89" t="str">
        <f>'Detailed Summary'!AM131</f>
        <v/>
      </c>
      <c r="F131" s="89" t="str">
        <f>'Detailed Summary'!AN131</f>
        <v/>
      </c>
      <c r="G131" s="89" t="str">
        <f>'Detailed Summary'!AO131</f>
        <v/>
      </c>
      <c r="H131" s="89" t="str">
        <f>'Detailed Summary'!AP131</f>
        <v/>
      </c>
      <c r="I131" s="89" t="str">
        <f>'Detailed Summary'!AR131</f>
        <v/>
      </c>
      <c r="J131" s="89" t="str">
        <f>'Detailed Summary'!AS131</f>
        <v/>
      </c>
      <c r="K131" s="39">
        <f>'Detailed Summary'!AU131</f>
        <v>0</v>
      </c>
      <c r="L131" s="87" t="str">
        <f>'Detailed Summary'!AV131</f>
        <v/>
      </c>
      <c r="M131" s="3" t="str">
        <f>'Detailed Summary'!BF131</f>
        <v>Failed in 6 Subjects</v>
      </c>
      <c r="N131" s="87" t="str">
        <f>'Detailed Summary'!AW131</f>
        <v/>
      </c>
      <c r="O131" s="87" t="str">
        <f>'Detailed Summary'!BJ131</f>
        <v/>
      </c>
      <c r="P131" s="5" t="str">
        <f>'Detailed Summary'!BG131</f>
        <v/>
      </c>
    </row>
    <row r="132" spans="1:16" x14ac:dyDescent="0.35">
      <c r="A132" s="88">
        <f>'Student Basic Info'!A132</f>
        <v>631</v>
      </c>
      <c r="B132" s="86" t="str">
        <f>'Student Basic Info'!C132</f>
        <v>Zihad Hossain</v>
      </c>
      <c r="C132" s="89" t="str">
        <f>'Detailed Summary'!AK132</f>
        <v/>
      </c>
      <c r="D132" s="89" t="str">
        <f>'Detailed Summary'!AL132</f>
        <v/>
      </c>
      <c r="E132" s="89" t="str">
        <f>'Detailed Summary'!AM132</f>
        <v/>
      </c>
      <c r="F132" s="89" t="str">
        <f>'Detailed Summary'!AN132</f>
        <v/>
      </c>
      <c r="G132" s="89" t="str">
        <f>'Detailed Summary'!AO132</f>
        <v/>
      </c>
      <c r="H132" s="89" t="str">
        <f>'Detailed Summary'!AP132</f>
        <v/>
      </c>
      <c r="I132" s="89" t="str">
        <f>'Detailed Summary'!AR132</f>
        <v/>
      </c>
      <c r="J132" s="89" t="str">
        <f>'Detailed Summary'!AS132</f>
        <v/>
      </c>
      <c r="K132" s="39">
        <f>'Detailed Summary'!AU132</f>
        <v>0</v>
      </c>
      <c r="L132" s="87" t="str">
        <f>'Detailed Summary'!AV132</f>
        <v/>
      </c>
      <c r="M132" s="3" t="str">
        <f>'Detailed Summary'!BF132</f>
        <v>Failed in 6 Subjects</v>
      </c>
      <c r="N132" s="87" t="str">
        <f>'Detailed Summary'!AW132</f>
        <v/>
      </c>
      <c r="O132" s="87" t="str">
        <f>'Detailed Summary'!BJ132</f>
        <v/>
      </c>
      <c r="P132" s="5" t="str">
        <f>'Detailed Summary'!BG132</f>
        <v/>
      </c>
    </row>
    <row r="133" spans="1:16" x14ac:dyDescent="0.35">
      <c r="A133" s="88">
        <f>'Student Basic Info'!A133</f>
        <v>632</v>
      </c>
      <c r="B133" s="86" t="str">
        <f>'Student Basic Info'!C133</f>
        <v>Ayesha Khatun</v>
      </c>
      <c r="C133" s="89" t="str">
        <f>'Detailed Summary'!AK133</f>
        <v/>
      </c>
      <c r="D133" s="89" t="str">
        <f>'Detailed Summary'!AL133</f>
        <v/>
      </c>
      <c r="E133" s="89" t="str">
        <f>'Detailed Summary'!AM133</f>
        <v/>
      </c>
      <c r="F133" s="89" t="str">
        <f>'Detailed Summary'!AN133</f>
        <v/>
      </c>
      <c r="G133" s="89" t="str">
        <f>'Detailed Summary'!AO133</f>
        <v/>
      </c>
      <c r="H133" s="89" t="str">
        <f>'Detailed Summary'!AP133</f>
        <v/>
      </c>
      <c r="I133" s="89" t="str">
        <f>'Detailed Summary'!AR133</f>
        <v/>
      </c>
      <c r="J133" s="89" t="str">
        <f>'Detailed Summary'!AS133</f>
        <v/>
      </c>
      <c r="K133" s="39">
        <f>'Detailed Summary'!AU133</f>
        <v>0</v>
      </c>
      <c r="L133" s="87" t="str">
        <f>'Detailed Summary'!AV133</f>
        <v/>
      </c>
      <c r="M133" s="3" t="str">
        <f>'Detailed Summary'!BF133</f>
        <v>Failed in 6 Subjects</v>
      </c>
      <c r="N133" s="87" t="str">
        <f>'Detailed Summary'!AW133</f>
        <v/>
      </c>
      <c r="O133" s="87" t="str">
        <f>'Detailed Summary'!BJ133</f>
        <v/>
      </c>
      <c r="P133" s="5" t="str">
        <f>'Detailed Summary'!BG133</f>
        <v/>
      </c>
    </row>
    <row r="134" spans="1:16" x14ac:dyDescent="0.35">
      <c r="A134" s="88">
        <f>'Student Basic Info'!A134</f>
        <v>633</v>
      </c>
      <c r="B134" s="86" t="str">
        <f>'Student Basic Info'!C134</f>
        <v>Ismail Hossain</v>
      </c>
      <c r="C134" s="89" t="str">
        <f>'Detailed Summary'!AK134</f>
        <v/>
      </c>
      <c r="D134" s="89" t="str">
        <f>'Detailed Summary'!AL134</f>
        <v/>
      </c>
      <c r="E134" s="89" t="str">
        <f>'Detailed Summary'!AM134</f>
        <v/>
      </c>
      <c r="F134" s="89" t="str">
        <f>'Detailed Summary'!AN134</f>
        <v/>
      </c>
      <c r="G134" s="89" t="str">
        <f>'Detailed Summary'!AO134</f>
        <v/>
      </c>
      <c r="H134" s="89" t="str">
        <f>'Detailed Summary'!AP134</f>
        <v/>
      </c>
      <c r="I134" s="89" t="str">
        <f>'Detailed Summary'!AR134</f>
        <v/>
      </c>
      <c r="J134" s="89" t="str">
        <f>'Detailed Summary'!AS134</f>
        <v/>
      </c>
      <c r="K134" s="39">
        <f>'Detailed Summary'!AU134</f>
        <v>0</v>
      </c>
      <c r="L134" s="87" t="str">
        <f>'Detailed Summary'!AV134</f>
        <v/>
      </c>
      <c r="M134" s="3" t="str">
        <f>'Detailed Summary'!BF134</f>
        <v>Failed in 6 Subjects</v>
      </c>
      <c r="N134" s="87" t="str">
        <f>'Detailed Summary'!AW134</f>
        <v/>
      </c>
      <c r="O134" s="87" t="str">
        <f>'Detailed Summary'!BJ134</f>
        <v/>
      </c>
      <c r="P134" s="5" t="str">
        <f>'Detailed Summary'!BG134</f>
        <v/>
      </c>
    </row>
    <row r="135" spans="1:16" x14ac:dyDescent="0.35">
      <c r="A135" s="88">
        <f>'Student Basic Info'!A135</f>
        <v>634</v>
      </c>
      <c r="B135" s="86" t="str">
        <f>'Student Basic Info'!C135</f>
        <v>Md. Shahadat Hossain</v>
      </c>
      <c r="C135" s="89" t="str">
        <f>'Detailed Summary'!AK135</f>
        <v/>
      </c>
      <c r="D135" s="89" t="str">
        <f>'Detailed Summary'!AL135</f>
        <v/>
      </c>
      <c r="E135" s="89" t="str">
        <f>'Detailed Summary'!AM135</f>
        <v/>
      </c>
      <c r="F135" s="89" t="str">
        <f>'Detailed Summary'!AN135</f>
        <v/>
      </c>
      <c r="G135" s="89" t="str">
        <f>'Detailed Summary'!AO135</f>
        <v/>
      </c>
      <c r="H135" s="89" t="str">
        <f>'Detailed Summary'!AP135</f>
        <v/>
      </c>
      <c r="I135" s="89" t="str">
        <f>'Detailed Summary'!AR135</f>
        <v/>
      </c>
      <c r="J135" s="89" t="str">
        <f>'Detailed Summary'!AS135</f>
        <v/>
      </c>
      <c r="K135" s="39">
        <f>'Detailed Summary'!AU135</f>
        <v>0</v>
      </c>
      <c r="L135" s="87" t="str">
        <f>'Detailed Summary'!AV135</f>
        <v/>
      </c>
      <c r="M135" s="3" t="str">
        <f>'Detailed Summary'!BF135</f>
        <v>Failed in 6 Subjects</v>
      </c>
      <c r="N135" s="87" t="str">
        <f>'Detailed Summary'!AW135</f>
        <v/>
      </c>
      <c r="O135" s="87" t="str">
        <f>'Detailed Summary'!BJ135</f>
        <v/>
      </c>
      <c r="P135" s="5" t="str">
        <f>'Detailed Summary'!BG135</f>
        <v/>
      </c>
    </row>
    <row r="136" spans="1:16" x14ac:dyDescent="0.35">
      <c r="A136" s="88">
        <f>'Student Basic Info'!A136</f>
        <v>635</v>
      </c>
      <c r="B136" s="86" t="str">
        <f>'Student Basic Info'!C136</f>
        <v>Tabzid Mahmud</v>
      </c>
      <c r="C136" s="89" t="str">
        <f>'Detailed Summary'!AK136</f>
        <v/>
      </c>
      <c r="D136" s="89" t="str">
        <f>'Detailed Summary'!AL136</f>
        <v/>
      </c>
      <c r="E136" s="89" t="str">
        <f>'Detailed Summary'!AM136</f>
        <v/>
      </c>
      <c r="F136" s="89" t="str">
        <f>'Detailed Summary'!AN136</f>
        <v/>
      </c>
      <c r="G136" s="89" t="str">
        <f>'Detailed Summary'!AO136</f>
        <v/>
      </c>
      <c r="H136" s="89" t="str">
        <f>'Detailed Summary'!AP136</f>
        <v/>
      </c>
      <c r="I136" s="89" t="str">
        <f>'Detailed Summary'!AR136</f>
        <v/>
      </c>
      <c r="J136" s="89" t="str">
        <f>'Detailed Summary'!AS136</f>
        <v/>
      </c>
      <c r="K136" s="39">
        <f>'Detailed Summary'!AU136</f>
        <v>0</v>
      </c>
      <c r="L136" s="87" t="str">
        <f>'Detailed Summary'!AV136</f>
        <v/>
      </c>
      <c r="M136" s="3" t="str">
        <f>'Detailed Summary'!BF136</f>
        <v>Failed in 6 Subjects</v>
      </c>
      <c r="N136" s="87" t="str">
        <f>'Detailed Summary'!AW136</f>
        <v/>
      </c>
      <c r="O136" s="87" t="str">
        <f>'Detailed Summary'!BJ136</f>
        <v/>
      </c>
      <c r="P136" s="5" t="str">
        <f>'Detailed Summary'!BG136</f>
        <v/>
      </c>
    </row>
    <row r="137" spans="1:16" x14ac:dyDescent="0.35">
      <c r="A137" s="88">
        <f>'Student Basic Info'!A137</f>
        <v>636</v>
      </c>
      <c r="B137" s="86" t="str">
        <f>'Student Basic Info'!C137</f>
        <v>Md. Ariful Islam</v>
      </c>
      <c r="C137" s="89" t="str">
        <f>'Detailed Summary'!AK137</f>
        <v/>
      </c>
      <c r="D137" s="89" t="str">
        <f>'Detailed Summary'!AL137</f>
        <v/>
      </c>
      <c r="E137" s="89" t="str">
        <f>'Detailed Summary'!AM137</f>
        <v/>
      </c>
      <c r="F137" s="89" t="str">
        <f>'Detailed Summary'!AN137</f>
        <v/>
      </c>
      <c r="G137" s="89" t="str">
        <f>'Detailed Summary'!AO137</f>
        <v/>
      </c>
      <c r="H137" s="89" t="str">
        <f>'Detailed Summary'!AP137</f>
        <v/>
      </c>
      <c r="I137" s="89" t="str">
        <f>'Detailed Summary'!AR137</f>
        <v/>
      </c>
      <c r="J137" s="89" t="str">
        <f>'Detailed Summary'!AS137</f>
        <v/>
      </c>
      <c r="K137" s="39">
        <f>'Detailed Summary'!AU137</f>
        <v>0</v>
      </c>
      <c r="L137" s="87" t="str">
        <f>'Detailed Summary'!AV137</f>
        <v/>
      </c>
      <c r="M137" s="3" t="str">
        <f>'Detailed Summary'!BF137</f>
        <v>Failed in 6 Subjects</v>
      </c>
      <c r="N137" s="87" t="str">
        <f>'Detailed Summary'!AW137</f>
        <v/>
      </c>
      <c r="O137" s="87" t="str">
        <f>'Detailed Summary'!BJ137</f>
        <v/>
      </c>
      <c r="P137" s="5" t="str">
        <f>'Detailed Summary'!BG137</f>
        <v/>
      </c>
    </row>
    <row r="138" spans="1:16" x14ac:dyDescent="0.35">
      <c r="A138" s="88">
        <f>'Student Basic Info'!A138</f>
        <v>637</v>
      </c>
      <c r="B138" s="86" t="str">
        <f>'Student Basic Info'!C138</f>
        <v>Mostafizur Rahman</v>
      </c>
      <c r="C138" s="89">
        <f>'Detailed Summary'!AK138</f>
        <v>1</v>
      </c>
      <c r="D138" s="89">
        <f>'Detailed Summary'!AL138</f>
        <v>0</v>
      </c>
      <c r="E138" s="89">
        <f>'Detailed Summary'!AM138</f>
        <v>0</v>
      </c>
      <c r="F138" s="89">
        <f>'Detailed Summary'!AN138</f>
        <v>0</v>
      </c>
      <c r="G138" s="89">
        <f>'Detailed Summary'!AO138</f>
        <v>0</v>
      </c>
      <c r="H138" s="89">
        <f>'Detailed Summary'!AP138</f>
        <v>0</v>
      </c>
      <c r="I138" s="89">
        <f>'Detailed Summary'!AR138</f>
        <v>0</v>
      </c>
      <c r="J138" s="89">
        <f>'Detailed Summary'!AS138</f>
        <v>0</v>
      </c>
      <c r="K138" s="39">
        <f>'Detailed Summary'!AU138</f>
        <v>1</v>
      </c>
      <c r="L138" s="87" t="str">
        <f>'Detailed Summary'!AV138</f>
        <v/>
      </c>
      <c r="M138" s="3" t="str">
        <f>'Detailed Summary'!BF138</f>
        <v>Failed in 5 Subjects</v>
      </c>
      <c r="N138" s="87" t="str">
        <f>'Detailed Summary'!AW138</f>
        <v/>
      </c>
      <c r="O138" s="87" t="str">
        <f>'Detailed Summary'!BJ138</f>
        <v/>
      </c>
      <c r="P138" s="5" t="str">
        <f>'Detailed Summary'!BG138</f>
        <v/>
      </c>
    </row>
    <row r="139" spans="1:16" x14ac:dyDescent="0.35">
      <c r="A139" s="88">
        <f>'Student Basic Info'!A139</f>
        <v>638</v>
      </c>
      <c r="B139" s="86" t="str">
        <f>'Student Basic Info'!C139</f>
        <v xml:space="preserve">Md. Al Amin </v>
      </c>
      <c r="C139" s="89">
        <f>'Detailed Summary'!AK139</f>
        <v>1</v>
      </c>
      <c r="D139" s="89">
        <f>'Detailed Summary'!AL139</f>
        <v>0</v>
      </c>
      <c r="E139" s="89">
        <f>'Detailed Summary'!AM139</f>
        <v>0</v>
      </c>
      <c r="F139" s="89">
        <f>'Detailed Summary'!AN139</f>
        <v>0</v>
      </c>
      <c r="G139" s="89">
        <f>'Detailed Summary'!AO139</f>
        <v>0</v>
      </c>
      <c r="H139" s="89" t="str">
        <f>'Detailed Summary'!AP139</f>
        <v/>
      </c>
      <c r="I139" s="89">
        <f>'Detailed Summary'!AR139</f>
        <v>0</v>
      </c>
      <c r="J139" s="89">
        <f>'Detailed Summary'!AS139</f>
        <v>0</v>
      </c>
      <c r="K139" s="39">
        <f>'Detailed Summary'!AU139</f>
        <v>1</v>
      </c>
      <c r="L139" s="87" t="str">
        <f>'Detailed Summary'!AV139</f>
        <v/>
      </c>
      <c r="M139" s="3" t="str">
        <f>'Detailed Summary'!BF139</f>
        <v>Failed in 5 Subjects</v>
      </c>
      <c r="N139" s="87" t="str">
        <f>'Detailed Summary'!AW139</f>
        <v/>
      </c>
      <c r="O139" s="87" t="str">
        <f>'Detailed Summary'!BJ139</f>
        <v/>
      </c>
      <c r="P139" s="5" t="str">
        <f>'Detailed Summary'!BG139</f>
        <v/>
      </c>
    </row>
    <row r="140" spans="1:16" x14ac:dyDescent="0.35">
      <c r="A140" s="88">
        <f>'Student Basic Info'!A140</f>
        <v>639</v>
      </c>
      <c r="B140" s="86" t="str">
        <f>'Student Basic Info'!C140</f>
        <v>Bibi Fatema Khatun</v>
      </c>
      <c r="C140" s="89" t="str">
        <f>'Detailed Summary'!AK140</f>
        <v/>
      </c>
      <c r="D140" s="89" t="str">
        <f>'Detailed Summary'!AL140</f>
        <v/>
      </c>
      <c r="E140" s="89" t="str">
        <f>'Detailed Summary'!AM140</f>
        <v/>
      </c>
      <c r="F140" s="89" t="str">
        <f>'Detailed Summary'!AN140</f>
        <v/>
      </c>
      <c r="G140" s="89" t="str">
        <f>'Detailed Summary'!AO140</f>
        <v/>
      </c>
      <c r="H140" s="89" t="str">
        <f>'Detailed Summary'!AP140</f>
        <v/>
      </c>
      <c r="I140" s="89" t="str">
        <f>'Detailed Summary'!AR140</f>
        <v/>
      </c>
      <c r="J140" s="89" t="str">
        <f>'Detailed Summary'!AS140</f>
        <v/>
      </c>
      <c r="K140" s="39">
        <f>'Detailed Summary'!AU140</f>
        <v>0</v>
      </c>
      <c r="L140" s="87" t="str">
        <f>'Detailed Summary'!AV140</f>
        <v/>
      </c>
      <c r="M140" s="3" t="str">
        <f>'Detailed Summary'!BF140</f>
        <v>Failed in 6 Subjects</v>
      </c>
      <c r="N140" s="87" t="str">
        <f>'Detailed Summary'!AW140</f>
        <v/>
      </c>
      <c r="O140" s="87" t="str">
        <f>'Detailed Summary'!BJ140</f>
        <v/>
      </c>
      <c r="P140" s="5" t="str">
        <f>'Detailed Summary'!BG140</f>
        <v/>
      </c>
    </row>
    <row r="141" spans="1:16" x14ac:dyDescent="0.35">
      <c r="A141" s="88">
        <f>'Student Basic Info'!A141</f>
        <v>640</v>
      </c>
      <c r="B141" s="86" t="str">
        <f>'Student Basic Info'!C141</f>
        <v>Sazzad Hossain Sanzid</v>
      </c>
      <c r="C141" s="89" t="str">
        <f>'Detailed Summary'!AK141</f>
        <v/>
      </c>
      <c r="D141" s="89" t="str">
        <f>'Detailed Summary'!AL141</f>
        <v/>
      </c>
      <c r="E141" s="89" t="str">
        <f>'Detailed Summary'!AM141</f>
        <v/>
      </c>
      <c r="F141" s="89" t="str">
        <f>'Detailed Summary'!AN141</f>
        <v/>
      </c>
      <c r="G141" s="89" t="str">
        <f>'Detailed Summary'!AO141</f>
        <v/>
      </c>
      <c r="H141" s="89" t="str">
        <f>'Detailed Summary'!AP141</f>
        <v/>
      </c>
      <c r="I141" s="89" t="str">
        <f>'Detailed Summary'!AR141</f>
        <v/>
      </c>
      <c r="J141" s="89" t="str">
        <f>'Detailed Summary'!AS141</f>
        <v/>
      </c>
      <c r="K141" s="39">
        <f>'Detailed Summary'!AU141</f>
        <v>0</v>
      </c>
      <c r="L141" s="87" t="str">
        <f>'Detailed Summary'!AV141</f>
        <v/>
      </c>
      <c r="M141" s="3" t="str">
        <f>'Detailed Summary'!BF141</f>
        <v>Failed in 6 Subjects</v>
      </c>
      <c r="N141" s="87" t="str">
        <f>'Detailed Summary'!AW141</f>
        <v/>
      </c>
      <c r="O141" s="87" t="str">
        <f>'Detailed Summary'!BJ141</f>
        <v/>
      </c>
      <c r="P141" s="5" t="str">
        <f>'Detailed Summary'!BG141</f>
        <v/>
      </c>
    </row>
    <row r="142" spans="1:16" x14ac:dyDescent="0.35">
      <c r="A142" s="88">
        <f>'Student Basic Info'!A142</f>
        <v>641</v>
      </c>
      <c r="B142" s="86" t="str">
        <f>'Student Basic Info'!C142</f>
        <v>Md. Sohrab Hossain</v>
      </c>
      <c r="C142" s="89">
        <f>'Detailed Summary'!AK142</f>
        <v>2</v>
      </c>
      <c r="D142" s="89">
        <f>'Detailed Summary'!AL142</f>
        <v>1</v>
      </c>
      <c r="E142" s="89">
        <f>'Detailed Summary'!AM142</f>
        <v>3.5</v>
      </c>
      <c r="F142" s="89">
        <f>'Detailed Summary'!AN142</f>
        <v>0</v>
      </c>
      <c r="G142" s="89">
        <f>'Detailed Summary'!AO142</f>
        <v>0</v>
      </c>
      <c r="H142" s="89">
        <f>'Detailed Summary'!AP142</f>
        <v>2</v>
      </c>
      <c r="I142" s="89">
        <f>'Detailed Summary'!AR142</f>
        <v>0</v>
      </c>
      <c r="J142" s="89">
        <f>'Detailed Summary'!AS142</f>
        <v>0</v>
      </c>
      <c r="K142" s="39">
        <f>'Detailed Summary'!AU142</f>
        <v>8.5</v>
      </c>
      <c r="L142" s="87" t="str">
        <f>'Detailed Summary'!AV142</f>
        <v/>
      </c>
      <c r="M142" s="3" t="str">
        <f>'Detailed Summary'!BF142</f>
        <v>Failed in 2 Subjects</v>
      </c>
      <c r="N142" s="87" t="str">
        <f>'Detailed Summary'!AW142</f>
        <v/>
      </c>
      <c r="O142" s="87" t="str">
        <f>'Detailed Summary'!BJ142</f>
        <v/>
      </c>
      <c r="P142" s="5" t="str">
        <f>'Detailed Summary'!BG142</f>
        <v/>
      </c>
    </row>
    <row r="143" spans="1:16" x14ac:dyDescent="0.35">
      <c r="A143" s="88">
        <f>'Student Basic Info'!A143</f>
        <v>642</v>
      </c>
      <c r="B143" s="86" t="str">
        <f>'Student Basic Info'!C143</f>
        <v>Jannatul Nure Hafsa</v>
      </c>
      <c r="C143" s="89">
        <f>'Detailed Summary'!AK143</f>
        <v>0</v>
      </c>
      <c r="D143" s="89">
        <f>'Detailed Summary'!AL143</f>
        <v>0</v>
      </c>
      <c r="E143" s="89">
        <f>'Detailed Summary'!AM143</f>
        <v>0</v>
      </c>
      <c r="F143" s="89">
        <f>'Detailed Summary'!AN143</f>
        <v>2</v>
      </c>
      <c r="G143" s="89">
        <f>'Detailed Summary'!AO143</f>
        <v>2</v>
      </c>
      <c r="H143" s="89">
        <f>'Detailed Summary'!AP143</f>
        <v>0</v>
      </c>
      <c r="I143" s="89">
        <f>'Detailed Summary'!AR143</f>
        <v>1</v>
      </c>
      <c r="J143" s="89">
        <f>'Detailed Summary'!AS143</f>
        <v>0</v>
      </c>
      <c r="K143" s="39">
        <f>'Detailed Summary'!AU143</f>
        <v>4</v>
      </c>
      <c r="L143" s="87" t="str">
        <f>'Detailed Summary'!AV143</f>
        <v/>
      </c>
      <c r="M143" s="3" t="str">
        <f>'Detailed Summary'!BF143</f>
        <v>Failed in 4 Subjects</v>
      </c>
      <c r="N143" s="87" t="str">
        <f>'Detailed Summary'!AW143</f>
        <v/>
      </c>
      <c r="O143" s="87" t="str">
        <f>'Detailed Summary'!BJ143</f>
        <v/>
      </c>
      <c r="P143" s="5" t="str">
        <f>'Detailed Summary'!BG143</f>
        <v/>
      </c>
    </row>
    <row r="144" spans="1:16" x14ac:dyDescent="0.35">
      <c r="A144" s="88">
        <f>'Student Basic Info'!A144</f>
        <v>643</v>
      </c>
      <c r="B144" s="148">
        <f>'Student Basic Info'!C144</f>
        <v>0</v>
      </c>
      <c r="C144" s="89" t="str">
        <f>'Detailed Summary'!AK144</f>
        <v/>
      </c>
      <c r="D144" s="89" t="str">
        <f>'Detailed Summary'!AL144</f>
        <v/>
      </c>
      <c r="E144" s="89" t="str">
        <f>'Detailed Summary'!AM144</f>
        <v/>
      </c>
      <c r="F144" s="89" t="str">
        <f>'Detailed Summary'!AN144</f>
        <v/>
      </c>
      <c r="G144" s="89" t="str">
        <f>'Detailed Summary'!AO144</f>
        <v/>
      </c>
      <c r="H144" s="89" t="str">
        <f>'Detailed Summary'!AP144</f>
        <v/>
      </c>
      <c r="I144" s="89" t="str">
        <f>'Detailed Summary'!AR144</f>
        <v/>
      </c>
      <c r="J144" s="89" t="str">
        <f>'Detailed Summary'!AS144</f>
        <v/>
      </c>
      <c r="K144" s="39">
        <f>'Detailed Summary'!AU144</f>
        <v>0</v>
      </c>
      <c r="L144" s="87" t="str">
        <f>'Detailed Summary'!AV144</f>
        <v/>
      </c>
      <c r="M144" s="3" t="str">
        <f>'Detailed Summary'!BF144</f>
        <v>Failed in 6 Subjects</v>
      </c>
      <c r="N144" s="87" t="str">
        <f>'Detailed Summary'!AW144</f>
        <v/>
      </c>
      <c r="O144" s="87" t="str">
        <f>'Detailed Summary'!BJ144</f>
        <v/>
      </c>
      <c r="P144" s="5" t="str">
        <f>'Detailed Summary'!BG144</f>
        <v/>
      </c>
    </row>
    <row r="145" spans="1:16" x14ac:dyDescent="0.35">
      <c r="A145" s="88">
        <f>'Student Basic Info'!A145</f>
        <v>644</v>
      </c>
      <c r="B145" s="86" t="str">
        <f>'Student Basic Info'!C145</f>
        <v>Khadiza Aktar</v>
      </c>
      <c r="C145" s="89">
        <f>'Detailed Summary'!AK145</f>
        <v>0</v>
      </c>
      <c r="D145" s="89">
        <f>'Detailed Summary'!AL145</f>
        <v>0</v>
      </c>
      <c r="E145" s="89">
        <f>'Detailed Summary'!AM145</f>
        <v>0</v>
      </c>
      <c r="F145" s="89">
        <f>'Detailed Summary'!AN145</f>
        <v>0</v>
      </c>
      <c r="G145" s="89">
        <f>'Detailed Summary'!AO145</f>
        <v>0</v>
      </c>
      <c r="H145" s="89">
        <f>'Detailed Summary'!AP145</f>
        <v>0</v>
      </c>
      <c r="I145" s="89">
        <f>'Detailed Summary'!AR145</f>
        <v>0</v>
      </c>
      <c r="J145" s="89">
        <f>'Detailed Summary'!AS145</f>
        <v>0</v>
      </c>
      <c r="K145" s="39">
        <f>'Detailed Summary'!AU145</f>
        <v>0</v>
      </c>
      <c r="L145" s="87" t="str">
        <f>'Detailed Summary'!AV145</f>
        <v/>
      </c>
      <c r="M145" s="3" t="str">
        <f>'Detailed Summary'!BF145</f>
        <v>Failed in 6 Subjects</v>
      </c>
      <c r="N145" s="87" t="str">
        <f>'Detailed Summary'!AW145</f>
        <v/>
      </c>
      <c r="O145" s="87" t="str">
        <f>'Detailed Summary'!BJ145</f>
        <v/>
      </c>
      <c r="P145" s="5" t="str">
        <f>'Detailed Summary'!BG145</f>
        <v/>
      </c>
    </row>
  </sheetData>
  <sortState ref="A3:P146">
    <sortCondition descending="1" ref="C1"/>
  </sortState>
  <conditionalFormatting sqref="L2:L145 N2:O145">
    <cfRule type="cellIs" dxfId="8" priority="2" operator="between">
      <formula>1</formula>
      <formula>5</formula>
    </cfRule>
  </conditionalFormatting>
  <conditionalFormatting sqref="M2:M145">
    <cfRule type="containsText" dxfId="7" priority="1" operator="containsText" text="Pass">
      <formula>NOT(ISERROR(SEARCH("Pass",M2)))</formula>
    </cfRule>
  </conditionalFormatting>
  <pageMargins left="1.21" right="0.7" top="1.71" bottom="0.75" header="0.3" footer="0.3"/>
  <pageSetup orientation="portrait" r:id="rId1"/>
  <headerFooter>
    <oddHeader>&amp;C&amp;"-,Bold"&amp;28&amp;KFFC000BAMNI DEGREE COLLEGE&amp;"-,Regular"&amp;11&amp;K01+000
&amp;"-,Bold"&amp;16Test Examination Result-2025&amp;"-,Regular"&amp;11
&amp;"-,Bold"&amp;14Group: Business Studies (Combined List)&amp;"-,Regular"&amp;11
&amp;"-,Italic"&amp;14&amp;UDate of Publication of Result: February 20, 2025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51"/>
  <sheetViews>
    <sheetView zoomScaleNormal="100" workbookViewId="0">
      <selection activeCell="O150" sqref="O150"/>
    </sheetView>
  </sheetViews>
  <sheetFormatPr defaultRowHeight="14.5" x14ac:dyDescent="0.35"/>
  <cols>
    <col min="1" max="1" width="3.54296875" style="77" bestFit="1" customWidth="1"/>
    <col min="2" max="2" width="8.7265625" style="91"/>
    <col min="3" max="3" width="20.7265625" style="91" customWidth="1"/>
    <col min="4" max="4" width="0" style="91" hidden="1" customWidth="1"/>
    <col min="5" max="5" width="16.54296875" style="91" hidden="1" customWidth="1"/>
    <col min="6" max="6" width="0" style="91" hidden="1" customWidth="1"/>
    <col min="7" max="7" width="10.08984375" style="91" hidden="1" customWidth="1"/>
    <col min="8" max="8" width="12" style="91" hidden="1" customWidth="1"/>
    <col min="9" max="11" width="0" style="91" hidden="1" customWidth="1"/>
    <col min="12" max="12" width="0" hidden="1" customWidth="1"/>
    <col min="13" max="13" width="10.36328125" hidden="1" customWidth="1"/>
    <col min="14" max="14" width="11.90625" customWidth="1"/>
    <col min="17" max="17" width="13" customWidth="1"/>
    <col min="18" max="18" width="14.81640625" style="104" bestFit="1" customWidth="1"/>
  </cols>
  <sheetData>
    <row r="1" spans="1:18" ht="15" customHeight="1" x14ac:dyDescent="0.35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spans="1:18" x14ac:dyDescent="0.35">
      <c r="A2" s="136" t="s">
        <v>871</v>
      </c>
      <c r="B2" s="136" t="s">
        <v>0</v>
      </c>
      <c r="C2" s="136" t="s">
        <v>34</v>
      </c>
      <c r="D2" s="13" t="s">
        <v>12</v>
      </c>
      <c r="E2" s="13" t="s">
        <v>13</v>
      </c>
      <c r="F2" s="13" t="s">
        <v>14</v>
      </c>
      <c r="G2" s="13" t="s">
        <v>181</v>
      </c>
      <c r="H2" s="13" t="s">
        <v>870</v>
      </c>
      <c r="I2" s="13" t="s">
        <v>18</v>
      </c>
      <c r="J2" s="13" t="s">
        <v>19</v>
      </c>
      <c r="K2" s="13" t="s">
        <v>869</v>
      </c>
      <c r="L2" s="13" t="s">
        <v>866</v>
      </c>
      <c r="M2" s="84" t="s">
        <v>867</v>
      </c>
      <c r="N2" s="137" t="s">
        <v>7</v>
      </c>
      <c r="O2" s="137" t="s">
        <v>9</v>
      </c>
      <c r="P2" s="137" t="s">
        <v>8</v>
      </c>
      <c r="Q2" s="137" t="s">
        <v>868</v>
      </c>
      <c r="R2" s="137" t="s">
        <v>872</v>
      </c>
    </row>
    <row r="3" spans="1:18" ht="14.5" hidden="1" customHeight="1" x14ac:dyDescent="0.35">
      <c r="A3"/>
      <c r="B3" s="88">
        <f>'Student Basic Info'!A2</f>
        <v>501</v>
      </c>
      <c r="C3" s="86" t="str">
        <f>'Student Basic Info'!C2</f>
        <v xml:space="preserve">Robiul Sani </v>
      </c>
      <c r="D3" s="89" t="str">
        <f>'Detailed Summary'!AK2</f>
        <v/>
      </c>
      <c r="E3" s="89" t="str">
        <f>'Detailed Summary'!AL2</f>
        <v/>
      </c>
      <c r="F3" s="89" t="str">
        <f>'Detailed Summary'!AM2</f>
        <v/>
      </c>
      <c r="G3" s="89" t="str">
        <f>'Detailed Summary'!AN2</f>
        <v/>
      </c>
      <c r="H3" s="89" t="str">
        <f>'Detailed Summary'!AO2</f>
        <v/>
      </c>
      <c r="I3" s="89" t="str">
        <f>'Detailed Summary'!AP2</f>
        <v/>
      </c>
      <c r="J3" s="89" t="str">
        <f>'Detailed Summary'!AR2</f>
        <v/>
      </c>
      <c r="K3" s="89" t="str">
        <f>'Detailed Summary'!AS2</f>
        <v/>
      </c>
      <c r="L3" s="39">
        <f>'Detailed Summary'!AU2</f>
        <v>0</v>
      </c>
      <c r="M3" s="87" t="str">
        <f>'Detailed Summary'!AV2</f>
        <v/>
      </c>
      <c r="N3" s="3" t="str">
        <f>'Detailed Summary'!BF2</f>
        <v>Failed in 6 Subjects</v>
      </c>
      <c r="O3" s="87" t="str">
        <f>'Detailed Summary'!AW2</f>
        <v/>
      </c>
      <c r="P3" s="87" t="str">
        <f>'Detailed Summary'!BJ2</f>
        <v/>
      </c>
      <c r="Q3" s="5" t="str">
        <f>'Detailed Summary'!BG2</f>
        <v/>
      </c>
      <c r="R3" s="3" t="str">
        <f>'Detailed Summary'!BI2</f>
        <v>Very Weak</v>
      </c>
    </row>
    <row r="4" spans="1:18" ht="14.5" hidden="1" customHeight="1" x14ac:dyDescent="0.35">
      <c r="A4"/>
      <c r="B4" s="88">
        <f>'Student Basic Info'!A3</f>
        <v>502</v>
      </c>
      <c r="C4" s="86" t="str">
        <f>'Student Basic Info'!C3</f>
        <v>Shakhawat Hosain</v>
      </c>
      <c r="D4" s="89" t="str">
        <f>'Detailed Summary'!AK3</f>
        <v/>
      </c>
      <c r="E4" s="89" t="str">
        <f>'Detailed Summary'!AL3</f>
        <v/>
      </c>
      <c r="F4" s="89" t="str">
        <f>'Detailed Summary'!AM3</f>
        <v/>
      </c>
      <c r="G4" s="89" t="str">
        <f>'Detailed Summary'!AN3</f>
        <v/>
      </c>
      <c r="H4" s="89" t="str">
        <f>'Detailed Summary'!AO3</f>
        <v/>
      </c>
      <c r="I4" s="89" t="str">
        <f>'Detailed Summary'!AP3</f>
        <v/>
      </c>
      <c r="J4" s="89" t="str">
        <f>'Detailed Summary'!AR3</f>
        <v/>
      </c>
      <c r="K4" s="89" t="str">
        <f>'Detailed Summary'!AS3</f>
        <v/>
      </c>
      <c r="L4" s="39">
        <f>'Detailed Summary'!AU3</f>
        <v>0</v>
      </c>
      <c r="M4" s="87" t="str">
        <f>'Detailed Summary'!AV3</f>
        <v/>
      </c>
      <c r="N4" s="3" t="str">
        <f>'Detailed Summary'!BF3</f>
        <v>Failed in 6 Subjects</v>
      </c>
      <c r="O4" s="87" t="str">
        <f>'Detailed Summary'!AW3</f>
        <v/>
      </c>
      <c r="P4" s="87" t="str">
        <f>'Detailed Summary'!BJ3</f>
        <v/>
      </c>
      <c r="Q4" s="5" t="str">
        <f>'Detailed Summary'!BG3</f>
        <v/>
      </c>
      <c r="R4" s="3" t="str">
        <f>'Detailed Summary'!BI3</f>
        <v>Very Weak</v>
      </c>
    </row>
    <row r="5" spans="1:18" x14ac:dyDescent="0.35">
      <c r="A5" s="138">
        <v>1</v>
      </c>
      <c r="B5" s="139">
        <f>'Student Basic Info'!A23</f>
        <v>522</v>
      </c>
      <c r="C5" s="140" t="str">
        <f>'Student Basic Info'!C23</f>
        <v>Sumaiya Ferdaus Neha</v>
      </c>
      <c r="D5" s="89">
        <f>'Detailed Summary'!AK23</f>
        <v>3.5</v>
      </c>
      <c r="E5" s="89">
        <f>'Detailed Summary'!AL23</f>
        <v>3</v>
      </c>
      <c r="F5" s="89">
        <f>'Detailed Summary'!AM23</f>
        <v>5</v>
      </c>
      <c r="G5" s="89">
        <f>'Detailed Summary'!AN23</f>
        <v>3.5</v>
      </c>
      <c r="H5" s="89">
        <f>'Detailed Summary'!AO23</f>
        <v>4</v>
      </c>
      <c r="I5" s="89">
        <f>'Detailed Summary'!AP23</f>
        <v>3.5</v>
      </c>
      <c r="J5" s="89">
        <f>'Detailed Summary'!AR23</f>
        <v>5</v>
      </c>
      <c r="K5" s="89">
        <f>'Detailed Summary'!AS23</f>
        <v>3</v>
      </c>
      <c r="L5" s="39">
        <f>'Detailed Summary'!AU23</f>
        <v>25.5</v>
      </c>
      <c r="M5" s="87">
        <f>'Detailed Summary'!AV23</f>
        <v>3.75</v>
      </c>
      <c r="N5" s="138" t="str">
        <f>'Detailed Summary'!BF23</f>
        <v>Pass</v>
      </c>
      <c r="O5" s="141">
        <f>'Detailed Summary'!AW23</f>
        <v>4.25</v>
      </c>
      <c r="P5" s="141" t="str">
        <f>'Detailed Summary'!BJ23</f>
        <v>A</v>
      </c>
      <c r="Q5" s="142">
        <f>'Detailed Summary'!BG23</f>
        <v>1</v>
      </c>
      <c r="R5" s="143" t="str">
        <f>'Detailed Summary'!BI23</f>
        <v>Very Good</v>
      </c>
    </row>
    <row r="6" spans="1:18" ht="14.5" hidden="1" customHeight="1" x14ac:dyDescent="0.35">
      <c r="A6"/>
      <c r="B6" s="88">
        <f>'Student Basic Info'!A5</f>
        <v>504</v>
      </c>
      <c r="C6" s="86" t="str">
        <f>'Student Basic Info'!C5</f>
        <v>Nusrat Zahan</v>
      </c>
      <c r="D6" s="89">
        <f>'Detailed Summary'!AK5</f>
        <v>3</v>
      </c>
      <c r="E6" s="89">
        <f>'Detailed Summary'!AL5</f>
        <v>0</v>
      </c>
      <c r="F6" s="89">
        <f>'Detailed Summary'!AM5</f>
        <v>0</v>
      </c>
      <c r="G6" s="89">
        <f>'Detailed Summary'!AN5</f>
        <v>0</v>
      </c>
      <c r="H6" s="89">
        <f>'Detailed Summary'!AO5</f>
        <v>0</v>
      </c>
      <c r="I6" s="89">
        <f>'Detailed Summary'!AP5</f>
        <v>2</v>
      </c>
      <c r="J6" s="89">
        <f>'Detailed Summary'!AR5</f>
        <v>2</v>
      </c>
      <c r="K6" s="89">
        <f>'Detailed Summary'!AS5</f>
        <v>0</v>
      </c>
      <c r="L6" s="39">
        <f>'Detailed Summary'!AU5</f>
        <v>5</v>
      </c>
      <c r="M6" s="87" t="str">
        <f>'Detailed Summary'!AV5</f>
        <v/>
      </c>
      <c r="N6" s="3" t="str">
        <f>'Detailed Summary'!BF5</f>
        <v>Failed in 4 Subjects</v>
      </c>
      <c r="O6" s="87" t="str">
        <f>'Detailed Summary'!AW5</f>
        <v/>
      </c>
      <c r="P6" s="87" t="str">
        <f>'Detailed Summary'!BJ5</f>
        <v/>
      </c>
      <c r="Q6" s="5" t="str">
        <f>'Detailed Summary'!BG5</f>
        <v/>
      </c>
      <c r="R6" s="3" t="str">
        <f>'Detailed Summary'!BI5</f>
        <v>Very Weak</v>
      </c>
    </row>
    <row r="7" spans="1:18" ht="14.5" hidden="1" customHeight="1" x14ac:dyDescent="0.35">
      <c r="A7"/>
      <c r="B7" s="88">
        <f>'Student Basic Info'!A6</f>
        <v>505</v>
      </c>
      <c r="C7" s="86" t="str">
        <f>'Student Basic Info'!C6</f>
        <v>Istiaque Mahmud</v>
      </c>
      <c r="D7" s="89" t="str">
        <f>'Detailed Summary'!AK6</f>
        <v/>
      </c>
      <c r="E7" s="89" t="str">
        <f>'Detailed Summary'!AL6</f>
        <v/>
      </c>
      <c r="F7" s="89" t="str">
        <f>'Detailed Summary'!AM6</f>
        <v/>
      </c>
      <c r="G7" s="89" t="str">
        <f>'Detailed Summary'!AN6</f>
        <v/>
      </c>
      <c r="H7" s="89" t="str">
        <f>'Detailed Summary'!AO6</f>
        <v/>
      </c>
      <c r="I7" s="89" t="str">
        <f>'Detailed Summary'!AP6</f>
        <v/>
      </c>
      <c r="J7" s="89" t="str">
        <f>'Detailed Summary'!AR6</f>
        <v/>
      </c>
      <c r="K7" s="89" t="str">
        <f>'Detailed Summary'!AS6</f>
        <v/>
      </c>
      <c r="L7" s="39">
        <f>'Detailed Summary'!AU6</f>
        <v>0</v>
      </c>
      <c r="M7" s="87" t="str">
        <f>'Detailed Summary'!AV6</f>
        <v/>
      </c>
      <c r="N7" s="3" t="str">
        <f>'Detailed Summary'!BF6</f>
        <v>Failed in 6 Subjects</v>
      </c>
      <c r="O7" s="87" t="str">
        <f>'Detailed Summary'!AW6</f>
        <v/>
      </c>
      <c r="P7" s="87" t="str">
        <f>'Detailed Summary'!BJ6</f>
        <v/>
      </c>
      <c r="Q7" s="5" t="str">
        <f>'Detailed Summary'!BG6</f>
        <v/>
      </c>
      <c r="R7" s="3" t="str">
        <f>'Detailed Summary'!BI6</f>
        <v>Very Weak</v>
      </c>
    </row>
    <row r="8" spans="1:18" ht="14.5" hidden="1" customHeight="1" x14ac:dyDescent="0.35">
      <c r="A8"/>
      <c r="B8" s="88">
        <f>'Student Basic Info'!A7</f>
        <v>506</v>
      </c>
      <c r="C8" s="86" t="str">
        <f>'Student Basic Info'!C7</f>
        <v>Naznin Aktar</v>
      </c>
      <c r="D8" s="89" t="str">
        <f>'Detailed Summary'!AK7</f>
        <v/>
      </c>
      <c r="E8" s="89" t="str">
        <f>'Detailed Summary'!AL7</f>
        <v/>
      </c>
      <c r="F8" s="89" t="str">
        <f>'Detailed Summary'!AM7</f>
        <v/>
      </c>
      <c r="G8" s="89" t="str">
        <f>'Detailed Summary'!AN7</f>
        <v/>
      </c>
      <c r="H8" s="89" t="str">
        <f>'Detailed Summary'!AO7</f>
        <v/>
      </c>
      <c r="I8" s="89" t="str">
        <f>'Detailed Summary'!AP7</f>
        <v/>
      </c>
      <c r="J8" s="89" t="str">
        <f>'Detailed Summary'!AR7</f>
        <v/>
      </c>
      <c r="K8" s="89" t="str">
        <f>'Detailed Summary'!AS7</f>
        <v/>
      </c>
      <c r="L8" s="39">
        <f>'Detailed Summary'!AU7</f>
        <v>0</v>
      </c>
      <c r="M8" s="87" t="str">
        <f>'Detailed Summary'!AV7</f>
        <v/>
      </c>
      <c r="N8" s="3" t="str">
        <f>'Detailed Summary'!BF7</f>
        <v>Failed in 6 Subjects</v>
      </c>
      <c r="O8" s="87" t="str">
        <f>'Detailed Summary'!AW7</f>
        <v/>
      </c>
      <c r="P8" s="87" t="str">
        <f>'Detailed Summary'!BJ7</f>
        <v/>
      </c>
      <c r="Q8" s="5" t="str">
        <f>'Detailed Summary'!BG7</f>
        <v/>
      </c>
      <c r="R8" s="3" t="str">
        <f>'Detailed Summary'!BI7</f>
        <v>Very Weak</v>
      </c>
    </row>
    <row r="9" spans="1:18" x14ac:dyDescent="0.35">
      <c r="A9" s="138">
        <v>2</v>
      </c>
      <c r="B9" s="139">
        <f>'Student Basic Info'!A29</f>
        <v>528</v>
      </c>
      <c r="C9" s="140" t="str">
        <f>'Student Basic Info'!C29</f>
        <v>Mazhar Uddin</v>
      </c>
      <c r="D9" s="89">
        <f>'Detailed Summary'!AK29</f>
        <v>3.5</v>
      </c>
      <c r="E9" s="89">
        <f>'Detailed Summary'!AL29</f>
        <v>2</v>
      </c>
      <c r="F9" s="89">
        <f>'Detailed Summary'!AM29</f>
        <v>4</v>
      </c>
      <c r="G9" s="89">
        <f>'Detailed Summary'!AN29</f>
        <v>3</v>
      </c>
      <c r="H9" s="89">
        <f>'Detailed Summary'!AO29</f>
        <v>3</v>
      </c>
      <c r="I9" s="89">
        <f>'Detailed Summary'!AP29</f>
        <v>2</v>
      </c>
      <c r="J9" s="89">
        <f>'Detailed Summary'!AR29</f>
        <v>3.5</v>
      </c>
      <c r="K9" s="89">
        <f>'Detailed Summary'!AS29</f>
        <v>1.5</v>
      </c>
      <c r="L9" s="39">
        <f>'Detailed Summary'!AU29</f>
        <v>19</v>
      </c>
      <c r="M9" s="87">
        <f>'Detailed Summary'!AV29</f>
        <v>2.9166666666666665</v>
      </c>
      <c r="N9" s="138" t="str">
        <f>'Detailed Summary'!BF29</f>
        <v>Pass</v>
      </c>
      <c r="O9" s="141">
        <f>'Detailed Summary'!AW29</f>
        <v>3.1666666666666665</v>
      </c>
      <c r="P9" s="141" t="str">
        <f>'Detailed Summary'!BJ29</f>
        <v>B</v>
      </c>
      <c r="Q9" s="142">
        <f>'Detailed Summary'!BG29</f>
        <v>2</v>
      </c>
      <c r="R9" s="143" t="str">
        <f>'Detailed Summary'!BI29</f>
        <v>Average</v>
      </c>
    </row>
    <row r="10" spans="1:18" ht="18.5" customHeight="1" x14ac:dyDescent="0.35">
      <c r="A10" s="138">
        <v>3</v>
      </c>
      <c r="B10" s="139">
        <f>'Student Basic Info'!A17</f>
        <v>516</v>
      </c>
      <c r="C10" s="140" t="str">
        <f>'Student Basic Info'!C17</f>
        <v>Zannatul Nayem</v>
      </c>
      <c r="D10" s="89">
        <f>'Detailed Summary'!AK17</f>
        <v>3.5</v>
      </c>
      <c r="E10" s="89">
        <f>'Detailed Summary'!AL17</f>
        <v>2</v>
      </c>
      <c r="F10" s="89">
        <f>'Detailed Summary'!AM17</f>
        <v>4</v>
      </c>
      <c r="G10" s="89">
        <f>'Detailed Summary'!AN17</f>
        <v>3</v>
      </c>
      <c r="H10" s="89">
        <f>'Detailed Summary'!AO17</f>
        <v>3.5</v>
      </c>
      <c r="I10" s="89">
        <f>'Detailed Summary'!AP17</f>
        <v>1</v>
      </c>
      <c r="J10" s="89">
        <f>'Detailed Summary'!AR17</f>
        <v>4</v>
      </c>
      <c r="K10" s="89">
        <f>'Detailed Summary'!AS17</f>
        <v>2</v>
      </c>
      <c r="L10" s="39">
        <f>'Detailed Summary'!AU17</f>
        <v>19</v>
      </c>
      <c r="M10" s="87">
        <f>'Detailed Summary'!AV17</f>
        <v>2.8333333333333335</v>
      </c>
      <c r="N10" s="138" t="str">
        <f>'Detailed Summary'!BF17</f>
        <v>Pass</v>
      </c>
      <c r="O10" s="141">
        <f>'Detailed Summary'!AW17</f>
        <v>3.1666666666666665</v>
      </c>
      <c r="P10" s="141" t="str">
        <f>'Detailed Summary'!BJ17</f>
        <v>B</v>
      </c>
      <c r="Q10" s="142">
        <f>'Detailed Summary'!BG17</f>
        <v>2</v>
      </c>
      <c r="R10" s="143" t="str">
        <f>'Detailed Summary'!BI17</f>
        <v>Average</v>
      </c>
    </row>
    <row r="11" spans="1:18" ht="18.5" hidden="1" customHeight="1" x14ac:dyDescent="0.45">
      <c r="A11" s="102"/>
      <c r="B11" s="88">
        <f>'Student Basic Info'!A10</f>
        <v>509</v>
      </c>
      <c r="C11" s="86" t="str">
        <f>'Student Basic Info'!C10</f>
        <v>Muntasir Ahamml Siyam</v>
      </c>
      <c r="D11" s="89">
        <f>'Detailed Summary'!AK10</f>
        <v>1</v>
      </c>
      <c r="E11" s="89">
        <f>'Detailed Summary'!AL10</f>
        <v>0</v>
      </c>
      <c r="F11" s="89">
        <f>'Detailed Summary'!AM10</f>
        <v>0</v>
      </c>
      <c r="G11" s="89">
        <f>'Detailed Summary'!AN10</f>
        <v>0</v>
      </c>
      <c r="H11" s="89">
        <f>'Detailed Summary'!AO10</f>
        <v>0</v>
      </c>
      <c r="I11" s="89">
        <f>'Detailed Summary'!AP10</f>
        <v>0</v>
      </c>
      <c r="J11" s="89">
        <f>'Detailed Summary'!AR10</f>
        <v>1</v>
      </c>
      <c r="K11" s="89">
        <f>'Detailed Summary'!AS10</f>
        <v>0</v>
      </c>
      <c r="L11" s="39">
        <f>'Detailed Summary'!AU10</f>
        <v>1</v>
      </c>
      <c r="M11" s="87" t="str">
        <f>'Detailed Summary'!AV10</f>
        <v/>
      </c>
      <c r="N11" s="3" t="str">
        <f>'Detailed Summary'!BF10</f>
        <v>Failed in 5 Subjects</v>
      </c>
      <c r="O11" s="87" t="str">
        <f>'Detailed Summary'!AW10</f>
        <v/>
      </c>
      <c r="P11" s="87" t="str">
        <f>'Detailed Summary'!BJ10</f>
        <v/>
      </c>
      <c r="Q11" s="5" t="str">
        <f>'Detailed Summary'!BG10</f>
        <v/>
      </c>
      <c r="R11" s="3" t="str">
        <f>'Detailed Summary'!BI10</f>
        <v>Very Weak</v>
      </c>
    </row>
    <row r="12" spans="1:18" ht="18.5" hidden="1" customHeight="1" x14ac:dyDescent="0.45">
      <c r="A12" s="102"/>
      <c r="B12" s="88">
        <f>'Student Basic Info'!A11</f>
        <v>510</v>
      </c>
      <c r="C12" s="86" t="str">
        <f>'Student Basic Info'!C11</f>
        <v>Tanbir Ahammed Alif</v>
      </c>
      <c r="D12" s="89" t="str">
        <f>'Detailed Summary'!AK11</f>
        <v/>
      </c>
      <c r="E12" s="89" t="str">
        <f>'Detailed Summary'!AL11</f>
        <v/>
      </c>
      <c r="F12" s="89" t="str">
        <f>'Detailed Summary'!AM11</f>
        <v/>
      </c>
      <c r="G12" s="89" t="str">
        <f>'Detailed Summary'!AN11</f>
        <v/>
      </c>
      <c r="H12" s="89" t="str">
        <f>'Detailed Summary'!AO11</f>
        <v/>
      </c>
      <c r="I12" s="89" t="str">
        <f>'Detailed Summary'!AP11</f>
        <v/>
      </c>
      <c r="J12" s="89" t="str">
        <f>'Detailed Summary'!AR11</f>
        <v/>
      </c>
      <c r="K12" s="89" t="str">
        <f>'Detailed Summary'!AS11</f>
        <v/>
      </c>
      <c r="L12" s="39">
        <f>'Detailed Summary'!AU11</f>
        <v>0</v>
      </c>
      <c r="M12" s="87" t="str">
        <f>'Detailed Summary'!AV11</f>
        <v/>
      </c>
      <c r="N12" s="3" t="str">
        <f>'Detailed Summary'!BF11</f>
        <v>Failed in 6 Subjects</v>
      </c>
      <c r="O12" s="87" t="str">
        <f>'Detailed Summary'!AW11</f>
        <v/>
      </c>
      <c r="P12" s="87" t="str">
        <f>'Detailed Summary'!BJ11</f>
        <v/>
      </c>
      <c r="Q12" s="5" t="str">
        <f>'Detailed Summary'!BG11</f>
        <v/>
      </c>
      <c r="R12" s="3" t="str">
        <f>'Detailed Summary'!BI11</f>
        <v>Very Weak</v>
      </c>
    </row>
    <row r="13" spans="1:18" ht="18.5" hidden="1" customHeight="1" x14ac:dyDescent="0.45">
      <c r="A13" s="102"/>
      <c r="B13" s="88">
        <f>'Student Basic Info'!A12</f>
        <v>511</v>
      </c>
      <c r="C13" s="86" t="str">
        <f>'Student Basic Info'!C12</f>
        <v xml:space="preserve">Asifuz Zaman </v>
      </c>
      <c r="D13" s="89">
        <f>'Detailed Summary'!AK12</f>
        <v>2</v>
      </c>
      <c r="E13" s="89">
        <f>'Detailed Summary'!AL12</f>
        <v>0</v>
      </c>
      <c r="F13" s="89">
        <f>'Detailed Summary'!AM12</f>
        <v>0</v>
      </c>
      <c r="G13" s="89">
        <f>'Detailed Summary'!AN12</f>
        <v>1</v>
      </c>
      <c r="H13" s="89">
        <f>'Detailed Summary'!AO12</f>
        <v>0</v>
      </c>
      <c r="I13" s="89">
        <f>'Detailed Summary'!AP12</f>
        <v>1</v>
      </c>
      <c r="J13" s="89">
        <f>'Detailed Summary'!AR12</f>
        <v>0</v>
      </c>
      <c r="K13" s="89">
        <f>'Detailed Summary'!AS12</f>
        <v>0</v>
      </c>
      <c r="L13" s="39">
        <f>'Detailed Summary'!AU12</f>
        <v>4</v>
      </c>
      <c r="M13" s="87" t="str">
        <f>'Detailed Summary'!AV12</f>
        <v/>
      </c>
      <c r="N13" s="3" t="str">
        <f>'Detailed Summary'!BF12</f>
        <v>Failed in 3 Subjects</v>
      </c>
      <c r="O13" s="87" t="str">
        <f>'Detailed Summary'!AW12</f>
        <v/>
      </c>
      <c r="P13" s="87" t="str">
        <f>'Detailed Summary'!BJ12</f>
        <v/>
      </c>
      <c r="Q13" s="5" t="str">
        <f>'Detailed Summary'!BG12</f>
        <v/>
      </c>
      <c r="R13" s="3" t="str">
        <f>'Detailed Summary'!BI12</f>
        <v>Very Weak</v>
      </c>
    </row>
    <row r="14" spans="1:18" ht="18.5" hidden="1" customHeight="1" x14ac:dyDescent="0.45">
      <c r="A14" s="102"/>
      <c r="B14" s="88">
        <f>'Student Basic Info'!A13</f>
        <v>512</v>
      </c>
      <c r="C14" s="86" t="str">
        <f>'Student Basic Info'!C13</f>
        <v>Md. Arfatuzzaman</v>
      </c>
      <c r="D14" s="89">
        <f>'Detailed Summary'!AK13</f>
        <v>1</v>
      </c>
      <c r="E14" s="89">
        <f>'Detailed Summary'!AL13</f>
        <v>0</v>
      </c>
      <c r="F14" s="89">
        <f>'Detailed Summary'!AM13</f>
        <v>0</v>
      </c>
      <c r="G14" s="89">
        <f>'Detailed Summary'!AN13</f>
        <v>0</v>
      </c>
      <c r="H14" s="89">
        <f>'Detailed Summary'!AO13</f>
        <v>1</v>
      </c>
      <c r="I14" s="89">
        <f>'Detailed Summary'!AP13</f>
        <v>0</v>
      </c>
      <c r="J14" s="89">
        <f>'Detailed Summary'!AR13</f>
        <v>1</v>
      </c>
      <c r="K14" s="89">
        <f>'Detailed Summary'!AS13</f>
        <v>0</v>
      </c>
      <c r="L14" s="39">
        <f>'Detailed Summary'!AU13</f>
        <v>2</v>
      </c>
      <c r="M14" s="87" t="str">
        <f>'Detailed Summary'!AV13</f>
        <v/>
      </c>
      <c r="N14" s="3" t="str">
        <f>'Detailed Summary'!BF13</f>
        <v>Failed in 4 Subjects</v>
      </c>
      <c r="O14" s="87" t="str">
        <f>'Detailed Summary'!AW13</f>
        <v/>
      </c>
      <c r="P14" s="87" t="str">
        <f>'Detailed Summary'!BJ13</f>
        <v/>
      </c>
      <c r="Q14" s="5" t="str">
        <f>'Detailed Summary'!BG13</f>
        <v/>
      </c>
      <c r="R14" s="3" t="str">
        <f>'Detailed Summary'!BI13</f>
        <v>Very Weak</v>
      </c>
    </row>
    <row r="15" spans="1:18" ht="18.5" hidden="1" customHeight="1" x14ac:dyDescent="0.45">
      <c r="A15" s="102"/>
      <c r="B15" s="88">
        <f>'Student Basic Info'!A14</f>
        <v>513</v>
      </c>
      <c r="C15" s="86" t="str">
        <f>'Student Basic Info'!C14</f>
        <v>Meherab Hosain</v>
      </c>
      <c r="D15" s="89">
        <f>'Detailed Summary'!AK14</f>
        <v>1</v>
      </c>
      <c r="E15" s="89">
        <f>'Detailed Summary'!AL14</f>
        <v>0</v>
      </c>
      <c r="F15" s="89">
        <f>'Detailed Summary'!AM14</f>
        <v>0</v>
      </c>
      <c r="G15" s="89">
        <f>'Detailed Summary'!AN14</f>
        <v>1</v>
      </c>
      <c r="H15" s="89">
        <f>'Detailed Summary'!AO14</f>
        <v>2</v>
      </c>
      <c r="I15" s="89">
        <f>'Detailed Summary'!AP14</f>
        <v>0</v>
      </c>
      <c r="J15" s="89">
        <f>'Detailed Summary'!AR14</f>
        <v>1</v>
      </c>
      <c r="K15" s="89">
        <f>'Detailed Summary'!AS14</f>
        <v>0</v>
      </c>
      <c r="L15" s="39">
        <f>'Detailed Summary'!AU14</f>
        <v>4</v>
      </c>
      <c r="M15" s="87" t="str">
        <f>'Detailed Summary'!AV14</f>
        <v/>
      </c>
      <c r="N15" s="3" t="str">
        <f>'Detailed Summary'!BF14</f>
        <v>Failed in 3 Subjects</v>
      </c>
      <c r="O15" s="87" t="str">
        <f>'Detailed Summary'!AW14</f>
        <v/>
      </c>
      <c r="P15" s="87" t="str">
        <f>'Detailed Summary'!BJ14</f>
        <v/>
      </c>
      <c r="Q15" s="5" t="str">
        <f>'Detailed Summary'!BG14</f>
        <v/>
      </c>
      <c r="R15" s="3" t="str">
        <f>'Detailed Summary'!BI14</f>
        <v>Very Weak</v>
      </c>
    </row>
    <row r="16" spans="1:18" ht="18.5" hidden="1" customHeight="1" x14ac:dyDescent="0.45">
      <c r="A16" s="102"/>
      <c r="B16" s="88">
        <f>'Student Basic Info'!A15</f>
        <v>514</v>
      </c>
      <c r="C16" s="86" t="str">
        <f>'Student Basic Info'!C15</f>
        <v>Amirul Islam</v>
      </c>
      <c r="D16" s="89" t="str">
        <f>'Detailed Summary'!AK15</f>
        <v/>
      </c>
      <c r="E16" s="89" t="str">
        <f>'Detailed Summary'!AL15</f>
        <v/>
      </c>
      <c r="F16" s="89" t="str">
        <f>'Detailed Summary'!AM15</f>
        <v/>
      </c>
      <c r="G16" s="89" t="str">
        <f>'Detailed Summary'!AN15</f>
        <v/>
      </c>
      <c r="H16" s="89" t="str">
        <f>'Detailed Summary'!AO15</f>
        <v/>
      </c>
      <c r="I16" s="89" t="str">
        <f>'Detailed Summary'!AP15</f>
        <v/>
      </c>
      <c r="J16" s="89" t="str">
        <f>'Detailed Summary'!AR15</f>
        <v/>
      </c>
      <c r="K16" s="89" t="str">
        <f>'Detailed Summary'!AS15</f>
        <v/>
      </c>
      <c r="L16" s="39">
        <f>'Detailed Summary'!AU15</f>
        <v>0</v>
      </c>
      <c r="M16" s="87" t="str">
        <f>'Detailed Summary'!AV15</f>
        <v/>
      </c>
      <c r="N16" s="3" t="str">
        <f>'Detailed Summary'!BF15</f>
        <v>Failed in 6 Subjects</v>
      </c>
      <c r="O16" s="87" t="str">
        <f>'Detailed Summary'!AW15</f>
        <v/>
      </c>
      <c r="P16" s="87" t="str">
        <f>'Detailed Summary'!BJ15</f>
        <v/>
      </c>
      <c r="Q16" s="5" t="str">
        <f>'Detailed Summary'!BG15</f>
        <v/>
      </c>
      <c r="R16" s="3" t="str">
        <f>'Detailed Summary'!BI15</f>
        <v>Very Weak</v>
      </c>
    </row>
    <row r="17" spans="1:18" ht="18.5" hidden="1" customHeight="1" x14ac:dyDescent="0.45">
      <c r="A17" s="134"/>
      <c r="B17" s="88">
        <f>'Student Basic Info'!A16</f>
        <v>515</v>
      </c>
      <c r="C17" s="86" t="str">
        <f>'Student Basic Info'!C16</f>
        <v>Bibi Amena Begum Sraboni</v>
      </c>
      <c r="D17" s="89">
        <f>'Detailed Summary'!AK16</f>
        <v>3.5</v>
      </c>
      <c r="E17" s="89">
        <f>'Detailed Summary'!AL16</f>
        <v>1</v>
      </c>
      <c r="F17" s="89">
        <f>'Detailed Summary'!AM16</f>
        <v>3</v>
      </c>
      <c r="G17" s="89">
        <f>'Detailed Summary'!AN16</f>
        <v>3</v>
      </c>
      <c r="H17" s="89">
        <f>'Detailed Summary'!AO16</f>
        <v>0</v>
      </c>
      <c r="I17" s="89">
        <f>'Detailed Summary'!AP16</f>
        <v>1</v>
      </c>
      <c r="J17" s="89">
        <f>'Detailed Summary'!AR16</f>
        <v>0</v>
      </c>
      <c r="K17" s="89">
        <f>'Detailed Summary'!AS16</f>
        <v>0</v>
      </c>
      <c r="L17" s="39">
        <f>'Detailed Summary'!AU16</f>
        <v>11.5</v>
      </c>
      <c r="M17" s="87" t="str">
        <f>'Detailed Summary'!AV16</f>
        <v/>
      </c>
      <c r="N17" s="3" t="str">
        <f>'Detailed Summary'!BF16</f>
        <v>Failed in 1 Subject</v>
      </c>
      <c r="O17" s="87" t="str">
        <f>'Detailed Summary'!AW16</f>
        <v/>
      </c>
      <c r="P17" s="87" t="str">
        <f>'Detailed Summary'!BJ16</f>
        <v/>
      </c>
      <c r="Q17" s="5" t="str">
        <f>'Detailed Summary'!BG16</f>
        <v/>
      </c>
      <c r="R17" s="3" t="str">
        <f>'Detailed Summary'!BI16</f>
        <v>Very Weak</v>
      </c>
    </row>
    <row r="18" spans="1:18" x14ac:dyDescent="0.35">
      <c r="A18" s="138">
        <v>4</v>
      </c>
      <c r="B18" s="139">
        <f>'Student Basic Info'!A8</f>
        <v>507</v>
      </c>
      <c r="C18" s="140" t="str">
        <f>'Student Basic Info'!C8</f>
        <v>Fariha Islam</v>
      </c>
      <c r="D18" s="89">
        <f>'Detailed Summary'!AK8</f>
        <v>3.5</v>
      </c>
      <c r="E18" s="89">
        <f>'Detailed Summary'!AL8</f>
        <v>2</v>
      </c>
      <c r="F18" s="89">
        <f>'Detailed Summary'!AM8</f>
        <v>4</v>
      </c>
      <c r="G18" s="89">
        <f>'Detailed Summary'!AN8</f>
        <v>2</v>
      </c>
      <c r="H18" s="89">
        <f>'Detailed Summary'!AO8</f>
        <v>3.5</v>
      </c>
      <c r="I18" s="89">
        <f>'Detailed Summary'!AP8</f>
        <v>1</v>
      </c>
      <c r="J18" s="89">
        <f>'Detailed Summary'!AR8</f>
        <v>3.5</v>
      </c>
      <c r="K18" s="89">
        <f>'Detailed Summary'!AS8</f>
        <v>1.5</v>
      </c>
      <c r="L18" s="39">
        <f>'Detailed Summary'!AU8</f>
        <v>17.5</v>
      </c>
      <c r="M18" s="87">
        <f>'Detailed Summary'!AV8</f>
        <v>2.6666666666666665</v>
      </c>
      <c r="N18" s="138" t="str">
        <f>'Detailed Summary'!BF8</f>
        <v>Pass</v>
      </c>
      <c r="O18" s="141">
        <f>'Detailed Summary'!AW8</f>
        <v>2.9166666666666665</v>
      </c>
      <c r="P18" s="141" t="str">
        <f>'Detailed Summary'!BJ8</f>
        <v>C</v>
      </c>
      <c r="Q18" s="144">
        <f>'Detailed Summary'!BG8</f>
        <v>4</v>
      </c>
      <c r="R18" s="143" t="str">
        <f>'Detailed Summary'!BI8</f>
        <v>Need to improve</v>
      </c>
    </row>
    <row r="19" spans="1:18" ht="18.5" hidden="1" customHeight="1" x14ac:dyDescent="0.45">
      <c r="A19" s="102"/>
      <c r="B19" s="88">
        <f>'Student Basic Info'!A18</f>
        <v>517</v>
      </c>
      <c r="C19" s="86" t="str">
        <f>'Student Basic Info'!C18</f>
        <v>Imam Hosain Apurbo</v>
      </c>
      <c r="D19" s="89" t="str">
        <f>'Detailed Summary'!AK18</f>
        <v/>
      </c>
      <c r="E19" s="89" t="str">
        <f>'Detailed Summary'!AL18</f>
        <v/>
      </c>
      <c r="F19" s="89" t="str">
        <f>'Detailed Summary'!AM18</f>
        <v/>
      </c>
      <c r="G19" s="89" t="str">
        <f>'Detailed Summary'!AN18</f>
        <v/>
      </c>
      <c r="H19" s="89" t="str">
        <f>'Detailed Summary'!AO18</f>
        <v/>
      </c>
      <c r="I19" s="89" t="str">
        <f>'Detailed Summary'!AP18</f>
        <v/>
      </c>
      <c r="J19" s="89" t="str">
        <f>'Detailed Summary'!AR18</f>
        <v/>
      </c>
      <c r="K19" s="89" t="str">
        <f>'Detailed Summary'!AS18</f>
        <v/>
      </c>
      <c r="L19" s="39">
        <f>'Detailed Summary'!AU18</f>
        <v>0</v>
      </c>
      <c r="M19" s="87" t="str">
        <f>'Detailed Summary'!AV18</f>
        <v/>
      </c>
      <c r="N19" s="3" t="str">
        <f>'Detailed Summary'!BF18</f>
        <v>Failed in 6 Subjects</v>
      </c>
      <c r="O19" s="87" t="str">
        <f>'Detailed Summary'!AW18</f>
        <v/>
      </c>
      <c r="P19" s="87" t="str">
        <f>'Detailed Summary'!BJ18</f>
        <v/>
      </c>
      <c r="Q19" s="5" t="str">
        <f>'Detailed Summary'!BG18</f>
        <v/>
      </c>
      <c r="R19" s="3" t="str">
        <f>'Detailed Summary'!BI18</f>
        <v>Very Weak</v>
      </c>
    </row>
    <row r="20" spans="1:18" ht="18.5" hidden="1" customHeight="1" x14ac:dyDescent="0.45">
      <c r="A20" s="102"/>
      <c r="B20" s="88">
        <f>'Student Basic Info'!A19</f>
        <v>518</v>
      </c>
      <c r="C20" s="86" t="str">
        <f>'Student Basic Info'!C19</f>
        <v>Mowasser Hosain</v>
      </c>
      <c r="D20" s="89" t="str">
        <f>'Detailed Summary'!AK19</f>
        <v/>
      </c>
      <c r="E20" s="89" t="str">
        <f>'Detailed Summary'!AL19</f>
        <v/>
      </c>
      <c r="F20" s="89" t="str">
        <f>'Detailed Summary'!AM19</f>
        <v/>
      </c>
      <c r="G20" s="89" t="str">
        <f>'Detailed Summary'!AN19</f>
        <v/>
      </c>
      <c r="H20" s="89" t="str">
        <f>'Detailed Summary'!AO19</f>
        <v/>
      </c>
      <c r="I20" s="89" t="str">
        <f>'Detailed Summary'!AP19</f>
        <v/>
      </c>
      <c r="J20" s="89" t="str">
        <f>'Detailed Summary'!AR19</f>
        <v/>
      </c>
      <c r="K20" s="89" t="str">
        <f>'Detailed Summary'!AS19</f>
        <v/>
      </c>
      <c r="L20" s="39">
        <f>'Detailed Summary'!AU19</f>
        <v>0</v>
      </c>
      <c r="M20" s="87" t="str">
        <f>'Detailed Summary'!AV19</f>
        <v/>
      </c>
      <c r="N20" s="3" t="str">
        <f>'Detailed Summary'!BF19</f>
        <v>Failed in 6 Subjects</v>
      </c>
      <c r="O20" s="87" t="str">
        <f>'Detailed Summary'!AW19</f>
        <v/>
      </c>
      <c r="P20" s="87" t="str">
        <f>'Detailed Summary'!BJ19</f>
        <v/>
      </c>
      <c r="Q20" s="5" t="str">
        <f>'Detailed Summary'!BG19</f>
        <v/>
      </c>
      <c r="R20" s="3" t="str">
        <f>'Detailed Summary'!BI19</f>
        <v>Very Weak</v>
      </c>
    </row>
    <row r="21" spans="1:18" ht="18.5" hidden="1" customHeight="1" x14ac:dyDescent="0.45">
      <c r="A21" s="102"/>
      <c r="B21" s="88">
        <f>'Student Basic Info'!A20</f>
        <v>519</v>
      </c>
      <c r="C21" s="86" t="str">
        <f>'Student Basic Info'!C20</f>
        <v>Tanvir</v>
      </c>
      <c r="D21" s="89">
        <f>'Detailed Summary'!AK20</f>
        <v>1</v>
      </c>
      <c r="E21" s="89">
        <f>'Detailed Summary'!AL20</f>
        <v>1</v>
      </c>
      <c r="F21" s="89">
        <f>'Detailed Summary'!AM20</f>
        <v>3</v>
      </c>
      <c r="G21" s="89">
        <f>'Detailed Summary'!AN20</f>
        <v>3</v>
      </c>
      <c r="H21" s="89">
        <f>'Detailed Summary'!AO20</f>
        <v>3</v>
      </c>
      <c r="I21" s="89">
        <f>'Detailed Summary'!AP20</f>
        <v>0</v>
      </c>
      <c r="J21" s="89">
        <f>'Detailed Summary'!AR20</f>
        <v>2</v>
      </c>
      <c r="K21" s="89">
        <f>'Detailed Summary'!AS20</f>
        <v>0</v>
      </c>
      <c r="L21" s="39">
        <f>'Detailed Summary'!AU20</f>
        <v>11</v>
      </c>
      <c r="M21" s="87" t="str">
        <f>'Detailed Summary'!AV20</f>
        <v/>
      </c>
      <c r="N21" s="3" t="str">
        <f>'Detailed Summary'!BF20</f>
        <v>Failed in 1 Subject</v>
      </c>
      <c r="O21" s="87" t="str">
        <f>'Detailed Summary'!AW20</f>
        <v/>
      </c>
      <c r="P21" s="87" t="str">
        <f>'Detailed Summary'!BJ20</f>
        <v/>
      </c>
      <c r="Q21" s="5" t="str">
        <f>'Detailed Summary'!BG20</f>
        <v/>
      </c>
      <c r="R21" s="3" t="str">
        <f>'Detailed Summary'!BI20</f>
        <v>Very Weak</v>
      </c>
    </row>
    <row r="22" spans="1:18" ht="18.5" hidden="1" customHeight="1" x14ac:dyDescent="0.45">
      <c r="A22" s="102"/>
      <c r="B22" s="88">
        <f>'Student Basic Info'!A21</f>
        <v>520</v>
      </c>
      <c r="C22" s="86" t="str">
        <f>'Student Basic Info'!C21</f>
        <v>Md. Shakib</v>
      </c>
      <c r="D22" s="89">
        <f>'Detailed Summary'!AK21</f>
        <v>0</v>
      </c>
      <c r="E22" s="89">
        <f>'Detailed Summary'!AL21</f>
        <v>0</v>
      </c>
      <c r="F22" s="89">
        <f>'Detailed Summary'!AM21</f>
        <v>0</v>
      </c>
      <c r="G22" s="89">
        <f>'Detailed Summary'!AN21</f>
        <v>0</v>
      </c>
      <c r="H22" s="89">
        <f>'Detailed Summary'!AO21</f>
        <v>0</v>
      </c>
      <c r="I22" s="89">
        <f>'Detailed Summary'!AP21</f>
        <v>1</v>
      </c>
      <c r="J22" s="89">
        <f>'Detailed Summary'!AR21</f>
        <v>0</v>
      </c>
      <c r="K22" s="89">
        <f>'Detailed Summary'!AS21</f>
        <v>0</v>
      </c>
      <c r="L22" s="39">
        <f>'Detailed Summary'!AU21</f>
        <v>1</v>
      </c>
      <c r="M22" s="87" t="str">
        <f>'Detailed Summary'!AV21</f>
        <v/>
      </c>
      <c r="N22" s="3" t="str">
        <f>'Detailed Summary'!BF21</f>
        <v>Failed in 5 Subjects</v>
      </c>
      <c r="O22" s="87" t="str">
        <f>'Detailed Summary'!AW21</f>
        <v/>
      </c>
      <c r="P22" s="87" t="str">
        <f>'Detailed Summary'!BJ21</f>
        <v/>
      </c>
      <c r="Q22" s="5" t="str">
        <f>'Detailed Summary'!BG21</f>
        <v/>
      </c>
      <c r="R22" s="3" t="str">
        <f>'Detailed Summary'!BI21</f>
        <v>Very Weak</v>
      </c>
    </row>
    <row r="23" spans="1:18" ht="18.5" hidden="1" customHeight="1" x14ac:dyDescent="0.45">
      <c r="A23" s="134"/>
      <c r="B23" s="88">
        <f>'Student Basic Info'!A22</f>
        <v>521</v>
      </c>
      <c r="C23" s="86" t="str">
        <f>'Student Basic Info'!C22</f>
        <v>Farzana Aktar Zitu</v>
      </c>
      <c r="D23" s="89" t="str">
        <f>'Detailed Summary'!AK22</f>
        <v/>
      </c>
      <c r="E23" s="89" t="str">
        <f>'Detailed Summary'!AL22</f>
        <v/>
      </c>
      <c r="F23" s="89" t="str">
        <f>'Detailed Summary'!AM22</f>
        <v/>
      </c>
      <c r="G23" s="89" t="str">
        <f>'Detailed Summary'!AN22</f>
        <v/>
      </c>
      <c r="H23" s="89" t="str">
        <f>'Detailed Summary'!AO22</f>
        <v/>
      </c>
      <c r="I23" s="89" t="str">
        <f>'Detailed Summary'!AP22</f>
        <v/>
      </c>
      <c r="J23" s="89" t="str">
        <f>'Detailed Summary'!AR22</f>
        <v/>
      </c>
      <c r="K23" s="89" t="str">
        <f>'Detailed Summary'!AS22</f>
        <v/>
      </c>
      <c r="L23" s="39">
        <f>'Detailed Summary'!AU22</f>
        <v>0</v>
      </c>
      <c r="M23" s="87" t="str">
        <f>'Detailed Summary'!AV22</f>
        <v/>
      </c>
      <c r="N23" s="3" t="str">
        <f>'Detailed Summary'!BF22</f>
        <v>Failed in 6 Subjects</v>
      </c>
      <c r="O23" s="87" t="str">
        <f>'Detailed Summary'!AW22</f>
        <v/>
      </c>
      <c r="P23" s="87" t="str">
        <f>'Detailed Summary'!BJ22</f>
        <v/>
      </c>
      <c r="Q23" s="5" t="str">
        <f>'Detailed Summary'!BG22</f>
        <v/>
      </c>
      <c r="R23" s="3" t="str">
        <f>'Detailed Summary'!BI22</f>
        <v>Very Weak</v>
      </c>
    </row>
    <row r="24" spans="1:18" x14ac:dyDescent="0.35">
      <c r="A24" s="138">
        <v>5</v>
      </c>
      <c r="B24" s="139">
        <f>'Student Basic Info'!A115</f>
        <v>614</v>
      </c>
      <c r="C24" s="140" t="str">
        <f>'Student Basic Info'!C115</f>
        <v>Moumita Tabassum</v>
      </c>
      <c r="D24" s="89">
        <f>'Detailed Summary'!AK115</f>
        <v>3.5</v>
      </c>
      <c r="E24" s="89">
        <f>'Detailed Summary'!AL115</f>
        <v>3.5</v>
      </c>
      <c r="F24" s="89">
        <f>'Detailed Summary'!AM115</f>
        <v>4</v>
      </c>
      <c r="G24" s="89">
        <f>'Detailed Summary'!AN115</f>
        <v>3</v>
      </c>
      <c r="H24" s="89">
        <f>'Detailed Summary'!AO115</f>
        <v>2</v>
      </c>
      <c r="I24" s="89">
        <f>'Detailed Summary'!AP115</f>
        <v>1</v>
      </c>
      <c r="J24" s="89">
        <f>'Detailed Summary'!AR115</f>
        <v>2</v>
      </c>
      <c r="K24" s="89">
        <f>'Detailed Summary'!AS115</f>
        <v>0</v>
      </c>
      <c r="L24" s="39">
        <f>'Detailed Summary'!AU115</f>
        <v>17</v>
      </c>
      <c r="M24" s="87">
        <f>'Detailed Summary'!AV115</f>
        <v>2.8333333333333335</v>
      </c>
      <c r="N24" s="138" t="str">
        <f>'Detailed Summary'!BF115</f>
        <v>Pass</v>
      </c>
      <c r="O24" s="141">
        <f>'Detailed Summary'!AW115</f>
        <v>2.8333333333333335</v>
      </c>
      <c r="P24" s="141" t="str">
        <f>'Detailed Summary'!BJ115</f>
        <v>C</v>
      </c>
      <c r="Q24" s="142">
        <f>'Detailed Summary'!BG115</f>
        <v>5</v>
      </c>
      <c r="R24" s="143" t="str">
        <f>'Detailed Summary'!BI115</f>
        <v>Need to improve</v>
      </c>
    </row>
    <row r="25" spans="1:18" ht="18.5" hidden="1" customHeight="1" x14ac:dyDescent="0.45">
      <c r="A25" s="134"/>
      <c r="B25" s="88">
        <f>'Student Basic Info'!A24</f>
        <v>523</v>
      </c>
      <c r="C25" s="86" t="str">
        <f>'Student Basic Info'!C24</f>
        <v>Zannatul Mawa Prema</v>
      </c>
      <c r="D25" s="89">
        <f>'Detailed Summary'!AK24</f>
        <v>2</v>
      </c>
      <c r="E25" s="89">
        <f>'Detailed Summary'!AL24</f>
        <v>1</v>
      </c>
      <c r="F25" s="89">
        <f>'Detailed Summary'!AM24</f>
        <v>0</v>
      </c>
      <c r="G25" s="89">
        <f>'Detailed Summary'!AN24</f>
        <v>0</v>
      </c>
      <c r="H25" s="89">
        <f>'Detailed Summary'!AO24</f>
        <v>0</v>
      </c>
      <c r="I25" s="89">
        <f>'Detailed Summary'!AP24</f>
        <v>0</v>
      </c>
      <c r="J25" s="89">
        <f>'Detailed Summary'!AR24</f>
        <v>2</v>
      </c>
      <c r="K25" s="89">
        <f>'Detailed Summary'!AS24</f>
        <v>0</v>
      </c>
      <c r="L25" s="39">
        <f>'Detailed Summary'!AU24</f>
        <v>3</v>
      </c>
      <c r="M25" s="87" t="str">
        <f>'Detailed Summary'!AV24</f>
        <v/>
      </c>
      <c r="N25" s="3" t="str">
        <f>'Detailed Summary'!BF24</f>
        <v>Failed in 4 Subjects</v>
      </c>
      <c r="O25" s="87" t="str">
        <f>'Detailed Summary'!AW24</f>
        <v/>
      </c>
      <c r="P25" s="87" t="str">
        <f>'Detailed Summary'!BJ24</f>
        <v/>
      </c>
      <c r="Q25" s="5" t="str">
        <f>'Detailed Summary'!BG24</f>
        <v/>
      </c>
      <c r="R25" s="3" t="str">
        <f>'Detailed Summary'!BI24</f>
        <v>Very Weak</v>
      </c>
    </row>
    <row r="26" spans="1:18" x14ac:dyDescent="0.35">
      <c r="A26" s="138">
        <v>6</v>
      </c>
      <c r="B26" s="145">
        <f>'Student Basic Info'!A59</f>
        <v>558</v>
      </c>
      <c r="C26" s="146" t="str">
        <f>'Student Basic Info'!C59</f>
        <v>Nusrat Zahan Evana</v>
      </c>
      <c r="D26" s="89">
        <f>'Detailed Summary'!AK59</f>
        <v>3.5</v>
      </c>
      <c r="E26" s="89">
        <f>'Detailed Summary'!AL59</f>
        <v>1</v>
      </c>
      <c r="F26" s="89">
        <f>'Detailed Summary'!AM59</f>
        <v>3</v>
      </c>
      <c r="G26" s="89">
        <f>'Detailed Summary'!AN59</f>
        <v>3</v>
      </c>
      <c r="H26" s="89">
        <f>'Detailed Summary'!AO59</f>
        <v>3.5</v>
      </c>
      <c r="I26" s="89">
        <f>'Detailed Summary'!AP59</f>
        <v>2</v>
      </c>
      <c r="J26" s="89">
        <f>'Detailed Summary'!AR59</f>
        <v>3</v>
      </c>
      <c r="K26" s="89">
        <f>'Detailed Summary'!AS59</f>
        <v>1</v>
      </c>
      <c r="L26" s="39">
        <f>'Detailed Summary'!AU59</f>
        <v>17</v>
      </c>
      <c r="M26" s="87">
        <f>'Detailed Summary'!AV59</f>
        <v>2.6666666666666665</v>
      </c>
      <c r="N26" s="143" t="str">
        <f>'Detailed Summary'!BF59</f>
        <v>Pass</v>
      </c>
      <c r="O26" s="141">
        <f>'Detailed Summary'!AW59</f>
        <v>2.8333333333333335</v>
      </c>
      <c r="P26" s="141" t="str">
        <f>'Detailed Summary'!BJ59</f>
        <v>C</v>
      </c>
      <c r="Q26" s="144">
        <f>'Detailed Summary'!BG59</f>
        <v>5</v>
      </c>
      <c r="R26" s="143" t="str">
        <f>'Detailed Summary'!BI59</f>
        <v>Need to improve</v>
      </c>
    </row>
    <row r="27" spans="1:18" ht="18.5" hidden="1" customHeight="1" x14ac:dyDescent="0.45">
      <c r="A27" s="134"/>
      <c r="B27" s="88">
        <f>'Student Basic Info'!A26</f>
        <v>525</v>
      </c>
      <c r="C27" s="86" t="str">
        <f>'Student Basic Info'!C26</f>
        <v>Narkis Aktar Nupur</v>
      </c>
      <c r="D27" s="89" t="str">
        <f>'Detailed Summary'!AK26</f>
        <v/>
      </c>
      <c r="E27" s="89" t="str">
        <f>'Detailed Summary'!AL26</f>
        <v/>
      </c>
      <c r="F27" s="89" t="str">
        <f>'Detailed Summary'!AM26</f>
        <v/>
      </c>
      <c r="G27" s="89" t="str">
        <f>'Detailed Summary'!AN26</f>
        <v/>
      </c>
      <c r="H27" s="89" t="str">
        <f>'Detailed Summary'!AO26</f>
        <v/>
      </c>
      <c r="I27" s="89" t="str">
        <f>'Detailed Summary'!AP26</f>
        <v/>
      </c>
      <c r="J27" s="89" t="str">
        <f>'Detailed Summary'!AR26</f>
        <v/>
      </c>
      <c r="K27" s="89" t="str">
        <f>'Detailed Summary'!AS26</f>
        <v/>
      </c>
      <c r="L27" s="39">
        <f>'Detailed Summary'!AU26</f>
        <v>0</v>
      </c>
      <c r="M27" s="87" t="str">
        <f>'Detailed Summary'!AV26</f>
        <v/>
      </c>
      <c r="N27" s="3" t="str">
        <f>'Detailed Summary'!BF26</f>
        <v>Failed in 6 Subjects</v>
      </c>
      <c r="O27" s="87" t="str">
        <f>'Detailed Summary'!AW26</f>
        <v/>
      </c>
      <c r="P27" s="87" t="str">
        <f>'Detailed Summary'!BJ26</f>
        <v/>
      </c>
      <c r="Q27" s="5" t="str">
        <f>'Detailed Summary'!BG26</f>
        <v/>
      </c>
      <c r="R27" s="3" t="str">
        <f>'Detailed Summary'!BI26</f>
        <v>Very Weak</v>
      </c>
    </row>
    <row r="28" spans="1:18" ht="14.5" customHeight="1" x14ac:dyDescent="0.35">
      <c r="A28" s="138">
        <v>7</v>
      </c>
      <c r="B28" s="145">
        <f>'Student Basic Info'!A9</f>
        <v>508</v>
      </c>
      <c r="C28" s="146" t="str">
        <f>'Student Basic Info'!C9</f>
        <v>Suraiya Aktar</v>
      </c>
      <c r="D28" s="89">
        <f>'Detailed Summary'!AK9</f>
        <v>3</v>
      </c>
      <c r="E28" s="89">
        <f>'Detailed Summary'!AL9</f>
        <v>1</v>
      </c>
      <c r="F28" s="89">
        <f>'Detailed Summary'!AM9</f>
        <v>3</v>
      </c>
      <c r="G28" s="89">
        <f>'Detailed Summary'!AN9</f>
        <v>3</v>
      </c>
      <c r="H28" s="89">
        <f>'Detailed Summary'!AO9</f>
        <v>3</v>
      </c>
      <c r="I28" s="89">
        <f>'Detailed Summary'!AP9</f>
        <v>3</v>
      </c>
      <c r="J28" s="89">
        <f>'Detailed Summary'!AR9</f>
        <v>0</v>
      </c>
      <c r="K28" s="89">
        <f>'Detailed Summary'!AS9</f>
        <v>0</v>
      </c>
      <c r="L28" s="39">
        <f>'Detailed Summary'!AU9</f>
        <v>16</v>
      </c>
      <c r="M28" s="87">
        <f>'Detailed Summary'!AV9</f>
        <v>2.6666666666666665</v>
      </c>
      <c r="N28" s="143" t="str">
        <f>'Detailed Summary'!BF9</f>
        <v>Pass</v>
      </c>
      <c r="O28" s="141">
        <f>'Detailed Summary'!AW9</f>
        <v>2.6666666666666665</v>
      </c>
      <c r="P28" s="141" t="str">
        <f>'Detailed Summary'!BJ9</f>
        <v>C</v>
      </c>
      <c r="Q28" s="144">
        <f>'Detailed Summary'!BG9</f>
        <v>7</v>
      </c>
      <c r="R28" s="143" t="str">
        <f>'Detailed Summary'!BI9</f>
        <v>Need to improve</v>
      </c>
    </row>
    <row r="29" spans="1:18" ht="18.5" hidden="1" customHeight="1" x14ac:dyDescent="0.45">
      <c r="A29" s="134"/>
      <c r="B29" s="88">
        <f>'Student Basic Info'!A28</f>
        <v>527</v>
      </c>
      <c r="C29" s="86" t="str">
        <f>'Student Basic Info'!C28</f>
        <v>Sanzida Aktar</v>
      </c>
      <c r="D29" s="89" t="str">
        <f>'Detailed Summary'!AK28</f>
        <v/>
      </c>
      <c r="E29" s="89" t="str">
        <f>'Detailed Summary'!AL28</f>
        <v/>
      </c>
      <c r="F29" s="89" t="str">
        <f>'Detailed Summary'!AM28</f>
        <v/>
      </c>
      <c r="G29" s="89" t="str">
        <f>'Detailed Summary'!AN28</f>
        <v/>
      </c>
      <c r="H29" s="89" t="str">
        <f>'Detailed Summary'!AO28</f>
        <v/>
      </c>
      <c r="I29" s="89" t="str">
        <f>'Detailed Summary'!AP28</f>
        <v/>
      </c>
      <c r="J29" s="89" t="str">
        <f>'Detailed Summary'!AR28</f>
        <v/>
      </c>
      <c r="K29" s="89" t="str">
        <f>'Detailed Summary'!AS28</f>
        <v/>
      </c>
      <c r="L29" s="39">
        <f>'Detailed Summary'!AU28</f>
        <v>0</v>
      </c>
      <c r="M29" s="87" t="str">
        <f>'Detailed Summary'!AV28</f>
        <v/>
      </c>
      <c r="N29" s="3" t="str">
        <f>'Detailed Summary'!BF28</f>
        <v>Failed in 6 Subjects</v>
      </c>
      <c r="O29" s="87" t="str">
        <f>'Detailed Summary'!AW28</f>
        <v/>
      </c>
      <c r="P29" s="87" t="str">
        <f>'Detailed Summary'!BJ28</f>
        <v/>
      </c>
      <c r="Q29" s="5" t="str">
        <f>'Detailed Summary'!BG28</f>
        <v/>
      </c>
      <c r="R29" s="3" t="str">
        <f>'Detailed Summary'!BI28</f>
        <v>Very Weak</v>
      </c>
    </row>
    <row r="30" spans="1:18" ht="14.5" customHeight="1" x14ac:dyDescent="0.35">
      <c r="A30" s="138">
        <v>8</v>
      </c>
      <c r="B30" s="145">
        <f>'Student Basic Info'!A25</f>
        <v>524</v>
      </c>
      <c r="C30" s="146" t="str">
        <f>'Student Basic Info'!C25</f>
        <v>Zannatul Ferdaus</v>
      </c>
      <c r="D30" s="89">
        <f>'Detailed Summary'!AK25</f>
        <v>3.5</v>
      </c>
      <c r="E30" s="89">
        <f>'Detailed Summary'!AL25</f>
        <v>1</v>
      </c>
      <c r="F30" s="89">
        <f>'Detailed Summary'!AM25</f>
        <v>3</v>
      </c>
      <c r="G30" s="89">
        <f>'Detailed Summary'!AN25</f>
        <v>2</v>
      </c>
      <c r="H30" s="89">
        <f>'Detailed Summary'!AO25</f>
        <v>3</v>
      </c>
      <c r="I30" s="89">
        <f>'Detailed Summary'!AP25</f>
        <v>1</v>
      </c>
      <c r="J30" s="89">
        <f>'Detailed Summary'!AR25</f>
        <v>3.5</v>
      </c>
      <c r="K30" s="89">
        <f>'Detailed Summary'!AS25</f>
        <v>1.5</v>
      </c>
      <c r="L30" s="39">
        <f>'Detailed Summary'!AU25</f>
        <v>15</v>
      </c>
      <c r="M30" s="87">
        <f>'Detailed Summary'!AV25</f>
        <v>2.25</v>
      </c>
      <c r="N30" s="143" t="str">
        <f>'Detailed Summary'!BF25</f>
        <v>Pass</v>
      </c>
      <c r="O30" s="141">
        <f>'Detailed Summary'!AW25</f>
        <v>2.5</v>
      </c>
      <c r="P30" s="141" t="str">
        <f>'Detailed Summary'!BJ25</f>
        <v>C</v>
      </c>
      <c r="Q30" s="144">
        <f>'Detailed Summary'!BG25</f>
        <v>8</v>
      </c>
      <c r="R30" s="143" t="str">
        <f>'Detailed Summary'!BI25</f>
        <v>Need to improve</v>
      </c>
    </row>
    <row r="31" spans="1:18" ht="18.5" hidden="1" customHeight="1" x14ac:dyDescent="0.45">
      <c r="A31" s="102"/>
      <c r="B31" s="88">
        <f>'Student Basic Info'!A30</f>
        <v>529</v>
      </c>
      <c r="C31" s="86" t="str">
        <f>'Student Basic Info'!C30</f>
        <v>Nahid Hasan</v>
      </c>
      <c r="D31" s="89">
        <f>'Detailed Summary'!AK30</f>
        <v>0</v>
      </c>
      <c r="E31" s="89">
        <f>'Detailed Summary'!AL30</f>
        <v>0</v>
      </c>
      <c r="F31" s="89">
        <f>'Detailed Summary'!AM30</f>
        <v>0</v>
      </c>
      <c r="G31" s="89">
        <f>'Detailed Summary'!AN30</f>
        <v>0</v>
      </c>
      <c r="H31" s="89">
        <f>'Detailed Summary'!AO30</f>
        <v>0</v>
      </c>
      <c r="I31" s="89">
        <f>'Detailed Summary'!AP30</f>
        <v>0</v>
      </c>
      <c r="J31" s="89">
        <f>'Detailed Summary'!AR30</f>
        <v>0</v>
      </c>
      <c r="K31" s="89">
        <f>'Detailed Summary'!AS30</f>
        <v>0</v>
      </c>
      <c r="L31" s="39">
        <f>'Detailed Summary'!AU30</f>
        <v>0</v>
      </c>
      <c r="M31" s="87" t="str">
        <f>'Detailed Summary'!AV30</f>
        <v/>
      </c>
      <c r="N31" s="3" t="str">
        <f>'Detailed Summary'!BF30</f>
        <v>Failed in 6 Subjects</v>
      </c>
      <c r="O31" s="87" t="str">
        <f>'Detailed Summary'!AW30</f>
        <v/>
      </c>
      <c r="P31" s="87" t="str">
        <f>'Detailed Summary'!BJ30</f>
        <v/>
      </c>
      <c r="Q31" s="5" t="str">
        <f>'Detailed Summary'!BG30</f>
        <v/>
      </c>
      <c r="R31" s="3" t="str">
        <f>'Detailed Summary'!BI30</f>
        <v>Very Weak</v>
      </c>
    </row>
    <row r="32" spans="1:18" ht="18.5" hidden="1" customHeight="1" x14ac:dyDescent="0.45">
      <c r="A32" s="102"/>
      <c r="B32" s="88">
        <f>'Student Basic Info'!A31</f>
        <v>530</v>
      </c>
      <c r="C32" s="86" t="str">
        <f>'Student Basic Info'!C31</f>
        <v>Mahmud Hasan Fuad</v>
      </c>
      <c r="D32" s="89" t="str">
        <f>'Detailed Summary'!AK31</f>
        <v/>
      </c>
      <c r="E32" s="89" t="str">
        <f>'Detailed Summary'!AL31</f>
        <v/>
      </c>
      <c r="F32" s="89" t="str">
        <f>'Detailed Summary'!AM31</f>
        <v/>
      </c>
      <c r="G32" s="89" t="str">
        <f>'Detailed Summary'!AN31</f>
        <v/>
      </c>
      <c r="H32" s="89" t="str">
        <f>'Detailed Summary'!AO31</f>
        <v/>
      </c>
      <c r="I32" s="89" t="str">
        <f>'Detailed Summary'!AP31</f>
        <v/>
      </c>
      <c r="J32" s="89" t="str">
        <f>'Detailed Summary'!AR31</f>
        <v/>
      </c>
      <c r="K32" s="89" t="str">
        <f>'Detailed Summary'!AS31</f>
        <v/>
      </c>
      <c r="L32" s="39">
        <f>'Detailed Summary'!AU31</f>
        <v>0</v>
      </c>
      <c r="M32" s="87" t="str">
        <f>'Detailed Summary'!AV31</f>
        <v/>
      </c>
      <c r="N32" s="3" t="str">
        <f>'Detailed Summary'!BF31</f>
        <v>Failed in 6 Subjects</v>
      </c>
      <c r="O32" s="87" t="str">
        <f>'Detailed Summary'!AW31</f>
        <v/>
      </c>
      <c r="P32" s="87" t="str">
        <f>'Detailed Summary'!BJ31</f>
        <v/>
      </c>
      <c r="Q32" s="5" t="str">
        <f>'Detailed Summary'!BG31</f>
        <v/>
      </c>
      <c r="R32" s="3" t="str">
        <f>'Detailed Summary'!BI31</f>
        <v>Very Weak</v>
      </c>
    </row>
    <row r="33" spans="1:18" ht="18.5" hidden="1" customHeight="1" x14ac:dyDescent="0.45">
      <c r="A33" s="102"/>
      <c r="B33" s="88">
        <f>'Student Basic Info'!A32</f>
        <v>531</v>
      </c>
      <c r="C33" s="86" t="str">
        <f>'Student Basic Info'!C32</f>
        <v>Zabeb Hosain</v>
      </c>
      <c r="D33" s="89">
        <f>'Detailed Summary'!AK32</f>
        <v>1</v>
      </c>
      <c r="E33" s="89">
        <f>'Detailed Summary'!AL32</f>
        <v>0</v>
      </c>
      <c r="F33" s="89">
        <f>'Detailed Summary'!AM32</f>
        <v>0</v>
      </c>
      <c r="G33" s="89">
        <f>'Detailed Summary'!AN32</f>
        <v>0</v>
      </c>
      <c r="H33" s="89">
        <f>'Detailed Summary'!AO32</f>
        <v>0</v>
      </c>
      <c r="I33" s="89">
        <f>'Detailed Summary'!AP32</f>
        <v>0</v>
      </c>
      <c r="J33" s="89">
        <f>'Detailed Summary'!AR32</f>
        <v>2</v>
      </c>
      <c r="K33" s="89">
        <f>'Detailed Summary'!AS32</f>
        <v>0</v>
      </c>
      <c r="L33" s="39">
        <f>'Detailed Summary'!AU32</f>
        <v>1</v>
      </c>
      <c r="M33" s="87" t="str">
        <f>'Detailed Summary'!AV32</f>
        <v/>
      </c>
      <c r="N33" s="3" t="str">
        <f>'Detailed Summary'!BF32</f>
        <v>Failed in 5 Subjects</v>
      </c>
      <c r="O33" s="87" t="str">
        <f>'Detailed Summary'!AW32</f>
        <v/>
      </c>
      <c r="P33" s="87" t="str">
        <f>'Detailed Summary'!BJ32</f>
        <v/>
      </c>
      <c r="Q33" s="5" t="str">
        <f>'Detailed Summary'!BG32</f>
        <v/>
      </c>
      <c r="R33" s="3" t="str">
        <f>'Detailed Summary'!BI32</f>
        <v>Very Weak</v>
      </c>
    </row>
    <row r="34" spans="1:18" ht="18.5" hidden="1" customHeight="1" x14ac:dyDescent="0.45">
      <c r="A34" s="102"/>
      <c r="B34" s="88">
        <f>'Student Basic Info'!A33</f>
        <v>532</v>
      </c>
      <c r="C34" s="86" t="str">
        <f>'Student Basic Info'!C33</f>
        <v>Shahinur Islam</v>
      </c>
      <c r="D34" s="89" t="str">
        <f>'Detailed Summary'!AK33</f>
        <v/>
      </c>
      <c r="E34" s="89" t="str">
        <f>'Detailed Summary'!AL33</f>
        <v/>
      </c>
      <c r="F34" s="89" t="str">
        <f>'Detailed Summary'!AM33</f>
        <v/>
      </c>
      <c r="G34" s="89" t="str">
        <f>'Detailed Summary'!AN33</f>
        <v/>
      </c>
      <c r="H34" s="89" t="str">
        <f>'Detailed Summary'!AO33</f>
        <v/>
      </c>
      <c r="I34" s="89" t="str">
        <f>'Detailed Summary'!AP33</f>
        <v/>
      </c>
      <c r="J34" s="89" t="str">
        <f>'Detailed Summary'!AR33</f>
        <v/>
      </c>
      <c r="K34" s="89" t="str">
        <f>'Detailed Summary'!AS33</f>
        <v/>
      </c>
      <c r="L34" s="39">
        <f>'Detailed Summary'!AU33</f>
        <v>0</v>
      </c>
      <c r="M34" s="87" t="str">
        <f>'Detailed Summary'!AV33</f>
        <v/>
      </c>
      <c r="N34" s="3" t="str">
        <f>'Detailed Summary'!BF33</f>
        <v>Failed in 6 Subjects</v>
      </c>
      <c r="O34" s="87" t="str">
        <f>'Detailed Summary'!AW33</f>
        <v/>
      </c>
      <c r="P34" s="87" t="str">
        <f>'Detailed Summary'!BJ33</f>
        <v/>
      </c>
      <c r="Q34" s="5" t="str">
        <f>'Detailed Summary'!BG33</f>
        <v/>
      </c>
      <c r="R34" s="3" t="str">
        <f>'Detailed Summary'!BI33</f>
        <v>Very Weak</v>
      </c>
    </row>
    <row r="35" spans="1:18" ht="18.5" hidden="1" customHeight="1" x14ac:dyDescent="0.45">
      <c r="A35" s="102"/>
      <c r="B35" s="88">
        <f>'Student Basic Info'!A34</f>
        <v>533</v>
      </c>
      <c r="C35" s="86" t="str">
        <f>'Student Basic Info'!C34</f>
        <v>Md. Al Amin Haydar</v>
      </c>
      <c r="D35" s="89" t="str">
        <f>'Detailed Summary'!AK34</f>
        <v/>
      </c>
      <c r="E35" s="89" t="str">
        <f>'Detailed Summary'!AL34</f>
        <v/>
      </c>
      <c r="F35" s="89" t="str">
        <f>'Detailed Summary'!AM34</f>
        <v/>
      </c>
      <c r="G35" s="89" t="str">
        <f>'Detailed Summary'!AN34</f>
        <v/>
      </c>
      <c r="H35" s="89" t="str">
        <f>'Detailed Summary'!AO34</f>
        <v/>
      </c>
      <c r="I35" s="89" t="str">
        <f>'Detailed Summary'!AP34</f>
        <v/>
      </c>
      <c r="J35" s="89" t="str">
        <f>'Detailed Summary'!AR34</f>
        <v/>
      </c>
      <c r="K35" s="89" t="str">
        <f>'Detailed Summary'!AS34</f>
        <v/>
      </c>
      <c r="L35" s="39">
        <f>'Detailed Summary'!AU34</f>
        <v>0</v>
      </c>
      <c r="M35" s="87" t="str">
        <f>'Detailed Summary'!AV34</f>
        <v/>
      </c>
      <c r="N35" s="3" t="str">
        <f>'Detailed Summary'!BF34</f>
        <v>Failed in 6 Subjects</v>
      </c>
      <c r="O35" s="87" t="str">
        <f>'Detailed Summary'!AW34</f>
        <v/>
      </c>
      <c r="P35" s="87" t="str">
        <f>'Detailed Summary'!BJ34</f>
        <v/>
      </c>
      <c r="Q35" s="5" t="str">
        <f>'Detailed Summary'!BG34</f>
        <v/>
      </c>
      <c r="R35" s="3" t="str">
        <f>'Detailed Summary'!BI34</f>
        <v>Very Weak</v>
      </c>
    </row>
    <row r="36" spans="1:18" ht="18.5" hidden="1" customHeight="1" x14ac:dyDescent="0.45">
      <c r="A36" s="102"/>
      <c r="B36" s="88">
        <f>'Student Basic Info'!A35</f>
        <v>534</v>
      </c>
      <c r="C36" s="86" t="str">
        <f>'Student Basic Info'!C35</f>
        <v>Md. Hasanain Hosain</v>
      </c>
      <c r="D36" s="89" t="str">
        <f>'Detailed Summary'!AK35</f>
        <v/>
      </c>
      <c r="E36" s="89" t="str">
        <f>'Detailed Summary'!AL35</f>
        <v/>
      </c>
      <c r="F36" s="89" t="str">
        <f>'Detailed Summary'!AM35</f>
        <v/>
      </c>
      <c r="G36" s="89" t="str">
        <f>'Detailed Summary'!AN35</f>
        <v/>
      </c>
      <c r="H36" s="89" t="str">
        <f>'Detailed Summary'!AO35</f>
        <v/>
      </c>
      <c r="I36" s="89" t="str">
        <f>'Detailed Summary'!AP35</f>
        <v/>
      </c>
      <c r="J36" s="89" t="str">
        <f>'Detailed Summary'!AR35</f>
        <v/>
      </c>
      <c r="K36" s="89" t="str">
        <f>'Detailed Summary'!AS35</f>
        <v/>
      </c>
      <c r="L36" s="39">
        <f>'Detailed Summary'!AU35</f>
        <v>0</v>
      </c>
      <c r="M36" s="87" t="str">
        <f>'Detailed Summary'!AV35</f>
        <v/>
      </c>
      <c r="N36" s="3" t="str">
        <f>'Detailed Summary'!BF35</f>
        <v>Failed in 6 Subjects</v>
      </c>
      <c r="O36" s="87" t="str">
        <f>'Detailed Summary'!AW35</f>
        <v/>
      </c>
      <c r="P36" s="87" t="str">
        <f>'Detailed Summary'!BJ35</f>
        <v/>
      </c>
      <c r="Q36" s="5" t="str">
        <f>'Detailed Summary'!BG35</f>
        <v/>
      </c>
      <c r="R36" s="3" t="str">
        <f>'Detailed Summary'!BI35</f>
        <v>Very Weak</v>
      </c>
    </row>
    <row r="37" spans="1:18" ht="18.5" hidden="1" customHeight="1" x14ac:dyDescent="0.45">
      <c r="A37" s="102"/>
      <c r="B37" s="88">
        <f>'Student Basic Info'!A36</f>
        <v>535</v>
      </c>
      <c r="C37" s="86" t="str">
        <f>'Student Basic Info'!C36</f>
        <v>Md. Abu Taher Zitu</v>
      </c>
      <c r="D37" s="89" t="str">
        <f>'Detailed Summary'!AK36</f>
        <v/>
      </c>
      <c r="E37" s="89" t="str">
        <f>'Detailed Summary'!AL36</f>
        <v/>
      </c>
      <c r="F37" s="89" t="str">
        <f>'Detailed Summary'!AM36</f>
        <v/>
      </c>
      <c r="G37" s="89" t="str">
        <f>'Detailed Summary'!AN36</f>
        <v/>
      </c>
      <c r="H37" s="89" t="str">
        <f>'Detailed Summary'!AO36</f>
        <v/>
      </c>
      <c r="I37" s="89" t="str">
        <f>'Detailed Summary'!AP36</f>
        <v/>
      </c>
      <c r="J37" s="89" t="str">
        <f>'Detailed Summary'!AR36</f>
        <v/>
      </c>
      <c r="K37" s="89" t="str">
        <f>'Detailed Summary'!AS36</f>
        <v/>
      </c>
      <c r="L37" s="39">
        <f>'Detailed Summary'!AU36</f>
        <v>0</v>
      </c>
      <c r="M37" s="87" t="str">
        <f>'Detailed Summary'!AV36</f>
        <v/>
      </c>
      <c r="N37" s="3" t="str">
        <f>'Detailed Summary'!BF36</f>
        <v>Failed in 6 Subjects</v>
      </c>
      <c r="O37" s="87" t="str">
        <f>'Detailed Summary'!AW36</f>
        <v/>
      </c>
      <c r="P37" s="87" t="str">
        <f>'Detailed Summary'!BJ36</f>
        <v/>
      </c>
      <c r="Q37" s="5" t="str">
        <f>'Detailed Summary'!BG36</f>
        <v/>
      </c>
      <c r="R37" s="3" t="str">
        <f>'Detailed Summary'!BI36</f>
        <v>Very Weak</v>
      </c>
    </row>
    <row r="38" spans="1:18" ht="18.5" hidden="1" customHeight="1" x14ac:dyDescent="0.45">
      <c r="A38" s="102"/>
      <c r="B38" s="88">
        <f>'Student Basic Info'!A37</f>
        <v>536</v>
      </c>
      <c r="C38" s="86" t="str">
        <f>'Student Basic Info'!C37</f>
        <v>Khalid Bin Alom</v>
      </c>
      <c r="D38" s="89">
        <f>'Detailed Summary'!AK37</f>
        <v>0</v>
      </c>
      <c r="E38" s="89">
        <f>'Detailed Summary'!AL37</f>
        <v>0</v>
      </c>
      <c r="F38" s="89">
        <f>'Detailed Summary'!AM37</f>
        <v>0</v>
      </c>
      <c r="G38" s="89">
        <f>'Detailed Summary'!AN37</f>
        <v>0</v>
      </c>
      <c r="H38" s="89">
        <f>'Detailed Summary'!AO37</f>
        <v>0</v>
      </c>
      <c r="I38" s="89">
        <f>'Detailed Summary'!AP37</f>
        <v>0</v>
      </c>
      <c r="J38" s="89">
        <f>'Detailed Summary'!AR37</f>
        <v>2</v>
      </c>
      <c r="K38" s="89">
        <f>'Detailed Summary'!AS37</f>
        <v>0</v>
      </c>
      <c r="L38" s="39">
        <f>'Detailed Summary'!AU37</f>
        <v>0</v>
      </c>
      <c r="M38" s="87" t="str">
        <f>'Detailed Summary'!AV37</f>
        <v/>
      </c>
      <c r="N38" s="3" t="str">
        <f>'Detailed Summary'!BF37</f>
        <v>Failed in 6 Subjects</v>
      </c>
      <c r="O38" s="87" t="str">
        <f>'Detailed Summary'!AW37</f>
        <v/>
      </c>
      <c r="P38" s="87" t="str">
        <f>'Detailed Summary'!BJ37</f>
        <v/>
      </c>
      <c r="Q38" s="5" t="str">
        <f>'Detailed Summary'!BG37</f>
        <v/>
      </c>
      <c r="R38" s="3" t="str">
        <f>'Detailed Summary'!BI37</f>
        <v>Very Weak</v>
      </c>
    </row>
    <row r="39" spans="1:18" ht="18.5" hidden="1" customHeight="1" x14ac:dyDescent="0.45">
      <c r="A39" s="102"/>
      <c r="B39" s="88">
        <f>'Student Basic Info'!A38</f>
        <v>537</v>
      </c>
      <c r="C39" s="86" t="str">
        <f>'Student Basic Info'!C38</f>
        <v>Mobarok Hosain</v>
      </c>
      <c r="D39" s="89">
        <f>'Detailed Summary'!AK38</f>
        <v>0</v>
      </c>
      <c r="E39" s="89">
        <f>'Detailed Summary'!AL38</f>
        <v>0</v>
      </c>
      <c r="F39" s="89">
        <f>'Detailed Summary'!AM38</f>
        <v>0</v>
      </c>
      <c r="G39" s="89">
        <f>'Detailed Summary'!AN38</f>
        <v>0</v>
      </c>
      <c r="H39" s="89">
        <f>'Detailed Summary'!AO38</f>
        <v>0</v>
      </c>
      <c r="I39" s="89">
        <f>'Detailed Summary'!AP38</f>
        <v>0</v>
      </c>
      <c r="J39" s="89">
        <f>'Detailed Summary'!AR38</f>
        <v>0</v>
      </c>
      <c r="K39" s="89">
        <f>'Detailed Summary'!AS38</f>
        <v>0</v>
      </c>
      <c r="L39" s="39">
        <f>'Detailed Summary'!AU38</f>
        <v>0</v>
      </c>
      <c r="M39" s="87" t="str">
        <f>'Detailed Summary'!AV38</f>
        <v/>
      </c>
      <c r="N39" s="3" t="str">
        <f>'Detailed Summary'!BF38</f>
        <v>Failed in 6 Subjects</v>
      </c>
      <c r="O39" s="87" t="str">
        <f>'Detailed Summary'!AW38</f>
        <v/>
      </c>
      <c r="P39" s="87" t="str">
        <f>'Detailed Summary'!BJ38</f>
        <v/>
      </c>
      <c r="Q39" s="5" t="str">
        <f>'Detailed Summary'!BG38</f>
        <v/>
      </c>
      <c r="R39" s="3" t="str">
        <f>'Detailed Summary'!BI38</f>
        <v>Very Weak</v>
      </c>
    </row>
    <row r="40" spans="1:18" ht="18.5" hidden="1" customHeight="1" x14ac:dyDescent="0.45">
      <c r="A40" s="102"/>
      <c r="B40" s="88">
        <f>'Student Basic Info'!A39</f>
        <v>538</v>
      </c>
      <c r="C40" s="86" t="str">
        <f>'Student Basic Info'!C39</f>
        <v>Jomir Hosain</v>
      </c>
      <c r="D40" s="89">
        <f>'Detailed Summary'!AK39</f>
        <v>1</v>
      </c>
      <c r="E40" s="89">
        <f>'Detailed Summary'!AL39</f>
        <v>0</v>
      </c>
      <c r="F40" s="89">
        <f>'Detailed Summary'!AM39</f>
        <v>0</v>
      </c>
      <c r="G40" s="89">
        <f>'Detailed Summary'!AN39</f>
        <v>0</v>
      </c>
      <c r="H40" s="89">
        <f>'Detailed Summary'!AO39</f>
        <v>2</v>
      </c>
      <c r="I40" s="89">
        <f>'Detailed Summary'!AP39</f>
        <v>3</v>
      </c>
      <c r="J40" s="89">
        <f>'Detailed Summary'!AR39</f>
        <v>1</v>
      </c>
      <c r="K40" s="89">
        <f>'Detailed Summary'!AS39</f>
        <v>0</v>
      </c>
      <c r="L40" s="39">
        <f>'Detailed Summary'!AU39</f>
        <v>6</v>
      </c>
      <c r="M40" s="87" t="str">
        <f>'Detailed Summary'!AV39</f>
        <v/>
      </c>
      <c r="N40" s="3" t="str">
        <f>'Detailed Summary'!BF39</f>
        <v>Failed in 3 Subjects</v>
      </c>
      <c r="O40" s="87" t="str">
        <f>'Detailed Summary'!AW39</f>
        <v/>
      </c>
      <c r="P40" s="87" t="str">
        <f>'Detailed Summary'!BJ39</f>
        <v/>
      </c>
      <c r="Q40" s="5" t="str">
        <f>'Detailed Summary'!BG39</f>
        <v/>
      </c>
      <c r="R40" s="3" t="str">
        <f>'Detailed Summary'!BI39</f>
        <v>Very Weak</v>
      </c>
    </row>
    <row r="41" spans="1:18" ht="18.5" hidden="1" customHeight="1" x14ac:dyDescent="0.45">
      <c r="A41" s="102"/>
      <c r="B41" s="88">
        <f>'Student Basic Info'!A40</f>
        <v>539</v>
      </c>
      <c r="C41" s="86" t="str">
        <f>'Student Basic Info'!C40</f>
        <v>Walid Hasan Anol</v>
      </c>
      <c r="D41" s="89">
        <f>'Detailed Summary'!AK40</f>
        <v>0</v>
      </c>
      <c r="E41" s="89">
        <f>'Detailed Summary'!AL40</f>
        <v>0</v>
      </c>
      <c r="F41" s="89">
        <f>'Detailed Summary'!AM40</f>
        <v>0</v>
      </c>
      <c r="G41" s="89">
        <f>'Detailed Summary'!AN40</f>
        <v>0</v>
      </c>
      <c r="H41" s="89">
        <f>'Detailed Summary'!AO40</f>
        <v>0</v>
      </c>
      <c r="I41" s="89">
        <f>'Detailed Summary'!AP40</f>
        <v>0</v>
      </c>
      <c r="J41" s="89">
        <f>'Detailed Summary'!AR40</f>
        <v>0</v>
      </c>
      <c r="K41" s="89">
        <f>'Detailed Summary'!AS40</f>
        <v>0</v>
      </c>
      <c r="L41" s="39">
        <f>'Detailed Summary'!AU40</f>
        <v>0</v>
      </c>
      <c r="M41" s="87" t="str">
        <f>'Detailed Summary'!AV40</f>
        <v/>
      </c>
      <c r="N41" s="3" t="str">
        <f>'Detailed Summary'!BF40</f>
        <v>Failed in 6 Subjects</v>
      </c>
      <c r="O41" s="87" t="str">
        <f>'Detailed Summary'!AW40</f>
        <v/>
      </c>
      <c r="P41" s="87" t="str">
        <f>'Detailed Summary'!BJ40</f>
        <v/>
      </c>
      <c r="Q41" s="5" t="str">
        <f>'Detailed Summary'!BG40</f>
        <v/>
      </c>
      <c r="R41" s="3" t="str">
        <f>'Detailed Summary'!BI40</f>
        <v>Very Weak</v>
      </c>
    </row>
    <row r="42" spans="1:18" ht="18.5" hidden="1" customHeight="1" x14ac:dyDescent="0.45">
      <c r="A42" s="102"/>
      <c r="B42" s="88">
        <f>'Student Basic Info'!A41</f>
        <v>540</v>
      </c>
      <c r="C42" s="86" t="str">
        <f>'Student Basic Info'!C41</f>
        <v>Golam Mahnud</v>
      </c>
      <c r="D42" s="89">
        <f>'Detailed Summary'!AK41</f>
        <v>1</v>
      </c>
      <c r="E42" s="89">
        <f>'Detailed Summary'!AL41</f>
        <v>0</v>
      </c>
      <c r="F42" s="89">
        <f>'Detailed Summary'!AM41</f>
        <v>0</v>
      </c>
      <c r="G42" s="89">
        <f>'Detailed Summary'!AN41</f>
        <v>0</v>
      </c>
      <c r="H42" s="89">
        <f>'Detailed Summary'!AO41</f>
        <v>0</v>
      </c>
      <c r="I42" s="89">
        <f>'Detailed Summary'!AP41</f>
        <v>0</v>
      </c>
      <c r="J42" s="89">
        <f>'Detailed Summary'!AR41</f>
        <v>0</v>
      </c>
      <c r="K42" s="89">
        <f>'Detailed Summary'!AS41</f>
        <v>0</v>
      </c>
      <c r="L42" s="39">
        <f>'Detailed Summary'!AU41</f>
        <v>1</v>
      </c>
      <c r="M42" s="87" t="str">
        <f>'Detailed Summary'!AV41</f>
        <v/>
      </c>
      <c r="N42" s="3" t="str">
        <f>'Detailed Summary'!BF41</f>
        <v>Failed in 5 Subjects</v>
      </c>
      <c r="O42" s="87" t="str">
        <f>'Detailed Summary'!AW41</f>
        <v/>
      </c>
      <c r="P42" s="87" t="str">
        <f>'Detailed Summary'!BJ41</f>
        <v/>
      </c>
      <c r="Q42" s="5" t="str">
        <f>'Detailed Summary'!BG41</f>
        <v/>
      </c>
      <c r="R42" s="3" t="str">
        <f>'Detailed Summary'!BI41</f>
        <v>Very Weak</v>
      </c>
    </row>
    <row r="43" spans="1:18" ht="18.5" hidden="1" customHeight="1" x14ac:dyDescent="0.45">
      <c r="A43" s="102"/>
      <c r="B43" s="88">
        <f>'Student Basic Info'!A42</f>
        <v>541</v>
      </c>
      <c r="C43" s="86" t="str">
        <f>'Student Basic Info'!C42</f>
        <v>Md. Samir Hosain</v>
      </c>
      <c r="D43" s="89">
        <f>'Detailed Summary'!AK42</f>
        <v>3</v>
      </c>
      <c r="E43" s="89" t="str">
        <f>'Detailed Summary'!AL42</f>
        <v/>
      </c>
      <c r="F43" s="89" t="str">
        <f>'Detailed Summary'!AM42</f>
        <v/>
      </c>
      <c r="G43" s="89" t="str">
        <f>'Detailed Summary'!AN42</f>
        <v/>
      </c>
      <c r="H43" s="89" t="str">
        <f>'Detailed Summary'!AO42</f>
        <v/>
      </c>
      <c r="I43" s="89" t="str">
        <f>'Detailed Summary'!AP42</f>
        <v/>
      </c>
      <c r="J43" s="89" t="str">
        <f>'Detailed Summary'!AR42</f>
        <v/>
      </c>
      <c r="K43" s="89" t="str">
        <f>'Detailed Summary'!AS42</f>
        <v/>
      </c>
      <c r="L43" s="39">
        <f>'Detailed Summary'!AU42</f>
        <v>3</v>
      </c>
      <c r="M43" s="87" t="str">
        <f>'Detailed Summary'!AV42</f>
        <v/>
      </c>
      <c r="N43" s="3" t="str">
        <f>'Detailed Summary'!BF42</f>
        <v>Failed in 5 Subjects</v>
      </c>
      <c r="O43" s="87" t="str">
        <f>'Detailed Summary'!AW42</f>
        <v/>
      </c>
      <c r="P43" s="87" t="str">
        <f>'Detailed Summary'!BJ42</f>
        <v/>
      </c>
      <c r="Q43" s="5" t="str">
        <f>'Detailed Summary'!BG42</f>
        <v/>
      </c>
      <c r="R43" s="3" t="str">
        <f>'Detailed Summary'!BI42</f>
        <v>Very Weak</v>
      </c>
    </row>
    <row r="44" spans="1:18" ht="18.5" hidden="1" customHeight="1" x14ac:dyDescent="0.45">
      <c r="A44" s="102"/>
      <c r="B44" s="88">
        <f>'Student Basic Info'!A43</f>
        <v>542</v>
      </c>
      <c r="C44" s="86" t="str">
        <f>'Student Basic Info'!C43</f>
        <v>Md. Imran Hosain</v>
      </c>
      <c r="D44" s="89">
        <f>'Detailed Summary'!AK43</f>
        <v>1</v>
      </c>
      <c r="E44" s="89">
        <f>'Detailed Summary'!AL43</f>
        <v>0</v>
      </c>
      <c r="F44" s="89">
        <f>'Detailed Summary'!AM43</f>
        <v>0</v>
      </c>
      <c r="G44" s="89">
        <f>'Detailed Summary'!AN43</f>
        <v>0</v>
      </c>
      <c r="H44" s="89">
        <f>'Detailed Summary'!AO43</f>
        <v>0</v>
      </c>
      <c r="I44" s="89">
        <f>'Detailed Summary'!AP43</f>
        <v>1</v>
      </c>
      <c r="J44" s="89">
        <f>'Detailed Summary'!AR43</f>
        <v>0</v>
      </c>
      <c r="K44" s="89">
        <f>'Detailed Summary'!AS43</f>
        <v>0</v>
      </c>
      <c r="L44" s="39">
        <f>'Detailed Summary'!AU43</f>
        <v>2</v>
      </c>
      <c r="M44" s="87" t="str">
        <f>'Detailed Summary'!AV43</f>
        <v/>
      </c>
      <c r="N44" s="3" t="str">
        <f>'Detailed Summary'!BF43</f>
        <v>Failed in 4 Subjects</v>
      </c>
      <c r="O44" s="87" t="str">
        <f>'Detailed Summary'!AW43</f>
        <v/>
      </c>
      <c r="P44" s="87" t="str">
        <f>'Detailed Summary'!BJ43</f>
        <v/>
      </c>
      <c r="Q44" s="5" t="str">
        <f>'Detailed Summary'!BG43</f>
        <v/>
      </c>
      <c r="R44" s="3" t="str">
        <f>'Detailed Summary'!BI43</f>
        <v>Very Weak</v>
      </c>
    </row>
    <row r="45" spans="1:18" ht="18.5" hidden="1" customHeight="1" x14ac:dyDescent="0.45">
      <c r="A45" s="102"/>
      <c r="B45" s="88">
        <f>'Student Basic Info'!A44</f>
        <v>543</v>
      </c>
      <c r="C45" s="86" t="str">
        <f>'Student Basic Info'!C44</f>
        <v>Mohammad Yeasin</v>
      </c>
      <c r="D45" s="89">
        <f>'Detailed Summary'!AK44</f>
        <v>1</v>
      </c>
      <c r="E45" s="89">
        <f>'Detailed Summary'!AL44</f>
        <v>0</v>
      </c>
      <c r="F45" s="89">
        <f>'Detailed Summary'!AM44</f>
        <v>0</v>
      </c>
      <c r="G45" s="89">
        <f>'Detailed Summary'!AN44</f>
        <v>0</v>
      </c>
      <c r="H45" s="89">
        <f>'Detailed Summary'!AO44</f>
        <v>0</v>
      </c>
      <c r="I45" s="89">
        <f>'Detailed Summary'!AP44</f>
        <v>1</v>
      </c>
      <c r="J45" s="89">
        <f>'Detailed Summary'!AR44</f>
        <v>0</v>
      </c>
      <c r="K45" s="89">
        <f>'Detailed Summary'!AS44</f>
        <v>0</v>
      </c>
      <c r="L45" s="39">
        <f>'Detailed Summary'!AU44</f>
        <v>2</v>
      </c>
      <c r="M45" s="87" t="str">
        <f>'Detailed Summary'!AV44</f>
        <v/>
      </c>
      <c r="N45" s="3" t="str">
        <f>'Detailed Summary'!BF44</f>
        <v>Failed in 4 Subjects</v>
      </c>
      <c r="O45" s="87" t="str">
        <f>'Detailed Summary'!AW44</f>
        <v/>
      </c>
      <c r="P45" s="87" t="str">
        <f>'Detailed Summary'!BJ44</f>
        <v/>
      </c>
      <c r="Q45" s="5" t="str">
        <f>'Detailed Summary'!BG44</f>
        <v/>
      </c>
      <c r="R45" s="3" t="str">
        <f>'Detailed Summary'!BI44</f>
        <v>Very Weak</v>
      </c>
    </row>
    <row r="46" spans="1:18" ht="18.5" hidden="1" customHeight="1" x14ac:dyDescent="0.45">
      <c r="A46" s="102"/>
      <c r="B46" s="88">
        <f>'Student Basic Info'!A45</f>
        <v>544</v>
      </c>
      <c r="C46" s="86" t="str">
        <f>'Student Basic Info'!C45</f>
        <v>Abdur Rahman</v>
      </c>
      <c r="D46" s="89">
        <f>'Detailed Summary'!AK45</f>
        <v>2</v>
      </c>
      <c r="E46" s="89">
        <f>'Detailed Summary'!AL45</f>
        <v>0</v>
      </c>
      <c r="F46" s="89">
        <f>'Detailed Summary'!AM45</f>
        <v>3</v>
      </c>
      <c r="G46" s="89">
        <f>'Detailed Summary'!AN45</f>
        <v>1</v>
      </c>
      <c r="H46" s="89">
        <f>'Detailed Summary'!AO45</f>
        <v>0</v>
      </c>
      <c r="I46" s="89">
        <f>'Detailed Summary'!AP45</f>
        <v>0</v>
      </c>
      <c r="J46" s="89">
        <f>'Detailed Summary'!AR45</f>
        <v>2</v>
      </c>
      <c r="K46" s="89">
        <f>'Detailed Summary'!AS45</f>
        <v>0</v>
      </c>
      <c r="L46" s="39">
        <f>'Detailed Summary'!AU45</f>
        <v>6</v>
      </c>
      <c r="M46" s="87" t="str">
        <f>'Detailed Summary'!AV45</f>
        <v/>
      </c>
      <c r="N46" s="3" t="str">
        <f>'Detailed Summary'!BF45</f>
        <v>Failed in 3 Subjects</v>
      </c>
      <c r="O46" s="87" t="str">
        <f>'Detailed Summary'!AW45</f>
        <v/>
      </c>
      <c r="P46" s="87" t="str">
        <f>'Detailed Summary'!BJ45</f>
        <v/>
      </c>
      <c r="Q46" s="5" t="str">
        <f>'Detailed Summary'!BG45</f>
        <v/>
      </c>
      <c r="R46" s="3" t="str">
        <f>'Detailed Summary'!BI45</f>
        <v>Very Weak</v>
      </c>
    </row>
    <row r="47" spans="1:18" ht="18.5" hidden="1" customHeight="1" x14ac:dyDescent="0.45">
      <c r="A47" s="102"/>
      <c r="B47" s="88">
        <f>'Student Basic Info'!A46</f>
        <v>545</v>
      </c>
      <c r="C47" s="86" t="str">
        <f>'Student Basic Info'!C46</f>
        <v>Md. Osman Goni</v>
      </c>
      <c r="D47" s="89" t="str">
        <f>'Detailed Summary'!AK46</f>
        <v/>
      </c>
      <c r="E47" s="89" t="str">
        <f>'Detailed Summary'!AL46</f>
        <v/>
      </c>
      <c r="F47" s="89" t="str">
        <f>'Detailed Summary'!AM46</f>
        <v/>
      </c>
      <c r="G47" s="89" t="str">
        <f>'Detailed Summary'!AN46</f>
        <v/>
      </c>
      <c r="H47" s="89" t="str">
        <f>'Detailed Summary'!AO46</f>
        <v/>
      </c>
      <c r="I47" s="89" t="str">
        <f>'Detailed Summary'!AP46</f>
        <v/>
      </c>
      <c r="J47" s="89" t="str">
        <f>'Detailed Summary'!AR46</f>
        <v/>
      </c>
      <c r="K47" s="89" t="str">
        <f>'Detailed Summary'!AS46</f>
        <v/>
      </c>
      <c r="L47" s="39">
        <f>'Detailed Summary'!AU46</f>
        <v>0</v>
      </c>
      <c r="M47" s="87" t="str">
        <f>'Detailed Summary'!AV46</f>
        <v/>
      </c>
      <c r="N47" s="3" t="str">
        <f>'Detailed Summary'!BF46</f>
        <v>Failed in 6 Subjects</v>
      </c>
      <c r="O47" s="87" t="str">
        <f>'Detailed Summary'!AW46</f>
        <v/>
      </c>
      <c r="P47" s="87" t="str">
        <f>'Detailed Summary'!BJ46</f>
        <v/>
      </c>
      <c r="Q47" s="5" t="str">
        <f>'Detailed Summary'!BG46</f>
        <v/>
      </c>
      <c r="R47" s="3" t="str">
        <f>'Detailed Summary'!BI46</f>
        <v>Very Weak</v>
      </c>
    </row>
    <row r="48" spans="1:18" ht="18.5" hidden="1" customHeight="1" x14ac:dyDescent="0.45">
      <c r="A48" s="102"/>
      <c r="B48" s="88">
        <f>'Student Basic Info'!A47</f>
        <v>546</v>
      </c>
      <c r="C48" s="86" t="str">
        <f>'Student Basic Info'!C47</f>
        <v>Tanvir Hosain</v>
      </c>
      <c r="D48" s="89">
        <f>'Detailed Summary'!AK47</f>
        <v>2</v>
      </c>
      <c r="E48" s="89">
        <f>'Detailed Summary'!AL47</f>
        <v>0</v>
      </c>
      <c r="F48" s="89">
        <f>'Detailed Summary'!AM47</f>
        <v>2</v>
      </c>
      <c r="G48" s="89">
        <f>'Detailed Summary'!AN47</f>
        <v>0</v>
      </c>
      <c r="H48" s="89">
        <f>'Detailed Summary'!AO47</f>
        <v>0</v>
      </c>
      <c r="I48" s="89">
        <f>'Detailed Summary'!AP47</f>
        <v>0</v>
      </c>
      <c r="J48" s="89">
        <f>'Detailed Summary'!AR47</f>
        <v>2</v>
      </c>
      <c r="K48" s="89">
        <f>'Detailed Summary'!AS47</f>
        <v>0</v>
      </c>
      <c r="L48" s="39">
        <f>'Detailed Summary'!AU47</f>
        <v>4</v>
      </c>
      <c r="M48" s="87" t="str">
        <f>'Detailed Summary'!AV47</f>
        <v/>
      </c>
      <c r="N48" s="3" t="str">
        <f>'Detailed Summary'!BF47</f>
        <v>Failed in 4 Subjects</v>
      </c>
      <c r="O48" s="87" t="str">
        <f>'Detailed Summary'!AW47</f>
        <v/>
      </c>
      <c r="P48" s="87" t="str">
        <f>'Detailed Summary'!BJ47</f>
        <v/>
      </c>
      <c r="Q48" s="5" t="str">
        <f>'Detailed Summary'!BG47</f>
        <v/>
      </c>
      <c r="R48" s="3" t="str">
        <f>'Detailed Summary'!BI47</f>
        <v>Very Weak</v>
      </c>
    </row>
    <row r="49" spans="1:18" ht="18.5" hidden="1" customHeight="1" x14ac:dyDescent="0.45">
      <c r="A49" s="102"/>
      <c r="B49" s="88">
        <f>'Student Basic Info'!A48</f>
        <v>547</v>
      </c>
      <c r="C49" s="86" t="str">
        <f>'Student Basic Info'!C48</f>
        <v>Monowar Hosain</v>
      </c>
      <c r="D49" s="89" t="str">
        <f>'Detailed Summary'!AK48</f>
        <v/>
      </c>
      <c r="E49" s="89" t="str">
        <f>'Detailed Summary'!AL48</f>
        <v/>
      </c>
      <c r="F49" s="89" t="str">
        <f>'Detailed Summary'!AM48</f>
        <v/>
      </c>
      <c r="G49" s="89" t="str">
        <f>'Detailed Summary'!AN48</f>
        <v/>
      </c>
      <c r="H49" s="89" t="str">
        <f>'Detailed Summary'!AO48</f>
        <v/>
      </c>
      <c r="I49" s="89" t="str">
        <f>'Detailed Summary'!AP48</f>
        <v/>
      </c>
      <c r="J49" s="89" t="str">
        <f>'Detailed Summary'!AR48</f>
        <v/>
      </c>
      <c r="K49" s="89" t="str">
        <f>'Detailed Summary'!AS48</f>
        <v/>
      </c>
      <c r="L49" s="39">
        <f>'Detailed Summary'!AU48</f>
        <v>0</v>
      </c>
      <c r="M49" s="87" t="str">
        <f>'Detailed Summary'!AV48</f>
        <v/>
      </c>
      <c r="N49" s="3" t="str">
        <f>'Detailed Summary'!BF48</f>
        <v>Failed in 6 Subjects</v>
      </c>
      <c r="O49" s="87" t="str">
        <f>'Detailed Summary'!AW48</f>
        <v/>
      </c>
      <c r="P49" s="87" t="str">
        <f>'Detailed Summary'!BJ48</f>
        <v/>
      </c>
      <c r="Q49" s="5" t="str">
        <f>'Detailed Summary'!BG48</f>
        <v/>
      </c>
      <c r="R49" s="3" t="str">
        <f>'Detailed Summary'!BI48</f>
        <v>Very Weak</v>
      </c>
    </row>
    <row r="50" spans="1:18" ht="18.5" hidden="1" customHeight="1" x14ac:dyDescent="0.45">
      <c r="A50" s="102"/>
      <c r="B50" s="88">
        <f>'Student Basic Info'!A49</f>
        <v>548</v>
      </c>
      <c r="C50" s="86" t="str">
        <f>'Student Basic Info'!C49</f>
        <v>Mehedi Hasan</v>
      </c>
      <c r="D50" s="89" t="str">
        <f>'Detailed Summary'!AK49</f>
        <v/>
      </c>
      <c r="E50" s="89" t="str">
        <f>'Detailed Summary'!AL49</f>
        <v/>
      </c>
      <c r="F50" s="89" t="str">
        <f>'Detailed Summary'!AM49</f>
        <v/>
      </c>
      <c r="G50" s="89" t="str">
        <f>'Detailed Summary'!AN49</f>
        <v/>
      </c>
      <c r="H50" s="89" t="str">
        <f>'Detailed Summary'!AO49</f>
        <v/>
      </c>
      <c r="I50" s="89" t="str">
        <f>'Detailed Summary'!AP49</f>
        <v/>
      </c>
      <c r="J50" s="89" t="str">
        <f>'Detailed Summary'!AR49</f>
        <v/>
      </c>
      <c r="K50" s="89" t="str">
        <f>'Detailed Summary'!AS49</f>
        <v/>
      </c>
      <c r="L50" s="39">
        <f>'Detailed Summary'!AU49</f>
        <v>0</v>
      </c>
      <c r="M50" s="87" t="str">
        <f>'Detailed Summary'!AV49</f>
        <v/>
      </c>
      <c r="N50" s="3" t="str">
        <f>'Detailed Summary'!BF49</f>
        <v>Failed in 6 Subjects</v>
      </c>
      <c r="O50" s="87" t="str">
        <f>'Detailed Summary'!AW49</f>
        <v/>
      </c>
      <c r="P50" s="87" t="str">
        <f>'Detailed Summary'!BJ49</f>
        <v/>
      </c>
      <c r="Q50" s="5" t="str">
        <f>'Detailed Summary'!BG49</f>
        <v/>
      </c>
      <c r="R50" s="3" t="str">
        <f>'Detailed Summary'!BI49</f>
        <v>Very Weak</v>
      </c>
    </row>
    <row r="51" spans="1:18" ht="18.5" hidden="1" customHeight="1" x14ac:dyDescent="0.45">
      <c r="A51" s="102"/>
      <c r="B51" s="88">
        <f>'Student Basic Info'!A50</f>
        <v>549</v>
      </c>
      <c r="C51" s="86" t="str">
        <f>'Student Basic Info'!C50</f>
        <v>Mia Md. Mahrup Murshid</v>
      </c>
      <c r="D51" s="89">
        <f>'Detailed Summary'!AK50</f>
        <v>1</v>
      </c>
      <c r="E51" s="89">
        <f>'Detailed Summary'!AL50</f>
        <v>0</v>
      </c>
      <c r="F51" s="89">
        <f>'Detailed Summary'!AM50</f>
        <v>0</v>
      </c>
      <c r="G51" s="89">
        <f>'Detailed Summary'!AN50</f>
        <v>0</v>
      </c>
      <c r="H51" s="89">
        <f>'Detailed Summary'!AO50</f>
        <v>2</v>
      </c>
      <c r="I51" s="89">
        <f>'Detailed Summary'!AP50</f>
        <v>0</v>
      </c>
      <c r="J51" s="89">
        <f>'Detailed Summary'!AR50</f>
        <v>0</v>
      </c>
      <c r="K51" s="89">
        <f>'Detailed Summary'!AS50</f>
        <v>0</v>
      </c>
      <c r="L51" s="39">
        <f>'Detailed Summary'!AU50</f>
        <v>3</v>
      </c>
      <c r="M51" s="87" t="str">
        <f>'Detailed Summary'!AV50</f>
        <v/>
      </c>
      <c r="N51" s="3" t="str">
        <f>'Detailed Summary'!BF50</f>
        <v>Failed in 4 Subjects</v>
      </c>
      <c r="O51" s="87" t="str">
        <f>'Detailed Summary'!AW50</f>
        <v/>
      </c>
      <c r="P51" s="87" t="str">
        <f>'Detailed Summary'!BJ50</f>
        <v/>
      </c>
      <c r="Q51" s="5" t="str">
        <f>'Detailed Summary'!BG50</f>
        <v/>
      </c>
      <c r="R51" s="3" t="str">
        <f>'Detailed Summary'!BI50</f>
        <v>Very Weak</v>
      </c>
    </row>
    <row r="52" spans="1:18" ht="18.5" hidden="1" customHeight="1" x14ac:dyDescent="0.45">
      <c r="A52" s="102"/>
      <c r="B52" s="88">
        <f>'Student Basic Info'!A51</f>
        <v>550</v>
      </c>
      <c r="C52" s="86" t="str">
        <f>'Student Basic Info'!C51</f>
        <v>Mishu Alom Suddik</v>
      </c>
      <c r="D52" s="89" t="str">
        <f>'Detailed Summary'!AK51</f>
        <v/>
      </c>
      <c r="E52" s="89" t="str">
        <f>'Detailed Summary'!AL51</f>
        <v/>
      </c>
      <c r="F52" s="89" t="str">
        <f>'Detailed Summary'!AM51</f>
        <v/>
      </c>
      <c r="G52" s="89" t="str">
        <f>'Detailed Summary'!AN51</f>
        <v/>
      </c>
      <c r="H52" s="89" t="str">
        <f>'Detailed Summary'!AO51</f>
        <v/>
      </c>
      <c r="I52" s="89" t="str">
        <f>'Detailed Summary'!AP51</f>
        <v/>
      </c>
      <c r="J52" s="89" t="str">
        <f>'Detailed Summary'!AR51</f>
        <v/>
      </c>
      <c r="K52" s="89" t="str">
        <f>'Detailed Summary'!AS51</f>
        <v/>
      </c>
      <c r="L52" s="39">
        <f>'Detailed Summary'!AU51</f>
        <v>0</v>
      </c>
      <c r="M52" s="87" t="str">
        <f>'Detailed Summary'!AV51</f>
        <v/>
      </c>
      <c r="N52" s="3" t="str">
        <f>'Detailed Summary'!BF51</f>
        <v>Failed in 6 Subjects</v>
      </c>
      <c r="O52" s="87" t="str">
        <f>'Detailed Summary'!AW51</f>
        <v/>
      </c>
      <c r="P52" s="87" t="str">
        <f>'Detailed Summary'!BJ51</f>
        <v/>
      </c>
      <c r="Q52" s="5" t="str">
        <f>'Detailed Summary'!BG51</f>
        <v/>
      </c>
      <c r="R52" s="3" t="str">
        <f>'Detailed Summary'!BI51</f>
        <v>Very Weak</v>
      </c>
    </row>
    <row r="53" spans="1:18" ht="18.5" hidden="1" customHeight="1" x14ac:dyDescent="0.45">
      <c r="A53" s="102"/>
      <c r="B53" s="88">
        <f>'Student Basic Info'!A52</f>
        <v>551</v>
      </c>
      <c r="C53" s="86" t="str">
        <f>'Student Basic Info'!C52</f>
        <v>Ismail Hosain</v>
      </c>
      <c r="D53" s="89" t="str">
        <f>'Detailed Summary'!AK52</f>
        <v/>
      </c>
      <c r="E53" s="89" t="str">
        <f>'Detailed Summary'!AL52</f>
        <v/>
      </c>
      <c r="F53" s="89" t="str">
        <f>'Detailed Summary'!AM52</f>
        <v/>
      </c>
      <c r="G53" s="89" t="str">
        <f>'Detailed Summary'!AN52</f>
        <v/>
      </c>
      <c r="H53" s="89" t="str">
        <f>'Detailed Summary'!AO52</f>
        <v/>
      </c>
      <c r="I53" s="89" t="str">
        <f>'Detailed Summary'!AP52</f>
        <v/>
      </c>
      <c r="J53" s="89" t="str">
        <f>'Detailed Summary'!AR52</f>
        <v/>
      </c>
      <c r="K53" s="89" t="str">
        <f>'Detailed Summary'!AS52</f>
        <v/>
      </c>
      <c r="L53" s="39">
        <f>'Detailed Summary'!AU52</f>
        <v>0</v>
      </c>
      <c r="M53" s="87" t="str">
        <f>'Detailed Summary'!AV52</f>
        <v/>
      </c>
      <c r="N53" s="3" t="str">
        <f>'Detailed Summary'!BF52</f>
        <v>Failed in 6 Subjects</v>
      </c>
      <c r="O53" s="87" t="str">
        <f>'Detailed Summary'!AW52</f>
        <v/>
      </c>
      <c r="P53" s="87" t="str">
        <f>'Detailed Summary'!BJ52</f>
        <v/>
      </c>
      <c r="Q53" s="5" t="str">
        <f>'Detailed Summary'!BG52</f>
        <v/>
      </c>
      <c r="R53" s="3" t="str">
        <f>'Detailed Summary'!BI52</f>
        <v>Very Weak</v>
      </c>
    </row>
    <row r="54" spans="1:18" ht="18.5" hidden="1" customHeight="1" x14ac:dyDescent="0.45">
      <c r="A54" s="102"/>
      <c r="B54" s="88">
        <f>'Student Basic Info'!A53</f>
        <v>552</v>
      </c>
      <c r="C54" s="86" t="str">
        <f>'Student Basic Info'!C53</f>
        <v>Abu Bokkor Siddik</v>
      </c>
      <c r="D54" s="89">
        <f>'Detailed Summary'!AK53</f>
        <v>1</v>
      </c>
      <c r="E54" s="89">
        <f>'Detailed Summary'!AL53</f>
        <v>0</v>
      </c>
      <c r="F54" s="89">
        <f>'Detailed Summary'!AM53</f>
        <v>0</v>
      </c>
      <c r="G54" s="89">
        <f>'Detailed Summary'!AN53</f>
        <v>0</v>
      </c>
      <c r="H54" s="89">
        <f>'Detailed Summary'!AO53</f>
        <v>0</v>
      </c>
      <c r="I54" s="89">
        <f>'Detailed Summary'!AP53</f>
        <v>0</v>
      </c>
      <c r="J54" s="89">
        <f>'Detailed Summary'!AR53</f>
        <v>1</v>
      </c>
      <c r="K54" s="89">
        <f>'Detailed Summary'!AS53</f>
        <v>0</v>
      </c>
      <c r="L54" s="39">
        <f>'Detailed Summary'!AU53</f>
        <v>1</v>
      </c>
      <c r="M54" s="87" t="str">
        <f>'Detailed Summary'!AV53</f>
        <v/>
      </c>
      <c r="N54" s="3" t="str">
        <f>'Detailed Summary'!BF53</f>
        <v>Failed in 5 Subjects</v>
      </c>
      <c r="O54" s="87" t="str">
        <f>'Detailed Summary'!AW53</f>
        <v/>
      </c>
      <c r="P54" s="87" t="str">
        <f>'Detailed Summary'!BJ53</f>
        <v/>
      </c>
      <c r="Q54" s="5" t="str">
        <f>'Detailed Summary'!BG53</f>
        <v/>
      </c>
      <c r="R54" s="3" t="str">
        <f>'Detailed Summary'!BI53</f>
        <v>Very Weak</v>
      </c>
    </row>
    <row r="55" spans="1:18" ht="18.5" hidden="1" customHeight="1" x14ac:dyDescent="0.45">
      <c r="A55" s="102"/>
      <c r="B55" s="88">
        <f>'Student Basic Info'!A54</f>
        <v>553</v>
      </c>
      <c r="C55" s="86" t="str">
        <f>'Student Basic Info'!C54</f>
        <v>Nowshad Ali</v>
      </c>
      <c r="D55" s="89" t="str">
        <f>'Detailed Summary'!AK54</f>
        <v/>
      </c>
      <c r="E55" s="89" t="str">
        <f>'Detailed Summary'!AL54</f>
        <v/>
      </c>
      <c r="F55" s="89" t="str">
        <f>'Detailed Summary'!AM54</f>
        <v/>
      </c>
      <c r="G55" s="89" t="str">
        <f>'Detailed Summary'!AN54</f>
        <v/>
      </c>
      <c r="H55" s="89" t="str">
        <f>'Detailed Summary'!AO54</f>
        <v/>
      </c>
      <c r="I55" s="89" t="str">
        <f>'Detailed Summary'!AP54</f>
        <v/>
      </c>
      <c r="J55" s="89" t="str">
        <f>'Detailed Summary'!AR54</f>
        <v/>
      </c>
      <c r="K55" s="89" t="str">
        <f>'Detailed Summary'!AS54</f>
        <v/>
      </c>
      <c r="L55" s="39">
        <f>'Detailed Summary'!AU54</f>
        <v>0</v>
      </c>
      <c r="M55" s="87" t="str">
        <f>'Detailed Summary'!AV54</f>
        <v/>
      </c>
      <c r="N55" s="3" t="str">
        <f>'Detailed Summary'!BF54</f>
        <v>Failed in 6 Subjects</v>
      </c>
      <c r="O55" s="87" t="str">
        <f>'Detailed Summary'!AW54</f>
        <v/>
      </c>
      <c r="P55" s="87" t="str">
        <f>'Detailed Summary'!BJ54</f>
        <v/>
      </c>
      <c r="Q55" s="5" t="str">
        <f>'Detailed Summary'!BG54</f>
        <v/>
      </c>
      <c r="R55" s="3" t="str">
        <f>'Detailed Summary'!BI54</f>
        <v>Very Weak</v>
      </c>
    </row>
    <row r="56" spans="1:18" ht="18.5" hidden="1" customHeight="1" x14ac:dyDescent="0.45">
      <c r="A56" s="102"/>
      <c r="B56" s="88">
        <f>'Student Basic Info'!A55</f>
        <v>554</v>
      </c>
      <c r="C56" s="86" t="str">
        <f>'Student Basic Info'!C55</f>
        <v>Md. Musa</v>
      </c>
      <c r="D56" s="89">
        <f>'Detailed Summary'!AK55</f>
        <v>1</v>
      </c>
      <c r="E56" s="89">
        <f>'Detailed Summary'!AL55</f>
        <v>0</v>
      </c>
      <c r="F56" s="89">
        <f>'Detailed Summary'!AM55</f>
        <v>0</v>
      </c>
      <c r="G56" s="89">
        <f>'Detailed Summary'!AN55</f>
        <v>0</v>
      </c>
      <c r="H56" s="89">
        <f>'Detailed Summary'!AO55</f>
        <v>0</v>
      </c>
      <c r="I56" s="89">
        <f>'Detailed Summary'!AP55</f>
        <v>0</v>
      </c>
      <c r="J56" s="89">
        <f>'Detailed Summary'!AR55</f>
        <v>0</v>
      </c>
      <c r="K56" s="89">
        <f>'Detailed Summary'!AS55</f>
        <v>0</v>
      </c>
      <c r="L56" s="39">
        <f>'Detailed Summary'!AU55</f>
        <v>1</v>
      </c>
      <c r="M56" s="87" t="str">
        <f>'Detailed Summary'!AV55</f>
        <v/>
      </c>
      <c r="N56" s="3" t="str">
        <f>'Detailed Summary'!BF55</f>
        <v>Failed in 5 Subjects</v>
      </c>
      <c r="O56" s="87" t="str">
        <f>'Detailed Summary'!AW55</f>
        <v/>
      </c>
      <c r="P56" s="87" t="str">
        <f>'Detailed Summary'!BJ55</f>
        <v/>
      </c>
      <c r="Q56" s="5" t="str">
        <f>'Detailed Summary'!BG55</f>
        <v/>
      </c>
      <c r="R56" s="3" t="str">
        <f>'Detailed Summary'!BI55</f>
        <v>Very Weak</v>
      </c>
    </row>
    <row r="57" spans="1:18" ht="18.5" hidden="1" customHeight="1" x14ac:dyDescent="0.45">
      <c r="A57" s="102"/>
      <c r="B57" s="88">
        <f>'Student Basic Info'!A56</f>
        <v>555</v>
      </c>
      <c r="C57" s="86" t="str">
        <f>'Student Basic Info'!C56</f>
        <v>Setara Bagum</v>
      </c>
      <c r="D57" s="89">
        <f>'Detailed Summary'!AK56</f>
        <v>3</v>
      </c>
      <c r="E57" s="89">
        <f>'Detailed Summary'!AL56</f>
        <v>0</v>
      </c>
      <c r="F57" s="89">
        <f>'Detailed Summary'!AM56</f>
        <v>3</v>
      </c>
      <c r="G57" s="89">
        <f>'Detailed Summary'!AN56</f>
        <v>3</v>
      </c>
      <c r="H57" s="89">
        <f>'Detailed Summary'!AO56</f>
        <v>3</v>
      </c>
      <c r="I57" s="89">
        <f>'Detailed Summary'!AP56</f>
        <v>3</v>
      </c>
      <c r="J57" s="89">
        <f>'Detailed Summary'!AR56</f>
        <v>1</v>
      </c>
      <c r="K57" s="89">
        <f>'Detailed Summary'!AS56</f>
        <v>0</v>
      </c>
      <c r="L57" s="39">
        <f>'Detailed Summary'!AU56</f>
        <v>15</v>
      </c>
      <c r="M57" s="87" t="str">
        <f>'Detailed Summary'!AV56</f>
        <v/>
      </c>
      <c r="N57" s="3" t="str">
        <f>'Detailed Summary'!BF56</f>
        <v>Failed in 1 Subject</v>
      </c>
      <c r="O57" s="87" t="str">
        <f>'Detailed Summary'!AW56</f>
        <v/>
      </c>
      <c r="P57" s="87" t="str">
        <f>'Detailed Summary'!BJ56</f>
        <v/>
      </c>
      <c r="Q57" s="5" t="str">
        <f>'Detailed Summary'!BG56</f>
        <v/>
      </c>
      <c r="R57" s="3" t="str">
        <f>'Detailed Summary'!BI56</f>
        <v>Very Weak</v>
      </c>
    </row>
    <row r="58" spans="1:18" ht="18.5" hidden="1" customHeight="1" x14ac:dyDescent="0.45">
      <c r="A58" s="134"/>
      <c r="B58" s="88">
        <f>'Student Basic Info'!A57</f>
        <v>556</v>
      </c>
      <c r="C58" s="86" t="str">
        <f>'Student Basic Info'!C57</f>
        <v>Tahamina Tabassum</v>
      </c>
      <c r="D58" s="89">
        <f>'Detailed Summary'!AK57</f>
        <v>3.5</v>
      </c>
      <c r="E58" s="89">
        <f>'Detailed Summary'!AL57</f>
        <v>0</v>
      </c>
      <c r="F58" s="89">
        <f>'Detailed Summary'!AM57</f>
        <v>0</v>
      </c>
      <c r="G58" s="89">
        <f>'Detailed Summary'!AN57</f>
        <v>0</v>
      </c>
      <c r="H58" s="89">
        <f>'Detailed Summary'!AO57</f>
        <v>3</v>
      </c>
      <c r="I58" s="89">
        <f>'Detailed Summary'!AP57</f>
        <v>0</v>
      </c>
      <c r="J58" s="89">
        <f>'Detailed Summary'!AR57</f>
        <v>2</v>
      </c>
      <c r="K58" s="89">
        <f>'Detailed Summary'!AS57</f>
        <v>0</v>
      </c>
      <c r="L58" s="39">
        <f>'Detailed Summary'!AU57</f>
        <v>6.5</v>
      </c>
      <c r="M58" s="87" t="str">
        <f>'Detailed Summary'!AV57</f>
        <v/>
      </c>
      <c r="N58" s="3" t="str">
        <f>'Detailed Summary'!BF57</f>
        <v>Failed in 4 Subjects</v>
      </c>
      <c r="O58" s="87" t="str">
        <f>'Detailed Summary'!AW57</f>
        <v/>
      </c>
      <c r="P58" s="87" t="str">
        <f>'Detailed Summary'!BJ57</f>
        <v/>
      </c>
      <c r="Q58" s="5" t="str">
        <f>'Detailed Summary'!BG57</f>
        <v/>
      </c>
      <c r="R58" s="3" t="str">
        <f>'Detailed Summary'!BI57</f>
        <v>Very Weak</v>
      </c>
    </row>
    <row r="59" spans="1:18" ht="18.5" customHeight="1" x14ac:dyDescent="0.35">
      <c r="A59" s="138">
        <v>9</v>
      </c>
      <c r="B59" s="139">
        <f>'Student Basic Info'!A27</f>
        <v>526</v>
      </c>
      <c r="C59" s="140" t="str">
        <f>'Student Basic Info'!C27</f>
        <v>Sidratul Muntaha</v>
      </c>
      <c r="D59" s="89">
        <f>'Detailed Summary'!AK27</f>
        <v>3</v>
      </c>
      <c r="E59" s="89">
        <f>'Detailed Summary'!AL27</f>
        <v>1</v>
      </c>
      <c r="F59" s="89">
        <f>'Detailed Summary'!AM27</f>
        <v>3</v>
      </c>
      <c r="G59" s="89">
        <f>'Detailed Summary'!AN27</f>
        <v>3</v>
      </c>
      <c r="H59" s="89">
        <f>'Detailed Summary'!AO27</f>
        <v>3</v>
      </c>
      <c r="I59" s="89">
        <f>'Detailed Summary'!AP27</f>
        <v>1</v>
      </c>
      <c r="J59" s="89">
        <f>'Detailed Summary'!AR27</f>
        <v>3</v>
      </c>
      <c r="K59" s="89">
        <f>'Detailed Summary'!AS27</f>
        <v>1</v>
      </c>
      <c r="L59" s="39">
        <f>'Detailed Summary'!AU27</f>
        <v>15</v>
      </c>
      <c r="M59" s="87">
        <f>'Detailed Summary'!AV27</f>
        <v>2.3333333333333335</v>
      </c>
      <c r="N59" s="138" t="str">
        <f>'Detailed Summary'!BF27</f>
        <v>Pass</v>
      </c>
      <c r="O59" s="141">
        <f>'Detailed Summary'!AW27</f>
        <v>2.5</v>
      </c>
      <c r="P59" s="141" t="str">
        <f>'Detailed Summary'!BJ27</f>
        <v>C</v>
      </c>
      <c r="Q59" s="142">
        <f>'Detailed Summary'!BG27</f>
        <v>8</v>
      </c>
      <c r="R59" s="143" t="str">
        <f>'Detailed Summary'!BI27</f>
        <v>Need to improve</v>
      </c>
    </row>
    <row r="60" spans="1:18" x14ac:dyDescent="0.35">
      <c r="A60" s="138">
        <v>10</v>
      </c>
      <c r="B60" s="145">
        <f>'Student Basic Info'!A60</f>
        <v>559</v>
      </c>
      <c r="C60" s="146" t="str">
        <f>'Student Basic Info'!C60</f>
        <v>Nahat Binte Raju</v>
      </c>
      <c r="D60" s="89">
        <f>'Detailed Summary'!AK60</f>
        <v>3.5</v>
      </c>
      <c r="E60" s="89">
        <f>'Detailed Summary'!AL60</f>
        <v>2</v>
      </c>
      <c r="F60" s="89">
        <f>'Detailed Summary'!AM60</f>
        <v>3</v>
      </c>
      <c r="G60" s="89">
        <f>'Detailed Summary'!AN60</f>
        <v>2</v>
      </c>
      <c r="H60" s="89">
        <f>'Detailed Summary'!AO60</f>
        <v>2</v>
      </c>
      <c r="I60" s="89">
        <f>'Detailed Summary'!AP60</f>
        <v>1</v>
      </c>
      <c r="J60" s="89">
        <f>'Detailed Summary'!AR60</f>
        <v>2</v>
      </c>
      <c r="K60" s="89">
        <f>'Detailed Summary'!AS60</f>
        <v>0</v>
      </c>
      <c r="L60" s="39">
        <f>'Detailed Summary'!AU60</f>
        <v>13.5</v>
      </c>
      <c r="M60" s="87">
        <f>'Detailed Summary'!AV60</f>
        <v>2.25</v>
      </c>
      <c r="N60" s="143" t="str">
        <f>'Detailed Summary'!BF60</f>
        <v>Pass</v>
      </c>
      <c r="O60" s="141">
        <f>'Detailed Summary'!AW60</f>
        <v>2.25</v>
      </c>
      <c r="P60" s="141" t="str">
        <f>'Detailed Summary'!BJ60</f>
        <v>C</v>
      </c>
      <c r="Q60" s="144">
        <f>'Detailed Summary'!BG60</f>
        <v>10</v>
      </c>
      <c r="R60" s="143" t="str">
        <f>'Detailed Summary'!BI60</f>
        <v>Need to improve</v>
      </c>
    </row>
    <row r="61" spans="1:18" x14ac:dyDescent="0.35">
      <c r="A61" s="138">
        <v>11</v>
      </c>
      <c r="B61" s="145">
        <f>'Student Basic Info'!A58</f>
        <v>557</v>
      </c>
      <c r="C61" s="146" t="str">
        <f>'Student Basic Info'!C58</f>
        <v>Tanjila Akrar</v>
      </c>
      <c r="D61" s="89">
        <f>'Detailed Summary'!AK58</f>
        <v>3</v>
      </c>
      <c r="E61" s="89">
        <f>'Detailed Summary'!AL58</f>
        <v>1</v>
      </c>
      <c r="F61" s="89">
        <f>'Detailed Summary'!AM58</f>
        <v>2</v>
      </c>
      <c r="G61" s="89">
        <f>'Detailed Summary'!AN58</f>
        <v>1</v>
      </c>
      <c r="H61" s="89">
        <f>'Detailed Summary'!AO58</f>
        <v>3</v>
      </c>
      <c r="I61" s="89">
        <f>'Detailed Summary'!AP58</f>
        <v>1</v>
      </c>
      <c r="J61" s="89">
        <f>'Detailed Summary'!AR58</f>
        <v>2</v>
      </c>
      <c r="K61" s="89">
        <f>'Detailed Summary'!AS58</f>
        <v>0</v>
      </c>
      <c r="L61" s="39">
        <f>'Detailed Summary'!AU58</f>
        <v>11</v>
      </c>
      <c r="M61" s="87">
        <f>'Detailed Summary'!AV58</f>
        <v>1.8333333333333333</v>
      </c>
      <c r="N61" s="143" t="str">
        <f>'Detailed Summary'!BF58</f>
        <v>Pass</v>
      </c>
      <c r="O61" s="141">
        <f>'Detailed Summary'!AW58</f>
        <v>1.8333333333333333</v>
      </c>
      <c r="P61" s="141" t="str">
        <f>'Detailed Summary'!BJ58</f>
        <v>D</v>
      </c>
      <c r="Q61" s="144">
        <f>'Detailed Summary'!BG58</f>
        <v>11</v>
      </c>
      <c r="R61" s="143" t="str">
        <f>'Detailed Summary'!BI58</f>
        <v>Weak</v>
      </c>
    </row>
    <row r="62" spans="1:18" ht="18.5" hidden="1" customHeight="1" x14ac:dyDescent="0.45">
      <c r="A62" s="102"/>
      <c r="B62" s="88">
        <f>'Student Basic Info'!A61</f>
        <v>560</v>
      </c>
      <c r="C62" s="86" t="str">
        <f>'Student Basic Info'!C61</f>
        <v>Nadiya Tasmin Nipu</v>
      </c>
      <c r="D62" s="89">
        <f>'Detailed Summary'!AK61</f>
        <v>3.5</v>
      </c>
      <c r="E62" s="89">
        <f>'Detailed Summary'!AL61</f>
        <v>0</v>
      </c>
      <c r="F62" s="89">
        <f>'Detailed Summary'!AM61</f>
        <v>2</v>
      </c>
      <c r="G62" s="89">
        <f>'Detailed Summary'!AN61</f>
        <v>0</v>
      </c>
      <c r="H62" s="89">
        <f>'Detailed Summary'!AO61</f>
        <v>2</v>
      </c>
      <c r="I62" s="89">
        <f>'Detailed Summary'!AP61</f>
        <v>1</v>
      </c>
      <c r="J62" s="89">
        <f>'Detailed Summary'!AR61</f>
        <v>2</v>
      </c>
      <c r="K62" s="89">
        <f>'Detailed Summary'!AS61</f>
        <v>0</v>
      </c>
      <c r="L62" s="39">
        <f>'Detailed Summary'!AU61</f>
        <v>8.5</v>
      </c>
      <c r="M62" s="87" t="str">
        <f>'Detailed Summary'!AV61</f>
        <v/>
      </c>
      <c r="N62" s="3" t="str">
        <f>'Detailed Summary'!BF61</f>
        <v>Failed in 2 Subjects</v>
      </c>
      <c r="O62" s="87" t="str">
        <f>'Detailed Summary'!AW61</f>
        <v/>
      </c>
      <c r="P62" s="87" t="str">
        <f>'Detailed Summary'!BJ61</f>
        <v/>
      </c>
      <c r="Q62" s="5" t="str">
        <f>'Detailed Summary'!BG61</f>
        <v/>
      </c>
      <c r="R62" s="3" t="str">
        <f>'Detailed Summary'!BI61</f>
        <v>Very Weak</v>
      </c>
    </row>
    <row r="63" spans="1:18" ht="18.5" hidden="1" customHeight="1" x14ac:dyDescent="0.45">
      <c r="A63" s="102"/>
      <c r="B63" s="88">
        <f>'Student Basic Info'!A62</f>
        <v>561</v>
      </c>
      <c r="C63" s="86" t="str">
        <f>'Student Basic Info'!C62</f>
        <v>Umme Habiba Niha</v>
      </c>
      <c r="D63" s="89">
        <f>'Detailed Summary'!AK62</f>
        <v>0</v>
      </c>
      <c r="E63" s="89">
        <f>'Detailed Summary'!AL62</f>
        <v>0</v>
      </c>
      <c r="F63" s="89">
        <f>'Detailed Summary'!AM62</f>
        <v>0</v>
      </c>
      <c r="G63" s="89">
        <f>'Detailed Summary'!AN62</f>
        <v>0</v>
      </c>
      <c r="H63" s="89">
        <f>'Detailed Summary'!AO62</f>
        <v>0</v>
      </c>
      <c r="I63" s="89" t="str">
        <f>'Detailed Summary'!AP62</f>
        <v/>
      </c>
      <c r="J63" s="89">
        <f>'Detailed Summary'!AR62</f>
        <v>0</v>
      </c>
      <c r="K63" s="89">
        <f>'Detailed Summary'!AS62</f>
        <v>0</v>
      </c>
      <c r="L63" s="39">
        <f>'Detailed Summary'!AU62</f>
        <v>0</v>
      </c>
      <c r="M63" s="87" t="str">
        <f>'Detailed Summary'!AV62</f>
        <v/>
      </c>
      <c r="N63" s="3" t="str">
        <f>'Detailed Summary'!BF62</f>
        <v>Failed in 6 Subjects</v>
      </c>
      <c r="O63" s="87" t="str">
        <f>'Detailed Summary'!AW62</f>
        <v/>
      </c>
      <c r="P63" s="87" t="str">
        <f>'Detailed Summary'!BJ62</f>
        <v/>
      </c>
      <c r="Q63" s="5" t="str">
        <f>'Detailed Summary'!BG62</f>
        <v/>
      </c>
      <c r="R63" s="3" t="str">
        <f>'Detailed Summary'!BI62</f>
        <v>Very Weak</v>
      </c>
    </row>
    <row r="64" spans="1:18" ht="18.5" hidden="1" customHeight="1" x14ac:dyDescent="0.45">
      <c r="A64" s="102"/>
      <c r="B64" s="88">
        <f>'Student Basic Info'!A63</f>
        <v>562</v>
      </c>
      <c r="C64" s="86" t="str">
        <f>'Student Basic Info'!C63</f>
        <v>Md. Ridwan Hosain</v>
      </c>
      <c r="D64" s="89" t="str">
        <f>'Detailed Summary'!AK63</f>
        <v/>
      </c>
      <c r="E64" s="89" t="str">
        <f>'Detailed Summary'!AL63</f>
        <v/>
      </c>
      <c r="F64" s="89" t="str">
        <f>'Detailed Summary'!AM63</f>
        <v/>
      </c>
      <c r="G64" s="89" t="str">
        <f>'Detailed Summary'!AN63</f>
        <v/>
      </c>
      <c r="H64" s="89" t="str">
        <f>'Detailed Summary'!AO63</f>
        <v/>
      </c>
      <c r="I64" s="89" t="str">
        <f>'Detailed Summary'!AP63</f>
        <v/>
      </c>
      <c r="J64" s="89" t="str">
        <f>'Detailed Summary'!AR63</f>
        <v/>
      </c>
      <c r="K64" s="89" t="str">
        <f>'Detailed Summary'!AS63</f>
        <v/>
      </c>
      <c r="L64" s="39">
        <f>'Detailed Summary'!AU63</f>
        <v>0</v>
      </c>
      <c r="M64" s="87" t="str">
        <f>'Detailed Summary'!AV63</f>
        <v/>
      </c>
      <c r="N64" s="3" t="str">
        <f>'Detailed Summary'!BF63</f>
        <v>Failed in 6 Subjects</v>
      </c>
      <c r="O64" s="87" t="str">
        <f>'Detailed Summary'!AW63</f>
        <v/>
      </c>
      <c r="P64" s="87" t="str">
        <f>'Detailed Summary'!BJ63</f>
        <v/>
      </c>
      <c r="Q64" s="5" t="str">
        <f>'Detailed Summary'!BG63</f>
        <v/>
      </c>
      <c r="R64" s="3" t="str">
        <f>'Detailed Summary'!BI63</f>
        <v>Very Weak</v>
      </c>
    </row>
    <row r="65" spans="1:18" ht="18.5" hidden="1" customHeight="1" x14ac:dyDescent="0.45">
      <c r="A65" s="102"/>
      <c r="B65" s="88">
        <f>'Student Basic Info'!A64</f>
        <v>563</v>
      </c>
      <c r="C65" s="86" t="str">
        <f>'Student Basic Info'!C64</f>
        <v>Mehedi Hasan Rahim</v>
      </c>
      <c r="D65" s="89" t="str">
        <f>'Detailed Summary'!AK64</f>
        <v/>
      </c>
      <c r="E65" s="89" t="str">
        <f>'Detailed Summary'!AL64</f>
        <v/>
      </c>
      <c r="F65" s="89" t="str">
        <f>'Detailed Summary'!AM64</f>
        <v/>
      </c>
      <c r="G65" s="89" t="str">
        <f>'Detailed Summary'!AN64</f>
        <v/>
      </c>
      <c r="H65" s="89" t="str">
        <f>'Detailed Summary'!AO64</f>
        <v/>
      </c>
      <c r="I65" s="89" t="str">
        <f>'Detailed Summary'!AP64</f>
        <v/>
      </c>
      <c r="J65" s="89" t="str">
        <f>'Detailed Summary'!AR64</f>
        <v/>
      </c>
      <c r="K65" s="89" t="str">
        <f>'Detailed Summary'!AS64</f>
        <v/>
      </c>
      <c r="L65" s="39">
        <f>'Detailed Summary'!AU64</f>
        <v>0</v>
      </c>
      <c r="M65" s="87" t="str">
        <f>'Detailed Summary'!AV64</f>
        <v/>
      </c>
      <c r="N65" s="3" t="str">
        <f>'Detailed Summary'!BF64</f>
        <v>Failed in 6 Subjects</v>
      </c>
      <c r="O65" s="87" t="str">
        <f>'Detailed Summary'!AW64</f>
        <v/>
      </c>
      <c r="P65" s="87" t="str">
        <f>'Detailed Summary'!BJ64</f>
        <v/>
      </c>
      <c r="Q65" s="5" t="str">
        <f>'Detailed Summary'!BG64</f>
        <v/>
      </c>
      <c r="R65" s="3" t="str">
        <f>'Detailed Summary'!BI64</f>
        <v>Very Weak</v>
      </c>
    </row>
    <row r="66" spans="1:18" ht="18.5" hidden="1" customHeight="1" x14ac:dyDescent="0.45">
      <c r="A66" s="102"/>
      <c r="B66" s="88">
        <f>'Student Basic Info'!A65</f>
        <v>564</v>
      </c>
      <c r="C66" s="86" t="str">
        <f>'Student Basic Info'!C65</f>
        <v>Mominul Haque</v>
      </c>
      <c r="D66" s="89" t="str">
        <f>'Detailed Summary'!AK65</f>
        <v/>
      </c>
      <c r="E66" s="89" t="str">
        <f>'Detailed Summary'!AL65</f>
        <v/>
      </c>
      <c r="F66" s="89" t="str">
        <f>'Detailed Summary'!AM65</f>
        <v/>
      </c>
      <c r="G66" s="89" t="str">
        <f>'Detailed Summary'!AN65</f>
        <v/>
      </c>
      <c r="H66" s="89" t="str">
        <f>'Detailed Summary'!AO65</f>
        <v/>
      </c>
      <c r="I66" s="89" t="str">
        <f>'Detailed Summary'!AP65</f>
        <v/>
      </c>
      <c r="J66" s="89" t="str">
        <f>'Detailed Summary'!AR65</f>
        <v/>
      </c>
      <c r="K66" s="89" t="str">
        <f>'Detailed Summary'!AS65</f>
        <v/>
      </c>
      <c r="L66" s="39">
        <f>'Detailed Summary'!AU65</f>
        <v>0</v>
      </c>
      <c r="M66" s="87" t="str">
        <f>'Detailed Summary'!AV65</f>
        <v/>
      </c>
      <c r="N66" s="3" t="str">
        <f>'Detailed Summary'!BF65</f>
        <v>Failed in 6 Subjects</v>
      </c>
      <c r="O66" s="87" t="str">
        <f>'Detailed Summary'!AW65</f>
        <v/>
      </c>
      <c r="P66" s="87" t="str">
        <f>'Detailed Summary'!BJ65</f>
        <v/>
      </c>
      <c r="Q66" s="5" t="str">
        <f>'Detailed Summary'!BG65</f>
        <v/>
      </c>
      <c r="R66" s="3" t="str">
        <f>'Detailed Summary'!BI65</f>
        <v>Very Weak</v>
      </c>
    </row>
    <row r="67" spans="1:18" ht="18.5" hidden="1" customHeight="1" x14ac:dyDescent="0.45">
      <c r="A67" s="102"/>
      <c r="B67" s="88">
        <f>'Student Basic Info'!A66</f>
        <v>565</v>
      </c>
      <c r="C67" s="86" t="str">
        <f>'Student Basic Info'!C66</f>
        <v>Farhana Islam</v>
      </c>
      <c r="D67" s="89">
        <f>'Detailed Summary'!AK66</f>
        <v>2</v>
      </c>
      <c r="E67" s="89">
        <f>'Detailed Summary'!AL66</f>
        <v>0</v>
      </c>
      <c r="F67" s="89">
        <f>'Detailed Summary'!AM66</f>
        <v>2</v>
      </c>
      <c r="G67" s="89">
        <f>'Detailed Summary'!AN66</f>
        <v>3</v>
      </c>
      <c r="H67" s="89">
        <f>'Detailed Summary'!AO66</f>
        <v>0</v>
      </c>
      <c r="I67" s="89">
        <f>'Detailed Summary'!AP66</f>
        <v>2</v>
      </c>
      <c r="J67" s="89" t="str">
        <f>'Detailed Summary'!AR66</f>
        <v/>
      </c>
      <c r="K67" s="89" t="str">
        <f>'Detailed Summary'!AS66</f>
        <v/>
      </c>
      <c r="L67" s="39">
        <f>'Detailed Summary'!AU66</f>
        <v>9</v>
      </c>
      <c r="M67" s="87" t="str">
        <f>'Detailed Summary'!AV66</f>
        <v/>
      </c>
      <c r="N67" s="3" t="str">
        <f>'Detailed Summary'!BF66</f>
        <v>Failed in 2 Subjects</v>
      </c>
      <c r="O67" s="87" t="str">
        <f>'Detailed Summary'!AW66</f>
        <v/>
      </c>
      <c r="P67" s="87" t="str">
        <f>'Detailed Summary'!BJ66</f>
        <v/>
      </c>
      <c r="Q67" s="5" t="str">
        <f>'Detailed Summary'!BG66</f>
        <v/>
      </c>
      <c r="R67" s="3" t="str">
        <f>'Detailed Summary'!BI66</f>
        <v>Very Weak</v>
      </c>
    </row>
    <row r="68" spans="1:18" ht="18.5" hidden="1" customHeight="1" x14ac:dyDescent="0.45">
      <c r="A68" s="102"/>
      <c r="B68" s="88">
        <f>'Student Basic Info'!A67</f>
        <v>566</v>
      </c>
      <c r="C68" s="86" t="str">
        <f>'Student Basic Info'!C67</f>
        <v>Md. Mushfiqul Alom</v>
      </c>
      <c r="D68" s="89" t="str">
        <f>'Detailed Summary'!AK67</f>
        <v/>
      </c>
      <c r="E68" s="89" t="str">
        <f>'Detailed Summary'!AL67</f>
        <v/>
      </c>
      <c r="F68" s="89" t="str">
        <f>'Detailed Summary'!AM67</f>
        <v/>
      </c>
      <c r="G68" s="89" t="str">
        <f>'Detailed Summary'!AN67</f>
        <v/>
      </c>
      <c r="H68" s="89" t="str">
        <f>'Detailed Summary'!AO67</f>
        <v/>
      </c>
      <c r="I68" s="89" t="str">
        <f>'Detailed Summary'!AP67</f>
        <v/>
      </c>
      <c r="J68" s="89" t="str">
        <f>'Detailed Summary'!AR67</f>
        <v/>
      </c>
      <c r="K68" s="89" t="str">
        <f>'Detailed Summary'!AS67</f>
        <v/>
      </c>
      <c r="L68" s="39">
        <f>'Detailed Summary'!AU67</f>
        <v>0</v>
      </c>
      <c r="M68" s="87" t="str">
        <f>'Detailed Summary'!AV67</f>
        <v/>
      </c>
      <c r="N68" s="3" t="str">
        <f>'Detailed Summary'!BF67</f>
        <v>Failed in 6 Subjects</v>
      </c>
      <c r="O68" s="87" t="str">
        <f>'Detailed Summary'!AW67</f>
        <v/>
      </c>
      <c r="P68" s="87" t="str">
        <f>'Detailed Summary'!BJ67</f>
        <v/>
      </c>
      <c r="Q68" s="5" t="str">
        <f>'Detailed Summary'!BG67</f>
        <v/>
      </c>
      <c r="R68" s="3" t="str">
        <f>'Detailed Summary'!BI67</f>
        <v>Very Weak</v>
      </c>
    </row>
    <row r="69" spans="1:18" ht="18.5" hidden="1" customHeight="1" x14ac:dyDescent="0.45">
      <c r="A69" s="102"/>
      <c r="B69" s="88">
        <f>'Student Basic Info'!A68</f>
        <v>567</v>
      </c>
      <c r="C69" s="86" t="str">
        <f>'Student Basic Info'!C68</f>
        <v>Fokhrul Alom</v>
      </c>
      <c r="D69" s="89">
        <f>'Detailed Summary'!AK68</f>
        <v>0</v>
      </c>
      <c r="E69" s="89">
        <f>'Detailed Summary'!AL68</f>
        <v>0</v>
      </c>
      <c r="F69" s="89">
        <f>'Detailed Summary'!AM68</f>
        <v>0</v>
      </c>
      <c r="G69" s="89">
        <f>'Detailed Summary'!AN68</f>
        <v>0</v>
      </c>
      <c r="H69" s="89">
        <f>'Detailed Summary'!AO68</f>
        <v>0</v>
      </c>
      <c r="I69" s="89">
        <f>'Detailed Summary'!AP68</f>
        <v>0</v>
      </c>
      <c r="J69" s="89">
        <f>'Detailed Summary'!AR68</f>
        <v>0</v>
      </c>
      <c r="K69" s="89">
        <f>'Detailed Summary'!AS68</f>
        <v>0</v>
      </c>
      <c r="L69" s="39">
        <f>'Detailed Summary'!AU68</f>
        <v>0</v>
      </c>
      <c r="M69" s="87" t="str">
        <f>'Detailed Summary'!AV68</f>
        <v/>
      </c>
      <c r="N69" s="3" t="str">
        <f>'Detailed Summary'!BF68</f>
        <v>Failed in 6 Subjects</v>
      </c>
      <c r="O69" s="87" t="str">
        <f>'Detailed Summary'!AW68</f>
        <v/>
      </c>
      <c r="P69" s="87" t="str">
        <f>'Detailed Summary'!BJ68</f>
        <v/>
      </c>
      <c r="Q69" s="5" t="str">
        <f>'Detailed Summary'!BG68</f>
        <v/>
      </c>
      <c r="R69" s="3" t="str">
        <f>'Detailed Summary'!BI68</f>
        <v>Very Weak</v>
      </c>
    </row>
    <row r="70" spans="1:18" ht="18.5" hidden="1" customHeight="1" x14ac:dyDescent="0.45">
      <c r="A70" s="102"/>
      <c r="B70" s="88">
        <f>'Student Basic Info'!A69</f>
        <v>568</v>
      </c>
      <c r="C70" s="86" t="str">
        <f>'Student Basic Info'!C69</f>
        <v>Sanzida Aktar Ruhi</v>
      </c>
      <c r="D70" s="89">
        <f>'Detailed Summary'!AK69</f>
        <v>0</v>
      </c>
      <c r="E70" s="89">
        <f>'Detailed Summary'!AL69</f>
        <v>0</v>
      </c>
      <c r="F70" s="89">
        <f>'Detailed Summary'!AM69</f>
        <v>0</v>
      </c>
      <c r="G70" s="89">
        <f>'Detailed Summary'!AN69</f>
        <v>0</v>
      </c>
      <c r="H70" s="89">
        <f>'Detailed Summary'!AO69</f>
        <v>0</v>
      </c>
      <c r="I70" s="89">
        <f>'Detailed Summary'!AP69</f>
        <v>0</v>
      </c>
      <c r="J70" s="89">
        <f>'Detailed Summary'!AR69</f>
        <v>0</v>
      </c>
      <c r="K70" s="89">
        <f>'Detailed Summary'!AS69</f>
        <v>0</v>
      </c>
      <c r="L70" s="39">
        <f>'Detailed Summary'!AU69</f>
        <v>0</v>
      </c>
      <c r="M70" s="87" t="str">
        <f>'Detailed Summary'!AV69</f>
        <v/>
      </c>
      <c r="N70" s="3" t="str">
        <f>'Detailed Summary'!BF69</f>
        <v>Failed in 6 Subjects</v>
      </c>
      <c r="O70" s="87" t="str">
        <f>'Detailed Summary'!AW69</f>
        <v/>
      </c>
      <c r="P70" s="87" t="str">
        <f>'Detailed Summary'!BJ69</f>
        <v/>
      </c>
      <c r="Q70" s="5" t="str">
        <f>'Detailed Summary'!BG69</f>
        <v/>
      </c>
      <c r="R70" s="3" t="str">
        <f>'Detailed Summary'!BI69</f>
        <v>Very Weak</v>
      </c>
    </row>
    <row r="71" spans="1:18" ht="18.5" hidden="1" customHeight="1" x14ac:dyDescent="0.45">
      <c r="A71" s="102"/>
      <c r="B71" s="88">
        <f>'Student Basic Info'!A70</f>
        <v>569</v>
      </c>
      <c r="C71" s="86" t="str">
        <f>'Student Basic Info'!C70</f>
        <v>Miheraz Hosain</v>
      </c>
      <c r="D71" s="89" t="str">
        <f>'Detailed Summary'!AK70</f>
        <v/>
      </c>
      <c r="E71" s="89" t="str">
        <f>'Detailed Summary'!AL70</f>
        <v/>
      </c>
      <c r="F71" s="89" t="str">
        <f>'Detailed Summary'!AM70</f>
        <v/>
      </c>
      <c r="G71" s="89" t="str">
        <f>'Detailed Summary'!AN70</f>
        <v/>
      </c>
      <c r="H71" s="89" t="str">
        <f>'Detailed Summary'!AO70</f>
        <v/>
      </c>
      <c r="I71" s="89" t="str">
        <f>'Detailed Summary'!AP70</f>
        <v/>
      </c>
      <c r="J71" s="89" t="str">
        <f>'Detailed Summary'!AR70</f>
        <v/>
      </c>
      <c r="K71" s="89" t="str">
        <f>'Detailed Summary'!AS70</f>
        <v/>
      </c>
      <c r="L71" s="39">
        <f>'Detailed Summary'!AU70</f>
        <v>0</v>
      </c>
      <c r="M71" s="87" t="str">
        <f>'Detailed Summary'!AV70</f>
        <v/>
      </c>
      <c r="N71" s="3" t="str">
        <f>'Detailed Summary'!BF70</f>
        <v>Failed in 6 Subjects</v>
      </c>
      <c r="O71" s="87" t="str">
        <f>'Detailed Summary'!AW70</f>
        <v/>
      </c>
      <c r="P71" s="87" t="str">
        <f>'Detailed Summary'!BJ70</f>
        <v/>
      </c>
      <c r="Q71" s="5" t="str">
        <f>'Detailed Summary'!BG70</f>
        <v/>
      </c>
      <c r="R71" s="3" t="str">
        <f>'Detailed Summary'!BI70</f>
        <v>Very Weak</v>
      </c>
    </row>
    <row r="72" spans="1:18" ht="18.5" hidden="1" customHeight="1" x14ac:dyDescent="0.45">
      <c r="A72" s="102"/>
      <c r="B72" s="88">
        <f>'Student Basic Info'!A71</f>
        <v>570</v>
      </c>
      <c r="C72" s="86" t="str">
        <f>'Student Basic Info'!C71</f>
        <v>Md. Naymul Islam</v>
      </c>
      <c r="D72" s="89" t="str">
        <f>'Detailed Summary'!AK71</f>
        <v/>
      </c>
      <c r="E72" s="89" t="str">
        <f>'Detailed Summary'!AL71</f>
        <v/>
      </c>
      <c r="F72" s="89" t="str">
        <f>'Detailed Summary'!AM71</f>
        <v/>
      </c>
      <c r="G72" s="89" t="str">
        <f>'Detailed Summary'!AN71</f>
        <v/>
      </c>
      <c r="H72" s="89" t="str">
        <f>'Detailed Summary'!AO71</f>
        <v/>
      </c>
      <c r="I72" s="89" t="str">
        <f>'Detailed Summary'!AP71</f>
        <v/>
      </c>
      <c r="J72" s="89" t="str">
        <f>'Detailed Summary'!AR71</f>
        <v/>
      </c>
      <c r="K72" s="89" t="str">
        <f>'Detailed Summary'!AS71</f>
        <v/>
      </c>
      <c r="L72" s="39">
        <f>'Detailed Summary'!AU71</f>
        <v>0</v>
      </c>
      <c r="M72" s="87" t="str">
        <f>'Detailed Summary'!AV71</f>
        <v/>
      </c>
      <c r="N72" s="3" t="str">
        <f>'Detailed Summary'!BF71</f>
        <v>Failed in 6 Subjects</v>
      </c>
      <c r="O72" s="87" t="str">
        <f>'Detailed Summary'!AW71</f>
        <v/>
      </c>
      <c r="P72" s="87" t="str">
        <f>'Detailed Summary'!BJ71</f>
        <v/>
      </c>
      <c r="Q72" s="5" t="str">
        <f>'Detailed Summary'!BG71</f>
        <v/>
      </c>
      <c r="R72" s="3" t="str">
        <f>'Detailed Summary'!BI71</f>
        <v>Very Weak</v>
      </c>
    </row>
    <row r="73" spans="1:18" ht="18.5" hidden="1" customHeight="1" x14ac:dyDescent="0.45">
      <c r="A73" s="102"/>
      <c r="B73" s="88">
        <f>'Student Basic Info'!A72</f>
        <v>571</v>
      </c>
      <c r="C73" s="86" t="str">
        <f>'Student Basic Info'!C72</f>
        <v>Nirob Chandra Dhupi</v>
      </c>
      <c r="D73" s="89" t="str">
        <f>'Detailed Summary'!AK72</f>
        <v/>
      </c>
      <c r="E73" s="89" t="str">
        <f>'Detailed Summary'!AL72</f>
        <v/>
      </c>
      <c r="F73" s="89" t="str">
        <f>'Detailed Summary'!AM72</f>
        <v/>
      </c>
      <c r="G73" s="89" t="str">
        <f>'Detailed Summary'!AN72</f>
        <v/>
      </c>
      <c r="H73" s="89" t="str">
        <f>'Detailed Summary'!AO72</f>
        <v/>
      </c>
      <c r="I73" s="89" t="str">
        <f>'Detailed Summary'!AP72</f>
        <v/>
      </c>
      <c r="J73" s="89" t="str">
        <f>'Detailed Summary'!AR72</f>
        <v/>
      </c>
      <c r="K73" s="89" t="str">
        <f>'Detailed Summary'!AS72</f>
        <v/>
      </c>
      <c r="L73" s="39">
        <f>'Detailed Summary'!AU72</f>
        <v>0</v>
      </c>
      <c r="M73" s="87" t="str">
        <f>'Detailed Summary'!AV72</f>
        <v/>
      </c>
      <c r="N73" s="3" t="str">
        <f>'Detailed Summary'!BF72</f>
        <v>Failed in 6 Subjects</v>
      </c>
      <c r="O73" s="87" t="str">
        <f>'Detailed Summary'!AW72</f>
        <v/>
      </c>
      <c r="P73" s="87" t="str">
        <f>'Detailed Summary'!BJ72</f>
        <v/>
      </c>
      <c r="Q73" s="5" t="str">
        <f>'Detailed Summary'!BG72</f>
        <v/>
      </c>
      <c r="R73" s="3" t="str">
        <f>'Detailed Summary'!BI72</f>
        <v>Very Weak</v>
      </c>
    </row>
    <row r="74" spans="1:18" ht="18.5" hidden="1" customHeight="1" x14ac:dyDescent="0.45">
      <c r="A74" s="102"/>
      <c r="B74" s="88">
        <f>'Student Basic Info'!A73</f>
        <v>572</v>
      </c>
      <c r="C74" s="86" t="str">
        <f>'Student Basic Info'!C73</f>
        <v>Abu Bokkor Siddik</v>
      </c>
      <c r="D74" s="89">
        <f>'Detailed Summary'!AK73</f>
        <v>0</v>
      </c>
      <c r="E74" s="89">
        <f>'Detailed Summary'!AL73</f>
        <v>0</v>
      </c>
      <c r="F74" s="89">
        <f>'Detailed Summary'!AM73</f>
        <v>0</v>
      </c>
      <c r="G74" s="89">
        <f>'Detailed Summary'!AN73</f>
        <v>0</v>
      </c>
      <c r="H74" s="89">
        <f>'Detailed Summary'!AO73</f>
        <v>0</v>
      </c>
      <c r="I74" s="89">
        <f>'Detailed Summary'!AP73</f>
        <v>0</v>
      </c>
      <c r="J74" s="89">
        <f>'Detailed Summary'!AR73</f>
        <v>0</v>
      </c>
      <c r="K74" s="89">
        <f>'Detailed Summary'!AS73</f>
        <v>0</v>
      </c>
      <c r="L74" s="39">
        <f>'Detailed Summary'!AU73</f>
        <v>0</v>
      </c>
      <c r="M74" s="87" t="str">
        <f>'Detailed Summary'!AV73</f>
        <v/>
      </c>
      <c r="N74" s="3" t="str">
        <f>'Detailed Summary'!BF73</f>
        <v>Failed in 6 Subjects</v>
      </c>
      <c r="O74" s="87" t="str">
        <f>'Detailed Summary'!AW73</f>
        <v/>
      </c>
      <c r="P74" s="87" t="str">
        <f>'Detailed Summary'!BJ73</f>
        <v/>
      </c>
      <c r="Q74" s="5" t="str">
        <f>'Detailed Summary'!BG73</f>
        <v/>
      </c>
      <c r="R74" s="3" t="str">
        <f>'Detailed Summary'!BI73</f>
        <v>Very Weak</v>
      </c>
    </row>
    <row r="75" spans="1:18" ht="18.5" hidden="1" customHeight="1" x14ac:dyDescent="0.45">
      <c r="A75" s="102"/>
      <c r="B75" s="88">
        <f>'Student Basic Info'!A74</f>
        <v>573</v>
      </c>
      <c r="C75" s="86" t="str">
        <f>'Student Basic Info'!C74</f>
        <v>Sultan Ahammed Nafiz</v>
      </c>
      <c r="D75" s="89">
        <f>'Detailed Summary'!AK74</f>
        <v>0</v>
      </c>
      <c r="E75" s="89">
        <f>'Detailed Summary'!AL74</f>
        <v>0</v>
      </c>
      <c r="F75" s="89">
        <f>'Detailed Summary'!AM74</f>
        <v>0</v>
      </c>
      <c r="G75" s="89">
        <f>'Detailed Summary'!AN74</f>
        <v>0</v>
      </c>
      <c r="H75" s="89">
        <f>'Detailed Summary'!AO74</f>
        <v>0</v>
      </c>
      <c r="I75" s="89">
        <f>'Detailed Summary'!AP74</f>
        <v>0</v>
      </c>
      <c r="J75" s="89">
        <f>'Detailed Summary'!AR74</f>
        <v>0</v>
      </c>
      <c r="K75" s="89">
        <f>'Detailed Summary'!AS74</f>
        <v>0</v>
      </c>
      <c r="L75" s="39">
        <f>'Detailed Summary'!AU74</f>
        <v>0</v>
      </c>
      <c r="M75" s="87" t="str">
        <f>'Detailed Summary'!AV74</f>
        <v/>
      </c>
      <c r="N75" s="3" t="str">
        <f>'Detailed Summary'!BF74</f>
        <v>Failed in 6 Subjects</v>
      </c>
      <c r="O75" s="87" t="str">
        <f>'Detailed Summary'!AW74</f>
        <v/>
      </c>
      <c r="P75" s="87" t="str">
        <f>'Detailed Summary'!BJ74</f>
        <v/>
      </c>
      <c r="Q75" s="5" t="str">
        <f>'Detailed Summary'!BG74</f>
        <v/>
      </c>
      <c r="R75" s="3" t="str">
        <f>'Detailed Summary'!BI74</f>
        <v>Very Weak</v>
      </c>
    </row>
    <row r="76" spans="1:18" ht="18.5" hidden="1" customHeight="1" x14ac:dyDescent="0.45">
      <c r="A76" s="102"/>
      <c r="B76" s="88">
        <f>'Student Basic Info'!A75</f>
        <v>574</v>
      </c>
      <c r="C76" s="86" t="str">
        <f>'Student Basic Info'!C75</f>
        <v xml:space="preserve">Mehedi Hasan </v>
      </c>
      <c r="D76" s="89" t="str">
        <f>'Detailed Summary'!AK75</f>
        <v/>
      </c>
      <c r="E76" s="89" t="str">
        <f>'Detailed Summary'!AL75</f>
        <v/>
      </c>
      <c r="F76" s="89">
        <f>'Detailed Summary'!AM75</f>
        <v>0</v>
      </c>
      <c r="G76" s="89">
        <f>'Detailed Summary'!AN75</f>
        <v>0</v>
      </c>
      <c r="H76" s="89">
        <f>'Detailed Summary'!AO75</f>
        <v>0</v>
      </c>
      <c r="I76" s="89">
        <f>'Detailed Summary'!AP75</f>
        <v>0</v>
      </c>
      <c r="J76" s="89" t="str">
        <f>'Detailed Summary'!AR75</f>
        <v/>
      </c>
      <c r="K76" s="89" t="str">
        <f>'Detailed Summary'!AS75</f>
        <v/>
      </c>
      <c r="L76" s="39">
        <f>'Detailed Summary'!AU75</f>
        <v>0</v>
      </c>
      <c r="M76" s="87" t="str">
        <f>'Detailed Summary'!AV75</f>
        <v/>
      </c>
      <c r="N76" s="3" t="str">
        <f>'Detailed Summary'!BF75</f>
        <v>Failed in 6 Subjects</v>
      </c>
      <c r="O76" s="87" t="str">
        <f>'Detailed Summary'!AW75</f>
        <v/>
      </c>
      <c r="P76" s="87" t="str">
        <f>'Detailed Summary'!BJ75</f>
        <v/>
      </c>
      <c r="Q76" s="5" t="str">
        <f>'Detailed Summary'!BG75</f>
        <v/>
      </c>
      <c r="R76" s="3" t="str">
        <f>'Detailed Summary'!BI75</f>
        <v>Very Weak</v>
      </c>
    </row>
    <row r="77" spans="1:18" ht="18.5" hidden="1" customHeight="1" x14ac:dyDescent="0.45">
      <c r="A77" s="102"/>
      <c r="B77" s="88">
        <f>'Student Basic Info'!A76</f>
        <v>575</v>
      </c>
      <c r="C77" s="86" t="str">
        <f>'Student Basic Info'!C76</f>
        <v>Torikul Islam</v>
      </c>
      <c r="D77" s="89" t="str">
        <f>'Detailed Summary'!AK76</f>
        <v/>
      </c>
      <c r="E77" s="89" t="str">
        <f>'Detailed Summary'!AL76</f>
        <v/>
      </c>
      <c r="F77" s="89" t="str">
        <f>'Detailed Summary'!AM76</f>
        <v/>
      </c>
      <c r="G77" s="89" t="str">
        <f>'Detailed Summary'!AN76</f>
        <v/>
      </c>
      <c r="H77" s="89" t="str">
        <f>'Detailed Summary'!AO76</f>
        <v/>
      </c>
      <c r="I77" s="89" t="str">
        <f>'Detailed Summary'!AP76</f>
        <v/>
      </c>
      <c r="J77" s="89" t="str">
        <f>'Detailed Summary'!AR76</f>
        <v/>
      </c>
      <c r="K77" s="89" t="str">
        <f>'Detailed Summary'!AS76</f>
        <v/>
      </c>
      <c r="L77" s="39">
        <f>'Detailed Summary'!AU76</f>
        <v>0</v>
      </c>
      <c r="M77" s="87" t="str">
        <f>'Detailed Summary'!AV76</f>
        <v/>
      </c>
      <c r="N77" s="3" t="str">
        <f>'Detailed Summary'!BF76</f>
        <v>Failed in 6 Subjects</v>
      </c>
      <c r="O77" s="87" t="str">
        <f>'Detailed Summary'!AW76</f>
        <v/>
      </c>
      <c r="P77" s="87" t="str">
        <f>'Detailed Summary'!BJ76</f>
        <v/>
      </c>
      <c r="Q77" s="5" t="str">
        <f>'Detailed Summary'!BG76</f>
        <v/>
      </c>
      <c r="R77" s="3" t="str">
        <f>'Detailed Summary'!BI76</f>
        <v>Very Weak</v>
      </c>
    </row>
    <row r="78" spans="1:18" ht="18.5" hidden="1" customHeight="1" x14ac:dyDescent="0.45">
      <c r="A78" s="102"/>
      <c r="B78" s="88">
        <f>'Student Basic Info'!A77</f>
        <v>576</v>
      </c>
      <c r="C78" s="86" t="str">
        <f>'Student Basic Info'!C77</f>
        <v>Irin Aktar</v>
      </c>
      <c r="D78" s="89" t="str">
        <f>'Detailed Summary'!AK77</f>
        <v/>
      </c>
      <c r="E78" s="89" t="str">
        <f>'Detailed Summary'!AL77</f>
        <v/>
      </c>
      <c r="F78" s="89" t="str">
        <f>'Detailed Summary'!AM77</f>
        <v/>
      </c>
      <c r="G78" s="89" t="str">
        <f>'Detailed Summary'!AN77</f>
        <v/>
      </c>
      <c r="H78" s="89" t="str">
        <f>'Detailed Summary'!AO77</f>
        <v/>
      </c>
      <c r="I78" s="89" t="str">
        <f>'Detailed Summary'!AP77</f>
        <v/>
      </c>
      <c r="J78" s="89" t="str">
        <f>'Detailed Summary'!AR77</f>
        <v/>
      </c>
      <c r="K78" s="89" t="str">
        <f>'Detailed Summary'!AS77</f>
        <v/>
      </c>
      <c r="L78" s="39">
        <f>'Detailed Summary'!AU77</f>
        <v>0</v>
      </c>
      <c r="M78" s="87" t="str">
        <f>'Detailed Summary'!AV77</f>
        <v/>
      </c>
      <c r="N78" s="3" t="str">
        <f>'Detailed Summary'!BF77</f>
        <v>Failed in 6 Subjects</v>
      </c>
      <c r="O78" s="87" t="str">
        <f>'Detailed Summary'!AW77</f>
        <v/>
      </c>
      <c r="P78" s="87" t="str">
        <f>'Detailed Summary'!BJ77</f>
        <v/>
      </c>
      <c r="Q78" s="5" t="str">
        <f>'Detailed Summary'!BG77</f>
        <v/>
      </c>
      <c r="R78" s="3" t="str">
        <f>'Detailed Summary'!BI77</f>
        <v>Very Weak</v>
      </c>
    </row>
    <row r="79" spans="1:18" ht="18.5" hidden="1" customHeight="1" x14ac:dyDescent="0.45">
      <c r="A79" s="102"/>
      <c r="B79" s="88">
        <f>'Student Basic Info'!A78</f>
        <v>577</v>
      </c>
      <c r="C79" s="86" t="str">
        <f>'Student Basic Info'!C78</f>
        <v>Karimul Islam</v>
      </c>
      <c r="D79" s="89">
        <f>'Detailed Summary'!AK78</f>
        <v>1</v>
      </c>
      <c r="E79" s="89">
        <f>'Detailed Summary'!AL78</f>
        <v>0</v>
      </c>
      <c r="F79" s="89">
        <f>'Detailed Summary'!AM78</f>
        <v>0</v>
      </c>
      <c r="G79" s="89">
        <f>'Detailed Summary'!AN78</f>
        <v>0</v>
      </c>
      <c r="H79" s="89">
        <f>'Detailed Summary'!AO78</f>
        <v>0</v>
      </c>
      <c r="I79" s="89">
        <f>'Detailed Summary'!AP78</f>
        <v>0</v>
      </c>
      <c r="J79" s="89">
        <f>'Detailed Summary'!AR78</f>
        <v>1</v>
      </c>
      <c r="K79" s="89">
        <f>'Detailed Summary'!AS78</f>
        <v>0</v>
      </c>
      <c r="L79" s="39">
        <f>'Detailed Summary'!AU78</f>
        <v>1</v>
      </c>
      <c r="M79" s="87" t="str">
        <f>'Detailed Summary'!AV78</f>
        <v/>
      </c>
      <c r="N79" s="3" t="str">
        <f>'Detailed Summary'!BF78</f>
        <v>Failed in 5 Subjects</v>
      </c>
      <c r="O79" s="87" t="str">
        <f>'Detailed Summary'!AW78</f>
        <v/>
      </c>
      <c r="P79" s="87" t="str">
        <f>'Detailed Summary'!BJ78</f>
        <v/>
      </c>
      <c r="Q79" s="5" t="str">
        <f>'Detailed Summary'!BG78</f>
        <v/>
      </c>
      <c r="R79" s="3" t="str">
        <f>'Detailed Summary'!BI78</f>
        <v>Very Weak</v>
      </c>
    </row>
    <row r="80" spans="1:18" ht="18.5" hidden="1" customHeight="1" x14ac:dyDescent="0.45">
      <c r="A80" s="102"/>
      <c r="B80" s="88">
        <f>'Student Basic Info'!A79</f>
        <v>578</v>
      </c>
      <c r="C80" s="86" t="str">
        <f>'Student Basic Info'!C79</f>
        <v>Omor Faruque</v>
      </c>
      <c r="D80" s="89" t="str">
        <f>'Detailed Summary'!AK79</f>
        <v/>
      </c>
      <c r="E80" s="89" t="str">
        <f>'Detailed Summary'!AL79</f>
        <v/>
      </c>
      <c r="F80" s="89" t="str">
        <f>'Detailed Summary'!AM79</f>
        <v/>
      </c>
      <c r="G80" s="89" t="str">
        <f>'Detailed Summary'!AN79</f>
        <v/>
      </c>
      <c r="H80" s="89" t="str">
        <f>'Detailed Summary'!AO79</f>
        <v/>
      </c>
      <c r="I80" s="89" t="str">
        <f>'Detailed Summary'!AP79</f>
        <v/>
      </c>
      <c r="J80" s="89" t="str">
        <f>'Detailed Summary'!AR79</f>
        <v/>
      </c>
      <c r="K80" s="89" t="str">
        <f>'Detailed Summary'!AS79</f>
        <v/>
      </c>
      <c r="L80" s="39">
        <f>'Detailed Summary'!AU79</f>
        <v>0</v>
      </c>
      <c r="M80" s="87" t="str">
        <f>'Detailed Summary'!AV79</f>
        <v/>
      </c>
      <c r="N80" s="3" t="str">
        <f>'Detailed Summary'!BF79</f>
        <v>Failed in 6 Subjects</v>
      </c>
      <c r="O80" s="87" t="str">
        <f>'Detailed Summary'!AW79</f>
        <v/>
      </c>
      <c r="P80" s="87" t="str">
        <f>'Detailed Summary'!BJ79</f>
        <v/>
      </c>
      <c r="Q80" s="5" t="str">
        <f>'Detailed Summary'!BG79</f>
        <v/>
      </c>
      <c r="R80" s="3" t="str">
        <f>'Detailed Summary'!BI79</f>
        <v>Very Weak</v>
      </c>
    </row>
    <row r="81" spans="1:18" ht="18.5" hidden="1" customHeight="1" x14ac:dyDescent="0.45">
      <c r="A81" s="102"/>
      <c r="B81" s="88">
        <f>'Student Basic Info'!A80</f>
        <v>579</v>
      </c>
      <c r="C81" s="86" t="str">
        <f>'Student Basic Info'!C80</f>
        <v xml:space="preserve">Yousup Ashraf </v>
      </c>
      <c r="D81" s="89" t="str">
        <f>'Detailed Summary'!AK80</f>
        <v/>
      </c>
      <c r="E81" s="89" t="str">
        <f>'Detailed Summary'!AL80</f>
        <v/>
      </c>
      <c r="F81" s="89" t="str">
        <f>'Detailed Summary'!AM80</f>
        <v/>
      </c>
      <c r="G81" s="89" t="str">
        <f>'Detailed Summary'!AN80</f>
        <v/>
      </c>
      <c r="H81" s="89" t="str">
        <f>'Detailed Summary'!AO80</f>
        <v/>
      </c>
      <c r="I81" s="89" t="str">
        <f>'Detailed Summary'!AP80</f>
        <v/>
      </c>
      <c r="J81" s="89" t="str">
        <f>'Detailed Summary'!AR80</f>
        <v/>
      </c>
      <c r="K81" s="89" t="str">
        <f>'Detailed Summary'!AS80</f>
        <v/>
      </c>
      <c r="L81" s="39">
        <f>'Detailed Summary'!AU80</f>
        <v>0</v>
      </c>
      <c r="M81" s="87" t="str">
        <f>'Detailed Summary'!AV80</f>
        <v/>
      </c>
      <c r="N81" s="3" t="str">
        <f>'Detailed Summary'!BF80</f>
        <v>Failed in 6 Subjects</v>
      </c>
      <c r="O81" s="87" t="str">
        <f>'Detailed Summary'!AW80</f>
        <v/>
      </c>
      <c r="P81" s="87" t="str">
        <f>'Detailed Summary'!BJ80</f>
        <v/>
      </c>
      <c r="Q81" s="5" t="str">
        <f>'Detailed Summary'!BG80</f>
        <v/>
      </c>
      <c r="R81" s="3" t="str">
        <f>'Detailed Summary'!BI80</f>
        <v>Very Weak</v>
      </c>
    </row>
    <row r="82" spans="1:18" ht="18.5" hidden="1" customHeight="1" x14ac:dyDescent="0.45">
      <c r="A82" s="102"/>
      <c r="B82" s="88">
        <f>'Student Basic Info'!A81</f>
        <v>580</v>
      </c>
      <c r="C82" s="86" t="str">
        <f>'Student Basic Info'!C81</f>
        <v>Ala Uddin</v>
      </c>
      <c r="D82" s="89" t="str">
        <f>'Detailed Summary'!AK81</f>
        <v/>
      </c>
      <c r="E82" s="89" t="str">
        <f>'Detailed Summary'!AL81</f>
        <v/>
      </c>
      <c r="F82" s="89" t="str">
        <f>'Detailed Summary'!AM81</f>
        <v/>
      </c>
      <c r="G82" s="89" t="str">
        <f>'Detailed Summary'!AN81</f>
        <v/>
      </c>
      <c r="H82" s="89" t="str">
        <f>'Detailed Summary'!AO81</f>
        <v/>
      </c>
      <c r="I82" s="89" t="str">
        <f>'Detailed Summary'!AP81</f>
        <v/>
      </c>
      <c r="J82" s="89" t="str">
        <f>'Detailed Summary'!AR81</f>
        <v/>
      </c>
      <c r="K82" s="89" t="str">
        <f>'Detailed Summary'!AS81</f>
        <v/>
      </c>
      <c r="L82" s="39">
        <f>'Detailed Summary'!AU81</f>
        <v>0</v>
      </c>
      <c r="M82" s="87" t="str">
        <f>'Detailed Summary'!AV81</f>
        <v/>
      </c>
      <c r="N82" s="3" t="str">
        <f>'Detailed Summary'!BF81</f>
        <v>Failed in 6 Subjects</v>
      </c>
      <c r="O82" s="87" t="str">
        <f>'Detailed Summary'!AW81</f>
        <v/>
      </c>
      <c r="P82" s="87" t="str">
        <f>'Detailed Summary'!BJ81</f>
        <v/>
      </c>
      <c r="Q82" s="5" t="str">
        <f>'Detailed Summary'!BG81</f>
        <v/>
      </c>
      <c r="R82" s="3" t="str">
        <f>'Detailed Summary'!BI81</f>
        <v>Very Weak</v>
      </c>
    </row>
    <row r="83" spans="1:18" ht="18.5" hidden="1" customHeight="1" x14ac:dyDescent="0.45">
      <c r="A83" s="102"/>
      <c r="B83" s="88">
        <f>'Student Basic Info'!A82</f>
        <v>581</v>
      </c>
      <c r="C83" s="86" t="str">
        <f>'Student Basic Info'!C82</f>
        <v>Meheraz Hasan</v>
      </c>
      <c r="D83" s="89" t="str">
        <f>'Detailed Summary'!AK82</f>
        <v/>
      </c>
      <c r="E83" s="89">
        <f>'Detailed Summary'!AL82</f>
        <v>0</v>
      </c>
      <c r="F83" s="89">
        <f>'Detailed Summary'!AM82</f>
        <v>0</v>
      </c>
      <c r="G83" s="89" t="str">
        <f>'Detailed Summary'!AN82</f>
        <v/>
      </c>
      <c r="H83" s="89" t="str">
        <f>'Detailed Summary'!AO82</f>
        <v/>
      </c>
      <c r="I83" s="89">
        <f>'Detailed Summary'!AP82</f>
        <v>0</v>
      </c>
      <c r="J83" s="89">
        <f>'Detailed Summary'!AR82</f>
        <v>0</v>
      </c>
      <c r="K83" s="89">
        <f>'Detailed Summary'!AS82</f>
        <v>0</v>
      </c>
      <c r="L83" s="39">
        <f>'Detailed Summary'!AU82</f>
        <v>0</v>
      </c>
      <c r="M83" s="87" t="str">
        <f>'Detailed Summary'!AV82</f>
        <v/>
      </c>
      <c r="N83" s="3" t="str">
        <f>'Detailed Summary'!BF82</f>
        <v>Failed in 6 Subjects</v>
      </c>
      <c r="O83" s="87" t="str">
        <f>'Detailed Summary'!AW82</f>
        <v/>
      </c>
      <c r="P83" s="87" t="str">
        <f>'Detailed Summary'!BJ82</f>
        <v/>
      </c>
      <c r="Q83" s="5" t="str">
        <f>'Detailed Summary'!BG82</f>
        <v/>
      </c>
      <c r="R83" s="3" t="str">
        <f>'Detailed Summary'!BI82</f>
        <v>Very Weak</v>
      </c>
    </row>
    <row r="84" spans="1:18" ht="18.5" hidden="1" customHeight="1" x14ac:dyDescent="0.45">
      <c r="A84" s="102"/>
      <c r="B84" s="88">
        <f>'Student Basic Info'!A83</f>
        <v>582</v>
      </c>
      <c r="C84" s="86" t="str">
        <f>'Student Basic Info'!C83</f>
        <v>Imran Hosain</v>
      </c>
      <c r="D84" s="89" t="str">
        <f>'Detailed Summary'!AK83</f>
        <v/>
      </c>
      <c r="E84" s="89" t="str">
        <f>'Detailed Summary'!AL83</f>
        <v/>
      </c>
      <c r="F84" s="89" t="str">
        <f>'Detailed Summary'!AM83</f>
        <v/>
      </c>
      <c r="G84" s="89" t="str">
        <f>'Detailed Summary'!AN83</f>
        <v/>
      </c>
      <c r="H84" s="89" t="str">
        <f>'Detailed Summary'!AO83</f>
        <v/>
      </c>
      <c r="I84" s="89" t="str">
        <f>'Detailed Summary'!AP83</f>
        <v/>
      </c>
      <c r="J84" s="89" t="str">
        <f>'Detailed Summary'!AR83</f>
        <v/>
      </c>
      <c r="K84" s="89" t="str">
        <f>'Detailed Summary'!AS83</f>
        <v/>
      </c>
      <c r="L84" s="39">
        <f>'Detailed Summary'!AU83</f>
        <v>0</v>
      </c>
      <c r="M84" s="87" t="str">
        <f>'Detailed Summary'!AV83</f>
        <v/>
      </c>
      <c r="N84" s="3" t="str">
        <f>'Detailed Summary'!BF83</f>
        <v>Failed in 6 Subjects</v>
      </c>
      <c r="O84" s="87" t="str">
        <f>'Detailed Summary'!AW83</f>
        <v/>
      </c>
      <c r="P84" s="87" t="str">
        <f>'Detailed Summary'!BJ83</f>
        <v/>
      </c>
      <c r="Q84" s="5" t="str">
        <f>'Detailed Summary'!BG83</f>
        <v/>
      </c>
      <c r="R84" s="3" t="str">
        <f>'Detailed Summary'!BI83</f>
        <v>Very Weak</v>
      </c>
    </row>
    <row r="85" spans="1:18" ht="18.5" hidden="1" customHeight="1" x14ac:dyDescent="0.45">
      <c r="A85" s="102"/>
      <c r="B85" s="88">
        <f>'Student Basic Info'!A84</f>
        <v>583</v>
      </c>
      <c r="C85" s="86" t="str">
        <f>'Student Basic Info'!C84</f>
        <v>Raihanul Haque</v>
      </c>
      <c r="D85" s="89" t="str">
        <f>'Detailed Summary'!AK84</f>
        <v/>
      </c>
      <c r="E85" s="89" t="str">
        <f>'Detailed Summary'!AL84</f>
        <v/>
      </c>
      <c r="F85" s="89" t="str">
        <f>'Detailed Summary'!AM84</f>
        <v/>
      </c>
      <c r="G85" s="89" t="str">
        <f>'Detailed Summary'!AN84</f>
        <v/>
      </c>
      <c r="H85" s="89" t="str">
        <f>'Detailed Summary'!AO84</f>
        <v/>
      </c>
      <c r="I85" s="89" t="str">
        <f>'Detailed Summary'!AP84</f>
        <v/>
      </c>
      <c r="J85" s="89" t="str">
        <f>'Detailed Summary'!AR84</f>
        <v/>
      </c>
      <c r="K85" s="89" t="str">
        <f>'Detailed Summary'!AS84</f>
        <v/>
      </c>
      <c r="L85" s="39">
        <f>'Detailed Summary'!AU84</f>
        <v>0</v>
      </c>
      <c r="M85" s="87" t="str">
        <f>'Detailed Summary'!AV84</f>
        <v/>
      </c>
      <c r="N85" s="3" t="str">
        <f>'Detailed Summary'!BF84</f>
        <v>Failed in 6 Subjects</v>
      </c>
      <c r="O85" s="87" t="str">
        <f>'Detailed Summary'!AW84</f>
        <v/>
      </c>
      <c r="P85" s="87" t="str">
        <f>'Detailed Summary'!BJ84</f>
        <v/>
      </c>
      <c r="Q85" s="5" t="str">
        <f>'Detailed Summary'!BG84</f>
        <v/>
      </c>
      <c r="R85" s="3" t="str">
        <f>'Detailed Summary'!BI84</f>
        <v>Very Weak</v>
      </c>
    </row>
    <row r="86" spans="1:18" ht="18.5" hidden="1" customHeight="1" x14ac:dyDescent="0.45">
      <c r="A86" s="102"/>
      <c r="B86" s="88">
        <f>'Student Basic Info'!A85</f>
        <v>584</v>
      </c>
      <c r="C86" s="86" t="str">
        <f>'Student Basic Info'!C85</f>
        <v>Mohammad Tahmid</v>
      </c>
      <c r="D86" s="89">
        <f>'Detailed Summary'!AK85</f>
        <v>2</v>
      </c>
      <c r="E86" s="89">
        <f>'Detailed Summary'!AL85</f>
        <v>0</v>
      </c>
      <c r="F86" s="89">
        <f>'Detailed Summary'!AM85</f>
        <v>0</v>
      </c>
      <c r="G86" s="89">
        <f>'Detailed Summary'!AN85</f>
        <v>0</v>
      </c>
      <c r="H86" s="89" t="str">
        <f>'Detailed Summary'!AO85</f>
        <v/>
      </c>
      <c r="I86" s="89">
        <f>'Detailed Summary'!AP85</f>
        <v>0</v>
      </c>
      <c r="J86" s="89">
        <f>'Detailed Summary'!AR85</f>
        <v>0</v>
      </c>
      <c r="K86" s="89">
        <f>'Detailed Summary'!AS85</f>
        <v>0</v>
      </c>
      <c r="L86" s="39">
        <f>'Detailed Summary'!AU85</f>
        <v>2</v>
      </c>
      <c r="M86" s="87" t="str">
        <f>'Detailed Summary'!AV85</f>
        <v/>
      </c>
      <c r="N86" s="3" t="str">
        <f>'Detailed Summary'!BF85</f>
        <v>Failed in 5 Subjects</v>
      </c>
      <c r="O86" s="87" t="str">
        <f>'Detailed Summary'!AW85</f>
        <v/>
      </c>
      <c r="P86" s="87" t="str">
        <f>'Detailed Summary'!BJ85</f>
        <v/>
      </c>
      <c r="Q86" s="5" t="str">
        <f>'Detailed Summary'!BG85</f>
        <v/>
      </c>
      <c r="R86" s="3" t="str">
        <f>'Detailed Summary'!BI85</f>
        <v>Very Weak</v>
      </c>
    </row>
    <row r="87" spans="1:18" ht="18.5" hidden="1" customHeight="1" x14ac:dyDescent="0.45">
      <c r="A87" s="102"/>
      <c r="B87" s="88">
        <f>'Student Basic Info'!A86</f>
        <v>585</v>
      </c>
      <c r="C87" s="86" t="str">
        <f>'Student Basic Info'!C86</f>
        <v xml:space="preserve">Imam Hosain </v>
      </c>
      <c r="D87" s="89">
        <f>'Detailed Summary'!AK86</f>
        <v>1</v>
      </c>
      <c r="E87" s="89">
        <f>'Detailed Summary'!AL86</f>
        <v>0</v>
      </c>
      <c r="F87" s="89">
        <f>'Detailed Summary'!AM86</f>
        <v>0</v>
      </c>
      <c r="G87" s="89">
        <f>'Detailed Summary'!AN86</f>
        <v>0</v>
      </c>
      <c r="H87" s="89">
        <f>'Detailed Summary'!AO86</f>
        <v>0</v>
      </c>
      <c r="I87" s="89">
        <f>'Detailed Summary'!AP86</f>
        <v>2</v>
      </c>
      <c r="J87" s="89">
        <f>'Detailed Summary'!AR86</f>
        <v>0</v>
      </c>
      <c r="K87" s="89">
        <f>'Detailed Summary'!AS86</f>
        <v>0</v>
      </c>
      <c r="L87" s="39">
        <f>'Detailed Summary'!AU86</f>
        <v>3</v>
      </c>
      <c r="M87" s="87" t="str">
        <f>'Detailed Summary'!AV86</f>
        <v/>
      </c>
      <c r="N87" s="3" t="str">
        <f>'Detailed Summary'!BF86</f>
        <v>Failed in 4 Subjects</v>
      </c>
      <c r="O87" s="87" t="str">
        <f>'Detailed Summary'!AW86</f>
        <v/>
      </c>
      <c r="P87" s="87" t="str">
        <f>'Detailed Summary'!BJ86</f>
        <v/>
      </c>
      <c r="Q87" s="5" t="str">
        <f>'Detailed Summary'!BG86</f>
        <v/>
      </c>
      <c r="R87" s="3" t="str">
        <f>'Detailed Summary'!BI86</f>
        <v>Very Weak</v>
      </c>
    </row>
    <row r="88" spans="1:18" ht="18.5" hidden="1" customHeight="1" x14ac:dyDescent="0.45">
      <c r="A88" s="102"/>
      <c r="B88" s="88">
        <f>'Student Basic Info'!A87</f>
        <v>586</v>
      </c>
      <c r="C88" s="86" t="str">
        <f>'Student Basic Info'!C87</f>
        <v>Abdur Rahman</v>
      </c>
      <c r="D88" s="89">
        <f>'Detailed Summary'!AK87</f>
        <v>1</v>
      </c>
      <c r="E88" s="89">
        <f>'Detailed Summary'!AL87</f>
        <v>0</v>
      </c>
      <c r="F88" s="89">
        <f>'Detailed Summary'!AM87</f>
        <v>0</v>
      </c>
      <c r="G88" s="89">
        <f>'Detailed Summary'!AN87</f>
        <v>0</v>
      </c>
      <c r="H88" s="89">
        <f>'Detailed Summary'!AO87</f>
        <v>0</v>
      </c>
      <c r="I88" s="89">
        <f>'Detailed Summary'!AP87</f>
        <v>0</v>
      </c>
      <c r="J88" s="89">
        <f>'Detailed Summary'!AR87</f>
        <v>0</v>
      </c>
      <c r="K88" s="89">
        <f>'Detailed Summary'!AS87</f>
        <v>0</v>
      </c>
      <c r="L88" s="39">
        <f>'Detailed Summary'!AU87</f>
        <v>1</v>
      </c>
      <c r="M88" s="87" t="str">
        <f>'Detailed Summary'!AV87</f>
        <v/>
      </c>
      <c r="N88" s="3" t="str">
        <f>'Detailed Summary'!BF87</f>
        <v>Failed in 5 Subjects</v>
      </c>
      <c r="O88" s="87" t="str">
        <f>'Detailed Summary'!AW87</f>
        <v/>
      </c>
      <c r="P88" s="87" t="str">
        <f>'Detailed Summary'!BJ87</f>
        <v/>
      </c>
      <c r="Q88" s="5" t="str">
        <f>'Detailed Summary'!BG87</f>
        <v/>
      </c>
      <c r="R88" s="3" t="str">
        <f>'Detailed Summary'!BI87</f>
        <v>Very Weak</v>
      </c>
    </row>
    <row r="89" spans="1:18" ht="18.5" hidden="1" customHeight="1" x14ac:dyDescent="0.45">
      <c r="A89" s="102"/>
      <c r="B89" s="88">
        <f>'Student Basic Info'!A88</f>
        <v>587</v>
      </c>
      <c r="C89" s="86" t="str">
        <f>'Student Basic Info'!C88</f>
        <v xml:space="preserve">Romana Aktar </v>
      </c>
      <c r="D89" s="89">
        <f>'Detailed Summary'!AK88</f>
        <v>3</v>
      </c>
      <c r="E89" s="89">
        <f>'Detailed Summary'!AL88</f>
        <v>0</v>
      </c>
      <c r="F89" s="89">
        <f>'Detailed Summary'!AM88</f>
        <v>0</v>
      </c>
      <c r="G89" s="89">
        <f>'Detailed Summary'!AN88</f>
        <v>0</v>
      </c>
      <c r="H89" s="89">
        <f>'Detailed Summary'!AO88</f>
        <v>0</v>
      </c>
      <c r="I89" s="89">
        <f>'Detailed Summary'!AP88</f>
        <v>2</v>
      </c>
      <c r="J89" s="89">
        <f>'Detailed Summary'!AR88</f>
        <v>0</v>
      </c>
      <c r="K89" s="89">
        <f>'Detailed Summary'!AS88</f>
        <v>0</v>
      </c>
      <c r="L89" s="39">
        <f>'Detailed Summary'!AU88</f>
        <v>5</v>
      </c>
      <c r="M89" s="87" t="str">
        <f>'Detailed Summary'!AV88</f>
        <v/>
      </c>
      <c r="N89" s="3" t="str">
        <f>'Detailed Summary'!BF88</f>
        <v>Failed in 4 Subjects</v>
      </c>
      <c r="O89" s="87" t="str">
        <f>'Detailed Summary'!AW88</f>
        <v/>
      </c>
      <c r="P89" s="87" t="str">
        <f>'Detailed Summary'!BJ88</f>
        <v/>
      </c>
      <c r="Q89" s="5" t="str">
        <f>'Detailed Summary'!BG88</f>
        <v/>
      </c>
      <c r="R89" s="3" t="str">
        <f>'Detailed Summary'!BI88</f>
        <v>Very Weak</v>
      </c>
    </row>
    <row r="90" spans="1:18" ht="18.5" hidden="1" customHeight="1" x14ac:dyDescent="0.45">
      <c r="A90" s="102"/>
      <c r="B90" s="88">
        <f>'Student Basic Info'!A89</f>
        <v>588</v>
      </c>
      <c r="C90" s="86" t="str">
        <f>'Student Basic Info'!C89</f>
        <v>Prithika Rani Debi</v>
      </c>
      <c r="D90" s="89">
        <f>'Detailed Summary'!AK89</f>
        <v>3</v>
      </c>
      <c r="E90" s="89">
        <f>'Detailed Summary'!AL89</f>
        <v>0</v>
      </c>
      <c r="F90" s="89">
        <f>'Detailed Summary'!AM89</f>
        <v>0</v>
      </c>
      <c r="G90" s="89">
        <f>'Detailed Summary'!AN89</f>
        <v>0</v>
      </c>
      <c r="H90" s="89">
        <f>'Detailed Summary'!AO89</f>
        <v>0</v>
      </c>
      <c r="I90" s="89">
        <f>'Detailed Summary'!AP89</f>
        <v>2</v>
      </c>
      <c r="J90" s="89">
        <f>'Detailed Summary'!AR89</f>
        <v>0</v>
      </c>
      <c r="K90" s="89">
        <f>'Detailed Summary'!AS89</f>
        <v>0</v>
      </c>
      <c r="L90" s="39">
        <f>'Detailed Summary'!AU89</f>
        <v>5</v>
      </c>
      <c r="M90" s="87" t="str">
        <f>'Detailed Summary'!AV89</f>
        <v/>
      </c>
      <c r="N90" s="3" t="str">
        <f>'Detailed Summary'!BF89</f>
        <v>Failed in 4 Subjects</v>
      </c>
      <c r="O90" s="87" t="str">
        <f>'Detailed Summary'!AW89</f>
        <v/>
      </c>
      <c r="P90" s="87" t="str">
        <f>'Detailed Summary'!BJ89</f>
        <v/>
      </c>
      <c r="Q90" s="5" t="str">
        <f>'Detailed Summary'!BG89</f>
        <v/>
      </c>
      <c r="R90" s="3" t="str">
        <f>'Detailed Summary'!BI89</f>
        <v>Very Weak</v>
      </c>
    </row>
    <row r="91" spans="1:18" ht="18.5" hidden="1" customHeight="1" x14ac:dyDescent="0.45">
      <c r="A91" s="102"/>
      <c r="B91" s="88">
        <f>'Student Basic Info'!A90</f>
        <v>589</v>
      </c>
      <c r="C91" s="86" t="str">
        <f>'Student Basic Info'!C90</f>
        <v>Mohammad Shahriyar Nafiz</v>
      </c>
      <c r="D91" s="89" t="str">
        <f>'Detailed Summary'!AK90</f>
        <v/>
      </c>
      <c r="E91" s="89" t="str">
        <f>'Detailed Summary'!AL90</f>
        <v/>
      </c>
      <c r="F91" s="89" t="str">
        <f>'Detailed Summary'!AM90</f>
        <v/>
      </c>
      <c r="G91" s="89" t="str">
        <f>'Detailed Summary'!AN90</f>
        <v/>
      </c>
      <c r="H91" s="89" t="str">
        <f>'Detailed Summary'!AO90</f>
        <v/>
      </c>
      <c r="I91" s="89" t="str">
        <f>'Detailed Summary'!AP90</f>
        <v/>
      </c>
      <c r="J91" s="89" t="str">
        <f>'Detailed Summary'!AR90</f>
        <v/>
      </c>
      <c r="K91" s="89" t="str">
        <f>'Detailed Summary'!AS90</f>
        <v/>
      </c>
      <c r="L91" s="39">
        <f>'Detailed Summary'!AU90</f>
        <v>0</v>
      </c>
      <c r="M91" s="87" t="str">
        <f>'Detailed Summary'!AV90</f>
        <v/>
      </c>
      <c r="N91" s="3" t="str">
        <f>'Detailed Summary'!BF90</f>
        <v>Failed in 6 Subjects</v>
      </c>
      <c r="O91" s="87" t="str">
        <f>'Detailed Summary'!AW90</f>
        <v/>
      </c>
      <c r="P91" s="87" t="str">
        <f>'Detailed Summary'!BJ90</f>
        <v/>
      </c>
      <c r="Q91" s="5" t="str">
        <f>'Detailed Summary'!BG90</f>
        <v/>
      </c>
      <c r="R91" s="3" t="str">
        <f>'Detailed Summary'!BI90</f>
        <v>Very Weak</v>
      </c>
    </row>
    <row r="92" spans="1:18" ht="18.5" hidden="1" customHeight="1" x14ac:dyDescent="0.45">
      <c r="A92" s="102"/>
      <c r="B92" s="88">
        <f>'Student Basic Info'!A91</f>
        <v>590</v>
      </c>
      <c r="C92" s="86" t="str">
        <f>'Student Basic Info'!C91</f>
        <v>Rumpa Rani Debi</v>
      </c>
      <c r="D92" s="89" t="str">
        <f>'Detailed Summary'!AK91</f>
        <v/>
      </c>
      <c r="E92" s="89" t="str">
        <f>'Detailed Summary'!AL91</f>
        <v/>
      </c>
      <c r="F92" s="89" t="str">
        <f>'Detailed Summary'!AM91</f>
        <v/>
      </c>
      <c r="G92" s="89" t="str">
        <f>'Detailed Summary'!AN91</f>
        <v/>
      </c>
      <c r="H92" s="89" t="str">
        <f>'Detailed Summary'!AO91</f>
        <v/>
      </c>
      <c r="I92" s="89" t="str">
        <f>'Detailed Summary'!AP91</f>
        <v/>
      </c>
      <c r="J92" s="89" t="str">
        <f>'Detailed Summary'!AR91</f>
        <v/>
      </c>
      <c r="K92" s="89" t="str">
        <f>'Detailed Summary'!AS91</f>
        <v/>
      </c>
      <c r="L92" s="39">
        <f>'Detailed Summary'!AU91</f>
        <v>0</v>
      </c>
      <c r="M92" s="87" t="str">
        <f>'Detailed Summary'!AV91</f>
        <v/>
      </c>
      <c r="N92" s="3" t="str">
        <f>'Detailed Summary'!BF91</f>
        <v>Failed in 6 Subjects</v>
      </c>
      <c r="O92" s="87" t="str">
        <f>'Detailed Summary'!AW91</f>
        <v/>
      </c>
      <c r="P92" s="87" t="str">
        <f>'Detailed Summary'!BJ91</f>
        <v/>
      </c>
      <c r="Q92" s="5" t="str">
        <f>'Detailed Summary'!BG91</f>
        <v/>
      </c>
      <c r="R92" s="3" t="str">
        <f>'Detailed Summary'!BI91</f>
        <v>Very Weak</v>
      </c>
    </row>
    <row r="93" spans="1:18" ht="18.5" hidden="1" customHeight="1" x14ac:dyDescent="0.45">
      <c r="A93" s="102"/>
      <c r="B93" s="88">
        <f>'Student Basic Info'!A92</f>
        <v>591</v>
      </c>
      <c r="C93" s="86" t="str">
        <f>'Student Basic Info'!C92</f>
        <v>Saiful Islam</v>
      </c>
      <c r="D93" s="89">
        <f>'Detailed Summary'!AK92</f>
        <v>2</v>
      </c>
      <c r="E93" s="89">
        <f>'Detailed Summary'!AL92</f>
        <v>1</v>
      </c>
      <c r="F93" s="89">
        <f>'Detailed Summary'!AM92</f>
        <v>3</v>
      </c>
      <c r="G93" s="89">
        <f>'Detailed Summary'!AN92</f>
        <v>0</v>
      </c>
      <c r="H93" s="89">
        <f>'Detailed Summary'!AO92</f>
        <v>0</v>
      </c>
      <c r="I93" s="89">
        <f>'Detailed Summary'!AP92</f>
        <v>0</v>
      </c>
      <c r="J93" s="89">
        <f>'Detailed Summary'!AR92</f>
        <v>0</v>
      </c>
      <c r="K93" s="89">
        <f>'Detailed Summary'!AS92</f>
        <v>0</v>
      </c>
      <c r="L93" s="39">
        <f>'Detailed Summary'!AU92</f>
        <v>6</v>
      </c>
      <c r="M93" s="87" t="str">
        <f>'Detailed Summary'!AV92</f>
        <v/>
      </c>
      <c r="N93" s="3" t="str">
        <f>'Detailed Summary'!BF92</f>
        <v>Failed in 3 Subjects</v>
      </c>
      <c r="O93" s="87" t="str">
        <f>'Detailed Summary'!AW92</f>
        <v/>
      </c>
      <c r="P93" s="87" t="str">
        <f>'Detailed Summary'!BJ92</f>
        <v/>
      </c>
      <c r="Q93" s="5" t="str">
        <f>'Detailed Summary'!BG92</f>
        <v/>
      </c>
      <c r="R93" s="3" t="str">
        <f>'Detailed Summary'!BI92</f>
        <v>Very Weak</v>
      </c>
    </row>
    <row r="94" spans="1:18" ht="18.5" hidden="1" customHeight="1" x14ac:dyDescent="0.45">
      <c r="A94" s="102"/>
      <c r="B94" s="88">
        <f>'Student Basic Info'!A93</f>
        <v>592</v>
      </c>
      <c r="C94" s="86" t="str">
        <f>'Student Basic Info'!C93</f>
        <v>Zohirul Islam</v>
      </c>
      <c r="D94" s="89">
        <f>'Detailed Summary'!AK93</f>
        <v>0</v>
      </c>
      <c r="E94" s="89">
        <f>'Detailed Summary'!AL93</f>
        <v>0</v>
      </c>
      <c r="F94" s="89">
        <f>'Detailed Summary'!AM93</f>
        <v>0</v>
      </c>
      <c r="G94" s="89">
        <f>'Detailed Summary'!AN93</f>
        <v>0</v>
      </c>
      <c r="H94" s="89">
        <f>'Detailed Summary'!AO93</f>
        <v>0</v>
      </c>
      <c r="I94" s="89">
        <f>'Detailed Summary'!AP93</f>
        <v>0</v>
      </c>
      <c r="J94" s="89">
        <f>'Detailed Summary'!AR93</f>
        <v>0</v>
      </c>
      <c r="K94" s="89">
        <f>'Detailed Summary'!AS93</f>
        <v>0</v>
      </c>
      <c r="L94" s="39">
        <f>'Detailed Summary'!AU93</f>
        <v>0</v>
      </c>
      <c r="M94" s="87" t="str">
        <f>'Detailed Summary'!AV93</f>
        <v/>
      </c>
      <c r="N94" s="3" t="str">
        <f>'Detailed Summary'!BF93</f>
        <v>Failed in 6 Subjects</v>
      </c>
      <c r="O94" s="87" t="str">
        <f>'Detailed Summary'!AW93</f>
        <v/>
      </c>
      <c r="P94" s="87" t="str">
        <f>'Detailed Summary'!BJ93</f>
        <v/>
      </c>
      <c r="Q94" s="5" t="str">
        <f>'Detailed Summary'!BG93</f>
        <v/>
      </c>
      <c r="R94" s="3" t="str">
        <f>'Detailed Summary'!BI93</f>
        <v>Very Weak</v>
      </c>
    </row>
    <row r="95" spans="1:18" ht="18.5" hidden="1" customHeight="1" x14ac:dyDescent="0.45">
      <c r="A95" s="102"/>
      <c r="B95" s="88">
        <f>'Student Basic Info'!A94</f>
        <v>593</v>
      </c>
      <c r="C95" s="86" t="str">
        <f>'Student Basic Info'!C94</f>
        <v>Jahedul Islam</v>
      </c>
      <c r="D95" s="89">
        <f>'Detailed Summary'!AK94</f>
        <v>2</v>
      </c>
      <c r="E95" s="89">
        <f>'Detailed Summary'!AL94</f>
        <v>2</v>
      </c>
      <c r="F95" s="89">
        <f>'Detailed Summary'!AM94</f>
        <v>0</v>
      </c>
      <c r="G95" s="89">
        <f>'Detailed Summary'!AN94</f>
        <v>0</v>
      </c>
      <c r="H95" s="89">
        <f>'Detailed Summary'!AO94</f>
        <v>0</v>
      </c>
      <c r="I95" s="89">
        <f>'Detailed Summary'!AP94</f>
        <v>0</v>
      </c>
      <c r="J95" s="89">
        <f>'Detailed Summary'!AR94</f>
        <v>0</v>
      </c>
      <c r="K95" s="89">
        <f>'Detailed Summary'!AS94</f>
        <v>0</v>
      </c>
      <c r="L95" s="39">
        <f>'Detailed Summary'!AU94</f>
        <v>4</v>
      </c>
      <c r="M95" s="87" t="str">
        <f>'Detailed Summary'!AV94</f>
        <v/>
      </c>
      <c r="N95" s="3" t="str">
        <f>'Detailed Summary'!BF94</f>
        <v>Failed in 4 Subjects</v>
      </c>
      <c r="O95" s="87" t="str">
        <f>'Detailed Summary'!AW94</f>
        <v/>
      </c>
      <c r="P95" s="87" t="str">
        <f>'Detailed Summary'!BJ94</f>
        <v/>
      </c>
      <c r="Q95" s="5" t="str">
        <f>'Detailed Summary'!BG94</f>
        <v/>
      </c>
      <c r="R95" s="3" t="str">
        <f>'Detailed Summary'!BI94</f>
        <v>Very Weak</v>
      </c>
    </row>
    <row r="96" spans="1:18" ht="18.5" hidden="1" customHeight="1" x14ac:dyDescent="0.45">
      <c r="A96" s="102"/>
      <c r="B96" s="88">
        <f>'Student Basic Info'!A95</f>
        <v>594</v>
      </c>
      <c r="C96" s="86" t="str">
        <f>'Student Basic Info'!C95</f>
        <v>Ali Hosain</v>
      </c>
      <c r="D96" s="89" t="str">
        <f>'Detailed Summary'!AK95</f>
        <v/>
      </c>
      <c r="E96" s="89" t="str">
        <f>'Detailed Summary'!AL95</f>
        <v/>
      </c>
      <c r="F96" s="89" t="str">
        <f>'Detailed Summary'!AM95</f>
        <v/>
      </c>
      <c r="G96" s="89" t="str">
        <f>'Detailed Summary'!AN95</f>
        <v/>
      </c>
      <c r="H96" s="89" t="str">
        <f>'Detailed Summary'!AO95</f>
        <v/>
      </c>
      <c r="I96" s="89" t="str">
        <f>'Detailed Summary'!AP95</f>
        <v/>
      </c>
      <c r="J96" s="89" t="str">
        <f>'Detailed Summary'!AR95</f>
        <v/>
      </c>
      <c r="K96" s="89" t="str">
        <f>'Detailed Summary'!AS95</f>
        <v/>
      </c>
      <c r="L96" s="39">
        <f>'Detailed Summary'!AU95</f>
        <v>0</v>
      </c>
      <c r="M96" s="87" t="str">
        <f>'Detailed Summary'!AV95</f>
        <v/>
      </c>
      <c r="N96" s="3" t="str">
        <f>'Detailed Summary'!BF95</f>
        <v>Failed in 6 Subjects</v>
      </c>
      <c r="O96" s="87" t="str">
        <f>'Detailed Summary'!AW95</f>
        <v/>
      </c>
      <c r="P96" s="87" t="str">
        <f>'Detailed Summary'!BJ95</f>
        <v/>
      </c>
      <c r="Q96" s="5" t="str">
        <f>'Detailed Summary'!BG95</f>
        <v/>
      </c>
      <c r="R96" s="3" t="str">
        <f>'Detailed Summary'!BI95</f>
        <v>Very Weak</v>
      </c>
    </row>
    <row r="97" spans="1:18" ht="18.5" hidden="1" customHeight="1" x14ac:dyDescent="0.45">
      <c r="A97" s="102"/>
      <c r="B97" s="88">
        <f>'Student Basic Info'!A96</f>
        <v>595</v>
      </c>
      <c r="C97" s="86" t="str">
        <f>'Student Basic Info'!C96</f>
        <v>Md. Saiful Islam</v>
      </c>
      <c r="D97" s="89" t="str">
        <f>'Detailed Summary'!AK96</f>
        <v/>
      </c>
      <c r="E97" s="89" t="str">
        <f>'Detailed Summary'!AL96</f>
        <v/>
      </c>
      <c r="F97" s="89" t="str">
        <f>'Detailed Summary'!AM96</f>
        <v/>
      </c>
      <c r="G97" s="89" t="str">
        <f>'Detailed Summary'!AN96</f>
        <v/>
      </c>
      <c r="H97" s="89" t="str">
        <f>'Detailed Summary'!AO96</f>
        <v/>
      </c>
      <c r="I97" s="89" t="str">
        <f>'Detailed Summary'!AP96</f>
        <v/>
      </c>
      <c r="J97" s="89" t="str">
        <f>'Detailed Summary'!AR96</f>
        <v/>
      </c>
      <c r="K97" s="89" t="str">
        <f>'Detailed Summary'!AS96</f>
        <v/>
      </c>
      <c r="L97" s="39">
        <f>'Detailed Summary'!AU96</f>
        <v>0</v>
      </c>
      <c r="M97" s="87" t="str">
        <f>'Detailed Summary'!AV96</f>
        <v/>
      </c>
      <c r="N97" s="3" t="str">
        <f>'Detailed Summary'!BF96</f>
        <v>Failed in 6 Subjects</v>
      </c>
      <c r="O97" s="87" t="str">
        <f>'Detailed Summary'!AW96</f>
        <v/>
      </c>
      <c r="P97" s="87" t="str">
        <f>'Detailed Summary'!BJ96</f>
        <v/>
      </c>
      <c r="Q97" s="5" t="str">
        <f>'Detailed Summary'!BG96</f>
        <v/>
      </c>
      <c r="R97" s="3" t="str">
        <f>'Detailed Summary'!BI96</f>
        <v>Very Weak</v>
      </c>
    </row>
    <row r="98" spans="1:18" ht="18.5" hidden="1" customHeight="1" x14ac:dyDescent="0.45">
      <c r="A98" s="102"/>
      <c r="B98" s="88">
        <f>'Student Basic Info'!A97</f>
        <v>596</v>
      </c>
      <c r="C98" s="86" t="str">
        <f>'Student Basic Info'!C97</f>
        <v>Ashiqur Rahman</v>
      </c>
      <c r="D98" s="89" t="str">
        <f>'Detailed Summary'!AK97</f>
        <v/>
      </c>
      <c r="E98" s="89" t="str">
        <f>'Detailed Summary'!AL97</f>
        <v/>
      </c>
      <c r="F98" s="89" t="str">
        <f>'Detailed Summary'!AM97</f>
        <v/>
      </c>
      <c r="G98" s="89" t="str">
        <f>'Detailed Summary'!AN97</f>
        <v/>
      </c>
      <c r="H98" s="89" t="str">
        <f>'Detailed Summary'!AO97</f>
        <v/>
      </c>
      <c r="I98" s="89" t="str">
        <f>'Detailed Summary'!AP97</f>
        <v/>
      </c>
      <c r="J98" s="89" t="str">
        <f>'Detailed Summary'!AR97</f>
        <v/>
      </c>
      <c r="K98" s="89" t="str">
        <f>'Detailed Summary'!AS97</f>
        <v/>
      </c>
      <c r="L98" s="39">
        <f>'Detailed Summary'!AU97</f>
        <v>0</v>
      </c>
      <c r="M98" s="87" t="str">
        <f>'Detailed Summary'!AV97</f>
        <v/>
      </c>
      <c r="N98" s="3" t="str">
        <f>'Detailed Summary'!BF97</f>
        <v>Failed in 6 Subjects</v>
      </c>
      <c r="O98" s="87" t="str">
        <f>'Detailed Summary'!AW97</f>
        <v/>
      </c>
      <c r="P98" s="87" t="str">
        <f>'Detailed Summary'!BJ97</f>
        <v/>
      </c>
      <c r="Q98" s="5" t="str">
        <f>'Detailed Summary'!BG97</f>
        <v/>
      </c>
      <c r="R98" s="3" t="str">
        <f>'Detailed Summary'!BI97</f>
        <v>Very Weak</v>
      </c>
    </row>
    <row r="99" spans="1:18" ht="18.5" hidden="1" customHeight="1" x14ac:dyDescent="0.45">
      <c r="A99" s="102"/>
      <c r="B99" s="88">
        <f>'Student Basic Info'!A98</f>
        <v>597</v>
      </c>
      <c r="C99" s="86" t="str">
        <f>'Student Basic Info'!C98</f>
        <v>Md. Shahadat Hosain Shakib</v>
      </c>
      <c r="D99" s="89" t="str">
        <f>'Detailed Summary'!AK98</f>
        <v/>
      </c>
      <c r="E99" s="89" t="str">
        <f>'Detailed Summary'!AL98</f>
        <v/>
      </c>
      <c r="F99" s="89" t="str">
        <f>'Detailed Summary'!AM98</f>
        <v/>
      </c>
      <c r="G99" s="89" t="str">
        <f>'Detailed Summary'!AN98</f>
        <v/>
      </c>
      <c r="H99" s="89" t="str">
        <f>'Detailed Summary'!AO98</f>
        <v/>
      </c>
      <c r="I99" s="89" t="str">
        <f>'Detailed Summary'!AP98</f>
        <v/>
      </c>
      <c r="J99" s="89" t="str">
        <f>'Detailed Summary'!AR98</f>
        <v/>
      </c>
      <c r="K99" s="89" t="str">
        <f>'Detailed Summary'!AS98</f>
        <v/>
      </c>
      <c r="L99" s="39">
        <f>'Detailed Summary'!AU98</f>
        <v>0</v>
      </c>
      <c r="M99" s="87" t="str">
        <f>'Detailed Summary'!AV98</f>
        <v/>
      </c>
      <c r="N99" s="3" t="str">
        <f>'Detailed Summary'!BF98</f>
        <v>Failed in 6 Subjects</v>
      </c>
      <c r="O99" s="87" t="str">
        <f>'Detailed Summary'!AW98</f>
        <v/>
      </c>
      <c r="P99" s="87" t="str">
        <f>'Detailed Summary'!BJ98</f>
        <v/>
      </c>
      <c r="Q99" s="5" t="str">
        <f>'Detailed Summary'!BG98</f>
        <v/>
      </c>
      <c r="R99" s="3" t="str">
        <f>'Detailed Summary'!BI98</f>
        <v>Very Weak</v>
      </c>
    </row>
    <row r="100" spans="1:18" ht="18.5" hidden="1" customHeight="1" x14ac:dyDescent="0.45">
      <c r="A100" s="102"/>
      <c r="B100" s="88">
        <f>'Student Basic Info'!A99</f>
        <v>598</v>
      </c>
      <c r="C100" s="86" t="str">
        <f>'Student Basic Info'!C99</f>
        <v>Shekh Shourov</v>
      </c>
      <c r="D100" s="89" t="str">
        <f>'Detailed Summary'!AK99</f>
        <v/>
      </c>
      <c r="E100" s="89" t="str">
        <f>'Detailed Summary'!AL99</f>
        <v/>
      </c>
      <c r="F100" s="89" t="str">
        <f>'Detailed Summary'!AM99</f>
        <v/>
      </c>
      <c r="G100" s="89" t="str">
        <f>'Detailed Summary'!AN99</f>
        <v/>
      </c>
      <c r="H100" s="89" t="str">
        <f>'Detailed Summary'!AO99</f>
        <v/>
      </c>
      <c r="I100" s="89" t="str">
        <f>'Detailed Summary'!AP99</f>
        <v/>
      </c>
      <c r="J100" s="89" t="str">
        <f>'Detailed Summary'!AR99</f>
        <v/>
      </c>
      <c r="K100" s="89" t="str">
        <f>'Detailed Summary'!AS99</f>
        <v/>
      </c>
      <c r="L100" s="39">
        <f>'Detailed Summary'!AU99</f>
        <v>0</v>
      </c>
      <c r="M100" s="87" t="str">
        <f>'Detailed Summary'!AV99</f>
        <v/>
      </c>
      <c r="N100" s="3" t="str">
        <f>'Detailed Summary'!BF99</f>
        <v>Failed in 6 Subjects</v>
      </c>
      <c r="O100" s="87" t="str">
        <f>'Detailed Summary'!AW99</f>
        <v/>
      </c>
      <c r="P100" s="87" t="str">
        <f>'Detailed Summary'!BJ99</f>
        <v/>
      </c>
      <c r="Q100" s="5" t="str">
        <f>'Detailed Summary'!BG99</f>
        <v/>
      </c>
      <c r="R100" s="3" t="str">
        <f>'Detailed Summary'!BI99</f>
        <v>Very Weak</v>
      </c>
    </row>
    <row r="101" spans="1:18" ht="18.5" hidden="1" customHeight="1" x14ac:dyDescent="0.45">
      <c r="A101" s="102"/>
      <c r="B101" s="88">
        <f>'Student Basic Info'!A100</f>
        <v>599</v>
      </c>
      <c r="C101" s="86" t="str">
        <f>'Student Basic Info'!C100</f>
        <v>Maliha Aktar</v>
      </c>
      <c r="D101" s="89" t="str">
        <f>'Detailed Summary'!AK100</f>
        <v/>
      </c>
      <c r="E101" s="89" t="str">
        <f>'Detailed Summary'!AL100</f>
        <v/>
      </c>
      <c r="F101" s="89" t="str">
        <f>'Detailed Summary'!AM100</f>
        <v/>
      </c>
      <c r="G101" s="89" t="str">
        <f>'Detailed Summary'!AN100</f>
        <v/>
      </c>
      <c r="H101" s="89" t="str">
        <f>'Detailed Summary'!AO100</f>
        <v/>
      </c>
      <c r="I101" s="89" t="str">
        <f>'Detailed Summary'!AP100</f>
        <v/>
      </c>
      <c r="J101" s="89" t="str">
        <f>'Detailed Summary'!AR100</f>
        <v/>
      </c>
      <c r="K101" s="89" t="str">
        <f>'Detailed Summary'!AS100</f>
        <v/>
      </c>
      <c r="L101" s="39">
        <f>'Detailed Summary'!AU100</f>
        <v>0</v>
      </c>
      <c r="M101" s="87" t="str">
        <f>'Detailed Summary'!AV100</f>
        <v/>
      </c>
      <c r="N101" s="3" t="str">
        <f>'Detailed Summary'!BF100</f>
        <v>Failed in 6 Subjects</v>
      </c>
      <c r="O101" s="87" t="str">
        <f>'Detailed Summary'!AW100</f>
        <v/>
      </c>
      <c r="P101" s="87" t="str">
        <f>'Detailed Summary'!BJ100</f>
        <v/>
      </c>
      <c r="Q101" s="5" t="str">
        <f>'Detailed Summary'!BG100</f>
        <v/>
      </c>
      <c r="R101" s="3" t="str">
        <f>'Detailed Summary'!BI100</f>
        <v>Very Weak</v>
      </c>
    </row>
    <row r="102" spans="1:18" ht="18.5" hidden="1" customHeight="1" x14ac:dyDescent="0.45">
      <c r="A102" s="102"/>
      <c r="B102" s="88">
        <f>'Student Basic Info'!A101</f>
        <v>600</v>
      </c>
      <c r="C102" s="86" t="str">
        <f>'Student Basic Info'!C101</f>
        <v>Nazmun Sabik Siyam</v>
      </c>
      <c r="D102" s="89">
        <f>'Detailed Summary'!AK101</f>
        <v>0</v>
      </c>
      <c r="E102" s="89">
        <f>'Detailed Summary'!AL101</f>
        <v>0</v>
      </c>
      <c r="F102" s="89">
        <f>'Detailed Summary'!AM101</f>
        <v>0</v>
      </c>
      <c r="G102" s="89">
        <f>'Detailed Summary'!AN101</f>
        <v>0</v>
      </c>
      <c r="H102" s="89">
        <f>'Detailed Summary'!AO101</f>
        <v>0</v>
      </c>
      <c r="I102" s="89" t="str">
        <f>'Detailed Summary'!AP101</f>
        <v/>
      </c>
      <c r="J102" s="89">
        <f>'Detailed Summary'!AR101</f>
        <v>0</v>
      </c>
      <c r="K102" s="89">
        <f>'Detailed Summary'!AS101</f>
        <v>0</v>
      </c>
      <c r="L102" s="39">
        <f>'Detailed Summary'!AU101</f>
        <v>0</v>
      </c>
      <c r="M102" s="87" t="str">
        <f>'Detailed Summary'!AV101</f>
        <v/>
      </c>
      <c r="N102" s="3" t="str">
        <f>'Detailed Summary'!BF101</f>
        <v>Failed in 6 Subjects</v>
      </c>
      <c r="O102" s="87" t="str">
        <f>'Detailed Summary'!AW101</f>
        <v/>
      </c>
      <c r="P102" s="87" t="str">
        <f>'Detailed Summary'!BJ101</f>
        <v/>
      </c>
      <c r="Q102" s="5" t="str">
        <f>'Detailed Summary'!BG101</f>
        <v/>
      </c>
      <c r="R102" s="3" t="str">
        <f>'Detailed Summary'!BI101</f>
        <v>Very Weak</v>
      </c>
    </row>
    <row r="103" spans="1:18" ht="18.5" hidden="1" customHeight="1" x14ac:dyDescent="0.45">
      <c r="A103" s="102"/>
      <c r="B103" s="88">
        <f>'Student Basic Info'!A102</f>
        <v>601</v>
      </c>
      <c r="C103" s="86" t="str">
        <f>'Student Basic Info'!C102</f>
        <v>Md. Ali Ashraf</v>
      </c>
      <c r="D103" s="89">
        <f>'Detailed Summary'!AK102</f>
        <v>0</v>
      </c>
      <c r="E103" s="89">
        <f>'Detailed Summary'!AL102</f>
        <v>0</v>
      </c>
      <c r="F103" s="89">
        <f>'Detailed Summary'!AM102</f>
        <v>0</v>
      </c>
      <c r="G103" s="89">
        <f>'Detailed Summary'!AN102</f>
        <v>0</v>
      </c>
      <c r="H103" s="89">
        <f>'Detailed Summary'!AO102</f>
        <v>0</v>
      </c>
      <c r="I103" s="89">
        <f>'Detailed Summary'!AP102</f>
        <v>0</v>
      </c>
      <c r="J103" s="89">
        <f>'Detailed Summary'!AR102</f>
        <v>0</v>
      </c>
      <c r="K103" s="89">
        <f>'Detailed Summary'!AS102</f>
        <v>0</v>
      </c>
      <c r="L103" s="39">
        <f>'Detailed Summary'!AU102</f>
        <v>0</v>
      </c>
      <c r="M103" s="87" t="str">
        <f>'Detailed Summary'!AV102</f>
        <v/>
      </c>
      <c r="N103" s="3" t="str">
        <f>'Detailed Summary'!BF102</f>
        <v>Failed in 6 Subjects</v>
      </c>
      <c r="O103" s="87" t="str">
        <f>'Detailed Summary'!AW102</f>
        <v/>
      </c>
      <c r="P103" s="87" t="str">
        <f>'Detailed Summary'!BJ102</f>
        <v/>
      </c>
      <c r="Q103" s="5" t="str">
        <f>'Detailed Summary'!BG102</f>
        <v/>
      </c>
      <c r="R103" s="3" t="str">
        <f>'Detailed Summary'!BI102</f>
        <v>Very Weak</v>
      </c>
    </row>
    <row r="104" spans="1:18" ht="18.5" hidden="1" customHeight="1" x14ac:dyDescent="0.45">
      <c r="A104" s="102"/>
      <c r="B104" s="88">
        <f>'Student Basic Info'!A103</f>
        <v>602</v>
      </c>
      <c r="C104" s="86" t="str">
        <f>'Student Basic Info'!C103</f>
        <v>Abu Sufiyan Noyon</v>
      </c>
      <c r="D104" s="89" t="str">
        <f>'Detailed Summary'!AK103</f>
        <v/>
      </c>
      <c r="E104" s="89" t="str">
        <f>'Detailed Summary'!AL103</f>
        <v/>
      </c>
      <c r="F104" s="89" t="str">
        <f>'Detailed Summary'!AM103</f>
        <v/>
      </c>
      <c r="G104" s="89" t="str">
        <f>'Detailed Summary'!AN103</f>
        <v/>
      </c>
      <c r="H104" s="89" t="str">
        <f>'Detailed Summary'!AO103</f>
        <v/>
      </c>
      <c r="I104" s="89" t="str">
        <f>'Detailed Summary'!AP103</f>
        <v/>
      </c>
      <c r="J104" s="89" t="str">
        <f>'Detailed Summary'!AR103</f>
        <v/>
      </c>
      <c r="K104" s="89" t="str">
        <f>'Detailed Summary'!AS103</f>
        <v/>
      </c>
      <c r="L104" s="39">
        <f>'Detailed Summary'!AU103</f>
        <v>0</v>
      </c>
      <c r="M104" s="87" t="str">
        <f>'Detailed Summary'!AV103</f>
        <v/>
      </c>
      <c r="N104" s="3" t="str">
        <f>'Detailed Summary'!BF103</f>
        <v>Failed in 6 Subjects</v>
      </c>
      <c r="O104" s="87" t="str">
        <f>'Detailed Summary'!AW103</f>
        <v/>
      </c>
      <c r="P104" s="87" t="str">
        <f>'Detailed Summary'!BJ103</f>
        <v/>
      </c>
      <c r="Q104" s="5" t="str">
        <f>'Detailed Summary'!BG103</f>
        <v/>
      </c>
      <c r="R104" s="3" t="str">
        <f>'Detailed Summary'!BI103</f>
        <v>Very Weak</v>
      </c>
    </row>
    <row r="105" spans="1:18" ht="18.5" hidden="1" customHeight="1" x14ac:dyDescent="0.45">
      <c r="A105" s="102"/>
      <c r="B105" s="88">
        <f>'Student Basic Info'!A104</f>
        <v>603</v>
      </c>
      <c r="C105" s="86" t="str">
        <f>'Student Basic Info'!C104</f>
        <v>Md. Omor Ali Zidan</v>
      </c>
      <c r="D105" s="89" t="str">
        <f>'Detailed Summary'!AK104</f>
        <v/>
      </c>
      <c r="E105" s="89" t="str">
        <f>'Detailed Summary'!AL104</f>
        <v/>
      </c>
      <c r="F105" s="89" t="str">
        <f>'Detailed Summary'!AM104</f>
        <v/>
      </c>
      <c r="G105" s="89" t="str">
        <f>'Detailed Summary'!AN104</f>
        <v/>
      </c>
      <c r="H105" s="89" t="str">
        <f>'Detailed Summary'!AO104</f>
        <v/>
      </c>
      <c r="I105" s="89" t="str">
        <f>'Detailed Summary'!AP104</f>
        <v/>
      </c>
      <c r="J105" s="89" t="str">
        <f>'Detailed Summary'!AR104</f>
        <v/>
      </c>
      <c r="K105" s="89" t="str">
        <f>'Detailed Summary'!AS104</f>
        <v/>
      </c>
      <c r="L105" s="39">
        <f>'Detailed Summary'!AU104</f>
        <v>0</v>
      </c>
      <c r="M105" s="87" t="str">
        <f>'Detailed Summary'!AV104</f>
        <v/>
      </c>
      <c r="N105" s="3" t="str">
        <f>'Detailed Summary'!BF104</f>
        <v>Failed in 6 Subjects</v>
      </c>
      <c r="O105" s="87" t="str">
        <f>'Detailed Summary'!AW104</f>
        <v/>
      </c>
      <c r="P105" s="87" t="str">
        <f>'Detailed Summary'!BJ104</f>
        <v/>
      </c>
      <c r="Q105" s="5" t="str">
        <f>'Detailed Summary'!BG104</f>
        <v/>
      </c>
      <c r="R105" s="3" t="str">
        <f>'Detailed Summary'!BI104</f>
        <v>Very Weak</v>
      </c>
    </row>
    <row r="106" spans="1:18" ht="18.5" hidden="1" customHeight="1" x14ac:dyDescent="0.45">
      <c r="A106" s="102"/>
      <c r="B106" s="88">
        <f>'Student Basic Info'!A105</f>
        <v>604</v>
      </c>
      <c r="C106" s="86" t="str">
        <f>'Student Basic Info'!C105</f>
        <v>Eti</v>
      </c>
      <c r="D106" s="89" t="str">
        <f>'Detailed Summary'!AK105</f>
        <v/>
      </c>
      <c r="E106" s="89" t="str">
        <f>'Detailed Summary'!AL105</f>
        <v/>
      </c>
      <c r="F106" s="89" t="str">
        <f>'Detailed Summary'!AM105</f>
        <v/>
      </c>
      <c r="G106" s="89" t="str">
        <f>'Detailed Summary'!AN105</f>
        <v/>
      </c>
      <c r="H106" s="89" t="str">
        <f>'Detailed Summary'!AO105</f>
        <v/>
      </c>
      <c r="I106" s="89" t="str">
        <f>'Detailed Summary'!AP105</f>
        <v/>
      </c>
      <c r="J106" s="89" t="str">
        <f>'Detailed Summary'!AR105</f>
        <v/>
      </c>
      <c r="K106" s="89" t="str">
        <f>'Detailed Summary'!AS105</f>
        <v/>
      </c>
      <c r="L106" s="39">
        <f>'Detailed Summary'!AU105</f>
        <v>0</v>
      </c>
      <c r="M106" s="87" t="str">
        <f>'Detailed Summary'!AV105</f>
        <v/>
      </c>
      <c r="N106" s="3" t="str">
        <f>'Detailed Summary'!BF105</f>
        <v>Failed in 6 Subjects</v>
      </c>
      <c r="O106" s="87" t="str">
        <f>'Detailed Summary'!AW105</f>
        <v/>
      </c>
      <c r="P106" s="87" t="str">
        <f>'Detailed Summary'!BJ105</f>
        <v/>
      </c>
      <c r="Q106" s="5" t="str">
        <f>'Detailed Summary'!BG105</f>
        <v/>
      </c>
      <c r="R106" s="3" t="str">
        <f>'Detailed Summary'!BI105</f>
        <v>Very Weak</v>
      </c>
    </row>
    <row r="107" spans="1:18" ht="18.5" hidden="1" customHeight="1" x14ac:dyDescent="0.45">
      <c r="A107" s="102"/>
      <c r="B107" s="88">
        <f>'Student Basic Info'!A106</f>
        <v>605</v>
      </c>
      <c r="C107" s="86" t="str">
        <f>'Student Basic Info'!C106</f>
        <v>Jhumur Mojumdar</v>
      </c>
      <c r="D107" s="89">
        <f>'Detailed Summary'!AK106</f>
        <v>2</v>
      </c>
      <c r="E107" s="89">
        <f>'Detailed Summary'!AL106</f>
        <v>0</v>
      </c>
      <c r="F107" s="89">
        <f>'Detailed Summary'!AM106</f>
        <v>0</v>
      </c>
      <c r="G107" s="89">
        <f>'Detailed Summary'!AN106</f>
        <v>0</v>
      </c>
      <c r="H107" s="89">
        <f>'Detailed Summary'!AO106</f>
        <v>0</v>
      </c>
      <c r="I107" s="89">
        <f>'Detailed Summary'!AP106</f>
        <v>1</v>
      </c>
      <c r="J107" s="89">
        <f>'Detailed Summary'!AR106</f>
        <v>2</v>
      </c>
      <c r="K107" s="89">
        <f>'Detailed Summary'!AS106</f>
        <v>0</v>
      </c>
      <c r="L107" s="39">
        <f>'Detailed Summary'!AU106</f>
        <v>3</v>
      </c>
      <c r="M107" s="87" t="str">
        <f>'Detailed Summary'!AV106</f>
        <v/>
      </c>
      <c r="N107" s="3" t="str">
        <f>'Detailed Summary'!BF106</f>
        <v>Failed in 4 Subjects</v>
      </c>
      <c r="O107" s="87" t="str">
        <f>'Detailed Summary'!AW106</f>
        <v/>
      </c>
      <c r="P107" s="87" t="str">
        <f>'Detailed Summary'!BJ106</f>
        <v/>
      </c>
      <c r="Q107" s="5" t="str">
        <f>'Detailed Summary'!BG106</f>
        <v/>
      </c>
      <c r="R107" s="3" t="str">
        <f>'Detailed Summary'!BI106</f>
        <v>Very Weak</v>
      </c>
    </row>
    <row r="108" spans="1:18" ht="18.5" hidden="1" customHeight="1" x14ac:dyDescent="0.45">
      <c r="A108" s="102"/>
      <c r="B108" s="88">
        <f>'Student Basic Info'!A107</f>
        <v>606</v>
      </c>
      <c r="C108" s="86" t="str">
        <f>'Student Basic Info'!C107</f>
        <v>Boishakhi Mojumdar</v>
      </c>
      <c r="D108" s="89">
        <f>'Detailed Summary'!AK107</f>
        <v>1</v>
      </c>
      <c r="E108" s="89">
        <f>'Detailed Summary'!AL107</f>
        <v>0</v>
      </c>
      <c r="F108" s="89">
        <f>'Detailed Summary'!AM107</f>
        <v>0</v>
      </c>
      <c r="G108" s="89">
        <f>'Detailed Summary'!AN107</f>
        <v>0</v>
      </c>
      <c r="H108" s="89">
        <f>'Detailed Summary'!AO107</f>
        <v>0</v>
      </c>
      <c r="I108" s="89">
        <f>'Detailed Summary'!AP107</f>
        <v>0</v>
      </c>
      <c r="J108" s="89">
        <f>'Detailed Summary'!AR107</f>
        <v>0</v>
      </c>
      <c r="K108" s="89">
        <f>'Detailed Summary'!AS107</f>
        <v>0</v>
      </c>
      <c r="L108" s="39">
        <f>'Detailed Summary'!AU107</f>
        <v>1</v>
      </c>
      <c r="M108" s="87" t="str">
        <f>'Detailed Summary'!AV107</f>
        <v/>
      </c>
      <c r="N108" s="3" t="str">
        <f>'Detailed Summary'!BF107</f>
        <v>Failed in 5 Subjects</v>
      </c>
      <c r="O108" s="87" t="str">
        <f>'Detailed Summary'!AW107</f>
        <v/>
      </c>
      <c r="P108" s="87" t="str">
        <f>'Detailed Summary'!BJ107</f>
        <v/>
      </c>
      <c r="Q108" s="5" t="str">
        <f>'Detailed Summary'!BG107</f>
        <v/>
      </c>
      <c r="R108" s="3" t="str">
        <f>'Detailed Summary'!BI107</f>
        <v>Very Weak</v>
      </c>
    </row>
    <row r="109" spans="1:18" ht="18.5" hidden="1" customHeight="1" x14ac:dyDescent="0.45">
      <c r="A109" s="102"/>
      <c r="B109" s="88">
        <f>'Student Basic Info'!A108</f>
        <v>607</v>
      </c>
      <c r="C109" s="86" t="str">
        <f>'Student Basic Info'!C108</f>
        <v>Shekh Shahriyar Aziz</v>
      </c>
      <c r="D109" s="89">
        <f>'Detailed Summary'!AK108</f>
        <v>0</v>
      </c>
      <c r="E109" s="89">
        <f>'Detailed Summary'!AL108</f>
        <v>0</v>
      </c>
      <c r="F109" s="89">
        <f>'Detailed Summary'!AM108</f>
        <v>0</v>
      </c>
      <c r="G109" s="89">
        <f>'Detailed Summary'!AN108</f>
        <v>0</v>
      </c>
      <c r="H109" s="89">
        <f>'Detailed Summary'!AO108</f>
        <v>0</v>
      </c>
      <c r="I109" s="89">
        <f>'Detailed Summary'!AP108</f>
        <v>0</v>
      </c>
      <c r="J109" s="89">
        <f>'Detailed Summary'!AR108</f>
        <v>0</v>
      </c>
      <c r="K109" s="89">
        <f>'Detailed Summary'!AS108</f>
        <v>0</v>
      </c>
      <c r="L109" s="39">
        <f>'Detailed Summary'!AU108</f>
        <v>0</v>
      </c>
      <c r="M109" s="87" t="str">
        <f>'Detailed Summary'!AV108</f>
        <v/>
      </c>
      <c r="N109" s="3" t="str">
        <f>'Detailed Summary'!BF108</f>
        <v>Failed in 6 Subjects</v>
      </c>
      <c r="O109" s="87" t="str">
        <f>'Detailed Summary'!AW108</f>
        <v/>
      </c>
      <c r="P109" s="87" t="str">
        <f>'Detailed Summary'!BJ108</f>
        <v/>
      </c>
      <c r="Q109" s="5" t="str">
        <f>'Detailed Summary'!BG108</f>
        <v/>
      </c>
      <c r="R109" s="3" t="str">
        <f>'Detailed Summary'!BI108</f>
        <v>Very Weak</v>
      </c>
    </row>
    <row r="110" spans="1:18" ht="18.5" hidden="1" customHeight="1" x14ac:dyDescent="0.45">
      <c r="A110" s="102"/>
      <c r="B110" s="88">
        <f>'Student Basic Info'!A109</f>
        <v>608</v>
      </c>
      <c r="C110" s="86" t="str">
        <f>'Student Basic Info'!C109</f>
        <v xml:space="preserve">Zahidul Islam </v>
      </c>
      <c r="D110" s="89">
        <f>'Detailed Summary'!AK109</f>
        <v>2</v>
      </c>
      <c r="E110" s="89">
        <f>'Detailed Summary'!AL109</f>
        <v>1</v>
      </c>
      <c r="F110" s="89">
        <f>'Detailed Summary'!AM109</f>
        <v>0</v>
      </c>
      <c r="G110" s="89">
        <f>'Detailed Summary'!AN109</f>
        <v>0</v>
      </c>
      <c r="H110" s="89">
        <f>'Detailed Summary'!AO109</f>
        <v>0</v>
      </c>
      <c r="I110" s="89">
        <f>'Detailed Summary'!AP109</f>
        <v>3</v>
      </c>
      <c r="J110" s="89">
        <f>'Detailed Summary'!AR109</f>
        <v>0</v>
      </c>
      <c r="K110" s="89">
        <f>'Detailed Summary'!AS109</f>
        <v>0</v>
      </c>
      <c r="L110" s="39">
        <f>'Detailed Summary'!AU109</f>
        <v>6</v>
      </c>
      <c r="M110" s="87" t="str">
        <f>'Detailed Summary'!AV109</f>
        <v/>
      </c>
      <c r="N110" s="3" t="str">
        <f>'Detailed Summary'!BF109</f>
        <v>Failed in 3 Subjects</v>
      </c>
      <c r="O110" s="87" t="str">
        <f>'Detailed Summary'!AW109</f>
        <v/>
      </c>
      <c r="P110" s="87" t="str">
        <f>'Detailed Summary'!BJ109</f>
        <v/>
      </c>
      <c r="Q110" s="5" t="str">
        <f>'Detailed Summary'!BG109</f>
        <v/>
      </c>
      <c r="R110" s="3" t="str">
        <f>'Detailed Summary'!BI109</f>
        <v>Very Weak</v>
      </c>
    </row>
    <row r="111" spans="1:18" ht="18.5" hidden="1" customHeight="1" x14ac:dyDescent="0.45">
      <c r="A111" s="102"/>
      <c r="B111" s="88">
        <f>'Student Basic Info'!A110</f>
        <v>609</v>
      </c>
      <c r="C111" s="86" t="str">
        <f>'Student Basic Info'!C110</f>
        <v>Jorina Aktar</v>
      </c>
      <c r="D111" s="89">
        <f>'Detailed Summary'!AK110</f>
        <v>1</v>
      </c>
      <c r="E111" s="89">
        <f>'Detailed Summary'!AL110</f>
        <v>0</v>
      </c>
      <c r="F111" s="89">
        <f>'Detailed Summary'!AM110</f>
        <v>0</v>
      </c>
      <c r="G111" s="89">
        <f>'Detailed Summary'!AN110</f>
        <v>0</v>
      </c>
      <c r="H111" s="89">
        <f>'Detailed Summary'!AO110</f>
        <v>0</v>
      </c>
      <c r="I111" s="89">
        <f>'Detailed Summary'!AP110</f>
        <v>1</v>
      </c>
      <c r="J111" s="89">
        <f>'Detailed Summary'!AR110</f>
        <v>0</v>
      </c>
      <c r="K111" s="89">
        <f>'Detailed Summary'!AS110</f>
        <v>0</v>
      </c>
      <c r="L111" s="39">
        <f>'Detailed Summary'!AU110</f>
        <v>2</v>
      </c>
      <c r="M111" s="87" t="str">
        <f>'Detailed Summary'!AV110</f>
        <v/>
      </c>
      <c r="N111" s="3" t="str">
        <f>'Detailed Summary'!BF110</f>
        <v>Failed in 4 Subjects</v>
      </c>
      <c r="O111" s="87" t="str">
        <f>'Detailed Summary'!AW110</f>
        <v/>
      </c>
      <c r="P111" s="87" t="str">
        <f>'Detailed Summary'!BJ110</f>
        <v/>
      </c>
      <c r="Q111" s="5" t="str">
        <f>'Detailed Summary'!BG110</f>
        <v/>
      </c>
      <c r="R111" s="3" t="str">
        <f>'Detailed Summary'!BI110</f>
        <v>Very Weak</v>
      </c>
    </row>
    <row r="112" spans="1:18" ht="18.5" hidden="1" customHeight="1" x14ac:dyDescent="0.45">
      <c r="A112" s="102"/>
      <c r="B112" s="88">
        <f>'Student Basic Info'!A111</f>
        <v>610</v>
      </c>
      <c r="C112" s="86" t="str">
        <f>'Student Basic Info'!C111</f>
        <v>Youhidul Islam</v>
      </c>
      <c r="D112" s="89">
        <f>'Detailed Summary'!AK111</f>
        <v>1</v>
      </c>
      <c r="E112" s="89">
        <f>'Detailed Summary'!AL111</f>
        <v>0</v>
      </c>
      <c r="F112" s="89">
        <f>'Detailed Summary'!AM111</f>
        <v>0</v>
      </c>
      <c r="G112" s="89">
        <f>'Detailed Summary'!AN111</f>
        <v>0</v>
      </c>
      <c r="H112" s="89" t="str">
        <f>'Detailed Summary'!AO111</f>
        <v/>
      </c>
      <c r="I112" s="89" t="str">
        <f>'Detailed Summary'!AP111</f>
        <v/>
      </c>
      <c r="J112" s="89" t="str">
        <f>'Detailed Summary'!AR111</f>
        <v/>
      </c>
      <c r="K112" s="89" t="str">
        <f>'Detailed Summary'!AS111</f>
        <v/>
      </c>
      <c r="L112" s="39">
        <f>'Detailed Summary'!AU111</f>
        <v>1</v>
      </c>
      <c r="M112" s="87" t="str">
        <f>'Detailed Summary'!AV111</f>
        <v/>
      </c>
      <c r="N112" s="3" t="str">
        <f>'Detailed Summary'!BF111</f>
        <v>Failed in 5 Subjects</v>
      </c>
      <c r="O112" s="87" t="str">
        <f>'Detailed Summary'!AW111</f>
        <v/>
      </c>
      <c r="P112" s="87" t="str">
        <f>'Detailed Summary'!BJ111</f>
        <v/>
      </c>
      <c r="Q112" s="5" t="str">
        <f>'Detailed Summary'!BG111</f>
        <v/>
      </c>
      <c r="R112" s="3" t="str">
        <f>'Detailed Summary'!BI111</f>
        <v>Very Weak</v>
      </c>
    </row>
    <row r="113" spans="1:18" ht="18.5" hidden="1" customHeight="1" x14ac:dyDescent="0.45">
      <c r="A113" s="102"/>
      <c r="B113" s="88">
        <f>'Student Basic Info'!A112</f>
        <v>611</v>
      </c>
      <c r="C113" s="86" t="str">
        <f>'Student Basic Info'!C112</f>
        <v>Aman Ullah</v>
      </c>
      <c r="D113" s="89">
        <f>'Detailed Summary'!AK112</f>
        <v>1</v>
      </c>
      <c r="E113" s="89">
        <f>'Detailed Summary'!AL112</f>
        <v>0</v>
      </c>
      <c r="F113" s="89">
        <f>'Detailed Summary'!AM112</f>
        <v>0</v>
      </c>
      <c r="G113" s="89">
        <f>'Detailed Summary'!AN112</f>
        <v>0</v>
      </c>
      <c r="H113" s="89">
        <f>'Detailed Summary'!AO112</f>
        <v>1</v>
      </c>
      <c r="I113" s="89">
        <f>'Detailed Summary'!AP112</f>
        <v>0</v>
      </c>
      <c r="J113" s="89">
        <f>'Detailed Summary'!AR112</f>
        <v>0</v>
      </c>
      <c r="K113" s="89">
        <f>'Detailed Summary'!AS112</f>
        <v>0</v>
      </c>
      <c r="L113" s="39">
        <f>'Detailed Summary'!AU112</f>
        <v>2</v>
      </c>
      <c r="M113" s="87" t="str">
        <f>'Detailed Summary'!AV112</f>
        <v/>
      </c>
      <c r="N113" s="3" t="str">
        <f>'Detailed Summary'!BF112</f>
        <v>Failed in 4 Subjects</v>
      </c>
      <c r="O113" s="87" t="str">
        <f>'Detailed Summary'!AW112</f>
        <v/>
      </c>
      <c r="P113" s="87" t="str">
        <f>'Detailed Summary'!BJ112</f>
        <v/>
      </c>
      <c r="Q113" s="5" t="str">
        <f>'Detailed Summary'!BG112</f>
        <v/>
      </c>
      <c r="R113" s="3" t="str">
        <f>'Detailed Summary'!BI112</f>
        <v>Very Weak</v>
      </c>
    </row>
    <row r="114" spans="1:18" ht="18.5" hidden="1" customHeight="1" x14ac:dyDescent="0.45">
      <c r="A114" s="102"/>
      <c r="B114" s="88">
        <f>'Student Basic Info'!A113</f>
        <v>612</v>
      </c>
      <c r="C114" s="86" t="str">
        <f>'Student Basic Info'!C113</f>
        <v>Ajharul Islam</v>
      </c>
      <c r="D114" s="89">
        <f>'Detailed Summary'!AK113</f>
        <v>1</v>
      </c>
      <c r="E114" s="89">
        <f>'Detailed Summary'!AL113</f>
        <v>1</v>
      </c>
      <c r="F114" s="89">
        <f>'Detailed Summary'!AM113</f>
        <v>0</v>
      </c>
      <c r="G114" s="89">
        <f>'Detailed Summary'!AN113</f>
        <v>0</v>
      </c>
      <c r="H114" s="89">
        <f>'Detailed Summary'!AO113</f>
        <v>2</v>
      </c>
      <c r="I114" s="89">
        <f>'Detailed Summary'!AP113</f>
        <v>0</v>
      </c>
      <c r="J114" s="89">
        <f>'Detailed Summary'!AR113</f>
        <v>1</v>
      </c>
      <c r="K114" s="89">
        <f>'Detailed Summary'!AS113</f>
        <v>0</v>
      </c>
      <c r="L114" s="39">
        <f>'Detailed Summary'!AU113</f>
        <v>4</v>
      </c>
      <c r="M114" s="87" t="str">
        <f>'Detailed Summary'!AV113</f>
        <v/>
      </c>
      <c r="N114" s="3" t="str">
        <f>'Detailed Summary'!BF113</f>
        <v>Failed in 3 Subjects</v>
      </c>
      <c r="O114" s="87" t="str">
        <f>'Detailed Summary'!AW113</f>
        <v/>
      </c>
      <c r="P114" s="87" t="str">
        <f>'Detailed Summary'!BJ113</f>
        <v/>
      </c>
      <c r="Q114" s="5" t="str">
        <f>'Detailed Summary'!BG113</f>
        <v/>
      </c>
      <c r="R114" s="3" t="str">
        <f>'Detailed Summary'!BI113</f>
        <v>Very Weak</v>
      </c>
    </row>
    <row r="115" spans="1:18" ht="18.5" hidden="1" customHeight="1" x14ac:dyDescent="0.45">
      <c r="A115" s="134"/>
      <c r="B115" s="88">
        <f>'Student Basic Info'!A114</f>
        <v>613</v>
      </c>
      <c r="C115" s="86" t="str">
        <f>'Student Basic Info'!C114</f>
        <v>Fokkrul Islam</v>
      </c>
      <c r="D115" s="89" t="str">
        <f>'Detailed Summary'!AK114</f>
        <v/>
      </c>
      <c r="E115" s="89" t="str">
        <f>'Detailed Summary'!AL114</f>
        <v/>
      </c>
      <c r="F115" s="89" t="str">
        <f>'Detailed Summary'!AM114</f>
        <v/>
      </c>
      <c r="G115" s="89" t="str">
        <f>'Detailed Summary'!AN114</f>
        <v/>
      </c>
      <c r="H115" s="89" t="str">
        <f>'Detailed Summary'!AO114</f>
        <v/>
      </c>
      <c r="I115" s="89" t="str">
        <f>'Detailed Summary'!AP114</f>
        <v/>
      </c>
      <c r="J115" s="89" t="str">
        <f>'Detailed Summary'!AR114</f>
        <v/>
      </c>
      <c r="K115" s="89" t="str">
        <f>'Detailed Summary'!AS114</f>
        <v/>
      </c>
      <c r="L115" s="39">
        <f>'Detailed Summary'!AU114</f>
        <v>0</v>
      </c>
      <c r="M115" s="87" t="str">
        <f>'Detailed Summary'!AV114</f>
        <v/>
      </c>
      <c r="N115" s="3" t="str">
        <f>'Detailed Summary'!BF114</f>
        <v>Failed in 6 Subjects</v>
      </c>
      <c r="O115" s="87" t="str">
        <f>'Detailed Summary'!AW114</f>
        <v/>
      </c>
      <c r="P115" s="87" t="str">
        <f>'Detailed Summary'!BJ114</f>
        <v/>
      </c>
      <c r="Q115" s="5" t="str">
        <f>'Detailed Summary'!BG114</f>
        <v/>
      </c>
      <c r="R115" s="3" t="str">
        <f>'Detailed Summary'!BI114</f>
        <v>Very Weak</v>
      </c>
    </row>
    <row r="116" spans="1:18" x14ac:dyDescent="0.35">
      <c r="A116" s="147">
        <v>12</v>
      </c>
      <c r="B116" s="145">
        <f>'Student Basic Info'!A4</f>
        <v>503</v>
      </c>
      <c r="C116" s="146" t="str">
        <f>'Student Basic Info'!C4</f>
        <v>Nusrat Sultana</v>
      </c>
      <c r="D116" s="89">
        <f>'Detailed Summary'!AK4</f>
        <v>3</v>
      </c>
      <c r="E116" s="89">
        <f>'Detailed Summary'!AL4</f>
        <v>1</v>
      </c>
      <c r="F116" s="89">
        <f>'Detailed Summary'!AM4</f>
        <v>2</v>
      </c>
      <c r="G116" s="89">
        <f>'Detailed Summary'!AN4</f>
        <v>1</v>
      </c>
      <c r="H116" s="89">
        <f>'Detailed Summary'!AO4</f>
        <v>1</v>
      </c>
      <c r="I116" s="89">
        <f>'Detailed Summary'!AP4</f>
        <v>1</v>
      </c>
      <c r="J116" s="89">
        <f>'Detailed Summary'!AR4</f>
        <v>2</v>
      </c>
      <c r="K116" s="89">
        <f>'Detailed Summary'!AS4</f>
        <v>0</v>
      </c>
      <c r="L116" s="39">
        <f>'Detailed Summary'!AU4</f>
        <v>9</v>
      </c>
      <c r="M116" s="87">
        <f>'Detailed Summary'!AV4</f>
        <v>1.5</v>
      </c>
      <c r="N116" s="143" t="str">
        <f>'Detailed Summary'!BF4</f>
        <v>Pass</v>
      </c>
      <c r="O116" s="141">
        <f>'Detailed Summary'!AW4</f>
        <v>1.5</v>
      </c>
      <c r="P116" s="141" t="str">
        <f>'Detailed Summary'!BJ4</f>
        <v>D</v>
      </c>
      <c r="Q116" s="144">
        <f>'Detailed Summary'!BG4</f>
        <v>12</v>
      </c>
      <c r="R116" s="143" t="str">
        <f>'Detailed Summary'!BI4</f>
        <v>Weak</v>
      </c>
    </row>
    <row r="117" spans="1:18" ht="14.5" hidden="1" customHeight="1" x14ac:dyDescent="0.35">
      <c r="A117"/>
      <c r="B117" s="88">
        <f>'Student Basic Info'!A116</f>
        <v>615</v>
      </c>
      <c r="C117" s="86" t="str">
        <f>'Student Basic Info'!C116</f>
        <v>Tasfia Atrar</v>
      </c>
      <c r="D117" s="89">
        <f>'Detailed Summary'!AK116</f>
        <v>1</v>
      </c>
      <c r="E117" s="89">
        <f>'Detailed Summary'!AL116</f>
        <v>0</v>
      </c>
      <c r="F117" s="89">
        <f>'Detailed Summary'!AM116</f>
        <v>0</v>
      </c>
      <c r="G117" s="89">
        <f>'Detailed Summary'!AN116</f>
        <v>0</v>
      </c>
      <c r="H117" s="89">
        <f>'Detailed Summary'!AO116</f>
        <v>0</v>
      </c>
      <c r="I117" s="89">
        <f>'Detailed Summary'!AP116</f>
        <v>1</v>
      </c>
      <c r="J117" s="89">
        <f>'Detailed Summary'!AR116</f>
        <v>0</v>
      </c>
      <c r="K117" s="89">
        <f>'Detailed Summary'!AS116</f>
        <v>0</v>
      </c>
      <c r="L117" s="39">
        <f>'Detailed Summary'!AU116</f>
        <v>2</v>
      </c>
      <c r="M117" s="87" t="str">
        <f>'Detailed Summary'!AV116</f>
        <v/>
      </c>
      <c r="N117" s="3" t="str">
        <f>'Detailed Summary'!BF116</f>
        <v>Failed in 4 Subjects</v>
      </c>
      <c r="O117" s="87" t="str">
        <f>'Detailed Summary'!AW116</f>
        <v/>
      </c>
      <c r="P117" s="87" t="str">
        <f>'Detailed Summary'!BJ116</f>
        <v/>
      </c>
      <c r="Q117" s="5" t="str">
        <f>'Detailed Summary'!BG116</f>
        <v/>
      </c>
      <c r="R117" s="3" t="str">
        <f>'Detailed Summary'!BI116</f>
        <v>Very Weak</v>
      </c>
    </row>
    <row r="118" spans="1:18" ht="14.5" hidden="1" customHeight="1" x14ac:dyDescent="0.35">
      <c r="A118"/>
      <c r="B118" s="88">
        <f>'Student Basic Info'!A117</f>
        <v>616</v>
      </c>
      <c r="C118" s="86" t="str">
        <f>'Student Basic Info'!C117</f>
        <v>Farzana Aktar Mili</v>
      </c>
      <c r="D118" s="89" t="str">
        <f>'Detailed Summary'!AK117</f>
        <v/>
      </c>
      <c r="E118" s="89" t="str">
        <f>'Detailed Summary'!AL117</f>
        <v/>
      </c>
      <c r="F118" s="89" t="str">
        <f>'Detailed Summary'!AM117</f>
        <v/>
      </c>
      <c r="G118" s="89" t="str">
        <f>'Detailed Summary'!AN117</f>
        <v/>
      </c>
      <c r="H118" s="89" t="str">
        <f>'Detailed Summary'!AO117</f>
        <v/>
      </c>
      <c r="I118" s="89" t="str">
        <f>'Detailed Summary'!AP117</f>
        <v/>
      </c>
      <c r="J118" s="89" t="str">
        <f>'Detailed Summary'!AR117</f>
        <v/>
      </c>
      <c r="K118" s="89" t="str">
        <f>'Detailed Summary'!AS117</f>
        <v/>
      </c>
      <c r="L118" s="39">
        <f>'Detailed Summary'!AU117</f>
        <v>0</v>
      </c>
      <c r="M118" s="87" t="str">
        <f>'Detailed Summary'!AV117</f>
        <v/>
      </c>
      <c r="N118" s="3" t="str">
        <f>'Detailed Summary'!BF117</f>
        <v>Failed in 6 Subjects</v>
      </c>
      <c r="O118" s="87" t="str">
        <f>'Detailed Summary'!AW117</f>
        <v/>
      </c>
      <c r="P118" s="87" t="str">
        <f>'Detailed Summary'!BJ117</f>
        <v/>
      </c>
      <c r="Q118" s="5" t="str">
        <f>'Detailed Summary'!BG117</f>
        <v/>
      </c>
      <c r="R118" s="3" t="str">
        <f>'Detailed Summary'!BI117</f>
        <v>Very Weak</v>
      </c>
    </row>
    <row r="119" spans="1:18" ht="14.5" hidden="1" customHeight="1" x14ac:dyDescent="0.35">
      <c r="A119"/>
      <c r="B119" s="88">
        <f>'Student Basic Info'!A118</f>
        <v>617</v>
      </c>
      <c r="C119" s="86" t="str">
        <f>'Student Basic Info'!C118</f>
        <v>Tanvir Hossain</v>
      </c>
      <c r="D119" s="89" t="str">
        <f>'Detailed Summary'!AK118</f>
        <v/>
      </c>
      <c r="E119" s="89" t="str">
        <f>'Detailed Summary'!AL118</f>
        <v/>
      </c>
      <c r="F119" s="89" t="str">
        <f>'Detailed Summary'!AM118</f>
        <v/>
      </c>
      <c r="G119" s="89" t="str">
        <f>'Detailed Summary'!AN118</f>
        <v/>
      </c>
      <c r="H119" s="89" t="str">
        <f>'Detailed Summary'!AO118</f>
        <v/>
      </c>
      <c r="I119" s="89" t="str">
        <f>'Detailed Summary'!AP118</f>
        <v/>
      </c>
      <c r="J119" s="89" t="str">
        <f>'Detailed Summary'!AR118</f>
        <v/>
      </c>
      <c r="K119" s="89" t="str">
        <f>'Detailed Summary'!AS118</f>
        <v/>
      </c>
      <c r="L119" s="39">
        <f>'Detailed Summary'!AU118</f>
        <v>0</v>
      </c>
      <c r="M119" s="87" t="str">
        <f>'Detailed Summary'!AV118</f>
        <v/>
      </c>
      <c r="N119" s="3" t="str">
        <f>'Detailed Summary'!BF118</f>
        <v>Failed in 6 Subjects</v>
      </c>
      <c r="O119" s="87" t="str">
        <f>'Detailed Summary'!AW118</f>
        <v/>
      </c>
      <c r="P119" s="87" t="str">
        <f>'Detailed Summary'!BJ118</f>
        <v/>
      </c>
      <c r="Q119" s="5" t="str">
        <f>'Detailed Summary'!BG118</f>
        <v/>
      </c>
      <c r="R119" s="3" t="str">
        <f>'Detailed Summary'!BI118</f>
        <v>Very Weak</v>
      </c>
    </row>
    <row r="120" spans="1:18" ht="14.5" hidden="1" customHeight="1" x14ac:dyDescent="0.35">
      <c r="A120"/>
      <c r="B120" s="88">
        <f>'Student Basic Info'!A119</f>
        <v>618</v>
      </c>
      <c r="C120" s="86" t="str">
        <f>'Student Basic Info'!C119</f>
        <v>Mizanur Rahman</v>
      </c>
      <c r="D120" s="89" t="str">
        <f>'Detailed Summary'!AK119</f>
        <v/>
      </c>
      <c r="E120" s="89" t="str">
        <f>'Detailed Summary'!AL119</f>
        <v/>
      </c>
      <c r="F120" s="89" t="str">
        <f>'Detailed Summary'!AM119</f>
        <v/>
      </c>
      <c r="G120" s="89" t="str">
        <f>'Detailed Summary'!AN119</f>
        <v/>
      </c>
      <c r="H120" s="89" t="str">
        <f>'Detailed Summary'!AO119</f>
        <v/>
      </c>
      <c r="I120" s="89" t="str">
        <f>'Detailed Summary'!AP119</f>
        <v/>
      </c>
      <c r="J120" s="89" t="str">
        <f>'Detailed Summary'!AR119</f>
        <v/>
      </c>
      <c r="K120" s="89" t="str">
        <f>'Detailed Summary'!AS119</f>
        <v/>
      </c>
      <c r="L120" s="39">
        <f>'Detailed Summary'!AU119</f>
        <v>0</v>
      </c>
      <c r="M120" s="87" t="str">
        <f>'Detailed Summary'!AV119</f>
        <v/>
      </c>
      <c r="N120" s="3" t="str">
        <f>'Detailed Summary'!BF119</f>
        <v>Failed in 6 Subjects</v>
      </c>
      <c r="O120" s="87" t="str">
        <f>'Detailed Summary'!AW119</f>
        <v/>
      </c>
      <c r="P120" s="87" t="str">
        <f>'Detailed Summary'!BJ119</f>
        <v/>
      </c>
      <c r="Q120" s="5" t="str">
        <f>'Detailed Summary'!BG119</f>
        <v/>
      </c>
      <c r="R120" s="3" t="str">
        <f>'Detailed Summary'!BI119</f>
        <v>Very Weak</v>
      </c>
    </row>
    <row r="121" spans="1:18" ht="14.5" hidden="1" customHeight="1" x14ac:dyDescent="0.35">
      <c r="A121"/>
      <c r="B121" s="88">
        <f>'Student Basic Info'!A120</f>
        <v>619</v>
      </c>
      <c r="C121" s="86" t="str">
        <f>'Student Basic Info'!C120</f>
        <v>Yeasin Arafat</v>
      </c>
      <c r="D121" s="89" t="str">
        <f>'Detailed Summary'!AK120</f>
        <v/>
      </c>
      <c r="E121" s="89" t="str">
        <f>'Detailed Summary'!AL120</f>
        <v/>
      </c>
      <c r="F121" s="89" t="str">
        <f>'Detailed Summary'!AM120</f>
        <v/>
      </c>
      <c r="G121" s="89" t="str">
        <f>'Detailed Summary'!AN120</f>
        <v/>
      </c>
      <c r="H121" s="89" t="str">
        <f>'Detailed Summary'!AO120</f>
        <v/>
      </c>
      <c r="I121" s="89" t="str">
        <f>'Detailed Summary'!AP120</f>
        <v/>
      </c>
      <c r="J121" s="89" t="str">
        <f>'Detailed Summary'!AR120</f>
        <v/>
      </c>
      <c r="K121" s="89" t="str">
        <f>'Detailed Summary'!AS120</f>
        <v/>
      </c>
      <c r="L121" s="39">
        <f>'Detailed Summary'!AU120</f>
        <v>0</v>
      </c>
      <c r="M121" s="87" t="str">
        <f>'Detailed Summary'!AV120</f>
        <v/>
      </c>
      <c r="N121" s="3" t="str">
        <f>'Detailed Summary'!BF120</f>
        <v>Failed in 6 Subjects</v>
      </c>
      <c r="O121" s="87" t="str">
        <f>'Detailed Summary'!AW120</f>
        <v/>
      </c>
      <c r="P121" s="87" t="str">
        <f>'Detailed Summary'!BJ120</f>
        <v/>
      </c>
      <c r="Q121" s="5" t="str">
        <f>'Detailed Summary'!BG120</f>
        <v/>
      </c>
      <c r="R121" s="3" t="str">
        <f>'Detailed Summary'!BI120</f>
        <v>Very Weak</v>
      </c>
    </row>
    <row r="122" spans="1:18" ht="14.5" hidden="1" customHeight="1" x14ac:dyDescent="0.35">
      <c r="A122"/>
      <c r="B122" s="88">
        <f>'Student Basic Info'!A121</f>
        <v>620</v>
      </c>
      <c r="C122" s="86" t="str">
        <f>'Student Basic Info'!C121</f>
        <v>Abdullah Al Noman</v>
      </c>
      <c r="D122" s="89" t="str">
        <f>'Detailed Summary'!AK121</f>
        <v/>
      </c>
      <c r="E122" s="89" t="str">
        <f>'Detailed Summary'!AL121</f>
        <v/>
      </c>
      <c r="F122" s="89" t="str">
        <f>'Detailed Summary'!AM121</f>
        <v/>
      </c>
      <c r="G122" s="89" t="str">
        <f>'Detailed Summary'!AN121</f>
        <v/>
      </c>
      <c r="H122" s="89" t="str">
        <f>'Detailed Summary'!AO121</f>
        <v/>
      </c>
      <c r="I122" s="89" t="str">
        <f>'Detailed Summary'!AP121</f>
        <v/>
      </c>
      <c r="J122" s="89" t="str">
        <f>'Detailed Summary'!AR121</f>
        <v/>
      </c>
      <c r="K122" s="89" t="str">
        <f>'Detailed Summary'!AS121</f>
        <v/>
      </c>
      <c r="L122" s="39">
        <f>'Detailed Summary'!AU121</f>
        <v>0</v>
      </c>
      <c r="M122" s="87" t="str">
        <f>'Detailed Summary'!AV121</f>
        <v/>
      </c>
      <c r="N122" s="3" t="str">
        <f>'Detailed Summary'!BF121</f>
        <v>Failed in 6 Subjects</v>
      </c>
      <c r="O122" s="87" t="str">
        <f>'Detailed Summary'!AW121</f>
        <v/>
      </c>
      <c r="P122" s="87" t="str">
        <f>'Detailed Summary'!BJ121</f>
        <v/>
      </c>
      <c r="Q122" s="5" t="str">
        <f>'Detailed Summary'!BG121</f>
        <v/>
      </c>
      <c r="R122" s="3" t="str">
        <f>'Detailed Summary'!BI121</f>
        <v>Very Weak</v>
      </c>
    </row>
    <row r="123" spans="1:18" ht="14.5" hidden="1" customHeight="1" x14ac:dyDescent="0.35">
      <c r="A123"/>
      <c r="B123" s="88">
        <f>'Student Basic Info'!A122</f>
        <v>621</v>
      </c>
      <c r="C123" s="86" t="str">
        <f>'Student Basic Info'!C122</f>
        <v>Delower Hossain</v>
      </c>
      <c r="D123" s="89">
        <f>'Detailed Summary'!AK122</f>
        <v>2</v>
      </c>
      <c r="E123" s="89">
        <f>'Detailed Summary'!AL122</f>
        <v>0</v>
      </c>
      <c r="F123" s="89">
        <f>'Detailed Summary'!AM122</f>
        <v>3</v>
      </c>
      <c r="G123" s="89">
        <f>'Detailed Summary'!AN122</f>
        <v>1</v>
      </c>
      <c r="H123" s="89">
        <f>'Detailed Summary'!AO122</f>
        <v>0</v>
      </c>
      <c r="I123" s="89">
        <f>'Detailed Summary'!AP122</f>
        <v>0</v>
      </c>
      <c r="J123" s="89">
        <f>'Detailed Summary'!AR122</f>
        <v>2</v>
      </c>
      <c r="K123" s="89">
        <f>'Detailed Summary'!AS122</f>
        <v>0</v>
      </c>
      <c r="L123" s="39">
        <f>'Detailed Summary'!AU122</f>
        <v>6</v>
      </c>
      <c r="M123" s="87" t="str">
        <f>'Detailed Summary'!AV122</f>
        <v/>
      </c>
      <c r="N123" s="3" t="str">
        <f>'Detailed Summary'!BF122</f>
        <v>Failed in 3 Subjects</v>
      </c>
      <c r="O123" s="87" t="str">
        <f>'Detailed Summary'!AW122</f>
        <v/>
      </c>
      <c r="P123" s="87" t="str">
        <f>'Detailed Summary'!BJ122</f>
        <v/>
      </c>
      <c r="Q123" s="5" t="str">
        <f>'Detailed Summary'!BG122</f>
        <v/>
      </c>
      <c r="R123" s="3" t="str">
        <f>'Detailed Summary'!BI122</f>
        <v>Very Weak</v>
      </c>
    </row>
    <row r="124" spans="1:18" ht="14.5" hidden="1" customHeight="1" x14ac:dyDescent="0.35">
      <c r="A124"/>
      <c r="B124" s="88">
        <f>'Student Basic Info'!A123</f>
        <v>622</v>
      </c>
      <c r="C124" s="86" t="str">
        <f>'Student Basic Info'!C123</f>
        <v>Nur Islam</v>
      </c>
      <c r="D124" s="89">
        <f>'Detailed Summary'!AK123</f>
        <v>3</v>
      </c>
      <c r="E124" s="89">
        <f>'Detailed Summary'!AL123</f>
        <v>0</v>
      </c>
      <c r="F124" s="89">
        <f>'Detailed Summary'!AM123</f>
        <v>3.5</v>
      </c>
      <c r="G124" s="89">
        <f>'Detailed Summary'!AN123</f>
        <v>2</v>
      </c>
      <c r="H124" s="89">
        <f>'Detailed Summary'!AO123</f>
        <v>0</v>
      </c>
      <c r="I124" s="89">
        <f>'Detailed Summary'!AP123</f>
        <v>0</v>
      </c>
      <c r="J124" s="89">
        <f>'Detailed Summary'!AR123</f>
        <v>1</v>
      </c>
      <c r="K124" s="89">
        <f>'Detailed Summary'!AS123</f>
        <v>0</v>
      </c>
      <c r="L124" s="39">
        <f>'Detailed Summary'!AU123</f>
        <v>8.5</v>
      </c>
      <c r="M124" s="87" t="str">
        <f>'Detailed Summary'!AV123</f>
        <v/>
      </c>
      <c r="N124" s="3" t="str">
        <f>'Detailed Summary'!BF123</f>
        <v>Failed in 3 Subjects</v>
      </c>
      <c r="O124" s="87" t="str">
        <f>'Detailed Summary'!AW123</f>
        <v/>
      </c>
      <c r="P124" s="87" t="str">
        <f>'Detailed Summary'!BJ123</f>
        <v/>
      </c>
      <c r="Q124" s="5" t="str">
        <f>'Detailed Summary'!BG123</f>
        <v/>
      </c>
      <c r="R124" s="3" t="str">
        <f>'Detailed Summary'!BI123</f>
        <v>Very Weak</v>
      </c>
    </row>
    <row r="125" spans="1:18" ht="14.5" hidden="1" customHeight="1" x14ac:dyDescent="0.35">
      <c r="A125"/>
      <c r="B125" s="88">
        <f>'Student Basic Info'!A124</f>
        <v>623</v>
      </c>
      <c r="C125" s="86" t="str">
        <f>'Student Basic Info'!C124</f>
        <v>Mehedi Hasan</v>
      </c>
      <c r="D125" s="89" t="str">
        <f>'Detailed Summary'!AK124</f>
        <v/>
      </c>
      <c r="E125" s="89" t="str">
        <f>'Detailed Summary'!AL124</f>
        <v/>
      </c>
      <c r="F125" s="89" t="str">
        <f>'Detailed Summary'!AM124</f>
        <v/>
      </c>
      <c r="G125" s="89" t="str">
        <f>'Detailed Summary'!AN124</f>
        <v/>
      </c>
      <c r="H125" s="89" t="str">
        <f>'Detailed Summary'!AO124</f>
        <v/>
      </c>
      <c r="I125" s="89" t="str">
        <f>'Detailed Summary'!AP124</f>
        <v/>
      </c>
      <c r="J125" s="89" t="str">
        <f>'Detailed Summary'!AR124</f>
        <v/>
      </c>
      <c r="K125" s="89" t="str">
        <f>'Detailed Summary'!AS124</f>
        <v/>
      </c>
      <c r="L125" s="39">
        <f>'Detailed Summary'!AU124</f>
        <v>0</v>
      </c>
      <c r="M125" s="87" t="str">
        <f>'Detailed Summary'!AV124</f>
        <v/>
      </c>
      <c r="N125" s="3" t="str">
        <f>'Detailed Summary'!BF124</f>
        <v>Failed in 6 Subjects</v>
      </c>
      <c r="O125" s="87" t="str">
        <f>'Detailed Summary'!AW124</f>
        <v/>
      </c>
      <c r="P125" s="87" t="str">
        <f>'Detailed Summary'!BJ124</f>
        <v/>
      </c>
      <c r="Q125" s="5" t="str">
        <f>'Detailed Summary'!BG124</f>
        <v/>
      </c>
      <c r="R125" s="3" t="str">
        <f>'Detailed Summary'!BI124</f>
        <v>Very Weak</v>
      </c>
    </row>
    <row r="126" spans="1:18" ht="14.5" hidden="1" customHeight="1" x14ac:dyDescent="0.35">
      <c r="A126"/>
      <c r="B126" s="88">
        <f>'Student Basic Info'!A125</f>
        <v>624</v>
      </c>
      <c r="C126" s="86" t="str">
        <f>'Student Basic Info'!C125</f>
        <v>Nurul Afsar Ashraf</v>
      </c>
      <c r="D126" s="89" t="str">
        <f>'Detailed Summary'!AK125</f>
        <v/>
      </c>
      <c r="E126" s="89" t="str">
        <f>'Detailed Summary'!AL125</f>
        <v/>
      </c>
      <c r="F126" s="89" t="str">
        <f>'Detailed Summary'!AM125</f>
        <v/>
      </c>
      <c r="G126" s="89" t="str">
        <f>'Detailed Summary'!AN125</f>
        <v/>
      </c>
      <c r="H126" s="89" t="str">
        <f>'Detailed Summary'!AO125</f>
        <v/>
      </c>
      <c r="I126" s="89" t="str">
        <f>'Detailed Summary'!AP125</f>
        <v/>
      </c>
      <c r="J126" s="89" t="str">
        <f>'Detailed Summary'!AR125</f>
        <v/>
      </c>
      <c r="K126" s="89" t="str">
        <f>'Detailed Summary'!AS125</f>
        <v/>
      </c>
      <c r="L126" s="39">
        <f>'Detailed Summary'!AU125</f>
        <v>0</v>
      </c>
      <c r="M126" s="87" t="str">
        <f>'Detailed Summary'!AV125</f>
        <v/>
      </c>
      <c r="N126" s="3" t="str">
        <f>'Detailed Summary'!BF125</f>
        <v>Failed in 6 Subjects</v>
      </c>
      <c r="O126" s="87" t="str">
        <f>'Detailed Summary'!AW125</f>
        <v/>
      </c>
      <c r="P126" s="87" t="str">
        <f>'Detailed Summary'!BJ125</f>
        <v/>
      </c>
      <c r="Q126" s="5" t="str">
        <f>'Detailed Summary'!BG125</f>
        <v/>
      </c>
      <c r="R126" s="3" t="str">
        <f>'Detailed Summary'!BI125</f>
        <v>Very Weak</v>
      </c>
    </row>
    <row r="127" spans="1:18" ht="14.5" hidden="1" customHeight="1" x14ac:dyDescent="0.35">
      <c r="A127"/>
      <c r="B127" s="88">
        <f>'Student Basic Info'!A126</f>
        <v>625</v>
      </c>
      <c r="C127" s="86" t="str">
        <f>'Student Basic Info'!C126</f>
        <v>Marjahan Aktar</v>
      </c>
      <c r="D127" s="89" t="str">
        <f>'Detailed Summary'!AK126</f>
        <v/>
      </c>
      <c r="E127" s="89" t="str">
        <f>'Detailed Summary'!AL126</f>
        <v/>
      </c>
      <c r="F127" s="89" t="str">
        <f>'Detailed Summary'!AM126</f>
        <v/>
      </c>
      <c r="G127" s="89" t="str">
        <f>'Detailed Summary'!AN126</f>
        <v/>
      </c>
      <c r="H127" s="89" t="str">
        <f>'Detailed Summary'!AO126</f>
        <v/>
      </c>
      <c r="I127" s="89" t="str">
        <f>'Detailed Summary'!AP126</f>
        <v/>
      </c>
      <c r="J127" s="89" t="str">
        <f>'Detailed Summary'!AR126</f>
        <v/>
      </c>
      <c r="K127" s="89" t="str">
        <f>'Detailed Summary'!AS126</f>
        <v/>
      </c>
      <c r="L127" s="39">
        <f>'Detailed Summary'!AU126</f>
        <v>0</v>
      </c>
      <c r="M127" s="87" t="str">
        <f>'Detailed Summary'!AV126</f>
        <v/>
      </c>
      <c r="N127" s="3" t="str">
        <f>'Detailed Summary'!BF126</f>
        <v>Failed in 6 Subjects</v>
      </c>
      <c r="O127" s="87" t="str">
        <f>'Detailed Summary'!AW126</f>
        <v/>
      </c>
      <c r="P127" s="87" t="str">
        <f>'Detailed Summary'!BJ126</f>
        <v/>
      </c>
      <c r="Q127" s="5" t="str">
        <f>'Detailed Summary'!BG126</f>
        <v/>
      </c>
      <c r="R127" s="3" t="str">
        <f>'Detailed Summary'!BI126</f>
        <v>Very Weak</v>
      </c>
    </row>
    <row r="128" spans="1:18" ht="14.5" hidden="1" customHeight="1" x14ac:dyDescent="0.35">
      <c r="A128"/>
      <c r="B128" s="88">
        <f>'Student Basic Info'!A127</f>
        <v>626</v>
      </c>
      <c r="C128" s="86" t="str">
        <f>'Student Basic Info'!C127</f>
        <v>Fokhrul Islam</v>
      </c>
      <c r="D128" s="89" t="str">
        <f>'Detailed Summary'!AK127</f>
        <v/>
      </c>
      <c r="E128" s="89" t="str">
        <f>'Detailed Summary'!AL127</f>
        <v/>
      </c>
      <c r="F128" s="89" t="str">
        <f>'Detailed Summary'!AM127</f>
        <v/>
      </c>
      <c r="G128" s="89" t="str">
        <f>'Detailed Summary'!AN127</f>
        <v/>
      </c>
      <c r="H128" s="89" t="str">
        <f>'Detailed Summary'!AO127</f>
        <v/>
      </c>
      <c r="I128" s="89" t="str">
        <f>'Detailed Summary'!AP127</f>
        <v/>
      </c>
      <c r="J128" s="89" t="str">
        <f>'Detailed Summary'!AR127</f>
        <v/>
      </c>
      <c r="K128" s="89" t="str">
        <f>'Detailed Summary'!AS127</f>
        <v/>
      </c>
      <c r="L128" s="39">
        <f>'Detailed Summary'!AU127</f>
        <v>0</v>
      </c>
      <c r="M128" s="87" t="str">
        <f>'Detailed Summary'!AV127</f>
        <v/>
      </c>
      <c r="N128" s="3" t="str">
        <f>'Detailed Summary'!BF127</f>
        <v>Failed in 6 Subjects</v>
      </c>
      <c r="O128" s="87" t="str">
        <f>'Detailed Summary'!AW127</f>
        <v/>
      </c>
      <c r="P128" s="87" t="str">
        <f>'Detailed Summary'!BJ127</f>
        <v/>
      </c>
      <c r="Q128" s="5" t="str">
        <f>'Detailed Summary'!BG127</f>
        <v/>
      </c>
      <c r="R128" s="3" t="str">
        <f>'Detailed Summary'!BI127</f>
        <v>Very Weak</v>
      </c>
    </row>
    <row r="129" spans="2:18" customFormat="1" ht="14.5" hidden="1" customHeight="1" x14ac:dyDescent="0.35">
      <c r="B129" s="88">
        <f>'Student Basic Info'!A128</f>
        <v>627</v>
      </c>
      <c r="C129" s="86" t="str">
        <f>'Student Basic Info'!C128</f>
        <v>Israt Jahan</v>
      </c>
      <c r="D129" s="89" t="str">
        <f>'Detailed Summary'!AK128</f>
        <v/>
      </c>
      <c r="E129" s="89" t="str">
        <f>'Detailed Summary'!AL128</f>
        <v/>
      </c>
      <c r="F129" s="89" t="str">
        <f>'Detailed Summary'!AM128</f>
        <v/>
      </c>
      <c r="G129" s="89" t="str">
        <f>'Detailed Summary'!AN128</f>
        <v/>
      </c>
      <c r="H129" s="89" t="str">
        <f>'Detailed Summary'!AO128</f>
        <v/>
      </c>
      <c r="I129" s="89" t="str">
        <f>'Detailed Summary'!AP128</f>
        <v/>
      </c>
      <c r="J129" s="89" t="str">
        <f>'Detailed Summary'!AR128</f>
        <v/>
      </c>
      <c r="K129" s="89" t="str">
        <f>'Detailed Summary'!AS128</f>
        <v/>
      </c>
      <c r="L129" s="39">
        <f>'Detailed Summary'!AU128</f>
        <v>0</v>
      </c>
      <c r="M129" s="87" t="str">
        <f>'Detailed Summary'!AV128</f>
        <v/>
      </c>
      <c r="N129" s="3" t="str">
        <f>'Detailed Summary'!BF128</f>
        <v>Failed in 6 Subjects</v>
      </c>
      <c r="O129" s="87" t="str">
        <f>'Detailed Summary'!AW128</f>
        <v/>
      </c>
      <c r="P129" s="87" t="str">
        <f>'Detailed Summary'!BJ128</f>
        <v/>
      </c>
      <c r="Q129" s="5" t="str">
        <f>'Detailed Summary'!BG128</f>
        <v/>
      </c>
      <c r="R129" s="3" t="str">
        <f>'Detailed Summary'!BI128</f>
        <v>Very Weak</v>
      </c>
    </row>
    <row r="130" spans="2:18" customFormat="1" ht="14.5" hidden="1" customHeight="1" x14ac:dyDescent="0.35">
      <c r="B130" s="88">
        <f>'Student Basic Info'!A129</f>
        <v>628</v>
      </c>
      <c r="C130" s="86" t="str">
        <f>'Student Basic Info'!C129</f>
        <v>Md. Nur Nabi Hasan Roni</v>
      </c>
      <c r="D130" s="89" t="str">
        <f>'Detailed Summary'!AK129</f>
        <v/>
      </c>
      <c r="E130" s="89" t="str">
        <f>'Detailed Summary'!AL129</f>
        <v/>
      </c>
      <c r="F130" s="89" t="str">
        <f>'Detailed Summary'!AM129</f>
        <v/>
      </c>
      <c r="G130" s="89" t="str">
        <f>'Detailed Summary'!AN129</f>
        <v/>
      </c>
      <c r="H130" s="89" t="str">
        <f>'Detailed Summary'!AO129</f>
        <v/>
      </c>
      <c r="I130" s="89" t="str">
        <f>'Detailed Summary'!AP129</f>
        <v/>
      </c>
      <c r="J130" s="89" t="str">
        <f>'Detailed Summary'!AR129</f>
        <v/>
      </c>
      <c r="K130" s="89" t="str">
        <f>'Detailed Summary'!AS129</f>
        <v/>
      </c>
      <c r="L130" s="39">
        <f>'Detailed Summary'!AU129</f>
        <v>0</v>
      </c>
      <c r="M130" s="87" t="str">
        <f>'Detailed Summary'!AV129</f>
        <v/>
      </c>
      <c r="N130" s="3" t="str">
        <f>'Detailed Summary'!BF129</f>
        <v>Failed in 6 Subjects</v>
      </c>
      <c r="O130" s="87" t="str">
        <f>'Detailed Summary'!AW129</f>
        <v/>
      </c>
      <c r="P130" s="87" t="str">
        <f>'Detailed Summary'!BJ129</f>
        <v/>
      </c>
      <c r="Q130" s="5" t="str">
        <f>'Detailed Summary'!BG129</f>
        <v/>
      </c>
      <c r="R130" s="3" t="str">
        <f>'Detailed Summary'!BI129</f>
        <v>Very Weak</v>
      </c>
    </row>
    <row r="131" spans="2:18" customFormat="1" ht="14.5" hidden="1" customHeight="1" x14ac:dyDescent="0.35">
      <c r="B131" s="88">
        <f>'Student Basic Info'!A130</f>
        <v>629</v>
      </c>
      <c r="C131" s="86" t="str">
        <f>'Student Basic Info'!C130</f>
        <v>Khaled Bin Rahmat</v>
      </c>
      <c r="D131" s="89" t="str">
        <f>'Detailed Summary'!AK130</f>
        <v/>
      </c>
      <c r="E131" s="89" t="str">
        <f>'Detailed Summary'!AL130</f>
        <v/>
      </c>
      <c r="F131" s="89" t="str">
        <f>'Detailed Summary'!AM130</f>
        <v/>
      </c>
      <c r="G131" s="89" t="str">
        <f>'Detailed Summary'!AN130</f>
        <v/>
      </c>
      <c r="H131" s="89" t="str">
        <f>'Detailed Summary'!AO130</f>
        <v/>
      </c>
      <c r="I131" s="89" t="str">
        <f>'Detailed Summary'!AP130</f>
        <v/>
      </c>
      <c r="J131" s="89" t="str">
        <f>'Detailed Summary'!AR130</f>
        <v/>
      </c>
      <c r="K131" s="89" t="str">
        <f>'Detailed Summary'!AS130</f>
        <v/>
      </c>
      <c r="L131" s="39">
        <f>'Detailed Summary'!AU130</f>
        <v>0</v>
      </c>
      <c r="M131" s="87" t="str">
        <f>'Detailed Summary'!AV130</f>
        <v/>
      </c>
      <c r="N131" s="3" t="str">
        <f>'Detailed Summary'!BF130</f>
        <v>Failed in 6 Subjects</v>
      </c>
      <c r="O131" s="87" t="str">
        <f>'Detailed Summary'!AW130</f>
        <v/>
      </c>
      <c r="P131" s="87" t="str">
        <f>'Detailed Summary'!BJ130</f>
        <v/>
      </c>
      <c r="Q131" s="5" t="str">
        <f>'Detailed Summary'!BG130</f>
        <v/>
      </c>
      <c r="R131" s="3" t="str">
        <f>'Detailed Summary'!BI130</f>
        <v>Very Weak</v>
      </c>
    </row>
    <row r="132" spans="2:18" customFormat="1" ht="14.5" hidden="1" customHeight="1" x14ac:dyDescent="0.35">
      <c r="B132" s="88">
        <f>'Student Basic Info'!A131</f>
        <v>630</v>
      </c>
      <c r="C132" s="86" t="str">
        <f>'Student Basic Info'!C131</f>
        <v>Fokhrul Islam</v>
      </c>
      <c r="D132" s="89" t="str">
        <f>'Detailed Summary'!AK131</f>
        <v/>
      </c>
      <c r="E132" s="89" t="str">
        <f>'Detailed Summary'!AL131</f>
        <v/>
      </c>
      <c r="F132" s="89" t="str">
        <f>'Detailed Summary'!AM131</f>
        <v/>
      </c>
      <c r="G132" s="89" t="str">
        <f>'Detailed Summary'!AN131</f>
        <v/>
      </c>
      <c r="H132" s="89" t="str">
        <f>'Detailed Summary'!AO131</f>
        <v/>
      </c>
      <c r="I132" s="89" t="str">
        <f>'Detailed Summary'!AP131</f>
        <v/>
      </c>
      <c r="J132" s="89" t="str">
        <f>'Detailed Summary'!AR131</f>
        <v/>
      </c>
      <c r="K132" s="89" t="str">
        <f>'Detailed Summary'!AS131</f>
        <v/>
      </c>
      <c r="L132" s="39">
        <f>'Detailed Summary'!AU131</f>
        <v>0</v>
      </c>
      <c r="M132" s="87" t="str">
        <f>'Detailed Summary'!AV131</f>
        <v/>
      </c>
      <c r="N132" s="3" t="str">
        <f>'Detailed Summary'!BF131</f>
        <v>Failed in 6 Subjects</v>
      </c>
      <c r="O132" s="87" t="str">
        <f>'Detailed Summary'!AW131</f>
        <v/>
      </c>
      <c r="P132" s="87" t="str">
        <f>'Detailed Summary'!BJ131</f>
        <v/>
      </c>
      <c r="Q132" s="5" t="str">
        <f>'Detailed Summary'!BG131</f>
        <v/>
      </c>
      <c r="R132" s="3" t="str">
        <f>'Detailed Summary'!BI131</f>
        <v>Very Weak</v>
      </c>
    </row>
    <row r="133" spans="2:18" customFormat="1" ht="14.5" hidden="1" customHeight="1" x14ac:dyDescent="0.35">
      <c r="B133" s="88">
        <f>'Student Basic Info'!A132</f>
        <v>631</v>
      </c>
      <c r="C133" s="86" t="str">
        <f>'Student Basic Info'!C132</f>
        <v>Zihad Hossain</v>
      </c>
      <c r="D133" s="89" t="str">
        <f>'Detailed Summary'!AK132</f>
        <v/>
      </c>
      <c r="E133" s="89" t="str">
        <f>'Detailed Summary'!AL132</f>
        <v/>
      </c>
      <c r="F133" s="89" t="str">
        <f>'Detailed Summary'!AM132</f>
        <v/>
      </c>
      <c r="G133" s="89" t="str">
        <f>'Detailed Summary'!AN132</f>
        <v/>
      </c>
      <c r="H133" s="89" t="str">
        <f>'Detailed Summary'!AO132</f>
        <v/>
      </c>
      <c r="I133" s="89" t="str">
        <f>'Detailed Summary'!AP132</f>
        <v/>
      </c>
      <c r="J133" s="89" t="str">
        <f>'Detailed Summary'!AR132</f>
        <v/>
      </c>
      <c r="K133" s="89" t="str">
        <f>'Detailed Summary'!AS132</f>
        <v/>
      </c>
      <c r="L133" s="39">
        <f>'Detailed Summary'!AU132</f>
        <v>0</v>
      </c>
      <c r="M133" s="87" t="str">
        <f>'Detailed Summary'!AV132</f>
        <v/>
      </c>
      <c r="N133" s="3" t="str">
        <f>'Detailed Summary'!BF132</f>
        <v>Failed in 6 Subjects</v>
      </c>
      <c r="O133" s="87" t="str">
        <f>'Detailed Summary'!AW132</f>
        <v/>
      </c>
      <c r="P133" s="87" t="str">
        <f>'Detailed Summary'!BJ132</f>
        <v/>
      </c>
      <c r="Q133" s="5" t="str">
        <f>'Detailed Summary'!BG132</f>
        <v/>
      </c>
      <c r="R133" s="3" t="str">
        <f>'Detailed Summary'!BI132</f>
        <v>Very Weak</v>
      </c>
    </row>
    <row r="134" spans="2:18" customFormat="1" ht="14.5" hidden="1" customHeight="1" x14ac:dyDescent="0.35">
      <c r="B134" s="88">
        <f>'Student Basic Info'!A133</f>
        <v>632</v>
      </c>
      <c r="C134" s="86" t="str">
        <f>'Student Basic Info'!C133</f>
        <v>Ayesha Khatun</v>
      </c>
      <c r="D134" s="89" t="str">
        <f>'Detailed Summary'!AK133</f>
        <v/>
      </c>
      <c r="E134" s="89" t="str">
        <f>'Detailed Summary'!AL133</f>
        <v/>
      </c>
      <c r="F134" s="89" t="str">
        <f>'Detailed Summary'!AM133</f>
        <v/>
      </c>
      <c r="G134" s="89" t="str">
        <f>'Detailed Summary'!AN133</f>
        <v/>
      </c>
      <c r="H134" s="89" t="str">
        <f>'Detailed Summary'!AO133</f>
        <v/>
      </c>
      <c r="I134" s="89" t="str">
        <f>'Detailed Summary'!AP133</f>
        <v/>
      </c>
      <c r="J134" s="89" t="str">
        <f>'Detailed Summary'!AR133</f>
        <v/>
      </c>
      <c r="K134" s="89" t="str">
        <f>'Detailed Summary'!AS133</f>
        <v/>
      </c>
      <c r="L134" s="39">
        <f>'Detailed Summary'!AU133</f>
        <v>0</v>
      </c>
      <c r="M134" s="87" t="str">
        <f>'Detailed Summary'!AV133</f>
        <v/>
      </c>
      <c r="N134" s="3" t="str">
        <f>'Detailed Summary'!BF133</f>
        <v>Failed in 6 Subjects</v>
      </c>
      <c r="O134" s="87" t="str">
        <f>'Detailed Summary'!AW133</f>
        <v/>
      </c>
      <c r="P134" s="87" t="str">
        <f>'Detailed Summary'!BJ133</f>
        <v/>
      </c>
      <c r="Q134" s="5" t="str">
        <f>'Detailed Summary'!BG133</f>
        <v/>
      </c>
      <c r="R134" s="3" t="str">
        <f>'Detailed Summary'!BI133</f>
        <v>Very Weak</v>
      </c>
    </row>
    <row r="135" spans="2:18" customFormat="1" ht="14.5" hidden="1" customHeight="1" x14ac:dyDescent="0.35">
      <c r="B135" s="88">
        <f>'Student Basic Info'!A134</f>
        <v>633</v>
      </c>
      <c r="C135" s="86" t="str">
        <f>'Student Basic Info'!C134</f>
        <v>Ismail Hossain</v>
      </c>
      <c r="D135" s="89" t="str">
        <f>'Detailed Summary'!AK134</f>
        <v/>
      </c>
      <c r="E135" s="89" t="str">
        <f>'Detailed Summary'!AL134</f>
        <v/>
      </c>
      <c r="F135" s="89" t="str">
        <f>'Detailed Summary'!AM134</f>
        <v/>
      </c>
      <c r="G135" s="89" t="str">
        <f>'Detailed Summary'!AN134</f>
        <v/>
      </c>
      <c r="H135" s="89" t="str">
        <f>'Detailed Summary'!AO134</f>
        <v/>
      </c>
      <c r="I135" s="89" t="str">
        <f>'Detailed Summary'!AP134</f>
        <v/>
      </c>
      <c r="J135" s="89" t="str">
        <f>'Detailed Summary'!AR134</f>
        <v/>
      </c>
      <c r="K135" s="89" t="str">
        <f>'Detailed Summary'!AS134</f>
        <v/>
      </c>
      <c r="L135" s="39">
        <f>'Detailed Summary'!AU134</f>
        <v>0</v>
      </c>
      <c r="M135" s="87" t="str">
        <f>'Detailed Summary'!AV134</f>
        <v/>
      </c>
      <c r="N135" s="3" t="str">
        <f>'Detailed Summary'!BF134</f>
        <v>Failed in 6 Subjects</v>
      </c>
      <c r="O135" s="87" t="str">
        <f>'Detailed Summary'!AW134</f>
        <v/>
      </c>
      <c r="P135" s="87" t="str">
        <f>'Detailed Summary'!BJ134</f>
        <v/>
      </c>
      <c r="Q135" s="5" t="str">
        <f>'Detailed Summary'!BG134</f>
        <v/>
      </c>
      <c r="R135" s="3" t="str">
        <f>'Detailed Summary'!BI134</f>
        <v>Very Weak</v>
      </c>
    </row>
    <row r="136" spans="2:18" customFormat="1" ht="14.5" hidden="1" customHeight="1" x14ac:dyDescent="0.35">
      <c r="B136" s="88">
        <f>'Student Basic Info'!A135</f>
        <v>634</v>
      </c>
      <c r="C136" s="86" t="str">
        <f>'Student Basic Info'!C135</f>
        <v>Md. Shahadat Hossain</v>
      </c>
      <c r="D136" s="89" t="str">
        <f>'Detailed Summary'!AK135</f>
        <v/>
      </c>
      <c r="E136" s="89" t="str">
        <f>'Detailed Summary'!AL135</f>
        <v/>
      </c>
      <c r="F136" s="89" t="str">
        <f>'Detailed Summary'!AM135</f>
        <v/>
      </c>
      <c r="G136" s="89" t="str">
        <f>'Detailed Summary'!AN135</f>
        <v/>
      </c>
      <c r="H136" s="89" t="str">
        <f>'Detailed Summary'!AO135</f>
        <v/>
      </c>
      <c r="I136" s="89" t="str">
        <f>'Detailed Summary'!AP135</f>
        <v/>
      </c>
      <c r="J136" s="89" t="str">
        <f>'Detailed Summary'!AR135</f>
        <v/>
      </c>
      <c r="K136" s="89" t="str">
        <f>'Detailed Summary'!AS135</f>
        <v/>
      </c>
      <c r="L136" s="39">
        <f>'Detailed Summary'!AU135</f>
        <v>0</v>
      </c>
      <c r="M136" s="87" t="str">
        <f>'Detailed Summary'!AV135</f>
        <v/>
      </c>
      <c r="N136" s="3" t="str">
        <f>'Detailed Summary'!BF135</f>
        <v>Failed in 6 Subjects</v>
      </c>
      <c r="O136" s="87" t="str">
        <f>'Detailed Summary'!AW135</f>
        <v/>
      </c>
      <c r="P136" s="87" t="str">
        <f>'Detailed Summary'!BJ135</f>
        <v/>
      </c>
      <c r="Q136" s="5" t="str">
        <f>'Detailed Summary'!BG135</f>
        <v/>
      </c>
      <c r="R136" s="3" t="str">
        <f>'Detailed Summary'!BI135</f>
        <v>Very Weak</v>
      </c>
    </row>
    <row r="137" spans="2:18" customFormat="1" ht="14.5" hidden="1" customHeight="1" x14ac:dyDescent="0.35">
      <c r="B137" s="88">
        <f>'Student Basic Info'!A136</f>
        <v>635</v>
      </c>
      <c r="C137" s="86" t="str">
        <f>'Student Basic Info'!C136</f>
        <v>Tabzid Mahmud</v>
      </c>
      <c r="D137" s="89" t="str">
        <f>'Detailed Summary'!AK136</f>
        <v/>
      </c>
      <c r="E137" s="89" t="str">
        <f>'Detailed Summary'!AL136</f>
        <v/>
      </c>
      <c r="F137" s="89" t="str">
        <f>'Detailed Summary'!AM136</f>
        <v/>
      </c>
      <c r="G137" s="89" t="str">
        <f>'Detailed Summary'!AN136</f>
        <v/>
      </c>
      <c r="H137" s="89" t="str">
        <f>'Detailed Summary'!AO136</f>
        <v/>
      </c>
      <c r="I137" s="89" t="str">
        <f>'Detailed Summary'!AP136</f>
        <v/>
      </c>
      <c r="J137" s="89" t="str">
        <f>'Detailed Summary'!AR136</f>
        <v/>
      </c>
      <c r="K137" s="89" t="str">
        <f>'Detailed Summary'!AS136</f>
        <v/>
      </c>
      <c r="L137" s="39">
        <f>'Detailed Summary'!AU136</f>
        <v>0</v>
      </c>
      <c r="M137" s="87" t="str">
        <f>'Detailed Summary'!AV136</f>
        <v/>
      </c>
      <c r="N137" s="3" t="str">
        <f>'Detailed Summary'!BF136</f>
        <v>Failed in 6 Subjects</v>
      </c>
      <c r="O137" s="87" t="str">
        <f>'Detailed Summary'!AW136</f>
        <v/>
      </c>
      <c r="P137" s="87" t="str">
        <f>'Detailed Summary'!BJ136</f>
        <v/>
      </c>
      <c r="Q137" s="5" t="str">
        <f>'Detailed Summary'!BG136</f>
        <v/>
      </c>
      <c r="R137" s="3" t="str">
        <f>'Detailed Summary'!BI136</f>
        <v>Very Weak</v>
      </c>
    </row>
    <row r="138" spans="2:18" customFormat="1" ht="14.5" hidden="1" customHeight="1" x14ac:dyDescent="0.35">
      <c r="B138" s="88">
        <f>'Student Basic Info'!A137</f>
        <v>636</v>
      </c>
      <c r="C138" s="86" t="str">
        <f>'Student Basic Info'!C137</f>
        <v>Md. Ariful Islam</v>
      </c>
      <c r="D138" s="89" t="str">
        <f>'Detailed Summary'!AK137</f>
        <v/>
      </c>
      <c r="E138" s="89" t="str">
        <f>'Detailed Summary'!AL137</f>
        <v/>
      </c>
      <c r="F138" s="89" t="str">
        <f>'Detailed Summary'!AM137</f>
        <v/>
      </c>
      <c r="G138" s="89" t="str">
        <f>'Detailed Summary'!AN137</f>
        <v/>
      </c>
      <c r="H138" s="89" t="str">
        <f>'Detailed Summary'!AO137</f>
        <v/>
      </c>
      <c r="I138" s="89" t="str">
        <f>'Detailed Summary'!AP137</f>
        <v/>
      </c>
      <c r="J138" s="89" t="str">
        <f>'Detailed Summary'!AR137</f>
        <v/>
      </c>
      <c r="K138" s="89" t="str">
        <f>'Detailed Summary'!AS137</f>
        <v/>
      </c>
      <c r="L138" s="39">
        <f>'Detailed Summary'!AU137</f>
        <v>0</v>
      </c>
      <c r="M138" s="87" t="str">
        <f>'Detailed Summary'!AV137</f>
        <v/>
      </c>
      <c r="N138" s="3" t="str">
        <f>'Detailed Summary'!BF137</f>
        <v>Failed in 6 Subjects</v>
      </c>
      <c r="O138" s="87" t="str">
        <f>'Detailed Summary'!AW137</f>
        <v/>
      </c>
      <c r="P138" s="87" t="str">
        <f>'Detailed Summary'!BJ137</f>
        <v/>
      </c>
      <c r="Q138" s="5" t="str">
        <f>'Detailed Summary'!BG137</f>
        <v/>
      </c>
      <c r="R138" s="3" t="str">
        <f>'Detailed Summary'!BI137</f>
        <v>Very Weak</v>
      </c>
    </row>
    <row r="139" spans="2:18" customFormat="1" ht="14.5" hidden="1" customHeight="1" x14ac:dyDescent="0.35">
      <c r="B139" s="88">
        <f>'Student Basic Info'!A138</f>
        <v>637</v>
      </c>
      <c r="C139" s="86" t="str">
        <f>'Student Basic Info'!C138</f>
        <v>Mostafizur Rahman</v>
      </c>
      <c r="D139" s="89">
        <f>'Detailed Summary'!AK138</f>
        <v>1</v>
      </c>
      <c r="E139" s="89">
        <f>'Detailed Summary'!AL138</f>
        <v>0</v>
      </c>
      <c r="F139" s="89">
        <f>'Detailed Summary'!AM138</f>
        <v>0</v>
      </c>
      <c r="G139" s="89">
        <f>'Detailed Summary'!AN138</f>
        <v>0</v>
      </c>
      <c r="H139" s="89">
        <f>'Detailed Summary'!AO138</f>
        <v>0</v>
      </c>
      <c r="I139" s="89">
        <f>'Detailed Summary'!AP138</f>
        <v>0</v>
      </c>
      <c r="J139" s="89">
        <f>'Detailed Summary'!AR138</f>
        <v>0</v>
      </c>
      <c r="K139" s="89">
        <f>'Detailed Summary'!AS138</f>
        <v>0</v>
      </c>
      <c r="L139" s="39">
        <f>'Detailed Summary'!AU138</f>
        <v>1</v>
      </c>
      <c r="M139" s="87" t="str">
        <f>'Detailed Summary'!AV138</f>
        <v/>
      </c>
      <c r="N139" s="3" t="str">
        <f>'Detailed Summary'!BF138</f>
        <v>Failed in 5 Subjects</v>
      </c>
      <c r="O139" s="87" t="str">
        <f>'Detailed Summary'!AW138</f>
        <v/>
      </c>
      <c r="P139" s="87" t="str">
        <f>'Detailed Summary'!BJ138</f>
        <v/>
      </c>
      <c r="Q139" s="5" t="str">
        <f>'Detailed Summary'!BG138</f>
        <v/>
      </c>
      <c r="R139" s="3" t="str">
        <f>'Detailed Summary'!BI138</f>
        <v>Very Weak</v>
      </c>
    </row>
    <row r="140" spans="2:18" customFormat="1" ht="14.5" hidden="1" customHeight="1" x14ac:dyDescent="0.35">
      <c r="B140" s="88">
        <f>'Student Basic Info'!A139</f>
        <v>638</v>
      </c>
      <c r="C140" s="86" t="str">
        <f>'Student Basic Info'!C139</f>
        <v xml:space="preserve">Md. Al Amin </v>
      </c>
      <c r="D140" s="89">
        <f>'Detailed Summary'!AK139</f>
        <v>1</v>
      </c>
      <c r="E140" s="89">
        <f>'Detailed Summary'!AL139</f>
        <v>0</v>
      </c>
      <c r="F140" s="89">
        <f>'Detailed Summary'!AM139</f>
        <v>0</v>
      </c>
      <c r="G140" s="89">
        <f>'Detailed Summary'!AN139</f>
        <v>0</v>
      </c>
      <c r="H140" s="89">
        <f>'Detailed Summary'!AO139</f>
        <v>0</v>
      </c>
      <c r="I140" s="89" t="str">
        <f>'Detailed Summary'!AP139</f>
        <v/>
      </c>
      <c r="J140" s="89">
        <f>'Detailed Summary'!AR139</f>
        <v>0</v>
      </c>
      <c r="K140" s="89">
        <f>'Detailed Summary'!AS139</f>
        <v>0</v>
      </c>
      <c r="L140" s="39">
        <f>'Detailed Summary'!AU139</f>
        <v>1</v>
      </c>
      <c r="M140" s="87" t="str">
        <f>'Detailed Summary'!AV139</f>
        <v/>
      </c>
      <c r="N140" s="3" t="str">
        <f>'Detailed Summary'!BF139</f>
        <v>Failed in 5 Subjects</v>
      </c>
      <c r="O140" s="87" t="str">
        <f>'Detailed Summary'!AW139</f>
        <v/>
      </c>
      <c r="P140" s="87" t="str">
        <f>'Detailed Summary'!BJ139</f>
        <v/>
      </c>
      <c r="Q140" s="5" t="str">
        <f>'Detailed Summary'!BG139</f>
        <v/>
      </c>
      <c r="R140" s="3" t="str">
        <f>'Detailed Summary'!BI139</f>
        <v>Very Weak</v>
      </c>
    </row>
    <row r="141" spans="2:18" customFormat="1" ht="14.5" hidden="1" customHeight="1" x14ac:dyDescent="0.35">
      <c r="B141" s="88">
        <f>'Student Basic Info'!A140</f>
        <v>639</v>
      </c>
      <c r="C141" s="86" t="str">
        <f>'Student Basic Info'!C140</f>
        <v>Bibi Fatema Khatun</v>
      </c>
      <c r="D141" s="89" t="str">
        <f>'Detailed Summary'!AK140</f>
        <v/>
      </c>
      <c r="E141" s="89" t="str">
        <f>'Detailed Summary'!AL140</f>
        <v/>
      </c>
      <c r="F141" s="89" t="str">
        <f>'Detailed Summary'!AM140</f>
        <v/>
      </c>
      <c r="G141" s="89" t="str">
        <f>'Detailed Summary'!AN140</f>
        <v/>
      </c>
      <c r="H141" s="89" t="str">
        <f>'Detailed Summary'!AO140</f>
        <v/>
      </c>
      <c r="I141" s="89" t="str">
        <f>'Detailed Summary'!AP140</f>
        <v/>
      </c>
      <c r="J141" s="89" t="str">
        <f>'Detailed Summary'!AR140</f>
        <v/>
      </c>
      <c r="K141" s="89" t="str">
        <f>'Detailed Summary'!AS140</f>
        <v/>
      </c>
      <c r="L141" s="39">
        <f>'Detailed Summary'!AU140</f>
        <v>0</v>
      </c>
      <c r="M141" s="87" t="str">
        <f>'Detailed Summary'!AV140</f>
        <v/>
      </c>
      <c r="N141" s="3" t="str">
        <f>'Detailed Summary'!BF140</f>
        <v>Failed in 6 Subjects</v>
      </c>
      <c r="O141" s="87" t="str">
        <f>'Detailed Summary'!AW140</f>
        <v/>
      </c>
      <c r="P141" s="87" t="str">
        <f>'Detailed Summary'!BJ140</f>
        <v/>
      </c>
      <c r="Q141" s="5" t="str">
        <f>'Detailed Summary'!BG140</f>
        <v/>
      </c>
      <c r="R141" s="3" t="str">
        <f>'Detailed Summary'!BI140</f>
        <v>Very Weak</v>
      </c>
    </row>
    <row r="142" spans="2:18" customFormat="1" ht="14.5" hidden="1" customHeight="1" x14ac:dyDescent="0.35">
      <c r="B142" s="88">
        <f>'Student Basic Info'!A141</f>
        <v>640</v>
      </c>
      <c r="C142" s="86" t="str">
        <f>'Student Basic Info'!C141</f>
        <v>Sazzad Hossain Sanzid</v>
      </c>
      <c r="D142" s="89" t="str">
        <f>'Detailed Summary'!AK141</f>
        <v/>
      </c>
      <c r="E142" s="89" t="str">
        <f>'Detailed Summary'!AL141</f>
        <v/>
      </c>
      <c r="F142" s="89" t="str">
        <f>'Detailed Summary'!AM141</f>
        <v/>
      </c>
      <c r="G142" s="89" t="str">
        <f>'Detailed Summary'!AN141</f>
        <v/>
      </c>
      <c r="H142" s="89" t="str">
        <f>'Detailed Summary'!AO141</f>
        <v/>
      </c>
      <c r="I142" s="89" t="str">
        <f>'Detailed Summary'!AP141</f>
        <v/>
      </c>
      <c r="J142" s="89" t="str">
        <f>'Detailed Summary'!AR141</f>
        <v/>
      </c>
      <c r="K142" s="89" t="str">
        <f>'Detailed Summary'!AS141</f>
        <v/>
      </c>
      <c r="L142" s="39">
        <f>'Detailed Summary'!AU141</f>
        <v>0</v>
      </c>
      <c r="M142" s="87" t="str">
        <f>'Detailed Summary'!AV141</f>
        <v/>
      </c>
      <c r="N142" s="3" t="str">
        <f>'Detailed Summary'!BF141</f>
        <v>Failed in 6 Subjects</v>
      </c>
      <c r="O142" s="87" t="str">
        <f>'Detailed Summary'!AW141</f>
        <v/>
      </c>
      <c r="P142" s="87" t="str">
        <f>'Detailed Summary'!BJ141</f>
        <v/>
      </c>
      <c r="Q142" s="5" t="str">
        <f>'Detailed Summary'!BG141</f>
        <v/>
      </c>
      <c r="R142" s="3" t="str">
        <f>'Detailed Summary'!BI141</f>
        <v>Very Weak</v>
      </c>
    </row>
    <row r="143" spans="2:18" customFormat="1" ht="14.5" hidden="1" customHeight="1" x14ac:dyDescent="0.35">
      <c r="B143" s="88">
        <f>'Student Basic Info'!A142</f>
        <v>641</v>
      </c>
      <c r="C143" s="86" t="str">
        <f>'Student Basic Info'!C142</f>
        <v>Md. Sohrab Hossain</v>
      </c>
      <c r="D143" s="89">
        <f>'Detailed Summary'!AK142</f>
        <v>2</v>
      </c>
      <c r="E143" s="89">
        <f>'Detailed Summary'!AL142</f>
        <v>1</v>
      </c>
      <c r="F143" s="89">
        <f>'Detailed Summary'!AM142</f>
        <v>3.5</v>
      </c>
      <c r="G143" s="89">
        <f>'Detailed Summary'!AN142</f>
        <v>0</v>
      </c>
      <c r="H143" s="89">
        <f>'Detailed Summary'!AO142</f>
        <v>0</v>
      </c>
      <c r="I143" s="89">
        <f>'Detailed Summary'!AP142</f>
        <v>2</v>
      </c>
      <c r="J143" s="89">
        <f>'Detailed Summary'!AR142</f>
        <v>0</v>
      </c>
      <c r="K143" s="89">
        <f>'Detailed Summary'!AS142</f>
        <v>0</v>
      </c>
      <c r="L143" s="39">
        <f>'Detailed Summary'!AU142</f>
        <v>8.5</v>
      </c>
      <c r="M143" s="87" t="str">
        <f>'Detailed Summary'!AV142</f>
        <v/>
      </c>
      <c r="N143" s="3" t="str">
        <f>'Detailed Summary'!BF142</f>
        <v>Failed in 2 Subjects</v>
      </c>
      <c r="O143" s="87" t="str">
        <f>'Detailed Summary'!AW142</f>
        <v/>
      </c>
      <c r="P143" s="87" t="str">
        <f>'Detailed Summary'!BJ142</f>
        <v/>
      </c>
      <c r="Q143" s="5" t="str">
        <f>'Detailed Summary'!BG142</f>
        <v/>
      </c>
      <c r="R143" s="3" t="str">
        <f>'Detailed Summary'!BI142</f>
        <v>Very Weak</v>
      </c>
    </row>
    <row r="144" spans="2:18" customFormat="1" ht="14.5" hidden="1" customHeight="1" x14ac:dyDescent="0.35">
      <c r="B144" s="88">
        <f>'Student Basic Info'!A143</f>
        <v>642</v>
      </c>
      <c r="C144" s="86" t="str">
        <f>'Student Basic Info'!C143</f>
        <v>Jannatul Nure Hafsa</v>
      </c>
      <c r="D144" s="89">
        <f>'Detailed Summary'!AK143</f>
        <v>0</v>
      </c>
      <c r="E144" s="89">
        <f>'Detailed Summary'!AL143</f>
        <v>0</v>
      </c>
      <c r="F144" s="89">
        <f>'Detailed Summary'!AM143</f>
        <v>0</v>
      </c>
      <c r="G144" s="89">
        <f>'Detailed Summary'!AN143</f>
        <v>2</v>
      </c>
      <c r="H144" s="89">
        <f>'Detailed Summary'!AO143</f>
        <v>2</v>
      </c>
      <c r="I144" s="89">
        <f>'Detailed Summary'!AP143</f>
        <v>0</v>
      </c>
      <c r="J144" s="89">
        <f>'Detailed Summary'!AR143</f>
        <v>1</v>
      </c>
      <c r="K144" s="89">
        <f>'Detailed Summary'!AS143</f>
        <v>0</v>
      </c>
      <c r="L144" s="39">
        <f>'Detailed Summary'!AU143</f>
        <v>4</v>
      </c>
      <c r="M144" s="87" t="str">
        <f>'Detailed Summary'!AV143</f>
        <v/>
      </c>
      <c r="N144" s="3" t="str">
        <f>'Detailed Summary'!BF143</f>
        <v>Failed in 4 Subjects</v>
      </c>
      <c r="O144" s="87" t="str">
        <f>'Detailed Summary'!AW143</f>
        <v/>
      </c>
      <c r="P144" s="87" t="str">
        <f>'Detailed Summary'!BJ143</f>
        <v/>
      </c>
      <c r="Q144" s="5" t="str">
        <f>'Detailed Summary'!BG143</f>
        <v/>
      </c>
      <c r="R144" s="3" t="str">
        <f>'Detailed Summary'!BI143</f>
        <v>Very Weak</v>
      </c>
    </row>
    <row r="145" spans="2:21" customFormat="1" ht="14.5" hidden="1" customHeight="1" x14ac:dyDescent="0.35">
      <c r="B145" s="88">
        <f>'Student Basic Info'!A144</f>
        <v>643</v>
      </c>
      <c r="C145" s="86">
        <f>'Student Basic Info'!C144</f>
        <v>0</v>
      </c>
      <c r="D145" s="89" t="str">
        <f>'Detailed Summary'!AK144</f>
        <v/>
      </c>
      <c r="E145" s="89" t="str">
        <f>'Detailed Summary'!AL144</f>
        <v/>
      </c>
      <c r="F145" s="89" t="str">
        <f>'Detailed Summary'!AM144</f>
        <v/>
      </c>
      <c r="G145" s="89" t="str">
        <f>'Detailed Summary'!AN144</f>
        <v/>
      </c>
      <c r="H145" s="89" t="str">
        <f>'Detailed Summary'!AO144</f>
        <v/>
      </c>
      <c r="I145" s="89" t="str">
        <f>'Detailed Summary'!AP144</f>
        <v/>
      </c>
      <c r="J145" s="89" t="str">
        <f>'Detailed Summary'!AR144</f>
        <v/>
      </c>
      <c r="K145" s="89" t="str">
        <f>'Detailed Summary'!AS144</f>
        <v/>
      </c>
      <c r="L145" s="39">
        <f>'Detailed Summary'!AU144</f>
        <v>0</v>
      </c>
      <c r="M145" s="87" t="str">
        <f>'Detailed Summary'!AV144</f>
        <v/>
      </c>
      <c r="N145" s="3" t="str">
        <f>'Detailed Summary'!BF144</f>
        <v>Failed in 6 Subjects</v>
      </c>
      <c r="O145" s="87" t="str">
        <f>'Detailed Summary'!AW144</f>
        <v/>
      </c>
      <c r="P145" s="87" t="str">
        <f>'Detailed Summary'!BJ144</f>
        <v/>
      </c>
      <c r="Q145" s="5" t="str">
        <f>'Detailed Summary'!BG144</f>
        <v/>
      </c>
      <c r="R145" s="3" t="str">
        <f>'Detailed Summary'!BI144</f>
        <v>Very Weak</v>
      </c>
    </row>
    <row r="146" spans="2:21" customFormat="1" ht="14.5" hidden="1" customHeight="1" x14ac:dyDescent="0.35">
      <c r="B146" s="88">
        <f>'Student Basic Info'!A145</f>
        <v>644</v>
      </c>
      <c r="C146" s="86" t="str">
        <f>'Student Basic Info'!C145</f>
        <v>Khadiza Aktar</v>
      </c>
      <c r="D146" s="89">
        <f>'Detailed Summary'!AK145</f>
        <v>0</v>
      </c>
      <c r="E146" s="89">
        <f>'Detailed Summary'!AL145</f>
        <v>0</v>
      </c>
      <c r="F146" s="89">
        <f>'Detailed Summary'!AM145</f>
        <v>0</v>
      </c>
      <c r="G146" s="89">
        <f>'Detailed Summary'!AN145</f>
        <v>0</v>
      </c>
      <c r="H146" s="89">
        <f>'Detailed Summary'!AO145</f>
        <v>0</v>
      </c>
      <c r="I146" s="89">
        <f>'Detailed Summary'!AP145</f>
        <v>0</v>
      </c>
      <c r="J146" s="89">
        <f>'Detailed Summary'!AR145</f>
        <v>0</v>
      </c>
      <c r="K146" s="89">
        <f>'Detailed Summary'!AS145</f>
        <v>0</v>
      </c>
      <c r="L146" s="39">
        <f>'Detailed Summary'!AU145</f>
        <v>0</v>
      </c>
      <c r="M146" s="87" t="str">
        <f>'Detailed Summary'!AV145</f>
        <v/>
      </c>
      <c r="N146" s="3" t="str">
        <f>'Detailed Summary'!BF145</f>
        <v>Failed in 6 Subjects</v>
      </c>
      <c r="O146" s="87" t="str">
        <f>'Detailed Summary'!AW145</f>
        <v/>
      </c>
      <c r="P146" s="87" t="str">
        <f>'Detailed Summary'!BJ145</f>
        <v/>
      </c>
      <c r="Q146" s="5" t="str">
        <f>'Detailed Summary'!BG145</f>
        <v/>
      </c>
      <c r="R146" s="3" t="str">
        <f>'Detailed Summary'!BI145</f>
        <v>Very Weak</v>
      </c>
    </row>
    <row r="151" spans="2:21" x14ac:dyDescent="0.35">
      <c r="U151" s="135"/>
    </row>
  </sheetData>
  <autoFilter ref="N1:N146">
    <filterColumn colId="0">
      <filters>
        <filter val="Pass"/>
        <filter val="Result"/>
      </filters>
    </filterColumn>
  </autoFilter>
  <sortState ref="A5:R116">
    <sortCondition ref="Q2"/>
  </sortState>
  <mergeCells count="1">
    <mergeCell ref="A1:R1"/>
  </mergeCells>
  <pageMargins left="0.71" right="0.5" top="2.87" bottom="0.96" header="1.58" footer="3.45"/>
  <pageSetup orientation="portrait" r:id="rId1"/>
  <headerFooter>
    <oddHeader xml:space="preserve">&amp;C&amp;"-,Bold"&amp;28&amp;KFFC000BAMNI DEGREE COLLEGE&amp;"-,Regular"&amp;24
&amp;"-,Bold"&amp;16&amp;K01+000Test Examination Result - 2025&amp;"-,Italic"&amp;14&amp;U
&amp;"-,Bold"&amp;UGroup: Business Studies (All Subjects Pass)&amp;"-,Italic"&amp;U
Date of Publication of Result: February 20, 2025
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46"/>
  <sheetViews>
    <sheetView zoomScaleNormal="100" workbookViewId="0">
      <selection activeCell="N151" sqref="N151"/>
    </sheetView>
  </sheetViews>
  <sheetFormatPr defaultRowHeight="14.5" x14ac:dyDescent="0.35"/>
  <cols>
    <col min="1" max="1" width="4.54296875" customWidth="1"/>
    <col min="2" max="2" width="10.90625" style="104" customWidth="1"/>
    <col min="3" max="3" width="21.7265625" style="104" customWidth="1"/>
    <col min="4" max="4" width="0" style="104" hidden="1" customWidth="1"/>
    <col min="5" max="5" width="16.54296875" style="104" hidden="1" customWidth="1"/>
    <col min="6" max="6" width="0" style="104" hidden="1" customWidth="1"/>
    <col min="7" max="7" width="10.08984375" style="104" hidden="1" customWidth="1"/>
    <col min="8" max="8" width="12" style="104" hidden="1" customWidth="1"/>
    <col min="9" max="11" width="0" style="104" hidden="1" customWidth="1"/>
    <col min="12" max="12" width="0" hidden="1" customWidth="1"/>
    <col min="13" max="13" width="10.36328125" hidden="1" customWidth="1"/>
    <col min="14" max="14" width="20.1796875" customWidth="1"/>
    <col min="15" max="15" width="10.90625" customWidth="1"/>
    <col min="16" max="16" width="14.1796875" customWidth="1"/>
  </cols>
  <sheetData>
    <row r="1" spans="1:16" ht="141" customHeight="1" x14ac:dyDescent="0.45">
      <c r="A1" s="157" t="s">
        <v>875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x14ac:dyDescent="0.35">
      <c r="A2" s="13" t="s">
        <v>871</v>
      </c>
      <c r="B2" s="13" t="s">
        <v>0</v>
      </c>
      <c r="C2" s="13" t="s">
        <v>34</v>
      </c>
      <c r="D2" s="13" t="s">
        <v>12</v>
      </c>
      <c r="E2" s="13" t="s">
        <v>13</v>
      </c>
      <c r="F2" s="13" t="s">
        <v>14</v>
      </c>
      <c r="G2" s="13" t="s">
        <v>181</v>
      </c>
      <c r="H2" s="13" t="s">
        <v>870</v>
      </c>
      <c r="I2" s="13" t="s">
        <v>18</v>
      </c>
      <c r="J2" s="13" t="s">
        <v>19</v>
      </c>
      <c r="K2" s="13" t="s">
        <v>869</v>
      </c>
      <c r="L2" s="13" t="s">
        <v>866</v>
      </c>
      <c r="M2" s="84" t="s">
        <v>867</v>
      </c>
      <c r="N2" s="85" t="s">
        <v>7</v>
      </c>
      <c r="O2" s="85" t="s">
        <v>9</v>
      </c>
      <c r="P2" s="85" t="s">
        <v>868</v>
      </c>
    </row>
    <row r="3" spans="1:16" hidden="1" x14ac:dyDescent="0.35">
      <c r="B3" s="88">
        <f>'Student Basic Info'!A2</f>
        <v>501</v>
      </c>
      <c r="C3" s="86" t="str">
        <f>'Student Basic Info'!C2</f>
        <v xml:space="preserve">Robiul Sani </v>
      </c>
      <c r="D3" s="89" t="str">
        <f>'Detailed Summary'!AK2</f>
        <v/>
      </c>
      <c r="E3" s="89" t="str">
        <f>'Detailed Summary'!AL2</f>
        <v/>
      </c>
      <c r="F3" s="89" t="str">
        <f>'Detailed Summary'!AM2</f>
        <v/>
      </c>
      <c r="G3" s="89" t="str">
        <f>'Detailed Summary'!AN2</f>
        <v/>
      </c>
      <c r="H3" s="89" t="str">
        <f>'Detailed Summary'!AO2</f>
        <v/>
      </c>
      <c r="I3" s="89" t="str">
        <f>'Detailed Summary'!AP2</f>
        <v/>
      </c>
      <c r="J3" s="89" t="str">
        <f>'Detailed Summary'!AR2</f>
        <v/>
      </c>
      <c r="K3" s="89" t="str">
        <f>'Detailed Summary'!AS2</f>
        <v/>
      </c>
      <c r="L3" s="39">
        <f>'Detailed Summary'!AU2</f>
        <v>0</v>
      </c>
      <c r="M3" s="87" t="str">
        <f>'Detailed Summary'!AV2</f>
        <v/>
      </c>
      <c r="N3" s="3" t="str">
        <f>'Detailed Summary'!BF2</f>
        <v>Failed in 6 Subjects</v>
      </c>
      <c r="O3" s="87" t="str">
        <f>'Detailed Summary'!AW2</f>
        <v/>
      </c>
      <c r="P3" s="5" t="str">
        <f>'Detailed Summary'!BG2</f>
        <v/>
      </c>
    </row>
    <row r="4" spans="1:16" hidden="1" x14ac:dyDescent="0.35">
      <c r="B4" s="88">
        <f>'Student Basic Info'!A3</f>
        <v>502</v>
      </c>
      <c r="C4" s="86" t="str">
        <f>'Student Basic Info'!C3</f>
        <v>Shakhawat Hosain</v>
      </c>
      <c r="D4" s="89" t="str">
        <f>'Detailed Summary'!AK3</f>
        <v/>
      </c>
      <c r="E4" s="89" t="str">
        <f>'Detailed Summary'!AL3</f>
        <v/>
      </c>
      <c r="F4" s="89" t="str">
        <f>'Detailed Summary'!AM3</f>
        <v/>
      </c>
      <c r="G4" s="89" t="str">
        <f>'Detailed Summary'!AN3</f>
        <v/>
      </c>
      <c r="H4" s="89" t="str">
        <f>'Detailed Summary'!AO3</f>
        <v/>
      </c>
      <c r="I4" s="89" t="str">
        <f>'Detailed Summary'!AP3</f>
        <v/>
      </c>
      <c r="J4" s="89" t="str">
        <f>'Detailed Summary'!AR3</f>
        <v/>
      </c>
      <c r="K4" s="89" t="str">
        <f>'Detailed Summary'!AS3</f>
        <v/>
      </c>
      <c r="L4" s="39">
        <f>'Detailed Summary'!AU3</f>
        <v>0</v>
      </c>
      <c r="M4" s="87" t="str">
        <f>'Detailed Summary'!AV3</f>
        <v/>
      </c>
      <c r="N4" s="3" t="str">
        <f>'Detailed Summary'!BF3</f>
        <v>Failed in 6 Subjects</v>
      </c>
      <c r="O4" s="87" t="str">
        <f>'Detailed Summary'!AW3</f>
        <v/>
      </c>
      <c r="P4" s="5" t="str">
        <f>'Detailed Summary'!BG3</f>
        <v/>
      </c>
    </row>
    <row r="5" spans="1:16" hidden="1" x14ac:dyDescent="0.35">
      <c r="B5" s="88">
        <f>'Student Basic Info'!A4</f>
        <v>503</v>
      </c>
      <c r="C5" s="86" t="str">
        <f>'Student Basic Info'!C4</f>
        <v>Nusrat Sultana</v>
      </c>
      <c r="D5" s="89">
        <f>'Detailed Summary'!AK4</f>
        <v>3</v>
      </c>
      <c r="E5" s="89">
        <f>'Detailed Summary'!AL4</f>
        <v>1</v>
      </c>
      <c r="F5" s="89">
        <f>'Detailed Summary'!AM4</f>
        <v>2</v>
      </c>
      <c r="G5" s="89">
        <f>'Detailed Summary'!AN4</f>
        <v>1</v>
      </c>
      <c r="H5" s="89">
        <f>'Detailed Summary'!AO4</f>
        <v>1</v>
      </c>
      <c r="I5" s="89">
        <f>'Detailed Summary'!AP4</f>
        <v>1</v>
      </c>
      <c r="J5" s="89">
        <f>'Detailed Summary'!AR4</f>
        <v>2</v>
      </c>
      <c r="K5" s="89">
        <f>'Detailed Summary'!AS4</f>
        <v>0</v>
      </c>
      <c r="L5" s="39">
        <f>'Detailed Summary'!AU4</f>
        <v>9</v>
      </c>
      <c r="M5" s="87">
        <f>'Detailed Summary'!AV4</f>
        <v>1.5</v>
      </c>
      <c r="N5" s="3" t="str">
        <f>'Detailed Summary'!BF4</f>
        <v>Pass</v>
      </c>
      <c r="O5" s="87">
        <f>'Detailed Summary'!AW4</f>
        <v>1.5</v>
      </c>
      <c r="P5" s="5">
        <f>'Detailed Summary'!BG4</f>
        <v>12</v>
      </c>
    </row>
    <row r="6" spans="1:16" hidden="1" x14ac:dyDescent="0.35">
      <c r="B6" s="88">
        <f>'Student Basic Info'!A5</f>
        <v>504</v>
      </c>
      <c r="C6" s="86" t="str">
        <f>'Student Basic Info'!C5</f>
        <v>Nusrat Zahan</v>
      </c>
      <c r="D6" s="89">
        <f>'Detailed Summary'!AK5</f>
        <v>3</v>
      </c>
      <c r="E6" s="89">
        <f>'Detailed Summary'!AL5</f>
        <v>0</v>
      </c>
      <c r="F6" s="89">
        <f>'Detailed Summary'!AM5</f>
        <v>0</v>
      </c>
      <c r="G6" s="89">
        <f>'Detailed Summary'!AN5</f>
        <v>0</v>
      </c>
      <c r="H6" s="89">
        <f>'Detailed Summary'!AO5</f>
        <v>0</v>
      </c>
      <c r="I6" s="89">
        <f>'Detailed Summary'!AP5</f>
        <v>2</v>
      </c>
      <c r="J6" s="89">
        <f>'Detailed Summary'!AR5</f>
        <v>2</v>
      </c>
      <c r="K6" s="89">
        <f>'Detailed Summary'!AS5</f>
        <v>0</v>
      </c>
      <c r="L6" s="39">
        <f>'Detailed Summary'!AU5</f>
        <v>5</v>
      </c>
      <c r="M6" s="87" t="str">
        <f>'Detailed Summary'!AV5</f>
        <v/>
      </c>
      <c r="N6" s="3" t="str">
        <f>'Detailed Summary'!BF5</f>
        <v>Failed in 4 Subjects</v>
      </c>
      <c r="O6" s="87" t="str">
        <f>'Detailed Summary'!AW5</f>
        <v/>
      </c>
      <c r="P6" s="5" t="str">
        <f>'Detailed Summary'!BG5</f>
        <v/>
      </c>
    </row>
    <row r="7" spans="1:16" hidden="1" x14ac:dyDescent="0.35">
      <c r="B7" s="88">
        <f>'Student Basic Info'!A6</f>
        <v>505</v>
      </c>
      <c r="C7" s="86" t="str">
        <f>'Student Basic Info'!C6</f>
        <v>Istiaque Mahmud</v>
      </c>
      <c r="D7" s="89" t="str">
        <f>'Detailed Summary'!AK6</f>
        <v/>
      </c>
      <c r="E7" s="89" t="str">
        <f>'Detailed Summary'!AL6</f>
        <v/>
      </c>
      <c r="F7" s="89" t="str">
        <f>'Detailed Summary'!AM6</f>
        <v/>
      </c>
      <c r="G7" s="89" t="str">
        <f>'Detailed Summary'!AN6</f>
        <v/>
      </c>
      <c r="H7" s="89" t="str">
        <f>'Detailed Summary'!AO6</f>
        <v/>
      </c>
      <c r="I7" s="89" t="str">
        <f>'Detailed Summary'!AP6</f>
        <v/>
      </c>
      <c r="J7" s="89" t="str">
        <f>'Detailed Summary'!AR6</f>
        <v/>
      </c>
      <c r="K7" s="89" t="str">
        <f>'Detailed Summary'!AS6</f>
        <v/>
      </c>
      <c r="L7" s="39">
        <f>'Detailed Summary'!AU6</f>
        <v>0</v>
      </c>
      <c r="M7" s="87" t="str">
        <f>'Detailed Summary'!AV6</f>
        <v/>
      </c>
      <c r="N7" s="3" t="str">
        <f>'Detailed Summary'!BF6</f>
        <v>Failed in 6 Subjects</v>
      </c>
      <c r="O7" s="87" t="str">
        <f>'Detailed Summary'!AW6</f>
        <v/>
      </c>
      <c r="P7" s="5" t="str">
        <f>'Detailed Summary'!BG6</f>
        <v/>
      </c>
    </row>
    <row r="8" spans="1:16" hidden="1" x14ac:dyDescent="0.35">
      <c r="B8" s="88">
        <f>'Student Basic Info'!A7</f>
        <v>506</v>
      </c>
      <c r="C8" s="86" t="str">
        <f>'Student Basic Info'!C7</f>
        <v>Naznin Aktar</v>
      </c>
      <c r="D8" s="89" t="str">
        <f>'Detailed Summary'!AK7</f>
        <v/>
      </c>
      <c r="E8" s="89" t="str">
        <f>'Detailed Summary'!AL7</f>
        <v/>
      </c>
      <c r="F8" s="89" t="str">
        <f>'Detailed Summary'!AM7</f>
        <v/>
      </c>
      <c r="G8" s="89" t="str">
        <f>'Detailed Summary'!AN7</f>
        <v/>
      </c>
      <c r="H8" s="89" t="str">
        <f>'Detailed Summary'!AO7</f>
        <v/>
      </c>
      <c r="I8" s="89" t="str">
        <f>'Detailed Summary'!AP7</f>
        <v/>
      </c>
      <c r="J8" s="89" t="str">
        <f>'Detailed Summary'!AR7</f>
        <v/>
      </c>
      <c r="K8" s="89" t="str">
        <f>'Detailed Summary'!AS7</f>
        <v/>
      </c>
      <c r="L8" s="39">
        <f>'Detailed Summary'!AU7</f>
        <v>0</v>
      </c>
      <c r="M8" s="87" t="str">
        <f>'Detailed Summary'!AV7</f>
        <v/>
      </c>
      <c r="N8" s="3" t="str">
        <f>'Detailed Summary'!BF7</f>
        <v>Failed in 6 Subjects</v>
      </c>
      <c r="O8" s="87" t="str">
        <f>'Detailed Summary'!AW7</f>
        <v/>
      </c>
      <c r="P8" s="5" t="str">
        <f>'Detailed Summary'!BG7</f>
        <v/>
      </c>
    </row>
    <row r="9" spans="1:16" hidden="1" x14ac:dyDescent="0.35">
      <c r="A9" s="105">
        <v>1</v>
      </c>
      <c r="B9" s="105">
        <f>'Student Basic Info'!A23</f>
        <v>522</v>
      </c>
      <c r="C9" s="106" t="str">
        <f>'Student Basic Info'!C23</f>
        <v>Sumaiya Ferdaus Neha</v>
      </c>
      <c r="D9" s="89">
        <f>'Detailed Summary'!AK23</f>
        <v>3.5</v>
      </c>
      <c r="E9" s="89">
        <f>'Detailed Summary'!AL23</f>
        <v>3</v>
      </c>
      <c r="F9" s="89">
        <f>'Detailed Summary'!AM23</f>
        <v>5</v>
      </c>
      <c r="G9" s="89">
        <f>'Detailed Summary'!AN23</f>
        <v>3.5</v>
      </c>
      <c r="H9" s="89">
        <f>'Detailed Summary'!AO23</f>
        <v>4</v>
      </c>
      <c r="I9" s="89">
        <f>'Detailed Summary'!AP23</f>
        <v>3.5</v>
      </c>
      <c r="J9" s="89">
        <f>'Detailed Summary'!AR23</f>
        <v>5</v>
      </c>
      <c r="K9" s="89">
        <f>'Detailed Summary'!AS23</f>
        <v>3</v>
      </c>
      <c r="L9" s="39">
        <f>'Detailed Summary'!AU23</f>
        <v>25.5</v>
      </c>
      <c r="M9" s="87">
        <f>'Detailed Summary'!AV23</f>
        <v>3.75</v>
      </c>
      <c r="N9" s="76" t="str">
        <f>'Detailed Summary'!BF23</f>
        <v>Pass</v>
      </c>
      <c r="O9" s="87">
        <f>'Detailed Summary'!AW23</f>
        <v>4.25</v>
      </c>
      <c r="P9" s="107">
        <f>'Detailed Summary'!BG23</f>
        <v>1</v>
      </c>
    </row>
    <row r="10" spans="1:16" ht="18.5" hidden="1" x14ac:dyDescent="0.45">
      <c r="A10" s="102"/>
      <c r="B10" s="88">
        <f>'Student Basic Info'!A9</f>
        <v>508</v>
      </c>
      <c r="C10" s="86" t="str">
        <f>'Student Basic Info'!C9</f>
        <v>Suraiya Aktar</v>
      </c>
      <c r="D10" s="89">
        <f>'Detailed Summary'!AK9</f>
        <v>3</v>
      </c>
      <c r="E10" s="89">
        <f>'Detailed Summary'!AL9</f>
        <v>1</v>
      </c>
      <c r="F10" s="89">
        <f>'Detailed Summary'!AM9</f>
        <v>3</v>
      </c>
      <c r="G10" s="89">
        <f>'Detailed Summary'!AN9</f>
        <v>3</v>
      </c>
      <c r="H10" s="89">
        <f>'Detailed Summary'!AO9</f>
        <v>3</v>
      </c>
      <c r="I10" s="89">
        <f>'Detailed Summary'!AP9</f>
        <v>3</v>
      </c>
      <c r="J10" s="89">
        <f>'Detailed Summary'!AR9</f>
        <v>0</v>
      </c>
      <c r="K10" s="89">
        <f>'Detailed Summary'!AS9</f>
        <v>0</v>
      </c>
      <c r="L10" s="39">
        <f>'Detailed Summary'!AU9</f>
        <v>16</v>
      </c>
      <c r="M10" s="87">
        <f>'Detailed Summary'!AV9</f>
        <v>2.6666666666666665</v>
      </c>
      <c r="N10" s="3" t="str">
        <f>'Detailed Summary'!BF9</f>
        <v>Pass</v>
      </c>
      <c r="O10" s="87">
        <f>'Detailed Summary'!AW9</f>
        <v>2.6666666666666665</v>
      </c>
      <c r="P10" s="5">
        <f>'Detailed Summary'!BG9</f>
        <v>7</v>
      </c>
    </row>
    <row r="11" spans="1:16" ht="18.5" hidden="1" x14ac:dyDescent="0.45">
      <c r="A11" s="102"/>
      <c r="B11" s="88">
        <f>'Student Basic Info'!A10</f>
        <v>509</v>
      </c>
      <c r="C11" s="86" t="str">
        <f>'Student Basic Info'!C10</f>
        <v>Muntasir Ahamml Siyam</v>
      </c>
      <c r="D11" s="89">
        <f>'Detailed Summary'!AK10</f>
        <v>1</v>
      </c>
      <c r="E11" s="89">
        <f>'Detailed Summary'!AL10</f>
        <v>0</v>
      </c>
      <c r="F11" s="89">
        <f>'Detailed Summary'!AM10</f>
        <v>0</v>
      </c>
      <c r="G11" s="89">
        <f>'Detailed Summary'!AN10</f>
        <v>0</v>
      </c>
      <c r="H11" s="89">
        <f>'Detailed Summary'!AO10</f>
        <v>0</v>
      </c>
      <c r="I11" s="89">
        <f>'Detailed Summary'!AP10</f>
        <v>0</v>
      </c>
      <c r="J11" s="89">
        <f>'Detailed Summary'!AR10</f>
        <v>1</v>
      </c>
      <c r="K11" s="89">
        <f>'Detailed Summary'!AS10</f>
        <v>0</v>
      </c>
      <c r="L11" s="39">
        <f>'Detailed Summary'!AU10</f>
        <v>1</v>
      </c>
      <c r="M11" s="87" t="str">
        <f>'Detailed Summary'!AV10</f>
        <v/>
      </c>
      <c r="N11" s="3" t="str">
        <f>'Detailed Summary'!BF10</f>
        <v>Failed in 5 Subjects</v>
      </c>
      <c r="O11" s="87" t="str">
        <f>'Detailed Summary'!AW10</f>
        <v/>
      </c>
      <c r="P11" s="5" t="str">
        <f>'Detailed Summary'!BG10</f>
        <v/>
      </c>
    </row>
    <row r="12" spans="1:16" ht="18.5" hidden="1" x14ac:dyDescent="0.45">
      <c r="A12" s="102"/>
      <c r="B12" s="88">
        <f>'Student Basic Info'!A11</f>
        <v>510</v>
      </c>
      <c r="C12" s="86" t="str">
        <f>'Student Basic Info'!C11</f>
        <v>Tanbir Ahammed Alif</v>
      </c>
      <c r="D12" s="89" t="str">
        <f>'Detailed Summary'!AK11</f>
        <v/>
      </c>
      <c r="E12" s="89" t="str">
        <f>'Detailed Summary'!AL11</f>
        <v/>
      </c>
      <c r="F12" s="89" t="str">
        <f>'Detailed Summary'!AM11</f>
        <v/>
      </c>
      <c r="G12" s="89" t="str">
        <f>'Detailed Summary'!AN11</f>
        <v/>
      </c>
      <c r="H12" s="89" t="str">
        <f>'Detailed Summary'!AO11</f>
        <v/>
      </c>
      <c r="I12" s="89" t="str">
        <f>'Detailed Summary'!AP11</f>
        <v/>
      </c>
      <c r="J12" s="89" t="str">
        <f>'Detailed Summary'!AR11</f>
        <v/>
      </c>
      <c r="K12" s="89" t="str">
        <f>'Detailed Summary'!AS11</f>
        <v/>
      </c>
      <c r="L12" s="39">
        <f>'Detailed Summary'!AU11</f>
        <v>0</v>
      </c>
      <c r="M12" s="87" t="str">
        <f>'Detailed Summary'!AV11</f>
        <v/>
      </c>
      <c r="N12" s="3" t="str">
        <f>'Detailed Summary'!BF11</f>
        <v>Failed in 6 Subjects</v>
      </c>
      <c r="O12" s="87" t="str">
        <f>'Detailed Summary'!AW11</f>
        <v/>
      </c>
      <c r="P12" s="5" t="str">
        <f>'Detailed Summary'!BG11</f>
        <v/>
      </c>
    </row>
    <row r="13" spans="1:16" ht="18.5" hidden="1" x14ac:dyDescent="0.45">
      <c r="A13" s="102"/>
      <c r="B13" s="88">
        <f>'Student Basic Info'!A12</f>
        <v>511</v>
      </c>
      <c r="C13" s="86" t="str">
        <f>'Student Basic Info'!C12</f>
        <v xml:space="preserve">Asifuz Zaman </v>
      </c>
      <c r="D13" s="89">
        <f>'Detailed Summary'!AK12</f>
        <v>2</v>
      </c>
      <c r="E13" s="89">
        <f>'Detailed Summary'!AL12</f>
        <v>0</v>
      </c>
      <c r="F13" s="89">
        <f>'Detailed Summary'!AM12</f>
        <v>0</v>
      </c>
      <c r="G13" s="89">
        <f>'Detailed Summary'!AN12</f>
        <v>1</v>
      </c>
      <c r="H13" s="89">
        <f>'Detailed Summary'!AO12</f>
        <v>0</v>
      </c>
      <c r="I13" s="89">
        <f>'Detailed Summary'!AP12</f>
        <v>1</v>
      </c>
      <c r="J13" s="89">
        <f>'Detailed Summary'!AR12</f>
        <v>0</v>
      </c>
      <c r="K13" s="89">
        <f>'Detailed Summary'!AS12</f>
        <v>0</v>
      </c>
      <c r="L13" s="39">
        <f>'Detailed Summary'!AU12</f>
        <v>4</v>
      </c>
      <c r="M13" s="87" t="str">
        <f>'Detailed Summary'!AV12</f>
        <v/>
      </c>
      <c r="N13" s="3" t="str">
        <f>'Detailed Summary'!BF12</f>
        <v>Failed in 3 Subjects</v>
      </c>
      <c r="O13" s="87" t="str">
        <f>'Detailed Summary'!AW12</f>
        <v/>
      </c>
      <c r="P13" s="5" t="str">
        <f>'Detailed Summary'!BG12</f>
        <v/>
      </c>
    </row>
    <row r="14" spans="1:16" ht="18.5" hidden="1" x14ac:dyDescent="0.45">
      <c r="A14" s="102"/>
      <c r="B14" s="88">
        <f>'Student Basic Info'!A13</f>
        <v>512</v>
      </c>
      <c r="C14" s="86" t="str">
        <f>'Student Basic Info'!C13</f>
        <v>Md. Arfatuzzaman</v>
      </c>
      <c r="D14" s="89">
        <f>'Detailed Summary'!AK13</f>
        <v>1</v>
      </c>
      <c r="E14" s="89">
        <f>'Detailed Summary'!AL13</f>
        <v>0</v>
      </c>
      <c r="F14" s="89">
        <f>'Detailed Summary'!AM13</f>
        <v>0</v>
      </c>
      <c r="G14" s="89">
        <f>'Detailed Summary'!AN13</f>
        <v>0</v>
      </c>
      <c r="H14" s="89">
        <f>'Detailed Summary'!AO13</f>
        <v>1</v>
      </c>
      <c r="I14" s="89">
        <f>'Detailed Summary'!AP13</f>
        <v>0</v>
      </c>
      <c r="J14" s="89">
        <f>'Detailed Summary'!AR13</f>
        <v>1</v>
      </c>
      <c r="K14" s="89">
        <f>'Detailed Summary'!AS13</f>
        <v>0</v>
      </c>
      <c r="L14" s="39">
        <f>'Detailed Summary'!AU13</f>
        <v>2</v>
      </c>
      <c r="M14" s="87" t="str">
        <f>'Detailed Summary'!AV13</f>
        <v/>
      </c>
      <c r="N14" s="3" t="str">
        <f>'Detailed Summary'!BF13</f>
        <v>Failed in 4 Subjects</v>
      </c>
      <c r="O14" s="87" t="str">
        <f>'Detailed Summary'!AW13</f>
        <v/>
      </c>
      <c r="P14" s="5" t="str">
        <f>'Detailed Summary'!BG13</f>
        <v/>
      </c>
    </row>
    <row r="15" spans="1:16" ht="18.5" hidden="1" x14ac:dyDescent="0.45">
      <c r="A15" s="102"/>
      <c r="B15" s="88">
        <f>'Student Basic Info'!A14</f>
        <v>513</v>
      </c>
      <c r="C15" s="86" t="str">
        <f>'Student Basic Info'!C14</f>
        <v>Meherab Hosain</v>
      </c>
      <c r="D15" s="89">
        <f>'Detailed Summary'!AK14</f>
        <v>1</v>
      </c>
      <c r="E15" s="89">
        <f>'Detailed Summary'!AL14</f>
        <v>0</v>
      </c>
      <c r="F15" s="89">
        <f>'Detailed Summary'!AM14</f>
        <v>0</v>
      </c>
      <c r="G15" s="89">
        <f>'Detailed Summary'!AN14</f>
        <v>1</v>
      </c>
      <c r="H15" s="89">
        <f>'Detailed Summary'!AO14</f>
        <v>2</v>
      </c>
      <c r="I15" s="89">
        <f>'Detailed Summary'!AP14</f>
        <v>0</v>
      </c>
      <c r="J15" s="89">
        <f>'Detailed Summary'!AR14</f>
        <v>1</v>
      </c>
      <c r="K15" s="89">
        <f>'Detailed Summary'!AS14</f>
        <v>0</v>
      </c>
      <c r="L15" s="39">
        <f>'Detailed Summary'!AU14</f>
        <v>4</v>
      </c>
      <c r="M15" s="87" t="str">
        <f>'Detailed Summary'!AV14</f>
        <v/>
      </c>
      <c r="N15" s="3" t="str">
        <f>'Detailed Summary'!BF14</f>
        <v>Failed in 3 Subjects</v>
      </c>
      <c r="O15" s="87" t="str">
        <f>'Detailed Summary'!AW14</f>
        <v/>
      </c>
      <c r="P15" s="5" t="str">
        <f>'Detailed Summary'!BG14</f>
        <v/>
      </c>
    </row>
    <row r="16" spans="1:16" ht="18.5" hidden="1" x14ac:dyDescent="0.45">
      <c r="A16" s="102"/>
      <c r="B16" s="88">
        <f>'Student Basic Info'!A15</f>
        <v>514</v>
      </c>
      <c r="C16" s="86" t="str">
        <f>'Student Basic Info'!C15</f>
        <v>Amirul Islam</v>
      </c>
      <c r="D16" s="89" t="str">
        <f>'Detailed Summary'!AK15</f>
        <v/>
      </c>
      <c r="E16" s="89" t="str">
        <f>'Detailed Summary'!AL15</f>
        <v/>
      </c>
      <c r="F16" s="89" t="str">
        <f>'Detailed Summary'!AM15</f>
        <v/>
      </c>
      <c r="G16" s="89" t="str">
        <f>'Detailed Summary'!AN15</f>
        <v/>
      </c>
      <c r="H16" s="89" t="str">
        <f>'Detailed Summary'!AO15</f>
        <v/>
      </c>
      <c r="I16" s="89" t="str">
        <f>'Detailed Summary'!AP15</f>
        <v/>
      </c>
      <c r="J16" s="89" t="str">
        <f>'Detailed Summary'!AR15</f>
        <v/>
      </c>
      <c r="K16" s="89" t="str">
        <f>'Detailed Summary'!AS15</f>
        <v/>
      </c>
      <c r="L16" s="39">
        <f>'Detailed Summary'!AU15</f>
        <v>0</v>
      </c>
      <c r="M16" s="87" t="str">
        <f>'Detailed Summary'!AV15</f>
        <v/>
      </c>
      <c r="N16" s="3" t="str">
        <f>'Detailed Summary'!BF15</f>
        <v>Failed in 6 Subjects</v>
      </c>
      <c r="O16" s="87" t="str">
        <f>'Detailed Summary'!AW15</f>
        <v/>
      </c>
      <c r="P16" s="5" t="str">
        <f>'Detailed Summary'!BG15</f>
        <v/>
      </c>
    </row>
    <row r="17" spans="1:16" ht="18.5" x14ac:dyDescent="0.45">
      <c r="A17" s="102"/>
      <c r="B17" s="88">
        <f>'Student Basic Info'!A16</f>
        <v>515</v>
      </c>
      <c r="C17" s="86" t="str">
        <f>'Student Basic Info'!C16</f>
        <v>Bibi Amena Begum Sraboni</v>
      </c>
      <c r="D17" s="89">
        <f>'Detailed Summary'!AK16</f>
        <v>3.5</v>
      </c>
      <c r="E17" s="89">
        <f>'Detailed Summary'!AL16</f>
        <v>1</v>
      </c>
      <c r="F17" s="89">
        <f>'Detailed Summary'!AM16</f>
        <v>3</v>
      </c>
      <c r="G17" s="89">
        <f>'Detailed Summary'!AN16</f>
        <v>3</v>
      </c>
      <c r="H17" s="89">
        <f>'Detailed Summary'!AO16</f>
        <v>0</v>
      </c>
      <c r="I17" s="89">
        <f>'Detailed Summary'!AP16</f>
        <v>1</v>
      </c>
      <c r="J17" s="89">
        <f>'Detailed Summary'!AR16</f>
        <v>0</v>
      </c>
      <c r="K17" s="89">
        <f>'Detailed Summary'!AS16</f>
        <v>0</v>
      </c>
      <c r="L17" s="39">
        <f>'Detailed Summary'!AU16</f>
        <v>11.5</v>
      </c>
      <c r="M17" s="87" t="str">
        <f>'Detailed Summary'!AV16</f>
        <v/>
      </c>
      <c r="N17" s="3" t="str">
        <f>'Detailed Summary'!BF16</f>
        <v>Failed in 1 Subject</v>
      </c>
      <c r="O17" s="87" t="str">
        <f>'Detailed Summary'!AW16</f>
        <v/>
      </c>
      <c r="P17" s="5" t="str">
        <f>'Detailed Summary'!BG16</f>
        <v/>
      </c>
    </row>
    <row r="18" spans="1:16" hidden="1" x14ac:dyDescent="0.35">
      <c r="A18" s="105">
        <v>2</v>
      </c>
      <c r="B18" s="105">
        <f>'Student Basic Info'!A29</f>
        <v>528</v>
      </c>
      <c r="C18" s="106" t="str">
        <f>'Student Basic Info'!C29</f>
        <v>Mazhar Uddin</v>
      </c>
      <c r="D18" s="89">
        <f>'Detailed Summary'!AK29</f>
        <v>3.5</v>
      </c>
      <c r="E18" s="89">
        <f>'Detailed Summary'!AL29</f>
        <v>2</v>
      </c>
      <c r="F18" s="89">
        <f>'Detailed Summary'!AM29</f>
        <v>4</v>
      </c>
      <c r="G18" s="89">
        <f>'Detailed Summary'!AN29</f>
        <v>3</v>
      </c>
      <c r="H18" s="89">
        <f>'Detailed Summary'!AO29</f>
        <v>3</v>
      </c>
      <c r="I18" s="89">
        <f>'Detailed Summary'!AP29</f>
        <v>2</v>
      </c>
      <c r="J18" s="89">
        <f>'Detailed Summary'!AR29</f>
        <v>3.5</v>
      </c>
      <c r="K18" s="89">
        <f>'Detailed Summary'!AS29</f>
        <v>1.5</v>
      </c>
      <c r="L18" s="39">
        <f>'Detailed Summary'!AU29</f>
        <v>19</v>
      </c>
      <c r="M18" s="87">
        <f>'Detailed Summary'!AV29</f>
        <v>2.9166666666666665</v>
      </c>
      <c r="N18" s="76" t="str">
        <f>'Detailed Summary'!BF29</f>
        <v>Pass</v>
      </c>
      <c r="O18" s="87">
        <f>'Detailed Summary'!AW29</f>
        <v>3.1666666666666665</v>
      </c>
      <c r="P18" s="107">
        <f>'Detailed Summary'!BG29</f>
        <v>2</v>
      </c>
    </row>
    <row r="19" spans="1:16" ht="18.5" hidden="1" x14ac:dyDescent="0.45">
      <c r="A19" s="102"/>
      <c r="B19" s="88">
        <f>'Student Basic Info'!A18</f>
        <v>517</v>
      </c>
      <c r="C19" s="86" t="str">
        <f>'Student Basic Info'!C18</f>
        <v>Imam Hosain Apurbo</v>
      </c>
      <c r="D19" s="89" t="str">
        <f>'Detailed Summary'!AK18</f>
        <v/>
      </c>
      <c r="E19" s="89" t="str">
        <f>'Detailed Summary'!AL18</f>
        <v/>
      </c>
      <c r="F19" s="89" t="str">
        <f>'Detailed Summary'!AM18</f>
        <v/>
      </c>
      <c r="G19" s="89" t="str">
        <f>'Detailed Summary'!AN18</f>
        <v/>
      </c>
      <c r="H19" s="89" t="str">
        <f>'Detailed Summary'!AO18</f>
        <v/>
      </c>
      <c r="I19" s="89" t="str">
        <f>'Detailed Summary'!AP18</f>
        <v/>
      </c>
      <c r="J19" s="89" t="str">
        <f>'Detailed Summary'!AR18</f>
        <v/>
      </c>
      <c r="K19" s="89" t="str">
        <f>'Detailed Summary'!AS18</f>
        <v/>
      </c>
      <c r="L19" s="39">
        <f>'Detailed Summary'!AU18</f>
        <v>0</v>
      </c>
      <c r="M19" s="87" t="str">
        <f>'Detailed Summary'!AV18</f>
        <v/>
      </c>
      <c r="N19" s="3" t="str">
        <f>'Detailed Summary'!BF18</f>
        <v>Failed in 6 Subjects</v>
      </c>
      <c r="O19" s="87" t="str">
        <f>'Detailed Summary'!AW18</f>
        <v/>
      </c>
      <c r="P19" s="5" t="str">
        <f>'Detailed Summary'!BG18</f>
        <v/>
      </c>
    </row>
    <row r="20" spans="1:16" ht="18.5" hidden="1" x14ac:dyDescent="0.45">
      <c r="A20" s="102"/>
      <c r="B20" s="88">
        <f>'Student Basic Info'!A19</f>
        <v>518</v>
      </c>
      <c r="C20" s="86" t="str">
        <f>'Student Basic Info'!C19</f>
        <v>Mowasser Hosain</v>
      </c>
      <c r="D20" s="89" t="str">
        <f>'Detailed Summary'!AK19</f>
        <v/>
      </c>
      <c r="E20" s="89" t="str">
        <f>'Detailed Summary'!AL19</f>
        <v/>
      </c>
      <c r="F20" s="89" t="str">
        <f>'Detailed Summary'!AM19</f>
        <v/>
      </c>
      <c r="G20" s="89" t="str">
        <f>'Detailed Summary'!AN19</f>
        <v/>
      </c>
      <c r="H20" s="89" t="str">
        <f>'Detailed Summary'!AO19</f>
        <v/>
      </c>
      <c r="I20" s="89" t="str">
        <f>'Detailed Summary'!AP19</f>
        <v/>
      </c>
      <c r="J20" s="89" t="str">
        <f>'Detailed Summary'!AR19</f>
        <v/>
      </c>
      <c r="K20" s="89" t="str">
        <f>'Detailed Summary'!AS19</f>
        <v/>
      </c>
      <c r="L20" s="39">
        <f>'Detailed Summary'!AU19</f>
        <v>0</v>
      </c>
      <c r="M20" s="87" t="str">
        <f>'Detailed Summary'!AV19</f>
        <v/>
      </c>
      <c r="N20" s="3" t="str">
        <f>'Detailed Summary'!BF19</f>
        <v>Failed in 6 Subjects</v>
      </c>
      <c r="O20" s="87" t="str">
        <f>'Detailed Summary'!AW19</f>
        <v/>
      </c>
      <c r="P20" s="5" t="str">
        <f>'Detailed Summary'!BG19</f>
        <v/>
      </c>
    </row>
    <row r="21" spans="1:16" x14ac:dyDescent="0.35">
      <c r="A21" s="76">
        <v>1</v>
      </c>
      <c r="B21" s="76">
        <f>'Student Basic Info'!A20</f>
        <v>519</v>
      </c>
      <c r="C21" s="108" t="str">
        <f>'Student Basic Info'!C20</f>
        <v>Tanvir</v>
      </c>
      <c r="D21" s="89">
        <f>'Detailed Summary'!AK20</f>
        <v>1</v>
      </c>
      <c r="E21" s="89">
        <f>'Detailed Summary'!AL20</f>
        <v>1</v>
      </c>
      <c r="F21" s="89">
        <f>'Detailed Summary'!AM20</f>
        <v>3</v>
      </c>
      <c r="G21" s="89">
        <f>'Detailed Summary'!AN20</f>
        <v>3</v>
      </c>
      <c r="H21" s="89">
        <f>'Detailed Summary'!AO20</f>
        <v>3</v>
      </c>
      <c r="I21" s="89">
        <f>'Detailed Summary'!AP20</f>
        <v>0</v>
      </c>
      <c r="J21" s="89">
        <f>'Detailed Summary'!AR20</f>
        <v>2</v>
      </c>
      <c r="K21" s="89">
        <f>'Detailed Summary'!AS20</f>
        <v>0</v>
      </c>
      <c r="L21" s="39">
        <f>'Detailed Summary'!AU20</f>
        <v>11</v>
      </c>
      <c r="M21" s="87" t="str">
        <f>'Detailed Summary'!AV20</f>
        <v/>
      </c>
      <c r="N21" s="76" t="str">
        <f>'Detailed Summary'!BF20</f>
        <v>Failed in 1 Subject</v>
      </c>
      <c r="O21" s="87" t="str">
        <f>'Detailed Summary'!AW20</f>
        <v/>
      </c>
      <c r="P21" s="107" t="str">
        <f>'Detailed Summary'!BG20</f>
        <v/>
      </c>
    </row>
    <row r="22" spans="1:16" ht="18.5" hidden="1" x14ac:dyDescent="0.45">
      <c r="A22" s="102"/>
      <c r="B22" s="88">
        <f>'Student Basic Info'!A21</f>
        <v>520</v>
      </c>
      <c r="C22" s="86" t="str">
        <f>'Student Basic Info'!C21</f>
        <v>Md. Shakib</v>
      </c>
      <c r="D22" s="89">
        <f>'Detailed Summary'!AK21</f>
        <v>0</v>
      </c>
      <c r="E22" s="89">
        <f>'Detailed Summary'!AL21</f>
        <v>0</v>
      </c>
      <c r="F22" s="89">
        <f>'Detailed Summary'!AM21</f>
        <v>0</v>
      </c>
      <c r="G22" s="89">
        <f>'Detailed Summary'!AN21</f>
        <v>0</v>
      </c>
      <c r="H22" s="89">
        <f>'Detailed Summary'!AO21</f>
        <v>0</v>
      </c>
      <c r="I22" s="89">
        <f>'Detailed Summary'!AP21</f>
        <v>1</v>
      </c>
      <c r="J22" s="89">
        <f>'Detailed Summary'!AR21</f>
        <v>0</v>
      </c>
      <c r="K22" s="89">
        <f>'Detailed Summary'!AS21</f>
        <v>0</v>
      </c>
      <c r="L22" s="39">
        <f>'Detailed Summary'!AU21</f>
        <v>1</v>
      </c>
      <c r="M22" s="87" t="str">
        <f>'Detailed Summary'!AV21</f>
        <v/>
      </c>
      <c r="N22" s="3" t="str">
        <f>'Detailed Summary'!BF21</f>
        <v>Failed in 5 Subjects</v>
      </c>
      <c r="O22" s="87" t="str">
        <f>'Detailed Summary'!AW21</f>
        <v/>
      </c>
      <c r="P22" s="5" t="str">
        <f>'Detailed Summary'!BG21</f>
        <v/>
      </c>
    </row>
    <row r="23" spans="1:16" ht="18.5" hidden="1" x14ac:dyDescent="0.45">
      <c r="A23" s="102"/>
      <c r="B23" s="88">
        <f>'Student Basic Info'!A22</f>
        <v>521</v>
      </c>
      <c r="C23" s="86" t="str">
        <f>'Student Basic Info'!C22</f>
        <v>Farzana Aktar Zitu</v>
      </c>
      <c r="D23" s="89" t="str">
        <f>'Detailed Summary'!AK22</f>
        <v/>
      </c>
      <c r="E23" s="89" t="str">
        <f>'Detailed Summary'!AL22</f>
        <v/>
      </c>
      <c r="F23" s="89" t="str">
        <f>'Detailed Summary'!AM22</f>
        <v/>
      </c>
      <c r="G23" s="89" t="str">
        <f>'Detailed Summary'!AN22</f>
        <v/>
      </c>
      <c r="H23" s="89" t="str">
        <f>'Detailed Summary'!AO22</f>
        <v/>
      </c>
      <c r="I23" s="89" t="str">
        <f>'Detailed Summary'!AP22</f>
        <v/>
      </c>
      <c r="J23" s="89" t="str">
        <f>'Detailed Summary'!AR22</f>
        <v/>
      </c>
      <c r="K23" s="89" t="str">
        <f>'Detailed Summary'!AS22</f>
        <v/>
      </c>
      <c r="L23" s="39">
        <f>'Detailed Summary'!AU22</f>
        <v>0</v>
      </c>
      <c r="M23" s="87" t="str">
        <f>'Detailed Summary'!AV22</f>
        <v/>
      </c>
      <c r="N23" s="3" t="str">
        <f>'Detailed Summary'!BF22</f>
        <v>Failed in 6 Subjects</v>
      </c>
      <c r="O23" s="87" t="str">
        <f>'Detailed Summary'!AW22</f>
        <v/>
      </c>
      <c r="P23" s="5" t="str">
        <f>'Detailed Summary'!BG22</f>
        <v/>
      </c>
    </row>
    <row r="24" spans="1:16" hidden="1" x14ac:dyDescent="0.35">
      <c r="A24" s="105">
        <v>3</v>
      </c>
      <c r="B24" s="105">
        <f>'Student Basic Info'!A17</f>
        <v>516</v>
      </c>
      <c r="C24" s="106" t="str">
        <f>'Student Basic Info'!C17</f>
        <v>Zannatul Nayem</v>
      </c>
      <c r="D24" s="89">
        <f>'Detailed Summary'!AK17</f>
        <v>3.5</v>
      </c>
      <c r="E24" s="89">
        <f>'Detailed Summary'!AL17</f>
        <v>2</v>
      </c>
      <c r="F24" s="89">
        <f>'Detailed Summary'!AM17</f>
        <v>4</v>
      </c>
      <c r="G24" s="89">
        <f>'Detailed Summary'!AN17</f>
        <v>3</v>
      </c>
      <c r="H24" s="89">
        <f>'Detailed Summary'!AO17</f>
        <v>3.5</v>
      </c>
      <c r="I24" s="89">
        <f>'Detailed Summary'!AP17</f>
        <v>1</v>
      </c>
      <c r="J24" s="89">
        <f>'Detailed Summary'!AR17</f>
        <v>4</v>
      </c>
      <c r="K24" s="89">
        <f>'Detailed Summary'!AS17</f>
        <v>2</v>
      </c>
      <c r="L24" s="39">
        <f>'Detailed Summary'!AU17</f>
        <v>19</v>
      </c>
      <c r="M24" s="87">
        <f>'Detailed Summary'!AV17</f>
        <v>2.8333333333333335</v>
      </c>
      <c r="N24" s="76" t="str">
        <f>'Detailed Summary'!BF17</f>
        <v>Pass</v>
      </c>
      <c r="O24" s="87">
        <f>'Detailed Summary'!AW17</f>
        <v>3.1666666666666665</v>
      </c>
      <c r="P24" s="107">
        <f>'Detailed Summary'!BG17</f>
        <v>2</v>
      </c>
    </row>
    <row r="25" spans="1:16" ht="18.5" hidden="1" x14ac:dyDescent="0.45">
      <c r="A25" s="102"/>
      <c r="B25" s="88">
        <f>'Student Basic Info'!A24</f>
        <v>523</v>
      </c>
      <c r="C25" s="86" t="str">
        <f>'Student Basic Info'!C24</f>
        <v>Zannatul Mawa Prema</v>
      </c>
      <c r="D25" s="89">
        <f>'Detailed Summary'!AK24</f>
        <v>2</v>
      </c>
      <c r="E25" s="89">
        <f>'Detailed Summary'!AL24</f>
        <v>1</v>
      </c>
      <c r="F25" s="89">
        <f>'Detailed Summary'!AM24</f>
        <v>0</v>
      </c>
      <c r="G25" s="89">
        <f>'Detailed Summary'!AN24</f>
        <v>0</v>
      </c>
      <c r="H25" s="89">
        <f>'Detailed Summary'!AO24</f>
        <v>0</v>
      </c>
      <c r="I25" s="89">
        <f>'Detailed Summary'!AP24</f>
        <v>0</v>
      </c>
      <c r="J25" s="89">
        <f>'Detailed Summary'!AR24</f>
        <v>2</v>
      </c>
      <c r="K25" s="89">
        <f>'Detailed Summary'!AS24</f>
        <v>0</v>
      </c>
      <c r="L25" s="39">
        <f>'Detailed Summary'!AU24</f>
        <v>3</v>
      </c>
      <c r="M25" s="87" t="str">
        <f>'Detailed Summary'!AV24</f>
        <v/>
      </c>
      <c r="N25" s="3" t="str">
        <f>'Detailed Summary'!BF24</f>
        <v>Failed in 4 Subjects</v>
      </c>
      <c r="O25" s="87" t="str">
        <f>'Detailed Summary'!AW24</f>
        <v/>
      </c>
      <c r="P25" s="5" t="str">
        <f>'Detailed Summary'!BG24</f>
        <v/>
      </c>
    </row>
    <row r="26" spans="1:16" ht="18.5" hidden="1" x14ac:dyDescent="0.45">
      <c r="A26" s="102"/>
      <c r="B26" s="88">
        <f>'Student Basic Info'!A25</f>
        <v>524</v>
      </c>
      <c r="C26" s="86" t="str">
        <f>'Student Basic Info'!C25</f>
        <v>Zannatul Ferdaus</v>
      </c>
      <c r="D26" s="89">
        <f>'Detailed Summary'!AK25</f>
        <v>3.5</v>
      </c>
      <c r="E26" s="89">
        <f>'Detailed Summary'!AL25</f>
        <v>1</v>
      </c>
      <c r="F26" s="89">
        <f>'Detailed Summary'!AM25</f>
        <v>3</v>
      </c>
      <c r="G26" s="89">
        <f>'Detailed Summary'!AN25</f>
        <v>2</v>
      </c>
      <c r="H26" s="89">
        <f>'Detailed Summary'!AO25</f>
        <v>3</v>
      </c>
      <c r="I26" s="89">
        <f>'Detailed Summary'!AP25</f>
        <v>1</v>
      </c>
      <c r="J26" s="89">
        <f>'Detailed Summary'!AR25</f>
        <v>3.5</v>
      </c>
      <c r="K26" s="89">
        <f>'Detailed Summary'!AS25</f>
        <v>1.5</v>
      </c>
      <c r="L26" s="39">
        <f>'Detailed Summary'!AU25</f>
        <v>15</v>
      </c>
      <c r="M26" s="87">
        <f>'Detailed Summary'!AV25</f>
        <v>2.25</v>
      </c>
      <c r="N26" s="3" t="str">
        <f>'Detailed Summary'!BF25</f>
        <v>Pass</v>
      </c>
      <c r="O26" s="87">
        <f>'Detailed Summary'!AW25</f>
        <v>2.5</v>
      </c>
      <c r="P26" s="5">
        <f>'Detailed Summary'!BG25</f>
        <v>8</v>
      </c>
    </row>
    <row r="27" spans="1:16" ht="18.5" hidden="1" x14ac:dyDescent="0.45">
      <c r="A27" s="102"/>
      <c r="B27" s="88">
        <f>'Student Basic Info'!A26</f>
        <v>525</v>
      </c>
      <c r="C27" s="86" t="str">
        <f>'Student Basic Info'!C26</f>
        <v>Narkis Aktar Nupur</v>
      </c>
      <c r="D27" s="89" t="str">
        <f>'Detailed Summary'!AK26</f>
        <v/>
      </c>
      <c r="E27" s="89" t="str">
        <f>'Detailed Summary'!AL26</f>
        <v/>
      </c>
      <c r="F27" s="89" t="str">
        <f>'Detailed Summary'!AM26</f>
        <v/>
      </c>
      <c r="G27" s="89" t="str">
        <f>'Detailed Summary'!AN26</f>
        <v/>
      </c>
      <c r="H27" s="89" t="str">
        <f>'Detailed Summary'!AO26</f>
        <v/>
      </c>
      <c r="I27" s="89" t="str">
        <f>'Detailed Summary'!AP26</f>
        <v/>
      </c>
      <c r="J27" s="89" t="str">
        <f>'Detailed Summary'!AR26</f>
        <v/>
      </c>
      <c r="K27" s="89" t="str">
        <f>'Detailed Summary'!AS26</f>
        <v/>
      </c>
      <c r="L27" s="39">
        <f>'Detailed Summary'!AU26</f>
        <v>0</v>
      </c>
      <c r="M27" s="87" t="str">
        <f>'Detailed Summary'!AV26</f>
        <v/>
      </c>
      <c r="N27" s="3" t="str">
        <f>'Detailed Summary'!BF26</f>
        <v>Failed in 6 Subjects</v>
      </c>
      <c r="O27" s="87" t="str">
        <f>'Detailed Summary'!AW26</f>
        <v/>
      </c>
      <c r="P27" s="5" t="str">
        <f>'Detailed Summary'!BG26</f>
        <v/>
      </c>
    </row>
    <row r="28" spans="1:16" hidden="1" x14ac:dyDescent="0.35">
      <c r="A28" s="105">
        <v>4</v>
      </c>
      <c r="B28" s="105">
        <f>'Student Basic Info'!A8</f>
        <v>507</v>
      </c>
      <c r="C28" s="106" t="str">
        <f>'Student Basic Info'!C8</f>
        <v>Fariha Islam</v>
      </c>
      <c r="D28" s="89">
        <f>'Detailed Summary'!AK8</f>
        <v>3.5</v>
      </c>
      <c r="E28" s="89">
        <f>'Detailed Summary'!AL8</f>
        <v>2</v>
      </c>
      <c r="F28" s="89">
        <f>'Detailed Summary'!AM8</f>
        <v>4</v>
      </c>
      <c r="G28" s="89">
        <f>'Detailed Summary'!AN8</f>
        <v>2</v>
      </c>
      <c r="H28" s="89">
        <f>'Detailed Summary'!AO8</f>
        <v>3.5</v>
      </c>
      <c r="I28" s="89">
        <f>'Detailed Summary'!AP8</f>
        <v>1</v>
      </c>
      <c r="J28" s="89">
        <f>'Detailed Summary'!AR8</f>
        <v>3.5</v>
      </c>
      <c r="K28" s="89">
        <f>'Detailed Summary'!AS8</f>
        <v>1.5</v>
      </c>
      <c r="L28" s="39">
        <f>'Detailed Summary'!AU8</f>
        <v>17.5</v>
      </c>
      <c r="M28" s="87">
        <f>'Detailed Summary'!AV8</f>
        <v>2.6666666666666665</v>
      </c>
      <c r="N28" s="76" t="str">
        <f>'Detailed Summary'!BF8</f>
        <v>Pass</v>
      </c>
      <c r="O28" s="87">
        <f>'Detailed Summary'!AW8</f>
        <v>2.9166666666666665</v>
      </c>
      <c r="P28" s="5">
        <f>'Detailed Summary'!BG8</f>
        <v>4</v>
      </c>
    </row>
    <row r="29" spans="1:16" ht="18.5" hidden="1" x14ac:dyDescent="0.45">
      <c r="A29" s="102"/>
      <c r="B29" s="88">
        <f>'Student Basic Info'!A28</f>
        <v>527</v>
      </c>
      <c r="C29" s="86" t="str">
        <f>'Student Basic Info'!C28</f>
        <v>Sanzida Aktar</v>
      </c>
      <c r="D29" s="89" t="str">
        <f>'Detailed Summary'!AK28</f>
        <v/>
      </c>
      <c r="E29" s="89" t="str">
        <f>'Detailed Summary'!AL28</f>
        <v/>
      </c>
      <c r="F29" s="89" t="str">
        <f>'Detailed Summary'!AM28</f>
        <v/>
      </c>
      <c r="G29" s="89" t="str">
        <f>'Detailed Summary'!AN28</f>
        <v/>
      </c>
      <c r="H29" s="89" t="str">
        <f>'Detailed Summary'!AO28</f>
        <v/>
      </c>
      <c r="I29" s="89" t="str">
        <f>'Detailed Summary'!AP28</f>
        <v/>
      </c>
      <c r="J29" s="89" t="str">
        <f>'Detailed Summary'!AR28</f>
        <v/>
      </c>
      <c r="K29" s="89" t="str">
        <f>'Detailed Summary'!AS28</f>
        <v/>
      </c>
      <c r="L29" s="39">
        <f>'Detailed Summary'!AU28</f>
        <v>0</v>
      </c>
      <c r="M29" s="87" t="str">
        <f>'Detailed Summary'!AV28</f>
        <v/>
      </c>
      <c r="N29" s="3" t="str">
        <f>'Detailed Summary'!BF28</f>
        <v>Failed in 6 Subjects</v>
      </c>
      <c r="O29" s="87" t="str">
        <f>'Detailed Summary'!AW28</f>
        <v/>
      </c>
      <c r="P29" s="5" t="str">
        <f>'Detailed Summary'!BG28</f>
        <v/>
      </c>
    </row>
    <row r="30" spans="1:16" hidden="1" x14ac:dyDescent="0.35">
      <c r="A30" s="105">
        <v>5</v>
      </c>
      <c r="B30" s="105">
        <f>'Student Basic Info'!A115</f>
        <v>614</v>
      </c>
      <c r="C30" s="106" t="str">
        <f>'Student Basic Info'!C115</f>
        <v>Moumita Tabassum</v>
      </c>
      <c r="D30" s="89">
        <f>'Detailed Summary'!AK115</f>
        <v>3.5</v>
      </c>
      <c r="E30" s="89">
        <f>'Detailed Summary'!AL115</f>
        <v>3.5</v>
      </c>
      <c r="F30" s="89">
        <f>'Detailed Summary'!AM115</f>
        <v>4</v>
      </c>
      <c r="G30" s="89">
        <f>'Detailed Summary'!AN115</f>
        <v>3</v>
      </c>
      <c r="H30" s="89">
        <f>'Detailed Summary'!AO115</f>
        <v>2</v>
      </c>
      <c r="I30" s="89">
        <f>'Detailed Summary'!AP115</f>
        <v>1</v>
      </c>
      <c r="J30" s="89">
        <f>'Detailed Summary'!AR115</f>
        <v>2</v>
      </c>
      <c r="K30" s="89">
        <f>'Detailed Summary'!AS115</f>
        <v>0</v>
      </c>
      <c r="L30" s="39">
        <f>'Detailed Summary'!AU115</f>
        <v>17</v>
      </c>
      <c r="M30" s="87">
        <f>'Detailed Summary'!AV115</f>
        <v>2.8333333333333335</v>
      </c>
      <c r="N30" s="76" t="str">
        <f>'Detailed Summary'!BF115</f>
        <v>Pass</v>
      </c>
      <c r="O30" s="87">
        <f>'Detailed Summary'!AW115</f>
        <v>2.8333333333333335</v>
      </c>
      <c r="P30" s="107">
        <f>'Detailed Summary'!BG115</f>
        <v>5</v>
      </c>
    </row>
    <row r="31" spans="1:16" ht="18.5" hidden="1" x14ac:dyDescent="0.45">
      <c r="A31" s="102"/>
      <c r="B31" s="88">
        <f>'Student Basic Info'!A30</f>
        <v>529</v>
      </c>
      <c r="C31" s="86" t="str">
        <f>'Student Basic Info'!C30</f>
        <v>Nahid Hasan</v>
      </c>
      <c r="D31" s="89">
        <f>'Detailed Summary'!AK30</f>
        <v>0</v>
      </c>
      <c r="E31" s="89">
        <f>'Detailed Summary'!AL30</f>
        <v>0</v>
      </c>
      <c r="F31" s="89">
        <f>'Detailed Summary'!AM30</f>
        <v>0</v>
      </c>
      <c r="G31" s="89">
        <f>'Detailed Summary'!AN30</f>
        <v>0</v>
      </c>
      <c r="H31" s="89">
        <f>'Detailed Summary'!AO30</f>
        <v>0</v>
      </c>
      <c r="I31" s="89">
        <f>'Detailed Summary'!AP30</f>
        <v>0</v>
      </c>
      <c r="J31" s="89">
        <f>'Detailed Summary'!AR30</f>
        <v>0</v>
      </c>
      <c r="K31" s="89">
        <f>'Detailed Summary'!AS30</f>
        <v>0</v>
      </c>
      <c r="L31" s="39">
        <f>'Detailed Summary'!AU30</f>
        <v>0</v>
      </c>
      <c r="M31" s="87" t="str">
        <f>'Detailed Summary'!AV30</f>
        <v/>
      </c>
      <c r="N31" s="3" t="str">
        <f>'Detailed Summary'!BF30</f>
        <v>Failed in 6 Subjects</v>
      </c>
      <c r="O31" s="87" t="str">
        <f>'Detailed Summary'!AW30</f>
        <v/>
      </c>
      <c r="P31" s="5" t="str">
        <f>'Detailed Summary'!BG30</f>
        <v/>
      </c>
    </row>
    <row r="32" spans="1:16" ht="18.5" hidden="1" x14ac:dyDescent="0.45">
      <c r="A32" s="102"/>
      <c r="B32" s="88">
        <f>'Student Basic Info'!A31</f>
        <v>530</v>
      </c>
      <c r="C32" s="86" t="str">
        <f>'Student Basic Info'!C31</f>
        <v>Mahmud Hasan Fuad</v>
      </c>
      <c r="D32" s="89" t="str">
        <f>'Detailed Summary'!AK31</f>
        <v/>
      </c>
      <c r="E32" s="89" t="str">
        <f>'Detailed Summary'!AL31</f>
        <v/>
      </c>
      <c r="F32" s="89" t="str">
        <f>'Detailed Summary'!AM31</f>
        <v/>
      </c>
      <c r="G32" s="89" t="str">
        <f>'Detailed Summary'!AN31</f>
        <v/>
      </c>
      <c r="H32" s="89" t="str">
        <f>'Detailed Summary'!AO31</f>
        <v/>
      </c>
      <c r="I32" s="89" t="str">
        <f>'Detailed Summary'!AP31</f>
        <v/>
      </c>
      <c r="J32" s="89" t="str">
        <f>'Detailed Summary'!AR31</f>
        <v/>
      </c>
      <c r="K32" s="89" t="str">
        <f>'Detailed Summary'!AS31</f>
        <v/>
      </c>
      <c r="L32" s="39">
        <f>'Detailed Summary'!AU31</f>
        <v>0</v>
      </c>
      <c r="M32" s="87" t="str">
        <f>'Detailed Summary'!AV31</f>
        <v/>
      </c>
      <c r="N32" s="3" t="str">
        <f>'Detailed Summary'!BF31</f>
        <v>Failed in 6 Subjects</v>
      </c>
      <c r="O32" s="87" t="str">
        <f>'Detailed Summary'!AW31</f>
        <v/>
      </c>
      <c r="P32" s="5" t="str">
        <f>'Detailed Summary'!BG31</f>
        <v/>
      </c>
    </row>
    <row r="33" spans="1:16" ht="18.5" hidden="1" x14ac:dyDescent="0.45">
      <c r="A33" s="102"/>
      <c r="B33" s="88">
        <f>'Student Basic Info'!A32</f>
        <v>531</v>
      </c>
      <c r="C33" s="86" t="str">
        <f>'Student Basic Info'!C32</f>
        <v>Zabeb Hosain</v>
      </c>
      <c r="D33" s="89">
        <f>'Detailed Summary'!AK32</f>
        <v>1</v>
      </c>
      <c r="E33" s="89">
        <f>'Detailed Summary'!AL32</f>
        <v>0</v>
      </c>
      <c r="F33" s="89">
        <f>'Detailed Summary'!AM32</f>
        <v>0</v>
      </c>
      <c r="G33" s="89">
        <f>'Detailed Summary'!AN32</f>
        <v>0</v>
      </c>
      <c r="H33" s="89">
        <f>'Detailed Summary'!AO32</f>
        <v>0</v>
      </c>
      <c r="I33" s="89">
        <f>'Detailed Summary'!AP32</f>
        <v>0</v>
      </c>
      <c r="J33" s="89">
        <f>'Detailed Summary'!AR32</f>
        <v>2</v>
      </c>
      <c r="K33" s="89">
        <f>'Detailed Summary'!AS32</f>
        <v>0</v>
      </c>
      <c r="L33" s="39">
        <f>'Detailed Summary'!AU32</f>
        <v>1</v>
      </c>
      <c r="M33" s="87" t="str">
        <f>'Detailed Summary'!AV32</f>
        <v/>
      </c>
      <c r="N33" s="3" t="str">
        <f>'Detailed Summary'!BF32</f>
        <v>Failed in 5 Subjects</v>
      </c>
      <c r="O33" s="87" t="str">
        <f>'Detailed Summary'!AW32</f>
        <v/>
      </c>
      <c r="P33" s="5" t="str">
        <f>'Detailed Summary'!BG32</f>
        <v/>
      </c>
    </row>
    <row r="34" spans="1:16" ht="18.5" hidden="1" x14ac:dyDescent="0.45">
      <c r="A34" s="102"/>
      <c r="B34" s="88">
        <f>'Student Basic Info'!A33</f>
        <v>532</v>
      </c>
      <c r="C34" s="86" t="str">
        <f>'Student Basic Info'!C33</f>
        <v>Shahinur Islam</v>
      </c>
      <c r="D34" s="89" t="str">
        <f>'Detailed Summary'!AK33</f>
        <v/>
      </c>
      <c r="E34" s="89" t="str">
        <f>'Detailed Summary'!AL33</f>
        <v/>
      </c>
      <c r="F34" s="89" t="str">
        <f>'Detailed Summary'!AM33</f>
        <v/>
      </c>
      <c r="G34" s="89" t="str">
        <f>'Detailed Summary'!AN33</f>
        <v/>
      </c>
      <c r="H34" s="89" t="str">
        <f>'Detailed Summary'!AO33</f>
        <v/>
      </c>
      <c r="I34" s="89" t="str">
        <f>'Detailed Summary'!AP33</f>
        <v/>
      </c>
      <c r="J34" s="89" t="str">
        <f>'Detailed Summary'!AR33</f>
        <v/>
      </c>
      <c r="K34" s="89" t="str">
        <f>'Detailed Summary'!AS33</f>
        <v/>
      </c>
      <c r="L34" s="39">
        <f>'Detailed Summary'!AU33</f>
        <v>0</v>
      </c>
      <c r="M34" s="87" t="str">
        <f>'Detailed Summary'!AV33</f>
        <v/>
      </c>
      <c r="N34" s="3" t="str">
        <f>'Detailed Summary'!BF33</f>
        <v>Failed in 6 Subjects</v>
      </c>
      <c r="O34" s="87" t="str">
        <f>'Detailed Summary'!AW33</f>
        <v/>
      </c>
      <c r="P34" s="5" t="str">
        <f>'Detailed Summary'!BG33</f>
        <v/>
      </c>
    </row>
    <row r="35" spans="1:16" ht="18.5" hidden="1" x14ac:dyDescent="0.45">
      <c r="A35" s="102"/>
      <c r="B35" s="88">
        <f>'Student Basic Info'!A34</f>
        <v>533</v>
      </c>
      <c r="C35" s="86" t="str">
        <f>'Student Basic Info'!C34</f>
        <v>Md. Al Amin Haydar</v>
      </c>
      <c r="D35" s="89" t="str">
        <f>'Detailed Summary'!AK34</f>
        <v/>
      </c>
      <c r="E35" s="89" t="str">
        <f>'Detailed Summary'!AL34</f>
        <v/>
      </c>
      <c r="F35" s="89" t="str">
        <f>'Detailed Summary'!AM34</f>
        <v/>
      </c>
      <c r="G35" s="89" t="str">
        <f>'Detailed Summary'!AN34</f>
        <v/>
      </c>
      <c r="H35" s="89" t="str">
        <f>'Detailed Summary'!AO34</f>
        <v/>
      </c>
      <c r="I35" s="89" t="str">
        <f>'Detailed Summary'!AP34</f>
        <v/>
      </c>
      <c r="J35" s="89" t="str">
        <f>'Detailed Summary'!AR34</f>
        <v/>
      </c>
      <c r="K35" s="89" t="str">
        <f>'Detailed Summary'!AS34</f>
        <v/>
      </c>
      <c r="L35" s="39">
        <f>'Detailed Summary'!AU34</f>
        <v>0</v>
      </c>
      <c r="M35" s="87" t="str">
        <f>'Detailed Summary'!AV34</f>
        <v/>
      </c>
      <c r="N35" s="3" t="str">
        <f>'Detailed Summary'!BF34</f>
        <v>Failed in 6 Subjects</v>
      </c>
      <c r="O35" s="87" t="str">
        <f>'Detailed Summary'!AW34</f>
        <v/>
      </c>
      <c r="P35" s="5" t="str">
        <f>'Detailed Summary'!BG34</f>
        <v/>
      </c>
    </row>
    <row r="36" spans="1:16" ht="18.5" hidden="1" x14ac:dyDescent="0.45">
      <c r="A36" s="102"/>
      <c r="B36" s="88">
        <f>'Student Basic Info'!A35</f>
        <v>534</v>
      </c>
      <c r="C36" s="86" t="str">
        <f>'Student Basic Info'!C35</f>
        <v>Md. Hasanain Hosain</v>
      </c>
      <c r="D36" s="89" t="str">
        <f>'Detailed Summary'!AK35</f>
        <v/>
      </c>
      <c r="E36" s="89" t="str">
        <f>'Detailed Summary'!AL35</f>
        <v/>
      </c>
      <c r="F36" s="89" t="str">
        <f>'Detailed Summary'!AM35</f>
        <v/>
      </c>
      <c r="G36" s="89" t="str">
        <f>'Detailed Summary'!AN35</f>
        <v/>
      </c>
      <c r="H36" s="89" t="str">
        <f>'Detailed Summary'!AO35</f>
        <v/>
      </c>
      <c r="I36" s="89" t="str">
        <f>'Detailed Summary'!AP35</f>
        <v/>
      </c>
      <c r="J36" s="89" t="str">
        <f>'Detailed Summary'!AR35</f>
        <v/>
      </c>
      <c r="K36" s="89" t="str">
        <f>'Detailed Summary'!AS35</f>
        <v/>
      </c>
      <c r="L36" s="39">
        <f>'Detailed Summary'!AU35</f>
        <v>0</v>
      </c>
      <c r="M36" s="87" t="str">
        <f>'Detailed Summary'!AV35</f>
        <v/>
      </c>
      <c r="N36" s="3" t="str">
        <f>'Detailed Summary'!BF35</f>
        <v>Failed in 6 Subjects</v>
      </c>
      <c r="O36" s="87" t="str">
        <f>'Detailed Summary'!AW35</f>
        <v/>
      </c>
      <c r="P36" s="5" t="str">
        <f>'Detailed Summary'!BG35</f>
        <v/>
      </c>
    </row>
    <row r="37" spans="1:16" ht="18.5" hidden="1" x14ac:dyDescent="0.45">
      <c r="A37" s="102"/>
      <c r="B37" s="88">
        <f>'Student Basic Info'!A36</f>
        <v>535</v>
      </c>
      <c r="C37" s="86" t="str">
        <f>'Student Basic Info'!C36</f>
        <v>Md. Abu Taher Zitu</v>
      </c>
      <c r="D37" s="89" t="str">
        <f>'Detailed Summary'!AK36</f>
        <v/>
      </c>
      <c r="E37" s="89" t="str">
        <f>'Detailed Summary'!AL36</f>
        <v/>
      </c>
      <c r="F37" s="89" t="str">
        <f>'Detailed Summary'!AM36</f>
        <v/>
      </c>
      <c r="G37" s="89" t="str">
        <f>'Detailed Summary'!AN36</f>
        <v/>
      </c>
      <c r="H37" s="89" t="str">
        <f>'Detailed Summary'!AO36</f>
        <v/>
      </c>
      <c r="I37" s="89" t="str">
        <f>'Detailed Summary'!AP36</f>
        <v/>
      </c>
      <c r="J37" s="89" t="str">
        <f>'Detailed Summary'!AR36</f>
        <v/>
      </c>
      <c r="K37" s="89" t="str">
        <f>'Detailed Summary'!AS36</f>
        <v/>
      </c>
      <c r="L37" s="39">
        <f>'Detailed Summary'!AU36</f>
        <v>0</v>
      </c>
      <c r="M37" s="87" t="str">
        <f>'Detailed Summary'!AV36</f>
        <v/>
      </c>
      <c r="N37" s="3" t="str">
        <f>'Detailed Summary'!BF36</f>
        <v>Failed in 6 Subjects</v>
      </c>
      <c r="O37" s="87" t="str">
        <f>'Detailed Summary'!AW36</f>
        <v/>
      </c>
      <c r="P37" s="5" t="str">
        <f>'Detailed Summary'!BG36</f>
        <v/>
      </c>
    </row>
    <row r="38" spans="1:16" ht="18.5" hidden="1" x14ac:dyDescent="0.45">
      <c r="A38" s="102"/>
      <c r="B38" s="88">
        <f>'Student Basic Info'!A37</f>
        <v>536</v>
      </c>
      <c r="C38" s="86" t="str">
        <f>'Student Basic Info'!C37</f>
        <v>Khalid Bin Alom</v>
      </c>
      <c r="D38" s="89">
        <f>'Detailed Summary'!AK37</f>
        <v>0</v>
      </c>
      <c r="E38" s="89">
        <f>'Detailed Summary'!AL37</f>
        <v>0</v>
      </c>
      <c r="F38" s="89">
        <f>'Detailed Summary'!AM37</f>
        <v>0</v>
      </c>
      <c r="G38" s="89">
        <f>'Detailed Summary'!AN37</f>
        <v>0</v>
      </c>
      <c r="H38" s="89">
        <f>'Detailed Summary'!AO37</f>
        <v>0</v>
      </c>
      <c r="I38" s="89">
        <f>'Detailed Summary'!AP37</f>
        <v>0</v>
      </c>
      <c r="J38" s="89">
        <f>'Detailed Summary'!AR37</f>
        <v>2</v>
      </c>
      <c r="K38" s="89">
        <f>'Detailed Summary'!AS37</f>
        <v>0</v>
      </c>
      <c r="L38" s="39">
        <f>'Detailed Summary'!AU37</f>
        <v>0</v>
      </c>
      <c r="M38" s="87" t="str">
        <f>'Detailed Summary'!AV37</f>
        <v/>
      </c>
      <c r="N38" s="3" t="str">
        <f>'Detailed Summary'!BF37</f>
        <v>Failed in 6 Subjects</v>
      </c>
      <c r="O38" s="87" t="str">
        <f>'Detailed Summary'!AW37</f>
        <v/>
      </c>
      <c r="P38" s="5" t="str">
        <f>'Detailed Summary'!BG37</f>
        <v/>
      </c>
    </row>
    <row r="39" spans="1:16" ht="18.5" hidden="1" x14ac:dyDescent="0.45">
      <c r="A39" s="102"/>
      <c r="B39" s="88">
        <f>'Student Basic Info'!A38</f>
        <v>537</v>
      </c>
      <c r="C39" s="86" t="str">
        <f>'Student Basic Info'!C38</f>
        <v>Mobarok Hosain</v>
      </c>
      <c r="D39" s="89">
        <f>'Detailed Summary'!AK38</f>
        <v>0</v>
      </c>
      <c r="E39" s="89">
        <f>'Detailed Summary'!AL38</f>
        <v>0</v>
      </c>
      <c r="F39" s="89">
        <f>'Detailed Summary'!AM38</f>
        <v>0</v>
      </c>
      <c r="G39" s="89">
        <f>'Detailed Summary'!AN38</f>
        <v>0</v>
      </c>
      <c r="H39" s="89">
        <f>'Detailed Summary'!AO38</f>
        <v>0</v>
      </c>
      <c r="I39" s="89">
        <f>'Detailed Summary'!AP38</f>
        <v>0</v>
      </c>
      <c r="J39" s="89">
        <f>'Detailed Summary'!AR38</f>
        <v>0</v>
      </c>
      <c r="K39" s="89">
        <f>'Detailed Summary'!AS38</f>
        <v>0</v>
      </c>
      <c r="L39" s="39">
        <f>'Detailed Summary'!AU38</f>
        <v>0</v>
      </c>
      <c r="M39" s="87" t="str">
        <f>'Detailed Summary'!AV38</f>
        <v/>
      </c>
      <c r="N39" s="3" t="str">
        <f>'Detailed Summary'!BF38</f>
        <v>Failed in 6 Subjects</v>
      </c>
      <c r="O39" s="87" t="str">
        <f>'Detailed Summary'!AW38</f>
        <v/>
      </c>
      <c r="P39" s="5" t="str">
        <f>'Detailed Summary'!BG38</f>
        <v/>
      </c>
    </row>
    <row r="40" spans="1:16" ht="18.5" hidden="1" x14ac:dyDescent="0.45">
      <c r="A40" s="102"/>
      <c r="B40" s="88">
        <f>'Student Basic Info'!A39</f>
        <v>538</v>
      </c>
      <c r="C40" s="86" t="str">
        <f>'Student Basic Info'!C39</f>
        <v>Jomir Hosain</v>
      </c>
      <c r="D40" s="89">
        <f>'Detailed Summary'!AK39</f>
        <v>1</v>
      </c>
      <c r="E40" s="89">
        <f>'Detailed Summary'!AL39</f>
        <v>0</v>
      </c>
      <c r="F40" s="89">
        <f>'Detailed Summary'!AM39</f>
        <v>0</v>
      </c>
      <c r="G40" s="89">
        <f>'Detailed Summary'!AN39</f>
        <v>0</v>
      </c>
      <c r="H40" s="89">
        <f>'Detailed Summary'!AO39</f>
        <v>2</v>
      </c>
      <c r="I40" s="89">
        <f>'Detailed Summary'!AP39</f>
        <v>3</v>
      </c>
      <c r="J40" s="89">
        <f>'Detailed Summary'!AR39</f>
        <v>1</v>
      </c>
      <c r="K40" s="89">
        <f>'Detailed Summary'!AS39</f>
        <v>0</v>
      </c>
      <c r="L40" s="39">
        <f>'Detailed Summary'!AU39</f>
        <v>6</v>
      </c>
      <c r="M40" s="87" t="str">
        <f>'Detailed Summary'!AV39</f>
        <v/>
      </c>
      <c r="N40" s="3" t="str">
        <f>'Detailed Summary'!BF39</f>
        <v>Failed in 3 Subjects</v>
      </c>
      <c r="O40" s="87" t="str">
        <f>'Detailed Summary'!AW39</f>
        <v/>
      </c>
      <c r="P40" s="5" t="str">
        <f>'Detailed Summary'!BG39</f>
        <v/>
      </c>
    </row>
    <row r="41" spans="1:16" ht="18.5" hidden="1" x14ac:dyDescent="0.45">
      <c r="A41" s="102"/>
      <c r="B41" s="88">
        <f>'Student Basic Info'!A40</f>
        <v>539</v>
      </c>
      <c r="C41" s="86" t="str">
        <f>'Student Basic Info'!C40</f>
        <v>Walid Hasan Anol</v>
      </c>
      <c r="D41" s="89">
        <f>'Detailed Summary'!AK40</f>
        <v>0</v>
      </c>
      <c r="E41" s="89">
        <f>'Detailed Summary'!AL40</f>
        <v>0</v>
      </c>
      <c r="F41" s="89">
        <f>'Detailed Summary'!AM40</f>
        <v>0</v>
      </c>
      <c r="G41" s="89">
        <f>'Detailed Summary'!AN40</f>
        <v>0</v>
      </c>
      <c r="H41" s="89">
        <f>'Detailed Summary'!AO40</f>
        <v>0</v>
      </c>
      <c r="I41" s="89">
        <f>'Detailed Summary'!AP40</f>
        <v>0</v>
      </c>
      <c r="J41" s="89">
        <f>'Detailed Summary'!AR40</f>
        <v>0</v>
      </c>
      <c r="K41" s="89">
        <f>'Detailed Summary'!AS40</f>
        <v>0</v>
      </c>
      <c r="L41" s="39">
        <f>'Detailed Summary'!AU40</f>
        <v>0</v>
      </c>
      <c r="M41" s="87" t="str">
        <f>'Detailed Summary'!AV40</f>
        <v/>
      </c>
      <c r="N41" s="3" t="str">
        <f>'Detailed Summary'!BF40</f>
        <v>Failed in 6 Subjects</v>
      </c>
      <c r="O41" s="87" t="str">
        <f>'Detailed Summary'!AW40</f>
        <v/>
      </c>
      <c r="P41" s="5" t="str">
        <f>'Detailed Summary'!BG40</f>
        <v/>
      </c>
    </row>
    <row r="42" spans="1:16" ht="18.5" hidden="1" x14ac:dyDescent="0.45">
      <c r="A42" s="102"/>
      <c r="B42" s="88">
        <f>'Student Basic Info'!A41</f>
        <v>540</v>
      </c>
      <c r="C42" s="86" t="str">
        <f>'Student Basic Info'!C41</f>
        <v>Golam Mahnud</v>
      </c>
      <c r="D42" s="89">
        <f>'Detailed Summary'!AK41</f>
        <v>1</v>
      </c>
      <c r="E42" s="89">
        <f>'Detailed Summary'!AL41</f>
        <v>0</v>
      </c>
      <c r="F42" s="89">
        <f>'Detailed Summary'!AM41</f>
        <v>0</v>
      </c>
      <c r="G42" s="89">
        <f>'Detailed Summary'!AN41</f>
        <v>0</v>
      </c>
      <c r="H42" s="89">
        <f>'Detailed Summary'!AO41</f>
        <v>0</v>
      </c>
      <c r="I42" s="89">
        <f>'Detailed Summary'!AP41</f>
        <v>0</v>
      </c>
      <c r="J42" s="89">
        <f>'Detailed Summary'!AR41</f>
        <v>0</v>
      </c>
      <c r="K42" s="89">
        <f>'Detailed Summary'!AS41</f>
        <v>0</v>
      </c>
      <c r="L42" s="39">
        <f>'Detailed Summary'!AU41</f>
        <v>1</v>
      </c>
      <c r="M42" s="87" t="str">
        <f>'Detailed Summary'!AV41</f>
        <v/>
      </c>
      <c r="N42" s="3" t="str">
        <f>'Detailed Summary'!BF41</f>
        <v>Failed in 5 Subjects</v>
      </c>
      <c r="O42" s="87" t="str">
        <f>'Detailed Summary'!AW41</f>
        <v/>
      </c>
      <c r="P42" s="5" t="str">
        <f>'Detailed Summary'!BG41</f>
        <v/>
      </c>
    </row>
    <row r="43" spans="1:16" ht="18.5" hidden="1" x14ac:dyDescent="0.45">
      <c r="A43" s="102"/>
      <c r="B43" s="88">
        <f>'Student Basic Info'!A42</f>
        <v>541</v>
      </c>
      <c r="C43" s="86" t="str">
        <f>'Student Basic Info'!C42</f>
        <v>Md. Samir Hosain</v>
      </c>
      <c r="D43" s="89">
        <f>'Detailed Summary'!AK42</f>
        <v>3</v>
      </c>
      <c r="E43" s="89" t="str">
        <f>'Detailed Summary'!AL42</f>
        <v/>
      </c>
      <c r="F43" s="89" t="str">
        <f>'Detailed Summary'!AM42</f>
        <v/>
      </c>
      <c r="G43" s="89" t="str">
        <f>'Detailed Summary'!AN42</f>
        <v/>
      </c>
      <c r="H43" s="89" t="str">
        <f>'Detailed Summary'!AO42</f>
        <v/>
      </c>
      <c r="I43" s="89" t="str">
        <f>'Detailed Summary'!AP42</f>
        <v/>
      </c>
      <c r="J43" s="89" t="str">
        <f>'Detailed Summary'!AR42</f>
        <v/>
      </c>
      <c r="K43" s="89" t="str">
        <f>'Detailed Summary'!AS42</f>
        <v/>
      </c>
      <c r="L43" s="39">
        <f>'Detailed Summary'!AU42</f>
        <v>3</v>
      </c>
      <c r="M43" s="87" t="str">
        <f>'Detailed Summary'!AV42</f>
        <v/>
      </c>
      <c r="N43" s="3" t="str">
        <f>'Detailed Summary'!BF42</f>
        <v>Failed in 5 Subjects</v>
      </c>
      <c r="O43" s="87" t="str">
        <f>'Detailed Summary'!AW42</f>
        <v/>
      </c>
      <c r="P43" s="5" t="str">
        <f>'Detailed Summary'!BG42</f>
        <v/>
      </c>
    </row>
    <row r="44" spans="1:16" ht="18.5" hidden="1" x14ac:dyDescent="0.45">
      <c r="A44" s="102"/>
      <c r="B44" s="88">
        <f>'Student Basic Info'!A43</f>
        <v>542</v>
      </c>
      <c r="C44" s="86" t="str">
        <f>'Student Basic Info'!C43</f>
        <v>Md. Imran Hosain</v>
      </c>
      <c r="D44" s="89">
        <f>'Detailed Summary'!AK43</f>
        <v>1</v>
      </c>
      <c r="E44" s="89">
        <f>'Detailed Summary'!AL43</f>
        <v>0</v>
      </c>
      <c r="F44" s="89">
        <f>'Detailed Summary'!AM43</f>
        <v>0</v>
      </c>
      <c r="G44" s="89">
        <f>'Detailed Summary'!AN43</f>
        <v>0</v>
      </c>
      <c r="H44" s="89">
        <f>'Detailed Summary'!AO43</f>
        <v>0</v>
      </c>
      <c r="I44" s="89">
        <f>'Detailed Summary'!AP43</f>
        <v>1</v>
      </c>
      <c r="J44" s="89">
        <f>'Detailed Summary'!AR43</f>
        <v>0</v>
      </c>
      <c r="K44" s="89">
        <f>'Detailed Summary'!AS43</f>
        <v>0</v>
      </c>
      <c r="L44" s="39">
        <f>'Detailed Summary'!AU43</f>
        <v>2</v>
      </c>
      <c r="M44" s="87" t="str">
        <f>'Detailed Summary'!AV43</f>
        <v/>
      </c>
      <c r="N44" s="3" t="str">
        <f>'Detailed Summary'!BF43</f>
        <v>Failed in 4 Subjects</v>
      </c>
      <c r="O44" s="87" t="str">
        <f>'Detailed Summary'!AW43</f>
        <v/>
      </c>
      <c r="P44" s="5" t="str">
        <f>'Detailed Summary'!BG43</f>
        <v/>
      </c>
    </row>
    <row r="45" spans="1:16" ht="18.5" hidden="1" x14ac:dyDescent="0.45">
      <c r="A45" s="102"/>
      <c r="B45" s="88">
        <f>'Student Basic Info'!A44</f>
        <v>543</v>
      </c>
      <c r="C45" s="86" t="str">
        <f>'Student Basic Info'!C44</f>
        <v>Mohammad Yeasin</v>
      </c>
      <c r="D45" s="89">
        <f>'Detailed Summary'!AK44</f>
        <v>1</v>
      </c>
      <c r="E45" s="89">
        <f>'Detailed Summary'!AL44</f>
        <v>0</v>
      </c>
      <c r="F45" s="89">
        <f>'Detailed Summary'!AM44</f>
        <v>0</v>
      </c>
      <c r="G45" s="89">
        <f>'Detailed Summary'!AN44</f>
        <v>0</v>
      </c>
      <c r="H45" s="89">
        <f>'Detailed Summary'!AO44</f>
        <v>0</v>
      </c>
      <c r="I45" s="89">
        <f>'Detailed Summary'!AP44</f>
        <v>1</v>
      </c>
      <c r="J45" s="89">
        <f>'Detailed Summary'!AR44</f>
        <v>0</v>
      </c>
      <c r="K45" s="89">
        <f>'Detailed Summary'!AS44</f>
        <v>0</v>
      </c>
      <c r="L45" s="39">
        <f>'Detailed Summary'!AU44</f>
        <v>2</v>
      </c>
      <c r="M45" s="87" t="str">
        <f>'Detailed Summary'!AV44</f>
        <v/>
      </c>
      <c r="N45" s="3" t="str">
        <f>'Detailed Summary'!BF44</f>
        <v>Failed in 4 Subjects</v>
      </c>
      <c r="O45" s="87" t="str">
        <f>'Detailed Summary'!AW44</f>
        <v/>
      </c>
      <c r="P45" s="5" t="str">
        <f>'Detailed Summary'!BG44</f>
        <v/>
      </c>
    </row>
    <row r="46" spans="1:16" ht="18.5" hidden="1" x14ac:dyDescent="0.45">
      <c r="A46" s="102"/>
      <c r="B46" s="88">
        <f>'Student Basic Info'!A45</f>
        <v>544</v>
      </c>
      <c r="C46" s="86" t="str">
        <f>'Student Basic Info'!C45</f>
        <v>Abdur Rahman</v>
      </c>
      <c r="D46" s="89">
        <f>'Detailed Summary'!AK45</f>
        <v>2</v>
      </c>
      <c r="E46" s="89">
        <f>'Detailed Summary'!AL45</f>
        <v>0</v>
      </c>
      <c r="F46" s="89">
        <f>'Detailed Summary'!AM45</f>
        <v>3</v>
      </c>
      <c r="G46" s="89">
        <f>'Detailed Summary'!AN45</f>
        <v>1</v>
      </c>
      <c r="H46" s="89">
        <f>'Detailed Summary'!AO45</f>
        <v>0</v>
      </c>
      <c r="I46" s="89">
        <f>'Detailed Summary'!AP45</f>
        <v>0</v>
      </c>
      <c r="J46" s="89">
        <f>'Detailed Summary'!AR45</f>
        <v>2</v>
      </c>
      <c r="K46" s="89">
        <f>'Detailed Summary'!AS45</f>
        <v>0</v>
      </c>
      <c r="L46" s="39">
        <f>'Detailed Summary'!AU45</f>
        <v>6</v>
      </c>
      <c r="M46" s="87" t="str">
        <f>'Detailed Summary'!AV45</f>
        <v/>
      </c>
      <c r="N46" s="3" t="str">
        <f>'Detailed Summary'!BF45</f>
        <v>Failed in 3 Subjects</v>
      </c>
      <c r="O46" s="87" t="str">
        <f>'Detailed Summary'!AW45</f>
        <v/>
      </c>
      <c r="P46" s="5" t="str">
        <f>'Detailed Summary'!BG45</f>
        <v/>
      </c>
    </row>
    <row r="47" spans="1:16" ht="18.5" hidden="1" x14ac:dyDescent="0.45">
      <c r="A47" s="102"/>
      <c r="B47" s="88">
        <f>'Student Basic Info'!A46</f>
        <v>545</v>
      </c>
      <c r="C47" s="86" t="str">
        <f>'Student Basic Info'!C46</f>
        <v>Md. Osman Goni</v>
      </c>
      <c r="D47" s="89" t="str">
        <f>'Detailed Summary'!AK46</f>
        <v/>
      </c>
      <c r="E47" s="89" t="str">
        <f>'Detailed Summary'!AL46</f>
        <v/>
      </c>
      <c r="F47" s="89" t="str">
        <f>'Detailed Summary'!AM46</f>
        <v/>
      </c>
      <c r="G47" s="89" t="str">
        <f>'Detailed Summary'!AN46</f>
        <v/>
      </c>
      <c r="H47" s="89" t="str">
        <f>'Detailed Summary'!AO46</f>
        <v/>
      </c>
      <c r="I47" s="89" t="str">
        <f>'Detailed Summary'!AP46</f>
        <v/>
      </c>
      <c r="J47" s="89" t="str">
        <f>'Detailed Summary'!AR46</f>
        <v/>
      </c>
      <c r="K47" s="89" t="str">
        <f>'Detailed Summary'!AS46</f>
        <v/>
      </c>
      <c r="L47" s="39">
        <f>'Detailed Summary'!AU46</f>
        <v>0</v>
      </c>
      <c r="M47" s="87" t="str">
        <f>'Detailed Summary'!AV46</f>
        <v/>
      </c>
      <c r="N47" s="3" t="str">
        <f>'Detailed Summary'!BF46</f>
        <v>Failed in 6 Subjects</v>
      </c>
      <c r="O47" s="87" t="str">
        <f>'Detailed Summary'!AW46</f>
        <v/>
      </c>
      <c r="P47" s="5" t="str">
        <f>'Detailed Summary'!BG46</f>
        <v/>
      </c>
    </row>
    <row r="48" spans="1:16" ht="18.5" hidden="1" x14ac:dyDescent="0.45">
      <c r="A48" s="102"/>
      <c r="B48" s="88">
        <f>'Student Basic Info'!A47</f>
        <v>546</v>
      </c>
      <c r="C48" s="86" t="str">
        <f>'Student Basic Info'!C47</f>
        <v>Tanvir Hosain</v>
      </c>
      <c r="D48" s="89">
        <f>'Detailed Summary'!AK47</f>
        <v>2</v>
      </c>
      <c r="E48" s="89">
        <f>'Detailed Summary'!AL47</f>
        <v>0</v>
      </c>
      <c r="F48" s="89">
        <f>'Detailed Summary'!AM47</f>
        <v>2</v>
      </c>
      <c r="G48" s="89">
        <f>'Detailed Summary'!AN47</f>
        <v>0</v>
      </c>
      <c r="H48" s="89">
        <f>'Detailed Summary'!AO47</f>
        <v>0</v>
      </c>
      <c r="I48" s="89">
        <f>'Detailed Summary'!AP47</f>
        <v>0</v>
      </c>
      <c r="J48" s="89">
        <f>'Detailed Summary'!AR47</f>
        <v>2</v>
      </c>
      <c r="K48" s="89">
        <f>'Detailed Summary'!AS47</f>
        <v>0</v>
      </c>
      <c r="L48" s="39">
        <f>'Detailed Summary'!AU47</f>
        <v>4</v>
      </c>
      <c r="M48" s="87" t="str">
        <f>'Detailed Summary'!AV47</f>
        <v/>
      </c>
      <c r="N48" s="3" t="str">
        <f>'Detailed Summary'!BF47</f>
        <v>Failed in 4 Subjects</v>
      </c>
      <c r="O48" s="87" t="str">
        <f>'Detailed Summary'!AW47</f>
        <v/>
      </c>
      <c r="P48" s="5" t="str">
        <f>'Detailed Summary'!BG47</f>
        <v/>
      </c>
    </row>
    <row r="49" spans="1:16" ht="18.5" hidden="1" x14ac:dyDescent="0.45">
      <c r="A49" s="102"/>
      <c r="B49" s="88">
        <f>'Student Basic Info'!A48</f>
        <v>547</v>
      </c>
      <c r="C49" s="86" t="str">
        <f>'Student Basic Info'!C48</f>
        <v>Monowar Hosain</v>
      </c>
      <c r="D49" s="89" t="str">
        <f>'Detailed Summary'!AK48</f>
        <v/>
      </c>
      <c r="E49" s="89" t="str">
        <f>'Detailed Summary'!AL48</f>
        <v/>
      </c>
      <c r="F49" s="89" t="str">
        <f>'Detailed Summary'!AM48</f>
        <v/>
      </c>
      <c r="G49" s="89" t="str">
        <f>'Detailed Summary'!AN48</f>
        <v/>
      </c>
      <c r="H49" s="89" t="str">
        <f>'Detailed Summary'!AO48</f>
        <v/>
      </c>
      <c r="I49" s="89" t="str">
        <f>'Detailed Summary'!AP48</f>
        <v/>
      </c>
      <c r="J49" s="89" t="str">
        <f>'Detailed Summary'!AR48</f>
        <v/>
      </c>
      <c r="K49" s="89" t="str">
        <f>'Detailed Summary'!AS48</f>
        <v/>
      </c>
      <c r="L49" s="39">
        <f>'Detailed Summary'!AU48</f>
        <v>0</v>
      </c>
      <c r="M49" s="87" t="str">
        <f>'Detailed Summary'!AV48</f>
        <v/>
      </c>
      <c r="N49" s="3" t="str">
        <f>'Detailed Summary'!BF48</f>
        <v>Failed in 6 Subjects</v>
      </c>
      <c r="O49" s="87" t="str">
        <f>'Detailed Summary'!AW48</f>
        <v/>
      </c>
      <c r="P49" s="5" t="str">
        <f>'Detailed Summary'!BG48</f>
        <v/>
      </c>
    </row>
    <row r="50" spans="1:16" ht="18.5" hidden="1" x14ac:dyDescent="0.45">
      <c r="A50" s="102"/>
      <c r="B50" s="88">
        <f>'Student Basic Info'!A49</f>
        <v>548</v>
      </c>
      <c r="C50" s="86" t="str">
        <f>'Student Basic Info'!C49</f>
        <v>Mehedi Hasan</v>
      </c>
      <c r="D50" s="89" t="str">
        <f>'Detailed Summary'!AK49</f>
        <v/>
      </c>
      <c r="E50" s="89" t="str">
        <f>'Detailed Summary'!AL49</f>
        <v/>
      </c>
      <c r="F50" s="89" t="str">
        <f>'Detailed Summary'!AM49</f>
        <v/>
      </c>
      <c r="G50" s="89" t="str">
        <f>'Detailed Summary'!AN49</f>
        <v/>
      </c>
      <c r="H50" s="89" t="str">
        <f>'Detailed Summary'!AO49</f>
        <v/>
      </c>
      <c r="I50" s="89" t="str">
        <f>'Detailed Summary'!AP49</f>
        <v/>
      </c>
      <c r="J50" s="89" t="str">
        <f>'Detailed Summary'!AR49</f>
        <v/>
      </c>
      <c r="K50" s="89" t="str">
        <f>'Detailed Summary'!AS49</f>
        <v/>
      </c>
      <c r="L50" s="39">
        <f>'Detailed Summary'!AU49</f>
        <v>0</v>
      </c>
      <c r="M50" s="87" t="str">
        <f>'Detailed Summary'!AV49</f>
        <v/>
      </c>
      <c r="N50" s="3" t="str">
        <f>'Detailed Summary'!BF49</f>
        <v>Failed in 6 Subjects</v>
      </c>
      <c r="O50" s="87" t="str">
        <f>'Detailed Summary'!AW49</f>
        <v/>
      </c>
      <c r="P50" s="5" t="str">
        <f>'Detailed Summary'!BG49</f>
        <v/>
      </c>
    </row>
    <row r="51" spans="1:16" ht="18.5" hidden="1" x14ac:dyDescent="0.45">
      <c r="A51" s="102"/>
      <c r="B51" s="88">
        <f>'Student Basic Info'!A50</f>
        <v>549</v>
      </c>
      <c r="C51" s="86" t="str">
        <f>'Student Basic Info'!C50</f>
        <v>Mia Md. Mahrup Murshid</v>
      </c>
      <c r="D51" s="89">
        <f>'Detailed Summary'!AK50</f>
        <v>1</v>
      </c>
      <c r="E51" s="89">
        <f>'Detailed Summary'!AL50</f>
        <v>0</v>
      </c>
      <c r="F51" s="89">
        <f>'Detailed Summary'!AM50</f>
        <v>0</v>
      </c>
      <c r="G51" s="89">
        <f>'Detailed Summary'!AN50</f>
        <v>0</v>
      </c>
      <c r="H51" s="89">
        <f>'Detailed Summary'!AO50</f>
        <v>2</v>
      </c>
      <c r="I51" s="89">
        <f>'Detailed Summary'!AP50</f>
        <v>0</v>
      </c>
      <c r="J51" s="89">
        <f>'Detailed Summary'!AR50</f>
        <v>0</v>
      </c>
      <c r="K51" s="89">
        <f>'Detailed Summary'!AS50</f>
        <v>0</v>
      </c>
      <c r="L51" s="39">
        <f>'Detailed Summary'!AU50</f>
        <v>3</v>
      </c>
      <c r="M51" s="87" t="str">
        <f>'Detailed Summary'!AV50</f>
        <v/>
      </c>
      <c r="N51" s="3" t="str">
        <f>'Detailed Summary'!BF50</f>
        <v>Failed in 4 Subjects</v>
      </c>
      <c r="O51" s="87" t="str">
        <f>'Detailed Summary'!AW50</f>
        <v/>
      </c>
      <c r="P51" s="5" t="str">
        <f>'Detailed Summary'!BG50</f>
        <v/>
      </c>
    </row>
    <row r="52" spans="1:16" ht="18.5" hidden="1" x14ac:dyDescent="0.45">
      <c r="A52" s="102"/>
      <c r="B52" s="88">
        <f>'Student Basic Info'!A51</f>
        <v>550</v>
      </c>
      <c r="C52" s="86" t="str">
        <f>'Student Basic Info'!C51</f>
        <v>Mishu Alom Suddik</v>
      </c>
      <c r="D52" s="89" t="str">
        <f>'Detailed Summary'!AK51</f>
        <v/>
      </c>
      <c r="E52" s="89" t="str">
        <f>'Detailed Summary'!AL51</f>
        <v/>
      </c>
      <c r="F52" s="89" t="str">
        <f>'Detailed Summary'!AM51</f>
        <v/>
      </c>
      <c r="G52" s="89" t="str">
        <f>'Detailed Summary'!AN51</f>
        <v/>
      </c>
      <c r="H52" s="89" t="str">
        <f>'Detailed Summary'!AO51</f>
        <v/>
      </c>
      <c r="I52" s="89" t="str">
        <f>'Detailed Summary'!AP51</f>
        <v/>
      </c>
      <c r="J52" s="89" t="str">
        <f>'Detailed Summary'!AR51</f>
        <v/>
      </c>
      <c r="K52" s="89" t="str">
        <f>'Detailed Summary'!AS51</f>
        <v/>
      </c>
      <c r="L52" s="39">
        <f>'Detailed Summary'!AU51</f>
        <v>0</v>
      </c>
      <c r="M52" s="87" t="str">
        <f>'Detailed Summary'!AV51</f>
        <v/>
      </c>
      <c r="N52" s="3" t="str">
        <f>'Detailed Summary'!BF51</f>
        <v>Failed in 6 Subjects</v>
      </c>
      <c r="O52" s="87" t="str">
        <f>'Detailed Summary'!AW51</f>
        <v/>
      </c>
      <c r="P52" s="5" t="str">
        <f>'Detailed Summary'!BG51</f>
        <v/>
      </c>
    </row>
    <row r="53" spans="1:16" ht="18.5" hidden="1" x14ac:dyDescent="0.45">
      <c r="A53" s="102"/>
      <c r="B53" s="88">
        <f>'Student Basic Info'!A52</f>
        <v>551</v>
      </c>
      <c r="C53" s="86" t="str">
        <f>'Student Basic Info'!C52</f>
        <v>Ismail Hosain</v>
      </c>
      <c r="D53" s="89" t="str">
        <f>'Detailed Summary'!AK52</f>
        <v/>
      </c>
      <c r="E53" s="89" t="str">
        <f>'Detailed Summary'!AL52</f>
        <v/>
      </c>
      <c r="F53" s="89" t="str">
        <f>'Detailed Summary'!AM52</f>
        <v/>
      </c>
      <c r="G53" s="89" t="str">
        <f>'Detailed Summary'!AN52</f>
        <v/>
      </c>
      <c r="H53" s="89" t="str">
        <f>'Detailed Summary'!AO52</f>
        <v/>
      </c>
      <c r="I53" s="89" t="str">
        <f>'Detailed Summary'!AP52</f>
        <v/>
      </c>
      <c r="J53" s="89" t="str">
        <f>'Detailed Summary'!AR52</f>
        <v/>
      </c>
      <c r="K53" s="89" t="str">
        <f>'Detailed Summary'!AS52</f>
        <v/>
      </c>
      <c r="L53" s="39">
        <f>'Detailed Summary'!AU52</f>
        <v>0</v>
      </c>
      <c r="M53" s="87" t="str">
        <f>'Detailed Summary'!AV52</f>
        <v/>
      </c>
      <c r="N53" s="3" t="str">
        <f>'Detailed Summary'!BF52</f>
        <v>Failed in 6 Subjects</v>
      </c>
      <c r="O53" s="87" t="str">
        <f>'Detailed Summary'!AW52</f>
        <v/>
      </c>
      <c r="P53" s="5" t="str">
        <f>'Detailed Summary'!BG52</f>
        <v/>
      </c>
    </row>
    <row r="54" spans="1:16" ht="18.5" hidden="1" x14ac:dyDescent="0.45">
      <c r="A54" s="102"/>
      <c r="B54" s="88">
        <f>'Student Basic Info'!A53</f>
        <v>552</v>
      </c>
      <c r="C54" s="86" t="str">
        <f>'Student Basic Info'!C53</f>
        <v>Abu Bokkor Siddik</v>
      </c>
      <c r="D54" s="89">
        <f>'Detailed Summary'!AK53</f>
        <v>1</v>
      </c>
      <c r="E54" s="89">
        <f>'Detailed Summary'!AL53</f>
        <v>0</v>
      </c>
      <c r="F54" s="89">
        <f>'Detailed Summary'!AM53</f>
        <v>0</v>
      </c>
      <c r="G54" s="89">
        <f>'Detailed Summary'!AN53</f>
        <v>0</v>
      </c>
      <c r="H54" s="89">
        <f>'Detailed Summary'!AO53</f>
        <v>0</v>
      </c>
      <c r="I54" s="89">
        <f>'Detailed Summary'!AP53</f>
        <v>0</v>
      </c>
      <c r="J54" s="89">
        <f>'Detailed Summary'!AR53</f>
        <v>1</v>
      </c>
      <c r="K54" s="89">
        <f>'Detailed Summary'!AS53</f>
        <v>0</v>
      </c>
      <c r="L54" s="39">
        <f>'Detailed Summary'!AU53</f>
        <v>1</v>
      </c>
      <c r="M54" s="87" t="str">
        <f>'Detailed Summary'!AV53</f>
        <v/>
      </c>
      <c r="N54" s="3" t="str">
        <f>'Detailed Summary'!BF53</f>
        <v>Failed in 5 Subjects</v>
      </c>
      <c r="O54" s="87" t="str">
        <f>'Detailed Summary'!AW53</f>
        <v/>
      </c>
      <c r="P54" s="5" t="str">
        <f>'Detailed Summary'!BG53</f>
        <v/>
      </c>
    </row>
    <row r="55" spans="1:16" ht="18.5" hidden="1" x14ac:dyDescent="0.45">
      <c r="A55" s="102"/>
      <c r="B55" s="88">
        <f>'Student Basic Info'!A54</f>
        <v>553</v>
      </c>
      <c r="C55" s="86" t="str">
        <f>'Student Basic Info'!C54</f>
        <v>Nowshad Ali</v>
      </c>
      <c r="D55" s="89" t="str">
        <f>'Detailed Summary'!AK54</f>
        <v/>
      </c>
      <c r="E55" s="89" t="str">
        <f>'Detailed Summary'!AL54</f>
        <v/>
      </c>
      <c r="F55" s="89" t="str">
        <f>'Detailed Summary'!AM54</f>
        <v/>
      </c>
      <c r="G55" s="89" t="str">
        <f>'Detailed Summary'!AN54</f>
        <v/>
      </c>
      <c r="H55" s="89" t="str">
        <f>'Detailed Summary'!AO54</f>
        <v/>
      </c>
      <c r="I55" s="89" t="str">
        <f>'Detailed Summary'!AP54</f>
        <v/>
      </c>
      <c r="J55" s="89" t="str">
        <f>'Detailed Summary'!AR54</f>
        <v/>
      </c>
      <c r="K55" s="89" t="str">
        <f>'Detailed Summary'!AS54</f>
        <v/>
      </c>
      <c r="L55" s="39">
        <f>'Detailed Summary'!AU54</f>
        <v>0</v>
      </c>
      <c r="M55" s="87" t="str">
        <f>'Detailed Summary'!AV54</f>
        <v/>
      </c>
      <c r="N55" s="3" t="str">
        <f>'Detailed Summary'!BF54</f>
        <v>Failed in 6 Subjects</v>
      </c>
      <c r="O55" s="87" t="str">
        <f>'Detailed Summary'!AW54</f>
        <v/>
      </c>
      <c r="P55" s="5" t="str">
        <f>'Detailed Summary'!BG54</f>
        <v/>
      </c>
    </row>
    <row r="56" spans="1:16" ht="18.5" hidden="1" x14ac:dyDescent="0.45">
      <c r="A56" s="102"/>
      <c r="B56" s="88">
        <f>'Student Basic Info'!A55</f>
        <v>554</v>
      </c>
      <c r="C56" s="86" t="str">
        <f>'Student Basic Info'!C55</f>
        <v>Md. Musa</v>
      </c>
      <c r="D56" s="89">
        <f>'Detailed Summary'!AK55</f>
        <v>1</v>
      </c>
      <c r="E56" s="89">
        <f>'Detailed Summary'!AL55</f>
        <v>0</v>
      </c>
      <c r="F56" s="89">
        <f>'Detailed Summary'!AM55</f>
        <v>0</v>
      </c>
      <c r="G56" s="89">
        <f>'Detailed Summary'!AN55</f>
        <v>0</v>
      </c>
      <c r="H56" s="89">
        <f>'Detailed Summary'!AO55</f>
        <v>0</v>
      </c>
      <c r="I56" s="89">
        <f>'Detailed Summary'!AP55</f>
        <v>0</v>
      </c>
      <c r="J56" s="89">
        <f>'Detailed Summary'!AR55</f>
        <v>0</v>
      </c>
      <c r="K56" s="89">
        <f>'Detailed Summary'!AS55</f>
        <v>0</v>
      </c>
      <c r="L56" s="39">
        <f>'Detailed Summary'!AU55</f>
        <v>1</v>
      </c>
      <c r="M56" s="87" t="str">
        <f>'Detailed Summary'!AV55</f>
        <v/>
      </c>
      <c r="N56" s="3" t="str">
        <f>'Detailed Summary'!BF55</f>
        <v>Failed in 5 Subjects</v>
      </c>
      <c r="O56" s="87" t="str">
        <f>'Detailed Summary'!AW55</f>
        <v/>
      </c>
      <c r="P56" s="5" t="str">
        <f>'Detailed Summary'!BG55</f>
        <v/>
      </c>
    </row>
    <row r="57" spans="1:16" ht="18.5" x14ac:dyDescent="0.45">
      <c r="A57" s="102"/>
      <c r="B57" s="88">
        <f>'Student Basic Info'!A56</f>
        <v>555</v>
      </c>
      <c r="C57" s="86" t="str">
        <f>'Student Basic Info'!C56</f>
        <v>Setara Bagum</v>
      </c>
      <c r="D57" s="89">
        <f>'Detailed Summary'!AK56</f>
        <v>3</v>
      </c>
      <c r="E57" s="89">
        <f>'Detailed Summary'!AL56</f>
        <v>0</v>
      </c>
      <c r="F57" s="89">
        <f>'Detailed Summary'!AM56</f>
        <v>3</v>
      </c>
      <c r="G57" s="89">
        <f>'Detailed Summary'!AN56</f>
        <v>3</v>
      </c>
      <c r="H57" s="89">
        <f>'Detailed Summary'!AO56</f>
        <v>3</v>
      </c>
      <c r="I57" s="89">
        <f>'Detailed Summary'!AP56</f>
        <v>3</v>
      </c>
      <c r="J57" s="89">
        <f>'Detailed Summary'!AR56</f>
        <v>1</v>
      </c>
      <c r="K57" s="89">
        <f>'Detailed Summary'!AS56</f>
        <v>0</v>
      </c>
      <c r="L57" s="39">
        <f>'Detailed Summary'!AU56</f>
        <v>15</v>
      </c>
      <c r="M57" s="87" t="str">
        <f>'Detailed Summary'!AV56</f>
        <v/>
      </c>
      <c r="N57" s="3" t="str">
        <f>'Detailed Summary'!BF56</f>
        <v>Failed in 1 Subject</v>
      </c>
      <c r="O57" s="87" t="str">
        <f>'Detailed Summary'!AW56</f>
        <v/>
      </c>
      <c r="P57" s="5" t="str">
        <f>'Detailed Summary'!BG56</f>
        <v/>
      </c>
    </row>
    <row r="58" spans="1:16" ht="18.5" hidden="1" x14ac:dyDescent="0.45">
      <c r="A58" s="102"/>
      <c r="B58" s="88">
        <f>'Student Basic Info'!A57</f>
        <v>556</v>
      </c>
      <c r="C58" s="86" t="str">
        <f>'Student Basic Info'!C57</f>
        <v>Tahamina Tabassum</v>
      </c>
      <c r="D58" s="89">
        <f>'Detailed Summary'!AK57</f>
        <v>3.5</v>
      </c>
      <c r="E58" s="89">
        <f>'Detailed Summary'!AL57</f>
        <v>0</v>
      </c>
      <c r="F58" s="89">
        <f>'Detailed Summary'!AM57</f>
        <v>0</v>
      </c>
      <c r="G58" s="89">
        <f>'Detailed Summary'!AN57</f>
        <v>0</v>
      </c>
      <c r="H58" s="89">
        <f>'Detailed Summary'!AO57</f>
        <v>3</v>
      </c>
      <c r="I58" s="89">
        <f>'Detailed Summary'!AP57</f>
        <v>0</v>
      </c>
      <c r="J58" s="89">
        <f>'Detailed Summary'!AR57</f>
        <v>2</v>
      </c>
      <c r="K58" s="89">
        <f>'Detailed Summary'!AS57</f>
        <v>0</v>
      </c>
      <c r="L58" s="39">
        <f>'Detailed Summary'!AU57</f>
        <v>6.5</v>
      </c>
      <c r="M58" s="87" t="str">
        <f>'Detailed Summary'!AV57</f>
        <v/>
      </c>
      <c r="N58" s="3" t="str">
        <f>'Detailed Summary'!BF57</f>
        <v>Failed in 4 Subjects</v>
      </c>
      <c r="O58" s="87" t="str">
        <f>'Detailed Summary'!AW57</f>
        <v/>
      </c>
      <c r="P58" s="5" t="str">
        <f>'Detailed Summary'!BG57</f>
        <v/>
      </c>
    </row>
    <row r="59" spans="1:16" ht="18.5" hidden="1" x14ac:dyDescent="0.45">
      <c r="A59" s="102"/>
      <c r="B59" s="88">
        <f>'Student Basic Info'!A58</f>
        <v>557</v>
      </c>
      <c r="C59" s="86" t="str">
        <f>'Student Basic Info'!C58</f>
        <v>Tanjila Akrar</v>
      </c>
      <c r="D59" s="89">
        <f>'Detailed Summary'!AK58</f>
        <v>3</v>
      </c>
      <c r="E59" s="89">
        <f>'Detailed Summary'!AL58</f>
        <v>1</v>
      </c>
      <c r="F59" s="89">
        <f>'Detailed Summary'!AM58</f>
        <v>2</v>
      </c>
      <c r="G59" s="89">
        <f>'Detailed Summary'!AN58</f>
        <v>1</v>
      </c>
      <c r="H59" s="89">
        <f>'Detailed Summary'!AO58</f>
        <v>3</v>
      </c>
      <c r="I59" s="89">
        <f>'Detailed Summary'!AP58</f>
        <v>1</v>
      </c>
      <c r="J59" s="89">
        <f>'Detailed Summary'!AR58</f>
        <v>2</v>
      </c>
      <c r="K59" s="89">
        <f>'Detailed Summary'!AS58</f>
        <v>0</v>
      </c>
      <c r="L59" s="39">
        <f>'Detailed Summary'!AU58</f>
        <v>11</v>
      </c>
      <c r="M59" s="87">
        <f>'Detailed Summary'!AV58</f>
        <v>1.8333333333333333</v>
      </c>
      <c r="N59" s="3" t="str">
        <f>'Detailed Summary'!BF58</f>
        <v>Pass</v>
      </c>
      <c r="O59" s="87">
        <f>'Detailed Summary'!AW58</f>
        <v>1.8333333333333333</v>
      </c>
      <c r="P59" s="5">
        <f>'Detailed Summary'!BG58</f>
        <v>11</v>
      </c>
    </row>
    <row r="60" spans="1:16" ht="18.5" hidden="1" x14ac:dyDescent="0.45">
      <c r="A60" s="102"/>
      <c r="B60" s="88">
        <f>'Student Basic Info'!A59</f>
        <v>558</v>
      </c>
      <c r="C60" s="86" t="str">
        <f>'Student Basic Info'!C59</f>
        <v>Nusrat Zahan Evana</v>
      </c>
      <c r="D60" s="89">
        <f>'Detailed Summary'!AK59</f>
        <v>3.5</v>
      </c>
      <c r="E60" s="89">
        <f>'Detailed Summary'!AL59</f>
        <v>1</v>
      </c>
      <c r="F60" s="89">
        <f>'Detailed Summary'!AM59</f>
        <v>3</v>
      </c>
      <c r="G60" s="89">
        <f>'Detailed Summary'!AN59</f>
        <v>3</v>
      </c>
      <c r="H60" s="89">
        <f>'Detailed Summary'!AO59</f>
        <v>3.5</v>
      </c>
      <c r="I60" s="89">
        <f>'Detailed Summary'!AP59</f>
        <v>2</v>
      </c>
      <c r="J60" s="89">
        <f>'Detailed Summary'!AR59</f>
        <v>3</v>
      </c>
      <c r="K60" s="89">
        <f>'Detailed Summary'!AS59</f>
        <v>1</v>
      </c>
      <c r="L60" s="39">
        <f>'Detailed Summary'!AU59</f>
        <v>17</v>
      </c>
      <c r="M60" s="87">
        <f>'Detailed Summary'!AV59</f>
        <v>2.6666666666666665</v>
      </c>
      <c r="N60" s="3" t="str">
        <f>'Detailed Summary'!BF59</f>
        <v>Pass</v>
      </c>
      <c r="O60" s="87">
        <f>'Detailed Summary'!AW59</f>
        <v>2.8333333333333335</v>
      </c>
      <c r="P60" s="5">
        <f>'Detailed Summary'!BG59</f>
        <v>5</v>
      </c>
    </row>
    <row r="61" spans="1:16" ht="18.5" hidden="1" x14ac:dyDescent="0.45">
      <c r="A61" s="102"/>
      <c r="B61" s="88">
        <f>'Student Basic Info'!A60</f>
        <v>559</v>
      </c>
      <c r="C61" s="86" t="str">
        <f>'Student Basic Info'!C60</f>
        <v>Nahat Binte Raju</v>
      </c>
      <c r="D61" s="89">
        <f>'Detailed Summary'!AK60</f>
        <v>3.5</v>
      </c>
      <c r="E61" s="89">
        <f>'Detailed Summary'!AL60</f>
        <v>2</v>
      </c>
      <c r="F61" s="89">
        <f>'Detailed Summary'!AM60</f>
        <v>3</v>
      </c>
      <c r="G61" s="89">
        <f>'Detailed Summary'!AN60</f>
        <v>2</v>
      </c>
      <c r="H61" s="89">
        <f>'Detailed Summary'!AO60</f>
        <v>2</v>
      </c>
      <c r="I61" s="89">
        <f>'Detailed Summary'!AP60</f>
        <v>1</v>
      </c>
      <c r="J61" s="89">
        <f>'Detailed Summary'!AR60</f>
        <v>2</v>
      </c>
      <c r="K61" s="89">
        <f>'Detailed Summary'!AS60</f>
        <v>0</v>
      </c>
      <c r="L61" s="39">
        <f>'Detailed Summary'!AU60</f>
        <v>13.5</v>
      </c>
      <c r="M61" s="87">
        <f>'Detailed Summary'!AV60</f>
        <v>2.25</v>
      </c>
      <c r="N61" s="3" t="str">
        <f>'Detailed Summary'!BF60</f>
        <v>Pass</v>
      </c>
      <c r="O61" s="87">
        <f>'Detailed Summary'!AW60</f>
        <v>2.25</v>
      </c>
      <c r="P61" s="5">
        <f>'Detailed Summary'!BG60</f>
        <v>10</v>
      </c>
    </row>
    <row r="62" spans="1:16" ht="18.5" hidden="1" x14ac:dyDescent="0.45">
      <c r="A62" s="102"/>
      <c r="B62" s="88">
        <f>'Student Basic Info'!A61</f>
        <v>560</v>
      </c>
      <c r="C62" s="86" t="str">
        <f>'Student Basic Info'!C61</f>
        <v>Nadiya Tasmin Nipu</v>
      </c>
      <c r="D62" s="89">
        <f>'Detailed Summary'!AK61</f>
        <v>3.5</v>
      </c>
      <c r="E62" s="89">
        <f>'Detailed Summary'!AL61</f>
        <v>0</v>
      </c>
      <c r="F62" s="89">
        <f>'Detailed Summary'!AM61</f>
        <v>2</v>
      </c>
      <c r="G62" s="89">
        <f>'Detailed Summary'!AN61</f>
        <v>0</v>
      </c>
      <c r="H62" s="89">
        <f>'Detailed Summary'!AO61</f>
        <v>2</v>
      </c>
      <c r="I62" s="89">
        <f>'Detailed Summary'!AP61</f>
        <v>1</v>
      </c>
      <c r="J62" s="89">
        <f>'Detailed Summary'!AR61</f>
        <v>2</v>
      </c>
      <c r="K62" s="89">
        <f>'Detailed Summary'!AS61</f>
        <v>0</v>
      </c>
      <c r="L62" s="39">
        <f>'Detailed Summary'!AU61</f>
        <v>8.5</v>
      </c>
      <c r="M62" s="87" t="str">
        <f>'Detailed Summary'!AV61</f>
        <v/>
      </c>
      <c r="N62" s="3" t="str">
        <f>'Detailed Summary'!BF61</f>
        <v>Failed in 2 Subjects</v>
      </c>
      <c r="O62" s="87" t="str">
        <f>'Detailed Summary'!AW61</f>
        <v/>
      </c>
      <c r="P62" s="5" t="str">
        <f>'Detailed Summary'!BG61</f>
        <v/>
      </c>
    </row>
    <row r="63" spans="1:16" ht="18.5" hidden="1" x14ac:dyDescent="0.45">
      <c r="A63" s="102"/>
      <c r="B63" s="88">
        <f>'Student Basic Info'!A62</f>
        <v>561</v>
      </c>
      <c r="C63" s="86" t="str">
        <f>'Student Basic Info'!C62</f>
        <v>Umme Habiba Niha</v>
      </c>
      <c r="D63" s="89">
        <f>'Detailed Summary'!AK62</f>
        <v>0</v>
      </c>
      <c r="E63" s="89">
        <f>'Detailed Summary'!AL62</f>
        <v>0</v>
      </c>
      <c r="F63" s="89">
        <f>'Detailed Summary'!AM62</f>
        <v>0</v>
      </c>
      <c r="G63" s="89">
        <f>'Detailed Summary'!AN62</f>
        <v>0</v>
      </c>
      <c r="H63" s="89">
        <f>'Detailed Summary'!AO62</f>
        <v>0</v>
      </c>
      <c r="I63" s="89" t="str">
        <f>'Detailed Summary'!AP62</f>
        <v/>
      </c>
      <c r="J63" s="89">
        <f>'Detailed Summary'!AR62</f>
        <v>0</v>
      </c>
      <c r="K63" s="89">
        <f>'Detailed Summary'!AS62</f>
        <v>0</v>
      </c>
      <c r="L63" s="39">
        <f>'Detailed Summary'!AU62</f>
        <v>0</v>
      </c>
      <c r="M63" s="87" t="str">
        <f>'Detailed Summary'!AV62</f>
        <v/>
      </c>
      <c r="N63" s="3" t="str">
        <f>'Detailed Summary'!BF62</f>
        <v>Failed in 6 Subjects</v>
      </c>
      <c r="O63" s="87" t="str">
        <f>'Detailed Summary'!AW62</f>
        <v/>
      </c>
      <c r="P63" s="5" t="str">
        <f>'Detailed Summary'!BG62</f>
        <v/>
      </c>
    </row>
    <row r="64" spans="1:16" ht="18.5" hidden="1" x14ac:dyDescent="0.45">
      <c r="A64" s="102"/>
      <c r="B64" s="88">
        <f>'Student Basic Info'!A63</f>
        <v>562</v>
      </c>
      <c r="C64" s="86" t="str">
        <f>'Student Basic Info'!C63</f>
        <v>Md. Ridwan Hosain</v>
      </c>
      <c r="D64" s="89" t="str">
        <f>'Detailed Summary'!AK63</f>
        <v/>
      </c>
      <c r="E64" s="89" t="str">
        <f>'Detailed Summary'!AL63</f>
        <v/>
      </c>
      <c r="F64" s="89" t="str">
        <f>'Detailed Summary'!AM63</f>
        <v/>
      </c>
      <c r="G64" s="89" t="str">
        <f>'Detailed Summary'!AN63</f>
        <v/>
      </c>
      <c r="H64" s="89" t="str">
        <f>'Detailed Summary'!AO63</f>
        <v/>
      </c>
      <c r="I64" s="89" t="str">
        <f>'Detailed Summary'!AP63</f>
        <v/>
      </c>
      <c r="J64" s="89" t="str">
        <f>'Detailed Summary'!AR63</f>
        <v/>
      </c>
      <c r="K64" s="89" t="str">
        <f>'Detailed Summary'!AS63</f>
        <v/>
      </c>
      <c r="L64" s="39">
        <f>'Detailed Summary'!AU63</f>
        <v>0</v>
      </c>
      <c r="M64" s="87" t="str">
        <f>'Detailed Summary'!AV63</f>
        <v/>
      </c>
      <c r="N64" s="3" t="str">
        <f>'Detailed Summary'!BF63</f>
        <v>Failed in 6 Subjects</v>
      </c>
      <c r="O64" s="87" t="str">
        <f>'Detailed Summary'!AW63</f>
        <v/>
      </c>
      <c r="P64" s="5" t="str">
        <f>'Detailed Summary'!BG63</f>
        <v/>
      </c>
    </row>
    <row r="65" spans="1:16" ht="18.5" hidden="1" x14ac:dyDescent="0.45">
      <c r="A65" s="102"/>
      <c r="B65" s="88">
        <f>'Student Basic Info'!A64</f>
        <v>563</v>
      </c>
      <c r="C65" s="86" t="str">
        <f>'Student Basic Info'!C64</f>
        <v>Mehedi Hasan Rahim</v>
      </c>
      <c r="D65" s="89" t="str">
        <f>'Detailed Summary'!AK64</f>
        <v/>
      </c>
      <c r="E65" s="89" t="str">
        <f>'Detailed Summary'!AL64</f>
        <v/>
      </c>
      <c r="F65" s="89" t="str">
        <f>'Detailed Summary'!AM64</f>
        <v/>
      </c>
      <c r="G65" s="89" t="str">
        <f>'Detailed Summary'!AN64</f>
        <v/>
      </c>
      <c r="H65" s="89" t="str">
        <f>'Detailed Summary'!AO64</f>
        <v/>
      </c>
      <c r="I65" s="89" t="str">
        <f>'Detailed Summary'!AP64</f>
        <v/>
      </c>
      <c r="J65" s="89" t="str">
        <f>'Detailed Summary'!AR64</f>
        <v/>
      </c>
      <c r="K65" s="89" t="str">
        <f>'Detailed Summary'!AS64</f>
        <v/>
      </c>
      <c r="L65" s="39">
        <f>'Detailed Summary'!AU64</f>
        <v>0</v>
      </c>
      <c r="M65" s="87" t="str">
        <f>'Detailed Summary'!AV64</f>
        <v/>
      </c>
      <c r="N65" s="3" t="str">
        <f>'Detailed Summary'!BF64</f>
        <v>Failed in 6 Subjects</v>
      </c>
      <c r="O65" s="87" t="str">
        <f>'Detailed Summary'!AW64</f>
        <v/>
      </c>
      <c r="P65" s="5" t="str">
        <f>'Detailed Summary'!BG64</f>
        <v/>
      </c>
    </row>
    <row r="66" spans="1:16" ht="18.5" hidden="1" x14ac:dyDescent="0.45">
      <c r="A66" s="102"/>
      <c r="B66" s="88">
        <f>'Student Basic Info'!A65</f>
        <v>564</v>
      </c>
      <c r="C66" s="86" t="str">
        <f>'Student Basic Info'!C65</f>
        <v>Mominul Haque</v>
      </c>
      <c r="D66" s="89" t="str">
        <f>'Detailed Summary'!AK65</f>
        <v/>
      </c>
      <c r="E66" s="89" t="str">
        <f>'Detailed Summary'!AL65</f>
        <v/>
      </c>
      <c r="F66" s="89" t="str">
        <f>'Detailed Summary'!AM65</f>
        <v/>
      </c>
      <c r="G66" s="89" t="str">
        <f>'Detailed Summary'!AN65</f>
        <v/>
      </c>
      <c r="H66" s="89" t="str">
        <f>'Detailed Summary'!AO65</f>
        <v/>
      </c>
      <c r="I66" s="89" t="str">
        <f>'Detailed Summary'!AP65</f>
        <v/>
      </c>
      <c r="J66" s="89" t="str">
        <f>'Detailed Summary'!AR65</f>
        <v/>
      </c>
      <c r="K66" s="89" t="str">
        <f>'Detailed Summary'!AS65</f>
        <v/>
      </c>
      <c r="L66" s="39">
        <f>'Detailed Summary'!AU65</f>
        <v>0</v>
      </c>
      <c r="M66" s="87" t="str">
        <f>'Detailed Summary'!AV65</f>
        <v/>
      </c>
      <c r="N66" s="3" t="str">
        <f>'Detailed Summary'!BF65</f>
        <v>Failed in 6 Subjects</v>
      </c>
      <c r="O66" s="87" t="str">
        <f>'Detailed Summary'!AW65</f>
        <v/>
      </c>
      <c r="P66" s="5" t="str">
        <f>'Detailed Summary'!BG65</f>
        <v/>
      </c>
    </row>
    <row r="67" spans="1:16" ht="18.5" hidden="1" x14ac:dyDescent="0.45">
      <c r="A67" s="102"/>
      <c r="B67" s="88">
        <f>'Student Basic Info'!A66</f>
        <v>565</v>
      </c>
      <c r="C67" s="86" t="str">
        <f>'Student Basic Info'!C66</f>
        <v>Farhana Islam</v>
      </c>
      <c r="D67" s="89">
        <f>'Detailed Summary'!AK66</f>
        <v>2</v>
      </c>
      <c r="E67" s="89">
        <f>'Detailed Summary'!AL66</f>
        <v>0</v>
      </c>
      <c r="F67" s="89">
        <f>'Detailed Summary'!AM66</f>
        <v>2</v>
      </c>
      <c r="G67" s="89">
        <f>'Detailed Summary'!AN66</f>
        <v>3</v>
      </c>
      <c r="H67" s="89">
        <f>'Detailed Summary'!AO66</f>
        <v>0</v>
      </c>
      <c r="I67" s="89">
        <f>'Detailed Summary'!AP66</f>
        <v>2</v>
      </c>
      <c r="J67" s="89" t="str">
        <f>'Detailed Summary'!AR66</f>
        <v/>
      </c>
      <c r="K67" s="89" t="str">
        <f>'Detailed Summary'!AS66</f>
        <v/>
      </c>
      <c r="L67" s="39">
        <f>'Detailed Summary'!AU66</f>
        <v>9</v>
      </c>
      <c r="M67" s="87" t="str">
        <f>'Detailed Summary'!AV66</f>
        <v/>
      </c>
      <c r="N67" s="3" t="str">
        <f>'Detailed Summary'!BF66</f>
        <v>Failed in 2 Subjects</v>
      </c>
      <c r="O67" s="87" t="str">
        <f>'Detailed Summary'!AW66</f>
        <v/>
      </c>
      <c r="P67" s="5" t="str">
        <f>'Detailed Summary'!BG66</f>
        <v/>
      </c>
    </row>
    <row r="68" spans="1:16" ht="18.5" hidden="1" x14ac:dyDescent="0.45">
      <c r="A68" s="102"/>
      <c r="B68" s="88">
        <f>'Student Basic Info'!A67</f>
        <v>566</v>
      </c>
      <c r="C68" s="86" t="str">
        <f>'Student Basic Info'!C67</f>
        <v>Md. Mushfiqul Alom</v>
      </c>
      <c r="D68" s="89" t="str">
        <f>'Detailed Summary'!AK67</f>
        <v/>
      </c>
      <c r="E68" s="89" t="str">
        <f>'Detailed Summary'!AL67</f>
        <v/>
      </c>
      <c r="F68" s="89" t="str">
        <f>'Detailed Summary'!AM67</f>
        <v/>
      </c>
      <c r="G68" s="89" t="str">
        <f>'Detailed Summary'!AN67</f>
        <v/>
      </c>
      <c r="H68" s="89" t="str">
        <f>'Detailed Summary'!AO67</f>
        <v/>
      </c>
      <c r="I68" s="89" t="str">
        <f>'Detailed Summary'!AP67</f>
        <v/>
      </c>
      <c r="J68" s="89" t="str">
        <f>'Detailed Summary'!AR67</f>
        <v/>
      </c>
      <c r="K68" s="89" t="str">
        <f>'Detailed Summary'!AS67</f>
        <v/>
      </c>
      <c r="L68" s="39">
        <f>'Detailed Summary'!AU67</f>
        <v>0</v>
      </c>
      <c r="M68" s="87" t="str">
        <f>'Detailed Summary'!AV67</f>
        <v/>
      </c>
      <c r="N68" s="3" t="str">
        <f>'Detailed Summary'!BF67</f>
        <v>Failed in 6 Subjects</v>
      </c>
      <c r="O68" s="87" t="str">
        <f>'Detailed Summary'!AW67</f>
        <v/>
      </c>
      <c r="P68" s="5" t="str">
        <f>'Detailed Summary'!BG67</f>
        <v/>
      </c>
    </row>
    <row r="69" spans="1:16" ht="18.5" hidden="1" x14ac:dyDescent="0.45">
      <c r="A69" s="102"/>
      <c r="B69" s="88">
        <f>'Student Basic Info'!A68</f>
        <v>567</v>
      </c>
      <c r="C69" s="86" t="str">
        <f>'Student Basic Info'!C68</f>
        <v>Fokhrul Alom</v>
      </c>
      <c r="D69" s="89">
        <f>'Detailed Summary'!AK68</f>
        <v>0</v>
      </c>
      <c r="E69" s="89">
        <f>'Detailed Summary'!AL68</f>
        <v>0</v>
      </c>
      <c r="F69" s="89">
        <f>'Detailed Summary'!AM68</f>
        <v>0</v>
      </c>
      <c r="G69" s="89">
        <f>'Detailed Summary'!AN68</f>
        <v>0</v>
      </c>
      <c r="H69" s="89">
        <f>'Detailed Summary'!AO68</f>
        <v>0</v>
      </c>
      <c r="I69" s="89">
        <f>'Detailed Summary'!AP68</f>
        <v>0</v>
      </c>
      <c r="J69" s="89">
        <f>'Detailed Summary'!AR68</f>
        <v>0</v>
      </c>
      <c r="K69" s="89">
        <f>'Detailed Summary'!AS68</f>
        <v>0</v>
      </c>
      <c r="L69" s="39">
        <f>'Detailed Summary'!AU68</f>
        <v>0</v>
      </c>
      <c r="M69" s="87" t="str">
        <f>'Detailed Summary'!AV68</f>
        <v/>
      </c>
      <c r="N69" s="3" t="str">
        <f>'Detailed Summary'!BF68</f>
        <v>Failed in 6 Subjects</v>
      </c>
      <c r="O69" s="87" t="str">
        <f>'Detailed Summary'!AW68</f>
        <v/>
      </c>
      <c r="P69" s="5" t="str">
        <f>'Detailed Summary'!BG68</f>
        <v/>
      </c>
    </row>
    <row r="70" spans="1:16" ht="18.5" hidden="1" x14ac:dyDescent="0.45">
      <c r="A70" s="102"/>
      <c r="B70" s="88">
        <f>'Student Basic Info'!A69</f>
        <v>568</v>
      </c>
      <c r="C70" s="86" t="str">
        <f>'Student Basic Info'!C69</f>
        <v>Sanzida Aktar Ruhi</v>
      </c>
      <c r="D70" s="89">
        <f>'Detailed Summary'!AK69</f>
        <v>0</v>
      </c>
      <c r="E70" s="89">
        <f>'Detailed Summary'!AL69</f>
        <v>0</v>
      </c>
      <c r="F70" s="89">
        <f>'Detailed Summary'!AM69</f>
        <v>0</v>
      </c>
      <c r="G70" s="89">
        <f>'Detailed Summary'!AN69</f>
        <v>0</v>
      </c>
      <c r="H70" s="89">
        <f>'Detailed Summary'!AO69</f>
        <v>0</v>
      </c>
      <c r="I70" s="89">
        <f>'Detailed Summary'!AP69</f>
        <v>0</v>
      </c>
      <c r="J70" s="89">
        <f>'Detailed Summary'!AR69</f>
        <v>0</v>
      </c>
      <c r="K70" s="89">
        <f>'Detailed Summary'!AS69</f>
        <v>0</v>
      </c>
      <c r="L70" s="39">
        <f>'Detailed Summary'!AU69</f>
        <v>0</v>
      </c>
      <c r="M70" s="87" t="str">
        <f>'Detailed Summary'!AV69</f>
        <v/>
      </c>
      <c r="N70" s="3" t="str">
        <f>'Detailed Summary'!BF69</f>
        <v>Failed in 6 Subjects</v>
      </c>
      <c r="O70" s="87" t="str">
        <f>'Detailed Summary'!AW69</f>
        <v/>
      </c>
      <c r="P70" s="5" t="str">
        <f>'Detailed Summary'!BG69</f>
        <v/>
      </c>
    </row>
    <row r="71" spans="1:16" ht="18.5" hidden="1" x14ac:dyDescent="0.45">
      <c r="A71" s="102"/>
      <c r="B71" s="88">
        <f>'Student Basic Info'!A70</f>
        <v>569</v>
      </c>
      <c r="C71" s="86" t="str">
        <f>'Student Basic Info'!C70</f>
        <v>Miheraz Hosain</v>
      </c>
      <c r="D71" s="89" t="str">
        <f>'Detailed Summary'!AK70</f>
        <v/>
      </c>
      <c r="E71" s="89" t="str">
        <f>'Detailed Summary'!AL70</f>
        <v/>
      </c>
      <c r="F71" s="89" t="str">
        <f>'Detailed Summary'!AM70</f>
        <v/>
      </c>
      <c r="G71" s="89" t="str">
        <f>'Detailed Summary'!AN70</f>
        <v/>
      </c>
      <c r="H71" s="89" t="str">
        <f>'Detailed Summary'!AO70</f>
        <v/>
      </c>
      <c r="I71" s="89" t="str">
        <f>'Detailed Summary'!AP70</f>
        <v/>
      </c>
      <c r="J71" s="89" t="str">
        <f>'Detailed Summary'!AR70</f>
        <v/>
      </c>
      <c r="K71" s="89" t="str">
        <f>'Detailed Summary'!AS70</f>
        <v/>
      </c>
      <c r="L71" s="39">
        <f>'Detailed Summary'!AU70</f>
        <v>0</v>
      </c>
      <c r="M71" s="87" t="str">
        <f>'Detailed Summary'!AV70</f>
        <v/>
      </c>
      <c r="N71" s="3" t="str">
        <f>'Detailed Summary'!BF70</f>
        <v>Failed in 6 Subjects</v>
      </c>
      <c r="O71" s="87" t="str">
        <f>'Detailed Summary'!AW70</f>
        <v/>
      </c>
      <c r="P71" s="5" t="str">
        <f>'Detailed Summary'!BG70</f>
        <v/>
      </c>
    </row>
    <row r="72" spans="1:16" ht="18.5" hidden="1" x14ac:dyDescent="0.45">
      <c r="A72" s="102"/>
      <c r="B72" s="88">
        <f>'Student Basic Info'!A71</f>
        <v>570</v>
      </c>
      <c r="C72" s="86" t="str">
        <f>'Student Basic Info'!C71</f>
        <v>Md. Naymul Islam</v>
      </c>
      <c r="D72" s="89" t="str">
        <f>'Detailed Summary'!AK71</f>
        <v/>
      </c>
      <c r="E72" s="89" t="str">
        <f>'Detailed Summary'!AL71</f>
        <v/>
      </c>
      <c r="F72" s="89" t="str">
        <f>'Detailed Summary'!AM71</f>
        <v/>
      </c>
      <c r="G72" s="89" t="str">
        <f>'Detailed Summary'!AN71</f>
        <v/>
      </c>
      <c r="H72" s="89" t="str">
        <f>'Detailed Summary'!AO71</f>
        <v/>
      </c>
      <c r="I72" s="89" t="str">
        <f>'Detailed Summary'!AP71</f>
        <v/>
      </c>
      <c r="J72" s="89" t="str">
        <f>'Detailed Summary'!AR71</f>
        <v/>
      </c>
      <c r="K72" s="89" t="str">
        <f>'Detailed Summary'!AS71</f>
        <v/>
      </c>
      <c r="L72" s="39">
        <f>'Detailed Summary'!AU71</f>
        <v>0</v>
      </c>
      <c r="M72" s="87" t="str">
        <f>'Detailed Summary'!AV71</f>
        <v/>
      </c>
      <c r="N72" s="3" t="str">
        <f>'Detailed Summary'!BF71</f>
        <v>Failed in 6 Subjects</v>
      </c>
      <c r="O72" s="87" t="str">
        <f>'Detailed Summary'!AW71</f>
        <v/>
      </c>
      <c r="P72" s="5" t="str">
        <f>'Detailed Summary'!BG71</f>
        <v/>
      </c>
    </row>
    <row r="73" spans="1:16" ht="18.5" hidden="1" x14ac:dyDescent="0.45">
      <c r="A73" s="102"/>
      <c r="B73" s="88">
        <f>'Student Basic Info'!A72</f>
        <v>571</v>
      </c>
      <c r="C73" s="86" t="str">
        <f>'Student Basic Info'!C72</f>
        <v>Nirob Chandra Dhupi</v>
      </c>
      <c r="D73" s="89" t="str">
        <f>'Detailed Summary'!AK72</f>
        <v/>
      </c>
      <c r="E73" s="89" t="str">
        <f>'Detailed Summary'!AL72</f>
        <v/>
      </c>
      <c r="F73" s="89" t="str">
        <f>'Detailed Summary'!AM72</f>
        <v/>
      </c>
      <c r="G73" s="89" t="str">
        <f>'Detailed Summary'!AN72</f>
        <v/>
      </c>
      <c r="H73" s="89" t="str">
        <f>'Detailed Summary'!AO72</f>
        <v/>
      </c>
      <c r="I73" s="89" t="str">
        <f>'Detailed Summary'!AP72</f>
        <v/>
      </c>
      <c r="J73" s="89" t="str">
        <f>'Detailed Summary'!AR72</f>
        <v/>
      </c>
      <c r="K73" s="89" t="str">
        <f>'Detailed Summary'!AS72</f>
        <v/>
      </c>
      <c r="L73" s="39">
        <f>'Detailed Summary'!AU72</f>
        <v>0</v>
      </c>
      <c r="M73" s="87" t="str">
        <f>'Detailed Summary'!AV72</f>
        <v/>
      </c>
      <c r="N73" s="3" t="str">
        <f>'Detailed Summary'!BF72</f>
        <v>Failed in 6 Subjects</v>
      </c>
      <c r="O73" s="87" t="str">
        <f>'Detailed Summary'!AW72</f>
        <v/>
      </c>
      <c r="P73" s="5" t="str">
        <f>'Detailed Summary'!BG72</f>
        <v/>
      </c>
    </row>
    <row r="74" spans="1:16" ht="18.5" hidden="1" x14ac:dyDescent="0.45">
      <c r="A74" s="102"/>
      <c r="B74" s="88">
        <f>'Student Basic Info'!A73</f>
        <v>572</v>
      </c>
      <c r="C74" s="86" t="str">
        <f>'Student Basic Info'!C73</f>
        <v>Abu Bokkor Siddik</v>
      </c>
      <c r="D74" s="89">
        <f>'Detailed Summary'!AK73</f>
        <v>0</v>
      </c>
      <c r="E74" s="89">
        <f>'Detailed Summary'!AL73</f>
        <v>0</v>
      </c>
      <c r="F74" s="89">
        <f>'Detailed Summary'!AM73</f>
        <v>0</v>
      </c>
      <c r="G74" s="89">
        <f>'Detailed Summary'!AN73</f>
        <v>0</v>
      </c>
      <c r="H74" s="89">
        <f>'Detailed Summary'!AO73</f>
        <v>0</v>
      </c>
      <c r="I74" s="89">
        <f>'Detailed Summary'!AP73</f>
        <v>0</v>
      </c>
      <c r="J74" s="89">
        <f>'Detailed Summary'!AR73</f>
        <v>0</v>
      </c>
      <c r="K74" s="89">
        <f>'Detailed Summary'!AS73</f>
        <v>0</v>
      </c>
      <c r="L74" s="39">
        <f>'Detailed Summary'!AU73</f>
        <v>0</v>
      </c>
      <c r="M74" s="87" t="str">
        <f>'Detailed Summary'!AV73</f>
        <v/>
      </c>
      <c r="N74" s="3" t="str">
        <f>'Detailed Summary'!BF73</f>
        <v>Failed in 6 Subjects</v>
      </c>
      <c r="O74" s="87" t="str">
        <f>'Detailed Summary'!AW73</f>
        <v/>
      </c>
      <c r="P74" s="5" t="str">
        <f>'Detailed Summary'!BG73</f>
        <v/>
      </c>
    </row>
    <row r="75" spans="1:16" ht="18.5" hidden="1" x14ac:dyDescent="0.45">
      <c r="A75" s="102"/>
      <c r="B75" s="88">
        <f>'Student Basic Info'!A74</f>
        <v>573</v>
      </c>
      <c r="C75" s="86" t="str">
        <f>'Student Basic Info'!C74</f>
        <v>Sultan Ahammed Nafiz</v>
      </c>
      <c r="D75" s="89">
        <f>'Detailed Summary'!AK74</f>
        <v>0</v>
      </c>
      <c r="E75" s="89">
        <f>'Detailed Summary'!AL74</f>
        <v>0</v>
      </c>
      <c r="F75" s="89">
        <f>'Detailed Summary'!AM74</f>
        <v>0</v>
      </c>
      <c r="G75" s="89">
        <f>'Detailed Summary'!AN74</f>
        <v>0</v>
      </c>
      <c r="H75" s="89">
        <f>'Detailed Summary'!AO74</f>
        <v>0</v>
      </c>
      <c r="I75" s="89">
        <f>'Detailed Summary'!AP74</f>
        <v>0</v>
      </c>
      <c r="J75" s="89">
        <f>'Detailed Summary'!AR74</f>
        <v>0</v>
      </c>
      <c r="K75" s="89">
        <f>'Detailed Summary'!AS74</f>
        <v>0</v>
      </c>
      <c r="L75" s="39">
        <f>'Detailed Summary'!AU74</f>
        <v>0</v>
      </c>
      <c r="M75" s="87" t="str">
        <f>'Detailed Summary'!AV74</f>
        <v/>
      </c>
      <c r="N75" s="3" t="str">
        <f>'Detailed Summary'!BF74</f>
        <v>Failed in 6 Subjects</v>
      </c>
      <c r="O75" s="87" t="str">
        <f>'Detailed Summary'!AW74</f>
        <v/>
      </c>
      <c r="P75" s="5" t="str">
        <f>'Detailed Summary'!BG74</f>
        <v/>
      </c>
    </row>
    <row r="76" spans="1:16" ht="18.5" hidden="1" x14ac:dyDescent="0.45">
      <c r="A76" s="102"/>
      <c r="B76" s="88">
        <f>'Student Basic Info'!A75</f>
        <v>574</v>
      </c>
      <c r="C76" s="86" t="str">
        <f>'Student Basic Info'!C75</f>
        <v xml:space="preserve">Mehedi Hasan </v>
      </c>
      <c r="D76" s="89" t="str">
        <f>'Detailed Summary'!AK75</f>
        <v/>
      </c>
      <c r="E76" s="89" t="str">
        <f>'Detailed Summary'!AL75</f>
        <v/>
      </c>
      <c r="F76" s="89">
        <f>'Detailed Summary'!AM75</f>
        <v>0</v>
      </c>
      <c r="G76" s="89">
        <f>'Detailed Summary'!AN75</f>
        <v>0</v>
      </c>
      <c r="H76" s="89">
        <f>'Detailed Summary'!AO75</f>
        <v>0</v>
      </c>
      <c r="I76" s="89">
        <f>'Detailed Summary'!AP75</f>
        <v>0</v>
      </c>
      <c r="J76" s="89" t="str">
        <f>'Detailed Summary'!AR75</f>
        <v/>
      </c>
      <c r="K76" s="89" t="str">
        <f>'Detailed Summary'!AS75</f>
        <v/>
      </c>
      <c r="L76" s="39">
        <f>'Detailed Summary'!AU75</f>
        <v>0</v>
      </c>
      <c r="M76" s="87" t="str">
        <f>'Detailed Summary'!AV75</f>
        <v/>
      </c>
      <c r="N76" s="3" t="str">
        <f>'Detailed Summary'!BF75</f>
        <v>Failed in 6 Subjects</v>
      </c>
      <c r="O76" s="87" t="str">
        <f>'Detailed Summary'!AW75</f>
        <v/>
      </c>
      <c r="P76" s="5" t="str">
        <f>'Detailed Summary'!BG75</f>
        <v/>
      </c>
    </row>
    <row r="77" spans="1:16" ht="18.5" hidden="1" x14ac:dyDescent="0.45">
      <c r="A77" s="102"/>
      <c r="B77" s="88">
        <f>'Student Basic Info'!A76</f>
        <v>575</v>
      </c>
      <c r="C77" s="86" t="str">
        <f>'Student Basic Info'!C76</f>
        <v>Torikul Islam</v>
      </c>
      <c r="D77" s="89" t="str">
        <f>'Detailed Summary'!AK76</f>
        <v/>
      </c>
      <c r="E77" s="89" t="str">
        <f>'Detailed Summary'!AL76</f>
        <v/>
      </c>
      <c r="F77" s="89" t="str">
        <f>'Detailed Summary'!AM76</f>
        <v/>
      </c>
      <c r="G77" s="89" t="str">
        <f>'Detailed Summary'!AN76</f>
        <v/>
      </c>
      <c r="H77" s="89" t="str">
        <f>'Detailed Summary'!AO76</f>
        <v/>
      </c>
      <c r="I77" s="89" t="str">
        <f>'Detailed Summary'!AP76</f>
        <v/>
      </c>
      <c r="J77" s="89" t="str">
        <f>'Detailed Summary'!AR76</f>
        <v/>
      </c>
      <c r="K77" s="89" t="str">
        <f>'Detailed Summary'!AS76</f>
        <v/>
      </c>
      <c r="L77" s="39">
        <f>'Detailed Summary'!AU76</f>
        <v>0</v>
      </c>
      <c r="M77" s="87" t="str">
        <f>'Detailed Summary'!AV76</f>
        <v/>
      </c>
      <c r="N77" s="3" t="str">
        <f>'Detailed Summary'!BF76</f>
        <v>Failed in 6 Subjects</v>
      </c>
      <c r="O77" s="87" t="str">
        <f>'Detailed Summary'!AW76</f>
        <v/>
      </c>
      <c r="P77" s="5" t="str">
        <f>'Detailed Summary'!BG76</f>
        <v/>
      </c>
    </row>
    <row r="78" spans="1:16" ht="18.5" hidden="1" x14ac:dyDescent="0.45">
      <c r="A78" s="102"/>
      <c r="B78" s="88">
        <f>'Student Basic Info'!A77</f>
        <v>576</v>
      </c>
      <c r="C78" s="86" t="str">
        <f>'Student Basic Info'!C77</f>
        <v>Irin Aktar</v>
      </c>
      <c r="D78" s="89" t="str">
        <f>'Detailed Summary'!AK77</f>
        <v/>
      </c>
      <c r="E78" s="89" t="str">
        <f>'Detailed Summary'!AL77</f>
        <v/>
      </c>
      <c r="F78" s="89" t="str">
        <f>'Detailed Summary'!AM77</f>
        <v/>
      </c>
      <c r="G78" s="89" t="str">
        <f>'Detailed Summary'!AN77</f>
        <v/>
      </c>
      <c r="H78" s="89" t="str">
        <f>'Detailed Summary'!AO77</f>
        <v/>
      </c>
      <c r="I78" s="89" t="str">
        <f>'Detailed Summary'!AP77</f>
        <v/>
      </c>
      <c r="J78" s="89" t="str">
        <f>'Detailed Summary'!AR77</f>
        <v/>
      </c>
      <c r="K78" s="89" t="str">
        <f>'Detailed Summary'!AS77</f>
        <v/>
      </c>
      <c r="L78" s="39">
        <f>'Detailed Summary'!AU77</f>
        <v>0</v>
      </c>
      <c r="M78" s="87" t="str">
        <f>'Detailed Summary'!AV77</f>
        <v/>
      </c>
      <c r="N78" s="3" t="str">
        <f>'Detailed Summary'!BF77</f>
        <v>Failed in 6 Subjects</v>
      </c>
      <c r="O78" s="87" t="str">
        <f>'Detailed Summary'!AW77</f>
        <v/>
      </c>
      <c r="P78" s="5" t="str">
        <f>'Detailed Summary'!BG77</f>
        <v/>
      </c>
    </row>
    <row r="79" spans="1:16" ht="18.5" hidden="1" x14ac:dyDescent="0.45">
      <c r="A79" s="102"/>
      <c r="B79" s="88">
        <f>'Student Basic Info'!A78</f>
        <v>577</v>
      </c>
      <c r="C79" s="86" t="str">
        <f>'Student Basic Info'!C78</f>
        <v>Karimul Islam</v>
      </c>
      <c r="D79" s="89">
        <f>'Detailed Summary'!AK78</f>
        <v>1</v>
      </c>
      <c r="E79" s="89">
        <f>'Detailed Summary'!AL78</f>
        <v>0</v>
      </c>
      <c r="F79" s="89">
        <f>'Detailed Summary'!AM78</f>
        <v>0</v>
      </c>
      <c r="G79" s="89">
        <f>'Detailed Summary'!AN78</f>
        <v>0</v>
      </c>
      <c r="H79" s="89">
        <f>'Detailed Summary'!AO78</f>
        <v>0</v>
      </c>
      <c r="I79" s="89">
        <f>'Detailed Summary'!AP78</f>
        <v>0</v>
      </c>
      <c r="J79" s="89">
        <f>'Detailed Summary'!AR78</f>
        <v>1</v>
      </c>
      <c r="K79" s="89">
        <f>'Detailed Summary'!AS78</f>
        <v>0</v>
      </c>
      <c r="L79" s="39">
        <f>'Detailed Summary'!AU78</f>
        <v>1</v>
      </c>
      <c r="M79" s="87" t="str">
        <f>'Detailed Summary'!AV78</f>
        <v/>
      </c>
      <c r="N79" s="3" t="str">
        <f>'Detailed Summary'!BF78</f>
        <v>Failed in 5 Subjects</v>
      </c>
      <c r="O79" s="87" t="str">
        <f>'Detailed Summary'!AW78</f>
        <v/>
      </c>
      <c r="P79" s="5" t="str">
        <f>'Detailed Summary'!BG78</f>
        <v/>
      </c>
    </row>
    <row r="80" spans="1:16" ht="18.5" hidden="1" x14ac:dyDescent="0.45">
      <c r="A80" s="102"/>
      <c r="B80" s="88">
        <f>'Student Basic Info'!A79</f>
        <v>578</v>
      </c>
      <c r="C80" s="86" t="str">
        <f>'Student Basic Info'!C79</f>
        <v>Omor Faruque</v>
      </c>
      <c r="D80" s="89" t="str">
        <f>'Detailed Summary'!AK79</f>
        <v/>
      </c>
      <c r="E80" s="89" t="str">
        <f>'Detailed Summary'!AL79</f>
        <v/>
      </c>
      <c r="F80" s="89" t="str">
        <f>'Detailed Summary'!AM79</f>
        <v/>
      </c>
      <c r="G80" s="89" t="str">
        <f>'Detailed Summary'!AN79</f>
        <v/>
      </c>
      <c r="H80" s="89" t="str">
        <f>'Detailed Summary'!AO79</f>
        <v/>
      </c>
      <c r="I80" s="89" t="str">
        <f>'Detailed Summary'!AP79</f>
        <v/>
      </c>
      <c r="J80" s="89" t="str">
        <f>'Detailed Summary'!AR79</f>
        <v/>
      </c>
      <c r="K80" s="89" t="str">
        <f>'Detailed Summary'!AS79</f>
        <v/>
      </c>
      <c r="L80" s="39">
        <f>'Detailed Summary'!AU79</f>
        <v>0</v>
      </c>
      <c r="M80" s="87" t="str">
        <f>'Detailed Summary'!AV79</f>
        <v/>
      </c>
      <c r="N80" s="3" t="str">
        <f>'Detailed Summary'!BF79</f>
        <v>Failed in 6 Subjects</v>
      </c>
      <c r="O80" s="87" t="str">
        <f>'Detailed Summary'!AW79</f>
        <v/>
      </c>
      <c r="P80" s="5" t="str">
        <f>'Detailed Summary'!BG79</f>
        <v/>
      </c>
    </row>
    <row r="81" spans="1:16" ht="18.5" hidden="1" x14ac:dyDescent="0.45">
      <c r="A81" s="102"/>
      <c r="B81" s="88">
        <f>'Student Basic Info'!A80</f>
        <v>579</v>
      </c>
      <c r="C81" s="86" t="str">
        <f>'Student Basic Info'!C80</f>
        <v xml:space="preserve">Yousup Ashraf </v>
      </c>
      <c r="D81" s="89" t="str">
        <f>'Detailed Summary'!AK80</f>
        <v/>
      </c>
      <c r="E81" s="89" t="str">
        <f>'Detailed Summary'!AL80</f>
        <v/>
      </c>
      <c r="F81" s="89" t="str">
        <f>'Detailed Summary'!AM80</f>
        <v/>
      </c>
      <c r="G81" s="89" t="str">
        <f>'Detailed Summary'!AN80</f>
        <v/>
      </c>
      <c r="H81" s="89" t="str">
        <f>'Detailed Summary'!AO80</f>
        <v/>
      </c>
      <c r="I81" s="89" t="str">
        <f>'Detailed Summary'!AP80</f>
        <v/>
      </c>
      <c r="J81" s="89" t="str">
        <f>'Detailed Summary'!AR80</f>
        <v/>
      </c>
      <c r="K81" s="89" t="str">
        <f>'Detailed Summary'!AS80</f>
        <v/>
      </c>
      <c r="L81" s="39">
        <f>'Detailed Summary'!AU80</f>
        <v>0</v>
      </c>
      <c r="M81" s="87" t="str">
        <f>'Detailed Summary'!AV80</f>
        <v/>
      </c>
      <c r="N81" s="3" t="str">
        <f>'Detailed Summary'!BF80</f>
        <v>Failed in 6 Subjects</v>
      </c>
      <c r="O81" s="87" t="str">
        <f>'Detailed Summary'!AW80</f>
        <v/>
      </c>
      <c r="P81" s="5" t="str">
        <f>'Detailed Summary'!BG80</f>
        <v/>
      </c>
    </row>
    <row r="82" spans="1:16" ht="18.5" hidden="1" x14ac:dyDescent="0.45">
      <c r="A82" s="102"/>
      <c r="B82" s="88">
        <f>'Student Basic Info'!A81</f>
        <v>580</v>
      </c>
      <c r="C82" s="86" t="str">
        <f>'Student Basic Info'!C81</f>
        <v>Ala Uddin</v>
      </c>
      <c r="D82" s="89" t="str">
        <f>'Detailed Summary'!AK81</f>
        <v/>
      </c>
      <c r="E82" s="89" t="str">
        <f>'Detailed Summary'!AL81</f>
        <v/>
      </c>
      <c r="F82" s="89" t="str">
        <f>'Detailed Summary'!AM81</f>
        <v/>
      </c>
      <c r="G82" s="89" t="str">
        <f>'Detailed Summary'!AN81</f>
        <v/>
      </c>
      <c r="H82" s="89" t="str">
        <f>'Detailed Summary'!AO81</f>
        <v/>
      </c>
      <c r="I82" s="89" t="str">
        <f>'Detailed Summary'!AP81</f>
        <v/>
      </c>
      <c r="J82" s="89" t="str">
        <f>'Detailed Summary'!AR81</f>
        <v/>
      </c>
      <c r="K82" s="89" t="str">
        <f>'Detailed Summary'!AS81</f>
        <v/>
      </c>
      <c r="L82" s="39">
        <f>'Detailed Summary'!AU81</f>
        <v>0</v>
      </c>
      <c r="M82" s="87" t="str">
        <f>'Detailed Summary'!AV81</f>
        <v/>
      </c>
      <c r="N82" s="3" t="str">
        <f>'Detailed Summary'!BF81</f>
        <v>Failed in 6 Subjects</v>
      </c>
      <c r="O82" s="87" t="str">
        <f>'Detailed Summary'!AW81</f>
        <v/>
      </c>
      <c r="P82" s="5" t="str">
        <f>'Detailed Summary'!BG81</f>
        <v/>
      </c>
    </row>
    <row r="83" spans="1:16" ht="18.5" hidden="1" x14ac:dyDescent="0.45">
      <c r="A83" s="102"/>
      <c r="B83" s="88">
        <f>'Student Basic Info'!A82</f>
        <v>581</v>
      </c>
      <c r="C83" s="86" t="str">
        <f>'Student Basic Info'!C82</f>
        <v>Meheraz Hasan</v>
      </c>
      <c r="D83" s="89" t="str">
        <f>'Detailed Summary'!AK82</f>
        <v/>
      </c>
      <c r="E83" s="89">
        <f>'Detailed Summary'!AL82</f>
        <v>0</v>
      </c>
      <c r="F83" s="89">
        <f>'Detailed Summary'!AM82</f>
        <v>0</v>
      </c>
      <c r="G83" s="89" t="str">
        <f>'Detailed Summary'!AN82</f>
        <v/>
      </c>
      <c r="H83" s="89" t="str">
        <f>'Detailed Summary'!AO82</f>
        <v/>
      </c>
      <c r="I83" s="89">
        <f>'Detailed Summary'!AP82</f>
        <v>0</v>
      </c>
      <c r="J83" s="89">
        <f>'Detailed Summary'!AR82</f>
        <v>0</v>
      </c>
      <c r="K83" s="89">
        <f>'Detailed Summary'!AS82</f>
        <v>0</v>
      </c>
      <c r="L83" s="39">
        <f>'Detailed Summary'!AU82</f>
        <v>0</v>
      </c>
      <c r="M83" s="87" t="str">
        <f>'Detailed Summary'!AV82</f>
        <v/>
      </c>
      <c r="N83" s="3" t="str">
        <f>'Detailed Summary'!BF82</f>
        <v>Failed in 6 Subjects</v>
      </c>
      <c r="O83" s="87" t="str">
        <f>'Detailed Summary'!AW82</f>
        <v/>
      </c>
      <c r="P83" s="5" t="str">
        <f>'Detailed Summary'!BG82</f>
        <v/>
      </c>
    </row>
    <row r="84" spans="1:16" ht="18.5" hidden="1" x14ac:dyDescent="0.45">
      <c r="A84" s="102"/>
      <c r="B84" s="88">
        <f>'Student Basic Info'!A83</f>
        <v>582</v>
      </c>
      <c r="C84" s="86" t="str">
        <f>'Student Basic Info'!C83</f>
        <v>Imran Hosain</v>
      </c>
      <c r="D84" s="89" t="str">
        <f>'Detailed Summary'!AK83</f>
        <v/>
      </c>
      <c r="E84" s="89" t="str">
        <f>'Detailed Summary'!AL83</f>
        <v/>
      </c>
      <c r="F84" s="89" t="str">
        <f>'Detailed Summary'!AM83</f>
        <v/>
      </c>
      <c r="G84" s="89" t="str">
        <f>'Detailed Summary'!AN83</f>
        <v/>
      </c>
      <c r="H84" s="89" t="str">
        <f>'Detailed Summary'!AO83</f>
        <v/>
      </c>
      <c r="I84" s="89" t="str">
        <f>'Detailed Summary'!AP83</f>
        <v/>
      </c>
      <c r="J84" s="89" t="str">
        <f>'Detailed Summary'!AR83</f>
        <v/>
      </c>
      <c r="K84" s="89" t="str">
        <f>'Detailed Summary'!AS83</f>
        <v/>
      </c>
      <c r="L84" s="39">
        <f>'Detailed Summary'!AU83</f>
        <v>0</v>
      </c>
      <c r="M84" s="87" t="str">
        <f>'Detailed Summary'!AV83</f>
        <v/>
      </c>
      <c r="N84" s="3" t="str">
        <f>'Detailed Summary'!BF83</f>
        <v>Failed in 6 Subjects</v>
      </c>
      <c r="O84" s="87" t="str">
        <f>'Detailed Summary'!AW83</f>
        <v/>
      </c>
      <c r="P84" s="5" t="str">
        <f>'Detailed Summary'!BG83</f>
        <v/>
      </c>
    </row>
    <row r="85" spans="1:16" ht="18.5" hidden="1" x14ac:dyDescent="0.45">
      <c r="A85" s="102"/>
      <c r="B85" s="88">
        <f>'Student Basic Info'!A84</f>
        <v>583</v>
      </c>
      <c r="C85" s="86" t="str">
        <f>'Student Basic Info'!C84</f>
        <v>Raihanul Haque</v>
      </c>
      <c r="D85" s="89" t="str">
        <f>'Detailed Summary'!AK84</f>
        <v/>
      </c>
      <c r="E85" s="89" t="str">
        <f>'Detailed Summary'!AL84</f>
        <v/>
      </c>
      <c r="F85" s="89" t="str">
        <f>'Detailed Summary'!AM84</f>
        <v/>
      </c>
      <c r="G85" s="89" t="str">
        <f>'Detailed Summary'!AN84</f>
        <v/>
      </c>
      <c r="H85" s="89" t="str">
        <f>'Detailed Summary'!AO84</f>
        <v/>
      </c>
      <c r="I85" s="89" t="str">
        <f>'Detailed Summary'!AP84</f>
        <v/>
      </c>
      <c r="J85" s="89" t="str">
        <f>'Detailed Summary'!AR84</f>
        <v/>
      </c>
      <c r="K85" s="89" t="str">
        <f>'Detailed Summary'!AS84</f>
        <v/>
      </c>
      <c r="L85" s="39">
        <f>'Detailed Summary'!AU84</f>
        <v>0</v>
      </c>
      <c r="M85" s="87" t="str">
        <f>'Detailed Summary'!AV84</f>
        <v/>
      </c>
      <c r="N85" s="3" t="str">
        <f>'Detailed Summary'!BF84</f>
        <v>Failed in 6 Subjects</v>
      </c>
      <c r="O85" s="87" t="str">
        <f>'Detailed Summary'!AW84</f>
        <v/>
      </c>
      <c r="P85" s="5" t="str">
        <f>'Detailed Summary'!BG84</f>
        <v/>
      </c>
    </row>
    <row r="86" spans="1:16" ht="18.5" hidden="1" x14ac:dyDescent="0.45">
      <c r="A86" s="102"/>
      <c r="B86" s="88">
        <f>'Student Basic Info'!A85</f>
        <v>584</v>
      </c>
      <c r="C86" s="86" t="str">
        <f>'Student Basic Info'!C85</f>
        <v>Mohammad Tahmid</v>
      </c>
      <c r="D86" s="89">
        <f>'Detailed Summary'!AK85</f>
        <v>2</v>
      </c>
      <c r="E86" s="89">
        <f>'Detailed Summary'!AL85</f>
        <v>0</v>
      </c>
      <c r="F86" s="89">
        <f>'Detailed Summary'!AM85</f>
        <v>0</v>
      </c>
      <c r="G86" s="89">
        <f>'Detailed Summary'!AN85</f>
        <v>0</v>
      </c>
      <c r="H86" s="89" t="str">
        <f>'Detailed Summary'!AO85</f>
        <v/>
      </c>
      <c r="I86" s="89">
        <f>'Detailed Summary'!AP85</f>
        <v>0</v>
      </c>
      <c r="J86" s="89">
        <f>'Detailed Summary'!AR85</f>
        <v>0</v>
      </c>
      <c r="K86" s="89">
        <f>'Detailed Summary'!AS85</f>
        <v>0</v>
      </c>
      <c r="L86" s="39">
        <f>'Detailed Summary'!AU85</f>
        <v>2</v>
      </c>
      <c r="M86" s="87" t="str">
        <f>'Detailed Summary'!AV85</f>
        <v/>
      </c>
      <c r="N86" s="3" t="str">
        <f>'Detailed Summary'!BF85</f>
        <v>Failed in 5 Subjects</v>
      </c>
      <c r="O86" s="87" t="str">
        <f>'Detailed Summary'!AW85</f>
        <v/>
      </c>
      <c r="P86" s="5" t="str">
        <f>'Detailed Summary'!BG85</f>
        <v/>
      </c>
    </row>
    <row r="87" spans="1:16" ht="18.5" hidden="1" x14ac:dyDescent="0.45">
      <c r="A87" s="102"/>
      <c r="B87" s="88">
        <f>'Student Basic Info'!A86</f>
        <v>585</v>
      </c>
      <c r="C87" s="86" t="str">
        <f>'Student Basic Info'!C86</f>
        <v xml:space="preserve">Imam Hosain </v>
      </c>
      <c r="D87" s="89">
        <f>'Detailed Summary'!AK86</f>
        <v>1</v>
      </c>
      <c r="E87" s="89">
        <f>'Detailed Summary'!AL86</f>
        <v>0</v>
      </c>
      <c r="F87" s="89">
        <f>'Detailed Summary'!AM86</f>
        <v>0</v>
      </c>
      <c r="G87" s="89">
        <f>'Detailed Summary'!AN86</f>
        <v>0</v>
      </c>
      <c r="H87" s="89">
        <f>'Detailed Summary'!AO86</f>
        <v>0</v>
      </c>
      <c r="I87" s="89">
        <f>'Detailed Summary'!AP86</f>
        <v>2</v>
      </c>
      <c r="J87" s="89">
        <f>'Detailed Summary'!AR86</f>
        <v>0</v>
      </c>
      <c r="K87" s="89">
        <f>'Detailed Summary'!AS86</f>
        <v>0</v>
      </c>
      <c r="L87" s="39">
        <f>'Detailed Summary'!AU86</f>
        <v>3</v>
      </c>
      <c r="M87" s="87" t="str">
        <f>'Detailed Summary'!AV86</f>
        <v/>
      </c>
      <c r="N87" s="3" t="str">
        <f>'Detailed Summary'!BF86</f>
        <v>Failed in 4 Subjects</v>
      </c>
      <c r="O87" s="87" t="str">
        <f>'Detailed Summary'!AW86</f>
        <v/>
      </c>
      <c r="P87" s="5" t="str">
        <f>'Detailed Summary'!BG86</f>
        <v/>
      </c>
    </row>
    <row r="88" spans="1:16" ht="18.5" hidden="1" x14ac:dyDescent="0.45">
      <c r="A88" s="102"/>
      <c r="B88" s="88">
        <f>'Student Basic Info'!A87</f>
        <v>586</v>
      </c>
      <c r="C88" s="86" t="str">
        <f>'Student Basic Info'!C87</f>
        <v>Abdur Rahman</v>
      </c>
      <c r="D88" s="89">
        <f>'Detailed Summary'!AK87</f>
        <v>1</v>
      </c>
      <c r="E88" s="89">
        <f>'Detailed Summary'!AL87</f>
        <v>0</v>
      </c>
      <c r="F88" s="89">
        <f>'Detailed Summary'!AM87</f>
        <v>0</v>
      </c>
      <c r="G88" s="89">
        <f>'Detailed Summary'!AN87</f>
        <v>0</v>
      </c>
      <c r="H88" s="89">
        <f>'Detailed Summary'!AO87</f>
        <v>0</v>
      </c>
      <c r="I88" s="89">
        <f>'Detailed Summary'!AP87</f>
        <v>0</v>
      </c>
      <c r="J88" s="89">
        <f>'Detailed Summary'!AR87</f>
        <v>0</v>
      </c>
      <c r="K88" s="89">
        <f>'Detailed Summary'!AS87</f>
        <v>0</v>
      </c>
      <c r="L88" s="39">
        <f>'Detailed Summary'!AU87</f>
        <v>1</v>
      </c>
      <c r="M88" s="87" t="str">
        <f>'Detailed Summary'!AV87</f>
        <v/>
      </c>
      <c r="N88" s="3" t="str">
        <f>'Detailed Summary'!BF87</f>
        <v>Failed in 5 Subjects</v>
      </c>
      <c r="O88" s="87" t="str">
        <f>'Detailed Summary'!AW87</f>
        <v/>
      </c>
      <c r="P88" s="5" t="str">
        <f>'Detailed Summary'!BG87</f>
        <v/>
      </c>
    </row>
    <row r="89" spans="1:16" ht="18.5" hidden="1" x14ac:dyDescent="0.45">
      <c r="A89" s="102"/>
      <c r="B89" s="88">
        <f>'Student Basic Info'!A88</f>
        <v>587</v>
      </c>
      <c r="C89" s="86" t="str">
        <f>'Student Basic Info'!C88</f>
        <v xml:space="preserve">Romana Aktar </v>
      </c>
      <c r="D89" s="89">
        <f>'Detailed Summary'!AK88</f>
        <v>3</v>
      </c>
      <c r="E89" s="89">
        <f>'Detailed Summary'!AL88</f>
        <v>0</v>
      </c>
      <c r="F89" s="89">
        <f>'Detailed Summary'!AM88</f>
        <v>0</v>
      </c>
      <c r="G89" s="89">
        <f>'Detailed Summary'!AN88</f>
        <v>0</v>
      </c>
      <c r="H89" s="89">
        <f>'Detailed Summary'!AO88</f>
        <v>0</v>
      </c>
      <c r="I89" s="89">
        <f>'Detailed Summary'!AP88</f>
        <v>2</v>
      </c>
      <c r="J89" s="89">
        <f>'Detailed Summary'!AR88</f>
        <v>0</v>
      </c>
      <c r="K89" s="89">
        <f>'Detailed Summary'!AS88</f>
        <v>0</v>
      </c>
      <c r="L89" s="39">
        <f>'Detailed Summary'!AU88</f>
        <v>5</v>
      </c>
      <c r="M89" s="87" t="str">
        <f>'Detailed Summary'!AV88</f>
        <v/>
      </c>
      <c r="N89" s="3" t="str">
        <f>'Detailed Summary'!BF88</f>
        <v>Failed in 4 Subjects</v>
      </c>
      <c r="O89" s="87" t="str">
        <f>'Detailed Summary'!AW88</f>
        <v/>
      </c>
      <c r="P89" s="5" t="str">
        <f>'Detailed Summary'!BG88</f>
        <v/>
      </c>
    </row>
    <row r="90" spans="1:16" ht="18.5" hidden="1" x14ac:dyDescent="0.45">
      <c r="A90" s="102"/>
      <c r="B90" s="88">
        <f>'Student Basic Info'!A89</f>
        <v>588</v>
      </c>
      <c r="C90" s="86" t="str">
        <f>'Student Basic Info'!C89</f>
        <v>Prithika Rani Debi</v>
      </c>
      <c r="D90" s="89">
        <f>'Detailed Summary'!AK89</f>
        <v>3</v>
      </c>
      <c r="E90" s="89">
        <f>'Detailed Summary'!AL89</f>
        <v>0</v>
      </c>
      <c r="F90" s="89">
        <f>'Detailed Summary'!AM89</f>
        <v>0</v>
      </c>
      <c r="G90" s="89">
        <f>'Detailed Summary'!AN89</f>
        <v>0</v>
      </c>
      <c r="H90" s="89">
        <f>'Detailed Summary'!AO89</f>
        <v>0</v>
      </c>
      <c r="I90" s="89">
        <f>'Detailed Summary'!AP89</f>
        <v>2</v>
      </c>
      <c r="J90" s="89">
        <f>'Detailed Summary'!AR89</f>
        <v>0</v>
      </c>
      <c r="K90" s="89">
        <f>'Detailed Summary'!AS89</f>
        <v>0</v>
      </c>
      <c r="L90" s="39">
        <f>'Detailed Summary'!AU89</f>
        <v>5</v>
      </c>
      <c r="M90" s="87" t="str">
        <f>'Detailed Summary'!AV89</f>
        <v/>
      </c>
      <c r="N90" s="3" t="str">
        <f>'Detailed Summary'!BF89</f>
        <v>Failed in 4 Subjects</v>
      </c>
      <c r="O90" s="87" t="str">
        <f>'Detailed Summary'!AW89</f>
        <v/>
      </c>
      <c r="P90" s="5" t="str">
        <f>'Detailed Summary'!BG89</f>
        <v/>
      </c>
    </row>
    <row r="91" spans="1:16" ht="18.5" hidden="1" x14ac:dyDescent="0.45">
      <c r="A91" s="102"/>
      <c r="B91" s="88">
        <f>'Student Basic Info'!A90</f>
        <v>589</v>
      </c>
      <c r="C91" s="86" t="str">
        <f>'Student Basic Info'!C90</f>
        <v>Mohammad Shahriyar Nafiz</v>
      </c>
      <c r="D91" s="89" t="str">
        <f>'Detailed Summary'!AK90</f>
        <v/>
      </c>
      <c r="E91" s="89" t="str">
        <f>'Detailed Summary'!AL90</f>
        <v/>
      </c>
      <c r="F91" s="89" t="str">
        <f>'Detailed Summary'!AM90</f>
        <v/>
      </c>
      <c r="G91" s="89" t="str">
        <f>'Detailed Summary'!AN90</f>
        <v/>
      </c>
      <c r="H91" s="89" t="str">
        <f>'Detailed Summary'!AO90</f>
        <v/>
      </c>
      <c r="I91" s="89" t="str">
        <f>'Detailed Summary'!AP90</f>
        <v/>
      </c>
      <c r="J91" s="89" t="str">
        <f>'Detailed Summary'!AR90</f>
        <v/>
      </c>
      <c r="K91" s="89" t="str">
        <f>'Detailed Summary'!AS90</f>
        <v/>
      </c>
      <c r="L91" s="39">
        <f>'Detailed Summary'!AU90</f>
        <v>0</v>
      </c>
      <c r="M91" s="87" t="str">
        <f>'Detailed Summary'!AV90</f>
        <v/>
      </c>
      <c r="N91" s="3" t="str">
        <f>'Detailed Summary'!BF90</f>
        <v>Failed in 6 Subjects</v>
      </c>
      <c r="O91" s="87" t="str">
        <f>'Detailed Summary'!AW90</f>
        <v/>
      </c>
      <c r="P91" s="5" t="str">
        <f>'Detailed Summary'!BG90</f>
        <v/>
      </c>
    </row>
    <row r="92" spans="1:16" ht="18.5" hidden="1" x14ac:dyDescent="0.45">
      <c r="A92" s="102"/>
      <c r="B92" s="88">
        <f>'Student Basic Info'!A91</f>
        <v>590</v>
      </c>
      <c r="C92" s="86" t="str">
        <f>'Student Basic Info'!C91</f>
        <v>Rumpa Rani Debi</v>
      </c>
      <c r="D92" s="89" t="str">
        <f>'Detailed Summary'!AK91</f>
        <v/>
      </c>
      <c r="E92" s="89" t="str">
        <f>'Detailed Summary'!AL91</f>
        <v/>
      </c>
      <c r="F92" s="89" t="str">
        <f>'Detailed Summary'!AM91</f>
        <v/>
      </c>
      <c r="G92" s="89" t="str">
        <f>'Detailed Summary'!AN91</f>
        <v/>
      </c>
      <c r="H92" s="89" t="str">
        <f>'Detailed Summary'!AO91</f>
        <v/>
      </c>
      <c r="I92" s="89" t="str">
        <f>'Detailed Summary'!AP91</f>
        <v/>
      </c>
      <c r="J92" s="89" t="str">
        <f>'Detailed Summary'!AR91</f>
        <v/>
      </c>
      <c r="K92" s="89" t="str">
        <f>'Detailed Summary'!AS91</f>
        <v/>
      </c>
      <c r="L92" s="39">
        <f>'Detailed Summary'!AU91</f>
        <v>0</v>
      </c>
      <c r="M92" s="87" t="str">
        <f>'Detailed Summary'!AV91</f>
        <v/>
      </c>
      <c r="N92" s="3" t="str">
        <f>'Detailed Summary'!BF91</f>
        <v>Failed in 6 Subjects</v>
      </c>
      <c r="O92" s="87" t="str">
        <f>'Detailed Summary'!AW91</f>
        <v/>
      </c>
      <c r="P92" s="5" t="str">
        <f>'Detailed Summary'!BG91</f>
        <v/>
      </c>
    </row>
    <row r="93" spans="1:16" ht="18.5" hidden="1" x14ac:dyDescent="0.45">
      <c r="A93" s="102"/>
      <c r="B93" s="88">
        <f>'Student Basic Info'!A92</f>
        <v>591</v>
      </c>
      <c r="C93" s="86" t="str">
        <f>'Student Basic Info'!C92</f>
        <v>Saiful Islam</v>
      </c>
      <c r="D93" s="89">
        <f>'Detailed Summary'!AK92</f>
        <v>2</v>
      </c>
      <c r="E93" s="89">
        <f>'Detailed Summary'!AL92</f>
        <v>1</v>
      </c>
      <c r="F93" s="89">
        <f>'Detailed Summary'!AM92</f>
        <v>3</v>
      </c>
      <c r="G93" s="89">
        <f>'Detailed Summary'!AN92</f>
        <v>0</v>
      </c>
      <c r="H93" s="89">
        <f>'Detailed Summary'!AO92</f>
        <v>0</v>
      </c>
      <c r="I93" s="89">
        <f>'Detailed Summary'!AP92</f>
        <v>0</v>
      </c>
      <c r="J93" s="89">
        <f>'Detailed Summary'!AR92</f>
        <v>0</v>
      </c>
      <c r="K93" s="89">
        <f>'Detailed Summary'!AS92</f>
        <v>0</v>
      </c>
      <c r="L93" s="39">
        <f>'Detailed Summary'!AU92</f>
        <v>6</v>
      </c>
      <c r="M93" s="87" t="str">
        <f>'Detailed Summary'!AV92</f>
        <v/>
      </c>
      <c r="N93" s="3" t="str">
        <f>'Detailed Summary'!BF92</f>
        <v>Failed in 3 Subjects</v>
      </c>
      <c r="O93" s="87" t="str">
        <f>'Detailed Summary'!AW92</f>
        <v/>
      </c>
      <c r="P93" s="5" t="str">
        <f>'Detailed Summary'!BG92</f>
        <v/>
      </c>
    </row>
    <row r="94" spans="1:16" ht="18.5" hidden="1" x14ac:dyDescent="0.45">
      <c r="A94" s="102"/>
      <c r="B94" s="88">
        <f>'Student Basic Info'!A93</f>
        <v>592</v>
      </c>
      <c r="C94" s="86" t="str">
        <f>'Student Basic Info'!C93</f>
        <v>Zohirul Islam</v>
      </c>
      <c r="D94" s="89">
        <f>'Detailed Summary'!AK93</f>
        <v>0</v>
      </c>
      <c r="E94" s="89">
        <f>'Detailed Summary'!AL93</f>
        <v>0</v>
      </c>
      <c r="F94" s="89">
        <f>'Detailed Summary'!AM93</f>
        <v>0</v>
      </c>
      <c r="G94" s="89">
        <f>'Detailed Summary'!AN93</f>
        <v>0</v>
      </c>
      <c r="H94" s="89">
        <f>'Detailed Summary'!AO93</f>
        <v>0</v>
      </c>
      <c r="I94" s="89">
        <f>'Detailed Summary'!AP93</f>
        <v>0</v>
      </c>
      <c r="J94" s="89">
        <f>'Detailed Summary'!AR93</f>
        <v>0</v>
      </c>
      <c r="K94" s="89">
        <f>'Detailed Summary'!AS93</f>
        <v>0</v>
      </c>
      <c r="L94" s="39">
        <f>'Detailed Summary'!AU93</f>
        <v>0</v>
      </c>
      <c r="M94" s="87" t="str">
        <f>'Detailed Summary'!AV93</f>
        <v/>
      </c>
      <c r="N94" s="3" t="str">
        <f>'Detailed Summary'!BF93</f>
        <v>Failed in 6 Subjects</v>
      </c>
      <c r="O94" s="87" t="str">
        <f>'Detailed Summary'!AW93</f>
        <v/>
      </c>
      <c r="P94" s="5" t="str">
        <f>'Detailed Summary'!BG93</f>
        <v/>
      </c>
    </row>
    <row r="95" spans="1:16" ht="18.5" hidden="1" x14ac:dyDescent="0.45">
      <c r="A95" s="102"/>
      <c r="B95" s="88">
        <f>'Student Basic Info'!A94</f>
        <v>593</v>
      </c>
      <c r="C95" s="86" t="str">
        <f>'Student Basic Info'!C94</f>
        <v>Jahedul Islam</v>
      </c>
      <c r="D95" s="89">
        <f>'Detailed Summary'!AK94</f>
        <v>2</v>
      </c>
      <c r="E95" s="89">
        <f>'Detailed Summary'!AL94</f>
        <v>2</v>
      </c>
      <c r="F95" s="89">
        <f>'Detailed Summary'!AM94</f>
        <v>0</v>
      </c>
      <c r="G95" s="89">
        <f>'Detailed Summary'!AN94</f>
        <v>0</v>
      </c>
      <c r="H95" s="89">
        <f>'Detailed Summary'!AO94</f>
        <v>0</v>
      </c>
      <c r="I95" s="89">
        <f>'Detailed Summary'!AP94</f>
        <v>0</v>
      </c>
      <c r="J95" s="89">
        <f>'Detailed Summary'!AR94</f>
        <v>0</v>
      </c>
      <c r="K95" s="89">
        <f>'Detailed Summary'!AS94</f>
        <v>0</v>
      </c>
      <c r="L95" s="39">
        <f>'Detailed Summary'!AU94</f>
        <v>4</v>
      </c>
      <c r="M95" s="87" t="str">
        <f>'Detailed Summary'!AV94</f>
        <v/>
      </c>
      <c r="N95" s="3" t="str">
        <f>'Detailed Summary'!BF94</f>
        <v>Failed in 4 Subjects</v>
      </c>
      <c r="O95" s="87" t="str">
        <f>'Detailed Summary'!AW94</f>
        <v/>
      </c>
      <c r="P95" s="5" t="str">
        <f>'Detailed Summary'!BG94</f>
        <v/>
      </c>
    </row>
    <row r="96" spans="1:16" ht="18.5" hidden="1" x14ac:dyDescent="0.45">
      <c r="A96" s="102"/>
      <c r="B96" s="88">
        <f>'Student Basic Info'!A95</f>
        <v>594</v>
      </c>
      <c r="C96" s="86" t="str">
        <f>'Student Basic Info'!C95</f>
        <v>Ali Hosain</v>
      </c>
      <c r="D96" s="89" t="str">
        <f>'Detailed Summary'!AK95</f>
        <v/>
      </c>
      <c r="E96" s="89" t="str">
        <f>'Detailed Summary'!AL95</f>
        <v/>
      </c>
      <c r="F96" s="89" t="str">
        <f>'Detailed Summary'!AM95</f>
        <v/>
      </c>
      <c r="G96" s="89" t="str">
        <f>'Detailed Summary'!AN95</f>
        <v/>
      </c>
      <c r="H96" s="89" t="str">
        <f>'Detailed Summary'!AO95</f>
        <v/>
      </c>
      <c r="I96" s="89" t="str">
        <f>'Detailed Summary'!AP95</f>
        <v/>
      </c>
      <c r="J96" s="89" t="str">
        <f>'Detailed Summary'!AR95</f>
        <v/>
      </c>
      <c r="K96" s="89" t="str">
        <f>'Detailed Summary'!AS95</f>
        <v/>
      </c>
      <c r="L96" s="39">
        <f>'Detailed Summary'!AU95</f>
        <v>0</v>
      </c>
      <c r="M96" s="87" t="str">
        <f>'Detailed Summary'!AV95</f>
        <v/>
      </c>
      <c r="N96" s="3" t="str">
        <f>'Detailed Summary'!BF95</f>
        <v>Failed in 6 Subjects</v>
      </c>
      <c r="O96" s="87" t="str">
        <f>'Detailed Summary'!AW95</f>
        <v/>
      </c>
      <c r="P96" s="5" t="str">
        <f>'Detailed Summary'!BG95</f>
        <v/>
      </c>
    </row>
    <row r="97" spans="1:16" ht="18.5" hidden="1" x14ac:dyDescent="0.45">
      <c r="A97" s="102"/>
      <c r="B97" s="88">
        <f>'Student Basic Info'!A96</f>
        <v>595</v>
      </c>
      <c r="C97" s="86" t="str">
        <f>'Student Basic Info'!C96</f>
        <v>Md. Saiful Islam</v>
      </c>
      <c r="D97" s="89" t="str">
        <f>'Detailed Summary'!AK96</f>
        <v/>
      </c>
      <c r="E97" s="89" t="str">
        <f>'Detailed Summary'!AL96</f>
        <v/>
      </c>
      <c r="F97" s="89" t="str">
        <f>'Detailed Summary'!AM96</f>
        <v/>
      </c>
      <c r="G97" s="89" t="str">
        <f>'Detailed Summary'!AN96</f>
        <v/>
      </c>
      <c r="H97" s="89" t="str">
        <f>'Detailed Summary'!AO96</f>
        <v/>
      </c>
      <c r="I97" s="89" t="str">
        <f>'Detailed Summary'!AP96</f>
        <v/>
      </c>
      <c r="J97" s="89" t="str">
        <f>'Detailed Summary'!AR96</f>
        <v/>
      </c>
      <c r="K97" s="89" t="str">
        <f>'Detailed Summary'!AS96</f>
        <v/>
      </c>
      <c r="L97" s="39">
        <f>'Detailed Summary'!AU96</f>
        <v>0</v>
      </c>
      <c r="M97" s="87" t="str">
        <f>'Detailed Summary'!AV96</f>
        <v/>
      </c>
      <c r="N97" s="3" t="str">
        <f>'Detailed Summary'!BF96</f>
        <v>Failed in 6 Subjects</v>
      </c>
      <c r="O97" s="87" t="str">
        <f>'Detailed Summary'!AW96</f>
        <v/>
      </c>
      <c r="P97" s="5" t="str">
        <f>'Detailed Summary'!BG96</f>
        <v/>
      </c>
    </row>
    <row r="98" spans="1:16" ht="18.5" hidden="1" x14ac:dyDescent="0.45">
      <c r="A98" s="102"/>
      <c r="B98" s="88">
        <f>'Student Basic Info'!A97</f>
        <v>596</v>
      </c>
      <c r="C98" s="86" t="str">
        <f>'Student Basic Info'!C97</f>
        <v>Ashiqur Rahman</v>
      </c>
      <c r="D98" s="89" t="str">
        <f>'Detailed Summary'!AK97</f>
        <v/>
      </c>
      <c r="E98" s="89" t="str">
        <f>'Detailed Summary'!AL97</f>
        <v/>
      </c>
      <c r="F98" s="89" t="str">
        <f>'Detailed Summary'!AM97</f>
        <v/>
      </c>
      <c r="G98" s="89" t="str">
        <f>'Detailed Summary'!AN97</f>
        <v/>
      </c>
      <c r="H98" s="89" t="str">
        <f>'Detailed Summary'!AO97</f>
        <v/>
      </c>
      <c r="I98" s="89" t="str">
        <f>'Detailed Summary'!AP97</f>
        <v/>
      </c>
      <c r="J98" s="89" t="str">
        <f>'Detailed Summary'!AR97</f>
        <v/>
      </c>
      <c r="K98" s="89" t="str">
        <f>'Detailed Summary'!AS97</f>
        <v/>
      </c>
      <c r="L98" s="39">
        <f>'Detailed Summary'!AU97</f>
        <v>0</v>
      </c>
      <c r="M98" s="87" t="str">
        <f>'Detailed Summary'!AV97</f>
        <v/>
      </c>
      <c r="N98" s="3" t="str">
        <f>'Detailed Summary'!BF97</f>
        <v>Failed in 6 Subjects</v>
      </c>
      <c r="O98" s="87" t="str">
        <f>'Detailed Summary'!AW97</f>
        <v/>
      </c>
      <c r="P98" s="5" t="str">
        <f>'Detailed Summary'!BG97</f>
        <v/>
      </c>
    </row>
    <row r="99" spans="1:16" ht="18.5" hidden="1" x14ac:dyDescent="0.45">
      <c r="A99" s="102"/>
      <c r="B99" s="88">
        <f>'Student Basic Info'!A98</f>
        <v>597</v>
      </c>
      <c r="C99" s="86" t="str">
        <f>'Student Basic Info'!C98</f>
        <v>Md. Shahadat Hosain Shakib</v>
      </c>
      <c r="D99" s="89" t="str">
        <f>'Detailed Summary'!AK98</f>
        <v/>
      </c>
      <c r="E99" s="89" t="str">
        <f>'Detailed Summary'!AL98</f>
        <v/>
      </c>
      <c r="F99" s="89" t="str">
        <f>'Detailed Summary'!AM98</f>
        <v/>
      </c>
      <c r="G99" s="89" t="str">
        <f>'Detailed Summary'!AN98</f>
        <v/>
      </c>
      <c r="H99" s="89" t="str">
        <f>'Detailed Summary'!AO98</f>
        <v/>
      </c>
      <c r="I99" s="89" t="str">
        <f>'Detailed Summary'!AP98</f>
        <v/>
      </c>
      <c r="J99" s="89" t="str">
        <f>'Detailed Summary'!AR98</f>
        <v/>
      </c>
      <c r="K99" s="89" t="str">
        <f>'Detailed Summary'!AS98</f>
        <v/>
      </c>
      <c r="L99" s="39">
        <f>'Detailed Summary'!AU98</f>
        <v>0</v>
      </c>
      <c r="M99" s="87" t="str">
        <f>'Detailed Summary'!AV98</f>
        <v/>
      </c>
      <c r="N99" s="3" t="str">
        <f>'Detailed Summary'!BF98</f>
        <v>Failed in 6 Subjects</v>
      </c>
      <c r="O99" s="87" t="str">
        <f>'Detailed Summary'!AW98</f>
        <v/>
      </c>
      <c r="P99" s="5" t="str">
        <f>'Detailed Summary'!BG98</f>
        <v/>
      </c>
    </row>
    <row r="100" spans="1:16" ht="18.5" hidden="1" x14ac:dyDescent="0.45">
      <c r="A100" s="102"/>
      <c r="B100" s="88">
        <f>'Student Basic Info'!A99</f>
        <v>598</v>
      </c>
      <c r="C100" s="86" t="str">
        <f>'Student Basic Info'!C99</f>
        <v>Shekh Shourov</v>
      </c>
      <c r="D100" s="89" t="str">
        <f>'Detailed Summary'!AK99</f>
        <v/>
      </c>
      <c r="E100" s="89" t="str">
        <f>'Detailed Summary'!AL99</f>
        <v/>
      </c>
      <c r="F100" s="89" t="str">
        <f>'Detailed Summary'!AM99</f>
        <v/>
      </c>
      <c r="G100" s="89" t="str">
        <f>'Detailed Summary'!AN99</f>
        <v/>
      </c>
      <c r="H100" s="89" t="str">
        <f>'Detailed Summary'!AO99</f>
        <v/>
      </c>
      <c r="I100" s="89" t="str">
        <f>'Detailed Summary'!AP99</f>
        <v/>
      </c>
      <c r="J100" s="89" t="str">
        <f>'Detailed Summary'!AR99</f>
        <v/>
      </c>
      <c r="K100" s="89" t="str">
        <f>'Detailed Summary'!AS99</f>
        <v/>
      </c>
      <c r="L100" s="39">
        <f>'Detailed Summary'!AU99</f>
        <v>0</v>
      </c>
      <c r="M100" s="87" t="str">
        <f>'Detailed Summary'!AV99</f>
        <v/>
      </c>
      <c r="N100" s="3" t="str">
        <f>'Detailed Summary'!BF99</f>
        <v>Failed in 6 Subjects</v>
      </c>
      <c r="O100" s="87" t="str">
        <f>'Detailed Summary'!AW99</f>
        <v/>
      </c>
      <c r="P100" s="5" t="str">
        <f>'Detailed Summary'!BG99</f>
        <v/>
      </c>
    </row>
    <row r="101" spans="1:16" ht="18.5" hidden="1" x14ac:dyDescent="0.45">
      <c r="A101" s="102"/>
      <c r="B101" s="88">
        <f>'Student Basic Info'!A100</f>
        <v>599</v>
      </c>
      <c r="C101" s="86" t="str">
        <f>'Student Basic Info'!C100</f>
        <v>Maliha Aktar</v>
      </c>
      <c r="D101" s="89" t="str">
        <f>'Detailed Summary'!AK100</f>
        <v/>
      </c>
      <c r="E101" s="89" t="str">
        <f>'Detailed Summary'!AL100</f>
        <v/>
      </c>
      <c r="F101" s="89" t="str">
        <f>'Detailed Summary'!AM100</f>
        <v/>
      </c>
      <c r="G101" s="89" t="str">
        <f>'Detailed Summary'!AN100</f>
        <v/>
      </c>
      <c r="H101" s="89" t="str">
        <f>'Detailed Summary'!AO100</f>
        <v/>
      </c>
      <c r="I101" s="89" t="str">
        <f>'Detailed Summary'!AP100</f>
        <v/>
      </c>
      <c r="J101" s="89" t="str">
        <f>'Detailed Summary'!AR100</f>
        <v/>
      </c>
      <c r="K101" s="89" t="str">
        <f>'Detailed Summary'!AS100</f>
        <v/>
      </c>
      <c r="L101" s="39">
        <f>'Detailed Summary'!AU100</f>
        <v>0</v>
      </c>
      <c r="M101" s="87" t="str">
        <f>'Detailed Summary'!AV100</f>
        <v/>
      </c>
      <c r="N101" s="3" t="str">
        <f>'Detailed Summary'!BF100</f>
        <v>Failed in 6 Subjects</v>
      </c>
      <c r="O101" s="87" t="str">
        <f>'Detailed Summary'!AW100</f>
        <v/>
      </c>
      <c r="P101" s="5" t="str">
        <f>'Detailed Summary'!BG100</f>
        <v/>
      </c>
    </row>
    <row r="102" spans="1:16" ht="18.5" hidden="1" x14ac:dyDescent="0.45">
      <c r="A102" s="102"/>
      <c r="B102" s="88">
        <f>'Student Basic Info'!A101</f>
        <v>600</v>
      </c>
      <c r="C102" s="86" t="str">
        <f>'Student Basic Info'!C101</f>
        <v>Nazmun Sabik Siyam</v>
      </c>
      <c r="D102" s="89">
        <f>'Detailed Summary'!AK101</f>
        <v>0</v>
      </c>
      <c r="E102" s="89">
        <f>'Detailed Summary'!AL101</f>
        <v>0</v>
      </c>
      <c r="F102" s="89">
        <f>'Detailed Summary'!AM101</f>
        <v>0</v>
      </c>
      <c r="G102" s="89">
        <f>'Detailed Summary'!AN101</f>
        <v>0</v>
      </c>
      <c r="H102" s="89">
        <f>'Detailed Summary'!AO101</f>
        <v>0</v>
      </c>
      <c r="I102" s="89" t="str">
        <f>'Detailed Summary'!AP101</f>
        <v/>
      </c>
      <c r="J102" s="89">
        <f>'Detailed Summary'!AR101</f>
        <v>0</v>
      </c>
      <c r="K102" s="89">
        <f>'Detailed Summary'!AS101</f>
        <v>0</v>
      </c>
      <c r="L102" s="39">
        <f>'Detailed Summary'!AU101</f>
        <v>0</v>
      </c>
      <c r="M102" s="87" t="str">
        <f>'Detailed Summary'!AV101</f>
        <v/>
      </c>
      <c r="N102" s="3" t="str">
        <f>'Detailed Summary'!BF101</f>
        <v>Failed in 6 Subjects</v>
      </c>
      <c r="O102" s="87" t="str">
        <f>'Detailed Summary'!AW101</f>
        <v/>
      </c>
      <c r="P102" s="5" t="str">
        <f>'Detailed Summary'!BG101</f>
        <v/>
      </c>
    </row>
    <row r="103" spans="1:16" ht="18.5" hidden="1" x14ac:dyDescent="0.45">
      <c r="A103" s="102"/>
      <c r="B103" s="88">
        <f>'Student Basic Info'!A102</f>
        <v>601</v>
      </c>
      <c r="C103" s="86" t="str">
        <f>'Student Basic Info'!C102</f>
        <v>Md. Ali Ashraf</v>
      </c>
      <c r="D103" s="89">
        <f>'Detailed Summary'!AK102</f>
        <v>0</v>
      </c>
      <c r="E103" s="89">
        <f>'Detailed Summary'!AL102</f>
        <v>0</v>
      </c>
      <c r="F103" s="89">
        <f>'Detailed Summary'!AM102</f>
        <v>0</v>
      </c>
      <c r="G103" s="89">
        <f>'Detailed Summary'!AN102</f>
        <v>0</v>
      </c>
      <c r="H103" s="89">
        <f>'Detailed Summary'!AO102</f>
        <v>0</v>
      </c>
      <c r="I103" s="89">
        <f>'Detailed Summary'!AP102</f>
        <v>0</v>
      </c>
      <c r="J103" s="89">
        <f>'Detailed Summary'!AR102</f>
        <v>0</v>
      </c>
      <c r="K103" s="89">
        <f>'Detailed Summary'!AS102</f>
        <v>0</v>
      </c>
      <c r="L103" s="39">
        <f>'Detailed Summary'!AU102</f>
        <v>0</v>
      </c>
      <c r="M103" s="87" t="str">
        <f>'Detailed Summary'!AV102</f>
        <v/>
      </c>
      <c r="N103" s="3" t="str">
        <f>'Detailed Summary'!BF102</f>
        <v>Failed in 6 Subjects</v>
      </c>
      <c r="O103" s="87" t="str">
        <f>'Detailed Summary'!AW102</f>
        <v/>
      </c>
      <c r="P103" s="5" t="str">
        <f>'Detailed Summary'!BG102</f>
        <v/>
      </c>
    </row>
    <row r="104" spans="1:16" ht="18.5" hidden="1" x14ac:dyDescent="0.45">
      <c r="A104" s="102"/>
      <c r="B104" s="88">
        <f>'Student Basic Info'!A103</f>
        <v>602</v>
      </c>
      <c r="C104" s="86" t="str">
        <f>'Student Basic Info'!C103</f>
        <v>Abu Sufiyan Noyon</v>
      </c>
      <c r="D104" s="89" t="str">
        <f>'Detailed Summary'!AK103</f>
        <v/>
      </c>
      <c r="E104" s="89" t="str">
        <f>'Detailed Summary'!AL103</f>
        <v/>
      </c>
      <c r="F104" s="89" t="str">
        <f>'Detailed Summary'!AM103</f>
        <v/>
      </c>
      <c r="G104" s="89" t="str">
        <f>'Detailed Summary'!AN103</f>
        <v/>
      </c>
      <c r="H104" s="89" t="str">
        <f>'Detailed Summary'!AO103</f>
        <v/>
      </c>
      <c r="I104" s="89" t="str">
        <f>'Detailed Summary'!AP103</f>
        <v/>
      </c>
      <c r="J104" s="89" t="str">
        <f>'Detailed Summary'!AR103</f>
        <v/>
      </c>
      <c r="K104" s="89" t="str">
        <f>'Detailed Summary'!AS103</f>
        <v/>
      </c>
      <c r="L104" s="39">
        <f>'Detailed Summary'!AU103</f>
        <v>0</v>
      </c>
      <c r="M104" s="87" t="str">
        <f>'Detailed Summary'!AV103</f>
        <v/>
      </c>
      <c r="N104" s="3" t="str">
        <f>'Detailed Summary'!BF103</f>
        <v>Failed in 6 Subjects</v>
      </c>
      <c r="O104" s="87" t="str">
        <f>'Detailed Summary'!AW103</f>
        <v/>
      </c>
      <c r="P104" s="5" t="str">
        <f>'Detailed Summary'!BG103</f>
        <v/>
      </c>
    </row>
    <row r="105" spans="1:16" ht="18.5" hidden="1" x14ac:dyDescent="0.45">
      <c r="A105" s="102"/>
      <c r="B105" s="88">
        <f>'Student Basic Info'!A104</f>
        <v>603</v>
      </c>
      <c r="C105" s="86" t="str">
        <f>'Student Basic Info'!C104</f>
        <v>Md. Omor Ali Zidan</v>
      </c>
      <c r="D105" s="89" t="str">
        <f>'Detailed Summary'!AK104</f>
        <v/>
      </c>
      <c r="E105" s="89" t="str">
        <f>'Detailed Summary'!AL104</f>
        <v/>
      </c>
      <c r="F105" s="89" t="str">
        <f>'Detailed Summary'!AM104</f>
        <v/>
      </c>
      <c r="G105" s="89" t="str">
        <f>'Detailed Summary'!AN104</f>
        <v/>
      </c>
      <c r="H105" s="89" t="str">
        <f>'Detailed Summary'!AO104</f>
        <v/>
      </c>
      <c r="I105" s="89" t="str">
        <f>'Detailed Summary'!AP104</f>
        <v/>
      </c>
      <c r="J105" s="89" t="str">
        <f>'Detailed Summary'!AR104</f>
        <v/>
      </c>
      <c r="K105" s="89" t="str">
        <f>'Detailed Summary'!AS104</f>
        <v/>
      </c>
      <c r="L105" s="39">
        <f>'Detailed Summary'!AU104</f>
        <v>0</v>
      </c>
      <c r="M105" s="87" t="str">
        <f>'Detailed Summary'!AV104</f>
        <v/>
      </c>
      <c r="N105" s="3" t="str">
        <f>'Detailed Summary'!BF104</f>
        <v>Failed in 6 Subjects</v>
      </c>
      <c r="O105" s="87" t="str">
        <f>'Detailed Summary'!AW104</f>
        <v/>
      </c>
      <c r="P105" s="5" t="str">
        <f>'Detailed Summary'!BG104</f>
        <v/>
      </c>
    </row>
    <row r="106" spans="1:16" ht="18.5" hidden="1" x14ac:dyDescent="0.45">
      <c r="A106" s="102"/>
      <c r="B106" s="88">
        <f>'Student Basic Info'!A105</f>
        <v>604</v>
      </c>
      <c r="C106" s="86" t="str">
        <f>'Student Basic Info'!C105</f>
        <v>Eti</v>
      </c>
      <c r="D106" s="89" t="str">
        <f>'Detailed Summary'!AK105</f>
        <v/>
      </c>
      <c r="E106" s="89" t="str">
        <f>'Detailed Summary'!AL105</f>
        <v/>
      </c>
      <c r="F106" s="89" t="str">
        <f>'Detailed Summary'!AM105</f>
        <v/>
      </c>
      <c r="G106" s="89" t="str">
        <f>'Detailed Summary'!AN105</f>
        <v/>
      </c>
      <c r="H106" s="89" t="str">
        <f>'Detailed Summary'!AO105</f>
        <v/>
      </c>
      <c r="I106" s="89" t="str">
        <f>'Detailed Summary'!AP105</f>
        <v/>
      </c>
      <c r="J106" s="89" t="str">
        <f>'Detailed Summary'!AR105</f>
        <v/>
      </c>
      <c r="K106" s="89" t="str">
        <f>'Detailed Summary'!AS105</f>
        <v/>
      </c>
      <c r="L106" s="39">
        <f>'Detailed Summary'!AU105</f>
        <v>0</v>
      </c>
      <c r="M106" s="87" t="str">
        <f>'Detailed Summary'!AV105</f>
        <v/>
      </c>
      <c r="N106" s="3" t="str">
        <f>'Detailed Summary'!BF105</f>
        <v>Failed in 6 Subjects</v>
      </c>
      <c r="O106" s="87" t="str">
        <f>'Detailed Summary'!AW105</f>
        <v/>
      </c>
      <c r="P106" s="5" t="str">
        <f>'Detailed Summary'!BG105</f>
        <v/>
      </c>
    </row>
    <row r="107" spans="1:16" ht="18.5" hidden="1" x14ac:dyDescent="0.45">
      <c r="A107" s="102"/>
      <c r="B107" s="88">
        <f>'Student Basic Info'!A106</f>
        <v>605</v>
      </c>
      <c r="C107" s="86" t="str">
        <f>'Student Basic Info'!C106</f>
        <v>Jhumur Mojumdar</v>
      </c>
      <c r="D107" s="89">
        <f>'Detailed Summary'!AK106</f>
        <v>2</v>
      </c>
      <c r="E107" s="89">
        <f>'Detailed Summary'!AL106</f>
        <v>0</v>
      </c>
      <c r="F107" s="89">
        <f>'Detailed Summary'!AM106</f>
        <v>0</v>
      </c>
      <c r="G107" s="89">
        <f>'Detailed Summary'!AN106</f>
        <v>0</v>
      </c>
      <c r="H107" s="89">
        <f>'Detailed Summary'!AO106</f>
        <v>0</v>
      </c>
      <c r="I107" s="89">
        <f>'Detailed Summary'!AP106</f>
        <v>1</v>
      </c>
      <c r="J107" s="89">
        <f>'Detailed Summary'!AR106</f>
        <v>2</v>
      </c>
      <c r="K107" s="89">
        <f>'Detailed Summary'!AS106</f>
        <v>0</v>
      </c>
      <c r="L107" s="39">
        <f>'Detailed Summary'!AU106</f>
        <v>3</v>
      </c>
      <c r="M107" s="87" t="str">
        <f>'Detailed Summary'!AV106</f>
        <v/>
      </c>
      <c r="N107" s="3" t="str">
        <f>'Detailed Summary'!BF106</f>
        <v>Failed in 4 Subjects</v>
      </c>
      <c r="O107" s="87" t="str">
        <f>'Detailed Summary'!AW106</f>
        <v/>
      </c>
      <c r="P107" s="5" t="str">
        <f>'Detailed Summary'!BG106</f>
        <v/>
      </c>
    </row>
    <row r="108" spans="1:16" ht="18.5" hidden="1" x14ac:dyDescent="0.45">
      <c r="A108" s="102"/>
      <c r="B108" s="88">
        <f>'Student Basic Info'!A107</f>
        <v>606</v>
      </c>
      <c r="C108" s="86" t="str">
        <f>'Student Basic Info'!C107</f>
        <v>Boishakhi Mojumdar</v>
      </c>
      <c r="D108" s="89">
        <f>'Detailed Summary'!AK107</f>
        <v>1</v>
      </c>
      <c r="E108" s="89">
        <f>'Detailed Summary'!AL107</f>
        <v>0</v>
      </c>
      <c r="F108" s="89">
        <f>'Detailed Summary'!AM107</f>
        <v>0</v>
      </c>
      <c r="G108" s="89">
        <f>'Detailed Summary'!AN107</f>
        <v>0</v>
      </c>
      <c r="H108" s="89">
        <f>'Detailed Summary'!AO107</f>
        <v>0</v>
      </c>
      <c r="I108" s="89">
        <f>'Detailed Summary'!AP107</f>
        <v>0</v>
      </c>
      <c r="J108" s="89">
        <f>'Detailed Summary'!AR107</f>
        <v>0</v>
      </c>
      <c r="K108" s="89">
        <f>'Detailed Summary'!AS107</f>
        <v>0</v>
      </c>
      <c r="L108" s="39">
        <f>'Detailed Summary'!AU107</f>
        <v>1</v>
      </c>
      <c r="M108" s="87" t="str">
        <f>'Detailed Summary'!AV107</f>
        <v/>
      </c>
      <c r="N108" s="3" t="str">
        <f>'Detailed Summary'!BF107</f>
        <v>Failed in 5 Subjects</v>
      </c>
      <c r="O108" s="87" t="str">
        <f>'Detailed Summary'!AW107</f>
        <v/>
      </c>
      <c r="P108" s="5" t="str">
        <f>'Detailed Summary'!BG107</f>
        <v/>
      </c>
    </row>
    <row r="109" spans="1:16" ht="18.5" hidden="1" x14ac:dyDescent="0.45">
      <c r="A109" s="102"/>
      <c r="B109" s="88">
        <f>'Student Basic Info'!A108</f>
        <v>607</v>
      </c>
      <c r="C109" s="86" t="str">
        <f>'Student Basic Info'!C108</f>
        <v>Shekh Shahriyar Aziz</v>
      </c>
      <c r="D109" s="89">
        <f>'Detailed Summary'!AK108</f>
        <v>0</v>
      </c>
      <c r="E109" s="89">
        <f>'Detailed Summary'!AL108</f>
        <v>0</v>
      </c>
      <c r="F109" s="89">
        <f>'Detailed Summary'!AM108</f>
        <v>0</v>
      </c>
      <c r="G109" s="89">
        <f>'Detailed Summary'!AN108</f>
        <v>0</v>
      </c>
      <c r="H109" s="89">
        <f>'Detailed Summary'!AO108</f>
        <v>0</v>
      </c>
      <c r="I109" s="89">
        <f>'Detailed Summary'!AP108</f>
        <v>0</v>
      </c>
      <c r="J109" s="89">
        <f>'Detailed Summary'!AR108</f>
        <v>0</v>
      </c>
      <c r="K109" s="89">
        <f>'Detailed Summary'!AS108</f>
        <v>0</v>
      </c>
      <c r="L109" s="39">
        <f>'Detailed Summary'!AU108</f>
        <v>0</v>
      </c>
      <c r="M109" s="87" t="str">
        <f>'Detailed Summary'!AV108</f>
        <v/>
      </c>
      <c r="N109" s="3" t="str">
        <f>'Detailed Summary'!BF108</f>
        <v>Failed in 6 Subjects</v>
      </c>
      <c r="O109" s="87" t="str">
        <f>'Detailed Summary'!AW108</f>
        <v/>
      </c>
      <c r="P109" s="5" t="str">
        <f>'Detailed Summary'!BG108</f>
        <v/>
      </c>
    </row>
    <row r="110" spans="1:16" ht="18.5" hidden="1" x14ac:dyDescent="0.45">
      <c r="A110" s="102"/>
      <c r="B110" s="88">
        <f>'Student Basic Info'!A109</f>
        <v>608</v>
      </c>
      <c r="C110" s="86" t="str">
        <f>'Student Basic Info'!C109</f>
        <v xml:space="preserve">Zahidul Islam </v>
      </c>
      <c r="D110" s="89">
        <f>'Detailed Summary'!AK109</f>
        <v>2</v>
      </c>
      <c r="E110" s="89">
        <f>'Detailed Summary'!AL109</f>
        <v>1</v>
      </c>
      <c r="F110" s="89">
        <f>'Detailed Summary'!AM109</f>
        <v>0</v>
      </c>
      <c r="G110" s="89">
        <f>'Detailed Summary'!AN109</f>
        <v>0</v>
      </c>
      <c r="H110" s="89">
        <f>'Detailed Summary'!AO109</f>
        <v>0</v>
      </c>
      <c r="I110" s="89">
        <f>'Detailed Summary'!AP109</f>
        <v>3</v>
      </c>
      <c r="J110" s="89">
        <f>'Detailed Summary'!AR109</f>
        <v>0</v>
      </c>
      <c r="K110" s="89">
        <f>'Detailed Summary'!AS109</f>
        <v>0</v>
      </c>
      <c r="L110" s="39">
        <f>'Detailed Summary'!AU109</f>
        <v>6</v>
      </c>
      <c r="M110" s="87" t="str">
        <f>'Detailed Summary'!AV109</f>
        <v/>
      </c>
      <c r="N110" s="3" t="str">
        <f>'Detailed Summary'!BF109</f>
        <v>Failed in 3 Subjects</v>
      </c>
      <c r="O110" s="87" t="str">
        <f>'Detailed Summary'!AW109</f>
        <v/>
      </c>
      <c r="P110" s="5" t="str">
        <f>'Detailed Summary'!BG109</f>
        <v/>
      </c>
    </row>
    <row r="111" spans="1:16" ht="18.5" hidden="1" x14ac:dyDescent="0.45">
      <c r="A111" s="102"/>
      <c r="B111" s="88">
        <f>'Student Basic Info'!A110</f>
        <v>609</v>
      </c>
      <c r="C111" s="86" t="str">
        <f>'Student Basic Info'!C110</f>
        <v>Jorina Aktar</v>
      </c>
      <c r="D111" s="89">
        <f>'Detailed Summary'!AK110</f>
        <v>1</v>
      </c>
      <c r="E111" s="89">
        <f>'Detailed Summary'!AL110</f>
        <v>0</v>
      </c>
      <c r="F111" s="89">
        <f>'Detailed Summary'!AM110</f>
        <v>0</v>
      </c>
      <c r="G111" s="89">
        <f>'Detailed Summary'!AN110</f>
        <v>0</v>
      </c>
      <c r="H111" s="89">
        <f>'Detailed Summary'!AO110</f>
        <v>0</v>
      </c>
      <c r="I111" s="89">
        <f>'Detailed Summary'!AP110</f>
        <v>1</v>
      </c>
      <c r="J111" s="89">
        <f>'Detailed Summary'!AR110</f>
        <v>0</v>
      </c>
      <c r="K111" s="89">
        <f>'Detailed Summary'!AS110</f>
        <v>0</v>
      </c>
      <c r="L111" s="39">
        <f>'Detailed Summary'!AU110</f>
        <v>2</v>
      </c>
      <c r="M111" s="87" t="str">
        <f>'Detailed Summary'!AV110</f>
        <v/>
      </c>
      <c r="N111" s="3" t="str">
        <f>'Detailed Summary'!BF110</f>
        <v>Failed in 4 Subjects</v>
      </c>
      <c r="O111" s="87" t="str">
        <f>'Detailed Summary'!AW110</f>
        <v/>
      </c>
      <c r="P111" s="5" t="str">
        <f>'Detailed Summary'!BG110</f>
        <v/>
      </c>
    </row>
    <row r="112" spans="1:16" ht="18.5" hidden="1" x14ac:dyDescent="0.45">
      <c r="A112" s="102"/>
      <c r="B112" s="88">
        <f>'Student Basic Info'!A111</f>
        <v>610</v>
      </c>
      <c r="C112" s="86" t="str">
        <f>'Student Basic Info'!C111</f>
        <v>Youhidul Islam</v>
      </c>
      <c r="D112" s="89">
        <f>'Detailed Summary'!AK111</f>
        <v>1</v>
      </c>
      <c r="E112" s="89">
        <f>'Detailed Summary'!AL111</f>
        <v>0</v>
      </c>
      <c r="F112" s="89">
        <f>'Detailed Summary'!AM111</f>
        <v>0</v>
      </c>
      <c r="G112" s="89">
        <f>'Detailed Summary'!AN111</f>
        <v>0</v>
      </c>
      <c r="H112" s="89" t="str">
        <f>'Detailed Summary'!AO111</f>
        <v/>
      </c>
      <c r="I112" s="89" t="str">
        <f>'Detailed Summary'!AP111</f>
        <v/>
      </c>
      <c r="J112" s="89" t="str">
        <f>'Detailed Summary'!AR111</f>
        <v/>
      </c>
      <c r="K112" s="89" t="str">
        <f>'Detailed Summary'!AS111</f>
        <v/>
      </c>
      <c r="L112" s="39">
        <f>'Detailed Summary'!AU111</f>
        <v>1</v>
      </c>
      <c r="M112" s="87" t="str">
        <f>'Detailed Summary'!AV111</f>
        <v/>
      </c>
      <c r="N112" s="3" t="str">
        <f>'Detailed Summary'!BF111</f>
        <v>Failed in 5 Subjects</v>
      </c>
      <c r="O112" s="87" t="str">
        <f>'Detailed Summary'!AW111</f>
        <v/>
      </c>
      <c r="P112" s="5" t="str">
        <f>'Detailed Summary'!BG111</f>
        <v/>
      </c>
    </row>
    <row r="113" spans="1:16" ht="18.5" hidden="1" x14ac:dyDescent="0.45">
      <c r="A113" s="102"/>
      <c r="B113" s="88">
        <f>'Student Basic Info'!A112</f>
        <v>611</v>
      </c>
      <c r="C113" s="86" t="str">
        <f>'Student Basic Info'!C112</f>
        <v>Aman Ullah</v>
      </c>
      <c r="D113" s="89">
        <f>'Detailed Summary'!AK112</f>
        <v>1</v>
      </c>
      <c r="E113" s="89">
        <f>'Detailed Summary'!AL112</f>
        <v>0</v>
      </c>
      <c r="F113" s="89">
        <f>'Detailed Summary'!AM112</f>
        <v>0</v>
      </c>
      <c r="G113" s="89">
        <f>'Detailed Summary'!AN112</f>
        <v>0</v>
      </c>
      <c r="H113" s="89">
        <f>'Detailed Summary'!AO112</f>
        <v>1</v>
      </c>
      <c r="I113" s="89">
        <f>'Detailed Summary'!AP112</f>
        <v>0</v>
      </c>
      <c r="J113" s="89">
        <f>'Detailed Summary'!AR112</f>
        <v>0</v>
      </c>
      <c r="K113" s="89">
        <f>'Detailed Summary'!AS112</f>
        <v>0</v>
      </c>
      <c r="L113" s="39">
        <f>'Detailed Summary'!AU112</f>
        <v>2</v>
      </c>
      <c r="M113" s="87" t="str">
        <f>'Detailed Summary'!AV112</f>
        <v/>
      </c>
      <c r="N113" s="3" t="str">
        <f>'Detailed Summary'!BF112</f>
        <v>Failed in 4 Subjects</v>
      </c>
      <c r="O113" s="87" t="str">
        <f>'Detailed Summary'!AW112</f>
        <v/>
      </c>
      <c r="P113" s="5" t="str">
        <f>'Detailed Summary'!BG112</f>
        <v/>
      </c>
    </row>
    <row r="114" spans="1:16" ht="18.5" hidden="1" x14ac:dyDescent="0.45">
      <c r="A114" s="102"/>
      <c r="B114" s="88">
        <f>'Student Basic Info'!A113</f>
        <v>612</v>
      </c>
      <c r="C114" s="86" t="str">
        <f>'Student Basic Info'!C113</f>
        <v>Ajharul Islam</v>
      </c>
      <c r="D114" s="89">
        <f>'Detailed Summary'!AK113</f>
        <v>1</v>
      </c>
      <c r="E114" s="89">
        <f>'Detailed Summary'!AL113</f>
        <v>1</v>
      </c>
      <c r="F114" s="89">
        <f>'Detailed Summary'!AM113</f>
        <v>0</v>
      </c>
      <c r="G114" s="89">
        <f>'Detailed Summary'!AN113</f>
        <v>0</v>
      </c>
      <c r="H114" s="89">
        <f>'Detailed Summary'!AO113</f>
        <v>2</v>
      </c>
      <c r="I114" s="89">
        <f>'Detailed Summary'!AP113</f>
        <v>0</v>
      </c>
      <c r="J114" s="89">
        <f>'Detailed Summary'!AR113</f>
        <v>1</v>
      </c>
      <c r="K114" s="89">
        <f>'Detailed Summary'!AS113</f>
        <v>0</v>
      </c>
      <c r="L114" s="39">
        <f>'Detailed Summary'!AU113</f>
        <v>4</v>
      </c>
      <c r="M114" s="87" t="str">
        <f>'Detailed Summary'!AV113</f>
        <v/>
      </c>
      <c r="N114" s="3" t="str">
        <f>'Detailed Summary'!BF113</f>
        <v>Failed in 3 Subjects</v>
      </c>
      <c r="O114" s="87" t="str">
        <f>'Detailed Summary'!AW113</f>
        <v/>
      </c>
      <c r="P114" s="5" t="str">
        <f>'Detailed Summary'!BG113</f>
        <v/>
      </c>
    </row>
    <row r="115" spans="1:16" ht="18.5" hidden="1" x14ac:dyDescent="0.45">
      <c r="A115" s="102"/>
      <c r="B115" s="88">
        <f>'Student Basic Info'!A114</f>
        <v>613</v>
      </c>
      <c r="C115" s="86" t="str">
        <f>'Student Basic Info'!C114</f>
        <v>Fokkrul Islam</v>
      </c>
      <c r="D115" s="89" t="str">
        <f>'Detailed Summary'!AK114</f>
        <v/>
      </c>
      <c r="E115" s="89" t="str">
        <f>'Detailed Summary'!AL114</f>
        <v/>
      </c>
      <c r="F115" s="89" t="str">
        <f>'Detailed Summary'!AM114</f>
        <v/>
      </c>
      <c r="G115" s="89" t="str">
        <f>'Detailed Summary'!AN114</f>
        <v/>
      </c>
      <c r="H115" s="89" t="str">
        <f>'Detailed Summary'!AO114</f>
        <v/>
      </c>
      <c r="I115" s="89" t="str">
        <f>'Detailed Summary'!AP114</f>
        <v/>
      </c>
      <c r="J115" s="89" t="str">
        <f>'Detailed Summary'!AR114</f>
        <v/>
      </c>
      <c r="K115" s="89" t="str">
        <f>'Detailed Summary'!AS114</f>
        <v/>
      </c>
      <c r="L115" s="39">
        <f>'Detailed Summary'!AU114</f>
        <v>0</v>
      </c>
      <c r="M115" s="87" t="str">
        <f>'Detailed Summary'!AV114</f>
        <v/>
      </c>
      <c r="N115" s="3" t="str">
        <f>'Detailed Summary'!BF114</f>
        <v>Failed in 6 Subjects</v>
      </c>
      <c r="O115" s="87" t="str">
        <f>'Detailed Summary'!AW114</f>
        <v/>
      </c>
      <c r="P115" s="5" t="str">
        <f>'Detailed Summary'!BG114</f>
        <v/>
      </c>
    </row>
    <row r="116" spans="1:16" hidden="1" x14ac:dyDescent="0.35">
      <c r="A116" s="105">
        <v>6</v>
      </c>
      <c r="B116" s="105">
        <f>'Student Basic Info'!A27</f>
        <v>526</v>
      </c>
      <c r="C116" s="106" t="str">
        <f>'Student Basic Info'!C27</f>
        <v>Sidratul Muntaha</v>
      </c>
      <c r="D116" s="89">
        <f>'Detailed Summary'!AK27</f>
        <v>3</v>
      </c>
      <c r="E116" s="89">
        <f>'Detailed Summary'!AL27</f>
        <v>1</v>
      </c>
      <c r="F116" s="89">
        <f>'Detailed Summary'!AM27</f>
        <v>3</v>
      </c>
      <c r="G116" s="89">
        <f>'Detailed Summary'!AN27</f>
        <v>3</v>
      </c>
      <c r="H116" s="89">
        <f>'Detailed Summary'!AO27</f>
        <v>3</v>
      </c>
      <c r="I116" s="89">
        <f>'Detailed Summary'!AP27</f>
        <v>1</v>
      </c>
      <c r="J116" s="89">
        <f>'Detailed Summary'!AR27</f>
        <v>3</v>
      </c>
      <c r="K116" s="89">
        <f>'Detailed Summary'!AS27</f>
        <v>1</v>
      </c>
      <c r="L116" s="39">
        <f>'Detailed Summary'!AU27</f>
        <v>15</v>
      </c>
      <c r="M116" s="87">
        <f>'Detailed Summary'!AV27</f>
        <v>2.3333333333333335</v>
      </c>
      <c r="N116" s="76" t="str">
        <f>'Detailed Summary'!BF27</f>
        <v>Pass</v>
      </c>
      <c r="O116" s="87">
        <f>'Detailed Summary'!AW27</f>
        <v>2.5</v>
      </c>
      <c r="P116" s="107">
        <f>'Detailed Summary'!BG27</f>
        <v>8</v>
      </c>
    </row>
    <row r="117" spans="1:16" hidden="1" x14ac:dyDescent="0.35">
      <c r="B117" s="88">
        <f>'Student Basic Info'!A116</f>
        <v>615</v>
      </c>
      <c r="C117" s="86" t="str">
        <f>'Student Basic Info'!C116</f>
        <v>Tasfia Atrar</v>
      </c>
      <c r="D117" s="89">
        <f>'Detailed Summary'!AK116</f>
        <v>1</v>
      </c>
      <c r="E117" s="89">
        <f>'Detailed Summary'!AL116</f>
        <v>0</v>
      </c>
      <c r="F117" s="89">
        <f>'Detailed Summary'!AM116</f>
        <v>0</v>
      </c>
      <c r="G117" s="89">
        <f>'Detailed Summary'!AN116</f>
        <v>0</v>
      </c>
      <c r="H117" s="89">
        <f>'Detailed Summary'!AO116</f>
        <v>0</v>
      </c>
      <c r="I117" s="89">
        <f>'Detailed Summary'!AP116</f>
        <v>1</v>
      </c>
      <c r="J117" s="89">
        <f>'Detailed Summary'!AR116</f>
        <v>0</v>
      </c>
      <c r="K117" s="89">
        <f>'Detailed Summary'!AS116</f>
        <v>0</v>
      </c>
      <c r="L117" s="39">
        <f>'Detailed Summary'!AU116</f>
        <v>2</v>
      </c>
      <c r="M117" s="87" t="str">
        <f>'Detailed Summary'!AV116</f>
        <v/>
      </c>
      <c r="N117" s="3" t="str">
        <f>'Detailed Summary'!BF116</f>
        <v>Failed in 4 Subjects</v>
      </c>
      <c r="O117" s="87" t="str">
        <f>'Detailed Summary'!AW116</f>
        <v/>
      </c>
      <c r="P117" s="5" t="str">
        <f>'Detailed Summary'!BG116</f>
        <v/>
      </c>
    </row>
    <row r="118" spans="1:16" hidden="1" x14ac:dyDescent="0.35">
      <c r="B118" s="88">
        <f>'Student Basic Info'!A117</f>
        <v>616</v>
      </c>
      <c r="C118" s="86" t="str">
        <f>'Student Basic Info'!C117</f>
        <v>Farzana Aktar Mili</v>
      </c>
      <c r="D118" s="89" t="str">
        <f>'Detailed Summary'!AK117</f>
        <v/>
      </c>
      <c r="E118" s="89" t="str">
        <f>'Detailed Summary'!AL117</f>
        <v/>
      </c>
      <c r="F118" s="89" t="str">
        <f>'Detailed Summary'!AM117</f>
        <v/>
      </c>
      <c r="G118" s="89" t="str">
        <f>'Detailed Summary'!AN117</f>
        <v/>
      </c>
      <c r="H118" s="89" t="str">
        <f>'Detailed Summary'!AO117</f>
        <v/>
      </c>
      <c r="I118" s="89" t="str">
        <f>'Detailed Summary'!AP117</f>
        <v/>
      </c>
      <c r="J118" s="89" t="str">
        <f>'Detailed Summary'!AR117</f>
        <v/>
      </c>
      <c r="K118" s="89" t="str">
        <f>'Detailed Summary'!AS117</f>
        <v/>
      </c>
      <c r="L118" s="39">
        <f>'Detailed Summary'!AU117</f>
        <v>0</v>
      </c>
      <c r="M118" s="87" t="str">
        <f>'Detailed Summary'!AV117</f>
        <v/>
      </c>
      <c r="N118" s="3" t="str">
        <f>'Detailed Summary'!BF117</f>
        <v>Failed in 6 Subjects</v>
      </c>
      <c r="O118" s="87" t="str">
        <f>'Detailed Summary'!AW117</f>
        <v/>
      </c>
      <c r="P118" s="5" t="str">
        <f>'Detailed Summary'!BG117</f>
        <v/>
      </c>
    </row>
    <row r="119" spans="1:16" hidden="1" x14ac:dyDescent="0.35">
      <c r="B119" s="88">
        <f>'Student Basic Info'!A118</f>
        <v>617</v>
      </c>
      <c r="C119" s="86" t="str">
        <f>'Student Basic Info'!C118</f>
        <v>Tanvir Hossain</v>
      </c>
      <c r="D119" s="89" t="str">
        <f>'Detailed Summary'!AK118</f>
        <v/>
      </c>
      <c r="E119" s="89" t="str">
        <f>'Detailed Summary'!AL118</f>
        <v/>
      </c>
      <c r="F119" s="89" t="str">
        <f>'Detailed Summary'!AM118</f>
        <v/>
      </c>
      <c r="G119" s="89" t="str">
        <f>'Detailed Summary'!AN118</f>
        <v/>
      </c>
      <c r="H119" s="89" t="str">
        <f>'Detailed Summary'!AO118</f>
        <v/>
      </c>
      <c r="I119" s="89" t="str">
        <f>'Detailed Summary'!AP118</f>
        <v/>
      </c>
      <c r="J119" s="89" t="str">
        <f>'Detailed Summary'!AR118</f>
        <v/>
      </c>
      <c r="K119" s="89" t="str">
        <f>'Detailed Summary'!AS118</f>
        <v/>
      </c>
      <c r="L119" s="39">
        <f>'Detailed Summary'!AU118</f>
        <v>0</v>
      </c>
      <c r="M119" s="87" t="str">
        <f>'Detailed Summary'!AV118</f>
        <v/>
      </c>
      <c r="N119" s="3" t="str">
        <f>'Detailed Summary'!BF118</f>
        <v>Failed in 6 Subjects</v>
      </c>
      <c r="O119" s="87" t="str">
        <f>'Detailed Summary'!AW118</f>
        <v/>
      </c>
      <c r="P119" s="5" t="str">
        <f>'Detailed Summary'!BG118</f>
        <v/>
      </c>
    </row>
    <row r="120" spans="1:16" hidden="1" x14ac:dyDescent="0.35">
      <c r="B120" s="88">
        <f>'Student Basic Info'!A119</f>
        <v>618</v>
      </c>
      <c r="C120" s="86" t="str">
        <f>'Student Basic Info'!C119</f>
        <v>Mizanur Rahman</v>
      </c>
      <c r="D120" s="89" t="str">
        <f>'Detailed Summary'!AK119</f>
        <v/>
      </c>
      <c r="E120" s="89" t="str">
        <f>'Detailed Summary'!AL119</f>
        <v/>
      </c>
      <c r="F120" s="89" t="str">
        <f>'Detailed Summary'!AM119</f>
        <v/>
      </c>
      <c r="G120" s="89" t="str">
        <f>'Detailed Summary'!AN119</f>
        <v/>
      </c>
      <c r="H120" s="89" t="str">
        <f>'Detailed Summary'!AO119</f>
        <v/>
      </c>
      <c r="I120" s="89" t="str">
        <f>'Detailed Summary'!AP119</f>
        <v/>
      </c>
      <c r="J120" s="89" t="str">
        <f>'Detailed Summary'!AR119</f>
        <v/>
      </c>
      <c r="K120" s="89" t="str">
        <f>'Detailed Summary'!AS119</f>
        <v/>
      </c>
      <c r="L120" s="39">
        <f>'Detailed Summary'!AU119</f>
        <v>0</v>
      </c>
      <c r="M120" s="87" t="str">
        <f>'Detailed Summary'!AV119</f>
        <v/>
      </c>
      <c r="N120" s="3" t="str">
        <f>'Detailed Summary'!BF119</f>
        <v>Failed in 6 Subjects</v>
      </c>
      <c r="O120" s="87" t="str">
        <f>'Detailed Summary'!AW119</f>
        <v/>
      </c>
      <c r="P120" s="5" t="str">
        <f>'Detailed Summary'!BG119</f>
        <v/>
      </c>
    </row>
    <row r="121" spans="1:16" hidden="1" x14ac:dyDescent="0.35">
      <c r="B121" s="88">
        <f>'Student Basic Info'!A120</f>
        <v>619</v>
      </c>
      <c r="C121" s="86" t="str">
        <f>'Student Basic Info'!C120</f>
        <v>Yeasin Arafat</v>
      </c>
      <c r="D121" s="89" t="str">
        <f>'Detailed Summary'!AK120</f>
        <v/>
      </c>
      <c r="E121" s="89" t="str">
        <f>'Detailed Summary'!AL120</f>
        <v/>
      </c>
      <c r="F121" s="89" t="str">
        <f>'Detailed Summary'!AM120</f>
        <v/>
      </c>
      <c r="G121" s="89" t="str">
        <f>'Detailed Summary'!AN120</f>
        <v/>
      </c>
      <c r="H121" s="89" t="str">
        <f>'Detailed Summary'!AO120</f>
        <v/>
      </c>
      <c r="I121" s="89" t="str">
        <f>'Detailed Summary'!AP120</f>
        <v/>
      </c>
      <c r="J121" s="89" t="str">
        <f>'Detailed Summary'!AR120</f>
        <v/>
      </c>
      <c r="K121" s="89" t="str">
        <f>'Detailed Summary'!AS120</f>
        <v/>
      </c>
      <c r="L121" s="39">
        <f>'Detailed Summary'!AU120</f>
        <v>0</v>
      </c>
      <c r="M121" s="87" t="str">
        <f>'Detailed Summary'!AV120</f>
        <v/>
      </c>
      <c r="N121" s="3" t="str">
        <f>'Detailed Summary'!BF120</f>
        <v>Failed in 6 Subjects</v>
      </c>
      <c r="O121" s="87" t="str">
        <f>'Detailed Summary'!AW120</f>
        <v/>
      </c>
      <c r="P121" s="5" t="str">
        <f>'Detailed Summary'!BG120</f>
        <v/>
      </c>
    </row>
    <row r="122" spans="1:16" hidden="1" x14ac:dyDescent="0.35">
      <c r="B122" s="88">
        <f>'Student Basic Info'!A121</f>
        <v>620</v>
      </c>
      <c r="C122" s="86" t="str">
        <f>'Student Basic Info'!C121</f>
        <v>Abdullah Al Noman</v>
      </c>
      <c r="D122" s="89" t="str">
        <f>'Detailed Summary'!AK121</f>
        <v/>
      </c>
      <c r="E122" s="89" t="str">
        <f>'Detailed Summary'!AL121</f>
        <v/>
      </c>
      <c r="F122" s="89" t="str">
        <f>'Detailed Summary'!AM121</f>
        <v/>
      </c>
      <c r="G122" s="89" t="str">
        <f>'Detailed Summary'!AN121</f>
        <v/>
      </c>
      <c r="H122" s="89" t="str">
        <f>'Detailed Summary'!AO121</f>
        <v/>
      </c>
      <c r="I122" s="89" t="str">
        <f>'Detailed Summary'!AP121</f>
        <v/>
      </c>
      <c r="J122" s="89" t="str">
        <f>'Detailed Summary'!AR121</f>
        <v/>
      </c>
      <c r="K122" s="89" t="str">
        <f>'Detailed Summary'!AS121</f>
        <v/>
      </c>
      <c r="L122" s="39">
        <f>'Detailed Summary'!AU121</f>
        <v>0</v>
      </c>
      <c r="M122" s="87" t="str">
        <f>'Detailed Summary'!AV121</f>
        <v/>
      </c>
      <c r="N122" s="3" t="str">
        <f>'Detailed Summary'!BF121</f>
        <v>Failed in 6 Subjects</v>
      </c>
      <c r="O122" s="87" t="str">
        <f>'Detailed Summary'!AW121</f>
        <v/>
      </c>
      <c r="P122" s="5" t="str">
        <f>'Detailed Summary'!BG121</f>
        <v/>
      </c>
    </row>
    <row r="123" spans="1:16" hidden="1" x14ac:dyDescent="0.35">
      <c r="B123" s="88">
        <f>'Student Basic Info'!A122</f>
        <v>621</v>
      </c>
      <c r="C123" s="86" t="str">
        <f>'Student Basic Info'!C122</f>
        <v>Delower Hossain</v>
      </c>
      <c r="D123" s="89">
        <f>'Detailed Summary'!AK122</f>
        <v>2</v>
      </c>
      <c r="E123" s="89">
        <f>'Detailed Summary'!AL122</f>
        <v>0</v>
      </c>
      <c r="F123" s="89">
        <f>'Detailed Summary'!AM122</f>
        <v>3</v>
      </c>
      <c r="G123" s="89">
        <f>'Detailed Summary'!AN122</f>
        <v>1</v>
      </c>
      <c r="H123" s="89">
        <f>'Detailed Summary'!AO122</f>
        <v>0</v>
      </c>
      <c r="I123" s="89">
        <f>'Detailed Summary'!AP122</f>
        <v>0</v>
      </c>
      <c r="J123" s="89">
        <f>'Detailed Summary'!AR122</f>
        <v>2</v>
      </c>
      <c r="K123" s="89">
        <f>'Detailed Summary'!AS122</f>
        <v>0</v>
      </c>
      <c r="L123" s="39">
        <f>'Detailed Summary'!AU122</f>
        <v>6</v>
      </c>
      <c r="M123" s="87" t="str">
        <f>'Detailed Summary'!AV122</f>
        <v/>
      </c>
      <c r="N123" s="3" t="str">
        <f>'Detailed Summary'!BF122</f>
        <v>Failed in 3 Subjects</v>
      </c>
      <c r="O123" s="87" t="str">
        <f>'Detailed Summary'!AW122</f>
        <v/>
      </c>
      <c r="P123" s="5" t="str">
        <f>'Detailed Summary'!BG122</f>
        <v/>
      </c>
    </row>
    <row r="124" spans="1:16" hidden="1" x14ac:dyDescent="0.35">
      <c r="B124" s="88">
        <f>'Student Basic Info'!A123</f>
        <v>622</v>
      </c>
      <c r="C124" s="86" t="str">
        <f>'Student Basic Info'!C123</f>
        <v>Nur Islam</v>
      </c>
      <c r="D124" s="89">
        <f>'Detailed Summary'!AK123</f>
        <v>3</v>
      </c>
      <c r="E124" s="89">
        <f>'Detailed Summary'!AL123</f>
        <v>0</v>
      </c>
      <c r="F124" s="89">
        <f>'Detailed Summary'!AM123</f>
        <v>3.5</v>
      </c>
      <c r="G124" s="89">
        <f>'Detailed Summary'!AN123</f>
        <v>2</v>
      </c>
      <c r="H124" s="89">
        <f>'Detailed Summary'!AO123</f>
        <v>0</v>
      </c>
      <c r="I124" s="89">
        <f>'Detailed Summary'!AP123</f>
        <v>0</v>
      </c>
      <c r="J124" s="89">
        <f>'Detailed Summary'!AR123</f>
        <v>1</v>
      </c>
      <c r="K124" s="89">
        <f>'Detailed Summary'!AS123</f>
        <v>0</v>
      </c>
      <c r="L124" s="39">
        <f>'Detailed Summary'!AU123</f>
        <v>8.5</v>
      </c>
      <c r="M124" s="87" t="str">
        <f>'Detailed Summary'!AV123</f>
        <v/>
      </c>
      <c r="N124" s="3" t="str">
        <f>'Detailed Summary'!BF123</f>
        <v>Failed in 3 Subjects</v>
      </c>
      <c r="O124" s="87" t="str">
        <f>'Detailed Summary'!AW123</f>
        <v/>
      </c>
      <c r="P124" s="5" t="str">
        <f>'Detailed Summary'!BG123</f>
        <v/>
      </c>
    </row>
    <row r="125" spans="1:16" hidden="1" x14ac:dyDescent="0.35">
      <c r="B125" s="88">
        <f>'Student Basic Info'!A124</f>
        <v>623</v>
      </c>
      <c r="C125" s="86" t="str">
        <f>'Student Basic Info'!C124</f>
        <v>Mehedi Hasan</v>
      </c>
      <c r="D125" s="89" t="str">
        <f>'Detailed Summary'!AK124</f>
        <v/>
      </c>
      <c r="E125" s="89" t="str">
        <f>'Detailed Summary'!AL124</f>
        <v/>
      </c>
      <c r="F125" s="89" t="str">
        <f>'Detailed Summary'!AM124</f>
        <v/>
      </c>
      <c r="G125" s="89" t="str">
        <f>'Detailed Summary'!AN124</f>
        <v/>
      </c>
      <c r="H125" s="89" t="str">
        <f>'Detailed Summary'!AO124</f>
        <v/>
      </c>
      <c r="I125" s="89" t="str">
        <f>'Detailed Summary'!AP124</f>
        <v/>
      </c>
      <c r="J125" s="89" t="str">
        <f>'Detailed Summary'!AR124</f>
        <v/>
      </c>
      <c r="K125" s="89" t="str">
        <f>'Detailed Summary'!AS124</f>
        <v/>
      </c>
      <c r="L125" s="39">
        <f>'Detailed Summary'!AU124</f>
        <v>0</v>
      </c>
      <c r="M125" s="87" t="str">
        <f>'Detailed Summary'!AV124</f>
        <v/>
      </c>
      <c r="N125" s="3" t="str">
        <f>'Detailed Summary'!BF124</f>
        <v>Failed in 6 Subjects</v>
      </c>
      <c r="O125" s="87" t="str">
        <f>'Detailed Summary'!AW124</f>
        <v/>
      </c>
      <c r="P125" s="5" t="str">
        <f>'Detailed Summary'!BG124</f>
        <v/>
      </c>
    </row>
    <row r="126" spans="1:16" hidden="1" x14ac:dyDescent="0.35">
      <c r="B126" s="88">
        <f>'Student Basic Info'!A125</f>
        <v>624</v>
      </c>
      <c r="C126" s="86" t="str">
        <f>'Student Basic Info'!C125</f>
        <v>Nurul Afsar Ashraf</v>
      </c>
      <c r="D126" s="89" t="str">
        <f>'Detailed Summary'!AK125</f>
        <v/>
      </c>
      <c r="E126" s="89" t="str">
        <f>'Detailed Summary'!AL125</f>
        <v/>
      </c>
      <c r="F126" s="89" t="str">
        <f>'Detailed Summary'!AM125</f>
        <v/>
      </c>
      <c r="G126" s="89" t="str">
        <f>'Detailed Summary'!AN125</f>
        <v/>
      </c>
      <c r="H126" s="89" t="str">
        <f>'Detailed Summary'!AO125</f>
        <v/>
      </c>
      <c r="I126" s="89" t="str">
        <f>'Detailed Summary'!AP125</f>
        <v/>
      </c>
      <c r="J126" s="89" t="str">
        <f>'Detailed Summary'!AR125</f>
        <v/>
      </c>
      <c r="K126" s="89" t="str">
        <f>'Detailed Summary'!AS125</f>
        <v/>
      </c>
      <c r="L126" s="39">
        <f>'Detailed Summary'!AU125</f>
        <v>0</v>
      </c>
      <c r="M126" s="87" t="str">
        <f>'Detailed Summary'!AV125</f>
        <v/>
      </c>
      <c r="N126" s="3" t="str">
        <f>'Detailed Summary'!BF125</f>
        <v>Failed in 6 Subjects</v>
      </c>
      <c r="O126" s="87" t="str">
        <f>'Detailed Summary'!AW125</f>
        <v/>
      </c>
      <c r="P126" s="5" t="str">
        <f>'Detailed Summary'!BG125</f>
        <v/>
      </c>
    </row>
    <row r="127" spans="1:16" hidden="1" x14ac:dyDescent="0.35">
      <c r="B127" s="88">
        <f>'Student Basic Info'!A126</f>
        <v>625</v>
      </c>
      <c r="C127" s="86" t="str">
        <f>'Student Basic Info'!C126</f>
        <v>Marjahan Aktar</v>
      </c>
      <c r="D127" s="89" t="str">
        <f>'Detailed Summary'!AK126</f>
        <v/>
      </c>
      <c r="E127" s="89" t="str">
        <f>'Detailed Summary'!AL126</f>
        <v/>
      </c>
      <c r="F127" s="89" t="str">
        <f>'Detailed Summary'!AM126</f>
        <v/>
      </c>
      <c r="G127" s="89" t="str">
        <f>'Detailed Summary'!AN126</f>
        <v/>
      </c>
      <c r="H127" s="89" t="str">
        <f>'Detailed Summary'!AO126</f>
        <v/>
      </c>
      <c r="I127" s="89" t="str">
        <f>'Detailed Summary'!AP126</f>
        <v/>
      </c>
      <c r="J127" s="89" t="str">
        <f>'Detailed Summary'!AR126</f>
        <v/>
      </c>
      <c r="K127" s="89" t="str">
        <f>'Detailed Summary'!AS126</f>
        <v/>
      </c>
      <c r="L127" s="39">
        <f>'Detailed Summary'!AU126</f>
        <v>0</v>
      </c>
      <c r="M127" s="87" t="str">
        <f>'Detailed Summary'!AV126</f>
        <v/>
      </c>
      <c r="N127" s="3" t="str">
        <f>'Detailed Summary'!BF126</f>
        <v>Failed in 6 Subjects</v>
      </c>
      <c r="O127" s="87" t="str">
        <f>'Detailed Summary'!AW126</f>
        <v/>
      </c>
      <c r="P127" s="5" t="str">
        <f>'Detailed Summary'!BG126</f>
        <v/>
      </c>
    </row>
    <row r="128" spans="1:16" hidden="1" x14ac:dyDescent="0.35">
      <c r="B128" s="88">
        <f>'Student Basic Info'!A127</f>
        <v>626</v>
      </c>
      <c r="C128" s="86" t="str">
        <f>'Student Basic Info'!C127</f>
        <v>Fokhrul Islam</v>
      </c>
      <c r="D128" s="89" t="str">
        <f>'Detailed Summary'!AK127</f>
        <v/>
      </c>
      <c r="E128" s="89" t="str">
        <f>'Detailed Summary'!AL127</f>
        <v/>
      </c>
      <c r="F128" s="89" t="str">
        <f>'Detailed Summary'!AM127</f>
        <v/>
      </c>
      <c r="G128" s="89" t="str">
        <f>'Detailed Summary'!AN127</f>
        <v/>
      </c>
      <c r="H128" s="89" t="str">
        <f>'Detailed Summary'!AO127</f>
        <v/>
      </c>
      <c r="I128" s="89" t="str">
        <f>'Detailed Summary'!AP127</f>
        <v/>
      </c>
      <c r="J128" s="89" t="str">
        <f>'Detailed Summary'!AR127</f>
        <v/>
      </c>
      <c r="K128" s="89" t="str">
        <f>'Detailed Summary'!AS127</f>
        <v/>
      </c>
      <c r="L128" s="39">
        <f>'Detailed Summary'!AU127</f>
        <v>0</v>
      </c>
      <c r="M128" s="87" t="str">
        <f>'Detailed Summary'!AV127</f>
        <v/>
      </c>
      <c r="N128" s="3" t="str">
        <f>'Detailed Summary'!BF127</f>
        <v>Failed in 6 Subjects</v>
      </c>
      <c r="O128" s="87" t="str">
        <f>'Detailed Summary'!AW127</f>
        <v/>
      </c>
      <c r="P128" s="5" t="str">
        <f>'Detailed Summary'!BG127</f>
        <v/>
      </c>
    </row>
    <row r="129" spans="2:16" hidden="1" x14ac:dyDescent="0.35">
      <c r="B129" s="88">
        <f>'Student Basic Info'!A128</f>
        <v>627</v>
      </c>
      <c r="C129" s="86" t="str">
        <f>'Student Basic Info'!C128</f>
        <v>Israt Jahan</v>
      </c>
      <c r="D129" s="89" t="str">
        <f>'Detailed Summary'!AK128</f>
        <v/>
      </c>
      <c r="E129" s="89" t="str">
        <f>'Detailed Summary'!AL128</f>
        <v/>
      </c>
      <c r="F129" s="89" t="str">
        <f>'Detailed Summary'!AM128</f>
        <v/>
      </c>
      <c r="G129" s="89" t="str">
        <f>'Detailed Summary'!AN128</f>
        <v/>
      </c>
      <c r="H129" s="89" t="str">
        <f>'Detailed Summary'!AO128</f>
        <v/>
      </c>
      <c r="I129" s="89" t="str">
        <f>'Detailed Summary'!AP128</f>
        <v/>
      </c>
      <c r="J129" s="89" t="str">
        <f>'Detailed Summary'!AR128</f>
        <v/>
      </c>
      <c r="K129" s="89" t="str">
        <f>'Detailed Summary'!AS128</f>
        <v/>
      </c>
      <c r="L129" s="39">
        <f>'Detailed Summary'!AU128</f>
        <v>0</v>
      </c>
      <c r="M129" s="87" t="str">
        <f>'Detailed Summary'!AV128</f>
        <v/>
      </c>
      <c r="N129" s="3" t="str">
        <f>'Detailed Summary'!BF128</f>
        <v>Failed in 6 Subjects</v>
      </c>
      <c r="O129" s="87" t="str">
        <f>'Detailed Summary'!AW128</f>
        <v/>
      </c>
      <c r="P129" s="5" t="str">
        <f>'Detailed Summary'!BG128</f>
        <v/>
      </c>
    </row>
    <row r="130" spans="2:16" hidden="1" x14ac:dyDescent="0.35">
      <c r="B130" s="88">
        <f>'Student Basic Info'!A129</f>
        <v>628</v>
      </c>
      <c r="C130" s="86" t="str">
        <f>'Student Basic Info'!C129</f>
        <v>Md. Nur Nabi Hasan Roni</v>
      </c>
      <c r="D130" s="89" t="str">
        <f>'Detailed Summary'!AK129</f>
        <v/>
      </c>
      <c r="E130" s="89" t="str">
        <f>'Detailed Summary'!AL129</f>
        <v/>
      </c>
      <c r="F130" s="89" t="str">
        <f>'Detailed Summary'!AM129</f>
        <v/>
      </c>
      <c r="G130" s="89" t="str">
        <f>'Detailed Summary'!AN129</f>
        <v/>
      </c>
      <c r="H130" s="89" t="str">
        <f>'Detailed Summary'!AO129</f>
        <v/>
      </c>
      <c r="I130" s="89" t="str">
        <f>'Detailed Summary'!AP129</f>
        <v/>
      </c>
      <c r="J130" s="89" t="str">
        <f>'Detailed Summary'!AR129</f>
        <v/>
      </c>
      <c r="K130" s="89" t="str">
        <f>'Detailed Summary'!AS129</f>
        <v/>
      </c>
      <c r="L130" s="39">
        <f>'Detailed Summary'!AU129</f>
        <v>0</v>
      </c>
      <c r="M130" s="87" t="str">
        <f>'Detailed Summary'!AV129</f>
        <v/>
      </c>
      <c r="N130" s="3" t="str">
        <f>'Detailed Summary'!BF129</f>
        <v>Failed in 6 Subjects</v>
      </c>
      <c r="O130" s="87" t="str">
        <f>'Detailed Summary'!AW129</f>
        <v/>
      </c>
      <c r="P130" s="5" t="str">
        <f>'Detailed Summary'!BG129</f>
        <v/>
      </c>
    </row>
    <row r="131" spans="2:16" hidden="1" x14ac:dyDescent="0.35">
      <c r="B131" s="88">
        <f>'Student Basic Info'!A130</f>
        <v>629</v>
      </c>
      <c r="C131" s="86" t="str">
        <f>'Student Basic Info'!C130</f>
        <v>Khaled Bin Rahmat</v>
      </c>
      <c r="D131" s="89" t="str">
        <f>'Detailed Summary'!AK130</f>
        <v/>
      </c>
      <c r="E131" s="89" t="str">
        <f>'Detailed Summary'!AL130</f>
        <v/>
      </c>
      <c r="F131" s="89" t="str">
        <f>'Detailed Summary'!AM130</f>
        <v/>
      </c>
      <c r="G131" s="89" t="str">
        <f>'Detailed Summary'!AN130</f>
        <v/>
      </c>
      <c r="H131" s="89" t="str">
        <f>'Detailed Summary'!AO130</f>
        <v/>
      </c>
      <c r="I131" s="89" t="str">
        <f>'Detailed Summary'!AP130</f>
        <v/>
      </c>
      <c r="J131" s="89" t="str">
        <f>'Detailed Summary'!AR130</f>
        <v/>
      </c>
      <c r="K131" s="89" t="str">
        <f>'Detailed Summary'!AS130</f>
        <v/>
      </c>
      <c r="L131" s="39">
        <f>'Detailed Summary'!AU130</f>
        <v>0</v>
      </c>
      <c r="M131" s="87" t="str">
        <f>'Detailed Summary'!AV130</f>
        <v/>
      </c>
      <c r="N131" s="3" t="str">
        <f>'Detailed Summary'!BF130</f>
        <v>Failed in 6 Subjects</v>
      </c>
      <c r="O131" s="87" t="str">
        <f>'Detailed Summary'!AW130</f>
        <v/>
      </c>
      <c r="P131" s="5" t="str">
        <f>'Detailed Summary'!BG130</f>
        <v/>
      </c>
    </row>
    <row r="132" spans="2:16" hidden="1" x14ac:dyDescent="0.35">
      <c r="B132" s="88">
        <f>'Student Basic Info'!A131</f>
        <v>630</v>
      </c>
      <c r="C132" s="86" t="str">
        <f>'Student Basic Info'!C131</f>
        <v>Fokhrul Islam</v>
      </c>
      <c r="D132" s="89" t="str">
        <f>'Detailed Summary'!AK131</f>
        <v/>
      </c>
      <c r="E132" s="89" t="str">
        <f>'Detailed Summary'!AL131</f>
        <v/>
      </c>
      <c r="F132" s="89" t="str">
        <f>'Detailed Summary'!AM131</f>
        <v/>
      </c>
      <c r="G132" s="89" t="str">
        <f>'Detailed Summary'!AN131</f>
        <v/>
      </c>
      <c r="H132" s="89" t="str">
        <f>'Detailed Summary'!AO131</f>
        <v/>
      </c>
      <c r="I132" s="89" t="str">
        <f>'Detailed Summary'!AP131</f>
        <v/>
      </c>
      <c r="J132" s="89" t="str">
        <f>'Detailed Summary'!AR131</f>
        <v/>
      </c>
      <c r="K132" s="89" t="str">
        <f>'Detailed Summary'!AS131</f>
        <v/>
      </c>
      <c r="L132" s="39">
        <f>'Detailed Summary'!AU131</f>
        <v>0</v>
      </c>
      <c r="M132" s="87" t="str">
        <f>'Detailed Summary'!AV131</f>
        <v/>
      </c>
      <c r="N132" s="3" t="str">
        <f>'Detailed Summary'!BF131</f>
        <v>Failed in 6 Subjects</v>
      </c>
      <c r="O132" s="87" t="str">
        <f>'Detailed Summary'!AW131</f>
        <v/>
      </c>
      <c r="P132" s="5" t="str">
        <f>'Detailed Summary'!BG131</f>
        <v/>
      </c>
    </row>
    <row r="133" spans="2:16" hidden="1" x14ac:dyDescent="0.35">
      <c r="B133" s="88">
        <f>'Student Basic Info'!A132</f>
        <v>631</v>
      </c>
      <c r="C133" s="86" t="str">
        <f>'Student Basic Info'!C132</f>
        <v>Zihad Hossain</v>
      </c>
      <c r="D133" s="89" t="str">
        <f>'Detailed Summary'!AK132</f>
        <v/>
      </c>
      <c r="E133" s="89" t="str">
        <f>'Detailed Summary'!AL132</f>
        <v/>
      </c>
      <c r="F133" s="89" t="str">
        <f>'Detailed Summary'!AM132</f>
        <v/>
      </c>
      <c r="G133" s="89" t="str">
        <f>'Detailed Summary'!AN132</f>
        <v/>
      </c>
      <c r="H133" s="89" t="str">
        <f>'Detailed Summary'!AO132</f>
        <v/>
      </c>
      <c r="I133" s="89" t="str">
        <f>'Detailed Summary'!AP132</f>
        <v/>
      </c>
      <c r="J133" s="89" t="str">
        <f>'Detailed Summary'!AR132</f>
        <v/>
      </c>
      <c r="K133" s="89" t="str">
        <f>'Detailed Summary'!AS132</f>
        <v/>
      </c>
      <c r="L133" s="39">
        <f>'Detailed Summary'!AU132</f>
        <v>0</v>
      </c>
      <c r="M133" s="87" t="str">
        <f>'Detailed Summary'!AV132</f>
        <v/>
      </c>
      <c r="N133" s="3" t="str">
        <f>'Detailed Summary'!BF132</f>
        <v>Failed in 6 Subjects</v>
      </c>
      <c r="O133" s="87" t="str">
        <f>'Detailed Summary'!AW132</f>
        <v/>
      </c>
      <c r="P133" s="5" t="str">
        <f>'Detailed Summary'!BG132</f>
        <v/>
      </c>
    </row>
    <row r="134" spans="2:16" hidden="1" x14ac:dyDescent="0.35">
      <c r="B134" s="88">
        <f>'Student Basic Info'!A133</f>
        <v>632</v>
      </c>
      <c r="C134" s="86" t="str">
        <f>'Student Basic Info'!C133</f>
        <v>Ayesha Khatun</v>
      </c>
      <c r="D134" s="89" t="str">
        <f>'Detailed Summary'!AK133</f>
        <v/>
      </c>
      <c r="E134" s="89" t="str">
        <f>'Detailed Summary'!AL133</f>
        <v/>
      </c>
      <c r="F134" s="89" t="str">
        <f>'Detailed Summary'!AM133</f>
        <v/>
      </c>
      <c r="G134" s="89" t="str">
        <f>'Detailed Summary'!AN133</f>
        <v/>
      </c>
      <c r="H134" s="89" t="str">
        <f>'Detailed Summary'!AO133</f>
        <v/>
      </c>
      <c r="I134" s="89" t="str">
        <f>'Detailed Summary'!AP133</f>
        <v/>
      </c>
      <c r="J134" s="89" t="str">
        <f>'Detailed Summary'!AR133</f>
        <v/>
      </c>
      <c r="K134" s="89" t="str">
        <f>'Detailed Summary'!AS133</f>
        <v/>
      </c>
      <c r="L134" s="39">
        <f>'Detailed Summary'!AU133</f>
        <v>0</v>
      </c>
      <c r="M134" s="87" t="str">
        <f>'Detailed Summary'!AV133</f>
        <v/>
      </c>
      <c r="N134" s="3" t="str">
        <f>'Detailed Summary'!BF133</f>
        <v>Failed in 6 Subjects</v>
      </c>
      <c r="O134" s="87" t="str">
        <f>'Detailed Summary'!AW133</f>
        <v/>
      </c>
      <c r="P134" s="5" t="str">
        <f>'Detailed Summary'!BG133</f>
        <v/>
      </c>
    </row>
    <row r="135" spans="2:16" hidden="1" x14ac:dyDescent="0.35">
      <c r="B135" s="88">
        <f>'Student Basic Info'!A134</f>
        <v>633</v>
      </c>
      <c r="C135" s="86" t="str">
        <f>'Student Basic Info'!C134</f>
        <v>Ismail Hossain</v>
      </c>
      <c r="D135" s="89" t="str">
        <f>'Detailed Summary'!AK134</f>
        <v/>
      </c>
      <c r="E135" s="89" t="str">
        <f>'Detailed Summary'!AL134</f>
        <v/>
      </c>
      <c r="F135" s="89" t="str">
        <f>'Detailed Summary'!AM134</f>
        <v/>
      </c>
      <c r="G135" s="89" t="str">
        <f>'Detailed Summary'!AN134</f>
        <v/>
      </c>
      <c r="H135" s="89" t="str">
        <f>'Detailed Summary'!AO134</f>
        <v/>
      </c>
      <c r="I135" s="89" t="str">
        <f>'Detailed Summary'!AP134</f>
        <v/>
      </c>
      <c r="J135" s="89" t="str">
        <f>'Detailed Summary'!AR134</f>
        <v/>
      </c>
      <c r="K135" s="89" t="str">
        <f>'Detailed Summary'!AS134</f>
        <v/>
      </c>
      <c r="L135" s="39">
        <f>'Detailed Summary'!AU134</f>
        <v>0</v>
      </c>
      <c r="M135" s="87" t="str">
        <f>'Detailed Summary'!AV134</f>
        <v/>
      </c>
      <c r="N135" s="3" t="str">
        <f>'Detailed Summary'!BF134</f>
        <v>Failed in 6 Subjects</v>
      </c>
      <c r="O135" s="87" t="str">
        <f>'Detailed Summary'!AW134</f>
        <v/>
      </c>
      <c r="P135" s="5" t="str">
        <f>'Detailed Summary'!BG134</f>
        <v/>
      </c>
    </row>
    <row r="136" spans="2:16" hidden="1" x14ac:dyDescent="0.35">
      <c r="B136" s="88">
        <f>'Student Basic Info'!A135</f>
        <v>634</v>
      </c>
      <c r="C136" s="86" t="str">
        <f>'Student Basic Info'!C135</f>
        <v>Md. Shahadat Hossain</v>
      </c>
      <c r="D136" s="89" t="str">
        <f>'Detailed Summary'!AK135</f>
        <v/>
      </c>
      <c r="E136" s="89" t="str">
        <f>'Detailed Summary'!AL135</f>
        <v/>
      </c>
      <c r="F136" s="89" t="str">
        <f>'Detailed Summary'!AM135</f>
        <v/>
      </c>
      <c r="G136" s="89" t="str">
        <f>'Detailed Summary'!AN135</f>
        <v/>
      </c>
      <c r="H136" s="89" t="str">
        <f>'Detailed Summary'!AO135</f>
        <v/>
      </c>
      <c r="I136" s="89" t="str">
        <f>'Detailed Summary'!AP135</f>
        <v/>
      </c>
      <c r="J136" s="89" t="str">
        <f>'Detailed Summary'!AR135</f>
        <v/>
      </c>
      <c r="K136" s="89" t="str">
        <f>'Detailed Summary'!AS135</f>
        <v/>
      </c>
      <c r="L136" s="39">
        <f>'Detailed Summary'!AU135</f>
        <v>0</v>
      </c>
      <c r="M136" s="87" t="str">
        <f>'Detailed Summary'!AV135</f>
        <v/>
      </c>
      <c r="N136" s="3" t="str">
        <f>'Detailed Summary'!BF135</f>
        <v>Failed in 6 Subjects</v>
      </c>
      <c r="O136" s="87" t="str">
        <f>'Detailed Summary'!AW135</f>
        <v/>
      </c>
      <c r="P136" s="5" t="str">
        <f>'Detailed Summary'!BG135</f>
        <v/>
      </c>
    </row>
    <row r="137" spans="2:16" hidden="1" x14ac:dyDescent="0.35">
      <c r="B137" s="88">
        <f>'Student Basic Info'!A136</f>
        <v>635</v>
      </c>
      <c r="C137" s="86" t="str">
        <f>'Student Basic Info'!C136</f>
        <v>Tabzid Mahmud</v>
      </c>
      <c r="D137" s="89" t="str">
        <f>'Detailed Summary'!AK136</f>
        <v/>
      </c>
      <c r="E137" s="89" t="str">
        <f>'Detailed Summary'!AL136</f>
        <v/>
      </c>
      <c r="F137" s="89" t="str">
        <f>'Detailed Summary'!AM136</f>
        <v/>
      </c>
      <c r="G137" s="89" t="str">
        <f>'Detailed Summary'!AN136</f>
        <v/>
      </c>
      <c r="H137" s="89" t="str">
        <f>'Detailed Summary'!AO136</f>
        <v/>
      </c>
      <c r="I137" s="89" t="str">
        <f>'Detailed Summary'!AP136</f>
        <v/>
      </c>
      <c r="J137" s="89" t="str">
        <f>'Detailed Summary'!AR136</f>
        <v/>
      </c>
      <c r="K137" s="89" t="str">
        <f>'Detailed Summary'!AS136</f>
        <v/>
      </c>
      <c r="L137" s="39">
        <f>'Detailed Summary'!AU136</f>
        <v>0</v>
      </c>
      <c r="M137" s="87" t="str">
        <f>'Detailed Summary'!AV136</f>
        <v/>
      </c>
      <c r="N137" s="3" t="str">
        <f>'Detailed Summary'!BF136</f>
        <v>Failed in 6 Subjects</v>
      </c>
      <c r="O137" s="87" t="str">
        <f>'Detailed Summary'!AW136</f>
        <v/>
      </c>
      <c r="P137" s="5" t="str">
        <f>'Detailed Summary'!BG136</f>
        <v/>
      </c>
    </row>
    <row r="138" spans="2:16" hidden="1" x14ac:dyDescent="0.35">
      <c r="B138" s="88">
        <f>'Student Basic Info'!A137</f>
        <v>636</v>
      </c>
      <c r="C138" s="86" t="str">
        <f>'Student Basic Info'!C137</f>
        <v>Md. Ariful Islam</v>
      </c>
      <c r="D138" s="89" t="str">
        <f>'Detailed Summary'!AK137</f>
        <v/>
      </c>
      <c r="E138" s="89" t="str">
        <f>'Detailed Summary'!AL137</f>
        <v/>
      </c>
      <c r="F138" s="89" t="str">
        <f>'Detailed Summary'!AM137</f>
        <v/>
      </c>
      <c r="G138" s="89" t="str">
        <f>'Detailed Summary'!AN137</f>
        <v/>
      </c>
      <c r="H138" s="89" t="str">
        <f>'Detailed Summary'!AO137</f>
        <v/>
      </c>
      <c r="I138" s="89" t="str">
        <f>'Detailed Summary'!AP137</f>
        <v/>
      </c>
      <c r="J138" s="89" t="str">
        <f>'Detailed Summary'!AR137</f>
        <v/>
      </c>
      <c r="K138" s="89" t="str">
        <f>'Detailed Summary'!AS137</f>
        <v/>
      </c>
      <c r="L138" s="39">
        <f>'Detailed Summary'!AU137</f>
        <v>0</v>
      </c>
      <c r="M138" s="87" t="str">
        <f>'Detailed Summary'!AV137</f>
        <v/>
      </c>
      <c r="N138" s="3" t="str">
        <f>'Detailed Summary'!BF137</f>
        <v>Failed in 6 Subjects</v>
      </c>
      <c r="O138" s="87" t="str">
        <f>'Detailed Summary'!AW137</f>
        <v/>
      </c>
      <c r="P138" s="5" t="str">
        <f>'Detailed Summary'!BG137</f>
        <v/>
      </c>
    </row>
    <row r="139" spans="2:16" hidden="1" x14ac:dyDescent="0.35">
      <c r="B139" s="88">
        <f>'Student Basic Info'!A138</f>
        <v>637</v>
      </c>
      <c r="C139" s="86" t="str">
        <f>'Student Basic Info'!C138</f>
        <v>Mostafizur Rahman</v>
      </c>
      <c r="D139" s="89">
        <f>'Detailed Summary'!AK138</f>
        <v>1</v>
      </c>
      <c r="E139" s="89">
        <f>'Detailed Summary'!AL138</f>
        <v>0</v>
      </c>
      <c r="F139" s="89">
        <f>'Detailed Summary'!AM138</f>
        <v>0</v>
      </c>
      <c r="G139" s="89">
        <f>'Detailed Summary'!AN138</f>
        <v>0</v>
      </c>
      <c r="H139" s="89">
        <f>'Detailed Summary'!AO138</f>
        <v>0</v>
      </c>
      <c r="I139" s="89">
        <f>'Detailed Summary'!AP138</f>
        <v>0</v>
      </c>
      <c r="J139" s="89">
        <f>'Detailed Summary'!AR138</f>
        <v>0</v>
      </c>
      <c r="K139" s="89">
        <f>'Detailed Summary'!AS138</f>
        <v>0</v>
      </c>
      <c r="L139" s="39">
        <f>'Detailed Summary'!AU138</f>
        <v>1</v>
      </c>
      <c r="M139" s="87" t="str">
        <f>'Detailed Summary'!AV138</f>
        <v/>
      </c>
      <c r="N139" s="3" t="str">
        <f>'Detailed Summary'!BF138</f>
        <v>Failed in 5 Subjects</v>
      </c>
      <c r="O139" s="87" t="str">
        <f>'Detailed Summary'!AW138</f>
        <v/>
      </c>
      <c r="P139" s="5" t="str">
        <f>'Detailed Summary'!BG138</f>
        <v/>
      </c>
    </row>
    <row r="140" spans="2:16" hidden="1" x14ac:dyDescent="0.35">
      <c r="B140" s="88">
        <f>'Student Basic Info'!A139</f>
        <v>638</v>
      </c>
      <c r="C140" s="86" t="str">
        <f>'Student Basic Info'!C139</f>
        <v xml:space="preserve">Md. Al Amin </v>
      </c>
      <c r="D140" s="89">
        <f>'Detailed Summary'!AK139</f>
        <v>1</v>
      </c>
      <c r="E140" s="89">
        <f>'Detailed Summary'!AL139</f>
        <v>0</v>
      </c>
      <c r="F140" s="89">
        <f>'Detailed Summary'!AM139</f>
        <v>0</v>
      </c>
      <c r="G140" s="89">
        <f>'Detailed Summary'!AN139</f>
        <v>0</v>
      </c>
      <c r="H140" s="89">
        <f>'Detailed Summary'!AO139</f>
        <v>0</v>
      </c>
      <c r="I140" s="89" t="str">
        <f>'Detailed Summary'!AP139</f>
        <v/>
      </c>
      <c r="J140" s="89">
        <f>'Detailed Summary'!AR139</f>
        <v>0</v>
      </c>
      <c r="K140" s="89">
        <f>'Detailed Summary'!AS139</f>
        <v>0</v>
      </c>
      <c r="L140" s="39">
        <f>'Detailed Summary'!AU139</f>
        <v>1</v>
      </c>
      <c r="M140" s="87" t="str">
        <f>'Detailed Summary'!AV139</f>
        <v/>
      </c>
      <c r="N140" s="3" t="str">
        <f>'Detailed Summary'!BF139</f>
        <v>Failed in 5 Subjects</v>
      </c>
      <c r="O140" s="87" t="str">
        <f>'Detailed Summary'!AW139</f>
        <v/>
      </c>
      <c r="P140" s="5" t="str">
        <f>'Detailed Summary'!BG139</f>
        <v/>
      </c>
    </row>
    <row r="141" spans="2:16" hidden="1" x14ac:dyDescent="0.35">
      <c r="B141" s="88">
        <f>'Student Basic Info'!A140</f>
        <v>639</v>
      </c>
      <c r="C141" s="86" t="str">
        <f>'Student Basic Info'!C140</f>
        <v>Bibi Fatema Khatun</v>
      </c>
      <c r="D141" s="89" t="str">
        <f>'Detailed Summary'!AK140</f>
        <v/>
      </c>
      <c r="E141" s="89" t="str">
        <f>'Detailed Summary'!AL140</f>
        <v/>
      </c>
      <c r="F141" s="89" t="str">
        <f>'Detailed Summary'!AM140</f>
        <v/>
      </c>
      <c r="G141" s="89" t="str">
        <f>'Detailed Summary'!AN140</f>
        <v/>
      </c>
      <c r="H141" s="89" t="str">
        <f>'Detailed Summary'!AO140</f>
        <v/>
      </c>
      <c r="I141" s="89" t="str">
        <f>'Detailed Summary'!AP140</f>
        <v/>
      </c>
      <c r="J141" s="89" t="str">
        <f>'Detailed Summary'!AR140</f>
        <v/>
      </c>
      <c r="K141" s="89" t="str">
        <f>'Detailed Summary'!AS140</f>
        <v/>
      </c>
      <c r="L141" s="39">
        <f>'Detailed Summary'!AU140</f>
        <v>0</v>
      </c>
      <c r="M141" s="87" t="str">
        <f>'Detailed Summary'!AV140</f>
        <v/>
      </c>
      <c r="N141" s="3" t="str">
        <f>'Detailed Summary'!BF140</f>
        <v>Failed in 6 Subjects</v>
      </c>
      <c r="O141" s="87" t="str">
        <f>'Detailed Summary'!AW140</f>
        <v/>
      </c>
      <c r="P141" s="5" t="str">
        <f>'Detailed Summary'!BG140</f>
        <v/>
      </c>
    </row>
    <row r="142" spans="2:16" hidden="1" x14ac:dyDescent="0.35">
      <c r="B142" s="88">
        <f>'Student Basic Info'!A141</f>
        <v>640</v>
      </c>
      <c r="C142" s="86" t="str">
        <f>'Student Basic Info'!C141</f>
        <v>Sazzad Hossain Sanzid</v>
      </c>
      <c r="D142" s="89" t="str">
        <f>'Detailed Summary'!AK141</f>
        <v/>
      </c>
      <c r="E142" s="89" t="str">
        <f>'Detailed Summary'!AL141</f>
        <v/>
      </c>
      <c r="F142" s="89" t="str">
        <f>'Detailed Summary'!AM141</f>
        <v/>
      </c>
      <c r="G142" s="89" t="str">
        <f>'Detailed Summary'!AN141</f>
        <v/>
      </c>
      <c r="H142" s="89" t="str">
        <f>'Detailed Summary'!AO141</f>
        <v/>
      </c>
      <c r="I142" s="89" t="str">
        <f>'Detailed Summary'!AP141</f>
        <v/>
      </c>
      <c r="J142" s="89" t="str">
        <f>'Detailed Summary'!AR141</f>
        <v/>
      </c>
      <c r="K142" s="89" t="str">
        <f>'Detailed Summary'!AS141</f>
        <v/>
      </c>
      <c r="L142" s="39">
        <f>'Detailed Summary'!AU141</f>
        <v>0</v>
      </c>
      <c r="M142" s="87" t="str">
        <f>'Detailed Summary'!AV141</f>
        <v/>
      </c>
      <c r="N142" s="3" t="str">
        <f>'Detailed Summary'!BF141</f>
        <v>Failed in 6 Subjects</v>
      </c>
      <c r="O142" s="87" t="str">
        <f>'Detailed Summary'!AW141</f>
        <v/>
      </c>
      <c r="P142" s="5" t="str">
        <f>'Detailed Summary'!BG141</f>
        <v/>
      </c>
    </row>
    <row r="143" spans="2:16" hidden="1" x14ac:dyDescent="0.35">
      <c r="B143" s="88">
        <f>'Student Basic Info'!A142</f>
        <v>641</v>
      </c>
      <c r="C143" s="86" t="str">
        <f>'Student Basic Info'!C142</f>
        <v>Md. Sohrab Hossain</v>
      </c>
      <c r="D143" s="89">
        <f>'Detailed Summary'!AK142</f>
        <v>2</v>
      </c>
      <c r="E143" s="89">
        <f>'Detailed Summary'!AL142</f>
        <v>1</v>
      </c>
      <c r="F143" s="89">
        <f>'Detailed Summary'!AM142</f>
        <v>3.5</v>
      </c>
      <c r="G143" s="89">
        <f>'Detailed Summary'!AN142</f>
        <v>0</v>
      </c>
      <c r="H143" s="89">
        <f>'Detailed Summary'!AO142</f>
        <v>0</v>
      </c>
      <c r="I143" s="89">
        <f>'Detailed Summary'!AP142</f>
        <v>2</v>
      </c>
      <c r="J143" s="89">
        <f>'Detailed Summary'!AR142</f>
        <v>0</v>
      </c>
      <c r="K143" s="89">
        <f>'Detailed Summary'!AS142</f>
        <v>0</v>
      </c>
      <c r="L143" s="39">
        <f>'Detailed Summary'!AU142</f>
        <v>8.5</v>
      </c>
      <c r="M143" s="87" t="str">
        <f>'Detailed Summary'!AV142</f>
        <v/>
      </c>
      <c r="N143" s="3" t="str">
        <f>'Detailed Summary'!BF142</f>
        <v>Failed in 2 Subjects</v>
      </c>
      <c r="O143" s="87" t="str">
        <f>'Detailed Summary'!AW142</f>
        <v/>
      </c>
      <c r="P143" s="5" t="str">
        <f>'Detailed Summary'!BG142</f>
        <v/>
      </c>
    </row>
    <row r="144" spans="2:16" hidden="1" x14ac:dyDescent="0.35">
      <c r="B144" s="88">
        <f>'Student Basic Info'!A143</f>
        <v>642</v>
      </c>
      <c r="C144" s="86" t="str">
        <f>'Student Basic Info'!C143</f>
        <v>Jannatul Nure Hafsa</v>
      </c>
      <c r="D144" s="89">
        <f>'Detailed Summary'!AK143</f>
        <v>0</v>
      </c>
      <c r="E144" s="89">
        <f>'Detailed Summary'!AL143</f>
        <v>0</v>
      </c>
      <c r="F144" s="89">
        <f>'Detailed Summary'!AM143</f>
        <v>0</v>
      </c>
      <c r="G144" s="89">
        <f>'Detailed Summary'!AN143</f>
        <v>2</v>
      </c>
      <c r="H144" s="89">
        <f>'Detailed Summary'!AO143</f>
        <v>2</v>
      </c>
      <c r="I144" s="89">
        <f>'Detailed Summary'!AP143</f>
        <v>0</v>
      </c>
      <c r="J144" s="89">
        <f>'Detailed Summary'!AR143</f>
        <v>1</v>
      </c>
      <c r="K144" s="89">
        <f>'Detailed Summary'!AS143</f>
        <v>0</v>
      </c>
      <c r="L144" s="39">
        <f>'Detailed Summary'!AU143</f>
        <v>4</v>
      </c>
      <c r="M144" s="87" t="str">
        <f>'Detailed Summary'!AV143</f>
        <v/>
      </c>
      <c r="N144" s="3" t="str">
        <f>'Detailed Summary'!BF143</f>
        <v>Failed in 4 Subjects</v>
      </c>
      <c r="O144" s="87" t="str">
        <f>'Detailed Summary'!AW143</f>
        <v/>
      </c>
      <c r="P144" s="5" t="str">
        <f>'Detailed Summary'!BG143</f>
        <v/>
      </c>
    </row>
    <row r="145" spans="2:16" hidden="1" x14ac:dyDescent="0.35">
      <c r="B145" s="88">
        <f>'Student Basic Info'!A144</f>
        <v>643</v>
      </c>
      <c r="C145" s="86">
        <f>'Student Basic Info'!C144</f>
        <v>0</v>
      </c>
      <c r="D145" s="89" t="str">
        <f>'Detailed Summary'!AK144</f>
        <v/>
      </c>
      <c r="E145" s="89" t="str">
        <f>'Detailed Summary'!AL144</f>
        <v/>
      </c>
      <c r="F145" s="89" t="str">
        <f>'Detailed Summary'!AM144</f>
        <v/>
      </c>
      <c r="G145" s="89" t="str">
        <f>'Detailed Summary'!AN144</f>
        <v/>
      </c>
      <c r="H145" s="89" t="str">
        <f>'Detailed Summary'!AO144</f>
        <v/>
      </c>
      <c r="I145" s="89" t="str">
        <f>'Detailed Summary'!AP144</f>
        <v/>
      </c>
      <c r="J145" s="89" t="str">
        <f>'Detailed Summary'!AR144</f>
        <v/>
      </c>
      <c r="K145" s="89" t="str">
        <f>'Detailed Summary'!AS144</f>
        <v/>
      </c>
      <c r="L145" s="39">
        <f>'Detailed Summary'!AU144</f>
        <v>0</v>
      </c>
      <c r="M145" s="87" t="str">
        <f>'Detailed Summary'!AV144</f>
        <v/>
      </c>
      <c r="N145" s="3" t="str">
        <f>'Detailed Summary'!BF144</f>
        <v>Failed in 6 Subjects</v>
      </c>
      <c r="O145" s="87" t="str">
        <f>'Detailed Summary'!AW144</f>
        <v/>
      </c>
      <c r="P145" s="5" t="str">
        <f>'Detailed Summary'!BG144</f>
        <v/>
      </c>
    </row>
    <row r="146" spans="2:16" hidden="1" x14ac:dyDescent="0.35">
      <c r="B146" s="88">
        <f>'Student Basic Info'!A145</f>
        <v>644</v>
      </c>
      <c r="C146" s="86" t="str">
        <f>'Student Basic Info'!C145</f>
        <v>Khadiza Aktar</v>
      </c>
      <c r="D146" s="89">
        <f>'Detailed Summary'!AK145</f>
        <v>0</v>
      </c>
      <c r="E146" s="89">
        <f>'Detailed Summary'!AL145</f>
        <v>0</v>
      </c>
      <c r="F146" s="89">
        <f>'Detailed Summary'!AM145</f>
        <v>0</v>
      </c>
      <c r="G146" s="89">
        <f>'Detailed Summary'!AN145</f>
        <v>0</v>
      </c>
      <c r="H146" s="89">
        <f>'Detailed Summary'!AO145</f>
        <v>0</v>
      </c>
      <c r="I146" s="89">
        <f>'Detailed Summary'!AP145</f>
        <v>0</v>
      </c>
      <c r="J146" s="89">
        <f>'Detailed Summary'!AR145</f>
        <v>0</v>
      </c>
      <c r="K146" s="89">
        <f>'Detailed Summary'!AS145</f>
        <v>0</v>
      </c>
      <c r="L146" s="39">
        <f>'Detailed Summary'!AU145</f>
        <v>0</v>
      </c>
      <c r="M146" s="87" t="str">
        <f>'Detailed Summary'!AV145</f>
        <v/>
      </c>
      <c r="N146" s="3" t="str">
        <f>'Detailed Summary'!BF145</f>
        <v>Failed in 6 Subjects</v>
      </c>
      <c r="O146" s="87" t="str">
        <f>'Detailed Summary'!AW145</f>
        <v/>
      </c>
      <c r="P146" s="5" t="str">
        <f>'Detailed Summary'!BG145</f>
        <v/>
      </c>
    </row>
  </sheetData>
  <autoFilter ref="N1:N146">
    <filterColumn colId="0">
      <filters>
        <filter val="Failed in 1 Subject"/>
        <filter val="Result"/>
      </filters>
    </filterColumn>
  </autoFilter>
  <mergeCells count="1">
    <mergeCell ref="A1:P1"/>
  </mergeCells>
  <conditionalFormatting sqref="M3:M146 O3:O146">
    <cfRule type="cellIs" dxfId="6" priority="2" operator="between">
      <formula>1</formula>
      <formula>5</formula>
    </cfRule>
  </conditionalFormatting>
  <conditionalFormatting sqref="N3:N146">
    <cfRule type="containsText" dxfId="5" priority="1" operator="containsText" text="Pass">
      <formula>NOT(ISERROR(SEARCH("Pass",N3)))</formula>
    </cfRule>
  </conditionalFormatting>
  <pageMargins left="1.08" right="0.76" top="1.98" bottom="0.75" header="0.34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46"/>
  <sheetViews>
    <sheetView zoomScaleNormal="100" workbookViewId="0">
      <selection activeCell="S147" sqref="S147"/>
    </sheetView>
  </sheetViews>
  <sheetFormatPr defaultRowHeight="14.5" x14ac:dyDescent="0.35"/>
  <cols>
    <col min="1" max="1" width="4.54296875" customWidth="1"/>
    <col min="2" max="2" width="10.90625" style="104" customWidth="1"/>
    <col min="3" max="3" width="21.7265625" style="104" customWidth="1"/>
    <col min="4" max="4" width="0" style="104" hidden="1" customWidth="1"/>
    <col min="5" max="5" width="16.54296875" style="104" hidden="1" customWidth="1"/>
    <col min="6" max="6" width="0" style="104" hidden="1" customWidth="1"/>
    <col min="7" max="7" width="10.08984375" style="104" hidden="1" customWidth="1"/>
    <col min="8" max="8" width="12" style="104" hidden="1" customWidth="1"/>
    <col min="9" max="11" width="0" style="104" hidden="1" customWidth="1"/>
    <col min="12" max="12" width="0" hidden="1" customWidth="1"/>
    <col min="13" max="13" width="10.36328125" hidden="1" customWidth="1"/>
    <col min="14" max="14" width="20.1796875" customWidth="1"/>
    <col min="15" max="15" width="10.90625" customWidth="1"/>
    <col min="16" max="16" width="14.1796875" customWidth="1"/>
  </cols>
  <sheetData>
    <row r="1" spans="1:16" ht="141" customHeight="1" x14ac:dyDescent="0.45">
      <c r="A1" s="157" t="s">
        <v>876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x14ac:dyDescent="0.35">
      <c r="A2" s="13" t="s">
        <v>871</v>
      </c>
      <c r="B2" s="13" t="s">
        <v>0</v>
      </c>
      <c r="C2" s="13" t="s">
        <v>34</v>
      </c>
      <c r="D2" s="13" t="s">
        <v>12</v>
      </c>
      <c r="E2" s="13" t="s">
        <v>13</v>
      </c>
      <c r="F2" s="13" t="s">
        <v>14</v>
      </c>
      <c r="G2" s="13" t="s">
        <v>181</v>
      </c>
      <c r="H2" s="13" t="s">
        <v>870</v>
      </c>
      <c r="I2" s="13" t="s">
        <v>18</v>
      </c>
      <c r="J2" s="13" t="s">
        <v>19</v>
      </c>
      <c r="K2" s="13" t="s">
        <v>869</v>
      </c>
      <c r="L2" s="13" t="s">
        <v>866</v>
      </c>
      <c r="M2" s="84" t="s">
        <v>867</v>
      </c>
      <c r="N2" s="85" t="s">
        <v>7</v>
      </c>
      <c r="O2" s="85" t="s">
        <v>9</v>
      </c>
      <c r="P2" s="85" t="s">
        <v>868</v>
      </c>
    </row>
    <row r="3" spans="1:16" hidden="1" x14ac:dyDescent="0.35">
      <c r="B3" s="88">
        <f>'Student Basic Info'!A2</f>
        <v>501</v>
      </c>
      <c r="C3" s="86" t="str">
        <f>'Student Basic Info'!C2</f>
        <v xml:space="preserve">Robiul Sani </v>
      </c>
      <c r="D3" s="89" t="str">
        <f>'Detailed Summary'!AK2</f>
        <v/>
      </c>
      <c r="E3" s="89" t="str">
        <f>'Detailed Summary'!AL2</f>
        <v/>
      </c>
      <c r="F3" s="89" t="str">
        <f>'Detailed Summary'!AM2</f>
        <v/>
      </c>
      <c r="G3" s="89" t="str">
        <f>'Detailed Summary'!AN2</f>
        <v/>
      </c>
      <c r="H3" s="89" t="str">
        <f>'Detailed Summary'!AO2</f>
        <v/>
      </c>
      <c r="I3" s="89" t="str">
        <f>'Detailed Summary'!AP2</f>
        <v/>
      </c>
      <c r="J3" s="89" t="str">
        <f>'Detailed Summary'!AR2</f>
        <v/>
      </c>
      <c r="K3" s="89" t="str">
        <f>'Detailed Summary'!AS2</f>
        <v/>
      </c>
      <c r="L3" s="39">
        <f>'Detailed Summary'!AU2</f>
        <v>0</v>
      </c>
      <c r="M3" s="87" t="str">
        <f>'Detailed Summary'!AV2</f>
        <v/>
      </c>
      <c r="N3" s="3" t="str">
        <f>'Detailed Summary'!BF2</f>
        <v>Failed in 6 Subjects</v>
      </c>
      <c r="O3" s="87" t="str">
        <f>'Detailed Summary'!AW2</f>
        <v/>
      </c>
      <c r="P3" s="5" t="str">
        <f>'Detailed Summary'!BG2</f>
        <v/>
      </c>
    </row>
    <row r="4" spans="1:16" hidden="1" x14ac:dyDescent="0.35">
      <c r="B4" s="88">
        <f>'Student Basic Info'!A3</f>
        <v>502</v>
      </c>
      <c r="C4" s="86" t="str">
        <f>'Student Basic Info'!C3</f>
        <v>Shakhawat Hosain</v>
      </c>
      <c r="D4" s="89" t="str">
        <f>'Detailed Summary'!AK3</f>
        <v/>
      </c>
      <c r="E4" s="89" t="str">
        <f>'Detailed Summary'!AL3</f>
        <v/>
      </c>
      <c r="F4" s="89" t="str">
        <f>'Detailed Summary'!AM3</f>
        <v/>
      </c>
      <c r="G4" s="89" t="str">
        <f>'Detailed Summary'!AN3</f>
        <v/>
      </c>
      <c r="H4" s="89" t="str">
        <f>'Detailed Summary'!AO3</f>
        <v/>
      </c>
      <c r="I4" s="89" t="str">
        <f>'Detailed Summary'!AP3</f>
        <v/>
      </c>
      <c r="J4" s="89" t="str">
        <f>'Detailed Summary'!AR3</f>
        <v/>
      </c>
      <c r="K4" s="89" t="str">
        <f>'Detailed Summary'!AS3</f>
        <v/>
      </c>
      <c r="L4" s="39">
        <f>'Detailed Summary'!AU3</f>
        <v>0</v>
      </c>
      <c r="M4" s="87" t="str">
        <f>'Detailed Summary'!AV3</f>
        <v/>
      </c>
      <c r="N4" s="3" t="str">
        <f>'Detailed Summary'!BF3</f>
        <v>Failed in 6 Subjects</v>
      </c>
      <c r="O4" s="87" t="str">
        <f>'Detailed Summary'!AW3</f>
        <v/>
      </c>
      <c r="P4" s="5" t="str">
        <f>'Detailed Summary'!BG3</f>
        <v/>
      </c>
    </row>
    <row r="5" spans="1:16" hidden="1" x14ac:dyDescent="0.35">
      <c r="B5" s="88">
        <f>'Student Basic Info'!A4</f>
        <v>503</v>
      </c>
      <c r="C5" s="86" t="str">
        <f>'Student Basic Info'!C4</f>
        <v>Nusrat Sultana</v>
      </c>
      <c r="D5" s="89">
        <f>'Detailed Summary'!AK4</f>
        <v>3</v>
      </c>
      <c r="E5" s="89">
        <f>'Detailed Summary'!AL4</f>
        <v>1</v>
      </c>
      <c r="F5" s="89">
        <f>'Detailed Summary'!AM4</f>
        <v>2</v>
      </c>
      <c r="G5" s="89">
        <f>'Detailed Summary'!AN4</f>
        <v>1</v>
      </c>
      <c r="H5" s="89">
        <f>'Detailed Summary'!AO4</f>
        <v>1</v>
      </c>
      <c r="I5" s="89">
        <f>'Detailed Summary'!AP4</f>
        <v>1</v>
      </c>
      <c r="J5" s="89">
        <f>'Detailed Summary'!AR4</f>
        <v>2</v>
      </c>
      <c r="K5" s="89">
        <f>'Detailed Summary'!AS4</f>
        <v>0</v>
      </c>
      <c r="L5" s="39">
        <f>'Detailed Summary'!AU4</f>
        <v>9</v>
      </c>
      <c r="M5" s="87">
        <f>'Detailed Summary'!AV4</f>
        <v>1.5</v>
      </c>
      <c r="N5" s="3" t="str">
        <f>'Detailed Summary'!BF4</f>
        <v>Pass</v>
      </c>
      <c r="O5" s="87">
        <f>'Detailed Summary'!AW4</f>
        <v>1.5</v>
      </c>
      <c r="P5" s="5">
        <f>'Detailed Summary'!BG4</f>
        <v>12</v>
      </c>
    </row>
    <row r="6" spans="1:16" hidden="1" x14ac:dyDescent="0.35">
      <c r="B6" s="88">
        <f>'Student Basic Info'!A5</f>
        <v>504</v>
      </c>
      <c r="C6" s="86" t="str">
        <f>'Student Basic Info'!C5</f>
        <v>Nusrat Zahan</v>
      </c>
      <c r="D6" s="89">
        <f>'Detailed Summary'!AK5</f>
        <v>3</v>
      </c>
      <c r="E6" s="89">
        <f>'Detailed Summary'!AL5</f>
        <v>0</v>
      </c>
      <c r="F6" s="89">
        <f>'Detailed Summary'!AM5</f>
        <v>0</v>
      </c>
      <c r="G6" s="89">
        <f>'Detailed Summary'!AN5</f>
        <v>0</v>
      </c>
      <c r="H6" s="89">
        <f>'Detailed Summary'!AO5</f>
        <v>0</v>
      </c>
      <c r="I6" s="89">
        <f>'Detailed Summary'!AP5</f>
        <v>2</v>
      </c>
      <c r="J6" s="89">
        <f>'Detailed Summary'!AR5</f>
        <v>2</v>
      </c>
      <c r="K6" s="89">
        <f>'Detailed Summary'!AS5</f>
        <v>0</v>
      </c>
      <c r="L6" s="39">
        <f>'Detailed Summary'!AU5</f>
        <v>5</v>
      </c>
      <c r="M6" s="87" t="str">
        <f>'Detailed Summary'!AV5</f>
        <v/>
      </c>
      <c r="N6" s="3" t="str">
        <f>'Detailed Summary'!BF5</f>
        <v>Failed in 4 Subjects</v>
      </c>
      <c r="O6" s="87" t="str">
        <f>'Detailed Summary'!AW5</f>
        <v/>
      </c>
      <c r="P6" s="5" t="str">
        <f>'Detailed Summary'!BG5</f>
        <v/>
      </c>
    </row>
    <row r="7" spans="1:16" hidden="1" x14ac:dyDescent="0.35">
      <c r="B7" s="88">
        <f>'Student Basic Info'!A6</f>
        <v>505</v>
      </c>
      <c r="C7" s="86" t="str">
        <f>'Student Basic Info'!C6</f>
        <v>Istiaque Mahmud</v>
      </c>
      <c r="D7" s="89" t="str">
        <f>'Detailed Summary'!AK6</f>
        <v/>
      </c>
      <c r="E7" s="89" t="str">
        <f>'Detailed Summary'!AL6</f>
        <v/>
      </c>
      <c r="F7" s="89" t="str">
        <f>'Detailed Summary'!AM6</f>
        <v/>
      </c>
      <c r="G7" s="89" t="str">
        <f>'Detailed Summary'!AN6</f>
        <v/>
      </c>
      <c r="H7" s="89" t="str">
        <f>'Detailed Summary'!AO6</f>
        <v/>
      </c>
      <c r="I7" s="89" t="str">
        <f>'Detailed Summary'!AP6</f>
        <v/>
      </c>
      <c r="J7" s="89" t="str">
        <f>'Detailed Summary'!AR6</f>
        <v/>
      </c>
      <c r="K7" s="89" t="str">
        <f>'Detailed Summary'!AS6</f>
        <v/>
      </c>
      <c r="L7" s="39">
        <f>'Detailed Summary'!AU6</f>
        <v>0</v>
      </c>
      <c r="M7" s="87" t="str">
        <f>'Detailed Summary'!AV6</f>
        <v/>
      </c>
      <c r="N7" s="3" t="str">
        <f>'Detailed Summary'!BF6</f>
        <v>Failed in 6 Subjects</v>
      </c>
      <c r="O7" s="87" t="str">
        <f>'Detailed Summary'!AW6</f>
        <v/>
      </c>
      <c r="P7" s="5" t="str">
        <f>'Detailed Summary'!BG6</f>
        <v/>
      </c>
    </row>
    <row r="8" spans="1:16" hidden="1" x14ac:dyDescent="0.35">
      <c r="B8" s="88">
        <f>'Student Basic Info'!A7</f>
        <v>506</v>
      </c>
      <c r="C8" s="86" t="str">
        <f>'Student Basic Info'!C7</f>
        <v>Naznin Aktar</v>
      </c>
      <c r="D8" s="89" t="str">
        <f>'Detailed Summary'!AK7</f>
        <v/>
      </c>
      <c r="E8" s="89" t="str">
        <f>'Detailed Summary'!AL7</f>
        <v/>
      </c>
      <c r="F8" s="89" t="str">
        <f>'Detailed Summary'!AM7</f>
        <v/>
      </c>
      <c r="G8" s="89" t="str">
        <f>'Detailed Summary'!AN7</f>
        <v/>
      </c>
      <c r="H8" s="89" t="str">
        <f>'Detailed Summary'!AO7</f>
        <v/>
      </c>
      <c r="I8" s="89" t="str">
        <f>'Detailed Summary'!AP7</f>
        <v/>
      </c>
      <c r="J8" s="89" t="str">
        <f>'Detailed Summary'!AR7</f>
        <v/>
      </c>
      <c r="K8" s="89" t="str">
        <f>'Detailed Summary'!AS7</f>
        <v/>
      </c>
      <c r="L8" s="39">
        <f>'Detailed Summary'!AU7</f>
        <v>0</v>
      </c>
      <c r="M8" s="87" t="str">
        <f>'Detailed Summary'!AV7</f>
        <v/>
      </c>
      <c r="N8" s="3" t="str">
        <f>'Detailed Summary'!BF7</f>
        <v>Failed in 6 Subjects</v>
      </c>
      <c r="O8" s="87" t="str">
        <f>'Detailed Summary'!AW7</f>
        <v/>
      </c>
      <c r="P8" s="5" t="str">
        <f>'Detailed Summary'!BG7</f>
        <v/>
      </c>
    </row>
    <row r="9" spans="1:16" hidden="1" x14ac:dyDescent="0.35">
      <c r="A9" s="105">
        <v>1</v>
      </c>
      <c r="B9" s="105">
        <f>'Student Basic Info'!A23</f>
        <v>522</v>
      </c>
      <c r="C9" s="106" t="str">
        <f>'Student Basic Info'!C23</f>
        <v>Sumaiya Ferdaus Neha</v>
      </c>
      <c r="D9" s="89">
        <f>'Detailed Summary'!AK23</f>
        <v>3.5</v>
      </c>
      <c r="E9" s="89">
        <f>'Detailed Summary'!AL23</f>
        <v>3</v>
      </c>
      <c r="F9" s="89">
        <f>'Detailed Summary'!AM23</f>
        <v>5</v>
      </c>
      <c r="G9" s="89">
        <f>'Detailed Summary'!AN23</f>
        <v>3.5</v>
      </c>
      <c r="H9" s="89">
        <f>'Detailed Summary'!AO23</f>
        <v>4</v>
      </c>
      <c r="I9" s="89">
        <f>'Detailed Summary'!AP23</f>
        <v>3.5</v>
      </c>
      <c r="J9" s="89">
        <f>'Detailed Summary'!AR23</f>
        <v>5</v>
      </c>
      <c r="K9" s="89">
        <f>'Detailed Summary'!AS23</f>
        <v>3</v>
      </c>
      <c r="L9" s="39">
        <f>'Detailed Summary'!AU23</f>
        <v>25.5</v>
      </c>
      <c r="M9" s="87">
        <f>'Detailed Summary'!AV23</f>
        <v>3.75</v>
      </c>
      <c r="N9" s="76" t="str">
        <f>'Detailed Summary'!BF23</f>
        <v>Pass</v>
      </c>
      <c r="O9" s="87">
        <f>'Detailed Summary'!AW23</f>
        <v>4.25</v>
      </c>
      <c r="P9" s="107">
        <f>'Detailed Summary'!BG23</f>
        <v>1</v>
      </c>
    </row>
    <row r="10" spans="1:16" x14ac:dyDescent="0.35">
      <c r="A10" s="105">
        <v>1</v>
      </c>
      <c r="B10" s="105">
        <f>'Student Basic Info'!A9</f>
        <v>508</v>
      </c>
      <c r="C10" s="106" t="str">
        <f>'Student Basic Info'!C9</f>
        <v>Suraiya Aktar</v>
      </c>
      <c r="D10" s="89">
        <f>'Detailed Summary'!AK9</f>
        <v>3</v>
      </c>
      <c r="E10" s="89">
        <f>'Detailed Summary'!AL9</f>
        <v>1</v>
      </c>
      <c r="F10" s="89">
        <f>'Detailed Summary'!AM9</f>
        <v>3</v>
      </c>
      <c r="G10" s="89">
        <f>'Detailed Summary'!AN9</f>
        <v>3</v>
      </c>
      <c r="H10" s="89">
        <f>'Detailed Summary'!AO9</f>
        <v>3</v>
      </c>
      <c r="I10" s="89">
        <f>'Detailed Summary'!AP9</f>
        <v>3</v>
      </c>
      <c r="J10" s="89">
        <f>'Detailed Summary'!AR9</f>
        <v>0</v>
      </c>
      <c r="K10" s="89">
        <f>'Detailed Summary'!AS9</f>
        <v>0</v>
      </c>
      <c r="L10" s="39">
        <f>'Detailed Summary'!AU9</f>
        <v>16</v>
      </c>
      <c r="M10" s="87">
        <f>'Detailed Summary'!AV9</f>
        <v>2.6666666666666665</v>
      </c>
      <c r="N10" s="76" t="str">
        <f>'Detailed Summary'!BF9</f>
        <v>Pass</v>
      </c>
      <c r="O10" s="87">
        <f>'Detailed Summary'!AW9</f>
        <v>2.6666666666666665</v>
      </c>
      <c r="P10" s="107">
        <f>'Detailed Summary'!BG9</f>
        <v>7</v>
      </c>
    </row>
    <row r="11" spans="1:16" ht="18.5" hidden="1" x14ac:dyDescent="0.45">
      <c r="A11" s="102"/>
      <c r="B11" s="88">
        <f>'Student Basic Info'!A10</f>
        <v>509</v>
      </c>
      <c r="C11" s="86" t="str">
        <f>'Student Basic Info'!C10</f>
        <v>Muntasir Ahamml Siyam</v>
      </c>
      <c r="D11" s="89">
        <f>'Detailed Summary'!AK10</f>
        <v>1</v>
      </c>
      <c r="E11" s="89">
        <f>'Detailed Summary'!AL10</f>
        <v>0</v>
      </c>
      <c r="F11" s="89">
        <f>'Detailed Summary'!AM10</f>
        <v>0</v>
      </c>
      <c r="G11" s="89">
        <f>'Detailed Summary'!AN10</f>
        <v>0</v>
      </c>
      <c r="H11" s="89">
        <f>'Detailed Summary'!AO10</f>
        <v>0</v>
      </c>
      <c r="I11" s="89">
        <f>'Detailed Summary'!AP10</f>
        <v>0</v>
      </c>
      <c r="J11" s="89">
        <f>'Detailed Summary'!AR10</f>
        <v>1</v>
      </c>
      <c r="K11" s="89">
        <f>'Detailed Summary'!AS10</f>
        <v>0</v>
      </c>
      <c r="L11" s="39">
        <f>'Detailed Summary'!AU10</f>
        <v>1</v>
      </c>
      <c r="M11" s="87" t="str">
        <f>'Detailed Summary'!AV10</f>
        <v/>
      </c>
      <c r="N11" s="3" t="str">
        <f>'Detailed Summary'!BF10</f>
        <v>Failed in 5 Subjects</v>
      </c>
      <c r="O11" s="87" t="str">
        <f>'Detailed Summary'!AW10</f>
        <v/>
      </c>
      <c r="P11" s="5" t="str">
        <f>'Detailed Summary'!BG10</f>
        <v/>
      </c>
    </row>
    <row r="12" spans="1:16" ht="18.5" hidden="1" x14ac:dyDescent="0.45">
      <c r="A12" s="102"/>
      <c r="B12" s="88">
        <f>'Student Basic Info'!A11</f>
        <v>510</v>
      </c>
      <c r="C12" s="86" t="str">
        <f>'Student Basic Info'!C11</f>
        <v>Tanbir Ahammed Alif</v>
      </c>
      <c r="D12" s="89" t="str">
        <f>'Detailed Summary'!AK11</f>
        <v/>
      </c>
      <c r="E12" s="89" t="str">
        <f>'Detailed Summary'!AL11</f>
        <v/>
      </c>
      <c r="F12" s="89" t="str">
        <f>'Detailed Summary'!AM11</f>
        <v/>
      </c>
      <c r="G12" s="89" t="str">
        <f>'Detailed Summary'!AN11</f>
        <v/>
      </c>
      <c r="H12" s="89" t="str">
        <f>'Detailed Summary'!AO11</f>
        <v/>
      </c>
      <c r="I12" s="89" t="str">
        <f>'Detailed Summary'!AP11</f>
        <v/>
      </c>
      <c r="J12" s="89" t="str">
        <f>'Detailed Summary'!AR11</f>
        <v/>
      </c>
      <c r="K12" s="89" t="str">
        <f>'Detailed Summary'!AS11</f>
        <v/>
      </c>
      <c r="L12" s="39">
        <f>'Detailed Summary'!AU11</f>
        <v>0</v>
      </c>
      <c r="M12" s="87" t="str">
        <f>'Detailed Summary'!AV11</f>
        <v/>
      </c>
      <c r="N12" s="3" t="str">
        <f>'Detailed Summary'!BF11</f>
        <v>Failed in 6 Subjects</v>
      </c>
      <c r="O12" s="87" t="str">
        <f>'Detailed Summary'!AW11</f>
        <v/>
      </c>
      <c r="P12" s="5" t="str">
        <f>'Detailed Summary'!BG11</f>
        <v/>
      </c>
    </row>
    <row r="13" spans="1:16" ht="18.5" hidden="1" x14ac:dyDescent="0.45">
      <c r="A13" s="102"/>
      <c r="B13" s="88">
        <f>'Student Basic Info'!A12</f>
        <v>511</v>
      </c>
      <c r="C13" s="86" t="str">
        <f>'Student Basic Info'!C12</f>
        <v xml:space="preserve">Asifuz Zaman </v>
      </c>
      <c r="D13" s="89">
        <f>'Detailed Summary'!AK12</f>
        <v>2</v>
      </c>
      <c r="E13" s="89">
        <f>'Detailed Summary'!AL12</f>
        <v>0</v>
      </c>
      <c r="F13" s="89">
        <f>'Detailed Summary'!AM12</f>
        <v>0</v>
      </c>
      <c r="G13" s="89">
        <f>'Detailed Summary'!AN12</f>
        <v>1</v>
      </c>
      <c r="H13" s="89">
        <f>'Detailed Summary'!AO12</f>
        <v>0</v>
      </c>
      <c r="I13" s="89">
        <f>'Detailed Summary'!AP12</f>
        <v>1</v>
      </c>
      <c r="J13" s="89">
        <f>'Detailed Summary'!AR12</f>
        <v>0</v>
      </c>
      <c r="K13" s="89">
        <f>'Detailed Summary'!AS12</f>
        <v>0</v>
      </c>
      <c r="L13" s="39">
        <f>'Detailed Summary'!AU12</f>
        <v>4</v>
      </c>
      <c r="M13" s="87" t="str">
        <f>'Detailed Summary'!AV12</f>
        <v/>
      </c>
      <c r="N13" s="3" t="str">
        <f>'Detailed Summary'!BF12</f>
        <v>Failed in 3 Subjects</v>
      </c>
      <c r="O13" s="87" t="str">
        <f>'Detailed Summary'!AW12</f>
        <v/>
      </c>
      <c r="P13" s="5" t="str">
        <f>'Detailed Summary'!BG12</f>
        <v/>
      </c>
    </row>
    <row r="14" spans="1:16" ht="18.5" hidden="1" x14ac:dyDescent="0.45">
      <c r="A14" s="102"/>
      <c r="B14" s="88">
        <f>'Student Basic Info'!A13</f>
        <v>512</v>
      </c>
      <c r="C14" s="86" t="str">
        <f>'Student Basic Info'!C13</f>
        <v>Md. Arfatuzzaman</v>
      </c>
      <c r="D14" s="89">
        <f>'Detailed Summary'!AK13</f>
        <v>1</v>
      </c>
      <c r="E14" s="89">
        <f>'Detailed Summary'!AL13</f>
        <v>0</v>
      </c>
      <c r="F14" s="89">
        <f>'Detailed Summary'!AM13</f>
        <v>0</v>
      </c>
      <c r="G14" s="89">
        <f>'Detailed Summary'!AN13</f>
        <v>0</v>
      </c>
      <c r="H14" s="89">
        <f>'Detailed Summary'!AO13</f>
        <v>1</v>
      </c>
      <c r="I14" s="89">
        <f>'Detailed Summary'!AP13</f>
        <v>0</v>
      </c>
      <c r="J14" s="89">
        <f>'Detailed Summary'!AR13</f>
        <v>1</v>
      </c>
      <c r="K14" s="89">
        <f>'Detailed Summary'!AS13</f>
        <v>0</v>
      </c>
      <c r="L14" s="39">
        <f>'Detailed Summary'!AU13</f>
        <v>2</v>
      </c>
      <c r="M14" s="87" t="str">
        <f>'Detailed Summary'!AV13</f>
        <v/>
      </c>
      <c r="N14" s="3" t="str">
        <f>'Detailed Summary'!BF13</f>
        <v>Failed in 4 Subjects</v>
      </c>
      <c r="O14" s="87" t="str">
        <f>'Detailed Summary'!AW13</f>
        <v/>
      </c>
      <c r="P14" s="5" t="str">
        <f>'Detailed Summary'!BG13</f>
        <v/>
      </c>
    </row>
    <row r="15" spans="1:16" ht="18.5" hidden="1" x14ac:dyDescent="0.45">
      <c r="A15" s="102"/>
      <c r="B15" s="88">
        <f>'Student Basic Info'!A14</f>
        <v>513</v>
      </c>
      <c r="C15" s="86" t="str">
        <f>'Student Basic Info'!C14</f>
        <v>Meherab Hosain</v>
      </c>
      <c r="D15" s="89">
        <f>'Detailed Summary'!AK14</f>
        <v>1</v>
      </c>
      <c r="E15" s="89">
        <f>'Detailed Summary'!AL14</f>
        <v>0</v>
      </c>
      <c r="F15" s="89">
        <f>'Detailed Summary'!AM14</f>
        <v>0</v>
      </c>
      <c r="G15" s="89">
        <f>'Detailed Summary'!AN14</f>
        <v>1</v>
      </c>
      <c r="H15" s="89">
        <f>'Detailed Summary'!AO14</f>
        <v>2</v>
      </c>
      <c r="I15" s="89">
        <f>'Detailed Summary'!AP14</f>
        <v>0</v>
      </c>
      <c r="J15" s="89">
        <f>'Detailed Summary'!AR14</f>
        <v>1</v>
      </c>
      <c r="K15" s="89">
        <f>'Detailed Summary'!AS14</f>
        <v>0</v>
      </c>
      <c r="L15" s="39">
        <f>'Detailed Summary'!AU14</f>
        <v>4</v>
      </c>
      <c r="M15" s="87" t="str">
        <f>'Detailed Summary'!AV14</f>
        <v/>
      </c>
      <c r="N15" s="3" t="str">
        <f>'Detailed Summary'!BF14</f>
        <v>Failed in 3 Subjects</v>
      </c>
      <c r="O15" s="87" t="str">
        <f>'Detailed Summary'!AW14</f>
        <v/>
      </c>
      <c r="P15" s="5" t="str">
        <f>'Detailed Summary'!BG14</f>
        <v/>
      </c>
    </row>
    <row r="16" spans="1:16" ht="18.5" hidden="1" x14ac:dyDescent="0.45">
      <c r="A16" s="102"/>
      <c r="B16" s="88">
        <f>'Student Basic Info'!A15</f>
        <v>514</v>
      </c>
      <c r="C16" s="86" t="str">
        <f>'Student Basic Info'!C15</f>
        <v>Amirul Islam</v>
      </c>
      <c r="D16" s="89" t="str">
        <f>'Detailed Summary'!AK15</f>
        <v/>
      </c>
      <c r="E16" s="89" t="str">
        <f>'Detailed Summary'!AL15</f>
        <v/>
      </c>
      <c r="F16" s="89" t="str">
        <f>'Detailed Summary'!AM15</f>
        <v/>
      </c>
      <c r="G16" s="89" t="str">
        <f>'Detailed Summary'!AN15</f>
        <v/>
      </c>
      <c r="H16" s="89" t="str">
        <f>'Detailed Summary'!AO15</f>
        <v/>
      </c>
      <c r="I16" s="89" t="str">
        <f>'Detailed Summary'!AP15</f>
        <v/>
      </c>
      <c r="J16" s="89" t="str">
        <f>'Detailed Summary'!AR15</f>
        <v/>
      </c>
      <c r="K16" s="89" t="str">
        <f>'Detailed Summary'!AS15</f>
        <v/>
      </c>
      <c r="L16" s="39">
        <f>'Detailed Summary'!AU15</f>
        <v>0</v>
      </c>
      <c r="M16" s="87" t="str">
        <f>'Detailed Summary'!AV15</f>
        <v/>
      </c>
      <c r="N16" s="3" t="str">
        <f>'Detailed Summary'!BF15</f>
        <v>Failed in 6 Subjects</v>
      </c>
      <c r="O16" s="87" t="str">
        <f>'Detailed Summary'!AW15</f>
        <v/>
      </c>
      <c r="P16" s="5" t="str">
        <f>'Detailed Summary'!BG15</f>
        <v/>
      </c>
    </row>
    <row r="17" spans="1:16" ht="18.5" hidden="1" x14ac:dyDescent="0.45">
      <c r="A17" s="102"/>
      <c r="B17" s="88">
        <f>'Student Basic Info'!A16</f>
        <v>515</v>
      </c>
      <c r="C17" s="86" t="str">
        <f>'Student Basic Info'!C16</f>
        <v>Bibi Amena Begum Sraboni</v>
      </c>
      <c r="D17" s="89">
        <f>'Detailed Summary'!AK16</f>
        <v>3.5</v>
      </c>
      <c r="E17" s="89">
        <f>'Detailed Summary'!AL16</f>
        <v>1</v>
      </c>
      <c r="F17" s="89">
        <f>'Detailed Summary'!AM16</f>
        <v>3</v>
      </c>
      <c r="G17" s="89">
        <f>'Detailed Summary'!AN16</f>
        <v>3</v>
      </c>
      <c r="H17" s="89">
        <f>'Detailed Summary'!AO16</f>
        <v>0</v>
      </c>
      <c r="I17" s="89">
        <f>'Detailed Summary'!AP16</f>
        <v>1</v>
      </c>
      <c r="J17" s="89">
        <f>'Detailed Summary'!AR16</f>
        <v>0</v>
      </c>
      <c r="K17" s="89">
        <f>'Detailed Summary'!AS16</f>
        <v>0</v>
      </c>
      <c r="L17" s="39">
        <f>'Detailed Summary'!AU16</f>
        <v>11.5</v>
      </c>
      <c r="M17" s="87" t="str">
        <f>'Detailed Summary'!AV16</f>
        <v/>
      </c>
      <c r="N17" s="3" t="str">
        <f>'Detailed Summary'!BF16</f>
        <v>Failed in 1 Subject</v>
      </c>
      <c r="O17" s="87" t="str">
        <f>'Detailed Summary'!AW16</f>
        <v/>
      </c>
      <c r="P17" s="5" t="str">
        <f>'Detailed Summary'!BG16</f>
        <v/>
      </c>
    </row>
    <row r="18" spans="1:16" hidden="1" x14ac:dyDescent="0.35">
      <c r="A18" s="105">
        <v>2</v>
      </c>
      <c r="B18" s="105">
        <f>'Student Basic Info'!A29</f>
        <v>528</v>
      </c>
      <c r="C18" s="106" t="str">
        <f>'Student Basic Info'!C29</f>
        <v>Mazhar Uddin</v>
      </c>
      <c r="D18" s="89">
        <f>'Detailed Summary'!AK29</f>
        <v>3.5</v>
      </c>
      <c r="E18" s="89">
        <f>'Detailed Summary'!AL29</f>
        <v>2</v>
      </c>
      <c r="F18" s="89">
        <f>'Detailed Summary'!AM29</f>
        <v>4</v>
      </c>
      <c r="G18" s="89">
        <f>'Detailed Summary'!AN29</f>
        <v>3</v>
      </c>
      <c r="H18" s="89">
        <f>'Detailed Summary'!AO29</f>
        <v>3</v>
      </c>
      <c r="I18" s="89">
        <f>'Detailed Summary'!AP29</f>
        <v>2</v>
      </c>
      <c r="J18" s="89">
        <f>'Detailed Summary'!AR29</f>
        <v>3.5</v>
      </c>
      <c r="K18" s="89">
        <f>'Detailed Summary'!AS29</f>
        <v>1.5</v>
      </c>
      <c r="L18" s="39">
        <f>'Detailed Summary'!AU29</f>
        <v>19</v>
      </c>
      <c r="M18" s="87">
        <f>'Detailed Summary'!AV29</f>
        <v>2.9166666666666665</v>
      </c>
      <c r="N18" s="76" t="str">
        <f>'Detailed Summary'!BF29</f>
        <v>Pass</v>
      </c>
      <c r="O18" s="87">
        <f>'Detailed Summary'!AW29</f>
        <v>3.1666666666666665</v>
      </c>
      <c r="P18" s="107">
        <f>'Detailed Summary'!BG29</f>
        <v>2</v>
      </c>
    </row>
    <row r="19" spans="1:16" ht="18.5" hidden="1" x14ac:dyDescent="0.45">
      <c r="A19" s="102"/>
      <c r="B19" s="88">
        <f>'Student Basic Info'!A18</f>
        <v>517</v>
      </c>
      <c r="C19" s="86" t="str">
        <f>'Student Basic Info'!C18</f>
        <v>Imam Hosain Apurbo</v>
      </c>
      <c r="D19" s="89" t="str">
        <f>'Detailed Summary'!AK18</f>
        <v/>
      </c>
      <c r="E19" s="89" t="str">
        <f>'Detailed Summary'!AL18</f>
        <v/>
      </c>
      <c r="F19" s="89" t="str">
        <f>'Detailed Summary'!AM18</f>
        <v/>
      </c>
      <c r="G19" s="89" t="str">
        <f>'Detailed Summary'!AN18</f>
        <v/>
      </c>
      <c r="H19" s="89" t="str">
        <f>'Detailed Summary'!AO18</f>
        <v/>
      </c>
      <c r="I19" s="89" t="str">
        <f>'Detailed Summary'!AP18</f>
        <v/>
      </c>
      <c r="J19" s="89" t="str">
        <f>'Detailed Summary'!AR18</f>
        <v/>
      </c>
      <c r="K19" s="89" t="str">
        <f>'Detailed Summary'!AS18</f>
        <v/>
      </c>
      <c r="L19" s="39">
        <f>'Detailed Summary'!AU18</f>
        <v>0</v>
      </c>
      <c r="M19" s="87" t="str">
        <f>'Detailed Summary'!AV18</f>
        <v/>
      </c>
      <c r="N19" s="3" t="str">
        <f>'Detailed Summary'!BF18</f>
        <v>Failed in 6 Subjects</v>
      </c>
      <c r="O19" s="87" t="str">
        <f>'Detailed Summary'!AW18</f>
        <v/>
      </c>
      <c r="P19" s="5" t="str">
        <f>'Detailed Summary'!BG18</f>
        <v/>
      </c>
    </row>
    <row r="20" spans="1:16" ht="18.5" hidden="1" x14ac:dyDescent="0.45">
      <c r="A20" s="102"/>
      <c r="B20" s="88">
        <f>'Student Basic Info'!A19</f>
        <v>518</v>
      </c>
      <c r="C20" s="86" t="str">
        <f>'Student Basic Info'!C19</f>
        <v>Mowasser Hosain</v>
      </c>
      <c r="D20" s="89" t="str">
        <f>'Detailed Summary'!AK19</f>
        <v/>
      </c>
      <c r="E20" s="89" t="str">
        <f>'Detailed Summary'!AL19</f>
        <v/>
      </c>
      <c r="F20" s="89" t="str">
        <f>'Detailed Summary'!AM19</f>
        <v/>
      </c>
      <c r="G20" s="89" t="str">
        <f>'Detailed Summary'!AN19</f>
        <v/>
      </c>
      <c r="H20" s="89" t="str">
        <f>'Detailed Summary'!AO19</f>
        <v/>
      </c>
      <c r="I20" s="89" t="str">
        <f>'Detailed Summary'!AP19</f>
        <v/>
      </c>
      <c r="J20" s="89" t="str">
        <f>'Detailed Summary'!AR19</f>
        <v/>
      </c>
      <c r="K20" s="89" t="str">
        <f>'Detailed Summary'!AS19</f>
        <v/>
      </c>
      <c r="L20" s="39">
        <f>'Detailed Summary'!AU19</f>
        <v>0</v>
      </c>
      <c r="M20" s="87" t="str">
        <f>'Detailed Summary'!AV19</f>
        <v/>
      </c>
      <c r="N20" s="3" t="str">
        <f>'Detailed Summary'!BF19</f>
        <v>Failed in 6 Subjects</v>
      </c>
      <c r="O20" s="87" t="str">
        <f>'Detailed Summary'!AW19</f>
        <v/>
      </c>
      <c r="P20" s="5" t="str">
        <f>'Detailed Summary'!BG19</f>
        <v/>
      </c>
    </row>
    <row r="21" spans="1:16" hidden="1" x14ac:dyDescent="0.35">
      <c r="A21" s="76">
        <v>1</v>
      </c>
      <c r="B21" s="76">
        <f>'Student Basic Info'!A20</f>
        <v>519</v>
      </c>
      <c r="C21" s="108" t="str">
        <f>'Student Basic Info'!C20</f>
        <v>Tanvir</v>
      </c>
      <c r="D21" s="89">
        <f>'Detailed Summary'!AK20</f>
        <v>1</v>
      </c>
      <c r="E21" s="89">
        <f>'Detailed Summary'!AL20</f>
        <v>1</v>
      </c>
      <c r="F21" s="89">
        <f>'Detailed Summary'!AM20</f>
        <v>3</v>
      </c>
      <c r="G21" s="89">
        <f>'Detailed Summary'!AN20</f>
        <v>3</v>
      </c>
      <c r="H21" s="89">
        <f>'Detailed Summary'!AO20</f>
        <v>3</v>
      </c>
      <c r="I21" s="89">
        <f>'Detailed Summary'!AP20</f>
        <v>0</v>
      </c>
      <c r="J21" s="89">
        <f>'Detailed Summary'!AR20</f>
        <v>2</v>
      </c>
      <c r="K21" s="89">
        <f>'Detailed Summary'!AS20</f>
        <v>0</v>
      </c>
      <c r="L21" s="39">
        <f>'Detailed Summary'!AU20</f>
        <v>11</v>
      </c>
      <c r="M21" s="87" t="str">
        <f>'Detailed Summary'!AV20</f>
        <v/>
      </c>
      <c r="N21" s="76" t="str">
        <f>'Detailed Summary'!BF20</f>
        <v>Failed in 1 Subject</v>
      </c>
      <c r="O21" s="87" t="str">
        <f>'Detailed Summary'!AW20</f>
        <v/>
      </c>
      <c r="P21" s="107" t="str">
        <f>'Detailed Summary'!BG20</f>
        <v/>
      </c>
    </row>
    <row r="22" spans="1:16" ht="18.5" hidden="1" x14ac:dyDescent="0.45">
      <c r="A22" s="102"/>
      <c r="B22" s="88">
        <f>'Student Basic Info'!A21</f>
        <v>520</v>
      </c>
      <c r="C22" s="86" t="str">
        <f>'Student Basic Info'!C21</f>
        <v>Md. Shakib</v>
      </c>
      <c r="D22" s="89">
        <f>'Detailed Summary'!AK21</f>
        <v>0</v>
      </c>
      <c r="E22" s="89">
        <f>'Detailed Summary'!AL21</f>
        <v>0</v>
      </c>
      <c r="F22" s="89">
        <f>'Detailed Summary'!AM21</f>
        <v>0</v>
      </c>
      <c r="G22" s="89">
        <f>'Detailed Summary'!AN21</f>
        <v>0</v>
      </c>
      <c r="H22" s="89">
        <f>'Detailed Summary'!AO21</f>
        <v>0</v>
      </c>
      <c r="I22" s="89">
        <f>'Detailed Summary'!AP21</f>
        <v>1</v>
      </c>
      <c r="J22" s="89">
        <f>'Detailed Summary'!AR21</f>
        <v>0</v>
      </c>
      <c r="K22" s="89">
        <f>'Detailed Summary'!AS21</f>
        <v>0</v>
      </c>
      <c r="L22" s="39">
        <f>'Detailed Summary'!AU21</f>
        <v>1</v>
      </c>
      <c r="M22" s="87" t="str">
        <f>'Detailed Summary'!AV21</f>
        <v/>
      </c>
      <c r="N22" s="3" t="str">
        <f>'Detailed Summary'!BF21</f>
        <v>Failed in 5 Subjects</v>
      </c>
      <c r="O22" s="87" t="str">
        <f>'Detailed Summary'!AW21</f>
        <v/>
      </c>
      <c r="P22" s="5" t="str">
        <f>'Detailed Summary'!BG21</f>
        <v/>
      </c>
    </row>
    <row r="23" spans="1:16" ht="18.5" hidden="1" x14ac:dyDescent="0.45">
      <c r="A23" s="102"/>
      <c r="B23" s="88">
        <f>'Student Basic Info'!A22</f>
        <v>521</v>
      </c>
      <c r="C23" s="86" t="str">
        <f>'Student Basic Info'!C22</f>
        <v>Farzana Aktar Zitu</v>
      </c>
      <c r="D23" s="89" t="str">
        <f>'Detailed Summary'!AK22</f>
        <v/>
      </c>
      <c r="E23" s="89" t="str">
        <f>'Detailed Summary'!AL22</f>
        <v/>
      </c>
      <c r="F23" s="89" t="str">
        <f>'Detailed Summary'!AM22</f>
        <v/>
      </c>
      <c r="G23" s="89" t="str">
        <f>'Detailed Summary'!AN22</f>
        <v/>
      </c>
      <c r="H23" s="89" t="str">
        <f>'Detailed Summary'!AO22</f>
        <v/>
      </c>
      <c r="I23" s="89" t="str">
        <f>'Detailed Summary'!AP22</f>
        <v/>
      </c>
      <c r="J23" s="89" t="str">
        <f>'Detailed Summary'!AR22</f>
        <v/>
      </c>
      <c r="K23" s="89" t="str">
        <f>'Detailed Summary'!AS22</f>
        <v/>
      </c>
      <c r="L23" s="39">
        <f>'Detailed Summary'!AU22</f>
        <v>0</v>
      </c>
      <c r="M23" s="87" t="str">
        <f>'Detailed Summary'!AV22</f>
        <v/>
      </c>
      <c r="N23" s="3" t="str">
        <f>'Detailed Summary'!BF22</f>
        <v>Failed in 6 Subjects</v>
      </c>
      <c r="O23" s="87" t="str">
        <f>'Detailed Summary'!AW22</f>
        <v/>
      </c>
      <c r="P23" s="5" t="str">
        <f>'Detailed Summary'!BG22</f>
        <v/>
      </c>
    </row>
    <row r="24" spans="1:16" hidden="1" x14ac:dyDescent="0.35">
      <c r="A24" s="105">
        <v>3</v>
      </c>
      <c r="B24" s="105">
        <f>'Student Basic Info'!A17</f>
        <v>516</v>
      </c>
      <c r="C24" s="106" t="str">
        <f>'Student Basic Info'!C17</f>
        <v>Zannatul Nayem</v>
      </c>
      <c r="D24" s="89">
        <f>'Detailed Summary'!AK17</f>
        <v>3.5</v>
      </c>
      <c r="E24" s="89">
        <f>'Detailed Summary'!AL17</f>
        <v>2</v>
      </c>
      <c r="F24" s="89">
        <f>'Detailed Summary'!AM17</f>
        <v>4</v>
      </c>
      <c r="G24" s="89">
        <f>'Detailed Summary'!AN17</f>
        <v>3</v>
      </c>
      <c r="H24" s="89">
        <f>'Detailed Summary'!AO17</f>
        <v>3.5</v>
      </c>
      <c r="I24" s="89">
        <f>'Detailed Summary'!AP17</f>
        <v>1</v>
      </c>
      <c r="J24" s="89">
        <f>'Detailed Summary'!AR17</f>
        <v>4</v>
      </c>
      <c r="K24" s="89">
        <f>'Detailed Summary'!AS17</f>
        <v>2</v>
      </c>
      <c r="L24" s="39">
        <f>'Detailed Summary'!AU17</f>
        <v>19</v>
      </c>
      <c r="M24" s="87">
        <f>'Detailed Summary'!AV17</f>
        <v>2.8333333333333335</v>
      </c>
      <c r="N24" s="76" t="str">
        <f>'Detailed Summary'!BF17</f>
        <v>Pass</v>
      </c>
      <c r="O24" s="87">
        <f>'Detailed Summary'!AW17</f>
        <v>3.1666666666666665</v>
      </c>
      <c r="P24" s="107">
        <f>'Detailed Summary'!BG17</f>
        <v>2</v>
      </c>
    </row>
    <row r="25" spans="1:16" ht="18.5" hidden="1" x14ac:dyDescent="0.45">
      <c r="A25" s="102"/>
      <c r="B25" s="88">
        <f>'Student Basic Info'!A24</f>
        <v>523</v>
      </c>
      <c r="C25" s="86" t="str">
        <f>'Student Basic Info'!C24</f>
        <v>Zannatul Mawa Prema</v>
      </c>
      <c r="D25" s="89">
        <f>'Detailed Summary'!AK24</f>
        <v>2</v>
      </c>
      <c r="E25" s="89">
        <f>'Detailed Summary'!AL24</f>
        <v>1</v>
      </c>
      <c r="F25" s="89">
        <f>'Detailed Summary'!AM24</f>
        <v>0</v>
      </c>
      <c r="G25" s="89">
        <f>'Detailed Summary'!AN24</f>
        <v>0</v>
      </c>
      <c r="H25" s="89">
        <f>'Detailed Summary'!AO24</f>
        <v>0</v>
      </c>
      <c r="I25" s="89">
        <f>'Detailed Summary'!AP24</f>
        <v>0</v>
      </c>
      <c r="J25" s="89">
        <f>'Detailed Summary'!AR24</f>
        <v>2</v>
      </c>
      <c r="K25" s="89">
        <f>'Detailed Summary'!AS24</f>
        <v>0</v>
      </c>
      <c r="L25" s="39">
        <f>'Detailed Summary'!AU24</f>
        <v>3</v>
      </c>
      <c r="M25" s="87" t="str">
        <f>'Detailed Summary'!AV24</f>
        <v/>
      </c>
      <c r="N25" s="3" t="str">
        <f>'Detailed Summary'!BF24</f>
        <v>Failed in 4 Subjects</v>
      </c>
      <c r="O25" s="87" t="str">
        <f>'Detailed Summary'!AW24</f>
        <v/>
      </c>
      <c r="P25" s="5" t="str">
        <f>'Detailed Summary'!BG24</f>
        <v/>
      </c>
    </row>
    <row r="26" spans="1:16" x14ac:dyDescent="0.35">
      <c r="A26" s="105">
        <v>2</v>
      </c>
      <c r="B26" s="105">
        <f>'Student Basic Info'!A25</f>
        <v>524</v>
      </c>
      <c r="C26" s="106" t="str">
        <f>'Student Basic Info'!C25</f>
        <v>Zannatul Ferdaus</v>
      </c>
      <c r="D26" s="89">
        <f>'Detailed Summary'!AK25</f>
        <v>3.5</v>
      </c>
      <c r="E26" s="89">
        <f>'Detailed Summary'!AL25</f>
        <v>1</v>
      </c>
      <c r="F26" s="89">
        <f>'Detailed Summary'!AM25</f>
        <v>3</v>
      </c>
      <c r="G26" s="89">
        <f>'Detailed Summary'!AN25</f>
        <v>2</v>
      </c>
      <c r="H26" s="89">
        <f>'Detailed Summary'!AO25</f>
        <v>3</v>
      </c>
      <c r="I26" s="89">
        <f>'Detailed Summary'!AP25</f>
        <v>1</v>
      </c>
      <c r="J26" s="89">
        <f>'Detailed Summary'!AR25</f>
        <v>3.5</v>
      </c>
      <c r="K26" s="89">
        <f>'Detailed Summary'!AS25</f>
        <v>1.5</v>
      </c>
      <c r="L26" s="39">
        <f>'Detailed Summary'!AU25</f>
        <v>15</v>
      </c>
      <c r="M26" s="87">
        <f>'Detailed Summary'!AV25</f>
        <v>2.25</v>
      </c>
      <c r="N26" s="76" t="str">
        <f>'Detailed Summary'!BF25</f>
        <v>Pass</v>
      </c>
      <c r="O26" s="87">
        <f>'Detailed Summary'!AW25</f>
        <v>2.5</v>
      </c>
      <c r="P26" s="107">
        <f>'Detailed Summary'!BG25</f>
        <v>8</v>
      </c>
    </row>
    <row r="27" spans="1:16" ht="18.5" hidden="1" x14ac:dyDescent="0.45">
      <c r="A27" s="102"/>
      <c r="B27" s="88">
        <f>'Student Basic Info'!A26</f>
        <v>525</v>
      </c>
      <c r="C27" s="86" t="str">
        <f>'Student Basic Info'!C26</f>
        <v>Narkis Aktar Nupur</v>
      </c>
      <c r="D27" s="89" t="str">
        <f>'Detailed Summary'!AK26</f>
        <v/>
      </c>
      <c r="E27" s="89" t="str">
        <f>'Detailed Summary'!AL26</f>
        <v/>
      </c>
      <c r="F27" s="89" t="str">
        <f>'Detailed Summary'!AM26</f>
        <v/>
      </c>
      <c r="G27" s="89" t="str">
        <f>'Detailed Summary'!AN26</f>
        <v/>
      </c>
      <c r="H27" s="89" t="str">
        <f>'Detailed Summary'!AO26</f>
        <v/>
      </c>
      <c r="I27" s="89" t="str">
        <f>'Detailed Summary'!AP26</f>
        <v/>
      </c>
      <c r="J27" s="89" t="str">
        <f>'Detailed Summary'!AR26</f>
        <v/>
      </c>
      <c r="K27" s="89" t="str">
        <f>'Detailed Summary'!AS26</f>
        <v/>
      </c>
      <c r="L27" s="39">
        <f>'Detailed Summary'!AU26</f>
        <v>0</v>
      </c>
      <c r="M27" s="87" t="str">
        <f>'Detailed Summary'!AV26</f>
        <v/>
      </c>
      <c r="N27" s="3" t="str">
        <f>'Detailed Summary'!BF26</f>
        <v>Failed in 6 Subjects</v>
      </c>
      <c r="O27" s="87" t="str">
        <f>'Detailed Summary'!AW26</f>
        <v/>
      </c>
      <c r="P27" s="5" t="str">
        <f>'Detailed Summary'!BG26</f>
        <v/>
      </c>
    </row>
    <row r="28" spans="1:16" hidden="1" x14ac:dyDescent="0.35">
      <c r="A28" s="105">
        <v>4</v>
      </c>
      <c r="B28" s="105">
        <f>'Student Basic Info'!A8</f>
        <v>507</v>
      </c>
      <c r="C28" s="106" t="str">
        <f>'Student Basic Info'!C8</f>
        <v>Fariha Islam</v>
      </c>
      <c r="D28" s="89">
        <f>'Detailed Summary'!AK8</f>
        <v>3.5</v>
      </c>
      <c r="E28" s="89">
        <f>'Detailed Summary'!AL8</f>
        <v>2</v>
      </c>
      <c r="F28" s="89">
        <f>'Detailed Summary'!AM8</f>
        <v>4</v>
      </c>
      <c r="G28" s="89">
        <f>'Detailed Summary'!AN8</f>
        <v>2</v>
      </c>
      <c r="H28" s="89">
        <f>'Detailed Summary'!AO8</f>
        <v>3.5</v>
      </c>
      <c r="I28" s="89">
        <f>'Detailed Summary'!AP8</f>
        <v>1</v>
      </c>
      <c r="J28" s="89">
        <f>'Detailed Summary'!AR8</f>
        <v>3.5</v>
      </c>
      <c r="K28" s="89">
        <f>'Detailed Summary'!AS8</f>
        <v>1.5</v>
      </c>
      <c r="L28" s="39">
        <f>'Detailed Summary'!AU8</f>
        <v>17.5</v>
      </c>
      <c r="M28" s="87">
        <f>'Detailed Summary'!AV8</f>
        <v>2.6666666666666665</v>
      </c>
      <c r="N28" s="76" t="str">
        <f>'Detailed Summary'!BF8</f>
        <v>Pass</v>
      </c>
      <c r="O28" s="87">
        <f>'Detailed Summary'!AW8</f>
        <v>2.9166666666666665</v>
      </c>
      <c r="P28" s="5">
        <f>'Detailed Summary'!BG8</f>
        <v>4</v>
      </c>
    </row>
    <row r="29" spans="1:16" ht="18.5" hidden="1" x14ac:dyDescent="0.45">
      <c r="A29" s="102"/>
      <c r="B29" s="88">
        <f>'Student Basic Info'!A28</f>
        <v>527</v>
      </c>
      <c r="C29" s="86" t="str">
        <f>'Student Basic Info'!C28</f>
        <v>Sanzida Aktar</v>
      </c>
      <c r="D29" s="89" t="str">
        <f>'Detailed Summary'!AK28</f>
        <v/>
      </c>
      <c r="E29" s="89" t="str">
        <f>'Detailed Summary'!AL28</f>
        <v/>
      </c>
      <c r="F29" s="89" t="str">
        <f>'Detailed Summary'!AM28</f>
        <v/>
      </c>
      <c r="G29" s="89" t="str">
        <f>'Detailed Summary'!AN28</f>
        <v/>
      </c>
      <c r="H29" s="89" t="str">
        <f>'Detailed Summary'!AO28</f>
        <v/>
      </c>
      <c r="I29" s="89" t="str">
        <f>'Detailed Summary'!AP28</f>
        <v/>
      </c>
      <c r="J29" s="89" t="str">
        <f>'Detailed Summary'!AR28</f>
        <v/>
      </c>
      <c r="K29" s="89" t="str">
        <f>'Detailed Summary'!AS28</f>
        <v/>
      </c>
      <c r="L29" s="39">
        <f>'Detailed Summary'!AU28</f>
        <v>0</v>
      </c>
      <c r="M29" s="87" t="str">
        <f>'Detailed Summary'!AV28</f>
        <v/>
      </c>
      <c r="N29" s="3" t="str">
        <f>'Detailed Summary'!BF28</f>
        <v>Failed in 6 Subjects</v>
      </c>
      <c r="O29" s="87" t="str">
        <f>'Detailed Summary'!AW28</f>
        <v/>
      </c>
      <c r="P29" s="5" t="str">
        <f>'Detailed Summary'!BG28</f>
        <v/>
      </c>
    </row>
    <row r="30" spans="1:16" hidden="1" x14ac:dyDescent="0.35">
      <c r="A30" s="105">
        <v>5</v>
      </c>
      <c r="B30" s="105">
        <f>'Student Basic Info'!A115</f>
        <v>614</v>
      </c>
      <c r="C30" s="106" t="str">
        <f>'Student Basic Info'!C115</f>
        <v>Moumita Tabassum</v>
      </c>
      <c r="D30" s="89">
        <f>'Detailed Summary'!AK115</f>
        <v>3.5</v>
      </c>
      <c r="E30" s="89">
        <f>'Detailed Summary'!AL115</f>
        <v>3.5</v>
      </c>
      <c r="F30" s="89">
        <f>'Detailed Summary'!AM115</f>
        <v>4</v>
      </c>
      <c r="G30" s="89">
        <f>'Detailed Summary'!AN115</f>
        <v>3</v>
      </c>
      <c r="H30" s="89">
        <f>'Detailed Summary'!AO115</f>
        <v>2</v>
      </c>
      <c r="I30" s="89">
        <f>'Detailed Summary'!AP115</f>
        <v>1</v>
      </c>
      <c r="J30" s="89">
        <f>'Detailed Summary'!AR115</f>
        <v>2</v>
      </c>
      <c r="K30" s="89">
        <f>'Detailed Summary'!AS115</f>
        <v>0</v>
      </c>
      <c r="L30" s="39">
        <f>'Detailed Summary'!AU115</f>
        <v>17</v>
      </c>
      <c r="M30" s="87">
        <f>'Detailed Summary'!AV115</f>
        <v>2.8333333333333335</v>
      </c>
      <c r="N30" s="76" t="str">
        <f>'Detailed Summary'!BF115</f>
        <v>Pass</v>
      </c>
      <c r="O30" s="87">
        <f>'Detailed Summary'!AW115</f>
        <v>2.8333333333333335</v>
      </c>
      <c r="P30" s="107">
        <f>'Detailed Summary'!BG115</f>
        <v>5</v>
      </c>
    </row>
    <row r="31" spans="1:16" ht="18.5" hidden="1" x14ac:dyDescent="0.45">
      <c r="A31" s="102"/>
      <c r="B31" s="88">
        <f>'Student Basic Info'!A30</f>
        <v>529</v>
      </c>
      <c r="C31" s="86" t="str">
        <f>'Student Basic Info'!C30</f>
        <v>Nahid Hasan</v>
      </c>
      <c r="D31" s="89">
        <f>'Detailed Summary'!AK30</f>
        <v>0</v>
      </c>
      <c r="E31" s="89">
        <f>'Detailed Summary'!AL30</f>
        <v>0</v>
      </c>
      <c r="F31" s="89">
        <f>'Detailed Summary'!AM30</f>
        <v>0</v>
      </c>
      <c r="G31" s="89">
        <f>'Detailed Summary'!AN30</f>
        <v>0</v>
      </c>
      <c r="H31" s="89">
        <f>'Detailed Summary'!AO30</f>
        <v>0</v>
      </c>
      <c r="I31" s="89">
        <f>'Detailed Summary'!AP30</f>
        <v>0</v>
      </c>
      <c r="J31" s="89">
        <f>'Detailed Summary'!AR30</f>
        <v>0</v>
      </c>
      <c r="K31" s="89">
        <f>'Detailed Summary'!AS30</f>
        <v>0</v>
      </c>
      <c r="L31" s="39">
        <f>'Detailed Summary'!AU30</f>
        <v>0</v>
      </c>
      <c r="M31" s="87" t="str">
        <f>'Detailed Summary'!AV30</f>
        <v/>
      </c>
      <c r="N31" s="3" t="str">
        <f>'Detailed Summary'!BF30</f>
        <v>Failed in 6 Subjects</v>
      </c>
      <c r="O31" s="87" t="str">
        <f>'Detailed Summary'!AW30</f>
        <v/>
      </c>
      <c r="P31" s="5" t="str">
        <f>'Detailed Summary'!BG30</f>
        <v/>
      </c>
    </row>
    <row r="32" spans="1:16" ht="18.5" hidden="1" x14ac:dyDescent="0.45">
      <c r="A32" s="102"/>
      <c r="B32" s="88">
        <f>'Student Basic Info'!A31</f>
        <v>530</v>
      </c>
      <c r="C32" s="86" t="str">
        <f>'Student Basic Info'!C31</f>
        <v>Mahmud Hasan Fuad</v>
      </c>
      <c r="D32" s="89" t="str">
        <f>'Detailed Summary'!AK31</f>
        <v/>
      </c>
      <c r="E32" s="89" t="str">
        <f>'Detailed Summary'!AL31</f>
        <v/>
      </c>
      <c r="F32" s="89" t="str">
        <f>'Detailed Summary'!AM31</f>
        <v/>
      </c>
      <c r="G32" s="89" t="str">
        <f>'Detailed Summary'!AN31</f>
        <v/>
      </c>
      <c r="H32" s="89" t="str">
        <f>'Detailed Summary'!AO31</f>
        <v/>
      </c>
      <c r="I32" s="89" t="str">
        <f>'Detailed Summary'!AP31</f>
        <v/>
      </c>
      <c r="J32" s="89" t="str">
        <f>'Detailed Summary'!AR31</f>
        <v/>
      </c>
      <c r="K32" s="89" t="str">
        <f>'Detailed Summary'!AS31</f>
        <v/>
      </c>
      <c r="L32" s="39">
        <f>'Detailed Summary'!AU31</f>
        <v>0</v>
      </c>
      <c r="M32" s="87" t="str">
        <f>'Detailed Summary'!AV31</f>
        <v/>
      </c>
      <c r="N32" s="3" t="str">
        <f>'Detailed Summary'!BF31</f>
        <v>Failed in 6 Subjects</v>
      </c>
      <c r="O32" s="87" t="str">
        <f>'Detailed Summary'!AW31</f>
        <v/>
      </c>
      <c r="P32" s="5" t="str">
        <f>'Detailed Summary'!BG31</f>
        <v/>
      </c>
    </row>
    <row r="33" spans="1:16" ht="18.5" hidden="1" x14ac:dyDescent="0.45">
      <c r="A33" s="102"/>
      <c r="B33" s="88">
        <f>'Student Basic Info'!A32</f>
        <v>531</v>
      </c>
      <c r="C33" s="86" t="str">
        <f>'Student Basic Info'!C32</f>
        <v>Zabeb Hosain</v>
      </c>
      <c r="D33" s="89">
        <f>'Detailed Summary'!AK32</f>
        <v>1</v>
      </c>
      <c r="E33" s="89">
        <f>'Detailed Summary'!AL32</f>
        <v>0</v>
      </c>
      <c r="F33" s="89">
        <f>'Detailed Summary'!AM32</f>
        <v>0</v>
      </c>
      <c r="G33" s="89">
        <f>'Detailed Summary'!AN32</f>
        <v>0</v>
      </c>
      <c r="H33" s="89">
        <f>'Detailed Summary'!AO32</f>
        <v>0</v>
      </c>
      <c r="I33" s="89">
        <f>'Detailed Summary'!AP32</f>
        <v>0</v>
      </c>
      <c r="J33" s="89">
        <f>'Detailed Summary'!AR32</f>
        <v>2</v>
      </c>
      <c r="K33" s="89">
        <f>'Detailed Summary'!AS32</f>
        <v>0</v>
      </c>
      <c r="L33" s="39">
        <f>'Detailed Summary'!AU32</f>
        <v>1</v>
      </c>
      <c r="M33" s="87" t="str">
        <f>'Detailed Summary'!AV32</f>
        <v/>
      </c>
      <c r="N33" s="3" t="str">
        <f>'Detailed Summary'!BF32</f>
        <v>Failed in 5 Subjects</v>
      </c>
      <c r="O33" s="87" t="str">
        <f>'Detailed Summary'!AW32</f>
        <v/>
      </c>
      <c r="P33" s="5" t="str">
        <f>'Detailed Summary'!BG32</f>
        <v/>
      </c>
    </row>
    <row r="34" spans="1:16" ht="18.5" hidden="1" x14ac:dyDescent="0.45">
      <c r="A34" s="102"/>
      <c r="B34" s="88">
        <f>'Student Basic Info'!A33</f>
        <v>532</v>
      </c>
      <c r="C34" s="86" t="str">
        <f>'Student Basic Info'!C33</f>
        <v>Shahinur Islam</v>
      </c>
      <c r="D34" s="89" t="str">
        <f>'Detailed Summary'!AK33</f>
        <v/>
      </c>
      <c r="E34" s="89" t="str">
        <f>'Detailed Summary'!AL33</f>
        <v/>
      </c>
      <c r="F34" s="89" t="str">
        <f>'Detailed Summary'!AM33</f>
        <v/>
      </c>
      <c r="G34" s="89" t="str">
        <f>'Detailed Summary'!AN33</f>
        <v/>
      </c>
      <c r="H34" s="89" t="str">
        <f>'Detailed Summary'!AO33</f>
        <v/>
      </c>
      <c r="I34" s="89" t="str">
        <f>'Detailed Summary'!AP33</f>
        <v/>
      </c>
      <c r="J34" s="89" t="str">
        <f>'Detailed Summary'!AR33</f>
        <v/>
      </c>
      <c r="K34" s="89" t="str">
        <f>'Detailed Summary'!AS33</f>
        <v/>
      </c>
      <c r="L34" s="39">
        <f>'Detailed Summary'!AU33</f>
        <v>0</v>
      </c>
      <c r="M34" s="87" t="str">
        <f>'Detailed Summary'!AV33</f>
        <v/>
      </c>
      <c r="N34" s="3" t="str">
        <f>'Detailed Summary'!BF33</f>
        <v>Failed in 6 Subjects</v>
      </c>
      <c r="O34" s="87" t="str">
        <f>'Detailed Summary'!AW33</f>
        <v/>
      </c>
      <c r="P34" s="5" t="str">
        <f>'Detailed Summary'!BG33</f>
        <v/>
      </c>
    </row>
    <row r="35" spans="1:16" ht="18.5" hidden="1" x14ac:dyDescent="0.45">
      <c r="A35" s="102"/>
      <c r="B35" s="88">
        <f>'Student Basic Info'!A34</f>
        <v>533</v>
      </c>
      <c r="C35" s="86" t="str">
        <f>'Student Basic Info'!C34</f>
        <v>Md. Al Amin Haydar</v>
      </c>
      <c r="D35" s="89" t="str">
        <f>'Detailed Summary'!AK34</f>
        <v/>
      </c>
      <c r="E35" s="89" t="str">
        <f>'Detailed Summary'!AL34</f>
        <v/>
      </c>
      <c r="F35" s="89" t="str">
        <f>'Detailed Summary'!AM34</f>
        <v/>
      </c>
      <c r="G35" s="89" t="str">
        <f>'Detailed Summary'!AN34</f>
        <v/>
      </c>
      <c r="H35" s="89" t="str">
        <f>'Detailed Summary'!AO34</f>
        <v/>
      </c>
      <c r="I35" s="89" t="str">
        <f>'Detailed Summary'!AP34</f>
        <v/>
      </c>
      <c r="J35" s="89" t="str">
        <f>'Detailed Summary'!AR34</f>
        <v/>
      </c>
      <c r="K35" s="89" t="str">
        <f>'Detailed Summary'!AS34</f>
        <v/>
      </c>
      <c r="L35" s="39">
        <f>'Detailed Summary'!AU34</f>
        <v>0</v>
      </c>
      <c r="M35" s="87" t="str">
        <f>'Detailed Summary'!AV34</f>
        <v/>
      </c>
      <c r="N35" s="3" t="str">
        <f>'Detailed Summary'!BF34</f>
        <v>Failed in 6 Subjects</v>
      </c>
      <c r="O35" s="87" t="str">
        <f>'Detailed Summary'!AW34</f>
        <v/>
      </c>
      <c r="P35" s="5" t="str">
        <f>'Detailed Summary'!BG34</f>
        <v/>
      </c>
    </row>
    <row r="36" spans="1:16" ht="18.5" hidden="1" x14ac:dyDescent="0.45">
      <c r="A36" s="102"/>
      <c r="B36" s="88">
        <f>'Student Basic Info'!A35</f>
        <v>534</v>
      </c>
      <c r="C36" s="86" t="str">
        <f>'Student Basic Info'!C35</f>
        <v>Md. Hasanain Hosain</v>
      </c>
      <c r="D36" s="89" t="str">
        <f>'Detailed Summary'!AK35</f>
        <v/>
      </c>
      <c r="E36" s="89" t="str">
        <f>'Detailed Summary'!AL35</f>
        <v/>
      </c>
      <c r="F36" s="89" t="str">
        <f>'Detailed Summary'!AM35</f>
        <v/>
      </c>
      <c r="G36" s="89" t="str">
        <f>'Detailed Summary'!AN35</f>
        <v/>
      </c>
      <c r="H36" s="89" t="str">
        <f>'Detailed Summary'!AO35</f>
        <v/>
      </c>
      <c r="I36" s="89" t="str">
        <f>'Detailed Summary'!AP35</f>
        <v/>
      </c>
      <c r="J36" s="89" t="str">
        <f>'Detailed Summary'!AR35</f>
        <v/>
      </c>
      <c r="K36" s="89" t="str">
        <f>'Detailed Summary'!AS35</f>
        <v/>
      </c>
      <c r="L36" s="39">
        <f>'Detailed Summary'!AU35</f>
        <v>0</v>
      </c>
      <c r="M36" s="87" t="str">
        <f>'Detailed Summary'!AV35</f>
        <v/>
      </c>
      <c r="N36" s="3" t="str">
        <f>'Detailed Summary'!BF35</f>
        <v>Failed in 6 Subjects</v>
      </c>
      <c r="O36" s="87" t="str">
        <f>'Detailed Summary'!AW35</f>
        <v/>
      </c>
      <c r="P36" s="5" t="str">
        <f>'Detailed Summary'!BG35</f>
        <v/>
      </c>
    </row>
    <row r="37" spans="1:16" ht="18.5" hidden="1" x14ac:dyDescent="0.45">
      <c r="A37" s="102"/>
      <c r="B37" s="88">
        <f>'Student Basic Info'!A36</f>
        <v>535</v>
      </c>
      <c r="C37" s="86" t="str">
        <f>'Student Basic Info'!C36</f>
        <v>Md. Abu Taher Zitu</v>
      </c>
      <c r="D37" s="89" t="str">
        <f>'Detailed Summary'!AK36</f>
        <v/>
      </c>
      <c r="E37" s="89" t="str">
        <f>'Detailed Summary'!AL36</f>
        <v/>
      </c>
      <c r="F37" s="89" t="str">
        <f>'Detailed Summary'!AM36</f>
        <v/>
      </c>
      <c r="G37" s="89" t="str">
        <f>'Detailed Summary'!AN36</f>
        <v/>
      </c>
      <c r="H37" s="89" t="str">
        <f>'Detailed Summary'!AO36</f>
        <v/>
      </c>
      <c r="I37" s="89" t="str">
        <f>'Detailed Summary'!AP36</f>
        <v/>
      </c>
      <c r="J37" s="89" t="str">
        <f>'Detailed Summary'!AR36</f>
        <v/>
      </c>
      <c r="K37" s="89" t="str">
        <f>'Detailed Summary'!AS36</f>
        <v/>
      </c>
      <c r="L37" s="39">
        <f>'Detailed Summary'!AU36</f>
        <v>0</v>
      </c>
      <c r="M37" s="87" t="str">
        <f>'Detailed Summary'!AV36</f>
        <v/>
      </c>
      <c r="N37" s="3" t="str">
        <f>'Detailed Summary'!BF36</f>
        <v>Failed in 6 Subjects</v>
      </c>
      <c r="O37" s="87" t="str">
        <f>'Detailed Summary'!AW36</f>
        <v/>
      </c>
      <c r="P37" s="5" t="str">
        <f>'Detailed Summary'!BG36</f>
        <v/>
      </c>
    </row>
    <row r="38" spans="1:16" ht="18.5" hidden="1" x14ac:dyDescent="0.45">
      <c r="A38" s="102"/>
      <c r="B38" s="88">
        <f>'Student Basic Info'!A37</f>
        <v>536</v>
      </c>
      <c r="C38" s="86" t="str">
        <f>'Student Basic Info'!C37</f>
        <v>Khalid Bin Alom</v>
      </c>
      <c r="D38" s="89">
        <f>'Detailed Summary'!AK37</f>
        <v>0</v>
      </c>
      <c r="E38" s="89">
        <f>'Detailed Summary'!AL37</f>
        <v>0</v>
      </c>
      <c r="F38" s="89">
        <f>'Detailed Summary'!AM37</f>
        <v>0</v>
      </c>
      <c r="G38" s="89">
        <f>'Detailed Summary'!AN37</f>
        <v>0</v>
      </c>
      <c r="H38" s="89">
        <f>'Detailed Summary'!AO37</f>
        <v>0</v>
      </c>
      <c r="I38" s="89">
        <f>'Detailed Summary'!AP37</f>
        <v>0</v>
      </c>
      <c r="J38" s="89">
        <f>'Detailed Summary'!AR37</f>
        <v>2</v>
      </c>
      <c r="K38" s="89">
        <f>'Detailed Summary'!AS37</f>
        <v>0</v>
      </c>
      <c r="L38" s="39">
        <f>'Detailed Summary'!AU37</f>
        <v>0</v>
      </c>
      <c r="M38" s="87" t="str">
        <f>'Detailed Summary'!AV37</f>
        <v/>
      </c>
      <c r="N38" s="3" t="str">
        <f>'Detailed Summary'!BF37</f>
        <v>Failed in 6 Subjects</v>
      </c>
      <c r="O38" s="87" t="str">
        <f>'Detailed Summary'!AW37</f>
        <v/>
      </c>
      <c r="P38" s="5" t="str">
        <f>'Detailed Summary'!BG37</f>
        <v/>
      </c>
    </row>
    <row r="39" spans="1:16" ht="18.5" hidden="1" x14ac:dyDescent="0.45">
      <c r="A39" s="102"/>
      <c r="B39" s="88">
        <f>'Student Basic Info'!A38</f>
        <v>537</v>
      </c>
      <c r="C39" s="86" t="str">
        <f>'Student Basic Info'!C38</f>
        <v>Mobarok Hosain</v>
      </c>
      <c r="D39" s="89">
        <f>'Detailed Summary'!AK38</f>
        <v>0</v>
      </c>
      <c r="E39" s="89">
        <f>'Detailed Summary'!AL38</f>
        <v>0</v>
      </c>
      <c r="F39" s="89">
        <f>'Detailed Summary'!AM38</f>
        <v>0</v>
      </c>
      <c r="G39" s="89">
        <f>'Detailed Summary'!AN38</f>
        <v>0</v>
      </c>
      <c r="H39" s="89">
        <f>'Detailed Summary'!AO38</f>
        <v>0</v>
      </c>
      <c r="I39" s="89">
        <f>'Detailed Summary'!AP38</f>
        <v>0</v>
      </c>
      <c r="J39" s="89">
        <f>'Detailed Summary'!AR38</f>
        <v>0</v>
      </c>
      <c r="K39" s="89">
        <f>'Detailed Summary'!AS38</f>
        <v>0</v>
      </c>
      <c r="L39" s="39">
        <f>'Detailed Summary'!AU38</f>
        <v>0</v>
      </c>
      <c r="M39" s="87" t="str">
        <f>'Detailed Summary'!AV38</f>
        <v/>
      </c>
      <c r="N39" s="3" t="str">
        <f>'Detailed Summary'!BF38</f>
        <v>Failed in 6 Subjects</v>
      </c>
      <c r="O39" s="87" t="str">
        <f>'Detailed Summary'!AW38</f>
        <v/>
      </c>
      <c r="P39" s="5" t="str">
        <f>'Detailed Summary'!BG38</f>
        <v/>
      </c>
    </row>
    <row r="40" spans="1:16" ht="18.5" hidden="1" x14ac:dyDescent="0.45">
      <c r="A40" s="102"/>
      <c r="B40" s="88">
        <f>'Student Basic Info'!A39</f>
        <v>538</v>
      </c>
      <c r="C40" s="86" t="str">
        <f>'Student Basic Info'!C39</f>
        <v>Jomir Hosain</v>
      </c>
      <c r="D40" s="89">
        <f>'Detailed Summary'!AK39</f>
        <v>1</v>
      </c>
      <c r="E40" s="89">
        <f>'Detailed Summary'!AL39</f>
        <v>0</v>
      </c>
      <c r="F40" s="89">
        <f>'Detailed Summary'!AM39</f>
        <v>0</v>
      </c>
      <c r="G40" s="89">
        <f>'Detailed Summary'!AN39</f>
        <v>0</v>
      </c>
      <c r="H40" s="89">
        <f>'Detailed Summary'!AO39</f>
        <v>2</v>
      </c>
      <c r="I40" s="89">
        <f>'Detailed Summary'!AP39</f>
        <v>3</v>
      </c>
      <c r="J40" s="89">
        <f>'Detailed Summary'!AR39</f>
        <v>1</v>
      </c>
      <c r="K40" s="89">
        <f>'Detailed Summary'!AS39</f>
        <v>0</v>
      </c>
      <c r="L40" s="39">
        <f>'Detailed Summary'!AU39</f>
        <v>6</v>
      </c>
      <c r="M40" s="87" t="str">
        <f>'Detailed Summary'!AV39</f>
        <v/>
      </c>
      <c r="N40" s="3" t="str">
        <f>'Detailed Summary'!BF39</f>
        <v>Failed in 3 Subjects</v>
      </c>
      <c r="O40" s="87" t="str">
        <f>'Detailed Summary'!AW39</f>
        <v/>
      </c>
      <c r="P40" s="5" t="str">
        <f>'Detailed Summary'!BG39</f>
        <v/>
      </c>
    </row>
    <row r="41" spans="1:16" ht="18.5" hidden="1" x14ac:dyDescent="0.45">
      <c r="A41" s="102"/>
      <c r="B41" s="88">
        <f>'Student Basic Info'!A40</f>
        <v>539</v>
      </c>
      <c r="C41" s="86" t="str">
        <f>'Student Basic Info'!C40</f>
        <v>Walid Hasan Anol</v>
      </c>
      <c r="D41" s="89">
        <f>'Detailed Summary'!AK40</f>
        <v>0</v>
      </c>
      <c r="E41" s="89">
        <f>'Detailed Summary'!AL40</f>
        <v>0</v>
      </c>
      <c r="F41" s="89">
        <f>'Detailed Summary'!AM40</f>
        <v>0</v>
      </c>
      <c r="G41" s="89">
        <f>'Detailed Summary'!AN40</f>
        <v>0</v>
      </c>
      <c r="H41" s="89">
        <f>'Detailed Summary'!AO40</f>
        <v>0</v>
      </c>
      <c r="I41" s="89">
        <f>'Detailed Summary'!AP40</f>
        <v>0</v>
      </c>
      <c r="J41" s="89">
        <f>'Detailed Summary'!AR40</f>
        <v>0</v>
      </c>
      <c r="K41" s="89">
        <f>'Detailed Summary'!AS40</f>
        <v>0</v>
      </c>
      <c r="L41" s="39">
        <f>'Detailed Summary'!AU40</f>
        <v>0</v>
      </c>
      <c r="M41" s="87" t="str">
        <f>'Detailed Summary'!AV40</f>
        <v/>
      </c>
      <c r="N41" s="3" t="str">
        <f>'Detailed Summary'!BF40</f>
        <v>Failed in 6 Subjects</v>
      </c>
      <c r="O41" s="87" t="str">
        <f>'Detailed Summary'!AW40</f>
        <v/>
      </c>
      <c r="P41" s="5" t="str">
        <f>'Detailed Summary'!BG40</f>
        <v/>
      </c>
    </row>
    <row r="42" spans="1:16" ht="18.5" hidden="1" x14ac:dyDescent="0.45">
      <c r="A42" s="102"/>
      <c r="B42" s="88">
        <f>'Student Basic Info'!A41</f>
        <v>540</v>
      </c>
      <c r="C42" s="86" t="str">
        <f>'Student Basic Info'!C41</f>
        <v>Golam Mahnud</v>
      </c>
      <c r="D42" s="89">
        <f>'Detailed Summary'!AK41</f>
        <v>1</v>
      </c>
      <c r="E42" s="89">
        <f>'Detailed Summary'!AL41</f>
        <v>0</v>
      </c>
      <c r="F42" s="89">
        <f>'Detailed Summary'!AM41</f>
        <v>0</v>
      </c>
      <c r="G42" s="89">
        <f>'Detailed Summary'!AN41</f>
        <v>0</v>
      </c>
      <c r="H42" s="89">
        <f>'Detailed Summary'!AO41</f>
        <v>0</v>
      </c>
      <c r="I42" s="89">
        <f>'Detailed Summary'!AP41</f>
        <v>0</v>
      </c>
      <c r="J42" s="89">
        <f>'Detailed Summary'!AR41</f>
        <v>0</v>
      </c>
      <c r="K42" s="89">
        <f>'Detailed Summary'!AS41</f>
        <v>0</v>
      </c>
      <c r="L42" s="39">
        <f>'Detailed Summary'!AU41</f>
        <v>1</v>
      </c>
      <c r="M42" s="87" t="str">
        <f>'Detailed Summary'!AV41</f>
        <v/>
      </c>
      <c r="N42" s="3" t="str">
        <f>'Detailed Summary'!BF41</f>
        <v>Failed in 5 Subjects</v>
      </c>
      <c r="O42" s="87" t="str">
        <f>'Detailed Summary'!AW41</f>
        <v/>
      </c>
      <c r="P42" s="5" t="str">
        <f>'Detailed Summary'!BG41</f>
        <v/>
      </c>
    </row>
    <row r="43" spans="1:16" ht="18.5" hidden="1" x14ac:dyDescent="0.45">
      <c r="A43" s="102"/>
      <c r="B43" s="88">
        <f>'Student Basic Info'!A42</f>
        <v>541</v>
      </c>
      <c r="C43" s="86" t="str">
        <f>'Student Basic Info'!C42</f>
        <v>Md. Samir Hosain</v>
      </c>
      <c r="D43" s="89">
        <f>'Detailed Summary'!AK42</f>
        <v>3</v>
      </c>
      <c r="E43" s="89" t="str">
        <f>'Detailed Summary'!AL42</f>
        <v/>
      </c>
      <c r="F43" s="89" t="str">
        <f>'Detailed Summary'!AM42</f>
        <v/>
      </c>
      <c r="G43" s="89" t="str">
        <f>'Detailed Summary'!AN42</f>
        <v/>
      </c>
      <c r="H43" s="89" t="str">
        <f>'Detailed Summary'!AO42</f>
        <v/>
      </c>
      <c r="I43" s="89" t="str">
        <f>'Detailed Summary'!AP42</f>
        <v/>
      </c>
      <c r="J43" s="89" t="str">
        <f>'Detailed Summary'!AR42</f>
        <v/>
      </c>
      <c r="K43" s="89" t="str">
        <f>'Detailed Summary'!AS42</f>
        <v/>
      </c>
      <c r="L43" s="39">
        <f>'Detailed Summary'!AU42</f>
        <v>3</v>
      </c>
      <c r="M43" s="87" t="str">
        <f>'Detailed Summary'!AV42</f>
        <v/>
      </c>
      <c r="N43" s="3" t="str">
        <f>'Detailed Summary'!BF42</f>
        <v>Failed in 5 Subjects</v>
      </c>
      <c r="O43" s="87" t="str">
        <f>'Detailed Summary'!AW42</f>
        <v/>
      </c>
      <c r="P43" s="5" t="str">
        <f>'Detailed Summary'!BG42</f>
        <v/>
      </c>
    </row>
    <row r="44" spans="1:16" ht="18.5" hidden="1" x14ac:dyDescent="0.45">
      <c r="A44" s="102"/>
      <c r="B44" s="88">
        <f>'Student Basic Info'!A43</f>
        <v>542</v>
      </c>
      <c r="C44" s="86" t="str">
        <f>'Student Basic Info'!C43</f>
        <v>Md. Imran Hosain</v>
      </c>
      <c r="D44" s="89">
        <f>'Detailed Summary'!AK43</f>
        <v>1</v>
      </c>
      <c r="E44" s="89">
        <f>'Detailed Summary'!AL43</f>
        <v>0</v>
      </c>
      <c r="F44" s="89">
        <f>'Detailed Summary'!AM43</f>
        <v>0</v>
      </c>
      <c r="G44" s="89">
        <f>'Detailed Summary'!AN43</f>
        <v>0</v>
      </c>
      <c r="H44" s="89">
        <f>'Detailed Summary'!AO43</f>
        <v>0</v>
      </c>
      <c r="I44" s="89">
        <f>'Detailed Summary'!AP43</f>
        <v>1</v>
      </c>
      <c r="J44" s="89">
        <f>'Detailed Summary'!AR43</f>
        <v>0</v>
      </c>
      <c r="K44" s="89">
        <f>'Detailed Summary'!AS43</f>
        <v>0</v>
      </c>
      <c r="L44" s="39">
        <f>'Detailed Summary'!AU43</f>
        <v>2</v>
      </c>
      <c r="M44" s="87" t="str">
        <f>'Detailed Summary'!AV43</f>
        <v/>
      </c>
      <c r="N44" s="3" t="str">
        <f>'Detailed Summary'!BF43</f>
        <v>Failed in 4 Subjects</v>
      </c>
      <c r="O44" s="87" t="str">
        <f>'Detailed Summary'!AW43</f>
        <v/>
      </c>
      <c r="P44" s="5" t="str">
        <f>'Detailed Summary'!BG43</f>
        <v/>
      </c>
    </row>
    <row r="45" spans="1:16" ht="18.5" hidden="1" x14ac:dyDescent="0.45">
      <c r="A45" s="102"/>
      <c r="B45" s="88">
        <f>'Student Basic Info'!A44</f>
        <v>543</v>
      </c>
      <c r="C45" s="86" t="str">
        <f>'Student Basic Info'!C44</f>
        <v>Mohammad Yeasin</v>
      </c>
      <c r="D45" s="89">
        <f>'Detailed Summary'!AK44</f>
        <v>1</v>
      </c>
      <c r="E45" s="89">
        <f>'Detailed Summary'!AL44</f>
        <v>0</v>
      </c>
      <c r="F45" s="89">
        <f>'Detailed Summary'!AM44</f>
        <v>0</v>
      </c>
      <c r="G45" s="89">
        <f>'Detailed Summary'!AN44</f>
        <v>0</v>
      </c>
      <c r="H45" s="89">
        <f>'Detailed Summary'!AO44</f>
        <v>0</v>
      </c>
      <c r="I45" s="89">
        <f>'Detailed Summary'!AP44</f>
        <v>1</v>
      </c>
      <c r="J45" s="89">
        <f>'Detailed Summary'!AR44</f>
        <v>0</v>
      </c>
      <c r="K45" s="89">
        <f>'Detailed Summary'!AS44</f>
        <v>0</v>
      </c>
      <c r="L45" s="39">
        <f>'Detailed Summary'!AU44</f>
        <v>2</v>
      </c>
      <c r="M45" s="87" t="str">
        <f>'Detailed Summary'!AV44</f>
        <v/>
      </c>
      <c r="N45" s="3" t="str">
        <f>'Detailed Summary'!BF44</f>
        <v>Failed in 4 Subjects</v>
      </c>
      <c r="O45" s="87" t="str">
        <f>'Detailed Summary'!AW44</f>
        <v/>
      </c>
      <c r="P45" s="5" t="str">
        <f>'Detailed Summary'!BG44</f>
        <v/>
      </c>
    </row>
    <row r="46" spans="1:16" x14ac:dyDescent="0.35">
      <c r="A46" s="105">
        <v>3</v>
      </c>
      <c r="B46" s="105">
        <f>'Student Basic Info'!A45</f>
        <v>544</v>
      </c>
      <c r="C46" s="106" t="str">
        <f>'Student Basic Info'!C45</f>
        <v>Abdur Rahman</v>
      </c>
      <c r="D46" s="89">
        <f>'Detailed Summary'!AK45</f>
        <v>2</v>
      </c>
      <c r="E46" s="89">
        <f>'Detailed Summary'!AL45</f>
        <v>0</v>
      </c>
      <c r="F46" s="89">
        <f>'Detailed Summary'!AM45</f>
        <v>3</v>
      </c>
      <c r="G46" s="89">
        <f>'Detailed Summary'!AN45</f>
        <v>1</v>
      </c>
      <c r="H46" s="89">
        <f>'Detailed Summary'!AO45</f>
        <v>0</v>
      </c>
      <c r="I46" s="89">
        <f>'Detailed Summary'!AP45</f>
        <v>0</v>
      </c>
      <c r="J46" s="89">
        <f>'Detailed Summary'!AR45</f>
        <v>2</v>
      </c>
      <c r="K46" s="89">
        <f>'Detailed Summary'!AS45</f>
        <v>0</v>
      </c>
      <c r="L46" s="39">
        <f>'Detailed Summary'!AU45</f>
        <v>6</v>
      </c>
      <c r="M46" s="87" t="str">
        <f>'Detailed Summary'!AV45</f>
        <v/>
      </c>
      <c r="N46" s="76" t="str">
        <f>'Detailed Summary'!BF45</f>
        <v>Failed in 3 Subjects</v>
      </c>
      <c r="O46" s="87" t="str">
        <f>'Detailed Summary'!AW45</f>
        <v/>
      </c>
      <c r="P46" s="107" t="str">
        <f>'Detailed Summary'!BG45</f>
        <v/>
      </c>
    </row>
    <row r="47" spans="1:16" ht="18.5" hidden="1" x14ac:dyDescent="0.45">
      <c r="A47" s="102"/>
      <c r="B47" s="88">
        <f>'Student Basic Info'!A46</f>
        <v>545</v>
      </c>
      <c r="C47" s="86" t="str">
        <f>'Student Basic Info'!C46</f>
        <v>Md. Osman Goni</v>
      </c>
      <c r="D47" s="89" t="str">
        <f>'Detailed Summary'!AK46</f>
        <v/>
      </c>
      <c r="E47" s="89" t="str">
        <f>'Detailed Summary'!AL46</f>
        <v/>
      </c>
      <c r="F47" s="89" t="str">
        <f>'Detailed Summary'!AM46</f>
        <v/>
      </c>
      <c r="G47" s="89" t="str">
        <f>'Detailed Summary'!AN46</f>
        <v/>
      </c>
      <c r="H47" s="89" t="str">
        <f>'Detailed Summary'!AO46</f>
        <v/>
      </c>
      <c r="I47" s="89" t="str">
        <f>'Detailed Summary'!AP46</f>
        <v/>
      </c>
      <c r="J47" s="89" t="str">
        <f>'Detailed Summary'!AR46</f>
        <v/>
      </c>
      <c r="K47" s="89" t="str">
        <f>'Detailed Summary'!AS46</f>
        <v/>
      </c>
      <c r="L47" s="39">
        <f>'Detailed Summary'!AU46</f>
        <v>0</v>
      </c>
      <c r="M47" s="87" t="str">
        <f>'Detailed Summary'!AV46</f>
        <v/>
      </c>
      <c r="N47" s="3" t="str">
        <f>'Detailed Summary'!BF46</f>
        <v>Failed in 6 Subjects</v>
      </c>
      <c r="O47" s="87" t="str">
        <f>'Detailed Summary'!AW46</f>
        <v/>
      </c>
      <c r="P47" s="5" t="str">
        <f>'Detailed Summary'!BG46</f>
        <v/>
      </c>
    </row>
    <row r="48" spans="1:16" ht="18.5" hidden="1" x14ac:dyDescent="0.45">
      <c r="A48" s="102"/>
      <c r="B48" s="88">
        <f>'Student Basic Info'!A47</f>
        <v>546</v>
      </c>
      <c r="C48" s="86" t="str">
        <f>'Student Basic Info'!C47</f>
        <v>Tanvir Hosain</v>
      </c>
      <c r="D48" s="89">
        <f>'Detailed Summary'!AK47</f>
        <v>2</v>
      </c>
      <c r="E48" s="89">
        <f>'Detailed Summary'!AL47</f>
        <v>0</v>
      </c>
      <c r="F48" s="89">
        <f>'Detailed Summary'!AM47</f>
        <v>2</v>
      </c>
      <c r="G48" s="89">
        <f>'Detailed Summary'!AN47</f>
        <v>0</v>
      </c>
      <c r="H48" s="89">
        <f>'Detailed Summary'!AO47</f>
        <v>0</v>
      </c>
      <c r="I48" s="89">
        <f>'Detailed Summary'!AP47</f>
        <v>0</v>
      </c>
      <c r="J48" s="89">
        <f>'Detailed Summary'!AR47</f>
        <v>2</v>
      </c>
      <c r="K48" s="89">
        <f>'Detailed Summary'!AS47</f>
        <v>0</v>
      </c>
      <c r="L48" s="39">
        <f>'Detailed Summary'!AU47</f>
        <v>4</v>
      </c>
      <c r="M48" s="87" t="str">
        <f>'Detailed Summary'!AV47</f>
        <v/>
      </c>
      <c r="N48" s="3" t="str">
        <f>'Detailed Summary'!BF47</f>
        <v>Failed in 4 Subjects</v>
      </c>
      <c r="O48" s="87" t="str">
        <f>'Detailed Summary'!AW47</f>
        <v/>
      </c>
      <c r="P48" s="5" t="str">
        <f>'Detailed Summary'!BG47</f>
        <v/>
      </c>
    </row>
    <row r="49" spans="1:16" ht="18.5" hidden="1" x14ac:dyDescent="0.45">
      <c r="A49" s="102"/>
      <c r="B49" s="88">
        <f>'Student Basic Info'!A48</f>
        <v>547</v>
      </c>
      <c r="C49" s="86" t="str">
        <f>'Student Basic Info'!C48</f>
        <v>Monowar Hosain</v>
      </c>
      <c r="D49" s="89" t="str">
        <f>'Detailed Summary'!AK48</f>
        <v/>
      </c>
      <c r="E49" s="89" t="str">
        <f>'Detailed Summary'!AL48</f>
        <v/>
      </c>
      <c r="F49" s="89" t="str">
        <f>'Detailed Summary'!AM48</f>
        <v/>
      </c>
      <c r="G49" s="89" t="str">
        <f>'Detailed Summary'!AN48</f>
        <v/>
      </c>
      <c r="H49" s="89" t="str">
        <f>'Detailed Summary'!AO48</f>
        <v/>
      </c>
      <c r="I49" s="89" t="str">
        <f>'Detailed Summary'!AP48</f>
        <v/>
      </c>
      <c r="J49" s="89" t="str">
        <f>'Detailed Summary'!AR48</f>
        <v/>
      </c>
      <c r="K49" s="89" t="str">
        <f>'Detailed Summary'!AS48</f>
        <v/>
      </c>
      <c r="L49" s="39">
        <f>'Detailed Summary'!AU48</f>
        <v>0</v>
      </c>
      <c r="M49" s="87" t="str">
        <f>'Detailed Summary'!AV48</f>
        <v/>
      </c>
      <c r="N49" s="3" t="str">
        <f>'Detailed Summary'!BF48</f>
        <v>Failed in 6 Subjects</v>
      </c>
      <c r="O49" s="87" t="str">
        <f>'Detailed Summary'!AW48</f>
        <v/>
      </c>
      <c r="P49" s="5" t="str">
        <f>'Detailed Summary'!BG48</f>
        <v/>
      </c>
    </row>
    <row r="50" spans="1:16" ht="18.5" hidden="1" x14ac:dyDescent="0.45">
      <c r="A50" s="102"/>
      <c r="B50" s="88">
        <f>'Student Basic Info'!A49</f>
        <v>548</v>
      </c>
      <c r="C50" s="86" t="str">
        <f>'Student Basic Info'!C49</f>
        <v>Mehedi Hasan</v>
      </c>
      <c r="D50" s="89" t="str">
        <f>'Detailed Summary'!AK49</f>
        <v/>
      </c>
      <c r="E50" s="89" t="str">
        <f>'Detailed Summary'!AL49</f>
        <v/>
      </c>
      <c r="F50" s="89" t="str">
        <f>'Detailed Summary'!AM49</f>
        <v/>
      </c>
      <c r="G50" s="89" t="str">
        <f>'Detailed Summary'!AN49</f>
        <v/>
      </c>
      <c r="H50" s="89" t="str">
        <f>'Detailed Summary'!AO49</f>
        <v/>
      </c>
      <c r="I50" s="89" t="str">
        <f>'Detailed Summary'!AP49</f>
        <v/>
      </c>
      <c r="J50" s="89" t="str">
        <f>'Detailed Summary'!AR49</f>
        <v/>
      </c>
      <c r="K50" s="89" t="str">
        <f>'Detailed Summary'!AS49</f>
        <v/>
      </c>
      <c r="L50" s="39">
        <f>'Detailed Summary'!AU49</f>
        <v>0</v>
      </c>
      <c r="M50" s="87" t="str">
        <f>'Detailed Summary'!AV49</f>
        <v/>
      </c>
      <c r="N50" s="3" t="str">
        <f>'Detailed Summary'!BF49</f>
        <v>Failed in 6 Subjects</v>
      </c>
      <c r="O50" s="87" t="str">
        <f>'Detailed Summary'!AW49</f>
        <v/>
      </c>
      <c r="P50" s="5" t="str">
        <f>'Detailed Summary'!BG49</f>
        <v/>
      </c>
    </row>
    <row r="51" spans="1:16" ht="18.5" hidden="1" x14ac:dyDescent="0.45">
      <c r="A51" s="102"/>
      <c r="B51" s="88">
        <f>'Student Basic Info'!A50</f>
        <v>549</v>
      </c>
      <c r="C51" s="86" t="str">
        <f>'Student Basic Info'!C50</f>
        <v>Mia Md. Mahrup Murshid</v>
      </c>
      <c r="D51" s="89">
        <f>'Detailed Summary'!AK50</f>
        <v>1</v>
      </c>
      <c r="E51" s="89">
        <f>'Detailed Summary'!AL50</f>
        <v>0</v>
      </c>
      <c r="F51" s="89">
        <f>'Detailed Summary'!AM50</f>
        <v>0</v>
      </c>
      <c r="G51" s="89">
        <f>'Detailed Summary'!AN50</f>
        <v>0</v>
      </c>
      <c r="H51" s="89">
        <f>'Detailed Summary'!AO50</f>
        <v>2</v>
      </c>
      <c r="I51" s="89">
        <f>'Detailed Summary'!AP50</f>
        <v>0</v>
      </c>
      <c r="J51" s="89">
        <f>'Detailed Summary'!AR50</f>
        <v>0</v>
      </c>
      <c r="K51" s="89">
        <f>'Detailed Summary'!AS50</f>
        <v>0</v>
      </c>
      <c r="L51" s="39">
        <f>'Detailed Summary'!AU50</f>
        <v>3</v>
      </c>
      <c r="M51" s="87" t="str">
        <f>'Detailed Summary'!AV50</f>
        <v/>
      </c>
      <c r="N51" s="3" t="str">
        <f>'Detailed Summary'!BF50</f>
        <v>Failed in 4 Subjects</v>
      </c>
      <c r="O51" s="87" t="str">
        <f>'Detailed Summary'!AW50</f>
        <v/>
      </c>
      <c r="P51" s="5" t="str">
        <f>'Detailed Summary'!BG50</f>
        <v/>
      </c>
    </row>
    <row r="52" spans="1:16" ht="18.5" hidden="1" x14ac:dyDescent="0.45">
      <c r="A52" s="102"/>
      <c r="B52" s="88">
        <f>'Student Basic Info'!A51</f>
        <v>550</v>
      </c>
      <c r="C52" s="86" t="str">
        <f>'Student Basic Info'!C51</f>
        <v>Mishu Alom Suddik</v>
      </c>
      <c r="D52" s="89" t="str">
        <f>'Detailed Summary'!AK51</f>
        <v/>
      </c>
      <c r="E52" s="89" t="str">
        <f>'Detailed Summary'!AL51</f>
        <v/>
      </c>
      <c r="F52" s="89" t="str">
        <f>'Detailed Summary'!AM51</f>
        <v/>
      </c>
      <c r="G52" s="89" t="str">
        <f>'Detailed Summary'!AN51</f>
        <v/>
      </c>
      <c r="H52" s="89" t="str">
        <f>'Detailed Summary'!AO51</f>
        <v/>
      </c>
      <c r="I52" s="89" t="str">
        <f>'Detailed Summary'!AP51</f>
        <v/>
      </c>
      <c r="J52" s="89" t="str">
        <f>'Detailed Summary'!AR51</f>
        <v/>
      </c>
      <c r="K52" s="89" t="str">
        <f>'Detailed Summary'!AS51</f>
        <v/>
      </c>
      <c r="L52" s="39">
        <f>'Detailed Summary'!AU51</f>
        <v>0</v>
      </c>
      <c r="M52" s="87" t="str">
        <f>'Detailed Summary'!AV51</f>
        <v/>
      </c>
      <c r="N52" s="3" t="str">
        <f>'Detailed Summary'!BF51</f>
        <v>Failed in 6 Subjects</v>
      </c>
      <c r="O52" s="87" t="str">
        <f>'Detailed Summary'!AW51</f>
        <v/>
      </c>
      <c r="P52" s="5" t="str">
        <f>'Detailed Summary'!BG51</f>
        <v/>
      </c>
    </row>
    <row r="53" spans="1:16" ht="18.5" hidden="1" x14ac:dyDescent="0.45">
      <c r="A53" s="102"/>
      <c r="B53" s="88">
        <f>'Student Basic Info'!A52</f>
        <v>551</v>
      </c>
      <c r="C53" s="86" t="str">
        <f>'Student Basic Info'!C52</f>
        <v>Ismail Hosain</v>
      </c>
      <c r="D53" s="89" t="str">
        <f>'Detailed Summary'!AK52</f>
        <v/>
      </c>
      <c r="E53" s="89" t="str">
        <f>'Detailed Summary'!AL52</f>
        <v/>
      </c>
      <c r="F53" s="89" t="str">
        <f>'Detailed Summary'!AM52</f>
        <v/>
      </c>
      <c r="G53" s="89" t="str">
        <f>'Detailed Summary'!AN52</f>
        <v/>
      </c>
      <c r="H53" s="89" t="str">
        <f>'Detailed Summary'!AO52</f>
        <v/>
      </c>
      <c r="I53" s="89" t="str">
        <f>'Detailed Summary'!AP52</f>
        <v/>
      </c>
      <c r="J53" s="89" t="str">
        <f>'Detailed Summary'!AR52</f>
        <v/>
      </c>
      <c r="K53" s="89" t="str">
        <f>'Detailed Summary'!AS52</f>
        <v/>
      </c>
      <c r="L53" s="39">
        <f>'Detailed Summary'!AU52</f>
        <v>0</v>
      </c>
      <c r="M53" s="87" t="str">
        <f>'Detailed Summary'!AV52</f>
        <v/>
      </c>
      <c r="N53" s="3" t="str">
        <f>'Detailed Summary'!BF52</f>
        <v>Failed in 6 Subjects</v>
      </c>
      <c r="O53" s="87" t="str">
        <f>'Detailed Summary'!AW52</f>
        <v/>
      </c>
      <c r="P53" s="5" t="str">
        <f>'Detailed Summary'!BG52</f>
        <v/>
      </c>
    </row>
    <row r="54" spans="1:16" ht="18.5" hidden="1" x14ac:dyDescent="0.45">
      <c r="A54" s="102"/>
      <c r="B54" s="88">
        <f>'Student Basic Info'!A53</f>
        <v>552</v>
      </c>
      <c r="C54" s="86" t="str">
        <f>'Student Basic Info'!C53</f>
        <v>Abu Bokkor Siddik</v>
      </c>
      <c r="D54" s="89">
        <f>'Detailed Summary'!AK53</f>
        <v>1</v>
      </c>
      <c r="E54" s="89">
        <f>'Detailed Summary'!AL53</f>
        <v>0</v>
      </c>
      <c r="F54" s="89">
        <f>'Detailed Summary'!AM53</f>
        <v>0</v>
      </c>
      <c r="G54" s="89">
        <f>'Detailed Summary'!AN53</f>
        <v>0</v>
      </c>
      <c r="H54" s="89">
        <f>'Detailed Summary'!AO53</f>
        <v>0</v>
      </c>
      <c r="I54" s="89">
        <f>'Detailed Summary'!AP53</f>
        <v>0</v>
      </c>
      <c r="J54" s="89">
        <f>'Detailed Summary'!AR53</f>
        <v>1</v>
      </c>
      <c r="K54" s="89">
        <f>'Detailed Summary'!AS53</f>
        <v>0</v>
      </c>
      <c r="L54" s="39">
        <f>'Detailed Summary'!AU53</f>
        <v>1</v>
      </c>
      <c r="M54" s="87" t="str">
        <f>'Detailed Summary'!AV53</f>
        <v/>
      </c>
      <c r="N54" s="3" t="str">
        <f>'Detailed Summary'!BF53</f>
        <v>Failed in 5 Subjects</v>
      </c>
      <c r="O54" s="87" t="str">
        <f>'Detailed Summary'!AW53</f>
        <v/>
      </c>
      <c r="P54" s="5" t="str">
        <f>'Detailed Summary'!BG53</f>
        <v/>
      </c>
    </row>
    <row r="55" spans="1:16" ht="18.5" hidden="1" x14ac:dyDescent="0.45">
      <c r="A55" s="102"/>
      <c r="B55" s="88">
        <f>'Student Basic Info'!A54</f>
        <v>553</v>
      </c>
      <c r="C55" s="86" t="str">
        <f>'Student Basic Info'!C54</f>
        <v>Nowshad Ali</v>
      </c>
      <c r="D55" s="89" t="str">
        <f>'Detailed Summary'!AK54</f>
        <v/>
      </c>
      <c r="E55" s="89" t="str">
        <f>'Detailed Summary'!AL54</f>
        <v/>
      </c>
      <c r="F55" s="89" t="str">
        <f>'Detailed Summary'!AM54</f>
        <v/>
      </c>
      <c r="G55" s="89" t="str">
        <f>'Detailed Summary'!AN54</f>
        <v/>
      </c>
      <c r="H55" s="89" t="str">
        <f>'Detailed Summary'!AO54</f>
        <v/>
      </c>
      <c r="I55" s="89" t="str">
        <f>'Detailed Summary'!AP54</f>
        <v/>
      </c>
      <c r="J55" s="89" t="str">
        <f>'Detailed Summary'!AR54</f>
        <v/>
      </c>
      <c r="K55" s="89" t="str">
        <f>'Detailed Summary'!AS54</f>
        <v/>
      </c>
      <c r="L55" s="39">
        <f>'Detailed Summary'!AU54</f>
        <v>0</v>
      </c>
      <c r="M55" s="87" t="str">
        <f>'Detailed Summary'!AV54</f>
        <v/>
      </c>
      <c r="N55" s="3" t="str">
        <f>'Detailed Summary'!BF54</f>
        <v>Failed in 6 Subjects</v>
      </c>
      <c r="O55" s="87" t="str">
        <f>'Detailed Summary'!AW54</f>
        <v/>
      </c>
      <c r="P55" s="5" t="str">
        <f>'Detailed Summary'!BG54</f>
        <v/>
      </c>
    </row>
    <row r="56" spans="1:16" ht="18.5" hidden="1" x14ac:dyDescent="0.45">
      <c r="A56" s="102"/>
      <c r="B56" s="88">
        <f>'Student Basic Info'!A55</f>
        <v>554</v>
      </c>
      <c r="C56" s="86" t="str">
        <f>'Student Basic Info'!C55</f>
        <v>Md. Musa</v>
      </c>
      <c r="D56" s="89">
        <f>'Detailed Summary'!AK55</f>
        <v>1</v>
      </c>
      <c r="E56" s="89">
        <f>'Detailed Summary'!AL55</f>
        <v>0</v>
      </c>
      <c r="F56" s="89">
        <f>'Detailed Summary'!AM55</f>
        <v>0</v>
      </c>
      <c r="G56" s="89">
        <f>'Detailed Summary'!AN55</f>
        <v>0</v>
      </c>
      <c r="H56" s="89">
        <f>'Detailed Summary'!AO55</f>
        <v>0</v>
      </c>
      <c r="I56" s="89">
        <f>'Detailed Summary'!AP55</f>
        <v>0</v>
      </c>
      <c r="J56" s="89">
        <f>'Detailed Summary'!AR55</f>
        <v>0</v>
      </c>
      <c r="K56" s="89">
        <f>'Detailed Summary'!AS55</f>
        <v>0</v>
      </c>
      <c r="L56" s="39">
        <f>'Detailed Summary'!AU55</f>
        <v>1</v>
      </c>
      <c r="M56" s="87" t="str">
        <f>'Detailed Summary'!AV55</f>
        <v/>
      </c>
      <c r="N56" s="3" t="str">
        <f>'Detailed Summary'!BF55</f>
        <v>Failed in 5 Subjects</v>
      </c>
      <c r="O56" s="87" t="str">
        <f>'Detailed Summary'!AW55</f>
        <v/>
      </c>
      <c r="P56" s="5" t="str">
        <f>'Detailed Summary'!BG55</f>
        <v/>
      </c>
    </row>
    <row r="57" spans="1:16" ht="18.5" hidden="1" x14ac:dyDescent="0.45">
      <c r="A57" s="102"/>
      <c r="B57" s="88">
        <f>'Student Basic Info'!A56</f>
        <v>555</v>
      </c>
      <c r="C57" s="86" t="str">
        <f>'Student Basic Info'!C56</f>
        <v>Setara Bagum</v>
      </c>
      <c r="D57" s="89">
        <f>'Detailed Summary'!AK56</f>
        <v>3</v>
      </c>
      <c r="E57" s="89">
        <f>'Detailed Summary'!AL56</f>
        <v>0</v>
      </c>
      <c r="F57" s="89">
        <f>'Detailed Summary'!AM56</f>
        <v>3</v>
      </c>
      <c r="G57" s="89">
        <f>'Detailed Summary'!AN56</f>
        <v>3</v>
      </c>
      <c r="H57" s="89">
        <f>'Detailed Summary'!AO56</f>
        <v>3</v>
      </c>
      <c r="I57" s="89">
        <f>'Detailed Summary'!AP56</f>
        <v>3</v>
      </c>
      <c r="J57" s="89">
        <f>'Detailed Summary'!AR56</f>
        <v>1</v>
      </c>
      <c r="K57" s="89">
        <f>'Detailed Summary'!AS56</f>
        <v>0</v>
      </c>
      <c r="L57" s="39">
        <f>'Detailed Summary'!AU56</f>
        <v>15</v>
      </c>
      <c r="M57" s="87" t="str">
        <f>'Detailed Summary'!AV56</f>
        <v/>
      </c>
      <c r="N57" s="3" t="str">
        <f>'Detailed Summary'!BF56</f>
        <v>Failed in 1 Subject</v>
      </c>
      <c r="O57" s="87" t="str">
        <f>'Detailed Summary'!AW56</f>
        <v/>
      </c>
      <c r="P57" s="5" t="str">
        <f>'Detailed Summary'!BG56</f>
        <v/>
      </c>
    </row>
    <row r="58" spans="1:16" ht="18.5" hidden="1" x14ac:dyDescent="0.45">
      <c r="A58" s="102"/>
      <c r="B58" s="88">
        <f>'Student Basic Info'!A57</f>
        <v>556</v>
      </c>
      <c r="C58" s="86" t="str">
        <f>'Student Basic Info'!C57</f>
        <v>Tahamina Tabassum</v>
      </c>
      <c r="D58" s="89">
        <f>'Detailed Summary'!AK57</f>
        <v>3.5</v>
      </c>
      <c r="E58" s="89">
        <f>'Detailed Summary'!AL57</f>
        <v>0</v>
      </c>
      <c r="F58" s="89">
        <f>'Detailed Summary'!AM57</f>
        <v>0</v>
      </c>
      <c r="G58" s="89">
        <f>'Detailed Summary'!AN57</f>
        <v>0</v>
      </c>
      <c r="H58" s="89">
        <f>'Detailed Summary'!AO57</f>
        <v>3</v>
      </c>
      <c r="I58" s="89">
        <f>'Detailed Summary'!AP57</f>
        <v>0</v>
      </c>
      <c r="J58" s="89">
        <f>'Detailed Summary'!AR57</f>
        <v>2</v>
      </c>
      <c r="K58" s="89">
        <f>'Detailed Summary'!AS57</f>
        <v>0</v>
      </c>
      <c r="L58" s="39">
        <f>'Detailed Summary'!AU57</f>
        <v>6.5</v>
      </c>
      <c r="M58" s="87" t="str">
        <f>'Detailed Summary'!AV57</f>
        <v/>
      </c>
      <c r="N58" s="3" t="str">
        <f>'Detailed Summary'!BF57</f>
        <v>Failed in 4 Subjects</v>
      </c>
      <c r="O58" s="87" t="str">
        <f>'Detailed Summary'!AW57</f>
        <v/>
      </c>
      <c r="P58" s="5" t="str">
        <f>'Detailed Summary'!BG57</f>
        <v/>
      </c>
    </row>
    <row r="59" spans="1:16" ht="18.5" hidden="1" x14ac:dyDescent="0.45">
      <c r="A59" s="102"/>
      <c r="B59" s="88">
        <f>'Student Basic Info'!A58</f>
        <v>557</v>
      </c>
      <c r="C59" s="86" t="str">
        <f>'Student Basic Info'!C58</f>
        <v>Tanjila Akrar</v>
      </c>
      <c r="D59" s="89">
        <f>'Detailed Summary'!AK58</f>
        <v>3</v>
      </c>
      <c r="E59" s="89">
        <f>'Detailed Summary'!AL58</f>
        <v>1</v>
      </c>
      <c r="F59" s="89">
        <f>'Detailed Summary'!AM58</f>
        <v>2</v>
      </c>
      <c r="G59" s="89">
        <f>'Detailed Summary'!AN58</f>
        <v>1</v>
      </c>
      <c r="H59" s="89">
        <f>'Detailed Summary'!AO58</f>
        <v>3</v>
      </c>
      <c r="I59" s="89">
        <f>'Detailed Summary'!AP58</f>
        <v>1</v>
      </c>
      <c r="J59" s="89">
        <f>'Detailed Summary'!AR58</f>
        <v>2</v>
      </c>
      <c r="K59" s="89">
        <f>'Detailed Summary'!AS58</f>
        <v>0</v>
      </c>
      <c r="L59" s="39">
        <f>'Detailed Summary'!AU58</f>
        <v>11</v>
      </c>
      <c r="M59" s="87">
        <f>'Detailed Summary'!AV58</f>
        <v>1.8333333333333333</v>
      </c>
      <c r="N59" s="3" t="str">
        <f>'Detailed Summary'!BF58</f>
        <v>Pass</v>
      </c>
      <c r="O59" s="87">
        <f>'Detailed Summary'!AW58</f>
        <v>1.8333333333333333</v>
      </c>
      <c r="P59" s="5">
        <f>'Detailed Summary'!BG58</f>
        <v>11</v>
      </c>
    </row>
    <row r="60" spans="1:16" x14ac:dyDescent="0.35">
      <c r="A60" s="105">
        <v>4</v>
      </c>
      <c r="B60" s="105">
        <f>'Student Basic Info'!A59</f>
        <v>558</v>
      </c>
      <c r="C60" s="106" t="str">
        <f>'Student Basic Info'!C59</f>
        <v>Nusrat Zahan Evana</v>
      </c>
      <c r="D60" s="89">
        <f>'Detailed Summary'!AK59</f>
        <v>3.5</v>
      </c>
      <c r="E60" s="89">
        <f>'Detailed Summary'!AL59</f>
        <v>1</v>
      </c>
      <c r="F60" s="89">
        <f>'Detailed Summary'!AM59</f>
        <v>3</v>
      </c>
      <c r="G60" s="89">
        <f>'Detailed Summary'!AN59</f>
        <v>3</v>
      </c>
      <c r="H60" s="89">
        <f>'Detailed Summary'!AO59</f>
        <v>3.5</v>
      </c>
      <c r="I60" s="89">
        <f>'Detailed Summary'!AP59</f>
        <v>2</v>
      </c>
      <c r="J60" s="89">
        <f>'Detailed Summary'!AR59</f>
        <v>3</v>
      </c>
      <c r="K60" s="89">
        <f>'Detailed Summary'!AS59</f>
        <v>1</v>
      </c>
      <c r="L60" s="39">
        <f>'Detailed Summary'!AU59</f>
        <v>17</v>
      </c>
      <c r="M60" s="87">
        <f>'Detailed Summary'!AV59</f>
        <v>2.6666666666666665</v>
      </c>
      <c r="N60" s="76" t="str">
        <f>'Detailed Summary'!BF59</f>
        <v>Pass</v>
      </c>
      <c r="O60" s="87">
        <f>'Detailed Summary'!AW59</f>
        <v>2.8333333333333335</v>
      </c>
      <c r="P60" s="107">
        <f>'Detailed Summary'!BG59</f>
        <v>5</v>
      </c>
    </row>
    <row r="61" spans="1:16" ht="18.5" hidden="1" x14ac:dyDescent="0.45">
      <c r="A61" s="102"/>
      <c r="B61" s="88">
        <f>'Student Basic Info'!A60</f>
        <v>559</v>
      </c>
      <c r="C61" s="86" t="str">
        <f>'Student Basic Info'!C60</f>
        <v>Nahat Binte Raju</v>
      </c>
      <c r="D61" s="89">
        <f>'Detailed Summary'!AK60</f>
        <v>3.5</v>
      </c>
      <c r="E61" s="89">
        <f>'Detailed Summary'!AL60</f>
        <v>2</v>
      </c>
      <c r="F61" s="89">
        <f>'Detailed Summary'!AM60</f>
        <v>3</v>
      </c>
      <c r="G61" s="89">
        <f>'Detailed Summary'!AN60</f>
        <v>2</v>
      </c>
      <c r="H61" s="89">
        <f>'Detailed Summary'!AO60</f>
        <v>2</v>
      </c>
      <c r="I61" s="89">
        <f>'Detailed Summary'!AP60</f>
        <v>1</v>
      </c>
      <c r="J61" s="89">
        <f>'Detailed Summary'!AR60</f>
        <v>2</v>
      </c>
      <c r="K61" s="89">
        <f>'Detailed Summary'!AS60</f>
        <v>0</v>
      </c>
      <c r="L61" s="39">
        <f>'Detailed Summary'!AU60</f>
        <v>13.5</v>
      </c>
      <c r="M61" s="87">
        <f>'Detailed Summary'!AV60</f>
        <v>2.25</v>
      </c>
      <c r="N61" s="3" t="str">
        <f>'Detailed Summary'!BF60</f>
        <v>Pass</v>
      </c>
      <c r="O61" s="87">
        <f>'Detailed Summary'!AW60</f>
        <v>2.25</v>
      </c>
      <c r="P61" s="5">
        <f>'Detailed Summary'!BG60</f>
        <v>10</v>
      </c>
    </row>
    <row r="62" spans="1:16" ht="18.5" hidden="1" x14ac:dyDescent="0.45">
      <c r="A62" s="102"/>
      <c r="B62" s="88">
        <f>'Student Basic Info'!A61</f>
        <v>560</v>
      </c>
      <c r="C62" s="86" t="str">
        <f>'Student Basic Info'!C61</f>
        <v>Nadiya Tasmin Nipu</v>
      </c>
      <c r="D62" s="89">
        <f>'Detailed Summary'!AK61</f>
        <v>3.5</v>
      </c>
      <c r="E62" s="89">
        <f>'Detailed Summary'!AL61</f>
        <v>0</v>
      </c>
      <c r="F62" s="89">
        <f>'Detailed Summary'!AM61</f>
        <v>2</v>
      </c>
      <c r="G62" s="89">
        <f>'Detailed Summary'!AN61</f>
        <v>0</v>
      </c>
      <c r="H62" s="89">
        <f>'Detailed Summary'!AO61</f>
        <v>2</v>
      </c>
      <c r="I62" s="89">
        <f>'Detailed Summary'!AP61</f>
        <v>1</v>
      </c>
      <c r="J62" s="89">
        <f>'Detailed Summary'!AR61</f>
        <v>2</v>
      </c>
      <c r="K62" s="89">
        <f>'Detailed Summary'!AS61</f>
        <v>0</v>
      </c>
      <c r="L62" s="39">
        <f>'Detailed Summary'!AU61</f>
        <v>8.5</v>
      </c>
      <c r="M62" s="87" t="str">
        <f>'Detailed Summary'!AV61</f>
        <v/>
      </c>
      <c r="N62" s="3" t="str">
        <f>'Detailed Summary'!BF61</f>
        <v>Failed in 2 Subjects</v>
      </c>
      <c r="O62" s="87" t="str">
        <f>'Detailed Summary'!AW61</f>
        <v/>
      </c>
      <c r="P62" s="5" t="str">
        <f>'Detailed Summary'!BG61</f>
        <v/>
      </c>
    </row>
    <row r="63" spans="1:16" ht="18.5" hidden="1" x14ac:dyDescent="0.45">
      <c r="A63" s="102"/>
      <c r="B63" s="88">
        <f>'Student Basic Info'!A62</f>
        <v>561</v>
      </c>
      <c r="C63" s="86" t="str">
        <f>'Student Basic Info'!C62</f>
        <v>Umme Habiba Niha</v>
      </c>
      <c r="D63" s="89">
        <f>'Detailed Summary'!AK62</f>
        <v>0</v>
      </c>
      <c r="E63" s="89">
        <f>'Detailed Summary'!AL62</f>
        <v>0</v>
      </c>
      <c r="F63" s="89">
        <f>'Detailed Summary'!AM62</f>
        <v>0</v>
      </c>
      <c r="G63" s="89">
        <f>'Detailed Summary'!AN62</f>
        <v>0</v>
      </c>
      <c r="H63" s="89">
        <f>'Detailed Summary'!AO62</f>
        <v>0</v>
      </c>
      <c r="I63" s="89" t="str">
        <f>'Detailed Summary'!AP62</f>
        <v/>
      </c>
      <c r="J63" s="89">
        <f>'Detailed Summary'!AR62</f>
        <v>0</v>
      </c>
      <c r="K63" s="89">
        <f>'Detailed Summary'!AS62</f>
        <v>0</v>
      </c>
      <c r="L63" s="39">
        <f>'Detailed Summary'!AU62</f>
        <v>0</v>
      </c>
      <c r="M63" s="87" t="str">
        <f>'Detailed Summary'!AV62</f>
        <v/>
      </c>
      <c r="N63" s="3" t="str">
        <f>'Detailed Summary'!BF62</f>
        <v>Failed in 6 Subjects</v>
      </c>
      <c r="O63" s="87" t="str">
        <f>'Detailed Summary'!AW62</f>
        <v/>
      </c>
      <c r="P63" s="5" t="str">
        <f>'Detailed Summary'!BG62</f>
        <v/>
      </c>
    </row>
    <row r="64" spans="1:16" ht="18.5" hidden="1" x14ac:dyDescent="0.45">
      <c r="A64" s="102"/>
      <c r="B64" s="88">
        <f>'Student Basic Info'!A63</f>
        <v>562</v>
      </c>
      <c r="C64" s="86" t="str">
        <f>'Student Basic Info'!C63</f>
        <v>Md. Ridwan Hosain</v>
      </c>
      <c r="D64" s="89" t="str">
        <f>'Detailed Summary'!AK63</f>
        <v/>
      </c>
      <c r="E64" s="89" t="str">
        <f>'Detailed Summary'!AL63</f>
        <v/>
      </c>
      <c r="F64" s="89" t="str">
        <f>'Detailed Summary'!AM63</f>
        <v/>
      </c>
      <c r="G64" s="89" t="str">
        <f>'Detailed Summary'!AN63</f>
        <v/>
      </c>
      <c r="H64" s="89" t="str">
        <f>'Detailed Summary'!AO63</f>
        <v/>
      </c>
      <c r="I64" s="89" t="str">
        <f>'Detailed Summary'!AP63</f>
        <v/>
      </c>
      <c r="J64" s="89" t="str">
        <f>'Detailed Summary'!AR63</f>
        <v/>
      </c>
      <c r="K64" s="89" t="str">
        <f>'Detailed Summary'!AS63</f>
        <v/>
      </c>
      <c r="L64" s="39">
        <f>'Detailed Summary'!AU63</f>
        <v>0</v>
      </c>
      <c r="M64" s="87" t="str">
        <f>'Detailed Summary'!AV63</f>
        <v/>
      </c>
      <c r="N64" s="3" t="str">
        <f>'Detailed Summary'!BF63</f>
        <v>Failed in 6 Subjects</v>
      </c>
      <c r="O64" s="87" t="str">
        <f>'Detailed Summary'!AW63</f>
        <v/>
      </c>
      <c r="P64" s="5" t="str">
        <f>'Detailed Summary'!BG63</f>
        <v/>
      </c>
    </row>
    <row r="65" spans="1:16" ht="18.5" hidden="1" x14ac:dyDescent="0.45">
      <c r="A65" s="102"/>
      <c r="B65" s="88">
        <f>'Student Basic Info'!A64</f>
        <v>563</v>
      </c>
      <c r="C65" s="86" t="str">
        <f>'Student Basic Info'!C64</f>
        <v>Mehedi Hasan Rahim</v>
      </c>
      <c r="D65" s="89" t="str">
        <f>'Detailed Summary'!AK64</f>
        <v/>
      </c>
      <c r="E65" s="89" t="str">
        <f>'Detailed Summary'!AL64</f>
        <v/>
      </c>
      <c r="F65" s="89" t="str">
        <f>'Detailed Summary'!AM64</f>
        <v/>
      </c>
      <c r="G65" s="89" t="str">
        <f>'Detailed Summary'!AN64</f>
        <v/>
      </c>
      <c r="H65" s="89" t="str">
        <f>'Detailed Summary'!AO64</f>
        <v/>
      </c>
      <c r="I65" s="89" t="str">
        <f>'Detailed Summary'!AP64</f>
        <v/>
      </c>
      <c r="J65" s="89" t="str">
        <f>'Detailed Summary'!AR64</f>
        <v/>
      </c>
      <c r="K65" s="89" t="str">
        <f>'Detailed Summary'!AS64</f>
        <v/>
      </c>
      <c r="L65" s="39">
        <f>'Detailed Summary'!AU64</f>
        <v>0</v>
      </c>
      <c r="M65" s="87" t="str">
        <f>'Detailed Summary'!AV64</f>
        <v/>
      </c>
      <c r="N65" s="3" t="str">
        <f>'Detailed Summary'!BF64</f>
        <v>Failed in 6 Subjects</v>
      </c>
      <c r="O65" s="87" t="str">
        <f>'Detailed Summary'!AW64</f>
        <v/>
      </c>
      <c r="P65" s="5" t="str">
        <f>'Detailed Summary'!BG64</f>
        <v/>
      </c>
    </row>
    <row r="66" spans="1:16" ht="18.5" hidden="1" x14ac:dyDescent="0.45">
      <c r="A66" s="102"/>
      <c r="B66" s="88">
        <f>'Student Basic Info'!A65</f>
        <v>564</v>
      </c>
      <c r="C66" s="86" t="str">
        <f>'Student Basic Info'!C65</f>
        <v>Mominul Haque</v>
      </c>
      <c r="D66" s="89" t="str">
        <f>'Detailed Summary'!AK65</f>
        <v/>
      </c>
      <c r="E66" s="89" t="str">
        <f>'Detailed Summary'!AL65</f>
        <v/>
      </c>
      <c r="F66" s="89" t="str">
        <f>'Detailed Summary'!AM65</f>
        <v/>
      </c>
      <c r="G66" s="89" t="str">
        <f>'Detailed Summary'!AN65</f>
        <v/>
      </c>
      <c r="H66" s="89" t="str">
        <f>'Detailed Summary'!AO65</f>
        <v/>
      </c>
      <c r="I66" s="89" t="str">
        <f>'Detailed Summary'!AP65</f>
        <v/>
      </c>
      <c r="J66" s="89" t="str">
        <f>'Detailed Summary'!AR65</f>
        <v/>
      </c>
      <c r="K66" s="89" t="str">
        <f>'Detailed Summary'!AS65</f>
        <v/>
      </c>
      <c r="L66" s="39">
        <f>'Detailed Summary'!AU65</f>
        <v>0</v>
      </c>
      <c r="M66" s="87" t="str">
        <f>'Detailed Summary'!AV65</f>
        <v/>
      </c>
      <c r="N66" s="3" t="str">
        <f>'Detailed Summary'!BF65</f>
        <v>Failed in 6 Subjects</v>
      </c>
      <c r="O66" s="87" t="str">
        <f>'Detailed Summary'!AW65</f>
        <v/>
      </c>
      <c r="P66" s="5" t="str">
        <f>'Detailed Summary'!BG65</f>
        <v/>
      </c>
    </row>
    <row r="67" spans="1:16" ht="18.5" hidden="1" x14ac:dyDescent="0.45">
      <c r="A67" s="102"/>
      <c r="B67" s="88">
        <f>'Student Basic Info'!A66</f>
        <v>565</v>
      </c>
      <c r="C67" s="86" t="str">
        <f>'Student Basic Info'!C66</f>
        <v>Farhana Islam</v>
      </c>
      <c r="D67" s="89">
        <f>'Detailed Summary'!AK66</f>
        <v>2</v>
      </c>
      <c r="E67" s="89">
        <f>'Detailed Summary'!AL66</f>
        <v>0</v>
      </c>
      <c r="F67" s="89">
        <f>'Detailed Summary'!AM66</f>
        <v>2</v>
      </c>
      <c r="G67" s="89">
        <f>'Detailed Summary'!AN66</f>
        <v>3</v>
      </c>
      <c r="H67" s="89">
        <f>'Detailed Summary'!AO66</f>
        <v>0</v>
      </c>
      <c r="I67" s="89">
        <f>'Detailed Summary'!AP66</f>
        <v>2</v>
      </c>
      <c r="J67" s="89" t="str">
        <f>'Detailed Summary'!AR66</f>
        <v/>
      </c>
      <c r="K67" s="89" t="str">
        <f>'Detailed Summary'!AS66</f>
        <v/>
      </c>
      <c r="L67" s="39">
        <f>'Detailed Summary'!AU66</f>
        <v>9</v>
      </c>
      <c r="M67" s="87" t="str">
        <f>'Detailed Summary'!AV66</f>
        <v/>
      </c>
      <c r="N67" s="3" t="str">
        <f>'Detailed Summary'!BF66</f>
        <v>Failed in 2 Subjects</v>
      </c>
      <c r="O67" s="87" t="str">
        <f>'Detailed Summary'!AW66</f>
        <v/>
      </c>
      <c r="P67" s="5" t="str">
        <f>'Detailed Summary'!BG66</f>
        <v/>
      </c>
    </row>
    <row r="68" spans="1:16" ht="18.5" hidden="1" x14ac:dyDescent="0.45">
      <c r="A68" s="102"/>
      <c r="B68" s="88">
        <f>'Student Basic Info'!A67</f>
        <v>566</v>
      </c>
      <c r="C68" s="86" t="str">
        <f>'Student Basic Info'!C67</f>
        <v>Md. Mushfiqul Alom</v>
      </c>
      <c r="D68" s="89" t="str">
        <f>'Detailed Summary'!AK67</f>
        <v/>
      </c>
      <c r="E68" s="89" t="str">
        <f>'Detailed Summary'!AL67</f>
        <v/>
      </c>
      <c r="F68" s="89" t="str">
        <f>'Detailed Summary'!AM67</f>
        <v/>
      </c>
      <c r="G68" s="89" t="str">
        <f>'Detailed Summary'!AN67</f>
        <v/>
      </c>
      <c r="H68" s="89" t="str">
        <f>'Detailed Summary'!AO67</f>
        <v/>
      </c>
      <c r="I68" s="89" t="str">
        <f>'Detailed Summary'!AP67</f>
        <v/>
      </c>
      <c r="J68" s="89" t="str">
        <f>'Detailed Summary'!AR67</f>
        <v/>
      </c>
      <c r="K68" s="89" t="str">
        <f>'Detailed Summary'!AS67</f>
        <v/>
      </c>
      <c r="L68" s="39">
        <f>'Detailed Summary'!AU67</f>
        <v>0</v>
      </c>
      <c r="M68" s="87" t="str">
        <f>'Detailed Summary'!AV67</f>
        <v/>
      </c>
      <c r="N68" s="3" t="str">
        <f>'Detailed Summary'!BF67</f>
        <v>Failed in 6 Subjects</v>
      </c>
      <c r="O68" s="87" t="str">
        <f>'Detailed Summary'!AW67</f>
        <v/>
      </c>
      <c r="P68" s="5" t="str">
        <f>'Detailed Summary'!BG67</f>
        <v/>
      </c>
    </row>
    <row r="69" spans="1:16" ht="18.5" hidden="1" x14ac:dyDescent="0.45">
      <c r="A69" s="102"/>
      <c r="B69" s="88">
        <f>'Student Basic Info'!A68</f>
        <v>567</v>
      </c>
      <c r="C69" s="86" t="str">
        <f>'Student Basic Info'!C68</f>
        <v>Fokhrul Alom</v>
      </c>
      <c r="D69" s="89">
        <f>'Detailed Summary'!AK68</f>
        <v>0</v>
      </c>
      <c r="E69" s="89">
        <f>'Detailed Summary'!AL68</f>
        <v>0</v>
      </c>
      <c r="F69" s="89">
        <f>'Detailed Summary'!AM68</f>
        <v>0</v>
      </c>
      <c r="G69" s="89">
        <f>'Detailed Summary'!AN68</f>
        <v>0</v>
      </c>
      <c r="H69" s="89">
        <f>'Detailed Summary'!AO68</f>
        <v>0</v>
      </c>
      <c r="I69" s="89">
        <f>'Detailed Summary'!AP68</f>
        <v>0</v>
      </c>
      <c r="J69" s="89">
        <f>'Detailed Summary'!AR68</f>
        <v>0</v>
      </c>
      <c r="K69" s="89">
        <f>'Detailed Summary'!AS68</f>
        <v>0</v>
      </c>
      <c r="L69" s="39">
        <f>'Detailed Summary'!AU68</f>
        <v>0</v>
      </c>
      <c r="M69" s="87" t="str">
        <f>'Detailed Summary'!AV68</f>
        <v/>
      </c>
      <c r="N69" s="3" t="str">
        <f>'Detailed Summary'!BF68</f>
        <v>Failed in 6 Subjects</v>
      </c>
      <c r="O69" s="87" t="str">
        <f>'Detailed Summary'!AW68</f>
        <v/>
      </c>
      <c r="P69" s="5" t="str">
        <f>'Detailed Summary'!BG68</f>
        <v/>
      </c>
    </row>
    <row r="70" spans="1:16" ht="18.5" hidden="1" x14ac:dyDescent="0.45">
      <c r="A70" s="102"/>
      <c r="B70" s="88">
        <f>'Student Basic Info'!A69</f>
        <v>568</v>
      </c>
      <c r="C70" s="86" t="str">
        <f>'Student Basic Info'!C69</f>
        <v>Sanzida Aktar Ruhi</v>
      </c>
      <c r="D70" s="89">
        <f>'Detailed Summary'!AK69</f>
        <v>0</v>
      </c>
      <c r="E70" s="89">
        <f>'Detailed Summary'!AL69</f>
        <v>0</v>
      </c>
      <c r="F70" s="89">
        <f>'Detailed Summary'!AM69</f>
        <v>0</v>
      </c>
      <c r="G70" s="89">
        <f>'Detailed Summary'!AN69</f>
        <v>0</v>
      </c>
      <c r="H70" s="89">
        <f>'Detailed Summary'!AO69</f>
        <v>0</v>
      </c>
      <c r="I70" s="89">
        <f>'Detailed Summary'!AP69</f>
        <v>0</v>
      </c>
      <c r="J70" s="89">
        <f>'Detailed Summary'!AR69</f>
        <v>0</v>
      </c>
      <c r="K70" s="89">
        <f>'Detailed Summary'!AS69</f>
        <v>0</v>
      </c>
      <c r="L70" s="39">
        <f>'Detailed Summary'!AU69</f>
        <v>0</v>
      </c>
      <c r="M70" s="87" t="str">
        <f>'Detailed Summary'!AV69</f>
        <v/>
      </c>
      <c r="N70" s="3" t="str">
        <f>'Detailed Summary'!BF69</f>
        <v>Failed in 6 Subjects</v>
      </c>
      <c r="O70" s="87" t="str">
        <f>'Detailed Summary'!AW69</f>
        <v/>
      </c>
      <c r="P70" s="5" t="str">
        <f>'Detailed Summary'!BG69</f>
        <v/>
      </c>
    </row>
    <row r="71" spans="1:16" ht="18.5" hidden="1" x14ac:dyDescent="0.45">
      <c r="A71" s="102"/>
      <c r="B71" s="88">
        <f>'Student Basic Info'!A70</f>
        <v>569</v>
      </c>
      <c r="C71" s="86" t="str">
        <f>'Student Basic Info'!C70</f>
        <v>Miheraz Hosain</v>
      </c>
      <c r="D71" s="89" t="str">
        <f>'Detailed Summary'!AK70</f>
        <v/>
      </c>
      <c r="E71" s="89" t="str">
        <f>'Detailed Summary'!AL70</f>
        <v/>
      </c>
      <c r="F71" s="89" t="str">
        <f>'Detailed Summary'!AM70</f>
        <v/>
      </c>
      <c r="G71" s="89" t="str">
        <f>'Detailed Summary'!AN70</f>
        <v/>
      </c>
      <c r="H71" s="89" t="str">
        <f>'Detailed Summary'!AO70</f>
        <v/>
      </c>
      <c r="I71" s="89" t="str">
        <f>'Detailed Summary'!AP70</f>
        <v/>
      </c>
      <c r="J71" s="89" t="str">
        <f>'Detailed Summary'!AR70</f>
        <v/>
      </c>
      <c r="K71" s="89" t="str">
        <f>'Detailed Summary'!AS70</f>
        <v/>
      </c>
      <c r="L71" s="39">
        <f>'Detailed Summary'!AU70</f>
        <v>0</v>
      </c>
      <c r="M71" s="87" t="str">
        <f>'Detailed Summary'!AV70</f>
        <v/>
      </c>
      <c r="N71" s="3" t="str">
        <f>'Detailed Summary'!BF70</f>
        <v>Failed in 6 Subjects</v>
      </c>
      <c r="O71" s="87" t="str">
        <f>'Detailed Summary'!AW70</f>
        <v/>
      </c>
      <c r="P71" s="5" t="str">
        <f>'Detailed Summary'!BG70</f>
        <v/>
      </c>
    </row>
    <row r="72" spans="1:16" ht="18.5" hidden="1" x14ac:dyDescent="0.45">
      <c r="A72" s="102"/>
      <c r="B72" s="88">
        <f>'Student Basic Info'!A71</f>
        <v>570</v>
      </c>
      <c r="C72" s="86" t="str">
        <f>'Student Basic Info'!C71</f>
        <v>Md. Naymul Islam</v>
      </c>
      <c r="D72" s="89" t="str">
        <f>'Detailed Summary'!AK71</f>
        <v/>
      </c>
      <c r="E72" s="89" t="str">
        <f>'Detailed Summary'!AL71</f>
        <v/>
      </c>
      <c r="F72" s="89" t="str">
        <f>'Detailed Summary'!AM71</f>
        <v/>
      </c>
      <c r="G72" s="89" t="str">
        <f>'Detailed Summary'!AN71</f>
        <v/>
      </c>
      <c r="H72" s="89" t="str">
        <f>'Detailed Summary'!AO71</f>
        <v/>
      </c>
      <c r="I72" s="89" t="str">
        <f>'Detailed Summary'!AP71</f>
        <v/>
      </c>
      <c r="J72" s="89" t="str">
        <f>'Detailed Summary'!AR71</f>
        <v/>
      </c>
      <c r="K72" s="89" t="str">
        <f>'Detailed Summary'!AS71</f>
        <v/>
      </c>
      <c r="L72" s="39">
        <f>'Detailed Summary'!AU71</f>
        <v>0</v>
      </c>
      <c r="M72" s="87" t="str">
        <f>'Detailed Summary'!AV71</f>
        <v/>
      </c>
      <c r="N72" s="3" t="str">
        <f>'Detailed Summary'!BF71</f>
        <v>Failed in 6 Subjects</v>
      </c>
      <c r="O72" s="87" t="str">
        <f>'Detailed Summary'!AW71</f>
        <v/>
      </c>
      <c r="P72" s="5" t="str">
        <f>'Detailed Summary'!BG71</f>
        <v/>
      </c>
    </row>
    <row r="73" spans="1:16" ht="18.5" hidden="1" x14ac:dyDescent="0.45">
      <c r="A73" s="102"/>
      <c r="B73" s="88">
        <f>'Student Basic Info'!A72</f>
        <v>571</v>
      </c>
      <c r="C73" s="86" t="str">
        <f>'Student Basic Info'!C72</f>
        <v>Nirob Chandra Dhupi</v>
      </c>
      <c r="D73" s="89" t="str">
        <f>'Detailed Summary'!AK72</f>
        <v/>
      </c>
      <c r="E73" s="89" t="str">
        <f>'Detailed Summary'!AL72</f>
        <v/>
      </c>
      <c r="F73" s="89" t="str">
        <f>'Detailed Summary'!AM72</f>
        <v/>
      </c>
      <c r="G73" s="89" t="str">
        <f>'Detailed Summary'!AN72</f>
        <v/>
      </c>
      <c r="H73" s="89" t="str">
        <f>'Detailed Summary'!AO72</f>
        <v/>
      </c>
      <c r="I73" s="89" t="str">
        <f>'Detailed Summary'!AP72</f>
        <v/>
      </c>
      <c r="J73" s="89" t="str">
        <f>'Detailed Summary'!AR72</f>
        <v/>
      </c>
      <c r="K73" s="89" t="str">
        <f>'Detailed Summary'!AS72</f>
        <v/>
      </c>
      <c r="L73" s="39">
        <f>'Detailed Summary'!AU72</f>
        <v>0</v>
      </c>
      <c r="M73" s="87" t="str">
        <f>'Detailed Summary'!AV72</f>
        <v/>
      </c>
      <c r="N73" s="3" t="str">
        <f>'Detailed Summary'!BF72</f>
        <v>Failed in 6 Subjects</v>
      </c>
      <c r="O73" s="87" t="str">
        <f>'Detailed Summary'!AW72</f>
        <v/>
      </c>
      <c r="P73" s="5" t="str">
        <f>'Detailed Summary'!BG72</f>
        <v/>
      </c>
    </row>
    <row r="74" spans="1:16" ht="18.5" hidden="1" x14ac:dyDescent="0.45">
      <c r="A74" s="102"/>
      <c r="B74" s="88">
        <f>'Student Basic Info'!A73</f>
        <v>572</v>
      </c>
      <c r="C74" s="86" t="str">
        <f>'Student Basic Info'!C73</f>
        <v>Abu Bokkor Siddik</v>
      </c>
      <c r="D74" s="89">
        <f>'Detailed Summary'!AK73</f>
        <v>0</v>
      </c>
      <c r="E74" s="89">
        <f>'Detailed Summary'!AL73</f>
        <v>0</v>
      </c>
      <c r="F74" s="89">
        <f>'Detailed Summary'!AM73</f>
        <v>0</v>
      </c>
      <c r="G74" s="89">
        <f>'Detailed Summary'!AN73</f>
        <v>0</v>
      </c>
      <c r="H74" s="89">
        <f>'Detailed Summary'!AO73</f>
        <v>0</v>
      </c>
      <c r="I74" s="89">
        <f>'Detailed Summary'!AP73</f>
        <v>0</v>
      </c>
      <c r="J74" s="89">
        <f>'Detailed Summary'!AR73</f>
        <v>0</v>
      </c>
      <c r="K74" s="89">
        <f>'Detailed Summary'!AS73</f>
        <v>0</v>
      </c>
      <c r="L74" s="39">
        <f>'Detailed Summary'!AU73</f>
        <v>0</v>
      </c>
      <c r="M74" s="87" t="str">
        <f>'Detailed Summary'!AV73</f>
        <v/>
      </c>
      <c r="N74" s="3" t="str">
        <f>'Detailed Summary'!BF73</f>
        <v>Failed in 6 Subjects</v>
      </c>
      <c r="O74" s="87" t="str">
        <f>'Detailed Summary'!AW73</f>
        <v/>
      </c>
      <c r="P74" s="5" t="str">
        <f>'Detailed Summary'!BG73</f>
        <v/>
      </c>
    </row>
    <row r="75" spans="1:16" ht="18.5" hidden="1" x14ac:dyDescent="0.45">
      <c r="A75" s="102"/>
      <c r="B75" s="88">
        <f>'Student Basic Info'!A74</f>
        <v>573</v>
      </c>
      <c r="C75" s="86" t="str">
        <f>'Student Basic Info'!C74</f>
        <v>Sultan Ahammed Nafiz</v>
      </c>
      <c r="D75" s="89">
        <f>'Detailed Summary'!AK74</f>
        <v>0</v>
      </c>
      <c r="E75" s="89">
        <f>'Detailed Summary'!AL74</f>
        <v>0</v>
      </c>
      <c r="F75" s="89">
        <f>'Detailed Summary'!AM74</f>
        <v>0</v>
      </c>
      <c r="G75" s="89">
        <f>'Detailed Summary'!AN74</f>
        <v>0</v>
      </c>
      <c r="H75" s="89">
        <f>'Detailed Summary'!AO74</f>
        <v>0</v>
      </c>
      <c r="I75" s="89">
        <f>'Detailed Summary'!AP74</f>
        <v>0</v>
      </c>
      <c r="J75" s="89">
        <f>'Detailed Summary'!AR74</f>
        <v>0</v>
      </c>
      <c r="K75" s="89">
        <f>'Detailed Summary'!AS74</f>
        <v>0</v>
      </c>
      <c r="L75" s="39">
        <f>'Detailed Summary'!AU74</f>
        <v>0</v>
      </c>
      <c r="M75" s="87" t="str">
        <f>'Detailed Summary'!AV74</f>
        <v/>
      </c>
      <c r="N75" s="3" t="str">
        <f>'Detailed Summary'!BF74</f>
        <v>Failed in 6 Subjects</v>
      </c>
      <c r="O75" s="87" t="str">
        <f>'Detailed Summary'!AW74</f>
        <v/>
      </c>
      <c r="P75" s="5" t="str">
        <f>'Detailed Summary'!BG74</f>
        <v/>
      </c>
    </row>
    <row r="76" spans="1:16" ht="18.5" hidden="1" x14ac:dyDescent="0.45">
      <c r="A76" s="102"/>
      <c r="B76" s="88">
        <f>'Student Basic Info'!A75</f>
        <v>574</v>
      </c>
      <c r="C76" s="86" t="str">
        <f>'Student Basic Info'!C75</f>
        <v xml:space="preserve">Mehedi Hasan </v>
      </c>
      <c r="D76" s="89" t="str">
        <f>'Detailed Summary'!AK75</f>
        <v/>
      </c>
      <c r="E76" s="89" t="str">
        <f>'Detailed Summary'!AL75</f>
        <v/>
      </c>
      <c r="F76" s="89">
        <f>'Detailed Summary'!AM75</f>
        <v>0</v>
      </c>
      <c r="G76" s="89">
        <f>'Detailed Summary'!AN75</f>
        <v>0</v>
      </c>
      <c r="H76" s="89">
        <f>'Detailed Summary'!AO75</f>
        <v>0</v>
      </c>
      <c r="I76" s="89">
        <f>'Detailed Summary'!AP75</f>
        <v>0</v>
      </c>
      <c r="J76" s="89" t="str">
        <f>'Detailed Summary'!AR75</f>
        <v/>
      </c>
      <c r="K76" s="89" t="str">
        <f>'Detailed Summary'!AS75</f>
        <v/>
      </c>
      <c r="L76" s="39">
        <f>'Detailed Summary'!AU75</f>
        <v>0</v>
      </c>
      <c r="M76" s="87" t="str">
        <f>'Detailed Summary'!AV75</f>
        <v/>
      </c>
      <c r="N76" s="3" t="str">
        <f>'Detailed Summary'!BF75</f>
        <v>Failed in 6 Subjects</v>
      </c>
      <c r="O76" s="87" t="str">
        <f>'Detailed Summary'!AW75</f>
        <v/>
      </c>
      <c r="P76" s="5" t="str">
        <f>'Detailed Summary'!BG75</f>
        <v/>
      </c>
    </row>
    <row r="77" spans="1:16" ht="18.5" hidden="1" x14ac:dyDescent="0.45">
      <c r="A77" s="102"/>
      <c r="B77" s="88">
        <f>'Student Basic Info'!A76</f>
        <v>575</v>
      </c>
      <c r="C77" s="86" t="str">
        <f>'Student Basic Info'!C76</f>
        <v>Torikul Islam</v>
      </c>
      <c r="D77" s="89" t="str">
        <f>'Detailed Summary'!AK76</f>
        <v/>
      </c>
      <c r="E77" s="89" t="str">
        <f>'Detailed Summary'!AL76</f>
        <v/>
      </c>
      <c r="F77" s="89" t="str">
        <f>'Detailed Summary'!AM76</f>
        <v/>
      </c>
      <c r="G77" s="89" t="str">
        <f>'Detailed Summary'!AN76</f>
        <v/>
      </c>
      <c r="H77" s="89" t="str">
        <f>'Detailed Summary'!AO76</f>
        <v/>
      </c>
      <c r="I77" s="89" t="str">
        <f>'Detailed Summary'!AP76</f>
        <v/>
      </c>
      <c r="J77" s="89" t="str">
        <f>'Detailed Summary'!AR76</f>
        <v/>
      </c>
      <c r="K77" s="89" t="str">
        <f>'Detailed Summary'!AS76</f>
        <v/>
      </c>
      <c r="L77" s="39">
        <f>'Detailed Summary'!AU76</f>
        <v>0</v>
      </c>
      <c r="M77" s="87" t="str">
        <f>'Detailed Summary'!AV76</f>
        <v/>
      </c>
      <c r="N77" s="3" t="str">
        <f>'Detailed Summary'!BF76</f>
        <v>Failed in 6 Subjects</v>
      </c>
      <c r="O77" s="87" t="str">
        <f>'Detailed Summary'!AW76</f>
        <v/>
      </c>
      <c r="P77" s="5" t="str">
        <f>'Detailed Summary'!BG76</f>
        <v/>
      </c>
    </row>
    <row r="78" spans="1:16" ht="18.5" hidden="1" x14ac:dyDescent="0.45">
      <c r="A78" s="102"/>
      <c r="B78" s="88">
        <f>'Student Basic Info'!A77</f>
        <v>576</v>
      </c>
      <c r="C78" s="86" t="str">
        <f>'Student Basic Info'!C77</f>
        <v>Irin Aktar</v>
      </c>
      <c r="D78" s="89" t="str">
        <f>'Detailed Summary'!AK77</f>
        <v/>
      </c>
      <c r="E78" s="89" t="str">
        <f>'Detailed Summary'!AL77</f>
        <v/>
      </c>
      <c r="F78" s="89" t="str">
        <f>'Detailed Summary'!AM77</f>
        <v/>
      </c>
      <c r="G78" s="89" t="str">
        <f>'Detailed Summary'!AN77</f>
        <v/>
      </c>
      <c r="H78" s="89" t="str">
        <f>'Detailed Summary'!AO77</f>
        <v/>
      </c>
      <c r="I78" s="89" t="str">
        <f>'Detailed Summary'!AP77</f>
        <v/>
      </c>
      <c r="J78" s="89" t="str">
        <f>'Detailed Summary'!AR77</f>
        <v/>
      </c>
      <c r="K78" s="89" t="str">
        <f>'Detailed Summary'!AS77</f>
        <v/>
      </c>
      <c r="L78" s="39">
        <f>'Detailed Summary'!AU77</f>
        <v>0</v>
      </c>
      <c r="M78" s="87" t="str">
        <f>'Detailed Summary'!AV77</f>
        <v/>
      </c>
      <c r="N78" s="3" t="str">
        <f>'Detailed Summary'!BF77</f>
        <v>Failed in 6 Subjects</v>
      </c>
      <c r="O78" s="87" t="str">
        <f>'Detailed Summary'!AW77</f>
        <v/>
      </c>
      <c r="P78" s="5" t="str">
        <f>'Detailed Summary'!BG77</f>
        <v/>
      </c>
    </row>
    <row r="79" spans="1:16" ht="18.5" hidden="1" x14ac:dyDescent="0.45">
      <c r="A79" s="102"/>
      <c r="B79" s="88">
        <f>'Student Basic Info'!A78</f>
        <v>577</v>
      </c>
      <c r="C79" s="86" t="str">
        <f>'Student Basic Info'!C78</f>
        <v>Karimul Islam</v>
      </c>
      <c r="D79" s="89">
        <f>'Detailed Summary'!AK78</f>
        <v>1</v>
      </c>
      <c r="E79" s="89">
        <f>'Detailed Summary'!AL78</f>
        <v>0</v>
      </c>
      <c r="F79" s="89">
        <f>'Detailed Summary'!AM78</f>
        <v>0</v>
      </c>
      <c r="G79" s="89">
        <f>'Detailed Summary'!AN78</f>
        <v>0</v>
      </c>
      <c r="H79" s="89">
        <f>'Detailed Summary'!AO78</f>
        <v>0</v>
      </c>
      <c r="I79" s="89">
        <f>'Detailed Summary'!AP78</f>
        <v>0</v>
      </c>
      <c r="J79" s="89">
        <f>'Detailed Summary'!AR78</f>
        <v>1</v>
      </c>
      <c r="K79" s="89">
        <f>'Detailed Summary'!AS78</f>
        <v>0</v>
      </c>
      <c r="L79" s="39">
        <f>'Detailed Summary'!AU78</f>
        <v>1</v>
      </c>
      <c r="M79" s="87" t="str">
        <f>'Detailed Summary'!AV78</f>
        <v/>
      </c>
      <c r="N79" s="3" t="str">
        <f>'Detailed Summary'!BF78</f>
        <v>Failed in 5 Subjects</v>
      </c>
      <c r="O79" s="87" t="str">
        <f>'Detailed Summary'!AW78</f>
        <v/>
      </c>
      <c r="P79" s="5" t="str">
        <f>'Detailed Summary'!BG78</f>
        <v/>
      </c>
    </row>
    <row r="80" spans="1:16" ht="18.5" hidden="1" x14ac:dyDescent="0.45">
      <c r="A80" s="102"/>
      <c r="B80" s="88">
        <f>'Student Basic Info'!A79</f>
        <v>578</v>
      </c>
      <c r="C80" s="86" t="str">
        <f>'Student Basic Info'!C79</f>
        <v>Omor Faruque</v>
      </c>
      <c r="D80" s="89" t="str">
        <f>'Detailed Summary'!AK79</f>
        <v/>
      </c>
      <c r="E80" s="89" t="str">
        <f>'Detailed Summary'!AL79</f>
        <v/>
      </c>
      <c r="F80" s="89" t="str">
        <f>'Detailed Summary'!AM79</f>
        <v/>
      </c>
      <c r="G80" s="89" t="str">
        <f>'Detailed Summary'!AN79</f>
        <v/>
      </c>
      <c r="H80" s="89" t="str">
        <f>'Detailed Summary'!AO79</f>
        <v/>
      </c>
      <c r="I80" s="89" t="str">
        <f>'Detailed Summary'!AP79</f>
        <v/>
      </c>
      <c r="J80" s="89" t="str">
        <f>'Detailed Summary'!AR79</f>
        <v/>
      </c>
      <c r="K80" s="89" t="str">
        <f>'Detailed Summary'!AS79</f>
        <v/>
      </c>
      <c r="L80" s="39">
        <f>'Detailed Summary'!AU79</f>
        <v>0</v>
      </c>
      <c r="M80" s="87" t="str">
        <f>'Detailed Summary'!AV79</f>
        <v/>
      </c>
      <c r="N80" s="3" t="str">
        <f>'Detailed Summary'!BF79</f>
        <v>Failed in 6 Subjects</v>
      </c>
      <c r="O80" s="87" t="str">
        <f>'Detailed Summary'!AW79</f>
        <v/>
      </c>
      <c r="P80" s="5" t="str">
        <f>'Detailed Summary'!BG79</f>
        <v/>
      </c>
    </row>
    <row r="81" spans="1:16" ht="18.5" hidden="1" x14ac:dyDescent="0.45">
      <c r="A81" s="102"/>
      <c r="B81" s="88">
        <f>'Student Basic Info'!A80</f>
        <v>579</v>
      </c>
      <c r="C81" s="86" t="str">
        <f>'Student Basic Info'!C80</f>
        <v xml:space="preserve">Yousup Ashraf </v>
      </c>
      <c r="D81" s="89" t="str">
        <f>'Detailed Summary'!AK80</f>
        <v/>
      </c>
      <c r="E81" s="89" t="str">
        <f>'Detailed Summary'!AL80</f>
        <v/>
      </c>
      <c r="F81" s="89" t="str">
        <f>'Detailed Summary'!AM80</f>
        <v/>
      </c>
      <c r="G81" s="89" t="str">
        <f>'Detailed Summary'!AN80</f>
        <v/>
      </c>
      <c r="H81" s="89" t="str">
        <f>'Detailed Summary'!AO80</f>
        <v/>
      </c>
      <c r="I81" s="89" t="str">
        <f>'Detailed Summary'!AP80</f>
        <v/>
      </c>
      <c r="J81" s="89" t="str">
        <f>'Detailed Summary'!AR80</f>
        <v/>
      </c>
      <c r="K81" s="89" t="str">
        <f>'Detailed Summary'!AS80</f>
        <v/>
      </c>
      <c r="L81" s="39">
        <f>'Detailed Summary'!AU80</f>
        <v>0</v>
      </c>
      <c r="M81" s="87" t="str">
        <f>'Detailed Summary'!AV80</f>
        <v/>
      </c>
      <c r="N81" s="3" t="str">
        <f>'Detailed Summary'!BF80</f>
        <v>Failed in 6 Subjects</v>
      </c>
      <c r="O81" s="87" t="str">
        <f>'Detailed Summary'!AW80</f>
        <v/>
      </c>
      <c r="P81" s="5" t="str">
        <f>'Detailed Summary'!BG80</f>
        <v/>
      </c>
    </row>
    <row r="82" spans="1:16" ht="18.5" hidden="1" x14ac:dyDescent="0.45">
      <c r="A82" s="102"/>
      <c r="B82" s="88">
        <f>'Student Basic Info'!A81</f>
        <v>580</v>
      </c>
      <c r="C82" s="86" t="str">
        <f>'Student Basic Info'!C81</f>
        <v>Ala Uddin</v>
      </c>
      <c r="D82" s="89" t="str">
        <f>'Detailed Summary'!AK81</f>
        <v/>
      </c>
      <c r="E82" s="89" t="str">
        <f>'Detailed Summary'!AL81</f>
        <v/>
      </c>
      <c r="F82" s="89" t="str">
        <f>'Detailed Summary'!AM81</f>
        <v/>
      </c>
      <c r="G82" s="89" t="str">
        <f>'Detailed Summary'!AN81</f>
        <v/>
      </c>
      <c r="H82" s="89" t="str">
        <f>'Detailed Summary'!AO81</f>
        <v/>
      </c>
      <c r="I82" s="89" t="str">
        <f>'Detailed Summary'!AP81</f>
        <v/>
      </c>
      <c r="J82" s="89" t="str">
        <f>'Detailed Summary'!AR81</f>
        <v/>
      </c>
      <c r="K82" s="89" t="str">
        <f>'Detailed Summary'!AS81</f>
        <v/>
      </c>
      <c r="L82" s="39">
        <f>'Detailed Summary'!AU81</f>
        <v>0</v>
      </c>
      <c r="M82" s="87" t="str">
        <f>'Detailed Summary'!AV81</f>
        <v/>
      </c>
      <c r="N82" s="3" t="str">
        <f>'Detailed Summary'!BF81</f>
        <v>Failed in 6 Subjects</v>
      </c>
      <c r="O82" s="87" t="str">
        <f>'Detailed Summary'!AW81</f>
        <v/>
      </c>
      <c r="P82" s="5" t="str">
        <f>'Detailed Summary'!BG81</f>
        <v/>
      </c>
    </row>
    <row r="83" spans="1:16" ht="18.5" hidden="1" x14ac:dyDescent="0.45">
      <c r="A83" s="102"/>
      <c r="B83" s="88">
        <f>'Student Basic Info'!A82</f>
        <v>581</v>
      </c>
      <c r="C83" s="86" t="str">
        <f>'Student Basic Info'!C82</f>
        <v>Meheraz Hasan</v>
      </c>
      <c r="D83" s="89" t="str">
        <f>'Detailed Summary'!AK82</f>
        <v/>
      </c>
      <c r="E83" s="89">
        <f>'Detailed Summary'!AL82</f>
        <v>0</v>
      </c>
      <c r="F83" s="89">
        <f>'Detailed Summary'!AM82</f>
        <v>0</v>
      </c>
      <c r="G83" s="89" t="str">
        <f>'Detailed Summary'!AN82</f>
        <v/>
      </c>
      <c r="H83" s="89" t="str">
        <f>'Detailed Summary'!AO82</f>
        <v/>
      </c>
      <c r="I83" s="89">
        <f>'Detailed Summary'!AP82</f>
        <v>0</v>
      </c>
      <c r="J83" s="89">
        <f>'Detailed Summary'!AR82</f>
        <v>0</v>
      </c>
      <c r="K83" s="89">
        <f>'Detailed Summary'!AS82</f>
        <v>0</v>
      </c>
      <c r="L83" s="39">
        <f>'Detailed Summary'!AU82</f>
        <v>0</v>
      </c>
      <c r="M83" s="87" t="str">
        <f>'Detailed Summary'!AV82</f>
        <v/>
      </c>
      <c r="N83" s="3" t="str">
        <f>'Detailed Summary'!BF82</f>
        <v>Failed in 6 Subjects</v>
      </c>
      <c r="O83" s="87" t="str">
        <f>'Detailed Summary'!AW82</f>
        <v/>
      </c>
      <c r="P83" s="5" t="str">
        <f>'Detailed Summary'!BG82</f>
        <v/>
      </c>
    </row>
    <row r="84" spans="1:16" ht="18.5" hidden="1" x14ac:dyDescent="0.45">
      <c r="A84" s="102"/>
      <c r="B84" s="88">
        <f>'Student Basic Info'!A83</f>
        <v>582</v>
      </c>
      <c r="C84" s="86" t="str">
        <f>'Student Basic Info'!C83</f>
        <v>Imran Hosain</v>
      </c>
      <c r="D84" s="89" t="str">
        <f>'Detailed Summary'!AK83</f>
        <v/>
      </c>
      <c r="E84" s="89" t="str">
        <f>'Detailed Summary'!AL83</f>
        <v/>
      </c>
      <c r="F84" s="89" t="str">
        <f>'Detailed Summary'!AM83</f>
        <v/>
      </c>
      <c r="G84" s="89" t="str">
        <f>'Detailed Summary'!AN83</f>
        <v/>
      </c>
      <c r="H84" s="89" t="str">
        <f>'Detailed Summary'!AO83</f>
        <v/>
      </c>
      <c r="I84" s="89" t="str">
        <f>'Detailed Summary'!AP83</f>
        <v/>
      </c>
      <c r="J84" s="89" t="str">
        <f>'Detailed Summary'!AR83</f>
        <v/>
      </c>
      <c r="K84" s="89" t="str">
        <f>'Detailed Summary'!AS83</f>
        <v/>
      </c>
      <c r="L84" s="39">
        <f>'Detailed Summary'!AU83</f>
        <v>0</v>
      </c>
      <c r="M84" s="87" t="str">
        <f>'Detailed Summary'!AV83</f>
        <v/>
      </c>
      <c r="N84" s="3" t="str">
        <f>'Detailed Summary'!BF83</f>
        <v>Failed in 6 Subjects</v>
      </c>
      <c r="O84" s="87" t="str">
        <f>'Detailed Summary'!AW83</f>
        <v/>
      </c>
      <c r="P84" s="5" t="str">
        <f>'Detailed Summary'!BG83</f>
        <v/>
      </c>
    </row>
    <row r="85" spans="1:16" ht="18.5" hidden="1" x14ac:dyDescent="0.45">
      <c r="A85" s="102"/>
      <c r="B85" s="88">
        <f>'Student Basic Info'!A84</f>
        <v>583</v>
      </c>
      <c r="C85" s="86" t="str">
        <f>'Student Basic Info'!C84</f>
        <v>Raihanul Haque</v>
      </c>
      <c r="D85" s="89" t="str">
        <f>'Detailed Summary'!AK84</f>
        <v/>
      </c>
      <c r="E85" s="89" t="str">
        <f>'Detailed Summary'!AL84</f>
        <v/>
      </c>
      <c r="F85" s="89" t="str">
        <f>'Detailed Summary'!AM84</f>
        <v/>
      </c>
      <c r="G85" s="89" t="str">
        <f>'Detailed Summary'!AN84</f>
        <v/>
      </c>
      <c r="H85" s="89" t="str">
        <f>'Detailed Summary'!AO84</f>
        <v/>
      </c>
      <c r="I85" s="89" t="str">
        <f>'Detailed Summary'!AP84</f>
        <v/>
      </c>
      <c r="J85" s="89" t="str">
        <f>'Detailed Summary'!AR84</f>
        <v/>
      </c>
      <c r="K85" s="89" t="str">
        <f>'Detailed Summary'!AS84</f>
        <v/>
      </c>
      <c r="L85" s="39">
        <f>'Detailed Summary'!AU84</f>
        <v>0</v>
      </c>
      <c r="M85" s="87" t="str">
        <f>'Detailed Summary'!AV84</f>
        <v/>
      </c>
      <c r="N85" s="3" t="str">
        <f>'Detailed Summary'!BF84</f>
        <v>Failed in 6 Subjects</v>
      </c>
      <c r="O85" s="87" t="str">
        <f>'Detailed Summary'!AW84</f>
        <v/>
      </c>
      <c r="P85" s="5" t="str">
        <f>'Detailed Summary'!BG84</f>
        <v/>
      </c>
    </row>
    <row r="86" spans="1:16" ht="18.5" hidden="1" x14ac:dyDescent="0.45">
      <c r="A86" s="102"/>
      <c r="B86" s="88">
        <f>'Student Basic Info'!A85</f>
        <v>584</v>
      </c>
      <c r="C86" s="86" t="str">
        <f>'Student Basic Info'!C85</f>
        <v>Mohammad Tahmid</v>
      </c>
      <c r="D86" s="89">
        <f>'Detailed Summary'!AK85</f>
        <v>2</v>
      </c>
      <c r="E86" s="89">
        <f>'Detailed Summary'!AL85</f>
        <v>0</v>
      </c>
      <c r="F86" s="89">
        <f>'Detailed Summary'!AM85</f>
        <v>0</v>
      </c>
      <c r="G86" s="89">
        <f>'Detailed Summary'!AN85</f>
        <v>0</v>
      </c>
      <c r="H86" s="89" t="str">
        <f>'Detailed Summary'!AO85</f>
        <v/>
      </c>
      <c r="I86" s="89">
        <f>'Detailed Summary'!AP85</f>
        <v>0</v>
      </c>
      <c r="J86" s="89">
        <f>'Detailed Summary'!AR85</f>
        <v>0</v>
      </c>
      <c r="K86" s="89">
        <f>'Detailed Summary'!AS85</f>
        <v>0</v>
      </c>
      <c r="L86" s="39">
        <f>'Detailed Summary'!AU85</f>
        <v>2</v>
      </c>
      <c r="M86" s="87" t="str">
        <f>'Detailed Summary'!AV85</f>
        <v/>
      </c>
      <c r="N86" s="3" t="str">
        <f>'Detailed Summary'!BF85</f>
        <v>Failed in 5 Subjects</v>
      </c>
      <c r="O86" s="87" t="str">
        <f>'Detailed Summary'!AW85</f>
        <v/>
      </c>
      <c r="P86" s="5" t="str">
        <f>'Detailed Summary'!BG85</f>
        <v/>
      </c>
    </row>
    <row r="87" spans="1:16" ht="18.5" hidden="1" x14ac:dyDescent="0.45">
      <c r="A87" s="102"/>
      <c r="B87" s="88">
        <f>'Student Basic Info'!A86</f>
        <v>585</v>
      </c>
      <c r="C87" s="86" t="str">
        <f>'Student Basic Info'!C86</f>
        <v xml:space="preserve">Imam Hosain </v>
      </c>
      <c r="D87" s="89">
        <f>'Detailed Summary'!AK86</f>
        <v>1</v>
      </c>
      <c r="E87" s="89">
        <f>'Detailed Summary'!AL86</f>
        <v>0</v>
      </c>
      <c r="F87" s="89">
        <f>'Detailed Summary'!AM86</f>
        <v>0</v>
      </c>
      <c r="G87" s="89">
        <f>'Detailed Summary'!AN86</f>
        <v>0</v>
      </c>
      <c r="H87" s="89">
        <f>'Detailed Summary'!AO86</f>
        <v>0</v>
      </c>
      <c r="I87" s="89">
        <f>'Detailed Summary'!AP86</f>
        <v>2</v>
      </c>
      <c r="J87" s="89">
        <f>'Detailed Summary'!AR86</f>
        <v>0</v>
      </c>
      <c r="K87" s="89">
        <f>'Detailed Summary'!AS86</f>
        <v>0</v>
      </c>
      <c r="L87" s="39">
        <f>'Detailed Summary'!AU86</f>
        <v>3</v>
      </c>
      <c r="M87" s="87" t="str">
        <f>'Detailed Summary'!AV86</f>
        <v/>
      </c>
      <c r="N87" s="3" t="str">
        <f>'Detailed Summary'!BF86</f>
        <v>Failed in 4 Subjects</v>
      </c>
      <c r="O87" s="87" t="str">
        <f>'Detailed Summary'!AW86</f>
        <v/>
      </c>
      <c r="P87" s="5" t="str">
        <f>'Detailed Summary'!BG86</f>
        <v/>
      </c>
    </row>
    <row r="88" spans="1:16" ht="18.5" hidden="1" x14ac:dyDescent="0.45">
      <c r="A88" s="102"/>
      <c r="B88" s="88">
        <f>'Student Basic Info'!A87</f>
        <v>586</v>
      </c>
      <c r="C88" s="86" t="str">
        <f>'Student Basic Info'!C87</f>
        <v>Abdur Rahman</v>
      </c>
      <c r="D88" s="89">
        <f>'Detailed Summary'!AK87</f>
        <v>1</v>
      </c>
      <c r="E88" s="89">
        <f>'Detailed Summary'!AL87</f>
        <v>0</v>
      </c>
      <c r="F88" s="89">
        <f>'Detailed Summary'!AM87</f>
        <v>0</v>
      </c>
      <c r="G88" s="89">
        <f>'Detailed Summary'!AN87</f>
        <v>0</v>
      </c>
      <c r="H88" s="89">
        <f>'Detailed Summary'!AO87</f>
        <v>0</v>
      </c>
      <c r="I88" s="89">
        <f>'Detailed Summary'!AP87</f>
        <v>0</v>
      </c>
      <c r="J88" s="89">
        <f>'Detailed Summary'!AR87</f>
        <v>0</v>
      </c>
      <c r="K88" s="89">
        <f>'Detailed Summary'!AS87</f>
        <v>0</v>
      </c>
      <c r="L88" s="39">
        <f>'Detailed Summary'!AU87</f>
        <v>1</v>
      </c>
      <c r="M88" s="87" t="str">
        <f>'Detailed Summary'!AV87</f>
        <v/>
      </c>
      <c r="N88" s="3" t="str">
        <f>'Detailed Summary'!BF87</f>
        <v>Failed in 5 Subjects</v>
      </c>
      <c r="O88" s="87" t="str">
        <f>'Detailed Summary'!AW87</f>
        <v/>
      </c>
      <c r="P88" s="5" t="str">
        <f>'Detailed Summary'!BG87</f>
        <v/>
      </c>
    </row>
    <row r="89" spans="1:16" ht="18.5" hidden="1" x14ac:dyDescent="0.45">
      <c r="A89" s="102"/>
      <c r="B89" s="88">
        <f>'Student Basic Info'!A88</f>
        <v>587</v>
      </c>
      <c r="C89" s="86" t="str">
        <f>'Student Basic Info'!C88</f>
        <v xml:space="preserve">Romana Aktar </v>
      </c>
      <c r="D89" s="89">
        <f>'Detailed Summary'!AK88</f>
        <v>3</v>
      </c>
      <c r="E89" s="89">
        <f>'Detailed Summary'!AL88</f>
        <v>0</v>
      </c>
      <c r="F89" s="89">
        <f>'Detailed Summary'!AM88</f>
        <v>0</v>
      </c>
      <c r="G89" s="89">
        <f>'Detailed Summary'!AN88</f>
        <v>0</v>
      </c>
      <c r="H89" s="89">
        <f>'Detailed Summary'!AO88</f>
        <v>0</v>
      </c>
      <c r="I89" s="89">
        <f>'Detailed Summary'!AP88</f>
        <v>2</v>
      </c>
      <c r="J89" s="89">
        <f>'Detailed Summary'!AR88</f>
        <v>0</v>
      </c>
      <c r="K89" s="89">
        <f>'Detailed Summary'!AS88</f>
        <v>0</v>
      </c>
      <c r="L89" s="39">
        <f>'Detailed Summary'!AU88</f>
        <v>5</v>
      </c>
      <c r="M89" s="87" t="str">
        <f>'Detailed Summary'!AV88</f>
        <v/>
      </c>
      <c r="N89" s="3" t="str">
        <f>'Detailed Summary'!BF88</f>
        <v>Failed in 4 Subjects</v>
      </c>
      <c r="O89" s="87" t="str">
        <f>'Detailed Summary'!AW88</f>
        <v/>
      </c>
      <c r="P89" s="5" t="str">
        <f>'Detailed Summary'!BG88</f>
        <v/>
      </c>
    </row>
    <row r="90" spans="1:16" ht="18.5" hidden="1" x14ac:dyDescent="0.45">
      <c r="A90" s="102"/>
      <c r="B90" s="88">
        <f>'Student Basic Info'!A89</f>
        <v>588</v>
      </c>
      <c r="C90" s="86" t="str">
        <f>'Student Basic Info'!C89</f>
        <v>Prithika Rani Debi</v>
      </c>
      <c r="D90" s="89">
        <f>'Detailed Summary'!AK89</f>
        <v>3</v>
      </c>
      <c r="E90" s="89">
        <f>'Detailed Summary'!AL89</f>
        <v>0</v>
      </c>
      <c r="F90" s="89">
        <f>'Detailed Summary'!AM89</f>
        <v>0</v>
      </c>
      <c r="G90" s="89">
        <f>'Detailed Summary'!AN89</f>
        <v>0</v>
      </c>
      <c r="H90" s="89">
        <f>'Detailed Summary'!AO89</f>
        <v>0</v>
      </c>
      <c r="I90" s="89">
        <f>'Detailed Summary'!AP89</f>
        <v>2</v>
      </c>
      <c r="J90" s="89">
        <f>'Detailed Summary'!AR89</f>
        <v>0</v>
      </c>
      <c r="K90" s="89">
        <f>'Detailed Summary'!AS89</f>
        <v>0</v>
      </c>
      <c r="L90" s="39">
        <f>'Detailed Summary'!AU89</f>
        <v>5</v>
      </c>
      <c r="M90" s="87" t="str">
        <f>'Detailed Summary'!AV89</f>
        <v/>
      </c>
      <c r="N90" s="3" t="str">
        <f>'Detailed Summary'!BF89</f>
        <v>Failed in 4 Subjects</v>
      </c>
      <c r="O90" s="87" t="str">
        <f>'Detailed Summary'!AW89</f>
        <v/>
      </c>
      <c r="P90" s="5" t="str">
        <f>'Detailed Summary'!BG89</f>
        <v/>
      </c>
    </row>
    <row r="91" spans="1:16" ht="18.5" hidden="1" x14ac:dyDescent="0.45">
      <c r="A91" s="102"/>
      <c r="B91" s="88">
        <f>'Student Basic Info'!A90</f>
        <v>589</v>
      </c>
      <c r="C91" s="86" t="str">
        <f>'Student Basic Info'!C90</f>
        <v>Mohammad Shahriyar Nafiz</v>
      </c>
      <c r="D91" s="89" t="str">
        <f>'Detailed Summary'!AK90</f>
        <v/>
      </c>
      <c r="E91" s="89" t="str">
        <f>'Detailed Summary'!AL90</f>
        <v/>
      </c>
      <c r="F91" s="89" t="str">
        <f>'Detailed Summary'!AM90</f>
        <v/>
      </c>
      <c r="G91" s="89" t="str">
        <f>'Detailed Summary'!AN90</f>
        <v/>
      </c>
      <c r="H91" s="89" t="str">
        <f>'Detailed Summary'!AO90</f>
        <v/>
      </c>
      <c r="I91" s="89" t="str">
        <f>'Detailed Summary'!AP90</f>
        <v/>
      </c>
      <c r="J91" s="89" t="str">
        <f>'Detailed Summary'!AR90</f>
        <v/>
      </c>
      <c r="K91" s="89" t="str">
        <f>'Detailed Summary'!AS90</f>
        <v/>
      </c>
      <c r="L91" s="39">
        <f>'Detailed Summary'!AU90</f>
        <v>0</v>
      </c>
      <c r="M91" s="87" t="str">
        <f>'Detailed Summary'!AV90</f>
        <v/>
      </c>
      <c r="N91" s="3" t="str">
        <f>'Detailed Summary'!BF90</f>
        <v>Failed in 6 Subjects</v>
      </c>
      <c r="O91" s="87" t="str">
        <f>'Detailed Summary'!AW90</f>
        <v/>
      </c>
      <c r="P91" s="5" t="str">
        <f>'Detailed Summary'!BG90</f>
        <v/>
      </c>
    </row>
    <row r="92" spans="1:16" ht="18.5" hidden="1" x14ac:dyDescent="0.45">
      <c r="A92" s="102"/>
      <c r="B92" s="88">
        <f>'Student Basic Info'!A91</f>
        <v>590</v>
      </c>
      <c r="C92" s="86" t="str">
        <f>'Student Basic Info'!C91</f>
        <v>Rumpa Rani Debi</v>
      </c>
      <c r="D92" s="89" t="str">
        <f>'Detailed Summary'!AK91</f>
        <v/>
      </c>
      <c r="E92" s="89" t="str">
        <f>'Detailed Summary'!AL91</f>
        <v/>
      </c>
      <c r="F92" s="89" t="str">
        <f>'Detailed Summary'!AM91</f>
        <v/>
      </c>
      <c r="G92" s="89" t="str">
        <f>'Detailed Summary'!AN91</f>
        <v/>
      </c>
      <c r="H92" s="89" t="str">
        <f>'Detailed Summary'!AO91</f>
        <v/>
      </c>
      <c r="I92" s="89" t="str">
        <f>'Detailed Summary'!AP91</f>
        <v/>
      </c>
      <c r="J92" s="89" t="str">
        <f>'Detailed Summary'!AR91</f>
        <v/>
      </c>
      <c r="K92" s="89" t="str">
        <f>'Detailed Summary'!AS91</f>
        <v/>
      </c>
      <c r="L92" s="39">
        <f>'Detailed Summary'!AU91</f>
        <v>0</v>
      </c>
      <c r="M92" s="87" t="str">
        <f>'Detailed Summary'!AV91</f>
        <v/>
      </c>
      <c r="N92" s="3" t="str">
        <f>'Detailed Summary'!BF91</f>
        <v>Failed in 6 Subjects</v>
      </c>
      <c r="O92" s="87" t="str">
        <f>'Detailed Summary'!AW91</f>
        <v/>
      </c>
      <c r="P92" s="5" t="str">
        <f>'Detailed Summary'!BG91</f>
        <v/>
      </c>
    </row>
    <row r="93" spans="1:16" ht="18.5" hidden="1" x14ac:dyDescent="0.45">
      <c r="A93" s="102"/>
      <c r="B93" s="88">
        <f>'Student Basic Info'!A92</f>
        <v>591</v>
      </c>
      <c r="C93" s="86" t="str">
        <f>'Student Basic Info'!C92</f>
        <v>Saiful Islam</v>
      </c>
      <c r="D93" s="89">
        <f>'Detailed Summary'!AK92</f>
        <v>2</v>
      </c>
      <c r="E93" s="89">
        <f>'Detailed Summary'!AL92</f>
        <v>1</v>
      </c>
      <c r="F93" s="89">
        <f>'Detailed Summary'!AM92</f>
        <v>3</v>
      </c>
      <c r="G93" s="89">
        <f>'Detailed Summary'!AN92</f>
        <v>0</v>
      </c>
      <c r="H93" s="89">
        <f>'Detailed Summary'!AO92</f>
        <v>0</v>
      </c>
      <c r="I93" s="89">
        <f>'Detailed Summary'!AP92</f>
        <v>0</v>
      </c>
      <c r="J93" s="89">
        <f>'Detailed Summary'!AR92</f>
        <v>0</v>
      </c>
      <c r="K93" s="89">
        <f>'Detailed Summary'!AS92</f>
        <v>0</v>
      </c>
      <c r="L93" s="39">
        <f>'Detailed Summary'!AU92</f>
        <v>6</v>
      </c>
      <c r="M93" s="87" t="str">
        <f>'Detailed Summary'!AV92</f>
        <v/>
      </c>
      <c r="N93" s="3" t="str">
        <f>'Detailed Summary'!BF92</f>
        <v>Failed in 3 Subjects</v>
      </c>
      <c r="O93" s="87" t="str">
        <f>'Detailed Summary'!AW92</f>
        <v/>
      </c>
      <c r="P93" s="5" t="str">
        <f>'Detailed Summary'!BG92</f>
        <v/>
      </c>
    </row>
    <row r="94" spans="1:16" ht="18.5" hidden="1" x14ac:dyDescent="0.45">
      <c r="A94" s="102"/>
      <c r="B94" s="88">
        <f>'Student Basic Info'!A93</f>
        <v>592</v>
      </c>
      <c r="C94" s="86" t="str">
        <f>'Student Basic Info'!C93</f>
        <v>Zohirul Islam</v>
      </c>
      <c r="D94" s="89">
        <f>'Detailed Summary'!AK93</f>
        <v>0</v>
      </c>
      <c r="E94" s="89">
        <f>'Detailed Summary'!AL93</f>
        <v>0</v>
      </c>
      <c r="F94" s="89">
        <f>'Detailed Summary'!AM93</f>
        <v>0</v>
      </c>
      <c r="G94" s="89">
        <f>'Detailed Summary'!AN93</f>
        <v>0</v>
      </c>
      <c r="H94" s="89">
        <f>'Detailed Summary'!AO93</f>
        <v>0</v>
      </c>
      <c r="I94" s="89">
        <f>'Detailed Summary'!AP93</f>
        <v>0</v>
      </c>
      <c r="J94" s="89">
        <f>'Detailed Summary'!AR93</f>
        <v>0</v>
      </c>
      <c r="K94" s="89">
        <f>'Detailed Summary'!AS93</f>
        <v>0</v>
      </c>
      <c r="L94" s="39">
        <f>'Detailed Summary'!AU93</f>
        <v>0</v>
      </c>
      <c r="M94" s="87" t="str">
        <f>'Detailed Summary'!AV93</f>
        <v/>
      </c>
      <c r="N94" s="3" t="str">
        <f>'Detailed Summary'!BF93</f>
        <v>Failed in 6 Subjects</v>
      </c>
      <c r="O94" s="87" t="str">
        <f>'Detailed Summary'!AW93</f>
        <v/>
      </c>
      <c r="P94" s="5" t="str">
        <f>'Detailed Summary'!BG93</f>
        <v/>
      </c>
    </row>
    <row r="95" spans="1:16" ht="18.5" hidden="1" x14ac:dyDescent="0.45">
      <c r="A95" s="102"/>
      <c r="B95" s="88">
        <f>'Student Basic Info'!A94</f>
        <v>593</v>
      </c>
      <c r="C95" s="86" t="str">
        <f>'Student Basic Info'!C94</f>
        <v>Jahedul Islam</v>
      </c>
      <c r="D95" s="89">
        <f>'Detailed Summary'!AK94</f>
        <v>2</v>
      </c>
      <c r="E95" s="89">
        <f>'Detailed Summary'!AL94</f>
        <v>2</v>
      </c>
      <c r="F95" s="89">
        <f>'Detailed Summary'!AM94</f>
        <v>0</v>
      </c>
      <c r="G95" s="89">
        <f>'Detailed Summary'!AN94</f>
        <v>0</v>
      </c>
      <c r="H95" s="89">
        <f>'Detailed Summary'!AO94</f>
        <v>0</v>
      </c>
      <c r="I95" s="89">
        <f>'Detailed Summary'!AP94</f>
        <v>0</v>
      </c>
      <c r="J95" s="89">
        <f>'Detailed Summary'!AR94</f>
        <v>0</v>
      </c>
      <c r="K95" s="89">
        <f>'Detailed Summary'!AS94</f>
        <v>0</v>
      </c>
      <c r="L95" s="39">
        <f>'Detailed Summary'!AU94</f>
        <v>4</v>
      </c>
      <c r="M95" s="87" t="str">
        <f>'Detailed Summary'!AV94</f>
        <v/>
      </c>
      <c r="N95" s="3" t="str">
        <f>'Detailed Summary'!BF94</f>
        <v>Failed in 4 Subjects</v>
      </c>
      <c r="O95" s="87" t="str">
        <f>'Detailed Summary'!AW94</f>
        <v/>
      </c>
      <c r="P95" s="5" t="str">
        <f>'Detailed Summary'!BG94</f>
        <v/>
      </c>
    </row>
    <row r="96" spans="1:16" ht="18.5" hidden="1" x14ac:dyDescent="0.45">
      <c r="A96" s="102"/>
      <c r="B96" s="88">
        <f>'Student Basic Info'!A95</f>
        <v>594</v>
      </c>
      <c r="C96" s="86" t="str">
        <f>'Student Basic Info'!C95</f>
        <v>Ali Hosain</v>
      </c>
      <c r="D96" s="89" t="str">
        <f>'Detailed Summary'!AK95</f>
        <v/>
      </c>
      <c r="E96" s="89" t="str">
        <f>'Detailed Summary'!AL95</f>
        <v/>
      </c>
      <c r="F96" s="89" t="str">
        <f>'Detailed Summary'!AM95</f>
        <v/>
      </c>
      <c r="G96" s="89" t="str">
        <f>'Detailed Summary'!AN95</f>
        <v/>
      </c>
      <c r="H96" s="89" t="str">
        <f>'Detailed Summary'!AO95</f>
        <v/>
      </c>
      <c r="I96" s="89" t="str">
        <f>'Detailed Summary'!AP95</f>
        <v/>
      </c>
      <c r="J96" s="89" t="str">
        <f>'Detailed Summary'!AR95</f>
        <v/>
      </c>
      <c r="K96" s="89" t="str">
        <f>'Detailed Summary'!AS95</f>
        <v/>
      </c>
      <c r="L96" s="39">
        <f>'Detailed Summary'!AU95</f>
        <v>0</v>
      </c>
      <c r="M96" s="87" t="str">
        <f>'Detailed Summary'!AV95</f>
        <v/>
      </c>
      <c r="N96" s="3" t="str">
        <f>'Detailed Summary'!BF95</f>
        <v>Failed in 6 Subjects</v>
      </c>
      <c r="O96" s="87" t="str">
        <f>'Detailed Summary'!AW95</f>
        <v/>
      </c>
      <c r="P96" s="5" t="str">
        <f>'Detailed Summary'!BG95</f>
        <v/>
      </c>
    </row>
    <row r="97" spans="1:16" ht="18.5" hidden="1" x14ac:dyDescent="0.45">
      <c r="A97" s="102"/>
      <c r="B97" s="88">
        <f>'Student Basic Info'!A96</f>
        <v>595</v>
      </c>
      <c r="C97" s="86" t="str">
        <f>'Student Basic Info'!C96</f>
        <v>Md. Saiful Islam</v>
      </c>
      <c r="D97" s="89" t="str">
        <f>'Detailed Summary'!AK96</f>
        <v/>
      </c>
      <c r="E97" s="89" t="str">
        <f>'Detailed Summary'!AL96</f>
        <v/>
      </c>
      <c r="F97" s="89" t="str">
        <f>'Detailed Summary'!AM96</f>
        <v/>
      </c>
      <c r="G97" s="89" t="str">
        <f>'Detailed Summary'!AN96</f>
        <v/>
      </c>
      <c r="H97" s="89" t="str">
        <f>'Detailed Summary'!AO96</f>
        <v/>
      </c>
      <c r="I97" s="89" t="str">
        <f>'Detailed Summary'!AP96</f>
        <v/>
      </c>
      <c r="J97" s="89" t="str">
        <f>'Detailed Summary'!AR96</f>
        <v/>
      </c>
      <c r="K97" s="89" t="str">
        <f>'Detailed Summary'!AS96</f>
        <v/>
      </c>
      <c r="L97" s="39">
        <f>'Detailed Summary'!AU96</f>
        <v>0</v>
      </c>
      <c r="M97" s="87" t="str">
        <f>'Detailed Summary'!AV96</f>
        <v/>
      </c>
      <c r="N97" s="3" t="str">
        <f>'Detailed Summary'!BF96</f>
        <v>Failed in 6 Subjects</v>
      </c>
      <c r="O97" s="87" t="str">
        <f>'Detailed Summary'!AW96</f>
        <v/>
      </c>
      <c r="P97" s="5" t="str">
        <f>'Detailed Summary'!BG96</f>
        <v/>
      </c>
    </row>
    <row r="98" spans="1:16" ht="18.5" hidden="1" x14ac:dyDescent="0.45">
      <c r="A98" s="102"/>
      <c r="B98" s="88">
        <f>'Student Basic Info'!A97</f>
        <v>596</v>
      </c>
      <c r="C98" s="86" t="str">
        <f>'Student Basic Info'!C97</f>
        <v>Ashiqur Rahman</v>
      </c>
      <c r="D98" s="89" t="str">
        <f>'Detailed Summary'!AK97</f>
        <v/>
      </c>
      <c r="E98" s="89" t="str">
        <f>'Detailed Summary'!AL97</f>
        <v/>
      </c>
      <c r="F98" s="89" t="str">
        <f>'Detailed Summary'!AM97</f>
        <v/>
      </c>
      <c r="G98" s="89" t="str">
        <f>'Detailed Summary'!AN97</f>
        <v/>
      </c>
      <c r="H98" s="89" t="str">
        <f>'Detailed Summary'!AO97</f>
        <v/>
      </c>
      <c r="I98" s="89" t="str">
        <f>'Detailed Summary'!AP97</f>
        <v/>
      </c>
      <c r="J98" s="89" t="str">
        <f>'Detailed Summary'!AR97</f>
        <v/>
      </c>
      <c r="K98" s="89" t="str">
        <f>'Detailed Summary'!AS97</f>
        <v/>
      </c>
      <c r="L98" s="39">
        <f>'Detailed Summary'!AU97</f>
        <v>0</v>
      </c>
      <c r="M98" s="87" t="str">
        <f>'Detailed Summary'!AV97</f>
        <v/>
      </c>
      <c r="N98" s="3" t="str">
        <f>'Detailed Summary'!BF97</f>
        <v>Failed in 6 Subjects</v>
      </c>
      <c r="O98" s="87" t="str">
        <f>'Detailed Summary'!AW97</f>
        <v/>
      </c>
      <c r="P98" s="5" t="str">
        <f>'Detailed Summary'!BG97</f>
        <v/>
      </c>
    </row>
    <row r="99" spans="1:16" ht="18.5" hidden="1" x14ac:dyDescent="0.45">
      <c r="A99" s="102"/>
      <c r="B99" s="88">
        <f>'Student Basic Info'!A98</f>
        <v>597</v>
      </c>
      <c r="C99" s="86" t="str">
        <f>'Student Basic Info'!C98</f>
        <v>Md. Shahadat Hosain Shakib</v>
      </c>
      <c r="D99" s="89" t="str">
        <f>'Detailed Summary'!AK98</f>
        <v/>
      </c>
      <c r="E99" s="89" t="str">
        <f>'Detailed Summary'!AL98</f>
        <v/>
      </c>
      <c r="F99" s="89" t="str">
        <f>'Detailed Summary'!AM98</f>
        <v/>
      </c>
      <c r="G99" s="89" t="str">
        <f>'Detailed Summary'!AN98</f>
        <v/>
      </c>
      <c r="H99" s="89" t="str">
        <f>'Detailed Summary'!AO98</f>
        <v/>
      </c>
      <c r="I99" s="89" t="str">
        <f>'Detailed Summary'!AP98</f>
        <v/>
      </c>
      <c r="J99" s="89" t="str">
        <f>'Detailed Summary'!AR98</f>
        <v/>
      </c>
      <c r="K99" s="89" t="str">
        <f>'Detailed Summary'!AS98</f>
        <v/>
      </c>
      <c r="L99" s="39">
        <f>'Detailed Summary'!AU98</f>
        <v>0</v>
      </c>
      <c r="M99" s="87" t="str">
        <f>'Detailed Summary'!AV98</f>
        <v/>
      </c>
      <c r="N99" s="3" t="str">
        <f>'Detailed Summary'!BF98</f>
        <v>Failed in 6 Subjects</v>
      </c>
      <c r="O99" s="87" t="str">
        <f>'Detailed Summary'!AW98</f>
        <v/>
      </c>
      <c r="P99" s="5" t="str">
        <f>'Detailed Summary'!BG98</f>
        <v/>
      </c>
    </row>
    <row r="100" spans="1:16" ht="18.5" hidden="1" x14ac:dyDescent="0.45">
      <c r="A100" s="102"/>
      <c r="B100" s="88">
        <f>'Student Basic Info'!A99</f>
        <v>598</v>
      </c>
      <c r="C100" s="86" t="str">
        <f>'Student Basic Info'!C99</f>
        <v>Shekh Shourov</v>
      </c>
      <c r="D100" s="89" t="str">
        <f>'Detailed Summary'!AK99</f>
        <v/>
      </c>
      <c r="E100" s="89" t="str">
        <f>'Detailed Summary'!AL99</f>
        <v/>
      </c>
      <c r="F100" s="89" t="str">
        <f>'Detailed Summary'!AM99</f>
        <v/>
      </c>
      <c r="G100" s="89" t="str">
        <f>'Detailed Summary'!AN99</f>
        <v/>
      </c>
      <c r="H100" s="89" t="str">
        <f>'Detailed Summary'!AO99</f>
        <v/>
      </c>
      <c r="I100" s="89" t="str">
        <f>'Detailed Summary'!AP99</f>
        <v/>
      </c>
      <c r="J100" s="89" t="str">
        <f>'Detailed Summary'!AR99</f>
        <v/>
      </c>
      <c r="K100" s="89" t="str">
        <f>'Detailed Summary'!AS99</f>
        <v/>
      </c>
      <c r="L100" s="39">
        <f>'Detailed Summary'!AU99</f>
        <v>0</v>
      </c>
      <c r="M100" s="87" t="str">
        <f>'Detailed Summary'!AV99</f>
        <v/>
      </c>
      <c r="N100" s="3" t="str">
        <f>'Detailed Summary'!BF99</f>
        <v>Failed in 6 Subjects</v>
      </c>
      <c r="O100" s="87" t="str">
        <f>'Detailed Summary'!AW99</f>
        <v/>
      </c>
      <c r="P100" s="5" t="str">
        <f>'Detailed Summary'!BG99</f>
        <v/>
      </c>
    </row>
    <row r="101" spans="1:16" ht="18.5" hidden="1" x14ac:dyDescent="0.45">
      <c r="A101" s="102"/>
      <c r="B101" s="88">
        <f>'Student Basic Info'!A100</f>
        <v>599</v>
      </c>
      <c r="C101" s="86" t="str">
        <f>'Student Basic Info'!C100</f>
        <v>Maliha Aktar</v>
      </c>
      <c r="D101" s="89" t="str">
        <f>'Detailed Summary'!AK100</f>
        <v/>
      </c>
      <c r="E101" s="89" t="str">
        <f>'Detailed Summary'!AL100</f>
        <v/>
      </c>
      <c r="F101" s="89" t="str">
        <f>'Detailed Summary'!AM100</f>
        <v/>
      </c>
      <c r="G101" s="89" t="str">
        <f>'Detailed Summary'!AN100</f>
        <v/>
      </c>
      <c r="H101" s="89" t="str">
        <f>'Detailed Summary'!AO100</f>
        <v/>
      </c>
      <c r="I101" s="89" t="str">
        <f>'Detailed Summary'!AP100</f>
        <v/>
      </c>
      <c r="J101" s="89" t="str">
        <f>'Detailed Summary'!AR100</f>
        <v/>
      </c>
      <c r="K101" s="89" t="str">
        <f>'Detailed Summary'!AS100</f>
        <v/>
      </c>
      <c r="L101" s="39">
        <f>'Detailed Summary'!AU100</f>
        <v>0</v>
      </c>
      <c r="M101" s="87" t="str">
        <f>'Detailed Summary'!AV100</f>
        <v/>
      </c>
      <c r="N101" s="3" t="str">
        <f>'Detailed Summary'!BF100</f>
        <v>Failed in 6 Subjects</v>
      </c>
      <c r="O101" s="87" t="str">
        <f>'Detailed Summary'!AW100</f>
        <v/>
      </c>
      <c r="P101" s="5" t="str">
        <f>'Detailed Summary'!BG100</f>
        <v/>
      </c>
    </row>
    <row r="102" spans="1:16" ht="18.5" hidden="1" x14ac:dyDescent="0.45">
      <c r="A102" s="102"/>
      <c r="B102" s="88">
        <f>'Student Basic Info'!A101</f>
        <v>600</v>
      </c>
      <c r="C102" s="86" t="str">
        <f>'Student Basic Info'!C101</f>
        <v>Nazmun Sabik Siyam</v>
      </c>
      <c r="D102" s="89">
        <f>'Detailed Summary'!AK101</f>
        <v>0</v>
      </c>
      <c r="E102" s="89">
        <f>'Detailed Summary'!AL101</f>
        <v>0</v>
      </c>
      <c r="F102" s="89">
        <f>'Detailed Summary'!AM101</f>
        <v>0</v>
      </c>
      <c r="G102" s="89">
        <f>'Detailed Summary'!AN101</f>
        <v>0</v>
      </c>
      <c r="H102" s="89">
        <f>'Detailed Summary'!AO101</f>
        <v>0</v>
      </c>
      <c r="I102" s="89" t="str">
        <f>'Detailed Summary'!AP101</f>
        <v/>
      </c>
      <c r="J102" s="89">
        <f>'Detailed Summary'!AR101</f>
        <v>0</v>
      </c>
      <c r="K102" s="89">
        <f>'Detailed Summary'!AS101</f>
        <v>0</v>
      </c>
      <c r="L102" s="39">
        <f>'Detailed Summary'!AU101</f>
        <v>0</v>
      </c>
      <c r="M102" s="87" t="str">
        <f>'Detailed Summary'!AV101</f>
        <v/>
      </c>
      <c r="N102" s="3" t="str">
        <f>'Detailed Summary'!BF101</f>
        <v>Failed in 6 Subjects</v>
      </c>
      <c r="O102" s="87" t="str">
        <f>'Detailed Summary'!AW101</f>
        <v/>
      </c>
      <c r="P102" s="5" t="str">
        <f>'Detailed Summary'!BG101</f>
        <v/>
      </c>
    </row>
    <row r="103" spans="1:16" ht="18.5" hidden="1" x14ac:dyDescent="0.45">
      <c r="A103" s="102"/>
      <c r="B103" s="88">
        <f>'Student Basic Info'!A102</f>
        <v>601</v>
      </c>
      <c r="C103" s="86" t="str">
        <f>'Student Basic Info'!C102</f>
        <v>Md. Ali Ashraf</v>
      </c>
      <c r="D103" s="89">
        <f>'Detailed Summary'!AK102</f>
        <v>0</v>
      </c>
      <c r="E103" s="89">
        <f>'Detailed Summary'!AL102</f>
        <v>0</v>
      </c>
      <c r="F103" s="89">
        <f>'Detailed Summary'!AM102</f>
        <v>0</v>
      </c>
      <c r="G103" s="89">
        <f>'Detailed Summary'!AN102</f>
        <v>0</v>
      </c>
      <c r="H103" s="89">
        <f>'Detailed Summary'!AO102</f>
        <v>0</v>
      </c>
      <c r="I103" s="89">
        <f>'Detailed Summary'!AP102</f>
        <v>0</v>
      </c>
      <c r="J103" s="89">
        <f>'Detailed Summary'!AR102</f>
        <v>0</v>
      </c>
      <c r="K103" s="89">
        <f>'Detailed Summary'!AS102</f>
        <v>0</v>
      </c>
      <c r="L103" s="39">
        <f>'Detailed Summary'!AU102</f>
        <v>0</v>
      </c>
      <c r="M103" s="87" t="str">
        <f>'Detailed Summary'!AV102</f>
        <v/>
      </c>
      <c r="N103" s="3" t="str">
        <f>'Detailed Summary'!BF102</f>
        <v>Failed in 6 Subjects</v>
      </c>
      <c r="O103" s="87" t="str">
        <f>'Detailed Summary'!AW102</f>
        <v/>
      </c>
      <c r="P103" s="5" t="str">
        <f>'Detailed Summary'!BG102</f>
        <v/>
      </c>
    </row>
    <row r="104" spans="1:16" ht="18.5" hidden="1" x14ac:dyDescent="0.45">
      <c r="A104" s="102"/>
      <c r="B104" s="88">
        <f>'Student Basic Info'!A103</f>
        <v>602</v>
      </c>
      <c r="C104" s="86" t="str">
        <f>'Student Basic Info'!C103</f>
        <v>Abu Sufiyan Noyon</v>
      </c>
      <c r="D104" s="89" t="str">
        <f>'Detailed Summary'!AK103</f>
        <v/>
      </c>
      <c r="E104" s="89" t="str">
        <f>'Detailed Summary'!AL103</f>
        <v/>
      </c>
      <c r="F104" s="89" t="str">
        <f>'Detailed Summary'!AM103</f>
        <v/>
      </c>
      <c r="G104" s="89" t="str">
        <f>'Detailed Summary'!AN103</f>
        <v/>
      </c>
      <c r="H104" s="89" t="str">
        <f>'Detailed Summary'!AO103</f>
        <v/>
      </c>
      <c r="I104" s="89" t="str">
        <f>'Detailed Summary'!AP103</f>
        <v/>
      </c>
      <c r="J104" s="89" t="str">
        <f>'Detailed Summary'!AR103</f>
        <v/>
      </c>
      <c r="K104" s="89" t="str">
        <f>'Detailed Summary'!AS103</f>
        <v/>
      </c>
      <c r="L104" s="39">
        <f>'Detailed Summary'!AU103</f>
        <v>0</v>
      </c>
      <c r="M104" s="87" t="str">
        <f>'Detailed Summary'!AV103</f>
        <v/>
      </c>
      <c r="N104" s="3" t="str">
        <f>'Detailed Summary'!BF103</f>
        <v>Failed in 6 Subjects</v>
      </c>
      <c r="O104" s="87" t="str">
        <f>'Detailed Summary'!AW103</f>
        <v/>
      </c>
      <c r="P104" s="5" t="str">
        <f>'Detailed Summary'!BG103</f>
        <v/>
      </c>
    </row>
    <row r="105" spans="1:16" ht="18.5" hidden="1" x14ac:dyDescent="0.45">
      <c r="A105" s="102"/>
      <c r="B105" s="88">
        <f>'Student Basic Info'!A104</f>
        <v>603</v>
      </c>
      <c r="C105" s="86" t="str">
        <f>'Student Basic Info'!C104</f>
        <v>Md. Omor Ali Zidan</v>
      </c>
      <c r="D105" s="89" t="str">
        <f>'Detailed Summary'!AK104</f>
        <v/>
      </c>
      <c r="E105" s="89" t="str">
        <f>'Detailed Summary'!AL104</f>
        <v/>
      </c>
      <c r="F105" s="89" t="str">
        <f>'Detailed Summary'!AM104</f>
        <v/>
      </c>
      <c r="G105" s="89" t="str">
        <f>'Detailed Summary'!AN104</f>
        <v/>
      </c>
      <c r="H105" s="89" t="str">
        <f>'Detailed Summary'!AO104</f>
        <v/>
      </c>
      <c r="I105" s="89" t="str">
        <f>'Detailed Summary'!AP104</f>
        <v/>
      </c>
      <c r="J105" s="89" t="str">
        <f>'Detailed Summary'!AR104</f>
        <v/>
      </c>
      <c r="K105" s="89" t="str">
        <f>'Detailed Summary'!AS104</f>
        <v/>
      </c>
      <c r="L105" s="39">
        <f>'Detailed Summary'!AU104</f>
        <v>0</v>
      </c>
      <c r="M105" s="87" t="str">
        <f>'Detailed Summary'!AV104</f>
        <v/>
      </c>
      <c r="N105" s="3" t="str">
        <f>'Detailed Summary'!BF104</f>
        <v>Failed in 6 Subjects</v>
      </c>
      <c r="O105" s="87" t="str">
        <f>'Detailed Summary'!AW104</f>
        <v/>
      </c>
      <c r="P105" s="5" t="str">
        <f>'Detailed Summary'!BG104</f>
        <v/>
      </c>
    </row>
    <row r="106" spans="1:16" ht="18.5" hidden="1" x14ac:dyDescent="0.45">
      <c r="A106" s="102"/>
      <c r="B106" s="88">
        <f>'Student Basic Info'!A105</f>
        <v>604</v>
      </c>
      <c r="C106" s="86" t="str">
        <f>'Student Basic Info'!C105</f>
        <v>Eti</v>
      </c>
      <c r="D106" s="89" t="str">
        <f>'Detailed Summary'!AK105</f>
        <v/>
      </c>
      <c r="E106" s="89" t="str">
        <f>'Detailed Summary'!AL105</f>
        <v/>
      </c>
      <c r="F106" s="89" t="str">
        <f>'Detailed Summary'!AM105</f>
        <v/>
      </c>
      <c r="G106" s="89" t="str">
        <f>'Detailed Summary'!AN105</f>
        <v/>
      </c>
      <c r="H106" s="89" t="str">
        <f>'Detailed Summary'!AO105</f>
        <v/>
      </c>
      <c r="I106" s="89" t="str">
        <f>'Detailed Summary'!AP105</f>
        <v/>
      </c>
      <c r="J106" s="89" t="str">
        <f>'Detailed Summary'!AR105</f>
        <v/>
      </c>
      <c r="K106" s="89" t="str">
        <f>'Detailed Summary'!AS105</f>
        <v/>
      </c>
      <c r="L106" s="39">
        <f>'Detailed Summary'!AU105</f>
        <v>0</v>
      </c>
      <c r="M106" s="87" t="str">
        <f>'Detailed Summary'!AV105</f>
        <v/>
      </c>
      <c r="N106" s="3" t="str">
        <f>'Detailed Summary'!BF105</f>
        <v>Failed in 6 Subjects</v>
      </c>
      <c r="O106" s="87" t="str">
        <f>'Detailed Summary'!AW105</f>
        <v/>
      </c>
      <c r="P106" s="5" t="str">
        <f>'Detailed Summary'!BG105</f>
        <v/>
      </c>
    </row>
    <row r="107" spans="1:16" ht="18.5" hidden="1" x14ac:dyDescent="0.45">
      <c r="A107" s="102"/>
      <c r="B107" s="88">
        <f>'Student Basic Info'!A106</f>
        <v>605</v>
      </c>
      <c r="C107" s="86" t="str">
        <f>'Student Basic Info'!C106</f>
        <v>Jhumur Mojumdar</v>
      </c>
      <c r="D107" s="89">
        <f>'Detailed Summary'!AK106</f>
        <v>2</v>
      </c>
      <c r="E107" s="89">
        <f>'Detailed Summary'!AL106</f>
        <v>0</v>
      </c>
      <c r="F107" s="89">
        <f>'Detailed Summary'!AM106</f>
        <v>0</v>
      </c>
      <c r="G107" s="89">
        <f>'Detailed Summary'!AN106</f>
        <v>0</v>
      </c>
      <c r="H107" s="89">
        <f>'Detailed Summary'!AO106</f>
        <v>0</v>
      </c>
      <c r="I107" s="89">
        <f>'Detailed Summary'!AP106</f>
        <v>1</v>
      </c>
      <c r="J107" s="89">
        <f>'Detailed Summary'!AR106</f>
        <v>2</v>
      </c>
      <c r="K107" s="89">
        <f>'Detailed Summary'!AS106</f>
        <v>0</v>
      </c>
      <c r="L107" s="39">
        <f>'Detailed Summary'!AU106</f>
        <v>3</v>
      </c>
      <c r="M107" s="87" t="str">
        <f>'Detailed Summary'!AV106</f>
        <v/>
      </c>
      <c r="N107" s="3" t="str">
        <f>'Detailed Summary'!BF106</f>
        <v>Failed in 4 Subjects</v>
      </c>
      <c r="O107" s="87" t="str">
        <f>'Detailed Summary'!AW106</f>
        <v/>
      </c>
      <c r="P107" s="5" t="str">
        <f>'Detailed Summary'!BG106</f>
        <v/>
      </c>
    </row>
    <row r="108" spans="1:16" ht="18.5" hidden="1" x14ac:dyDescent="0.45">
      <c r="A108" s="102"/>
      <c r="B108" s="88">
        <f>'Student Basic Info'!A107</f>
        <v>606</v>
      </c>
      <c r="C108" s="86" t="str">
        <f>'Student Basic Info'!C107</f>
        <v>Boishakhi Mojumdar</v>
      </c>
      <c r="D108" s="89">
        <f>'Detailed Summary'!AK107</f>
        <v>1</v>
      </c>
      <c r="E108" s="89">
        <f>'Detailed Summary'!AL107</f>
        <v>0</v>
      </c>
      <c r="F108" s="89">
        <f>'Detailed Summary'!AM107</f>
        <v>0</v>
      </c>
      <c r="G108" s="89">
        <f>'Detailed Summary'!AN107</f>
        <v>0</v>
      </c>
      <c r="H108" s="89">
        <f>'Detailed Summary'!AO107</f>
        <v>0</v>
      </c>
      <c r="I108" s="89">
        <f>'Detailed Summary'!AP107</f>
        <v>0</v>
      </c>
      <c r="J108" s="89">
        <f>'Detailed Summary'!AR107</f>
        <v>0</v>
      </c>
      <c r="K108" s="89">
        <f>'Detailed Summary'!AS107</f>
        <v>0</v>
      </c>
      <c r="L108" s="39">
        <f>'Detailed Summary'!AU107</f>
        <v>1</v>
      </c>
      <c r="M108" s="87" t="str">
        <f>'Detailed Summary'!AV107</f>
        <v/>
      </c>
      <c r="N108" s="3" t="str">
        <f>'Detailed Summary'!BF107</f>
        <v>Failed in 5 Subjects</v>
      </c>
      <c r="O108" s="87" t="str">
        <f>'Detailed Summary'!AW107</f>
        <v/>
      </c>
      <c r="P108" s="5" t="str">
        <f>'Detailed Summary'!BG107</f>
        <v/>
      </c>
    </row>
    <row r="109" spans="1:16" ht="18.5" hidden="1" x14ac:dyDescent="0.45">
      <c r="A109" s="102"/>
      <c r="B109" s="88">
        <f>'Student Basic Info'!A108</f>
        <v>607</v>
      </c>
      <c r="C109" s="86" t="str">
        <f>'Student Basic Info'!C108</f>
        <v>Shekh Shahriyar Aziz</v>
      </c>
      <c r="D109" s="89">
        <f>'Detailed Summary'!AK108</f>
        <v>0</v>
      </c>
      <c r="E109" s="89">
        <f>'Detailed Summary'!AL108</f>
        <v>0</v>
      </c>
      <c r="F109" s="89">
        <f>'Detailed Summary'!AM108</f>
        <v>0</v>
      </c>
      <c r="G109" s="89">
        <f>'Detailed Summary'!AN108</f>
        <v>0</v>
      </c>
      <c r="H109" s="89">
        <f>'Detailed Summary'!AO108</f>
        <v>0</v>
      </c>
      <c r="I109" s="89">
        <f>'Detailed Summary'!AP108</f>
        <v>0</v>
      </c>
      <c r="J109" s="89">
        <f>'Detailed Summary'!AR108</f>
        <v>0</v>
      </c>
      <c r="K109" s="89">
        <f>'Detailed Summary'!AS108</f>
        <v>0</v>
      </c>
      <c r="L109" s="39">
        <f>'Detailed Summary'!AU108</f>
        <v>0</v>
      </c>
      <c r="M109" s="87" t="str">
        <f>'Detailed Summary'!AV108</f>
        <v/>
      </c>
      <c r="N109" s="3" t="str">
        <f>'Detailed Summary'!BF108</f>
        <v>Failed in 6 Subjects</v>
      </c>
      <c r="O109" s="87" t="str">
        <f>'Detailed Summary'!AW108</f>
        <v/>
      </c>
      <c r="P109" s="5" t="str">
        <f>'Detailed Summary'!BG108</f>
        <v/>
      </c>
    </row>
    <row r="110" spans="1:16" ht="18.5" hidden="1" x14ac:dyDescent="0.45">
      <c r="A110" s="102"/>
      <c r="B110" s="88">
        <f>'Student Basic Info'!A109</f>
        <v>608</v>
      </c>
      <c r="C110" s="86" t="str">
        <f>'Student Basic Info'!C109</f>
        <v xml:space="preserve">Zahidul Islam </v>
      </c>
      <c r="D110" s="89">
        <f>'Detailed Summary'!AK109</f>
        <v>2</v>
      </c>
      <c r="E110" s="89">
        <f>'Detailed Summary'!AL109</f>
        <v>1</v>
      </c>
      <c r="F110" s="89">
        <f>'Detailed Summary'!AM109</f>
        <v>0</v>
      </c>
      <c r="G110" s="89">
        <f>'Detailed Summary'!AN109</f>
        <v>0</v>
      </c>
      <c r="H110" s="89">
        <f>'Detailed Summary'!AO109</f>
        <v>0</v>
      </c>
      <c r="I110" s="89">
        <f>'Detailed Summary'!AP109</f>
        <v>3</v>
      </c>
      <c r="J110" s="89">
        <f>'Detailed Summary'!AR109</f>
        <v>0</v>
      </c>
      <c r="K110" s="89">
        <f>'Detailed Summary'!AS109</f>
        <v>0</v>
      </c>
      <c r="L110" s="39">
        <f>'Detailed Summary'!AU109</f>
        <v>6</v>
      </c>
      <c r="M110" s="87" t="str">
        <f>'Detailed Summary'!AV109</f>
        <v/>
      </c>
      <c r="N110" s="3" t="str">
        <f>'Detailed Summary'!BF109</f>
        <v>Failed in 3 Subjects</v>
      </c>
      <c r="O110" s="87" t="str">
        <f>'Detailed Summary'!AW109</f>
        <v/>
      </c>
      <c r="P110" s="5" t="str">
        <f>'Detailed Summary'!BG109</f>
        <v/>
      </c>
    </row>
    <row r="111" spans="1:16" ht="18.5" hidden="1" x14ac:dyDescent="0.45">
      <c r="A111" s="102"/>
      <c r="B111" s="88">
        <f>'Student Basic Info'!A110</f>
        <v>609</v>
      </c>
      <c r="C111" s="86" t="str">
        <f>'Student Basic Info'!C110</f>
        <v>Jorina Aktar</v>
      </c>
      <c r="D111" s="89">
        <f>'Detailed Summary'!AK110</f>
        <v>1</v>
      </c>
      <c r="E111" s="89">
        <f>'Detailed Summary'!AL110</f>
        <v>0</v>
      </c>
      <c r="F111" s="89">
        <f>'Detailed Summary'!AM110</f>
        <v>0</v>
      </c>
      <c r="G111" s="89">
        <f>'Detailed Summary'!AN110</f>
        <v>0</v>
      </c>
      <c r="H111" s="89">
        <f>'Detailed Summary'!AO110</f>
        <v>0</v>
      </c>
      <c r="I111" s="89">
        <f>'Detailed Summary'!AP110</f>
        <v>1</v>
      </c>
      <c r="J111" s="89">
        <f>'Detailed Summary'!AR110</f>
        <v>0</v>
      </c>
      <c r="K111" s="89">
        <f>'Detailed Summary'!AS110</f>
        <v>0</v>
      </c>
      <c r="L111" s="39">
        <f>'Detailed Summary'!AU110</f>
        <v>2</v>
      </c>
      <c r="M111" s="87" t="str">
        <f>'Detailed Summary'!AV110</f>
        <v/>
      </c>
      <c r="N111" s="3" t="str">
        <f>'Detailed Summary'!BF110</f>
        <v>Failed in 4 Subjects</v>
      </c>
      <c r="O111" s="87" t="str">
        <f>'Detailed Summary'!AW110</f>
        <v/>
      </c>
      <c r="P111" s="5" t="str">
        <f>'Detailed Summary'!BG110</f>
        <v/>
      </c>
    </row>
    <row r="112" spans="1:16" ht="18.5" hidden="1" x14ac:dyDescent="0.45">
      <c r="A112" s="102"/>
      <c r="B112" s="88">
        <f>'Student Basic Info'!A111</f>
        <v>610</v>
      </c>
      <c r="C112" s="86" t="str">
        <f>'Student Basic Info'!C111</f>
        <v>Youhidul Islam</v>
      </c>
      <c r="D112" s="89">
        <f>'Detailed Summary'!AK111</f>
        <v>1</v>
      </c>
      <c r="E112" s="89">
        <f>'Detailed Summary'!AL111</f>
        <v>0</v>
      </c>
      <c r="F112" s="89">
        <f>'Detailed Summary'!AM111</f>
        <v>0</v>
      </c>
      <c r="G112" s="89">
        <f>'Detailed Summary'!AN111</f>
        <v>0</v>
      </c>
      <c r="H112" s="89" t="str">
        <f>'Detailed Summary'!AO111</f>
        <v/>
      </c>
      <c r="I112" s="89" t="str">
        <f>'Detailed Summary'!AP111</f>
        <v/>
      </c>
      <c r="J112" s="89" t="str">
        <f>'Detailed Summary'!AR111</f>
        <v/>
      </c>
      <c r="K112" s="89" t="str">
        <f>'Detailed Summary'!AS111</f>
        <v/>
      </c>
      <c r="L112" s="39">
        <f>'Detailed Summary'!AU111</f>
        <v>1</v>
      </c>
      <c r="M112" s="87" t="str">
        <f>'Detailed Summary'!AV111</f>
        <v/>
      </c>
      <c r="N112" s="3" t="str">
        <f>'Detailed Summary'!BF111</f>
        <v>Failed in 5 Subjects</v>
      </c>
      <c r="O112" s="87" t="str">
        <f>'Detailed Summary'!AW111</f>
        <v/>
      </c>
      <c r="P112" s="5" t="str">
        <f>'Detailed Summary'!BG111</f>
        <v/>
      </c>
    </row>
    <row r="113" spans="1:16" ht="18.5" hidden="1" x14ac:dyDescent="0.45">
      <c r="A113" s="102"/>
      <c r="B113" s="88">
        <f>'Student Basic Info'!A112</f>
        <v>611</v>
      </c>
      <c r="C113" s="86" t="str">
        <f>'Student Basic Info'!C112</f>
        <v>Aman Ullah</v>
      </c>
      <c r="D113" s="89">
        <f>'Detailed Summary'!AK112</f>
        <v>1</v>
      </c>
      <c r="E113" s="89">
        <f>'Detailed Summary'!AL112</f>
        <v>0</v>
      </c>
      <c r="F113" s="89">
        <f>'Detailed Summary'!AM112</f>
        <v>0</v>
      </c>
      <c r="G113" s="89">
        <f>'Detailed Summary'!AN112</f>
        <v>0</v>
      </c>
      <c r="H113" s="89">
        <f>'Detailed Summary'!AO112</f>
        <v>1</v>
      </c>
      <c r="I113" s="89">
        <f>'Detailed Summary'!AP112</f>
        <v>0</v>
      </c>
      <c r="J113" s="89">
        <f>'Detailed Summary'!AR112</f>
        <v>0</v>
      </c>
      <c r="K113" s="89">
        <f>'Detailed Summary'!AS112</f>
        <v>0</v>
      </c>
      <c r="L113" s="39">
        <f>'Detailed Summary'!AU112</f>
        <v>2</v>
      </c>
      <c r="M113" s="87" t="str">
        <f>'Detailed Summary'!AV112</f>
        <v/>
      </c>
      <c r="N113" s="3" t="str">
        <f>'Detailed Summary'!BF112</f>
        <v>Failed in 4 Subjects</v>
      </c>
      <c r="O113" s="87" t="str">
        <f>'Detailed Summary'!AW112</f>
        <v/>
      </c>
      <c r="P113" s="5" t="str">
        <f>'Detailed Summary'!BG112</f>
        <v/>
      </c>
    </row>
    <row r="114" spans="1:16" ht="18.5" hidden="1" x14ac:dyDescent="0.45">
      <c r="A114" s="102"/>
      <c r="B114" s="88">
        <f>'Student Basic Info'!A113</f>
        <v>612</v>
      </c>
      <c r="C114" s="86" t="str">
        <f>'Student Basic Info'!C113</f>
        <v>Ajharul Islam</v>
      </c>
      <c r="D114" s="89">
        <f>'Detailed Summary'!AK113</f>
        <v>1</v>
      </c>
      <c r="E114" s="89">
        <f>'Detailed Summary'!AL113</f>
        <v>1</v>
      </c>
      <c r="F114" s="89">
        <f>'Detailed Summary'!AM113</f>
        <v>0</v>
      </c>
      <c r="G114" s="89">
        <f>'Detailed Summary'!AN113</f>
        <v>0</v>
      </c>
      <c r="H114" s="89">
        <f>'Detailed Summary'!AO113</f>
        <v>2</v>
      </c>
      <c r="I114" s="89">
        <f>'Detailed Summary'!AP113</f>
        <v>0</v>
      </c>
      <c r="J114" s="89">
        <f>'Detailed Summary'!AR113</f>
        <v>1</v>
      </c>
      <c r="K114" s="89">
        <f>'Detailed Summary'!AS113</f>
        <v>0</v>
      </c>
      <c r="L114" s="39">
        <f>'Detailed Summary'!AU113</f>
        <v>4</v>
      </c>
      <c r="M114" s="87" t="str">
        <f>'Detailed Summary'!AV113</f>
        <v/>
      </c>
      <c r="N114" s="3" t="str">
        <f>'Detailed Summary'!BF113</f>
        <v>Failed in 3 Subjects</v>
      </c>
      <c r="O114" s="87" t="str">
        <f>'Detailed Summary'!AW113</f>
        <v/>
      </c>
      <c r="P114" s="5" t="str">
        <f>'Detailed Summary'!BG113</f>
        <v/>
      </c>
    </row>
    <row r="115" spans="1:16" ht="18.5" hidden="1" x14ac:dyDescent="0.45">
      <c r="A115" s="102"/>
      <c r="B115" s="88">
        <f>'Student Basic Info'!A114</f>
        <v>613</v>
      </c>
      <c r="C115" s="86" t="str">
        <f>'Student Basic Info'!C114</f>
        <v>Fokkrul Islam</v>
      </c>
      <c r="D115" s="89" t="str">
        <f>'Detailed Summary'!AK114</f>
        <v/>
      </c>
      <c r="E115" s="89" t="str">
        <f>'Detailed Summary'!AL114</f>
        <v/>
      </c>
      <c r="F115" s="89" t="str">
        <f>'Detailed Summary'!AM114</f>
        <v/>
      </c>
      <c r="G115" s="89" t="str">
        <f>'Detailed Summary'!AN114</f>
        <v/>
      </c>
      <c r="H115" s="89" t="str">
        <f>'Detailed Summary'!AO114</f>
        <v/>
      </c>
      <c r="I115" s="89" t="str">
        <f>'Detailed Summary'!AP114</f>
        <v/>
      </c>
      <c r="J115" s="89" t="str">
        <f>'Detailed Summary'!AR114</f>
        <v/>
      </c>
      <c r="K115" s="89" t="str">
        <f>'Detailed Summary'!AS114</f>
        <v/>
      </c>
      <c r="L115" s="39">
        <f>'Detailed Summary'!AU114</f>
        <v>0</v>
      </c>
      <c r="M115" s="87" t="str">
        <f>'Detailed Summary'!AV114</f>
        <v/>
      </c>
      <c r="N115" s="3" t="str">
        <f>'Detailed Summary'!BF114</f>
        <v>Failed in 6 Subjects</v>
      </c>
      <c r="O115" s="87" t="str">
        <f>'Detailed Summary'!AW114</f>
        <v/>
      </c>
      <c r="P115" s="5" t="str">
        <f>'Detailed Summary'!BG114</f>
        <v/>
      </c>
    </row>
    <row r="116" spans="1:16" hidden="1" x14ac:dyDescent="0.35">
      <c r="A116" s="105">
        <v>6</v>
      </c>
      <c r="B116" s="105">
        <f>'Student Basic Info'!A27</f>
        <v>526</v>
      </c>
      <c r="C116" s="106" t="str">
        <f>'Student Basic Info'!C27</f>
        <v>Sidratul Muntaha</v>
      </c>
      <c r="D116" s="89">
        <f>'Detailed Summary'!AK27</f>
        <v>3</v>
      </c>
      <c r="E116" s="89">
        <f>'Detailed Summary'!AL27</f>
        <v>1</v>
      </c>
      <c r="F116" s="89">
        <f>'Detailed Summary'!AM27</f>
        <v>3</v>
      </c>
      <c r="G116" s="89">
        <f>'Detailed Summary'!AN27</f>
        <v>3</v>
      </c>
      <c r="H116" s="89">
        <f>'Detailed Summary'!AO27</f>
        <v>3</v>
      </c>
      <c r="I116" s="89">
        <f>'Detailed Summary'!AP27</f>
        <v>1</v>
      </c>
      <c r="J116" s="89">
        <f>'Detailed Summary'!AR27</f>
        <v>3</v>
      </c>
      <c r="K116" s="89">
        <f>'Detailed Summary'!AS27</f>
        <v>1</v>
      </c>
      <c r="L116" s="39">
        <f>'Detailed Summary'!AU27</f>
        <v>15</v>
      </c>
      <c r="M116" s="87">
        <f>'Detailed Summary'!AV27</f>
        <v>2.3333333333333335</v>
      </c>
      <c r="N116" s="76" t="str">
        <f>'Detailed Summary'!BF27</f>
        <v>Pass</v>
      </c>
      <c r="O116" s="87">
        <f>'Detailed Summary'!AW27</f>
        <v>2.5</v>
      </c>
      <c r="P116" s="107">
        <f>'Detailed Summary'!BG27</f>
        <v>8</v>
      </c>
    </row>
    <row r="117" spans="1:16" hidden="1" x14ac:dyDescent="0.35">
      <c r="B117" s="88">
        <f>'Student Basic Info'!A116</f>
        <v>615</v>
      </c>
      <c r="C117" s="86" t="str">
        <f>'Student Basic Info'!C116</f>
        <v>Tasfia Atrar</v>
      </c>
      <c r="D117" s="89">
        <f>'Detailed Summary'!AK116</f>
        <v>1</v>
      </c>
      <c r="E117" s="89">
        <f>'Detailed Summary'!AL116</f>
        <v>0</v>
      </c>
      <c r="F117" s="89">
        <f>'Detailed Summary'!AM116</f>
        <v>0</v>
      </c>
      <c r="G117" s="89">
        <f>'Detailed Summary'!AN116</f>
        <v>0</v>
      </c>
      <c r="H117" s="89">
        <f>'Detailed Summary'!AO116</f>
        <v>0</v>
      </c>
      <c r="I117" s="89">
        <f>'Detailed Summary'!AP116</f>
        <v>1</v>
      </c>
      <c r="J117" s="89">
        <f>'Detailed Summary'!AR116</f>
        <v>0</v>
      </c>
      <c r="K117" s="89">
        <f>'Detailed Summary'!AS116</f>
        <v>0</v>
      </c>
      <c r="L117" s="39">
        <f>'Detailed Summary'!AU116</f>
        <v>2</v>
      </c>
      <c r="M117" s="87" t="str">
        <f>'Detailed Summary'!AV116</f>
        <v/>
      </c>
      <c r="N117" s="3" t="str">
        <f>'Detailed Summary'!BF116</f>
        <v>Failed in 4 Subjects</v>
      </c>
      <c r="O117" s="87" t="str">
        <f>'Detailed Summary'!AW116</f>
        <v/>
      </c>
      <c r="P117" s="5" t="str">
        <f>'Detailed Summary'!BG116</f>
        <v/>
      </c>
    </row>
    <row r="118" spans="1:16" hidden="1" x14ac:dyDescent="0.35">
      <c r="B118" s="88">
        <f>'Student Basic Info'!A117</f>
        <v>616</v>
      </c>
      <c r="C118" s="86" t="str">
        <f>'Student Basic Info'!C117</f>
        <v>Farzana Aktar Mili</v>
      </c>
      <c r="D118" s="89" t="str">
        <f>'Detailed Summary'!AK117</f>
        <v/>
      </c>
      <c r="E118" s="89" t="str">
        <f>'Detailed Summary'!AL117</f>
        <v/>
      </c>
      <c r="F118" s="89" t="str">
        <f>'Detailed Summary'!AM117</f>
        <v/>
      </c>
      <c r="G118" s="89" t="str">
        <f>'Detailed Summary'!AN117</f>
        <v/>
      </c>
      <c r="H118" s="89" t="str">
        <f>'Detailed Summary'!AO117</f>
        <v/>
      </c>
      <c r="I118" s="89" t="str">
        <f>'Detailed Summary'!AP117</f>
        <v/>
      </c>
      <c r="J118" s="89" t="str">
        <f>'Detailed Summary'!AR117</f>
        <v/>
      </c>
      <c r="K118" s="89" t="str">
        <f>'Detailed Summary'!AS117</f>
        <v/>
      </c>
      <c r="L118" s="39">
        <f>'Detailed Summary'!AU117</f>
        <v>0</v>
      </c>
      <c r="M118" s="87" t="str">
        <f>'Detailed Summary'!AV117</f>
        <v/>
      </c>
      <c r="N118" s="3" t="str">
        <f>'Detailed Summary'!BF117</f>
        <v>Failed in 6 Subjects</v>
      </c>
      <c r="O118" s="87" t="str">
        <f>'Detailed Summary'!AW117</f>
        <v/>
      </c>
      <c r="P118" s="5" t="str">
        <f>'Detailed Summary'!BG117</f>
        <v/>
      </c>
    </row>
    <row r="119" spans="1:16" hidden="1" x14ac:dyDescent="0.35">
      <c r="B119" s="88">
        <f>'Student Basic Info'!A118</f>
        <v>617</v>
      </c>
      <c r="C119" s="86" t="str">
        <f>'Student Basic Info'!C118</f>
        <v>Tanvir Hossain</v>
      </c>
      <c r="D119" s="89" t="str">
        <f>'Detailed Summary'!AK118</f>
        <v/>
      </c>
      <c r="E119" s="89" t="str">
        <f>'Detailed Summary'!AL118</f>
        <v/>
      </c>
      <c r="F119" s="89" t="str">
        <f>'Detailed Summary'!AM118</f>
        <v/>
      </c>
      <c r="G119" s="89" t="str">
        <f>'Detailed Summary'!AN118</f>
        <v/>
      </c>
      <c r="H119" s="89" t="str">
        <f>'Detailed Summary'!AO118</f>
        <v/>
      </c>
      <c r="I119" s="89" t="str">
        <f>'Detailed Summary'!AP118</f>
        <v/>
      </c>
      <c r="J119" s="89" t="str">
        <f>'Detailed Summary'!AR118</f>
        <v/>
      </c>
      <c r="K119" s="89" t="str">
        <f>'Detailed Summary'!AS118</f>
        <v/>
      </c>
      <c r="L119" s="39">
        <f>'Detailed Summary'!AU118</f>
        <v>0</v>
      </c>
      <c r="M119" s="87" t="str">
        <f>'Detailed Summary'!AV118</f>
        <v/>
      </c>
      <c r="N119" s="3" t="str">
        <f>'Detailed Summary'!BF118</f>
        <v>Failed in 6 Subjects</v>
      </c>
      <c r="O119" s="87" t="str">
        <f>'Detailed Summary'!AW118</f>
        <v/>
      </c>
      <c r="P119" s="5" t="str">
        <f>'Detailed Summary'!BG118</f>
        <v/>
      </c>
    </row>
    <row r="120" spans="1:16" hidden="1" x14ac:dyDescent="0.35">
      <c r="B120" s="88">
        <f>'Student Basic Info'!A119</f>
        <v>618</v>
      </c>
      <c r="C120" s="86" t="str">
        <f>'Student Basic Info'!C119</f>
        <v>Mizanur Rahman</v>
      </c>
      <c r="D120" s="89" t="str">
        <f>'Detailed Summary'!AK119</f>
        <v/>
      </c>
      <c r="E120" s="89" t="str">
        <f>'Detailed Summary'!AL119</f>
        <v/>
      </c>
      <c r="F120" s="89" t="str">
        <f>'Detailed Summary'!AM119</f>
        <v/>
      </c>
      <c r="G120" s="89" t="str">
        <f>'Detailed Summary'!AN119</f>
        <v/>
      </c>
      <c r="H120" s="89" t="str">
        <f>'Detailed Summary'!AO119</f>
        <v/>
      </c>
      <c r="I120" s="89" t="str">
        <f>'Detailed Summary'!AP119</f>
        <v/>
      </c>
      <c r="J120" s="89" t="str">
        <f>'Detailed Summary'!AR119</f>
        <v/>
      </c>
      <c r="K120" s="89" t="str">
        <f>'Detailed Summary'!AS119</f>
        <v/>
      </c>
      <c r="L120" s="39">
        <f>'Detailed Summary'!AU119</f>
        <v>0</v>
      </c>
      <c r="M120" s="87" t="str">
        <f>'Detailed Summary'!AV119</f>
        <v/>
      </c>
      <c r="N120" s="3" t="str">
        <f>'Detailed Summary'!BF119</f>
        <v>Failed in 6 Subjects</v>
      </c>
      <c r="O120" s="87" t="str">
        <f>'Detailed Summary'!AW119</f>
        <v/>
      </c>
      <c r="P120" s="5" t="str">
        <f>'Detailed Summary'!BG119</f>
        <v/>
      </c>
    </row>
    <row r="121" spans="1:16" hidden="1" x14ac:dyDescent="0.35">
      <c r="B121" s="88">
        <f>'Student Basic Info'!A120</f>
        <v>619</v>
      </c>
      <c r="C121" s="86" t="str">
        <f>'Student Basic Info'!C120</f>
        <v>Yeasin Arafat</v>
      </c>
      <c r="D121" s="89" t="str">
        <f>'Detailed Summary'!AK120</f>
        <v/>
      </c>
      <c r="E121" s="89" t="str">
        <f>'Detailed Summary'!AL120</f>
        <v/>
      </c>
      <c r="F121" s="89" t="str">
        <f>'Detailed Summary'!AM120</f>
        <v/>
      </c>
      <c r="G121" s="89" t="str">
        <f>'Detailed Summary'!AN120</f>
        <v/>
      </c>
      <c r="H121" s="89" t="str">
        <f>'Detailed Summary'!AO120</f>
        <v/>
      </c>
      <c r="I121" s="89" t="str">
        <f>'Detailed Summary'!AP120</f>
        <v/>
      </c>
      <c r="J121" s="89" t="str">
        <f>'Detailed Summary'!AR120</f>
        <v/>
      </c>
      <c r="K121" s="89" t="str">
        <f>'Detailed Summary'!AS120</f>
        <v/>
      </c>
      <c r="L121" s="39">
        <f>'Detailed Summary'!AU120</f>
        <v>0</v>
      </c>
      <c r="M121" s="87" t="str">
        <f>'Detailed Summary'!AV120</f>
        <v/>
      </c>
      <c r="N121" s="3" t="str">
        <f>'Detailed Summary'!BF120</f>
        <v>Failed in 6 Subjects</v>
      </c>
      <c r="O121" s="87" t="str">
        <f>'Detailed Summary'!AW120</f>
        <v/>
      </c>
      <c r="P121" s="5" t="str">
        <f>'Detailed Summary'!BG120</f>
        <v/>
      </c>
    </row>
    <row r="122" spans="1:16" hidden="1" x14ac:dyDescent="0.35">
      <c r="B122" s="88">
        <f>'Student Basic Info'!A121</f>
        <v>620</v>
      </c>
      <c r="C122" s="86" t="str">
        <f>'Student Basic Info'!C121</f>
        <v>Abdullah Al Noman</v>
      </c>
      <c r="D122" s="89" t="str">
        <f>'Detailed Summary'!AK121</f>
        <v/>
      </c>
      <c r="E122" s="89" t="str">
        <f>'Detailed Summary'!AL121</f>
        <v/>
      </c>
      <c r="F122" s="89" t="str">
        <f>'Detailed Summary'!AM121</f>
        <v/>
      </c>
      <c r="G122" s="89" t="str">
        <f>'Detailed Summary'!AN121</f>
        <v/>
      </c>
      <c r="H122" s="89" t="str">
        <f>'Detailed Summary'!AO121</f>
        <v/>
      </c>
      <c r="I122" s="89" t="str">
        <f>'Detailed Summary'!AP121</f>
        <v/>
      </c>
      <c r="J122" s="89" t="str">
        <f>'Detailed Summary'!AR121</f>
        <v/>
      </c>
      <c r="K122" s="89" t="str">
        <f>'Detailed Summary'!AS121</f>
        <v/>
      </c>
      <c r="L122" s="39">
        <f>'Detailed Summary'!AU121</f>
        <v>0</v>
      </c>
      <c r="M122" s="87" t="str">
        <f>'Detailed Summary'!AV121</f>
        <v/>
      </c>
      <c r="N122" s="3" t="str">
        <f>'Detailed Summary'!BF121</f>
        <v>Failed in 6 Subjects</v>
      </c>
      <c r="O122" s="87" t="str">
        <f>'Detailed Summary'!AW121</f>
        <v/>
      </c>
      <c r="P122" s="5" t="str">
        <f>'Detailed Summary'!BG121</f>
        <v/>
      </c>
    </row>
    <row r="123" spans="1:16" hidden="1" x14ac:dyDescent="0.35">
      <c r="B123" s="88">
        <f>'Student Basic Info'!A122</f>
        <v>621</v>
      </c>
      <c r="C123" s="86" t="str">
        <f>'Student Basic Info'!C122</f>
        <v>Delower Hossain</v>
      </c>
      <c r="D123" s="89">
        <f>'Detailed Summary'!AK122</f>
        <v>2</v>
      </c>
      <c r="E123" s="89">
        <f>'Detailed Summary'!AL122</f>
        <v>0</v>
      </c>
      <c r="F123" s="89">
        <f>'Detailed Summary'!AM122</f>
        <v>3</v>
      </c>
      <c r="G123" s="89">
        <f>'Detailed Summary'!AN122</f>
        <v>1</v>
      </c>
      <c r="H123" s="89">
        <f>'Detailed Summary'!AO122</f>
        <v>0</v>
      </c>
      <c r="I123" s="89">
        <f>'Detailed Summary'!AP122</f>
        <v>0</v>
      </c>
      <c r="J123" s="89">
        <f>'Detailed Summary'!AR122</f>
        <v>2</v>
      </c>
      <c r="K123" s="89">
        <f>'Detailed Summary'!AS122</f>
        <v>0</v>
      </c>
      <c r="L123" s="39">
        <f>'Detailed Summary'!AU122</f>
        <v>6</v>
      </c>
      <c r="M123" s="87" t="str">
        <f>'Detailed Summary'!AV122</f>
        <v/>
      </c>
      <c r="N123" s="3" t="str">
        <f>'Detailed Summary'!BF122</f>
        <v>Failed in 3 Subjects</v>
      </c>
      <c r="O123" s="87" t="str">
        <f>'Detailed Summary'!AW122</f>
        <v/>
      </c>
      <c r="P123" s="5" t="str">
        <f>'Detailed Summary'!BG122</f>
        <v/>
      </c>
    </row>
    <row r="124" spans="1:16" hidden="1" x14ac:dyDescent="0.35">
      <c r="B124" s="88">
        <f>'Student Basic Info'!A123</f>
        <v>622</v>
      </c>
      <c r="C124" s="86" t="str">
        <f>'Student Basic Info'!C123</f>
        <v>Nur Islam</v>
      </c>
      <c r="D124" s="89">
        <f>'Detailed Summary'!AK123</f>
        <v>3</v>
      </c>
      <c r="E124" s="89">
        <f>'Detailed Summary'!AL123</f>
        <v>0</v>
      </c>
      <c r="F124" s="89">
        <f>'Detailed Summary'!AM123</f>
        <v>3.5</v>
      </c>
      <c r="G124" s="89">
        <f>'Detailed Summary'!AN123</f>
        <v>2</v>
      </c>
      <c r="H124" s="89">
        <f>'Detailed Summary'!AO123</f>
        <v>0</v>
      </c>
      <c r="I124" s="89">
        <f>'Detailed Summary'!AP123</f>
        <v>0</v>
      </c>
      <c r="J124" s="89">
        <f>'Detailed Summary'!AR123</f>
        <v>1</v>
      </c>
      <c r="K124" s="89">
        <f>'Detailed Summary'!AS123</f>
        <v>0</v>
      </c>
      <c r="L124" s="39">
        <f>'Detailed Summary'!AU123</f>
        <v>8.5</v>
      </c>
      <c r="M124" s="87" t="str">
        <f>'Detailed Summary'!AV123</f>
        <v/>
      </c>
      <c r="N124" s="3" t="str">
        <f>'Detailed Summary'!BF123</f>
        <v>Failed in 3 Subjects</v>
      </c>
      <c r="O124" s="87" t="str">
        <f>'Detailed Summary'!AW123</f>
        <v/>
      </c>
      <c r="P124" s="5" t="str">
        <f>'Detailed Summary'!BG123</f>
        <v/>
      </c>
    </row>
    <row r="125" spans="1:16" hidden="1" x14ac:dyDescent="0.35">
      <c r="B125" s="88">
        <f>'Student Basic Info'!A124</f>
        <v>623</v>
      </c>
      <c r="C125" s="86" t="str">
        <f>'Student Basic Info'!C124</f>
        <v>Mehedi Hasan</v>
      </c>
      <c r="D125" s="89" t="str">
        <f>'Detailed Summary'!AK124</f>
        <v/>
      </c>
      <c r="E125" s="89" t="str">
        <f>'Detailed Summary'!AL124</f>
        <v/>
      </c>
      <c r="F125" s="89" t="str">
        <f>'Detailed Summary'!AM124</f>
        <v/>
      </c>
      <c r="G125" s="89" t="str">
        <f>'Detailed Summary'!AN124</f>
        <v/>
      </c>
      <c r="H125" s="89" t="str">
        <f>'Detailed Summary'!AO124</f>
        <v/>
      </c>
      <c r="I125" s="89" t="str">
        <f>'Detailed Summary'!AP124</f>
        <v/>
      </c>
      <c r="J125" s="89" t="str">
        <f>'Detailed Summary'!AR124</f>
        <v/>
      </c>
      <c r="K125" s="89" t="str">
        <f>'Detailed Summary'!AS124</f>
        <v/>
      </c>
      <c r="L125" s="39">
        <f>'Detailed Summary'!AU124</f>
        <v>0</v>
      </c>
      <c r="M125" s="87" t="str">
        <f>'Detailed Summary'!AV124</f>
        <v/>
      </c>
      <c r="N125" s="3" t="str">
        <f>'Detailed Summary'!BF124</f>
        <v>Failed in 6 Subjects</v>
      </c>
      <c r="O125" s="87" t="str">
        <f>'Detailed Summary'!AW124</f>
        <v/>
      </c>
      <c r="P125" s="5" t="str">
        <f>'Detailed Summary'!BG124</f>
        <v/>
      </c>
    </row>
    <row r="126" spans="1:16" hidden="1" x14ac:dyDescent="0.35">
      <c r="B126" s="88">
        <f>'Student Basic Info'!A125</f>
        <v>624</v>
      </c>
      <c r="C126" s="86" t="str">
        <f>'Student Basic Info'!C125</f>
        <v>Nurul Afsar Ashraf</v>
      </c>
      <c r="D126" s="89" t="str">
        <f>'Detailed Summary'!AK125</f>
        <v/>
      </c>
      <c r="E126" s="89" t="str">
        <f>'Detailed Summary'!AL125</f>
        <v/>
      </c>
      <c r="F126" s="89" t="str">
        <f>'Detailed Summary'!AM125</f>
        <v/>
      </c>
      <c r="G126" s="89" t="str">
        <f>'Detailed Summary'!AN125</f>
        <v/>
      </c>
      <c r="H126" s="89" t="str">
        <f>'Detailed Summary'!AO125</f>
        <v/>
      </c>
      <c r="I126" s="89" t="str">
        <f>'Detailed Summary'!AP125</f>
        <v/>
      </c>
      <c r="J126" s="89" t="str">
        <f>'Detailed Summary'!AR125</f>
        <v/>
      </c>
      <c r="K126" s="89" t="str">
        <f>'Detailed Summary'!AS125</f>
        <v/>
      </c>
      <c r="L126" s="39">
        <f>'Detailed Summary'!AU125</f>
        <v>0</v>
      </c>
      <c r="M126" s="87" t="str">
        <f>'Detailed Summary'!AV125</f>
        <v/>
      </c>
      <c r="N126" s="3" t="str">
        <f>'Detailed Summary'!BF125</f>
        <v>Failed in 6 Subjects</v>
      </c>
      <c r="O126" s="87" t="str">
        <f>'Detailed Summary'!AW125</f>
        <v/>
      </c>
      <c r="P126" s="5" t="str">
        <f>'Detailed Summary'!BG125</f>
        <v/>
      </c>
    </row>
    <row r="127" spans="1:16" hidden="1" x14ac:dyDescent="0.35">
      <c r="B127" s="88">
        <f>'Student Basic Info'!A126</f>
        <v>625</v>
      </c>
      <c r="C127" s="86" t="str">
        <f>'Student Basic Info'!C126</f>
        <v>Marjahan Aktar</v>
      </c>
      <c r="D127" s="89" t="str">
        <f>'Detailed Summary'!AK126</f>
        <v/>
      </c>
      <c r="E127" s="89" t="str">
        <f>'Detailed Summary'!AL126</f>
        <v/>
      </c>
      <c r="F127" s="89" t="str">
        <f>'Detailed Summary'!AM126</f>
        <v/>
      </c>
      <c r="G127" s="89" t="str">
        <f>'Detailed Summary'!AN126</f>
        <v/>
      </c>
      <c r="H127" s="89" t="str">
        <f>'Detailed Summary'!AO126</f>
        <v/>
      </c>
      <c r="I127" s="89" t="str">
        <f>'Detailed Summary'!AP126</f>
        <v/>
      </c>
      <c r="J127" s="89" t="str">
        <f>'Detailed Summary'!AR126</f>
        <v/>
      </c>
      <c r="K127" s="89" t="str">
        <f>'Detailed Summary'!AS126</f>
        <v/>
      </c>
      <c r="L127" s="39">
        <f>'Detailed Summary'!AU126</f>
        <v>0</v>
      </c>
      <c r="M127" s="87" t="str">
        <f>'Detailed Summary'!AV126</f>
        <v/>
      </c>
      <c r="N127" s="3" t="str">
        <f>'Detailed Summary'!BF126</f>
        <v>Failed in 6 Subjects</v>
      </c>
      <c r="O127" s="87" t="str">
        <f>'Detailed Summary'!AW126</f>
        <v/>
      </c>
      <c r="P127" s="5" t="str">
        <f>'Detailed Summary'!BG126</f>
        <v/>
      </c>
    </row>
    <row r="128" spans="1:16" hidden="1" x14ac:dyDescent="0.35">
      <c r="B128" s="88">
        <f>'Student Basic Info'!A127</f>
        <v>626</v>
      </c>
      <c r="C128" s="86" t="str">
        <f>'Student Basic Info'!C127</f>
        <v>Fokhrul Islam</v>
      </c>
      <c r="D128" s="89" t="str">
        <f>'Detailed Summary'!AK127</f>
        <v/>
      </c>
      <c r="E128" s="89" t="str">
        <f>'Detailed Summary'!AL127</f>
        <v/>
      </c>
      <c r="F128" s="89" t="str">
        <f>'Detailed Summary'!AM127</f>
        <v/>
      </c>
      <c r="G128" s="89" t="str">
        <f>'Detailed Summary'!AN127</f>
        <v/>
      </c>
      <c r="H128" s="89" t="str">
        <f>'Detailed Summary'!AO127</f>
        <v/>
      </c>
      <c r="I128" s="89" t="str">
        <f>'Detailed Summary'!AP127</f>
        <v/>
      </c>
      <c r="J128" s="89" t="str">
        <f>'Detailed Summary'!AR127</f>
        <v/>
      </c>
      <c r="K128" s="89" t="str">
        <f>'Detailed Summary'!AS127</f>
        <v/>
      </c>
      <c r="L128" s="39">
        <f>'Detailed Summary'!AU127</f>
        <v>0</v>
      </c>
      <c r="M128" s="87" t="str">
        <f>'Detailed Summary'!AV127</f>
        <v/>
      </c>
      <c r="N128" s="3" t="str">
        <f>'Detailed Summary'!BF127</f>
        <v>Failed in 6 Subjects</v>
      </c>
      <c r="O128" s="87" t="str">
        <f>'Detailed Summary'!AW127</f>
        <v/>
      </c>
      <c r="P128" s="5" t="str">
        <f>'Detailed Summary'!BG127</f>
        <v/>
      </c>
    </row>
    <row r="129" spans="2:16" hidden="1" x14ac:dyDescent="0.35">
      <c r="B129" s="88">
        <f>'Student Basic Info'!A128</f>
        <v>627</v>
      </c>
      <c r="C129" s="86" t="str">
        <f>'Student Basic Info'!C128</f>
        <v>Israt Jahan</v>
      </c>
      <c r="D129" s="89" t="str">
        <f>'Detailed Summary'!AK128</f>
        <v/>
      </c>
      <c r="E129" s="89" t="str">
        <f>'Detailed Summary'!AL128</f>
        <v/>
      </c>
      <c r="F129" s="89" t="str">
        <f>'Detailed Summary'!AM128</f>
        <v/>
      </c>
      <c r="G129" s="89" t="str">
        <f>'Detailed Summary'!AN128</f>
        <v/>
      </c>
      <c r="H129" s="89" t="str">
        <f>'Detailed Summary'!AO128</f>
        <v/>
      </c>
      <c r="I129" s="89" t="str">
        <f>'Detailed Summary'!AP128</f>
        <v/>
      </c>
      <c r="J129" s="89" t="str">
        <f>'Detailed Summary'!AR128</f>
        <v/>
      </c>
      <c r="K129" s="89" t="str">
        <f>'Detailed Summary'!AS128</f>
        <v/>
      </c>
      <c r="L129" s="39">
        <f>'Detailed Summary'!AU128</f>
        <v>0</v>
      </c>
      <c r="M129" s="87" t="str">
        <f>'Detailed Summary'!AV128</f>
        <v/>
      </c>
      <c r="N129" s="3" t="str">
        <f>'Detailed Summary'!BF128</f>
        <v>Failed in 6 Subjects</v>
      </c>
      <c r="O129" s="87" t="str">
        <f>'Detailed Summary'!AW128</f>
        <v/>
      </c>
      <c r="P129" s="5" t="str">
        <f>'Detailed Summary'!BG128</f>
        <v/>
      </c>
    </row>
    <row r="130" spans="2:16" hidden="1" x14ac:dyDescent="0.35">
      <c r="B130" s="88">
        <f>'Student Basic Info'!A129</f>
        <v>628</v>
      </c>
      <c r="C130" s="86" t="str">
        <f>'Student Basic Info'!C129</f>
        <v>Md. Nur Nabi Hasan Roni</v>
      </c>
      <c r="D130" s="89" t="str">
        <f>'Detailed Summary'!AK129</f>
        <v/>
      </c>
      <c r="E130" s="89" t="str">
        <f>'Detailed Summary'!AL129</f>
        <v/>
      </c>
      <c r="F130" s="89" t="str">
        <f>'Detailed Summary'!AM129</f>
        <v/>
      </c>
      <c r="G130" s="89" t="str">
        <f>'Detailed Summary'!AN129</f>
        <v/>
      </c>
      <c r="H130" s="89" t="str">
        <f>'Detailed Summary'!AO129</f>
        <v/>
      </c>
      <c r="I130" s="89" t="str">
        <f>'Detailed Summary'!AP129</f>
        <v/>
      </c>
      <c r="J130" s="89" t="str">
        <f>'Detailed Summary'!AR129</f>
        <v/>
      </c>
      <c r="K130" s="89" t="str">
        <f>'Detailed Summary'!AS129</f>
        <v/>
      </c>
      <c r="L130" s="39">
        <f>'Detailed Summary'!AU129</f>
        <v>0</v>
      </c>
      <c r="M130" s="87" t="str">
        <f>'Detailed Summary'!AV129</f>
        <v/>
      </c>
      <c r="N130" s="3" t="str">
        <f>'Detailed Summary'!BF129</f>
        <v>Failed in 6 Subjects</v>
      </c>
      <c r="O130" s="87" t="str">
        <f>'Detailed Summary'!AW129</f>
        <v/>
      </c>
      <c r="P130" s="5" t="str">
        <f>'Detailed Summary'!BG129</f>
        <v/>
      </c>
    </row>
    <row r="131" spans="2:16" hidden="1" x14ac:dyDescent="0.35">
      <c r="B131" s="88">
        <f>'Student Basic Info'!A130</f>
        <v>629</v>
      </c>
      <c r="C131" s="86" t="str">
        <f>'Student Basic Info'!C130</f>
        <v>Khaled Bin Rahmat</v>
      </c>
      <c r="D131" s="89" t="str">
        <f>'Detailed Summary'!AK130</f>
        <v/>
      </c>
      <c r="E131" s="89" t="str">
        <f>'Detailed Summary'!AL130</f>
        <v/>
      </c>
      <c r="F131" s="89" t="str">
        <f>'Detailed Summary'!AM130</f>
        <v/>
      </c>
      <c r="G131" s="89" t="str">
        <f>'Detailed Summary'!AN130</f>
        <v/>
      </c>
      <c r="H131" s="89" t="str">
        <f>'Detailed Summary'!AO130</f>
        <v/>
      </c>
      <c r="I131" s="89" t="str">
        <f>'Detailed Summary'!AP130</f>
        <v/>
      </c>
      <c r="J131" s="89" t="str">
        <f>'Detailed Summary'!AR130</f>
        <v/>
      </c>
      <c r="K131" s="89" t="str">
        <f>'Detailed Summary'!AS130</f>
        <v/>
      </c>
      <c r="L131" s="39">
        <f>'Detailed Summary'!AU130</f>
        <v>0</v>
      </c>
      <c r="M131" s="87" t="str">
        <f>'Detailed Summary'!AV130</f>
        <v/>
      </c>
      <c r="N131" s="3" t="str">
        <f>'Detailed Summary'!BF130</f>
        <v>Failed in 6 Subjects</v>
      </c>
      <c r="O131" s="87" t="str">
        <f>'Detailed Summary'!AW130</f>
        <v/>
      </c>
      <c r="P131" s="5" t="str">
        <f>'Detailed Summary'!BG130</f>
        <v/>
      </c>
    </row>
    <row r="132" spans="2:16" hidden="1" x14ac:dyDescent="0.35">
      <c r="B132" s="88">
        <f>'Student Basic Info'!A131</f>
        <v>630</v>
      </c>
      <c r="C132" s="86" t="str">
        <f>'Student Basic Info'!C131</f>
        <v>Fokhrul Islam</v>
      </c>
      <c r="D132" s="89" t="str">
        <f>'Detailed Summary'!AK131</f>
        <v/>
      </c>
      <c r="E132" s="89" t="str">
        <f>'Detailed Summary'!AL131</f>
        <v/>
      </c>
      <c r="F132" s="89" t="str">
        <f>'Detailed Summary'!AM131</f>
        <v/>
      </c>
      <c r="G132" s="89" t="str">
        <f>'Detailed Summary'!AN131</f>
        <v/>
      </c>
      <c r="H132" s="89" t="str">
        <f>'Detailed Summary'!AO131</f>
        <v/>
      </c>
      <c r="I132" s="89" t="str">
        <f>'Detailed Summary'!AP131</f>
        <v/>
      </c>
      <c r="J132" s="89" t="str">
        <f>'Detailed Summary'!AR131</f>
        <v/>
      </c>
      <c r="K132" s="89" t="str">
        <f>'Detailed Summary'!AS131</f>
        <v/>
      </c>
      <c r="L132" s="39">
        <f>'Detailed Summary'!AU131</f>
        <v>0</v>
      </c>
      <c r="M132" s="87" t="str">
        <f>'Detailed Summary'!AV131</f>
        <v/>
      </c>
      <c r="N132" s="3" t="str">
        <f>'Detailed Summary'!BF131</f>
        <v>Failed in 6 Subjects</v>
      </c>
      <c r="O132" s="87" t="str">
        <f>'Detailed Summary'!AW131</f>
        <v/>
      </c>
      <c r="P132" s="5" t="str">
        <f>'Detailed Summary'!BG131</f>
        <v/>
      </c>
    </row>
    <row r="133" spans="2:16" hidden="1" x14ac:dyDescent="0.35">
      <c r="B133" s="88">
        <f>'Student Basic Info'!A132</f>
        <v>631</v>
      </c>
      <c r="C133" s="86" t="str">
        <f>'Student Basic Info'!C132</f>
        <v>Zihad Hossain</v>
      </c>
      <c r="D133" s="89" t="str">
        <f>'Detailed Summary'!AK132</f>
        <v/>
      </c>
      <c r="E133" s="89" t="str">
        <f>'Detailed Summary'!AL132</f>
        <v/>
      </c>
      <c r="F133" s="89" t="str">
        <f>'Detailed Summary'!AM132</f>
        <v/>
      </c>
      <c r="G133" s="89" t="str">
        <f>'Detailed Summary'!AN132</f>
        <v/>
      </c>
      <c r="H133" s="89" t="str">
        <f>'Detailed Summary'!AO132</f>
        <v/>
      </c>
      <c r="I133" s="89" t="str">
        <f>'Detailed Summary'!AP132</f>
        <v/>
      </c>
      <c r="J133" s="89" t="str">
        <f>'Detailed Summary'!AR132</f>
        <v/>
      </c>
      <c r="K133" s="89" t="str">
        <f>'Detailed Summary'!AS132</f>
        <v/>
      </c>
      <c r="L133" s="39">
        <f>'Detailed Summary'!AU132</f>
        <v>0</v>
      </c>
      <c r="M133" s="87" t="str">
        <f>'Detailed Summary'!AV132</f>
        <v/>
      </c>
      <c r="N133" s="3" t="str">
        <f>'Detailed Summary'!BF132</f>
        <v>Failed in 6 Subjects</v>
      </c>
      <c r="O133" s="87" t="str">
        <f>'Detailed Summary'!AW132</f>
        <v/>
      </c>
      <c r="P133" s="5" t="str">
        <f>'Detailed Summary'!BG132</f>
        <v/>
      </c>
    </row>
    <row r="134" spans="2:16" hidden="1" x14ac:dyDescent="0.35">
      <c r="B134" s="88">
        <f>'Student Basic Info'!A133</f>
        <v>632</v>
      </c>
      <c r="C134" s="86" t="str">
        <f>'Student Basic Info'!C133</f>
        <v>Ayesha Khatun</v>
      </c>
      <c r="D134" s="89" t="str">
        <f>'Detailed Summary'!AK133</f>
        <v/>
      </c>
      <c r="E134" s="89" t="str">
        <f>'Detailed Summary'!AL133</f>
        <v/>
      </c>
      <c r="F134" s="89" t="str">
        <f>'Detailed Summary'!AM133</f>
        <v/>
      </c>
      <c r="G134" s="89" t="str">
        <f>'Detailed Summary'!AN133</f>
        <v/>
      </c>
      <c r="H134" s="89" t="str">
        <f>'Detailed Summary'!AO133</f>
        <v/>
      </c>
      <c r="I134" s="89" t="str">
        <f>'Detailed Summary'!AP133</f>
        <v/>
      </c>
      <c r="J134" s="89" t="str">
        <f>'Detailed Summary'!AR133</f>
        <v/>
      </c>
      <c r="K134" s="89" t="str">
        <f>'Detailed Summary'!AS133</f>
        <v/>
      </c>
      <c r="L134" s="39">
        <f>'Detailed Summary'!AU133</f>
        <v>0</v>
      </c>
      <c r="M134" s="87" t="str">
        <f>'Detailed Summary'!AV133</f>
        <v/>
      </c>
      <c r="N134" s="3" t="str">
        <f>'Detailed Summary'!BF133</f>
        <v>Failed in 6 Subjects</v>
      </c>
      <c r="O134" s="87" t="str">
        <f>'Detailed Summary'!AW133</f>
        <v/>
      </c>
      <c r="P134" s="5" t="str">
        <f>'Detailed Summary'!BG133</f>
        <v/>
      </c>
    </row>
    <row r="135" spans="2:16" hidden="1" x14ac:dyDescent="0.35">
      <c r="B135" s="88">
        <f>'Student Basic Info'!A134</f>
        <v>633</v>
      </c>
      <c r="C135" s="86" t="str">
        <f>'Student Basic Info'!C134</f>
        <v>Ismail Hossain</v>
      </c>
      <c r="D135" s="89" t="str">
        <f>'Detailed Summary'!AK134</f>
        <v/>
      </c>
      <c r="E135" s="89" t="str">
        <f>'Detailed Summary'!AL134</f>
        <v/>
      </c>
      <c r="F135" s="89" t="str">
        <f>'Detailed Summary'!AM134</f>
        <v/>
      </c>
      <c r="G135" s="89" t="str">
        <f>'Detailed Summary'!AN134</f>
        <v/>
      </c>
      <c r="H135" s="89" t="str">
        <f>'Detailed Summary'!AO134</f>
        <v/>
      </c>
      <c r="I135" s="89" t="str">
        <f>'Detailed Summary'!AP134</f>
        <v/>
      </c>
      <c r="J135" s="89" t="str">
        <f>'Detailed Summary'!AR134</f>
        <v/>
      </c>
      <c r="K135" s="89" t="str">
        <f>'Detailed Summary'!AS134</f>
        <v/>
      </c>
      <c r="L135" s="39">
        <f>'Detailed Summary'!AU134</f>
        <v>0</v>
      </c>
      <c r="M135" s="87" t="str">
        <f>'Detailed Summary'!AV134</f>
        <v/>
      </c>
      <c r="N135" s="3" t="str">
        <f>'Detailed Summary'!BF134</f>
        <v>Failed in 6 Subjects</v>
      </c>
      <c r="O135" s="87" t="str">
        <f>'Detailed Summary'!AW134</f>
        <v/>
      </c>
      <c r="P135" s="5" t="str">
        <f>'Detailed Summary'!BG134</f>
        <v/>
      </c>
    </row>
    <row r="136" spans="2:16" hidden="1" x14ac:dyDescent="0.35">
      <c r="B136" s="88">
        <f>'Student Basic Info'!A135</f>
        <v>634</v>
      </c>
      <c r="C136" s="86" t="str">
        <f>'Student Basic Info'!C135</f>
        <v>Md. Shahadat Hossain</v>
      </c>
      <c r="D136" s="89" t="str">
        <f>'Detailed Summary'!AK135</f>
        <v/>
      </c>
      <c r="E136" s="89" t="str">
        <f>'Detailed Summary'!AL135</f>
        <v/>
      </c>
      <c r="F136" s="89" t="str">
        <f>'Detailed Summary'!AM135</f>
        <v/>
      </c>
      <c r="G136" s="89" t="str">
        <f>'Detailed Summary'!AN135</f>
        <v/>
      </c>
      <c r="H136" s="89" t="str">
        <f>'Detailed Summary'!AO135</f>
        <v/>
      </c>
      <c r="I136" s="89" t="str">
        <f>'Detailed Summary'!AP135</f>
        <v/>
      </c>
      <c r="J136" s="89" t="str">
        <f>'Detailed Summary'!AR135</f>
        <v/>
      </c>
      <c r="K136" s="89" t="str">
        <f>'Detailed Summary'!AS135</f>
        <v/>
      </c>
      <c r="L136" s="39">
        <f>'Detailed Summary'!AU135</f>
        <v>0</v>
      </c>
      <c r="M136" s="87" t="str">
        <f>'Detailed Summary'!AV135</f>
        <v/>
      </c>
      <c r="N136" s="3" t="str">
        <f>'Detailed Summary'!BF135</f>
        <v>Failed in 6 Subjects</v>
      </c>
      <c r="O136" s="87" t="str">
        <f>'Detailed Summary'!AW135</f>
        <v/>
      </c>
      <c r="P136" s="5" t="str">
        <f>'Detailed Summary'!BG135</f>
        <v/>
      </c>
    </row>
    <row r="137" spans="2:16" hidden="1" x14ac:dyDescent="0.35">
      <c r="B137" s="88">
        <f>'Student Basic Info'!A136</f>
        <v>635</v>
      </c>
      <c r="C137" s="86" t="str">
        <f>'Student Basic Info'!C136</f>
        <v>Tabzid Mahmud</v>
      </c>
      <c r="D137" s="89" t="str">
        <f>'Detailed Summary'!AK136</f>
        <v/>
      </c>
      <c r="E137" s="89" t="str">
        <f>'Detailed Summary'!AL136</f>
        <v/>
      </c>
      <c r="F137" s="89" t="str">
        <f>'Detailed Summary'!AM136</f>
        <v/>
      </c>
      <c r="G137" s="89" t="str">
        <f>'Detailed Summary'!AN136</f>
        <v/>
      </c>
      <c r="H137" s="89" t="str">
        <f>'Detailed Summary'!AO136</f>
        <v/>
      </c>
      <c r="I137" s="89" t="str">
        <f>'Detailed Summary'!AP136</f>
        <v/>
      </c>
      <c r="J137" s="89" t="str">
        <f>'Detailed Summary'!AR136</f>
        <v/>
      </c>
      <c r="K137" s="89" t="str">
        <f>'Detailed Summary'!AS136</f>
        <v/>
      </c>
      <c r="L137" s="39">
        <f>'Detailed Summary'!AU136</f>
        <v>0</v>
      </c>
      <c r="M137" s="87" t="str">
        <f>'Detailed Summary'!AV136</f>
        <v/>
      </c>
      <c r="N137" s="3" t="str">
        <f>'Detailed Summary'!BF136</f>
        <v>Failed in 6 Subjects</v>
      </c>
      <c r="O137" s="87" t="str">
        <f>'Detailed Summary'!AW136</f>
        <v/>
      </c>
      <c r="P137" s="5" t="str">
        <f>'Detailed Summary'!BG136</f>
        <v/>
      </c>
    </row>
    <row r="138" spans="2:16" hidden="1" x14ac:dyDescent="0.35">
      <c r="B138" s="88">
        <f>'Student Basic Info'!A137</f>
        <v>636</v>
      </c>
      <c r="C138" s="86" t="str">
        <f>'Student Basic Info'!C137</f>
        <v>Md. Ariful Islam</v>
      </c>
      <c r="D138" s="89" t="str">
        <f>'Detailed Summary'!AK137</f>
        <v/>
      </c>
      <c r="E138" s="89" t="str">
        <f>'Detailed Summary'!AL137</f>
        <v/>
      </c>
      <c r="F138" s="89" t="str">
        <f>'Detailed Summary'!AM137</f>
        <v/>
      </c>
      <c r="G138" s="89" t="str">
        <f>'Detailed Summary'!AN137</f>
        <v/>
      </c>
      <c r="H138" s="89" t="str">
        <f>'Detailed Summary'!AO137</f>
        <v/>
      </c>
      <c r="I138" s="89" t="str">
        <f>'Detailed Summary'!AP137</f>
        <v/>
      </c>
      <c r="J138" s="89" t="str">
        <f>'Detailed Summary'!AR137</f>
        <v/>
      </c>
      <c r="K138" s="89" t="str">
        <f>'Detailed Summary'!AS137</f>
        <v/>
      </c>
      <c r="L138" s="39">
        <f>'Detailed Summary'!AU137</f>
        <v>0</v>
      </c>
      <c r="M138" s="87" t="str">
        <f>'Detailed Summary'!AV137</f>
        <v/>
      </c>
      <c r="N138" s="3" t="str">
        <f>'Detailed Summary'!BF137</f>
        <v>Failed in 6 Subjects</v>
      </c>
      <c r="O138" s="87" t="str">
        <f>'Detailed Summary'!AW137</f>
        <v/>
      </c>
      <c r="P138" s="5" t="str">
        <f>'Detailed Summary'!BG137</f>
        <v/>
      </c>
    </row>
    <row r="139" spans="2:16" hidden="1" x14ac:dyDescent="0.35">
      <c r="B139" s="88">
        <f>'Student Basic Info'!A138</f>
        <v>637</v>
      </c>
      <c r="C139" s="86" t="str">
        <f>'Student Basic Info'!C138</f>
        <v>Mostafizur Rahman</v>
      </c>
      <c r="D139" s="89">
        <f>'Detailed Summary'!AK138</f>
        <v>1</v>
      </c>
      <c r="E139" s="89">
        <f>'Detailed Summary'!AL138</f>
        <v>0</v>
      </c>
      <c r="F139" s="89">
        <f>'Detailed Summary'!AM138</f>
        <v>0</v>
      </c>
      <c r="G139" s="89">
        <f>'Detailed Summary'!AN138</f>
        <v>0</v>
      </c>
      <c r="H139" s="89">
        <f>'Detailed Summary'!AO138</f>
        <v>0</v>
      </c>
      <c r="I139" s="89">
        <f>'Detailed Summary'!AP138</f>
        <v>0</v>
      </c>
      <c r="J139" s="89">
        <f>'Detailed Summary'!AR138</f>
        <v>0</v>
      </c>
      <c r="K139" s="89">
        <f>'Detailed Summary'!AS138</f>
        <v>0</v>
      </c>
      <c r="L139" s="39">
        <f>'Detailed Summary'!AU138</f>
        <v>1</v>
      </c>
      <c r="M139" s="87" t="str">
        <f>'Detailed Summary'!AV138</f>
        <v/>
      </c>
      <c r="N139" s="3" t="str">
        <f>'Detailed Summary'!BF138</f>
        <v>Failed in 5 Subjects</v>
      </c>
      <c r="O139" s="87" t="str">
        <f>'Detailed Summary'!AW138</f>
        <v/>
      </c>
      <c r="P139" s="5" t="str">
        <f>'Detailed Summary'!BG138</f>
        <v/>
      </c>
    </row>
    <row r="140" spans="2:16" hidden="1" x14ac:dyDescent="0.35">
      <c r="B140" s="88">
        <f>'Student Basic Info'!A139</f>
        <v>638</v>
      </c>
      <c r="C140" s="86" t="str">
        <f>'Student Basic Info'!C139</f>
        <v xml:space="preserve">Md. Al Amin </v>
      </c>
      <c r="D140" s="89">
        <f>'Detailed Summary'!AK139</f>
        <v>1</v>
      </c>
      <c r="E140" s="89">
        <f>'Detailed Summary'!AL139</f>
        <v>0</v>
      </c>
      <c r="F140" s="89">
        <f>'Detailed Summary'!AM139</f>
        <v>0</v>
      </c>
      <c r="G140" s="89">
        <f>'Detailed Summary'!AN139</f>
        <v>0</v>
      </c>
      <c r="H140" s="89">
        <f>'Detailed Summary'!AO139</f>
        <v>0</v>
      </c>
      <c r="I140" s="89" t="str">
        <f>'Detailed Summary'!AP139</f>
        <v/>
      </c>
      <c r="J140" s="89">
        <f>'Detailed Summary'!AR139</f>
        <v>0</v>
      </c>
      <c r="K140" s="89">
        <f>'Detailed Summary'!AS139</f>
        <v>0</v>
      </c>
      <c r="L140" s="39">
        <f>'Detailed Summary'!AU139</f>
        <v>1</v>
      </c>
      <c r="M140" s="87" t="str">
        <f>'Detailed Summary'!AV139</f>
        <v/>
      </c>
      <c r="N140" s="3" t="str">
        <f>'Detailed Summary'!BF139</f>
        <v>Failed in 5 Subjects</v>
      </c>
      <c r="O140" s="87" t="str">
        <f>'Detailed Summary'!AW139</f>
        <v/>
      </c>
      <c r="P140" s="5" t="str">
        <f>'Detailed Summary'!BG139</f>
        <v/>
      </c>
    </row>
    <row r="141" spans="2:16" hidden="1" x14ac:dyDescent="0.35">
      <c r="B141" s="88">
        <f>'Student Basic Info'!A140</f>
        <v>639</v>
      </c>
      <c r="C141" s="86" t="str">
        <f>'Student Basic Info'!C140</f>
        <v>Bibi Fatema Khatun</v>
      </c>
      <c r="D141" s="89" t="str">
        <f>'Detailed Summary'!AK140</f>
        <v/>
      </c>
      <c r="E141" s="89" t="str">
        <f>'Detailed Summary'!AL140</f>
        <v/>
      </c>
      <c r="F141" s="89" t="str">
        <f>'Detailed Summary'!AM140</f>
        <v/>
      </c>
      <c r="G141" s="89" t="str">
        <f>'Detailed Summary'!AN140</f>
        <v/>
      </c>
      <c r="H141" s="89" t="str">
        <f>'Detailed Summary'!AO140</f>
        <v/>
      </c>
      <c r="I141" s="89" t="str">
        <f>'Detailed Summary'!AP140</f>
        <v/>
      </c>
      <c r="J141" s="89" t="str">
        <f>'Detailed Summary'!AR140</f>
        <v/>
      </c>
      <c r="K141" s="89" t="str">
        <f>'Detailed Summary'!AS140</f>
        <v/>
      </c>
      <c r="L141" s="39">
        <f>'Detailed Summary'!AU140</f>
        <v>0</v>
      </c>
      <c r="M141" s="87" t="str">
        <f>'Detailed Summary'!AV140</f>
        <v/>
      </c>
      <c r="N141" s="3" t="str">
        <f>'Detailed Summary'!BF140</f>
        <v>Failed in 6 Subjects</v>
      </c>
      <c r="O141" s="87" t="str">
        <f>'Detailed Summary'!AW140</f>
        <v/>
      </c>
      <c r="P141" s="5" t="str">
        <f>'Detailed Summary'!BG140</f>
        <v/>
      </c>
    </row>
    <row r="142" spans="2:16" hidden="1" x14ac:dyDescent="0.35">
      <c r="B142" s="88">
        <f>'Student Basic Info'!A141</f>
        <v>640</v>
      </c>
      <c r="C142" s="86" t="str">
        <f>'Student Basic Info'!C141</f>
        <v>Sazzad Hossain Sanzid</v>
      </c>
      <c r="D142" s="89" t="str">
        <f>'Detailed Summary'!AK141</f>
        <v/>
      </c>
      <c r="E142" s="89" t="str">
        <f>'Detailed Summary'!AL141</f>
        <v/>
      </c>
      <c r="F142" s="89" t="str">
        <f>'Detailed Summary'!AM141</f>
        <v/>
      </c>
      <c r="G142" s="89" t="str">
        <f>'Detailed Summary'!AN141</f>
        <v/>
      </c>
      <c r="H142" s="89" t="str">
        <f>'Detailed Summary'!AO141</f>
        <v/>
      </c>
      <c r="I142" s="89" t="str">
        <f>'Detailed Summary'!AP141</f>
        <v/>
      </c>
      <c r="J142" s="89" t="str">
        <f>'Detailed Summary'!AR141</f>
        <v/>
      </c>
      <c r="K142" s="89" t="str">
        <f>'Detailed Summary'!AS141</f>
        <v/>
      </c>
      <c r="L142" s="39">
        <f>'Detailed Summary'!AU141</f>
        <v>0</v>
      </c>
      <c r="M142" s="87" t="str">
        <f>'Detailed Summary'!AV141</f>
        <v/>
      </c>
      <c r="N142" s="3" t="str">
        <f>'Detailed Summary'!BF141</f>
        <v>Failed in 6 Subjects</v>
      </c>
      <c r="O142" s="87" t="str">
        <f>'Detailed Summary'!AW141</f>
        <v/>
      </c>
      <c r="P142" s="5" t="str">
        <f>'Detailed Summary'!BG141</f>
        <v/>
      </c>
    </row>
    <row r="143" spans="2:16" hidden="1" x14ac:dyDescent="0.35">
      <c r="B143" s="88">
        <f>'Student Basic Info'!A142</f>
        <v>641</v>
      </c>
      <c r="C143" s="86" t="str">
        <f>'Student Basic Info'!C142</f>
        <v>Md. Sohrab Hossain</v>
      </c>
      <c r="D143" s="89">
        <f>'Detailed Summary'!AK142</f>
        <v>2</v>
      </c>
      <c r="E143" s="89">
        <f>'Detailed Summary'!AL142</f>
        <v>1</v>
      </c>
      <c r="F143" s="89">
        <f>'Detailed Summary'!AM142</f>
        <v>3.5</v>
      </c>
      <c r="G143" s="89">
        <f>'Detailed Summary'!AN142</f>
        <v>0</v>
      </c>
      <c r="H143" s="89">
        <f>'Detailed Summary'!AO142</f>
        <v>0</v>
      </c>
      <c r="I143" s="89">
        <f>'Detailed Summary'!AP142</f>
        <v>2</v>
      </c>
      <c r="J143" s="89">
        <f>'Detailed Summary'!AR142</f>
        <v>0</v>
      </c>
      <c r="K143" s="89">
        <f>'Detailed Summary'!AS142</f>
        <v>0</v>
      </c>
      <c r="L143" s="39">
        <f>'Detailed Summary'!AU142</f>
        <v>8.5</v>
      </c>
      <c r="M143" s="87" t="str">
        <f>'Detailed Summary'!AV142</f>
        <v/>
      </c>
      <c r="N143" s="3" t="str">
        <f>'Detailed Summary'!BF142</f>
        <v>Failed in 2 Subjects</v>
      </c>
      <c r="O143" s="87" t="str">
        <f>'Detailed Summary'!AW142</f>
        <v/>
      </c>
      <c r="P143" s="5" t="str">
        <f>'Detailed Summary'!BG142</f>
        <v/>
      </c>
    </row>
    <row r="144" spans="2:16" hidden="1" x14ac:dyDescent="0.35">
      <c r="B144" s="88">
        <f>'Student Basic Info'!A143</f>
        <v>642</v>
      </c>
      <c r="C144" s="86" t="str">
        <f>'Student Basic Info'!C143</f>
        <v>Jannatul Nure Hafsa</v>
      </c>
      <c r="D144" s="89">
        <f>'Detailed Summary'!AK143</f>
        <v>0</v>
      </c>
      <c r="E144" s="89">
        <f>'Detailed Summary'!AL143</f>
        <v>0</v>
      </c>
      <c r="F144" s="89">
        <f>'Detailed Summary'!AM143</f>
        <v>0</v>
      </c>
      <c r="G144" s="89">
        <f>'Detailed Summary'!AN143</f>
        <v>2</v>
      </c>
      <c r="H144" s="89">
        <f>'Detailed Summary'!AO143</f>
        <v>2</v>
      </c>
      <c r="I144" s="89">
        <f>'Detailed Summary'!AP143</f>
        <v>0</v>
      </c>
      <c r="J144" s="89">
        <f>'Detailed Summary'!AR143</f>
        <v>1</v>
      </c>
      <c r="K144" s="89">
        <f>'Detailed Summary'!AS143</f>
        <v>0</v>
      </c>
      <c r="L144" s="39">
        <f>'Detailed Summary'!AU143</f>
        <v>4</v>
      </c>
      <c r="M144" s="87" t="str">
        <f>'Detailed Summary'!AV143</f>
        <v/>
      </c>
      <c r="N144" s="3" t="str">
        <f>'Detailed Summary'!BF143</f>
        <v>Failed in 4 Subjects</v>
      </c>
      <c r="O144" s="87" t="str">
        <f>'Detailed Summary'!AW143</f>
        <v/>
      </c>
      <c r="P144" s="5" t="str">
        <f>'Detailed Summary'!BG143</f>
        <v/>
      </c>
    </row>
    <row r="145" spans="2:16" hidden="1" x14ac:dyDescent="0.35">
      <c r="B145" s="88">
        <f>'Student Basic Info'!A144</f>
        <v>643</v>
      </c>
      <c r="C145" s="86">
        <f>'Student Basic Info'!C144</f>
        <v>0</v>
      </c>
      <c r="D145" s="89" t="str">
        <f>'Detailed Summary'!AK144</f>
        <v/>
      </c>
      <c r="E145" s="89" t="str">
        <f>'Detailed Summary'!AL144</f>
        <v/>
      </c>
      <c r="F145" s="89" t="str">
        <f>'Detailed Summary'!AM144</f>
        <v/>
      </c>
      <c r="G145" s="89" t="str">
        <f>'Detailed Summary'!AN144</f>
        <v/>
      </c>
      <c r="H145" s="89" t="str">
        <f>'Detailed Summary'!AO144</f>
        <v/>
      </c>
      <c r="I145" s="89" t="str">
        <f>'Detailed Summary'!AP144</f>
        <v/>
      </c>
      <c r="J145" s="89" t="str">
        <f>'Detailed Summary'!AR144</f>
        <v/>
      </c>
      <c r="K145" s="89" t="str">
        <f>'Detailed Summary'!AS144</f>
        <v/>
      </c>
      <c r="L145" s="39">
        <f>'Detailed Summary'!AU144</f>
        <v>0</v>
      </c>
      <c r="M145" s="87" t="str">
        <f>'Detailed Summary'!AV144</f>
        <v/>
      </c>
      <c r="N145" s="3" t="str">
        <f>'Detailed Summary'!BF144</f>
        <v>Failed in 6 Subjects</v>
      </c>
      <c r="O145" s="87" t="str">
        <f>'Detailed Summary'!AW144</f>
        <v/>
      </c>
      <c r="P145" s="5" t="str">
        <f>'Detailed Summary'!BG144</f>
        <v/>
      </c>
    </row>
    <row r="146" spans="2:16" hidden="1" x14ac:dyDescent="0.35">
      <c r="B146" s="88">
        <f>'Student Basic Info'!A145</f>
        <v>644</v>
      </c>
      <c r="C146" s="86" t="str">
        <f>'Student Basic Info'!C145</f>
        <v>Khadiza Aktar</v>
      </c>
      <c r="D146" s="89">
        <f>'Detailed Summary'!AK145</f>
        <v>0</v>
      </c>
      <c r="E146" s="89">
        <f>'Detailed Summary'!AL145</f>
        <v>0</v>
      </c>
      <c r="F146" s="89">
        <f>'Detailed Summary'!AM145</f>
        <v>0</v>
      </c>
      <c r="G146" s="89">
        <f>'Detailed Summary'!AN145</f>
        <v>0</v>
      </c>
      <c r="H146" s="89">
        <f>'Detailed Summary'!AO145</f>
        <v>0</v>
      </c>
      <c r="I146" s="89">
        <f>'Detailed Summary'!AP145</f>
        <v>0</v>
      </c>
      <c r="J146" s="89">
        <f>'Detailed Summary'!AR145</f>
        <v>0</v>
      </c>
      <c r="K146" s="89">
        <f>'Detailed Summary'!AS145</f>
        <v>0</v>
      </c>
      <c r="L146" s="39">
        <f>'Detailed Summary'!AU145</f>
        <v>0</v>
      </c>
      <c r="M146" s="87" t="str">
        <f>'Detailed Summary'!AV145</f>
        <v/>
      </c>
      <c r="N146" s="3" t="str">
        <f>'Detailed Summary'!BF145</f>
        <v>Failed in 6 Subjects</v>
      </c>
      <c r="O146" s="87" t="str">
        <f>'Detailed Summary'!AW145</f>
        <v/>
      </c>
      <c r="P146" s="5" t="str">
        <f>'Detailed Summary'!BG145</f>
        <v/>
      </c>
    </row>
  </sheetData>
  <autoFilter ref="N1:N146">
    <filterColumn colId="0">
      <filters>
        <filter val="Failed in 2 Subjects"/>
        <filter val="Result"/>
      </filters>
    </filterColumn>
  </autoFilter>
  <mergeCells count="1">
    <mergeCell ref="A1:P1"/>
  </mergeCells>
  <conditionalFormatting sqref="M3:M146 O3:O146">
    <cfRule type="cellIs" dxfId="4" priority="2" operator="between">
      <formula>1</formula>
      <formula>5</formula>
    </cfRule>
  </conditionalFormatting>
  <conditionalFormatting sqref="N3:N146">
    <cfRule type="containsText" dxfId="3" priority="1" operator="containsText" text="Pass">
      <formula>NOT(ISERROR(SEARCH("Pass",N3)))</formula>
    </cfRule>
  </conditionalFormatting>
  <pageMargins left="1.08" right="0.76" top="1.98" bottom="0.75" header="0.34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46"/>
  <sheetViews>
    <sheetView zoomScaleNormal="100" workbookViewId="0">
      <selection activeCell="V149" sqref="V149"/>
    </sheetView>
  </sheetViews>
  <sheetFormatPr defaultRowHeight="14.5" x14ac:dyDescent="0.35"/>
  <cols>
    <col min="1" max="1" width="4.54296875" customWidth="1"/>
    <col min="2" max="2" width="10.90625" style="104" customWidth="1"/>
    <col min="3" max="3" width="21.7265625" style="104" customWidth="1"/>
    <col min="4" max="4" width="0" style="104" hidden="1" customWidth="1"/>
    <col min="5" max="5" width="16.54296875" style="104" hidden="1" customWidth="1"/>
    <col min="6" max="6" width="0" style="104" hidden="1" customWidth="1"/>
    <col min="7" max="7" width="10.08984375" style="104" hidden="1" customWidth="1"/>
    <col min="8" max="8" width="12" style="104" hidden="1" customWidth="1"/>
    <col min="9" max="11" width="0" style="104" hidden="1" customWidth="1"/>
    <col min="12" max="12" width="0" hidden="1" customWidth="1"/>
    <col min="13" max="13" width="10.36328125" hidden="1" customWidth="1"/>
    <col min="14" max="14" width="20.1796875" customWidth="1"/>
    <col min="15" max="15" width="10.90625" customWidth="1"/>
    <col min="16" max="16" width="14.1796875" customWidth="1"/>
  </cols>
  <sheetData>
    <row r="1" spans="1:16" ht="141" customHeight="1" x14ac:dyDescent="0.45">
      <c r="A1" s="157" t="s">
        <v>877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x14ac:dyDescent="0.35">
      <c r="A2" s="13" t="s">
        <v>871</v>
      </c>
      <c r="B2" s="13" t="s">
        <v>0</v>
      </c>
      <c r="C2" s="13" t="s">
        <v>34</v>
      </c>
      <c r="D2" s="13" t="s">
        <v>12</v>
      </c>
      <c r="E2" s="13" t="s">
        <v>13</v>
      </c>
      <c r="F2" s="13" t="s">
        <v>14</v>
      </c>
      <c r="G2" s="13" t="s">
        <v>181</v>
      </c>
      <c r="H2" s="13" t="s">
        <v>870</v>
      </c>
      <c r="I2" s="13" t="s">
        <v>18</v>
      </c>
      <c r="J2" s="13" t="s">
        <v>19</v>
      </c>
      <c r="K2" s="13" t="s">
        <v>869</v>
      </c>
      <c r="L2" s="13" t="s">
        <v>866</v>
      </c>
      <c r="M2" s="84" t="s">
        <v>867</v>
      </c>
      <c r="N2" s="85" t="s">
        <v>7</v>
      </c>
      <c r="O2" s="85" t="s">
        <v>9</v>
      </c>
      <c r="P2" s="85" t="s">
        <v>868</v>
      </c>
    </row>
    <row r="3" spans="1:16" hidden="1" x14ac:dyDescent="0.35">
      <c r="B3" s="88">
        <f>'Student Basic Info'!A2</f>
        <v>501</v>
      </c>
      <c r="C3" s="86" t="str">
        <f>'Student Basic Info'!C2</f>
        <v xml:space="preserve">Robiul Sani </v>
      </c>
      <c r="D3" s="89" t="str">
        <f>'Detailed Summary'!AK2</f>
        <v/>
      </c>
      <c r="E3" s="89" t="str">
        <f>'Detailed Summary'!AL2</f>
        <v/>
      </c>
      <c r="F3" s="89" t="str">
        <f>'Detailed Summary'!AM2</f>
        <v/>
      </c>
      <c r="G3" s="89" t="str">
        <f>'Detailed Summary'!AN2</f>
        <v/>
      </c>
      <c r="H3" s="89" t="str">
        <f>'Detailed Summary'!AO2</f>
        <v/>
      </c>
      <c r="I3" s="89" t="str">
        <f>'Detailed Summary'!AP2</f>
        <v/>
      </c>
      <c r="J3" s="89" t="str">
        <f>'Detailed Summary'!AR2</f>
        <v/>
      </c>
      <c r="K3" s="89" t="str">
        <f>'Detailed Summary'!AS2</f>
        <v/>
      </c>
      <c r="L3" s="39">
        <f>'Detailed Summary'!AU2</f>
        <v>0</v>
      </c>
      <c r="M3" s="87" t="str">
        <f>'Detailed Summary'!AV2</f>
        <v/>
      </c>
      <c r="N3" s="3" t="str">
        <f>'Detailed Summary'!BF2</f>
        <v>Failed in 6 Subjects</v>
      </c>
      <c r="O3" s="87" t="str">
        <f>'Detailed Summary'!AW2</f>
        <v/>
      </c>
      <c r="P3" s="5" t="str">
        <f>'Detailed Summary'!BG2</f>
        <v/>
      </c>
    </row>
    <row r="4" spans="1:16" hidden="1" x14ac:dyDescent="0.35">
      <c r="B4" s="88">
        <f>'Student Basic Info'!A3</f>
        <v>502</v>
      </c>
      <c r="C4" s="86" t="str">
        <f>'Student Basic Info'!C3</f>
        <v>Shakhawat Hosain</v>
      </c>
      <c r="D4" s="89" t="str">
        <f>'Detailed Summary'!AK3</f>
        <v/>
      </c>
      <c r="E4" s="89" t="str">
        <f>'Detailed Summary'!AL3</f>
        <v/>
      </c>
      <c r="F4" s="89" t="str">
        <f>'Detailed Summary'!AM3</f>
        <v/>
      </c>
      <c r="G4" s="89" t="str">
        <f>'Detailed Summary'!AN3</f>
        <v/>
      </c>
      <c r="H4" s="89" t="str">
        <f>'Detailed Summary'!AO3</f>
        <v/>
      </c>
      <c r="I4" s="89" t="str">
        <f>'Detailed Summary'!AP3</f>
        <v/>
      </c>
      <c r="J4" s="89" t="str">
        <f>'Detailed Summary'!AR3</f>
        <v/>
      </c>
      <c r="K4" s="89" t="str">
        <f>'Detailed Summary'!AS3</f>
        <v/>
      </c>
      <c r="L4" s="39">
        <f>'Detailed Summary'!AU3</f>
        <v>0</v>
      </c>
      <c r="M4" s="87" t="str">
        <f>'Detailed Summary'!AV3</f>
        <v/>
      </c>
      <c r="N4" s="3" t="str">
        <f>'Detailed Summary'!BF3</f>
        <v>Failed in 6 Subjects</v>
      </c>
      <c r="O4" s="87" t="str">
        <f>'Detailed Summary'!AW3</f>
        <v/>
      </c>
      <c r="P4" s="5" t="str">
        <f>'Detailed Summary'!BG3</f>
        <v/>
      </c>
    </row>
    <row r="5" spans="1:16" hidden="1" x14ac:dyDescent="0.35">
      <c r="B5" s="88">
        <f>'Student Basic Info'!A4</f>
        <v>503</v>
      </c>
      <c r="C5" s="86" t="str">
        <f>'Student Basic Info'!C4</f>
        <v>Nusrat Sultana</v>
      </c>
      <c r="D5" s="89">
        <f>'Detailed Summary'!AK4</f>
        <v>3</v>
      </c>
      <c r="E5" s="89">
        <f>'Detailed Summary'!AL4</f>
        <v>1</v>
      </c>
      <c r="F5" s="89">
        <f>'Detailed Summary'!AM4</f>
        <v>2</v>
      </c>
      <c r="G5" s="89">
        <f>'Detailed Summary'!AN4</f>
        <v>1</v>
      </c>
      <c r="H5" s="89">
        <f>'Detailed Summary'!AO4</f>
        <v>1</v>
      </c>
      <c r="I5" s="89">
        <f>'Detailed Summary'!AP4</f>
        <v>1</v>
      </c>
      <c r="J5" s="89">
        <f>'Detailed Summary'!AR4</f>
        <v>2</v>
      </c>
      <c r="K5" s="89">
        <f>'Detailed Summary'!AS4</f>
        <v>0</v>
      </c>
      <c r="L5" s="39">
        <f>'Detailed Summary'!AU4</f>
        <v>9</v>
      </c>
      <c r="M5" s="87">
        <f>'Detailed Summary'!AV4</f>
        <v>1.5</v>
      </c>
      <c r="N5" s="3" t="str">
        <f>'Detailed Summary'!BF4</f>
        <v>Pass</v>
      </c>
      <c r="O5" s="87">
        <f>'Detailed Summary'!AW4</f>
        <v>1.5</v>
      </c>
      <c r="P5" s="5">
        <f>'Detailed Summary'!BG4</f>
        <v>12</v>
      </c>
    </row>
    <row r="6" spans="1:16" hidden="1" x14ac:dyDescent="0.35">
      <c r="B6" s="88">
        <f>'Student Basic Info'!A5</f>
        <v>504</v>
      </c>
      <c r="C6" s="86" t="str">
        <f>'Student Basic Info'!C5</f>
        <v>Nusrat Zahan</v>
      </c>
      <c r="D6" s="89">
        <f>'Detailed Summary'!AK5</f>
        <v>3</v>
      </c>
      <c r="E6" s="89">
        <f>'Detailed Summary'!AL5</f>
        <v>0</v>
      </c>
      <c r="F6" s="89">
        <f>'Detailed Summary'!AM5</f>
        <v>0</v>
      </c>
      <c r="G6" s="89">
        <f>'Detailed Summary'!AN5</f>
        <v>0</v>
      </c>
      <c r="H6" s="89">
        <f>'Detailed Summary'!AO5</f>
        <v>0</v>
      </c>
      <c r="I6" s="89">
        <f>'Detailed Summary'!AP5</f>
        <v>2</v>
      </c>
      <c r="J6" s="89">
        <f>'Detailed Summary'!AR5</f>
        <v>2</v>
      </c>
      <c r="K6" s="89">
        <f>'Detailed Summary'!AS5</f>
        <v>0</v>
      </c>
      <c r="L6" s="39">
        <f>'Detailed Summary'!AU5</f>
        <v>5</v>
      </c>
      <c r="M6" s="87" t="str">
        <f>'Detailed Summary'!AV5</f>
        <v/>
      </c>
      <c r="N6" s="3" t="str">
        <f>'Detailed Summary'!BF5</f>
        <v>Failed in 4 Subjects</v>
      </c>
      <c r="O6" s="87" t="str">
        <f>'Detailed Summary'!AW5</f>
        <v/>
      </c>
      <c r="P6" s="5" t="str">
        <f>'Detailed Summary'!BG5</f>
        <v/>
      </c>
    </row>
    <row r="7" spans="1:16" hidden="1" x14ac:dyDescent="0.35">
      <c r="B7" s="88">
        <f>'Student Basic Info'!A6</f>
        <v>505</v>
      </c>
      <c r="C7" s="86" t="str">
        <f>'Student Basic Info'!C6</f>
        <v>Istiaque Mahmud</v>
      </c>
      <c r="D7" s="89" t="str">
        <f>'Detailed Summary'!AK6</f>
        <v/>
      </c>
      <c r="E7" s="89" t="str">
        <f>'Detailed Summary'!AL6</f>
        <v/>
      </c>
      <c r="F7" s="89" t="str">
        <f>'Detailed Summary'!AM6</f>
        <v/>
      </c>
      <c r="G7" s="89" t="str">
        <f>'Detailed Summary'!AN6</f>
        <v/>
      </c>
      <c r="H7" s="89" t="str">
        <f>'Detailed Summary'!AO6</f>
        <v/>
      </c>
      <c r="I7" s="89" t="str">
        <f>'Detailed Summary'!AP6</f>
        <v/>
      </c>
      <c r="J7" s="89" t="str">
        <f>'Detailed Summary'!AR6</f>
        <v/>
      </c>
      <c r="K7" s="89" t="str">
        <f>'Detailed Summary'!AS6</f>
        <v/>
      </c>
      <c r="L7" s="39">
        <f>'Detailed Summary'!AU6</f>
        <v>0</v>
      </c>
      <c r="M7" s="87" t="str">
        <f>'Detailed Summary'!AV6</f>
        <v/>
      </c>
      <c r="N7" s="3" t="str">
        <f>'Detailed Summary'!BF6</f>
        <v>Failed in 6 Subjects</v>
      </c>
      <c r="O7" s="87" t="str">
        <f>'Detailed Summary'!AW6</f>
        <v/>
      </c>
      <c r="P7" s="5" t="str">
        <f>'Detailed Summary'!BG6</f>
        <v/>
      </c>
    </row>
    <row r="8" spans="1:16" hidden="1" x14ac:dyDescent="0.35">
      <c r="B8" s="88">
        <f>'Student Basic Info'!A7</f>
        <v>506</v>
      </c>
      <c r="C8" s="86" t="str">
        <f>'Student Basic Info'!C7</f>
        <v>Naznin Aktar</v>
      </c>
      <c r="D8" s="89" t="str">
        <f>'Detailed Summary'!AK7</f>
        <v/>
      </c>
      <c r="E8" s="89" t="str">
        <f>'Detailed Summary'!AL7</f>
        <v/>
      </c>
      <c r="F8" s="89" t="str">
        <f>'Detailed Summary'!AM7</f>
        <v/>
      </c>
      <c r="G8" s="89" t="str">
        <f>'Detailed Summary'!AN7</f>
        <v/>
      </c>
      <c r="H8" s="89" t="str">
        <f>'Detailed Summary'!AO7</f>
        <v/>
      </c>
      <c r="I8" s="89" t="str">
        <f>'Detailed Summary'!AP7</f>
        <v/>
      </c>
      <c r="J8" s="89" t="str">
        <f>'Detailed Summary'!AR7</f>
        <v/>
      </c>
      <c r="K8" s="89" t="str">
        <f>'Detailed Summary'!AS7</f>
        <v/>
      </c>
      <c r="L8" s="39">
        <f>'Detailed Summary'!AU7</f>
        <v>0</v>
      </c>
      <c r="M8" s="87" t="str">
        <f>'Detailed Summary'!AV7</f>
        <v/>
      </c>
      <c r="N8" s="3" t="str">
        <f>'Detailed Summary'!BF7</f>
        <v>Failed in 6 Subjects</v>
      </c>
      <c r="O8" s="87" t="str">
        <f>'Detailed Summary'!AW7</f>
        <v/>
      </c>
      <c r="P8" s="5" t="str">
        <f>'Detailed Summary'!BG7</f>
        <v/>
      </c>
    </row>
    <row r="9" spans="1:16" hidden="1" x14ac:dyDescent="0.35">
      <c r="A9" s="105">
        <v>1</v>
      </c>
      <c r="B9" s="105">
        <f>'Student Basic Info'!A23</f>
        <v>522</v>
      </c>
      <c r="C9" s="106" t="str">
        <f>'Student Basic Info'!C23</f>
        <v>Sumaiya Ferdaus Neha</v>
      </c>
      <c r="D9" s="89">
        <f>'Detailed Summary'!AK23</f>
        <v>3.5</v>
      </c>
      <c r="E9" s="89">
        <f>'Detailed Summary'!AL23</f>
        <v>3</v>
      </c>
      <c r="F9" s="89">
        <f>'Detailed Summary'!AM23</f>
        <v>5</v>
      </c>
      <c r="G9" s="89">
        <f>'Detailed Summary'!AN23</f>
        <v>3.5</v>
      </c>
      <c r="H9" s="89">
        <f>'Detailed Summary'!AO23</f>
        <v>4</v>
      </c>
      <c r="I9" s="89">
        <f>'Detailed Summary'!AP23</f>
        <v>3.5</v>
      </c>
      <c r="J9" s="89">
        <f>'Detailed Summary'!AR23</f>
        <v>5</v>
      </c>
      <c r="K9" s="89">
        <f>'Detailed Summary'!AS23</f>
        <v>3</v>
      </c>
      <c r="L9" s="39">
        <f>'Detailed Summary'!AU23</f>
        <v>25.5</v>
      </c>
      <c r="M9" s="87">
        <f>'Detailed Summary'!AV23</f>
        <v>3.75</v>
      </c>
      <c r="N9" s="76" t="str">
        <f>'Detailed Summary'!BF23</f>
        <v>Pass</v>
      </c>
      <c r="O9" s="87">
        <f>'Detailed Summary'!AW23</f>
        <v>4.25</v>
      </c>
      <c r="P9" s="107">
        <f>'Detailed Summary'!BG23</f>
        <v>1</v>
      </c>
    </row>
    <row r="10" spans="1:16" hidden="1" x14ac:dyDescent="0.35">
      <c r="A10" s="105">
        <v>1</v>
      </c>
      <c r="B10" s="105">
        <f>'Student Basic Info'!A9</f>
        <v>508</v>
      </c>
      <c r="C10" s="106" t="str">
        <f>'Student Basic Info'!C9</f>
        <v>Suraiya Aktar</v>
      </c>
      <c r="D10" s="89">
        <f>'Detailed Summary'!AK9</f>
        <v>3</v>
      </c>
      <c r="E10" s="89">
        <f>'Detailed Summary'!AL9</f>
        <v>1</v>
      </c>
      <c r="F10" s="89">
        <f>'Detailed Summary'!AM9</f>
        <v>3</v>
      </c>
      <c r="G10" s="89">
        <f>'Detailed Summary'!AN9</f>
        <v>3</v>
      </c>
      <c r="H10" s="89">
        <f>'Detailed Summary'!AO9</f>
        <v>3</v>
      </c>
      <c r="I10" s="89">
        <f>'Detailed Summary'!AP9</f>
        <v>3</v>
      </c>
      <c r="J10" s="89">
        <f>'Detailed Summary'!AR9</f>
        <v>0</v>
      </c>
      <c r="K10" s="89">
        <f>'Detailed Summary'!AS9</f>
        <v>0</v>
      </c>
      <c r="L10" s="39">
        <f>'Detailed Summary'!AU9</f>
        <v>16</v>
      </c>
      <c r="M10" s="87">
        <f>'Detailed Summary'!AV9</f>
        <v>2.6666666666666665</v>
      </c>
      <c r="N10" s="76" t="str">
        <f>'Detailed Summary'!BF9</f>
        <v>Pass</v>
      </c>
      <c r="O10" s="87">
        <f>'Detailed Summary'!AW9</f>
        <v>2.6666666666666665</v>
      </c>
      <c r="P10" s="107">
        <f>'Detailed Summary'!BG9</f>
        <v>7</v>
      </c>
    </row>
    <row r="11" spans="1:16" ht="18.5" hidden="1" x14ac:dyDescent="0.45">
      <c r="A11" s="102"/>
      <c r="B11" s="88">
        <f>'Student Basic Info'!A10</f>
        <v>509</v>
      </c>
      <c r="C11" s="86" t="str">
        <f>'Student Basic Info'!C10</f>
        <v>Muntasir Ahamml Siyam</v>
      </c>
      <c r="D11" s="89">
        <f>'Detailed Summary'!AK10</f>
        <v>1</v>
      </c>
      <c r="E11" s="89">
        <f>'Detailed Summary'!AL10</f>
        <v>0</v>
      </c>
      <c r="F11" s="89">
        <f>'Detailed Summary'!AM10</f>
        <v>0</v>
      </c>
      <c r="G11" s="89">
        <f>'Detailed Summary'!AN10</f>
        <v>0</v>
      </c>
      <c r="H11" s="89">
        <f>'Detailed Summary'!AO10</f>
        <v>0</v>
      </c>
      <c r="I11" s="89">
        <f>'Detailed Summary'!AP10</f>
        <v>0</v>
      </c>
      <c r="J11" s="89">
        <f>'Detailed Summary'!AR10</f>
        <v>1</v>
      </c>
      <c r="K11" s="89">
        <f>'Detailed Summary'!AS10</f>
        <v>0</v>
      </c>
      <c r="L11" s="39">
        <f>'Detailed Summary'!AU10</f>
        <v>1</v>
      </c>
      <c r="M11" s="87" t="str">
        <f>'Detailed Summary'!AV10</f>
        <v/>
      </c>
      <c r="N11" s="3" t="str">
        <f>'Detailed Summary'!BF10</f>
        <v>Failed in 5 Subjects</v>
      </c>
      <c r="O11" s="87" t="str">
        <f>'Detailed Summary'!AW10</f>
        <v/>
      </c>
      <c r="P11" s="5" t="str">
        <f>'Detailed Summary'!BG10</f>
        <v/>
      </c>
    </row>
    <row r="12" spans="1:16" ht="18.5" hidden="1" x14ac:dyDescent="0.45">
      <c r="A12" s="102"/>
      <c r="B12" s="88">
        <f>'Student Basic Info'!A11</f>
        <v>510</v>
      </c>
      <c r="C12" s="86" t="str">
        <f>'Student Basic Info'!C11</f>
        <v>Tanbir Ahammed Alif</v>
      </c>
      <c r="D12" s="89" t="str">
        <f>'Detailed Summary'!AK11</f>
        <v/>
      </c>
      <c r="E12" s="89" t="str">
        <f>'Detailed Summary'!AL11</f>
        <v/>
      </c>
      <c r="F12" s="89" t="str">
        <f>'Detailed Summary'!AM11</f>
        <v/>
      </c>
      <c r="G12" s="89" t="str">
        <f>'Detailed Summary'!AN11</f>
        <v/>
      </c>
      <c r="H12" s="89" t="str">
        <f>'Detailed Summary'!AO11</f>
        <v/>
      </c>
      <c r="I12" s="89" t="str">
        <f>'Detailed Summary'!AP11</f>
        <v/>
      </c>
      <c r="J12" s="89" t="str">
        <f>'Detailed Summary'!AR11</f>
        <v/>
      </c>
      <c r="K12" s="89" t="str">
        <f>'Detailed Summary'!AS11</f>
        <v/>
      </c>
      <c r="L12" s="39">
        <f>'Detailed Summary'!AU11</f>
        <v>0</v>
      </c>
      <c r="M12" s="87" t="str">
        <f>'Detailed Summary'!AV11</f>
        <v/>
      </c>
      <c r="N12" s="3" t="str">
        <f>'Detailed Summary'!BF11</f>
        <v>Failed in 6 Subjects</v>
      </c>
      <c r="O12" s="87" t="str">
        <f>'Detailed Summary'!AW11</f>
        <v/>
      </c>
      <c r="P12" s="5" t="str">
        <f>'Detailed Summary'!BG11</f>
        <v/>
      </c>
    </row>
    <row r="13" spans="1:16" ht="18.5" hidden="1" x14ac:dyDescent="0.45">
      <c r="A13" s="102"/>
      <c r="B13" s="88">
        <f>'Student Basic Info'!A12</f>
        <v>511</v>
      </c>
      <c r="C13" s="86" t="str">
        <f>'Student Basic Info'!C12</f>
        <v xml:space="preserve">Asifuz Zaman </v>
      </c>
      <c r="D13" s="89">
        <f>'Detailed Summary'!AK12</f>
        <v>2</v>
      </c>
      <c r="E13" s="89">
        <f>'Detailed Summary'!AL12</f>
        <v>0</v>
      </c>
      <c r="F13" s="89">
        <f>'Detailed Summary'!AM12</f>
        <v>0</v>
      </c>
      <c r="G13" s="89">
        <f>'Detailed Summary'!AN12</f>
        <v>1</v>
      </c>
      <c r="H13" s="89">
        <f>'Detailed Summary'!AO12</f>
        <v>0</v>
      </c>
      <c r="I13" s="89">
        <f>'Detailed Summary'!AP12</f>
        <v>1</v>
      </c>
      <c r="J13" s="89">
        <f>'Detailed Summary'!AR12</f>
        <v>0</v>
      </c>
      <c r="K13" s="89">
        <f>'Detailed Summary'!AS12</f>
        <v>0</v>
      </c>
      <c r="L13" s="39">
        <f>'Detailed Summary'!AU12</f>
        <v>4</v>
      </c>
      <c r="M13" s="87" t="str">
        <f>'Detailed Summary'!AV12</f>
        <v/>
      </c>
      <c r="N13" s="3" t="str">
        <f>'Detailed Summary'!BF12</f>
        <v>Failed in 3 Subjects</v>
      </c>
      <c r="O13" s="87" t="str">
        <f>'Detailed Summary'!AW12</f>
        <v/>
      </c>
      <c r="P13" s="5" t="str">
        <f>'Detailed Summary'!BG12</f>
        <v/>
      </c>
    </row>
    <row r="14" spans="1:16" ht="18.5" hidden="1" x14ac:dyDescent="0.45">
      <c r="A14" s="102"/>
      <c r="B14" s="88">
        <f>'Student Basic Info'!A13</f>
        <v>512</v>
      </c>
      <c r="C14" s="86" t="str">
        <f>'Student Basic Info'!C13</f>
        <v>Md. Arfatuzzaman</v>
      </c>
      <c r="D14" s="89">
        <f>'Detailed Summary'!AK13</f>
        <v>1</v>
      </c>
      <c r="E14" s="89">
        <f>'Detailed Summary'!AL13</f>
        <v>0</v>
      </c>
      <c r="F14" s="89">
        <f>'Detailed Summary'!AM13</f>
        <v>0</v>
      </c>
      <c r="G14" s="89">
        <f>'Detailed Summary'!AN13</f>
        <v>0</v>
      </c>
      <c r="H14" s="89">
        <f>'Detailed Summary'!AO13</f>
        <v>1</v>
      </c>
      <c r="I14" s="89">
        <f>'Detailed Summary'!AP13</f>
        <v>0</v>
      </c>
      <c r="J14" s="89">
        <f>'Detailed Summary'!AR13</f>
        <v>1</v>
      </c>
      <c r="K14" s="89">
        <f>'Detailed Summary'!AS13</f>
        <v>0</v>
      </c>
      <c r="L14" s="39">
        <f>'Detailed Summary'!AU13</f>
        <v>2</v>
      </c>
      <c r="M14" s="87" t="str">
        <f>'Detailed Summary'!AV13</f>
        <v/>
      </c>
      <c r="N14" s="3" t="str">
        <f>'Detailed Summary'!BF13</f>
        <v>Failed in 4 Subjects</v>
      </c>
      <c r="O14" s="87" t="str">
        <f>'Detailed Summary'!AW13</f>
        <v/>
      </c>
      <c r="P14" s="5" t="str">
        <f>'Detailed Summary'!BG13</f>
        <v/>
      </c>
    </row>
    <row r="15" spans="1:16" ht="18.5" hidden="1" x14ac:dyDescent="0.45">
      <c r="A15" s="102"/>
      <c r="B15" s="88">
        <f>'Student Basic Info'!A14</f>
        <v>513</v>
      </c>
      <c r="C15" s="86" t="str">
        <f>'Student Basic Info'!C14</f>
        <v>Meherab Hosain</v>
      </c>
      <c r="D15" s="89">
        <f>'Detailed Summary'!AK14</f>
        <v>1</v>
      </c>
      <c r="E15" s="89">
        <f>'Detailed Summary'!AL14</f>
        <v>0</v>
      </c>
      <c r="F15" s="89">
        <f>'Detailed Summary'!AM14</f>
        <v>0</v>
      </c>
      <c r="G15" s="89">
        <f>'Detailed Summary'!AN14</f>
        <v>1</v>
      </c>
      <c r="H15" s="89">
        <f>'Detailed Summary'!AO14</f>
        <v>2</v>
      </c>
      <c r="I15" s="89">
        <f>'Detailed Summary'!AP14</f>
        <v>0</v>
      </c>
      <c r="J15" s="89">
        <f>'Detailed Summary'!AR14</f>
        <v>1</v>
      </c>
      <c r="K15" s="89">
        <f>'Detailed Summary'!AS14</f>
        <v>0</v>
      </c>
      <c r="L15" s="39">
        <f>'Detailed Summary'!AU14</f>
        <v>4</v>
      </c>
      <c r="M15" s="87" t="str">
        <f>'Detailed Summary'!AV14</f>
        <v/>
      </c>
      <c r="N15" s="3" t="str">
        <f>'Detailed Summary'!BF14</f>
        <v>Failed in 3 Subjects</v>
      </c>
      <c r="O15" s="87" t="str">
        <f>'Detailed Summary'!AW14</f>
        <v/>
      </c>
      <c r="P15" s="5" t="str">
        <f>'Detailed Summary'!BG14</f>
        <v/>
      </c>
    </row>
    <row r="16" spans="1:16" ht="18.5" hidden="1" x14ac:dyDescent="0.45">
      <c r="A16" s="102"/>
      <c r="B16" s="88">
        <f>'Student Basic Info'!A15</f>
        <v>514</v>
      </c>
      <c r="C16" s="86" t="str">
        <f>'Student Basic Info'!C15</f>
        <v>Amirul Islam</v>
      </c>
      <c r="D16" s="89" t="str">
        <f>'Detailed Summary'!AK15</f>
        <v/>
      </c>
      <c r="E16" s="89" t="str">
        <f>'Detailed Summary'!AL15</f>
        <v/>
      </c>
      <c r="F16" s="89" t="str">
        <f>'Detailed Summary'!AM15</f>
        <v/>
      </c>
      <c r="G16" s="89" t="str">
        <f>'Detailed Summary'!AN15</f>
        <v/>
      </c>
      <c r="H16" s="89" t="str">
        <f>'Detailed Summary'!AO15</f>
        <v/>
      </c>
      <c r="I16" s="89" t="str">
        <f>'Detailed Summary'!AP15</f>
        <v/>
      </c>
      <c r="J16" s="89" t="str">
        <f>'Detailed Summary'!AR15</f>
        <v/>
      </c>
      <c r="K16" s="89" t="str">
        <f>'Detailed Summary'!AS15</f>
        <v/>
      </c>
      <c r="L16" s="39">
        <f>'Detailed Summary'!AU15</f>
        <v>0</v>
      </c>
      <c r="M16" s="87" t="str">
        <f>'Detailed Summary'!AV15</f>
        <v/>
      </c>
      <c r="N16" s="3" t="str">
        <f>'Detailed Summary'!BF15</f>
        <v>Failed in 6 Subjects</v>
      </c>
      <c r="O16" s="87" t="str">
        <f>'Detailed Summary'!AW15</f>
        <v/>
      </c>
      <c r="P16" s="5" t="str">
        <f>'Detailed Summary'!BG15</f>
        <v/>
      </c>
    </row>
    <row r="17" spans="1:16" ht="18.5" x14ac:dyDescent="0.45">
      <c r="A17" s="102"/>
      <c r="B17" s="88">
        <f>'Student Basic Info'!A16</f>
        <v>515</v>
      </c>
      <c r="C17" s="86" t="str">
        <f>'Student Basic Info'!C16</f>
        <v>Bibi Amena Begum Sraboni</v>
      </c>
      <c r="D17" s="89">
        <f>'Detailed Summary'!AK16</f>
        <v>3.5</v>
      </c>
      <c r="E17" s="89">
        <f>'Detailed Summary'!AL16</f>
        <v>1</v>
      </c>
      <c r="F17" s="89">
        <f>'Detailed Summary'!AM16</f>
        <v>3</v>
      </c>
      <c r="G17" s="89">
        <f>'Detailed Summary'!AN16</f>
        <v>3</v>
      </c>
      <c r="H17" s="89">
        <f>'Detailed Summary'!AO16</f>
        <v>0</v>
      </c>
      <c r="I17" s="89">
        <f>'Detailed Summary'!AP16</f>
        <v>1</v>
      </c>
      <c r="J17" s="89">
        <f>'Detailed Summary'!AR16</f>
        <v>0</v>
      </c>
      <c r="K17" s="89">
        <f>'Detailed Summary'!AS16</f>
        <v>0</v>
      </c>
      <c r="L17" s="39">
        <f>'Detailed Summary'!AU16</f>
        <v>11.5</v>
      </c>
      <c r="M17" s="87" t="str">
        <f>'Detailed Summary'!AV16</f>
        <v/>
      </c>
      <c r="N17" s="3" t="str">
        <f>'Detailed Summary'!BF16</f>
        <v>Failed in 1 Subject</v>
      </c>
      <c r="O17" s="87" t="str">
        <f>'Detailed Summary'!AW16</f>
        <v/>
      </c>
      <c r="P17" s="5" t="str">
        <f>'Detailed Summary'!BG16</f>
        <v/>
      </c>
    </row>
    <row r="18" spans="1:16" hidden="1" x14ac:dyDescent="0.35">
      <c r="A18" s="105">
        <v>2</v>
      </c>
      <c r="B18" s="105">
        <f>'Student Basic Info'!A29</f>
        <v>528</v>
      </c>
      <c r="C18" s="106" t="str">
        <f>'Student Basic Info'!C29</f>
        <v>Mazhar Uddin</v>
      </c>
      <c r="D18" s="89">
        <f>'Detailed Summary'!AK29</f>
        <v>3.5</v>
      </c>
      <c r="E18" s="89">
        <f>'Detailed Summary'!AL29</f>
        <v>2</v>
      </c>
      <c r="F18" s="89">
        <f>'Detailed Summary'!AM29</f>
        <v>4</v>
      </c>
      <c r="G18" s="89">
        <f>'Detailed Summary'!AN29</f>
        <v>3</v>
      </c>
      <c r="H18" s="89">
        <f>'Detailed Summary'!AO29</f>
        <v>3</v>
      </c>
      <c r="I18" s="89">
        <f>'Detailed Summary'!AP29</f>
        <v>2</v>
      </c>
      <c r="J18" s="89">
        <f>'Detailed Summary'!AR29</f>
        <v>3.5</v>
      </c>
      <c r="K18" s="89">
        <f>'Detailed Summary'!AS29</f>
        <v>1.5</v>
      </c>
      <c r="L18" s="39">
        <f>'Detailed Summary'!AU29</f>
        <v>19</v>
      </c>
      <c r="M18" s="87">
        <f>'Detailed Summary'!AV29</f>
        <v>2.9166666666666665</v>
      </c>
      <c r="N18" s="76" t="str">
        <f>'Detailed Summary'!BF29</f>
        <v>Pass</v>
      </c>
      <c r="O18" s="87">
        <f>'Detailed Summary'!AW29</f>
        <v>3.1666666666666665</v>
      </c>
      <c r="P18" s="107">
        <f>'Detailed Summary'!BG29</f>
        <v>2</v>
      </c>
    </row>
    <row r="19" spans="1:16" ht="18.5" hidden="1" x14ac:dyDescent="0.45">
      <c r="A19" s="102"/>
      <c r="B19" s="88">
        <f>'Student Basic Info'!A18</f>
        <v>517</v>
      </c>
      <c r="C19" s="86" t="str">
        <f>'Student Basic Info'!C18</f>
        <v>Imam Hosain Apurbo</v>
      </c>
      <c r="D19" s="89" t="str">
        <f>'Detailed Summary'!AK18</f>
        <v/>
      </c>
      <c r="E19" s="89" t="str">
        <f>'Detailed Summary'!AL18</f>
        <v/>
      </c>
      <c r="F19" s="89" t="str">
        <f>'Detailed Summary'!AM18</f>
        <v/>
      </c>
      <c r="G19" s="89" t="str">
        <f>'Detailed Summary'!AN18</f>
        <v/>
      </c>
      <c r="H19" s="89" t="str">
        <f>'Detailed Summary'!AO18</f>
        <v/>
      </c>
      <c r="I19" s="89" t="str">
        <f>'Detailed Summary'!AP18</f>
        <v/>
      </c>
      <c r="J19" s="89" t="str">
        <f>'Detailed Summary'!AR18</f>
        <v/>
      </c>
      <c r="K19" s="89" t="str">
        <f>'Detailed Summary'!AS18</f>
        <v/>
      </c>
      <c r="L19" s="39">
        <f>'Detailed Summary'!AU18</f>
        <v>0</v>
      </c>
      <c r="M19" s="87" t="str">
        <f>'Detailed Summary'!AV18</f>
        <v/>
      </c>
      <c r="N19" s="3" t="str">
        <f>'Detailed Summary'!BF18</f>
        <v>Failed in 6 Subjects</v>
      </c>
      <c r="O19" s="87" t="str">
        <f>'Detailed Summary'!AW18</f>
        <v/>
      </c>
      <c r="P19" s="5" t="str">
        <f>'Detailed Summary'!BG18</f>
        <v/>
      </c>
    </row>
    <row r="20" spans="1:16" ht="18.5" hidden="1" x14ac:dyDescent="0.45">
      <c r="A20" s="102"/>
      <c r="B20" s="88">
        <f>'Student Basic Info'!A19</f>
        <v>518</v>
      </c>
      <c r="C20" s="86" t="str">
        <f>'Student Basic Info'!C19</f>
        <v>Mowasser Hosain</v>
      </c>
      <c r="D20" s="89" t="str">
        <f>'Detailed Summary'!AK19</f>
        <v/>
      </c>
      <c r="E20" s="89" t="str">
        <f>'Detailed Summary'!AL19</f>
        <v/>
      </c>
      <c r="F20" s="89" t="str">
        <f>'Detailed Summary'!AM19</f>
        <v/>
      </c>
      <c r="G20" s="89" t="str">
        <f>'Detailed Summary'!AN19</f>
        <v/>
      </c>
      <c r="H20" s="89" t="str">
        <f>'Detailed Summary'!AO19</f>
        <v/>
      </c>
      <c r="I20" s="89" t="str">
        <f>'Detailed Summary'!AP19</f>
        <v/>
      </c>
      <c r="J20" s="89" t="str">
        <f>'Detailed Summary'!AR19</f>
        <v/>
      </c>
      <c r="K20" s="89" t="str">
        <f>'Detailed Summary'!AS19</f>
        <v/>
      </c>
      <c r="L20" s="39">
        <f>'Detailed Summary'!AU19</f>
        <v>0</v>
      </c>
      <c r="M20" s="87" t="str">
        <f>'Detailed Summary'!AV19</f>
        <v/>
      </c>
      <c r="N20" s="3" t="str">
        <f>'Detailed Summary'!BF19</f>
        <v>Failed in 6 Subjects</v>
      </c>
      <c r="O20" s="87" t="str">
        <f>'Detailed Summary'!AW19</f>
        <v/>
      </c>
      <c r="P20" s="5" t="str">
        <f>'Detailed Summary'!BG19</f>
        <v/>
      </c>
    </row>
    <row r="21" spans="1:16" hidden="1" x14ac:dyDescent="0.35">
      <c r="A21" s="76">
        <v>1</v>
      </c>
      <c r="B21" s="76">
        <f>'Student Basic Info'!A20</f>
        <v>519</v>
      </c>
      <c r="C21" s="108" t="str">
        <f>'Student Basic Info'!C20</f>
        <v>Tanvir</v>
      </c>
      <c r="D21" s="89">
        <f>'Detailed Summary'!AK20</f>
        <v>1</v>
      </c>
      <c r="E21" s="89">
        <f>'Detailed Summary'!AL20</f>
        <v>1</v>
      </c>
      <c r="F21" s="89">
        <f>'Detailed Summary'!AM20</f>
        <v>3</v>
      </c>
      <c r="G21" s="89">
        <f>'Detailed Summary'!AN20</f>
        <v>3</v>
      </c>
      <c r="H21" s="89">
        <f>'Detailed Summary'!AO20</f>
        <v>3</v>
      </c>
      <c r="I21" s="89">
        <f>'Detailed Summary'!AP20</f>
        <v>0</v>
      </c>
      <c r="J21" s="89">
        <f>'Detailed Summary'!AR20</f>
        <v>2</v>
      </c>
      <c r="K21" s="89">
        <f>'Detailed Summary'!AS20</f>
        <v>0</v>
      </c>
      <c r="L21" s="39">
        <f>'Detailed Summary'!AU20</f>
        <v>11</v>
      </c>
      <c r="M21" s="87" t="str">
        <f>'Detailed Summary'!AV20</f>
        <v/>
      </c>
      <c r="N21" s="76" t="str">
        <f>'Detailed Summary'!BF20</f>
        <v>Failed in 1 Subject</v>
      </c>
      <c r="O21" s="87" t="str">
        <f>'Detailed Summary'!AW20</f>
        <v/>
      </c>
      <c r="P21" s="107" t="str">
        <f>'Detailed Summary'!BG20</f>
        <v/>
      </c>
    </row>
    <row r="22" spans="1:16" ht="18.5" hidden="1" x14ac:dyDescent="0.45">
      <c r="A22" s="102"/>
      <c r="B22" s="88">
        <f>'Student Basic Info'!A21</f>
        <v>520</v>
      </c>
      <c r="C22" s="86" t="str">
        <f>'Student Basic Info'!C21</f>
        <v>Md. Shakib</v>
      </c>
      <c r="D22" s="89">
        <f>'Detailed Summary'!AK21</f>
        <v>0</v>
      </c>
      <c r="E22" s="89">
        <f>'Detailed Summary'!AL21</f>
        <v>0</v>
      </c>
      <c r="F22" s="89">
        <f>'Detailed Summary'!AM21</f>
        <v>0</v>
      </c>
      <c r="G22" s="89">
        <f>'Detailed Summary'!AN21</f>
        <v>0</v>
      </c>
      <c r="H22" s="89">
        <f>'Detailed Summary'!AO21</f>
        <v>0</v>
      </c>
      <c r="I22" s="89">
        <f>'Detailed Summary'!AP21</f>
        <v>1</v>
      </c>
      <c r="J22" s="89">
        <f>'Detailed Summary'!AR21</f>
        <v>0</v>
      </c>
      <c r="K22" s="89">
        <f>'Detailed Summary'!AS21</f>
        <v>0</v>
      </c>
      <c r="L22" s="39">
        <f>'Detailed Summary'!AU21</f>
        <v>1</v>
      </c>
      <c r="M22" s="87" t="str">
        <f>'Detailed Summary'!AV21</f>
        <v/>
      </c>
      <c r="N22" s="3" t="str">
        <f>'Detailed Summary'!BF21</f>
        <v>Failed in 5 Subjects</v>
      </c>
      <c r="O22" s="87" t="str">
        <f>'Detailed Summary'!AW21</f>
        <v/>
      </c>
      <c r="P22" s="5" t="str">
        <f>'Detailed Summary'!BG21</f>
        <v/>
      </c>
    </row>
    <row r="23" spans="1:16" ht="18.5" hidden="1" x14ac:dyDescent="0.45">
      <c r="A23" s="102"/>
      <c r="B23" s="88">
        <f>'Student Basic Info'!A22</f>
        <v>521</v>
      </c>
      <c r="C23" s="86" t="str">
        <f>'Student Basic Info'!C22</f>
        <v>Farzana Aktar Zitu</v>
      </c>
      <c r="D23" s="89" t="str">
        <f>'Detailed Summary'!AK22</f>
        <v/>
      </c>
      <c r="E23" s="89" t="str">
        <f>'Detailed Summary'!AL22</f>
        <v/>
      </c>
      <c r="F23" s="89" t="str">
        <f>'Detailed Summary'!AM22</f>
        <v/>
      </c>
      <c r="G23" s="89" t="str">
        <f>'Detailed Summary'!AN22</f>
        <v/>
      </c>
      <c r="H23" s="89" t="str">
        <f>'Detailed Summary'!AO22</f>
        <v/>
      </c>
      <c r="I23" s="89" t="str">
        <f>'Detailed Summary'!AP22</f>
        <v/>
      </c>
      <c r="J23" s="89" t="str">
        <f>'Detailed Summary'!AR22</f>
        <v/>
      </c>
      <c r="K23" s="89" t="str">
        <f>'Detailed Summary'!AS22</f>
        <v/>
      </c>
      <c r="L23" s="39">
        <f>'Detailed Summary'!AU22</f>
        <v>0</v>
      </c>
      <c r="M23" s="87" t="str">
        <f>'Detailed Summary'!AV22</f>
        <v/>
      </c>
      <c r="N23" s="3" t="str">
        <f>'Detailed Summary'!BF22</f>
        <v>Failed in 6 Subjects</v>
      </c>
      <c r="O23" s="87" t="str">
        <f>'Detailed Summary'!AW22</f>
        <v/>
      </c>
      <c r="P23" s="5" t="str">
        <f>'Detailed Summary'!BG22</f>
        <v/>
      </c>
    </row>
    <row r="24" spans="1:16" hidden="1" x14ac:dyDescent="0.35">
      <c r="A24" s="105">
        <v>3</v>
      </c>
      <c r="B24" s="105">
        <f>'Student Basic Info'!A17</f>
        <v>516</v>
      </c>
      <c r="C24" s="106" t="str">
        <f>'Student Basic Info'!C17</f>
        <v>Zannatul Nayem</v>
      </c>
      <c r="D24" s="89">
        <f>'Detailed Summary'!AK17</f>
        <v>3.5</v>
      </c>
      <c r="E24" s="89">
        <f>'Detailed Summary'!AL17</f>
        <v>2</v>
      </c>
      <c r="F24" s="89">
        <f>'Detailed Summary'!AM17</f>
        <v>4</v>
      </c>
      <c r="G24" s="89">
        <f>'Detailed Summary'!AN17</f>
        <v>3</v>
      </c>
      <c r="H24" s="89">
        <f>'Detailed Summary'!AO17</f>
        <v>3.5</v>
      </c>
      <c r="I24" s="89">
        <f>'Detailed Summary'!AP17</f>
        <v>1</v>
      </c>
      <c r="J24" s="89">
        <f>'Detailed Summary'!AR17</f>
        <v>4</v>
      </c>
      <c r="K24" s="89">
        <f>'Detailed Summary'!AS17</f>
        <v>2</v>
      </c>
      <c r="L24" s="39">
        <f>'Detailed Summary'!AU17</f>
        <v>19</v>
      </c>
      <c r="M24" s="87">
        <f>'Detailed Summary'!AV17</f>
        <v>2.8333333333333335</v>
      </c>
      <c r="N24" s="76" t="str">
        <f>'Detailed Summary'!BF17</f>
        <v>Pass</v>
      </c>
      <c r="O24" s="87">
        <f>'Detailed Summary'!AW17</f>
        <v>3.1666666666666665</v>
      </c>
      <c r="P24" s="107">
        <f>'Detailed Summary'!BG17</f>
        <v>2</v>
      </c>
    </row>
    <row r="25" spans="1:16" ht="18.5" x14ac:dyDescent="0.45">
      <c r="A25" s="102"/>
      <c r="B25" s="88">
        <f>'Student Basic Info'!A24</f>
        <v>523</v>
      </c>
      <c r="C25" s="86" t="str">
        <f>'Student Basic Info'!C24</f>
        <v>Zannatul Mawa Prema</v>
      </c>
      <c r="D25" s="89">
        <f>'Detailed Summary'!AK24</f>
        <v>2</v>
      </c>
      <c r="E25" s="89">
        <f>'Detailed Summary'!AL24</f>
        <v>1</v>
      </c>
      <c r="F25" s="89">
        <f>'Detailed Summary'!AM24</f>
        <v>0</v>
      </c>
      <c r="G25" s="89">
        <f>'Detailed Summary'!AN24</f>
        <v>0</v>
      </c>
      <c r="H25" s="89">
        <f>'Detailed Summary'!AO24</f>
        <v>0</v>
      </c>
      <c r="I25" s="89">
        <f>'Detailed Summary'!AP24</f>
        <v>0</v>
      </c>
      <c r="J25" s="89">
        <f>'Detailed Summary'!AR24</f>
        <v>2</v>
      </c>
      <c r="K25" s="89">
        <f>'Detailed Summary'!AS24</f>
        <v>0</v>
      </c>
      <c r="L25" s="39">
        <f>'Detailed Summary'!AU24</f>
        <v>3</v>
      </c>
      <c r="M25" s="87" t="str">
        <f>'Detailed Summary'!AV24</f>
        <v/>
      </c>
      <c r="N25" s="3" t="str">
        <f>'Detailed Summary'!BF24</f>
        <v>Failed in 4 Subjects</v>
      </c>
      <c r="O25" s="87" t="str">
        <f>'Detailed Summary'!AW24</f>
        <v/>
      </c>
      <c r="P25" s="5" t="str">
        <f>'Detailed Summary'!BG24</f>
        <v/>
      </c>
    </row>
    <row r="26" spans="1:16" hidden="1" x14ac:dyDescent="0.35">
      <c r="A26" s="105">
        <v>2</v>
      </c>
      <c r="B26" s="105">
        <f>'Student Basic Info'!A25</f>
        <v>524</v>
      </c>
      <c r="C26" s="106" t="str">
        <f>'Student Basic Info'!C25</f>
        <v>Zannatul Ferdaus</v>
      </c>
      <c r="D26" s="89">
        <f>'Detailed Summary'!AK25</f>
        <v>3.5</v>
      </c>
      <c r="E26" s="89">
        <f>'Detailed Summary'!AL25</f>
        <v>1</v>
      </c>
      <c r="F26" s="89">
        <f>'Detailed Summary'!AM25</f>
        <v>3</v>
      </c>
      <c r="G26" s="89">
        <f>'Detailed Summary'!AN25</f>
        <v>2</v>
      </c>
      <c r="H26" s="89">
        <f>'Detailed Summary'!AO25</f>
        <v>3</v>
      </c>
      <c r="I26" s="89">
        <f>'Detailed Summary'!AP25</f>
        <v>1</v>
      </c>
      <c r="J26" s="89">
        <f>'Detailed Summary'!AR25</f>
        <v>3.5</v>
      </c>
      <c r="K26" s="89">
        <f>'Detailed Summary'!AS25</f>
        <v>1.5</v>
      </c>
      <c r="L26" s="39">
        <f>'Detailed Summary'!AU25</f>
        <v>15</v>
      </c>
      <c r="M26" s="87">
        <f>'Detailed Summary'!AV25</f>
        <v>2.25</v>
      </c>
      <c r="N26" s="76" t="str">
        <f>'Detailed Summary'!BF25</f>
        <v>Pass</v>
      </c>
      <c r="O26" s="87">
        <f>'Detailed Summary'!AW25</f>
        <v>2.5</v>
      </c>
      <c r="P26" s="107">
        <f>'Detailed Summary'!BG25</f>
        <v>8</v>
      </c>
    </row>
    <row r="27" spans="1:16" ht="18.5" hidden="1" x14ac:dyDescent="0.45">
      <c r="A27" s="102"/>
      <c r="B27" s="88">
        <f>'Student Basic Info'!A26</f>
        <v>525</v>
      </c>
      <c r="C27" s="86" t="str">
        <f>'Student Basic Info'!C26</f>
        <v>Narkis Aktar Nupur</v>
      </c>
      <c r="D27" s="89" t="str">
        <f>'Detailed Summary'!AK26</f>
        <v/>
      </c>
      <c r="E27" s="89" t="str">
        <f>'Detailed Summary'!AL26</f>
        <v/>
      </c>
      <c r="F27" s="89" t="str">
        <f>'Detailed Summary'!AM26</f>
        <v/>
      </c>
      <c r="G27" s="89" t="str">
        <f>'Detailed Summary'!AN26</f>
        <v/>
      </c>
      <c r="H27" s="89" t="str">
        <f>'Detailed Summary'!AO26</f>
        <v/>
      </c>
      <c r="I27" s="89" t="str">
        <f>'Detailed Summary'!AP26</f>
        <v/>
      </c>
      <c r="J27" s="89" t="str">
        <f>'Detailed Summary'!AR26</f>
        <v/>
      </c>
      <c r="K27" s="89" t="str">
        <f>'Detailed Summary'!AS26</f>
        <v/>
      </c>
      <c r="L27" s="39">
        <f>'Detailed Summary'!AU26</f>
        <v>0</v>
      </c>
      <c r="M27" s="87" t="str">
        <f>'Detailed Summary'!AV26</f>
        <v/>
      </c>
      <c r="N27" s="3" t="str">
        <f>'Detailed Summary'!BF26</f>
        <v>Failed in 6 Subjects</v>
      </c>
      <c r="O27" s="87" t="str">
        <f>'Detailed Summary'!AW26</f>
        <v/>
      </c>
      <c r="P27" s="5" t="str">
        <f>'Detailed Summary'!BG26</f>
        <v/>
      </c>
    </row>
    <row r="28" spans="1:16" hidden="1" x14ac:dyDescent="0.35">
      <c r="A28" s="105">
        <v>4</v>
      </c>
      <c r="B28" s="105">
        <f>'Student Basic Info'!A8</f>
        <v>507</v>
      </c>
      <c r="C28" s="106" t="str">
        <f>'Student Basic Info'!C8</f>
        <v>Fariha Islam</v>
      </c>
      <c r="D28" s="89">
        <f>'Detailed Summary'!AK8</f>
        <v>3.5</v>
      </c>
      <c r="E28" s="89">
        <f>'Detailed Summary'!AL8</f>
        <v>2</v>
      </c>
      <c r="F28" s="89">
        <f>'Detailed Summary'!AM8</f>
        <v>4</v>
      </c>
      <c r="G28" s="89">
        <f>'Detailed Summary'!AN8</f>
        <v>2</v>
      </c>
      <c r="H28" s="89">
        <f>'Detailed Summary'!AO8</f>
        <v>3.5</v>
      </c>
      <c r="I28" s="89">
        <f>'Detailed Summary'!AP8</f>
        <v>1</v>
      </c>
      <c r="J28" s="89">
        <f>'Detailed Summary'!AR8</f>
        <v>3.5</v>
      </c>
      <c r="K28" s="89">
        <f>'Detailed Summary'!AS8</f>
        <v>1.5</v>
      </c>
      <c r="L28" s="39">
        <f>'Detailed Summary'!AU8</f>
        <v>17.5</v>
      </c>
      <c r="M28" s="87">
        <f>'Detailed Summary'!AV8</f>
        <v>2.6666666666666665</v>
      </c>
      <c r="N28" s="76" t="str">
        <f>'Detailed Summary'!BF8</f>
        <v>Pass</v>
      </c>
      <c r="O28" s="87">
        <f>'Detailed Summary'!AW8</f>
        <v>2.9166666666666665</v>
      </c>
      <c r="P28" s="5">
        <f>'Detailed Summary'!BG8</f>
        <v>4</v>
      </c>
    </row>
    <row r="29" spans="1:16" ht="18.5" hidden="1" x14ac:dyDescent="0.45">
      <c r="A29" s="102"/>
      <c r="B29" s="88">
        <f>'Student Basic Info'!A28</f>
        <v>527</v>
      </c>
      <c r="C29" s="86" t="str">
        <f>'Student Basic Info'!C28</f>
        <v>Sanzida Aktar</v>
      </c>
      <c r="D29" s="89" t="str">
        <f>'Detailed Summary'!AK28</f>
        <v/>
      </c>
      <c r="E29" s="89" t="str">
        <f>'Detailed Summary'!AL28</f>
        <v/>
      </c>
      <c r="F29" s="89" t="str">
        <f>'Detailed Summary'!AM28</f>
        <v/>
      </c>
      <c r="G29" s="89" t="str">
        <f>'Detailed Summary'!AN28</f>
        <v/>
      </c>
      <c r="H29" s="89" t="str">
        <f>'Detailed Summary'!AO28</f>
        <v/>
      </c>
      <c r="I29" s="89" t="str">
        <f>'Detailed Summary'!AP28</f>
        <v/>
      </c>
      <c r="J29" s="89" t="str">
        <f>'Detailed Summary'!AR28</f>
        <v/>
      </c>
      <c r="K29" s="89" t="str">
        <f>'Detailed Summary'!AS28</f>
        <v/>
      </c>
      <c r="L29" s="39">
        <f>'Detailed Summary'!AU28</f>
        <v>0</v>
      </c>
      <c r="M29" s="87" t="str">
        <f>'Detailed Summary'!AV28</f>
        <v/>
      </c>
      <c r="N29" s="3" t="str">
        <f>'Detailed Summary'!BF28</f>
        <v>Failed in 6 Subjects</v>
      </c>
      <c r="O29" s="87" t="str">
        <f>'Detailed Summary'!AW28</f>
        <v/>
      </c>
      <c r="P29" s="5" t="str">
        <f>'Detailed Summary'!BG28</f>
        <v/>
      </c>
    </row>
    <row r="30" spans="1:16" hidden="1" x14ac:dyDescent="0.35">
      <c r="A30" s="105">
        <v>5</v>
      </c>
      <c r="B30" s="105">
        <f>'Student Basic Info'!A115</f>
        <v>614</v>
      </c>
      <c r="C30" s="106" t="str">
        <f>'Student Basic Info'!C115</f>
        <v>Moumita Tabassum</v>
      </c>
      <c r="D30" s="89">
        <f>'Detailed Summary'!AK115</f>
        <v>3.5</v>
      </c>
      <c r="E30" s="89">
        <f>'Detailed Summary'!AL115</f>
        <v>3.5</v>
      </c>
      <c r="F30" s="89">
        <f>'Detailed Summary'!AM115</f>
        <v>4</v>
      </c>
      <c r="G30" s="89">
        <f>'Detailed Summary'!AN115</f>
        <v>3</v>
      </c>
      <c r="H30" s="89">
        <f>'Detailed Summary'!AO115</f>
        <v>2</v>
      </c>
      <c r="I30" s="89">
        <f>'Detailed Summary'!AP115</f>
        <v>1</v>
      </c>
      <c r="J30" s="89">
        <f>'Detailed Summary'!AR115</f>
        <v>2</v>
      </c>
      <c r="K30" s="89">
        <f>'Detailed Summary'!AS115</f>
        <v>0</v>
      </c>
      <c r="L30" s="39">
        <f>'Detailed Summary'!AU115</f>
        <v>17</v>
      </c>
      <c r="M30" s="87">
        <f>'Detailed Summary'!AV115</f>
        <v>2.8333333333333335</v>
      </c>
      <c r="N30" s="76" t="str">
        <f>'Detailed Summary'!BF115</f>
        <v>Pass</v>
      </c>
      <c r="O30" s="87">
        <f>'Detailed Summary'!AW115</f>
        <v>2.8333333333333335</v>
      </c>
      <c r="P30" s="107">
        <f>'Detailed Summary'!BG115</f>
        <v>5</v>
      </c>
    </row>
    <row r="31" spans="1:16" ht="18.5" hidden="1" x14ac:dyDescent="0.45">
      <c r="A31" s="102"/>
      <c r="B31" s="88">
        <f>'Student Basic Info'!A30</f>
        <v>529</v>
      </c>
      <c r="C31" s="86" t="str">
        <f>'Student Basic Info'!C30</f>
        <v>Nahid Hasan</v>
      </c>
      <c r="D31" s="89">
        <f>'Detailed Summary'!AK30</f>
        <v>0</v>
      </c>
      <c r="E31" s="89">
        <f>'Detailed Summary'!AL30</f>
        <v>0</v>
      </c>
      <c r="F31" s="89">
        <f>'Detailed Summary'!AM30</f>
        <v>0</v>
      </c>
      <c r="G31" s="89">
        <f>'Detailed Summary'!AN30</f>
        <v>0</v>
      </c>
      <c r="H31" s="89">
        <f>'Detailed Summary'!AO30</f>
        <v>0</v>
      </c>
      <c r="I31" s="89">
        <f>'Detailed Summary'!AP30</f>
        <v>0</v>
      </c>
      <c r="J31" s="89">
        <f>'Detailed Summary'!AR30</f>
        <v>0</v>
      </c>
      <c r="K31" s="89">
        <f>'Detailed Summary'!AS30</f>
        <v>0</v>
      </c>
      <c r="L31" s="39">
        <f>'Detailed Summary'!AU30</f>
        <v>0</v>
      </c>
      <c r="M31" s="87" t="str">
        <f>'Detailed Summary'!AV30</f>
        <v/>
      </c>
      <c r="N31" s="3" t="str">
        <f>'Detailed Summary'!BF30</f>
        <v>Failed in 6 Subjects</v>
      </c>
      <c r="O31" s="87" t="str">
        <f>'Detailed Summary'!AW30</f>
        <v/>
      </c>
      <c r="P31" s="5" t="str">
        <f>'Detailed Summary'!BG30</f>
        <v/>
      </c>
    </row>
    <row r="32" spans="1:16" ht="18.5" hidden="1" x14ac:dyDescent="0.45">
      <c r="A32" s="102"/>
      <c r="B32" s="88">
        <f>'Student Basic Info'!A31</f>
        <v>530</v>
      </c>
      <c r="C32" s="86" t="str">
        <f>'Student Basic Info'!C31</f>
        <v>Mahmud Hasan Fuad</v>
      </c>
      <c r="D32" s="89" t="str">
        <f>'Detailed Summary'!AK31</f>
        <v/>
      </c>
      <c r="E32" s="89" t="str">
        <f>'Detailed Summary'!AL31</f>
        <v/>
      </c>
      <c r="F32" s="89" t="str">
        <f>'Detailed Summary'!AM31</f>
        <v/>
      </c>
      <c r="G32" s="89" t="str">
        <f>'Detailed Summary'!AN31</f>
        <v/>
      </c>
      <c r="H32" s="89" t="str">
        <f>'Detailed Summary'!AO31</f>
        <v/>
      </c>
      <c r="I32" s="89" t="str">
        <f>'Detailed Summary'!AP31</f>
        <v/>
      </c>
      <c r="J32" s="89" t="str">
        <f>'Detailed Summary'!AR31</f>
        <v/>
      </c>
      <c r="K32" s="89" t="str">
        <f>'Detailed Summary'!AS31</f>
        <v/>
      </c>
      <c r="L32" s="39">
        <f>'Detailed Summary'!AU31</f>
        <v>0</v>
      </c>
      <c r="M32" s="87" t="str">
        <f>'Detailed Summary'!AV31</f>
        <v/>
      </c>
      <c r="N32" s="3" t="str">
        <f>'Detailed Summary'!BF31</f>
        <v>Failed in 6 Subjects</v>
      </c>
      <c r="O32" s="87" t="str">
        <f>'Detailed Summary'!AW31</f>
        <v/>
      </c>
      <c r="P32" s="5" t="str">
        <f>'Detailed Summary'!BG31</f>
        <v/>
      </c>
    </row>
    <row r="33" spans="1:16" ht="18.5" hidden="1" x14ac:dyDescent="0.45">
      <c r="A33" s="102"/>
      <c r="B33" s="88">
        <f>'Student Basic Info'!A32</f>
        <v>531</v>
      </c>
      <c r="C33" s="86" t="str">
        <f>'Student Basic Info'!C32</f>
        <v>Zabeb Hosain</v>
      </c>
      <c r="D33" s="89">
        <f>'Detailed Summary'!AK32</f>
        <v>1</v>
      </c>
      <c r="E33" s="89">
        <f>'Detailed Summary'!AL32</f>
        <v>0</v>
      </c>
      <c r="F33" s="89">
        <f>'Detailed Summary'!AM32</f>
        <v>0</v>
      </c>
      <c r="G33" s="89">
        <f>'Detailed Summary'!AN32</f>
        <v>0</v>
      </c>
      <c r="H33" s="89">
        <f>'Detailed Summary'!AO32</f>
        <v>0</v>
      </c>
      <c r="I33" s="89">
        <f>'Detailed Summary'!AP32</f>
        <v>0</v>
      </c>
      <c r="J33" s="89">
        <f>'Detailed Summary'!AR32</f>
        <v>2</v>
      </c>
      <c r="K33" s="89">
        <f>'Detailed Summary'!AS32</f>
        <v>0</v>
      </c>
      <c r="L33" s="39">
        <f>'Detailed Summary'!AU32</f>
        <v>1</v>
      </c>
      <c r="M33" s="87" t="str">
        <f>'Detailed Summary'!AV32</f>
        <v/>
      </c>
      <c r="N33" s="3" t="str">
        <f>'Detailed Summary'!BF32</f>
        <v>Failed in 5 Subjects</v>
      </c>
      <c r="O33" s="87" t="str">
        <f>'Detailed Summary'!AW32</f>
        <v/>
      </c>
      <c r="P33" s="5" t="str">
        <f>'Detailed Summary'!BG32</f>
        <v/>
      </c>
    </row>
    <row r="34" spans="1:16" ht="18.5" hidden="1" x14ac:dyDescent="0.45">
      <c r="A34" s="102"/>
      <c r="B34" s="88">
        <f>'Student Basic Info'!A33</f>
        <v>532</v>
      </c>
      <c r="C34" s="86" t="str">
        <f>'Student Basic Info'!C33</f>
        <v>Shahinur Islam</v>
      </c>
      <c r="D34" s="89" t="str">
        <f>'Detailed Summary'!AK33</f>
        <v/>
      </c>
      <c r="E34" s="89" t="str">
        <f>'Detailed Summary'!AL33</f>
        <v/>
      </c>
      <c r="F34" s="89" t="str">
        <f>'Detailed Summary'!AM33</f>
        <v/>
      </c>
      <c r="G34" s="89" t="str">
        <f>'Detailed Summary'!AN33</f>
        <v/>
      </c>
      <c r="H34" s="89" t="str">
        <f>'Detailed Summary'!AO33</f>
        <v/>
      </c>
      <c r="I34" s="89" t="str">
        <f>'Detailed Summary'!AP33</f>
        <v/>
      </c>
      <c r="J34" s="89" t="str">
        <f>'Detailed Summary'!AR33</f>
        <v/>
      </c>
      <c r="K34" s="89" t="str">
        <f>'Detailed Summary'!AS33</f>
        <v/>
      </c>
      <c r="L34" s="39">
        <f>'Detailed Summary'!AU33</f>
        <v>0</v>
      </c>
      <c r="M34" s="87" t="str">
        <f>'Detailed Summary'!AV33</f>
        <v/>
      </c>
      <c r="N34" s="3" t="str">
        <f>'Detailed Summary'!BF33</f>
        <v>Failed in 6 Subjects</v>
      </c>
      <c r="O34" s="87" t="str">
        <f>'Detailed Summary'!AW33</f>
        <v/>
      </c>
      <c r="P34" s="5" t="str">
        <f>'Detailed Summary'!BG33</f>
        <v/>
      </c>
    </row>
    <row r="35" spans="1:16" ht="18.5" hidden="1" x14ac:dyDescent="0.45">
      <c r="A35" s="102"/>
      <c r="B35" s="88">
        <f>'Student Basic Info'!A34</f>
        <v>533</v>
      </c>
      <c r="C35" s="86" t="str">
        <f>'Student Basic Info'!C34</f>
        <v>Md. Al Amin Haydar</v>
      </c>
      <c r="D35" s="89" t="str">
        <f>'Detailed Summary'!AK34</f>
        <v/>
      </c>
      <c r="E35" s="89" t="str">
        <f>'Detailed Summary'!AL34</f>
        <v/>
      </c>
      <c r="F35" s="89" t="str">
        <f>'Detailed Summary'!AM34</f>
        <v/>
      </c>
      <c r="G35" s="89" t="str">
        <f>'Detailed Summary'!AN34</f>
        <v/>
      </c>
      <c r="H35" s="89" t="str">
        <f>'Detailed Summary'!AO34</f>
        <v/>
      </c>
      <c r="I35" s="89" t="str">
        <f>'Detailed Summary'!AP34</f>
        <v/>
      </c>
      <c r="J35" s="89" t="str">
        <f>'Detailed Summary'!AR34</f>
        <v/>
      </c>
      <c r="K35" s="89" t="str">
        <f>'Detailed Summary'!AS34</f>
        <v/>
      </c>
      <c r="L35" s="39">
        <f>'Detailed Summary'!AU34</f>
        <v>0</v>
      </c>
      <c r="M35" s="87" t="str">
        <f>'Detailed Summary'!AV34</f>
        <v/>
      </c>
      <c r="N35" s="3" t="str">
        <f>'Detailed Summary'!BF34</f>
        <v>Failed in 6 Subjects</v>
      </c>
      <c r="O35" s="87" t="str">
        <f>'Detailed Summary'!AW34</f>
        <v/>
      </c>
      <c r="P35" s="5" t="str">
        <f>'Detailed Summary'!BG34</f>
        <v/>
      </c>
    </row>
    <row r="36" spans="1:16" ht="18.5" hidden="1" x14ac:dyDescent="0.45">
      <c r="A36" s="102"/>
      <c r="B36" s="88">
        <f>'Student Basic Info'!A35</f>
        <v>534</v>
      </c>
      <c r="C36" s="86" t="str">
        <f>'Student Basic Info'!C35</f>
        <v>Md. Hasanain Hosain</v>
      </c>
      <c r="D36" s="89" t="str">
        <f>'Detailed Summary'!AK35</f>
        <v/>
      </c>
      <c r="E36" s="89" t="str">
        <f>'Detailed Summary'!AL35</f>
        <v/>
      </c>
      <c r="F36" s="89" t="str">
        <f>'Detailed Summary'!AM35</f>
        <v/>
      </c>
      <c r="G36" s="89" t="str">
        <f>'Detailed Summary'!AN35</f>
        <v/>
      </c>
      <c r="H36" s="89" t="str">
        <f>'Detailed Summary'!AO35</f>
        <v/>
      </c>
      <c r="I36" s="89" t="str">
        <f>'Detailed Summary'!AP35</f>
        <v/>
      </c>
      <c r="J36" s="89" t="str">
        <f>'Detailed Summary'!AR35</f>
        <v/>
      </c>
      <c r="K36" s="89" t="str">
        <f>'Detailed Summary'!AS35</f>
        <v/>
      </c>
      <c r="L36" s="39">
        <f>'Detailed Summary'!AU35</f>
        <v>0</v>
      </c>
      <c r="M36" s="87" t="str">
        <f>'Detailed Summary'!AV35</f>
        <v/>
      </c>
      <c r="N36" s="3" t="str">
        <f>'Detailed Summary'!BF35</f>
        <v>Failed in 6 Subjects</v>
      </c>
      <c r="O36" s="87" t="str">
        <f>'Detailed Summary'!AW35</f>
        <v/>
      </c>
      <c r="P36" s="5" t="str">
        <f>'Detailed Summary'!BG35</f>
        <v/>
      </c>
    </row>
    <row r="37" spans="1:16" ht="18.5" hidden="1" x14ac:dyDescent="0.45">
      <c r="A37" s="102"/>
      <c r="B37" s="88">
        <f>'Student Basic Info'!A36</f>
        <v>535</v>
      </c>
      <c r="C37" s="86" t="str">
        <f>'Student Basic Info'!C36</f>
        <v>Md. Abu Taher Zitu</v>
      </c>
      <c r="D37" s="89" t="str">
        <f>'Detailed Summary'!AK36</f>
        <v/>
      </c>
      <c r="E37" s="89" t="str">
        <f>'Detailed Summary'!AL36</f>
        <v/>
      </c>
      <c r="F37" s="89" t="str">
        <f>'Detailed Summary'!AM36</f>
        <v/>
      </c>
      <c r="G37" s="89" t="str">
        <f>'Detailed Summary'!AN36</f>
        <v/>
      </c>
      <c r="H37" s="89" t="str">
        <f>'Detailed Summary'!AO36</f>
        <v/>
      </c>
      <c r="I37" s="89" t="str">
        <f>'Detailed Summary'!AP36</f>
        <v/>
      </c>
      <c r="J37" s="89" t="str">
        <f>'Detailed Summary'!AR36</f>
        <v/>
      </c>
      <c r="K37" s="89" t="str">
        <f>'Detailed Summary'!AS36</f>
        <v/>
      </c>
      <c r="L37" s="39">
        <f>'Detailed Summary'!AU36</f>
        <v>0</v>
      </c>
      <c r="M37" s="87" t="str">
        <f>'Detailed Summary'!AV36</f>
        <v/>
      </c>
      <c r="N37" s="3" t="str">
        <f>'Detailed Summary'!BF36</f>
        <v>Failed in 6 Subjects</v>
      </c>
      <c r="O37" s="87" t="str">
        <f>'Detailed Summary'!AW36</f>
        <v/>
      </c>
      <c r="P37" s="5" t="str">
        <f>'Detailed Summary'!BG36</f>
        <v/>
      </c>
    </row>
    <row r="38" spans="1:16" ht="18.5" hidden="1" x14ac:dyDescent="0.45">
      <c r="A38" s="102"/>
      <c r="B38" s="88">
        <f>'Student Basic Info'!A37</f>
        <v>536</v>
      </c>
      <c r="C38" s="86" t="str">
        <f>'Student Basic Info'!C37</f>
        <v>Khalid Bin Alom</v>
      </c>
      <c r="D38" s="89">
        <f>'Detailed Summary'!AK37</f>
        <v>0</v>
      </c>
      <c r="E38" s="89">
        <f>'Detailed Summary'!AL37</f>
        <v>0</v>
      </c>
      <c r="F38" s="89">
        <f>'Detailed Summary'!AM37</f>
        <v>0</v>
      </c>
      <c r="G38" s="89">
        <f>'Detailed Summary'!AN37</f>
        <v>0</v>
      </c>
      <c r="H38" s="89">
        <f>'Detailed Summary'!AO37</f>
        <v>0</v>
      </c>
      <c r="I38" s="89">
        <f>'Detailed Summary'!AP37</f>
        <v>0</v>
      </c>
      <c r="J38" s="89">
        <f>'Detailed Summary'!AR37</f>
        <v>2</v>
      </c>
      <c r="K38" s="89">
        <f>'Detailed Summary'!AS37</f>
        <v>0</v>
      </c>
      <c r="L38" s="39">
        <f>'Detailed Summary'!AU37</f>
        <v>0</v>
      </c>
      <c r="M38" s="87" t="str">
        <f>'Detailed Summary'!AV37</f>
        <v/>
      </c>
      <c r="N38" s="3" t="str">
        <f>'Detailed Summary'!BF37</f>
        <v>Failed in 6 Subjects</v>
      </c>
      <c r="O38" s="87" t="str">
        <f>'Detailed Summary'!AW37</f>
        <v/>
      </c>
      <c r="P38" s="5" t="str">
        <f>'Detailed Summary'!BG37</f>
        <v/>
      </c>
    </row>
    <row r="39" spans="1:16" ht="18.5" hidden="1" x14ac:dyDescent="0.45">
      <c r="A39" s="102"/>
      <c r="B39" s="88">
        <f>'Student Basic Info'!A38</f>
        <v>537</v>
      </c>
      <c r="C39" s="86" t="str">
        <f>'Student Basic Info'!C38</f>
        <v>Mobarok Hosain</v>
      </c>
      <c r="D39" s="89">
        <f>'Detailed Summary'!AK38</f>
        <v>0</v>
      </c>
      <c r="E39" s="89">
        <f>'Detailed Summary'!AL38</f>
        <v>0</v>
      </c>
      <c r="F39" s="89">
        <f>'Detailed Summary'!AM38</f>
        <v>0</v>
      </c>
      <c r="G39" s="89">
        <f>'Detailed Summary'!AN38</f>
        <v>0</v>
      </c>
      <c r="H39" s="89">
        <f>'Detailed Summary'!AO38</f>
        <v>0</v>
      </c>
      <c r="I39" s="89">
        <f>'Detailed Summary'!AP38</f>
        <v>0</v>
      </c>
      <c r="J39" s="89">
        <f>'Detailed Summary'!AR38</f>
        <v>0</v>
      </c>
      <c r="K39" s="89">
        <f>'Detailed Summary'!AS38</f>
        <v>0</v>
      </c>
      <c r="L39" s="39">
        <f>'Detailed Summary'!AU38</f>
        <v>0</v>
      </c>
      <c r="M39" s="87" t="str">
        <f>'Detailed Summary'!AV38</f>
        <v/>
      </c>
      <c r="N39" s="3" t="str">
        <f>'Detailed Summary'!BF38</f>
        <v>Failed in 6 Subjects</v>
      </c>
      <c r="O39" s="87" t="str">
        <f>'Detailed Summary'!AW38</f>
        <v/>
      </c>
      <c r="P39" s="5" t="str">
        <f>'Detailed Summary'!BG38</f>
        <v/>
      </c>
    </row>
    <row r="40" spans="1:16" ht="18.5" hidden="1" x14ac:dyDescent="0.45">
      <c r="A40" s="102"/>
      <c r="B40" s="88">
        <f>'Student Basic Info'!A39</f>
        <v>538</v>
      </c>
      <c r="C40" s="86" t="str">
        <f>'Student Basic Info'!C39</f>
        <v>Jomir Hosain</v>
      </c>
      <c r="D40" s="89">
        <f>'Detailed Summary'!AK39</f>
        <v>1</v>
      </c>
      <c r="E40" s="89">
        <f>'Detailed Summary'!AL39</f>
        <v>0</v>
      </c>
      <c r="F40" s="89">
        <f>'Detailed Summary'!AM39</f>
        <v>0</v>
      </c>
      <c r="G40" s="89">
        <f>'Detailed Summary'!AN39</f>
        <v>0</v>
      </c>
      <c r="H40" s="89">
        <f>'Detailed Summary'!AO39</f>
        <v>2</v>
      </c>
      <c r="I40" s="89">
        <f>'Detailed Summary'!AP39</f>
        <v>3</v>
      </c>
      <c r="J40" s="89">
        <f>'Detailed Summary'!AR39</f>
        <v>1</v>
      </c>
      <c r="K40" s="89">
        <f>'Detailed Summary'!AS39</f>
        <v>0</v>
      </c>
      <c r="L40" s="39">
        <f>'Detailed Summary'!AU39</f>
        <v>6</v>
      </c>
      <c r="M40" s="87" t="str">
        <f>'Detailed Summary'!AV39</f>
        <v/>
      </c>
      <c r="N40" s="3" t="str">
        <f>'Detailed Summary'!BF39</f>
        <v>Failed in 3 Subjects</v>
      </c>
      <c r="O40" s="87" t="str">
        <f>'Detailed Summary'!AW39</f>
        <v/>
      </c>
      <c r="P40" s="5" t="str">
        <f>'Detailed Summary'!BG39</f>
        <v/>
      </c>
    </row>
    <row r="41" spans="1:16" ht="18.5" hidden="1" x14ac:dyDescent="0.45">
      <c r="A41" s="102"/>
      <c r="B41" s="88">
        <f>'Student Basic Info'!A40</f>
        <v>539</v>
      </c>
      <c r="C41" s="86" t="str">
        <f>'Student Basic Info'!C40</f>
        <v>Walid Hasan Anol</v>
      </c>
      <c r="D41" s="89">
        <f>'Detailed Summary'!AK40</f>
        <v>0</v>
      </c>
      <c r="E41" s="89">
        <f>'Detailed Summary'!AL40</f>
        <v>0</v>
      </c>
      <c r="F41" s="89">
        <f>'Detailed Summary'!AM40</f>
        <v>0</v>
      </c>
      <c r="G41" s="89">
        <f>'Detailed Summary'!AN40</f>
        <v>0</v>
      </c>
      <c r="H41" s="89">
        <f>'Detailed Summary'!AO40</f>
        <v>0</v>
      </c>
      <c r="I41" s="89">
        <f>'Detailed Summary'!AP40</f>
        <v>0</v>
      </c>
      <c r="J41" s="89">
        <f>'Detailed Summary'!AR40</f>
        <v>0</v>
      </c>
      <c r="K41" s="89">
        <f>'Detailed Summary'!AS40</f>
        <v>0</v>
      </c>
      <c r="L41" s="39">
        <f>'Detailed Summary'!AU40</f>
        <v>0</v>
      </c>
      <c r="M41" s="87" t="str">
        <f>'Detailed Summary'!AV40</f>
        <v/>
      </c>
      <c r="N41" s="3" t="str">
        <f>'Detailed Summary'!BF40</f>
        <v>Failed in 6 Subjects</v>
      </c>
      <c r="O41" s="87" t="str">
        <f>'Detailed Summary'!AW40</f>
        <v/>
      </c>
      <c r="P41" s="5" t="str">
        <f>'Detailed Summary'!BG40</f>
        <v/>
      </c>
    </row>
    <row r="42" spans="1:16" ht="18.5" hidden="1" x14ac:dyDescent="0.45">
      <c r="A42" s="102"/>
      <c r="B42" s="88">
        <f>'Student Basic Info'!A41</f>
        <v>540</v>
      </c>
      <c r="C42" s="86" t="str">
        <f>'Student Basic Info'!C41</f>
        <v>Golam Mahnud</v>
      </c>
      <c r="D42" s="89">
        <f>'Detailed Summary'!AK41</f>
        <v>1</v>
      </c>
      <c r="E42" s="89">
        <f>'Detailed Summary'!AL41</f>
        <v>0</v>
      </c>
      <c r="F42" s="89">
        <f>'Detailed Summary'!AM41</f>
        <v>0</v>
      </c>
      <c r="G42" s="89">
        <f>'Detailed Summary'!AN41</f>
        <v>0</v>
      </c>
      <c r="H42" s="89">
        <f>'Detailed Summary'!AO41</f>
        <v>0</v>
      </c>
      <c r="I42" s="89">
        <f>'Detailed Summary'!AP41</f>
        <v>0</v>
      </c>
      <c r="J42" s="89">
        <f>'Detailed Summary'!AR41</f>
        <v>0</v>
      </c>
      <c r="K42" s="89">
        <f>'Detailed Summary'!AS41</f>
        <v>0</v>
      </c>
      <c r="L42" s="39">
        <f>'Detailed Summary'!AU41</f>
        <v>1</v>
      </c>
      <c r="M42" s="87" t="str">
        <f>'Detailed Summary'!AV41</f>
        <v/>
      </c>
      <c r="N42" s="3" t="str">
        <f>'Detailed Summary'!BF41</f>
        <v>Failed in 5 Subjects</v>
      </c>
      <c r="O42" s="87" t="str">
        <f>'Detailed Summary'!AW41</f>
        <v/>
      </c>
      <c r="P42" s="5" t="str">
        <f>'Detailed Summary'!BG41</f>
        <v/>
      </c>
    </row>
    <row r="43" spans="1:16" ht="18.5" hidden="1" x14ac:dyDescent="0.45">
      <c r="A43" s="102"/>
      <c r="B43" s="88">
        <f>'Student Basic Info'!A42</f>
        <v>541</v>
      </c>
      <c r="C43" s="86" t="str">
        <f>'Student Basic Info'!C42</f>
        <v>Md. Samir Hosain</v>
      </c>
      <c r="D43" s="89">
        <f>'Detailed Summary'!AK42</f>
        <v>3</v>
      </c>
      <c r="E43" s="89" t="str">
        <f>'Detailed Summary'!AL42</f>
        <v/>
      </c>
      <c r="F43" s="89" t="str">
        <f>'Detailed Summary'!AM42</f>
        <v/>
      </c>
      <c r="G43" s="89" t="str">
        <f>'Detailed Summary'!AN42</f>
        <v/>
      </c>
      <c r="H43" s="89" t="str">
        <f>'Detailed Summary'!AO42</f>
        <v/>
      </c>
      <c r="I43" s="89" t="str">
        <f>'Detailed Summary'!AP42</f>
        <v/>
      </c>
      <c r="J43" s="89" t="str">
        <f>'Detailed Summary'!AR42</f>
        <v/>
      </c>
      <c r="K43" s="89" t="str">
        <f>'Detailed Summary'!AS42</f>
        <v/>
      </c>
      <c r="L43" s="39">
        <f>'Detailed Summary'!AU42</f>
        <v>3</v>
      </c>
      <c r="M43" s="87" t="str">
        <f>'Detailed Summary'!AV42</f>
        <v/>
      </c>
      <c r="N43" s="3" t="str">
        <f>'Detailed Summary'!BF42</f>
        <v>Failed in 5 Subjects</v>
      </c>
      <c r="O43" s="87" t="str">
        <f>'Detailed Summary'!AW42</f>
        <v/>
      </c>
      <c r="P43" s="5" t="str">
        <f>'Detailed Summary'!BG42</f>
        <v/>
      </c>
    </row>
    <row r="44" spans="1:16" ht="18.5" hidden="1" x14ac:dyDescent="0.45">
      <c r="A44" s="102"/>
      <c r="B44" s="88">
        <f>'Student Basic Info'!A43</f>
        <v>542</v>
      </c>
      <c r="C44" s="86" t="str">
        <f>'Student Basic Info'!C43</f>
        <v>Md. Imran Hosain</v>
      </c>
      <c r="D44" s="89">
        <f>'Detailed Summary'!AK43</f>
        <v>1</v>
      </c>
      <c r="E44" s="89">
        <f>'Detailed Summary'!AL43</f>
        <v>0</v>
      </c>
      <c r="F44" s="89">
        <f>'Detailed Summary'!AM43</f>
        <v>0</v>
      </c>
      <c r="G44" s="89">
        <f>'Detailed Summary'!AN43</f>
        <v>0</v>
      </c>
      <c r="H44" s="89">
        <f>'Detailed Summary'!AO43</f>
        <v>0</v>
      </c>
      <c r="I44" s="89">
        <f>'Detailed Summary'!AP43</f>
        <v>1</v>
      </c>
      <c r="J44" s="89">
        <f>'Detailed Summary'!AR43</f>
        <v>0</v>
      </c>
      <c r="K44" s="89">
        <f>'Detailed Summary'!AS43</f>
        <v>0</v>
      </c>
      <c r="L44" s="39">
        <f>'Detailed Summary'!AU43</f>
        <v>2</v>
      </c>
      <c r="M44" s="87" t="str">
        <f>'Detailed Summary'!AV43</f>
        <v/>
      </c>
      <c r="N44" s="3" t="str">
        <f>'Detailed Summary'!BF43</f>
        <v>Failed in 4 Subjects</v>
      </c>
      <c r="O44" s="87" t="str">
        <f>'Detailed Summary'!AW43</f>
        <v/>
      </c>
      <c r="P44" s="5" t="str">
        <f>'Detailed Summary'!BG43</f>
        <v/>
      </c>
    </row>
    <row r="45" spans="1:16" ht="18.5" hidden="1" x14ac:dyDescent="0.45">
      <c r="A45" s="102"/>
      <c r="B45" s="88">
        <f>'Student Basic Info'!A44</f>
        <v>543</v>
      </c>
      <c r="C45" s="86" t="str">
        <f>'Student Basic Info'!C44</f>
        <v>Mohammad Yeasin</v>
      </c>
      <c r="D45" s="89">
        <f>'Detailed Summary'!AK44</f>
        <v>1</v>
      </c>
      <c r="E45" s="89">
        <f>'Detailed Summary'!AL44</f>
        <v>0</v>
      </c>
      <c r="F45" s="89">
        <f>'Detailed Summary'!AM44</f>
        <v>0</v>
      </c>
      <c r="G45" s="89">
        <f>'Detailed Summary'!AN44</f>
        <v>0</v>
      </c>
      <c r="H45" s="89">
        <f>'Detailed Summary'!AO44</f>
        <v>0</v>
      </c>
      <c r="I45" s="89">
        <f>'Detailed Summary'!AP44</f>
        <v>1</v>
      </c>
      <c r="J45" s="89">
        <f>'Detailed Summary'!AR44</f>
        <v>0</v>
      </c>
      <c r="K45" s="89">
        <f>'Detailed Summary'!AS44</f>
        <v>0</v>
      </c>
      <c r="L45" s="39">
        <f>'Detailed Summary'!AU44</f>
        <v>2</v>
      </c>
      <c r="M45" s="87" t="str">
        <f>'Detailed Summary'!AV44</f>
        <v/>
      </c>
      <c r="N45" s="3" t="str">
        <f>'Detailed Summary'!BF44</f>
        <v>Failed in 4 Subjects</v>
      </c>
      <c r="O45" s="87" t="str">
        <f>'Detailed Summary'!AW44</f>
        <v/>
      </c>
      <c r="P45" s="5" t="str">
        <f>'Detailed Summary'!BG44</f>
        <v/>
      </c>
    </row>
    <row r="46" spans="1:16" hidden="1" x14ac:dyDescent="0.35">
      <c r="A46" s="105">
        <v>3</v>
      </c>
      <c r="B46" s="105">
        <f>'Student Basic Info'!A45</f>
        <v>544</v>
      </c>
      <c r="C46" s="106" t="str">
        <f>'Student Basic Info'!C45</f>
        <v>Abdur Rahman</v>
      </c>
      <c r="D46" s="89">
        <f>'Detailed Summary'!AK45</f>
        <v>2</v>
      </c>
      <c r="E46" s="89">
        <f>'Detailed Summary'!AL45</f>
        <v>0</v>
      </c>
      <c r="F46" s="89">
        <f>'Detailed Summary'!AM45</f>
        <v>3</v>
      </c>
      <c r="G46" s="89">
        <f>'Detailed Summary'!AN45</f>
        <v>1</v>
      </c>
      <c r="H46" s="89">
        <f>'Detailed Summary'!AO45</f>
        <v>0</v>
      </c>
      <c r="I46" s="89">
        <f>'Detailed Summary'!AP45</f>
        <v>0</v>
      </c>
      <c r="J46" s="89">
        <f>'Detailed Summary'!AR45</f>
        <v>2</v>
      </c>
      <c r="K46" s="89">
        <f>'Detailed Summary'!AS45</f>
        <v>0</v>
      </c>
      <c r="L46" s="39">
        <f>'Detailed Summary'!AU45</f>
        <v>6</v>
      </c>
      <c r="M46" s="87" t="str">
        <f>'Detailed Summary'!AV45</f>
        <v/>
      </c>
      <c r="N46" s="76" t="str">
        <f>'Detailed Summary'!BF45</f>
        <v>Failed in 3 Subjects</v>
      </c>
      <c r="O46" s="87" t="str">
        <f>'Detailed Summary'!AW45</f>
        <v/>
      </c>
      <c r="P46" s="107" t="str">
        <f>'Detailed Summary'!BG45</f>
        <v/>
      </c>
    </row>
    <row r="47" spans="1:16" ht="18.5" hidden="1" x14ac:dyDescent="0.45">
      <c r="A47" s="102"/>
      <c r="B47" s="88">
        <f>'Student Basic Info'!A46</f>
        <v>545</v>
      </c>
      <c r="C47" s="86" t="str">
        <f>'Student Basic Info'!C46</f>
        <v>Md. Osman Goni</v>
      </c>
      <c r="D47" s="89" t="str">
        <f>'Detailed Summary'!AK46</f>
        <v/>
      </c>
      <c r="E47" s="89" t="str">
        <f>'Detailed Summary'!AL46</f>
        <v/>
      </c>
      <c r="F47" s="89" t="str">
        <f>'Detailed Summary'!AM46</f>
        <v/>
      </c>
      <c r="G47" s="89" t="str">
        <f>'Detailed Summary'!AN46</f>
        <v/>
      </c>
      <c r="H47" s="89" t="str">
        <f>'Detailed Summary'!AO46</f>
        <v/>
      </c>
      <c r="I47" s="89" t="str">
        <f>'Detailed Summary'!AP46</f>
        <v/>
      </c>
      <c r="J47" s="89" t="str">
        <f>'Detailed Summary'!AR46</f>
        <v/>
      </c>
      <c r="K47" s="89" t="str">
        <f>'Detailed Summary'!AS46</f>
        <v/>
      </c>
      <c r="L47" s="39">
        <f>'Detailed Summary'!AU46</f>
        <v>0</v>
      </c>
      <c r="M47" s="87" t="str">
        <f>'Detailed Summary'!AV46</f>
        <v/>
      </c>
      <c r="N47" s="3" t="str">
        <f>'Detailed Summary'!BF46</f>
        <v>Failed in 6 Subjects</v>
      </c>
      <c r="O47" s="87" t="str">
        <f>'Detailed Summary'!AW46</f>
        <v/>
      </c>
      <c r="P47" s="5" t="str">
        <f>'Detailed Summary'!BG46</f>
        <v/>
      </c>
    </row>
    <row r="48" spans="1:16" ht="18.5" hidden="1" x14ac:dyDescent="0.45">
      <c r="A48" s="102"/>
      <c r="B48" s="88">
        <f>'Student Basic Info'!A47</f>
        <v>546</v>
      </c>
      <c r="C48" s="86" t="str">
        <f>'Student Basic Info'!C47</f>
        <v>Tanvir Hosain</v>
      </c>
      <c r="D48" s="89">
        <f>'Detailed Summary'!AK47</f>
        <v>2</v>
      </c>
      <c r="E48" s="89">
        <f>'Detailed Summary'!AL47</f>
        <v>0</v>
      </c>
      <c r="F48" s="89">
        <f>'Detailed Summary'!AM47</f>
        <v>2</v>
      </c>
      <c r="G48" s="89">
        <f>'Detailed Summary'!AN47</f>
        <v>0</v>
      </c>
      <c r="H48" s="89">
        <f>'Detailed Summary'!AO47</f>
        <v>0</v>
      </c>
      <c r="I48" s="89">
        <f>'Detailed Summary'!AP47</f>
        <v>0</v>
      </c>
      <c r="J48" s="89">
        <f>'Detailed Summary'!AR47</f>
        <v>2</v>
      </c>
      <c r="K48" s="89">
        <f>'Detailed Summary'!AS47</f>
        <v>0</v>
      </c>
      <c r="L48" s="39">
        <f>'Detailed Summary'!AU47</f>
        <v>4</v>
      </c>
      <c r="M48" s="87" t="str">
        <f>'Detailed Summary'!AV47</f>
        <v/>
      </c>
      <c r="N48" s="3" t="str">
        <f>'Detailed Summary'!BF47</f>
        <v>Failed in 4 Subjects</v>
      </c>
      <c r="O48" s="87" t="str">
        <f>'Detailed Summary'!AW47</f>
        <v/>
      </c>
      <c r="P48" s="5" t="str">
        <f>'Detailed Summary'!BG47</f>
        <v/>
      </c>
    </row>
    <row r="49" spans="1:16" ht="18.5" hidden="1" x14ac:dyDescent="0.45">
      <c r="A49" s="102"/>
      <c r="B49" s="88">
        <f>'Student Basic Info'!A48</f>
        <v>547</v>
      </c>
      <c r="C49" s="86" t="str">
        <f>'Student Basic Info'!C48</f>
        <v>Monowar Hosain</v>
      </c>
      <c r="D49" s="89" t="str">
        <f>'Detailed Summary'!AK48</f>
        <v/>
      </c>
      <c r="E49" s="89" t="str">
        <f>'Detailed Summary'!AL48</f>
        <v/>
      </c>
      <c r="F49" s="89" t="str">
        <f>'Detailed Summary'!AM48</f>
        <v/>
      </c>
      <c r="G49" s="89" t="str">
        <f>'Detailed Summary'!AN48</f>
        <v/>
      </c>
      <c r="H49" s="89" t="str">
        <f>'Detailed Summary'!AO48</f>
        <v/>
      </c>
      <c r="I49" s="89" t="str">
        <f>'Detailed Summary'!AP48</f>
        <v/>
      </c>
      <c r="J49" s="89" t="str">
        <f>'Detailed Summary'!AR48</f>
        <v/>
      </c>
      <c r="K49" s="89" t="str">
        <f>'Detailed Summary'!AS48</f>
        <v/>
      </c>
      <c r="L49" s="39">
        <f>'Detailed Summary'!AU48</f>
        <v>0</v>
      </c>
      <c r="M49" s="87" t="str">
        <f>'Detailed Summary'!AV48</f>
        <v/>
      </c>
      <c r="N49" s="3" t="str">
        <f>'Detailed Summary'!BF48</f>
        <v>Failed in 6 Subjects</v>
      </c>
      <c r="O49" s="87" t="str">
        <f>'Detailed Summary'!AW48</f>
        <v/>
      </c>
      <c r="P49" s="5" t="str">
        <f>'Detailed Summary'!BG48</f>
        <v/>
      </c>
    </row>
    <row r="50" spans="1:16" ht="18.5" hidden="1" x14ac:dyDescent="0.45">
      <c r="A50" s="102"/>
      <c r="B50" s="88">
        <f>'Student Basic Info'!A49</f>
        <v>548</v>
      </c>
      <c r="C50" s="86" t="str">
        <f>'Student Basic Info'!C49</f>
        <v>Mehedi Hasan</v>
      </c>
      <c r="D50" s="89" t="str">
        <f>'Detailed Summary'!AK49</f>
        <v/>
      </c>
      <c r="E50" s="89" t="str">
        <f>'Detailed Summary'!AL49</f>
        <v/>
      </c>
      <c r="F50" s="89" t="str">
        <f>'Detailed Summary'!AM49</f>
        <v/>
      </c>
      <c r="G50" s="89" t="str">
        <f>'Detailed Summary'!AN49</f>
        <v/>
      </c>
      <c r="H50" s="89" t="str">
        <f>'Detailed Summary'!AO49</f>
        <v/>
      </c>
      <c r="I50" s="89" t="str">
        <f>'Detailed Summary'!AP49</f>
        <v/>
      </c>
      <c r="J50" s="89" t="str">
        <f>'Detailed Summary'!AR49</f>
        <v/>
      </c>
      <c r="K50" s="89" t="str">
        <f>'Detailed Summary'!AS49</f>
        <v/>
      </c>
      <c r="L50" s="39">
        <f>'Detailed Summary'!AU49</f>
        <v>0</v>
      </c>
      <c r="M50" s="87" t="str">
        <f>'Detailed Summary'!AV49</f>
        <v/>
      </c>
      <c r="N50" s="3" t="str">
        <f>'Detailed Summary'!BF49</f>
        <v>Failed in 6 Subjects</v>
      </c>
      <c r="O50" s="87" t="str">
        <f>'Detailed Summary'!AW49</f>
        <v/>
      </c>
      <c r="P50" s="5" t="str">
        <f>'Detailed Summary'!BG49</f>
        <v/>
      </c>
    </row>
    <row r="51" spans="1:16" ht="18.5" x14ac:dyDescent="0.45">
      <c r="A51" s="102"/>
      <c r="B51" s="88">
        <f>'Student Basic Info'!A50</f>
        <v>549</v>
      </c>
      <c r="C51" s="86" t="str">
        <f>'Student Basic Info'!C50</f>
        <v>Mia Md. Mahrup Murshid</v>
      </c>
      <c r="D51" s="89">
        <f>'Detailed Summary'!AK50</f>
        <v>1</v>
      </c>
      <c r="E51" s="89">
        <f>'Detailed Summary'!AL50</f>
        <v>0</v>
      </c>
      <c r="F51" s="89">
        <f>'Detailed Summary'!AM50</f>
        <v>0</v>
      </c>
      <c r="G51" s="89">
        <f>'Detailed Summary'!AN50</f>
        <v>0</v>
      </c>
      <c r="H51" s="89">
        <f>'Detailed Summary'!AO50</f>
        <v>2</v>
      </c>
      <c r="I51" s="89">
        <f>'Detailed Summary'!AP50</f>
        <v>0</v>
      </c>
      <c r="J51" s="89">
        <f>'Detailed Summary'!AR50</f>
        <v>0</v>
      </c>
      <c r="K51" s="89">
        <f>'Detailed Summary'!AS50</f>
        <v>0</v>
      </c>
      <c r="L51" s="39">
        <f>'Detailed Summary'!AU50</f>
        <v>3</v>
      </c>
      <c r="M51" s="87" t="str">
        <f>'Detailed Summary'!AV50</f>
        <v/>
      </c>
      <c r="N51" s="3" t="str">
        <f>'Detailed Summary'!BF50</f>
        <v>Failed in 4 Subjects</v>
      </c>
      <c r="O51" s="87" t="str">
        <f>'Detailed Summary'!AW50</f>
        <v/>
      </c>
      <c r="P51" s="5" t="str">
        <f>'Detailed Summary'!BG50</f>
        <v/>
      </c>
    </row>
    <row r="52" spans="1:16" ht="18.5" hidden="1" x14ac:dyDescent="0.45">
      <c r="A52" s="102"/>
      <c r="B52" s="88">
        <f>'Student Basic Info'!A51</f>
        <v>550</v>
      </c>
      <c r="C52" s="86" t="str">
        <f>'Student Basic Info'!C51</f>
        <v>Mishu Alom Suddik</v>
      </c>
      <c r="D52" s="89" t="str">
        <f>'Detailed Summary'!AK51</f>
        <v/>
      </c>
      <c r="E52" s="89" t="str">
        <f>'Detailed Summary'!AL51</f>
        <v/>
      </c>
      <c r="F52" s="89" t="str">
        <f>'Detailed Summary'!AM51</f>
        <v/>
      </c>
      <c r="G52" s="89" t="str">
        <f>'Detailed Summary'!AN51</f>
        <v/>
      </c>
      <c r="H52" s="89" t="str">
        <f>'Detailed Summary'!AO51</f>
        <v/>
      </c>
      <c r="I52" s="89" t="str">
        <f>'Detailed Summary'!AP51</f>
        <v/>
      </c>
      <c r="J52" s="89" t="str">
        <f>'Detailed Summary'!AR51</f>
        <v/>
      </c>
      <c r="K52" s="89" t="str">
        <f>'Detailed Summary'!AS51</f>
        <v/>
      </c>
      <c r="L52" s="39">
        <f>'Detailed Summary'!AU51</f>
        <v>0</v>
      </c>
      <c r="M52" s="87" t="str">
        <f>'Detailed Summary'!AV51</f>
        <v/>
      </c>
      <c r="N52" s="3" t="str">
        <f>'Detailed Summary'!BF51</f>
        <v>Failed in 6 Subjects</v>
      </c>
      <c r="O52" s="87" t="str">
        <f>'Detailed Summary'!AW51</f>
        <v/>
      </c>
      <c r="P52" s="5" t="str">
        <f>'Detailed Summary'!BG51</f>
        <v/>
      </c>
    </row>
    <row r="53" spans="1:16" ht="18.5" hidden="1" x14ac:dyDescent="0.45">
      <c r="A53" s="102"/>
      <c r="B53" s="88">
        <f>'Student Basic Info'!A52</f>
        <v>551</v>
      </c>
      <c r="C53" s="86" t="str">
        <f>'Student Basic Info'!C52</f>
        <v>Ismail Hosain</v>
      </c>
      <c r="D53" s="89" t="str">
        <f>'Detailed Summary'!AK52</f>
        <v/>
      </c>
      <c r="E53" s="89" t="str">
        <f>'Detailed Summary'!AL52</f>
        <v/>
      </c>
      <c r="F53" s="89" t="str">
        <f>'Detailed Summary'!AM52</f>
        <v/>
      </c>
      <c r="G53" s="89" t="str">
        <f>'Detailed Summary'!AN52</f>
        <v/>
      </c>
      <c r="H53" s="89" t="str">
        <f>'Detailed Summary'!AO52</f>
        <v/>
      </c>
      <c r="I53" s="89" t="str">
        <f>'Detailed Summary'!AP52</f>
        <v/>
      </c>
      <c r="J53" s="89" t="str">
        <f>'Detailed Summary'!AR52</f>
        <v/>
      </c>
      <c r="K53" s="89" t="str">
        <f>'Detailed Summary'!AS52</f>
        <v/>
      </c>
      <c r="L53" s="39">
        <f>'Detailed Summary'!AU52</f>
        <v>0</v>
      </c>
      <c r="M53" s="87" t="str">
        <f>'Detailed Summary'!AV52</f>
        <v/>
      </c>
      <c r="N53" s="3" t="str">
        <f>'Detailed Summary'!BF52</f>
        <v>Failed in 6 Subjects</v>
      </c>
      <c r="O53" s="87" t="str">
        <f>'Detailed Summary'!AW52</f>
        <v/>
      </c>
      <c r="P53" s="5" t="str">
        <f>'Detailed Summary'!BG52</f>
        <v/>
      </c>
    </row>
    <row r="54" spans="1:16" ht="18.5" hidden="1" x14ac:dyDescent="0.45">
      <c r="A54" s="102"/>
      <c r="B54" s="88">
        <f>'Student Basic Info'!A53</f>
        <v>552</v>
      </c>
      <c r="C54" s="86" t="str">
        <f>'Student Basic Info'!C53</f>
        <v>Abu Bokkor Siddik</v>
      </c>
      <c r="D54" s="89">
        <f>'Detailed Summary'!AK53</f>
        <v>1</v>
      </c>
      <c r="E54" s="89">
        <f>'Detailed Summary'!AL53</f>
        <v>0</v>
      </c>
      <c r="F54" s="89">
        <f>'Detailed Summary'!AM53</f>
        <v>0</v>
      </c>
      <c r="G54" s="89">
        <f>'Detailed Summary'!AN53</f>
        <v>0</v>
      </c>
      <c r="H54" s="89">
        <f>'Detailed Summary'!AO53</f>
        <v>0</v>
      </c>
      <c r="I54" s="89">
        <f>'Detailed Summary'!AP53</f>
        <v>0</v>
      </c>
      <c r="J54" s="89">
        <f>'Detailed Summary'!AR53</f>
        <v>1</v>
      </c>
      <c r="K54" s="89">
        <f>'Detailed Summary'!AS53</f>
        <v>0</v>
      </c>
      <c r="L54" s="39">
        <f>'Detailed Summary'!AU53</f>
        <v>1</v>
      </c>
      <c r="M54" s="87" t="str">
        <f>'Detailed Summary'!AV53</f>
        <v/>
      </c>
      <c r="N54" s="3" t="str">
        <f>'Detailed Summary'!BF53</f>
        <v>Failed in 5 Subjects</v>
      </c>
      <c r="O54" s="87" t="str">
        <f>'Detailed Summary'!AW53</f>
        <v/>
      </c>
      <c r="P54" s="5" t="str">
        <f>'Detailed Summary'!BG53</f>
        <v/>
      </c>
    </row>
    <row r="55" spans="1:16" ht="18.5" hidden="1" x14ac:dyDescent="0.45">
      <c r="A55" s="102"/>
      <c r="B55" s="88">
        <f>'Student Basic Info'!A54</f>
        <v>553</v>
      </c>
      <c r="C55" s="86" t="str">
        <f>'Student Basic Info'!C54</f>
        <v>Nowshad Ali</v>
      </c>
      <c r="D55" s="89" t="str">
        <f>'Detailed Summary'!AK54</f>
        <v/>
      </c>
      <c r="E55" s="89" t="str">
        <f>'Detailed Summary'!AL54</f>
        <v/>
      </c>
      <c r="F55" s="89" t="str">
        <f>'Detailed Summary'!AM54</f>
        <v/>
      </c>
      <c r="G55" s="89" t="str">
        <f>'Detailed Summary'!AN54</f>
        <v/>
      </c>
      <c r="H55" s="89" t="str">
        <f>'Detailed Summary'!AO54</f>
        <v/>
      </c>
      <c r="I55" s="89" t="str">
        <f>'Detailed Summary'!AP54</f>
        <v/>
      </c>
      <c r="J55" s="89" t="str">
        <f>'Detailed Summary'!AR54</f>
        <v/>
      </c>
      <c r="K55" s="89" t="str">
        <f>'Detailed Summary'!AS54</f>
        <v/>
      </c>
      <c r="L55" s="39">
        <f>'Detailed Summary'!AU54</f>
        <v>0</v>
      </c>
      <c r="M55" s="87" t="str">
        <f>'Detailed Summary'!AV54</f>
        <v/>
      </c>
      <c r="N55" s="3" t="str">
        <f>'Detailed Summary'!BF54</f>
        <v>Failed in 6 Subjects</v>
      </c>
      <c r="O55" s="87" t="str">
        <f>'Detailed Summary'!AW54</f>
        <v/>
      </c>
      <c r="P55" s="5" t="str">
        <f>'Detailed Summary'!BG54</f>
        <v/>
      </c>
    </row>
    <row r="56" spans="1:16" ht="18.5" hidden="1" x14ac:dyDescent="0.45">
      <c r="A56" s="102"/>
      <c r="B56" s="88">
        <f>'Student Basic Info'!A55</f>
        <v>554</v>
      </c>
      <c r="C56" s="86" t="str">
        <f>'Student Basic Info'!C55</f>
        <v>Md. Musa</v>
      </c>
      <c r="D56" s="89">
        <f>'Detailed Summary'!AK55</f>
        <v>1</v>
      </c>
      <c r="E56" s="89">
        <f>'Detailed Summary'!AL55</f>
        <v>0</v>
      </c>
      <c r="F56" s="89">
        <f>'Detailed Summary'!AM55</f>
        <v>0</v>
      </c>
      <c r="G56" s="89">
        <f>'Detailed Summary'!AN55</f>
        <v>0</v>
      </c>
      <c r="H56" s="89">
        <f>'Detailed Summary'!AO55</f>
        <v>0</v>
      </c>
      <c r="I56" s="89">
        <f>'Detailed Summary'!AP55</f>
        <v>0</v>
      </c>
      <c r="J56" s="89">
        <f>'Detailed Summary'!AR55</f>
        <v>0</v>
      </c>
      <c r="K56" s="89">
        <f>'Detailed Summary'!AS55</f>
        <v>0</v>
      </c>
      <c r="L56" s="39">
        <f>'Detailed Summary'!AU55</f>
        <v>1</v>
      </c>
      <c r="M56" s="87" t="str">
        <f>'Detailed Summary'!AV55</f>
        <v/>
      </c>
      <c r="N56" s="3" t="str">
        <f>'Detailed Summary'!BF55</f>
        <v>Failed in 5 Subjects</v>
      </c>
      <c r="O56" s="87" t="str">
        <f>'Detailed Summary'!AW55</f>
        <v/>
      </c>
      <c r="P56" s="5" t="str">
        <f>'Detailed Summary'!BG55</f>
        <v/>
      </c>
    </row>
    <row r="57" spans="1:16" ht="18.5" hidden="1" x14ac:dyDescent="0.45">
      <c r="A57" s="102"/>
      <c r="B57" s="88">
        <f>'Student Basic Info'!A56</f>
        <v>555</v>
      </c>
      <c r="C57" s="86" t="str">
        <f>'Student Basic Info'!C56</f>
        <v>Setara Bagum</v>
      </c>
      <c r="D57" s="89">
        <f>'Detailed Summary'!AK56</f>
        <v>3</v>
      </c>
      <c r="E57" s="89">
        <f>'Detailed Summary'!AL56</f>
        <v>0</v>
      </c>
      <c r="F57" s="89">
        <f>'Detailed Summary'!AM56</f>
        <v>3</v>
      </c>
      <c r="G57" s="89">
        <f>'Detailed Summary'!AN56</f>
        <v>3</v>
      </c>
      <c r="H57" s="89">
        <f>'Detailed Summary'!AO56</f>
        <v>3</v>
      </c>
      <c r="I57" s="89">
        <f>'Detailed Summary'!AP56</f>
        <v>3</v>
      </c>
      <c r="J57" s="89">
        <f>'Detailed Summary'!AR56</f>
        <v>1</v>
      </c>
      <c r="K57" s="89">
        <f>'Detailed Summary'!AS56</f>
        <v>0</v>
      </c>
      <c r="L57" s="39">
        <f>'Detailed Summary'!AU56</f>
        <v>15</v>
      </c>
      <c r="M57" s="87" t="str">
        <f>'Detailed Summary'!AV56</f>
        <v/>
      </c>
      <c r="N57" s="3" t="str">
        <f>'Detailed Summary'!BF56</f>
        <v>Failed in 1 Subject</v>
      </c>
      <c r="O57" s="87" t="str">
        <f>'Detailed Summary'!AW56</f>
        <v/>
      </c>
      <c r="P57" s="5" t="str">
        <f>'Detailed Summary'!BG56</f>
        <v/>
      </c>
    </row>
    <row r="58" spans="1:16" ht="18.5" hidden="1" x14ac:dyDescent="0.45">
      <c r="A58" s="102"/>
      <c r="B58" s="88">
        <f>'Student Basic Info'!A57</f>
        <v>556</v>
      </c>
      <c r="C58" s="86" t="str">
        <f>'Student Basic Info'!C57</f>
        <v>Tahamina Tabassum</v>
      </c>
      <c r="D58" s="89">
        <f>'Detailed Summary'!AK57</f>
        <v>3.5</v>
      </c>
      <c r="E58" s="89">
        <f>'Detailed Summary'!AL57</f>
        <v>0</v>
      </c>
      <c r="F58" s="89">
        <f>'Detailed Summary'!AM57</f>
        <v>0</v>
      </c>
      <c r="G58" s="89">
        <f>'Detailed Summary'!AN57</f>
        <v>0</v>
      </c>
      <c r="H58" s="89">
        <f>'Detailed Summary'!AO57</f>
        <v>3</v>
      </c>
      <c r="I58" s="89">
        <f>'Detailed Summary'!AP57</f>
        <v>0</v>
      </c>
      <c r="J58" s="89">
        <f>'Detailed Summary'!AR57</f>
        <v>2</v>
      </c>
      <c r="K58" s="89">
        <f>'Detailed Summary'!AS57</f>
        <v>0</v>
      </c>
      <c r="L58" s="39">
        <f>'Detailed Summary'!AU57</f>
        <v>6.5</v>
      </c>
      <c r="M58" s="87" t="str">
        <f>'Detailed Summary'!AV57</f>
        <v/>
      </c>
      <c r="N58" s="3" t="str">
        <f>'Detailed Summary'!BF57</f>
        <v>Failed in 4 Subjects</v>
      </c>
      <c r="O58" s="87" t="str">
        <f>'Detailed Summary'!AW57</f>
        <v/>
      </c>
      <c r="P58" s="5" t="str">
        <f>'Detailed Summary'!BG57</f>
        <v/>
      </c>
    </row>
    <row r="59" spans="1:16" ht="18.5" hidden="1" x14ac:dyDescent="0.45">
      <c r="A59" s="102"/>
      <c r="B59" s="88">
        <f>'Student Basic Info'!A58</f>
        <v>557</v>
      </c>
      <c r="C59" s="86" t="str">
        <f>'Student Basic Info'!C58</f>
        <v>Tanjila Akrar</v>
      </c>
      <c r="D59" s="89">
        <f>'Detailed Summary'!AK58</f>
        <v>3</v>
      </c>
      <c r="E59" s="89">
        <f>'Detailed Summary'!AL58</f>
        <v>1</v>
      </c>
      <c r="F59" s="89">
        <f>'Detailed Summary'!AM58</f>
        <v>2</v>
      </c>
      <c r="G59" s="89">
        <f>'Detailed Summary'!AN58</f>
        <v>1</v>
      </c>
      <c r="H59" s="89">
        <f>'Detailed Summary'!AO58</f>
        <v>3</v>
      </c>
      <c r="I59" s="89">
        <f>'Detailed Summary'!AP58</f>
        <v>1</v>
      </c>
      <c r="J59" s="89">
        <f>'Detailed Summary'!AR58</f>
        <v>2</v>
      </c>
      <c r="K59" s="89">
        <f>'Detailed Summary'!AS58</f>
        <v>0</v>
      </c>
      <c r="L59" s="39">
        <f>'Detailed Summary'!AU58</f>
        <v>11</v>
      </c>
      <c r="M59" s="87">
        <f>'Detailed Summary'!AV58</f>
        <v>1.8333333333333333</v>
      </c>
      <c r="N59" s="3" t="str">
        <f>'Detailed Summary'!BF58</f>
        <v>Pass</v>
      </c>
      <c r="O59" s="87">
        <f>'Detailed Summary'!AW58</f>
        <v>1.8333333333333333</v>
      </c>
      <c r="P59" s="5">
        <f>'Detailed Summary'!BG58</f>
        <v>11</v>
      </c>
    </row>
    <row r="60" spans="1:16" hidden="1" x14ac:dyDescent="0.35">
      <c r="A60" s="105">
        <v>4</v>
      </c>
      <c r="B60" s="105">
        <f>'Student Basic Info'!A59</f>
        <v>558</v>
      </c>
      <c r="C60" s="106" t="str">
        <f>'Student Basic Info'!C59</f>
        <v>Nusrat Zahan Evana</v>
      </c>
      <c r="D60" s="89">
        <f>'Detailed Summary'!AK59</f>
        <v>3.5</v>
      </c>
      <c r="E60" s="89">
        <f>'Detailed Summary'!AL59</f>
        <v>1</v>
      </c>
      <c r="F60" s="89">
        <f>'Detailed Summary'!AM59</f>
        <v>3</v>
      </c>
      <c r="G60" s="89">
        <f>'Detailed Summary'!AN59</f>
        <v>3</v>
      </c>
      <c r="H60" s="89">
        <f>'Detailed Summary'!AO59</f>
        <v>3.5</v>
      </c>
      <c r="I60" s="89">
        <f>'Detailed Summary'!AP59</f>
        <v>2</v>
      </c>
      <c r="J60" s="89">
        <f>'Detailed Summary'!AR59</f>
        <v>3</v>
      </c>
      <c r="K60" s="89">
        <f>'Detailed Summary'!AS59</f>
        <v>1</v>
      </c>
      <c r="L60" s="39">
        <f>'Detailed Summary'!AU59</f>
        <v>17</v>
      </c>
      <c r="M60" s="87">
        <f>'Detailed Summary'!AV59</f>
        <v>2.6666666666666665</v>
      </c>
      <c r="N60" s="76" t="str">
        <f>'Detailed Summary'!BF59</f>
        <v>Pass</v>
      </c>
      <c r="O60" s="87">
        <f>'Detailed Summary'!AW59</f>
        <v>2.8333333333333335</v>
      </c>
      <c r="P60" s="107">
        <f>'Detailed Summary'!BG59</f>
        <v>5</v>
      </c>
    </row>
    <row r="61" spans="1:16" ht="18.5" hidden="1" x14ac:dyDescent="0.45">
      <c r="A61" s="102"/>
      <c r="B61" s="88">
        <f>'Student Basic Info'!A60</f>
        <v>559</v>
      </c>
      <c r="C61" s="86" t="str">
        <f>'Student Basic Info'!C60</f>
        <v>Nahat Binte Raju</v>
      </c>
      <c r="D61" s="89">
        <f>'Detailed Summary'!AK60</f>
        <v>3.5</v>
      </c>
      <c r="E61" s="89">
        <f>'Detailed Summary'!AL60</f>
        <v>2</v>
      </c>
      <c r="F61" s="89">
        <f>'Detailed Summary'!AM60</f>
        <v>3</v>
      </c>
      <c r="G61" s="89">
        <f>'Detailed Summary'!AN60</f>
        <v>2</v>
      </c>
      <c r="H61" s="89">
        <f>'Detailed Summary'!AO60</f>
        <v>2</v>
      </c>
      <c r="I61" s="89">
        <f>'Detailed Summary'!AP60</f>
        <v>1</v>
      </c>
      <c r="J61" s="89">
        <f>'Detailed Summary'!AR60</f>
        <v>2</v>
      </c>
      <c r="K61" s="89">
        <f>'Detailed Summary'!AS60</f>
        <v>0</v>
      </c>
      <c r="L61" s="39">
        <f>'Detailed Summary'!AU60</f>
        <v>13.5</v>
      </c>
      <c r="M61" s="87">
        <f>'Detailed Summary'!AV60</f>
        <v>2.25</v>
      </c>
      <c r="N61" s="3" t="str">
        <f>'Detailed Summary'!BF60</f>
        <v>Pass</v>
      </c>
      <c r="O61" s="87">
        <f>'Detailed Summary'!AW60</f>
        <v>2.25</v>
      </c>
      <c r="P61" s="5">
        <f>'Detailed Summary'!BG60</f>
        <v>10</v>
      </c>
    </row>
    <row r="62" spans="1:16" ht="18.5" hidden="1" x14ac:dyDescent="0.45">
      <c r="A62" s="102"/>
      <c r="B62" s="88">
        <f>'Student Basic Info'!A61</f>
        <v>560</v>
      </c>
      <c r="C62" s="86" t="str">
        <f>'Student Basic Info'!C61</f>
        <v>Nadiya Tasmin Nipu</v>
      </c>
      <c r="D62" s="89">
        <f>'Detailed Summary'!AK61</f>
        <v>3.5</v>
      </c>
      <c r="E62" s="89">
        <f>'Detailed Summary'!AL61</f>
        <v>0</v>
      </c>
      <c r="F62" s="89">
        <f>'Detailed Summary'!AM61</f>
        <v>2</v>
      </c>
      <c r="G62" s="89">
        <f>'Detailed Summary'!AN61</f>
        <v>0</v>
      </c>
      <c r="H62" s="89">
        <f>'Detailed Summary'!AO61</f>
        <v>2</v>
      </c>
      <c r="I62" s="89">
        <f>'Detailed Summary'!AP61</f>
        <v>1</v>
      </c>
      <c r="J62" s="89">
        <f>'Detailed Summary'!AR61</f>
        <v>2</v>
      </c>
      <c r="K62" s="89">
        <f>'Detailed Summary'!AS61</f>
        <v>0</v>
      </c>
      <c r="L62" s="39">
        <f>'Detailed Summary'!AU61</f>
        <v>8.5</v>
      </c>
      <c r="M62" s="87" t="str">
        <f>'Detailed Summary'!AV61</f>
        <v/>
      </c>
      <c r="N62" s="3" t="str">
        <f>'Detailed Summary'!BF61</f>
        <v>Failed in 2 Subjects</v>
      </c>
      <c r="O62" s="87" t="str">
        <f>'Detailed Summary'!AW61</f>
        <v/>
      </c>
      <c r="P62" s="5" t="str">
        <f>'Detailed Summary'!BG61</f>
        <v/>
      </c>
    </row>
    <row r="63" spans="1:16" ht="18.5" hidden="1" x14ac:dyDescent="0.45">
      <c r="A63" s="102"/>
      <c r="B63" s="88">
        <f>'Student Basic Info'!A62</f>
        <v>561</v>
      </c>
      <c r="C63" s="86" t="str">
        <f>'Student Basic Info'!C62</f>
        <v>Umme Habiba Niha</v>
      </c>
      <c r="D63" s="89">
        <f>'Detailed Summary'!AK62</f>
        <v>0</v>
      </c>
      <c r="E63" s="89">
        <f>'Detailed Summary'!AL62</f>
        <v>0</v>
      </c>
      <c r="F63" s="89">
        <f>'Detailed Summary'!AM62</f>
        <v>0</v>
      </c>
      <c r="G63" s="89">
        <f>'Detailed Summary'!AN62</f>
        <v>0</v>
      </c>
      <c r="H63" s="89">
        <f>'Detailed Summary'!AO62</f>
        <v>0</v>
      </c>
      <c r="I63" s="89" t="str">
        <f>'Detailed Summary'!AP62</f>
        <v/>
      </c>
      <c r="J63" s="89">
        <f>'Detailed Summary'!AR62</f>
        <v>0</v>
      </c>
      <c r="K63" s="89">
        <f>'Detailed Summary'!AS62</f>
        <v>0</v>
      </c>
      <c r="L63" s="39">
        <f>'Detailed Summary'!AU62</f>
        <v>0</v>
      </c>
      <c r="M63" s="87" t="str">
        <f>'Detailed Summary'!AV62</f>
        <v/>
      </c>
      <c r="N63" s="3" t="str">
        <f>'Detailed Summary'!BF62</f>
        <v>Failed in 6 Subjects</v>
      </c>
      <c r="O63" s="87" t="str">
        <f>'Detailed Summary'!AW62</f>
        <v/>
      </c>
      <c r="P63" s="5" t="str">
        <f>'Detailed Summary'!BG62</f>
        <v/>
      </c>
    </row>
    <row r="64" spans="1:16" ht="18.5" hidden="1" x14ac:dyDescent="0.45">
      <c r="A64" s="102"/>
      <c r="B64" s="88">
        <f>'Student Basic Info'!A63</f>
        <v>562</v>
      </c>
      <c r="C64" s="86" t="str">
        <f>'Student Basic Info'!C63</f>
        <v>Md. Ridwan Hosain</v>
      </c>
      <c r="D64" s="89" t="str">
        <f>'Detailed Summary'!AK63</f>
        <v/>
      </c>
      <c r="E64" s="89" t="str">
        <f>'Detailed Summary'!AL63</f>
        <v/>
      </c>
      <c r="F64" s="89" t="str">
        <f>'Detailed Summary'!AM63</f>
        <v/>
      </c>
      <c r="G64" s="89" t="str">
        <f>'Detailed Summary'!AN63</f>
        <v/>
      </c>
      <c r="H64" s="89" t="str">
        <f>'Detailed Summary'!AO63</f>
        <v/>
      </c>
      <c r="I64" s="89" t="str">
        <f>'Detailed Summary'!AP63</f>
        <v/>
      </c>
      <c r="J64" s="89" t="str">
        <f>'Detailed Summary'!AR63</f>
        <v/>
      </c>
      <c r="K64" s="89" t="str">
        <f>'Detailed Summary'!AS63</f>
        <v/>
      </c>
      <c r="L64" s="39">
        <f>'Detailed Summary'!AU63</f>
        <v>0</v>
      </c>
      <c r="M64" s="87" t="str">
        <f>'Detailed Summary'!AV63</f>
        <v/>
      </c>
      <c r="N64" s="3" t="str">
        <f>'Detailed Summary'!BF63</f>
        <v>Failed in 6 Subjects</v>
      </c>
      <c r="O64" s="87" t="str">
        <f>'Detailed Summary'!AW63</f>
        <v/>
      </c>
      <c r="P64" s="5" t="str">
        <f>'Detailed Summary'!BG63</f>
        <v/>
      </c>
    </row>
    <row r="65" spans="1:16" ht="18.5" hidden="1" x14ac:dyDescent="0.45">
      <c r="A65" s="102"/>
      <c r="B65" s="88">
        <f>'Student Basic Info'!A64</f>
        <v>563</v>
      </c>
      <c r="C65" s="86" t="str">
        <f>'Student Basic Info'!C64</f>
        <v>Mehedi Hasan Rahim</v>
      </c>
      <c r="D65" s="89" t="str">
        <f>'Detailed Summary'!AK64</f>
        <v/>
      </c>
      <c r="E65" s="89" t="str">
        <f>'Detailed Summary'!AL64</f>
        <v/>
      </c>
      <c r="F65" s="89" t="str">
        <f>'Detailed Summary'!AM64</f>
        <v/>
      </c>
      <c r="G65" s="89" t="str">
        <f>'Detailed Summary'!AN64</f>
        <v/>
      </c>
      <c r="H65" s="89" t="str">
        <f>'Detailed Summary'!AO64</f>
        <v/>
      </c>
      <c r="I65" s="89" t="str">
        <f>'Detailed Summary'!AP64</f>
        <v/>
      </c>
      <c r="J65" s="89" t="str">
        <f>'Detailed Summary'!AR64</f>
        <v/>
      </c>
      <c r="K65" s="89" t="str">
        <f>'Detailed Summary'!AS64</f>
        <v/>
      </c>
      <c r="L65" s="39">
        <f>'Detailed Summary'!AU64</f>
        <v>0</v>
      </c>
      <c r="M65" s="87" t="str">
        <f>'Detailed Summary'!AV64</f>
        <v/>
      </c>
      <c r="N65" s="3" t="str">
        <f>'Detailed Summary'!BF64</f>
        <v>Failed in 6 Subjects</v>
      </c>
      <c r="O65" s="87" t="str">
        <f>'Detailed Summary'!AW64</f>
        <v/>
      </c>
      <c r="P65" s="5" t="str">
        <f>'Detailed Summary'!BG64</f>
        <v/>
      </c>
    </row>
    <row r="66" spans="1:16" ht="18.5" hidden="1" x14ac:dyDescent="0.45">
      <c r="A66" s="102"/>
      <c r="B66" s="88">
        <f>'Student Basic Info'!A65</f>
        <v>564</v>
      </c>
      <c r="C66" s="86" t="str">
        <f>'Student Basic Info'!C65</f>
        <v>Mominul Haque</v>
      </c>
      <c r="D66" s="89" t="str">
        <f>'Detailed Summary'!AK65</f>
        <v/>
      </c>
      <c r="E66" s="89" t="str">
        <f>'Detailed Summary'!AL65</f>
        <v/>
      </c>
      <c r="F66" s="89" t="str">
        <f>'Detailed Summary'!AM65</f>
        <v/>
      </c>
      <c r="G66" s="89" t="str">
        <f>'Detailed Summary'!AN65</f>
        <v/>
      </c>
      <c r="H66" s="89" t="str">
        <f>'Detailed Summary'!AO65</f>
        <v/>
      </c>
      <c r="I66" s="89" t="str">
        <f>'Detailed Summary'!AP65</f>
        <v/>
      </c>
      <c r="J66" s="89" t="str">
        <f>'Detailed Summary'!AR65</f>
        <v/>
      </c>
      <c r="K66" s="89" t="str">
        <f>'Detailed Summary'!AS65</f>
        <v/>
      </c>
      <c r="L66" s="39">
        <f>'Detailed Summary'!AU65</f>
        <v>0</v>
      </c>
      <c r="M66" s="87" t="str">
        <f>'Detailed Summary'!AV65</f>
        <v/>
      </c>
      <c r="N66" s="3" t="str">
        <f>'Detailed Summary'!BF65</f>
        <v>Failed in 6 Subjects</v>
      </c>
      <c r="O66" s="87" t="str">
        <f>'Detailed Summary'!AW65</f>
        <v/>
      </c>
      <c r="P66" s="5" t="str">
        <f>'Detailed Summary'!BG65</f>
        <v/>
      </c>
    </row>
    <row r="67" spans="1:16" ht="18.5" hidden="1" x14ac:dyDescent="0.45">
      <c r="A67" s="102"/>
      <c r="B67" s="88">
        <f>'Student Basic Info'!A66</f>
        <v>565</v>
      </c>
      <c r="C67" s="86" t="str">
        <f>'Student Basic Info'!C66</f>
        <v>Farhana Islam</v>
      </c>
      <c r="D67" s="89">
        <f>'Detailed Summary'!AK66</f>
        <v>2</v>
      </c>
      <c r="E67" s="89">
        <f>'Detailed Summary'!AL66</f>
        <v>0</v>
      </c>
      <c r="F67" s="89">
        <f>'Detailed Summary'!AM66</f>
        <v>2</v>
      </c>
      <c r="G67" s="89">
        <f>'Detailed Summary'!AN66</f>
        <v>3</v>
      </c>
      <c r="H67" s="89">
        <f>'Detailed Summary'!AO66</f>
        <v>0</v>
      </c>
      <c r="I67" s="89">
        <f>'Detailed Summary'!AP66</f>
        <v>2</v>
      </c>
      <c r="J67" s="89" t="str">
        <f>'Detailed Summary'!AR66</f>
        <v/>
      </c>
      <c r="K67" s="89" t="str">
        <f>'Detailed Summary'!AS66</f>
        <v/>
      </c>
      <c r="L67" s="39">
        <f>'Detailed Summary'!AU66</f>
        <v>9</v>
      </c>
      <c r="M67" s="87" t="str">
        <f>'Detailed Summary'!AV66</f>
        <v/>
      </c>
      <c r="N67" s="3" t="str">
        <f>'Detailed Summary'!BF66</f>
        <v>Failed in 2 Subjects</v>
      </c>
      <c r="O67" s="87" t="str">
        <f>'Detailed Summary'!AW66</f>
        <v/>
      </c>
      <c r="P67" s="5" t="str">
        <f>'Detailed Summary'!BG66</f>
        <v/>
      </c>
    </row>
    <row r="68" spans="1:16" ht="18.5" hidden="1" x14ac:dyDescent="0.45">
      <c r="A68" s="102"/>
      <c r="B68" s="88">
        <f>'Student Basic Info'!A67</f>
        <v>566</v>
      </c>
      <c r="C68" s="86" t="str">
        <f>'Student Basic Info'!C67</f>
        <v>Md. Mushfiqul Alom</v>
      </c>
      <c r="D68" s="89" t="str">
        <f>'Detailed Summary'!AK67</f>
        <v/>
      </c>
      <c r="E68" s="89" t="str">
        <f>'Detailed Summary'!AL67</f>
        <v/>
      </c>
      <c r="F68" s="89" t="str">
        <f>'Detailed Summary'!AM67</f>
        <v/>
      </c>
      <c r="G68" s="89" t="str">
        <f>'Detailed Summary'!AN67</f>
        <v/>
      </c>
      <c r="H68" s="89" t="str">
        <f>'Detailed Summary'!AO67</f>
        <v/>
      </c>
      <c r="I68" s="89" t="str">
        <f>'Detailed Summary'!AP67</f>
        <v/>
      </c>
      <c r="J68" s="89" t="str">
        <f>'Detailed Summary'!AR67</f>
        <v/>
      </c>
      <c r="K68" s="89" t="str">
        <f>'Detailed Summary'!AS67</f>
        <v/>
      </c>
      <c r="L68" s="39">
        <f>'Detailed Summary'!AU67</f>
        <v>0</v>
      </c>
      <c r="M68" s="87" t="str">
        <f>'Detailed Summary'!AV67</f>
        <v/>
      </c>
      <c r="N68" s="3" t="str">
        <f>'Detailed Summary'!BF67</f>
        <v>Failed in 6 Subjects</v>
      </c>
      <c r="O68" s="87" t="str">
        <f>'Detailed Summary'!AW67</f>
        <v/>
      </c>
      <c r="P68" s="5" t="str">
        <f>'Detailed Summary'!BG67</f>
        <v/>
      </c>
    </row>
    <row r="69" spans="1:16" ht="18.5" hidden="1" x14ac:dyDescent="0.45">
      <c r="A69" s="102"/>
      <c r="B69" s="88">
        <f>'Student Basic Info'!A68</f>
        <v>567</v>
      </c>
      <c r="C69" s="86" t="str">
        <f>'Student Basic Info'!C68</f>
        <v>Fokhrul Alom</v>
      </c>
      <c r="D69" s="89">
        <f>'Detailed Summary'!AK68</f>
        <v>0</v>
      </c>
      <c r="E69" s="89">
        <f>'Detailed Summary'!AL68</f>
        <v>0</v>
      </c>
      <c r="F69" s="89">
        <f>'Detailed Summary'!AM68</f>
        <v>0</v>
      </c>
      <c r="G69" s="89">
        <f>'Detailed Summary'!AN68</f>
        <v>0</v>
      </c>
      <c r="H69" s="89">
        <f>'Detailed Summary'!AO68</f>
        <v>0</v>
      </c>
      <c r="I69" s="89">
        <f>'Detailed Summary'!AP68</f>
        <v>0</v>
      </c>
      <c r="J69" s="89">
        <f>'Detailed Summary'!AR68</f>
        <v>0</v>
      </c>
      <c r="K69" s="89">
        <f>'Detailed Summary'!AS68</f>
        <v>0</v>
      </c>
      <c r="L69" s="39">
        <f>'Detailed Summary'!AU68</f>
        <v>0</v>
      </c>
      <c r="M69" s="87" t="str">
        <f>'Detailed Summary'!AV68</f>
        <v/>
      </c>
      <c r="N69" s="3" t="str">
        <f>'Detailed Summary'!BF68</f>
        <v>Failed in 6 Subjects</v>
      </c>
      <c r="O69" s="87" t="str">
        <f>'Detailed Summary'!AW68</f>
        <v/>
      </c>
      <c r="P69" s="5" t="str">
        <f>'Detailed Summary'!BG68</f>
        <v/>
      </c>
    </row>
    <row r="70" spans="1:16" ht="18.5" hidden="1" x14ac:dyDescent="0.45">
      <c r="A70" s="102"/>
      <c r="B70" s="88">
        <f>'Student Basic Info'!A69</f>
        <v>568</v>
      </c>
      <c r="C70" s="86" t="str">
        <f>'Student Basic Info'!C69</f>
        <v>Sanzida Aktar Ruhi</v>
      </c>
      <c r="D70" s="89">
        <f>'Detailed Summary'!AK69</f>
        <v>0</v>
      </c>
      <c r="E70" s="89">
        <f>'Detailed Summary'!AL69</f>
        <v>0</v>
      </c>
      <c r="F70" s="89">
        <f>'Detailed Summary'!AM69</f>
        <v>0</v>
      </c>
      <c r="G70" s="89">
        <f>'Detailed Summary'!AN69</f>
        <v>0</v>
      </c>
      <c r="H70" s="89">
        <f>'Detailed Summary'!AO69</f>
        <v>0</v>
      </c>
      <c r="I70" s="89">
        <f>'Detailed Summary'!AP69</f>
        <v>0</v>
      </c>
      <c r="J70" s="89">
        <f>'Detailed Summary'!AR69</f>
        <v>0</v>
      </c>
      <c r="K70" s="89">
        <f>'Detailed Summary'!AS69</f>
        <v>0</v>
      </c>
      <c r="L70" s="39">
        <f>'Detailed Summary'!AU69</f>
        <v>0</v>
      </c>
      <c r="M70" s="87" t="str">
        <f>'Detailed Summary'!AV69</f>
        <v/>
      </c>
      <c r="N70" s="3" t="str">
        <f>'Detailed Summary'!BF69</f>
        <v>Failed in 6 Subjects</v>
      </c>
      <c r="O70" s="87" t="str">
        <f>'Detailed Summary'!AW69</f>
        <v/>
      </c>
      <c r="P70" s="5" t="str">
        <f>'Detailed Summary'!BG69</f>
        <v/>
      </c>
    </row>
    <row r="71" spans="1:16" ht="18.5" hidden="1" x14ac:dyDescent="0.45">
      <c r="A71" s="102"/>
      <c r="B71" s="88">
        <f>'Student Basic Info'!A70</f>
        <v>569</v>
      </c>
      <c r="C71" s="86" t="str">
        <f>'Student Basic Info'!C70</f>
        <v>Miheraz Hosain</v>
      </c>
      <c r="D71" s="89" t="str">
        <f>'Detailed Summary'!AK70</f>
        <v/>
      </c>
      <c r="E71" s="89" t="str">
        <f>'Detailed Summary'!AL70</f>
        <v/>
      </c>
      <c r="F71" s="89" t="str">
        <f>'Detailed Summary'!AM70</f>
        <v/>
      </c>
      <c r="G71" s="89" t="str">
        <f>'Detailed Summary'!AN70</f>
        <v/>
      </c>
      <c r="H71" s="89" t="str">
        <f>'Detailed Summary'!AO70</f>
        <v/>
      </c>
      <c r="I71" s="89" t="str">
        <f>'Detailed Summary'!AP70</f>
        <v/>
      </c>
      <c r="J71" s="89" t="str">
        <f>'Detailed Summary'!AR70</f>
        <v/>
      </c>
      <c r="K71" s="89" t="str">
        <f>'Detailed Summary'!AS70</f>
        <v/>
      </c>
      <c r="L71" s="39">
        <f>'Detailed Summary'!AU70</f>
        <v>0</v>
      </c>
      <c r="M71" s="87" t="str">
        <f>'Detailed Summary'!AV70</f>
        <v/>
      </c>
      <c r="N71" s="3" t="str">
        <f>'Detailed Summary'!BF70</f>
        <v>Failed in 6 Subjects</v>
      </c>
      <c r="O71" s="87" t="str">
        <f>'Detailed Summary'!AW70</f>
        <v/>
      </c>
      <c r="P71" s="5" t="str">
        <f>'Detailed Summary'!BG70</f>
        <v/>
      </c>
    </row>
    <row r="72" spans="1:16" ht="18.5" hidden="1" x14ac:dyDescent="0.45">
      <c r="A72" s="102"/>
      <c r="B72" s="88">
        <f>'Student Basic Info'!A71</f>
        <v>570</v>
      </c>
      <c r="C72" s="86" t="str">
        <f>'Student Basic Info'!C71</f>
        <v>Md. Naymul Islam</v>
      </c>
      <c r="D72" s="89" t="str">
        <f>'Detailed Summary'!AK71</f>
        <v/>
      </c>
      <c r="E72" s="89" t="str">
        <f>'Detailed Summary'!AL71</f>
        <v/>
      </c>
      <c r="F72" s="89" t="str">
        <f>'Detailed Summary'!AM71</f>
        <v/>
      </c>
      <c r="G72" s="89" t="str">
        <f>'Detailed Summary'!AN71</f>
        <v/>
      </c>
      <c r="H72" s="89" t="str">
        <f>'Detailed Summary'!AO71</f>
        <v/>
      </c>
      <c r="I72" s="89" t="str">
        <f>'Detailed Summary'!AP71</f>
        <v/>
      </c>
      <c r="J72" s="89" t="str">
        <f>'Detailed Summary'!AR71</f>
        <v/>
      </c>
      <c r="K72" s="89" t="str">
        <f>'Detailed Summary'!AS71</f>
        <v/>
      </c>
      <c r="L72" s="39">
        <f>'Detailed Summary'!AU71</f>
        <v>0</v>
      </c>
      <c r="M72" s="87" t="str">
        <f>'Detailed Summary'!AV71</f>
        <v/>
      </c>
      <c r="N72" s="3" t="str">
        <f>'Detailed Summary'!BF71</f>
        <v>Failed in 6 Subjects</v>
      </c>
      <c r="O72" s="87" t="str">
        <f>'Detailed Summary'!AW71</f>
        <v/>
      </c>
      <c r="P72" s="5" t="str">
        <f>'Detailed Summary'!BG71</f>
        <v/>
      </c>
    </row>
    <row r="73" spans="1:16" ht="18.5" hidden="1" x14ac:dyDescent="0.45">
      <c r="A73" s="102"/>
      <c r="B73" s="88">
        <f>'Student Basic Info'!A72</f>
        <v>571</v>
      </c>
      <c r="C73" s="86" t="str">
        <f>'Student Basic Info'!C72</f>
        <v>Nirob Chandra Dhupi</v>
      </c>
      <c r="D73" s="89" t="str">
        <f>'Detailed Summary'!AK72</f>
        <v/>
      </c>
      <c r="E73" s="89" t="str">
        <f>'Detailed Summary'!AL72</f>
        <v/>
      </c>
      <c r="F73" s="89" t="str">
        <f>'Detailed Summary'!AM72</f>
        <v/>
      </c>
      <c r="G73" s="89" t="str">
        <f>'Detailed Summary'!AN72</f>
        <v/>
      </c>
      <c r="H73" s="89" t="str">
        <f>'Detailed Summary'!AO72</f>
        <v/>
      </c>
      <c r="I73" s="89" t="str">
        <f>'Detailed Summary'!AP72</f>
        <v/>
      </c>
      <c r="J73" s="89" t="str">
        <f>'Detailed Summary'!AR72</f>
        <v/>
      </c>
      <c r="K73" s="89" t="str">
        <f>'Detailed Summary'!AS72</f>
        <v/>
      </c>
      <c r="L73" s="39">
        <f>'Detailed Summary'!AU72</f>
        <v>0</v>
      </c>
      <c r="M73" s="87" t="str">
        <f>'Detailed Summary'!AV72</f>
        <v/>
      </c>
      <c r="N73" s="3" t="str">
        <f>'Detailed Summary'!BF72</f>
        <v>Failed in 6 Subjects</v>
      </c>
      <c r="O73" s="87" t="str">
        <f>'Detailed Summary'!AW72</f>
        <v/>
      </c>
      <c r="P73" s="5" t="str">
        <f>'Detailed Summary'!BG72</f>
        <v/>
      </c>
    </row>
    <row r="74" spans="1:16" ht="18.5" hidden="1" x14ac:dyDescent="0.45">
      <c r="A74" s="102"/>
      <c r="B74" s="88">
        <f>'Student Basic Info'!A73</f>
        <v>572</v>
      </c>
      <c r="C74" s="86" t="str">
        <f>'Student Basic Info'!C73</f>
        <v>Abu Bokkor Siddik</v>
      </c>
      <c r="D74" s="89">
        <f>'Detailed Summary'!AK73</f>
        <v>0</v>
      </c>
      <c r="E74" s="89">
        <f>'Detailed Summary'!AL73</f>
        <v>0</v>
      </c>
      <c r="F74" s="89">
        <f>'Detailed Summary'!AM73</f>
        <v>0</v>
      </c>
      <c r="G74" s="89">
        <f>'Detailed Summary'!AN73</f>
        <v>0</v>
      </c>
      <c r="H74" s="89">
        <f>'Detailed Summary'!AO73</f>
        <v>0</v>
      </c>
      <c r="I74" s="89">
        <f>'Detailed Summary'!AP73</f>
        <v>0</v>
      </c>
      <c r="J74" s="89">
        <f>'Detailed Summary'!AR73</f>
        <v>0</v>
      </c>
      <c r="K74" s="89">
        <f>'Detailed Summary'!AS73</f>
        <v>0</v>
      </c>
      <c r="L74" s="39">
        <f>'Detailed Summary'!AU73</f>
        <v>0</v>
      </c>
      <c r="M74" s="87" t="str">
        <f>'Detailed Summary'!AV73</f>
        <v/>
      </c>
      <c r="N74" s="3" t="str">
        <f>'Detailed Summary'!BF73</f>
        <v>Failed in 6 Subjects</v>
      </c>
      <c r="O74" s="87" t="str">
        <f>'Detailed Summary'!AW73</f>
        <v/>
      </c>
      <c r="P74" s="5" t="str">
        <f>'Detailed Summary'!BG73</f>
        <v/>
      </c>
    </row>
    <row r="75" spans="1:16" ht="18.5" hidden="1" x14ac:dyDescent="0.45">
      <c r="A75" s="102"/>
      <c r="B75" s="88">
        <f>'Student Basic Info'!A74</f>
        <v>573</v>
      </c>
      <c r="C75" s="86" t="str">
        <f>'Student Basic Info'!C74</f>
        <v>Sultan Ahammed Nafiz</v>
      </c>
      <c r="D75" s="89">
        <f>'Detailed Summary'!AK74</f>
        <v>0</v>
      </c>
      <c r="E75" s="89">
        <f>'Detailed Summary'!AL74</f>
        <v>0</v>
      </c>
      <c r="F75" s="89">
        <f>'Detailed Summary'!AM74</f>
        <v>0</v>
      </c>
      <c r="G75" s="89">
        <f>'Detailed Summary'!AN74</f>
        <v>0</v>
      </c>
      <c r="H75" s="89">
        <f>'Detailed Summary'!AO74</f>
        <v>0</v>
      </c>
      <c r="I75" s="89">
        <f>'Detailed Summary'!AP74</f>
        <v>0</v>
      </c>
      <c r="J75" s="89">
        <f>'Detailed Summary'!AR74</f>
        <v>0</v>
      </c>
      <c r="K75" s="89">
        <f>'Detailed Summary'!AS74</f>
        <v>0</v>
      </c>
      <c r="L75" s="39">
        <f>'Detailed Summary'!AU74</f>
        <v>0</v>
      </c>
      <c r="M75" s="87" t="str">
        <f>'Detailed Summary'!AV74</f>
        <v/>
      </c>
      <c r="N75" s="3" t="str">
        <f>'Detailed Summary'!BF74</f>
        <v>Failed in 6 Subjects</v>
      </c>
      <c r="O75" s="87" t="str">
        <f>'Detailed Summary'!AW74</f>
        <v/>
      </c>
      <c r="P75" s="5" t="str">
        <f>'Detailed Summary'!BG74</f>
        <v/>
      </c>
    </row>
    <row r="76" spans="1:16" ht="18.5" hidden="1" x14ac:dyDescent="0.45">
      <c r="A76" s="102"/>
      <c r="B76" s="88">
        <f>'Student Basic Info'!A75</f>
        <v>574</v>
      </c>
      <c r="C76" s="86" t="str">
        <f>'Student Basic Info'!C75</f>
        <v xml:space="preserve">Mehedi Hasan </v>
      </c>
      <c r="D76" s="89" t="str">
        <f>'Detailed Summary'!AK75</f>
        <v/>
      </c>
      <c r="E76" s="89" t="str">
        <f>'Detailed Summary'!AL75</f>
        <v/>
      </c>
      <c r="F76" s="89">
        <f>'Detailed Summary'!AM75</f>
        <v>0</v>
      </c>
      <c r="G76" s="89">
        <f>'Detailed Summary'!AN75</f>
        <v>0</v>
      </c>
      <c r="H76" s="89">
        <f>'Detailed Summary'!AO75</f>
        <v>0</v>
      </c>
      <c r="I76" s="89">
        <f>'Detailed Summary'!AP75</f>
        <v>0</v>
      </c>
      <c r="J76" s="89" t="str">
        <f>'Detailed Summary'!AR75</f>
        <v/>
      </c>
      <c r="K76" s="89" t="str">
        <f>'Detailed Summary'!AS75</f>
        <v/>
      </c>
      <c r="L76" s="39">
        <f>'Detailed Summary'!AU75</f>
        <v>0</v>
      </c>
      <c r="M76" s="87" t="str">
        <f>'Detailed Summary'!AV75</f>
        <v/>
      </c>
      <c r="N76" s="3" t="str">
        <f>'Detailed Summary'!BF75</f>
        <v>Failed in 6 Subjects</v>
      </c>
      <c r="O76" s="87" t="str">
        <f>'Detailed Summary'!AW75</f>
        <v/>
      </c>
      <c r="P76" s="5" t="str">
        <f>'Detailed Summary'!BG75</f>
        <v/>
      </c>
    </row>
    <row r="77" spans="1:16" ht="18.5" hidden="1" x14ac:dyDescent="0.45">
      <c r="A77" s="102"/>
      <c r="B77" s="88">
        <f>'Student Basic Info'!A76</f>
        <v>575</v>
      </c>
      <c r="C77" s="86" t="str">
        <f>'Student Basic Info'!C76</f>
        <v>Torikul Islam</v>
      </c>
      <c r="D77" s="89" t="str">
        <f>'Detailed Summary'!AK76</f>
        <v/>
      </c>
      <c r="E77" s="89" t="str">
        <f>'Detailed Summary'!AL76</f>
        <v/>
      </c>
      <c r="F77" s="89" t="str">
        <f>'Detailed Summary'!AM76</f>
        <v/>
      </c>
      <c r="G77" s="89" t="str">
        <f>'Detailed Summary'!AN76</f>
        <v/>
      </c>
      <c r="H77" s="89" t="str">
        <f>'Detailed Summary'!AO76</f>
        <v/>
      </c>
      <c r="I77" s="89" t="str">
        <f>'Detailed Summary'!AP76</f>
        <v/>
      </c>
      <c r="J77" s="89" t="str">
        <f>'Detailed Summary'!AR76</f>
        <v/>
      </c>
      <c r="K77" s="89" t="str">
        <f>'Detailed Summary'!AS76</f>
        <v/>
      </c>
      <c r="L77" s="39">
        <f>'Detailed Summary'!AU76</f>
        <v>0</v>
      </c>
      <c r="M77" s="87" t="str">
        <f>'Detailed Summary'!AV76</f>
        <v/>
      </c>
      <c r="N77" s="3" t="str">
        <f>'Detailed Summary'!BF76</f>
        <v>Failed in 6 Subjects</v>
      </c>
      <c r="O77" s="87" t="str">
        <f>'Detailed Summary'!AW76</f>
        <v/>
      </c>
      <c r="P77" s="5" t="str">
        <f>'Detailed Summary'!BG76</f>
        <v/>
      </c>
    </row>
    <row r="78" spans="1:16" ht="18.5" hidden="1" x14ac:dyDescent="0.45">
      <c r="A78" s="102"/>
      <c r="B78" s="88">
        <f>'Student Basic Info'!A77</f>
        <v>576</v>
      </c>
      <c r="C78" s="86" t="str">
        <f>'Student Basic Info'!C77</f>
        <v>Irin Aktar</v>
      </c>
      <c r="D78" s="89" t="str">
        <f>'Detailed Summary'!AK77</f>
        <v/>
      </c>
      <c r="E78" s="89" t="str">
        <f>'Detailed Summary'!AL77</f>
        <v/>
      </c>
      <c r="F78" s="89" t="str">
        <f>'Detailed Summary'!AM77</f>
        <v/>
      </c>
      <c r="G78" s="89" t="str">
        <f>'Detailed Summary'!AN77</f>
        <v/>
      </c>
      <c r="H78" s="89" t="str">
        <f>'Detailed Summary'!AO77</f>
        <v/>
      </c>
      <c r="I78" s="89" t="str">
        <f>'Detailed Summary'!AP77</f>
        <v/>
      </c>
      <c r="J78" s="89" t="str">
        <f>'Detailed Summary'!AR77</f>
        <v/>
      </c>
      <c r="K78" s="89" t="str">
        <f>'Detailed Summary'!AS77</f>
        <v/>
      </c>
      <c r="L78" s="39">
        <f>'Detailed Summary'!AU77</f>
        <v>0</v>
      </c>
      <c r="M78" s="87" t="str">
        <f>'Detailed Summary'!AV77</f>
        <v/>
      </c>
      <c r="N78" s="3" t="str">
        <f>'Detailed Summary'!BF77</f>
        <v>Failed in 6 Subjects</v>
      </c>
      <c r="O78" s="87" t="str">
        <f>'Detailed Summary'!AW77</f>
        <v/>
      </c>
      <c r="P78" s="5" t="str">
        <f>'Detailed Summary'!BG77</f>
        <v/>
      </c>
    </row>
    <row r="79" spans="1:16" ht="18.5" hidden="1" x14ac:dyDescent="0.45">
      <c r="A79" s="102"/>
      <c r="B79" s="88">
        <f>'Student Basic Info'!A78</f>
        <v>577</v>
      </c>
      <c r="C79" s="86" t="str">
        <f>'Student Basic Info'!C78</f>
        <v>Karimul Islam</v>
      </c>
      <c r="D79" s="89">
        <f>'Detailed Summary'!AK78</f>
        <v>1</v>
      </c>
      <c r="E79" s="89">
        <f>'Detailed Summary'!AL78</f>
        <v>0</v>
      </c>
      <c r="F79" s="89">
        <f>'Detailed Summary'!AM78</f>
        <v>0</v>
      </c>
      <c r="G79" s="89">
        <f>'Detailed Summary'!AN78</f>
        <v>0</v>
      </c>
      <c r="H79" s="89">
        <f>'Detailed Summary'!AO78</f>
        <v>0</v>
      </c>
      <c r="I79" s="89">
        <f>'Detailed Summary'!AP78</f>
        <v>0</v>
      </c>
      <c r="J79" s="89">
        <f>'Detailed Summary'!AR78</f>
        <v>1</v>
      </c>
      <c r="K79" s="89">
        <f>'Detailed Summary'!AS78</f>
        <v>0</v>
      </c>
      <c r="L79" s="39">
        <f>'Detailed Summary'!AU78</f>
        <v>1</v>
      </c>
      <c r="M79" s="87" t="str">
        <f>'Detailed Summary'!AV78</f>
        <v/>
      </c>
      <c r="N79" s="3" t="str">
        <f>'Detailed Summary'!BF78</f>
        <v>Failed in 5 Subjects</v>
      </c>
      <c r="O79" s="87" t="str">
        <f>'Detailed Summary'!AW78</f>
        <v/>
      </c>
      <c r="P79" s="5" t="str">
        <f>'Detailed Summary'!BG78</f>
        <v/>
      </c>
    </row>
    <row r="80" spans="1:16" ht="18.5" hidden="1" x14ac:dyDescent="0.45">
      <c r="A80" s="102"/>
      <c r="B80" s="88">
        <f>'Student Basic Info'!A79</f>
        <v>578</v>
      </c>
      <c r="C80" s="86" t="str">
        <f>'Student Basic Info'!C79</f>
        <v>Omor Faruque</v>
      </c>
      <c r="D80" s="89" t="str">
        <f>'Detailed Summary'!AK79</f>
        <v/>
      </c>
      <c r="E80" s="89" t="str">
        <f>'Detailed Summary'!AL79</f>
        <v/>
      </c>
      <c r="F80" s="89" t="str">
        <f>'Detailed Summary'!AM79</f>
        <v/>
      </c>
      <c r="G80" s="89" t="str">
        <f>'Detailed Summary'!AN79</f>
        <v/>
      </c>
      <c r="H80" s="89" t="str">
        <f>'Detailed Summary'!AO79</f>
        <v/>
      </c>
      <c r="I80" s="89" t="str">
        <f>'Detailed Summary'!AP79</f>
        <v/>
      </c>
      <c r="J80" s="89" t="str">
        <f>'Detailed Summary'!AR79</f>
        <v/>
      </c>
      <c r="K80" s="89" t="str">
        <f>'Detailed Summary'!AS79</f>
        <v/>
      </c>
      <c r="L80" s="39">
        <f>'Detailed Summary'!AU79</f>
        <v>0</v>
      </c>
      <c r="M80" s="87" t="str">
        <f>'Detailed Summary'!AV79</f>
        <v/>
      </c>
      <c r="N80" s="3" t="str">
        <f>'Detailed Summary'!BF79</f>
        <v>Failed in 6 Subjects</v>
      </c>
      <c r="O80" s="87" t="str">
        <f>'Detailed Summary'!AW79</f>
        <v/>
      </c>
      <c r="P80" s="5" t="str">
        <f>'Detailed Summary'!BG79</f>
        <v/>
      </c>
    </row>
    <row r="81" spans="1:16" ht="18.5" hidden="1" x14ac:dyDescent="0.45">
      <c r="A81" s="102"/>
      <c r="B81" s="88">
        <f>'Student Basic Info'!A80</f>
        <v>579</v>
      </c>
      <c r="C81" s="86" t="str">
        <f>'Student Basic Info'!C80</f>
        <v xml:space="preserve">Yousup Ashraf </v>
      </c>
      <c r="D81" s="89" t="str">
        <f>'Detailed Summary'!AK80</f>
        <v/>
      </c>
      <c r="E81" s="89" t="str">
        <f>'Detailed Summary'!AL80</f>
        <v/>
      </c>
      <c r="F81" s="89" t="str">
        <f>'Detailed Summary'!AM80</f>
        <v/>
      </c>
      <c r="G81" s="89" t="str">
        <f>'Detailed Summary'!AN80</f>
        <v/>
      </c>
      <c r="H81" s="89" t="str">
        <f>'Detailed Summary'!AO80</f>
        <v/>
      </c>
      <c r="I81" s="89" t="str">
        <f>'Detailed Summary'!AP80</f>
        <v/>
      </c>
      <c r="J81" s="89" t="str">
        <f>'Detailed Summary'!AR80</f>
        <v/>
      </c>
      <c r="K81" s="89" t="str">
        <f>'Detailed Summary'!AS80</f>
        <v/>
      </c>
      <c r="L81" s="39">
        <f>'Detailed Summary'!AU80</f>
        <v>0</v>
      </c>
      <c r="M81" s="87" t="str">
        <f>'Detailed Summary'!AV80</f>
        <v/>
      </c>
      <c r="N81" s="3" t="str">
        <f>'Detailed Summary'!BF80</f>
        <v>Failed in 6 Subjects</v>
      </c>
      <c r="O81" s="87" t="str">
        <f>'Detailed Summary'!AW80</f>
        <v/>
      </c>
      <c r="P81" s="5" t="str">
        <f>'Detailed Summary'!BG80</f>
        <v/>
      </c>
    </row>
    <row r="82" spans="1:16" ht="18.5" hidden="1" x14ac:dyDescent="0.45">
      <c r="A82" s="102"/>
      <c r="B82" s="88">
        <f>'Student Basic Info'!A81</f>
        <v>580</v>
      </c>
      <c r="C82" s="86" t="str">
        <f>'Student Basic Info'!C81</f>
        <v>Ala Uddin</v>
      </c>
      <c r="D82" s="89" t="str">
        <f>'Detailed Summary'!AK81</f>
        <v/>
      </c>
      <c r="E82" s="89" t="str">
        <f>'Detailed Summary'!AL81</f>
        <v/>
      </c>
      <c r="F82" s="89" t="str">
        <f>'Detailed Summary'!AM81</f>
        <v/>
      </c>
      <c r="G82" s="89" t="str">
        <f>'Detailed Summary'!AN81</f>
        <v/>
      </c>
      <c r="H82" s="89" t="str">
        <f>'Detailed Summary'!AO81</f>
        <v/>
      </c>
      <c r="I82" s="89" t="str">
        <f>'Detailed Summary'!AP81</f>
        <v/>
      </c>
      <c r="J82" s="89" t="str">
        <f>'Detailed Summary'!AR81</f>
        <v/>
      </c>
      <c r="K82" s="89" t="str">
        <f>'Detailed Summary'!AS81</f>
        <v/>
      </c>
      <c r="L82" s="39">
        <f>'Detailed Summary'!AU81</f>
        <v>0</v>
      </c>
      <c r="M82" s="87" t="str">
        <f>'Detailed Summary'!AV81</f>
        <v/>
      </c>
      <c r="N82" s="3" t="str">
        <f>'Detailed Summary'!BF81</f>
        <v>Failed in 6 Subjects</v>
      </c>
      <c r="O82" s="87" t="str">
        <f>'Detailed Summary'!AW81</f>
        <v/>
      </c>
      <c r="P82" s="5" t="str">
        <f>'Detailed Summary'!BG81</f>
        <v/>
      </c>
    </row>
    <row r="83" spans="1:16" ht="18.5" hidden="1" x14ac:dyDescent="0.45">
      <c r="A83" s="102"/>
      <c r="B83" s="88">
        <f>'Student Basic Info'!A82</f>
        <v>581</v>
      </c>
      <c r="C83" s="86" t="str">
        <f>'Student Basic Info'!C82</f>
        <v>Meheraz Hasan</v>
      </c>
      <c r="D83" s="89" t="str">
        <f>'Detailed Summary'!AK82</f>
        <v/>
      </c>
      <c r="E83" s="89">
        <f>'Detailed Summary'!AL82</f>
        <v>0</v>
      </c>
      <c r="F83" s="89">
        <f>'Detailed Summary'!AM82</f>
        <v>0</v>
      </c>
      <c r="G83" s="89" t="str">
        <f>'Detailed Summary'!AN82</f>
        <v/>
      </c>
      <c r="H83" s="89" t="str">
        <f>'Detailed Summary'!AO82</f>
        <v/>
      </c>
      <c r="I83" s="89">
        <f>'Detailed Summary'!AP82</f>
        <v>0</v>
      </c>
      <c r="J83" s="89">
        <f>'Detailed Summary'!AR82</f>
        <v>0</v>
      </c>
      <c r="K83" s="89">
        <f>'Detailed Summary'!AS82</f>
        <v>0</v>
      </c>
      <c r="L83" s="39">
        <f>'Detailed Summary'!AU82</f>
        <v>0</v>
      </c>
      <c r="M83" s="87" t="str">
        <f>'Detailed Summary'!AV82</f>
        <v/>
      </c>
      <c r="N83" s="3" t="str">
        <f>'Detailed Summary'!BF82</f>
        <v>Failed in 6 Subjects</v>
      </c>
      <c r="O83" s="87" t="str">
        <f>'Detailed Summary'!AW82</f>
        <v/>
      </c>
      <c r="P83" s="5" t="str">
        <f>'Detailed Summary'!BG82</f>
        <v/>
      </c>
    </row>
    <row r="84" spans="1:16" ht="18.5" hidden="1" x14ac:dyDescent="0.45">
      <c r="A84" s="102"/>
      <c r="B84" s="88">
        <f>'Student Basic Info'!A83</f>
        <v>582</v>
      </c>
      <c r="C84" s="86" t="str">
        <f>'Student Basic Info'!C83</f>
        <v>Imran Hosain</v>
      </c>
      <c r="D84" s="89" t="str">
        <f>'Detailed Summary'!AK83</f>
        <v/>
      </c>
      <c r="E84" s="89" t="str">
        <f>'Detailed Summary'!AL83</f>
        <v/>
      </c>
      <c r="F84" s="89" t="str">
        <f>'Detailed Summary'!AM83</f>
        <v/>
      </c>
      <c r="G84" s="89" t="str">
        <f>'Detailed Summary'!AN83</f>
        <v/>
      </c>
      <c r="H84" s="89" t="str">
        <f>'Detailed Summary'!AO83</f>
        <v/>
      </c>
      <c r="I84" s="89" t="str">
        <f>'Detailed Summary'!AP83</f>
        <v/>
      </c>
      <c r="J84" s="89" t="str">
        <f>'Detailed Summary'!AR83</f>
        <v/>
      </c>
      <c r="K84" s="89" t="str">
        <f>'Detailed Summary'!AS83</f>
        <v/>
      </c>
      <c r="L84" s="39">
        <f>'Detailed Summary'!AU83</f>
        <v>0</v>
      </c>
      <c r="M84" s="87" t="str">
        <f>'Detailed Summary'!AV83</f>
        <v/>
      </c>
      <c r="N84" s="3" t="str">
        <f>'Detailed Summary'!BF83</f>
        <v>Failed in 6 Subjects</v>
      </c>
      <c r="O84" s="87" t="str">
        <f>'Detailed Summary'!AW83</f>
        <v/>
      </c>
      <c r="P84" s="5" t="str">
        <f>'Detailed Summary'!BG83</f>
        <v/>
      </c>
    </row>
    <row r="85" spans="1:16" ht="18.5" hidden="1" x14ac:dyDescent="0.45">
      <c r="A85" s="102"/>
      <c r="B85" s="88">
        <f>'Student Basic Info'!A84</f>
        <v>583</v>
      </c>
      <c r="C85" s="86" t="str">
        <f>'Student Basic Info'!C84</f>
        <v>Raihanul Haque</v>
      </c>
      <c r="D85" s="89" t="str">
        <f>'Detailed Summary'!AK84</f>
        <v/>
      </c>
      <c r="E85" s="89" t="str">
        <f>'Detailed Summary'!AL84</f>
        <v/>
      </c>
      <c r="F85" s="89" t="str">
        <f>'Detailed Summary'!AM84</f>
        <v/>
      </c>
      <c r="G85" s="89" t="str">
        <f>'Detailed Summary'!AN84</f>
        <v/>
      </c>
      <c r="H85" s="89" t="str">
        <f>'Detailed Summary'!AO84</f>
        <v/>
      </c>
      <c r="I85" s="89" t="str">
        <f>'Detailed Summary'!AP84</f>
        <v/>
      </c>
      <c r="J85" s="89" t="str">
        <f>'Detailed Summary'!AR84</f>
        <v/>
      </c>
      <c r="K85" s="89" t="str">
        <f>'Detailed Summary'!AS84</f>
        <v/>
      </c>
      <c r="L85" s="39">
        <f>'Detailed Summary'!AU84</f>
        <v>0</v>
      </c>
      <c r="M85" s="87" t="str">
        <f>'Detailed Summary'!AV84</f>
        <v/>
      </c>
      <c r="N85" s="3" t="str">
        <f>'Detailed Summary'!BF84</f>
        <v>Failed in 6 Subjects</v>
      </c>
      <c r="O85" s="87" t="str">
        <f>'Detailed Summary'!AW84</f>
        <v/>
      </c>
      <c r="P85" s="5" t="str">
        <f>'Detailed Summary'!BG84</f>
        <v/>
      </c>
    </row>
    <row r="86" spans="1:16" ht="18.5" hidden="1" x14ac:dyDescent="0.45">
      <c r="A86" s="102"/>
      <c r="B86" s="88">
        <f>'Student Basic Info'!A85</f>
        <v>584</v>
      </c>
      <c r="C86" s="86" t="str">
        <f>'Student Basic Info'!C85</f>
        <v>Mohammad Tahmid</v>
      </c>
      <c r="D86" s="89">
        <f>'Detailed Summary'!AK85</f>
        <v>2</v>
      </c>
      <c r="E86" s="89">
        <f>'Detailed Summary'!AL85</f>
        <v>0</v>
      </c>
      <c r="F86" s="89">
        <f>'Detailed Summary'!AM85</f>
        <v>0</v>
      </c>
      <c r="G86" s="89">
        <f>'Detailed Summary'!AN85</f>
        <v>0</v>
      </c>
      <c r="H86" s="89" t="str">
        <f>'Detailed Summary'!AO85</f>
        <v/>
      </c>
      <c r="I86" s="89">
        <f>'Detailed Summary'!AP85</f>
        <v>0</v>
      </c>
      <c r="J86" s="89">
        <f>'Detailed Summary'!AR85</f>
        <v>0</v>
      </c>
      <c r="K86" s="89">
        <f>'Detailed Summary'!AS85</f>
        <v>0</v>
      </c>
      <c r="L86" s="39">
        <f>'Detailed Summary'!AU85</f>
        <v>2</v>
      </c>
      <c r="M86" s="87" t="str">
        <f>'Detailed Summary'!AV85</f>
        <v/>
      </c>
      <c r="N86" s="3" t="str">
        <f>'Detailed Summary'!BF85</f>
        <v>Failed in 5 Subjects</v>
      </c>
      <c r="O86" s="87" t="str">
        <f>'Detailed Summary'!AW85</f>
        <v/>
      </c>
      <c r="P86" s="5" t="str">
        <f>'Detailed Summary'!BG85</f>
        <v/>
      </c>
    </row>
    <row r="87" spans="1:16" ht="18.5" hidden="1" x14ac:dyDescent="0.45">
      <c r="A87" s="102"/>
      <c r="B87" s="88">
        <f>'Student Basic Info'!A86</f>
        <v>585</v>
      </c>
      <c r="C87" s="86" t="str">
        <f>'Student Basic Info'!C86</f>
        <v xml:space="preserve">Imam Hosain </v>
      </c>
      <c r="D87" s="89">
        <f>'Detailed Summary'!AK86</f>
        <v>1</v>
      </c>
      <c r="E87" s="89">
        <f>'Detailed Summary'!AL86</f>
        <v>0</v>
      </c>
      <c r="F87" s="89">
        <f>'Detailed Summary'!AM86</f>
        <v>0</v>
      </c>
      <c r="G87" s="89">
        <f>'Detailed Summary'!AN86</f>
        <v>0</v>
      </c>
      <c r="H87" s="89">
        <f>'Detailed Summary'!AO86</f>
        <v>0</v>
      </c>
      <c r="I87" s="89">
        <f>'Detailed Summary'!AP86</f>
        <v>2</v>
      </c>
      <c r="J87" s="89">
        <f>'Detailed Summary'!AR86</f>
        <v>0</v>
      </c>
      <c r="K87" s="89">
        <f>'Detailed Summary'!AS86</f>
        <v>0</v>
      </c>
      <c r="L87" s="39">
        <f>'Detailed Summary'!AU86</f>
        <v>3</v>
      </c>
      <c r="M87" s="87" t="str">
        <f>'Detailed Summary'!AV86</f>
        <v/>
      </c>
      <c r="N87" s="3" t="str">
        <f>'Detailed Summary'!BF86</f>
        <v>Failed in 4 Subjects</v>
      </c>
      <c r="O87" s="87" t="str">
        <f>'Detailed Summary'!AW86</f>
        <v/>
      </c>
      <c r="P87" s="5" t="str">
        <f>'Detailed Summary'!BG86</f>
        <v/>
      </c>
    </row>
    <row r="88" spans="1:16" ht="18.5" hidden="1" x14ac:dyDescent="0.45">
      <c r="A88" s="102"/>
      <c r="B88" s="88">
        <f>'Student Basic Info'!A87</f>
        <v>586</v>
      </c>
      <c r="C88" s="86" t="str">
        <f>'Student Basic Info'!C87</f>
        <v>Abdur Rahman</v>
      </c>
      <c r="D88" s="89">
        <f>'Detailed Summary'!AK87</f>
        <v>1</v>
      </c>
      <c r="E88" s="89">
        <f>'Detailed Summary'!AL87</f>
        <v>0</v>
      </c>
      <c r="F88" s="89">
        <f>'Detailed Summary'!AM87</f>
        <v>0</v>
      </c>
      <c r="G88" s="89">
        <f>'Detailed Summary'!AN87</f>
        <v>0</v>
      </c>
      <c r="H88" s="89">
        <f>'Detailed Summary'!AO87</f>
        <v>0</v>
      </c>
      <c r="I88" s="89">
        <f>'Detailed Summary'!AP87</f>
        <v>0</v>
      </c>
      <c r="J88" s="89">
        <f>'Detailed Summary'!AR87</f>
        <v>0</v>
      </c>
      <c r="K88" s="89">
        <f>'Detailed Summary'!AS87</f>
        <v>0</v>
      </c>
      <c r="L88" s="39">
        <f>'Detailed Summary'!AU87</f>
        <v>1</v>
      </c>
      <c r="M88" s="87" t="str">
        <f>'Detailed Summary'!AV87</f>
        <v/>
      </c>
      <c r="N88" s="3" t="str">
        <f>'Detailed Summary'!BF87</f>
        <v>Failed in 5 Subjects</v>
      </c>
      <c r="O88" s="87" t="str">
        <f>'Detailed Summary'!AW87</f>
        <v/>
      </c>
      <c r="P88" s="5" t="str">
        <f>'Detailed Summary'!BG87</f>
        <v/>
      </c>
    </row>
    <row r="89" spans="1:16" ht="18.5" hidden="1" x14ac:dyDescent="0.45">
      <c r="A89" s="102"/>
      <c r="B89" s="88">
        <f>'Student Basic Info'!A88</f>
        <v>587</v>
      </c>
      <c r="C89" s="86" t="str">
        <f>'Student Basic Info'!C88</f>
        <v xml:space="preserve">Romana Aktar </v>
      </c>
      <c r="D89" s="89">
        <f>'Detailed Summary'!AK88</f>
        <v>3</v>
      </c>
      <c r="E89" s="89">
        <f>'Detailed Summary'!AL88</f>
        <v>0</v>
      </c>
      <c r="F89" s="89">
        <f>'Detailed Summary'!AM88</f>
        <v>0</v>
      </c>
      <c r="G89" s="89">
        <f>'Detailed Summary'!AN88</f>
        <v>0</v>
      </c>
      <c r="H89" s="89">
        <f>'Detailed Summary'!AO88</f>
        <v>0</v>
      </c>
      <c r="I89" s="89">
        <f>'Detailed Summary'!AP88</f>
        <v>2</v>
      </c>
      <c r="J89" s="89">
        <f>'Detailed Summary'!AR88</f>
        <v>0</v>
      </c>
      <c r="K89" s="89">
        <f>'Detailed Summary'!AS88</f>
        <v>0</v>
      </c>
      <c r="L89" s="39">
        <f>'Detailed Summary'!AU88</f>
        <v>5</v>
      </c>
      <c r="M89" s="87" t="str">
        <f>'Detailed Summary'!AV88</f>
        <v/>
      </c>
      <c r="N89" s="3" t="str">
        <f>'Detailed Summary'!BF88</f>
        <v>Failed in 4 Subjects</v>
      </c>
      <c r="O89" s="87" t="str">
        <f>'Detailed Summary'!AW88</f>
        <v/>
      </c>
      <c r="P89" s="5" t="str">
        <f>'Detailed Summary'!BG88</f>
        <v/>
      </c>
    </row>
    <row r="90" spans="1:16" ht="18.5" hidden="1" x14ac:dyDescent="0.45">
      <c r="A90" s="102"/>
      <c r="B90" s="88">
        <f>'Student Basic Info'!A89</f>
        <v>588</v>
      </c>
      <c r="C90" s="86" t="str">
        <f>'Student Basic Info'!C89</f>
        <v>Prithika Rani Debi</v>
      </c>
      <c r="D90" s="89">
        <f>'Detailed Summary'!AK89</f>
        <v>3</v>
      </c>
      <c r="E90" s="89">
        <f>'Detailed Summary'!AL89</f>
        <v>0</v>
      </c>
      <c r="F90" s="89">
        <f>'Detailed Summary'!AM89</f>
        <v>0</v>
      </c>
      <c r="G90" s="89">
        <f>'Detailed Summary'!AN89</f>
        <v>0</v>
      </c>
      <c r="H90" s="89">
        <f>'Detailed Summary'!AO89</f>
        <v>0</v>
      </c>
      <c r="I90" s="89">
        <f>'Detailed Summary'!AP89</f>
        <v>2</v>
      </c>
      <c r="J90" s="89">
        <f>'Detailed Summary'!AR89</f>
        <v>0</v>
      </c>
      <c r="K90" s="89">
        <f>'Detailed Summary'!AS89</f>
        <v>0</v>
      </c>
      <c r="L90" s="39">
        <f>'Detailed Summary'!AU89</f>
        <v>5</v>
      </c>
      <c r="M90" s="87" t="str">
        <f>'Detailed Summary'!AV89</f>
        <v/>
      </c>
      <c r="N90" s="3" t="str">
        <f>'Detailed Summary'!BF89</f>
        <v>Failed in 4 Subjects</v>
      </c>
      <c r="O90" s="87" t="str">
        <f>'Detailed Summary'!AW89</f>
        <v/>
      </c>
      <c r="P90" s="5" t="str">
        <f>'Detailed Summary'!BG89</f>
        <v/>
      </c>
    </row>
    <row r="91" spans="1:16" ht="18.5" hidden="1" x14ac:dyDescent="0.45">
      <c r="A91" s="102"/>
      <c r="B91" s="88">
        <f>'Student Basic Info'!A90</f>
        <v>589</v>
      </c>
      <c r="C91" s="86" t="str">
        <f>'Student Basic Info'!C90</f>
        <v>Mohammad Shahriyar Nafiz</v>
      </c>
      <c r="D91" s="89" t="str">
        <f>'Detailed Summary'!AK90</f>
        <v/>
      </c>
      <c r="E91" s="89" t="str">
        <f>'Detailed Summary'!AL90</f>
        <v/>
      </c>
      <c r="F91" s="89" t="str">
        <f>'Detailed Summary'!AM90</f>
        <v/>
      </c>
      <c r="G91" s="89" t="str">
        <f>'Detailed Summary'!AN90</f>
        <v/>
      </c>
      <c r="H91" s="89" t="str">
        <f>'Detailed Summary'!AO90</f>
        <v/>
      </c>
      <c r="I91" s="89" t="str">
        <f>'Detailed Summary'!AP90</f>
        <v/>
      </c>
      <c r="J91" s="89" t="str">
        <f>'Detailed Summary'!AR90</f>
        <v/>
      </c>
      <c r="K91" s="89" t="str">
        <f>'Detailed Summary'!AS90</f>
        <v/>
      </c>
      <c r="L91" s="39">
        <f>'Detailed Summary'!AU90</f>
        <v>0</v>
      </c>
      <c r="M91" s="87" t="str">
        <f>'Detailed Summary'!AV90</f>
        <v/>
      </c>
      <c r="N91" s="3" t="str">
        <f>'Detailed Summary'!BF90</f>
        <v>Failed in 6 Subjects</v>
      </c>
      <c r="O91" s="87" t="str">
        <f>'Detailed Summary'!AW90</f>
        <v/>
      </c>
      <c r="P91" s="5" t="str">
        <f>'Detailed Summary'!BG90</f>
        <v/>
      </c>
    </row>
    <row r="92" spans="1:16" ht="18.5" hidden="1" x14ac:dyDescent="0.45">
      <c r="A92" s="102"/>
      <c r="B92" s="88">
        <f>'Student Basic Info'!A91</f>
        <v>590</v>
      </c>
      <c r="C92" s="86" t="str">
        <f>'Student Basic Info'!C91</f>
        <v>Rumpa Rani Debi</v>
      </c>
      <c r="D92" s="89" t="str">
        <f>'Detailed Summary'!AK91</f>
        <v/>
      </c>
      <c r="E92" s="89" t="str">
        <f>'Detailed Summary'!AL91</f>
        <v/>
      </c>
      <c r="F92" s="89" t="str">
        <f>'Detailed Summary'!AM91</f>
        <v/>
      </c>
      <c r="G92" s="89" t="str">
        <f>'Detailed Summary'!AN91</f>
        <v/>
      </c>
      <c r="H92" s="89" t="str">
        <f>'Detailed Summary'!AO91</f>
        <v/>
      </c>
      <c r="I92" s="89" t="str">
        <f>'Detailed Summary'!AP91</f>
        <v/>
      </c>
      <c r="J92" s="89" t="str">
        <f>'Detailed Summary'!AR91</f>
        <v/>
      </c>
      <c r="K92" s="89" t="str">
        <f>'Detailed Summary'!AS91</f>
        <v/>
      </c>
      <c r="L92" s="39">
        <f>'Detailed Summary'!AU91</f>
        <v>0</v>
      </c>
      <c r="M92" s="87" t="str">
        <f>'Detailed Summary'!AV91</f>
        <v/>
      </c>
      <c r="N92" s="3" t="str">
        <f>'Detailed Summary'!BF91</f>
        <v>Failed in 6 Subjects</v>
      </c>
      <c r="O92" s="87" t="str">
        <f>'Detailed Summary'!AW91</f>
        <v/>
      </c>
      <c r="P92" s="5" t="str">
        <f>'Detailed Summary'!BG91</f>
        <v/>
      </c>
    </row>
    <row r="93" spans="1:16" ht="18.5" hidden="1" x14ac:dyDescent="0.45">
      <c r="A93" s="102"/>
      <c r="B93" s="88">
        <f>'Student Basic Info'!A92</f>
        <v>591</v>
      </c>
      <c r="C93" s="86" t="str">
        <f>'Student Basic Info'!C92</f>
        <v>Saiful Islam</v>
      </c>
      <c r="D93" s="89">
        <f>'Detailed Summary'!AK92</f>
        <v>2</v>
      </c>
      <c r="E93" s="89">
        <f>'Detailed Summary'!AL92</f>
        <v>1</v>
      </c>
      <c r="F93" s="89">
        <f>'Detailed Summary'!AM92</f>
        <v>3</v>
      </c>
      <c r="G93" s="89">
        <f>'Detailed Summary'!AN92</f>
        <v>0</v>
      </c>
      <c r="H93" s="89">
        <f>'Detailed Summary'!AO92</f>
        <v>0</v>
      </c>
      <c r="I93" s="89">
        <f>'Detailed Summary'!AP92</f>
        <v>0</v>
      </c>
      <c r="J93" s="89">
        <f>'Detailed Summary'!AR92</f>
        <v>0</v>
      </c>
      <c r="K93" s="89">
        <f>'Detailed Summary'!AS92</f>
        <v>0</v>
      </c>
      <c r="L93" s="39">
        <f>'Detailed Summary'!AU92</f>
        <v>6</v>
      </c>
      <c r="M93" s="87" t="str">
        <f>'Detailed Summary'!AV92</f>
        <v/>
      </c>
      <c r="N93" s="3" t="str">
        <f>'Detailed Summary'!BF92</f>
        <v>Failed in 3 Subjects</v>
      </c>
      <c r="O93" s="87" t="str">
        <f>'Detailed Summary'!AW92</f>
        <v/>
      </c>
      <c r="P93" s="5" t="str">
        <f>'Detailed Summary'!BG92</f>
        <v/>
      </c>
    </row>
    <row r="94" spans="1:16" ht="18.5" hidden="1" x14ac:dyDescent="0.45">
      <c r="A94" s="102"/>
      <c r="B94" s="88">
        <f>'Student Basic Info'!A93</f>
        <v>592</v>
      </c>
      <c r="C94" s="86" t="str">
        <f>'Student Basic Info'!C93</f>
        <v>Zohirul Islam</v>
      </c>
      <c r="D94" s="89">
        <f>'Detailed Summary'!AK93</f>
        <v>0</v>
      </c>
      <c r="E94" s="89">
        <f>'Detailed Summary'!AL93</f>
        <v>0</v>
      </c>
      <c r="F94" s="89">
        <f>'Detailed Summary'!AM93</f>
        <v>0</v>
      </c>
      <c r="G94" s="89">
        <f>'Detailed Summary'!AN93</f>
        <v>0</v>
      </c>
      <c r="H94" s="89">
        <f>'Detailed Summary'!AO93</f>
        <v>0</v>
      </c>
      <c r="I94" s="89">
        <f>'Detailed Summary'!AP93</f>
        <v>0</v>
      </c>
      <c r="J94" s="89">
        <f>'Detailed Summary'!AR93</f>
        <v>0</v>
      </c>
      <c r="K94" s="89">
        <f>'Detailed Summary'!AS93</f>
        <v>0</v>
      </c>
      <c r="L94" s="39">
        <f>'Detailed Summary'!AU93</f>
        <v>0</v>
      </c>
      <c r="M94" s="87" t="str">
        <f>'Detailed Summary'!AV93</f>
        <v/>
      </c>
      <c r="N94" s="3" t="str">
        <f>'Detailed Summary'!BF93</f>
        <v>Failed in 6 Subjects</v>
      </c>
      <c r="O94" s="87" t="str">
        <f>'Detailed Summary'!AW93</f>
        <v/>
      </c>
      <c r="P94" s="5" t="str">
        <f>'Detailed Summary'!BG93</f>
        <v/>
      </c>
    </row>
    <row r="95" spans="1:16" ht="18.5" hidden="1" x14ac:dyDescent="0.45">
      <c r="A95" s="102"/>
      <c r="B95" s="88">
        <f>'Student Basic Info'!A94</f>
        <v>593</v>
      </c>
      <c r="C95" s="86" t="str">
        <f>'Student Basic Info'!C94</f>
        <v>Jahedul Islam</v>
      </c>
      <c r="D95" s="89">
        <f>'Detailed Summary'!AK94</f>
        <v>2</v>
      </c>
      <c r="E95" s="89">
        <f>'Detailed Summary'!AL94</f>
        <v>2</v>
      </c>
      <c r="F95" s="89">
        <f>'Detailed Summary'!AM94</f>
        <v>0</v>
      </c>
      <c r="G95" s="89">
        <f>'Detailed Summary'!AN94</f>
        <v>0</v>
      </c>
      <c r="H95" s="89">
        <f>'Detailed Summary'!AO94</f>
        <v>0</v>
      </c>
      <c r="I95" s="89">
        <f>'Detailed Summary'!AP94</f>
        <v>0</v>
      </c>
      <c r="J95" s="89">
        <f>'Detailed Summary'!AR94</f>
        <v>0</v>
      </c>
      <c r="K95" s="89">
        <f>'Detailed Summary'!AS94</f>
        <v>0</v>
      </c>
      <c r="L95" s="39">
        <f>'Detailed Summary'!AU94</f>
        <v>4</v>
      </c>
      <c r="M95" s="87" t="str">
        <f>'Detailed Summary'!AV94</f>
        <v/>
      </c>
      <c r="N95" s="3" t="str">
        <f>'Detailed Summary'!BF94</f>
        <v>Failed in 4 Subjects</v>
      </c>
      <c r="O95" s="87" t="str">
        <f>'Detailed Summary'!AW94</f>
        <v/>
      </c>
      <c r="P95" s="5" t="str">
        <f>'Detailed Summary'!BG94</f>
        <v/>
      </c>
    </row>
    <row r="96" spans="1:16" ht="18.5" hidden="1" x14ac:dyDescent="0.45">
      <c r="A96" s="102"/>
      <c r="B96" s="88">
        <f>'Student Basic Info'!A95</f>
        <v>594</v>
      </c>
      <c r="C96" s="86" t="str">
        <f>'Student Basic Info'!C95</f>
        <v>Ali Hosain</v>
      </c>
      <c r="D96" s="89" t="str">
        <f>'Detailed Summary'!AK95</f>
        <v/>
      </c>
      <c r="E96" s="89" t="str">
        <f>'Detailed Summary'!AL95</f>
        <v/>
      </c>
      <c r="F96" s="89" t="str">
        <f>'Detailed Summary'!AM95</f>
        <v/>
      </c>
      <c r="G96" s="89" t="str">
        <f>'Detailed Summary'!AN95</f>
        <v/>
      </c>
      <c r="H96" s="89" t="str">
        <f>'Detailed Summary'!AO95</f>
        <v/>
      </c>
      <c r="I96" s="89" t="str">
        <f>'Detailed Summary'!AP95</f>
        <v/>
      </c>
      <c r="J96" s="89" t="str">
        <f>'Detailed Summary'!AR95</f>
        <v/>
      </c>
      <c r="K96" s="89" t="str">
        <f>'Detailed Summary'!AS95</f>
        <v/>
      </c>
      <c r="L96" s="39">
        <f>'Detailed Summary'!AU95</f>
        <v>0</v>
      </c>
      <c r="M96" s="87" t="str">
        <f>'Detailed Summary'!AV95</f>
        <v/>
      </c>
      <c r="N96" s="3" t="str">
        <f>'Detailed Summary'!BF95</f>
        <v>Failed in 6 Subjects</v>
      </c>
      <c r="O96" s="87" t="str">
        <f>'Detailed Summary'!AW95</f>
        <v/>
      </c>
      <c r="P96" s="5" t="str">
        <f>'Detailed Summary'!BG95</f>
        <v/>
      </c>
    </row>
    <row r="97" spans="1:16" ht="18.5" hidden="1" x14ac:dyDescent="0.45">
      <c r="A97" s="102"/>
      <c r="B97" s="88">
        <f>'Student Basic Info'!A96</f>
        <v>595</v>
      </c>
      <c r="C97" s="86" t="str">
        <f>'Student Basic Info'!C96</f>
        <v>Md. Saiful Islam</v>
      </c>
      <c r="D97" s="89" t="str">
        <f>'Detailed Summary'!AK96</f>
        <v/>
      </c>
      <c r="E97" s="89" t="str">
        <f>'Detailed Summary'!AL96</f>
        <v/>
      </c>
      <c r="F97" s="89" t="str">
        <f>'Detailed Summary'!AM96</f>
        <v/>
      </c>
      <c r="G97" s="89" t="str">
        <f>'Detailed Summary'!AN96</f>
        <v/>
      </c>
      <c r="H97" s="89" t="str">
        <f>'Detailed Summary'!AO96</f>
        <v/>
      </c>
      <c r="I97" s="89" t="str">
        <f>'Detailed Summary'!AP96</f>
        <v/>
      </c>
      <c r="J97" s="89" t="str">
        <f>'Detailed Summary'!AR96</f>
        <v/>
      </c>
      <c r="K97" s="89" t="str">
        <f>'Detailed Summary'!AS96</f>
        <v/>
      </c>
      <c r="L97" s="39">
        <f>'Detailed Summary'!AU96</f>
        <v>0</v>
      </c>
      <c r="M97" s="87" t="str">
        <f>'Detailed Summary'!AV96</f>
        <v/>
      </c>
      <c r="N97" s="3" t="str">
        <f>'Detailed Summary'!BF96</f>
        <v>Failed in 6 Subjects</v>
      </c>
      <c r="O97" s="87" t="str">
        <f>'Detailed Summary'!AW96</f>
        <v/>
      </c>
      <c r="P97" s="5" t="str">
        <f>'Detailed Summary'!BG96</f>
        <v/>
      </c>
    </row>
    <row r="98" spans="1:16" ht="18.5" hidden="1" x14ac:dyDescent="0.45">
      <c r="A98" s="102"/>
      <c r="B98" s="88">
        <f>'Student Basic Info'!A97</f>
        <v>596</v>
      </c>
      <c r="C98" s="86" t="str">
        <f>'Student Basic Info'!C97</f>
        <v>Ashiqur Rahman</v>
      </c>
      <c r="D98" s="89" t="str">
        <f>'Detailed Summary'!AK97</f>
        <v/>
      </c>
      <c r="E98" s="89" t="str">
        <f>'Detailed Summary'!AL97</f>
        <v/>
      </c>
      <c r="F98" s="89" t="str">
        <f>'Detailed Summary'!AM97</f>
        <v/>
      </c>
      <c r="G98" s="89" t="str">
        <f>'Detailed Summary'!AN97</f>
        <v/>
      </c>
      <c r="H98" s="89" t="str">
        <f>'Detailed Summary'!AO97</f>
        <v/>
      </c>
      <c r="I98" s="89" t="str">
        <f>'Detailed Summary'!AP97</f>
        <v/>
      </c>
      <c r="J98" s="89" t="str">
        <f>'Detailed Summary'!AR97</f>
        <v/>
      </c>
      <c r="K98" s="89" t="str">
        <f>'Detailed Summary'!AS97</f>
        <v/>
      </c>
      <c r="L98" s="39">
        <f>'Detailed Summary'!AU97</f>
        <v>0</v>
      </c>
      <c r="M98" s="87" t="str">
        <f>'Detailed Summary'!AV97</f>
        <v/>
      </c>
      <c r="N98" s="3" t="str">
        <f>'Detailed Summary'!BF97</f>
        <v>Failed in 6 Subjects</v>
      </c>
      <c r="O98" s="87" t="str">
        <f>'Detailed Summary'!AW97</f>
        <v/>
      </c>
      <c r="P98" s="5" t="str">
        <f>'Detailed Summary'!BG97</f>
        <v/>
      </c>
    </row>
    <row r="99" spans="1:16" ht="18.5" hidden="1" x14ac:dyDescent="0.45">
      <c r="A99" s="102"/>
      <c r="B99" s="88">
        <f>'Student Basic Info'!A98</f>
        <v>597</v>
      </c>
      <c r="C99" s="86" t="str">
        <f>'Student Basic Info'!C98</f>
        <v>Md. Shahadat Hosain Shakib</v>
      </c>
      <c r="D99" s="89" t="str">
        <f>'Detailed Summary'!AK98</f>
        <v/>
      </c>
      <c r="E99" s="89" t="str">
        <f>'Detailed Summary'!AL98</f>
        <v/>
      </c>
      <c r="F99" s="89" t="str">
        <f>'Detailed Summary'!AM98</f>
        <v/>
      </c>
      <c r="G99" s="89" t="str">
        <f>'Detailed Summary'!AN98</f>
        <v/>
      </c>
      <c r="H99" s="89" t="str">
        <f>'Detailed Summary'!AO98</f>
        <v/>
      </c>
      <c r="I99" s="89" t="str">
        <f>'Detailed Summary'!AP98</f>
        <v/>
      </c>
      <c r="J99" s="89" t="str">
        <f>'Detailed Summary'!AR98</f>
        <v/>
      </c>
      <c r="K99" s="89" t="str">
        <f>'Detailed Summary'!AS98</f>
        <v/>
      </c>
      <c r="L99" s="39">
        <f>'Detailed Summary'!AU98</f>
        <v>0</v>
      </c>
      <c r="M99" s="87" t="str">
        <f>'Detailed Summary'!AV98</f>
        <v/>
      </c>
      <c r="N99" s="3" t="str">
        <f>'Detailed Summary'!BF98</f>
        <v>Failed in 6 Subjects</v>
      </c>
      <c r="O99" s="87" t="str">
        <f>'Detailed Summary'!AW98</f>
        <v/>
      </c>
      <c r="P99" s="5" t="str">
        <f>'Detailed Summary'!BG98</f>
        <v/>
      </c>
    </row>
    <row r="100" spans="1:16" ht="18.5" hidden="1" x14ac:dyDescent="0.45">
      <c r="A100" s="102"/>
      <c r="B100" s="88">
        <f>'Student Basic Info'!A99</f>
        <v>598</v>
      </c>
      <c r="C100" s="86" t="str">
        <f>'Student Basic Info'!C99</f>
        <v>Shekh Shourov</v>
      </c>
      <c r="D100" s="89" t="str">
        <f>'Detailed Summary'!AK99</f>
        <v/>
      </c>
      <c r="E100" s="89" t="str">
        <f>'Detailed Summary'!AL99</f>
        <v/>
      </c>
      <c r="F100" s="89" t="str">
        <f>'Detailed Summary'!AM99</f>
        <v/>
      </c>
      <c r="G100" s="89" t="str">
        <f>'Detailed Summary'!AN99</f>
        <v/>
      </c>
      <c r="H100" s="89" t="str">
        <f>'Detailed Summary'!AO99</f>
        <v/>
      </c>
      <c r="I100" s="89" t="str">
        <f>'Detailed Summary'!AP99</f>
        <v/>
      </c>
      <c r="J100" s="89" t="str">
        <f>'Detailed Summary'!AR99</f>
        <v/>
      </c>
      <c r="K100" s="89" t="str">
        <f>'Detailed Summary'!AS99</f>
        <v/>
      </c>
      <c r="L100" s="39">
        <f>'Detailed Summary'!AU99</f>
        <v>0</v>
      </c>
      <c r="M100" s="87" t="str">
        <f>'Detailed Summary'!AV99</f>
        <v/>
      </c>
      <c r="N100" s="3" t="str">
        <f>'Detailed Summary'!BF99</f>
        <v>Failed in 6 Subjects</v>
      </c>
      <c r="O100" s="87" t="str">
        <f>'Detailed Summary'!AW99</f>
        <v/>
      </c>
      <c r="P100" s="5" t="str">
        <f>'Detailed Summary'!BG99</f>
        <v/>
      </c>
    </row>
    <row r="101" spans="1:16" ht="18.5" hidden="1" x14ac:dyDescent="0.45">
      <c r="A101" s="102"/>
      <c r="B101" s="88">
        <f>'Student Basic Info'!A100</f>
        <v>599</v>
      </c>
      <c r="C101" s="86" t="str">
        <f>'Student Basic Info'!C100</f>
        <v>Maliha Aktar</v>
      </c>
      <c r="D101" s="89" t="str">
        <f>'Detailed Summary'!AK100</f>
        <v/>
      </c>
      <c r="E101" s="89" t="str">
        <f>'Detailed Summary'!AL100</f>
        <v/>
      </c>
      <c r="F101" s="89" t="str">
        <f>'Detailed Summary'!AM100</f>
        <v/>
      </c>
      <c r="G101" s="89" t="str">
        <f>'Detailed Summary'!AN100</f>
        <v/>
      </c>
      <c r="H101" s="89" t="str">
        <f>'Detailed Summary'!AO100</f>
        <v/>
      </c>
      <c r="I101" s="89" t="str">
        <f>'Detailed Summary'!AP100</f>
        <v/>
      </c>
      <c r="J101" s="89" t="str">
        <f>'Detailed Summary'!AR100</f>
        <v/>
      </c>
      <c r="K101" s="89" t="str">
        <f>'Detailed Summary'!AS100</f>
        <v/>
      </c>
      <c r="L101" s="39">
        <f>'Detailed Summary'!AU100</f>
        <v>0</v>
      </c>
      <c r="M101" s="87" t="str">
        <f>'Detailed Summary'!AV100</f>
        <v/>
      </c>
      <c r="N101" s="3" t="str">
        <f>'Detailed Summary'!BF100</f>
        <v>Failed in 6 Subjects</v>
      </c>
      <c r="O101" s="87" t="str">
        <f>'Detailed Summary'!AW100</f>
        <v/>
      </c>
      <c r="P101" s="5" t="str">
        <f>'Detailed Summary'!BG100</f>
        <v/>
      </c>
    </row>
    <row r="102" spans="1:16" ht="18.5" hidden="1" x14ac:dyDescent="0.45">
      <c r="A102" s="102"/>
      <c r="B102" s="88">
        <f>'Student Basic Info'!A101</f>
        <v>600</v>
      </c>
      <c r="C102" s="86" t="str">
        <f>'Student Basic Info'!C101</f>
        <v>Nazmun Sabik Siyam</v>
      </c>
      <c r="D102" s="89">
        <f>'Detailed Summary'!AK101</f>
        <v>0</v>
      </c>
      <c r="E102" s="89">
        <f>'Detailed Summary'!AL101</f>
        <v>0</v>
      </c>
      <c r="F102" s="89">
        <f>'Detailed Summary'!AM101</f>
        <v>0</v>
      </c>
      <c r="G102" s="89">
        <f>'Detailed Summary'!AN101</f>
        <v>0</v>
      </c>
      <c r="H102" s="89">
        <f>'Detailed Summary'!AO101</f>
        <v>0</v>
      </c>
      <c r="I102" s="89" t="str">
        <f>'Detailed Summary'!AP101</f>
        <v/>
      </c>
      <c r="J102" s="89">
        <f>'Detailed Summary'!AR101</f>
        <v>0</v>
      </c>
      <c r="K102" s="89">
        <f>'Detailed Summary'!AS101</f>
        <v>0</v>
      </c>
      <c r="L102" s="39">
        <f>'Detailed Summary'!AU101</f>
        <v>0</v>
      </c>
      <c r="M102" s="87" t="str">
        <f>'Detailed Summary'!AV101</f>
        <v/>
      </c>
      <c r="N102" s="3" t="str">
        <f>'Detailed Summary'!BF101</f>
        <v>Failed in 6 Subjects</v>
      </c>
      <c r="O102" s="87" t="str">
        <f>'Detailed Summary'!AW101</f>
        <v/>
      </c>
      <c r="P102" s="5" t="str">
        <f>'Detailed Summary'!BG101</f>
        <v/>
      </c>
    </row>
    <row r="103" spans="1:16" ht="18.5" hidden="1" x14ac:dyDescent="0.45">
      <c r="A103" s="102"/>
      <c r="B103" s="88">
        <f>'Student Basic Info'!A102</f>
        <v>601</v>
      </c>
      <c r="C103" s="86" t="str">
        <f>'Student Basic Info'!C102</f>
        <v>Md. Ali Ashraf</v>
      </c>
      <c r="D103" s="89">
        <f>'Detailed Summary'!AK102</f>
        <v>0</v>
      </c>
      <c r="E103" s="89">
        <f>'Detailed Summary'!AL102</f>
        <v>0</v>
      </c>
      <c r="F103" s="89">
        <f>'Detailed Summary'!AM102</f>
        <v>0</v>
      </c>
      <c r="G103" s="89">
        <f>'Detailed Summary'!AN102</f>
        <v>0</v>
      </c>
      <c r="H103" s="89">
        <f>'Detailed Summary'!AO102</f>
        <v>0</v>
      </c>
      <c r="I103" s="89">
        <f>'Detailed Summary'!AP102</f>
        <v>0</v>
      </c>
      <c r="J103" s="89">
        <f>'Detailed Summary'!AR102</f>
        <v>0</v>
      </c>
      <c r="K103" s="89">
        <f>'Detailed Summary'!AS102</f>
        <v>0</v>
      </c>
      <c r="L103" s="39">
        <f>'Detailed Summary'!AU102</f>
        <v>0</v>
      </c>
      <c r="M103" s="87" t="str">
        <f>'Detailed Summary'!AV102</f>
        <v/>
      </c>
      <c r="N103" s="3" t="str">
        <f>'Detailed Summary'!BF102</f>
        <v>Failed in 6 Subjects</v>
      </c>
      <c r="O103" s="87" t="str">
        <f>'Detailed Summary'!AW102</f>
        <v/>
      </c>
      <c r="P103" s="5" t="str">
        <f>'Detailed Summary'!BG102</f>
        <v/>
      </c>
    </row>
    <row r="104" spans="1:16" ht="18.5" hidden="1" x14ac:dyDescent="0.45">
      <c r="A104" s="102"/>
      <c r="B104" s="88">
        <f>'Student Basic Info'!A103</f>
        <v>602</v>
      </c>
      <c r="C104" s="86" t="str">
        <f>'Student Basic Info'!C103</f>
        <v>Abu Sufiyan Noyon</v>
      </c>
      <c r="D104" s="89" t="str">
        <f>'Detailed Summary'!AK103</f>
        <v/>
      </c>
      <c r="E104" s="89" t="str">
        <f>'Detailed Summary'!AL103</f>
        <v/>
      </c>
      <c r="F104" s="89" t="str">
        <f>'Detailed Summary'!AM103</f>
        <v/>
      </c>
      <c r="G104" s="89" t="str">
        <f>'Detailed Summary'!AN103</f>
        <v/>
      </c>
      <c r="H104" s="89" t="str">
        <f>'Detailed Summary'!AO103</f>
        <v/>
      </c>
      <c r="I104" s="89" t="str">
        <f>'Detailed Summary'!AP103</f>
        <v/>
      </c>
      <c r="J104" s="89" t="str">
        <f>'Detailed Summary'!AR103</f>
        <v/>
      </c>
      <c r="K104" s="89" t="str">
        <f>'Detailed Summary'!AS103</f>
        <v/>
      </c>
      <c r="L104" s="39">
        <f>'Detailed Summary'!AU103</f>
        <v>0</v>
      </c>
      <c r="M104" s="87" t="str">
        <f>'Detailed Summary'!AV103</f>
        <v/>
      </c>
      <c r="N104" s="3" t="str">
        <f>'Detailed Summary'!BF103</f>
        <v>Failed in 6 Subjects</v>
      </c>
      <c r="O104" s="87" t="str">
        <f>'Detailed Summary'!AW103</f>
        <v/>
      </c>
      <c r="P104" s="5" t="str">
        <f>'Detailed Summary'!BG103</f>
        <v/>
      </c>
    </row>
    <row r="105" spans="1:16" ht="18.5" hidden="1" x14ac:dyDescent="0.45">
      <c r="A105" s="102"/>
      <c r="B105" s="88">
        <f>'Student Basic Info'!A104</f>
        <v>603</v>
      </c>
      <c r="C105" s="86" t="str">
        <f>'Student Basic Info'!C104</f>
        <v>Md. Omor Ali Zidan</v>
      </c>
      <c r="D105" s="89" t="str">
        <f>'Detailed Summary'!AK104</f>
        <v/>
      </c>
      <c r="E105" s="89" t="str">
        <f>'Detailed Summary'!AL104</f>
        <v/>
      </c>
      <c r="F105" s="89" t="str">
        <f>'Detailed Summary'!AM104</f>
        <v/>
      </c>
      <c r="G105" s="89" t="str">
        <f>'Detailed Summary'!AN104</f>
        <v/>
      </c>
      <c r="H105" s="89" t="str">
        <f>'Detailed Summary'!AO104</f>
        <v/>
      </c>
      <c r="I105" s="89" t="str">
        <f>'Detailed Summary'!AP104</f>
        <v/>
      </c>
      <c r="J105" s="89" t="str">
        <f>'Detailed Summary'!AR104</f>
        <v/>
      </c>
      <c r="K105" s="89" t="str">
        <f>'Detailed Summary'!AS104</f>
        <v/>
      </c>
      <c r="L105" s="39">
        <f>'Detailed Summary'!AU104</f>
        <v>0</v>
      </c>
      <c r="M105" s="87" t="str">
        <f>'Detailed Summary'!AV104</f>
        <v/>
      </c>
      <c r="N105" s="3" t="str">
        <f>'Detailed Summary'!BF104</f>
        <v>Failed in 6 Subjects</v>
      </c>
      <c r="O105" s="87" t="str">
        <f>'Detailed Summary'!AW104</f>
        <v/>
      </c>
      <c r="P105" s="5" t="str">
        <f>'Detailed Summary'!BG104</f>
        <v/>
      </c>
    </row>
    <row r="106" spans="1:16" ht="18.5" hidden="1" x14ac:dyDescent="0.45">
      <c r="A106" s="102"/>
      <c r="B106" s="88">
        <f>'Student Basic Info'!A105</f>
        <v>604</v>
      </c>
      <c r="C106" s="86" t="str">
        <f>'Student Basic Info'!C105</f>
        <v>Eti</v>
      </c>
      <c r="D106" s="89" t="str">
        <f>'Detailed Summary'!AK105</f>
        <v/>
      </c>
      <c r="E106" s="89" t="str">
        <f>'Detailed Summary'!AL105</f>
        <v/>
      </c>
      <c r="F106" s="89" t="str">
        <f>'Detailed Summary'!AM105</f>
        <v/>
      </c>
      <c r="G106" s="89" t="str">
        <f>'Detailed Summary'!AN105</f>
        <v/>
      </c>
      <c r="H106" s="89" t="str">
        <f>'Detailed Summary'!AO105</f>
        <v/>
      </c>
      <c r="I106" s="89" t="str">
        <f>'Detailed Summary'!AP105</f>
        <v/>
      </c>
      <c r="J106" s="89" t="str">
        <f>'Detailed Summary'!AR105</f>
        <v/>
      </c>
      <c r="K106" s="89" t="str">
        <f>'Detailed Summary'!AS105</f>
        <v/>
      </c>
      <c r="L106" s="39">
        <f>'Detailed Summary'!AU105</f>
        <v>0</v>
      </c>
      <c r="M106" s="87" t="str">
        <f>'Detailed Summary'!AV105</f>
        <v/>
      </c>
      <c r="N106" s="3" t="str">
        <f>'Detailed Summary'!BF105</f>
        <v>Failed in 6 Subjects</v>
      </c>
      <c r="O106" s="87" t="str">
        <f>'Detailed Summary'!AW105</f>
        <v/>
      </c>
      <c r="P106" s="5" t="str">
        <f>'Detailed Summary'!BG105</f>
        <v/>
      </c>
    </row>
    <row r="107" spans="1:16" ht="18.5" hidden="1" x14ac:dyDescent="0.45">
      <c r="A107" s="102"/>
      <c r="B107" s="88">
        <f>'Student Basic Info'!A106</f>
        <v>605</v>
      </c>
      <c r="C107" s="86" t="str">
        <f>'Student Basic Info'!C106</f>
        <v>Jhumur Mojumdar</v>
      </c>
      <c r="D107" s="89">
        <f>'Detailed Summary'!AK106</f>
        <v>2</v>
      </c>
      <c r="E107" s="89">
        <f>'Detailed Summary'!AL106</f>
        <v>0</v>
      </c>
      <c r="F107" s="89">
        <f>'Detailed Summary'!AM106</f>
        <v>0</v>
      </c>
      <c r="G107" s="89">
        <f>'Detailed Summary'!AN106</f>
        <v>0</v>
      </c>
      <c r="H107" s="89">
        <f>'Detailed Summary'!AO106</f>
        <v>0</v>
      </c>
      <c r="I107" s="89">
        <f>'Detailed Summary'!AP106</f>
        <v>1</v>
      </c>
      <c r="J107" s="89">
        <f>'Detailed Summary'!AR106</f>
        <v>2</v>
      </c>
      <c r="K107" s="89">
        <f>'Detailed Summary'!AS106</f>
        <v>0</v>
      </c>
      <c r="L107" s="39">
        <f>'Detailed Summary'!AU106</f>
        <v>3</v>
      </c>
      <c r="M107" s="87" t="str">
        <f>'Detailed Summary'!AV106</f>
        <v/>
      </c>
      <c r="N107" s="3" t="str">
        <f>'Detailed Summary'!BF106</f>
        <v>Failed in 4 Subjects</v>
      </c>
      <c r="O107" s="87" t="str">
        <f>'Detailed Summary'!AW106</f>
        <v/>
      </c>
      <c r="P107" s="5" t="str">
        <f>'Detailed Summary'!BG106</f>
        <v/>
      </c>
    </row>
    <row r="108" spans="1:16" ht="18.5" hidden="1" x14ac:dyDescent="0.45">
      <c r="A108" s="102"/>
      <c r="B108" s="88">
        <f>'Student Basic Info'!A107</f>
        <v>606</v>
      </c>
      <c r="C108" s="86" t="str">
        <f>'Student Basic Info'!C107</f>
        <v>Boishakhi Mojumdar</v>
      </c>
      <c r="D108" s="89">
        <f>'Detailed Summary'!AK107</f>
        <v>1</v>
      </c>
      <c r="E108" s="89">
        <f>'Detailed Summary'!AL107</f>
        <v>0</v>
      </c>
      <c r="F108" s="89">
        <f>'Detailed Summary'!AM107</f>
        <v>0</v>
      </c>
      <c r="G108" s="89">
        <f>'Detailed Summary'!AN107</f>
        <v>0</v>
      </c>
      <c r="H108" s="89">
        <f>'Detailed Summary'!AO107</f>
        <v>0</v>
      </c>
      <c r="I108" s="89">
        <f>'Detailed Summary'!AP107</f>
        <v>0</v>
      </c>
      <c r="J108" s="89">
        <f>'Detailed Summary'!AR107</f>
        <v>0</v>
      </c>
      <c r="K108" s="89">
        <f>'Detailed Summary'!AS107</f>
        <v>0</v>
      </c>
      <c r="L108" s="39">
        <f>'Detailed Summary'!AU107</f>
        <v>1</v>
      </c>
      <c r="M108" s="87" t="str">
        <f>'Detailed Summary'!AV107</f>
        <v/>
      </c>
      <c r="N108" s="3" t="str">
        <f>'Detailed Summary'!BF107</f>
        <v>Failed in 5 Subjects</v>
      </c>
      <c r="O108" s="87" t="str">
        <f>'Detailed Summary'!AW107</f>
        <v/>
      </c>
      <c r="P108" s="5" t="str">
        <f>'Detailed Summary'!BG107</f>
        <v/>
      </c>
    </row>
    <row r="109" spans="1:16" ht="18.5" hidden="1" x14ac:dyDescent="0.45">
      <c r="A109" s="102"/>
      <c r="B109" s="88">
        <f>'Student Basic Info'!A108</f>
        <v>607</v>
      </c>
      <c r="C109" s="86" t="str">
        <f>'Student Basic Info'!C108</f>
        <v>Shekh Shahriyar Aziz</v>
      </c>
      <c r="D109" s="89">
        <f>'Detailed Summary'!AK108</f>
        <v>0</v>
      </c>
      <c r="E109" s="89">
        <f>'Detailed Summary'!AL108</f>
        <v>0</v>
      </c>
      <c r="F109" s="89">
        <f>'Detailed Summary'!AM108</f>
        <v>0</v>
      </c>
      <c r="G109" s="89">
        <f>'Detailed Summary'!AN108</f>
        <v>0</v>
      </c>
      <c r="H109" s="89">
        <f>'Detailed Summary'!AO108</f>
        <v>0</v>
      </c>
      <c r="I109" s="89">
        <f>'Detailed Summary'!AP108</f>
        <v>0</v>
      </c>
      <c r="J109" s="89">
        <f>'Detailed Summary'!AR108</f>
        <v>0</v>
      </c>
      <c r="K109" s="89">
        <f>'Detailed Summary'!AS108</f>
        <v>0</v>
      </c>
      <c r="L109" s="39">
        <f>'Detailed Summary'!AU108</f>
        <v>0</v>
      </c>
      <c r="M109" s="87" t="str">
        <f>'Detailed Summary'!AV108</f>
        <v/>
      </c>
      <c r="N109" s="3" t="str">
        <f>'Detailed Summary'!BF108</f>
        <v>Failed in 6 Subjects</v>
      </c>
      <c r="O109" s="87" t="str">
        <f>'Detailed Summary'!AW108</f>
        <v/>
      </c>
      <c r="P109" s="5" t="str">
        <f>'Detailed Summary'!BG108</f>
        <v/>
      </c>
    </row>
    <row r="110" spans="1:16" ht="18.5" hidden="1" x14ac:dyDescent="0.45">
      <c r="A110" s="102"/>
      <c r="B110" s="88">
        <f>'Student Basic Info'!A109</f>
        <v>608</v>
      </c>
      <c r="C110" s="86" t="str">
        <f>'Student Basic Info'!C109</f>
        <v xml:space="preserve">Zahidul Islam </v>
      </c>
      <c r="D110" s="89">
        <f>'Detailed Summary'!AK109</f>
        <v>2</v>
      </c>
      <c r="E110" s="89">
        <f>'Detailed Summary'!AL109</f>
        <v>1</v>
      </c>
      <c r="F110" s="89">
        <f>'Detailed Summary'!AM109</f>
        <v>0</v>
      </c>
      <c r="G110" s="89">
        <f>'Detailed Summary'!AN109</f>
        <v>0</v>
      </c>
      <c r="H110" s="89">
        <f>'Detailed Summary'!AO109</f>
        <v>0</v>
      </c>
      <c r="I110" s="89">
        <f>'Detailed Summary'!AP109</f>
        <v>3</v>
      </c>
      <c r="J110" s="89">
        <f>'Detailed Summary'!AR109</f>
        <v>0</v>
      </c>
      <c r="K110" s="89">
        <f>'Detailed Summary'!AS109</f>
        <v>0</v>
      </c>
      <c r="L110" s="39">
        <f>'Detailed Summary'!AU109</f>
        <v>6</v>
      </c>
      <c r="M110" s="87" t="str">
        <f>'Detailed Summary'!AV109</f>
        <v/>
      </c>
      <c r="N110" s="3" t="str">
        <f>'Detailed Summary'!BF109</f>
        <v>Failed in 3 Subjects</v>
      </c>
      <c r="O110" s="87" t="str">
        <f>'Detailed Summary'!AW109</f>
        <v/>
      </c>
      <c r="P110" s="5" t="str">
        <f>'Detailed Summary'!BG109</f>
        <v/>
      </c>
    </row>
    <row r="111" spans="1:16" ht="18.5" hidden="1" x14ac:dyDescent="0.45">
      <c r="A111" s="102"/>
      <c r="B111" s="88">
        <f>'Student Basic Info'!A110</f>
        <v>609</v>
      </c>
      <c r="C111" s="86" t="str">
        <f>'Student Basic Info'!C110</f>
        <v>Jorina Aktar</v>
      </c>
      <c r="D111" s="89">
        <f>'Detailed Summary'!AK110</f>
        <v>1</v>
      </c>
      <c r="E111" s="89">
        <f>'Detailed Summary'!AL110</f>
        <v>0</v>
      </c>
      <c r="F111" s="89">
        <f>'Detailed Summary'!AM110</f>
        <v>0</v>
      </c>
      <c r="G111" s="89">
        <f>'Detailed Summary'!AN110</f>
        <v>0</v>
      </c>
      <c r="H111" s="89">
        <f>'Detailed Summary'!AO110</f>
        <v>0</v>
      </c>
      <c r="I111" s="89">
        <f>'Detailed Summary'!AP110</f>
        <v>1</v>
      </c>
      <c r="J111" s="89">
        <f>'Detailed Summary'!AR110</f>
        <v>0</v>
      </c>
      <c r="K111" s="89">
        <f>'Detailed Summary'!AS110</f>
        <v>0</v>
      </c>
      <c r="L111" s="39">
        <f>'Detailed Summary'!AU110</f>
        <v>2</v>
      </c>
      <c r="M111" s="87" t="str">
        <f>'Detailed Summary'!AV110</f>
        <v/>
      </c>
      <c r="N111" s="3" t="str">
        <f>'Detailed Summary'!BF110</f>
        <v>Failed in 4 Subjects</v>
      </c>
      <c r="O111" s="87" t="str">
        <f>'Detailed Summary'!AW110</f>
        <v/>
      </c>
      <c r="P111" s="5" t="str">
        <f>'Detailed Summary'!BG110</f>
        <v/>
      </c>
    </row>
    <row r="112" spans="1:16" ht="18.5" hidden="1" x14ac:dyDescent="0.45">
      <c r="A112" s="102"/>
      <c r="B112" s="88">
        <f>'Student Basic Info'!A111</f>
        <v>610</v>
      </c>
      <c r="C112" s="86" t="str">
        <f>'Student Basic Info'!C111</f>
        <v>Youhidul Islam</v>
      </c>
      <c r="D112" s="89">
        <f>'Detailed Summary'!AK111</f>
        <v>1</v>
      </c>
      <c r="E112" s="89">
        <f>'Detailed Summary'!AL111</f>
        <v>0</v>
      </c>
      <c r="F112" s="89">
        <f>'Detailed Summary'!AM111</f>
        <v>0</v>
      </c>
      <c r="G112" s="89">
        <f>'Detailed Summary'!AN111</f>
        <v>0</v>
      </c>
      <c r="H112" s="89" t="str">
        <f>'Detailed Summary'!AO111</f>
        <v/>
      </c>
      <c r="I112" s="89" t="str">
        <f>'Detailed Summary'!AP111</f>
        <v/>
      </c>
      <c r="J112" s="89" t="str">
        <f>'Detailed Summary'!AR111</f>
        <v/>
      </c>
      <c r="K112" s="89" t="str">
        <f>'Detailed Summary'!AS111</f>
        <v/>
      </c>
      <c r="L112" s="39">
        <f>'Detailed Summary'!AU111</f>
        <v>1</v>
      </c>
      <c r="M112" s="87" t="str">
        <f>'Detailed Summary'!AV111</f>
        <v/>
      </c>
      <c r="N112" s="3" t="str">
        <f>'Detailed Summary'!BF111</f>
        <v>Failed in 5 Subjects</v>
      </c>
      <c r="O112" s="87" t="str">
        <f>'Detailed Summary'!AW111</f>
        <v/>
      </c>
      <c r="P112" s="5" t="str">
        <f>'Detailed Summary'!BG111</f>
        <v/>
      </c>
    </row>
    <row r="113" spans="1:16" ht="18.5" hidden="1" x14ac:dyDescent="0.45">
      <c r="A113" s="102"/>
      <c r="B113" s="88">
        <f>'Student Basic Info'!A112</f>
        <v>611</v>
      </c>
      <c r="C113" s="86" t="str">
        <f>'Student Basic Info'!C112</f>
        <v>Aman Ullah</v>
      </c>
      <c r="D113" s="89">
        <f>'Detailed Summary'!AK112</f>
        <v>1</v>
      </c>
      <c r="E113" s="89">
        <f>'Detailed Summary'!AL112</f>
        <v>0</v>
      </c>
      <c r="F113" s="89">
        <f>'Detailed Summary'!AM112</f>
        <v>0</v>
      </c>
      <c r="G113" s="89">
        <f>'Detailed Summary'!AN112</f>
        <v>0</v>
      </c>
      <c r="H113" s="89">
        <f>'Detailed Summary'!AO112</f>
        <v>1</v>
      </c>
      <c r="I113" s="89">
        <f>'Detailed Summary'!AP112</f>
        <v>0</v>
      </c>
      <c r="J113" s="89">
        <f>'Detailed Summary'!AR112</f>
        <v>0</v>
      </c>
      <c r="K113" s="89">
        <f>'Detailed Summary'!AS112</f>
        <v>0</v>
      </c>
      <c r="L113" s="39">
        <f>'Detailed Summary'!AU112</f>
        <v>2</v>
      </c>
      <c r="M113" s="87" t="str">
        <f>'Detailed Summary'!AV112</f>
        <v/>
      </c>
      <c r="N113" s="3" t="str">
        <f>'Detailed Summary'!BF112</f>
        <v>Failed in 4 Subjects</v>
      </c>
      <c r="O113" s="87" t="str">
        <f>'Detailed Summary'!AW112</f>
        <v/>
      </c>
      <c r="P113" s="5" t="str">
        <f>'Detailed Summary'!BG112</f>
        <v/>
      </c>
    </row>
    <row r="114" spans="1:16" ht="18.5" hidden="1" x14ac:dyDescent="0.45">
      <c r="A114" s="102"/>
      <c r="B114" s="88">
        <f>'Student Basic Info'!A113</f>
        <v>612</v>
      </c>
      <c r="C114" s="86" t="str">
        <f>'Student Basic Info'!C113</f>
        <v>Ajharul Islam</v>
      </c>
      <c r="D114" s="89">
        <f>'Detailed Summary'!AK113</f>
        <v>1</v>
      </c>
      <c r="E114" s="89">
        <f>'Detailed Summary'!AL113</f>
        <v>1</v>
      </c>
      <c r="F114" s="89">
        <f>'Detailed Summary'!AM113</f>
        <v>0</v>
      </c>
      <c r="G114" s="89">
        <f>'Detailed Summary'!AN113</f>
        <v>0</v>
      </c>
      <c r="H114" s="89">
        <f>'Detailed Summary'!AO113</f>
        <v>2</v>
      </c>
      <c r="I114" s="89">
        <f>'Detailed Summary'!AP113</f>
        <v>0</v>
      </c>
      <c r="J114" s="89">
        <f>'Detailed Summary'!AR113</f>
        <v>1</v>
      </c>
      <c r="K114" s="89">
        <f>'Detailed Summary'!AS113</f>
        <v>0</v>
      </c>
      <c r="L114" s="39">
        <f>'Detailed Summary'!AU113</f>
        <v>4</v>
      </c>
      <c r="M114" s="87" t="str">
        <f>'Detailed Summary'!AV113</f>
        <v/>
      </c>
      <c r="N114" s="3" t="str">
        <f>'Detailed Summary'!BF113</f>
        <v>Failed in 3 Subjects</v>
      </c>
      <c r="O114" s="87" t="str">
        <f>'Detailed Summary'!AW113</f>
        <v/>
      </c>
      <c r="P114" s="5" t="str">
        <f>'Detailed Summary'!BG113</f>
        <v/>
      </c>
    </row>
    <row r="115" spans="1:16" ht="18.5" hidden="1" x14ac:dyDescent="0.45">
      <c r="A115" s="102"/>
      <c r="B115" s="88">
        <f>'Student Basic Info'!A114</f>
        <v>613</v>
      </c>
      <c r="C115" s="86" t="str">
        <f>'Student Basic Info'!C114</f>
        <v>Fokkrul Islam</v>
      </c>
      <c r="D115" s="89" t="str">
        <f>'Detailed Summary'!AK114</f>
        <v/>
      </c>
      <c r="E115" s="89" t="str">
        <f>'Detailed Summary'!AL114</f>
        <v/>
      </c>
      <c r="F115" s="89" t="str">
        <f>'Detailed Summary'!AM114</f>
        <v/>
      </c>
      <c r="G115" s="89" t="str">
        <f>'Detailed Summary'!AN114</f>
        <v/>
      </c>
      <c r="H115" s="89" t="str">
        <f>'Detailed Summary'!AO114</f>
        <v/>
      </c>
      <c r="I115" s="89" t="str">
        <f>'Detailed Summary'!AP114</f>
        <v/>
      </c>
      <c r="J115" s="89" t="str">
        <f>'Detailed Summary'!AR114</f>
        <v/>
      </c>
      <c r="K115" s="89" t="str">
        <f>'Detailed Summary'!AS114</f>
        <v/>
      </c>
      <c r="L115" s="39">
        <f>'Detailed Summary'!AU114</f>
        <v>0</v>
      </c>
      <c r="M115" s="87" t="str">
        <f>'Detailed Summary'!AV114</f>
        <v/>
      </c>
      <c r="N115" s="3" t="str">
        <f>'Detailed Summary'!BF114</f>
        <v>Failed in 6 Subjects</v>
      </c>
      <c r="O115" s="87" t="str">
        <f>'Detailed Summary'!AW114</f>
        <v/>
      </c>
      <c r="P115" s="5" t="str">
        <f>'Detailed Summary'!BG114</f>
        <v/>
      </c>
    </row>
    <row r="116" spans="1:16" hidden="1" x14ac:dyDescent="0.35">
      <c r="A116" s="105">
        <v>6</v>
      </c>
      <c r="B116" s="105">
        <f>'Student Basic Info'!A27</f>
        <v>526</v>
      </c>
      <c r="C116" s="106" t="str">
        <f>'Student Basic Info'!C27</f>
        <v>Sidratul Muntaha</v>
      </c>
      <c r="D116" s="89">
        <f>'Detailed Summary'!AK27</f>
        <v>3</v>
      </c>
      <c r="E116" s="89">
        <f>'Detailed Summary'!AL27</f>
        <v>1</v>
      </c>
      <c r="F116" s="89">
        <f>'Detailed Summary'!AM27</f>
        <v>3</v>
      </c>
      <c r="G116" s="89">
        <f>'Detailed Summary'!AN27</f>
        <v>3</v>
      </c>
      <c r="H116" s="89">
        <f>'Detailed Summary'!AO27</f>
        <v>3</v>
      </c>
      <c r="I116" s="89">
        <f>'Detailed Summary'!AP27</f>
        <v>1</v>
      </c>
      <c r="J116" s="89">
        <f>'Detailed Summary'!AR27</f>
        <v>3</v>
      </c>
      <c r="K116" s="89">
        <f>'Detailed Summary'!AS27</f>
        <v>1</v>
      </c>
      <c r="L116" s="39">
        <f>'Detailed Summary'!AU27</f>
        <v>15</v>
      </c>
      <c r="M116" s="87">
        <f>'Detailed Summary'!AV27</f>
        <v>2.3333333333333335</v>
      </c>
      <c r="N116" s="76" t="str">
        <f>'Detailed Summary'!BF27</f>
        <v>Pass</v>
      </c>
      <c r="O116" s="87">
        <f>'Detailed Summary'!AW27</f>
        <v>2.5</v>
      </c>
      <c r="P116" s="107">
        <f>'Detailed Summary'!BG27</f>
        <v>8</v>
      </c>
    </row>
    <row r="117" spans="1:16" hidden="1" x14ac:dyDescent="0.35">
      <c r="B117" s="88">
        <f>'Student Basic Info'!A116</f>
        <v>615</v>
      </c>
      <c r="C117" s="86" t="str">
        <f>'Student Basic Info'!C116</f>
        <v>Tasfia Atrar</v>
      </c>
      <c r="D117" s="89">
        <f>'Detailed Summary'!AK116</f>
        <v>1</v>
      </c>
      <c r="E117" s="89">
        <f>'Detailed Summary'!AL116</f>
        <v>0</v>
      </c>
      <c r="F117" s="89">
        <f>'Detailed Summary'!AM116</f>
        <v>0</v>
      </c>
      <c r="G117" s="89">
        <f>'Detailed Summary'!AN116</f>
        <v>0</v>
      </c>
      <c r="H117" s="89">
        <f>'Detailed Summary'!AO116</f>
        <v>0</v>
      </c>
      <c r="I117" s="89">
        <f>'Detailed Summary'!AP116</f>
        <v>1</v>
      </c>
      <c r="J117" s="89">
        <f>'Detailed Summary'!AR116</f>
        <v>0</v>
      </c>
      <c r="K117" s="89">
        <f>'Detailed Summary'!AS116</f>
        <v>0</v>
      </c>
      <c r="L117" s="39">
        <f>'Detailed Summary'!AU116</f>
        <v>2</v>
      </c>
      <c r="M117" s="87" t="str">
        <f>'Detailed Summary'!AV116</f>
        <v/>
      </c>
      <c r="N117" s="3" t="str">
        <f>'Detailed Summary'!BF116</f>
        <v>Failed in 4 Subjects</v>
      </c>
      <c r="O117" s="87" t="str">
        <f>'Detailed Summary'!AW116</f>
        <v/>
      </c>
      <c r="P117" s="5" t="str">
        <f>'Detailed Summary'!BG116</f>
        <v/>
      </c>
    </row>
    <row r="118" spans="1:16" hidden="1" x14ac:dyDescent="0.35">
      <c r="B118" s="88">
        <f>'Student Basic Info'!A117</f>
        <v>616</v>
      </c>
      <c r="C118" s="86" t="str">
        <f>'Student Basic Info'!C117</f>
        <v>Farzana Aktar Mili</v>
      </c>
      <c r="D118" s="89" t="str">
        <f>'Detailed Summary'!AK117</f>
        <v/>
      </c>
      <c r="E118" s="89" t="str">
        <f>'Detailed Summary'!AL117</f>
        <v/>
      </c>
      <c r="F118" s="89" t="str">
        <f>'Detailed Summary'!AM117</f>
        <v/>
      </c>
      <c r="G118" s="89" t="str">
        <f>'Detailed Summary'!AN117</f>
        <v/>
      </c>
      <c r="H118" s="89" t="str">
        <f>'Detailed Summary'!AO117</f>
        <v/>
      </c>
      <c r="I118" s="89" t="str">
        <f>'Detailed Summary'!AP117</f>
        <v/>
      </c>
      <c r="J118" s="89" t="str">
        <f>'Detailed Summary'!AR117</f>
        <v/>
      </c>
      <c r="K118" s="89" t="str">
        <f>'Detailed Summary'!AS117</f>
        <v/>
      </c>
      <c r="L118" s="39">
        <f>'Detailed Summary'!AU117</f>
        <v>0</v>
      </c>
      <c r="M118" s="87" t="str">
        <f>'Detailed Summary'!AV117</f>
        <v/>
      </c>
      <c r="N118" s="3" t="str">
        <f>'Detailed Summary'!BF117</f>
        <v>Failed in 6 Subjects</v>
      </c>
      <c r="O118" s="87" t="str">
        <f>'Detailed Summary'!AW117</f>
        <v/>
      </c>
      <c r="P118" s="5" t="str">
        <f>'Detailed Summary'!BG117</f>
        <v/>
      </c>
    </row>
    <row r="119" spans="1:16" hidden="1" x14ac:dyDescent="0.35">
      <c r="B119" s="88">
        <f>'Student Basic Info'!A118</f>
        <v>617</v>
      </c>
      <c r="C119" s="86" t="str">
        <f>'Student Basic Info'!C118</f>
        <v>Tanvir Hossain</v>
      </c>
      <c r="D119" s="89" t="str">
        <f>'Detailed Summary'!AK118</f>
        <v/>
      </c>
      <c r="E119" s="89" t="str">
        <f>'Detailed Summary'!AL118</f>
        <v/>
      </c>
      <c r="F119" s="89" t="str">
        <f>'Detailed Summary'!AM118</f>
        <v/>
      </c>
      <c r="G119" s="89" t="str">
        <f>'Detailed Summary'!AN118</f>
        <v/>
      </c>
      <c r="H119" s="89" t="str">
        <f>'Detailed Summary'!AO118</f>
        <v/>
      </c>
      <c r="I119" s="89" t="str">
        <f>'Detailed Summary'!AP118</f>
        <v/>
      </c>
      <c r="J119" s="89" t="str">
        <f>'Detailed Summary'!AR118</f>
        <v/>
      </c>
      <c r="K119" s="89" t="str">
        <f>'Detailed Summary'!AS118</f>
        <v/>
      </c>
      <c r="L119" s="39">
        <f>'Detailed Summary'!AU118</f>
        <v>0</v>
      </c>
      <c r="M119" s="87" t="str">
        <f>'Detailed Summary'!AV118</f>
        <v/>
      </c>
      <c r="N119" s="3" t="str">
        <f>'Detailed Summary'!BF118</f>
        <v>Failed in 6 Subjects</v>
      </c>
      <c r="O119" s="87" t="str">
        <f>'Detailed Summary'!AW118</f>
        <v/>
      </c>
      <c r="P119" s="5" t="str">
        <f>'Detailed Summary'!BG118</f>
        <v/>
      </c>
    </row>
    <row r="120" spans="1:16" hidden="1" x14ac:dyDescent="0.35">
      <c r="B120" s="88">
        <f>'Student Basic Info'!A119</f>
        <v>618</v>
      </c>
      <c r="C120" s="86" t="str">
        <f>'Student Basic Info'!C119</f>
        <v>Mizanur Rahman</v>
      </c>
      <c r="D120" s="89" t="str">
        <f>'Detailed Summary'!AK119</f>
        <v/>
      </c>
      <c r="E120" s="89" t="str">
        <f>'Detailed Summary'!AL119</f>
        <v/>
      </c>
      <c r="F120" s="89" t="str">
        <f>'Detailed Summary'!AM119</f>
        <v/>
      </c>
      <c r="G120" s="89" t="str">
        <f>'Detailed Summary'!AN119</f>
        <v/>
      </c>
      <c r="H120" s="89" t="str">
        <f>'Detailed Summary'!AO119</f>
        <v/>
      </c>
      <c r="I120" s="89" t="str">
        <f>'Detailed Summary'!AP119</f>
        <v/>
      </c>
      <c r="J120" s="89" t="str">
        <f>'Detailed Summary'!AR119</f>
        <v/>
      </c>
      <c r="K120" s="89" t="str">
        <f>'Detailed Summary'!AS119</f>
        <v/>
      </c>
      <c r="L120" s="39">
        <f>'Detailed Summary'!AU119</f>
        <v>0</v>
      </c>
      <c r="M120" s="87" t="str">
        <f>'Detailed Summary'!AV119</f>
        <v/>
      </c>
      <c r="N120" s="3" t="str">
        <f>'Detailed Summary'!BF119</f>
        <v>Failed in 6 Subjects</v>
      </c>
      <c r="O120" s="87" t="str">
        <f>'Detailed Summary'!AW119</f>
        <v/>
      </c>
      <c r="P120" s="5" t="str">
        <f>'Detailed Summary'!BG119</f>
        <v/>
      </c>
    </row>
    <row r="121" spans="1:16" hidden="1" x14ac:dyDescent="0.35">
      <c r="B121" s="88">
        <f>'Student Basic Info'!A120</f>
        <v>619</v>
      </c>
      <c r="C121" s="86" t="str">
        <f>'Student Basic Info'!C120</f>
        <v>Yeasin Arafat</v>
      </c>
      <c r="D121" s="89" t="str">
        <f>'Detailed Summary'!AK120</f>
        <v/>
      </c>
      <c r="E121" s="89" t="str">
        <f>'Detailed Summary'!AL120</f>
        <v/>
      </c>
      <c r="F121" s="89" t="str">
        <f>'Detailed Summary'!AM120</f>
        <v/>
      </c>
      <c r="G121" s="89" t="str">
        <f>'Detailed Summary'!AN120</f>
        <v/>
      </c>
      <c r="H121" s="89" t="str">
        <f>'Detailed Summary'!AO120</f>
        <v/>
      </c>
      <c r="I121" s="89" t="str">
        <f>'Detailed Summary'!AP120</f>
        <v/>
      </c>
      <c r="J121" s="89" t="str">
        <f>'Detailed Summary'!AR120</f>
        <v/>
      </c>
      <c r="K121" s="89" t="str">
        <f>'Detailed Summary'!AS120</f>
        <v/>
      </c>
      <c r="L121" s="39">
        <f>'Detailed Summary'!AU120</f>
        <v>0</v>
      </c>
      <c r="M121" s="87" t="str">
        <f>'Detailed Summary'!AV120</f>
        <v/>
      </c>
      <c r="N121" s="3" t="str">
        <f>'Detailed Summary'!BF120</f>
        <v>Failed in 6 Subjects</v>
      </c>
      <c r="O121" s="87" t="str">
        <f>'Detailed Summary'!AW120</f>
        <v/>
      </c>
      <c r="P121" s="5" t="str">
        <f>'Detailed Summary'!BG120</f>
        <v/>
      </c>
    </row>
    <row r="122" spans="1:16" hidden="1" x14ac:dyDescent="0.35">
      <c r="B122" s="88">
        <f>'Student Basic Info'!A121</f>
        <v>620</v>
      </c>
      <c r="C122" s="86" t="str">
        <f>'Student Basic Info'!C121</f>
        <v>Abdullah Al Noman</v>
      </c>
      <c r="D122" s="89" t="str">
        <f>'Detailed Summary'!AK121</f>
        <v/>
      </c>
      <c r="E122" s="89" t="str">
        <f>'Detailed Summary'!AL121</f>
        <v/>
      </c>
      <c r="F122" s="89" t="str">
        <f>'Detailed Summary'!AM121</f>
        <v/>
      </c>
      <c r="G122" s="89" t="str">
        <f>'Detailed Summary'!AN121</f>
        <v/>
      </c>
      <c r="H122" s="89" t="str">
        <f>'Detailed Summary'!AO121</f>
        <v/>
      </c>
      <c r="I122" s="89" t="str">
        <f>'Detailed Summary'!AP121</f>
        <v/>
      </c>
      <c r="J122" s="89" t="str">
        <f>'Detailed Summary'!AR121</f>
        <v/>
      </c>
      <c r="K122" s="89" t="str">
        <f>'Detailed Summary'!AS121</f>
        <v/>
      </c>
      <c r="L122" s="39">
        <f>'Detailed Summary'!AU121</f>
        <v>0</v>
      </c>
      <c r="M122" s="87" t="str">
        <f>'Detailed Summary'!AV121</f>
        <v/>
      </c>
      <c r="N122" s="3" t="str">
        <f>'Detailed Summary'!BF121</f>
        <v>Failed in 6 Subjects</v>
      </c>
      <c r="O122" s="87" t="str">
        <f>'Detailed Summary'!AW121</f>
        <v/>
      </c>
      <c r="P122" s="5" t="str">
        <f>'Detailed Summary'!BG121</f>
        <v/>
      </c>
    </row>
    <row r="123" spans="1:16" hidden="1" x14ac:dyDescent="0.35">
      <c r="B123" s="88">
        <f>'Student Basic Info'!A122</f>
        <v>621</v>
      </c>
      <c r="C123" s="86" t="str">
        <f>'Student Basic Info'!C122</f>
        <v>Delower Hossain</v>
      </c>
      <c r="D123" s="89">
        <f>'Detailed Summary'!AK122</f>
        <v>2</v>
      </c>
      <c r="E123" s="89">
        <f>'Detailed Summary'!AL122</f>
        <v>0</v>
      </c>
      <c r="F123" s="89">
        <f>'Detailed Summary'!AM122</f>
        <v>3</v>
      </c>
      <c r="G123" s="89">
        <f>'Detailed Summary'!AN122</f>
        <v>1</v>
      </c>
      <c r="H123" s="89">
        <f>'Detailed Summary'!AO122</f>
        <v>0</v>
      </c>
      <c r="I123" s="89">
        <f>'Detailed Summary'!AP122</f>
        <v>0</v>
      </c>
      <c r="J123" s="89">
        <f>'Detailed Summary'!AR122</f>
        <v>2</v>
      </c>
      <c r="K123" s="89">
        <f>'Detailed Summary'!AS122</f>
        <v>0</v>
      </c>
      <c r="L123" s="39">
        <f>'Detailed Summary'!AU122</f>
        <v>6</v>
      </c>
      <c r="M123" s="87" t="str">
        <f>'Detailed Summary'!AV122</f>
        <v/>
      </c>
      <c r="N123" s="3" t="str">
        <f>'Detailed Summary'!BF122</f>
        <v>Failed in 3 Subjects</v>
      </c>
      <c r="O123" s="87" t="str">
        <f>'Detailed Summary'!AW122</f>
        <v/>
      </c>
      <c r="P123" s="5" t="str">
        <f>'Detailed Summary'!BG122</f>
        <v/>
      </c>
    </row>
    <row r="124" spans="1:16" hidden="1" x14ac:dyDescent="0.35">
      <c r="B124" s="88">
        <f>'Student Basic Info'!A123</f>
        <v>622</v>
      </c>
      <c r="C124" s="86" t="str">
        <f>'Student Basic Info'!C123</f>
        <v>Nur Islam</v>
      </c>
      <c r="D124" s="89">
        <f>'Detailed Summary'!AK123</f>
        <v>3</v>
      </c>
      <c r="E124" s="89">
        <f>'Detailed Summary'!AL123</f>
        <v>0</v>
      </c>
      <c r="F124" s="89">
        <f>'Detailed Summary'!AM123</f>
        <v>3.5</v>
      </c>
      <c r="G124" s="89">
        <f>'Detailed Summary'!AN123</f>
        <v>2</v>
      </c>
      <c r="H124" s="89">
        <f>'Detailed Summary'!AO123</f>
        <v>0</v>
      </c>
      <c r="I124" s="89">
        <f>'Detailed Summary'!AP123</f>
        <v>0</v>
      </c>
      <c r="J124" s="89">
        <f>'Detailed Summary'!AR123</f>
        <v>1</v>
      </c>
      <c r="K124" s="89">
        <f>'Detailed Summary'!AS123</f>
        <v>0</v>
      </c>
      <c r="L124" s="39">
        <f>'Detailed Summary'!AU123</f>
        <v>8.5</v>
      </c>
      <c r="M124" s="87" t="str">
        <f>'Detailed Summary'!AV123</f>
        <v/>
      </c>
      <c r="N124" s="3" t="str">
        <f>'Detailed Summary'!BF123</f>
        <v>Failed in 3 Subjects</v>
      </c>
      <c r="O124" s="87" t="str">
        <f>'Detailed Summary'!AW123</f>
        <v/>
      </c>
      <c r="P124" s="5" t="str">
        <f>'Detailed Summary'!BG123</f>
        <v/>
      </c>
    </row>
    <row r="125" spans="1:16" hidden="1" x14ac:dyDescent="0.35">
      <c r="B125" s="88">
        <f>'Student Basic Info'!A124</f>
        <v>623</v>
      </c>
      <c r="C125" s="86" t="str">
        <f>'Student Basic Info'!C124</f>
        <v>Mehedi Hasan</v>
      </c>
      <c r="D125" s="89" t="str">
        <f>'Detailed Summary'!AK124</f>
        <v/>
      </c>
      <c r="E125" s="89" t="str">
        <f>'Detailed Summary'!AL124</f>
        <v/>
      </c>
      <c r="F125" s="89" t="str">
        <f>'Detailed Summary'!AM124</f>
        <v/>
      </c>
      <c r="G125" s="89" t="str">
        <f>'Detailed Summary'!AN124</f>
        <v/>
      </c>
      <c r="H125" s="89" t="str">
        <f>'Detailed Summary'!AO124</f>
        <v/>
      </c>
      <c r="I125" s="89" t="str">
        <f>'Detailed Summary'!AP124</f>
        <v/>
      </c>
      <c r="J125" s="89" t="str">
        <f>'Detailed Summary'!AR124</f>
        <v/>
      </c>
      <c r="K125" s="89" t="str">
        <f>'Detailed Summary'!AS124</f>
        <v/>
      </c>
      <c r="L125" s="39">
        <f>'Detailed Summary'!AU124</f>
        <v>0</v>
      </c>
      <c r="M125" s="87" t="str">
        <f>'Detailed Summary'!AV124</f>
        <v/>
      </c>
      <c r="N125" s="3" t="str">
        <f>'Detailed Summary'!BF124</f>
        <v>Failed in 6 Subjects</v>
      </c>
      <c r="O125" s="87" t="str">
        <f>'Detailed Summary'!AW124</f>
        <v/>
      </c>
      <c r="P125" s="5" t="str">
        <f>'Detailed Summary'!BG124</f>
        <v/>
      </c>
    </row>
    <row r="126" spans="1:16" hidden="1" x14ac:dyDescent="0.35">
      <c r="B126" s="88">
        <f>'Student Basic Info'!A125</f>
        <v>624</v>
      </c>
      <c r="C126" s="86" t="str">
        <f>'Student Basic Info'!C125</f>
        <v>Nurul Afsar Ashraf</v>
      </c>
      <c r="D126" s="89" t="str">
        <f>'Detailed Summary'!AK125</f>
        <v/>
      </c>
      <c r="E126" s="89" t="str">
        <f>'Detailed Summary'!AL125</f>
        <v/>
      </c>
      <c r="F126" s="89" t="str">
        <f>'Detailed Summary'!AM125</f>
        <v/>
      </c>
      <c r="G126" s="89" t="str">
        <f>'Detailed Summary'!AN125</f>
        <v/>
      </c>
      <c r="H126" s="89" t="str">
        <f>'Detailed Summary'!AO125</f>
        <v/>
      </c>
      <c r="I126" s="89" t="str">
        <f>'Detailed Summary'!AP125</f>
        <v/>
      </c>
      <c r="J126" s="89" t="str">
        <f>'Detailed Summary'!AR125</f>
        <v/>
      </c>
      <c r="K126" s="89" t="str">
        <f>'Detailed Summary'!AS125</f>
        <v/>
      </c>
      <c r="L126" s="39">
        <f>'Detailed Summary'!AU125</f>
        <v>0</v>
      </c>
      <c r="M126" s="87" t="str">
        <f>'Detailed Summary'!AV125</f>
        <v/>
      </c>
      <c r="N126" s="3" t="str">
        <f>'Detailed Summary'!BF125</f>
        <v>Failed in 6 Subjects</v>
      </c>
      <c r="O126" s="87" t="str">
        <f>'Detailed Summary'!AW125</f>
        <v/>
      </c>
      <c r="P126" s="5" t="str">
        <f>'Detailed Summary'!BG125</f>
        <v/>
      </c>
    </row>
    <row r="127" spans="1:16" hidden="1" x14ac:dyDescent="0.35">
      <c r="B127" s="88">
        <f>'Student Basic Info'!A126</f>
        <v>625</v>
      </c>
      <c r="C127" s="86" t="str">
        <f>'Student Basic Info'!C126</f>
        <v>Marjahan Aktar</v>
      </c>
      <c r="D127" s="89" t="str">
        <f>'Detailed Summary'!AK126</f>
        <v/>
      </c>
      <c r="E127" s="89" t="str">
        <f>'Detailed Summary'!AL126</f>
        <v/>
      </c>
      <c r="F127" s="89" t="str">
        <f>'Detailed Summary'!AM126</f>
        <v/>
      </c>
      <c r="G127" s="89" t="str">
        <f>'Detailed Summary'!AN126</f>
        <v/>
      </c>
      <c r="H127" s="89" t="str">
        <f>'Detailed Summary'!AO126</f>
        <v/>
      </c>
      <c r="I127" s="89" t="str">
        <f>'Detailed Summary'!AP126</f>
        <v/>
      </c>
      <c r="J127" s="89" t="str">
        <f>'Detailed Summary'!AR126</f>
        <v/>
      </c>
      <c r="K127" s="89" t="str">
        <f>'Detailed Summary'!AS126</f>
        <v/>
      </c>
      <c r="L127" s="39">
        <f>'Detailed Summary'!AU126</f>
        <v>0</v>
      </c>
      <c r="M127" s="87" t="str">
        <f>'Detailed Summary'!AV126</f>
        <v/>
      </c>
      <c r="N127" s="3" t="str">
        <f>'Detailed Summary'!BF126</f>
        <v>Failed in 6 Subjects</v>
      </c>
      <c r="O127" s="87" t="str">
        <f>'Detailed Summary'!AW126</f>
        <v/>
      </c>
      <c r="P127" s="5" t="str">
        <f>'Detailed Summary'!BG126</f>
        <v/>
      </c>
    </row>
    <row r="128" spans="1:16" hidden="1" x14ac:dyDescent="0.35">
      <c r="B128" s="88">
        <f>'Student Basic Info'!A127</f>
        <v>626</v>
      </c>
      <c r="C128" s="86" t="str">
        <f>'Student Basic Info'!C127</f>
        <v>Fokhrul Islam</v>
      </c>
      <c r="D128" s="89" t="str">
        <f>'Detailed Summary'!AK127</f>
        <v/>
      </c>
      <c r="E128" s="89" t="str">
        <f>'Detailed Summary'!AL127</f>
        <v/>
      </c>
      <c r="F128" s="89" t="str">
        <f>'Detailed Summary'!AM127</f>
        <v/>
      </c>
      <c r="G128" s="89" t="str">
        <f>'Detailed Summary'!AN127</f>
        <v/>
      </c>
      <c r="H128" s="89" t="str">
        <f>'Detailed Summary'!AO127</f>
        <v/>
      </c>
      <c r="I128" s="89" t="str">
        <f>'Detailed Summary'!AP127</f>
        <v/>
      </c>
      <c r="J128" s="89" t="str">
        <f>'Detailed Summary'!AR127</f>
        <v/>
      </c>
      <c r="K128" s="89" t="str">
        <f>'Detailed Summary'!AS127</f>
        <v/>
      </c>
      <c r="L128" s="39">
        <f>'Detailed Summary'!AU127</f>
        <v>0</v>
      </c>
      <c r="M128" s="87" t="str">
        <f>'Detailed Summary'!AV127</f>
        <v/>
      </c>
      <c r="N128" s="3" t="str">
        <f>'Detailed Summary'!BF127</f>
        <v>Failed in 6 Subjects</v>
      </c>
      <c r="O128" s="87" t="str">
        <f>'Detailed Summary'!AW127</f>
        <v/>
      </c>
      <c r="P128" s="5" t="str">
        <f>'Detailed Summary'!BG127</f>
        <v/>
      </c>
    </row>
    <row r="129" spans="2:16" hidden="1" x14ac:dyDescent="0.35">
      <c r="B129" s="88">
        <f>'Student Basic Info'!A128</f>
        <v>627</v>
      </c>
      <c r="C129" s="86" t="str">
        <f>'Student Basic Info'!C128</f>
        <v>Israt Jahan</v>
      </c>
      <c r="D129" s="89" t="str">
        <f>'Detailed Summary'!AK128</f>
        <v/>
      </c>
      <c r="E129" s="89" t="str">
        <f>'Detailed Summary'!AL128</f>
        <v/>
      </c>
      <c r="F129" s="89" t="str">
        <f>'Detailed Summary'!AM128</f>
        <v/>
      </c>
      <c r="G129" s="89" t="str">
        <f>'Detailed Summary'!AN128</f>
        <v/>
      </c>
      <c r="H129" s="89" t="str">
        <f>'Detailed Summary'!AO128</f>
        <v/>
      </c>
      <c r="I129" s="89" t="str">
        <f>'Detailed Summary'!AP128</f>
        <v/>
      </c>
      <c r="J129" s="89" t="str">
        <f>'Detailed Summary'!AR128</f>
        <v/>
      </c>
      <c r="K129" s="89" t="str">
        <f>'Detailed Summary'!AS128</f>
        <v/>
      </c>
      <c r="L129" s="39">
        <f>'Detailed Summary'!AU128</f>
        <v>0</v>
      </c>
      <c r="M129" s="87" t="str">
        <f>'Detailed Summary'!AV128</f>
        <v/>
      </c>
      <c r="N129" s="3" t="str">
        <f>'Detailed Summary'!BF128</f>
        <v>Failed in 6 Subjects</v>
      </c>
      <c r="O129" s="87" t="str">
        <f>'Detailed Summary'!AW128</f>
        <v/>
      </c>
      <c r="P129" s="5" t="str">
        <f>'Detailed Summary'!BG128</f>
        <v/>
      </c>
    </row>
    <row r="130" spans="2:16" hidden="1" x14ac:dyDescent="0.35">
      <c r="B130" s="88">
        <f>'Student Basic Info'!A129</f>
        <v>628</v>
      </c>
      <c r="C130" s="86" t="str">
        <f>'Student Basic Info'!C129</f>
        <v>Md. Nur Nabi Hasan Roni</v>
      </c>
      <c r="D130" s="89" t="str">
        <f>'Detailed Summary'!AK129</f>
        <v/>
      </c>
      <c r="E130" s="89" t="str">
        <f>'Detailed Summary'!AL129</f>
        <v/>
      </c>
      <c r="F130" s="89" t="str">
        <f>'Detailed Summary'!AM129</f>
        <v/>
      </c>
      <c r="G130" s="89" t="str">
        <f>'Detailed Summary'!AN129</f>
        <v/>
      </c>
      <c r="H130" s="89" t="str">
        <f>'Detailed Summary'!AO129</f>
        <v/>
      </c>
      <c r="I130" s="89" t="str">
        <f>'Detailed Summary'!AP129</f>
        <v/>
      </c>
      <c r="J130" s="89" t="str">
        <f>'Detailed Summary'!AR129</f>
        <v/>
      </c>
      <c r="K130" s="89" t="str">
        <f>'Detailed Summary'!AS129</f>
        <v/>
      </c>
      <c r="L130" s="39">
        <f>'Detailed Summary'!AU129</f>
        <v>0</v>
      </c>
      <c r="M130" s="87" t="str">
        <f>'Detailed Summary'!AV129</f>
        <v/>
      </c>
      <c r="N130" s="3" t="str">
        <f>'Detailed Summary'!BF129</f>
        <v>Failed in 6 Subjects</v>
      </c>
      <c r="O130" s="87" t="str">
        <f>'Detailed Summary'!AW129</f>
        <v/>
      </c>
      <c r="P130" s="5" t="str">
        <f>'Detailed Summary'!BG129</f>
        <v/>
      </c>
    </row>
    <row r="131" spans="2:16" hidden="1" x14ac:dyDescent="0.35">
      <c r="B131" s="88">
        <f>'Student Basic Info'!A130</f>
        <v>629</v>
      </c>
      <c r="C131" s="86" t="str">
        <f>'Student Basic Info'!C130</f>
        <v>Khaled Bin Rahmat</v>
      </c>
      <c r="D131" s="89" t="str">
        <f>'Detailed Summary'!AK130</f>
        <v/>
      </c>
      <c r="E131" s="89" t="str">
        <f>'Detailed Summary'!AL130</f>
        <v/>
      </c>
      <c r="F131" s="89" t="str">
        <f>'Detailed Summary'!AM130</f>
        <v/>
      </c>
      <c r="G131" s="89" t="str">
        <f>'Detailed Summary'!AN130</f>
        <v/>
      </c>
      <c r="H131" s="89" t="str">
        <f>'Detailed Summary'!AO130</f>
        <v/>
      </c>
      <c r="I131" s="89" t="str">
        <f>'Detailed Summary'!AP130</f>
        <v/>
      </c>
      <c r="J131" s="89" t="str">
        <f>'Detailed Summary'!AR130</f>
        <v/>
      </c>
      <c r="K131" s="89" t="str">
        <f>'Detailed Summary'!AS130</f>
        <v/>
      </c>
      <c r="L131" s="39">
        <f>'Detailed Summary'!AU130</f>
        <v>0</v>
      </c>
      <c r="M131" s="87" t="str">
        <f>'Detailed Summary'!AV130</f>
        <v/>
      </c>
      <c r="N131" s="3" t="str">
        <f>'Detailed Summary'!BF130</f>
        <v>Failed in 6 Subjects</v>
      </c>
      <c r="O131" s="87" t="str">
        <f>'Detailed Summary'!AW130</f>
        <v/>
      </c>
      <c r="P131" s="5" t="str">
        <f>'Detailed Summary'!BG130</f>
        <v/>
      </c>
    </row>
    <row r="132" spans="2:16" hidden="1" x14ac:dyDescent="0.35">
      <c r="B132" s="88">
        <f>'Student Basic Info'!A131</f>
        <v>630</v>
      </c>
      <c r="C132" s="86" t="str">
        <f>'Student Basic Info'!C131</f>
        <v>Fokhrul Islam</v>
      </c>
      <c r="D132" s="89" t="str">
        <f>'Detailed Summary'!AK131</f>
        <v/>
      </c>
      <c r="E132" s="89" t="str">
        <f>'Detailed Summary'!AL131</f>
        <v/>
      </c>
      <c r="F132" s="89" t="str">
        <f>'Detailed Summary'!AM131</f>
        <v/>
      </c>
      <c r="G132" s="89" t="str">
        <f>'Detailed Summary'!AN131</f>
        <v/>
      </c>
      <c r="H132" s="89" t="str">
        <f>'Detailed Summary'!AO131</f>
        <v/>
      </c>
      <c r="I132" s="89" t="str">
        <f>'Detailed Summary'!AP131</f>
        <v/>
      </c>
      <c r="J132" s="89" t="str">
        <f>'Detailed Summary'!AR131</f>
        <v/>
      </c>
      <c r="K132" s="89" t="str">
        <f>'Detailed Summary'!AS131</f>
        <v/>
      </c>
      <c r="L132" s="39">
        <f>'Detailed Summary'!AU131</f>
        <v>0</v>
      </c>
      <c r="M132" s="87" t="str">
        <f>'Detailed Summary'!AV131</f>
        <v/>
      </c>
      <c r="N132" s="3" t="str">
        <f>'Detailed Summary'!BF131</f>
        <v>Failed in 6 Subjects</v>
      </c>
      <c r="O132" s="87" t="str">
        <f>'Detailed Summary'!AW131</f>
        <v/>
      </c>
      <c r="P132" s="5" t="str">
        <f>'Detailed Summary'!BG131</f>
        <v/>
      </c>
    </row>
    <row r="133" spans="2:16" hidden="1" x14ac:dyDescent="0.35">
      <c r="B133" s="88">
        <f>'Student Basic Info'!A132</f>
        <v>631</v>
      </c>
      <c r="C133" s="86" t="str">
        <f>'Student Basic Info'!C132</f>
        <v>Zihad Hossain</v>
      </c>
      <c r="D133" s="89" t="str">
        <f>'Detailed Summary'!AK132</f>
        <v/>
      </c>
      <c r="E133" s="89" t="str">
        <f>'Detailed Summary'!AL132</f>
        <v/>
      </c>
      <c r="F133" s="89" t="str">
        <f>'Detailed Summary'!AM132</f>
        <v/>
      </c>
      <c r="G133" s="89" t="str">
        <f>'Detailed Summary'!AN132</f>
        <v/>
      </c>
      <c r="H133" s="89" t="str">
        <f>'Detailed Summary'!AO132</f>
        <v/>
      </c>
      <c r="I133" s="89" t="str">
        <f>'Detailed Summary'!AP132</f>
        <v/>
      </c>
      <c r="J133" s="89" t="str">
        <f>'Detailed Summary'!AR132</f>
        <v/>
      </c>
      <c r="K133" s="89" t="str">
        <f>'Detailed Summary'!AS132</f>
        <v/>
      </c>
      <c r="L133" s="39">
        <f>'Detailed Summary'!AU132</f>
        <v>0</v>
      </c>
      <c r="M133" s="87" t="str">
        <f>'Detailed Summary'!AV132</f>
        <v/>
      </c>
      <c r="N133" s="3" t="str">
        <f>'Detailed Summary'!BF132</f>
        <v>Failed in 6 Subjects</v>
      </c>
      <c r="O133" s="87" t="str">
        <f>'Detailed Summary'!AW132</f>
        <v/>
      </c>
      <c r="P133" s="5" t="str">
        <f>'Detailed Summary'!BG132</f>
        <v/>
      </c>
    </row>
    <row r="134" spans="2:16" hidden="1" x14ac:dyDescent="0.35">
      <c r="B134" s="88">
        <f>'Student Basic Info'!A133</f>
        <v>632</v>
      </c>
      <c r="C134" s="86" t="str">
        <f>'Student Basic Info'!C133</f>
        <v>Ayesha Khatun</v>
      </c>
      <c r="D134" s="89" t="str">
        <f>'Detailed Summary'!AK133</f>
        <v/>
      </c>
      <c r="E134" s="89" t="str">
        <f>'Detailed Summary'!AL133</f>
        <v/>
      </c>
      <c r="F134" s="89" t="str">
        <f>'Detailed Summary'!AM133</f>
        <v/>
      </c>
      <c r="G134" s="89" t="str">
        <f>'Detailed Summary'!AN133</f>
        <v/>
      </c>
      <c r="H134" s="89" t="str">
        <f>'Detailed Summary'!AO133</f>
        <v/>
      </c>
      <c r="I134" s="89" t="str">
        <f>'Detailed Summary'!AP133</f>
        <v/>
      </c>
      <c r="J134" s="89" t="str">
        <f>'Detailed Summary'!AR133</f>
        <v/>
      </c>
      <c r="K134" s="89" t="str">
        <f>'Detailed Summary'!AS133</f>
        <v/>
      </c>
      <c r="L134" s="39">
        <f>'Detailed Summary'!AU133</f>
        <v>0</v>
      </c>
      <c r="M134" s="87" t="str">
        <f>'Detailed Summary'!AV133</f>
        <v/>
      </c>
      <c r="N134" s="3" t="str">
        <f>'Detailed Summary'!BF133</f>
        <v>Failed in 6 Subjects</v>
      </c>
      <c r="O134" s="87" t="str">
        <f>'Detailed Summary'!AW133</f>
        <v/>
      </c>
      <c r="P134" s="5" t="str">
        <f>'Detailed Summary'!BG133</f>
        <v/>
      </c>
    </row>
    <row r="135" spans="2:16" hidden="1" x14ac:dyDescent="0.35">
      <c r="B135" s="88">
        <f>'Student Basic Info'!A134</f>
        <v>633</v>
      </c>
      <c r="C135" s="86" t="str">
        <f>'Student Basic Info'!C134</f>
        <v>Ismail Hossain</v>
      </c>
      <c r="D135" s="89" t="str">
        <f>'Detailed Summary'!AK134</f>
        <v/>
      </c>
      <c r="E135" s="89" t="str">
        <f>'Detailed Summary'!AL134</f>
        <v/>
      </c>
      <c r="F135" s="89" t="str">
        <f>'Detailed Summary'!AM134</f>
        <v/>
      </c>
      <c r="G135" s="89" t="str">
        <f>'Detailed Summary'!AN134</f>
        <v/>
      </c>
      <c r="H135" s="89" t="str">
        <f>'Detailed Summary'!AO134</f>
        <v/>
      </c>
      <c r="I135" s="89" t="str">
        <f>'Detailed Summary'!AP134</f>
        <v/>
      </c>
      <c r="J135" s="89" t="str">
        <f>'Detailed Summary'!AR134</f>
        <v/>
      </c>
      <c r="K135" s="89" t="str">
        <f>'Detailed Summary'!AS134</f>
        <v/>
      </c>
      <c r="L135" s="39">
        <f>'Detailed Summary'!AU134</f>
        <v>0</v>
      </c>
      <c r="M135" s="87" t="str">
        <f>'Detailed Summary'!AV134</f>
        <v/>
      </c>
      <c r="N135" s="3" t="str">
        <f>'Detailed Summary'!BF134</f>
        <v>Failed in 6 Subjects</v>
      </c>
      <c r="O135" s="87" t="str">
        <f>'Detailed Summary'!AW134</f>
        <v/>
      </c>
      <c r="P135" s="5" t="str">
        <f>'Detailed Summary'!BG134</f>
        <v/>
      </c>
    </row>
    <row r="136" spans="2:16" hidden="1" x14ac:dyDescent="0.35">
      <c r="B136" s="88">
        <f>'Student Basic Info'!A135</f>
        <v>634</v>
      </c>
      <c r="C136" s="86" t="str">
        <f>'Student Basic Info'!C135</f>
        <v>Md. Shahadat Hossain</v>
      </c>
      <c r="D136" s="89" t="str">
        <f>'Detailed Summary'!AK135</f>
        <v/>
      </c>
      <c r="E136" s="89" t="str">
        <f>'Detailed Summary'!AL135</f>
        <v/>
      </c>
      <c r="F136" s="89" t="str">
        <f>'Detailed Summary'!AM135</f>
        <v/>
      </c>
      <c r="G136" s="89" t="str">
        <f>'Detailed Summary'!AN135</f>
        <v/>
      </c>
      <c r="H136" s="89" t="str">
        <f>'Detailed Summary'!AO135</f>
        <v/>
      </c>
      <c r="I136" s="89" t="str">
        <f>'Detailed Summary'!AP135</f>
        <v/>
      </c>
      <c r="J136" s="89" t="str">
        <f>'Detailed Summary'!AR135</f>
        <v/>
      </c>
      <c r="K136" s="89" t="str">
        <f>'Detailed Summary'!AS135</f>
        <v/>
      </c>
      <c r="L136" s="39">
        <f>'Detailed Summary'!AU135</f>
        <v>0</v>
      </c>
      <c r="M136" s="87" t="str">
        <f>'Detailed Summary'!AV135</f>
        <v/>
      </c>
      <c r="N136" s="3" t="str">
        <f>'Detailed Summary'!BF135</f>
        <v>Failed in 6 Subjects</v>
      </c>
      <c r="O136" s="87" t="str">
        <f>'Detailed Summary'!AW135</f>
        <v/>
      </c>
      <c r="P136" s="5" t="str">
        <f>'Detailed Summary'!BG135</f>
        <v/>
      </c>
    </row>
    <row r="137" spans="2:16" hidden="1" x14ac:dyDescent="0.35">
      <c r="B137" s="88">
        <f>'Student Basic Info'!A136</f>
        <v>635</v>
      </c>
      <c r="C137" s="86" t="str">
        <f>'Student Basic Info'!C136</f>
        <v>Tabzid Mahmud</v>
      </c>
      <c r="D137" s="89" t="str">
        <f>'Detailed Summary'!AK136</f>
        <v/>
      </c>
      <c r="E137" s="89" t="str">
        <f>'Detailed Summary'!AL136</f>
        <v/>
      </c>
      <c r="F137" s="89" t="str">
        <f>'Detailed Summary'!AM136</f>
        <v/>
      </c>
      <c r="G137" s="89" t="str">
        <f>'Detailed Summary'!AN136</f>
        <v/>
      </c>
      <c r="H137" s="89" t="str">
        <f>'Detailed Summary'!AO136</f>
        <v/>
      </c>
      <c r="I137" s="89" t="str">
        <f>'Detailed Summary'!AP136</f>
        <v/>
      </c>
      <c r="J137" s="89" t="str">
        <f>'Detailed Summary'!AR136</f>
        <v/>
      </c>
      <c r="K137" s="89" t="str">
        <f>'Detailed Summary'!AS136</f>
        <v/>
      </c>
      <c r="L137" s="39">
        <f>'Detailed Summary'!AU136</f>
        <v>0</v>
      </c>
      <c r="M137" s="87" t="str">
        <f>'Detailed Summary'!AV136</f>
        <v/>
      </c>
      <c r="N137" s="3" t="str">
        <f>'Detailed Summary'!BF136</f>
        <v>Failed in 6 Subjects</v>
      </c>
      <c r="O137" s="87" t="str">
        <f>'Detailed Summary'!AW136</f>
        <v/>
      </c>
      <c r="P137" s="5" t="str">
        <f>'Detailed Summary'!BG136</f>
        <v/>
      </c>
    </row>
    <row r="138" spans="2:16" hidden="1" x14ac:dyDescent="0.35">
      <c r="B138" s="88">
        <f>'Student Basic Info'!A137</f>
        <v>636</v>
      </c>
      <c r="C138" s="86" t="str">
        <f>'Student Basic Info'!C137</f>
        <v>Md. Ariful Islam</v>
      </c>
      <c r="D138" s="89" t="str">
        <f>'Detailed Summary'!AK137</f>
        <v/>
      </c>
      <c r="E138" s="89" t="str">
        <f>'Detailed Summary'!AL137</f>
        <v/>
      </c>
      <c r="F138" s="89" t="str">
        <f>'Detailed Summary'!AM137</f>
        <v/>
      </c>
      <c r="G138" s="89" t="str">
        <f>'Detailed Summary'!AN137</f>
        <v/>
      </c>
      <c r="H138" s="89" t="str">
        <f>'Detailed Summary'!AO137</f>
        <v/>
      </c>
      <c r="I138" s="89" t="str">
        <f>'Detailed Summary'!AP137</f>
        <v/>
      </c>
      <c r="J138" s="89" t="str">
        <f>'Detailed Summary'!AR137</f>
        <v/>
      </c>
      <c r="K138" s="89" t="str">
        <f>'Detailed Summary'!AS137</f>
        <v/>
      </c>
      <c r="L138" s="39">
        <f>'Detailed Summary'!AU137</f>
        <v>0</v>
      </c>
      <c r="M138" s="87" t="str">
        <f>'Detailed Summary'!AV137</f>
        <v/>
      </c>
      <c r="N138" s="3" t="str">
        <f>'Detailed Summary'!BF137</f>
        <v>Failed in 6 Subjects</v>
      </c>
      <c r="O138" s="87" t="str">
        <f>'Detailed Summary'!AW137</f>
        <v/>
      </c>
      <c r="P138" s="5" t="str">
        <f>'Detailed Summary'!BG137</f>
        <v/>
      </c>
    </row>
    <row r="139" spans="2:16" hidden="1" x14ac:dyDescent="0.35">
      <c r="B139" s="88">
        <f>'Student Basic Info'!A138</f>
        <v>637</v>
      </c>
      <c r="C139" s="86" t="str">
        <f>'Student Basic Info'!C138</f>
        <v>Mostafizur Rahman</v>
      </c>
      <c r="D139" s="89">
        <f>'Detailed Summary'!AK138</f>
        <v>1</v>
      </c>
      <c r="E139" s="89">
        <f>'Detailed Summary'!AL138</f>
        <v>0</v>
      </c>
      <c r="F139" s="89">
        <f>'Detailed Summary'!AM138</f>
        <v>0</v>
      </c>
      <c r="G139" s="89">
        <f>'Detailed Summary'!AN138</f>
        <v>0</v>
      </c>
      <c r="H139" s="89">
        <f>'Detailed Summary'!AO138</f>
        <v>0</v>
      </c>
      <c r="I139" s="89">
        <f>'Detailed Summary'!AP138</f>
        <v>0</v>
      </c>
      <c r="J139" s="89">
        <f>'Detailed Summary'!AR138</f>
        <v>0</v>
      </c>
      <c r="K139" s="89">
        <f>'Detailed Summary'!AS138</f>
        <v>0</v>
      </c>
      <c r="L139" s="39">
        <f>'Detailed Summary'!AU138</f>
        <v>1</v>
      </c>
      <c r="M139" s="87" t="str">
        <f>'Detailed Summary'!AV138</f>
        <v/>
      </c>
      <c r="N139" s="3" t="str">
        <f>'Detailed Summary'!BF138</f>
        <v>Failed in 5 Subjects</v>
      </c>
      <c r="O139" s="87" t="str">
        <f>'Detailed Summary'!AW138</f>
        <v/>
      </c>
      <c r="P139" s="5" t="str">
        <f>'Detailed Summary'!BG138</f>
        <v/>
      </c>
    </row>
    <row r="140" spans="2:16" hidden="1" x14ac:dyDescent="0.35">
      <c r="B140" s="88">
        <f>'Student Basic Info'!A139</f>
        <v>638</v>
      </c>
      <c r="C140" s="86" t="str">
        <f>'Student Basic Info'!C139</f>
        <v xml:space="preserve">Md. Al Amin </v>
      </c>
      <c r="D140" s="89">
        <f>'Detailed Summary'!AK139</f>
        <v>1</v>
      </c>
      <c r="E140" s="89">
        <f>'Detailed Summary'!AL139</f>
        <v>0</v>
      </c>
      <c r="F140" s="89">
        <f>'Detailed Summary'!AM139</f>
        <v>0</v>
      </c>
      <c r="G140" s="89">
        <f>'Detailed Summary'!AN139</f>
        <v>0</v>
      </c>
      <c r="H140" s="89">
        <f>'Detailed Summary'!AO139</f>
        <v>0</v>
      </c>
      <c r="I140" s="89" t="str">
        <f>'Detailed Summary'!AP139</f>
        <v/>
      </c>
      <c r="J140" s="89">
        <f>'Detailed Summary'!AR139</f>
        <v>0</v>
      </c>
      <c r="K140" s="89">
        <f>'Detailed Summary'!AS139</f>
        <v>0</v>
      </c>
      <c r="L140" s="39">
        <f>'Detailed Summary'!AU139</f>
        <v>1</v>
      </c>
      <c r="M140" s="87" t="str">
        <f>'Detailed Summary'!AV139</f>
        <v/>
      </c>
      <c r="N140" s="3" t="str">
        <f>'Detailed Summary'!BF139</f>
        <v>Failed in 5 Subjects</v>
      </c>
      <c r="O140" s="87" t="str">
        <f>'Detailed Summary'!AW139</f>
        <v/>
      </c>
      <c r="P140" s="5" t="str">
        <f>'Detailed Summary'!BG139</f>
        <v/>
      </c>
    </row>
    <row r="141" spans="2:16" hidden="1" x14ac:dyDescent="0.35">
      <c r="B141" s="88">
        <f>'Student Basic Info'!A140</f>
        <v>639</v>
      </c>
      <c r="C141" s="86" t="str">
        <f>'Student Basic Info'!C140</f>
        <v>Bibi Fatema Khatun</v>
      </c>
      <c r="D141" s="89" t="str">
        <f>'Detailed Summary'!AK140</f>
        <v/>
      </c>
      <c r="E141" s="89" t="str">
        <f>'Detailed Summary'!AL140</f>
        <v/>
      </c>
      <c r="F141" s="89" t="str">
        <f>'Detailed Summary'!AM140</f>
        <v/>
      </c>
      <c r="G141" s="89" t="str">
        <f>'Detailed Summary'!AN140</f>
        <v/>
      </c>
      <c r="H141" s="89" t="str">
        <f>'Detailed Summary'!AO140</f>
        <v/>
      </c>
      <c r="I141" s="89" t="str">
        <f>'Detailed Summary'!AP140</f>
        <v/>
      </c>
      <c r="J141" s="89" t="str">
        <f>'Detailed Summary'!AR140</f>
        <v/>
      </c>
      <c r="K141" s="89" t="str">
        <f>'Detailed Summary'!AS140</f>
        <v/>
      </c>
      <c r="L141" s="39">
        <f>'Detailed Summary'!AU140</f>
        <v>0</v>
      </c>
      <c r="M141" s="87" t="str">
        <f>'Detailed Summary'!AV140</f>
        <v/>
      </c>
      <c r="N141" s="3" t="str">
        <f>'Detailed Summary'!BF140</f>
        <v>Failed in 6 Subjects</v>
      </c>
      <c r="O141" s="87" t="str">
        <f>'Detailed Summary'!AW140</f>
        <v/>
      </c>
      <c r="P141" s="5" t="str">
        <f>'Detailed Summary'!BG140</f>
        <v/>
      </c>
    </row>
    <row r="142" spans="2:16" hidden="1" x14ac:dyDescent="0.35">
      <c r="B142" s="88">
        <f>'Student Basic Info'!A141</f>
        <v>640</v>
      </c>
      <c r="C142" s="86" t="str">
        <f>'Student Basic Info'!C141</f>
        <v>Sazzad Hossain Sanzid</v>
      </c>
      <c r="D142" s="89" t="str">
        <f>'Detailed Summary'!AK141</f>
        <v/>
      </c>
      <c r="E142" s="89" t="str">
        <f>'Detailed Summary'!AL141</f>
        <v/>
      </c>
      <c r="F142" s="89" t="str">
        <f>'Detailed Summary'!AM141</f>
        <v/>
      </c>
      <c r="G142" s="89" t="str">
        <f>'Detailed Summary'!AN141</f>
        <v/>
      </c>
      <c r="H142" s="89" t="str">
        <f>'Detailed Summary'!AO141</f>
        <v/>
      </c>
      <c r="I142" s="89" t="str">
        <f>'Detailed Summary'!AP141</f>
        <v/>
      </c>
      <c r="J142" s="89" t="str">
        <f>'Detailed Summary'!AR141</f>
        <v/>
      </c>
      <c r="K142" s="89" t="str">
        <f>'Detailed Summary'!AS141</f>
        <v/>
      </c>
      <c r="L142" s="39">
        <f>'Detailed Summary'!AU141</f>
        <v>0</v>
      </c>
      <c r="M142" s="87" t="str">
        <f>'Detailed Summary'!AV141</f>
        <v/>
      </c>
      <c r="N142" s="3" t="str">
        <f>'Detailed Summary'!BF141</f>
        <v>Failed in 6 Subjects</v>
      </c>
      <c r="O142" s="87" t="str">
        <f>'Detailed Summary'!AW141</f>
        <v/>
      </c>
      <c r="P142" s="5" t="str">
        <f>'Detailed Summary'!BG141</f>
        <v/>
      </c>
    </row>
    <row r="143" spans="2:16" hidden="1" x14ac:dyDescent="0.35">
      <c r="B143" s="88">
        <f>'Student Basic Info'!A142</f>
        <v>641</v>
      </c>
      <c r="C143" s="86" t="str">
        <f>'Student Basic Info'!C142</f>
        <v>Md. Sohrab Hossain</v>
      </c>
      <c r="D143" s="89">
        <f>'Detailed Summary'!AK142</f>
        <v>2</v>
      </c>
      <c r="E143" s="89">
        <f>'Detailed Summary'!AL142</f>
        <v>1</v>
      </c>
      <c r="F143" s="89">
        <f>'Detailed Summary'!AM142</f>
        <v>3.5</v>
      </c>
      <c r="G143" s="89">
        <f>'Detailed Summary'!AN142</f>
        <v>0</v>
      </c>
      <c r="H143" s="89">
        <f>'Detailed Summary'!AO142</f>
        <v>0</v>
      </c>
      <c r="I143" s="89">
        <f>'Detailed Summary'!AP142</f>
        <v>2</v>
      </c>
      <c r="J143" s="89">
        <f>'Detailed Summary'!AR142</f>
        <v>0</v>
      </c>
      <c r="K143" s="89">
        <f>'Detailed Summary'!AS142</f>
        <v>0</v>
      </c>
      <c r="L143" s="39">
        <f>'Detailed Summary'!AU142</f>
        <v>8.5</v>
      </c>
      <c r="M143" s="87" t="str">
        <f>'Detailed Summary'!AV142</f>
        <v/>
      </c>
      <c r="N143" s="3" t="str">
        <f>'Detailed Summary'!BF142</f>
        <v>Failed in 2 Subjects</v>
      </c>
      <c r="O143" s="87" t="str">
        <f>'Detailed Summary'!AW142</f>
        <v/>
      </c>
      <c r="P143" s="5" t="str">
        <f>'Detailed Summary'!BG142</f>
        <v/>
      </c>
    </row>
    <row r="144" spans="2:16" hidden="1" x14ac:dyDescent="0.35">
      <c r="B144" s="88">
        <f>'Student Basic Info'!A143</f>
        <v>642</v>
      </c>
      <c r="C144" s="86" t="str">
        <f>'Student Basic Info'!C143</f>
        <v>Jannatul Nure Hafsa</v>
      </c>
      <c r="D144" s="89">
        <f>'Detailed Summary'!AK143</f>
        <v>0</v>
      </c>
      <c r="E144" s="89">
        <f>'Detailed Summary'!AL143</f>
        <v>0</v>
      </c>
      <c r="F144" s="89">
        <f>'Detailed Summary'!AM143</f>
        <v>0</v>
      </c>
      <c r="G144" s="89">
        <f>'Detailed Summary'!AN143</f>
        <v>2</v>
      </c>
      <c r="H144" s="89">
        <f>'Detailed Summary'!AO143</f>
        <v>2</v>
      </c>
      <c r="I144" s="89">
        <f>'Detailed Summary'!AP143</f>
        <v>0</v>
      </c>
      <c r="J144" s="89">
        <f>'Detailed Summary'!AR143</f>
        <v>1</v>
      </c>
      <c r="K144" s="89">
        <f>'Detailed Summary'!AS143</f>
        <v>0</v>
      </c>
      <c r="L144" s="39">
        <f>'Detailed Summary'!AU143</f>
        <v>4</v>
      </c>
      <c r="M144" s="87" t="str">
        <f>'Detailed Summary'!AV143</f>
        <v/>
      </c>
      <c r="N144" s="3" t="str">
        <f>'Detailed Summary'!BF143</f>
        <v>Failed in 4 Subjects</v>
      </c>
      <c r="O144" s="87" t="str">
        <f>'Detailed Summary'!AW143</f>
        <v/>
      </c>
      <c r="P144" s="5" t="str">
        <f>'Detailed Summary'!BG143</f>
        <v/>
      </c>
    </row>
    <row r="145" spans="2:16" hidden="1" x14ac:dyDescent="0.35">
      <c r="B145" s="88">
        <f>'Student Basic Info'!A144</f>
        <v>643</v>
      </c>
      <c r="C145" s="86">
        <f>'Student Basic Info'!C144</f>
        <v>0</v>
      </c>
      <c r="D145" s="89" t="str">
        <f>'Detailed Summary'!AK144</f>
        <v/>
      </c>
      <c r="E145" s="89" t="str">
        <f>'Detailed Summary'!AL144</f>
        <v/>
      </c>
      <c r="F145" s="89" t="str">
        <f>'Detailed Summary'!AM144</f>
        <v/>
      </c>
      <c r="G145" s="89" t="str">
        <f>'Detailed Summary'!AN144</f>
        <v/>
      </c>
      <c r="H145" s="89" t="str">
        <f>'Detailed Summary'!AO144</f>
        <v/>
      </c>
      <c r="I145" s="89" t="str">
        <f>'Detailed Summary'!AP144</f>
        <v/>
      </c>
      <c r="J145" s="89" t="str">
        <f>'Detailed Summary'!AR144</f>
        <v/>
      </c>
      <c r="K145" s="89" t="str">
        <f>'Detailed Summary'!AS144</f>
        <v/>
      </c>
      <c r="L145" s="39">
        <f>'Detailed Summary'!AU144</f>
        <v>0</v>
      </c>
      <c r="M145" s="87" t="str">
        <f>'Detailed Summary'!AV144</f>
        <v/>
      </c>
      <c r="N145" s="3" t="str">
        <f>'Detailed Summary'!BF144</f>
        <v>Failed in 6 Subjects</v>
      </c>
      <c r="O145" s="87" t="str">
        <f>'Detailed Summary'!AW144</f>
        <v/>
      </c>
      <c r="P145" s="5" t="str">
        <f>'Detailed Summary'!BG144</f>
        <v/>
      </c>
    </row>
    <row r="146" spans="2:16" hidden="1" x14ac:dyDescent="0.35">
      <c r="B146" s="88">
        <f>'Student Basic Info'!A145</f>
        <v>644</v>
      </c>
      <c r="C146" s="86" t="str">
        <f>'Student Basic Info'!C145</f>
        <v>Khadiza Aktar</v>
      </c>
      <c r="D146" s="89">
        <f>'Detailed Summary'!AK145</f>
        <v>0</v>
      </c>
      <c r="E146" s="89">
        <f>'Detailed Summary'!AL145</f>
        <v>0</v>
      </c>
      <c r="F146" s="89">
        <f>'Detailed Summary'!AM145</f>
        <v>0</v>
      </c>
      <c r="G146" s="89">
        <f>'Detailed Summary'!AN145</f>
        <v>0</v>
      </c>
      <c r="H146" s="89">
        <f>'Detailed Summary'!AO145</f>
        <v>0</v>
      </c>
      <c r="I146" s="89">
        <f>'Detailed Summary'!AP145</f>
        <v>0</v>
      </c>
      <c r="J146" s="89">
        <f>'Detailed Summary'!AR145</f>
        <v>0</v>
      </c>
      <c r="K146" s="89">
        <f>'Detailed Summary'!AS145</f>
        <v>0</v>
      </c>
      <c r="L146" s="39">
        <f>'Detailed Summary'!AU145</f>
        <v>0</v>
      </c>
      <c r="M146" s="87" t="str">
        <f>'Detailed Summary'!AV145</f>
        <v/>
      </c>
      <c r="N146" s="3" t="str">
        <f>'Detailed Summary'!BF145</f>
        <v>Failed in 6 Subjects</v>
      </c>
      <c r="O146" s="87" t="str">
        <f>'Detailed Summary'!AW145</f>
        <v/>
      </c>
      <c r="P146" s="5" t="str">
        <f>'Detailed Summary'!BG145</f>
        <v/>
      </c>
    </row>
  </sheetData>
  <autoFilter ref="N1:N146">
    <filterColumn colId="0">
      <filters>
        <filter val="Failed in 3 Subjects"/>
        <filter val="Result"/>
      </filters>
    </filterColumn>
  </autoFilter>
  <mergeCells count="1">
    <mergeCell ref="A1:P1"/>
  </mergeCells>
  <conditionalFormatting sqref="M3:M146 O3:O146">
    <cfRule type="cellIs" dxfId="2" priority="2" operator="between">
      <formula>1</formula>
      <formula>5</formula>
    </cfRule>
  </conditionalFormatting>
  <conditionalFormatting sqref="N3:N146">
    <cfRule type="containsText" dxfId="1" priority="1" operator="containsText" text="Pass">
      <formula>NOT(ISERROR(SEARCH("Pass",N3)))</formula>
    </cfRule>
  </conditionalFormatting>
  <pageMargins left="1.08" right="0.76" top="1.98" bottom="0.75" header="0.34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5"/>
  <sheetViews>
    <sheetView workbookViewId="0">
      <selection activeCell="E1" sqref="E1:E1048576"/>
    </sheetView>
  </sheetViews>
  <sheetFormatPr defaultRowHeight="14.5" x14ac:dyDescent="0.35"/>
  <cols>
    <col min="1" max="1" width="3" style="123" bestFit="1" customWidth="1"/>
    <col min="2" max="2" width="24.81640625" style="123" hidden="1" customWidth="1"/>
    <col min="3" max="4" width="11" style="123" hidden="1" customWidth="1"/>
    <col min="5" max="5" width="2.453125" style="123" bestFit="1" customWidth="1"/>
    <col min="6" max="6" width="3.26953125" style="123" bestFit="1" customWidth="1"/>
    <col min="7" max="7" width="2.7265625" style="123" bestFit="1" customWidth="1"/>
    <col min="8" max="8" width="2.1796875" style="123" bestFit="1" customWidth="1"/>
    <col min="9" max="9" width="2.81640625" style="123" bestFit="1" customWidth="1"/>
    <col min="10" max="10" width="2.453125" style="123" bestFit="1" customWidth="1"/>
    <col min="11" max="11" width="3.90625" style="123" bestFit="1" customWidth="1"/>
    <col min="12" max="12" width="3.36328125" style="123" bestFit="1" customWidth="1"/>
    <col min="13" max="13" width="3" style="123" bestFit="1" customWidth="1"/>
    <col min="14" max="14" width="4.1796875" style="124" bestFit="1" customWidth="1"/>
    <col min="15" max="15" width="3.6328125" style="124" bestFit="1" customWidth="1"/>
    <col min="16" max="16" width="2.453125" style="124" bestFit="1" customWidth="1"/>
    <col min="17" max="17" width="3.81640625" style="124" bestFit="1" customWidth="1"/>
    <col min="18" max="18" width="3.26953125" style="124" bestFit="1" customWidth="1"/>
    <col min="19" max="20" width="3.81640625" style="124" bestFit="1" customWidth="1"/>
    <col min="21" max="21" width="3.26953125" style="124" bestFit="1" customWidth="1"/>
    <col min="22" max="22" width="3.81640625" style="124" bestFit="1" customWidth="1"/>
    <col min="23" max="23" width="4.36328125" style="125" customWidth="1"/>
    <col min="24" max="24" width="3.90625" style="125" customWidth="1"/>
    <col min="25" max="25" width="11.90625" style="124" hidden="1" customWidth="1"/>
    <col min="26" max="26" width="12.1796875" style="123" hidden="1" customWidth="1"/>
    <col min="27" max="27" width="9" style="123" hidden="1" customWidth="1"/>
    <col min="28" max="28" width="15.7265625" style="123" hidden="1" customWidth="1"/>
    <col min="29" max="29" width="17.7265625" style="123" hidden="1" customWidth="1"/>
    <col min="30" max="31" width="13.6328125" style="123" hidden="1" customWidth="1"/>
    <col min="32" max="32" width="3.36328125" style="123" bestFit="1" customWidth="1"/>
    <col min="33" max="33" width="3.26953125" style="123" bestFit="1" customWidth="1"/>
    <col min="34" max="34" width="3.1796875" bestFit="1" customWidth="1"/>
    <col min="35" max="35" width="3.54296875" bestFit="1" customWidth="1"/>
    <col min="36" max="36" width="3.7265625" bestFit="1" customWidth="1"/>
    <col min="37" max="39" width="3.36328125" bestFit="1" customWidth="1"/>
    <col min="40" max="40" width="3.1796875" bestFit="1" customWidth="1"/>
    <col min="41" max="41" width="6.1796875" hidden="1" customWidth="1"/>
    <col min="42" max="42" width="4.36328125" bestFit="1" customWidth="1"/>
    <col min="43" max="43" width="3.1796875" bestFit="1" customWidth="1"/>
    <col min="44" max="44" width="3.26953125" bestFit="1" customWidth="1"/>
    <col min="45" max="45" width="20" hidden="1" customWidth="1"/>
    <col min="46" max="46" width="8" style="104" hidden="1" customWidth="1"/>
    <col min="47" max="47" width="6.08984375" style="104" hidden="1" customWidth="1"/>
    <col min="48" max="48" width="5.6328125" style="104" hidden="1" customWidth="1"/>
    <col min="49" max="51" width="7" style="104" hidden="1" customWidth="1"/>
    <col min="52" max="52" width="9.36328125" style="104" hidden="1" customWidth="1"/>
    <col min="53" max="53" width="3.36328125" style="104" bestFit="1" customWidth="1"/>
    <col min="54" max="54" width="3.7265625" style="104" bestFit="1" customWidth="1"/>
    <col min="55" max="55" width="4.36328125" style="119" bestFit="1" customWidth="1"/>
  </cols>
  <sheetData>
    <row r="1" spans="1:55" x14ac:dyDescent="0.35">
      <c r="A1" s="109" t="s">
        <v>0</v>
      </c>
      <c r="B1" s="109" t="s">
        <v>34</v>
      </c>
      <c r="C1" s="109" t="s">
        <v>55</v>
      </c>
      <c r="D1" s="109" t="s">
        <v>878</v>
      </c>
      <c r="E1" s="109" t="s">
        <v>905</v>
      </c>
      <c r="F1" s="109" t="s">
        <v>879</v>
      </c>
      <c r="G1" s="109" t="s">
        <v>880</v>
      </c>
      <c r="H1" s="109" t="s">
        <v>881</v>
      </c>
      <c r="I1" s="109" t="s">
        <v>882</v>
      </c>
      <c r="J1" s="109" t="s">
        <v>14</v>
      </c>
      <c r="K1" s="109" t="s">
        <v>883</v>
      </c>
      <c r="L1" s="109" t="s">
        <v>884</v>
      </c>
      <c r="M1" s="109" t="s">
        <v>885</v>
      </c>
      <c r="N1" s="109" t="s">
        <v>886</v>
      </c>
      <c r="O1" s="109" t="s">
        <v>887</v>
      </c>
      <c r="P1" s="109" t="s">
        <v>888</v>
      </c>
      <c r="Q1" s="109" t="s">
        <v>889</v>
      </c>
      <c r="R1" s="109" t="s">
        <v>890</v>
      </c>
      <c r="S1" s="109" t="s">
        <v>891</v>
      </c>
      <c r="T1" s="109" t="s">
        <v>892</v>
      </c>
      <c r="U1" s="109" t="s">
        <v>893</v>
      </c>
      <c r="V1" s="109" t="s">
        <v>894</v>
      </c>
      <c r="W1" s="110" t="s">
        <v>895</v>
      </c>
      <c r="X1" s="110" t="s">
        <v>896</v>
      </c>
      <c r="Y1" s="109" t="s">
        <v>150</v>
      </c>
      <c r="Z1" s="109" t="s">
        <v>151</v>
      </c>
      <c r="AA1" s="109" t="s">
        <v>152</v>
      </c>
      <c r="AB1" s="109" t="s">
        <v>423</v>
      </c>
      <c r="AC1" s="109" t="s">
        <v>422</v>
      </c>
      <c r="AD1" s="109" t="s">
        <v>177</v>
      </c>
      <c r="AE1" s="109" t="s">
        <v>178</v>
      </c>
      <c r="AF1" s="109" t="s">
        <v>878</v>
      </c>
      <c r="AG1" s="109" t="s">
        <v>879</v>
      </c>
      <c r="AH1" s="109" t="s">
        <v>14</v>
      </c>
      <c r="AI1" s="109" t="s">
        <v>897</v>
      </c>
      <c r="AJ1" s="109" t="s">
        <v>898</v>
      </c>
      <c r="AK1" s="109" t="s">
        <v>899</v>
      </c>
      <c r="AL1" s="109" t="s">
        <v>900</v>
      </c>
      <c r="AM1" s="109" t="s">
        <v>900</v>
      </c>
      <c r="AN1" s="109">
        <v>-2</v>
      </c>
      <c r="AO1" s="109" t="s">
        <v>901</v>
      </c>
      <c r="AP1" s="109" t="s">
        <v>902</v>
      </c>
      <c r="AQ1" s="109" t="s">
        <v>903</v>
      </c>
      <c r="AR1" s="109" t="s">
        <v>9</v>
      </c>
      <c r="AS1" s="109" t="s">
        <v>861</v>
      </c>
      <c r="AT1" s="109" t="s">
        <v>163</v>
      </c>
      <c r="AU1" s="109" t="s">
        <v>164</v>
      </c>
      <c r="AV1" s="109" t="s">
        <v>165</v>
      </c>
      <c r="AW1" s="109" t="s">
        <v>168</v>
      </c>
      <c r="AX1" s="109" t="s">
        <v>169</v>
      </c>
      <c r="AY1" s="109" t="s">
        <v>170</v>
      </c>
      <c r="AZ1" s="109" t="s">
        <v>166</v>
      </c>
      <c r="BA1" s="109" t="s">
        <v>904</v>
      </c>
      <c r="BB1" s="109" t="s">
        <v>865</v>
      </c>
      <c r="BC1" s="109" t="s">
        <v>8</v>
      </c>
    </row>
    <row r="2" spans="1:55" x14ac:dyDescent="0.35">
      <c r="A2" s="113">
        <f>'Student Basic Info'!A2</f>
        <v>501</v>
      </c>
      <c r="B2" s="113" t="str">
        <f>'Student Basic Info'!C2</f>
        <v xml:space="preserve">Robiul Sani </v>
      </c>
      <c r="C2" s="121" t="str">
        <f>IF(Bangla!B2="","",Bangla!B2)</f>
        <v/>
      </c>
      <c r="D2" s="121" t="str">
        <f>IF(Bangla!C2="","",Bangla!C2)</f>
        <v/>
      </c>
      <c r="E2" s="112" t="str">
        <f>IF(Bangla!D2="","",Bangla!D2)</f>
        <v/>
      </c>
      <c r="F2" s="112" t="str">
        <f>IF(English!C2="","",English!C2)</f>
        <v/>
      </c>
      <c r="G2" s="113" t="str">
        <f>IF(ICT!B2="","",ICT!B2)</f>
        <v/>
      </c>
      <c r="H2" s="113" t="str">
        <f>IF(ICT!C2="","",ICT!C2)</f>
        <v/>
      </c>
      <c r="I2" s="113" t="str">
        <f>IF(ICT!D2="","",ICT!D2)</f>
        <v/>
      </c>
      <c r="J2" s="114" t="str">
        <f>IF(ICT!E2="","",ICT!E2)</f>
        <v/>
      </c>
      <c r="K2" s="113" t="str">
        <f>IF(Accounting!B2="","",Accounting!B2)</f>
        <v/>
      </c>
      <c r="L2" s="113" t="str">
        <f>IF(Accounting!C2="","",Accounting!C2)</f>
        <v/>
      </c>
      <c r="M2" s="114" t="str">
        <f>IF(Accounting!D2="","",Accounting!D2)</f>
        <v/>
      </c>
      <c r="N2" s="113" t="str">
        <f>IF('Business Organization'!B2="","",'Business Organization'!B2)</f>
        <v/>
      </c>
      <c r="O2" s="113" t="str">
        <f>IF('Business Organization'!C2="","",'Business Organization'!C2)</f>
        <v/>
      </c>
      <c r="P2" s="114" t="str">
        <f>IF('Business Organization'!D2="","",'Business Organization'!D2)</f>
        <v/>
      </c>
      <c r="Q2" s="113" t="str">
        <f>IF(SubjectList!G2="Finance",IF(Finance!B2=0,"", Finance!B2),IF(SubjectList!G2="Production",IF(Production!B2=0,"", Production!B2),IF(SubjectList!G2="Economics",IF(Economics!B2=0,"", Economics!B2))))</f>
        <v/>
      </c>
      <c r="R2" s="113" t="str">
        <f>IF(SubjectList!G2="Finance",IF(Finance!C2=0,"", Finance!C2),IF(SubjectList!G2="Production",IF(Production!C2=0,"", Production!C2),IF(SubjectList!G2="Economics",IF(Economics!C2=0,"", Economics!C2))))</f>
        <v/>
      </c>
      <c r="S2" s="114" t="str">
        <f>IF(SubjectList!G2="Finance",IF(Finance!D2=0,"", Finance!D2),IF(SubjectList!G2="Production",IF(Production!D2=0,"", Production!D2),IF(SubjectList!G2="Economics",IF(Economics!D2=0,"", Economics!D2))))</f>
        <v/>
      </c>
      <c r="T2" s="113" t="str">
        <f>IF(SubjectList!H2="Finance",IF(Finance!B2=0,"", Finance!B2),IF(SubjectList!H2="Production",IF(Production!B2=0,"", Production!B2),IF(SubjectList!H2="Economics",IF(Economics!B2=0,"", Economics!B2))))</f>
        <v/>
      </c>
      <c r="U2" s="113" t="str">
        <f>IF(SubjectList!H2="Finance",IF(Finance!C2=0,"", Finance!C2),IF(SubjectList!H2="Production",IF(Production!C2=0,"", Production!C2),IF(SubjectList!H2="Economics",IF(Economics!C2=0,"", Economics!C2))))</f>
        <v/>
      </c>
      <c r="V2" s="114" t="str">
        <f>IF(SubjectList!H2="Finance",IF(Finance!D2=0,"", Finance!D2),IF(SubjectList!H2="Production",IF(Production!D2=0,"", Production!D2),IF(SubjectList!H2="Economics",IF(Economics!D2=0,"", Economics!D2))))</f>
        <v/>
      </c>
      <c r="W2" s="115" t="str">
        <f>IF(SubjectList!G2="Finance","Finance",IF(SubjectList!G2="Production","Production",IF(SubjectList!G2="Economics","Not Given")))</f>
        <v>Finance</v>
      </c>
      <c r="X2" s="115" t="str">
        <f>IF(SubjectList!H2="Finance","Finance",IF(SubjectList!H2="Production","Production",IF(SubjectList!H2="Economics","Economics","Not Given")))</f>
        <v>Production</v>
      </c>
      <c r="Y2" s="113" t="str">
        <f>Bangla!F2</f>
        <v/>
      </c>
      <c r="Z2" s="113" t="str">
        <f>English!E2</f>
        <v/>
      </c>
      <c r="AA2" s="113" t="str">
        <f>ICT!G2</f>
        <v/>
      </c>
      <c r="AB2" s="113" t="str">
        <f>Accounting!F2</f>
        <v/>
      </c>
      <c r="AC2" s="113" t="str">
        <f>'Business Organization'!F2</f>
        <v/>
      </c>
      <c r="AD2" s="113" t="str">
        <f>IF(SubjectList!G2="Finance",IF(Finance!F2=0,"", Finance!F2),IF(SubjectList!G2="Production",IF(Production!F2=0,"", Production!F2),IF(SubjectList!G2="Economics",IF(Economics!D2=0,"", Economics!D2))))</f>
        <v/>
      </c>
      <c r="AE2" s="113" t="str">
        <f>IF(SubjectList!H2="Finance",IF(Finance!F2=0,"", Finance!F2),IF(SubjectList!H2="Production",IF(Production!F2=0,"", Production!F2),IF(SubjectList!H2="Economics",IF(Economics!F2=0,"", Economics!F2))))</f>
        <v/>
      </c>
      <c r="AF2" s="122" t="str">
        <f>Bangla!G2</f>
        <v/>
      </c>
      <c r="AG2" s="122" t="str">
        <f>English!F2</f>
        <v/>
      </c>
      <c r="AH2" s="120" t="str">
        <f>ICT!H2</f>
        <v/>
      </c>
      <c r="AI2" s="120" t="str">
        <f>Accounting!G2</f>
        <v/>
      </c>
      <c r="AJ2" s="120" t="str">
        <f>'Business Organization'!G2</f>
        <v/>
      </c>
      <c r="AK2" s="120" t="str">
        <f>IF(SubjectList!G2="Finance",Finance!G2,IF(SubjectList!G2="Production",Production!G2,IF(SubjectList!G2="Economics",Economics!G2)))</f>
        <v/>
      </c>
      <c r="AL2" s="120" t="str">
        <f>IF(Optional!H2=0,"", Optional!H2)</f>
        <v/>
      </c>
      <c r="AM2" s="120" t="str">
        <f>Optional!H2</f>
        <v/>
      </c>
      <c r="AN2" s="120" t="str">
        <f>Optional!I2</f>
        <v/>
      </c>
      <c r="AO2" s="120" t="str">
        <f t="shared" ref="AO2:AO33" si="0">IF(AZ2=0, "", SUM(AF2:AK2))</f>
        <v/>
      </c>
      <c r="AP2" s="120">
        <f t="shared" ref="AP2:AP33" si="1">SUM(AN2:AO2)</f>
        <v>0</v>
      </c>
      <c r="AQ2" s="116" t="str">
        <f t="shared" ref="AQ2:AQ33" si="2">IF(AZ2=6,IF(AP2&gt;=30,5,(AP2-AN2)/6),"")</f>
        <v/>
      </c>
      <c r="AR2" s="116" t="str">
        <f t="shared" ref="AR2:AR33" si="3">IF(AZ2=6, IF(AP2&gt;=30,5,AP2/6), "")</f>
        <v/>
      </c>
      <c r="AS2" s="117">
        <f t="shared" ref="AS2:AS33" si="4">IF(E2="",0,E2)+IF(F2="",0,F2)+IF(J2="",0,J2)+IF(M2="",0,M2)+IF(P2="",0,P2)+IF(S2="",0,S2)+IF(V2="",0,V2)</f>
        <v>0</v>
      </c>
      <c r="AT2" s="118">
        <f t="shared" ref="AT2:AT33" si="5">(IF(AF2="",0,IF(AF2=0,0,1)))</f>
        <v>0</v>
      </c>
      <c r="AU2" s="118">
        <f t="shared" ref="AU2:AU33" si="6">(IF(AG2="",0,IF(AG2=0,0,1)))</f>
        <v>0</v>
      </c>
      <c r="AV2" s="118">
        <f t="shared" ref="AV2:AV33" si="7">(IF(AH2="",0,IF(AH2=0,0,1)))</f>
        <v>0</v>
      </c>
      <c r="AW2" s="118">
        <f t="shared" ref="AW2:AW33" si="8">(IF(AI2="",0,IF(AI2=0,0,1)))</f>
        <v>0</v>
      </c>
      <c r="AX2" s="118">
        <f t="shared" ref="AX2:AX33" si="9">(IF(AJ2="",0,IF(AJ2=0,0,1)))</f>
        <v>0</v>
      </c>
      <c r="AY2" s="118">
        <f t="shared" ref="AY2:AY33" si="10">(IF(AK2="",0,IF(AK2=0,0,1)))</f>
        <v>0</v>
      </c>
      <c r="AZ2" s="111">
        <f t="shared" ref="AZ2:AZ33" si="11">SUM(AT2:AY2)</f>
        <v>0</v>
      </c>
      <c r="BA2" s="111" t="str">
        <f t="shared" ref="BA2:BA33" si="12">IF(AZ2=0,"F6",IF(AZ2=1,"F5",IF(AZ2=2,"F4",IF(AZ2=3,"F3",IF(AZ2=4,"F2",IF(AZ2=5,"F1",IF(AZ2=6,"Pass")))))))</f>
        <v>F6</v>
      </c>
      <c r="BB2" s="117" t="str">
        <f>IF(AR2="","",RANK(AR2,AR$2:AR145,0))</f>
        <v/>
      </c>
      <c r="BC2" s="111" t="str">
        <f t="shared" ref="BC2:BC33" si="13">IF(AR2&gt;=5,"",IF(AR2&gt;=4,"A",IF(AR2&gt;=3.5,"A-",IF(AR2&gt;=3,"B",IF(AR2&gt;=2,"C",IF(AR2&gt;=1,"D","F"))))))</f>
        <v/>
      </c>
    </row>
    <row r="3" spans="1:55" x14ac:dyDescent="0.35">
      <c r="A3" s="113">
        <f>'Student Basic Info'!A3</f>
        <v>502</v>
      </c>
      <c r="B3" s="113" t="str">
        <f>'Student Basic Info'!C3</f>
        <v>Shakhawat Hosain</v>
      </c>
      <c r="C3" s="121" t="str">
        <f>IF(Bangla!B3="","",Bangla!B3)</f>
        <v/>
      </c>
      <c r="D3" s="121" t="str">
        <f>IF(Bangla!C3="","",Bangla!C3)</f>
        <v/>
      </c>
      <c r="E3" s="112" t="str">
        <f>IF(Bangla!D3="","",Bangla!D3)</f>
        <v/>
      </c>
      <c r="F3" s="112" t="str">
        <f>IF(English!C3="","",English!C3)</f>
        <v/>
      </c>
      <c r="G3" s="113" t="str">
        <f>IF(ICT!B3="","",ICT!B3)</f>
        <v/>
      </c>
      <c r="H3" s="113" t="str">
        <f>IF(ICT!C3="","",ICT!C3)</f>
        <v/>
      </c>
      <c r="I3" s="113" t="str">
        <f>IF(ICT!D3="","",ICT!D3)</f>
        <v/>
      </c>
      <c r="J3" s="114" t="str">
        <f>IF(ICT!E3="","",ICT!E3)</f>
        <v/>
      </c>
      <c r="K3" s="113" t="str">
        <f>IF(Accounting!B3="","",Accounting!B3)</f>
        <v/>
      </c>
      <c r="L3" s="113" t="str">
        <f>IF(Accounting!C3="","",Accounting!C3)</f>
        <v/>
      </c>
      <c r="M3" s="114" t="str">
        <f>IF(Accounting!D3="","",Accounting!D3)</f>
        <v/>
      </c>
      <c r="N3" s="113" t="str">
        <f>IF('Business Organization'!B3="","",'Business Organization'!B3)</f>
        <v/>
      </c>
      <c r="O3" s="113" t="str">
        <f>IF('Business Organization'!C3="","",'Business Organization'!C3)</f>
        <v/>
      </c>
      <c r="P3" s="114" t="str">
        <f>IF('Business Organization'!D3="","",'Business Organization'!D3)</f>
        <v/>
      </c>
      <c r="Q3" s="113" t="str">
        <f>IF(SubjectList!G3="Finance",IF(Finance!B3=0,"", Finance!B3),IF(SubjectList!G3="Production",IF(Production!B3=0,"", Production!B3),IF(SubjectList!G3="Economics",IF(Economics!B3=0,"", Economics!B3))))</f>
        <v/>
      </c>
      <c r="R3" s="113" t="str">
        <f>IF(SubjectList!G3="Finance",IF(Finance!C3=0,"", Finance!C3),IF(SubjectList!G3="Production",IF(Production!C3=0,"", Production!C3),IF(SubjectList!G3="Economics",IF(Economics!C3=0,"", Economics!C3))))</f>
        <v/>
      </c>
      <c r="S3" s="114" t="str">
        <f>IF(SubjectList!G3="Finance",IF(Finance!D3=0,"", Finance!D3),IF(SubjectList!G3="Production",IF(Production!D3=0,"", Production!D3),IF(SubjectList!G3="Economics",IF(Economics!D3=0,"", Economics!D3))))</f>
        <v/>
      </c>
      <c r="T3" s="113" t="str">
        <f>IF(SubjectList!H3="Finance",IF(Finance!B3=0,"", Finance!B3),IF(SubjectList!H3="Production",IF(Production!B3=0,"", Production!B3),IF(SubjectList!H3="Economics",IF(Economics!B3=0,"", Economics!B3))))</f>
        <v/>
      </c>
      <c r="U3" s="113" t="str">
        <f>IF(SubjectList!H3="Finance",IF(Finance!C3=0,"", Finance!C3),IF(SubjectList!H3="Production",IF(Production!C3=0,"", Production!C3),IF(SubjectList!H3="Economics",IF(Economics!C3=0,"", Economics!C3))))</f>
        <v/>
      </c>
      <c r="V3" s="114" t="str">
        <f>IF(SubjectList!H3="Finance",IF(Finance!D3=0,"", Finance!D3),IF(SubjectList!H3="Production",IF(Production!D3=0,"", Production!D3),IF(SubjectList!H3="Economics",IF(Economics!D3=0,"", Economics!D3))))</f>
        <v/>
      </c>
      <c r="W3" s="115" t="str">
        <f>IF(SubjectList!G3="Finance","Finance",IF(SubjectList!G3="Production","Production",IF(SubjectList!G3="Economics","Not Given")))</f>
        <v>Finance</v>
      </c>
      <c r="X3" s="115" t="str">
        <f>IF(SubjectList!H3="Finance","Finance",IF(SubjectList!H3="Production","Production",IF(SubjectList!H3="Economics","Economics","Not Given")))</f>
        <v>Economics</v>
      </c>
      <c r="Y3" s="113" t="str">
        <f>Bangla!F3</f>
        <v/>
      </c>
      <c r="Z3" s="113" t="str">
        <f>English!E3</f>
        <v/>
      </c>
      <c r="AA3" s="113" t="str">
        <f>ICT!G3</f>
        <v/>
      </c>
      <c r="AB3" s="113" t="str">
        <f>Accounting!F3</f>
        <v/>
      </c>
      <c r="AC3" s="113" t="str">
        <f>'Business Organization'!F3</f>
        <v/>
      </c>
      <c r="AD3" s="113" t="str">
        <f>IF(SubjectList!G3="Finance",IF(Finance!F3=0,"", Finance!F3),IF(SubjectList!G3="Production",IF(Production!F3=0,"", Production!F3),IF(SubjectList!G3="Economics",IF(Economics!D3=0,"", Economics!D3))))</f>
        <v/>
      </c>
      <c r="AE3" s="113" t="str">
        <f>IF(SubjectList!H3="Finance",IF(Finance!F3=0,"", Finance!F3),IF(SubjectList!H3="Production",IF(Production!F3=0,"", Production!F3),IF(SubjectList!H3="Economics",IF(Economics!F3=0,"", Economics!F3))))</f>
        <v/>
      </c>
      <c r="AF3" s="122" t="str">
        <f>Bangla!G3</f>
        <v/>
      </c>
      <c r="AG3" s="122" t="str">
        <f>English!F3</f>
        <v/>
      </c>
      <c r="AH3" s="120" t="str">
        <f>ICT!H3</f>
        <v/>
      </c>
      <c r="AI3" s="120" t="str">
        <f>Accounting!G3</f>
        <v/>
      </c>
      <c r="AJ3" s="120" t="str">
        <f>'Business Organization'!G3</f>
        <v/>
      </c>
      <c r="AK3" s="120" t="str">
        <f>IF(SubjectList!G3="Finance",Finance!G3,IF(SubjectList!G3="Production",Production!G3,IF(SubjectList!G3="Economics",Economics!G3)))</f>
        <v/>
      </c>
      <c r="AL3" s="120" t="str">
        <f>IF(Optional!H3=0,"", Optional!H3)</f>
        <v/>
      </c>
      <c r="AM3" s="120" t="str">
        <f>Optional!H3</f>
        <v/>
      </c>
      <c r="AN3" s="120" t="str">
        <f>Optional!I3</f>
        <v/>
      </c>
      <c r="AO3" s="120" t="str">
        <f t="shared" si="0"/>
        <v/>
      </c>
      <c r="AP3" s="120">
        <f t="shared" si="1"/>
        <v>0</v>
      </c>
      <c r="AQ3" s="116" t="str">
        <f t="shared" si="2"/>
        <v/>
      </c>
      <c r="AR3" s="116" t="str">
        <f t="shared" si="3"/>
        <v/>
      </c>
      <c r="AS3" s="117">
        <f t="shared" si="4"/>
        <v>0</v>
      </c>
      <c r="AT3" s="118">
        <f t="shared" si="5"/>
        <v>0</v>
      </c>
      <c r="AU3" s="118">
        <f t="shared" si="6"/>
        <v>0</v>
      </c>
      <c r="AV3" s="118">
        <f t="shared" si="7"/>
        <v>0</v>
      </c>
      <c r="AW3" s="118">
        <f t="shared" si="8"/>
        <v>0</v>
      </c>
      <c r="AX3" s="118">
        <f t="shared" si="9"/>
        <v>0</v>
      </c>
      <c r="AY3" s="118">
        <f t="shared" si="10"/>
        <v>0</v>
      </c>
      <c r="AZ3" s="111">
        <f t="shared" si="11"/>
        <v>0</v>
      </c>
      <c r="BA3" s="111" t="str">
        <f t="shared" si="12"/>
        <v>F6</v>
      </c>
      <c r="BB3" s="117" t="str">
        <f>IF(AR3="","",RANK(AR3,AR$2:AR145,0))</f>
        <v/>
      </c>
      <c r="BC3" s="111" t="str">
        <f t="shared" si="13"/>
        <v/>
      </c>
    </row>
    <row r="4" spans="1:55" x14ac:dyDescent="0.35">
      <c r="A4" s="113">
        <f>'Student Basic Info'!A4</f>
        <v>503</v>
      </c>
      <c r="B4" s="113" t="str">
        <f>'Student Basic Info'!C4</f>
        <v>Nusrat Sultana</v>
      </c>
      <c r="C4" s="121" t="str">
        <f>IF(Bangla!B4="","",Bangla!B4)</f>
        <v/>
      </c>
      <c r="D4" s="121">
        <f>IF(Bangla!C4="","",Bangla!C4)</f>
        <v>50</v>
      </c>
      <c r="E4" s="112">
        <f>IF(Bangla!D4="","",Bangla!D4)</f>
        <v>50</v>
      </c>
      <c r="F4" s="112">
        <f>IF(English!C4="","",English!C4)</f>
        <v>33</v>
      </c>
      <c r="G4" s="113">
        <f>IF(ICT!B4="","",ICT!B4)</f>
        <v>8</v>
      </c>
      <c r="H4" s="113">
        <f>IF(ICT!C4="","",ICT!C4)</f>
        <v>18</v>
      </c>
      <c r="I4" s="113">
        <f>IF(ICT!D4="","",ICT!D4)</f>
        <v>20</v>
      </c>
      <c r="J4" s="114">
        <f>IF(ICT!E4="","",ICT!E4)</f>
        <v>46</v>
      </c>
      <c r="K4" s="113">
        <f>IF(Accounting!B4="","",Accounting!B4)</f>
        <v>10</v>
      </c>
      <c r="L4" s="113">
        <f>IF(Accounting!C4="","",Accounting!C4)</f>
        <v>23</v>
      </c>
      <c r="M4" s="114">
        <f>IF(Accounting!D4="","",Accounting!D4)</f>
        <v>33</v>
      </c>
      <c r="N4" s="113">
        <f>IF('Business Organization'!B4="","",'Business Organization'!B4)</f>
        <v>11</v>
      </c>
      <c r="O4" s="113">
        <f>IF('Business Organization'!C4="","",'Business Organization'!C4)</f>
        <v>23</v>
      </c>
      <c r="P4" s="114">
        <f>IF('Business Organization'!D4="","",'Business Organization'!D4)</f>
        <v>34</v>
      </c>
      <c r="Q4" s="113">
        <f>IF(SubjectList!G4="Finance",IF(Finance!B4=0,"", Finance!B4),IF(SubjectList!G4="Production",IF(Production!B4=0,"", Production!B4),IF(SubjectList!G4="Economics",IF(Economics!B4=0,"", Economics!B4))))</f>
        <v>15</v>
      </c>
      <c r="R4" s="113">
        <f>IF(SubjectList!G4="Finance",IF(Finance!C4=0,"", Finance!C4),IF(SubjectList!G4="Production",IF(Production!C4=0,"", Production!C4),IF(SubjectList!G4="Economics",IF(Economics!C4=0,"", Economics!C4))))</f>
        <v>23</v>
      </c>
      <c r="S4" s="114">
        <f>IF(SubjectList!G4="Finance",IF(Finance!D4=0,"", Finance!D4),IF(SubjectList!G4="Production",IF(Production!D4=0,"", Production!D4),IF(SubjectList!G4="Economics",IF(Economics!D4=0,"", Economics!D4))))</f>
        <v>38</v>
      </c>
      <c r="T4" s="113">
        <f>IF(SubjectList!H4="Finance",IF(Finance!B4=0,"", Finance!B4),IF(SubjectList!H4="Production",IF(Production!B4=0,"", Production!B4),IF(SubjectList!H4="Economics",IF(Economics!B4=0,"", Economics!B4))))</f>
        <v>10</v>
      </c>
      <c r="U4" s="113">
        <f>IF(SubjectList!H4="Finance",IF(Finance!C4=0,"", Finance!C4),IF(SubjectList!H4="Production",IF(Production!C4=0,"", Production!C4),IF(SubjectList!H4="Economics",IF(Economics!C4=0,"", Economics!C4))))</f>
        <v>30</v>
      </c>
      <c r="V4" s="114">
        <f>IF(SubjectList!H4="Finance",IF(Finance!D4=0,"", Finance!D4),IF(SubjectList!H4="Production",IF(Production!D4=0,"", Production!D4),IF(SubjectList!H4="Economics",IF(Economics!D4=0,"", Economics!D4))))</f>
        <v>40</v>
      </c>
      <c r="W4" s="115" t="str">
        <f>IF(SubjectList!G4="Finance","Finance",IF(SubjectList!G4="Production","Production",IF(SubjectList!G4="Economics","Not Given")))</f>
        <v>Production</v>
      </c>
      <c r="X4" s="115" t="str">
        <f>IF(SubjectList!H4="Finance","Finance",IF(SubjectList!H4="Production","Production",IF(SubjectList!H4="Economics","Economics","Not Given")))</f>
        <v>Economics</v>
      </c>
      <c r="Y4" s="113" t="str">
        <f>Bangla!F4</f>
        <v>B</v>
      </c>
      <c r="Z4" s="113" t="str">
        <f>English!E4</f>
        <v>D</v>
      </c>
      <c r="AA4" s="113" t="str">
        <f>ICT!G4</f>
        <v>C</v>
      </c>
      <c r="AB4" s="113" t="str">
        <f>Accounting!F4</f>
        <v>D</v>
      </c>
      <c r="AC4" s="113" t="str">
        <f>'Business Organization'!F4</f>
        <v>D</v>
      </c>
      <c r="AD4" s="113" t="str">
        <f>IF(SubjectList!G4="Finance",IF(Finance!F4=0,"", Finance!F4),IF(SubjectList!G4="Production",IF(Production!F4=0,"", Production!F4),IF(SubjectList!G4="Economics",IF(Economics!D4=0,"", Economics!D4))))</f>
        <v>D</v>
      </c>
      <c r="AE4" s="113" t="str">
        <f>IF(SubjectList!H4="Finance",IF(Finance!F4=0,"", Finance!F4),IF(SubjectList!H4="Production",IF(Production!F4=0,"", Production!F4),IF(SubjectList!H4="Economics",IF(Economics!F4=0,"", Economics!F4))))</f>
        <v>C</v>
      </c>
      <c r="AF4" s="122">
        <f>Bangla!G4</f>
        <v>3</v>
      </c>
      <c r="AG4" s="122">
        <f>English!F4</f>
        <v>1</v>
      </c>
      <c r="AH4" s="120">
        <f>ICT!H4</f>
        <v>2</v>
      </c>
      <c r="AI4" s="120">
        <f>Accounting!G4</f>
        <v>1</v>
      </c>
      <c r="AJ4" s="120">
        <f>'Business Organization'!G4</f>
        <v>1</v>
      </c>
      <c r="AK4" s="120">
        <f>IF(SubjectList!G4="Finance",Finance!G4,IF(SubjectList!G4="Production",Production!G4,IF(SubjectList!G4="Economics",Economics!G4)))</f>
        <v>1</v>
      </c>
      <c r="AL4" s="120">
        <f>IF(Optional!H4=0,"", Optional!H4)</f>
        <v>2</v>
      </c>
      <c r="AM4" s="120">
        <f>Optional!H4</f>
        <v>2</v>
      </c>
      <c r="AN4" s="120">
        <f>Optional!I4</f>
        <v>0</v>
      </c>
      <c r="AO4" s="120">
        <f t="shared" si="0"/>
        <v>9</v>
      </c>
      <c r="AP4" s="120">
        <f t="shared" si="1"/>
        <v>9</v>
      </c>
      <c r="AQ4" s="116">
        <f t="shared" si="2"/>
        <v>1.5</v>
      </c>
      <c r="AR4" s="116">
        <f t="shared" si="3"/>
        <v>1.5</v>
      </c>
      <c r="AS4" s="117">
        <f t="shared" si="4"/>
        <v>274</v>
      </c>
      <c r="AT4" s="118">
        <f t="shared" si="5"/>
        <v>1</v>
      </c>
      <c r="AU4" s="118">
        <f t="shared" si="6"/>
        <v>1</v>
      </c>
      <c r="AV4" s="118">
        <f t="shared" si="7"/>
        <v>1</v>
      </c>
      <c r="AW4" s="118">
        <f t="shared" si="8"/>
        <v>1</v>
      </c>
      <c r="AX4" s="118">
        <f t="shared" si="9"/>
        <v>1</v>
      </c>
      <c r="AY4" s="118">
        <f t="shared" si="10"/>
        <v>1</v>
      </c>
      <c r="AZ4" s="111">
        <f t="shared" si="11"/>
        <v>6</v>
      </c>
      <c r="BA4" s="111" t="str">
        <f t="shared" si="12"/>
        <v>Pass</v>
      </c>
      <c r="BB4" s="117">
        <f>IF(AR4="","",RANK(AR4,AR$2:AR145,0))</f>
        <v>12</v>
      </c>
      <c r="BC4" s="111" t="str">
        <f t="shared" si="13"/>
        <v>D</v>
      </c>
    </row>
    <row r="5" spans="1:55" x14ac:dyDescent="0.35">
      <c r="A5" s="113">
        <f>'Student Basic Info'!A5</f>
        <v>504</v>
      </c>
      <c r="B5" s="113" t="str">
        <f>'Student Basic Info'!C5</f>
        <v>Nusrat Zahan</v>
      </c>
      <c r="C5" s="121" t="str">
        <f>IF(Bangla!B5="","",Bangla!B5)</f>
        <v/>
      </c>
      <c r="D5" s="121">
        <f>IF(Bangla!C5="","",Bangla!C5)</f>
        <v>56</v>
      </c>
      <c r="E5" s="112">
        <f>IF(Bangla!D5="","",Bangla!D5)</f>
        <v>56</v>
      </c>
      <c r="F5" s="112">
        <f>IF(English!C5="","",English!C5)</f>
        <v>21</v>
      </c>
      <c r="G5" s="113">
        <f>IF(ICT!B5="","",ICT!B5)</f>
        <v>7</v>
      </c>
      <c r="H5" s="113">
        <f>IF(ICT!C5="","",ICT!C5)</f>
        <v>17</v>
      </c>
      <c r="I5" s="113">
        <f>IF(ICT!D5="","",ICT!D5)</f>
        <v>20</v>
      </c>
      <c r="J5" s="114">
        <f>IF(ICT!E5="","",ICT!E5)</f>
        <v>44</v>
      </c>
      <c r="K5" s="113">
        <f>IF(Accounting!B5="","",Accounting!B5)</f>
        <v>7</v>
      </c>
      <c r="L5" s="113">
        <f>IF(Accounting!C5="","",Accounting!C5)</f>
        <v>24</v>
      </c>
      <c r="M5" s="114">
        <f>IF(Accounting!D5="","",Accounting!D5)</f>
        <v>31</v>
      </c>
      <c r="N5" s="113">
        <f>IF('Business Organization'!B5="","",'Business Organization'!B5)</f>
        <v>14</v>
      </c>
      <c r="O5" s="113">
        <f>IF('Business Organization'!C5="","",'Business Organization'!C5)</f>
        <v>17</v>
      </c>
      <c r="P5" s="114">
        <f>IF('Business Organization'!D5="","",'Business Organization'!D5)</f>
        <v>31</v>
      </c>
      <c r="Q5" s="113">
        <f>IF(SubjectList!G5="Finance",IF(Finance!B5=0,"", Finance!B5),IF(SubjectList!G5="Production",IF(Production!B5=0,"", Production!B5),IF(SubjectList!G5="Economics",IF(Economics!B5=0,"", Economics!B5))))</f>
        <v>10</v>
      </c>
      <c r="R5" s="113">
        <f>IF(SubjectList!G5="Finance",IF(Finance!C5=0,"", Finance!C5),IF(SubjectList!G5="Production",IF(Production!C5=0,"", Production!C5),IF(SubjectList!G5="Economics",IF(Economics!C5=0,"", Economics!C5))))</f>
        <v>37</v>
      </c>
      <c r="S5" s="114">
        <f>IF(SubjectList!G5="Finance",IF(Finance!D5=0,"", Finance!D5),IF(SubjectList!G5="Production",IF(Production!D5=0,"", Production!D5),IF(SubjectList!G5="Economics",IF(Economics!D5=0,"", Economics!D5))))</f>
        <v>47</v>
      </c>
      <c r="T5" s="113">
        <f>IF(SubjectList!H5="Finance",IF(Finance!B5=0,"", Finance!B5),IF(SubjectList!H5="Production",IF(Production!B5=0,"", Production!B5),IF(SubjectList!H5="Economics",IF(Economics!B5=0,"", Economics!B5))))</f>
        <v>16</v>
      </c>
      <c r="U5" s="113">
        <f>IF(SubjectList!H5="Finance",IF(Finance!C5=0,"", Finance!C5),IF(SubjectList!H5="Production",IF(Production!C5=0,"", Production!C5),IF(SubjectList!H5="Economics",IF(Economics!C5=0,"", Economics!C5))))</f>
        <v>31</v>
      </c>
      <c r="V5" s="114">
        <f>IF(SubjectList!H5="Finance",IF(Finance!D5=0,"", Finance!D5),IF(SubjectList!H5="Production",IF(Production!D5=0,"", Production!D5),IF(SubjectList!H5="Economics",IF(Economics!D5=0,"", Economics!D5))))</f>
        <v>47</v>
      </c>
      <c r="W5" s="115" t="str">
        <f>IF(SubjectList!G5="Finance","Finance",IF(SubjectList!G5="Production","Production",IF(SubjectList!G5="Economics","Not Given")))</f>
        <v>Production</v>
      </c>
      <c r="X5" s="115" t="str">
        <f>IF(SubjectList!H5="Finance","Finance",IF(SubjectList!H5="Production","Production",IF(SubjectList!H5="Economics","Economics","Not Given")))</f>
        <v>Economics</v>
      </c>
      <c r="Y5" s="113" t="str">
        <f>Bangla!F5</f>
        <v>B</v>
      </c>
      <c r="Z5" s="113" t="str">
        <f>English!E5</f>
        <v>F</v>
      </c>
      <c r="AA5" s="113" t="str">
        <f>ICT!G5</f>
        <v>F</v>
      </c>
      <c r="AB5" s="113" t="str">
        <f>Accounting!F5</f>
        <v>F</v>
      </c>
      <c r="AC5" s="113" t="str">
        <f>'Business Organization'!F5</f>
        <v>F</v>
      </c>
      <c r="AD5" s="113" t="str">
        <f>IF(SubjectList!G5="Finance",IF(Finance!F5=0,"", Finance!F5),IF(SubjectList!G5="Production",IF(Production!F5=0,"", Production!F5),IF(SubjectList!G5="Economics",IF(Economics!D5=0,"", Economics!D5))))</f>
        <v>C</v>
      </c>
      <c r="AE5" s="113" t="str">
        <f>IF(SubjectList!H5="Finance",IF(Finance!F5=0,"", Finance!F5),IF(SubjectList!H5="Production",IF(Production!F5=0,"", Production!F5),IF(SubjectList!H5="Economics",IF(Economics!F5=0,"", Economics!F5))))</f>
        <v>C</v>
      </c>
      <c r="AF5" s="122">
        <f>Bangla!G5</f>
        <v>3</v>
      </c>
      <c r="AG5" s="122">
        <f>English!F5</f>
        <v>0</v>
      </c>
      <c r="AH5" s="120">
        <f>ICT!H5</f>
        <v>0</v>
      </c>
      <c r="AI5" s="120">
        <f>Accounting!G5</f>
        <v>0</v>
      </c>
      <c r="AJ5" s="120">
        <f>'Business Organization'!G5</f>
        <v>0</v>
      </c>
      <c r="AK5" s="120">
        <f>IF(SubjectList!G5="Finance",Finance!G5,IF(SubjectList!G5="Production",Production!G5,IF(SubjectList!G5="Economics",Economics!G5)))</f>
        <v>2</v>
      </c>
      <c r="AL5" s="120">
        <f>IF(Optional!H5=0,"", Optional!H5)</f>
        <v>2</v>
      </c>
      <c r="AM5" s="120">
        <f>Optional!H5</f>
        <v>2</v>
      </c>
      <c r="AN5" s="120">
        <f>Optional!I5</f>
        <v>0</v>
      </c>
      <c r="AO5" s="120">
        <f t="shared" si="0"/>
        <v>5</v>
      </c>
      <c r="AP5" s="120">
        <f t="shared" si="1"/>
        <v>5</v>
      </c>
      <c r="AQ5" s="116" t="str">
        <f t="shared" si="2"/>
        <v/>
      </c>
      <c r="AR5" s="116" t="str">
        <f t="shared" si="3"/>
        <v/>
      </c>
      <c r="AS5" s="117">
        <f t="shared" si="4"/>
        <v>277</v>
      </c>
      <c r="AT5" s="118">
        <f t="shared" si="5"/>
        <v>1</v>
      </c>
      <c r="AU5" s="118">
        <f t="shared" si="6"/>
        <v>0</v>
      </c>
      <c r="AV5" s="118">
        <f t="shared" si="7"/>
        <v>0</v>
      </c>
      <c r="AW5" s="118">
        <f t="shared" si="8"/>
        <v>0</v>
      </c>
      <c r="AX5" s="118">
        <f t="shared" si="9"/>
        <v>0</v>
      </c>
      <c r="AY5" s="118">
        <f t="shared" si="10"/>
        <v>1</v>
      </c>
      <c r="AZ5" s="111">
        <f t="shared" si="11"/>
        <v>2</v>
      </c>
      <c r="BA5" s="111" t="str">
        <f t="shared" si="12"/>
        <v>F4</v>
      </c>
      <c r="BB5" s="117" t="str">
        <f>IF(AR5="","",RANK(AR5,AR$2:AR145,0))</f>
        <v/>
      </c>
      <c r="BC5" s="111" t="str">
        <f t="shared" si="13"/>
        <v/>
      </c>
    </row>
    <row r="6" spans="1:55" x14ac:dyDescent="0.35">
      <c r="A6" s="113">
        <f>'Student Basic Info'!A6</f>
        <v>505</v>
      </c>
      <c r="B6" s="113" t="str">
        <f>'Student Basic Info'!C6</f>
        <v>Istiaque Mahmud</v>
      </c>
      <c r="C6" s="121" t="str">
        <f>IF(Bangla!B6="","",Bangla!B6)</f>
        <v/>
      </c>
      <c r="D6" s="121" t="str">
        <f>IF(Bangla!C6="","",Bangla!C6)</f>
        <v/>
      </c>
      <c r="E6" s="112" t="str">
        <f>IF(Bangla!D6="","",Bangla!D6)</f>
        <v/>
      </c>
      <c r="F6" s="112" t="str">
        <f>IF(English!C6="","",English!C6)</f>
        <v/>
      </c>
      <c r="G6" s="113" t="str">
        <f>IF(ICT!B6="","",ICT!B6)</f>
        <v/>
      </c>
      <c r="H6" s="113" t="str">
        <f>IF(ICT!C6="","",ICT!C6)</f>
        <v/>
      </c>
      <c r="I6" s="113" t="str">
        <f>IF(ICT!D6="","",ICT!D6)</f>
        <v/>
      </c>
      <c r="J6" s="114" t="str">
        <f>IF(ICT!E6="","",ICT!E6)</f>
        <v/>
      </c>
      <c r="K6" s="113" t="str">
        <f>IF(Accounting!B6="","",Accounting!B6)</f>
        <v/>
      </c>
      <c r="L6" s="113" t="str">
        <f>IF(Accounting!C6="","",Accounting!C6)</f>
        <v/>
      </c>
      <c r="M6" s="114" t="str">
        <f>IF(Accounting!D6="","",Accounting!D6)</f>
        <v/>
      </c>
      <c r="N6" s="113" t="str">
        <f>IF('Business Organization'!B6="","",'Business Organization'!B6)</f>
        <v/>
      </c>
      <c r="O6" s="113" t="str">
        <f>IF('Business Organization'!C6="","",'Business Organization'!C6)</f>
        <v/>
      </c>
      <c r="P6" s="114" t="str">
        <f>IF('Business Organization'!D6="","",'Business Organization'!D6)</f>
        <v/>
      </c>
      <c r="Q6" s="113" t="str">
        <f>IF(SubjectList!G6="Finance",IF(Finance!B6=0,"", Finance!B6),IF(SubjectList!G6="Production",IF(Production!B6=0,"", Production!B6),IF(SubjectList!G6="Economics",IF(Economics!B6=0,"", Economics!B6))))</f>
        <v/>
      </c>
      <c r="R6" s="113" t="str">
        <f>IF(SubjectList!G6="Finance",IF(Finance!C6=0,"", Finance!C6),IF(SubjectList!G6="Production",IF(Production!C6=0,"", Production!C6),IF(SubjectList!G6="Economics",IF(Economics!C6=0,"", Economics!C6))))</f>
        <v/>
      </c>
      <c r="S6" s="114" t="str">
        <f>IF(SubjectList!G6="Finance",IF(Finance!D6=0,"", Finance!D6),IF(SubjectList!G6="Production",IF(Production!D6=0,"", Production!D6),IF(SubjectList!G6="Economics",IF(Economics!D6=0,"", Economics!D6))))</f>
        <v/>
      </c>
      <c r="T6" s="113" t="str">
        <f>IF(SubjectList!H6="Finance",IF(Finance!B6=0,"", Finance!B6),IF(SubjectList!H6="Production",IF(Production!B6=0,"", Production!B6),IF(SubjectList!H6="Economics",IF(Economics!B6=0,"", Economics!B6))))</f>
        <v/>
      </c>
      <c r="U6" s="113" t="str">
        <f>IF(SubjectList!H6="Finance",IF(Finance!C6=0,"", Finance!C6),IF(SubjectList!H6="Production",IF(Production!C6=0,"", Production!C6),IF(SubjectList!H6="Economics",IF(Economics!C6=0,"", Economics!C6))))</f>
        <v/>
      </c>
      <c r="V6" s="114" t="str">
        <f>IF(SubjectList!H6="Finance",IF(Finance!D6=0,"", Finance!D6),IF(SubjectList!H6="Production",IF(Production!D6=0,"", Production!D6),IF(SubjectList!H6="Economics",IF(Economics!D6=0,"", Economics!D6))))</f>
        <v/>
      </c>
      <c r="W6" s="115" t="str">
        <f>IF(SubjectList!G6="Finance","Finance",IF(SubjectList!G6="Production","Production",IF(SubjectList!G6="Economics","Not Given")))</f>
        <v>Finance</v>
      </c>
      <c r="X6" s="115" t="str">
        <f>IF(SubjectList!H6="Finance","Finance",IF(SubjectList!H6="Production","Production",IF(SubjectList!H6="Economics","Economics","Not Given")))</f>
        <v>Economics</v>
      </c>
      <c r="Y6" s="113" t="str">
        <f>Bangla!F6</f>
        <v/>
      </c>
      <c r="Z6" s="113" t="str">
        <f>English!E6</f>
        <v/>
      </c>
      <c r="AA6" s="113" t="str">
        <f>ICT!G6</f>
        <v/>
      </c>
      <c r="AB6" s="113" t="str">
        <f>Accounting!F6</f>
        <v/>
      </c>
      <c r="AC6" s="113" t="str">
        <f>'Business Organization'!F6</f>
        <v/>
      </c>
      <c r="AD6" s="113" t="str">
        <f>IF(SubjectList!G6="Finance",IF(Finance!F6=0,"", Finance!F6),IF(SubjectList!G6="Production",IF(Production!F6=0,"", Production!F6),IF(SubjectList!G6="Economics",IF(Economics!D6=0,"", Economics!D6))))</f>
        <v/>
      </c>
      <c r="AE6" s="113" t="str">
        <f>IF(SubjectList!H6="Finance",IF(Finance!F6=0,"", Finance!F6),IF(SubjectList!H6="Production",IF(Production!F6=0,"", Production!F6),IF(SubjectList!H6="Economics",IF(Economics!F6=0,"", Economics!F6))))</f>
        <v/>
      </c>
      <c r="AF6" s="122" t="str">
        <f>Bangla!G6</f>
        <v/>
      </c>
      <c r="AG6" s="122" t="str">
        <f>English!F6</f>
        <v/>
      </c>
      <c r="AH6" s="120" t="str">
        <f>ICT!H6</f>
        <v/>
      </c>
      <c r="AI6" s="120" t="str">
        <f>Accounting!G6</f>
        <v/>
      </c>
      <c r="AJ6" s="120" t="str">
        <f>'Business Organization'!G6</f>
        <v/>
      </c>
      <c r="AK6" s="120" t="str">
        <f>IF(SubjectList!G6="Finance",Finance!G6,IF(SubjectList!G6="Production",Production!G6,IF(SubjectList!G6="Economics",Economics!G6)))</f>
        <v/>
      </c>
      <c r="AL6" s="120" t="str">
        <f>IF(Optional!H6=0,"", Optional!H6)</f>
        <v/>
      </c>
      <c r="AM6" s="120" t="str">
        <f>Optional!H6</f>
        <v/>
      </c>
      <c r="AN6" s="120" t="str">
        <f>Optional!I6</f>
        <v/>
      </c>
      <c r="AO6" s="120" t="str">
        <f t="shared" si="0"/>
        <v/>
      </c>
      <c r="AP6" s="120">
        <f t="shared" si="1"/>
        <v>0</v>
      </c>
      <c r="AQ6" s="116" t="str">
        <f t="shared" si="2"/>
        <v/>
      </c>
      <c r="AR6" s="116" t="str">
        <f t="shared" si="3"/>
        <v/>
      </c>
      <c r="AS6" s="117">
        <f t="shared" si="4"/>
        <v>0</v>
      </c>
      <c r="AT6" s="118">
        <f t="shared" si="5"/>
        <v>0</v>
      </c>
      <c r="AU6" s="118">
        <f t="shared" si="6"/>
        <v>0</v>
      </c>
      <c r="AV6" s="118">
        <f t="shared" si="7"/>
        <v>0</v>
      </c>
      <c r="AW6" s="118">
        <f t="shared" si="8"/>
        <v>0</v>
      </c>
      <c r="AX6" s="118">
        <f t="shared" si="9"/>
        <v>0</v>
      </c>
      <c r="AY6" s="118">
        <f t="shared" si="10"/>
        <v>0</v>
      </c>
      <c r="AZ6" s="111">
        <f t="shared" si="11"/>
        <v>0</v>
      </c>
      <c r="BA6" s="111" t="str">
        <f t="shared" si="12"/>
        <v>F6</v>
      </c>
      <c r="BB6" s="117" t="str">
        <f>IF(AR6="","",RANK(AR6,AR$2:AR145,0))</f>
        <v/>
      </c>
      <c r="BC6" s="111" t="str">
        <f t="shared" si="13"/>
        <v/>
      </c>
    </row>
    <row r="7" spans="1:55" x14ac:dyDescent="0.35">
      <c r="A7" s="113">
        <f>'Student Basic Info'!A7</f>
        <v>506</v>
      </c>
      <c r="B7" s="113" t="str">
        <f>'Student Basic Info'!C7</f>
        <v>Naznin Aktar</v>
      </c>
      <c r="C7" s="121" t="str">
        <f>IF(Bangla!B7="","",Bangla!B7)</f>
        <v/>
      </c>
      <c r="D7" s="121" t="str">
        <f>IF(Bangla!C7="","",Bangla!C7)</f>
        <v/>
      </c>
      <c r="E7" s="112" t="str">
        <f>IF(Bangla!D7="","",Bangla!D7)</f>
        <v/>
      </c>
      <c r="F7" s="112" t="str">
        <f>IF(English!C7="","",English!C7)</f>
        <v/>
      </c>
      <c r="G7" s="113" t="str">
        <f>IF(ICT!B7="","",ICT!B7)</f>
        <v/>
      </c>
      <c r="H7" s="113" t="str">
        <f>IF(ICT!C7="","",ICT!C7)</f>
        <v/>
      </c>
      <c r="I7" s="113" t="str">
        <f>IF(ICT!D7="","",ICT!D7)</f>
        <v/>
      </c>
      <c r="J7" s="114" t="str">
        <f>IF(ICT!E7="","",ICT!E7)</f>
        <v/>
      </c>
      <c r="K7" s="113" t="str">
        <f>IF(Accounting!B7="","",Accounting!B7)</f>
        <v/>
      </c>
      <c r="L7" s="113" t="str">
        <f>IF(Accounting!C7="","",Accounting!C7)</f>
        <v/>
      </c>
      <c r="M7" s="114" t="str">
        <f>IF(Accounting!D7="","",Accounting!D7)</f>
        <v/>
      </c>
      <c r="N7" s="113" t="str">
        <f>IF('Business Organization'!B7="","",'Business Organization'!B7)</f>
        <v/>
      </c>
      <c r="O7" s="113" t="str">
        <f>IF('Business Organization'!C7="","",'Business Organization'!C7)</f>
        <v/>
      </c>
      <c r="P7" s="114" t="str">
        <f>IF('Business Organization'!D7="","",'Business Organization'!D7)</f>
        <v/>
      </c>
      <c r="Q7" s="113" t="str">
        <f>IF(SubjectList!G7="Finance",IF(Finance!B7=0,"", Finance!B7),IF(SubjectList!G7="Production",IF(Production!B7=0,"", Production!B7),IF(SubjectList!G7="Economics",IF(Economics!B7=0,"", Economics!B7))))</f>
        <v/>
      </c>
      <c r="R7" s="113" t="str">
        <f>IF(SubjectList!G7="Finance",IF(Finance!C7=0,"", Finance!C7),IF(SubjectList!G7="Production",IF(Production!C7=0,"", Production!C7),IF(SubjectList!G7="Economics",IF(Economics!C7=0,"", Economics!C7))))</f>
        <v/>
      </c>
      <c r="S7" s="114" t="str">
        <f>IF(SubjectList!G7="Finance",IF(Finance!D7=0,"", Finance!D7),IF(SubjectList!G7="Production",IF(Production!D7=0,"", Production!D7),IF(SubjectList!G7="Economics",IF(Economics!D7=0,"", Economics!D7))))</f>
        <v/>
      </c>
      <c r="T7" s="113" t="str">
        <f>IF(SubjectList!H7="Finance",IF(Finance!B7=0,"", Finance!B7),IF(SubjectList!H7="Production",IF(Production!B7=0,"", Production!B7),IF(SubjectList!H7="Economics",IF(Economics!B7=0,"", Economics!B7))))</f>
        <v/>
      </c>
      <c r="U7" s="113" t="str">
        <f>IF(SubjectList!H7="Finance",IF(Finance!C7=0,"", Finance!C7),IF(SubjectList!H7="Production",IF(Production!C7=0,"", Production!C7),IF(SubjectList!H7="Economics",IF(Economics!C7=0,"", Economics!C7))))</f>
        <v/>
      </c>
      <c r="V7" s="114" t="str">
        <f>IF(SubjectList!H7="Finance",IF(Finance!D7=0,"", Finance!D7),IF(SubjectList!H7="Production",IF(Production!D7=0,"", Production!D7),IF(SubjectList!H7="Economics",IF(Economics!D7=0,"", Economics!D7))))</f>
        <v/>
      </c>
      <c r="W7" s="115" t="str">
        <f>IF(SubjectList!G7="Finance","Finance",IF(SubjectList!G7="Production","Production",IF(SubjectList!G7="Economics","Not Given")))</f>
        <v>Finance</v>
      </c>
      <c r="X7" s="115" t="str">
        <f>IF(SubjectList!H7="Finance","Finance",IF(SubjectList!H7="Production","Production",IF(SubjectList!H7="Economics","Economics","Not Given")))</f>
        <v>Economics</v>
      </c>
      <c r="Y7" s="113" t="str">
        <f>Bangla!F7</f>
        <v/>
      </c>
      <c r="Z7" s="113" t="str">
        <f>English!E7</f>
        <v/>
      </c>
      <c r="AA7" s="113" t="str">
        <f>ICT!G7</f>
        <v/>
      </c>
      <c r="AB7" s="113" t="str">
        <f>Accounting!F7</f>
        <v/>
      </c>
      <c r="AC7" s="113" t="str">
        <f>'Business Organization'!F7</f>
        <v/>
      </c>
      <c r="AD7" s="113" t="str">
        <f>IF(SubjectList!G7="Finance",IF(Finance!F7=0,"", Finance!F7),IF(SubjectList!G7="Production",IF(Production!F7=0,"", Production!F7),IF(SubjectList!G7="Economics",IF(Economics!D7=0,"", Economics!D7))))</f>
        <v/>
      </c>
      <c r="AE7" s="113" t="str">
        <f>IF(SubjectList!H7="Finance",IF(Finance!F7=0,"", Finance!F7),IF(SubjectList!H7="Production",IF(Production!F7=0,"", Production!F7),IF(SubjectList!H7="Economics",IF(Economics!F7=0,"", Economics!F7))))</f>
        <v/>
      </c>
      <c r="AF7" s="122" t="str">
        <f>Bangla!G7</f>
        <v/>
      </c>
      <c r="AG7" s="122" t="str">
        <f>English!F7</f>
        <v/>
      </c>
      <c r="AH7" s="120" t="str">
        <f>ICT!H7</f>
        <v/>
      </c>
      <c r="AI7" s="120" t="str">
        <f>Accounting!G7</f>
        <v/>
      </c>
      <c r="AJ7" s="120" t="str">
        <f>'Business Organization'!G7</f>
        <v/>
      </c>
      <c r="AK7" s="120" t="str">
        <f>IF(SubjectList!G7="Finance",Finance!G7,IF(SubjectList!G7="Production",Production!G7,IF(SubjectList!G7="Economics",Economics!G7)))</f>
        <v/>
      </c>
      <c r="AL7" s="120" t="str">
        <f>IF(Optional!H7=0,"", Optional!H7)</f>
        <v/>
      </c>
      <c r="AM7" s="120" t="str">
        <f>Optional!H7</f>
        <v/>
      </c>
      <c r="AN7" s="120" t="str">
        <f>Optional!I7</f>
        <v/>
      </c>
      <c r="AO7" s="120" t="str">
        <f t="shared" si="0"/>
        <v/>
      </c>
      <c r="AP7" s="120">
        <f t="shared" si="1"/>
        <v>0</v>
      </c>
      <c r="AQ7" s="116" t="str">
        <f t="shared" si="2"/>
        <v/>
      </c>
      <c r="AR7" s="116" t="str">
        <f t="shared" si="3"/>
        <v/>
      </c>
      <c r="AS7" s="117">
        <f t="shared" si="4"/>
        <v>0</v>
      </c>
      <c r="AT7" s="118">
        <f t="shared" si="5"/>
        <v>0</v>
      </c>
      <c r="AU7" s="118">
        <f t="shared" si="6"/>
        <v>0</v>
      </c>
      <c r="AV7" s="118">
        <f t="shared" si="7"/>
        <v>0</v>
      </c>
      <c r="AW7" s="118">
        <f t="shared" si="8"/>
        <v>0</v>
      </c>
      <c r="AX7" s="118">
        <f t="shared" si="9"/>
        <v>0</v>
      </c>
      <c r="AY7" s="118">
        <f t="shared" si="10"/>
        <v>0</v>
      </c>
      <c r="AZ7" s="111">
        <f t="shared" si="11"/>
        <v>0</v>
      </c>
      <c r="BA7" s="111" t="str">
        <f t="shared" si="12"/>
        <v>F6</v>
      </c>
      <c r="BB7" s="117" t="str">
        <f>IF(AR7="","",RANK(AR7,AR$2:AR145,0))</f>
        <v/>
      </c>
      <c r="BC7" s="111" t="str">
        <f t="shared" si="13"/>
        <v/>
      </c>
    </row>
    <row r="8" spans="1:55" x14ac:dyDescent="0.35">
      <c r="A8" s="113">
        <f>'Student Basic Info'!A8</f>
        <v>507</v>
      </c>
      <c r="B8" s="113" t="str">
        <f>'Student Basic Info'!C8</f>
        <v>Fariha Islam</v>
      </c>
      <c r="C8" s="121" t="str">
        <f>IF(Bangla!B8="","",Bangla!B8)</f>
        <v/>
      </c>
      <c r="D8" s="121">
        <f>IF(Bangla!C8="","",Bangla!C8)</f>
        <v>60</v>
      </c>
      <c r="E8" s="112">
        <f>IF(Bangla!D8="","",Bangla!D8)</f>
        <v>60</v>
      </c>
      <c r="F8" s="112">
        <f>IF(English!C8="","",English!C8)</f>
        <v>44</v>
      </c>
      <c r="G8" s="113">
        <f>IF(ICT!B8="","",ICT!B8)</f>
        <v>16</v>
      </c>
      <c r="H8" s="113">
        <f>IF(ICT!C8="","",ICT!C8)</f>
        <v>30</v>
      </c>
      <c r="I8" s="113">
        <f>IF(ICT!D8="","",ICT!D8)</f>
        <v>24</v>
      </c>
      <c r="J8" s="114">
        <f>IF(ICT!E8="","",ICT!E8)</f>
        <v>70</v>
      </c>
      <c r="K8" s="113">
        <f>IF(Accounting!B8="","",Accounting!B8)</f>
        <v>12</v>
      </c>
      <c r="L8" s="113">
        <f>IF(Accounting!C8="","",Accounting!C8)</f>
        <v>35</v>
      </c>
      <c r="M8" s="114">
        <f>IF(Accounting!D8="","",Accounting!D8)</f>
        <v>47</v>
      </c>
      <c r="N8" s="113">
        <f>IF('Business Organization'!B8="","",'Business Organization'!B8)</f>
        <v>21</v>
      </c>
      <c r="O8" s="113">
        <f>IF('Business Organization'!C8="","",'Business Organization'!C8)</f>
        <v>42</v>
      </c>
      <c r="P8" s="114">
        <f>IF('Business Organization'!D8="","",'Business Organization'!D8)</f>
        <v>63</v>
      </c>
      <c r="Q8" s="113">
        <f>IF(SubjectList!G8="Finance",IF(Finance!B8=0,"", Finance!B8),IF(SubjectList!G8="Production",IF(Production!B8=0,"", Production!B8),IF(SubjectList!G8="Economics",IF(Economics!B8=0,"", Economics!B8))))</f>
        <v>10</v>
      </c>
      <c r="R8" s="113">
        <f>IF(SubjectList!G8="Finance",IF(Finance!C8=0,"", Finance!C8),IF(SubjectList!G8="Production",IF(Production!C8=0,"", Production!C8),IF(SubjectList!G8="Economics",IF(Economics!C8=0,"", Economics!C8))))</f>
        <v>25</v>
      </c>
      <c r="S8" s="114">
        <f>IF(SubjectList!G8="Finance",IF(Finance!D8=0,"", Finance!D8),IF(SubjectList!G8="Production",IF(Production!D8=0,"", Production!D8),IF(SubjectList!G8="Economics",IF(Economics!D8=0,"", Economics!D8))))</f>
        <v>35</v>
      </c>
      <c r="T8" s="113">
        <f>IF(SubjectList!H8="Finance",IF(Finance!B8=0,"", Finance!B8),IF(SubjectList!H8="Production",IF(Production!B8=0,"", Production!B8),IF(SubjectList!H8="Economics",IF(Economics!B8=0,"", Economics!B8))))</f>
        <v>21</v>
      </c>
      <c r="U8" s="113">
        <f>IF(SubjectList!H8="Finance",IF(Finance!C8=0,"", Finance!C8),IF(SubjectList!H8="Production",IF(Production!C8=0,"", Production!C8),IF(SubjectList!H8="Economics",IF(Economics!C8=0,"", Economics!C8))))</f>
        <v>44</v>
      </c>
      <c r="V8" s="114">
        <f>IF(SubjectList!H8="Finance",IF(Finance!D8=0,"", Finance!D8),IF(SubjectList!H8="Production",IF(Production!D8=0,"", Production!D8),IF(SubjectList!H8="Economics",IF(Economics!D8=0,"", Economics!D8))))</f>
        <v>65</v>
      </c>
      <c r="W8" s="115" t="str">
        <f>IF(SubjectList!G8="Finance","Finance",IF(SubjectList!G8="Production","Production",IF(SubjectList!G8="Economics","Not Given")))</f>
        <v>Finance</v>
      </c>
      <c r="X8" s="115" t="str">
        <f>IF(SubjectList!H8="Finance","Finance",IF(SubjectList!H8="Production","Production",IF(SubjectList!H8="Economics","Economics","Not Given")))</f>
        <v>Production</v>
      </c>
      <c r="Y8" s="113" t="str">
        <f>Bangla!F8</f>
        <v>A-</v>
      </c>
      <c r="Z8" s="113" t="str">
        <f>English!E8</f>
        <v>C</v>
      </c>
      <c r="AA8" s="113" t="str">
        <f>ICT!G8</f>
        <v>A</v>
      </c>
      <c r="AB8" s="113" t="str">
        <f>Accounting!F8</f>
        <v>C</v>
      </c>
      <c r="AC8" s="113" t="str">
        <f>'Business Organization'!F8</f>
        <v>A-</v>
      </c>
      <c r="AD8" s="113" t="str">
        <f>IF(SubjectList!G8="Finance",IF(Finance!F8=0,"", Finance!F8),IF(SubjectList!G8="Production",IF(Production!F8=0,"", Production!F8),IF(SubjectList!G8="Economics",IF(Economics!D8=0,"", Economics!D8))))</f>
        <v>D</v>
      </c>
      <c r="AE8" s="113" t="str">
        <f>IF(SubjectList!H8="Finance",IF(Finance!F8=0,"", Finance!F8),IF(SubjectList!H8="Production",IF(Production!F8=0,"", Production!F8),IF(SubjectList!H8="Economics",IF(Economics!F8=0,"", Economics!F8))))</f>
        <v>A-</v>
      </c>
      <c r="AF8" s="122">
        <f>Bangla!G8</f>
        <v>3.5</v>
      </c>
      <c r="AG8" s="122">
        <f>English!F8</f>
        <v>2</v>
      </c>
      <c r="AH8" s="120">
        <f>ICT!H8</f>
        <v>4</v>
      </c>
      <c r="AI8" s="120">
        <f>Accounting!G8</f>
        <v>2</v>
      </c>
      <c r="AJ8" s="120">
        <f>'Business Organization'!G8</f>
        <v>3.5</v>
      </c>
      <c r="AK8" s="120">
        <f>IF(SubjectList!G8="Finance",Finance!G8,IF(SubjectList!G8="Production",Production!G8,IF(SubjectList!G8="Economics",Economics!G8)))</f>
        <v>1</v>
      </c>
      <c r="AL8" s="120">
        <f>IF(Optional!H8=0,"", Optional!H8)</f>
        <v>3.5</v>
      </c>
      <c r="AM8" s="120">
        <f>Optional!H8</f>
        <v>3.5</v>
      </c>
      <c r="AN8" s="120">
        <f>Optional!I8</f>
        <v>1.5</v>
      </c>
      <c r="AO8" s="120">
        <f t="shared" si="0"/>
        <v>16</v>
      </c>
      <c r="AP8" s="120">
        <f t="shared" si="1"/>
        <v>17.5</v>
      </c>
      <c r="AQ8" s="116">
        <f t="shared" si="2"/>
        <v>2.6666666666666665</v>
      </c>
      <c r="AR8" s="116">
        <f t="shared" si="3"/>
        <v>2.9166666666666665</v>
      </c>
      <c r="AS8" s="117">
        <f t="shared" si="4"/>
        <v>384</v>
      </c>
      <c r="AT8" s="118">
        <f t="shared" si="5"/>
        <v>1</v>
      </c>
      <c r="AU8" s="118">
        <f t="shared" si="6"/>
        <v>1</v>
      </c>
      <c r="AV8" s="118">
        <f t="shared" si="7"/>
        <v>1</v>
      </c>
      <c r="AW8" s="118">
        <f t="shared" si="8"/>
        <v>1</v>
      </c>
      <c r="AX8" s="118">
        <f t="shared" si="9"/>
        <v>1</v>
      </c>
      <c r="AY8" s="118">
        <f t="shared" si="10"/>
        <v>1</v>
      </c>
      <c r="AZ8" s="111">
        <f t="shared" si="11"/>
        <v>6</v>
      </c>
      <c r="BA8" s="111" t="str">
        <f t="shared" si="12"/>
        <v>Pass</v>
      </c>
      <c r="BB8" s="117">
        <f>IF(AR8="","",RANK(AR8,AR$2:AR145,0))</f>
        <v>4</v>
      </c>
      <c r="BC8" s="111" t="str">
        <f t="shared" si="13"/>
        <v>C</v>
      </c>
    </row>
    <row r="9" spans="1:55" x14ac:dyDescent="0.35">
      <c r="A9" s="113">
        <f>'Student Basic Info'!A9</f>
        <v>508</v>
      </c>
      <c r="B9" s="113" t="str">
        <f>'Student Basic Info'!C9</f>
        <v>Suraiya Aktar</v>
      </c>
      <c r="C9" s="121" t="str">
        <f>IF(Bangla!B9="","",Bangla!B9)</f>
        <v/>
      </c>
      <c r="D9" s="121">
        <f>IF(Bangla!C9="","",Bangla!C9)</f>
        <v>50</v>
      </c>
      <c r="E9" s="112">
        <f>IF(Bangla!D9="","",Bangla!D9)</f>
        <v>50</v>
      </c>
      <c r="F9" s="112">
        <f>IF(English!C9="","",English!C9)</f>
        <v>33</v>
      </c>
      <c r="G9" s="113">
        <f>IF(ICT!B9="","",ICT!B9)</f>
        <v>11</v>
      </c>
      <c r="H9" s="113">
        <f>IF(ICT!C9="","",ICT!C9)</f>
        <v>19</v>
      </c>
      <c r="I9" s="113">
        <f>IF(ICT!D9="","",ICT!D9)</f>
        <v>20</v>
      </c>
      <c r="J9" s="114">
        <f>IF(ICT!E9="","",ICT!E9)</f>
        <v>50</v>
      </c>
      <c r="K9" s="113">
        <f>IF(Accounting!B9="","",Accounting!B9)</f>
        <v>10</v>
      </c>
      <c r="L9" s="113">
        <f>IF(Accounting!C9="","",Accounting!C9)</f>
        <v>40</v>
      </c>
      <c r="M9" s="114">
        <f>IF(Accounting!D9="","",Accounting!D9)</f>
        <v>50</v>
      </c>
      <c r="N9" s="113">
        <f>IF('Business Organization'!B9="","",'Business Organization'!B9)</f>
        <v>20</v>
      </c>
      <c r="O9" s="113">
        <f>IF('Business Organization'!C9="","",'Business Organization'!C9)</f>
        <v>37</v>
      </c>
      <c r="P9" s="114">
        <f>IF('Business Organization'!D9="","",'Business Organization'!D9)</f>
        <v>57</v>
      </c>
      <c r="Q9" s="113">
        <f>IF(SubjectList!G9="Finance",IF(Finance!B9=0,"", Finance!B9),IF(SubjectList!G9="Production",IF(Production!B9=0,"", Production!B9),IF(SubjectList!G9="Economics",IF(Economics!B9=0,"", Economics!B9))))</f>
        <v>14</v>
      </c>
      <c r="R9" s="113">
        <f>IF(SubjectList!G9="Finance",IF(Finance!C9=0,"", Finance!C9),IF(SubjectList!G9="Production",IF(Production!C9=0,"", Production!C9),IF(SubjectList!G9="Economics",IF(Economics!C9=0,"", Economics!C9))))</f>
        <v>45</v>
      </c>
      <c r="S9" s="114">
        <f>IF(SubjectList!G9="Finance",IF(Finance!D9=0,"", Finance!D9),IF(SubjectList!G9="Production",IF(Production!D9=0,"", Production!D9),IF(SubjectList!G9="Economics",IF(Economics!D9=0,"", Economics!D9))))</f>
        <v>59</v>
      </c>
      <c r="T9" s="113">
        <f>IF(SubjectList!H9="Finance",IF(Finance!B9=0,"", Finance!B9),IF(SubjectList!H9="Production",IF(Production!B9=0,"", Production!B9),IF(SubjectList!H9="Economics",IF(Economics!B9=0,"", Economics!B9))))</f>
        <v>10</v>
      </c>
      <c r="U9" s="113">
        <f>IF(SubjectList!H9="Finance",IF(Finance!C9=0,"", Finance!C9),IF(SubjectList!H9="Production",IF(Production!C9=0,"", Production!C9),IF(SubjectList!H9="Economics",IF(Economics!C9=0,"", Economics!C9))))</f>
        <v>15</v>
      </c>
      <c r="V9" s="114">
        <f>IF(SubjectList!H9="Finance",IF(Finance!D9=0,"", Finance!D9),IF(SubjectList!H9="Production",IF(Production!D9=0,"", Production!D9),IF(SubjectList!H9="Economics",IF(Economics!D9=0,"", Economics!D9))))</f>
        <v>25</v>
      </c>
      <c r="W9" s="115" t="str">
        <f>IF(SubjectList!G9="Finance","Finance",IF(SubjectList!G9="Production","Production",IF(SubjectList!G9="Economics","Not Given")))</f>
        <v>Production</v>
      </c>
      <c r="X9" s="115" t="str">
        <f>IF(SubjectList!H9="Finance","Finance",IF(SubjectList!H9="Production","Production",IF(SubjectList!H9="Economics","Economics","Not Given")))</f>
        <v>Finance</v>
      </c>
      <c r="Y9" s="113" t="str">
        <f>Bangla!F9</f>
        <v>B</v>
      </c>
      <c r="Z9" s="113" t="str">
        <f>English!E9</f>
        <v>D</v>
      </c>
      <c r="AA9" s="113" t="str">
        <f>ICT!G9</f>
        <v>B</v>
      </c>
      <c r="AB9" s="113" t="str">
        <f>Accounting!F9</f>
        <v>B</v>
      </c>
      <c r="AC9" s="113" t="str">
        <f>'Business Organization'!F9</f>
        <v>B</v>
      </c>
      <c r="AD9" s="113" t="str">
        <f>IF(SubjectList!G9="Finance",IF(Finance!F9=0,"", Finance!F9),IF(SubjectList!G9="Production",IF(Production!F9=0,"", Production!F9),IF(SubjectList!G9="Economics",IF(Economics!D9=0,"", Economics!D9))))</f>
        <v>B</v>
      </c>
      <c r="AE9" s="113" t="str">
        <f>IF(SubjectList!H9="Finance",IF(Finance!F9=0,"", Finance!F9),IF(SubjectList!H9="Production",IF(Production!F9=0,"", Production!F9),IF(SubjectList!H9="Economics",IF(Economics!F9=0,"", Economics!F9))))</f>
        <v>F</v>
      </c>
      <c r="AF9" s="122">
        <f>Bangla!G9</f>
        <v>3</v>
      </c>
      <c r="AG9" s="122">
        <f>English!F9</f>
        <v>1</v>
      </c>
      <c r="AH9" s="120">
        <f>ICT!H9</f>
        <v>3</v>
      </c>
      <c r="AI9" s="120">
        <f>Accounting!G9</f>
        <v>3</v>
      </c>
      <c r="AJ9" s="120">
        <f>'Business Organization'!G9</f>
        <v>3</v>
      </c>
      <c r="AK9" s="120">
        <f>IF(SubjectList!G9="Finance",Finance!G9,IF(SubjectList!G9="Production",Production!G9,IF(SubjectList!G9="Economics",Economics!G9)))</f>
        <v>3</v>
      </c>
      <c r="AL9" s="120" t="str">
        <f>IF(Optional!H9=0,"", Optional!H9)</f>
        <v/>
      </c>
      <c r="AM9" s="120">
        <f>Optional!H9</f>
        <v>0</v>
      </c>
      <c r="AN9" s="120">
        <f>Optional!I9</f>
        <v>0</v>
      </c>
      <c r="AO9" s="120">
        <f t="shared" si="0"/>
        <v>16</v>
      </c>
      <c r="AP9" s="120">
        <f t="shared" si="1"/>
        <v>16</v>
      </c>
      <c r="AQ9" s="116">
        <f t="shared" si="2"/>
        <v>2.6666666666666665</v>
      </c>
      <c r="AR9" s="116">
        <f t="shared" si="3"/>
        <v>2.6666666666666665</v>
      </c>
      <c r="AS9" s="117">
        <f t="shared" si="4"/>
        <v>324</v>
      </c>
      <c r="AT9" s="118">
        <f t="shared" si="5"/>
        <v>1</v>
      </c>
      <c r="AU9" s="118">
        <f t="shared" si="6"/>
        <v>1</v>
      </c>
      <c r="AV9" s="118">
        <f t="shared" si="7"/>
        <v>1</v>
      </c>
      <c r="AW9" s="118">
        <f t="shared" si="8"/>
        <v>1</v>
      </c>
      <c r="AX9" s="118">
        <f t="shared" si="9"/>
        <v>1</v>
      </c>
      <c r="AY9" s="118">
        <f t="shared" si="10"/>
        <v>1</v>
      </c>
      <c r="AZ9" s="111">
        <f t="shared" si="11"/>
        <v>6</v>
      </c>
      <c r="BA9" s="111" t="str">
        <f t="shared" si="12"/>
        <v>Pass</v>
      </c>
      <c r="BB9" s="117">
        <f>IF(AR9="","",RANK(AR9,AR$2:AR145,0))</f>
        <v>7</v>
      </c>
      <c r="BC9" s="111" t="str">
        <f t="shared" si="13"/>
        <v>C</v>
      </c>
    </row>
    <row r="10" spans="1:55" x14ac:dyDescent="0.35">
      <c r="A10" s="113">
        <f>'Student Basic Info'!A10</f>
        <v>509</v>
      </c>
      <c r="B10" s="113" t="str">
        <f>'Student Basic Info'!C10</f>
        <v>Muntasir Ahamml Siyam</v>
      </c>
      <c r="C10" s="121" t="str">
        <f>IF(Bangla!B10="","",Bangla!B10)</f>
        <v/>
      </c>
      <c r="D10" s="121">
        <f>IF(Bangla!C10="","",Bangla!C10)</f>
        <v>33</v>
      </c>
      <c r="E10" s="112">
        <f>IF(Bangla!D10="","",Bangla!D10)</f>
        <v>33</v>
      </c>
      <c r="F10" s="112">
        <f>IF(English!C10="","",English!C10)</f>
        <v>21</v>
      </c>
      <c r="G10" s="113">
        <f>IF(ICT!B10="","",ICT!B10)</f>
        <v>12</v>
      </c>
      <c r="H10" s="113">
        <f>IF(ICT!C10="","",ICT!C10)</f>
        <v>16</v>
      </c>
      <c r="I10" s="113">
        <f>IF(ICT!D10="","",ICT!D10)</f>
        <v>22</v>
      </c>
      <c r="J10" s="114">
        <f>IF(ICT!E10="","",ICT!E10)</f>
        <v>50</v>
      </c>
      <c r="K10" s="113">
        <f>IF(Accounting!B10="","",Accounting!B10)</f>
        <v>7</v>
      </c>
      <c r="L10" s="113">
        <f>IF(Accounting!C10="","",Accounting!C10)</f>
        <v>14</v>
      </c>
      <c r="M10" s="114">
        <f>IF(Accounting!D10="","",Accounting!D10)</f>
        <v>21</v>
      </c>
      <c r="N10" s="113">
        <f>IF('Business Organization'!B10="","",'Business Organization'!B10)</f>
        <v>14</v>
      </c>
      <c r="O10" s="113">
        <f>IF('Business Organization'!C10="","",'Business Organization'!C10)</f>
        <v>15</v>
      </c>
      <c r="P10" s="114">
        <f>IF('Business Organization'!D10="","",'Business Organization'!D10)</f>
        <v>29</v>
      </c>
      <c r="Q10" s="113">
        <f>IF(SubjectList!G10="Finance",IF(Finance!B10=0,"", Finance!B10),IF(SubjectList!G10="Production",IF(Production!B10=0,"", Production!B10),IF(SubjectList!G10="Economics",IF(Economics!B10=0,"", Economics!B10))))</f>
        <v>7</v>
      </c>
      <c r="R10" s="113">
        <f>IF(SubjectList!G10="Finance",IF(Finance!C10=0,"", Finance!C10),IF(SubjectList!G10="Production",IF(Production!C10=0,"", Production!C10),IF(SubjectList!G10="Economics",IF(Economics!C10=0,"", Economics!C10))))</f>
        <v>8</v>
      </c>
      <c r="S10" s="114">
        <f>IF(SubjectList!G10="Finance",IF(Finance!D10=0,"", Finance!D10),IF(SubjectList!G10="Production",IF(Production!D10=0,"", Production!D10),IF(SubjectList!G10="Economics",IF(Economics!D10=0,"", Economics!D10))))</f>
        <v>15</v>
      </c>
      <c r="T10" s="113">
        <f>IF(SubjectList!H10="Finance",IF(Finance!B10=0,"", Finance!B10),IF(SubjectList!H10="Production",IF(Production!B10=0,"", Production!B10),IF(SubjectList!H10="Economics",IF(Economics!B10=0,"", Economics!B10))))</f>
        <v>13</v>
      </c>
      <c r="U10" s="113">
        <f>IF(SubjectList!H10="Finance",IF(Finance!C10=0,"", Finance!C10),IF(SubjectList!H10="Production",IF(Production!C10=0,"", Production!C10),IF(SubjectList!H10="Economics",IF(Economics!C10=0,"", Economics!C10))))</f>
        <v>24</v>
      </c>
      <c r="V10" s="114">
        <f>IF(SubjectList!H10="Finance",IF(Finance!D10=0,"", Finance!D10),IF(SubjectList!H10="Production",IF(Production!D10=0,"", Production!D10),IF(SubjectList!H10="Economics",IF(Economics!D10=0,"", Economics!D10))))</f>
        <v>37</v>
      </c>
      <c r="W10" s="115" t="str">
        <f>IF(SubjectList!G10="Finance","Finance",IF(SubjectList!G10="Production","Production",IF(SubjectList!G10="Economics","Not Given")))</f>
        <v>Finance</v>
      </c>
      <c r="X10" s="115" t="str">
        <f>IF(SubjectList!H10="Finance","Finance",IF(SubjectList!H10="Production","Production",IF(SubjectList!H10="Economics","Economics","Not Given")))</f>
        <v>Production</v>
      </c>
      <c r="Y10" s="113" t="str">
        <f>Bangla!F10</f>
        <v>D</v>
      </c>
      <c r="Z10" s="113" t="str">
        <f>English!E10</f>
        <v>F</v>
      </c>
      <c r="AA10" s="113" t="str">
        <f>ICT!G10</f>
        <v>F</v>
      </c>
      <c r="AB10" s="113" t="str">
        <f>Accounting!F10</f>
        <v>F</v>
      </c>
      <c r="AC10" s="113" t="str">
        <f>'Business Organization'!F10</f>
        <v>F</v>
      </c>
      <c r="AD10" s="113" t="str">
        <f>IF(SubjectList!G10="Finance",IF(Finance!F10=0,"", Finance!F10),IF(SubjectList!G10="Production",IF(Production!F10=0,"", Production!F10),IF(SubjectList!G10="Economics",IF(Economics!D10=0,"", Economics!D10))))</f>
        <v>F</v>
      </c>
      <c r="AE10" s="113" t="str">
        <f>IF(SubjectList!H10="Finance",IF(Finance!F10=0,"", Finance!F10),IF(SubjectList!H10="Production",IF(Production!F10=0,"", Production!F10),IF(SubjectList!H10="Economics",IF(Economics!F10=0,"", Economics!F10))))</f>
        <v>D</v>
      </c>
      <c r="AF10" s="122">
        <f>Bangla!G10</f>
        <v>1</v>
      </c>
      <c r="AG10" s="122">
        <f>English!F10</f>
        <v>0</v>
      </c>
      <c r="AH10" s="120">
        <f>ICT!H10</f>
        <v>0</v>
      </c>
      <c r="AI10" s="120">
        <f>Accounting!G10</f>
        <v>0</v>
      </c>
      <c r="AJ10" s="120">
        <f>'Business Organization'!G10</f>
        <v>0</v>
      </c>
      <c r="AK10" s="120">
        <f>IF(SubjectList!G10="Finance",Finance!G10,IF(SubjectList!G10="Production",Production!G10,IF(SubjectList!G10="Economics",Economics!G10)))</f>
        <v>0</v>
      </c>
      <c r="AL10" s="120">
        <f>IF(Optional!H10=0,"", Optional!H10)</f>
        <v>1</v>
      </c>
      <c r="AM10" s="120">
        <f>Optional!H10</f>
        <v>1</v>
      </c>
      <c r="AN10" s="120">
        <f>Optional!I10</f>
        <v>0</v>
      </c>
      <c r="AO10" s="120">
        <f t="shared" si="0"/>
        <v>1</v>
      </c>
      <c r="AP10" s="120">
        <f t="shared" si="1"/>
        <v>1</v>
      </c>
      <c r="AQ10" s="116" t="str">
        <f t="shared" si="2"/>
        <v/>
      </c>
      <c r="AR10" s="116" t="str">
        <f t="shared" si="3"/>
        <v/>
      </c>
      <c r="AS10" s="117">
        <f t="shared" si="4"/>
        <v>206</v>
      </c>
      <c r="AT10" s="118">
        <f t="shared" si="5"/>
        <v>1</v>
      </c>
      <c r="AU10" s="118">
        <f t="shared" si="6"/>
        <v>0</v>
      </c>
      <c r="AV10" s="118">
        <f t="shared" si="7"/>
        <v>0</v>
      </c>
      <c r="AW10" s="118">
        <f t="shared" si="8"/>
        <v>0</v>
      </c>
      <c r="AX10" s="118">
        <f t="shared" si="9"/>
        <v>0</v>
      </c>
      <c r="AY10" s="118">
        <f t="shared" si="10"/>
        <v>0</v>
      </c>
      <c r="AZ10" s="111">
        <f t="shared" si="11"/>
        <v>1</v>
      </c>
      <c r="BA10" s="111" t="str">
        <f t="shared" si="12"/>
        <v>F5</v>
      </c>
      <c r="BB10" s="117" t="str">
        <f>IF(AR10="","",RANK(AR10,AR$2:AR145,0))</f>
        <v/>
      </c>
      <c r="BC10" s="111" t="str">
        <f t="shared" si="13"/>
        <v/>
      </c>
    </row>
    <row r="11" spans="1:55" x14ac:dyDescent="0.35">
      <c r="A11" s="113">
        <f>'Student Basic Info'!A11</f>
        <v>510</v>
      </c>
      <c r="B11" s="113" t="str">
        <f>'Student Basic Info'!C11</f>
        <v>Tanbir Ahammed Alif</v>
      </c>
      <c r="C11" s="121" t="str">
        <f>IF(Bangla!B11="","",Bangla!B11)</f>
        <v/>
      </c>
      <c r="D11" s="121" t="str">
        <f>IF(Bangla!C11="","",Bangla!C11)</f>
        <v/>
      </c>
      <c r="E11" s="112" t="str">
        <f>IF(Bangla!D11="","",Bangla!D11)</f>
        <v/>
      </c>
      <c r="F11" s="112" t="str">
        <f>IF(English!C11="","",English!C11)</f>
        <v/>
      </c>
      <c r="G11" s="113" t="str">
        <f>IF(ICT!B11="","",ICT!B11)</f>
        <v/>
      </c>
      <c r="H11" s="113" t="str">
        <f>IF(ICT!C11="","",ICT!C11)</f>
        <v/>
      </c>
      <c r="I11" s="113" t="str">
        <f>IF(ICT!D11="","",ICT!D11)</f>
        <v/>
      </c>
      <c r="J11" s="114" t="str">
        <f>IF(ICT!E11="","",ICT!E11)</f>
        <v/>
      </c>
      <c r="K11" s="113" t="str">
        <f>IF(Accounting!B11="","",Accounting!B11)</f>
        <v/>
      </c>
      <c r="L11" s="113" t="str">
        <f>IF(Accounting!C11="","",Accounting!C11)</f>
        <v/>
      </c>
      <c r="M11" s="114" t="str">
        <f>IF(Accounting!D11="","",Accounting!D11)</f>
        <v/>
      </c>
      <c r="N11" s="113" t="str">
        <f>IF('Business Organization'!B11="","",'Business Organization'!B11)</f>
        <v/>
      </c>
      <c r="O11" s="113" t="str">
        <f>IF('Business Organization'!C11="","",'Business Organization'!C11)</f>
        <v/>
      </c>
      <c r="P11" s="114" t="str">
        <f>IF('Business Organization'!D11="","",'Business Organization'!D11)</f>
        <v/>
      </c>
      <c r="Q11" s="113" t="str">
        <f>IF(SubjectList!G11="Finance",IF(Finance!B11=0,"", Finance!B11),IF(SubjectList!G11="Production",IF(Production!B11=0,"", Production!B11),IF(SubjectList!G11="Economics",IF(Economics!B11=0,"", Economics!B11))))</f>
        <v/>
      </c>
      <c r="R11" s="113" t="str">
        <f>IF(SubjectList!G11="Finance",IF(Finance!C11=0,"", Finance!C11),IF(SubjectList!G11="Production",IF(Production!C11=0,"", Production!C11),IF(SubjectList!G11="Economics",IF(Economics!C11=0,"", Economics!C11))))</f>
        <v/>
      </c>
      <c r="S11" s="114" t="str">
        <f>IF(SubjectList!G11="Finance",IF(Finance!D11=0,"", Finance!D11),IF(SubjectList!G11="Production",IF(Production!D11=0,"", Production!D11),IF(SubjectList!G11="Economics",IF(Economics!D11=0,"", Economics!D11))))</f>
        <v/>
      </c>
      <c r="T11" s="113" t="str">
        <f>IF(SubjectList!H11="Finance",IF(Finance!B11=0,"", Finance!B11),IF(SubjectList!H11="Production",IF(Production!B11=0,"", Production!B11),IF(SubjectList!H11="Economics",IF(Economics!B11=0,"", Economics!B11))))</f>
        <v/>
      </c>
      <c r="U11" s="113" t="str">
        <f>IF(SubjectList!H11="Finance",IF(Finance!C11=0,"", Finance!C11),IF(SubjectList!H11="Production",IF(Production!C11=0,"", Production!C11),IF(SubjectList!H11="Economics",IF(Economics!C11=0,"", Economics!C11))))</f>
        <v/>
      </c>
      <c r="V11" s="114" t="str">
        <f>IF(SubjectList!H11="Finance",IF(Finance!D11=0,"", Finance!D11),IF(SubjectList!H11="Production",IF(Production!D11=0,"", Production!D11),IF(SubjectList!H11="Economics",IF(Economics!D11=0,"", Economics!D11))))</f>
        <v/>
      </c>
      <c r="W11" s="115" t="str">
        <f>IF(SubjectList!G11="Finance","Finance",IF(SubjectList!G11="Production","Production",IF(SubjectList!G11="Economics","Not Given")))</f>
        <v>Finance</v>
      </c>
      <c r="X11" s="115" t="str">
        <f>IF(SubjectList!H11="Finance","Finance",IF(SubjectList!H11="Production","Production",IF(SubjectList!H11="Economics","Economics","Not Given")))</f>
        <v>Production</v>
      </c>
      <c r="Y11" s="113" t="str">
        <f>Bangla!F11</f>
        <v/>
      </c>
      <c r="Z11" s="113" t="str">
        <f>English!E11</f>
        <v/>
      </c>
      <c r="AA11" s="113" t="str">
        <f>ICT!G11</f>
        <v/>
      </c>
      <c r="AB11" s="113" t="str">
        <f>Accounting!F11</f>
        <v/>
      </c>
      <c r="AC11" s="113" t="str">
        <f>'Business Organization'!F11</f>
        <v/>
      </c>
      <c r="AD11" s="113" t="str">
        <f>IF(SubjectList!G11="Finance",IF(Finance!F11=0,"", Finance!F11),IF(SubjectList!G11="Production",IF(Production!F11=0,"", Production!F11),IF(SubjectList!G11="Economics",IF(Economics!D11=0,"", Economics!D11))))</f>
        <v/>
      </c>
      <c r="AE11" s="113" t="str">
        <f>IF(SubjectList!H11="Finance",IF(Finance!F11=0,"", Finance!F11),IF(SubjectList!H11="Production",IF(Production!F11=0,"", Production!F11),IF(SubjectList!H11="Economics",IF(Economics!F11=0,"", Economics!F11))))</f>
        <v/>
      </c>
      <c r="AF11" s="122" t="str">
        <f>Bangla!G11</f>
        <v/>
      </c>
      <c r="AG11" s="122" t="str">
        <f>English!F11</f>
        <v/>
      </c>
      <c r="AH11" s="120" t="str">
        <f>ICT!H11</f>
        <v/>
      </c>
      <c r="AI11" s="120" t="str">
        <f>Accounting!G11</f>
        <v/>
      </c>
      <c r="AJ11" s="120" t="str">
        <f>'Business Organization'!G11</f>
        <v/>
      </c>
      <c r="AK11" s="120" t="str">
        <f>IF(SubjectList!G11="Finance",Finance!G11,IF(SubjectList!G11="Production",Production!G11,IF(SubjectList!G11="Economics",Economics!G11)))</f>
        <v/>
      </c>
      <c r="AL11" s="120" t="str">
        <f>IF(Optional!H11=0,"", Optional!H11)</f>
        <v/>
      </c>
      <c r="AM11" s="120" t="str">
        <f>Optional!H11</f>
        <v/>
      </c>
      <c r="AN11" s="120" t="str">
        <f>Optional!I11</f>
        <v/>
      </c>
      <c r="AO11" s="120" t="str">
        <f t="shared" si="0"/>
        <v/>
      </c>
      <c r="AP11" s="120">
        <f t="shared" si="1"/>
        <v>0</v>
      </c>
      <c r="AQ11" s="116" t="str">
        <f t="shared" si="2"/>
        <v/>
      </c>
      <c r="AR11" s="116" t="str">
        <f t="shared" si="3"/>
        <v/>
      </c>
      <c r="AS11" s="117">
        <f t="shared" si="4"/>
        <v>0</v>
      </c>
      <c r="AT11" s="118">
        <f t="shared" si="5"/>
        <v>0</v>
      </c>
      <c r="AU11" s="118">
        <f t="shared" si="6"/>
        <v>0</v>
      </c>
      <c r="AV11" s="118">
        <f t="shared" si="7"/>
        <v>0</v>
      </c>
      <c r="AW11" s="118">
        <f t="shared" si="8"/>
        <v>0</v>
      </c>
      <c r="AX11" s="118">
        <f t="shared" si="9"/>
        <v>0</v>
      </c>
      <c r="AY11" s="118">
        <f t="shared" si="10"/>
        <v>0</v>
      </c>
      <c r="AZ11" s="111">
        <f t="shared" si="11"/>
        <v>0</v>
      </c>
      <c r="BA11" s="111" t="str">
        <f t="shared" si="12"/>
        <v>F6</v>
      </c>
      <c r="BB11" s="117" t="str">
        <f>IF(AR11="","",RANK(AR11,AR$2:AR145,0))</f>
        <v/>
      </c>
      <c r="BC11" s="111" t="str">
        <f t="shared" si="13"/>
        <v/>
      </c>
    </row>
    <row r="12" spans="1:55" x14ac:dyDescent="0.35">
      <c r="A12" s="113">
        <f>'Student Basic Info'!A12</f>
        <v>511</v>
      </c>
      <c r="B12" s="113" t="str">
        <f>'Student Basic Info'!C12</f>
        <v xml:space="preserve">Asifuz Zaman </v>
      </c>
      <c r="C12" s="121" t="str">
        <f>IF(Bangla!B12="","",Bangla!B12)</f>
        <v/>
      </c>
      <c r="D12" s="121">
        <f>IF(Bangla!C12="","",Bangla!C12)</f>
        <v>41</v>
      </c>
      <c r="E12" s="112">
        <f>IF(Bangla!D12="","",Bangla!D12)</f>
        <v>41</v>
      </c>
      <c r="F12" s="112">
        <f>IF(English!C12="","",English!C12)</f>
        <v>26</v>
      </c>
      <c r="G12" s="113">
        <f>IF(ICT!B12="","",ICT!B12)</f>
        <v>12</v>
      </c>
      <c r="H12" s="113">
        <f>IF(ICT!C12="","",ICT!C12)</f>
        <v>7</v>
      </c>
      <c r="I12" s="113">
        <f>IF(ICT!D12="","",ICT!D12)</f>
        <v>24</v>
      </c>
      <c r="J12" s="114">
        <f>IF(ICT!E12="","",ICT!E12)</f>
        <v>43</v>
      </c>
      <c r="K12" s="113">
        <f>IF(Accounting!B12="","",Accounting!B12)</f>
        <v>10</v>
      </c>
      <c r="L12" s="113">
        <f>IF(Accounting!C12="","",Accounting!C12)</f>
        <v>23</v>
      </c>
      <c r="M12" s="114">
        <f>IF(Accounting!D12="","",Accounting!D12)</f>
        <v>33</v>
      </c>
      <c r="N12" s="113">
        <f>IF('Business Organization'!B12="","",'Business Organization'!B12)</f>
        <v>18</v>
      </c>
      <c r="O12" s="113">
        <f>IF('Business Organization'!C12="","",'Business Organization'!C12)</f>
        <v>17</v>
      </c>
      <c r="P12" s="114">
        <f>IF('Business Organization'!D12="","",'Business Organization'!D12)</f>
        <v>35</v>
      </c>
      <c r="Q12" s="113">
        <f>IF(SubjectList!G12="Finance",IF(Finance!B12=0,"", Finance!B12),IF(SubjectList!G12="Production",IF(Production!B12=0,"", Production!B12),IF(SubjectList!G12="Economics",IF(Economics!B12=0,"", Economics!B12))))</f>
        <v>13</v>
      </c>
      <c r="R12" s="113">
        <f>IF(SubjectList!G12="Finance",IF(Finance!C12=0,"", Finance!C12),IF(SubjectList!G12="Production",IF(Production!C12=0,"", Production!C12),IF(SubjectList!G12="Economics",IF(Economics!C12=0,"", Economics!C12))))</f>
        <v>25</v>
      </c>
      <c r="S12" s="114">
        <f>IF(SubjectList!G12="Finance",IF(Finance!D12=0,"", Finance!D12),IF(SubjectList!G12="Production",IF(Production!D12=0,"", Production!D12),IF(SubjectList!G12="Economics",IF(Economics!D12=0,"", Economics!D12))))</f>
        <v>38</v>
      </c>
      <c r="T12" s="113">
        <f>IF(SubjectList!H12="Finance",IF(Finance!B12=0,"", Finance!B12),IF(SubjectList!H12="Production",IF(Production!B12=0,"", Production!B12),IF(SubjectList!H12="Economics",IF(Economics!B12=0,"", Economics!B12))))</f>
        <v>10</v>
      </c>
      <c r="U12" s="113">
        <f>IF(SubjectList!H12="Finance",IF(Finance!C12=0,"", Finance!C12),IF(SubjectList!H12="Production",IF(Production!C12=0,"", Production!C12),IF(SubjectList!H12="Economics",IF(Economics!C12=0,"", Economics!C12))))</f>
        <v>12</v>
      </c>
      <c r="V12" s="114">
        <f>IF(SubjectList!H12="Finance",IF(Finance!D12=0,"", Finance!D12),IF(SubjectList!H12="Production",IF(Production!D12=0,"", Production!D12),IF(SubjectList!H12="Economics",IF(Economics!D12=0,"", Economics!D12))))</f>
        <v>22</v>
      </c>
      <c r="W12" s="115" t="str">
        <f>IF(SubjectList!G12="Finance","Finance",IF(SubjectList!G12="Production","Production",IF(SubjectList!G12="Economics","Not Given")))</f>
        <v>Production</v>
      </c>
      <c r="X12" s="115" t="str">
        <f>IF(SubjectList!H12="Finance","Finance",IF(SubjectList!H12="Production","Production",IF(SubjectList!H12="Economics","Economics","Not Given")))</f>
        <v>Finance</v>
      </c>
      <c r="Y12" s="113" t="str">
        <f>Bangla!F12</f>
        <v>C</v>
      </c>
      <c r="Z12" s="113" t="str">
        <f>English!E12</f>
        <v>F</v>
      </c>
      <c r="AA12" s="113" t="str">
        <f>ICT!G12</f>
        <v>F</v>
      </c>
      <c r="AB12" s="113" t="str">
        <f>Accounting!F12</f>
        <v>D</v>
      </c>
      <c r="AC12" s="113" t="str">
        <f>'Business Organization'!F12</f>
        <v>F</v>
      </c>
      <c r="AD12" s="113" t="str">
        <f>IF(SubjectList!G12="Finance",IF(Finance!F12=0,"", Finance!F12),IF(SubjectList!G12="Production",IF(Production!F12=0,"", Production!F12),IF(SubjectList!G12="Economics",IF(Economics!D12=0,"", Economics!D12))))</f>
        <v>D</v>
      </c>
      <c r="AE12" s="113" t="str">
        <f>IF(SubjectList!H12="Finance",IF(Finance!F12=0,"", Finance!F12),IF(SubjectList!H12="Production",IF(Production!F12=0,"", Production!F12),IF(SubjectList!H12="Economics",IF(Economics!F12=0,"", Economics!F12))))</f>
        <v>F</v>
      </c>
      <c r="AF12" s="122">
        <f>Bangla!G12</f>
        <v>2</v>
      </c>
      <c r="AG12" s="122">
        <f>English!F12</f>
        <v>0</v>
      </c>
      <c r="AH12" s="120">
        <f>ICT!H12</f>
        <v>0</v>
      </c>
      <c r="AI12" s="120">
        <f>Accounting!G12</f>
        <v>1</v>
      </c>
      <c r="AJ12" s="120">
        <f>'Business Organization'!G12</f>
        <v>0</v>
      </c>
      <c r="AK12" s="120">
        <f>IF(SubjectList!G12="Finance",Finance!G12,IF(SubjectList!G12="Production",Production!G12,IF(SubjectList!G12="Economics",Economics!G12)))</f>
        <v>1</v>
      </c>
      <c r="AL12" s="120" t="str">
        <f>IF(Optional!H12=0,"", Optional!H12)</f>
        <v/>
      </c>
      <c r="AM12" s="120">
        <f>Optional!H12</f>
        <v>0</v>
      </c>
      <c r="AN12" s="120">
        <f>Optional!I12</f>
        <v>0</v>
      </c>
      <c r="AO12" s="120">
        <f t="shared" si="0"/>
        <v>4</v>
      </c>
      <c r="AP12" s="120">
        <f t="shared" si="1"/>
        <v>4</v>
      </c>
      <c r="AQ12" s="116" t="str">
        <f t="shared" si="2"/>
        <v/>
      </c>
      <c r="AR12" s="116" t="str">
        <f t="shared" si="3"/>
        <v/>
      </c>
      <c r="AS12" s="117">
        <f t="shared" si="4"/>
        <v>238</v>
      </c>
      <c r="AT12" s="118">
        <f t="shared" si="5"/>
        <v>1</v>
      </c>
      <c r="AU12" s="118">
        <f t="shared" si="6"/>
        <v>0</v>
      </c>
      <c r="AV12" s="118">
        <f t="shared" si="7"/>
        <v>0</v>
      </c>
      <c r="AW12" s="118">
        <f t="shared" si="8"/>
        <v>1</v>
      </c>
      <c r="AX12" s="118">
        <f t="shared" si="9"/>
        <v>0</v>
      </c>
      <c r="AY12" s="118">
        <f t="shared" si="10"/>
        <v>1</v>
      </c>
      <c r="AZ12" s="111">
        <f t="shared" si="11"/>
        <v>3</v>
      </c>
      <c r="BA12" s="111" t="str">
        <f t="shared" si="12"/>
        <v>F3</v>
      </c>
      <c r="BB12" s="117" t="str">
        <f>IF(AR12="","",RANK(AR12,AR$2:AR145,0))</f>
        <v/>
      </c>
      <c r="BC12" s="111" t="str">
        <f t="shared" si="13"/>
        <v/>
      </c>
    </row>
    <row r="13" spans="1:55" x14ac:dyDescent="0.35">
      <c r="A13" s="113">
        <f>'Student Basic Info'!A13</f>
        <v>512</v>
      </c>
      <c r="B13" s="113" t="str">
        <f>'Student Basic Info'!C13</f>
        <v>Md. Arfatuzzaman</v>
      </c>
      <c r="C13" s="121" t="str">
        <f>IF(Bangla!B13="","",Bangla!B13)</f>
        <v/>
      </c>
      <c r="D13" s="121">
        <f>IF(Bangla!C13="","",Bangla!C13)</f>
        <v>34</v>
      </c>
      <c r="E13" s="112">
        <f>IF(Bangla!D13="","",Bangla!D13)</f>
        <v>34</v>
      </c>
      <c r="F13" s="112">
        <f>IF(English!C13="","",English!C13)</f>
        <v>11</v>
      </c>
      <c r="G13" s="113">
        <f>IF(ICT!B13="","",ICT!B13)</f>
        <v>7</v>
      </c>
      <c r="H13" s="113">
        <f>IF(ICT!C13="","",ICT!C13)</f>
        <v>6</v>
      </c>
      <c r="I13" s="113">
        <f>IF(ICT!D13="","",ICT!D13)</f>
        <v>20</v>
      </c>
      <c r="J13" s="114">
        <f>IF(ICT!E13="","",ICT!E13)</f>
        <v>33</v>
      </c>
      <c r="K13" s="113">
        <f>IF(Accounting!B13="","",Accounting!B13)</f>
        <v>10</v>
      </c>
      <c r="L13" s="113">
        <f>IF(Accounting!C13="","",Accounting!C13)</f>
        <v>17</v>
      </c>
      <c r="M13" s="114">
        <f>IF(Accounting!D13="","",Accounting!D13)</f>
        <v>27</v>
      </c>
      <c r="N13" s="113">
        <f>IF('Business Organization'!B13="","",'Business Organization'!B13)</f>
        <v>14</v>
      </c>
      <c r="O13" s="113">
        <f>IF('Business Organization'!C13="","",'Business Organization'!C13)</f>
        <v>23</v>
      </c>
      <c r="P13" s="114">
        <f>IF('Business Organization'!D13="","",'Business Organization'!D13)</f>
        <v>37</v>
      </c>
      <c r="Q13" s="113">
        <f>IF(SubjectList!G13="Finance",IF(Finance!B13=0,"", Finance!B13),IF(SubjectList!G13="Production",IF(Production!B13=0,"", Production!B13),IF(SubjectList!G13="Economics",IF(Economics!B13=0,"", Economics!B13))))</f>
        <v>8</v>
      </c>
      <c r="R13" s="113">
        <f>IF(SubjectList!G13="Finance",IF(Finance!C13=0,"", Finance!C13),IF(SubjectList!G13="Production",IF(Production!C13=0,"", Production!C13),IF(SubjectList!G13="Economics",IF(Economics!C13=0,"", Economics!C13))))</f>
        <v>8</v>
      </c>
      <c r="S13" s="114">
        <f>IF(SubjectList!G13="Finance",IF(Finance!D13=0,"", Finance!D13),IF(SubjectList!G13="Production",IF(Production!D13=0,"", Production!D13),IF(SubjectList!G13="Economics",IF(Economics!D13=0,"", Economics!D13))))</f>
        <v>16</v>
      </c>
      <c r="T13" s="113">
        <f>IF(SubjectList!H13="Finance",IF(Finance!B13=0,"", Finance!B13),IF(SubjectList!H13="Production",IF(Production!B13=0,"", Production!B13),IF(SubjectList!H13="Economics",IF(Economics!B13=0,"", Economics!B13))))</f>
        <v>14</v>
      </c>
      <c r="U13" s="113">
        <f>IF(SubjectList!H13="Finance",IF(Finance!C13=0,"", Finance!C13),IF(SubjectList!H13="Production",IF(Production!C13=0,"", Production!C13),IF(SubjectList!H13="Economics",IF(Economics!C13=0,"", Economics!C13))))</f>
        <v>23</v>
      </c>
      <c r="V13" s="114">
        <f>IF(SubjectList!H13="Finance",IF(Finance!D13=0,"", Finance!D13),IF(SubjectList!H13="Production",IF(Production!D13=0,"", Production!D13),IF(SubjectList!H13="Economics",IF(Economics!D13=0,"", Economics!D13))))</f>
        <v>37</v>
      </c>
      <c r="W13" s="115" t="str">
        <f>IF(SubjectList!G13="Finance","Finance",IF(SubjectList!G13="Production","Production",IF(SubjectList!G13="Economics","Not Given")))</f>
        <v>Finance</v>
      </c>
      <c r="X13" s="115" t="str">
        <f>IF(SubjectList!H13="Finance","Finance",IF(SubjectList!H13="Production","Production",IF(SubjectList!H13="Economics","Economics","Not Given")))</f>
        <v>Production</v>
      </c>
      <c r="Y13" s="113" t="str">
        <f>Bangla!F13</f>
        <v>D</v>
      </c>
      <c r="Z13" s="113" t="str">
        <f>English!E13</f>
        <v>F</v>
      </c>
      <c r="AA13" s="113" t="str">
        <f>ICT!G13</f>
        <v>F</v>
      </c>
      <c r="AB13" s="113" t="str">
        <f>Accounting!F13</f>
        <v>F</v>
      </c>
      <c r="AC13" s="113" t="str">
        <f>'Business Organization'!F13</f>
        <v>D</v>
      </c>
      <c r="AD13" s="113" t="str">
        <f>IF(SubjectList!G13="Finance",IF(Finance!F13=0,"", Finance!F13),IF(SubjectList!G13="Production",IF(Production!F13=0,"", Production!F13),IF(SubjectList!G13="Economics",IF(Economics!D13=0,"", Economics!D13))))</f>
        <v>F</v>
      </c>
      <c r="AE13" s="113" t="str">
        <f>IF(SubjectList!H13="Finance",IF(Finance!F13=0,"", Finance!F13),IF(SubjectList!H13="Production",IF(Production!F13=0,"", Production!F13),IF(SubjectList!H13="Economics",IF(Economics!F13=0,"", Economics!F13))))</f>
        <v>D</v>
      </c>
      <c r="AF13" s="122">
        <f>Bangla!G13</f>
        <v>1</v>
      </c>
      <c r="AG13" s="122">
        <f>English!F13</f>
        <v>0</v>
      </c>
      <c r="AH13" s="120">
        <f>ICT!H13</f>
        <v>0</v>
      </c>
      <c r="AI13" s="120">
        <f>Accounting!G13</f>
        <v>0</v>
      </c>
      <c r="AJ13" s="120">
        <f>'Business Organization'!G13</f>
        <v>1</v>
      </c>
      <c r="AK13" s="120">
        <f>IF(SubjectList!G13="Finance",Finance!G13,IF(SubjectList!G13="Production",Production!G13,IF(SubjectList!G13="Economics",Economics!G13)))</f>
        <v>0</v>
      </c>
      <c r="AL13" s="120">
        <f>IF(Optional!H13=0,"", Optional!H13)</f>
        <v>1</v>
      </c>
      <c r="AM13" s="120">
        <f>Optional!H13</f>
        <v>1</v>
      </c>
      <c r="AN13" s="120">
        <f>Optional!I13</f>
        <v>0</v>
      </c>
      <c r="AO13" s="120">
        <f t="shared" si="0"/>
        <v>2</v>
      </c>
      <c r="AP13" s="120">
        <f t="shared" si="1"/>
        <v>2</v>
      </c>
      <c r="AQ13" s="116" t="str">
        <f t="shared" si="2"/>
        <v/>
      </c>
      <c r="AR13" s="116" t="str">
        <f t="shared" si="3"/>
        <v/>
      </c>
      <c r="AS13" s="117">
        <f t="shared" si="4"/>
        <v>195</v>
      </c>
      <c r="AT13" s="118">
        <f t="shared" si="5"/>
        <v>1</v>
      </c>
      <c r="AU13" s="118">
        <f t="shared" si="6"/>
        <v>0</v>
      </c>
      <c r="AV13" s="118">
        <f t="shared" si="7"/>
        <v>0</v>
      </c>
      <c r="AW13" s="118">
        <f t="shared" si="8"/>
        <v>0</v>
      </c>
      <c r="AX13" s="118">
        <f t="shared" si="9"/>
        <v>1</v>
      </c>
      <c r="AY13" s="118">
        <f t="shared" si="10"/>
        <v>0</v>
      </c>
      <c r="AZ13" s="111">
        <f t="shared" si="11"/>
        <v>2</v>
      </c>
      <c r="BA13" s="111" t="str">
        <f t="shared" si="12"/>
        <v>F4</v>
      </c>
      <c r="BB13" s="117" t="str">
        <f>IF(AR13="","",RANK(AR13,AR$2:AR145,0))</f>
        <v/>
      </c>
      <c r="BC13" s="111" t="str">
        <f t="shared" si="13"/>
        <v/>
      </c>
    </row>
    <row r="14" spans="1:55" x14ac:dyDescent="0.35">
      <c r="A14" s="113">
        <f>'Student Basic Info'!A14</f>
        <v>513</v>
      </c>
      <c r="B14" s="113" t="str">
        <f>'Student Basic Info'!C14</f>
        <v>Meherab Hosain</v>
      </c>
      <c r="C14" s="121" t="str">
        <f>IF(Bangla!B14="","",Bangla!B14)</f>
        <v/>
      </c>
      <c r="D14" s="121">
        <f>IF(Bangla!C14="","",Bangla!C14)</f>
        <v>36</v>
      </c>
      <c r="E14" s="112">
        <f>IF(Bangla!D14="","",Bangla!D14)</f>
        <v>36</v>
      </c>
      <c r="F14" s="112">
        <f>IF(English!C14="","",English!C14)</f>
        <v>29</v>
      </c>
      <c r="G14" s="113">
        <f>IF(ICT!B14="","",ICT!B14)</f>
        <v>13</v>
      </c>
      <c r="H14" s="113">
        <f>IF(ICT!C14="","",ICT!C14)</f>
        <v>8</v>
      </c>
      <c r="I14" s="113">
        <f>IF(ICT!D14="","",ICT!D14)</f>
        <v>24</v>
      </c>
      <c r="J14" s="114">
        <f>IF(ICT!E14="","",ICT!E14)</f>
        <v>45</v>
      </c>
      <c r="K14" s="113">
        <f>IF(Accounting!B14="","",Accounting!B14)</f>
        <v>12</v>
      </c>
      <c r="L14" s="113">
        <f>IF(Accounting!C14="","",Accounting!C14)</f>
        <v>23</v>
      </c>
      <c r="M14" s="114">
        <f>IF(Accounting!D14="","",Accounting!D14)</f>
        <v>35</v>
      </c>
      <c r="N14" s="113">
        <f>IF('Business Organization'!B14="","",'Business Organization'!B14)</f>
        <v>17</v>
      </c>
      <c r="O14" s="113">
        <f>IF('Business Organization'!C14="","",'Business Organization'!C14)</f>
        <v>24</v>
      </c>
      <c r="P14" s="114">
        <f>IF('Business Organization'!D14="","",'Business Organization'!D14)</f>
        <v>41</v>
      </c>
      <c r="Q14" s="113">
        <f>IF(SubjectList!G14="Finance",IF(Finance!B14=0,"", Finance!B14),IF(SubjectList!G14="Production",IF(Production!B14=0,"", Production!B14),IF(SubjectList!G14="Economics",IF(Economics!B14=0,"", Economics!B14))))</f>
        <v>13</v>
      </c>
      <c r="R14" s="113">
        <f>IF(SubjectList!G14="Finance",IF(Finance!C14=0,"", Finance!C14),IF(SubjectList!G14="Production",IF(Production!C14=0,"", Production!C14),IF(SubjectList!G14="Economics",IF(Economics!C14=0,"", Economics!C14))))</f>
        <v>7</v>
      </c>
      <c r="S14" s="114">
        <f>IF(SubjectList!G14="Finance",IF(Finance!D14=0,"", Finance!D14),IF(SubjectList!G14="Production",IF(Production!D14=0,"", Production!D14),IF(SubjectList!G14="Economics",IF(Economics!D14=0,"", Economics!D14))))</f>
        <v>20</v>
      </c>
      <c r="T14" s="113">
        <f>IF(SubjectList!H14="Finance",IF(Finance!B14=0,"", Finance!B14),IF(SubjectList!H14="Production",IF(Production!B14=0,"", Production!B14),IF(SubjectList!H14="Economics",IF(Economics!B14=0,"", Economics!B14))))</f>
        <v>12</v>
      </c>
      <c r="U14" s="113">
        <f>IF(SubjectList!H14="Finance",IF(Finance!C14=0,"", Finance!C14),IF(SubjectList!H14="Production",IF(Production!C14=0,"", Production!C14),IF(SubjectList!H14="Economics",IF(Economics!C14=0,"", Economics!C14))))</f>
        <v>25</v>
      </c>
      <c r="V14" s="114">
        <f>IF(SubjectList!H14="Finance",IF(Finance!D14=0,"", Finance!D14),IF(SubjectList!H14="Production",IF(Production!D14=0,"", Production!D14),IF(SubjectList!H14="Economics",IF(Economics!D14=0,"", Economics!D14))))</f>
        <v>37</v>
      </c>
      <c r="W14" s="115" t="str">
        <f>IF(SubjectList!G14="Finance","Finance",IF(SubjectList!G14="Production","Production",IF(SubjectList!G14="Economics","Not Given")))</f>
        <v>Finance</v>
      </c>
      <c r="X14" s="115" t="str">
        <f>IF(SubjectList!H14="Finance","Finance",IF(SubjectList!H14="Production","Production",IF(SubjectList!H14="Economics","Economics","Not Given")))</f>
        <v>Production</v>
      </c>
      <c r="Y14" s="113" t="str">
        <f>Bangla!F14</f>
        <v>D</v>
      </c>
      <c r="Z14" s="113" t="str">
        <f>English!E14</f>
        <v>F</v>
      </c>
      <c r="AA14" s="113" t="str">
        <f>ICT!G14</f>
        <v>F</v>
      </c>
      <c r="AB14" s="113" t="str">
        <f>Accounting!F14</f>
        <v>D</v>
      </c>
      <c r="AC14" s="113" t="str">
        <f>'Business Organization'!F14</f>
        <v>C</v>
      </c>
      <c r="AD14" s="113" t="str">
        <f>IF(SubjectList!G14="Finance",IF(Finance!F14=0,"", Finance!F14),IF(SubjectList!G14="Production",IF(Production!F14=0,"", Production!F14),IF(SubjectList!G14="Economics",IF(Economics!D14=0,"", Economics!D14))))</f>
        <v>F</v>
      </c>
      <c r="AE14" s="113" t="str">
        <f>IF(SubjectList!H14="Finance",IF(Finance!F14=0,"", Finance!F14),IF(SubjectList!H14="Production",IF(Production!F14=0,"", Production!F14),IF(SubjectList!H14="Economics",IF(Economics!F14=0,"", Economics!F14))))</f>
        <v>D</v>
      </c>
      <c r="AF14" s="122">
        <f>Bangla!G14</f>
        <v>1</v>
      </c>
      <c r="AG14" s="122">
        <f>English!F14</f>
        <v>0</v>
      </c>
      <c r="AH14" s="120">
        <f>ICT!H14</f>
        <v>0</v>
      </c>
      <c r="AI14" s="120">
        <f>Accounting!G14</f>
        <v>1</v>
      </c>
      <c r="AJ14" s="120">
        <f>'Business Organization'!G14</f>
        <v>2</v>
      </c>
      <c r="AK14" s="120">
        <f>IF(SubjectList!G14="Finance",Finance!G14,IF(SubjectList!G14="Production",Production!G14,IF(SubjectList!G14="Economics",Economics!G14)))</f>
        <v>0</v>
      </c>
      <c r="AL14" s="120">
        <f>IF(Optional!H14=0,"", Optional!H14)</f>
        <v>1</v>
      </c>
      <c r="AM14" s="120">
        <f>Optional!H14</f>
        <v>1</v>
      </c>
      <c r="AN14" s="120">
        <f>Optional!I14</f>
        <v>0</v>
      </c>
      <c r="AO14" s="120">
        <f t="shared" si="0"/>
        <v>4</v>
      </c>
      <c r="AP14" s="120">
        <f t="shared" si="1"/>
        <v>4</v>
      </c>
      <c r="AQ14" s="116" t="str">
        <f t="shared" si="2"/>
        <v/>
      </c>
      <c r="AR14" s="116" t="str">
        <f t="shared" si="3"/>
        <v/>
      </c>
      <c r="AS14" s="117">
        <f t="shared" si="4"/>
        <v>243</v>
      </c>
      <c r="AT14" s="118">
        <f t="shared" si="5"/>
        <v>1</v>
      </c>
      <c r="AU14" s="118">
        <f t="shared" si="6"/>
        <v>0</v>
      </c>
      <c r="AV14" s="118">
        <f t="shared" si="7"/>
        <v>0</v>
      </c>
      <c r="AW14" s="118">
        <f t="shared" si="8"/>
        <v>1</v>
      </c>
      <c r="AX14" s="118">
        <f t="shared" si="9"/>
        <v>1</v>
      </c>
      <c r="AY14" s="118">
        <f t="shared" si="10"/>
        <v>0</v>
      </c>
      <c r="AZ14" s="111">
        <f t="shared" si="11"/>
        <v>3</v>
      </c>
      <c r="BA14" s="111" t="str">
        <f t="shared" si="12"/>
        <v>F3</v>
      </c>
      <c r="BB14" s="117" t="str">
        <f>IF(AR14="","",RANK(AR14,AR$2:AR145,0))</f>
        <v/>
      </c>
      <c r="BC14" s="111" t="str">
        <f t="shared" si="13"/>
        <v/>
      </c>
    </row>
    <row r="15" spans="1:55" x14ac:dyDescent="0.35">
      <c r="A15" s="113">
        <f>'Student Basic Info'!A15</f>
        <v>514</v>
      </c>
      <c r="B15" s="113" t="str">
        <f>'Student Basic Info'!C15</f>
        <v>Amirul Islam</v>
      </c>
      <c r="C15" s="121" t="str">
        <f>IF(Bangla!B15="","",Bangla!B15)</f>
        <v/>
      </c>
      <c r="D15" s="121" t="str">
        <f>IF(Bangla!C15="","",Bangla!C15)</f>
        <v/>
      </c>
      <c r="E15" s="112" t="str">
        <f>IF(Bangla!D15="","",Bangla!D15)</f>
        <v/>
      </c>
      <c r="F15" s="112" t="str">
        <f>IF(English!C15="","",English!C15)</f>
        <v/>
      </c>
      <c r="G15" s="113" t="str">
        <f>IF(ICT!B15="","",ICT!B15)</f>
        <v/>
      </c>
      <c r="H15" s="113" t="str">
        <f>IF(ICT!C15="","",ICT!C15)</f>
        <v/>
      </c>
      <c r="I15" s="113" t="str">
        <f>IF(ICT!D15="","",ICT!D15)</f>
        <v/>
      </c>
      <c r="J15" s="114" t="str">
        <f>IF(ICT!E15="","",ICT!E15)</f>
        <v/>
      </c>
      <c r="K15" s="113" t="str">
        <f>IF(Accounting!B15="","",Accounting!B15)</f>
        <v/>
      </c>
      <c r="L15" s="113" t="str">
        <f>IF(Accounting!C15="","",Accounting!C15)</f>
        <v/>
      </c>
      <c r="M15" s="114" t="str">
        <f>IF(Accounting!D15="","",Accounting!D15)</f>
        <v/>
      </c>
      <c r="N15" s="113" t="str">
        <f>IF('Business Organization'!B15="","",'Business Organization'!B15)</f>
        <v/>
      </c>
      <c r="O15" s="113" t="str">
        <f>IF('Business Organization'!C15="","",'Business Organization'!C15)</f>
        <v/>
      </c>
      <c r="P15" s="114" t="str">
        <f>IF('Business Organization'!D15="","",'Business Organization'!D15)</f>
        <v/>
      </c>
      <c r="Q15" s="113" t="str">
        <f>IF(SubjectList!G15="Finance",IF(Finance!B15=0,"", Finance!B15),IF(SubjectList!G15="Production",IF(Production!B15=0,"", Production!B15),IF(SubjectList!G15="Economics",IF(Economics!B15=0,"", Economics!B15))))</f>
        <v/>
      </c>
      <c r="R15" s="113" t="str">
        <f>IF(SubjectList!G15="Finance",IF(Finance!C15=0,"", Finance!C15),IF(SubjectList!G15="Production",IF(Production!C15=0,"", Production!C15),IF(SubjectList!G15="Economics",IF(Economics!C15=0,"", Economics!C15))))</f>
        <v/>
      </c>
      <c r="S15" s="114" t="str">
        <f>IF(SubjectList!G15="Finance",IF(Finance!D15=0,"", Finance!D15),IF(SubjectList!G15="Production",IF(Production!D15=0,"", Production!D15),IF(SubjectList!G15="Economics",IF(Economics!D15=0,"", Economics!D15))))</f>
        <v/>
      </c>
      <c r="T15" s="113" t="str">
        <f>IF(SubjectList!H15="Finance",IF(Finance!B15=0,"", Finance!B15),IF(SubjectList!H15="Production",IF(Production!B15=0,"", Production!B15),IF(SubjectList!H15="Economics",IF(Economics!B15=0,"", Economics!B15))))</f>
        <v/>
      </c>
      <c r="U15" s="113" t="str">
        <f>IF(SubjectList!H15="Finance",IF(Finance!C15=0,"", Finance!C15),IF(SubjectList!H15="Production",IF(Production!C15=0,"", Production!C15),IF(SubjectList!H15="Economics",IF(Economics!C15=0,"", Economics!C15))))</f>
        <v/>
      </c>
      <c r="V15" s="114" t="str">
        <f>IF(SubjectList!H15="Finance",IF(Finance!D15=0,"", Finance!D15),IF(SubjectList!H15="Production",IF(Production!D15=0,"", Production!D15),IF(SubjectList!H15="Economics",IF(Economics!D15=0,"", Economics!D15))))</f>
        <v/>
      </c>
      <c r="W15" s="115" t="str">
        <f>IF(SubjectList!G15="Finance","Finance",IF(SubjectList!G15="Production","Production",IF(SubjectList!G15="Economics","Not Given")))</f>
        <v>Finance</v>
      </c>
      <c r="X15" s="115" t="str">
        <f>IF(SubjectList!H15="Finance","Finance",IF(SubjectList!H15="Production","Production",IF(SubjectList!H15="Economics","Economics","Not Given")))</f>
        <v>Production</v>
      </c>
      <c r="Y15" s="113" t="str">
        <f>Bangla!F15</f>
        <v/>
      </c>
      <c r="Z15" s="113" t="str">
        <f>English!E15</f>
        <v/>
      </c>
      <c r="AA15" s="113" t="str">
        <f>ICT!G15</f>
        <v/>
      </c>
      <c r="AB15" s="113" t="str">
        <f>Accounting!F15</f>
        <v/>
      </c>
      <c r="AC15" s="113" t="str">
        <f>'Business Organization'!F15</f>
        <v/>
      </c>
      <c r="AD15" s="113" t="str">
        <f>IF(SubjectList!G15="Finance",IF(Finance!F15=0,"", Finance!F15),IF(SubjectList!G15="Production",IF(Production!F15=0,"", Production!F15),IF(SubjectList!G15="Economics",IF(Economics!D15=0,"", Economics!D15))))</f>
        <v/>
      </c>
      <c r="AE15" s="113" t="str">
        <f>IF(SubjectList!H15="Finance",IF(Finance!F15=0,"", Finance!F15),IF(SubjectList!H15="Production",IF(Production!F15=0,"", Production!F15),IF(SubjectList!H15="Economics",IF(Economics!F15=0,"", Economics!F15))))</f>
        <v/>
      </c>
      <c r="AF15" s="122" t="str">
        <f>Bangla!G15</f>
        <v/>
      </c>
      <c r="AG15" s="122" t="str">
        <f>English!F15</f>
        <v/>
      </c>
      <c r="AH15" s="120" t="str">
        <f>ICT!H15</f>
        <v/>
      </c>
      <c r="AI15" s="120" t="str">
        <f>Accounting!G15</f>
        <v/>
      </c>
      <c r="AJ15" s="120" t="str">
        <f>'Business Organization'!G15</f>
        <v/>
      </c>
      <c r="AK15" s="120" t="str">
        <f>IF(SubjectList!G15="Finance",Finance!G15,IF(SubjectList!G15="Production",Production!G15,IF(SubjectList!G15="Economics",Economics!G15)))</f>
        <v/>
      </c>
      <c r="AL15" s="120" t="str">
        <f>IF(Optional!H15=0,"", Optional!H15)</f>
        <v/>
      </c>
      <c r="AM15" s="120" t="str">
        <f>Optional!H15</f>
        <v/>
      </c>
      <c r="AN15" s="120" t="str">
        <f>Optional!I15</f>
        <v/>
      </c>
      <c r="AO15" s="120" t="str">
        <f t="shared" si="0"/>
        <v/>
      </c>
      <c r="AP15" s="120">
        <f t="shared" si="1"/>
        <v>0</v>
      </c>
      <c r="AQ15" s="116" t="str">
        <f t="shared" si="2"/>
        <v/>
      </c>
      <c r="AR15" s="116" t="str">
        <f t="shared" si="3"/>
        <v/>
      </c>
      <c r="AS15" s="117">
        <f t="shared" si="4"/>
        <v>0</v>
      </c>
      <c r="AT15" s="118">
        <f t="shared" si="5"/>
        <v>0</v>
      </c>
      <c r="AU15" s="118">
        <f t="shared" si="6"/>
        <v>0</v>
      </c>
      <c r="AV15" s="118">
        <f t="shared" si="7"/>
        <v>0</v>
      </c>
      <c r="AW15" s="118">
        <f t="shared" si="8"/>
        <v>0</v>
      </c>
      <c r="AX15" s="118">
        <f t="shared" si="9"/>
        <v>0</v>
      </c>
      <c r="AY15" s="118">
        <f t="shared" si="10"/>
        <v>0</v>
      </c>
      <c r="AZ15" s="111">
        <f t="shared" si="11"/>
        <v>0</v>
      </c>
      <c r="BA15" s="111" t="str">
        <f t="shared" si="12"/>
        <v>F6</v>
      </c>
      <c r="BB15" s="117" t="str">
        <f>IF(AR15="","",RANK(AR15,AR$2:AR145,0))</f>
        <v/>
      </c>
      <c r="BC15" s="111" t="str">
        <f t="shared" si="13"/>
        <v/>
      </c>
    </row>
    <row r="16" spans="1:55" x14ac:dyDescent="0.35">
      <c r="A16" s="113">
        <f>'Student Basic Info'!A16</f>
        <v>515</v>
      </c>
      <c r="B16" s="113" t="str">
        <f>'Student Basic Info'!C16</f>
        <v>Bibi Amena Begum Sraboni</v>
      </c>
      <c r="C16" s="121" t="str">
        <f>IF(Bangla!B16="","",Bangla!B16)</f>
        <v/>
      </c>
      <c r="D16" s="121">
        <f>IF(Bangla!C16="","",Bangla!C16)</f>
        <v>60</v>
      </c>
      <c r="E16" s="112">
        <f>IF(Bangla!D16="","",Bangla!D16)</f>
        <v>60</v>
      </c>
      <c r="F16" s="112">
        <f>IF(English!C16="","",English!C16)</f>
        <v>38</v>
      </c>
      <c r="G16" s="113">
        <f>IF(ICT!B16="","",ICT!B16)</f>
        <v>12</v>
      </c>
      <c r="H16" s="113">
        <f>IF(ICT!C16="","",ICT!C16)</f>
        <v>27</v>
      </c>
      <c r="I16" s="113">
        <f>IF(ICT!D16="","",ICT!D16)</f>
        <v>18</v>
      </c>
      <c r="J16" s="114">
        <f>IF(ICT!E16="","",ICT!E16)</f>
        <v>57</v>
      </c>
      <c r="K16" s="113">
        <f>IF(Accounting!B16="","",Accounting!B16)</f>
        <v>17</v>
      </c>
      <c r="L16" s="113">
        <f>IF(Accounting!C16="","",Accounting!C16)</f>
        <v>41</v>
      </c>
      <c r="M16" s="114">
        <f>IF(Accounting!D16="","",Accounting!D16)</f>
        <v>58</v>
      </c>
      <c r="N16" s="113">
        <f>IF('Business Organization'!B16="","",'Business Organization'!B16)</f>
        <v>12</v>
      </c>
      <c r="O16" s="113">
        <f>IF('Business Organization'!C16="","",'Business Organization'!C16)</f>
        <v>17</v>
      </c>
      <c r="P16" s="114">
        <f>IF('Business Organization'!D16="","",'Business Organization'!D16)</f>
        <v>29</v>
      </c>
      <c r="Q16" s="113">
        <f>IF(SubjectList!G16="Finance",IF(Finance!B16=0,"", Finance!B16),IF(SubjectList!G16="Production",IF(Production!B16=0,"", Production!B16),IF(SubjectList!G16="Economics",IF(Economics!B16=0,"", Economics!B16))))</f>
        <v>10</v>
      </c>
      <c r="R16" s="113">
        <f>IF(SubjectList!G16="Finance",IF(Finance!C16=0,"", Finance!C16),IF(SubjectList!G16="Production",IF(Production!C16=0,"", Production!C16),IF(SubjectList!G16="Economics",IF(Economics!C16=0,"", Economics!C16))))</f>
        <v>23</v>
      </c>
      <c r="S16" s="114">
        <f>IF(SubjectList!G16="Finance",IF(Finance!D16=0,"", Finance!D16),IF(SubjectList!G16="Production",IF(Production!D16=0,"", Production!D16),IF(SubjectList!G16="Economics",IF(Economics!D16=0,"", Economics!D16))))</f>
        <v>33</v>
      </c>
      <c r="T16" s="113">
        <f>IF(SubjectList!H16="Finance",IF(Finance!B16=0,"", Finance!B16),IF(SubjectList!H16="Production",IF(Production!B16=0,"", Production!B16),IF(SubjectList!H16="Economics",IF(Economics!B16=0,"", Economics!B16))))</f>
        <v>17</v>
      </c>
      <c r="U16" s="113">
        <f>IF(SubjectList!H16="Finance",IF(Finance!C16=0,"", Finance!C16),IF(SubjectList!H16="Production",IF(Production!C16=0,"", Production!C16),IF(SubjectList!H16="Economics",IF(Economics!C16=0,"", Economics!C16))))</f>
        <v>18</v>
      </c>
      <c r="V16" s="114">
        <f>IF(SubjectList!H16="Finance",IF(Finance!D16=0,"", Finance!D16),IF(SubjectList!H16="Production",IF(Production!D16=0,"", Production!D16),IF(SubjectList!H16="Economics",IF(Economics!D16=0,"", Economics!D16))))</f>
        <v>35</v>
      </c>
      <c r="W16" s="115" t="str">
        <f>IF(SubjectList!G16="Finance","Finance",IF(SubjectList!G16="Production","Production",IF(SubjectList!G16="Economics","Not Given")))</f>
        <v>Finance</v>
      </c>
      <c r="X16" s="115" t="str">
        <f>IF(SubjectList!H16="Finance","Finance",IF(SubjectList!H16="Production","Production",IF(SubjectList!H16="Economics","Economics","Not Given")))</f>
        <v>Production</v>
      </c>
      <c r="Y16" s="113" t="str">
        <f>Bangla!F16</f>
        <v>A-</v>
      </c>
      <c r="Z16" s="113" t="str">
        <f>English!E16</f>
        <v>D</v>
      </c>
      <c r="AA16" s="113" t="str">
        <f>ICT!G16</f>
        <v>B</v>
      </c>
      <c r="AB16" s="113" t="str">
        <f>Accounting!F16</f>
        <v>B</v>
      </c>
      <c r="AC16" s="113" t="str">
        <f>'Business Organization'!F16</f>
        <v>F</v>
      </c>
      <c r="AD16" s="113" t="str">
        <f>IF(SubjectList!G16="Finance",IF(Finance!F16=0,"", Finance!F16),IF(SubjectList!G16="Production",IF(Production!F16=0,"", Production!F16),IF(SubjectList!G16="Economics",IF(Economics!D16=0,"", Economics!D16))))</f>
        <v>D</v>
      </c>
      <c r="AE16" s="113" t="str">
        <f>IF(SubjectList!H16="Finance",IF(Finance!F16=0,"", Finance!F16),IF(SubjectList!H16="Production",IF(Production!F16=0,"", Production!F16),IF(SubjectList!H16="Economics",IF(Economics!F16=0,"", Economics!F16))))</f>
        <v>F</v>
      </c>
      <c r="AF16" s="122">
        <f>Bangla!G16</f>
        <v>3.5</v>
      </c>
      <c r="AG16" s="122">
        <f>English!F16</f>
        <v>1</v>
      </c>
      <c r="AH16" s="120">
        <f>ICT!H16</f>
        <v>3</v>
      </c>
      <c r="AI16" s="120">
        <f>Accounting!G16</f>
        <v>3</v>
      </c>
      <c r="AJ16" s="120">
        <f>'Business Organization'!G16</f>
        <v>0</v>
      </c>
      <c r="AK16" s="120">
        <f>IF(SubjectList!G16="Finance",Finance!G16,IF(SubjectList!G16="Production",Production!G16,IF(SubjectList!G16="Economics",Economics!G16)))</f>
        <v>1</v>
      </c>
      <c r="AL16" s="120" t="str">
        <f>IF(Optional!H16=0,"", Optional!H16)</f>
        <v/>
      </c>
      <c r="AM16" s="120">
        <f>Optional!H16</f>
        <v>0</v>
      </c>
      <c r="AN16" s="120">
        <f>Optional!I16</f>
        <v>0</v>
      </c>
      <c r="AO16" s="120">
        <f t="shared" si="0"/>
        <v>11.5</v>
      </c>
      <c r="AP16" s="120">
        <f t="shared" si="1"/>
        <v>11.5</v>
      </c>
      <c r="AQ16" s="116" t="str">
        <f t="shared" si="2"/>
        <v/>
      </c>
      <c r="AR16" s="116" t="str">
        <f t="shared" si="3"/>
        <v/>
      </c>
      <c r="AS16" s="117">
        <f t="shared" si="4"/>
        <v>310</v>
      </c>
      <c r="AT16" s="118">
        <f t="shared" si="5"/>
        <v>1</v>
      </c>
      <c r="AU16" s="118">
        <f t="shared" si="6"/>
        <v>1</v>
      </c>
      <c r="AV16" s="118">
        <f t="shared" si="7"/>
        <v>1</v>
      </c>
      <c r="AW16" s="118">
        <f t="shared" si="8"/>
        <v>1</v>
      </c>
      <c r="AX16" s="118">
        <f t="shared" si="9"/>
        <v>0</v>
      </c>
      <c r="AY16" s="118">
        <f t="shared" si="10"/>
        <v>1</v>
      </c>
      <c r="AZ16" s="111">
        <f t="shared" si="11"/>
        <v>5</v>
      </c>
      <c r="BA16" s="111" t="str">
        <f t="shared" si="12"/>
        <v>F1</v>
      </c>
      <c r="BB16" s="117" t="str">
        <f>IF(AR16="","",RANK(AR16,AR$2:AR145,0))</f>
        <v/>
      </c>
      <c r="BC16" s="111" t="str">
        <f t="shared" si="13"/>
        <v/>
      </c>
    </row>
    <row r="17" spans="1:55" x14ac:dyDescent="0.35">
      <c r="A17" s="113">
        <f>'Student Basic Info'!A17</f>
        <v>516</v>
      </c>
      <c r="B17" s="113" t="str">
        <f>'Student Basic Info'!C17</f>
        <v>Zannatul Nayem</v>
      </c>
      <c r="C17" s="121" t="str">
        <f>IF(Bangla!B17="","",Bangla!B17)</f>
        <v/>
      </c>
      <c r="D17" s="121">
        <f>IF(Bangla!C17="","",Bangla!C17)</f>
        <v>66</v>
      </c>
      <c r="E17" s="112">
        <f>IF(Bangla!D17="","",Bangla!D17)</f>
        <v>66</v>
      </c>
      <c r="F17" s="112">
        <f>IF(English!C17="","",English!C17)</f>
        <v>48</v>
      </c>
      <c r="G17" s="113">
        <f>IF(ICT!B17="","",ICT!B17)</f>
        <v>15</v>
      </c>
      <c r="H17" s="113">
        <f>IF(ICT!C17="","",ICT!C17)</f>
        <v>39</v>
      </c>
      <c r="I17" s="113">
        <f>IF(ICT!D17="","",ICT!D17)</f>
        <v>24</v>
      </c>
      <c r="J17" s="114">
        <f>IF(ICT!E17="","",ICT!E17)</f>
        <v>78</v>
      </c>
      <c r="K17" s="113">
        <f>IF(Accounting!B17="","",Accounting!B17)</f>
        <v>16</v>
      </c>
      <c r="L17" s="113">
        <f>IF(Accounting!C17="","",Accounting!C17)</f>
        <v>43</v>
      </c>
      <c r="M17" s="114">
        <f>IF(Accounting!D17="","",Accounting!D17)</f>
        <v>59</v>
      </c>
      <c r="N17" s="113">
        <f>IF('Business Organization'!B17="","",'Business Organization'!B17)</f>
        <v>22</v>
      </c>
      <c r="O17" s="113">
        <f>IF('Business Organization'!C17="","",'Business Organization'!C17)</f>
        <v>43</v>
      </c>
      <c r="P17" s="114">
        <f>IF('Business Organization'!D17="","",'Business Organization'!D17)</f>
        <v>65</v>
      </c>
      <c r="Q17" s="113">
        <f>IF(SubjectList!G17="Finance",IF(Finance!B17=0,"", Finance!B17),IF(SubjectList!G17="Production",IF(Production!B17=0,"", Production!B17),IF(SubjectList!G17="Economics",IF(Economics!B17=0,"", Economics!B17))))</f>
        <v>13</v>
      </c>
      <c r="R17" s="113">
        <f>IF(SubjectList!G17="Finance",IF(Finance!C17=0,"", Finance!C17),IF(SubjectList!G17="Production",IF(Production!C17=0,"", Production!C17),IF(SubjectList!G17="Economics",IF(Economics!C17=0,"", Economics!C17))))</f>
        <v>23</v>
      </c>
      <c r="S17" s="114">
        <f>IF(SubjectList!G17="Finance",IF(Finance!D17=0,"", Finance!D17),IF(SubjectList!G17="Production",IF(Production!D17=0,"", Production!D17),IF(SubjectList!G17="Economics",IF(Economics!D17=0,"", Economics!D17))))</f>
        <v>36</v>
      </c>
      <c r="T17" s="113">
        <f>IF(SubjectList!H17="Finance",IF(Finance!B17=0,"", Finance!B17),IF(SubjectList!H17="Production",IF(Production!B17=0,"", Production!B17),IF(SubjectList!H17="Economics",IF(Economics!B17=0,"", Economics!B17))))</f>
        <v>18</v>
      </c>
      <c r="U17" s="113">
        <f>IF(SubjectList!H17="Finance",IF(Finance!C17=0,"", Finance!C17),IF(SubjectList!H17="Production",IF(Production!C17=0,"", Production!C17),IF(SubjectList!H17="Economics",IF(Economics!C17=0,"", Economics!C17))))</f>
        <v>54</v>
      </c>
      <c r="V17" s="114">
        <f>IF(SubjectList!H17="Finance",IF(Finance!D17=0,"", Finance!D17),IF(SubjectList!H17="Production",IF(Production!D17=0,"", Production!D17),IF(SubjectList!H17="Economics",IF(Economics!D17=0,"", Economics!D17))))</f>
        <v>72</v>
      </c>
      <c r="W17" s="115" t="str">
        <f>IF(SubjectList!G17="Finance","Finance",IF(SubjectList!G17="Production","Production",IF(SubjectList!G17="Economics","Not Given")))</f>
        <v>Finance</v>
      </c>
      <c r="X17" s="115" t="str">
        <f>IF(SubjectList!H17="Finance","Finance",IF(SubjectList!H17="Production","Production",IF(SubjectList!H17="Economics","Economics","Not Given")))</f>
        <v>Production</v>
      </c>
      <c r="Y17" s="113" t="str">
        <f>Bangla!F17</f>
        <v>A-</v>
      </c>
      <c r="Z17" s="113" t="str">
        <f>English!E17</f>
        <v>C</v>
      </c>
      <c r="AA17" s="113" t="str">
        <f>ICT!G17</f>
        <v>A</v>
      </c>
      <c r="AB17" s="113" t="str">
        <f>Accounting!F17</f>
        <v>B</v>
      </c>
      <c r="AC17" s="113" t="str">
        <f>'Business Organization'!F17</f>
        <v>A-</v>
      </c>
      <c r="AD17" s="113" t="str">
        <f>IF(SubjectList!G17="Finance",IF(Finance!F17=0,"", Finance!F17),IF(SubjectList!G17="Production",IF(Production!F17=0,"", Production!F17),IF(SubjectList!G17="Economics",IF(Economics!D17=0,"", Economics!D17))))</f>
        <v>D</v>
      </c>
      <c r="AE17" s="113" t="str">
        <f>IF(SubjectList!H17="Finance",IF(Finance!F17=0,"", Finance!F17),IF(SubjectList!H17="Production",IF(Production!F17=0,"", Production!F17),IF(SubjectList!H17="Economics",IF(Economics!F17=0,"", Economics!F17))))</f>
        <v>A</v>
      </c>
      <c r="AF17" s="122">
        <f>Bangla!G17</f>
        <v>3.5</v>
      </c>
      <c r="AG17" s="122">
        <f>English!F17</f>
        <v>2</v>
      </c>
      <c r="AH17" s="120">
        <f>ICT!H17</f>
        <v>4</v>
      </c>
      <c r="AI17" s="120">
        <f>Accounting!G17</f>
        <v>3</v>
      </c>
      <c r="AJ17" s="120">
        <f>'Business Organization'!G17</f>
        <v>3.5</v>
      </c>
      <c r="AK17" s="120">
        <f>IF(SubjectList!G17="Finance",Finance!G17,IF(SubjectList!G17="Production",Production!G17,IF(SubjectList!G17="Economics",Economics!G17)))</f>
        <v>1</v>
      </c>
      <c r="AL17" s="120">
        <f>IF(Optional!H17=0,"", Optional!H17)</f>
        <v>4</v>
      </c>
      <c r="AM17" s="120">
        <f>Optional!H17</f>
        <v>4</v>
      </c>
      <c r="AN17" s="120">
        <f>Optional!I17</f>
        <v>2</v>
      </c>
      <c r="AO17" s="120">
        <f t="shared" si="0"/>
        <v>17</v>
      </c>
      <c r="AP17" s="120">
        <f t="shared" si="1"/>
        <v>19</v>
      </c>
      <c r="AQ17" s="116">
        <f t="shared" si="2"/>
        <v>2.8333333333333335</v>
      </c>
      <c r="AR17" s="116">
        <f t="shared" si="3"/>
        <v>3.1666666666666665</v>
      </c>
      <c r="AS17" s="117">
        <f t="shared" si="4"/>
        <v>424</v>
      </c>
      <c r="AT17" s="118">
        <f t="shared" si="5"/>
        <v>1</v>
      </c>
      <c r="AU17" s="118">
        <f t="shared" si="6"/>
        <v>1</v>
      </c>
      <c r="AV17" s="118">
        <f t="shared" si="7"/>
        <v>1</v>
      </c>
      <c r="AW17" s="118">
        <f t="shared" si="8"/>
        <v>1</v>
      </c>
      <c r="AX17" s="118">
        <f t="shared" si="9"/>
        <v>1</v>
      </c>
      <c r="AY17" s="118">
        <f t="shared" si="10"/>
        <v>1</v>
      </c>
      <c r="AZ17" s="111">
        <f t="shared" si="11"/>
        <v>6</v>
      </c>
      <c r="BA17" s="111" t="str">
        <f t="shared" si="12"/>
        <v>Pass</v>
      </c>
      <c r="BB17" s="117">
        <f>IF(AR17="","",RANK(AR17,AR$2:AR145,0))</f>
        <v>2</v>
      </c>
      <c r="BC17" s="111" t="str">
        <f t="shared" si="13"/>
        <v>B</v>
      </c>
    </row>
    <row r="18" spans="1:55" x14ac:dyDescent="0.35">
      <c r="A18" s="113">
        <f>'Student Basic Info'!A18</f>
        <v>517</v>
      </c>
      <c r="B18" s="113" t="str">
        <f>'Student Basic Info'!C18</f>
        <v>Imam Hosain Apurbo</v>
      </c>
      <c r="C18" s="121" t="str">
        <f>IF(Bangla!B18="","",Bangla!B18)</f>
        <v/>
      </c>
      <c r="D18" s="121" t="str">
        <f>IF(Bangla!C18="","",Bangla!C18)</f>
        <v/>
      </c>
      <c r="E18" s="112" t="str">
        <f>IF(Bangla!D18="","",Bangla!D18)</f>
        <v/>
      </c>
      <c r="F18" s="112" t="str">
        <f>IF(English!C18="","",English!C18)</f>
        <v/>
      </c>
      <c r="G18" s="113" t="str">
        <f>IF(ICT!B18="","",ICT!B18)</f>
        <v/>
      </c>
      <c r="H18" s="113" t="str">
        <f>IF(ICT!C18="","",ICT!C18)</f>
        <v/>
      </c>
      <c r="I18" s="113" t="str">
        <f>IF(ICT!D18="","",ICT!D18)</f>
        <v/>
      </c>
      <c r="J18" s="114" t="str">
        <f>IF(ICT!E18="","",ICT!E18)</f>
        <v/>
      </c>
      <c r="K18" s="113" t="str">
        <f>IF(Accounting!B18="","",Accounting!B18)</f>
        <v/>
      </c>
      <c r="L18" s="113" t="str">
        <f>IF(Accounting!C18="","",Accounting!C18)</f>
        <v/>
      </c>
      <c r="M18" s="114" t="str">
        <f>IF(Accounting!D18="","",Accounting!D18)</f>
        <v/>
      </c>
      <c r="N18" s="113" t="str">
        <f>IF('Business Organization'!B18="","",'Business Organization'!B18)</f>
        <v/>
      </c>
      <c r="O18" s="113" t="str">
        <f>IF('Business Organization'!C18="","",'Business Organization'!C18)</f>
        <v/>
      </c>
      <c r="P18" s="114" t="str">
        <f>IF('Business Organization'!D18="","",'Business Organization'!D18)</f>
        <v/>
      </c>
      <c r="Q18" s="113" t="str">
        <f>IF(SubjectList!G18="Finance",IF(Finance!B18=0,"", Finance!B18),IF(SubjectList!G18="Production",IF(Production!B18=0,"", Production!B18),IF(SubjectList!G18="Economics",IF(Economics!B18=0,"", Economics!B18))))</f>
        <v/>
      </c>
      <c r="R18" s="113" t="str">
        <f>IF(SubjectList!G18="Finance",IF(Finance!C18=0,"", Finance!C18),IF(SubjectList!G18="Production",IF(Production!C18=0,"", Production!C18),IF(SubjectList!G18="Economics",IF(Economics!C18=0,"", Economics!C18))))</f>
        <v/>
      </c>
      <c r="S18" s="114" t="str">
        <f>IF(SubjectList!G18="Finance",IF(Finance!D18=0,"", Finance!D18),IF(SubjectList!G18="Production",IF(Production!D18=0,"", Production!D18),IF(SubjectList!G18="Economics",IF(Economics!D18=0,"", Economics!D18))))</f>
        <v/>
      </c>
      <c r="T18" s="113" t="str">
        <f>IF(SubjectList!H18="Finance",IF(Finance!B18=0,"", Finance!B18),IF(SubjectList!H18="Production",IF(Production!B18=0,"", Production!B18),IF(SubjectList!H18="Economics",IF(Economics!B18=0,"", Economics!B18))))</f>
        <v/>
      </c>
      <c r="U18" s="113" t="str">
        <f>IF(SubjectList!H18="Finance",IF(Finance!C18=0,"", Finance!C18),IF(SubjectList!H18="Production",IF(Production!C18=0,"", Production!C18),IF(SubjectList!H18="Economics",IF(Economics!C18=0,"", Economics!C18))))</f>
        <v/>
      </c>
      <c r="V18" s="114" t="str">
        <f>IF(SubjectList!H18="Finance",IF(Finance!D18=0,"", Finance!D18),IF(SubjectList!H18="Production",IF(Production!D18=0,"", Production!D18),IF(SubjectList!H18="Economics",IF(Economics!D18=0,"", Economics!D18))))</f>
        <v/>
      </c>
      <c r="W18" s="115" t="str">
        <f>IF(SubjectList!G18="Finance","Finance",IF(SubjectList!G18="Production","Production",IF(SubjectList!G18="Economics","Not Given")))</f>
        <v>Finance</v>
      </c>
      <c r="X18" s="115" t="str">
        <f>IF(SubjectList!H18="Finance","Finance",IF(SubjectList!H18="Production","Production",IF(SubjectList!H18="Economics","Economics","Not Given")))</f>
        <v>Production</v>
      </c>
      <c r="Y18" s="113" t="str">
        <f>Bangla!F18</f>
        <v/>
      </c>
      <c r="Z18" s="113" t="str">
        <f>English!E18</f>
        <v/>
      </c>
      <c r="AA18" s="113" t="str">
        <f>ICT!G18</f>
        <v/>
      </c>
      <c r="AB18" s="113" t="str">
        <f>Accounting!F18</f>
        <v/>
      </c>
      <c r="AC18" s="113" t="str">
        <f>'Business Organization'!F18</f>
        <v/>
      </c>
      <c r="AD18" s="113" t="str">
        <f>IF(SubjectList!G18="Finance",IF(Finance!F18=0,"", Finance!F18),IF(SubjectList!G18="Production",IF(Production!F18=0,"", Production!F18),IF(SubjectList!G18="Economics",IF(Economics!D18=0,"", Economics!D18))))</f>
        <v/>
      </c>
      <c r="AE18" s="113" t="str">
        <f>IF(SubjectList!H18="Finance",IF(Finance!F18=0,"", Finance!F18),IF(SubjectList!H18="Production",IF(Production!F18=0,"", Production!F18),IF(SubjectList!H18="Economics",IF(Economics!F18=0,"", Economics!F18))))</f>
        <v/>
      </c>
      <c r="AF18" s="122" t="str">
        <f>Bangla!G18</f>
        <v/>
      </c>
      <c r="AG18" s="122" t="str">
        <f>English!F18</f>
        <v/>
      </c>
      <c r="AH18" s="120" t="str">
        <f>ICT!H18</f>
        <v/>
      </c>
      <c r="AI18" s="120" t="str">
        <f>Accounting!G18</f>
        <v/>
      </c>
      <c r="AJ18" s="120" t="str">
        <f>'Business Organization'!G18</f>
        <v/>
      </c>
      <c r="AK18" s="120" t="str">
        <f>IF(SubjectList!G18="Finance",Finance!G18,IF(SubjectList!G18="Production",Production!G18,IF(SubjectList!G18="Economics",Economics!G18)))</f>
        <v/>
      </c>
      <c r="AL18" s="120" t="str">
        <f>IF(Optional!H18=0,"", Optional!H18)</f>
        <v/>
      </c>
      <c r="AM18" s="120" t="str">
        <f>Optional!H18</f>
        <v/>
      </c>
      <c r="AN18" s="120" t="str">
        <f>Optional!I18</f>
        <v/>
      </c>
      <c r="AO18" s="120" t="str">
        <f t="shared" si="0"/>
        <v/>
      </c>
      <c r="AP18" s="120">
        <f t="shared" si="1"/>
        <v>0</v>
      </c>
      <c r="AQ18" s="116" t="str">
        <f t="shared" si="2"/>
        <v/>
      </c>
      <c r="AR18" s="116" t="str">
        <f t="shared" si="3"/>
        <v/>
      </c>
      <c r="AS18" s="117">
        <f t="shared" si="4"/>
        <v>0</v>
      </c>
      <c r="AT18" s="118">
        <f t="shared" si="5"/>
        <v>0</v>
      </c>
      <c r="AU18" s="118">
        <f t="shared" si="6"/>
        <v>0</v>
      </c>
      <c r="AV18" s="118">
        <f t="shared" si="7"/>
        <v>0</v>
      </c>
      <c r="AW18" s="118">
        <f t="shared" si="8"/>
        <v>0</v>
      </c>
      <c r="AX18" s="118">
        <f t="shared" si="9"/>
        <v>0</v>
      </c>
      <c r="AY18" s="118">
        <f t="shared" si="10"/>
        <v>0</v>
      </c>
      <c r="AZ18" s="111">
        <f t="shared" si="11"/>
        <v>0</v>
      </c>
      <c r="BA18" s="111" t="str">
        <f t="shared" si="12"/>
        <v>F6</v>
      </c>
      <c r="BB18" s="117" t="str">
        <f>IF(AR18="","",RANK(AR18,AR$2:AR145,0))</f>
        <v/>
      </c>
      <c r="BC18" s="111" t="str">
        <f t="shared" si="13"/>
        <v/>
      </c>
    </row>
    <row r="19" spans="1:55" x14ac:dyDescent="0.35">
      <c r="A19" s="113">
        <f>'Student Basic Info'!A19</f>
        <v>518</v>
      </c>
      <c r="B19" s="113" t="str">
        <f>'Student Basic Info'!C19</f>
        <v>Mowasser Hosain</v>
      </c>
      <c r="C19" s="121" t="str">
        <f>IF(Bangla!B19="","",Bangla!B19)</f>
        <v/>
      </c>
      <c r="D19" s="121" t="str">
        <f>IF(Bangla!C19="","",Bangla!C19)</f>
        <v/>
      </c>
      <c r="E19" s="112" t="str">
        <f>IF(Bangla!D19="","",Bangla!D19)</f>
        <v/>
      </c>
      <c r="F19" s="112" t="str">
        <f>IF(English!C19="","",English!C19)</f>
        <v/>
      </c>
      <c r="G19" s="113" t="str">
        <f>IF(ICT!B19="","",ICT!B19)</f>
        <v/>
      </c>
      <c r="H19" s="113" t="str">
        <f>IF(ICT!C19="","",ICT!C19)</f>
        <v/>
      </c>
      <c r="I19" s="113" t="str">
        <f>IF(ICT!D19="","",ICT!D19)</f>
        <v/>
      </c>
      <c r="J19" s="114" t="str">
        <f>IF(ICT!E19="","",ICT!E19)</f>
        <v/>
      </c>
      <c r="K19" s="113" t="str">
        <f>IF(Accounting!B19="","",Accounting!B19)</f>
        <v/>
      </c>
      <c r="L19" s="113" t="str">
        <f>IF(Accounting!C19="","",Accounting!C19)</f>
        <v/>
      </c>
      <c r="M19" s="114" t="str">
        <f>IF(Accounting!D19="","",Accounting!D19)</f>
        <v/>
      </c>
      <c r="N19" s="113" t="str">
        <f>IF('Business Organization'!B19="","",'Business Organization'!B19)</f>
        <v/>
      </c>
      <c r="O19" s="113" t="str">
        <f>IF('Business Organization'!C19="","",'Business Organization'!C19)</f>
        <v/>
      </c>
      <c r="P19" s="114" t="str">
        <f>IF('Business Organization'!D19="","",'Business Organization'!D19)</f>
        <v/>
      </c>
      <c r="Q19" s="113" t="str">
        <f>IF(SubjectList!G19="Finance",IF(Finance!B19=0,"", Finance!B19),IF(SubjectList!G19="Production",IF(Production!B19=0,"", Production!B19),IF(SubjectList!G19="Economics",IF(Economics!B19=0,"", Economics!B19))))</f>
        <v/>
      </c>
      <c r="R19" s="113" t="str">
        <f>IF(SubjectList!G19="Finance",IF(Finance!C19=0,"", Finance!C19),IF(SubjectList!G19="Production",IF(Production!C19=0,"", Production!C19),IF(SubjectList!G19="Economics",IF(Economics!C19=0,"", Economics!C19))))</f>
        <v/>
      </c>
      <c r="S19" s="114" t="str">
        <f>IF(SubjectList!G19="Finance",IF(Finance!D19=0,"", Finance!D19),IF(SubjectList!G19="Production",IF(Production!D19=0,"", Production!D19),IF(SubjectList!G19="Economics",IF(Economics!D19=0,"", Economics!D19))))</f>
        <v/>
      </c>
      <c r="T19" s="113" t="str">
        <f>IF(SubjectList!H19="Finance",IF(Finance!B19=0,"", Finance!B19),IF(SubjectList!H19="Production",IF(Production!B19=0,"", Production!B19),IF(SubjectList!H19="Economics",IF(Economics!B19=0,"", Economics!B19))))</f>
        <v/>
      </c>
      <c r="U19" s="113" t="str">
        <f>IF(SubjectList!H19="Finance",IF(Finance!C19=0,"", Finance!C19),IF(SubjectList!H19="Production",IF(Production!C19=0,"", Production!C19),IF(SubjectList!H19="Economics",IF(Economics!C19=0,"", Economics!C19))))</f>
        <v/>
      </c>
      <c r="V19" s="114" t="str">
        <f>IF(SubjectList!H19="Finance",IF(Finance!D19=0,"", Finance!D19),IF(SubjectList!H19="Production",IF(Production!D19=0,"", Production!D19),IF(SubjectList!H19="Economics",IF(Economics!D19=0,"", Economics!D19))))</f>
        <v/>
      </c>
      <c r="W19" s="115" t="str">
        <f>IF(SubjectList!G19="Finance","Finance",IF(SubjectList!G19="Production","Production",IF(SubjectList!G19="Economics","Not Given")))</f>
        <v>Finance</v>
      </c>
      <c r="X19" s="115" t="str">
        <f>IF(SubjectList!H19="Finance","Finance",IF(SubjectList!H19="Production","Production",IF(SubjectList!H19="Economics","Economics","Not Given")))</f>
        <v>Production</v>
      </c>
      <c r="Y19" s="113" t="str">
        <f>Bangla!F19</f>
        <v/>
      </c>
      <c r="Z19" s="113" t="str">
        <f>English!E19</f>
        <v/>
      </c>
      <c r="AA19" s="113" t="str">
        <f>ICT!G19</f>
        <v/>
      </c>
      <c r="AB19" s="113" t="str">
        <f>Accounting!F19</f>
        <v/>
      </c>
      <c r="AC19" s="113" t="str">
        <f>'Business Organization'!F19</f>
        <v/>
      </c>
      <c r="AD19" s="113" t="str">
        <f>IF(SubjectList!G19="Finance",IF(Finance!F19=0,"", Finance!F19),IF(SubjectList!G19="Production",IF(Production!F19=0,"", Production!F19),IF(SubjectList!G19="Economics",IF(Economics!D19=0,"", Economics!D19))))</f>
        <v/>
      </c>
      <c r="AE19" s="113" t="str">
        <f>IF(SubjectList!H19="Finance",IF(Finance!F19=0,"", Finance!F19),IF(SubjectList!H19="Production",IF(Production!F19=0,"", Production!F19),IF(SubjectList!H19="Economics",IF(Economics!F19=0,"", Economics!F19))))</f>
        <v/>
      </c>
      <c r="AF19" s="122" t="str">
        <f>Bangla!G19</f>
        <v/>
      </c>
      <c r="AG19" s="122" t="str">
        <f>English!F19</f>
        <v/>
      </c>
      <c r="AH19" s="120" t="str">
        <f>ICT!H19</f>
        <v/>
      </c>
      <c r="AI19" s="120" t="str">
        <f>Accounting!G19</f>
        <v/>
      </c>
      <c r="AJ19" s="120" t="str">
        <f>'Business Organization'!G19</f>
        <v/>
      </c>
      <c r="AK19" s="120" t="str">
        <f>IF(SubjectList!G19="Finance",Finance!G19,IF(SubjectList!G19="Production",Production!G19,IF(SubjectList!G19="Economics",Economics!G19)))</f>
        <v/>
      </c>
      <c r="AL19" s="120" t="str">
        <f>IF(Optional!H19=0,"", Optional!H19)</f>
        <v/>
      </c>
      <c r="AM19" s="120" t="str">
        <f>Optional!H19</f>
        <v/>
      </c>
      <c r="AN19" s="120" t="str">
        <f>Optional!I19</f>
        <v/>
      </c>
      <c r="AO19" s="120" t="str">
        <f t="shared" si="0"/>
        <v/>
      </c>
      <c r="AP19" s="120">
        <f t="shared" si="1"/>
        <v>0</v>
      </c>
      <c r="AQ19" s="116" t="str">
        <f t="shared" si="2"/>
        <v/>
      </c>
      <c r="AR19" s="116" t="str">
        <f t="shared" si="3"/>
        <v/>
      </c>
      <c r="AS19" s="117">
        <f t="shared" si="4"/>
        <v>0</v>
      </c>
      <c r="AT19" s="118">
        <f t="shared" si="5"/>
        <v>0</v>
      </c>
      <c r="AU19" s="118">
        <f t="shared" si="6"/>
        <v>0</v>
      </c>
      <c r="AV19" s="118">
        <f t="shared" si="7"/>
        <v>0</v>
      </c>
      <c r="AW19" s="118">
        <f t="shared" si="8"/>
        <v>0</v>
      </c>
      <c r="AX19" s="118">
        <f t="shared" si="9"/>
        <v>0</v>
      </c>
      <c r="AY19" s="118">
        <f t="shared" si="10"/>
        <v>0</v>
      </c>
      <c r="AZ19" s="111">
        <f t="shared" si="11"/>
        <v>0</v>
      </c>
      <c r="BA19" s="111" t="str">
        <f t="shared" si="12"/>
        <v>F6</v>
      </c>
      <c r="BB19" s="117" t="str">
        <f>IF(AR19="","",RANK(AR19,AR$2:AR145,0))</f>
        <v/>
      </c>
      <c r="BC19" s="111" t="str">
        <f t="shared" si="13"/>
        <v/>
      </c>
    </row>
    <row r="20" spans="1:55" x14ac:dyDescent="0.35">
      <c r="A20" s="113">
        <f>'Student Basic Info'!A20</f>
        <v>519</v>
      </c>
      <c r="B20" s="113" t="str">
        <f>'Student Basic Info'!C20</f>
        <v>Tanvir</v>
      </c>
      <c r="C20" s="121" t="str">
        <f>IF(Bangla!B20="","",Bangla!B20)</f>
        <v/>
      </c>
      <c r="D20" s="121">
        <f>IF(Bangla!C20="","",Bangla!C20)</f>
        <v>37</v>
      </c>
      <c r="E20" s="112">
        <f>IF(Bangla!D20="","",Bangla!D20)</f>
        <v>37</v>
      </c>
      <c r="F20" s="112">
        <f>IF(English!C20="","",English!C20)</f>
        <v>37</v>
      </c>
      <c r="G20" s="113">
        <f>IF(ICT!B20="","",ICT!B20)</f>
        <v>15</v>
      </c>
      <c r="H20" s="113">
        <f>IF(ICT!C20="","",ICT!C20)</f>
        <v>17</v>
      </c>
      <c r="I20" s="113">
        <f>IF(ICT!D20="","",ICT!D20)</f>
        <v>23</v>
      </c>
      <c r="J20" s="114">
        <f>IF(ICT!E20="","",ICT!E20)</f>
        <v>55</v>
      </c>
      <c r="K20" s="113">
        <f>IF(Accounting!B20="","",Accounting!B20)</f>
        <v>11</v>
      </c>
      <c r="L20" s="113">
        <f>IF(Accounting!C20="","",Accounting!C20)</f>
        <v>40</v>
      </c>
      <c r="M20" s="114">
        <f>IF(Accounting!D20="","",Accounting!D20)</f>
        <v>51</v>
      </c>
      <c r="N20" s="113">
        <f>IF('Business Organization'!B20="","",'Business Organization'!B20)</f>
        <v>22</v>
      </c>
      <c r="O20" s="113">
        <f>IF('Business Organization'!C20="","",'Business Organization'!C20)</f>
        <v>32</v>
      </c>
      <c r="P20" s="114">
        <f>IF('Business Organization'!D20="","",'Business Organization'!D20)</f>
        <v>54</v>
      </c>
      <c r="Q20" s="113">
        <f>IF(SubjectList!G20="Finance",IF(Finance!B20=0,"", Finance!B20),IF(SubjectList!G20="Production",IF(Production!B20=0,"", Production!B20),IF(SubjectList!G20="Economics",IF(Economics!B20=0,"", Economics!B20))))</f>
        <v>13</v>
      </c>
      <c r="R20" s="113">
        <f>IF(SubjectList!G20="Finance",IF(Finance!C20=0,"", Finance!C20),IF(SubjectList!G20="Production",IF(Production!C20=0,"", Production!C20),IF(SubjectList!G20="Economics",IF(Economics!C20=0,"", Economics!C20))))</f>
        <v>12</v>
      </c>
      <c r="S20" s="114">
        <f>IF(SubjectList!G20="Finance",IF(Finance!D20=0,"", Finance!D20),IF(SubjectList!G20="Production",IF(Production!D20=0,"", Production!D20),IF(SubjectList!G20="Economics",IF(Economics!D20=0,"", Economics!D20))))</f>
        <v>25</v>
      </c>
      <c r="T20" s="113">
        <f>IF(SubjectList!H20="Finance",IF(Finance!B20=0,"", Finance!B20),IF(SubjectList!H20="Production",IF(Production!B20=0,"", Production!B20),IF(SubjectList!H20="Economics",IF(Economics!B20=0,"", Economics!B20))))</f>
        <v>10</v>
      </c>
      <c r="U20" s="113">
        <f>IF(SubjectList!H20="Finance",IF(Finance!C20=0,"", Finance!C20),IF(SubjectList!H20="Production",IF(Production!C20=0,"", Production!C20),IF(SubjectList!H20="Economics",IF(Economics!C20=0,"", Economics!C20))))</f>
        <v>37</v>
      </c>
      <c r="V20" s="114">
        <f>IF(SubjectList!H20="Finance",IF(Finance!D20=0,"", Finance!D20),IF(SubjectList!H20="Production",IF(Production!D20=0,"", Production!D20),IF(SubjectList!H20="Economics",IF(Economics!D20=0,"", Economics!D20))))</f>
        <v>47</v>
      </c>
      <c r="W20" s="115" t="str">
        <f>IF(SubjectList!G20="Finance","Finance",IF(SubjectList!G20="Production","Production",IF(SubjectList!G20="Economics","Not Given")))</f>
        <v>Finance</v>
      </c>
      <c r="X20" s="115" t="str">
        <f>IF(SubjectList!H20="Finance","Finance",IF(SubjectList!H20="Production","Production",IF(SubjectList!H20="Economics","Economics","Not Given")))</f>
        <v>Economics</v>
      </c>
      <c r="Y20" s="113" t="str">
        <f>Bangla!F20</f>
        <v>D</v>
      </c>
      <c r="Z20" s="113" t="str">
        <f>English!E20</f>
        <v>D</v>
      </c>
      <c r="AA20" s="113" t="str">
        <f>ICT!G20</f>
        <v>B</v>
      </c>
      <c r="AB20" s="113" t="str">
        <f>Accounting!F20</f>
        <v>B</v>
      </c>
      <c r="AC20" s="113" t="str">
        <f>'Business Organization'!F20</f>
        <v>B</v>
      </c>
      <c r="AD20" s="113" t="str">
        <f>IF(SubjectList!G20="Finance",IF(Finance!F20=0,"", Finance!F20),IF(SubjectList!G20="Production",IF(Production!F20=0,"", Production!F20),IF(SubjectList!G20="Economics",IF(Economics!D20=0,"", Economics!D20))))</f>
        <v>F</v>
      </c>
      <c r="AE20" s="113" t="str">
        <f>Finance!F20</f>
        <v>F</v>
      </c>
      <c r="AF20" s="122">
        <f>Bangla!G20</f>
        <v>1</v>
      </c>
      <c r="AG20" s="122">
        <f>English!F20</f>
        <v>1</v>
      </c>
      <c r="AH20" s="120">
        <f>ICT!H20</f>
        <v>3</v>
      </c>
      <c r="AI20" s="120">
        <f>Accounting!G20</f>
        <v>3</v>
      </c>
      <c r="AJ20" s="120">
        <f>'Business Organization'!G20</f>
        <v>3</v>
      </c>
      <c r="AK20" s="120">
        <f>IF(SubjectList!G20="Finance",Finance!G20,IF(SubjectList!G20="Production",Production!G20,IF(SubjectList!G20="Economics",Economics!G20)))</f>
        <v>0</v>
      </c>
      <c r="AL20" s="120">
        <f>Finance!G20</f>
        <v>0</v>
      </c>
      <c r="AM20" s="120">
        <f>Optional!H20</f>
        <v>2</v>
      </c>
      <c r="AN20" s="120">
        <f>Optional!I20</f>
        <v>0</v>
      </c>
      <c r="AO20" s="120">
        <f t="shared" si="0"/>
        <v>11</v>
      </c>
      <c r="AP20" s="120">
        <f t="shared" si="1"/>
        <v>11</v>
      </c>
      <c r="AQ20" s="116" t="str">
        <f t="shared" si="2"/>
        <v/>
      </c>
      <c r="AR20" s="116" t="str">
        <f t="shared" si="3"/>
        <v/>
      </c>
      <c r="AS20" s="117">
        <f t="shared" si="4"/>
        <v>306</v>
      </c>
      <c r="AT20" s="118">
        <f t="shared" si="5"/>
        <v>1</v>
      </c>
      <c r="AU20" s="118">
        <f t="shared" si="6"/>
        <v>1</v>
      </c>
      <c r="AV20" s="118">
        <f t="shared" si="7"/>
        <v>1</v>
      </c>
      <c r="AW20" s="118">
        <f t="shared" si="8"/>
        <v>1</v>
      </c>
      <c r="AX20" s="118">
        <f t="shared" si="9"/>
        <v>1</v>
      </c>
      <c r="AY20" s="118">
        <f t="shared" si="10"/>
        <v>0</v>
      </c>
      <c r="AZ20" s="111">
        <f t="shared" si="11"/>
        <v>5</v>
      </c>
      <c r="BA20" s="111" t="str">
        <f t="shared" si="12"/>
        <v>F1</v>
      </c>
      <c r="BB20" s="117" t="str">
        <f>IF(AR20="","",RANK(AR20,AR$2:AR145,0))</f>
        <v/>
      </c>
      <c r="BC20" s="111" t="str">
        <f t="shared" si="13"/>
        <v/>
      </c>
    </row>
    <row r="21" spans="1:55" x14ac:dyDescent="0.35">
      <c r="A21" s="113">
        <f>'Student Basic Info'!A21</f>
        <v>520</v>
      </c>
      <c r="B21" s="113" t="str">
        <f>'Student Basic Info'!C21</f>
        <v>Md. Shakib</v>
      </c>
      <c r="C21" s="121" t="str">
        <f>IF(Bangla!B21="","",Bangla!B21)</f>
        <v/>
      </c>
      <c r="D21" s="121">
        <f>IF(Bangla!C21="","",Bangla!C21)</f>
        <v>25</v>
      </c>
      <c r="E21" s="112">
        <f>IF(Bangla!D21="","",Bangla!D21)</f>
        <v>25</v>
      </c>
      <c r="F21" s="112">
        <f>IF(English!C21="","",English!C21)</f>
        <v>16</v>
      </c>
      <c r="G21" s="113">
        <f>IF(ICT!B21="","",ICT!B21)</f>
        <v>14</v>
      </c>
      <c r="H21" s="113">
        <f>IF(ICT!C21="","",ICT!C21)</f>
        <v>2</v>
      </c>
      <c r="I21" s="113">
        <f>IF(ICT!D21="","",ICT!D21)</f>
        <v>24</v>
      </c>
      <c r="J21" s="114">
        <f>IF(ICT!E21="","",ICT!E21)</f>
        <v>40</v>
      </c>
      <c r="K21" s="113">
        <f>IF(Accounting!B21="","",Accounting!B21)</f>
        <v>10</v>
      </c>
      <c r="L21" s="113">
        <f>IF(Accounting!C21="","",Accounting!C21)</f>
        <v>8</v>
      </c>
      <c r="M21" s="114">
        <f>IF(Accounting!D21="","",Accounting!D21)</f>
        <v>18</v>
      </c>
      <c r="N21" s="113">
        <f>IF('Business Organization'!B21="","",'Business Organization'!B21)</f>
        <v>15</v>
      </c>
      <c r="O21" s="113">
        <f>IF('Business Organization'!C21="","",'Business Organization'!C21)</f>
        <v>4</v>
      </c>
      <c r="P21" s="114">
        <f>IF('Business Organization'!D21="","",'Business Organization'!D21)</f>
        <v>19</v>
      </c>
      <c r="Q21" s="113">
        <f>IF(SubjectList!G21="Finance",IF(Finance!B21=0,"", Finance!B21),IF(SubjectList!G21="Production",IF(Production!B21=0,"", Production!B21),IF(SubjectList!G21="Economics",IF(Economics!B21=0,"", Economics!B21))))</f>
        <v>11</v>
      </c>
      <c r="R21" s="113">
        <f>IF(SubjectList!G21="Finance",IF(Finance!C21=0,"", Finance!C21),IF(SubjectList!G21="Production",IF(Production!C21=0,"", Production!C21),IF(SubjectList!G21="Economics",IF(Economics!C21=0,"", Economics!C21))))</f>
        <v>25</v>
      </c>
      <c r="S21" s="114">
        <f>IF(SubjectList!G21="Finance",IF(Finance!D21=0,"", Finance!D21),IF(SubjectList!G21="Production",IF(Production!D21=0,"", Production!D21),IF(SubjectList!G21="Economics",IF(Economics!D21=0,"", Economics!D21))))</f>
        <v>36</v>
      </c>
      <c r="T21" s="113">
        <f>IF(SubjectList!H21="Finance",IF(Finance!B21=0,"", Finance!B21),IF(SubjectList!H21="Production",IF(Production!B21=0,"", Production!B21),IF(SubjectList!H21="Economics",IF(Economics!B21=0,"", Economics!B21))))</f>
        <v>6</v>
      </c>
      <c r="U21" s="113">
        <f>IF(SubjectList!H21="Finance",IF(Finance!C21=0,"", Finance!C21),IF(SubjectList!H21="Production",IF(Production!C21=0,"", Production!C21),IF(SubjectList!H21="Economics",IF(Economics!C21=0,"", Economics!C21))))</f>
        <v>6</v>
      </c>
      <c r="V21" s="114">
        <f>IF(SubjectList!H21="Finance",IF(Finance!D21=0,"", Finance!D21),IF(SubjectList!H21="Production",IF(Production!D21=0,"", Production!D21),IF(SubjectList!H21="Economics",IF(Economics!D21=0,"", Economics!D21))))</f>
        <v>12</v>
      </c>
      <c r="W21" s="115" t="str">
        <f>IF(SubjectList!G21="Finance","Finance",IF(SubjectList!G21="Production","Production",IF(SubjectList!G21="Economics","Not Given")))</f>
        <v>Production</v>
      </c>
      <c r="X21" s="115" t="str">
        <f>IF(SubjectList!H21="Finance","Finance",IF(SubjectList!H21="Production","Production",IF(SubjectList!H21="Economics","Economics","Not Given")))</f>
        <v>Finance</v>
      </c>
      <c r="Y21" s="113" t="str">
        <f>Bangla!F21</f>
        <v>F</v>
      </c>
      <c r="Z21" s="113" t="str">
        <f>English!E21</f>
        <v>F</v>
      </c>
      <c r="AA21" s="113" t="str">
        <f>ICT!G21</f>
        <v>F</v>
      </c>
      <c r="AB21" s="113" t="str">
        <f>Accounting!F21</f>
        <v>F</v>
      </c>
      <c r="AC21" s="113" t="str">
        <f>'Business Organization'!F21</f>
        <v>F</v>
      </c>
      <c r="AD21" s="113" t="str">
        <f>Production!F21</f>
        <v>D</v>
      </c>
      <c r="AE21" s="113" t="str">
        <f>Finance!F21</f>
        <v>F</v>
      </c>
      <c r="AF21" s="122">
        <f>Bangla!G21</f>
        <v>0</v>
      </c>
      <c r="AG21" s="122">
        <f>English!F21</f>
        <v>0</v>
      </c>
      <c r="AH21" s="120">
        <f>ICT!H21</f>
        <v>0</v>
      </c>
      <c r="AI21" s="120">
        <f>Accounting!G21</f>
        <v>0</v>
      </c>
      <c r="AJ21" s="120">
        <f>'Business Organization'!G21</f>
        <v>0</v>
      </c>
      <c r="AK21" s="120">
        <f>IF(SubjectList!G21="Finance",Finance!G21,IF(SubjectList!G21="Production",Production!G21,IF(SubjectList!G21="Economics",Economics!G21)))</f>
        <v>1</v>
      </c>
      <c r="AL21" s="120">
        <f>Finance!G21</f>
        <v>0</v>
      </c>
      <c r="AM21" s="120">
        <f>Optional!H21</f>
        <v>0</v>
      </c>
      <c r="AN21" s="120">
        <f>Optional!I21</f>
        <v>0</v>
      </c>
      <c r="AO21" s="120">
        <f t="shared" si="0"/>
        <v>1</v>
      </c>
      <c r="AP21" s="120">
        <f t="shared" si="1"/>
        <v>1</v>
      </c>
      <c r="AQ21" s="116" t="str">
        <f t="shared" si="2"/>
        <v/>
      </c>
      <c r="AR21" s="116" t="str">
        <f t="shared" si="3"/>
        <v/>
      </c>
      <c r="AS21" s="117">
        <f t="shared" si="4"/>
        <v>166</v>
      </c>
      <c r="AT21" s="118">
        <f t="shared" si="5"/>
        <v>0</v>
      </c>
      <c r="AU21" s="118">
        <f t="shared" si="6"/>
        <v>0</v>
      </c>
      <c r="AV21" s="118">
        <f t="shared" si="7"/>
        <v>0</v>
      </c>
      <c r="AW21" s="118">
        <f t="shared" si="8"/>
        <v>0</v>
      </c>
      <c r="AX21" s="118">
        <f t="shared" si="9"/>
        <v>0</v>
      </c>
      <c r="AY21" s="118">
        <f t="shared" si="10"/>
        <v>1</v>
      </c>
      <c r="AZ21" s="111">
        <f t="shared" si="11"/>
        <v>1</v>
      </c>
      <c r="BA21" s="111" t="str">
        <f t="shared" si="12"/>
        <v>F5</v>
      </c>
      <c r="BB21" s="117" t="str">
        <f>IF(AR21="","",RANK(AR21,AR$2:AR145,0))</f>
        <v/>
      </c>
      <c r="BC21" s="111" t="str">
        <f t="shared" si="13"/>
        <v/>
      </c>
    </row>
    <row r="22" spans="1:55" x14ac:dyDescent="0.35">
      <c r="A22" s="113">
        <f>'Student Basic Info'!A22</f>
        <v>521</v>
      </c>
      <c r="B22" s="113" t="str">
        <f>'Student Basic Info'!C22</f>
        <v>Farzana Aktar Zitu</v>
      </c>
      <c r="C22" s="121" t="str">
        <f>IF(Bangla!B22="","",Bangla!B22)</f>
        <v/>
      </c>
      <c r="D22" s="121" t="str">
        <f>IF(Bangla!C22="","",Bangla!C22)</f>
        <v/>
      </c>
      <c r="E22" s="112" t="str">
        <f>IF(Bangla!D22="","",Bangla!D22)</f>
        <v/>
      </c>
      <c r="F22" s="112" t="str">
        <f>IF(English!C22="","",English!C22)</f>
        <v/>
      </c>
      <c r="G22" s="113" t="str">
        <f>IF(ICT!B22="","",ICT!B22)</f>
        <v/>
      </c>
      <c r="H22" s="113" t="str">
        <f>IF(ICT!C22="","",ICT!C22)</f>
        <v/>
      </c>
      <c r="I22" s="113" t="str">
        <f>IF(ICT!D22="","",ICT!D22)</f>
        <v/>
      </c>
      <c r="J22" s="114" t="str">
        <f>IF(ICT!E22="","",ICT!E22)</f>
        <v/>
      </c>
      <c r="K22" s="113" t="str">
        <f>IF(Accounting!B22="","",Accounting!B22)</f>
        <v/>
      </c>
      <c r="L22" s="113" t="str">
        <f>IF(Accounting!C22="","",Accounting!C22)</f>
        <v/>
      </c>
      <c r="M22" s="114" t="str">
        <f>IF(Accounting!D22="","",Accounting!D22)</f>
        <v/>
      </c>
      <c r="N22" s="113" t="str">
        <f>IF('Business Organization'!B22="","",'Business Organization'!B22)</f>
        <v/>
      </c>
      <c r="O22" s="113" t="str">
        <f>IF('Business Organization'!C22="","",'Business Organization'!C22)</f>
        <v/>
      </c>
      <c r="P22" s="114" t="str">
        <f>IF('Business Organization'!D22="","",'Business Organization'!D22)</f>
        <v/>
      </c>
      <c r="Q22" s="113" t="str">
        <f>IF(SubjectList!G22="Finance",IF(Finance!B22=0,"", Finance!B22),IF(SubjectList!G22="Production",IF(Production!B22=0,"", Production!B22),IF(SubjectList!G22="Economics",IF(Economics!B22=0,"", Economics!B22))))</f>
        <v/>
      </c>
      <c r="R22" s="113" t="str">
        <f>IF(SubjectList!G22="Finance",IF(Finance!C22=0,"", Finance!C22),IF(SubjectList!G22="Production",IF(Production!C22=0,"", Production!C22),IF(SubjectList!G22="Economics",IF(Economics!C22=0,"", Economics!C22))))</f>
        <v/>
      </c>
      <c r="S22" s="114" t="str">
        <f>IF(SubjectList!G22="Finance",IF(Finance!D22=0,"", Finance!D22),IF(SubjectList!G22="Production",IF(Production!D22=0,"", Production!D22),IF(SubjectList!G22="Economics",IF(Economics!D22=0,"", Economics!D22))))</f>
        <v/>
      </c>
      <c r="T22" s="113" t="str">
        <f>IF(SubjectList!H22="Finance",IF(Finance!B22=0,"", Finance!B22),IF(SubjectList!H22="Production",IF(Production!B22=0,"", Production!B22),IF(SubjectList!H22="Economics",IF(Economics!B22=0,"", Economics!B22))))</f>
        <v/>
      </c>
      <c r="U22" s="113" t="str">
        <f>IF(SubjectList!H22="Finance",IF(Finance!C22=0,"", Finance!C22),IF(SubjectList!H22="Production",IF(Production!C22=0,"", Production!C22),IF(SubjectList!H22="Economics",IF(Economics!C22=0,"", Economics!C22))))</f>
        <v/>
      </c>
      <c r="V22" s="114" t="str">
        <f>IF(SubjectList!H22="Finance",IF(Finance!D22=0,"", Finance!D22),IF(SubjectList!H22="Production",IF(Production!D22=0,"", Production!D22),IF(SubjectList!H22="Economics",IF(Economics!D22=0,"", Economics!D22))))</f>
        <v/>
      </c>
      <c r="W22" s="115" t="str">
        <f>IF(SubjectList!G22="Finance","Finance",IF(SubjectList!G22="Production","Production",IF(SubjectList!G22="Economics","Not Given")))</f>
        <v>Finance</v>
      </c>
      <c r="X22" s="115" t="str">
        <f>IF(SubjectList!H22="Finance","Finance",IF(SubjectList!H22="Production","Production",IF(SubjectList!H22="Economics","Economics","Not Given")))</f>
        <v>Production</v>
      </c>
      <c r="Y22" s="113" t="str">
        <f>Bangla!F22</f>
        <v/>
      </c>
      <c r="Z22" s="113" t="str">
        <f>English!E22</f>
        <v/>
      </c>
      <c r="AA22" s="113" t="str">
        <f>ICT!G22</f>
        <v/>
      </c>
      <c r="AB22" s="113" t="str">
        <f>Accounting!F22</f>
        <v/>
      </c>
      <c r="AC22" s="113" t="str">
        <f>'Business Organization'!F22</f>
        <v/>
      </c>
      <c r="AD22" s="113" t="str">
        <f>Production!F22</f>
        <v/>
      </c>
      <c r="AE22" s="113" t="str">
        <f>Finance!F22</f>
        <v/>
      </c>
      <c r="AF22" s="122" t="str">
        <f>Bangla!G22</f>
        <v/>
      </c>
      <c r="AG22" s="122" t="str">
        <f>English!F22</f>
        <v/>
      </c>
      <c r="AH22" s="120" t="str">
        <f>ICT!H22</f>
        <v/>
      </c>
      <c r="AI22" s="120" t="str">
        <f>Accounting!G22</f>
        <v/>
      </c>
      <c r="AJ22" s="120" t="str">
        <f>'Business Organization'!G22</f>
        <v/>
      </c>
      <c r="AK22" s="120" t="str">
        <f>IF(SubjectList!G22="Finance",Finance!G22,IF(SubjectList!G22="Production",Production!G22,IF(SubjectList!G22="Economics",Economics!G22)))</f>
        <v/>
      </c>
      <c r="AL22" s="120" t="str">
        <f>Finance!G22</f>
        <v/>
      </c>
      <c r="AM22" s="120" t="str">
        <f>Optional!H22</f>
        <v/>
      </c>
      <c r="AN22" s="120" t="str">
        <f>Optional!I22</f>
        <v/>
      </c>
      <c r="AO22" s="120" t="str">
        <f t="shared" si="0"/>
        <v/>
      </c>
      <c r="AP22" s="120">
        <f t="shared" si="1"/>
        <v>0</v>
      </c>
      <c r="AQ22" s="116" t="str">
        <f t="shared" si="2"/>
        <v/>
      </c>
      <c r="AR22" s="116" t="str">
        <f t="shared" si="3"/>
        <v/>
      </c>
      <c r="AS22" s="117">
        <f t="shared" si="4"/>
        <v>0</v>
      </c>
      <c r="AT22" s="118">
        <f t="shared" si="5"/>
        <v>0</v>
      </c>
      <c r="AU22" s="118">
        <f t="shared" si="6"/>
        <v>0</v>
      </c>
      <c r="AV22" s="118">
        <f t="shared" si="7"/>
        <v>0</v>
      </c>
      <c r="AW22" s="118">
        <f t="shared" si="8"/>
        <v>0</v>
      </c>
      <c r="AX22" s="118">
        <f t="shared" si="9"/>
        <v>0</v>
      </c>
      <c r="AY22" s="118">
        <f t="shared" si="10"/>
        <v>0</v>
      </c>
      <c r="AZ22" s="111">
        <f t="shared" si="11"/>
        <v>0</v>
      </c>
      <c r="BA22" s="111" t="str">
        <f t="shared" si="12"/>
        <v>F6</v>
      </c>
      <c r="BB22" s="117" t="str">
        <f>IF(AR22="","",RANK(AR22,AR$2:AR145,0))</f>
        <v/>
      </c>
      <c r="BC22" s="111" t="str">
        <f t="shared" si="13"/>
        <v/>
      </c>
    </row>
    <row r="23" spans="1:55" x14ac:dyDescent="0.35">
      <c r="A23" s="113">
        <f>'Student Basic Info'!A23</f>
        <v>522</v>
      </c>
      <c r="B23" s="113" t="str">
        <f>'Student Basic Info'!C23</f>
        <v>Sumaiya Ferdaus Neha</v>
      </c>
      <c r="C23" s="121" t="str">
        <f>IF(Bangla!B23="","",Bangla!B23)</f>
        <v/>
      </c>
      <c r="D23" s="121">
        <f>IF(Bangla!C23="","",Bangla!C23)</f>
        <v>64</v>
      </c>
      <c r="E23" s="112">
        <f>IF(Bangla!D23="","",Bangla!D23)</f>
        <v>64</v>
      </c>
      <c r="F23" s="112">
        <f>IF(English!C23="","",English!C23)</f>
        <v>54</v>
      </c>
      <c r="G23" s="113">
        <f>IF(ICT!B23="","",ICT!B23)</f>
        <v>19</v>
      </c>
      <c r="H23" s="113">
        <f>IF(ICT!C23="","",ICT!C23)</f>
        <v>40</v>
      </c>
      <c r="I23" s="113">
        <f>IF(ICT!D23="","",ICT!D23)</f>
        <v>24</v>
      </c>
      <c r="J23" s="114">
        <f>IF(ICT!E23="","",ICT!E23)</f>
        <v>83</v>
      </c>
      <c r="K23" s="113">
        <f>IF(Accounting!B23="","",Accounting!B23)</f>
        <v>15</v>
      </c>
      <c r="L23" s="113">
        <f>IF(Accounting!C23="","",Accounting!C23)</f>
        <v>45</v>
      </c>
      <c r="M23" s="114">
        <f>IF(Accounting!D23="","",Accounting!D23)</f>
        <v>60</v>
      </c>
      <c r="N23" s="113">
        <f>IF('Business Organization'!B23="","",'Business Organization'!B23)</f>
        <v>24</v>
      </c>
      <c r="O23" s="113">
        <f>IF('Business Organization'!C23="","",'Business Organization'!C23)</f>
        <v>47</v>
      </c>
      <c r="P23" s="114">
        <f>IF('Business Organization'!D23="","",'Business Organization'!D23)</f>
        <v>71</v>
      </c>
      <c r="Q23" s="113">
        <f>IF(SubjectList!G23="Finance",IF(Finance!B23=0,"", Finance!B23),IF(SubjectList!G23="Production",IF(Production!B23=0,"", Production!B23),IF(SubjectList!G23="Economics",IF(Economics!B23=0,"", Economics!B23))))</f>
        <v>18</v>
      </c>
      <c r="R23" s="113">
        <f>IF(SubjectList!G23="Finance",IF(Finance!C23=0,"", Finance!C23),IF(SubjectList!G23="Production",IF(Production!C23=0,"", Production!C23),IF(SubjectList!G23="Economics",IF(Economics!C23=0,"", Economics!C23))))</f>
        <v>44</v>
      </c>
      <c r="S23" s="114">
        <f>IF(SubjectList!G23="Finance",IF(Finance!D23=0,"", Finance!D23),IF(SubjectList!G23="Production",IF(Production!D23=0,"", Production!D23),IF(SubjectList!G23="Economics",IF(Economics!D23=0,"", Economics!D23))))</f>
        <v>62</v>
      </c>
      <c r="T23" s="113">
        <f>IF(SubjectList!H23="Finance",IF(Finance!B23=0,"", Finance!B23),IF(SubjectList!H23="Production",IF(Production!B23=0,"", Production!B23),IF(SubjectList!H23="Economics",IF(Economics!B23=0,"", Economics!B23))))</f>
        <v>23</v>
      </c>
      <c r="U23" s="113">
        <f>IF(SubjectList!H23="Finance",IF(Finance!C23=0,"", Finance!C23),IF(SubjectList!H23="Production",IF(Production!C23=0,"", Production!C23),IF(SubjectList!H23="Economics",IF(Economics!C23=0,"", Economics!C23))))</f>
        <v>57</v>
      </c>
      <c r="V23" s="114">
        <f>IF(SubjectList!H23="Finance",IF(Finance!D23=0,"", Finance!D23),IF(SubjectList!H23="Production",IF(Production!D23=0,"", Production!D23),IF(SubjectList!H23="Economics",IF(Economics!D23=0,"", Economics!D23))))</f>
        <v>80</v>
      </c>
      <c r="W23" s="115" t="str">
        <f>IF(SubjectList!G23="Finance","Finance",IF(SubjectList!G23="Production","Production",IF(SubjectList!G23="Economics","Not Given")))</f>
        <v>Finance</v>
      </c>
      <c r="X23" s="115" t="str">
        <f>IF(SubjectList!H23="Finance","Finance",IF(SubjectList!H23="Production","Production",IF(SubjectList!H23="Economics","Economics","Not Given")))</f>
        <v>Production</v>
      </c>
      <c r="Y23" s="113" t="str">
        <f>Bangla!F23</f>
        <v>A-</v>
      </c>
      <c r="Z23" s="113" t="str">
        <f>English!E23</f>
        <v>B</v>
      </c>
      <c r="AA23" s="113" t="str">
        <f>ICT!G23</f>
        <v>A+</v>
      </c>
      <c r="AB23" s="113" t="str">
        <f>Accounting!F23</f>
        <v>A-</v>
      </c>
      <c r="AC23" s="113" t="str">
        <f>'Business Organization'!F23</f>
        <v>A</v>
      </c>
      <c r="AD23" s="113" t="str">
        <f>Production!F23</f>
        <v>A+</v>
      </c>
      <c r="AE23" s="113" t="str">
        <f>Finance!F23</f>
        <v>A-</v>
      </c>
      <c r="AF23" s="122">
        <f>Bangla!G23</f>
        <v>3.5</v>
      </c>
      <c r="AG23" s="122">
        <f>English!F23</f>
        <v>3</v>
      </c>
      <c r="AH23" s="120">
        <f>ICT!H23</f>
        <v>5</v>
      </c>
      <c r="AI23" s="120">
        <f>Accounting!G23</f>
        <v>3.5</v>
      </c>
      <c r="AJ23" s="120">
        <f>'Business Organization'!G23</f>
        <v>4</v>
      </c>
      <c r="AK23" s="120">
        <f>IF(SubjectList!G23="Finance",Finance!G23,IF(SubjectList!G23="Production",Production!G23,IF(SubjectList!G23="Economics",Economics!G23)))</f>
        <v>3.5</v>
      </c>
      <c r="AL23" s="120">
        <f>Finance!G23</f>
        <v>3.5</v>
      </c>
      <c r="AM23" s="120">
        <f>Optional!H23</f>
        <v>5</v>
      </c>
      <c r="AN23" s="120">
        <f>Optional!I23</f>
        <v>3</v>
      </c>
      <c r="AO23" s="120">
        <f t="shared" si="0"/>
        <v>22.5</v>
      </c>
      <c r="AP23" s="120">
        <f t="shared" si="1"/>
        <v>25.5</v>
      </c>
      <c r="AQ23" s="116">
        <f t="shared" si="2"/>
        <v>3.75</v>
      </c>
      <c r="AR23" s="116">
        <f t="shared" si="3"/>
        <v>4.25</v>
      </c>
      <c r="AS23" s="117">
        <f t="shared" si="4"/>
        <v>474</v>
      </c>
      <c r="AT23" s="118">
        <f t="shared" si="5"/>
        <v>1</v>
      </c>
      <c r="AU23" s="118">
        <f t="shared" si="6"/>
        <v>1</v>
      </c>
      <c r="AV23" s="118">
        <f t="shared" si="7"/>
        <v>1</v>
      </c>
      <c r="AW23" s="118">
        <f t="shared" si="8"/>
        <v>1</v>
      </c>
      <c r="AX23" s="118">
        <f t="shared" si="9"/>
        <v>1</v>
      </c>
      <c r="AY23" s="118">
        <f t="shared" si="10"/>
        <v>1</v>
      </c>
      <c r="AZ23" s="111">
        <f t="shared" si="11"/>
        <v>6</v>
      </c>
      <c r="BA23" s="111" t="str">
        <f t="shared" si="12"/>
        <v>Pass</v>
      </c>
      <c r="BB23" s="117">
        <f>IF(AR23="","",RANK(AR23,AR$2:AR145,0))</f>
        <v>1</v>
      </c>
      <c r="BC23" s="111" t="str">
        <f t="shared" si="13"/>
        <v>A</v>
      </c>
    </row>
    <row r="24" spans="1:55" x14ac:dyDescent="0.35">
      <c r="A24" s="113">
        <f>'Student Basic Info'!A24</f>
        <v>523</v>
      </c>
      <c r="B24" s="113" t="str">
        <f>'Student Basic Info'!C24</f>
        <v>Zannatul Mawa Prema</v>
      </c>
      <c r="C24" s="121" t="str">
        <f>IF(Bangla!B24="","",Bangla!B24)</f>
        <v/>
      </c>
      <c r="D24" s="121">
        <f>IF(Bangla!C24="","",Bangla!C24)</f>
        <v>43</v>
      </c>
      <c r="E24" s="112">
        <f>IF(Bangla!D24="","",Bangla!D24)</f>
        <v>43</v>
      </c>
      <c r="F24" s="112">
        <f>IF(English!C24="","",English!C24)</f>
        <v>39</v>
      </c>
      <c r="G24" s="113">
        <f>IF(ICT!B24="","",ICT!B24)</f>
        <v>10</v>
      </c>
      <c r="H24" s="113">
        <f>IF(ICT!C24="","",ICT!C24)</f>
        <v>11</v>
      </c>
      <c r="I24" s="113">
        <f>IF(ICT!D24="","",ICT!D24)</f>
        <v>20</v>
      </c>
      <c r="J24" s="114">
        <f>IF(ICT!E24="","",ICT!E24)</f>
        <v>41</v>
      </c>
      <c r="K24" s="113">
        <f>IF(Accounting!B24="","",Accounting!B24)</f>
        <v>7</v>
      </c>
      <c r="L24" s="113">
        <f>IF(Accounting!C24="","",Accounting!C24)</f>
        <v>23</v>
      </c>
      <c r="M24" s="114">
        <f>IF(Accounting!D24="","",Accounting!D24)</f>
        <v>30</v>
      </c>
      <c r="N24" s="113">
        <f>IF('Business Organization'!B24="","",'Business Organization'!B24)</f>
        <v>26</v>
      </c>
      <c r="O24" s="113">
        <f>IF('Business Organization'!C24="","",'Business Organization'!C24)</f>
        <v>19</v>
      </c>
      <c r="P24" s="114">
        <f>IF('Business Organization'!D24="","",'Business Organization'!D24)</f>
        <v>45</v>
      </c>
      <c r="Q24" s="113">
        <f>IF(SubjectList!G24="Finance",IF(Finance!B24=0,"", Finance!B24),IF(SubjectList!G24="Production",IF(Production!B24=0,"", Production!B24),IF(SubjectList!G24="Economics",IF(Economics!B24=0,"", Economics!B24))))</f>
        <v>10</v>
      </c>
      <c r="R24" s="113">
        <f>IF(SubjectList!G24="Finance",IF(Finance!C24=0,"", Finance!C24),IF(SubjectList!G24="Production",IF(Production!C24=0,"", Production!C24),IF(SubjectList!G24="Economics",IF(Economics!C24=0,"", Economics!C24))))</f>
        <v>10</v>
      </c>
      <c r="S24" s="114">
        <f>IF(SubjectList!G24="Finance",IF(Finance!D24=0,"", Finance!D24),IF(SubjectList!G24="Production",IF(Production!D24=0,"", Production!D24),IF(SubjectList!G24="Economics",IF(Economics!D24=0,"", Economics!D24))))</f>
        <v>20</v>
      </c>
      <c r="T24" s="113">
        <f>IF(SubjectList!H24="Finance",IF(Finance!B24=0,"", Finance!B24),IF(SubjectList!H24="Production",IF(Production!B24=0,"", Production!B24),IF(SubjectList!H24="Economics",IF(Economics!B24=0,"", Economics!B24))))</f>
        <v>15</v>
      </c>
      <c r="U24" s="113">
        <f>IF(SubjectList!H24="Finance",IF(Finance!C24=0,"", Finance!C24),IF(SubjectList!H24="Production",IF(Production!C24=0,"", Production!C24),IF(SubjectList!H24="Economics",IF(Economics!C24=0,"", Economics!C24))))</f>
        <v>31</v>
      </c>
      <c r="V24" s="114">
        <f>IF(SubjectList!H24="Finance",IF(Finance!D24=0,"", Finance!D24),IF(SubjectList!H24="Production",IF(Production!D24=0,"", Production!D24),IF(SubjectList!H24="Economics",IF(Economics!D24=0,"", Economics!D24))))</f>
        <v>46</v>
      </c>
      <c r="W24" s="115" t="str">
        <f>IF(SubjectList!G24="Finance","Finance",IF(SubjectList!G24="Production","Production",IF(SubjectList!G24="Economics","Not Given")))</f>
        <v>Finance</v>
      </c>
      <c r="X24" s="115" t="str">
        <f>IF(SubjectList!H24="Finance","Finance",IF(SubjectList!H24="Production","Production",IF(SubjectList!H24="Economics","Economics","Not Given")))</f>
        <v>Production</v>
      </c>
      <c r="Y24" s="113" t="str">
        <f>Bangla!F24</f>
        <v>C</v>
      </c>
      <c r="Z24" s="113" t="str">
        <f>English!E24</f>
        <v>D</v>
      </c>
      <c r="AA24" s="113" t="str">
        <f>ICT!G24</f>
        <v>F</v>
      </c>
      <c r="AB24" s="113" t="str">
        <f>Accounting!F24</f>
        <v>F</v>
      </c>
      <c r="AC24" s="113" t="str">
        <f>'Business Organization'!F24</f>
        <v>F</v>
      </c>
      <c r="AD24" s="113" t="str">
        <f>Production!F24</f>
        <v>C</v>
      </c>
      <c r="AE24" s="113" t="str">
        <f>Finance!F24</f>
        <v>F</v>
      </c>
      <c r="AF24" s="122">
        <f>Bangla!G24</f>
        <v>2</v>
      </c>
      <c r="AG24" s="122">
        <f>English!F24</f>
        <v>1</v>
      </c>
      <c r="AH24" s="120">
        <f>ICT!H24</f>
        <v>0</v>
      </c>
      <c r="AI24" s="120">
        <f>Accounting!G24</f>
        <v>0</v>
      </c>
      <c r="AJ24" s="120">
        <f>'Business Organization'!G24</f>
        <v>0</v>
      </c>
      <c r="AK24" s="120">
        <f>IF(SubjectList!G24="Finance",Finance!G24,IF(SubjectList!G24="Production",Production!G24,IF(SubjectList!G24="Economics",Economics!G24)))</f>
        <v>0</v>
      </c>
      <c r="AL24" s="120">
        <f>Finance!G24</f>
        <v>0</v>
      </c>
      <c r="AM24" s="120">
        <f>Optional!H24</f>
        <v>2</v>
      </c>
      <c r="AN24" s="120">
        <f>Optional!I24</f>
        <v>0</v>
      </c>
      <c r="AO24" s="120">
        <f t="shared" si="0"/>
        <v>3</v>
      </c>
      <c r="AP24" s="120">
        <f t="shared" si="1"/>
        <v>3</v>
      </c>
      <c r="AQ24" s="116" t="str">
        <f t="shared" si="2"/>
        <v/>
      </c>
      <c r="AR24" s="116" t="str">
        <f t="shared" si="3"/>
        <v/>
      </c>
      <c r="AS24" s="117">
        <f t="shared" si="4"/>
        <v>264</v>
      </c>
      <c r="AT24" s="118">
        <f t="shared" si="5"/>
        <v>1</v>
      </c>
      <c r="AU24" s="118">
        <f t="shared" si="6"/>
        <v>1</v>
      </c>
      <c r="AV24" s="118">
        <f t="shared" si="7"/>
        <v>0</v>
      </c>
      <c r="AW24" s="118">
        <f t="shared" si="8"/>
        <v>0</v>
      </c>
      <c r="AX24" s="118">
        <f t="shared" si="9"/>
        <v>0</v>
      </c>
      <c r="AY24" s="118">
        <f t="shared" si="10"/>
        <v>0</v>
      </c>
      <c r="AZ24" s="111">
        <f t="shared" si="11"/>
        <v>2</v>
      </c>
      <c r="BA24" s="111" t="str">
        <f t="shared" si="12"/>
        <v>F4</v>
      </c>
      <c r="BB24" s="117" t="str">
        <f>IF(AR24="","",RANK(AR24,AR$2:AR145,0))</f>
        <v/>
      </c>
      <c r="BC24" s="111" t="str">
        <f t="shared" si="13"/>
        <v/>
      </c>
    </row>
    <row r="25" spans="1:55" x14ac:dyDescent="0.35">
      <c r="A25" s="113">
        <f>'Student Basic Info'!A25</f>
        <v>524</v>
      </c>
      <c r="B25" s="113" t="str">
        <f>'Student Basic Info'!C25</f>
        <v>Zannatul Ferdaus</v>
      </c>
      <c r="C25" s="121" t="str">
        <f>IF(Bangla!B25="","",Bangla!B25)</f>
        <v/>
      </c>
      <c r="D25" s="121">
        <f>IF(Bangla!C25="","",Bangla!C25)</f>
        <v>60</v>
      </c>
      <c r="E25" s="112">
        <f>IF(Bangla!D25="","",Bangla!D25)</f>
        <v>60</v>
      </c>
      <c r="F25" s="112">
        <f>IF(English!C25="","",English!C25)</f>
        <v>38</v>
      </c>
      <c r="G25" s="113">
        <f>IF(ICT!B25="","",ICT!B25)</f>
        <v>13</v>
      </c>
      <c r="H25" s="113">
        <f>IF(ICT!C25="","",ICT!C25)</f>
        <v>21</v>
      </c>
      <c r="I25" s="113">
        <f>IF(ICT!D25="","",ICT!D25)</f>
        <v>20</v>
      </c>
      <c r="J25" s="114">
        <f>IF(ICT!E25="","",ICT!E25)</f>
        <v>54</v>
      </c>
      <c r="K25" s="113">
        <f>IF(Accounting!B25="","",Accounting!B25)</f>
        <v>10</v>
      </c>
      <c r="L25" s="113">
        <f>IF(Accounting!C25="","",Accounting!C25)</f>
        <v>32</v>
      </c>
      <c r="M25" s="114">
        <f>IF(Accounting!D25="","",Accounting!D25)</f>
        <v>42</v>
      </c>
      <c r="N25" s="113">
        <f>IF('Business Organization'!B25="","",'Business Organization'!B25)</f>
        <v>25</v>
      </c>
      <c r="O25" s="113">
        <f>IF('Business Organization'!C25="","",'Business Organization'!C25)</f>
        <v>29</v>
      </c>
      <c r="P25" s="114">
        <f>IF('Business Organization'!D25="","",'Business Organization'!D25)</f>
        <v>54</v>
      </c>
      <c r="Q25" s="113">
        <f>IF(SubjectList!G25="Finance",IF(Finance!B25=0,"", Finance!B25),IF(SubjectList!G25="Production",IF(Production!B25=0,"", Production!B25),IF(SubjectList!G25="Economics",IF(Economics!B25=0,"", Economics!B25))))</f>
        <v>13</v>
      </c>
      <c r="R25" s="113">
        <f>IF(SubjectList!G25="Finance",IF(Finance!C25=0,"", Finance!C25),IF(SubjectList!G25="Production",IF(Production!C25=0,"", Production!C25),IF(SubjectList!G25="Economics",IF(Economics!C25=0,"", Economics!C25))))</f>
        <v>24</v>
      </c>
      <c r="S25" s="114">
        <f>IF(SubjectList!G25="Finance",IF(Finance!D25=0,"", Finance!D25),IF(SubjectList!G25="Production",IF(Production!D25=0,"", Production!D25),IF(SubjectList!G25="Economics",IF(Economics!D25=0,"", Economics!D25))))</f>
        <v>37</v>
      </c>
      <c r="T25" s="113">
        <f>IF(SubjectList!H25="Finance",IF(Finance!B25=0,"", Finance!B25),IF(SubjectList!H25="Production",IF(Production!B25=0,"", Production!B25),IF(SubjectList!H25="Economics",IF(Economics!B25=0,"", Economics!B25))))</f>
        <v>17</v>
      </c>
      <c r="U25" s="113">
        <f>IF(SubjectList!H25="Finance",IF(Finance!C25=0,"", Finance!C25),IF(SubjectList!H25="Production",IF(Production!C25=0,"", Production!C25),IF(SubjectList!H25="Economics",IF(Economics!C25=0,"", Economics!C25))))</f>
        <v>45</v>
      </c>
      <c r="V25" s="114">
        <f>IF(SubjectList!H25="Finance",IF(Finance!D25=0,"", Finance!D25),IF(SubjectList!H25="Production",IF(Production!D25=0,"", Production!D25),IF(SubjectList!H25="Economics",IF(Economics!D25=0,"", Economics!D25))))</f>
        <v>62</v>
      </c>
      <c r="W25" s="115" t="str">
        <f>IF(SubjectList!G25="Finance","Finance",IF(SubjectList!G25="Production","Production",IF(SubjectList!G25="Economics","Not Given")))</f>
        <v>Finance</v>
      </c>
      <c r="X25" s="115" t="str">
        <f>IF(SubjectList!H25="Finance","Finance",IF(SubjectList!H25="Production","Production",IF(SubjectList!H25="Economics","Economics","Not Given")))</f>
        <v>Production</v>
      </c>
      <c r="Y25" s="113" t="str">
        <f>Bangla!F25</f>
        <v>A-</v>
      </c>
      <c r="Z25" s="113" t="str">
        <f>English!E25</f>
        <v>D</v>
      </c>
      <c r="AA25" s="113" t="str">
        <f>ICT!G25</f>
        <v>B</v>
      </c>
      <c r="AB25" s="113" t="str">
        <f>Accounting!F25</f>
        <v>C</v>
      </c>
      <c r="AC25" s="113" t="str">
        <f>'Business Organization'!F25</f>
        <v>B</v>
      </c>
      <c r="AD25" s="113" t="str">
        <f>Production!F25</f>
        <v>A-</v>
      </c>
      <c r="AE25" s="113" t="str">
        <f>Finance!F25</f>
        <v>D</v>
      </c>
      <c r="AF25" s="122">
        <f>Bangla!G25</f>
        <v>3.5</v>
      </c>
      <c r="AG25" s="122">
        <f>English!F25</f>
        <v>1</v>
      </c>
      <c r="AH25" s="120">
        <f>ICT!H25</f>
        <v>3</v>
      </c>
      <c r="AI25" s="120">
        <f>Accounting!G25</f>
        <v>2</v>
      </c>
      <c r="AJ25" s="120">
        <f>'Business Organization'!G25</f>
        <v>3</v>
      </c>
      <c r="AK25" s="120">
        <f>IF(SubjectList!G25="Finance",Finance!G25,IF(SubjectList!G25="Production",Production!G25,IF(SubjectList!G25="Economics",Economics!G25)))</f>
        <v>1</v>
      </c>
      <c r="AL25" s="120">
        <f>Finance!G25</f>
        <v>1</v>
      </c>
      <c r="AM25" s="120">
        <f>Optional!H25</f>
        <v>3.5</v>
      </c>
      <c r="AN25" s="120">
        <f>Optional!I25</f>
        <v>1.5</v>
      </c>
      <c r="AO25" s="120">
        <f t="shared" si="0"/>
        <v>13.5</v>
      </c>
      <c r="AP25" s="120">
        <f t="shared" si="1"/>
        <v>15</v>
      </c>
      <c r="AQ25" s="116">
        <f t="shared" si="2"/>
        <v>2.25</v>
      </c>
      <c r="AR25" s="116">
        <f t="shared" si="3"/>
        <v>2.5</v>
      </c>
      <c r="AS25" s="117">
        <f t="shared" si="4"/>
        <v>347</v>
      </c>
      <c r="AT25" s="118">
        <f t="shared" si="5"/>
        <v>1</v>
      </c>
      <c r="AU25" s="118">
        <f t="shared" si="6"/>
        <v>1</v>
      </c>
      <c r="AV25" s="118">
        <f t="shared" si="7"/>
        <v>1</v>
      </c>
      <c r="AW25" s="118">
        <f t="shared" si="8"/>
        <v>1</v>
      </c>
      <c r="AX25" s="118">
        <f t="shared" si="9"/>
        <v>1</v>
      </c>
      <c r="AY25" s="118">
        <f t="shared" si="10"/>
        <v>1</v>
      </c>
      <c r="AZ25" s="111">
        <f t="shared" si="11"/>
        <v>6</v>
      </c>
      <c r="BA25" s="111" t="str">
        <f t="shared" si="12"/>
        <v>Pass</v>
      </c>
      <c r="BB25" s="117">
        <f>IF(AR25="","",RANK(AR25,AR$2:AR145,0))</f>
        <v>8</v>
      </c>
      <c r="BC25" s="111" t="str">
        <f t="shared" si="13"/>
        <v>C</v>
      </c>
    </row>
    <row r="26" spans="1:55" x14ac:dyDescent="0.35">
      <c r="A26" s="113">
        <f>'Student Basic Info'!A26</f>
        <v>525</v>
      </c>
      <c r="B26" s="113" t="str">
        <f>'Student Basic Info'!C26</f>
        <v>Narkis Aktar Nupur</v>
      </c>
      <c r="C26" s="121" t="str">
        <f>IF(Bangla!B26="","",Bangla!B26)</f>
        <v/>
      </c>
      <c r="D26" s="121" t="str">
        <f>IF(Bangla!C26="","",Bangla!C26)</f>
        <v/>
      </c>
      <c r="E26" s="112" t="str">
        <f>IF(Bangla!D26="","",Bangla!D26)</f>
        <v/>
      </c>
      <c r="F26" s="112" t="str">
        <f>IF(English!C26="","",English!C26)</f>
        <v/>
      </c>
      <c r="G26" s="113" t="str">
        <f>IF(ICT!B26="","",ICT!B26)</f>
        <v/>
      </c>
      <c r="H26" s="113" t="str">
        <f>IF(ICT!C26="","",ICT!C26)</f>
        <v/>
      </c>
      <c r="I26" s="113" t="str">
        <f>IF(ICT!D26="","",ICT!D26)</f>
        <v/>
      </c>
      <c r="J26" s="114" t="str">
        <f>IF(ICT!E26="","",ICT!E26)</f>
        <v/>
      </c>
      <c r="K26" s="113" t="str">
        <f>IF(Accounting!B26="","",Accounting!B26)</f>
        <v/>
      </c>
      <c r="L26" s="113" t="str">
        <f>IF(Accounting!C26="","",Accounting!C26)</f>
        <v/>
      </c>
      <c r="M26" s="114" t="str">
        <f>IF(Accounting!D26="","",Accounting!D26)</f>
        <v/>
      </c>
      <c r="N26" s="113" t="str">
        <f>IF('Business Organization'!B26="","",'Business Organization'!B26)</f>
        <v/>
      </c>
      <c r="O26" s="113" t="str">
        <f>IF('Business Organization'!C26="","",'Business Organization'!C26)</f>
        <v/>
      </c>
      <c r="P26" s="114" t="str">
        <f>IF('Business Organization'!D26="","",'Business Organization'!D26)</f>
        <v/>
      </c>
      <c r="Q26" s="113" t="str">
        <f>IF(SubjectList!G26="Finance",IF(Finance!B26=0,"", Finance!B26),IF(SubjectList!G26="Production",IF(Production!B26=0,"", Production!B26),IF(SubjectList!G26="Economics",IF(Economics!B26=0,"", Economics!B26))))</f>
        <v/>
      </c>
      <c r="R26" s="113" t="str">
        <f>IF(SubjectList!G26="Finance",IF(Finance!C26=0,"", Finance!C26),IF(SubjectList!G26="Production",IF(Production!C26=0,"", Production!C26),IF(SubjectList!G26="Economics",IF(Economics!C26=0,"", Economics!C26))))</f>
        <v/>
      </c>
      <c r="S26" s="114" t="str">
        <f>IF(SubjectList!G26="Finance",IF(Finance!D26=0,"", Finance!D26),IF(SubjectList!G26="Production",IF(Production!D26=0,"", Production!D26),IF(SubjectList!G26="Economics",IF(Economics!D26=0,"", Economics!D26))))</f>
        <v/>
      </c>
      <c r="T26" s="113" t="str">
        <f>IF(SubjectList!H26="Finance",IF(Finance!B26=0,"", Finance!B26),IF(SubjectList!H26="Production",IF(Production!B26=0,"", Production!B26),IF(SubjectList!H26="Economics",IF(Economics!B26=0,"", Economics!B26))))</f>
        <v/>
      </c>
      <c r="U26" s="113" t="str">
        <f>IF(SubjectList!H26="Finance",IF(Finance!C26=0,"", Finance!C26),IF(SubjectList!H26="Production",IF(Production!C26=0,"", Production!C26),IF(SubjectList!H26="Economics",IF(Economics!C26=0,"", Economics!C26))))</f>
        <v/>
      </c>
      <c r="V26" s="114" t="str">
        <f>IF(SubjectList!H26="Finance",IF(Finance!D26=0,"", Finance!D26),IF(SubjectList!H26="Production",IF(Production!D26=0,"", Production!D26),IF(SubjectList!H26="Economics",IF(Economics!D26=0,"", Economics!D26))))</f>
        <v/>
      </c>
      <c r="W26" s="115" t="str">
        <f>IF(SubjectList!G26="Finance","Finance",IF(SubjectList!G26="Production","Production",IF(SubjectList!G26="Economics","Not Given")))</f>
        <v>Finance</v>
      </c>
      <c r="X26" s="115" t="str">
        <f>IF(SubjectList!H26="Finance","Finance",IF(SubjectList!H26="Production","Production",IF(SubjectList!H26="Economics","Economics","Not Given")))</f>
        <v>Production</v>
      </c>
      <c r="Y26" s="113" t="str">
        <f>Bangla!F26</f>
        <v/>
      </c>
      <c r="Z26" s="113" t="str">
        <f>English!E26</f>
        <v/>
      </c>
      <c r="AA26" s="113" t="str">
        <f>ICT!G26</f>
        <v/>
      </c>
      <c r="AB26" s="113" t="str">
        <f>Accounting!F26</f>
        <v/>
      </c>
      <c r="AC26" s="113" t="str">
        <f>'Business Organization'!F26</f>
        <v/>
      </c>
      <c r="AD26" s="113" t="str">
        <f>Production!F26</f>
        <v/>
      </c>
      <c r="AE26" s="113" t="str">
        <f>Finance!F26</f>
        <v/>
      </c>
      <c r="AF26" s="122" t="str">
        <f>Bangla!G26</f>
        <v/>
      </c>
      <c r="AG26" s="122" t="str">
        <f>English!F26</f>
        <v/>
      </c>
      <c r="AH26" s="120" t="str">
        <f>ICT!H26</f>
        <v/>
      </c>
      <c r="AI26" s="120" t="str">
        <f>Accounting!G26</f>
        <v/>
      </c>
      <c r="AJ26" s="120" t="str">
        <f>'Business Organization'!G26</f>
        <v/>
      </c>
      <c r="AK26" s="120" t="str">
        <f>IF(SubjectList!G26="Finance",Finance!G26,IF(SubjectList!G26="Production",Production!G26,IF(SubjectList!G26="Economics",Economics!G26)))</f>
        <v/>
      </c>
      <c r="AL26" s="120" t="str">
        <f>Finance!G26</f>
        <v/>
      </c>
      <c r="AM26" s="120" t="str">
        <f>Optional!H26</f>
        <v/>
      </c>
      <c r="AN26" s="120" t="str">
        <f>Optional!I26</f>
        <v/>
      </c>
      <c r="AO26" s="120" t="str">
        <f t="shared" si="0"/>
        <v/>
      </c>
      <c r="AP26" s="120">
        <f t="shared" si="1"/>
        <v>0</v>
      </c>
      <c r="AQ26" s="116" t="str">
        <f t="shared" si="2"/>
        <v/>
      </c>
      <c r="AR26" s="116" t="str">
        <f t="shared" si="3"/>
        <v/>
      </c>
      <c r="AS26" s="117">
        <f t="shared" si="4"/>
        <v>0</v>
      </c>
      <c r="AT26" s="118">
        <f t="shared" si="5"/>
        <v>0</v>
      </c>
      <c r="AU26" s="118">
        <f t="shared" si="6"/>
        <v>0</v>
      </c>
      <c r="AV26" s="118">
        <f t="shared" si="7"/>
        <v>0</v>
      </c>
      <c r="AW26" s="118">
        <f t="shared" si="8"/>
        <v>0</v>
      </c>
      <c r="AX26" s="118">
        <f t="shared" si="9"/>
        <v>0</v>
      </c>
      <c r="AY26" s="118">
        <f t="shared" si="10"/>
        <v>0</v>
      </c>
      <c r="AZ26" s="111">
        <f t="shared" si="11"/>
        <v>0</v>
      </c>
      <c r="BA26" s="111" t="str">
        <f t="shared" si="12"/>
        <v>F6</v>
      </c>
      <c r="BB26" s="117" t="str">
        <f>IF(AR26="","",RANK(AR26,AR$2:AR145,0))</f>
        <v/>
      </c>
      <c r="BC26" s="111" t="str">
        <f t="shared" si="13"/>
        <v/>
      </c>
    </row>
    <row r="27" spans="1:55" x14ac:dyDescent="0.35">
      <c r="A27" s="113">
        <f>'Student Basic Info'!A27</f>
        <v>526</v>
      </c>
      <c r="B27" s="113" t="str">
        <f>'Student Basic Info'!C27</f>
        <v>Sidratul Muntaha</v>
      </c>
      <c r="C27" s="121" t="str">
        <f>IF(Bangla!B27="","",Bangla!B27)</f>
        <v/>
      </c>
      <c r="D27" s="121">
        <f>IF(Bangla!C27="","",Bangla!C27)</f>
        <v>57</v>
      </c>
      <c r="E27" s="112">
        <f>IF(Bangla!D27="","",Bangla!D27)</f>
        <v>57</v>
      </c>
      <c r="F27" s="112">
        <f>IF(English!C27="","",English!C27)</f>
        <v>34</v>
      </c>
      <c r="G27" s="113">
        <f>IF(ICT!B27="","",ICT!B27)</f>
        <v>16</v>
      </c>
      <c r="H27" s="113">
        <f>IF(ICT!C27="","",ICT!C27)</f>
        <v>19</v>
      </c>
      <c r="I27" s="113">
        <f>IF(ICT!D27="","",ICT!D27)</f>
        <v>18</v>
      </c>
      <c r="J27" s="114">
        <f>IF(ICT!E27="","",ICT!E27)</f>
        <v>53</v>
      </c>
      <c r="K27" s="113">
        <f>IF(Accounting!B27="","",Accounting!B27)</f>
        <v>10</v>
      </c>
      <c r="L27" s="113">
        <f>IF(Accounting!C27="","",Accounting!C27)</f>
        <v>40</v>
      </c>
      <c r="M27" s="114">
        <f>IF(Accounting!D27="","",Accounting!D27)</f>
        <v>50</v>
      </c>
      <c r="N27" s="113">
        <f>IF('Business Organization'!B27="","",'Business Organization'!B27)</f>
        <v>24</v>
      </c>
      <c r="O27" s="113">
        <f>IF('Business Organization'!C27="","",'Business Organization'!C27)</f>
        <v>35</v>
      </c>
      <c r="P27" s="114">
        <f>IF('Business Organization'!D27="","",'Business Organization'!D27)</f>
        <v>59</v>
      </c>
      <c r="Q27" s="113">
        <f>IF(SubjectList!G27="Finance",IF(Finance!B27=0,"", Finance!B27),IF(SubjectList!G27="Production",IF(Production!B27=0,"", Production!B27),IF(SubjectList!G27="Economics",IF(Economics!B27=0,"", Economics!B27))))</f>
        <v>12</v>
      </c>
      <c r="R27" s="113">
        <f>IF(SubjectList!G27="Finance",IF(Finance!C27=0,"", Finance!C27),IF(SubjectList!G27="Production",IF(Production!C27=0,"", Production!C27),IF(SubjectList!G27="Economics",IF(Economics!C27=0,"", Economics!C27))))</f>
        <v>24</v>
      </c>
      <c r="S27" s="114">
        <f>IF(SubjectList!G27="Finance",IF(Finance!D27=0,"", Finance!D27),IF(SubjectList!G27="Production",IF(Production!D27=0,"", Production!D27),IF(SubjectList!G27="Economics",IF(Economics!D27=0,"", Economics!D27))))</f>
        <v>36</v>
      </c>
      <c r="T27" s="113">
        <f>IF(SubjectList!H27="Finance",IF(Finance!B27=0,"", Finance!B27),IF(SubjectList!H27="Production",IF(Production!B27=0,"", Production!B27),IF(SubjectList!H27="Economics",IF(Economics!B27=0,"", Economics!B27))))</f>
        <v>14</v>
      </c>
      <c r="U27" s="113">
        <f>IF(SubjectList!H27="Finance",IF(Finance!C27=0,"", Finance!C27),IF(SubjectList!H27="Production",IF(Production!C27=0,"", Production!C27),IF(SubjectList!H27="Economics",IF(Economics!C27=0,"", Economics!C27))))</f>
        <v>45</v>
      </c>
      <c r="V27" s="114">
        <f>IF(SubjectList!H27="Finance",IF(Finance!D27=0,"", Finance!D27),IF(SubjectList!H27="Production",IF(Production!D27=0,"", Production!D27),IF(SubjectList!H27="Economics",IF(Economics!D27=0,"", Economics!D27))))</f>
        <v>59</v>
      </c>
      <c r="W27" s="115" t="str">
        <f>IF(SubjectList!G27="Finance","Finance",IF(SubjectList!G27="Production","Production",IF(SubjectList!G27="Economics","Not Given")))</f>
        <v>Finance</v>
      </c>
      <c r="X27" s="115" t="str">
        <f>IF(SubjectList!H27="Finance","Finance",IF(SubjectList!H27="Production","Production",IF(SubjectList!H27="Economics","Economics","Not Given")))</f>
        <v>Production</v>
      </c>
      <c r="Y27" s="113" t="str">
        <f>Bangla!F27</f>
        <v>B</v>
      </c>
      <c r="Z27" s="113" t="str">
        <f>English!E27</f>
        <v>D</v>
      </c>
      <c r="AA27" s="113" t="str">
        <f>ICT!G27</f>
        <v>B</v>
      </c>
      <c r="AB27" s="113" t="str">
        <f>Accounting!F27</f>
        <v>B</v>
      </c>
      <c r="AC27" s="113" t="str">
        <f>'Business Organization'!F27</f>
        <v>B</v>
      </c>
      <c r="AD27" s="113" t="str">
        <f>Production!F27</f>
        <v>B</v>
      </c>
      <c r="AE27" s="113" t="str">
        <f>Finance!F27</f>
        <v>D</v>
      </c>
      <c r="AF27" s="122">
        <f>Bangla!G27</f>
        <v>3</v>
      </c>
      <c r="AG27" s="122">
        <f>English!F27</f>
        <v>1</v>
      </c>
      <c r="AH27" s="120">
        <f>ICT!H27</f>
        <v>3</v>
      </c>
      <c r="AI27" s="120">
        <f>Accounting!G27</f>
        <v>3</v>
      </c>
      <c r="AJ27" s="120">
        <f>'Business Organization'!G27</f>
        <v>3</v>
      </c>
      <c r="AK27" s="120">
        <f>IF(SubjectList!G27="Finance",Finance!G27,IF(SubjectList!G27="Production",Production!G27,IF(SubjectList!G27="Economics",Economics!G27)))</f>
        <v>1</v>
      </c>
      <c r="AL27" s="120">
        <f>Finance!G27</f>
        <v>1</v>
      </c>
      <c r="AM27" s="120">
        <f>Optional!H27</f>
        <v>3</v>
      </c>
      <c r="AN27" s="120">
        <f>Optional!I27</f>
        <v>1</v>
      </c>
      <c r="AO27" s="120">
        <f t="shared" si="0"/>
        <v>14</v>
      </c>
      <c r="AP27" s="120">
        <f t="shared" si="1"/>
        <v>15</v>
      </c>
      <c r="AQ27" s="116">
        <f t="shared" si="2"/>
        <v>2.3333333333333335</v>
      </c>
      <c r="AR27" s="116">
        <f t="shared" si="3"/>
        <v>2.5</v>
      </c>
      <c r="AS27" s="117">
        <f t="shared" si="4"/>
        <v>348</v>
      </c>
      <c r="AT27" s="118">
        <f t="shared" si="5"/>
        <v>1</v>
      </c>
      <c r="AU27" s="118">
        <f t="shared" si="6"/>
        <v>1</v>
      </c>
      <c r="AV27" s="118">
        <f t="shared" si="7"/>
        <v>1</v>
      </c>
      <c r="AW27" s="118">
        <f t="shared" si="8"/>
        <v>1</v>
      </c>
      <c r="AX27" s="118">
        <f t="shared" si="9"/>
        <v>1</v>
      </c>
      <c r="AY27" s="118">
        <f t="shared" si="10"/>
        <v>1</v>
      </c>
      <c r="AZ27" s="111">
        <f t="shared" si="11"/>
        <v>6</v>
      </c>
      <c r="BA27" s="111" t="str">
        <f t="shared" si="12"/>
        <v>Pass</v>
      </c>
      <c r="BB27" s="117">
        <f>IF(AR27="","",RANK(AR27,AR$2:AR145,0))</f>
        <v>8</v>
      </c>
      <c r="BC27" s="111" t="str">
        <f t="shared" si="13"/>
        <v>C</v>
      </c>
    </row>
    <row r="28" spans="1:55" x14ac:dyDescent="0.35">
      <c r="A28" s="113">
        <f>'Student Basic Info'!A28</f>
        <v>527</v>
      </c>
      <c r="B28" s="113" t="str">
        <f>'Student Basic Info'!C28</f>
        <v>Sanzida Aktar</v>
      </c>
      <c r="C28" s="121" t="str">
        <f>IF(Bangla!B28="","",Bangla!B28)</f>
        <v/>
      </c>
      <c r="D28" s="121" t="str">
        <f>IF(Bangla!C28="","",Bangla!C28)</f>
        <v/>
      </c>
      <c r="E28" s="112" t="str">
        <f>IF(Bangla!D28="","",Bangla!D28)</f>
        <v/>
      </c>
      <c r="F28" s="112" t="str">
        <f>IF(English!C28="","",English!C28)</f>
        <v/>
      </c>
      <c r="G28" s="113" t="str">
        <f>IF(ICT!B28="","",ICT!B28)</f>
        <v/>
      </c>
      <c r="H28" s="113" t="str">
        <f>IF(ICT!C28="","",ICT!C28)</f>
        <v/>
      </c>
      <c r="I28" s="113" t="str">
        <f>IF(ICT!D28="","",ICT!D28)</f>
        <v/>
      </c>
      <c r="J28" s="114" t="str">
        <f>IF(ICT!E28="","",ICT!E28)</f>
        <v/>
      </c>
      <c r="K28" s="113" t="str">
        <f>IF(Accounting!B28="","",Accounting!B28)</f>
        <v/>
      </c>
      <c r="L28" s="113" t="str">
        <f>IF(Accounting!C28="","",Accounting!C28)</f>
        <v/>
      </c>
      <c r="M28" s="114" t="str">
        <f>IF(Accounting!D28="","",Accounting!D28)</f>
        <v/>
      </c>
      <c r="N28" s="113" t="str">
        <f>IF('Business Organization'!B28="","",'Business Organization'!B28)</f>
        <v/>
      </c>
      <c r="O28" s="113" t="str">
        <f>IF('Business Organization'!C28="","",'Business Organization'!C28)</f>
        <v/>
      </c>
      <c r="P28" s="114" t="str">
        <f>IF('Business Organization'!D28="","",'Business Organization'!D28)</f>
        <v/>
      </c>
      <c r="Q28" s="113" t="str">
        <f>IF(SubjectList!G28="Finance",IF(Finance!B28=0,"", Finance!B28),IF(SubjectList!G28="Production",IF(Production!B28=0,"", Production!B28),IF(SubjectList!G28="Economics",IF(Economics!B28=0,"", Economics!B28))))</f>
        <v/>
      </c>
      <c r="R28" s="113" t="str">
        <f>IF(SubjectList!G28="Finance",IF(Finance!C28=0,"", Finance!C28),IF(SubjectList!G28="Production",IF(Production!C28=0,"", Production!C28),IF(SubjectList!G28="Economics",IF(Economics!C28=0,"", Economics!C28))))</f>
        <v/>
      </c>
      <c r="S28" s="114" t="str">
        <f>IF(SubjectList!G28="Finance",IF(Finance!D28=0,"", Finance!D28),IF(SubjectList!G28="Production",IF(Production!D28=0,"", Production!D28),IF(SubjectList!G28="Economics",IF(Economics!D28=0,"", Economics!D28))))</f>
        <v/>
      </c>
      <c r="T28" s="113" t="str">
        <f>IF(SubjectList!H28="Finance",IF(Finance!B28=0,"", Finance!B28),IF(SubjectList!H28="Production",IF(Production!B28=0,"", Production!B28),IF(SubjectList!H28="Economics",IF(Economics!B28=0,"", Economics!B28))))</f>
        <v/>
      </c>
      <c r="U28" s="113" t="str">
        <f>IF(SubjectList!H28="Finance",IF(Finance!C28=0,"", Finance!C28),IF(SubjectList!H28="Production",IF(Production!C28=0,"", Production!C28),IF(SubjectList!H28="Economics",IF(Economics!C28=0,"", Economics!C28))))</f>
        <v/>
      </c>
      <c r="V28" s="114" t="str">
        <f>IF(SubjectList!H28="Finance",IF(Finance!D28=0,"", Finance!D28),IF(SubjectList!H28="Production",IF(Production!D28=0,"", Production!D28),IF(SubjectList!H28="Economics",IF(Economics!D28=0,"", Economics!D28))))</f>
        <v/>
      </c>
      <c r="W28" s="115" t="str">
        <f>IF(SubjectList!G28="Finance","Finance",IF(SubjectList!G28="Production","Production",IF(SubjectList!G28="Economics","Not Given")))</f>
        <v>Production</v>
      </c>
      <c r="X28" s="115" t="str">
        <f>IF(SubjectList!H28="Finance","Finance",IF(SubjectList!H28="Production","Production",IF(SubjectList!H28="Economics","Economics","Not Given")))</f>
        <v>Finance</v>
      </c>
      <c r="Y28" s="113" t="str">
        <f>Bangla!F28</f>
        <v/>
      </c>
      <c r="Z28" s="113" t="str">
        <f>English!E28</f>
        <v/>
      </c>
      <c r="AA28" s="113" t="str">
        <f>ICT!G28</f>
        <v/>
      </c>
      <c r="AB28" s="113" t="str">
        <f>Accounting!F28</f>
        <v/>
      </c>
      <c r="AC28" s="113" t="str">
        <f>'Business Organization'!F28</f>
        <v/>
      </c>
      <c r="AD28" s="113" t="str">
        <f>Production!F28</f>
        <v/>
      </c>
      <c r="AE28" s="113" t="str">
        <f>Finance!F28</f>
        <v/>
      </c>
      <c r="AF28" s="122" t="str">
        <f>Bangla!G28</f>
        <v/>
      </c>
      <c r="AG28" s="122" t="str">
        <f>English!F28</f>
        <v/>
      </c>
      <c r="AH28" s="120" t="str">
        <f>ICT!H28</f>
        <v/>
      </c>
      <c r="AI28" s="120" t="str">
        <f>Accounting!G28</f>
        <v/>
      </c>
      <c r="AJ28" s="120" t="str">
        <f>'Business Organization'!G28</f>
        <v/>
      </c>
      <c r="AK28" s="120" t="str">
        <f>IF(SubjectList!G28="Finance",Finance!G28,IF(SubjectList!G28="Production",Production!G28,IF(SubjectList!G28="Economics",Economics!G28)))</f>
        <v/>
      </c>
      <c r="AL28" s="120" t="str">
        <f>Finance!G28</f>
        <v/>
      </c>
      <c r="AM28" s="120" t="str">
        <f>Optional!H28</f>
        <v/>
      </c>
      <c r="AN28" s="120" t="str">
        <f>Optional!I28</f>
        <v/>
      </c>
      <c r="AO28" s="120" t="str">
        <f t="shared" si="0"/>
        <v/>
      </c>
      <c r="AP28" s="120">
        <f t="shared" si="1"/>
        <v>0</v>
      </c>
      <c r="AQ28" s="116" t="str">
        <f t="shared" si="2"/>
        <v/>
      </c>
      <c r="AR28" s="116" t="str">
        <f t="shared" si="3"/>
        <v/>
      </c>
      <c r="AS28" s="117">
        <f t="shared" si="4"/>
        <v>0</v>
      </c>
      <c r="AT28" s="118">
        <f t="shared" si="5"/>
        <v>0</v>
      </c>
      <c r="AU28" s="118">
        <f t="shared" si="6"/>
        <v>0</v>
      </c>
      <c r="AV28" s="118">
        <f t="shared" si="7"/>
        <v>0</v>
      </c>
      <c r="AW28" s="118">
        <f t="shared" si="8"/>
        <v>0</v>
      </c>
      <c r="AX28" s="118">
        <f t="shared" si="9"/>
        <v>0</v>
      </c>
      <c r="AY28" s="118">
        <f t="shared" si="10"/>
        <v>0</v>
      </c>
      <c r="AZ28" s="111">
        <f t="shared" si="11"/>
        <v>0</v>
      </c>
      <c r="BA28" s="111" t="str">
        <f t="shared" si="12"/>
        <v>F6</v>
      </c>
      <c r="BB28" s="117" t="str">
        <f>IF(AR28="","",RANK(AR28,AR$2:AR145,0))</f>
        <v/>
      </c>
      <c r="BC28" s="111" t="str">
        <f t="shared" si="13"/>
        <v/>
      </c>
    </row>
    <row r="29" spans="1:55" x14ac:dyDescent="0.35">
      <c r="A29" s="113">
        <f>'Student Basic Info'!A29</f>
        <v>528</v>
      </c>
      <c r="B29" s="113" t="str">
        <f>'Student Basic Info'!C29</f>
        <v>Mazhar Uddin</v>
      </c>
      <c r="C29" s="121" t="str">
        <f>IF(Bangla!B29="","",Bangla!B29)</f>
        <v/>
      </c>
      <c r="D29" s="121">
        <f>IF(Bangla!C29="","",Bangla!C29)</f>
        <v>60</v>
      </c>
      <c r="E29" s="112">
        <f>IF(Bangla!D29="","",Bangla!D29)</f>
        <v>60</v>
      </c>
      <c r="F29" s="112">
        <f>IF(English!C29="","",English!C29)</f>
        <v>42</v>
      </c>
      <c r="G29" s="113">
        <f>IF(ICT!B29="","",ICT!B29)</f>
        <v>16</v>
      </c>
      <c r="H29" s="113">
        <f>IF(ICT!C29="","",ICT!C29)</f>
        <v>36</v>
      </c>
      <c r="I29" s="113">
        <f>IF(ICT!D29="","",ICT!D29)</f>
        <v>20</v>
      </c>
      <c r="J29" s="114">
        <f>IF(ICT!E29="","",ICT!E29)</f>
        <v>72</v>
      </c>
      <c r="K29" s="113">
        <f>IF(Accounting!B29="","",Accounting!B29)</f>
        <v>14</v>
      </c>
      <c r="L29" s="113">
        <f>IF(Accounting!C29="","",Accounting!C29)</f>
        <v>40</v>
      </c>
      <c r="M29" s="114">
        <f>IF(Accounting!D29="","",Accounting!D29)</f>
        <v>54</v>
      </c>
      <c r="N29" s="113">
        <f>IF('Business Organization'!B29="","",'Business Organization'!B29)</f>
        <v>25</v>
      </c>
      <c r="O29" s="113">
        <f>IF('Business Organization'!C29="","",'Business Organization'!C29)</f>
        <v>32</v>
      </c>
      <c r="P29" s="114">
        <f>IF('Business Organization'!D29="","",'Business Organization'!D29)</f>
        <v>57</v>
      </c>
      <c r="Q29" s="113">
        <f>IF(SubjectList!G29="Finance",IF(Finance!B29=0,"", Finance!B29),IF(SubjectList!G29="Production",IF(Production!B29=0,"", Production!B29),IF(SubjectList!G29="Economics",IF(Economics!B29=0,"", Economics!B29))))</f>
        <v>16</v>
      </c>
      <c r="R29" s="113">
        <f>IF(SubjectList!G29="Finance",IF(Finance!C29=0,"", Finance!C29),IF(SubjectList!G29="Production",IF(Production!C29=0,"", Production!C29),IF(SubjectList!G29="Economics",IF(Economics!C29=0,"", Economics!C29))))</f>
        <v>28</v>
      </c>
      <c r="S29" s="114">
        <f>IF(SubjectList!G29="Finance",IF(Finance!D29=0,"", Finance!D29),IF(SubjectList!G29="Production",IF(Production!D29=0,"", Production!D29),IF(SubjectList!G29="Economics",IF(Economics!D29=0,"", Economics!D29))))</f>
        <v>44</v>
      </c>
      <c r="T29" s="113">
        <f>IF(SubjectList!H29="Finance",IF(Finance!B29=0,"", Finance!B29),IF(SubjectList!H29="Production",IF(Production!B29=0,"", Production!B29),IF(SubjectList!H29="Economics",IF(Economics!B29=0,"", Economics!B29))))</f>
        <v>20</v>
      </c>
      <c r="U29" s="113">
        <f>IF(SubjectList!H29="Finance",IF(Finance!C29=0,"", Finance!C29),IF(SubjectList!H29="Production",IF(Production!C29=0,"", Production!C29),IF(SubjectList!H29="Economics",IF(Economics!C29=0,"", Economics!C29))))</f>
        <v>45</v>
      </c>
      <c r="V29" s="114">
        <f>IF(SubjectList!H29="Finance",IF(Finance!D29=0,"", Finance!D29),IF(SubjectList!H29="Production",IF(Production!D29=0,"", Production!D29),IF(SubjectList!H29="Economics",IF(Economics!D29=0,"", Economics!D29))))</f>
        <v>65</v>
      </c>
      <c r="W29" s="115" t="str">
        <f>IF(SubjectList!G29="Finance","Finance",IF(SubjectList!G29="Production","Production",IF(SubjectList!G29="Economics","Not Given")))</f>
        <v>Finance</v>
      </c>
      <c r="X29" s="115" t="str">
        <f>IF(SubjectList!H29="Finance","Finance",IF(SubjectList!H29="Production","Production",IF(SubjectList!H29="Economics","Economics","Not Given")))</f>
        <v>Economics</v>
      </c>
      <c r="Y29" s="113" t="str">
        <f>Bangla!F29</f>
        <v>A-</v>
      </c>
      <c r="Z29" s="113" t="str">
        <f>English!E29</f>
        <v>C</v>
      </c>
      <c r="AA29" s="113" t="str">
        <f>ICT!G29</f>
        <v>A</v>
      </c>
      <c r="AB29" s="113" t="str">
        <f>Accounting!F29</f>
        <v>B</v>
      </c>
      <c r="AC29" s="113" t="str">
        <f>'Business Organization'!F29</f>
        <v>B</v>
      </c>
      <c r="AD29" s="113" t="str">
        <f>Production!F29</f>
        <v/>
      </c>
      <c r="AE29" s="113" t="str">
        <f>Finance!F29</f>
        <v>C</v>
      </c>
      <c r="AF29" s="122">
        <f>Bangla!G29</f>
        <v>3.5</v>
      </c>
      <c r="AG29" s="122">
        <f>English!F29</f>
        <v>2</v>
      </c>
      <c r="AH29" s="120">
        <f>ICT!H29</f>
        <v>4</v>
      </c>
      <c r="AI29" s="120">
        <f>Accounting!G29</f>
        <v>3</v>
      </c>
      <c r="AJ29" s="120">
        <f>'Business Organization'!G29</f>
        <v>3</v>
      </c>
      <c r="AK29" s="120">
        <f>IF(SubjectList!G29="Finance",Finance!G29,IF(SubjectList!G29="Production",Production!G29,IF(SubjectList!G29="Economics",Economics!G29)))</f>
        <v>2</v>
      </c>
      <c r="AL29" s="120">
        <f>Finance!G29</f>
        <v>2</v>
      </c>
      <c r="AM29" s="120">
        <f>Optional!H29</f>
        <v>3.5</v>
      </c>
      <c r="AN29" s="120">
        <f>Optional!I29</f>
        <v>1.5</v>
      </c>
      <c r="AO29" s="120">
        <f t="shared" si="0"/>
        <v>17.5</v>
      </c>
      <c r="AP29" s="120">
        <f t="shared" si="1"/>
        <v>19</v>
      </c>
      <c r="AQ29" s="116">
        <f t="shared" si="2"/>
        <v>2.9166666666666665</v>
      </c>
      <c r="AR29" s="116">
        <f t="shared" si="3"/>
        <v>3.1666666666666665</v>
      </c>
      <c r="AS29" s="117">
        <f t="shared" si="4"/>
        <v>394</v>
      </c>
      <c r="AT29" s="118">
        <f t="shared" si="5"/>
        <v>1</v>
      </c>
      <c r="AU29" s="118">
        <f t="shared" si="6"/>
        <v>1</v>
      </c>
      <c r="AV29" s="118">
        <f t="shared" si="7"/>
        <v>1</v>
      </c>
      <c r="AW29" s="118">
        <f t="shared" si="8"/>
        <v>1</v>
      </c>
      <c r="AX29" s="118">
        <f t="shared" si="9"/>
        <v>1</v>
      </c>
      <c r="AY29" s="118">
        <f t="shared" si="10"/>
        <v>1</v>
      </c>
      <c r="AZ29" s="111">
        <f t="shared" si="11"/>
        <v>6</v>
      </c>
      <c r="BA29" s="111" t="str">
        <f t="shared" si="12"/>
        <v>Pass</v>
      </c>
      <c r="BB29" s="117">
        <f>IF(AR29="","",RANK(AR29,AR$2:AR145,0))</f>
        <v>2</v>
      </c>
      <c r="BC29" s="111" t="str">
        <f t="shared" si="13"/>
        <v>B</v>
      </c>
    </row>
    <row r="30" spans="1:55" x14ac:dyDescent="0.35">
      <c r="A30" s="113">
        <f>'Student Basic Info'!A30</f>
        <v>529</v>
      </c>
      <c r="B30" s="113" t="str">
        <f>'Student Basic Info'!C30</f>
        <v>Nahid Hasan</v>
      </c>
      <c r="C30" s="121" t="str">
        <f>IF(Bangla!B30="","",Bangla!B30)</f>
        <v/>
      </c>
      <c r="D30" s="121">
        <f>IF(Bangla!C30="","",Bangla!C30)</f>
        <v>25</v>
      </c>
      <c r="E30" s="112">
        <f>IF(Bangla!D30="","",Bangla!D30)</f>
        <v>25</v>
      </c>
      <c r="F30" s="112">
        <f>IF(English!C30="","",English!C30)</f>
        <v>14</v>
      </c>
      <c r="G30" s="113">
        <f>IF(ICT!B30="","",ICT!B30)</f>
        <v>15</v>
      </c>
      <c r="H30" s="113">
        <f>IF(ICT!C30="","",ICT!C30)</f>
        <v>2</v>
      </c>
      <c r="I30" s="113">
        <f>IF(ICT!D30="","",ICT!D30)</f>
        <v>24</v>
      </c>
      <c r="J30" s="114">
        <f>IF(ICT!E30="","",ICT!E30)</f>
        <v>41</v>
      </c>
      <c r="K30" s="113">
        <f>IF(Accounting!B30="","",Accounting!B30)</f>
        <v>11</v>
      </c>
      <c r="L30" s="113">
        <f>IF(Accounting!C30="","",Accounting!C30)</f>
        <v>9</v>
      </c>
      <c r="M30" s="114">
        <f>IF(Accounting!D30="","",Accounting!D30)</f>
        <v>20</v>
      </c>
      <c r="N30" s="113">
        <f>IF('Business Organization'!B30="","",'Business Organization'!B30)</f>
        <v>17</v>
      </c>
      <c r="O30" s="113">
        <f>IF('Business Organization'!C30="","",'Business Organization'!C30)</f>
        <v>20</v>
      </c>
      <c r="P30" s="114">
        <f>IF('Business Organization'!D30="","",'Business Organization'!D30)</f>
        <v>37</v>
      </c>
      <c r="Q30" s="113">
        <f>IF(SubjectList!G30="Finance",IF(Finance!B30=0,"", Finance!B30),IF(SubjectList!G30="Production",IF(Production!B30=0,"", Production!B30),IF(SubjectList!G30="Economics",IF(Economics!B30=0,"", Economics!B30))))</f>
        <v>10</v>
      </c>
      <c r="R30" s="113">
        <f>IF(SubjectList!G30="Finance",IF(Finance!C30=0,"", Finance!C30),IF(SubjectList!G30="Production",IF(Production!C30=0,"", Production!C30),IF(SubjectList!G30="Economics",IF(Economics!C30=0,"", Economics!C30))))</f>
        <v>9</v>
      </c>
      <c r="S30" s="114">
        <f>IF(SubjectList!G30="Finance",IF(Finance!D30=0,"", Finance!D30),IF(SubjectList!G30="Production",IF(Production!D30=0,"", Production!D30),IF(SubjectList!G30="Economics",IF(Economics!D30=0,"", Economics!D30))))</f>
        <v>19</v>
      </c>
      <c r="T30" s="113">
        <f>IF(SubjectList!H30="Finance",IF(Finance!B30=0,"", Finance!B30),IF(SubjectList!H30="Production",IF(Production!B30=0,"", Production!B30),IF(SubjectList!H30="Economics",IF(Economics!B30=0,"", Economics!B30))))</f>
        <v>13</v>
      </c>
      <c r="U30" s="113">
        <f>IF(SubjectList!H30="Finance",IF(Finance!C30=0,"", Finance!C30),IF(SubjectList!H30="Production",IF(Production!C30=0,"", Production!C30),IF(SubjectList!H30="Economics",IF(Economics!C30=0,"", Economics!C30))))</f>
        <v>21</v>
      </c>
      <c r="V30" s="114">
        <f>IF(SubjectList!H30="Finance",IF(Finance!D30=0,"", Finance!D30),IF(SubjectList!H30="Production",IF(Production!D30=0,"", Production!D30),IF(SubjectList!H30="Economics",IF(Economics!D30=0,"", Economics!D30))))</f>
        <v>34</v>
      </c>
      <c r="W30" s="115" t="str">
        <f>IF(SubjectList!G30="Finance","Finance",IF(SubjectList!G30="Production","Production",IF(SubjectList!G30="Economics","Not Given")))</f>
        <v>Finance</v>
      </c>
      <c r="X30" s="115" t="str">
        <f>IF(SubjectList!H30="Finance","Finance",IF(SubjectList!H30="Production","Production",IF(SubjectList!H30="Economics","Economics","Not Given")))</f>
        <v>Economics</v>
      </c>
      <c r="Y30" s="113" t="str">
        <f>Bangla!F30</f>
        <v>F</v>
      </c>
      <c r="Z30" s="113" t="str">
        <f>English!E30</f>
        <v>F</v>
      </c>
      <c r="AA30" s="113" t="str">
        <f>ICT!G30</f>
        <v>F</v>
      </c>
      <c r="AB30" s="113" t="str">
        <f>Accounting!F30</f>
        <v>F</v>
      </c>
      <c r="AC30" s="113" t="str">
        <f>'Business Organization'!F30</f>
        <v>F</v>
      </c>
      <c r="AD30" s="113" t="str">
        <f>Production!F30</f>
        <v/>
      </c>
      <c r="AE30" s="113" t="str">
        <f>Finance!F30</f>
        <v>F</v>
      </c>
      <c r="AF30" s="122">
        <f>Bangla!G30</f>
        <v>0</v>
      </c>
      <c r="AG30" s="122">
        <f>English!F30</f>
        <v>0</v>
      </c>
      <c r="AH30" s="120">
        <f>ICT!H30</f>
        <v>0</v>
      </c>
      <c r="AI30" s="120">
        <f>Accounting!G30</f>
        <v>0</v>
      </c>
      <c r="AJ30" s="120">
        <f>'Business Organization'!G30</f>
        <v>0</v>
      </c>
      <c r="AK30" s="120">
        <f>IF(SubjectList!G30="Finance",Finance!G30,IF(SubjectList!G30="Production",Production!G30,IF(SubjectList!G30="Economics",Economics!G30)))</f>
        <v>0</v>
      </c>
      <c r="AL30" s="120">
        <f>Finance!G30</f>
        <v>0</v>
      </c>
      <c r="AM30" s="120">
        <f>Optional!H30</f>
        <v>0</v>
      </c>
      <c r="AN30" s="120">
        <f>Optional!I30</f>
        <v>0</v>
      </c>
      <c r="AO30" s="120" t="str">
        <f t="shared" si="0"/>
        <v/>
      </c>
      <c r="AP30" s="120">
        <f t="shared" si="1"/>
        <v>0</v>
      </c>
      <c r="AQ30" s="116" t="str">
        <f t="shared" si="2"/>
        <v/>
      </c>
      <c r="AR30" s="116" t="str">
        <f t="shared" si="3"/>
        <v/>
      </c>
      <c r="AS30" s="117">
        <f t="shared" si="4"/>
        <v>190</v>
      </c>
      <c r="AT30" s="118">
        <f t="shared" si="5"/>
        <v>0</v>
      </c>
      <c r="AU30" s="118">
        <f t="shared" si="6"/>
        <v>0</v>
      </c>
      <c r="AV30" s="118">
        <f t="shared" si="7"/>
        <v>0</v>
      </c>
      <c r="AW30" s="118">
        <f t="shared" si="8"/>
        <v>0</v>
      </c>
      <c r="AX30" s="118">
        <f t="shared" si="9"/>
        <v>0</v>
      </c>
      <c r="AY30" s="118">
        <f t="shared" si="10"/>
        <v>0</v>
      </c>
      <c r="AZ30" s="111">
        <f t="shared" si="11"/>
        <v>0</v>
      </c>
      <c r="BA30" s="111" t="str">
        <f t="shared" si="12"/>
        <v>F6</v>
      </c>
      <c r="BB30" s="117" t="str">
        <f>IF(AR30="","",RANK(AR30,AR$2:AR145,0))</f>
        <v/>
      </c>
      <c r="BC30" s="111" t="str">
        <f t="shared" si="13"/>
        <v/>
      </c>
    </row>
    <row r="31" spans="1:55" x14ac:dyDescent="0.35">
      <c r="A31" s="113">
        <f>'Student Basic Info'!A31</f>
        <v>530</v>
      </c>
      <c r="B31" s="113" t="str">
        <f>'Student Basic Info'!C31</f>
        <v>Mahmud Hasan Fuad</v>
      </c>
      <c r="C31" s="121" t="str">
        <f>IF(Bangla!B31="","",Bangla!B31)</f>
        <v/>
      </c>
      <c r="D31" s="121" t="str">
        <f>IF(Bangla!C31="","",Bangla!C31)</f>
        <v/>
      </c>
      <c r="E31" s="112" t="str">
        <f>IF(Bangla!D31="","",Bangla!D31)</f>
        <v/>
      </c>
      <c r="F31" s="112" t="str">
        <f>IF(English!C31="","",English!C31)</f>
        <v/>
      </c>
      <c r="G31" s="113" t="str">
        <f>IF(ICT!B31="","",ICT!B31)</f>
        <v/>
      </c>
      <c r="H31" s="113" t="str">
        <f>IF(ICT!C31="","",ICT!C31)</f>
        <v/>
      </c>
      <c r="I31" s="113" t="str">
        <f>IF(ICT!D31="","",ICT!D31)</f>
        <v/>
      </c>
      <c r="J31" s="114" t="str">
        <f>IF(ICT!E31="","",ICT!E31)</f>
        <v/>
      </c>
      <c r="K31" s="113" t="str">
        <f>IF(Accounting!B31="","",Accounting!B31)</f>
        <v/>
      </c>
      <c r="L31" s="113" t="str">
        <f>IF(Accounting!C31="","",Accounting!C31)</f>
        <v/>
      </c>
      <c r="M31" s="114" t="str">
        <f>IF(Accounting!D31="","",Accounting!D31)</f>
        <v/>
      </c>
      <c r="N31" s="113" t="str">
        <f>IF('Business Organization'!B31="","",'Business Organization'!B31)</f>
        <v/>
      </c>
      <c r="O31" s="113" t="str">
        <f>IF('Business Organization'!C31="","",'Business Organization'!C31)</f>
        <v/>
      </c>
      <c r="P31" s="114" t="str">
        <f>IF('Business Organization'!D31="","",'Business Organization'!D31)</f>
        <v/>
      </c>
      <c r="Q31" s="113" t="str">
        <f>IF(SubjectList!G31="Finance",IF(Finance!B31=0,"", Finance!B31),IF(SubjectList!G31="Production",IF(Production!B31=0,"", Production!B31),IF(SubjectList!G31="Economics",IF(Economics!B31=0,"", Economics!B31))))</f>
        <v/>
      </c>
      <c r="R31" s="113" t="str">
        <f>IF(SubjectList!G31="Finance",IF(Finance!C31=0,"", Finance!C31),IF(SubjectList!G31="Production",IF(Production!C31=0,"", Production!C31),IF(SubjectList!G31="Economics",IF(Economics!C31=0,"", Economics!C31))))</f>
        <v/>
      </c>
      <c r="S31" s="114" t="str">
        <f>IF(SubjectList!G31="Finance",IF(Finance!D31=0,"", Finance!D31),IF(SubjectList!G31="Production",IF(Production!D31=0,"", Production!D31),IF(SubjectList!G31="Economics",IF(Economics!D31=0,"", Economics!D31))))</f>
        <v/>
      </c>
      <c r="T31" s="113" t="str">
        <f>IF(SubjectList!H31="Finance",IF(Finance!B31=0,"", Finance!B31),IF(SubjectList!H31="Production",IF(Production!B31=0,"", Production!B31),IF(SubjectList!H31="Economics",IF(Economics!B31=0,"", Economics!B31))))</f>
        <v/>
      </c>
      <c r="U31" s="113" t="str">
        <f>IF(SubjectList!H31="Finance",IF(Finance!C31=0,"", Finance!C31),IF(SubjectList!H31="Production",IF(Production!C31=0,"", Production!C31),IF(SubjectList!H31="Economics",IF(Economics!C31=0,"", Economics!C31))))</f>
        <v/>
      </c>
      <c r="V31" s="114" t="str">
        <f>IF(SubjectList!H31="Finance",IF(Finance!D31=0,"", Finance!D31),IF(SubjectList!H31="Production",IF(Production!D31=0,"", Production!D31),IF(SubjectList!H31="Economics",IF(Economics!D31=0,"", Economics!D31))))</f>
        <v/>
      </c>
      <c r="W31" s="115" t="str">
        <f>IF(SubjectList!G31="Finance","Finance",IF(SubjectList!G31="Production","Production",IF(SubjectList!G31="Economics","Not Given")))</f>
        <v>Finance</v>
      </c>
      <c r="X31" s="115" t="str">
        <f>IF(SubjectList!H31="Finance","Finance",IF(SubjectList!H31="Production","Production",IF(SubjectList!H31="Economics","Economics","Not Given")))</f>
        <v>Production</v>
      </c>
      <c r="Y31" s="113" t="str">
        <f>Bangla!F31</f>
        <v/>
      </c>
      <c r="Z31" s="113" t="str">
        <f>English!E31</f>
        <v/>
      </c>
      <c r="AA31" s="113" t="str">
        <f>ICT!G31</f>
        <v/>
      </c>
      <c r="AB31" s="113" t="str">
        <f>Accounting!F31</f>
        <v/>
      </c>
      <c r="AC31" s="113" t="str">
        <f>'Business Organization'!F31</f>
        <v/>
      </c>
      <c r="AD31" s="113" t="str">
        <f>Production!F31</f>
        <v/>
      </c>
      <c r="AE31" s="113" t="str">
        <f>Finance!F31</f>
        <v/>
      </c>
      <c r="AF31" s="122" t="str">
        <f>Bangla!G31</f>
        <v/>
      </c>
      <c r="AG31" s="122" t="str">
        <f>English!F31</f>
        <v/>
      </c>
      <c r="AH31" s="120" t="str">
        <f>ICT!H31</f>
        <v/>
      </c>
      <c r="AI31" s="120" t="str">
        <f>Accounting!G31</f>
        <v/>
      </c>
      <c r="AJ31" s="120" t="str">
        <f>'Business Organization'!G31</f>
        <v/>
      </c>
      <c r="AK31" s="120" t="str">
        <f>IF(SubjectList!G31="Finance",Finance!G31,IF(SubjectList!G31="Production",Production!G31,IF(SubjectList!G31="Economics",Economics!G31)))</f>
        <v/>
      </c>
      <c r="AL31" s="120" t="str">
        <f>Finance!G31</f>
        <v/>
      </c>
      <c r="AM31" s="120" t="str">
        <f>Optional!H31</f>
        <v/>
      </c>
      <c r="AN31" s="120" t="str">
        <f>Optional!I31</f>
        <v/>
      </c>
      <c r="AO31" s="120" t="str">
        <f t="shared" si="0"/>
        <v/>
      </c>
      <c r="AP31" s="120">
        <f t="shared" si="1"/>
        <v>0</v>
      </c>
      <c r="AQ31" s="116" t="str">
        <f t="shared" si="2"/>
        <v/>
      </c>
      <c r="AR31" s="116" t="str">
        <f t="shared" si="3"/>
        <v/>
      </c>
      <c r="AS31" s="117">
        <f t="shared" si="4"/>
        <v>0</v>
      </c>
      <c r="AT31" s="118">
        <f t="shared" si="5"/>
        <v>0</v>
      </c>
      <c r="AU31" s="118">
        <f t="shared" si="6"/>
        <v>0</v>
      </c>
      <c r="AV31" s="118">
        <f t="shared" si="7"/>
        <v>0</v>
      </c>
      <c r="AW31" s="118">
        <f t="shared" si="8"/>
        <v>0</v>
      </c>
      <c r="AX31" s="118">
        <f t="shared" si="9"/>
        <v>0</v>
      </c>
      <c r="AY31" s="118">
        <f t="shared" si="10"/>
        <v>0</v>
      </c>
      <c r="AZ31" s="111">
        <f t="shared" si="11"/>
        <v>0</v>
      </c>
      <c r="BA31" s="111" t="str">
        <f t="shared" si="12"/>
        <v>F6</v>
      </c>
      <c r="BB31" s="117" t="str">
        <f>IF(AR31="","",RANK(AR31,AR$2:AR145,0))</f>
        <v/>
      </c>
      <c r="BC31" s="111" t="str">
        <f t="shared" si="13"/>
        <v/>
      </c>
    </row>
    <row r="32" spans="1:55" x14ac:dyDescent="0.35">
      <c r="A32" s="113">
        <f>'Student Basic Info'!A32</f>
        <v>531</v>
      </c>
      <c r="B32" s="113" t="str">
        <f>'Student Basic Info'!C32</f>
        <v>Zabeb Hosain</v>
      </c>
      <c r="C32" s="121" t="str">
        <f>IF(Bangla!B32="","",Bangla!B32)</f>
        <v/>
      </c>
      <c r="D32" s="121">
        <f>IF(Bangla!C32="","",Bangla!C32)</f>
        <v>33</v>
      </c>
      <c r="E32" s="112">
        <f>IF(Bangla!D32="","",Bangla!D32)</f>
        <v>33</v>
      </c>
      <c r="F32" s="112">
        <f>IF(English!C32="","",English!C32)</f>
        <v>17</v>
      </c>
      <c r="G32" s="113">
        <f>IF(ICT!B32="","",ICT!B32)</f>
        <v>9</v>
      </c>
      <c r="H32" s="113">
        <f>IF(ICT!C32="","",ICT!C32)</f>
        <v>8</v>
      </c>
      <c r="I32" s="113">
        <f>IF(ICT!D32="","",ICT!D32)</f>
        <v>8</v>
      </c>
      <c r="J32" s="114">
        <f>IF(ICT!E32="","",ICT!E32)</f>
        <v>25</v>
      </c>
      <c r="K32" s="113">
        <f>IF(Accounting!B32="","",Accounting!B32)</f>
        <v>8</v>
      </c>
      <c r="L32" s="113">
        <f>IF(Accounting!C32="","",Accounting!C32)</f>
        <v>12</v>
      </c>
      <c r="M32" s="114">
        <f>IF(Accounting!D32="","",Accounting!D32)</f>
        <v>20</v>
      </c>
      <c r="N32" s="113">
        <f>IF('Business Organization'!B32="","",'Business Organization'!B32)</f>
        <v>17</v>
      </c>
      <c r="O32" s="113">
        <f>IF('Business Organization'!C32="","",'Business Organization'!C32)</f>
        <v>9</v>
      </c>
      <c r="P32" s="114">
        <f>IF('Business Organization'!D32="","",'Business Organization'!D32)</f>
        <v>26</v>
      </c>
      <c r="Q32" s="113">
        <f>IF(SubjectList!G32="Finance",IF(Finance!B32=0,"", Finance!B32),IF(SubjectList!G32="Production",IF(Production!B32=0,"", Production!B32),IF(SubjectList!G32="Economics",IF(Economics!B32=0,"", Economics!B32))))</f>
        <v>7</v>
      </c>
      <c r="R32" s="113">
        <f>IF(SubjectList!G32="Finance",IF(Finance!C32=0,"", Finance!C32),IF(SubjectList!G32="Production",IF(Production!C32=0,"", Production!C32),IF(SubjectList!G32="Economics",IF(Economics!C32=0,"", Economics!C32))))</f>
        <v>13</v>
      </c>
      <c r="S32" s="114">
        <f>IF(SubjectList!G32="Finance",IF(Finance!D32=0,"", Finance!D32),IF(SubjectList!G32="Production",IF(Production!D32=0,"", Production!D32),IF(SubjectList!G32="Economics",IF(Economics!D32=0,"", Economics!D32))))</f>
        <v>20</v>
      </c>
      <c r="T32" s="113">
        <f>IF(SubjectList!H32="Finance",IF(Finance!B32=0,"", Finance!B32),IF(SubjectList!H32="Production",IF(Production!B32=0,"", Production!B32),IF(SubjectList!H32="Economics",IF(Economics!B32=0,"", Economics!B32))))</f>
        <v>13</v>
      </c>
      <c r="U32" s="113">
        <f>IF(SubjectList!H32="Finance",IF(Finance!C32=0,"", Finance!C32),IF(SubjectList!H32="Production",IF(Production!C32=0,"", Production!C32),IF(SubjectList!H32="Economics",IF(Economics!C32=0,"", Economics!C32))))</f>
        <v>30</v>
      </c>
      <c r="V32" s="114">
        <f>IF(SubjectList!H32="Finance",IF(Finance!D32=0,"", Finance!D32),IF(SubjectList!H32="Production",IF(Production!D32=0,"", Production!D32),IF(SubjectList!H32="Economics",IF(Economics!D32=0,"", Economics!D32))))</f>
        <v>43</v>
      </c>
      <c r="W32" s="115" t="str">
        <f>IF(SubjectList!G32="Finance","Finance",IF(SubjectList!G32="Production","Production",IF(SubjectList!G32="Economics","Not Given")))</f>
        <v>Finance</v>
      </c>
      <c r="X32" s="115" t="str">
        <f>IF(SubjectList!H32="Finance","Finance",IF(SubjectList!H32="Production","Production",IF(SubjectList!H32="Economics","Economics","Not Given")))</f>
        <v>Production</v>
      </c>
      <c r="Y32" s="113" t="str">
        <f>Bangla!F32</f>
        <v>D</v>
      </c>
      <c r="Z32" s="113" t="str">
        <f>English!E32</f>
        <v>F</v>
      </c>
      <c r="AA32" s="113" t="str">
        <f>ICT!G32</f>
        <v>F</v>
      </c>
      <c r="AB32" s="113" t="str">
        <f>Accounting!F32</f>
        <v>F</v>
      </c>
      <c r="AC32" s="113" t="str">
        <f>'Business Organization'!F32</f>
        <v>F</v>
      </c>
      <c r="AD32" s="113" t="str">
        <f>Production!F32</f>
        <v>C</v>
      </c>
      <c r="AE32" s="113" t="str">
        <f>Finance!F32</f>
        <v>F</v>
      </c>
      <c r="AF32" s="122">
        <f>Bangla!G32</f>
        <v>1</v>
      </c>
      <c r="AG32" s="122">
        <f>English!F32</f>
        <v>0</v>
      </c>
      <c r="AH32" s="120">
        <f>ICT!H32</f>
        <v>0</v>
      </c>
      <c r="AI32" s="120">
        <f>Accounting!G32</f>
        <v>0</v>
      </c>
      <c r="AJ32" s="120">
        <f>'Business Organization'!G32</f>
        <v>0</v>
      </c>
      <c r="AK32" s="120">
        <f>IF(SubjectList!G32="Finance",Finance!G32,IF(SubjectList!G32="Production",Production!G32,IF(SubjectList!G32="Economics",Economics!G32)))</f>
        <v>0</v>
      </c>
      <c r="AL32" s="120">
        <f>Finance!G32</f>
        <v>0</v>
      </c>
      <c r="AM32" s="120">
        <f>Optional!H32</f>
        <v>2</v>
      </c>
      <c r="AN32" s="120">
        <f>Optional!I32</f>
        <v>0</v>
      </c>
      <c r="AO32" s="120">
        <f t="shared" si="0"/>
        <v>1</v>
      </c>
      <c r="AP32" s="120">
        <f t="shared" si="1"/>
        <v>1</v>
      </c>
      <c r="AQ32" s="116" t="str">
        <f t="shared" si="2"/>
        <v/>
      </c>
      <c r="AR32" s="116" t="str">
        <f t="shared" si="3"/>
        <v/>
      </c>
      <c r="AS32" s="117">
        <f t="shared" si="4"/>
        <v>184</v>
      </c>
      <c r="AT32" s="118">
        <f t="shared" si="5"/>
        <v>1</v>
      </c>
      <c r="AU32" s="118">
        <f t="shared" si="6"/>
        <v>0</v>
      </c>
      <c r="AV32" s="118">
        <f t="shared" si="7"/>
        <v>0</v>
      </c>
      <c r="AW32" s="118">
        <f t="shared" si="8"/>
        <v>0</v>
      </c>
      <c r="AX32" s="118">
        <f t="shared" si="9"/>
        <v>0</v>
      </c>
      <c r="AY32" s="118">
        <f t="shared" si="10"/>
        <v>0</v>
      </c>
      <c r="AZ32" s="111">
        <f t="shared" si="11"/>
        <v>1</v>
      </c>
      <c r="BA32" s="111" t="str">
        <f t="shared" si="12"/>
        <v>F5</v>
      </c>
      <c r="BB32" s="117" t="str">
        <f>IF(AR32="","",RANK(AR32,AR$2:AR145,0))</f>
        <v/>
      </c>
      <c r="BC32" s="111" t="str">
        <f t="shared" si="13"/>
        <v/>
      </c>
    </row>
    <row r="33" spans="1:55" x14ac:dyDescent="0.35">
      <c r="A33" s="113">
        <f>'Student Basic Info'!A33</f>
        <v>532</v>
      </c>
      <c r="B33" s="113" t="str">
        <f>'Student Basic Info'!C33</f>
        <v>Shahinur Islam</v>
      </c>
      <c r="C33" s="121" t="str">
        <f>IF(Bangla!B33="","",Bangla!B33)</f>
        <v/>
      </c>
      <c r="D33" s="121" t="str">
        <f>IF(Bangla!C33="","",Bangla!C33)</f>
        <v/>
      </c>
      <c r="E33" s="112" t="str">
        <f>IF(Bangla!D33="","",Bangla!D33)</f>
        <v/>
      </c>
      <c r="F33" s="112" t="str">
        <f>IF(English!C33="","",English!C33)</f>
        <v/>
      </c>
      <c r="G33" s="113" t="str">
        <f>IF(ICT!B33="","",ICT!B33)</f>
        <v/>
      </c>
      <c r="H33" s="113" t="str">
        <f>IF(ICT!C33="","",ICT!C33)</f>
        <v/>
      </c>
      <c r="I33" s="113" t="str">
        <f>IF(ICT!D33="","",ICT!D33)</f>
        <v/>
      </c>
      <c r="J33" s="114" t="str">
        <f>IF(ICT!E33="","",ICT!E33)</f>
        <v/>
      </c>
      <c r="K33" s="113" t="str">
        <f>IF(Accounting!B33="","",Accounting!B33)</f>
        <v/>
      </c>
      <c r="L33" s="113" t="str">
        <f>IF(Accounting!C33="","",Accounting!C33)</f>
        <v/>
      </c>
      <c r="M33" s="114" t="str">
        <f>IF(Accounting!D33="","",Accounting!D33)</f>
        <v/>
      </c>
      <c r="N33" s="113" t="str">
        <f>IF('Business Organization'!B33="","",'Business Organization'!B33)</f>
        <v/>
      </c>
      <c r="O33" s="113" t="str">
        <f>IF('Business Organization'!C33="","",'Business Organization'!C33)</f>
        <v/>
      </c>
      <c r="P33" s="114" t="str">
        <f>IF('Business Organization'!D33="","",'Business Organization'!D33)</f>
        <v/>
      </c>
      <c r="Q33" s="113" t="str">
        <f>IF(SubjectList!G33="Finance",IF(Finance!B33=0,"", Finance!B33),IF(SubjectList!G33="Production",IF(Production!B33=0,"", Production!B33),IF(SubjectList!G33="Economics",IF(Economics!B33=0,"", Economics!B33))))</f>
        <v/>
      </c>
      <c r="R33" s="113" t="str">
        <f>IF(SubjectList!G33="Finance",IF(Finance!C33=0,"", Finance!C33),IF(SubjectList!G33="Production",IF(Production!C33=0,"", Production!C33),IF(SubjectList!G33="Economics",IF(Economics!C33=0,"", Economics!C33))))</f>
        <v/>
      </c>
      <c r="S33" s="114" t="str">
        <f>IF(SubjectList!G33="Finance",IF(Finance!D33=0,"", Finance!D33),IF(SubjectList!G33="Production",IF(Production!D33=0,"", Production!D33),IF(SubjectList!G33="Economics",IF(Economics!D33=0,"", Economics!D33))))</f>
        <v/>
      </c>
      <c r="T33" s="113" t="str">
        <f>IF(SubjectList!H33="Finance",IF(Finance!B33=0,"", Finance!B33),IF(SubjectList!H33="Production",IF(Production!B33=0,"", Production!B33),IF(SubjectList!H33="Economics",IF(Economics!B33=0,"", Economics!B33))))</f>
        <v/>
      </c>
      <c r="U33" s="113" t="str">
        <f>IF(SubjectList!H33="Finance",IF(Finance!C33=0,"", Finance!C33),IF(SubjectList!H33="Production",IF(Production!C33=0,"", Production!C33),IF(SubjectList!H33="Economics",IF(Economics!C33=0,"", Economics!C33))))</f>
        <v/>
      </c>
      <c r="V33" s="114" t="str">
        <f>IF(SubjectList!H33="Finance",IF(Finance!D33=0,"", Finance!D33),IF(SubjectList!H33="Production",IF(Production!D33=0,"", Production!D33),IF(SubjectList!H33="Economics",IF(Economics!D33=0,"", Economics!D33))))</f>
        <v/>
      </c>
      <c r="W33" s="115" t="str">
        <f>IF(SubjectList!G33="Finance","Finance",IF(SubjectList!G33="Production","Production",IF(SubjectList!G33="Economics","Not Given")))</f>
        <v>Finance</v>
      </c>
      <c r="X33" s="115" t="str">
        <f>IF(SubjectList!H33="Finance","Finance",IF(SubjectList!H33="Production","Production",IF(SubjectList!H33="Economics","Economics","Not Given")))</f>
        <v>Production</v>
      </c>
      <c r="Y33" s="113" t="str">
        <f>Bangla!F33</f>
        <v/>
      </c>
      <c r="Z33" s="113" t="str">
        <f>English!E33</f>
        <v/>
      </c>
      <c r="AA33" s="113" t="str">
        <f>ICT!G33</f>
        <v/>
      </c>
      <c r="AB33" s="113" t="str">
        <f>Accounting!F33</f>
        <v/>
      </c>
      <c r="AC33" s="113" t="str">
        <f>'Business Organization'!F33</f>
        <v/>
      </c>
      <c r="AD33" s="113" t="str">
        <f>Production!F33</f>
        <v/>
      </c>
      <c r="AE33" s="113" t="str">
        <f>Finance!F33</f>
        <v/>
      </c>
      <c r="AF33" s="122" t="str">
        <f>Bangla!G33</f>
        <v/>
      </c>
      <c r="AG33" s="122" t="str">
        <f>English!F33</f>
        <v/>
      </c>
      <c r="AH33" s="120" t="str">
        <f>ICT!H33</f>
        <v/>
      </c>
      <c r="AI33" s="120" t="str">
        <f>Accounting!G33</f>
        <v/>
      </c>
      <c r="AJ33" s="120" t="str">
        <f>'Business Organization'!G33</f>
        <v/>
      </c>
      <c r="AK33" s="120" t="str">
        <f>IF(SubjectList!G33="Finance",Finance!G33,IF(SubjectList!G33="Production",Production!G33,IF(SubjectList!G33="Economics",Economics!G33)))</f>
        <v/>
      </c>
      <c r="AL33" s="120" t="str">
        <f>Finance!G33</f>
        <v/>
      </c>
      <c r="AM33" s="120" t="str">
        <f>Optional!H33</f>
        <v/>
      </c>
      <c r="AN33" s="120" t="str">
        <f>Optional!I33</f>
        <v/>
      </c>
      <c r="AO33" s="120" t="str">
        <f t="shared" si="0"/>
        <v/>
      </c>
      <c r="AP33" s="120">
        <f t="shared" si="1"/>
        <v>0</v>
      </c>
      <c r="AQ33" s="116" t="str">
        <f t="shared" si="2"/>
        <v/>
      </c>
      <c r="AR33" s="116" t="str">
        <f t="shared" si="3"/>
        <v/>
      </c>
      <c r="AS33" s="117">
        <f t="shared" si="4"/>
        <v>0</v>
      </c>
      <c r="AT33" s="118">
        <f t="shared" si="5"/>
        <v>0</v>
      </c>
      <c r="AU33" s="118">
        <f t="shared" si="6"/>
        <v>0</v>
      </c>
      <c r="AV33" s="118">
        <f t="shared" si="7"/>
        <v>0</v>
      </c>
      <c r="AW33" s="118">
        <f t="shared" si="8"/>
        <v>0</v>
      </c>
      <c r="AX33" s="118">
        <f t="shared" si="9"/>
        <v>0</v>
      </c>
      <c r="AY33" s="118">
        <f t="shared" si="10"/>
        <v>0</v>
      </c>
      <c r="AZ33" s="111">
        <f t="shared" si="11"/>
        <v>0</v>
      </c>
      <c r="BA33" s="111" t="str">
        <f t="shared" si="12"/>
        <v>F6</v>
      </c>
      <c r="BB33" s="117" t="str">
        <f>IF(AR33="","",RANK(AR33,AR$2:AR145,0))</f>
        <v/>
      </c>
      <c r="BC33" s="111" t="str">
        <f t="shared" si="13"/>
        <v/>
      </c>
    </row>
    <row r="34" spans="1:55" x14ac:dyDescent="0.35">
      <c r="A34" s="113">
        <f>'Student Basic Info'!A34</f>
        <v>533</v>
      </c>
      <c r="B34" s="113" t="str">
        <f>'Student Basic Info'!C34</f>
        <v>Md. Al Amin Haydar</v>
      </c>
      <c r="C34" s="121" t="str">
        <f>IF(Bangla!B34="","",Bangla!B34)</f>
        <v/>
      </c>
      <c r="D34" s="121" t="str">
        <f>IF(Bangla!C34="","",Bangla!C34)</f>
        <v/>
      </c>
      <c r="E34" s="112" t="str">
        <f>IF(Bangla!D34="","",Bangla!D34)</f>
        <v/>
      </c>
      <c r="F34" s="112" t="str">
        <f>IF(English!C34="","",English!C34)</f>
        <v/>
      </c>
      <c r="G34" s="113" t="str">
        <f>IF(ICT!B34="","",ICT!B34)</f>
        <v/>
      </c>
      <c r="H34" s="113" t="str">
        <f>IF(ICT!C34="","",ICT!C34)</f>
        <v/>
      </c>
      <c r="I34" s="113" t="str">
        <f>IF(ICT!D34="","",ICT!D34)</f>
        <v/>
      </c>
      <c r="J34" s="114" t="str">
        <f>IF(ICT!E34="","",ICT!E34)</f>
        <v/>
      </c>
      <c r="K34" s="113" t="str">
        <f>IF(Accounting!B34="","",Accounting!B34)</f>
        <v/>
      </c>
      <c r="L34" s="113" t="str">
        <f>IF(Accounting!C34="","",Accounting!C34)</f>
        <v/>
      </c>
      <c r="M34" s="114" t="str">
        <f>IF(Accounting!D34="","",Accounting!D34)</f>
        <v/>
      </c>
      <c r="N34" s="113" t="str">
        <f>IF('Business Organization'!B34="","",'Business Organization'!B34)</f>
        <v/>
      </c>
      <c r="O34" s="113" t="str">
        <f>IF('Business Organization'!C34="","",'Business Organization'!C34)</f>
        <v/>
      </c>
      <c r="P34" s="114" t="str">
        <f>IF('Business Organization'!D34="","",'Business Organization'!D34)</f>
        <v/>
      </c>
      <c r="Q34" s="113" t="str">
        <f>IF(SubjectList!G34="Finance",IF(Finance!B34=0,"", Finance!B34),IF(SubjectList!G34="Production",IF(Production!B34=0,"", Production!B34),IF(SubjectList!G34="Economics",IF(Economics!B34=0,"", Economics!B34))))</f>
        <v/>
      </c>
      <c r="R34" s="113" t="str">
        <f>IF(SubjectList!G34="Finance",IF(Finance!C34=0,"", Finance!C34),IF(SubjectList!G34="Production",IF(Production!C34=0,"", Production!C34),IF(SubjectList!G34="Economics",IF(Economics!C34=0,"", Economics!C34))))</f>
        <v/>
      </c>
      <c r="S34" s="114" t="str">
        <f>IF(SubjectList!G34="Finance",IF(Finance!D34=0,"", Finance!D34),IF(SubjectList!G34="Production",IF(Production!D34=0,"", Production!D34),IF(SubjectList!G34="Economics",IF(Economics!D34=0,"", Economics!D34))))</f>
        <v/>
      </c>
      <c r="T34" s="113" t="str">
        <f>IF(SubjectList!H34="Finance",IF(Finance!B34=0,"", Finance!B34),IF(SubjectList!H34="Production",IF(Production!B34=0,"", Production!B34),IF(SubjectList!H34="Economics",IF(Economics!B34=0,"", Economics!B34))))</f>
        <v/>
      </c>
      <c r="U34" s="113" t="str">
        <f>IF(SubjectList!H34="Finance",IF(Finance!C34=0,"", Finance!C34),IF(SubjectList!H34="Production",IF(Production!C34=0,"", Production!C34),IF(SubjectList!H34="Economics",IF(Economics!C34=0,"", Economics!C34))))</f>
        <v/>
      </c>
      <c r="V34" s="114" t="str">
        <f>IF(SubjectList!H34="Finance",IF(Finance!D34=0,"", Finance!D34),IF(SubjectList!H34="Production",IF(Production!D34=0,"", Production!D34),IF(SubjectList!H34="Economics",IF(Economics!D34=0,"", Economics!D34))))</f>
        <v/>
      </c>
      <c r="W34" s="115" t="str">
        <f>IF(SubjectList!G34="Finance","Finance",IF(SubjectList!G34="Production","Production",IF(SubjectList!G34="Economics","Not Given")))</f>
        <v>Finance</v>
      </c>
      <c r="X34" s="115" t="str">
        <f>IF(SubjectList!H34="Finance","Finance",IF(SubjectList!H34="Production","Production",IF(SubjectList!H34="Economics","Economics","Not Given")))</f>
        <v>Production</v>
      </c>
      <c r="Y34" s="113" t="str">
        <f>Bangla!F34</f>
        <v/>
      </c>
      <c r="Z34" s="113" t="str">
        <f>English!E34</f>
        <v/>
      </c>
      <c r="AA34" s="113" t="str">
        <f>ICT!G34</f>
        <v/>
      </c>
      <c r="AB34" s="113" t="str">
        <f>Accounting!F34</f>
        <v/>
      </c>
      <c r="AC34" s="113" t="str">
        <f>'Business Organization'!F34</f>
        <v/>
      </c>
      <c r="AD34" s="113" t="str">
        <f>Production!F34</f>
        <v/>
      </c>
      <c r="AE34" s="113" t="str">
        <f>Finance!F34</f>
        <v/>
      </c>
      <c r="AF34" s="122" t="str">
        <f>Bangla!G34</f>
        <v/>
      </c>
      <c r="AG34" s="122" t="str">
        <f>English!F34</f>
        <v/>
      </c>
      <c r="AH34" s="120" t="str">
        <f>ICT!H34</f>
        <v/>
      </c>
      <c r="AI34" s="120" t="str">
        <f>Accounting!G34</f>
        <v/>
      </c>
      <c r="AJ34" s="120" t="str">
        <f>'Business Organization'!G34</f>
        <v/>
      </c>
      <c r="AK34" s="120" t="str">
        <f>IF(SubjectList!G34="Finance",Finance!G34,IF(SubjectList!G34="Production",Production!G34,IF(SubjectList!G34="Economics",Economics!G34)))</f>
        <v/>
      </c>
      <c r="AL34" s="120" t="str">
        <f>Finance!G34</f>
        <v/>
      </c>
      <c r="AM34" s="120" t="str">
        <f>Optional!H34</f>
        <v/>
      </c>
      <c r="AN34" s="120" t="str">
        <f>Optional!I34</f>
        <v/>
      </c>
      <c r="AO34" s="120" t="str">
        <f t="shared" ref="AO34:AO65" si="14">IF(AZ34=0, "", SUM(AF34:AK34))</f>
        <v/>
      </c>
      <c r="AP34" s="120">
        <f t="shared" ref="AP34:AP65" si="15">SUM(AN34:AO34)</f>
        <v>0</v>
      </c>
      <c r="AQ34" s="116" t="str">
        <f t="shared" ref="AQ34:AQ65" si="16">IF(AZ34=6,IF(AP34&gt;=30,5,(AP34-AN34)/6),"")</f>
        <v/>
      </c>
      <c r="AR34" s="116" t="str">
        <f t="shared" ref="AR34:AR65" si="17">IF(AZ34=6, IF(AP34&gt;=30,5,AP34/6), "")</f>
        <v/>
      </c>
      <c r="AS34" s="117">
        <f t="shared" ref="AS34:AS65" si="18">IF(E34="",0,E34)+IF(F34="",0,F34)+IF(J34="",0,J34)+IF(M34="",0,M34)+IF(P34="",0,P34)+IF(S34="",0,S34)+IF(V34="",0,V34)</f>
        <v>0</v>
      </c>
      <c r="AT34" s="118">
        <f t="shared" ref="AT34:AT65" si="19">(IF(AF34="",0,IF(AF34=0,0,1)))</f>
        <v>0</v>
      </c>
      <c r="AU34" s="118">
        <f t="shared" ref="AU34:AU65" si="20">(IF(AG34="",0,IF(AG34=0,0,1)))</f>
        <v>0</v>
      </c>
      <c r="AV34" s="118">
        <f t="shared" ref="AV34:AV65" si="21">(IF(AH34="",0,IF(AH34=0,0,1)))</f>
        <v>0</v>
      </c>
      <c r="AW34" s="118">
        <f t="shared" ref="AW34:AW65" si="22">(IF(AI34="",0,IF(AI34=0,0,1)))</f>
        <v>0</v>
      </c>
      <c r="AX34" s="118">
        <f t="shared" ref="AX34:AX65" si="23">(IF(AJ34="",0,IF(AJ34=0,0,1)))</f>
        <v>0</v>
      </c>
      <c r="AY34" s="118">
        <f t="shared" ref="AY34:AY65" si="24">(IF(AK34="",0,IF(AK34=0,0,1)))</f>
        <v>0</v>
      </c>
      <c r="AZ34" s="111">
        <f t="shared" ref="AZ34:AZ65" si="25">SUM(AT34:AY34)</f>
        <v>0</v>
      </c>
      <c r="BA34" s="111" t="str">
        <f t="shared" ref="BA34:BA65" si="26">IF(AZ34=0,"F6",IF(AZ34=1,"F5",IF(AZ34=2,"F4",IF(AZ34=3,"F3",IF(AZ34=4,"F2",IF(AZ34=5,"F1",IF(AZ34=6,"Pass")))))))</f>
        <v>F6</v>
      </c>
      <c r="BB34" s="117" t="str">
        <f>IF(AR34="","",RANK(AR34,AR$2:AR145,0))</f>
        <v/>
      </c>
      <c r="BC34" s="111" t="str">
        <f t="shared" ref="BC34:BC65" si="27">IF(AR34&gt;=5,"",IF(AR34&gt;=4,"A",IF(AR34&gt;=3.5,"A-",IF(AR34&gt;=3,"B",IF(AR34&gt;=2,"C",IF(AR34&gt;=1,"D","F"))))))</f>
        <v/>
      </c>
    </row>
    <row r="35" spans="1:55" x14ac:dyDescent="0.35">
      <c r="A35" s="113">
        <f>'Student Basic Info'!A35</f>
        <v>534</v>
      </c>
      <c r="B35" s="113" t="str">
        <f>'Student Basic Info'!C35</f>
        <v>Md. Hasanain Hosain</v>
      </c>
      <c r="C35" s="121" t="str">
        <f>IF(Bangla!B35="","",Bangla!B35)</f>
        <v/>
      </c>
      <c r="D35" s="121" t="str">
        <f>IF(Bangla!C35="","",Bangla!C35)</f>
        <v/>
      </c>
      <c r="E35" s="112" t="str">
        <f>IF(Bangla!D35="","",Bangla!D35)</f>
        <v/>
      </c>
      <c r="F35" s="112" t="str">
        <f>IF(English!C35="","",English!C35)</f>
        <v/>
      </c>
      <c r="G35" s="113" t="str">
        <f>IF(ICT!B35="","",ICT!B35)</f>
        <v/>
      </c>
      <c r="H35" s="113" t="str">
        <f>IF(ICT!C35="","",ICT!C35)</f>
        <v/>
      </c>
      <c r="I35" s="113" t="str">
        <f>IF(ICT!D35="","",ICT!D35)</f>
        <v/>
      </c>
      <c r="J35" s="114" t="str">
        <f>IF(ICT!E35="","",ICT!E35)</f>
        <v/>
      </c>
      <c r="K35" s="113" t="str">
        <f>IF(Accounting!B35="","",Accounting!B35)</f>
        <v/>
      </c>
      <c r="L35" s="113" t="str">
        <f>IF(Accounting!C35="","",Accounting!C35)</f>
        <v/>
      </c>
      <c r="M35" s="114" t="str">
        <f>IF(Accounting!D35="","",Accounting!D35)</f>
        <v/>
      </c>
      <c r="N35" s="113" t="str">
        <f>IF('Business Organization'!B35="","",'Business Organization'!B35)</f>
        <v/>
      </c>
      <c r="O35" s="113" t="str">
        <f>IF('Business Organization'!C35="","",'Business Organization'!C35)</f>
        <v/>
      </c>
      <c r="P35" s="114" t="str">
        <f>IF('Business Organization'!D35="","",'Business Organization'!D35)</f>
        <v/>
      </c>
      <c r="Q35" s="113" t="str">
        <f>IF(SubjectList!G35="Finance",IF(Finance!B35=0,"", Finance!B35),IF(SubjectList!G35="Production",IF(Production!B35=0,"", Production!B35),IF(SubjectList!G35="Economics",IF(Economics!B35=0,"", Economics!B35))))</f>
        <v/>
      </c>
      <c r="R35" s="113" t="str">
        <f>IF(SubjectList!G35="Finance",IF(Finance!C35=0,"", Finance!C35),IF(SubjectList!G35="Production",IF(Production!C35=0,"", Production!C35),IF(SubjectList!G35="Economics",IF(Economics!C35=0,"", Economics!C35))))</f>
        <v/>
      </c>
      <c r="S35" s="114" t="str">
        <f>IF(SubjectList!G35="Finance",IF(Finance!D35=0,"", Finance!D35),IF(SubjectList!G35="Production",IF(Production!D35=0,"", Production!D35),IF(SubjectList!G35="Economics",IF(Economics!D35=0,"", Economics!D35))))</f>
        <v/>
      </c>
      <c r="T35" s="113" t="str">
        <f>IF(SubjectList!H35="Finance",IF(Finance!B35=0,"", Finance!B35),IF(SubjectList!H35="Production",IF(Production!B35=0,"", Production!B35),IF(SubjectList!H35="Economics",IF(Economics!B35=0,"", Economics!B35))))</f>
        <v/>
      </c>
      <c r="U35" s="113" t="str">
        <f>IF(SubjectList!H35="Finance",IF(Finance!C35=0,"", Finance!C35),IF(SubjectList!H35="Production",IF(Production!C35=0,"", Production!C35),IF(SubjectList!H35="Economics",IF(Economics!C35=0,"", Economics!C35))))</f>
        <v/>
      </c>
      <c r="V35" s="114" t="str">
        <f>IF(SubjectList!H35="Finance",IF(Finance!D35=0,"", Finance!D35),IF(SubjectList!H35="Production",IF(Production!D35=0,"", Production!D35),IF(SubjectList!H35="Economics",IF(Economics!D35=0,"", Economics!D35))))</f>
        <v/>
      </c>
      <c r="W35" s="115" t="str">
        <f>IF(SubjectList!G35="Finance","Finance",IF(SubjectList!G35="Production","Production",IF(SubjectList!G35="Economics","Not Given")))</f>
        <v>Production</v>
      </c>
      <c r="X35" s="115" t="str">
        <f>IF(SubjectList!H35="Finance","Finance",IF(SubjectList!H35="Production","Production",IF(SubjectList!H35="Economics","Economics","Not Given")))</f>
        <v>Economics</v>
      </c>
      <c r="Y35" s="113" t="str">
        <f>Bangla!F35</f>
        <v/>
      </c>
      <c r="Z35" s="113" t="str">
        <f>English!E35</f>
        <v/>
      </c>
      <c r="AA35" s="113" t="str">
        <f>ICT!G35</f>
        <v/>
      </c>
      <c r="AB35" s="113" t="str">
        <f>Accounting!F35</f>
        <v/>
      </c>
      <c r="AC35" s="113" t="str">
        <f>'Business Organization'!F35</f>
        <v/>
      </c>
      <c r="AD35" s="113" t="str">
        <f>Production!F35</f>
        <v/>
      </c>
      <c r="AE35" s="113" t="str">
        <f>Finance!F35</f>
        <v/>
      </c>
      <c r="AF35" s="122" t="str">
        <f>Bangla!G35</f>
        <v/>
      </c>
      <c r="AG35" s="122" t="str">
        <f>English!F35</f>
        <v/>
      </c>
      <c r="AH35" s="120" t="str">
        <f>ICT!H35</f>
        <v/>
      </c>
      <c r="AI35" s="120" t="str">
        <f>Accounting!G35</f>
        <v/>
      </c>
      <c r="AJ35" s="120" t="str">
        <f>'Business Organization'!G35</f>
        <v/>
      </c>
      <c r="AK35" s="120" t="str">
        <f>IF(SubjectList!G35="Finance",Finance!G35,IF(SubjectList!G35="Production",Production!G35,IF(SubjectList!G35="Economics",Economics!G35)))</f>
        <v/>
      </c>
      <c r="AL35" s="120" t="str">
        <f>Finance!G35</f>
        <v/>
      </c>
      <c r="AM35" s="120" t="str">
        <f>Optional!H35</f>
        <v/>
      </c>
      <c r="AN35" s="120" t="str">
        <f>Optional!I35</f>
        <v/>
      </c>
      <c r="AO35" s="120" t="str">
        <f t="shared" si="14"/>
        <v/>
      </c>
      <c r="AP35" s="120">
        <f t="shared" si="15"/>
        <v>0</v>
      </c>
      <c r="AQ35" s="116" t="str">
        <f t="shared" si="16"/>
        <v/>
      </c>
      <c r="AR35" s="116" t="str">
        <f t="shared" si="17"/>
        <v/>
      </c>
      <c r="AS35" s="117">
        <f t="shared" si="18"/>
        <v>0</v>
      </c>
      <c r="AT35" s="118">
        <f t="shared" si="19"/>
        <v>0</v>
      </c>
      <c r="AU35" s="118">
        <f t="shared" si="20"/>
        <v>0</v>
      </c>
      <c r="AV35" s="118">
        <f t="shared" si="21"/>
        <v>0</v>
      </c>
      <c r="AW35" s="118">
        <f t="shared" si="22"/>
        <v>0</v>
      </c>
      <c r="AX35" s="118">
        <f t="shared" si="23"/>
        <v>0</v>
      </c>
      <c r="AY35" s="118">
        <f t="shared" si="24"/>
        <v>0</v>
      </c>
      <c r="AZ35" s="111">
        <f t="shared" si="25"/>
        <v>0</v>
      </c>
      <c r="BA35" s="111" t="str">
        <f t="shared" si="26"/>
        <v>F6</v>
      </c>
      <c r="BB35" s="117" t="str">
        <f>IF(AR35="","",RANK(AR35,AR$2:AR145,0))</f>
        <v/>
      </c>
      <c r="BC35" s="111" t="str">
        <f t="shared" si="27"/>
        <v/>
      </c>
    </row>
    <row r="36" spans="1:55" x14ac:dyDescent="0.35">
      <c r="A36" s="113">
        <f>'Student Basic Info'!A36</f>
        <v>535</v>
      </c>
      <c r="B36" s="113" t="str">
        <f>'Student Basic Info'!C36</f>
        <v>Md. Abu Taher Zitu</v>
      </c>
      <c r="C36" s="121" t="str">
        <f>IF(Bangla!B36="","",Bangla!B36)</f>
        <v/>
      </c>
      <c r="D36" s="121" t="str">
        <f>IF(Bangla!C36="","",Bangla!C36)</f>
        <v/>
      </c>
      <c r="E36" s="112" t="str">
        <f>IF(Bangla!D36="","",Bangla!D36)</f>
        <v/>
      </c>
      <c r="F36" s="112" t="str">
        <f>IF(English!C36="","",English!C36)</f>
        <v/>
      </c>
      <c r="G36" s="113" t="str">
        <f>IF(ICT!B36="","",ICT!B36)</f>
        <v/>
      </c>
      <c r="H36" s="113" t="str">
        <f>IF(ICT!C36="","",ICT!C36)</f>
        <v/>
      </c>
      <c r="I36" s="113" t="str">
        <f>IF(ICT!D36="","",ICT!D36)</f>
        <v/>
      </c>
      <c r="J36" s="114" t="str">
        <f>IF(ICT!E36="","",ICT!E36)</f>
        <v/>
      </c>
      <c r="K36" s="113" t="str">
        <f>IF(Accounting!B36="","",Accounting!B36)</f>
        <v/>
      </c>
      <c r="L36" s="113" t="str">
        <f>IF(Accounting!C36="","",Accounting!C36)</f>
        <v/>
      </c>
      <c r="M36" s="114" t="str">
        <f>IF(Accounting!D36="","",Accounting!D36)</f>
        <v/>
      </c>
      <c r="N36" s="113" t="str">
        <f>IF('Business Organization'!B36="","",'Business Organization'!B36)</f>
        <v/>
      </c>
      <c r="O36" s="113" t="str">
        <f>IF('Business Organization'!C36="","",'Business Organization'!C36)</f>
        <v/>
      </c>
      <c r="P36" s="114" t="str">
        <f>IF('Business Organization'!D36="","",'Business Organization'!D36)</f>
        <v/>
      </c>
      <c r="Q36" s="113" t="str">
        <f>IF(SubjectList!G36="Finance",IF(Finance!B36=0,"", Finance!B36),IF(SubjectList!G36="Production",IF(Production!B36=0,"", Production!B36),IF(SubjectList!G36="Economics",IF(Economics!B36=0,"", Economics!B36))))</f>
        <v/>
      </c>
      <c r="R36" s="113" t="str">
        <f>IF(SubjectList!G36="Finance",IF(Finance!C36=0,"", Finance!C36),IF(SubjectList!G36="Production",IF(Production!C36=0,"", Production!C36),IF(SubjectList!G36="Economics",IF(Economics!C36=0,"", Economics!C36))))</f>
        <v/>
      </c>
      <c r="S36" s="114" t="str">
        <f>IF(SubjectList!G36="Finance",IF(Finance!D36=0,"", Finance!D36),IF(SubjectList!G36="Production",IF(Production!D36=0,"", Production!D36),IF(SubjectList!G36="Economics",IF(Economics!D36=0,"", Economics!D36))))</f>
        <v/>
      </c>
      <c r="T36" s="113" t="str">
        <f>IF(SubjectList!H36="Finance",IF(Finance!B36=0,"", Finance!B36),IF(SubjectList!H36="Production",IF(Production!B36=0,"", Production!B36),IF(SubjectList!H36="Economics",IF(Economics!B36=0,"", Economics!B36))))</f>
        <v/>
      </c>
      <c r="U36" s="113" t="str">
        <f>IF(SubjectList!H36="Finance",IF(Finance!C36=0,"", Finance!C36),IF(SubjectList!H36="Production",IF(Production!C36=0,"", Production!C36),IF(SubjectList!H36="Economics",IF(Economics!C36=0,"", Economics!C36))))</f>
        <v/>
      </c>
      <c r="V36" s="114" t="str">
        <f>IF(SubjectList!H36="Finance",IF(Finance!D36=0,"", Finance!D36),IF(SubjectList!H36="Production",IF(Production!D36=0,"", Production!D36),IF(SubjectList!H36="Economics",IF(Economics!D36=0,"", Economics!D36))))</f>
        <v/>
      </c>
      <c r="W36" s="115" t="str">
        <f>IF(SubjectList!G36="Finance","Finance",IF(SubjectList!G36="Production","Production",IF(SubjectList!G36="Economics","Not Given")))</f>
        <v>Finance</v>
      </c>
      <c r="X36" s="115" t="str">
        <f>IF(SubjectList!H36="Finance","Finance",IF(SubjectList!H36="Production","Production",IF(SubjectList!H36="Economics","Economics","Not Given")))</f>
        <v>Production</v>
      </c>
      <c r="Y36" s="113" t="str">
        <f>Bangla!F36</f>
        <v/>
      </c>
      <c r="Z36" s="113" t="str">
        <f>English!E36</f>
        <v/>
      </c>
      <c r="AA36" s="113" t="str">
        <f>ICT!G36</f>
        <v/>
      </c>
      <c r="AB36" s="113" t="str">
        <f>Accounting!F36</f>
        <v/>
      </c>
      <c r="AC36" s="113" t="str">
        <f>'Business Organization'!F36</f>
        <v/>
      </c>
      <c r="AD36" s="113" t="str">
        <f>Production!F36</f>
        <v/>
      </c>
      <c r="AE36" s="113" t="str">
        <f>Finance!F36</f>
        <v/>
      </c>
      <c r="AF36" s="122" t="str">
        <f>Bangla!G36</f>
        <v/>
      </c>
      <c r="AG36" s="122" t="str">
        <f>English!F36</f>
        <v/>
      </c>
      <c r="AH36" s="120" t="str">
        <f>ICT!H36</f>
        <v/>
      </c>
      <c r="AI36" s="120" t="str">
        <f>Accounting!G36</f>
        <v/>
      </c>
      <c r="AJ36" s="120" t="str">
        <f>'Business Organization'!G36</f>
        <v/>
      </c>
      <c r="AK36" s="120" t="str">
        <f>IF(SubjectList!G36="Finance",Finance!G36,IF(SubjectList!G36="Production",Production!G36,IF(SubjectList!G36="Economics",Economics!G36)))</f>
        <v/>
      </c>
      <c r="AL36" s="120" t="str">
        <f>Finance!G36</f>
        <v/>
      </c>
      <c r="AM36" s="120" t="str">
        <f>Optional!H36</f>
        <v/>
      </c>
      <c r="AN36" s="120" t="str">
        <f>Optional!I36</f>
        <v/>
      </c>
      <c r="AO36" s="120" t="str">
        <f t="shared" si="14"/>
        <v/>
      </c>
      <c r="AP36" s="120">
        <f t="shared" si="15"/>
        <v>0</v>
      </c>
      <c r="AQ36" s="116" t="str">
        <f t="shared" si="16"/>
        <v/>
      </c>
      <c r="AR36" s="116" t="str">
        <f t="shared" si="17"/>
        <v/>
      </c>
      <c r="AS36" s="117">
        <f t="shared" si="18"/>
        <v>0</v>
      </c>
      <c r="AT36" s="118">
        <f t="shared" si="19"/>
        <v>0</v>
      </c>
      <c r="AU36" s="118">
        <f t="shared" si="20"/>
        <v>0</v>
      </c>
      <c r="AV36" s="118">
        <f t="shared" si="21"/>
        <v>0</v>
      </c>
      <c r="AW36" s="118">
        <f t="shared" si="22"/>
        <v>0</v>
      </c>
      <c r="AX36" s="118">
        <f t="shared" si="23"/>
        <v>0</v>
      </c>
      <c r="AY36" s="118">
        <f t="shared" si="24"/>
        <v>0</v>
      </c>
      <c r="AZ36" s="111">
        <f t="shared" si="25"/>
        <v>0</v>
      </c>
      <c r="BA36" s="111" t="str">
        <f t="shared" si="26"/>
        <v>F6</v>
      </c>
      <c r="BB36" s="117" t="str">
        <f>IF(AR36="","",RANK(AR36,AR$2:AR145,0))</f>
        <v/>
      </c>
      <c r="BC36" s="111" t="str">
        <f t="shared" si="27"/>
        <v/>
      </c>
    </row>
    <row r="37" spans="1:55" x14ac:dyDescent="0.35">
      <c r="A37" s="113">
        <f>'Student Basic Info'!A37</f>
        <v>536</v>
      </c>
      <c r="B37" s="113" t="str">
        <f>'Student Basic Info'!C37</f>
        <v>Khalid Bin Alom</v>
      </c>
      <c r="C37" s="121" t="str">
        <f>IF(Bangla!B37="","",Bangla!B37)</f>
        <v/>
      </c>
      <c r="D37" s="121">
        <f>IF(Bangla!C37="","",Bangla!C37)</f>
        <v>25</v>
      </c>
      <c r="E37" s="112">
        <f>IF(Bangla!D37="","",Bangla!D37)</f>
        <v>25</v>
      </c>
      <c r="F37" s="112">
        <f>IF(English!C37="","",English!C37)</f>
        <v>24</v>
      </c>
      <c r="G37" s="113">
        <f>IF(ICT!B37="","",ICT!B37)</f>
        <v>9</v>
      </c>
      <c r="H37" s="113">
        <f>IF(ICT!C37="","",ICT!C37)</f>
        <v>6</v>
      </c>
      <c r="I37" s="113">
        <f>IF(ICT!D37="","",ICT!D37)</f>
        <v>25</v>
      </c>
      <c r="J37" s="114">
        <f>IF(ICT!E37="","",ICT!E37)</f>
        <v>40</v>
      </c>
      <c r="K37" s="113">
        <f>IF(Accounting!B37="","",Accounting!B37)</f>
        <v>10</v>
      </c>
      <c r="L37" s="113">
        <f>IF(Accounting!C37="","",Accounting!C37)</f>
        <v>17</v>
      </c>
      <c r="M37" s="114">
        <f>IF(Accounting!D37="","",Accounting!D37)</f>
        <v>27</v>
      </c>
      <c r="N37" s="113">
        <f>IF('Business Organization'!B37="","",'Business Organization'!B37)</f>
        <v>17</v>
      </c>
      <c r="O37" s="113">
        <f>IF('Business Organization'!C37="","",'Business Organization'!C37)</f>
        <v>18</v>
      </c>
      <c r="P37" s="114">
        <f>IF('Business Organization'!D37="","",'Business Organization'!D37)</f>
        <v>35</v>
      </c>
      <c r="Q37" s="113">
        <f>IF(SubjectList!G37="Finance",IF(Finance!B37=0,"", Finance!B37),IF(SubjectList!G37="Production",IF(Production!B37=0,"", Production!B37),IF(SubjectList!G37="Economics",IF(Economics!B37=0,"", Economics!B37))))</f>
        <v>12</v>
      </c>
      <c r="R37" s="113">
        <f>IF(SubjectList!G37="Finance",IF(Finance!C37=0,"", Finance!C37),IF(SubjectList!G37="Production",IF(Production!C37=0,"", Production!C37),IF(SubjectList!G37="Economics",IF(Economics!C37=0,"", Economics!C37))))</f>
        <v>10</v>
      </c>
      <c r="S37" s="114">
        <f>IF(SubjectList!G37="Finance",IF(Finance!D37=0,"", Finance!D37),IF(SubjectList!G37="Production",IF(Production!D37=0,"", Production!D37),IF(SubjectList!G37="Economics",IF(Economics!D37=0,"", Economics!D37))))</f>
        <v>22</v>
      </c>
      <c r="T37" s="113">
        <f>IF(SubjectList!H37="Finance",IF(Finance!B37=0,"", Finance!B37),IF(SubjectList!H37="Production",IF(Production!B37=0,"", Production!B37),IF(SubjectList!H37="Economics",IF(Economics!B37=0,"", Economics!B37))))</f>
        <v>15</v>
      </c>
      <c r="U37" s="113">
        <f>IF(SubjectList!H37="Finance",IF(Finance!C37=0,"", Finance!C37),IF(SubjectList!H37="Production",IF(Production!C37=0,"", Production!C37),IF(SubjectList!H37="Economics",IF(Economics!C37=0,"", Economics!C37))))</f>
        <v>27</v>
      </c>
      <c r="V37" s="114">
        <f>IF(SubjectList!H37="Finance",IF(Finance!D37=0,"", Finance!D37),IF(SubjectList!H37="Production",IF(Production!D37=0,"", Production!D37),IF(SubjectList!H37="Economics",IF(Economics!D37=0,"", Economics!D37))))</f>
        <v>42</v>
      </c>
      <c r="W37" s="115" t="str">
        <f>IF(SubjectList!G37="Finance","Finance",IF(SubjectList!G37="Production","Production",IF(SubjectList!G37="Economics","Not Given")))</f>
        <v>Finance</v>
      </c>
      <c r="X37" s="115" t="str">
        <f>IF(SubjectList!H37="Finance","Finance",IF(SubjectList!H37="Production","Production",IF(SubjectList!H37="Economics","Economics","Not Given")))</f>
        <v>Production</v>
      </c>
      <c r="Y37" s="113" t="str">
        <f>Bangla!F37</f>
        <v>F</v>
      </c>
      <c r="Z37" s="113" t="str">
        <f>English!E37</f>
        <v>F</v>
      </c>
      <c r="AA37" s="113" t="str">
        <f>ICT!G37</f>
        <v>F</v>
      </c>
      <c r="AB37" s="113" t="str">
        <f>Accounting!F37</f>
        <v>F</v>
      </c>
      <c r="AC37" s="113" t="str">
        <f>'Business Organization'!F37</f>
        <v>F</v>
      </c>
      <c r="AD37" s="113" t="str">
        <f>Production!F37</f>
        <v>C</v>
      </c>
      <c r="AE37" s="113" t="str">
        <f>Finance!F37</f>
        <v>F</v>
      </c>
      <c r="AF37" s="122">
        <f>Bangla!G37</f>
        <v>0</v>
      </c>
      <c r="AG37" s="122">
        <f>English!F37</f>
        <v>0</v>
      </c>
      <c r="AH37" s="120">
        <f>ICT!H37</f>
        <v>0</v>
      </c>
      <c r="AI37" s="120">
        <f>Accounting!G37</f>
        <v>0</v>
      </c>
      <c r="AJ37" s="120">
        <f>'Business Organization'!G37</f>
        <v>0</v>
      </c>
      <c r="AK37" s="120">
        <f>IF(SubjectList!G37="Finance",Finance!G37,IF(SubjectList!G37="Production",Production!G37,IF(SubjectList!G37="Economics",Economics!G37)))</f>
        <v>0</v>
      </c>
      <c r="AL37" s="120">
        <f>Finance!G37</f>
        <v>0</v>
      </c>
      <c r="AM37" s="120">
        <f>Optional!H37</f>
        <v>2</v>
      </c>
      <c r="AN37" s="120">
        <f>Optional!I37</f>
        <v>0</v>
      </c>
      <c r="AO37" s="120" t="str">
        <f t="shared" si="14"/>
        <v/>
      </c>
      <c r="AP37" s="120">
        <f t="shared" si="15"/>
        <v>0</v>
      </c>
      <c r="AQ37" s="116" t="str">
        <f t="shared" si="16"/>
        <v/>
      </c>
      <c r="AR37" s="116" t="str">
        <f t="shared" si="17"/>
        <v/>
      </c>
      <c r="AS37" s="117">
        <f t="shared" si="18"/>
        <v>215</v>
      </c>
      <c r="AT37" s="118">
        <f t="shared" si="19"/>
        <v>0</v>
      </c>
      <c r="AU37" s="118">
        <f t="shared" si="20"/>
        <v>0</v>
      </c>
      <c r="AV37" s="118">
        <f t="shared" si="21"/>
        <v>0</v>
      </c>
      <c r="AW37" s="118">
        <f t="shared" si="22"/>
        <v>0</v>
      </c>
      <c r="AX37" s="118">
        <f t="shared" si="23"/>
        <v>0</v>
      </c>
      <c r="AY37" s="118">
        <f t="shared" si="24"/>
        <v>0</v>
      </c>
      <c r="AZ37" s="111">
        <f t="shared" si="25"/>
        <v>0</v>
      </c>
      <c r="BA37" s="111" t="str">
        <f t="shared" si="26"/>
        <v>F6</v>
      </c>
      <c r="BB37" s="117" t="str">
        <f>IF(AR37="","",RANK(AR37,AR$2:AR145,0))</f>
        <v/>
      </c>
      <c r="BC37" s="111" t="str">
        <f t="shared" si="27"/>
        <v/>
      </c>
    </row>
    <row r="38" spans="1:55" x14ac:dyDescent="0.35">
      <c r="A38" s="113">
        <f>'Student Basic Info'!A38</f>
        <v>537</v>
      </c>
      <c r="B38" s="113" t="str">
        <f>'Student Basic Info'!C38</f>
        <v>Mobarok Hosain</v>
      </c>
      <c r="C38" s="121" t="str">
        <f>IF(Bangla!B38="","",Bangla!B38)</f>
        <v/>
      </c>
      <c r="D38" s="121">
        <f>IF(Bangla!C38="","",Bangla!C38)</f>
        <v>22</v>
      </c>
      <c r="E38" s="112">
        <f>IF(Bangla!D38="","",Bangla!D38)</f>
        <v>22</v>
      </c>
      <c r="F38" s="112">
        <f>IF(English!C38="","",English!C38)</f>
        <v>21</v>
      </c>
      <c r="G38" s="113">
        <f>IF(ICT!B38="","",ICT!B38)</f>
        <v>12</v>
      </c>
      <c r="H38" s="113">
        <f>IF(ICT!C38="","",ICT!C38)</f>
        <v>9</v>
      </c>
      <c r="I38" s="113">
        <f>IF(ICT!D38="","",ICT!D38)</f>
        <v>8</v>
      </c>
      <c r="J38" s="114">
        <f>IF(ICT!E38="","",ICT!E38)</f>
        <v>29</v>
      </c>
      <c r="K38" s="113">
        <f>IF(Accounting!B38="","",Accounting!B38)</f>
        <v>10</v>
      </c>
      <c r="L38" s="113">
        <f>IF(Accounting!C38="","",Accounting!C38)</f>
        <v>12</v>
      </c>
      <c r="M38" s="114">
        <f>IF(Accounting!D38="","",Accounting!D38)</f>
        <v>22</v>
      </c>
      <c r="N38" s="113">
        <f>IF('Business Organization'!B38="","",'Business Organization'!B38)</f>
        <v>16</v>
      </c>
      <c r="O38" s="113">
        <f>IF('Business Organization'!C38="","",'Business Organization'!C38)</f>
        <v>19</v>
      </c>
      <c r="P38" s="114">
        <f>IF('Business Organization'!D38="","",'Business Organization'!D38)</f>
        <v>35</v>
      </c>
      <c r="Q38" s="113">
        <f>IF(SubjectList!G38="Finance",IF(Finance!B38=0,"", Finance!B38),IF(SubjectList!G38="Production",IF(Production!B38=0,"", Production!B38),IF(SubjectList!G38="Economics",IF(Economics!B38=0,"", Economics!B38))))</f>
        <v>10</v>
      </c>
      <c r="R38" s="113">
        <f>IF(SubjectList!G38="Finance",IF(Finance!C38=0,"", Finance!C38),IF(SubjectList!G38="Production",IF(Production!C38=0,"", Production!C38),IF(SubjectList!G38="Economics",IF(Economics!C38=0,"", Economics!C38))))</f>
        <v>12</v>
      </c>
      <c r="S38" s="114">
        <f>IF(SubjectList!G38="Finance",IF(Finance!D38=0,"", Finance!D38),IF(SubjectList!G38="Production",IF(Production!D38=0,"", Production!D38),IF(SubjectList!G38="Economics",IF(Economics!D38=0,"", Economics!D38))))</f>
        <v>22</v>
      </c>
      <c r="T38" s="113">
        <f>IF(SubjectList!H38="Finance",IF(Finance!B38=0,"", Finance!B38),IF(SubjectList!H38="Production",IF(Production!B38=0,"", Production!B38),IF(SubjectList!H38="Economics",IF(Economics!B38=0,"", Economics!B38))))</f>
        <v>13</v>
      </c>
      <c r="U38" s="113">
        <f>IF(SubjectList!H38="Finance",IF(Finance!C38=0,"", Finance!C38),IF(SubjectList!H38="Production",IF(Production!C38=0,"", Production!C38),IF(SubjectList!H38="Economics",IF(Economics!C38=0,"", Economics!C38))))</f>
        <v>18</v>
      </c>
      <c r="V38" s="114">
        <f>IF(SubjectList!H38="Finance",IF(Finance!D38=0,"", Finance!D38),IF(SubjectList!H38="Production",IF(Production!D38=0,"", Production!D38),IF(SubjectList!H38="Economics",IF(Economics!D38=0,"", Economics!D38))))</f>
        <v>31</v>
      </c>
      <c r="W38" s="115" t="str">
        <f>IF(SubjectList!G38="Finance","Finance",IF(SubjectList!G38="Production","Production",IF(SubjectList!G38="Economics","Not Given")))</f>
        <v>Finance</v>
      </c>
      <c r="X38" s="115" t="str">
        <f>IF(SubjectList!H38="Finance","Finance",IF(SubjectList!H38="Production","Production",IF(SubjectList!H38="Economics","Economics","Not Given")))</f>
        <v>Economics</v>
      </c>
      <c r="Y38" s="113" t="str">
        <f>Bangla!F38</f>
        <v>F</v>
      </c>
      <c r="Z38" s="113" t="str">
        <f>English!E38</f>
        <v>F</v>
      </c>
      <c r="AA38" s="113" t="str">
        <f>ICT!G38</f>
        <v>F</v>
      </c>
      <c r="AB38" s="113" t="str">
        <f>Accounting!F38</f>
        <v>F</v>
      </c>
      <c r="AC38" s="113" t="str">
        <f>'Business Organization'!F38</f>
        <v>F</v>
      </c>
      <c r="AD38" s="113" t="str">
        <f>Production!F38</f>
        <v/>
      </c>
      <c r="AE38" s="113" t="str">
        <f>Finance!F38</f>
        <v>F</v>
      </c>
      <c r="AF38" s="122">
        <f>Bangla!G38</f>
        <v>0</v>
      </c>
      <c r="AG38" s="122">
        <f>English!F38</f>
        <v>0</v>
      </c>
      <c r="AH38" s="120">
        <f>ICT!H38</f>
        <v>0</v>
      </c>
      <c r="AI38" s="120">
        <f>Accounting!G38</f>
        <v>0</v>
      </c>
      <c r="AJ38" s="120">
        <f>'Business Organization'!G38</f>
        <v>0</v>
      </c>
      <c r="AK38" s="120">
        <f>IF(SubjectList!G38="Finance",Finance!G38,IF(SubjectList!G38="Production",Production!G38,IF(SubjectList!G38="Economics",Economics!G38)))</f>
        <v>0</v>
      </c>
      <c r="AL38" s="120">
        <f>Finance!G38</f>
        <v>0</v>
      </c>
      <c r="AM38" s="120">
        <f>Optional!H38</f>
        <v>0</v>
      </c>
      <c r="AN38" s="120">
        <f>Optional!I38</f>
        <v>0</v>
      </c>
      <c r="AO38" s="120" t="str">
        <f t="shared" si="14"/>
        <v/>
      </c>
      <c r="AP38" s="120">
        <f t="shared" si="15"/>
        <v>0</v>
      </c>
      <c r="AQ38" s="116" t="str">
        <f t="shared" si="16"/>
        <v/>
      </c>
      <c r="AR38" s="116" t="str">
        <f t="shared" si="17"/>
        <v/>
      </c>
      <c r="AS38" s="117">
        <f t="shared" si="18"/>
        <v>182</v>
      </c>
      <c r="AT38" s="118">
        <f t="shared" si="19"/>
        <v>0</v>
      </c>
      <c r="AU38" s="118">
        <f t="shared" si="20"/>
        <v>0</v>
      </c>
      <c r="AV38" s="118">
        <f t="shared" si="21"/>
        <v>0</v>
      </c>
      <c r="AW38" s="118">
        <f t="shared" si="22"/>
        <v>0</v>
      </c>
      <c r="AX38" s="118">
        <f t="shared" si="23"/>
        <v>0</v>
      </c>
      <c r="AY38" s="118">
        <f t="shared" si="24"/>
        <v>0</v>
      </c>
      <c r="AZ38" s="111">
        <f t="shared" si="25"/>
        <v>0</v>
      </c>
      <c r="BA38" s="111" t="str">
        <f t="shared" si="26"/>
        <v>F6</v>
      </c>
      <c r="BB38" s="117" t="str">
        <f>IF(AR38="","",RANK(AR38,AR$2:AR145,0))</f>
        <v/>
      </c>
      <c r="BC38" s="111" t="str">
        <f t="shared" si="27"/>
        <v/>
      </c>
    </row>
    <row r="39" spans="1:55" x14ac:dyDescent="0.35">
      <c r="A39" s="113">
        <f>'Student Basic Info'!A39</f>
        <v>538</v>
      </c>
      <c r="B39" s="113" t="str">
        <f>'Student Basic Info'!C39</f>
        <v>Jomir Hosain</v>
      </c>
      <c r="C39" s="121" t="str">
        <f>IF(Bangla!B39="","",Bangla!B39)</f>
        <v/>
      </c>
      <c r="D39" s="121">
        <f>IF(Bangla!C39="","",Bangla!C39)</f>
        <v>33</v>
      </c>
      <c r="E39" s="112">
        <f>IF(Bangla!D39="","",Bangla!D39)</f>
        <v>33</v>
      </c>
      <c r="F39" s="112">
        <f>IF(English!C39="","",English!C39)</f>
        <v>10</v>
      </c>
      <c r="G39" s="113">
        <f>IF(ICT!B39="","",ICT!B39)</f>
        <v>12</v>
      </c>
      <c r="H39" s="113">
        <f>IF(ICT!C39="","",ICT!C39)</f>
        <v>7</v>
      </c>
      <c r="I39" s="113">
        <f>IF(ICT!D39="","",ICT!D39)</f>
        <v>24</v>
      </c>
      <c r="J39" s="114">
        <f>IF(ICT!E39="","",ICT!E39)</f>
        <v>43</v>
      </c>
      <c r="K39" s="113">
        <f>IF(Accounting!B39="","",Accounting!B39)</f>
        <v>10</v>
      </c>
      <c r="L39" s="113">
        <f>IF(Accounting!C39="","",Accounting!C39)</f>
        <v>5</v>
      </c>
      <c r="M39" s="114">
        <f>IF(Accounting!D39="","",Accounting!D39)</f>
        <v>15</v>
      </c>
      <c r="N39" s="113">
        <f>IF('Business Organization'!B39="","",'Business Organization'!B39)</f>
        <v>18</v>
      </c>
      <c r="O39" s="113">
        <f>IF('Business Organization'!C39="","",'Business Organization'!C39)</f>
        <v>25</v>
      </c>
      <c r="P39" s="114">
        <f>IF('Business Organization'!D39="","",'Business Organization'!D39)</f>
        <v>43</v>
      </c>
      <c r="Q39" s="113">
        <f>IF(SubjectList!G39="Finance",IF(Finance!B39=0,"", Finance!B39),IF(SubjectList!G39="Production",IF(Production!B39=0,"", Production!B39),IF(SubjectList!G39="Economics",IF(Economics!B39=0,"", Economics!B39))))</f>
        <v>15</v>
      </c>
      <c r="R39" s="113">
        <f>IF(SubjectList!G39="Finance",IF(Finance!C39=0,"", Finance!C39),IF(SubjectList!G39="Production",IF(Production!C39=0,"", Production!C39),IF(SubjectList!G39="Economics",IF(Economics!C39=0,"", Economics!C39))))</f>
        <v>40</v>
      </c>
      <c r="S39" s="114">
        <f>IF(SubjectList!G39="Finance",IF(Finance!D39=0,"", Finance!D39),IF(SubjectList!G39="Production",IF(Production!D39=0,"", Production!D39),IF(SubjectList!G39="Economics",IF(Economics!D39=0,"", Economics!D39))))</f>
        <v>55</v>
      </c>
      <c r="T39" s="113">
        <f>IF(SubjectList!H39="Finance",IF(Finance!B39=0,"", Finance!B39),IF(SubjectList!H39="Production",IF(Production!B39=0,"", Production!B39),IF(SubjectList!H39="Economics",IF(Economics!B39=0,"", Economics!B39))))</f>
        <v>10</v>
      </c>
      <c r="U39" s="113">
        <f>IF(SubjectList!H39="Finance",IF(Finance!C39=0,"", Finance!C39),IF(SubjectList!H39="Production",IF(Production!C39=0,"", Production!C39),IF(SubjectList!H39="Economics",IF(Economics!C39=0,"", Economics!C39))))</f>
        <v>23</v>
      </c>
      <c r="V39" s="114">
        <f>IF(SubjectList!H39="Finance",IF(Finance!D39=0,"", Finance!D39),IF(SubjectList!H39="Production",IF(Production!D39=0,"", Production!D39),IF(SubjectList!H39="Economics",IF(Economics!D39=0,"", Economics!D39))))</f>
        <v>33</v>
      </c>
      <c r="W39" s="115" t="str">
        <f>IF(SubjectList!G39="Finance","Finance",IF(SubjectList!G39="Production","Production",IF(SubjectList!G39="Economics","Not Given")))</f>
        <v>Production</v>
      </c>
      <c r="X39" s="115" t="str">
        <f>IF(SubjectList!H39="Finance","Finance",IF(SubjectList!H39="Production","Production",IF(SubjectList!H39="Economics","Economics","Not Given")))</f>
        <v>Finance</v>
      </c>
      <c r="Y39" s="113" t="str">
        <f>Bangla!F39</f>
        <v>D</v>
      </c>
      <c r="Z39" s="113" t="str">
        <f>English!E39</f>
        <v>F</v>
      </c>
      <c r="AA39" s="113" t="str">
        <f>ICT!G39</f>
        <v>F</v>
      </c>
      <c r="AB39" s="113" t="str">
        <f>Accounting!F39</f>
        <v>F</v>
      </c>
      <c r="AC39" s="113" t="str">
        <f>'Business Organization'!F39</f>
        <v>C</v>
      </c>
      <c r="AD39" s="113" t="str">
        <f>Production!F39</f>
        <v>B</v>
      </c>
      <c r="AE39" s="113" t="str">
        <f>Finance!F39</f>
        <v>D</v>
      </c>
      <c r="AF39" s="122">
        <f>Bangla!G39</f>
        <v>1</v>
      </c>
      <c r="AG39" s="122">
        <f>English!F39</f>
        <v>0</v>
      </c>
      <c r="AH39" s="120">
        <f>ICT!H39</f>
        <v>0</v>
      </c>
      <c r="AI39" s="120">
        <f>Accounting!G39</f>
        <v>0</v>
      </c>
      <c r="AJ39" s="120">
        <f>'Business Organization'!G39</f>
        <v>2</v>
      </c>
      <c r="AK39" s="120">
        <f>IF(SubjectList!G39="Finance",Finance!G39,IF(SubjectList!G39="Production",Production!G39,IF(SubjectList!G39="Economics",Economics!G39)))</f>
        <v>3</v>
      </c>
      <c r="AL39" s="120">
        <f>Finance!G39</f>
        <v>1</v>
      </c>
      <c r="AM39" s="120">
        <f>Optional!H39</f>
        <v>1</v>
      </c>
      <c r="AN39" s="120">
        <f>Optional!I39</f>
        <v>0</v>
      </c>
      <c r="AO39" s="120">
        <f t="shared" si="14"/>
        <v>6</v>
      </c>
      <c r="AP39" s="120">
        <f t="shared" si="15"/>
        <v>6</v>
      </c>
      <c r="AQ39" s="116" t="str">
        <f t="shared" si="16"/>
        <v/>
      </c>
      <c r="AR39" s="116" t="str">
        <f t="shared" si="17"/>
        <v/>
      </c>
      <c r="AS39" s="117">
        <f t="shared" si="18"/>
        <v>232</v>
      </c>
      <c r="AT39" s="118">
        <f t="shared" si="19"/>
        <v>1</v>
      </c>
      <c r="AU39" s="118">
        <f t="shared" si="20"/>
        <v>0</v>
      </c>
      <c r="AV39" s="118">
        <f t="shared" si="21"/>
        <v>0</v>
      </c>
      <c r="AW39" s="118">
        <f t="shared" si="22"/>
        <v>0</v>
      </c>
      <c r="AX39" s="118">
        <f t="shared" si="23"/>
        <v>1</v>
      </c>
      <c r="AY39" s="118">
        <f t="shared" si="24"/>
        <v>1</v>
      </c>
      <c r="AZ39" s="111">
        <f t="shared" si="25"/>
        <v>3</v>
      </c>
      <c r="BA39" s="111" t="str">
        <f t="shared" si="26"/>
        <v>F3</v>
      </c>
      <c r="BB39" s="117" t="str">
        <f>IF(AR39="","",RANK(AR39,AR$2:AR145,0))</f>
        <v/>
      </c>
      <c r="BC39" s="111" t="str">
        <f t="shared" si="27"/>
        <v/>
      </c>
    </row>
    <row r="40" spans="1:55" x14ac:dyDescent="0.35">
      <c r="A40" s="113">
        <f>'Student Basic Info'!A40</f>
        <v>539</v>
      </c>
      <c r="B40" s="113" t="str">
        <f>'Student Basic Info'!C40</f>
        <v>Walid Hasan Anol</v>
      </c>
      <c r="C40" s="121" t="str">
        <f>IF(Bangla!B40="","",Bangla!B40)</f>
        <v/>
      </c>
      <c r="D40" s="121">
        <f>IF(Bangla!C40="","",Bangla!C40)</f>
        <v>21</v>
      </c>
      <c r="E40" s="112">
        <f>IF(Bangla!D40="","",Bangla!D40)</f>
        <v>21</v>
      </c>
      <c r="F40" s="112">
        <f>IF(English!C40="","",English!C40)</f>
        <v>15</v>
      </c>
      <c r="G40" s="113">
        <f>IF(ICT!B40="","",ICT!B40)</f>
        <v>10</v>
      </c>
      <c r="H40" s="113">
        <f>IF(ICT!C40="","",ICT!C40)</f>
        <v>4</v>
      </c>
      <c r="I40" s="113">
        <f>IF(ICT!D40="","",ICT!D40)</f>
        <v>8</v>
      </c>
      <c r="J40" s="114">
        <f>IF(ICT!E40="","",ICT!E40)</f>
        <v>22</v>
      </c>
      <c r="K40" s="113">
        <f>IF(Accounting!B40="","",Accounting!B40)</f>
        <v>10</v>
      </c>
      <c r="L40" s="113">
        <f>IF(Accounting!C40="","",Accounting!C40)</f>
        <v>2</v>
      </c>
      <c r="M40" s="114">
        <f>IF(Accounting!D40="","",Accounting!D40)</f>
        <v>12</v>
      </c>
      <c r="N40" s="113">
        <f>IF('Business Organization'!B40="","",'Business Organization'!B40)</f>
        <v>14</v>
      </c>
      <c r="O40" s="113">
        <f>IF('Business Organization'!C40="","",'Business Organization'!C40)</f>
        <v>3</v>
      </c>
      <c r="P40" s="114">
        <f>IF('Business Organization'!D40="","",'Business Organization'!D40)</f>
        <v>17</v>
      </c>
      <c r="Q40" s="113">
        <f>IF(SubjectList!G40="Finance",IF(Finance!B40=0,"", Finance!B40),IF(SubjectList!G40="Production",IF(Production!B40=0,"", Production!B40),IF(SubjectList!G40="Economics",IF(Economics!B40=0,"", Economics!B40))))</f>
        <v>3</v>
      </c>
      <c r="R40" s="113">
        <f>IF(SubjectList!G40="Finance",IF(Finance!C40=0,"", Finance!C40),IF(SubjectList!G40="Production",IF(Production!C40=0,"", Production!C40),IF(SubjectList!G40="Economics",IF(Economics!C40=0,"", Economics!C40))))</f>
        <v>2</v>
      </c>
      <c r="S40" s="114">
        <f>IF(SubjectList!G40="Finance",IF(Finance!D40=0,"", Finance!D40),IF(SubjectList!G40="Production",IF(Production!D40=0,"", Production!D40),IF(SubjectList!G40="Economics",IF(Economics!D40=0,"", Economics!D40))))</f>
        <v>5</v>
      </c>
      <c r="T40" s="113">
        <f>IF(SubjectList!H40="Finance",IF(Finance!B40=0,"", Finance!B40),IF(SubjectList!H40="Production",IF(Production!B40=0,"", Production!B40),IF(SubjectList!H40="Economics",IF(Economics!B40=0,"", Economics!B40))))</f>
        <v>14</v>
      </c>
      <c r="U40" s="113">
        <f>IF(SubjectList!H40="Finance",IF(Finance!C40=0,"", Finance!C40),IF(SubjectList!H40="Production",IF(Production!C40=0,"", Production!C40),IF(SubjectList!H40="Economics",IF(Economics!C40=0,"", Economics!C40))))</f>
        <v>4</v>
      </c>
      <c r="V40" s="114">
        <f>IF(SubjectList!H40="Finance",IF(Finance!D40=0,"", Finance!D40),IF(SubjectList!H40="Production",IF(Production!D40=0,"", Production!D40),IF(SubjectList!H40="Economics",IF(Economics!D40=0,"", Economics!D40))))</f>
        <v>18</v>
      </c>
      <c r="W40" s="115" t="str">
        <f>IF(SubjectList!G40="Finance","Finance",IF(SubjectList!G40="Production","Production",IF(SubjectList!G40="Economics","Not Given")))</f>
        <v>Finance</v>
      </c>
      <c r="X40" s="115" t="str">
        <f>IF(SubjectList!H40="Finance","Finance",IF(SubjectList!H40="Production","Production",IF(SubjectList!H40="Economics","Economics","Not Given")))</f>
        <v>Production</v>
      </c>
      <c r="Y40" s="113" t="str">
        <f>Bangla!F40</f>
        <v>F</v>
      </c>
      <c r="Z40" s="113" t="str">
        <f>English!E40</f>
        <v>F</v>
      </c>
      <c r="AA40" s="113" t="str">
        <f>ICT!G40</f>
        <v>F</v>
      </c>
      <c r="AB40" s="113" t="str">
        <f>Accounting!F40</f>
        <v>F</v>
      </c>
      <c r="AC40" s="113" t="str">
        <f>'Business Organization'!F40</f>
        <v>F</v>
      </c>
      <c r="AD40" s="113" t="str">
        <f>Production!F40</f>
        <v>F</v>
      </c>
      <c r="AE40" s="113" t="str">
        <f>Finance!F40</f>
        <v>F</v>
      </c>
      <c r="AF40" s="122">
        <f>Bangla!G40</f>
        <v>0</v>
      </c>
      <c r="AG40" s="122">
        <f>English!F40</f>
        <v>0</v>
      </c>
      <c r="AH40" s="120">
        <f>ICT!H40</f>
        <v>0</v>
      </c>
      <c r="AI40" s="120">
        <f>Accounting!G40</f>
        <v>0</v>
      </c>
      <c r="AJ40" s="120">
        <f>'Business Organization'!G40</f>
        <v>0</v>
      </c>
      <c r="AK40" s="120">
        <f>IF(SubjectList!G40="Finance",Finance!G40,IF(SubjectList!G40="Production",Production!G40,IF(SubjectList!G40="Economics",Economics!G40)))</f>
        <v>0</v>
      </c>
      <c r="AL40" s="120">
        <f>Finance!G40</f>
        <v>0</v>
      </c>
      <c r="AM40" s="120">
        <f>Optional!H40</f>
        <v>0</v>
      </c>
      <c r="AN40" s="120">
        <f>Optional!I40</f>
        <v>0</v>
      </c>
      <c r="AO40" s="120" t="str">
        <f t="shared" si="14"/>
        <v/>
      </c>
      <c r="AP40" s="120">
        <f t="shared" si="15"/>
        <v>0</v>
      </c>
      <c r="AQ40" s="116" t="str">
        <f t="shared" si="16"/>
        <v/>
      </c>
      <c r="AR40" s="116" t="str">
        <f t="shared" si="17"/>
        <v/>
      </c>
      <c r="AS40" s="117">
        <f t="shared" si="18"/>
        <v>110</v>
      </c>
      <c r="AT40" s="118">
        <f t="shared" si="19"/>
        <v>0</v>
      </c>
      <c r="AU40" s="118">
        <f t="shared" si="20"/>
        <v>0</v>
      </c>
      <c r="AV40" s="118">
        <f t="shared" si="21"/>
        <v>0</v>
      </c>
      <c r="AW40" s="118">
        <f t="shared" si="22"/>
        <v>0</v>
      </c>
      <c r="AX40" s="118">
        <f t="shared" si="23"/>
        <v>0</v>
      </c>
      <c r="AY40" s="118">
        <f t="shared" si="24"/>
        <v>0</v>
      </c>
      <c r="AZ40" s="111">
        <f t="shared" si="25"/>
        <v>0</v>
      </c>
      <c r="BA40" s="111" t="str">
        <f t="shared" si="26"/>
        <v>F6</v>
      </c>
      <c r="BB40" s="117" t="str">
        <f>IF(AR40="","",RANK(AR40,AR$2:AR145,0))</f>
        <v/>
      </c>
      <c r="BC40" s="111" t="str">
        <f t="shared" si="27"/>
        <v/>
      </c>
    </row>
    <row r="41" spans="1:55" x14ac:dyDescent="0.35">
      <c r="A41" s="113">
        <f>'Student Basic Info'!A41</f>
        <v>540</v>
      </c>
      <c r="B41" s="113" t="str">
        <f>'Student Basic Info'!C41</f>
        <v>Golam Mahnud</v>
      </c>
      <c r="C41" s="121" t="str">
        <f>IF(Bangla!B41="","",Bangla!B41)</f>
        <v/>
      </c>
      <c r="D41" s="121">
        <f>IF(Bangla!C41="","",Bangla!C41)</f>
        <v>33</v>
      </c>
      <c r="E41" s="112">
        <f>IF(Bangla!D41="","",Bangla!D41)</f>
        <v>33</v>
      </c>
      <c r="F41" s="112">
        <f>IF(English!C41="","",English!C41)</f>
        <v>10</v>
      </c>
      <c r="G41" s="113">
        <f>IF(ICT!B41="","",ICT!B41)</f>
        <v>10</v>
      </c>
      <c r="H41" s="113">
        <f>IF(ICT!C41="","",ICT!C41)</f>
        <v>9</v>
      </c>
      <c r="I41" s="113">
        <f>IF(ICT!D41="","",ICT!D41)</f>
        <v>8</v>
      </c>
      <c r="J41" s="114">
        <f>IF(ICT!E41="","",ICT!E41)</f>
        <v>27</v>
      </c>
      <c r="K41" s="113">
        <f>IF(Accounting!B41="","",Accounting!B41)</f>
        <v>8</v>
      </c>
      <c r="L41" s="113">
        <f>IF(Accounting!C41="","",Accounting!C41)</f>
        <v>8</v>
      </c>
      <c r="M41" s="114">
        <f>IF(Accounting!D41="","",Accounting!D41)</f>
        <v>16</v>
      </c>
      <c r="N41" s="113">
        <f>IF('Business Organization'!B41="","",'Business Organization'!B41)</f>
        <v>15</v>
      </c>
      <c r="O41" s="113">
        <f>IF('Business Organization'!C41="","",'Business Organization'!C41)</f>
        <v>14</v>
      </c>
      <c r="P41" s="114">
        <f>IF('Business Organization'!D41="","",'Business Organization'!D41)</f>
        <v>29</v>
      </c>
      <c r="Q41" s="113">
        <f>IF(SubjectList!G41="Finance",IF(Finance!B41=0,"", Finance!B41),IF(SubjectList!G41="Production",IF(Production!B41=0,"", Production!B41),IF(SubjectList!G41="Economics",IF(Economics!B41=0,"", Economics!B41))))</f>
        <v>10</v>
      </c>
      <c r="R41" s="113">
        <f>IF(SubjectList!G41="Finance",IF(Finance!C41=0,"", Finance!C41),IF(SubjectList!G41="Production",IF(Production!C41=0,"", Production!C41),IF(SubjectList!G41="Economics",IF(Economics!C41=0,"", Economics!C41))))</f>
        <v>3</v>
      </c>
      <c r="S41" s="114">
        <f>IF(SubjectList!G41="Finance",IF(Finance!D41=0,"", Finance!D41),IF(SubjectList!G41="Production",IF(Production!D41=0,"", Production!D41),IF(SubjectList!G41="Economics",IF(Economics!D41=0,"", Economics!D41))))</f>
        <v>13</v>
      </c>
      <c r="T41" s="113">
        <f>IF(SubjectList!H41="Finance",IF(Finance!B41=0,"", Finance!B41),IF(SubjectList!H41="Production",IF(Production!B41=0,"", Production!B41),IF(SubjectList!H41="Economics",IF(Economics!B41=0,"", Economics!B41))))</f>
        <v>13</v>
      </c>
      <c r="U41" s="113">
        <f>IF(SubjectList!H41="Finance",IF(Finance!C41=0,"", Finance!C41),IF(SubjectList!H41="Production",IF(Production!C41=0,"", Production!C41),IF(SubjectList!H41="Economics",IF(Economics!C41=0,"", Economics!C41))))</f>
        <v>6</v>
      </c>
      <c r="V41" s="114">
        <f>IF(SubjectList!H41="Finance",IF(Finance!D41=0,"", Finance!D41),IF(SubjectList!H41="Production",IF(Production!D41=0,"", Production!D41),IF(SubjectList!H41="Economics",IF(Economics!D41=0,"", Economics!D41))))</f>
        <v>19</v>
      </c>
      <c r="W41" s="115" t="str">
        <f>IF(SubjectList!G41="Finance","Finance",IF(SubjectList!G41="Production","Production",IF(SubjectList!G41="Economics","Not Given")))</f>
        <v>Finance</v>
      </c>
      <c r="X41" s="115" t="str">
        <f>IF(SubjectList!H41="Finance","Finance",IF(SubjectList!H41="Production","Production",IF(SubjectList!H41="Economics","Economics","Not Given")))</f>
        <v>Production</v>
      </c>
      <c r="Y41" s="113" t="str">
        <f>Bangla!F41</f>
        <v>D</v>
      </c>
      <c r="Z41" s="113" t="str">
        <f>English!E41</f>
        <v>F</v>
      </c>
      <c r="AA41" s="113" t="str">
        <f>ICT!G41</f>
        <v>F</v>
      </c>
      <c r="AB41" s="113" t="str">
        <f>Accounting!F41</f>
        <v>F</v>
      </c>
      <c r="AC41" s="113" t="str">
        <f>'Business Organization'!F41</f>
        <v>F</v>
      </c>
      <c r="AD41" s="113" t="str">
        <f>Production!F41</f>
        <v>F</v>
      </c>
      <c r="AE41" s="113" t="str">
        <f>Finance!F41</f>
        <v>F</v>
      </c>
      <c r="AF41" s="122">
        <f>Bangla!G41</f>
        <v>1</v>
      </c>
      <c r="AG41" s="122">
        <f>English!F41</f>
        <v>0</v>
      </c>
      <c r="AH41" s="120">
        <f>ICT!H41</f>
        <v>0</v>
      </c>
      <c r="AI41" s="120">
        <f>Accounting!G41</f>
        <v>0</v>
      </c>
      <c r="AJ41" s="120">
        <f>'Business Organization'!G41</f>
        <v>0</v>
      </c>
      <c r="AK41" s="120">
        <f>IF(SubjectList!G41="Finance",Finance!G41,IF(SubjectList!G41="Production",Production!G41,IF(SubjectList!G41="Economics",Economics!G41)))</f>
        <v>0</v>
      </c>
      <c r="AL41" s="120">
        <f>Finance!G41</f>
        <v>0</v>
      </c>
      <c r="AM41" s="120">
        <f>Optional!H41</f>
        <v>0</v>
      </c>
      <c r="AN41" s="120">
        <f>Optional!I41</f>
        <v>0</v>
      </c>
      <c r="AO41" s="120">
        <f t="shared" si="14"/>
        <v>1</v>
      </c>
      <c r="AP41" s="120">
        <f t="shared" si="15"/>
        <v>1</v>
      </c>
      <c r="AQ41" s="116" t="str">
        <f t="shared" si="16"/>
        <v/>
      </c>
      <c r="AR41" s="116" t="str">
        <f t="shared" si="17"/>
        <v/>
      </c>
      <c r="AS41" s="117">
        <f t="shared" si="18"/>
        <v>147</v>
      </c>
      <c r="AT41" s="118">
        <f t="shared" si="19"/>
        <v>1</v>
      </c>
      <c r="AU41" s="118">
        <f t="shared" si="20"/>
        <v>0</v>
      </c>
      <c r="AV41" s="118">
        <f t="shared" si="21"/>
        <v>0</v>
      </c>
      <c r="AW41" s="118">
        <f t="shared" si="22"/>
        <v>0</v>
      </c>
      <c r="AX41" s="118">
        <f t="shared" si="23"/>
        <v>0</v>
      </c>
      <c r="AY41" s="118">
        <f t="shared" si="24"/>
        <v>0</v>
      </c>
      <c r="AZ41" s="111">
        <f t="shared" si="25"/>
        <v>1</v>
      </c>
      <c r="BA41" s="111" t="str">
        <f t="shared" si="26"/>
        <v>F5</v>
      </c>
      <c r="BB41" s="117" t="str">
        <f>IF(AR41="","",RANK(AR41,AR$2:AR145,0))</f>
        <v/>
      </c>
      <c r="BC41" s="111" t="str">
        <f t="shared" si="27"/>
        <v/>
      </c>
    </row>
    <row r="42" spans="1:55" x14ac:dyDescent="0.35">
      <c r="A42" s="113">
        <f>'Student Basic Info'!A42</f>
        <v>541</v>
      </c>
      <c r="B42" s="113" t="str">
        <f>'Student Basic Info'!C42</f>
        <v>Md. Samir Hosain</v>
      </c>
      <c r="C42" s="121" t="str">
        <f>IF(Bangla!B42="","",Bangla!B42)</f>
        <v/>
      </c>
      <c r="D42" s="121">
        <f>IF(Bangla!C42="","",Bangla!C42)</f>
        <v>50</v>
      </c>
      <c r="E42" s="112">
        <f>IF(Bangla!D42="","",Bangla!D42)</f>
        <v>50</v>
      </c>
      <c r="F42" s="112" t="str">
        <f>IF(English!C42="","",English!C42)</f>
        <v/>
      </c>
      <c r="G42" s="113" t="str">
        <f>IF(ICT!B42="","",ICT!B42)</f>
        <v/>
      </c>
      <c r="H42" s="113" t="str">
        <f>IF(ICT!C42="","",ICT!C42)</f>
        <v/>
      </c>
      <c r="I42" s="113" t="str">
        <f>IF(ICT!D42="","",ICT!D42)</f>
        <v/>
      </c>
      <c r="J42" s="114" t="str">
        <f>IF(ICT!E42="","",ICT!E42)</f>
        <v/>
      </c>
      <c r="K42" s="113" t="str">
        <f>IF(Accounting!B42="","",Accounting!B42)</f>
        <v/>
      </c>
      <c r="L42" s="113" t="str">
        <f>IF(Accounting!C42="","",Accounting!C42)</f>
        <v/>
      </c>
      <c r="M42" s="114" t="str">
        <f>IF(Accounting!D42="","",Accounting!D42)</f>
        <v/>
      </c>
      <c r="N42" s="113" t="str">
        <f>IF('Business Organization'!B42="","",'Business Organization'!B42)</f>
        <v/>
      </c>
      <c r="O42" s="113" t="str">
        <f>IF('Business Organization'!C42="","",'Business Organization'!C42)</f>
        <v/>
      </c>
      <c r="P42" s="114" t="str">
        <f>IF('Business Organization'!D42="","",'Business Organization'!D42)</f>
        <v/>
      </c>
      <c r="Q42" s="113" t="str">
        <f>IF(SubjectList!G42="Finance",IF(Finance!B42=0,"", Finance!B42),IF(SubjectList!G42="Production",IF(Production!B42=0,"", Production!B42),IF(SubjectList!G42="Economics",IF(Economics!B42=0,"", Economics!B42))))</f>
        <v/>
      </c>
      <c r="R42" s="113" t="str">
        <f>IF(SubjectList!G42="Finance",IF(Finance!C42=0,"", Finance!C42),IF(SubjectList!G42="Production",IF(Production!C42=0,"", Production!C42),IF(SubjectList!G42="Economics",IF(Economics!C42=0,"", Economics!C42))))</f>
        <v/>
      </c>
      <c r="S42" s="114" t="str">
        <f>IF(SubjectList!G42="Finance",IF(Finance!D42=0,"", Finance!D42),IF(SubjectList!G42="Production",IF(Production!D42=0,"", Production!D42),IF(SubjectList!G42="Economics",IF(Economics!D42=0,"", Economics!D42))))</f>
        <v/>
      </c>
      <c r="T42" s="113" t="str">
        <f>IF(SubjectList!H42="Finance",IF(Finance!B42=0,"", Finance!B42),IF(SubjectList!H42="Production",IF(Production!B42=0,"", Production!B42),IF(SubjectList!H42="Economics",IF(Economics!B42=0,"", Economics!B42))))</f>
        <v/>
      </c>
      <c r="U42" s="113" t="str">
        <f>IF(SubjectList!H42="Finance",IF(Finance!C42=0,"", Finance!C42),IF(SubjectList!H42="Production",IF(Production!C42=0,"", Production!C42),IF(SubjectList!H42="Economics",IF(Economics!C42=0,"", Economics!C42))))</f>
        <v/>
      </c>
      <c r="V42" s="114" t="str">
        <f>IF(SubjectList!H42="Finance",IF(Finance!D42=0,"", Finance!D42),IF(SubjectList!H42="Production",IF(Production!D42=0,"", Production!D42),IF(SubjectList!H42="Economics",IF(Economics!D42=0,"", Economics!D42))))</f>
        <v/>
      </c>
      <c r="W42" s="115" t="str">
        <f>IF(SubjectList!G42="Finance","Finance",IF(SubjectList!G42="Production","Production",IF(SubjectList!G42="Economics","Not Given")))</f>
        <v>Finance</v>
      </c>
      <c r="X42" s="115" t="str">
        <f>IF(SubjectList!H42="Finance","Finance",IF(SubjectList!H42="Production","Production",IF(SubjectList!H42="Economics","Economics","Not Given")))</f>
        <v>Production</v>
      </c>
      <c r="Y42" s="113" t="str">
        <f>Bangla!F42</f>
        <v>B</v>
      </c>
      <c r="Z42" s="113" t="str">
        <f>English!E42</f>
        <v/>
      </c>
      <c r="AA42" s="113" t="str">
        <f>ICT!G42</f>
        <v/>
      </c>
      <c r="AB42" s="113" t="str">
        <f>Accounting!F42</f>
        <v/>
      </c>
      <c r="AC42" s="113" t="str">
        <f>'Business Organization'!F42</f>
        <v/>
      </c>
      <c r="AD42" s="113" t="str">
        <f>Production!F42</f>
        <v/>
      </c>
      <c r="AE42" s="113" t="str">
        <f>Finance!F42</f>
        <v/>
      </c>
      <c r="AF42" s="122">
        <f>Bangla!G42</f>
        <v>3</v>
      </c>
      <c r="AG42" s="122" t="str">
        <f>English!F42</f>
        <v/>
      </c>
      <c r="AH42" s="120" t="str">
        <f>ICT!H42</f>
        <v/>
      </c>
      <c r="AI42" s="120" t="str">
        <f>Accounting!G42</f>
        <v/>
      </c>
      <c r="AJ42" s="120" t="str">
        <f>'Business Organization'!G42</f>
        <v/>
      </c>
      <c r="AK42" s="120" t="str">
        <f>IF(SubjectList!G42="Finance",Finance!G42,IF(SubjectList!G42="Production",Production!G42,IF(SubjectList!G42="Economics",Economics!G42)))</f>
        <v/>
      </c>
      <c r="AL42" s="120" t="str">
        <f>Finance!G42</f>
        <v/>
      </c>
      <c r="AM42" s="120" t="str">
        <f>Optional!H42</f>
        <v/>
      </c>
      <c r="AN42" s="120" t="str">
        <f>Optional!I42</f>
        <v/>
      </c>
      <c r="AO42" s="120">
        <f t="shared" si="14"/>
        <v>3</v>
      </c>
      <c r="AP42" s="120">
        <f t="shared" si="15"/>
        <v>3</v>
      </c>
      <c r="AQ42" s="116" t="str">
        <f t="shared" si="16"/>
        <v/>
      </c>
      <c r="AR42" s="116" t="str">
        <f t="shared" si="17"/>
        <v/>
      </c>
      <c r="AS42" s="117">
        <f t="shared" si="18"/>
        <v>50</v>
      </c>
      <c r="AT42" s="118">
        <f t="shared" si="19"/>
        <v>1</v>
      </c>
      <c r="AU42" s="118">
        <f t="shared" si="20"/>
        <v>0</v>
      </c>
      <c r="AV42" s="118">
        <f t="shared" si="21"/>
        <v>0</v>
      </c>
      <c r="AW42" s="118">
        <f t="shared" si="22"/>
        <v>0</v>
      </c>
      <c r="AX42" s="118">
        <f t="shared" si="23"/>
        <v>0</v>
      </c>
      <c r="AY42" s="118">
        <f t="shared" si="24"/>
        <v>0</v>
      </c>
      <c r="AZ42" s="111">
        <f t="shared" si="25"/>
        <v>1</v>
      </c>
      <c r="BA42" s="111" t="str">
        <f t="shared" si="26"/>
        <v>F5</v>
      </c>
      <c r="BB42" s="117" t="str">
        <f>IF(AR42="","",RANK(AR42,AR$2:AR145,0))</f>
        <v/>
      </c>
      <c r="BC42" s="111" t="str">
        <f t="shared" si="27"/>
        <v/>
      </c>
    </row>
    <row r="43" spans="1:55" x14ac:dyDescent="0.35">
      <c r="A43" s="113">
        <f>'Student Basic Info'!A43</f>
        <v>542</v>
      </c>
      <c r="B43" s="113" t="str">
        <f>'Student Basic Info'!C43</f>
        <v>Md. Imran Hosain</v>
      </c>
      <c r="C43" s="121" t="str">
        <f>IF(Bangla!B43="","",Bangla!B43)</f>
        <v/>
      </c>
      <c r="D43" s="121">
        <f>IF(Bangla!C43="","",Bangla!C43)</f>
        <v>33</v>
      </c>
      <c r="E43" s="112">
        <f>IF(Bangla!D43="","",Bangla!D43)</f>
        <v>33</v>
      </c>
      <c r="F43" s="112">
        <f>IF(English!C43="","",English!C43)</f>
        <v>25</v>
      </c>
      <c r="G43" s="113">
        <f>IF(ICT!B43="","",ICT!B43)</f>
        <v>11</v>
      </c>
      <c r="H43" s="113">
        <f>IF(ICT!C43="","",ICT!C43)</f>
        <v>9</v>
      </c>
      <c r="I43" s="113">
        <f>IF(ICT!D43="","",ICT!D43)</f>
        <v>20</v>
      </c>
      <c r="J43" s="114">
        <f>IF(ICT!E43="","",ICT!E43)</f>
        <v>40</v>
      </c>
      <c r="K43" s="113">
        <f>IF(Accounting!B43="","",Accounting!B43)</f>
        <v>10</v>
      </c>
      <c r="L43" s="113">
        <f>IF(Accounting!C43="","",Accounting!C43)</f>
        <v>13</v>
      </c>
      <c r="M43" s="114">
        <f>IF(Accounting!D43="","",Accounting!D43)</f>
        <v>23</v>
      </c>
      <c r="N43" s="113">
        <f>IF('Business Organization'!B43="","",'Business Organization'!B43)</f>
        <v>17</v>
      </c>
      <c r="O43" s="113">
        <f>IF('Business Organization'!C43="","",'Business Organization'!C43)</f>
        <v>17</v>
      </c>
      <c r="P43" s="114">
        <f>IF('Business Organization'!D43="","",'Business Organization'!D43)</f>
        <v>34</v>
      </c>
      <c r="Q43" s="113">
        <f>IF(SubjectList!G43="Finance",IF(Finance!B43=0,"", Finance!B43),IF(SubjectList!G43="Production",IF(Production!B43=0,"", Production!B43),IF(SubjectList!G43="Economics",IF(Economics!B43=0,"", Economics!B43))))</f>
        <v>13</v>
      </c>
      <c r="R43" s="113">
        <f>IF(SubjectList!G43="Finance",IF(Finance!C43=0,"", Finance!C43),IF(SubjectList!G43="Production",IF(Production!C43=0,"", Production!C43),IF(SubjectList!G43="Economics",IF(Economics!C43=0,"", Economics!C43))))</f>
        <v>24</v>
      </c>
      <c r="S43" s="114">
        <f>IF(SubjectList!G43="Finance",IF(Finance!D43=0,"", Finance!D43),IF(SubjectList!G43="Production",IF(Production!D43=0,"", Production!D43),IF(SubjectList!G43="Economics",IF(Economics!D43=0,"", Economics!D43))))</f>
        <v>37</v>
      </c>
      <c r="T43" s="113">
        <f>IF(SubjectList!H43="Finance",IF(Finance!B43=0,"", Finance!B43),IF(SubjectList!H43="Production",IF(Production!B43=0,"", Production!B43),IF(SubjectList!H43="Economics",IF(Economics!B43=0,"", Economics!B43))))</f>
        <v>9</v>
      </c>
      <c r="U43" s="113">
        <f>IF(SubjectList!H43="Finance",IF(Finance!C43=0,"", Finance!C43),IF(SubjectList!H43="Production",IF(Production!C43=0,"", Production!C43),IF(SubjectList!H43="Economics",IF(Economics!C43=0,"", Economics!C43))))</f>
        <v>3</v>
      </c>
      <c r="V43" s="114">
        <f>IF(SubjectList!H43="Finance",IF(Finance!D43=0,"", Finance!D43),IF(SubjectList!H43="Production",IF(Production!D43=0,"", Production!D43),IF(SubjectList!H43="Economics",IF(Economics!D43=0,"", Economics!D43))))</f>
        <v>12</v>
      </c>
      <c r="W43" s="115" t="str">
        <f>IF(SubjectList!G43="Finance","Finance",IF(SubjectList!G43="Production","Production",IF(SubjectList!G43="Economics","Not Given")))</f>
        <v>Production</v>
      </c>
      <c r="X43" s="115" t="str">
        <f>IF(SubjectList!H43="Finance","Finance",IF(SubjectList!H43="Production","Production",IF(SubjectList!H43="Economics","Economics","Not Given")))</f>
        <v>Economics</v>
      </c>
      <c r="Y43" s="113" t="str">
        <f>Bangla!F43</f>
        <v>D</v>
      </c>
      <c r="Z43" s="113" t="str">
        <f>English!E43</f>
        <v>F</v>
      </c>
      <c r="AA43" s="113" t="str">
        <f>ICT!G43</f>
        <v>F</v>
      </c>
      <c r="AB43" s="113" t="str">
        <f>Accounting!F43</f>
        <v>F</v>
      </c>
      <c r="AC43" s="113" t="str">
        <f>'Business Organization'!F43</f>
        <v>F</v>
      </c>
      <c r="AD43" s="113" t="str">
        <f>Production!F43</f>
        <v>D</v>
      </c>
      <c r="AE43" s="113" t="str">
        <f>Finance!F43</f>
        <v/>
      </c>
      <c r="AF43" s="122">
        <f>Bangla!G43</f>
        <v>1</v>
      </c>
      <c r="AG43" s="122">
        <f>English!F43</f>
        <v>0</v>
      </c>
      <c r="AH43" s="120">
        <f>ICT!H43</f>
        <v>0</v>
      </c>
      <c r="AI43" s="120">
        <f>Accounting!G43</f>
        <v>0</v>
      </c>
      <c r="AJ43" s="120">
        <f>'Business Organization'!G43</f>
        <v>0</v>
      </c>
      <c r="AK43" s="120">
        <f>IF(SubjectList!G43="Finance",Finance!G43,IF(SubjectList!G43="Production",Production!G43,IF(SubjectList!G43="Economics",Economics!G43)))</f>
        <v>1</v>
      </c>
      <c r="AL43" s="120" t="str">
        <f>Finance!G43</f>
        <v/>
      </c>
      <c r="AM43" s="120">
        <f>Optional!H43</f>
        <v>0</v>
      </c>
      <c r="AN43" s="120">
        <f>Optional!I43</f>
        <v>0</v>
      </c>
      <c r="AO43" s="120">
        <f t="shared" si="14"/>
        <v>2</v>
      </c>
      <c r="AP43" s="120">
        <f t="shared" si="15"/>
        <v>2</v>
      </c>
      <c r="AQ43" s="116" t="str">
        <f t="shared" si="16"/>
        <v/>
      </c>
      <c r="AR43" s="116" t="str">
        <f t="shared" si="17"/>
        <v/>
      </c>
      <c r="AS43" s="117">
        <f t="shared" si="18"/>
        <v>204</v>
      </c>
      <c r="AT43" s="118">
        <f t="shared" si="19"/>
        <v>1</v>
      </c>
      <c r="AU43" s="118">
        <f t="shared" si="20"/>
        <v>0</v>
      </c>
      <c r="AV43" s="118">
        <f t="shared" si="21"/>
        <v>0</v>
      </c>
      <c r="AW43" s="118">
        <f t="shared" si="22"/>
        <v>0</v>
      </c>
      <c r="AX43" s="118">
        <f t="shared" si="23"/>
        <v>0</v>
      </c>
      <c r="AY43" s="118">
        <f t="shared" si="24"/>
        <v>1</v>
      </c>
      <c r="AZ43" s="111">
        <f t="shared" si="25"/>
        <v>2</v>
      </c>
      <c r="BA43" s="111" t="str">
        <f t="shared" si="26"/>
        <v>F4</v>
      </c>
      <c r="BB43" s="117" t="str">
        <f>IF(AR43="","",RANK(AR43,AR$2:AR145,0))</f>
        <v/>
      </c>
      <c r="BC43" s="111" t="str">
        <f t="shared" si="27"/>
        <v/>
      </c>
    </row>
    <row r="44" spans="1:55" x14ac:dyDescent="0.35">
      <c r="A44" s="113">
        <f>'Student Basic Info'!A44</f>
        <v>543</v>
      </c>
      <c r="B44" s="113" t="str">
        <f>'Student Basic Info'!C44</f>
        <v>Mohammad Yeasin</v>
      </c>
      <c r="C44" s="121" t="str">
        <f>IF(Bangla!B44="","",Bangla!B44)</f>
        <v/>
      </c>
      <c r="D44" s="121">
        <f>IF(Bangla!C44="","",Bangla!C44)</f>
        <v>33</v>
      </c>
      <c r="E44" s="112">
        <f>IF(Bangla!D44="","",Bangla!D44)</f>
        <v>33</v>
      </c>
      <c r="F44" s="112">
        <f>IF(English!C44="","",English!C44)</f>
        <v>6</v>
      </c>
      <c r="G44" s="113">
        <f>IF(ICT!B44="","",ICT!B44)</f>
        <v>10</v>
      </c>
      <c r="H44" s="113">
        <f>IF(ICT!C44="","",ICT!C44)</f>
        <v>10</v>
      </c>
      <c r="I44" s="113">
        <f>IF(ICT!D44="","",ICT!D44)</f>
        <v>8</v>
      </c>
      <c r="J44" s="114">
        <f>IF(ICT!E44="","",ICT!E44)</f>
        <v>28</v>
      </c>
      <c r="K44" s="113">
        <f>IF(Accounting!B44="","",Accounting!B44)</f>
        <v>8</v>
      </c>
      <c r="L44" s="113">
        <f>IF(Accounting!C44="","",Accounting!C44)</f>
        <v>12</v>
      </c>
      <c r="M44" s="114">
        <f>IF(Accounting!D44="","",Accounting!D44)</f>
        <v>20</v>
      </c>
      <c r="N44" s="113">
        <f>IF('Business Organization'!B44="","",'Business Organization'!B44)</f>
        <v>17</v>
      </c>
      <c r="O44" s="113">
        <f>IF('Business Organization'!C44="","",'Business Organization'!C44)</f>
        <v>8</v>
      </c>
      <c r="P44" s="114">
        <f>IF('Business Organization'!D44="","",'Business Organization'!D44)</f>
        <v>25</v>
      </c>
      <c r="Q44" s="113">
        <f>IF(SubjectList!G44="Finance",IF(Finance!B44=0,"", Finance!B44),IF(SubjectList!G44="Production",IF(Production!B44=0,"", Production!B44),IF(SubjectList!G44="Economics",IF(Economics!B44=0,"", Economics!B44))))</f>
        <v>15</v>
      </c>
      <c r="R44" s="113">
        <f>IF(SubjectList!G44="Finance",IF(Finance!C44=0,"", Finance!C44),IF(SubjectList!G44="Production",IF(Production!C44=0,"", Production!C44),IF(SubjectList!G44="Economics",IF(Economics!C44=0,"", Economics!C44))))</f>
        <v>23</v>
      </c>
      <c r="S44" s="114">
        <f>IF(SubjectList!G44="Finance",IF(Finance!D44=0,"", Finance!D44),IF(SubjectList!G44="Production",IF(Production!D44=0,"", Production!D44),IF(SubjectList!G44="Economics",IF(Economics!D44=0,"", Economics!D44))))</f>
        <v>38</v>
      </c>
      <c r="T44" s="113">
        <f>IF(SubjectList!H44="Finance",IF(Finance!B44=0,"", Finance!B44),IF(SubjectList!H44="Production",IF(Production!B44=0,"", Production!B44),IF(SubjectList!H44="Economics",IF(Economics!B44=0,"", Economics!B44))))</f>
        <v>6</v>
      </c>
      <c r="U44" s="113">
        <f>IF(SubjectList!H44="Finance",IF(Finance!C44=0,"", Finance!C44),IF(SubjectList!H44="Production",IF(Production!C44=0,"", Production!C44),IF(SubjectList!H44="Economics",IF(Economics!C44=0,"", Economics!C44))))</f>
        <v>4</v>
      </c>
      <c r="V44" s="114">
        <f>IF(SubjectList!H44="Finance",IF(Finance!D44=0,"", Finance!D44),IF(SubjectList!H44="Production",IF(Production!D44=0,"", Production!D44),IF(SubjectList!H44="Economics",IF(Economics!D44=0,"", Economics!D44))))</f>
        <v>10</v>
      </c>
      <c r="W44" s="115" t="str">
        <f>IF(SubjectList!G44="Finance","Finance",IF(SubjectList!G44="Production","Production",IF(SubjectList!G44="Economics","Not Given")))</f>
        <v>Production</v>
      </c>
      <c r="X44" s="115" t="str">
        <f>IF(SubjectList!H44="Finance","Finance",IF(SubjectList!H44="Production","Production",IF(SubjectList!H44="Economics","Economics","Not Given")))</f>
        <v>Economics</v>
      </c>
      <c r="Y44" s="113" t="str">
        <f>Bangla!F44</f>
        <v>D</v>
      </c>
      <c r="Z44" s="113" t="str">
        <f>English!E44</f>
        <v>F</v>
      </c>
      <c r="AA44" s="113" t="str">
        <f>ICT!G44</f>
        <v>F</v>
      </c>
      <c r="AB44" s="113" t="str">
        <f>Accounting!F44</f>
        <v>F</v>
      </c>
      <c r="AC44" s="113" t="str">
        <f>'Business Organization'!F44</f>
        <v>F</v>
      </c>
      <c r="AD44" s="113" t="str">
        <f>Production!F44</f>
        <v>D</v>
      </c>
      <c r="AE44" s="113" t="str">
        <f>Finance!F44</f>
        <v/>
      </c>
      <c r="AF44" s="122">
        <f>Bangla!G44</f>
        <v>1</v>
      </c>
      <c r="AG44" s="122">
        <f>English!F44</f>
        <v>0</v>
      </c>
      <c r="AH44" s="120">
        <f>ICT!H44</f>
        <v>0</v>
      </c>
      <c r="AI44" s="120">
        <f>Accounting!G44</f>
        <v>0</v>
      </c>
      <c r="AJ44" s="120">
        <f>'Business Organization'!G44</f>
        <v>0</v>
      </c>
      <c r="AK44" s="120">
        <f>IF(SubjectList!G44="Finance",Finance!G44,IF(SubjectList!G44="Production",Production!G44,IF(SubjectList!G44="Economics",Economics!G44)))</f>
        <v>1</v>
      </c>
      <c r="AL44" s="120" t="str">
        <f>Finance!G44</f>
        <v/>
      </c>
      <c r="AM44" s="120">
        <f>Optional!H44</f>
        <v>0</v>
      </c>
      <c r="AN44" s="120">
        <f>Optional!I44</f>
        <v>0</v>
      </c>
      <c r="AO44" s="120">
        <f t="shared" si="14"/>
        <v>2</v>
      </c>
      <c r="AP44" s="120">
        <f t="shared" si="15"/>
        <v>2</v>
      </c>
      <c r="AQ44" s="116" t="str">
        <f t="shared" si="16"/>
        <v/>
      </c>
      <c r="AR44" s="116" t="str">
        <f t="shared" si="17"/>
        <v/>
      </c>
      <c r="AS44" s="117">
        <f t="shared" si="18"/>
        <v>160</v>
      </c>
      <c r="AT44" s="118">
        <f t="shared" si="19"/>
        <v>1</v>
      </c>
      <c r="AU44" s="118">
        <f t="shared" si="20"/>
        <v>0</v>
      </c>
      <c r="AV44" s="118">
        <f t="shared" si="21"/>
        <v>0</v>
      </c>
      <c r="AW44" s="118">
        <f t="shared" si="22"/>
        <v>0</v>
      </c>
      <c r="AX44" s="118">
        <f t="shared" si="23"/>
        <v>0</v>
      </c>
      <c r="AY44" s="118">
        <f t="shared" si="24"/>
        <v>1</v>
      </c>
      <c r="AZ44" s="111">
        <f t="shared" si="25"/>
        <v>2</v>
      </c>
      <c r="BA44" s="111" t="str">
        <f t="shared" si="26"/>
        <v>F4</v>
      </c>
      <c r="BB44" s="117" t="str">
        <f>IF(AR44="","",RANK(AR44,AR$2:AR145,0))</f>
        <v/>
      </c>
      <c r="BC44" s="111" t="str">
        <f t="shared" si="27"/>
        <v/>
      </c>
    </row>
    <row r="45" spans="1:55" x14ac:dyDescent="0.35">
      <c r="A45" s="113">
        <f>'Student Basic Info'!A45</f>
        <v>544</v>
      </c>
      <c r="B45" s="113" t="str">
        <f>'Student Basic Info'!C45</f>
        <v>Abdur Rahman</v>
      </c>
      <c r="C45" s="121" t="str">
        <f>IF(Bangla!B45="","",Bangla!B45)</f>
        <v/>
      </c>
      <c r="D45" s="121">
        <f>IF(Bangla!C45="","",Bangla!C45)</f>
        <v>40</v>
      </c>
      <c r="E45" s="112">
        <f>IF(Bangla!D45="","",Bangla!D45)</f>
        <v>40</v>
      </c>
      <c r="F45" s="112">
        <f>IF(English!C45="","",English!C45)</f>
        <v>28</v>
      </c>
      <c r="G45" s="113">
        <f>IF(ICT!B45="","",ICT!B45)</f>
        <v>11</v>
      </c>
      <c r="H45" s="113">
        <f>IF(ICT!C45="","",ICT!C45)</f>
        <v>22</v>
      </c>
      <c r="I45" s="113">
        <f>IF(ICT!D45="","",ICT!D45)</f>
        <v>20</v>
      </c>
      <c r="J45" s="114">
        <f>IF(ICT!E45="","",ICT!E45)</f>
        <v>53</v>
      </c>
      <c r="K45" s="113">
        <f>IF(Accounting!B45="","",Accounting!B45)</f>
        <v>10</v>
      </c>
      <c r="L45" s="113">
        <f>IF(Accounting!C45="","",Accounting!C45)</f>
        <v>23</v>
      </c>
      <c r="M45" s="114">
        <f>IF(Accounting!D45="","",Accounting!D45)</f>
        <v>33</v>
      </c>
      <c r="N45" s="113">
        <f>IF('Business Organization'!B45="","",'Business Organization'!B45)</f>
        <v>17</v>
      </c>
      <c r="O45" s="113">
        <f>IF('Business Organization'!C45="","",'Business Organization'!C45)</f>
        <v>8</v>
      </c>
      <c r="P45" s="114">
        <f>IF('Business Organization'!D45="","",'Business Organization'!D45)</f>
        <v>25</v>
      </c>
      <c r="Q45" s="113">
        <f>IF(SubjectList!G45="Finance",IF(Finance!B45=0,"", Finance!B45),IF(SubjectList!G45="Production",IF(Production!B45=0,"", Production!B45),IF(SubjectList!G45="Economics",IF(Economics!B45=0,"", Economics!B45))))</f>
        <v>10</v>
      </c>
      <c r="R45" s="113">
        <f>IF(SubjectList!G45="Finance",IF(Finance!C45=0,"", Finance!C45),IF(SubjectList!G45="Production",IF(Production!C45=0,"", Production!C45),IF(SubjectList!G45="Economics",IF(Economics!C45=0,"", Economics!C45))))</f>
        <v>8</v>
      </c>
      <c r="S45" s="114">
        <f>IF(SubjectList!G45="Finance",IF(Finance!D45=0,"", Finance!D45),IF(SubjectList!G45="Production",IF(Production!D45=0,"", Production!D45),IF(SubjectList!G45="Economics",IF(Economics!D45=0,"", Economics!D45))))</f>
        <v>18</v>
      </c>
      <c r="T45" s="113">
        <f>IF(SubjectList!H45="Finance",IF(Finance!B45=0,"", Finance!B45),IF(SubjectList!H45="Production",IF(Production!B45=0,"", Production!B45),IF(SubjectList!H45="Economics",IF(Economics!B45=0,"", Economics!B45))))</f>
        <v>15</v>
      </c>
      <c r="U45" s="113">
        <f>IF(SubjectList!H45="Finance",IF(Finance!C45=0,"", Finance!C45),IF(SubjectList!H45="Production",IF(Production!C45=0,"", Production!C45),IF(SubjectList!H45="Economics",IF(Economics!C45=0,"", Economics!C45))))</f>
        <v>25</v>
      </c>
      <c r="V45" s="114">
        <f>IF(SubjectList!H45="Finance",IF(Finance!D45=0,"", Finance!D45),IF(SubjectList!H45="Production",IF(Production!D45=0,"", Production!D45),IF(SubjectList!H45="Economics",IF(Economics!D45=0,"", Economics!D45))))</f>
        <v>40</v>
      </c>
      <c r="W45" s="115" t="str">
        <f>IF(SubjectList!G45="Finance","Finance",IF(SubjectList!G45="Production","Production",IF(SubjectList!G45="Economics","Not Given")))</f>
        <v>Finance</v>
      </c>
      <c r="X45" s="115" t="str">
        <f>IF(SubjectList!H45="Finance","Finance",IF(SubjectList!H45="Production","Production",IF(SubjectList!H45="Economics","Economics","Not Given")))</f>
        <v>Production</v>
      </c>
      <c r="Y45" s="113" t="str">
        <f>Bangla!F45</f>
        <v>C</v>
      </c>
      <c r="Z45" s="113" t="str">
        <f>English!E45</f>
        <v>F</v>
      </c>
      <c r="AA45" s="113" t="str">
        <f>ICT!G45</f>
        <v>B</v>
      </c>
      <c r="AB45" s="113" t="str">
        <f>Accounting!F45</f>
        <v>D</v>
      </c>
      <c r="AC45" s="113" t="str">
        <f>'Business Organization'!F45</f>
        <v>F</v>
      </c>
      <c r="AD45" s="113" t="str">
        <f>Production!F45</f>
        <v>C</v>
      </c>
      <c r="AE45" s="113" t="str">
        <f>Finance!F45</f>
        <v>F</v>
      </c>
      <c r="AF45" s="122">
        <f>Bangla!G45</f>
        <v>2</v>
      </c>
      <c r="AG45" s="122">
        <f>English!F45</f>
        <v>0</v>
      </c>
      <c r="AH45" s="120">
        <f>ICT!H45</f>
        <v>3</v>
      </c>
      <c r="AI45" s="120">
        <f>Accounting!G45</f>
        <v>1</v>
      </c>
      <c r="AJ45" s="120">
        <f>'Business Organization'!G45</f>
        <v>0</v>
      </c>
      <c r="AK45" s="120">
        <f>IF(SubjectList!G45="Finance",Finance!G45,IF(SubjectList!G45="Production",Production!G45,IF(SubjectList!G45="Economics",Economics!G45)))</f>
        <v>0</v>
      </c>
      <c r="AL45" s="120">
        <f>Finance!G45</f>
        <v>0</v>
      </c>
      <c r="AM45" s="120">
        <f>Optional!H45</f>
        <v>2</v>
      </c>
      <c r="AN45" s="120">
        <f>Optional!I45</f>
        <v>0</v>
      </c>
      <c r="AO45" s="120">
        <f t="shared" si="14"/>
        <v>6</v>
      </c>
      <c r="AP45" s="120">
        <f t="shared" si="15"/>
        <v>6</v>
      </c>
      <c r="AQ45" s="116" t="str">
        <f t="shared" si="16"/>
        <v/>
      </c>
      <c r="AR45" s="116" t="str">
        <f t="shared" si="17"/>
        <v/>
      </c>
      <c r="AS45" s="117">
        <f t="shared" si="18"/>
        <v>237</v>
      </c>
      <c r="AT45" s="118">
        <f t="shared" si="19"/>
        <v>1</v>
      </c>
      <c r="AU45" s="118">
        <f t="shared" si="20"/>
        <v>0</v>
      </c>
      <c r="AV45" s="118">
        <f t="shared" si="21"/>
        <v>1</v>
      </c>
      <c r="AW45" s="118">
        <f t="shared" si="22"/>
        <v>1</v>
      </c>
      <c r="AX45" s="118">
        <f t="shared" si="23"/>
        <v>0</v>
      </c>
      <c r="AY45" s="118">
        <f t="shared" si="24"/>
        <v>0</v>
      </c>
      <c r="AZ45" s="111">
        <f t="shared" si="25"/>
        <v>3</v>
      </c>
      <c r="BA45" s="111" t="str">
        <f t="shared" si="26"/>
        <v>F3</v>
      </c>
      <c r="BB45" s="117" t="str">
        <f>IF(AR45="","",RANK(AR45,AR$2:AR145,0))</f>
        <v/>
      </c>
      <c r="BC45" s="111" t="str">
        <f t="shared" si="27"/>
        <v/>
      </c>
    </row>
    <row r="46" spans="1:55" x14ac:dyDescent="0.35">
      <c r="A46" s="113">
        <f>'Student Basic Info'!A46</f>
        <v>545</v>
      </c>
      <c r="B46" s="113" t="str">
        <f>'Student Basic Info'!C46</f>
        <v>Md. Osman Goni</v>
      </c>
      <c r="C46" s="121" t="str">
        <f>IF(Bangla!B46="","",Bangla!B46)</f>
        <v/>
      </c>
      <c r="D46" s="121" t="str">
        <f>IF(Bangla!C46="","",Bangla!C46)</f>
        <v/>
      </c>
      <c r="E46" s="112" t="str">
        <f>IF(Bangla!D46="","",Bangla!D46)</f>
        <v/>
      </c>
      <c r="F46" s="112" t="str">
        <f>IF(English!C46="","",English!C46)</f>
        <v/>
      </c>
      <c r="G46" s="113" t="str">
        <f>IF(ICT!B46="","",ICT!B46)</f>
        <v/>
      </c>
      <c r="H46" s="113" t="str">
        <f>IF(ICT!C46="","",ICT!C46)</f>
        <v/>
      </c>
      <c r="I46" s="113" t="str">
        <f>IF(ICT!D46="","",ICT!D46)</f>
        <v/>
      </c>
      <c r="J46" s="114" t="str">
        <f>IF(ICT!E46="","",ICT!E46)</f>
        <v/>
      </c>
      <c r="K46" s="113" t="str">
        <f>IF(Accounting!B46="","",Accounting!B46)</f>
        <v/>
      </c>
      <c r="L46" s="113" t="str">
        <f>IF(Accounting!C46="","",Accounting!C46)</f>
        <v/>
      </c>
      <c r="M46" s="114" t="str">
        <f>IF(Accounting!D46="","",Accounting!D46)</f>
        <v/>
      </c>
      <c r="N46" s="113" t="str">
        <f>IF('Business Organization'!B46="","",'Business Organization'!B46)</f>
        <v/>
      </c>
      <c r="O46" s="113" t="str">
        <f>IF('Business Organization'!C46="","",'Business Organization'!C46)</f>
        <v/>
      </c>
      <c r="P46" s="114" t="str">
        <f>IF('Business Organization'!D46="","",'Business Organization'!D46)</f>
        <v/>
      </c>
      <c r="Q46" s="113" t="str">
        <f>IF(SubjectList!G46="Finance",IF(Finance!B46=0,"", Finance!B46),IF(SubjectList!G46="Production",IF(Production!B46=0,"", Production!B46),IF(SubjectList!G46="Economics",IF(Economics!B46=0,"", Economics!B46))))</f>
        <v/>
      </c>
      <c r="R46" s="113" t="str">
        <f>IF(SubjectList!G46="Finance",IF(Finance!C46=0,"", Finance!C46),IF(SubjectList!G46="Production",IF(Production!C46=0,"", Production!C46),IF(SubjectList!G46="Economics",IF(Economics!C46=0,"", Economics!C46))))</f>
        <v/>
      </c>
      <c r="S46" s="114" t="str">
        <f>IF(SubjectList!G46="Finance",IF(Finance!D46=0,"", Finance!D46),IF(SubjectList!G46="Production",IF(Production!D46=0,"", Production!D46),IF(SubjectList!G46="Economics",IF(Economics!D46=0,"", Economics!D46))))</f>
        <v/>
      </c>
      <c r="T46" s="113" t="str">
        <f>IF(SubjectList!H46="Finance",IF(Finance!B46=0,"", Finance!B46),IF(SubjectList!H46="Production",IF(Production!B46=0,"", Production!B46),IF(SubjectList!H46="Economics",IF(Economics!B46=0,"", Economics!B46))))</f>
        <v/>
      </c>
      <c r="U46" s="113" t="str">
        <f>IF(SubjectList!H46="Finance",IF(Finance!C46=0,"", Finance!C46),IF(SubjectList!H46="Production",IF(Production!C46=0,"", Production!C46),IF(SubjectList!H46="Economics",IF(Economics!C46=0,"", Economics!C46))))</f>
        <v/>
      </c>
      <c r="V46" s="114" t="str">
        <f>IF(SubjectList!H46="Finance",IF(Finance!D46=0,"", Finance!D46),IF(SubjectList!H46="Production",IF(Production!D46=0,"", Production!D46),IF(SubjectList!H46="Economics",IF(Economics!D46=0,"", Economics!D46))))</f>
        <v/>
      </c>
      <c r="W46" s="115" t="str">
        <f>IF(SubjectList!G46="Finance","Finance",IF(SubjectList!G46="Production","Production",IF(SubjectList!G46="Economics","Not Given")))</f>
        <v>Finance</v>
      </c>
      <c r="X46" s="115" t="str">
        <f>IF(SubjectList!H46="Finance","Finance",IF(SubjectList!H46="Production","Production",IF(SubjectList!H46="Economics","Economics","Not Given")))</f>
        <v>Production</v>
      </c>
      <c r="Y46" s="113" t="str">
        <f>Bangla!F46</f>
        <v/>
      </c>
      <c r="Z46" s="113" t="str">
        <f>English!E46</f>
        <v/>
      </c>
      <c r="AA46" s="113" t="str">
        <f>ICT!G46</f>
        <v/>
      </c>
      <c r="AB46" s="113" t="str">
        <f>Accounting!F46</f>
        <v/>
      </c>
      <c r="AC46" s="113" t="str">
        <f>'Business Organization'!F46</f>
        <v/>
      </c>
      <c r="AD46" s="113" t="str">
        <f>Production!F46</f>
        <v/>
      </c>
      <c r="AE46" s="113" t="str">
        <f>Finance!F46</f>
        <v/>
      </c>
      <c r="AF46" s="122" t="str">
        <f>Bangla!G46</f>
        <v/>
      </c>
      <c r="AG46" s="122" t="str">
        <f>English!F46</f>
        <v/>
      </c>
      <c r="AH46" s="120" t="str">
        <f>ICT!H46</f>
        <v/>
      </c>
      <c r="AI46" s="120" t="str">
        <f>Accounting!G46</f>
        <v/>
      </c>
      <c r="AJ46" s="120" t="str">
        <f>'Business Organization'!G46</f>
        <v/>
      </c>
      <c r="AK46" s="120" t="str">
        <f>IF(SubjectList!G46="Finance",Finance!G46,IF(SubjectList!G46="Production",Production!G46,IF(SubjectList!G46="Economics",Economics!G46)))</f>
        <v/>
      </c>
      <c r="AL46" s="120" t="str">
        <f>Finance!G46</f>
        <v/>
      </c>
      <c r="AM46" s="120" t="str">
        <f>Optional!H46</f>
        <v/>
      </c>
      <c r="AN46" s="120" t="str">
        <f>Optional!I46</f>
        <v/>
      </c>
      <c r="AO46" s="120" t="str">
        <f t="shared" si="14"/>
        <v/>
      </c>
      <c r="AP46" s="120">
        <f t="shared" si="15"/>
        <v>0</v>
      </c>
      <c r="AQ46" s="116" t="str">
        <f t="shared" si="16"/>
        <v/>
      </c>
      <c r="AR46" s="116" t="str">
        <f t="shared" si="17"/>
        <v/>
      </c>
      <c r="AS46" s="117">
        <f t="shared" si="18"/>
        <v>0</v>
      </c>
      <c r="AT46" s="118">
        <f t="shared" si="19"/>
        <v>0</v>
      </c>
      <c r="AU46" s="118">
        <f t="shared" si="20"/>
        <v>0</v>
      </c>
      <c r="AV46" s="118">
        <f t="shared" si="21"/>
        <v>0</v>
      </c>
      <c r="AW46" s="118">
        <f t="shared" si="22"/>
        <v>0</v>
      </c>
      <c r="AX46" s="118">
        <f t="shared" si="23"/>
        <v>0</v>
      </c>
      <c r="AY46" s="118">
        <f t="shared" si="24"/>
        <v>0</v>
      </c>
      <c r="AZ46" s="111">
        <f t="shared" si="25"/>
        <v>0</v>
      </c>
      <c r="BA46" s="111" t="str">
        <f t="shared" si="26"/>
        <v>F6</v>
      </c>
      <c r="BB46" s="117" t="str">
        <f>IF(AR46="","",RANK(AR46,AR$2:AR145,0))</f>
        <v/>
      </c>
      <c r="BC46" s="111" t="str">
        <f t="shared" si="27"/>
        <v/>
      </c>
    </row>
    <row r="47" spans="1:55" x14ac:dyDescent="0.35">
      <c r="A47" s="113">
        <f>'Student Basic Info'!A47</f>
        <v>546</v>
      </c>
      <c r="B47" s="113" t="str">
        <f>'Student Basic Info'!C47</f>
        <v>Tanvir Hosain</v>
      </c>
      <c r="C47" s="121" t="str">
        <f>IF(Bangla!B47="","",Bangla!B47)</f>
        <v/>
      </c>
      <c r="D47" s="121">
        <f>IF(Bangla!C47="","",Bangla!C47)</f>
        <v>40</v>
      </c>
      <c r="E47" s="112">
        <f>IF(Bangla!D47="","",Bangla!D47)</f>
        <v>40</v>
      </c>
      <c r="F47" s="112">
        <f>IF(English!C47="","",English!C47)</f>
        <v>28</v>
      </c>
      <c r="G47" s="113">
        <f>IF(ICT!B47="","",ICT!B47)</f>
        <v>12</v>
      </c>
      <c r="H47" s="113">
        <f>IF(ICT!C47="","",ICT!C47)</f>
        <v>17</v>
      </c>
      <c r="I47" s="113">
        <f>IF(ICT!D47="","",ICT!D47)</f>
        <v>18</v>
      </c>
      <c r="J47" s="114">
        <f>IF(ICT!E47="","",ICT!E47)</f>
        <v>47</v>
      </c>
      <c r="K47" s="113">
        <f>IF(Accounting!B47="","",Accounting!B47)</f>
        <v>11</v>
      </c>
      <c r="L47" s="113">
        <f>IF(Accounting!C47="","",Accounting!C47)</f>
        <v>13</v>
      </c>
      <c r="M47" s="114">
        <f>IF(Accounting!D47="","",Accounting!D47)</f>
        <v>24</v>
      </c>
      <c r="N47" s="113">
        <f>IF('Business Organization'!B47="","",'Business Organization'!B47)</f>
        <v>15</v>
      </c>
      <c r="O47" s="113">
        <f>IF('Business Organization'!C47="","",'Business Organization'!C47)</f>
        <v>8</v>
      </c>
      <c r="P47" s="114">
        <f>IF('Business Organization'!D47="","",'Business Organization'!D47)</f>
        <v>23</v>
      </c>
      <c r="Q47" s="113">
        <f>IF(SubjectList!G47="Finance",IF(Finance!B47=0,"", Finance!B47),IF(SubjectList!G47="Production",IF(Production!B47=0,"", Production!B47),IF(SubjectList!G47="Economics",IF(Economics!B47=0,"", Economics!B47))))</f>
        <v>3</v>
      </c>
      <c r="R47" s="113">
        <f>IF(SubjectList!G47="Finance",IF(Finance!C47=0,"", Finance!C47),IF(SubjectList!G47="Production",IF(Production!C47=0,"", Production!C47),IF(SubjectList!G47="Economics",IF(Economics!C47=0,"", Economics!C47))))</f>
        <v>8</v>
      </c>
      <c r="S47" s="114">
        <f>IF(SubjectList!G47="Finance",IF(Finance!D47=0,"", Finance!D47),IF(SubjectList!G47="Production",IF(Production!D47=0,"", Production!D47),IF(SubjectList!G47="Economics",IF(Economics!D47=0,"", Economics!D47))))</f>
        <v>11</v>
      </c>
      <c r="T47" s="113">
        <f>IF(SubjectList!H47="Finance",IF(Finance!B47=0,"", Finance!B47),IF(SubjectList!H47="Production",IF(Production!B47=0,"", Production!B47),IF(SubjectList!H47="Economics",IF(Economics!B47=0,"", Economics!B47))))</f>
        <v>17</v>
      </c>
      <c r="U47" s="113">
        <f>IF(SubjectList!H47="Finance",IF(Finance!C47=0,"", Finance!C47),IF(SubjectList!H47="Production",IF(Production!C47=0,"", Production!C47),IF(SubjectList!H47="Economics",IF(Economics!C47=0,"", Economics!C47))))</f>
        <v>23</v>
      </c>
      <c r="V47" s="114">
        <f>IF(SubjectList!H47="Finance",IF(Finance!D47=0,"", Finance!D47),IF(SubjectList!H47="Production",IF(Production!D47=0,"", Production!D47),IF(SubjectList!H47="Economics",IF(Economics!D47=0,"", Economics!D47))))</f>
        <v>40</v>
      </c>
      <c r="W47" s="115" t="str">
        <f>IF(SubjectList!G47="Finance","Finance",IF(SubjectList!G47="Production","Production",IF(SubjectList!G47="Economics","Not Given")))</f>
        <v>Finance</v>
      </c>
      <c r="X47" s="115" t="str">
        <f>IF(SubjectList!H47="Finance","Finance",IF(SubjectList!H47="Production","Production",IF(SubjectList!H47="Economics","Economics","Not Given")))</f>
        <v>Production</v>
      </c>
      <c r="Y47" s="113" t="str">
        <f>Bangla!F47</f>
        <v>C</v>
      </c>
      <c r="Z47" s="113" t="str">
        <f>English!E47</f>
        <v>F</v>
      </c>
      <c r="AA47" s="113" t="str">
        <f>ICT!G47</f>
        <v>C</v>
      </c>
      <c r="AB47" s="113" t="str">
        <f>Accounting!F47</f>
        <v>F</v>
      </c>
      <c r="AC47" s="113" t="str">
        <f>'Business Organization'!F47</f>
        <v>F</v>
      </c>
      <c r="AD47" s="113" t="str">
        <f>Production!F47</f>
        <v>C</v>
      </c>
      <c r="AE47" s="113" t="str">
        <f>Finance!F47</f>
        <v>F</v>
      </c>
      <c r="AF47" s="122">
        <f>Bangla!G47</f>
        <v>2</v>
      </c>
      <c r="AG47" s="122">
        <f>English!F47</f>
        <v>0</v>
      </c>
      <c r="AH47" s="120">
        <f>ICT!H47</f>
        <v>2</v>
      </c>
      <c r="AI47" s="120">
        <f>Accounting!G47</f>
        <v>0</v>
      </c>
      <c r="AJ47" s="120">
        <f>'Business Organization'!G47</f>
        <v>0</v>
      </c>
      <c r="AK47" s="120">
        <f>IF(SubjectList!G47="Finance",Finance!G47,IF(SubjectList!G47="Production",Production!G47,IF(SubjectList!G47="Economics",Economics!G47)))</f>
        <v>0</v>
      </c>
      <c r="AL47" s="120">
        <f>Finance!G47</f>
        <v>0</v>
      </c>
      <c r="AM47" s="120">
        <f>Optional!H47</f>
        <v>2</v>
      </c>
      <c r="AN47" s="120">
        <f>Optional!I47</f>
        <v>0</v>
      </c>
      <c r="AO47" s="120">
        <f t="shared" si="14"/>
        <v>4</v>
      </c>
      <c r="AP47" s="120">
        <f t="shared" si="15"/>
        <v>4</v>
      </c>
      <c r="AQ47" s="116" t="str">
        <f t="shared" si="16"/>
        <v/>
      </c>
      <c r="AR47" s="116" t="str">
        <f t="shared" si="17"/>
        <v/>
      </c>
      <c r="AS47" s="117">
        <f t="shared" si="18"/>
        <v>213</v>
      </c>
      <c r="AT47" s="118">
        <f t="shared" si="19"/>
        <v>1</v>
      </c>
      <c r="AU47" s="118">
        <f t="shared" si="20"/>
        <v>0</v>
      </c>
      <c r="AV47" s="118">
        <f t="shared" si="21"/>
        <v>1</v>
      </c>
      <c r="AW47" s="118">
        <f t="shared" si="22"/>
        <v>0</v>
      </c>
      <c r="AX47" s="118">
        <f t="shared" si="23"/>
        <v>0</v>
      </c>
      <c r="AY47" s="118">
        <f t="shared" si="24"/>
        <v>0</v>
      </c>
      <c r="AZ47" s="111">
        <f t="shared" si="25"/>
        <v>2</v>
      </c>
      <c r="BA47" s="111" t="str">
        <f t="shared" si="26"/>
        <v>F4</v>
      </c>
      <c r="BB47" s="117" t="str">
        <f>IF(AR47="","",RANK(AR47,AR$2:AR145,0))</f>
        <v/>
      </c>
      <c r="BC47" s="111" t="str">
        <f t="shared" si="27"/>
        <v/>
      </c>
    </row>
    <row r="48" spans="1:55" x14ac:dyDescent="0.35">
      <c r="A48" s="113">
        <f>'Student Basic Info'!A48</f>
        <v>547</v>
      </c>
      <c r="B48" s="113" t="str">
        <f>'Student Basic Info'!C48</f>
        <v>Monowar Hosain</v>
      </c>
      <c r="C48" s="121" t="str">
        <f>IF(Bangla!B48="","",Bangla!B48)</f>
        <v/>
      </c>
      <c r="D48" s="121" t="str">
        <f>IF(Bangla!C48="","",Bangla!C48)</f>
        <v/>
      </c>
      <c r="E48" s="112" t="str">
        <f>IF(Bangla!D48="","",Bangla!D48)</f>
        <v/>
      </c>
      <c r="F48" s="112" t="str">
        <f>IF(English!C48="","",English!C48)</f>
        <v/>
      </c>
      <c r="G48" s="113" t="str">
        <f>IF(ICT!B48="","",ICT!B48)</f>
        <v/>
      </c>
      <c r="H48" s="113" t="str">
        <f>IF(ICT!C48="","",ICT!C48)</f>
        <v/>
      </c>
      <c r="I48" s="113" t="str">
        <f>IF(ICT!D48="","",ICT!D48)</f>
        <v/>
      </c>
      <c r="J48" s="114" t="str">
        <f>IF(ICT!E48="","",ICT!E48)</f>
        <v/>
      </c>
      <c r="K48" s="113" t="str">
        <f>IF(Accounting!B48="","",Accounting!B48)</f>
        <v/>
      </c>
      <c r="L48" s="113" t="str">
        <f>IF(Accounting!C48="","",Accounting!C48)</f>
        <v/>
      </c>
      <c r="M48" s="114" t="str">
        <f>IF(Accounting!D48="","",Accounting!D48)</f>
        <v/>
      </c>
      <c r="N48" s="113" t="str">
        <f>IF('Business Organization'!B48="","",'Business Organization'!B48)</f>
        <v/>
      </c>
      <c r="O48" s="113" t="str">
        <f>IF('Business Organization'!C48="","",'Business Organization'!C48)</f>
        <v/>
      </c>
      <c r="P48" s="114" t="str">
        <f>IF('Business Organization'!D48="","",'Business Organization'!D48)</f>
        <v/>
      </c>
      <c r="Q48" s="113" t="str">
        <f>IF(SubjectList!G48="Finance",IF(Finance!B48=0,"", Finance!B48),IF(SubjectList!G48="Production",IF(Production!B48=0,"", Production!B48),IF(SubjectList!G48="Economics",IF(Economics!B48=0,"", Economics!B48))))</f>
        <v/>
      </c>
      <c r="R48" s="113" t="str">
        <f>IF(SubjectList!G48="Finance",IF(Finance!C48=0,"", Finance!C48),IF(SubjectList!G48="Production",IF(Production!C48=0,"", Production!C48),IF(SubjectList!G48="Economics",IF(Economics!C48=0,"", Economics!C48))))</f>
        <v/>
      </c>
      <c r="S48" s="114" t="str">
        <f>IF(SubjectList!G48="Finance",IF(Finance!D48=0,"", Finance!D48),IF(SubjectList!G48="Production",IF(Production!D48=0,"", Production!D48),IF(SubjectList!G48="Economics",IF(Economics!D48=0,"", Economics!D48))))</f>
        <v/>
      </c>
      <c r="T48" s="113" t="str">
        <f>IF(SubjectList!H48="Finance",IF(Finance!B48=0,"", Finance!B48),IF(SubjectList!H48="Production",IF(Production!B48=0,"", Production!B48),IF(SubjectList!H48="Economics",IF(Economics!B48=0,"", Economics!B48))))</f>
        <v/>
      </c>
      <c r="U48" s="113" t="str">
        <f>IF(SubjectList!H48="Finance",IF(Finance!C48=0,"", Finance!C48),IF(SubjectList!H48="Production",IF(Production!C48=0,"", Production!C48),IF(SubjectList!H48="Economics",IF(Economics!C48=0,"", Economics!C48))))</f>
        <v/>
      </c>
      <c r="V48" s="114" t="str">
        <f>IF(SubjectList!H48="Finance",IF(Finance!D48=0,"", Finance!D48),IF(SubjectList!H48="Production",IF(Production!D48=0,"", Production!D48),IF(SubjectList!H48="Economics",IF(Economics!D48=0,"", Economics!D48))))</f>
        <v/>
      </c>
      <c r="W48" s="115" t="str">
        <f>IF(SubjectList!G48="Finance","Finance",IF(SubjectList!G48="Production","Production",IF(SubjectList!G48="Economics","Not Given")))</f>
        <v>Finance</v>
      </c>
      <c r="X48" s="115" t="str">
        <f>IF(SubjectList!H48="Finance","Finance",IF(SubjectList!H48="Production","Production",IF(SubjectList!H48="Economics","Economics","Not Given")))</f>
        <v>Production</v>
      </c>
      <c r="Y48" s="113" t="str">
        <f>Bangla!F48</f>
        <v/>
      </c>
      <c r="Z48" s="113" t="str">
        <f>English!E48</f>
        <v/>
      </c>
      <c r="AA48" s="113" t="str">
        <f>ICT!G48</f>
        <v/>
      </c>
      <c r="AB48" s="113" t="str">
        <f>Accounting!F48</f>
        <v/>
      </c>
      <c r="AC48" s="113" t="str">
        <f>'Business Organization'!F48</f>
        <v/>
      </c>
      <c r="AD48" s="113" t="str">
        <f>Production!F48</f>
        <v/>
      </c>
      <c r="AE48" s="113" t="str">
        <f>Finance!F48</f>
        <v/>
      </c>
      <c r="AF48" s="122" t="str">
        <f>Bangla!G48</f>
        <v/>
      </c>
      <c r="AG48" s="122" t="str">
        <f>English!F48</f>
        <v/>
      </c>
      <c r="AH48" s="120" t="str">
        <f>ICT!H48</f>
        <v/>
      </c>
      <c r="AI48" s="120" t="str">
        <f>Accounting!G48</f>
        <v/>
      </c>
      <c r="AJ48" s="120" t="str">
        <f>'Business Organization'!G48</f>
        <v/>
      </c>
      <c r="AK48" s="120" t="str">
        <f>IF(SubjectList!G48="Finance",Finance!G48,IF(SubjectList!G48="Production",Production!G48,IF(SubjectList!G48="Economics",Economics!G48)))</f>
        <v/>
      </c>
      <c r="AL48" s="120" t="str">
        <f>Finance!G48</f>
        <v/>
      </c>
      <c r="AM48" s="120" t="str">
        <f>Optional!H48</f>
        <v/>
      </c>
      <c r="AN48" s="120" t="str">
        <f>Optional!I48</f>
        <v/>
      </c>
      <c r="AO48" s="120" t="str">
        <f t="shared" si="14"/>
        <v/>
      </c>
      <c r="AP48" s="120">
        <f t="shared" si="15"/>
        <v>0</v>
      </c>
      <c r="AQ48" s="116" t="str">
        <f t="shared" si="16"/>
        <v/>
      </c>
      <c r="AR48" s="116" t="str">
        <f t="shared" si="17"/>
        <v/>
      </c>
      <c r="AS48" s="117">
        <f t="shared" si="18"/>
        <v>0</v>
      </c>
      <c r="AT48" s="118">
        <f t="shared" si="19"/>
        <v>0</v>
      </c>
      <c r="AU48" s="118">
        <f t="shared" si="20"/>
        <v>0</v>
      </c>
      <c r="AV48" s="118">
        <f t="shared" si="21"/>
        <v>0</v>
      </c>
      <c r="AW48" s="118">
        <f t="shared" si="22"/>
        <v>0</v>
      </c>
      <c r="AX48" s="118">
        <f t="shared" si="23"/>
        <v>0</v>
      </c>
      <c r="AY48" s="118">
        <f t="shared" si="24"/>
        <v>0</v>
      </c>
      <c r="AZ48" s="111">
        <f t="shared" si="25"/>
        <v>0</v>
      </c>
      <c r="BA48" s="111" t="str">
        <f t="shared" si="26"/>
        <v>F6</v>
      </c>
      <c r="BB48" s="117" t="str">
        <f>IF(AR48="","",RANK(AR48,AR$2:AR145,0))</f>
        <v/>
      </c>
      <c r="BC48" s="111" t="str">
        <f t="shared" si="27"/>
        <v/>
      </c>
    </row>
    <row r="49" spans="1:55" x14ac:dyDescent="0.35">
      <c r="A49" s="113">
        <f>'Student Basic Info'!A49</f>
        <v>548</v>
      </c>
      <c r="B49" s="113" t="str">
        <f>'Student Basic Info'!C49</f>
        <v>Mehedi Hasan</v>
      </c>
      <c r="C49" s="121" t="str">
        <f>IF(Bangla!B49="","",Bangla!B49)</f>
        <v/>
      </c>
      <c r="D49" s="121" t="str">
        <f>IF(Bangla!C49="","",Bangla!C49)</f>
        <v/>
      </c>
      <c r="E49" s="112" t="str">
        <f>IF(Bangla!D49="","",Bangla!D49)</f>
        <v/>
      </c>
      <c r="F49" s="112" t="str">
        <f>IF(English!C49="","",English!C49)</f>
        <v/>
      </c>
      <c r="G49" s="113" t="str">
        <f>IF(ICT!B49="","",ICT!B49)</f>
        <v/>
      </c>
      <c r="H49" s="113" t="str">
        <f>IF(ICT!C49="","",ICT!C49)</f>
        <v/>
      </c>
      <c r="I49" s="113" t="str">
        <f>IF(ICT!D49="","",ICT!D49)</f>
        <v/>
      </c>
      <c r="J49" s="114" t="str">
        <f>IF(ICT!E49="","",ICT!E49)</f>
        <v/>
      </c>
      <c r="K49" s="113" t="str">
        <f>IF(Accounting!B49="","",Accounting!B49)</f>
        <v/>
      </c>
      <c r="L49" s="113" t="str">
        <f>IF(Accounting!C49="","",Accounting!C49)</f>
        <v/>
      </c>
      <c r="M49" s="114" t="str">
        <f>IF(Accounting!D49="","",Accounting!D49)</f>
        <v/>
      </c>
      <c r="N49" s="113" t="str">
        <f>IF('Business Organization'!B49="","",'Business Organization'!B49)</f>
        <v/>
      </c>
      <c r="O49" s="113" t="str">
        <f>IF('Business Organization'!C49="","",'Business Organization'!C49)</f>
        <v/>
      </c>
      <c r="P49" s="114" t="str">
        <f>IF('Business Organization'!D49="","",'Business Organization'!D49)</f>
        <v/>
      </c>
      <c r="Q49" s="113" t="str">
        <f>IF(SubjectList!G49="Finance",IF(Finance!B49=0,"", Finance!B49),IF(SubjectList!G49="Production",IF(Production!B49=0,"", Production!B49),IF(SubjectList!G49="Economics",IF(Economics!B49=0,"", Economics!B49))))</f>
        <v/>
      </c>
      <c r="R49" s="113" t="str">
        <f>IF(SubjectList!G49="Finance",IF(Finance!C49=0,"", Finance!C49),IF(SubjectList!G49="Production",IF(Production!C49=0,"", Production!C49),IF(SubjectList!G49="Economics",IF(Economics!C49=0,"", Economics!C49))))</f>
        <v/>
      </c>
      <c r="S49" s="114" t="str">
        <f>IF(SubjectList!G49="Finance",IF(Finance!D49=0,"", Finance!D49),IF(SubjectList!G49="Production",IF(Production!D49=0,"", Production!D49),IF(SubjectList!G49="Economics",IF(Economics!D49=0,"", Economics!D49))))</f>
        <v/>
      </c>
      <c r="T49" s="113" t="str">
        <f>IF(SubjectList!H49="Finance",IF(Finance!B49=0,"", Finance!B49),IF(SubjectList!H49="Production",IF(Production!B49=0,"", Production!B49),IF(SubjectList!H49="Economics",IF(Economics!B49=0,"", Economics!B49))))</f>
        <v/>
      </c>
      <c r="U49" s="113" t="str">
        <f>IF(SubjectList!H49="Finance",IF(Finance!C49=0,"", Finance!C49),IF(SubjectList!H49="Production",IF(Production!C49=0,"", Production!C49),IF(SubjectList!H49="Economics",IF(Economics!C49=0,"", Economics!C49))))</f>
        <v/>
      </c>
      <c r="V49" s="114" t="str">
        <f>IF(SubjectList!H49="Finance",IF(Finance!D49=0,"", Finance!D49),IF(SubjectList!H49="Production",IF(Production!D49=0,"", Production!D49),IF(SubjectList!H49="Economics",IF(Economics!D49=0,"", Economics!D49))))</f>
        <v/>
      </c>
      <c r="W49" s="115" t="str">
        <f>IF(SubjectList!G49="Finance","Finance",IF(SubjectList!G49="Production","Production",IF(SubjectList!G49="Economics","Not Given")))</f>
        <v>Finance</v>
      </c>
      <c r="X49" s="115" t="str">
        <f>IF(SubjectList!H49="Finance","Finance",IF(SubjectList!H49="Production","Production",IF(SubjectList!H49="Economics","Economics","Not Given")))</f>
        <v>Production</v>
      </c>
      <c r="Y49" s="113" t="str">
        <f>Bangla!F49</f>
        <v/>
      </c>
      <c r="Z49" s="113" t="str">
        <f>English!E49</f>
        <v/>
      </c>
      <c r="AA49" s="113" t="str">
        <f>ICT!G49</f>
        <v/>
      </c>
      <c r="AB49" s="113" t="str">
        <f>Accounting!F49</f>
        <v/>
      </c>
      <c r="AC49" s="113" t="str">
        <f>'Business Organization'!F49</f>
        <v/>
      </c>
      <c r="AD49" s="113" t="str">
        <f>Production!F49</f>
        <v/>
      </c>
      <c r="AE49" s="113" t="str">
        <f>Finance!F49</f>
        <v/>
      </c>
      <c r="AF49" s="122" t="str">
        <f>Bangla!G49</f>
        <v/>
      </c>
      <c r="AG49" s="122" t="str">
        <f>English!F49</f>
        <v/>
      </c>
      <c r="AH49" s="120" t="str">
        <f>ICT!H49</f>
        <v/>
      </c>
      <c r="AI49" s="120" t="str">
        <f>Accounting!G49</f>
        <v/>
      </c>
      <c r="AJ49" s="120" t="str">
        <f>'Business Organization'!G49</f>
        <v/>
      </c>
      <c r="AK49" s="120" t="str">
        <f>IF(SubjectList!G49="Finance",Finance!G49,IF(SubjectList!G49="Production",Production!G49,IF(SubjectList!G49="Economics",Economics!G49)))</f>
        <v/>
      </c>
      <c r="AL49" s="120" t="str">
        <f>Finance!G49</f>
        <v/>
      </c>
      <c r="AM49" s="120" t="str">
        <f>Optional!H49</f>
        <v/>
      </c>
      <c r="AN49" s="120" t="str">
        <f>Optional!I49</f>
        <v/>
      </c>
      <c r="AO49" s="120" t="str">
        <f t="shared" si="14"/>
        <v/>
      </c>
      <c r="AP49" s="120">
        <f t="shared" si="15"/>
        <v>0</v>
      </c>
      <c r="AQ49" s="116" t="str">
        <f t="shared" si="16"/>
        <v/>
      </c>
      <c r="AR49" s="116" t="str">
        <f t="shared" si="17"/>
        <v/>
      </c>
      <c r="AS49" s="117">
        <f t="shared" si="18"/>
        <v>0</v>
      </c>
      <c r="AT49" s="118">
        <f t="shared" si="19"/>
        <v>0</v>
      </c>
      <c r="AU49" s="118">
        <f t="shared" si="20"/>
        <v>0</v>
      </c>
      <c r="AV49" s="118">
        <f t="shared" si="21"/>
        <v>0</v>
      </c>
      <c r="AW49" s="118">
        <f t="shared" si="22"/>
        <v>0</v>
      </c>
      <c r="AX49" s="118">
        <f t="shared" si="23"/>
        <v>0</v>
      </c>
      <c r="AY49" s="118">
        <f t="shared" si="24"/>
        <v>0</v>
      </c>
      <c r="AZ49" s="111">
        <f t="shared" si="25"/>
        <v>0</v>
      </c>
      <c r="BA49" s="111" t="str">
        <f t="shared" si="26"/>
        <v>F6</v>
      </c>
      <c r="BB49" s="117" t="str">
        <f>IF(AR49="","",RANK(AR49,AR$2:AR145,0))</f>
        <v/>
      </c>
      <c r="BC49" s="111" t="str">
        <f t="shared" si="27"/>
        <v/>
      </c>
    </row>
    <row r="50" spans="1:55" x14ac:dyDescent="0.35">
      <c r="A50" s="113">
        <f>'Student Basic Info'!A50</f>
        <v>549</v>
      </c>
      <c r="B50" s="113" t="str">
        <f>'Student Basic Info'!C50</f>
        <v>Mia Md. Mahrup Murshid</v>
      </c>
      <c r="C50" s="121" t="str">
        <f>IF(Bangla!B50="","",Bangla!B50)</f>
        <v/>
      </c>
      <c r="D50" s="121">
        <f>IF(Bangla!C50="","",Bangla!C50)</f>
        <v>33</v>
      </c>
      <c r="E50" s="112">
        <f>IF(Bangla!D50="","",Bangla!D50)</f>
        <v>33</v>
      </c>
      <c r="F50" s="112">
        <f>IF(English!C50="","",English!C50)</f>
        <v>7</v>
      </c>
      <c r="G50" s="113">
        <f>IF(ICT!B50="","",ICT!B50)</f>
        <v>12</v>
      </c>
      <c r="H50" s="113">
        <f>IF(ICT!C50="","",ICT!C50)</f>
        <v>9</v>
      </c>
      <c r="I50" s="113">
        <f>IF(ICT!D50="","",ICT!D50)</f>
        <v>18</v>
      </c>
      <c r="J50" s="114">
        <f>IF(ICT!E50="","",ICT!E50)</f>
        <v>39</v>
      </c>
      <c r="K50" s="113">
        <f>IF(Accounting!B50="","",Accounting!B50)</f>
        <v>10</v>
      </c>
      <c r="L50" s="113">
        <f>IF(Accounting!C50="","",Accounting!C50)</f>
        <v>20</v>
      </c>
      <c r="M50" s="114">
        <f>IF(Accounting!D50="","",Accounting!D50)</f>
        <v>30</v>
      </c>
      <c r="N50" s="113">
        <f>IF('Business Organization'!B50="","",'Business Organization'!B50)</f>
        <v>19</v>
      </c>
      <c r="O50" s="113">
        <f>IF('Business Organization'!C50="","",'Business Organization'!C50)</f>
        <v>23</v>
      </c>
      <c r="P50" s="114">
        <f>IF('Business Organization'!D50="","",'Business Organization'!D50)</f>
        <v>42</v>
      </c>
      <c r="Q50" s="113">
        <f>IF(SubjectList!G50="Finance",IF(Finance!B50=0,"", Finance!B50),IF(SubjectList!G50="Production",IF(Production!B50=0,"", Production!B50),IF(SubjectList!G50="Economics",IF(Economics!B50=0,"", Economics!B50))))</f>
        <v>10</v>
      </c>
      <c r="R50" s="113">
        <f>IF(SubjectList!G50="Finance",IF(Finance!C50=0,"", Finance!C50),IF(SubjectList!G50="Production",IF(Production!C50=0,"", Production!C50),IF(SubjectList!G50="Economics",IF(Economics!C50=0,"", Economics!C50))))</f>
        <v>1</v>
      </c>
      <c r="S50" s="114">
        <f>IF(SubjectList!G50="Finance",IF(Finance!D50=0,"", Finance!D50),IF(SubjectList!G50="Production",IF(Production!D50=0,"", Production!D50),IF(SubjectList!G50="Economics",IF(Economics!D50=0,"", Economics!D50))))</f>
        <v>11</v>
      </c>
      <c r="T50" s="113">
        <f>IF(SubjectList!H50="Finance",IF(Finance!B50=0,"", Finance!B50),IF(SubjectList!H50="Production",IF(Production!B50=0,"", Production!B50),IF(SubjectList!H50="Economics",IF(Economics!B50=0,"", Economics!B50))))</f>
        <v>15</v>
      </c>
      <c r="U50" s="113">
        <f>IF(SubjectList!H50="Finance",IF(Finance!C50=0,"", Finance!C50),IF(SubjectList!H50="Production",IF(Production!C50=0,"", Production!C50),IF(SubjectList!H50="Economics",IF(Economics!C50=0,"", Economics!C50))))</f>
        <v>19</v>
      </c>
      <c r="V50" s="114">
        <f>IF(SubjectList!H50="Finance",IF(Finance!D50=0,"", Finance!D50),IF(SubjectList!H50="Production",IF(Production!D50=0,"", Production!D50),IF(SubjectList!H50="Economics",IF(Economics!D50=0,"", Economics!D50))))</f>
        <v>34</v>
      </c>
      <c r="W50" s="115" t="str">
        <f>IF(SubjectList!G50="Finance","Finance",IF(SubjectList!G50="Production","Production",IF(SubjectList!G50="Economics","Not Given")))</f>
        <v>Finance</v>
      </c>
      <c r="X50" s="115" t="str">
        <f>IF(SubjectList!H50="Finance","Finance",IF(SubjectList!H50="Production","Production",IF(SubjectList!H50="Economics","Economics","Not Given")))</f>
        <v>Production</v>
      </c>
      <c r="Y50" s="113" t="str">
        <f>Bangla!F50</f>
        <v>D</v>
      </c>
      <c r="Z50" s="113" t="str">
        <f>English!E50</f>
        <v>F</v>
      </c>
      <c r="AA50" s="113" t="str">
        <f>ICT!G50</f>
        <v>F</v>
      </c>
      <c r="AB50" s="113" t="str">
        <f>Accounting!F50</f>
        <v>F</v>
      </c>
      <c r="AC50" s="113" t="str">
        <f>'Business Organization'!F50</f>
        <v>C</v>
      </c>
      <c r="AD50" s="113" t="str">
        <f>Production!F50</f>
        <v>F</v>
      </c>
      <c r="AE50" s="113" t="str">
        <f>Finance!F50</f>
        <v>F</v>
      </c>
      <c r="AF50" s="122">
        <f>Bangla!G50</f>
        <v>1</v>
      </c>
      <c r="AG50" s="122">
        <f>English!F50</f>
        <v>0</v>
      </c>
      <c r="AH50" s="120">
        <f>ICT!H50</f>
        <v>0</v>
      </c>
      <c r="AI50" s="120">
        <f>Accounting!G50</f>
        <v>0</v>
      </c>
      <c r="AJ50" s="120">
        <f>'Business Organization'!G50</f>
        <v>2</v>
      </c>
      <c r="AK50" s="120">
        <f>IF(SubjectList!G50="Finance",Finance!G50,IF(SubjectList!G50="Production",Production!G50,IF(SubjectList!G50="Economics",Economics!G50)))</f>
        <v>0</v>
      </c>
      <c r="AL50" s="120">
        <f>Finance!G50</f>
        <v>0</v>
      </c>
      <c r="AM50" s="120">
        <f>Optional!H50</f>
        <v>0</v>
      </c>
      <c r="AN50" s="120">
        <f>Optional!I50</f>
        <v>0</v>
      </c>
      <c r="AO50" s="120">
        <f t="shared" si="14"/>
        <v>3</v>
      </c>
      <c r="AP50" s="120">
        <f t="shared" si="15"/>
        <v>3</v>
      </c>
      <c r="AQ50" s="116" t="str">
        <f t="shared" si="16"/>
        <v/>
      </c>
      <c r="AR50" s="116" t="str">
        <f t="shared" si="17"/>
        <v/>
      </c>
      <c r="AS50" s="117">
        <f t="shared" si="18"/>
        <v>196</v>
      </c>
      <c r="AT50" s="118">
        <f t="shared" si="19"/>
        <v>1</v>
      </c>
      <c r="AU50" s="118">
        <f t="shared" si="20"/>
        <v>0</v>
      </c>
      <c r="AV50" s="118">
        <f t="shared" si="21"/>
        <v>0</v>
      </c>
      <c r="AW50" s="118">
        <f t="shared" si="22"/>
        <v>0</v>
      </c>
      <c r="AX50" s="118">
        <f t="shared" si="23"/>
        <v>1</v>
      </c>
      <c r="AY50" s="118">
        <f t="shared" si="24"/>
        <v>0</v>
      </c>
      <c r="AZ50" s="111">
        <f t="shared" si="25"/>
        <v>2</v>
      </c>
      <c r="BA50" s="111" t="str">
        <f t="shared" si="26"/>
        <v>F4</v>
      </c>
      <c r="BB50" s="117" t="str">
        <f>IF(AR50="","",RANK(AR50,AR$2:AR145,0))</f>
        <v/>
      </c>
      <c r="BC50" s="111" t="str">
        <f t="shared" si="27"/>
        <v/>
      </c>
    </row>
    <row r="51" spans="1:55" x14ac:dyDescent="0.35">
      <c r="A51" s="113">
        <f>'Student Basic Info'!A51</f>
        <v>550</v>
      </c>
      <c r="B51" s="113" t="str">
        <f>'Student Basic Info'!C51</f>
        <v>Mishu Alom Suddik</v>
      </c>
      <c r="C51" s="121" t="str">
        <f>IF(Bangla!B51="","",Bangla!B51)</f>
        <v/>
      </c>
      <c r="D51" s="121" t="str">
        <f>IF(Bangla!C51="","",Bangla!C51)</f>
        <v/>
      </c>
      <c r="E51" s="112" t="str">
        <f>IF(Bangla!D51="","",Bangla!D51)</f>
        <v/>
      </c>
      <c r="F51" s="112" t="str">
        <f>IF(English!C51="","",English!C51)</f>
        <v/>
      </c>
      <c r="G51" s="113" t="str">
        <f>IF(ICT!B51="","",ICT!B51)</f>
        <v/>
      </c>
      <c r="H51" s="113" t="str">
        <f>IF(ICT!C51="","",ICT!C51)</f>
        <v/>
      </c>
      <c r="I51" s="113" t="str">
        <f>IF(ICT!D51="","",ICT!D51)</f>
        <v/>
      </c>
      <c r="J51" s="114" t="str">
        <f>IF(ICT!E51="","",ICT!E51)</f>
        <v/>
      </c>
      <c r="K51" s="113" t="str">
        <f>IF(Accounting!B51="","",Accounting!B51)</f>
        <v/>
      </c>
      <c r="L51" s="113" t="str">
        <f>IF(Accounting!C51="","",Accounting!C51)</f>
        <v/>
      </c>
      <c r="M51" s="114" t="str">
        <f>IF(Accounting!D51="","",Accounting!D51)</f>
        <v/>
      </c>
      <c r="N51" s="113" t="str">
        <f>IF('Business Organization'!B51="","",'Business Organization'!B51)</f>
        <v/>
      </c>
      <c r="O51" s="113" t="str">
        <f>IF('Business Organization'!C51="","",'Business Organization'!C51)</f>
        <v/>
      </c>
      <c r="P51" s="114" t="str">
        <f>IF('Business Organization'!D51="","",'Business Organization'!D51)</f>
        <v/>
      </c>
      <c r="Q51" s="113" t="str">
        <f>IF(SubjectList!G51="Finance",IF(Finance!B51=0,"", Finance!B51),IF(SubjectList!G51="Production",IF(Production!B51=0,"", Production!B51),IF(SubjectList!G51="Economics",IF(Economics!B51=0,"", Economics!B51))))</f>
        <v/>
      </c>
      <c r="R51" s="113" t="str">
        <f>IF(SubjectList!G51="Finance",IF(Finance!C51=0,"", Finance!C51),IF(SubjectList!G51="Production",IF(Production!C51=0,"", Production!C51),IF(SubjectList!G51="Economics",IF(Economics!C51=0,"", Economics!C51))))</f>
        <v/>
      </c>
      <c r="S51" s="114" t="str">
        <f>IF(SubjectList!G51="Finance",IF(Finance!D51=0,"", Finance!D51),IF(SubjectList!G51="Production",IF(Production!D51=0,"", Production!D51),IF(SubjectList!G51="Economics",IF(Economics!D51=0,"", Economics!D51))))</f>
        <v/>
      </c>
      <c r="T51" s="113" t="str">
        <f>IF(SubjectList!H51="Finance",IF(Finance!B51=0,"", Finance!B51),IF(SubjectList!H51="Production",IF(Production!B51=0,"", Production!B51),IF(SubjectList!H51="Economics",IF(Economics!B51=0,"", Economics!B51))))</f>
        <v/>
      </c>
      <c r="U51" s="113" t="str">
        <f>IF(SubjectList!H51="Finance",IF(Finance!C51=0,"", Finance!C51),IF(SubjectList!H51="Production",IF(Production!C51=0,"", Production!C51),IF(SubjectList!H51="Economics",IF(Economics!C51=0,"", Economics!C51))))</f>
        <v/>
      </c>
      <c r="V51" s="114" t="str">
        <f>IF(SubjectList!H51="Finance",IF(Finance!D51=0,"", Finance!D51),IF(SubjectList!H51="Production",IF(Production!D51=0,"", Production!D51),IF(SubjectList!H51="Economics",IF(Economics!D51=0,"", Economics!D51))))</f>
        <v/>
      </c>
      <c r="W51" s="115" t="str">
        <f>IF(SubjectList!G51="Finance","Finance",IF(SubjectList!G51="Production","Production",IF(SubjectList!G51="Economics","Not Given")))</f>
        <v>Finance</v>
      </c>
      <c r="X51" s="115" t="str">
        <f>IF(SubjectList!H51="Finance","Finance",IF(SubjectList!H51="Production","Production",IF(SubjectList!H51="Economics","Economics","Not Given")))</f>
        <v>Production</v>
      </c>
      <c r="Y51" s="113" t="str">
        <f>Bangla!F51</f>
        <v/>
      </c>
      <c r="Z51" s="113" t="str">
        <f>English!E51</f>
        <v/>
      </c>
      <c r="AA51" s="113" t="str">
        <f>ICT!G51</f>
        <v/>
      </c>
      <c r="AB51" s="113" t="str">
        <f>Accounting!F51</f>
        <v/>
      </c>
      <c r="AC51" s="113" t="str">
        <f>'Business Organization'!F51</f>
        <v/>
      </c>
      <c r="AD51" s="113" t="str">
        <f>Production!F51</f>
        <v/>
      </c>
      <c r="AE51" s="113" t="str">
        <f>Finance!F51</f>
        <v/>
      </c>
      <c r="AF51" s="122" t="str">
        <f>Bangla!G51</f>
        <v/>
      </c>
      <c r="AG51" s="122" t="str">
        <f>English!F51</f>
        <v/>
      </c>
      <c r="AH51" s="120" t="str">
        <f>ICT!H51</f>
        <v/>
      </c>
      <c r="AI51" s="120" t="str">
        <f>Accounting!G51</f>
        <v/>
      </c>
      <c r="AJ51" s="120" t="str">
        <f>'Business Organization'!G51</f>
        <v/>
      </c>
      <c r="AK51" s="120" t="str">
        <f>IF(SubjectList!G51="Finance",Finance!G51,IF(SubjectList!G51="Production",Production!G51,IF(SubjectList!G51="Economics",Economics!G51)))</f>
        <v/>
      </c>
      <c r="AL51" s="120" t="str">
        <f>Finance!G51</f>
        <v/>
      </c>
      <c r="AM51" s="120" t="str">
        <f>Optional!H51</f>
        <v/>
      </c>
      <c r="AN51" s="120" t="str">
        <f>Optional!I51</f>
        <v/>
      </c>
      <c r="AO51" s="120" t="str">
        <f t="shared" si="14"/>
        <v/>
      </c>
      <c r="AP51" s="120">
        <f t="shared" si="15"/>
        <v>0</v>
      </c>
      <c r="AQ51" s="116" t="str">
        <f t="shared" si="16"/>
        <v/>
      </c>
      <c r="AR51" s="116" t="str">
        <f t="shared" si="17"/>
        <v/>
      </c>
      <c r="AS51" s="117">
        <f t="shared" si="18"/>
        <v>0</v>
      </c>
      <c r="AT51" s="118">
        <f t="shared" si="19"/>
        <v>0</v>
      </c>
      <c r="AU51" s="118">
        <f t="shared" si="20"/>
        <v>0</v>
      </c>
      <c r="AV51" s="118">
        <f t="shared" si="21"/>
        <v>0</v>
      </c>
      <c r="AW51" s="118">
        <f t="shared" si="22"/>
        <v>0</v>
      </c>
      <c r="AX51" s="118">
        <f t="shared" si="23"/>
        <v>0</v>
      </c>
      <c r="AY51" s="118">
        <f t="shared" si="24"/>
        <v>0</v>
      </c>
      <c r="AZ51" s="111">
        <f t="shared" si="25"/>
        <v>0</v>
      </c>
      <c r="BA51" s="111" t="str">
        <f t="shared" si="26"/>
        <v>F6</v>
      </c>
      <c r="BB51" s="117" t="str">
        <f>IF(AR51="","",RANK(AR51,AR$2:AR145,0))</f>
        <v/>
      </c>
      <c r="BC51" s="111" t="str">
        <f t="shared" si="27"/>
        <v/>
      </c>
    </row>
    <row r="52" spans="1:55" x14ac:dyDescent="0.35">
      <c r="A52" s="113">
        <f>'Student Basic Info'!A52</f>
        <v>551</v>
      </c>
      <c r="B52" s="113" t="str">
        <f>'Student Basic Info'!C52</f>
        <v>Ismail Hosain</v>
      </c>
      <c r="C52" s="121" t="str">
        <f>IF(Bangla!B52="","",Bangla!B52)</f>
        <v/>
      </c>
      <c r="D52" s="121" t="str">
        <f>IF(Bangla!C52="","",Bangla!C52)</f>
        <v/>
      </c>
      <c r="E52" s="112" t="str">
        <f>IF(Bangla!D52="","",Bangla!D52)</f>
        <v/>
      </c>
      <c r="F52" s="112" t="str">
        <f>IF(English!C52="","",English!C52)</f>
        <v/>
      </c>
      <c r="G52" s="113" t="str">
        <f>IF(ICT!B52="","",ICT!B52)</f>
        <v/>
      </c>
      <c r="H52" s="113" t="str">
        <f>IF(ICT!C52="","",ICT!C52)</f>
        <v/>
      </c>
      <c r="I52" s="113" t="str">
        <f>IF(ICT!D52="","",ICT!D52)</f>
        <v/>
      </c>
      <c r="J52" s="114" t="str">
        <f>IF(ICT!E52="","",ICT!E52)</f>
        <v/>
      </c>
      <c r="K52" s="113" t="str">
        <f>IF(Accounting!B52="","",Accounting!B52)</f>
        <v/>
      </c>
      <c r="L52" s="113" t="str">
        <f>IF(Accounting!C52="","",Accounting!C52)</f>
        <v/>
      </c>
      <c r="M52" s="114" t="str">
        <f>IF(Accounting!D52="","",Accounting!D52)</f>
        <v/>
      </c>
      <c r="N52" s="113" t="str">
        <f>IF('Business Organization'!B52="","",'Business Organization'!B52)</f>
        <v/>
      </c>
      <c r="O52" s="113" t="str">
        <f>IF('Business Organization'!C52="","",'Business Organization'!C52)</f>
        <v/>
      </c>
      <c r="P52" s="114" t="str">
        <f>IF('Business Organization'!D52="","",'Business Organization'!D52)</f>
        <v/>
      </c>
      <c r="Q52" s="113" t="str">
        <f>IF(SubjectList!G52="Finance",IF(Finance!B52=0,"", Finance!B52),IF(SubjectList!G52="Production",IF(Production!B52=0,"", Production!B52),IF(SubjectList!G52="Economics",IF(Economics!B52=0,"", Economics!B52))))</f>
        <v/>
      </c>
      <c r="R52" s="113" t="str">
        <f>IF(SubjectList!G52="Finance",IF(Finance!C52=0,"", Finance!C52),IF(SubjectList!G52="Production",IF(Production!C52=0,"", Production!C52),IF(SubjectList!G52="Economics",IF(Economics!C52=0,"", Economics!C52))))</f>
        <v/>
      </c>
      <c r="S52" s="114" t="str">
        <f>IF(SubjectList!G52="Finance",IF(Finance!D52=0,"", Finance!D52),IF(SubjectList!G52="Production",IF(Production!D52=0,"", Production!D52),IF(SubjectList!G52="Economics",IF(Economics!D52=0,"", Economics!D52))))</f>
        <v/>
      </c>
      <c r="T52" s="113" t="str">
        <f>IF(SubjectList!H52="Finance",IF(Finance!B52=0,"", Finance!B52),IF(SubjectList!H52="Production",IF(Production!B52=0,"", Production!B52),IF(SubjectList!H52="Economics",IF(Economics!B52=0,"", Economics!B52))))</f>
        <v/>
      </c>
      <c r="U52" s="113" t="str">
        <f>IF(SubjectList!H52="Finance",IF(Finance!C52=0,"", Finance!C52),IF(SubjectList!H52="Production",IF(Production!C52=0,"", Production!C52),IF(SubjectList!H52="Economics",IF(Economics!C52=0,"", Economics!C52))))</f>
        <v/>
      </c>
      <c r="V52" s="114" t="str">
        <f>IF(SubjectList!H52="Finance",IF(Finance!D52=0,"", Finance!D52),IF(SubjectList!H52="Production",IF(Production!D52=0,"", Production!D52),IF(SubjectList!H52="Economics",IF(Economics!D52=0,"", Economics!D52))))</f>
        <v/>
      </c>
      <c r="W52" s="115" t="str">
        <f>IF(SubjectList!G52="Finance","Finance",IF(SubjectList!G52="Production","Production",IF(SubjectList!G52="Economics","Not Given")))</f>
        <v>Production</v>
      </c>
      <c r="X52" s="115" t="str">
        <f>IF(SubjectList!H52="Finance","Finance",IF(SubjectList!H52="Production","Production",IF(SubjectList!H52="Economics","Economics","Not Given")))</f>
        <v>Finance</v>
      </c>
      <c r="Y52" s="113" t="str">
        <f>Bangla!F52</f>
        <v/>
      </c>
      <c r="Z52" s="113" t="str">
        <f>English!E52</f>
        <v/>
      </c>
      <c r="AA52" s="113" t="str">
        <f>ICT!G52</f>
        <v/>
      </c>
      <c r="AB52" s="113" t="str">
        <f>Accounting!F52</f>
        <v/>
      </c>
      <c r="AC52" s="113" t="str">
        <f>'Business Organization'!F52</f>
        <v/>
      </c>
      <c r="AD52" s="113" t="str">
        <f>Production!F52</f>
        <v/>
      </c>
      <c r="AE52" s="113" t="str">
        <f>Finance!F52</f>
        <v/>
      </c>
      <c r="AF52" s="122" t="str">
        <f>Bangla!G52</f>
        <v/>
      </c>
      <c r="AG52" s="122" t="str">
        <f>English!F52</f>
        <v/>
      </c>
      <c r="AH52" s="120" t="str">
        <f>ICT!H52</f>
        <v/>
      </c>
      <c r="AI52" s="120" t="str">
        <f>Accounting!G52</f>
        <v/>
      </c>
      <c r="AJ52" s="120" t="str">
        <f>'Business Organization'!G52</f>
        <v/>
      </c>
      <c r="AK52" s="120" t="str">
        <f>IF(SubjectList!G52="Finance",Finance!G52,IF(SubjectList!G52="Production",Production!G52,IF(SubjectList!G52="Economics",Economics!G52)))</f>
        <v/>
      </c>
      <c r="AL52" s="120" t="str">
        <f>Finance!G52</f>
        <v/>
      </c>
      <c r="AM52" s="120" t="str">
        <f>Optional!H52</f>
        <v/>
      </c>
      <c r="AN52" s="120" t="str">
        <f>Optional!I52</f>
        <v/>
      </c>
      <c r="AO52" s="120" t="str">
        <f t="shared" si="14"/>
        <v/>
      </c>
      <c r="AP52" s="120">
        <f t="shared" si="15"/>
        <v>0</v>
      </c>
      <c r="AQ52" s="116" t="str">
        <f t="shared" si="16"/>
        <v/>
      </c>
      <c r="AR52" s="116" t="str">
        <f t="shared" si="17"/>
        <v/>
      </c>
      <c r="AS52" s="117">
        <f t="shared" si="18"/>
        <v>0</v>
      </c>
      <c r="AT52" s="118">
        <f t="shared" si="19"/>
        <v>0</v>
      </c>
      <c r="AU52" s="118">
        <f t="shared" si="20"/>
        <v>0</v>
      </c>
      <c r="AV52" s="118">
        <f t="shared" si="21"/>
        <v>0</v>
      </c>
      <c r="AW52" s="118">
        <f t="shared" si="22"/>
        <v>0</v>
      </c>
      <c r="AX52" s="118">
        <f t="shared" si="23"/>
        <v>0</v>
      </c>
      <c r="AY52" s="118">
        <f t="shared" si="24"/>
        <v>0</v>
      </c>
      <c r="AZ52" s="111">
        <f t="shared" si="25"/>
        <v>0</v>
      </c>
      <c r="BA52" s="111" t="str">
        <f t="shared" si="26"/>
        <v>F6</v>
      </c>
      <c r="BB52" s="117" t="str">
        <f>IF(AR52="","",RANK(AR52,AR$2:AR145,0))</f>
        <v/>
      </c>
      <c r="BC52" s="111" t="str">
        <f t="shared" si="27"/>
        <v/>
      </c>
    </row>
    <row r="53" spans="1:55" x14ac:dyDescent="0.35">
      <c r="A53" s="113">
        <f>'Student Basic Info'!A53</f>
        <v>552</v>
      </c>
      <c r="B53" s="113" t="str">
        <f>'Student Basic Info'!C53</f>
        <v>Abu Bokkor Siddik</v>
      </c>
      <c r="C53" s="121" t="str">
        <f>IF(Bangla!B53="","",Bangla!B53)</f>
        <v/>
      </c>
      <c r="D53" s="121">
        <f>IF(Bangla!C53="","",Bangla!C53)</f>
        <v>33</v>
      </c>
      <c r="E53" s="112">
        <f>IF(Bangla!D53="","",Bangla!D53)</f>
        <v>33</v>
      </c>
      <c r="F53" s="112">
        <f>IF(English!C53="","",English!C53)</f>
        <v>16</v>
      </c>
      <c r="G53" s="113">
        <f>IF(ICT!B53="","",ICT!B53)</f>
        <v>10</v>
      </c>
      <c r="H53" s="113">
        <f>IF(ICT!C53="","",ICT!C53)</f>
        <v>8</v>
      </c>
      <c r="I53" s="113">
        <f>IF(ICT!D53="","",ICT!D53)</f>
        <v>20</v>
      </c>
      <c r="J53" s="114">
        <f>IF(ICT!E53="","",ICT!E53)</f>
        <v>38</v>
      </c>
      <c r="K53" s="113">
        <f>IF(Accounting!B53="","",Accounting!B53)</f>
        <v>10</v>
      </c>
      <c r="L53" s="113">
        <f>IF(Accounting!C53="","",Accounting!C53)</f>
        <v>13</v>
      </c>
      <c r="M53" s="114">
        <f>IF(Accounting!D53="","",Accounting!D53)</f>
        <v>23</v>
      </c>
      <c r="N53" s="113">
        <f>IF('Business Organization'!B53="","",'Business Organization'!B53)</f>
        <v>18</v>
      </c>
      <c r="O53" s="113">
        <f>IF('Business Organization'!C53="","",'Business Organization'!C53)</f>
        <v>12</v>
      </c>
      <c r="P53" s="114">
        <f>IF('Business Organization'!D53="","",'Business Organization'!D53)</f>
        <v>30</v>
      </c>
      <c r="Q53" s="113">
        <f>IF(SubjectList!G53="Finance",IF(Finance!B53=0,"", Finance!B53),IF(SubjectList!G53="Production",IF(Production!B53=0,"", Production!B53),IF(SubjectList!G53="Economics",IF(Economics!B53=0,"", Economics!B53))))</f>
        <v>10</v>
      </c>
      <c r="R53" s="113">
        <f>IF(SubjectList!G53="Finance",IF(Finance!C53=0,"", Finance!C53),IF(SubjectList!G53="Production",IF(Production!C53=0,"", Production!C53),IF(SubjectList!G53="Economics",IF(Economics!C53=0,"", Economics!C53))))</f>
        <v>8</v>
      </c>
      <c r="S53" s="114">
        <f>IF(SubjectList!G53="Finance",IF(Finance!D53=0,"", Finance!D53),IF(SubjectList!G53="Production",IF(Production!D53=0,"", Production!D53),IF(SubjectList!G53="Economics",IF(Economics!D53=0,"", Economics!D53))))</f>
        <v>18</v>
      </c>
      <c r="T53" s="113">
        <f>IF(SubjectList!H53="Finance",IF(Finance!B53=0,"", Finance!B53),IF(SubjectList!H53="Production",IF(Production!B53=0,"", Production!B53),IF(SubjectList!H53="Economics",IF(Economics!B53=0,"", Economics!B53))))</f>
        <v>14</v>
      </c>
      <c r="U53" s="113">
        <f>IF(SubjectList!H53="Finance",IF(Finance!C53=0,"", Finance!C53),IF(SubjectList!H53="Production",IF(Production!C53=0,"", Production!C53),IF(SubjectList!H53="Economics",IF(Economics!C53=0,"", Economics!C53))))</f>
        <v>23</v>
      </c>
      <c r="V53" s="114">
        <f>IF(SubjectList!H53="Finance",IF(Finance!D53=0,"", Finance!D53),IF(SubjectList!H53="Production",IF(Production!D53=0,"", Production!D53),IF(SubjectList!H53="Economics",IF(Economics!D53=0,"", Economics!D53))))</f>
        <v>37</v>
      </c>
      <c r="W53" s="115" t="str">
        <f>IF(SubjectList!G53="Finance","Finance",IF(SubjectList!G53="Production","Production",IF(SubjectList!G53="Economics","Not Given")))</f>
        <v>Finance</v>
      </c>
      <c r="X53" s="115" t="str">
        <f>IF(SubjectList!H53="Finance","Finance",IF(SubjectList!H53="Production","Production",IF(SubjectList!H53="Economics","Economics","Not Given")))</f>
        <v>Production</v>
      </c>
      <c r="Y53" s="113" t="str">
        <f>Bangla!F53</f>
        <v>D</v>
      </c>
      <c r="Z53" s="113" t="str">
        <f>English!E53</f>
        <v>F</v>
      </c>
      <c r="AA53" s="113" t="str">
        <f>ICT!G53</f>
        <v>F</v>
      </c>
      <c r="AB53" s="113" t="str">
        <f>Accounting!F53</f>
        <v>F</v>
      </c>
      <c r="AC53" s="113" t="str">
        <f>'Business Organization'!F53</f>
        <v>F</v>
      </c>
      <c r="AD53" s="113" t="str">
        <f>Production!F53</f>
        <v>D</v>
      </c>
      <c r="AE53" s="113" t="str">
        <f>Finance!F53</f>
        <v>F</v>
      </c>
      <c r="AF53" s="122">
        <f>Bangla!G53</f>
        <v>1</v>
      </c>
      <c r="AG53" s="122">
        <f>English!F53</f>
        <v>0</v>
      </c>
      <c r="AH53" s="120">
        <f>ICT!H53</f>
        <v>0</v>
      </c>
      <c r="AI53" s="120">
        <f>Accounting!G53</f>
        <v>0</v>
      </c>
      <c r="AJ53" s="120">
        <f>'Business Organization'!G53</f>
        <v>0</v>
      </c>
      <c r="AK53" s="120">
        <f>IF(SubjectList!G53="Finance",Finance!G53,IF(SubjectList!G53="Production",Production!G53,IF(SubjectList!G53="Economics",Economics!G53)))</f>
        <v>0</v>
      </c>
      <c r="AL53" s="120">
        <f>Finance!G53</f>
        <v>0</v>
      </c>
      <c r="AM53" s="120">
        <f>Optional!H53</f>
        <v>1</v>
      </c>
      <c r="AN53" s="120">
        <f>Optional!I53</f>
        <v>0</v>
      </c>
      <c r="AO53" s="120">
        <f t="shared" si="14"/>
        <v>1</v>
      </c>
      <c r="AP53" s="120">
        <f t="shared" si="15"/>
        <v>1</v>
      </c>
      <c r="AQ53" s="116" t="str">
        <f t="shared" si="16"/>
        <v/>
      </c>
      <c r="AR53" s="116" t="str">
        <f t="shared" si="17"/>
        <v/>
      </c>
      <c r="AS53" s="117">
        <f t="shared" si="18"/>
        <v>195</v>
      </c>
      <c r="AT53" s="118">
        <f t="shared" si="19"/>
        <v>1</v>
      </c>
      <c r="AU53" s="118">
        <f t="shared" si="20"/>
        <v>0</v>
      </c>
      <c r="AV53" s="118">
        <f t="shared" si="21"/>
        <v>0</v>
      </c>
      <c r="AW53" s="118">
        <f t="shared" si="22"/>
        <v>0</v>
      </c>
      <c r="AX53" s="118">
        <f t="shared" si="23"/>
        <v>0</v>
      </c>
      <c r="AY53" s="118">
        <f t="shared" si="24"/>
        <v>0</v>
      </c>
      <c r="AZ53" s="111">
        <f t="shared" si="25"/>
        <v>1</v>
      </c>
      <c r="BA53" s="111" t="str">
        <f t="shared" si="26"/>
        <v>F5</v>
      </c>
      <c r="BB53" s="117" t="str">
        <f>IF(AR53="","",RANK(AR53,AR$2:AR145,0))</f>
        <v/>
      </c>
      <c r="BC53" s="111" t="str">
        <f t="shared" si="27"/>
        <v/>
      </c>
    </row>
    <row r="54" spans="1:55" x14ac:dyDescent="0.35">
      <c r="A54" s="113">
        <f>'Student Basic Info'!A54</f>
        <v>553</v>
      </c>
      <c r="B54" s="113" t="str">
        <f>'Student Basic Info'!C54</f>
        <v>Nowshad Ali</v>
      </c>
      <c r="C54" s="121" t="str">
        <f>IF(Bangla!B54="","",Bangla!B54)</f>
        <v/>
      </c>
      <c r="D54" s="121" t="str">
        <f>IF(Bangla!C54="","",Bangla!C54)</f>
        <v/>
      </c>
      <c r="E54" s="112" t="str">
        <f>IF(Bangla!D54="","",Bangla!D54)</f>
        <v/>
      </c>
      <c r="F54" s="112" t="str">
        <f>IF(English!C54="","",English!C54)</f>
        <v/>
      </c>
      <c r="G54" s="113" t="str">
        <f>IF(ICT!B54="","",ICT!B54)</f>
        <v/>
      </c>
      <c r="H54" s="113" t="str">
        <f>IF(ICT!C54="","",ICT!C54)</f>
        <v/>
      </c>
      <c r="I54" s="113" t="str">
        <f>IF(ICT!D54="","",ICT!D54)</f>
        <v/>
      </c>
      <c r="J54" s="114" t="str">
        <f>IF(ICT!E54="","",ICT!E54)</f>
        <v/>
      </c>
      <c r="K54" s="113" t="str">
        <f>IF(Accounting!B54="","",Accounting!B54)</f>
        <v/>
      </c>
      <c r="L54" s="113" t="str">
        <f>IF(Accounting!C54="","",Accounting!C54)</f>
        <v/>
      </c>
      <c r="M54" s="114" t="str">
        <f>IF(Accounting!D54="","",Accounting!D54)</f>
        <v/>
      </c>
      <c r="N54" s="113" t="str">
        <f>IF('Business Organization'!B54="","",'Business Organization'!B54)</f>
        <v/>
      </c>
      <c r="O54" s="113" t="str">
        <f>IF('Business Organization'!C54="","",'Business Organization'!C54)</f>
        <v/>
      </c>
      <c r="P54" s="114" t="str">
        <f>IF('Business Organization'!D54="","",'Business Organization'!D54)</f>
        <v/>
      </c>
      <c r="Q54" s="113" t="str">
        <f>IF(SubjectList!G54="Finance",IF(Finance!B54=0,"", Finance!B54),IF(SubjectList!G54="Production",IF(Production!B54=0,"", Production!B54),IF(SubjectList!G54="Economics",IF(Economics!B54=0,"", Economics!B54))))</f>
        <v/>
      </c>
      <c r="R54" s="113" t="str">
        <f>IF(SubjectList!G54="Finance",IF(Finance!C54=0,"", Finance!C54),IF(SubjectList!G54="Production",IF(Production!C54=0,"", Production!C54),IF(SubjectList!G54="Economics",IF(Economics!C54=0,"", Economics!C54))))</f>
        <v/>
      </c>
      <c r="S54" s="114" t="str">
        <f>IF(SubjectList!G54="Finance",IF(Finance!D54=0,"", Finance!D54),IF(SubjectList!G54="Production",IF(Production!D54=0,"", Production!D54),IF(SubjectList!G54="Economics",IF(Economics!D54=0,"", Economics!D54))))</f>
        <v/>
      </c>
      <c r="T54" s="113" t="str">
        <f>IF(SubjectList!H54="Finance",IF(Finance!B54=0,"", Finance!B54),IF(SubjectList!H54="Production",IF(Production!B54=0,"", Production!B54),IF(SubjectList!H54="Economics",IF(Economics!B54=0,"", Economics!B54))))</f>
        <v/>
      </c>
      <c r="U54" s="113" t="str">
        <f>IF(SubjectList!H54="Finance",IF(Finance!C54=0,"", Finance!C54),IF(SubjectList!H54="Production",IF(Production!C54=0,"", Production!C54),IF(SubjectList!H54="Economics",IF(Economics!C54=0,"", Economics!C54))))</f>
        <v/>
      </c>
      <c r="V54" s="114" t="str">
        <f>IF(SubjectList!H54="Finance",IF(Finance!D54=0,"", Finance!D54),IF(SubjectList!H54="Production",IF(Production!D54=0,"", Production!D54),IF(SubjectList!H54="Economics",IF(Economics!D54=0,"", Economics!D54))))</f>
        <v/>
      </c>
      <c r="W54" s="115" t="str">
        <f>IF(SubjectList!G54="Finance","Finance",IF(SubjectList!G54="Production","Production",IF(SubjectList!G54="Economics","Not Given")))</f>
        <v>Finance</v>
      </c>
      <c r="X54" s="115" t="str">
        <f>IF(SubjectList!H54="Finance","Finance",IF(SubjectList!H54="Production","Production",IF(SubjectList!H54="Economics","Economics","Not Given")))</f>
        <v>Production</v>
      </c>
      <c r="Y54" s="113" t="str">
        <f>Bangla!F54</f>
        <v/>
      </c>
      <c r="Z54" s="113" t="str">
        <f>English!E54</f>
        <v/>
      </c>
      <c r="AA54" s="113" t="str">
        <f>ICT!G54</f>
        <v/>
      </c>
      <c r="AB54" s="113" t="str">
        <f>Accounting!F54</f>
        <v/>
      </c>
      <c r="AC54" s="113" t="str">
        <f>'Business Organization'!F54</f>
        <v/>
      </c>
      <c r="AD54" s="113" t="str">
        <f>Production!F54</f>
        <v/>
      </c>
      <c r="AE54" s="113" t="str">
        <f>Finance!F54</f>
        <v/>
      </c>
      <c r="AF54" s="122" t="str">
        <f>Bangla!G54</f>
        <v/>
      </c>
      <c r="AG54" s="122" t="str">
        <f>English!F54</f>
        <v/>
      </c>
      <c r="AH54" s="120" t="str">
        <f>ICT!H54</f>
        <v/>
      </c>
      <c r="AI54" s="120" t="str">
        <f>Accounting!G54</f>
        <v/>
      </c>
      <c r="AJ54" s="120" t="str">
        <f>'Business Organization'!G54</f>
        <v/>
      </c>
      <c r="AK54" s="120" t="str">
        <f>IF(SubjectList!G54="Finance",Finance!G54,IF(SubjectList!G54="Production",Production!G54,IF(SubjectList!G54="Economics",Economics!G54)))</f>
        <v/>
      </c>
      <c r="AL54" s="120" t="str">
        <f>Finance!G54</f>
        <v/>
      </c>
      <c r="AM54" s="120" t="str">
        <f>Optional!H54</f>
        <v/>
      </c>
      <c r="AN54" s="120" t="str">
        <f>Optional!I54</f>
        <v/>
      </c>
      <c r="AO54" s="120" t="str">
        <f t="shared" si="14"/>
        <v/>
      </c>
      <c r="AP54" s="120">
        <f t="shared" si="15"/>
        <v>0</v>
      </c>
      <c r="AQ54" s="116" t="str">
        <f t="shared" si="16"/>
        <v/>
      </c>
      <c r="AR54" s="116" t="str">
        <f t="shared" si="17"/>
        <v/>
      </c>
      <c r="AS54" s="117">
        <f t="shared" si="18"/>
        <v>0</v>
      </c>
      <c r="AT54" s="118">
        <f t="shared" si="19"/>
        <v>0</v>
      </c>
      <c r="AU54" s="118">
        <f t="shared" si="20"/>
        <v>0</v>
      </c>
      <c r="AV54" s="118">
        <f t="shared" si="21"/>
        <v>0</v>
      </c>
      <c r="AW54" s="118">
        <f t="shared" si="22"/>
        <v>0</v>
      </c>
      <c r="AX54" s="118">
        <f t="shared" si="23"/>
        <v>0</v>
      </c>
      <c r="AY54" s="118">
        <f t="shared" si="24"/>
        <v>0</v>
      </c>
      <c r="AZ54" s="111">
        <f t="shared" si="25"/>
        <v>0</v>
      </c>
      <c r="BA54" s="111" t="str">
        <f t="shared" si="26"/>
        <v>F6</v>
      </c>
      <c r="BB54" s="117" t="str">
        <f>IF(AR54="","",RANK(AR54,AR$2:AR145,0))</f>
        <v/>
      </c>
      <c r="BC54" s="111" t="str">
        <f t="shared" si="27"/>
        <v/>
      </c>
    </row>
    <row r="55" spans="1:55" x14ac:dyDescent="0.35">
      <c r="A55" s="113">
        <f>'Student Basic Info'!A55</f>
        <v>554</v>
      </c>
      <c r="B55" s="113" t="str">
        <f>'Student Basic Info'!C55</f>
        <v>Md. Musa</v>
      </c>
      <c r="C55" s="121" t="str">
        <f>IF(Bangla!B55="","",Bangla!B55)</f>
        <v/>
      </c>
      <c r="D55" s="121">
        <f>IF(Bangla!C55="","",Bangla!C55)</f>
        <v>33</v>
      </c>
      <c r="E55" s="112">
        <f>IF(Bangla!D55="","",Bangla!D55)</f>
        <v>33</v>
      </c>
      <c r="F55" s="112">
        <f>IF(English!C55="","",English!C55)</f>
        <v>12</v>
      </c>
      <c r="G55" s="113">
        <f>IF(ICT!B55="","",ICT!B55)</f>
        <v>9</v>
      </c>
      <c r="H55" s="113">
        <f>IF(ICT!C55="","",ICT!C55)</f>
        <v>6</v>
      </c>
      <c r="I55" s="113">
        <f>IF(ICT!D55="","",ICT!D55)</f>
        <v>8</v>
      </c>
      <c r="J55" s="114">
        <f>IF(ICT!E55="","",ICT!E55)</f>
        <v>23</v>
      </c>
      <c r="K55" s="113">
        <f>IF(Accounting!B55="","",Accounting!B55)</f>
        <v>10</v>
      </c>
      <c r="L55" s="113">
        <f>IF(Accounting!C55="","",Accounting!C55)</f>
        <v>9</v>
      </c>
      <c r="M55" s="114">
        <f>IF(Accounting!D55="","",Accounting!D55)</f>
        <v>19</v>
      </c>
      <c r="N55" s="113">
        <f>IF('Business Organization'!B55="","",'Business Organization'!B55)</f>
        <v>18</v>
      </c>
      <c r="O55" s="113">
        <f>IF('Business Organization'!C55="","",'Business Organization'!C55)</f>
        <v>8</v>
      </c>
      <c r="P55" s="114">
        <f>IF('Business Organization'!D55="","",'Business Organization'!D55)</f>
        <v>26</v>
      </c>
      <c r="Q55" s="113">
        <f>IF(SubjectList!G55="Finance",IF(Finance!B55=0,"", Finance!B55),IF(SubjectList!G55="Production",IF(Production!B55=0,"", Production!B55),IF(SubjectList!G55="Economics",IF(Economics!B55=0,"", Economics!B55))))</f>
        <v>7</v>
      </c>
      <c r="R55" s="113">
        <f>IF(SubjectList!G55="Finance",IF(Finance!C55=0,"", Finance!C55),IF(SubjectList!G55="Production",IF(Production!C55=0,"", Production!C55),IF(SubjectList!G55="Economics",IF(Economics!C55=0,"", Economics!C55))))</f>
        <v>2</v>
      </c>
      <c r="S55" s="114">
        <f>IF(SubjectList!G55="Finance",IF(Finance!D55=0,"", Finance!D55),IF(SubjectList!G55="Production",IF(Production!D55=0,"", Production!D55),IF(SubjectList!G55="Economics",IF(Economics!D55=0,"", Economics!D55))))</f>
        <v>9</v>
      </c>
      <c r="T55" s="113">
        <f>IF(SubjectList!H55="Finance",IF(Finance!B55=0,"", Finance!B55),IF(SubjectList!H55="Production",IF(Production!B55=0,"", Production!B55),IF(SubjectList!H55="Economics",IF(Economics!B55=0,"", Economics!B55))))</f>
        <v>15</v>
      </c>
      <c r="U55" s="113">
        <f>IF(SubjectList!H55="Finance",IF(Finance!C55=0,"", Finance!C55),IF(SubjectList!H55="Production",IF(Production!C55=0,"", Production!C55),IF(SubjectList!H55="Economics",IF(Economics!C55=0,"", Economics!C55))))</f>
        <v>2</v>
      </c>
      <c r="V55" s="114">
        <f>IF(SubjectList!H55="Finance",IF(Finance!D55=0,"", Finance!D55),IF(SubjectList!H55="Production",IF(Production!D55=0,"", Production!D55),IF(SubjectList!H55="Economics",IF(Economics!D55=0,"", Economics!D55))))</f>
        <v>17</v>
      </c>
      <c r="W55" s="115" t="str">
        <f>IF(SubjectList!G55="Finance","Finance",IF(SubjectList!G55="Production","Production",IF(SubjectList!G55="Economics","Not Given")))</f>
        <v>Finance</v>
      </c>
      <c r="X55" s="115" t="str">
        <f>IF(SubjectList!H55="Finance","Finance",IF(SubjectList!H55="Production","Production",IF(SubjectList!H55="Economics","Economics","Not Given")))</f>
        <v>Production</v>
      </c>
      <c r="Y55" s="113" t="str">
        <f>Bangla!F55</f>
        <v>D</v>
      </c>
      <c r="Z55" s="113" t="str">
        <f>English!E55</f>
        <v>F</v>
      </c>
      <c r="AA55" s="113" t="str">
        <f>ICT!G55</f>
        <v>F</v>
      </c>
      <c r="AB55" s="113" t="str">
        <f>Accounting!F55</f>
        <v>F</v>
      </c>
      <c r="AC55" s="113" t="str">
        <f>'Business Organization'!F55</f>
        <v>F</v>
      </c>
      <c r="AD55" s="113" t="str">
        <f>Production!F55</f>
        <v>F</v>
      </c>
      <c r="AE55" s="113" t="str">
        <f>Finance!F55</f>
        <v>F</v>
      </c>
      <c r="AF55" s="122">
        <f>Bangla!G55</f>
        <v>1</v>
      </c>
      <c r="AG55" s="122">
        <f>English!F55</f>
        <v>0</v>
      </c>
      <c r="AH55" s="120">
        <f>ICT!H55</f>
        <v>0</v>
      </c>
      <c r="AI55" s="120">
        <f>Accounting!G55</f>
        <v>0</v>
      </c>
      <c r="AJ55" s="120">
        <f>'Business Organization'!G55</f>
        <v>0</v>
      </c>
      <c r="AK55" s="120">
        <f>IF(SubjectList!G55="Finance",Finance!G55,IF(SubjectList!G55="Production",Production!G55,IF(SubjectList!G55="Economics",Economics!G55)))</f>
        <v>0</v>
      </c>
      <c r="AL55" s="120">
        <f>Finance!G55</f>
        <v>0</v>
      </c>
      <c r="AM55" s="120">
        <f>Optional!H55</f>
        <v>0</v>
      </c>
      <c r="AN55" s="120">
        <f>Optional!I55</f>
        <v>0</v>
      </c>
      <c r="AO55" s="120">
        <f t="shared" si="14"/>
        <v>1</v>
      </c>
      <c r="AP55" s="120">
        <f t="shared" si="15"/>
        <v>1</v>
      </c>
      <c r="AQ55" s="116" t="str">
        <f t="shared" si="16"/>
        <v/>
      </c>
      <c r="AR55" s="116" t="str">
        <f t="shared" si="17"/>
        <v/>
      </c>
      <c r="AS55" s="117">
        <f t="shared" si="18"/>
        <v>139</v>
      </c>
      <c r="AT55" s="118">
        <f t="shared" si="19"/>
        <v>1</v>
      </c>
      <c r="AU55" s="118">
        <f t="shared" si="20"/>
        <v>0</v>
      </c>
      <c r="AV55" s="118">
        <f t="shared" si="21"/>
        <v>0</v>
      </c>
      <c r="AW55" s="118">
        <f t="shared" si="22"/>
        <v>0</v>
      </c>
      <c r="AX55" s="118">
        <f t="shared" si="23"/>
        <v>0</v>
      </c>
      <c r="AY55" s="118">
        <f t="shared" si="24"/>
        <v>0</v>
      </c>
      <c r="AZ55" s="111">
        <f t="shared" si="25"/>
        <v>1</v>
      </c>
      <c r="BA55" s="111" t="str">
        <f t="shared" si="26"/>
        <v>F5</v>
      </c>
      <c r="BB55" s="117" t="str">
        <f>IF(AR55="","",RANK(AR55,AR$2:AR145,0))</f>
        <v/>
      </c>
      <c r="BC55" s="111" t="str">
        <f t="shared" si="27"/>
        <v/>
      </c>
    </row>
    <row r="56" spans="1:55" x14ac:dyDescent="0.35">
      <c r="A56" s="113">
        <f>'Student Basic Info'!A56</f>
        <v>555</v>
      </c>
      <c r="B56" s="113" t="str">
        <f>'Student Basic Info'!C56</f>
        <v>Setara Bagum</v>
      </c>
      <c r="C56" s="121" t="str">
        <f>IF(Bangla!B56="","",Bangla!B56)</f>
        <v/>
      </c>
      <c r="D56" s="121">
        <f>IF(Bangla!C56="","",Bangla!C56)</f>
        <v>53</v>
      </c>
      <c r="E56" s="112">
        <f>IF(Bangla!D56="","",Bangla!D56)</f>
        <v>53</v>
      </c>
      <c r="F56" s="112">
        <f>IF(English!C56="","",English!C56)</f>
        <v>28</v>
      </c>
      <c r="G56" s="113">
        <f>IF(ICT!B56="","",ICT!B56)</f>
        <v>13</v>
      </c>
      <c r="H56" s="113">
        <f>IF(ICT!C56="","",ICT!C56)</f>
        <v>22</v>
      </c>
      <c r="I56" s="113">
        <f>IF(ICT!D56="","",ICT!D56)</f>
        <v>18</v>
      </c>
      <c r="J56" s="114">
        <f>IF(ICT!E56="","",ICT!E56)</f>
        <v>53</v>
      </c>
      <c r="K56" s="113">
        <f>IF(Accounting!B56="","",Accounting!B56)</f>
        <v>14</v>
      </c>
      <c r="L56" s="113">
        <f>IF(Accounting!C56="","",Accounting!C56)</f>
        <v>43</v>
      </c>
      <c r="M56" s="114">
        <f>IF(Accounting!D56="","",Accounting!D56)</f>
        <v>57</v>
      </c>
      <c r="N56" s="113">
        <f>IF('Business Organization'!B56="","",'Business Organization'!B56)</f>
        <v>23</v>
      </c>
      <c r="O56" s="113">
        <f>IF('Business Organization'!C56="","",'Business Organization'!C56)</f>
        <v>33</v>
      </c>
      <c r="P56" s="114">
        <f>IF('Business Organization'!D56="","",'Business Organization'!D56)</f>
        <v>56</v>
      </c>
      <c r="Q56" s="113">
        <f>IF(SubjectList!G56="Finance",IF(Finance!B56=0,"", Finance!B56),IF(SubjectList!G56="Production",IF(Production!B56=0,"", Production!B56),IF(SubjectList!G56="Economics",IF(Economics!B56=0,"", Economics!B56))))</f>
        <v>13</v>
      </c>
      <c r="R56" s="113">
        <f>IF(SubjectList!G56="Finance",IF(Finance!C56=0,"", Finance!C56),IF(SubjectList!G56="Production",IF(Production!C56=0,"", Production!C56),IF(SubjectList!G56="Economics",IF(Economics!C56=0,"", Economics!C56))))</f>
        <v>40</v>
      </c>
      <c r="S56" s="114">
        <f>IF(SubjectList!G56="Finance",IF(Finance!D56=0,"", Finance!D56),IF(SubjectList!G56="Production",IF(Production!D56=0,"", Production!D56),IF(SubjectList!G56="Economics",IF(Economics!D56=0,"", Economics!D56))))</f>
        <v>53</v>
      </c>
      <c r="T56" s="113">
        <f>IF(SubjectList!H56="Finance",IF(Finance!B56=0,"", Finance!B56),IF(SubjectList!H56="Production",IF(Production!B56=0,"", Production!B56),IF(SubjectList!H56="Economics",IF(Economics!B56=0,"", Economics!B56))))</f>
        <v>13</v>
      </c>
      <c r="U56" s="113">
        <f>IF(SubjectList!H56="Finance",IF(Finance!C56=0,"", Finance!C56),IF(SubjectList!H56="Production",IF(Production!C56=0,"", Production!C56),IF(SubjectList!H56="Economics",IF(Economics!C56=0,"", Economics!C56))))</f>
        <v>23</v>
      </c>
      <c r="V56" s="114">
        <f>IF(SubjectList!H56="Finance",IF(Finance!D56=0,"", Finance!D56),IF(SubjectList!H56="Production",IF(Production!D56=0,"", Production!D56),IF(SubjectList!H56="Economics",IF(Economics!D56=0,"", Economics!D56))))</f>
        <v>36</v>
      </c>
      <c r="W56" s="115" t="str">
        <f>IF(SubjectList!G56="Finance","Finance",IF(SubjectList!G56="Production","Production",IF(SubjectList!G56="Economics","Not Given")))</f>
        <v>Production</v>
      </c>
      <c r="X56" s="115" t="str">
        <f>IF(SubjectList!H56="Finance","Finance",IF(SubjectList!H56="Production","Production",IF(SubjectList!H56="Economics","Economics","Not Given")))</f>
        <v>Finance</v>
      </c>
      <c r="Y56" s="113" t="str">
        <f>Bangla!F56</f>
        <v>B</v>
      </c>
      <c r="Z56" s="113" t="str">
        <f>English!E56</f>
        <v>F</v>
      </c>
      <c r="AA56" s="113" t="str">
        <f>ICT!G56</f>
        <v>B</v>
      </c>
      <c r="AB56" s="113" t="str">
        <f>Accounting!F56</f>
        <v>B</v>
      </c>
      <c r="AC56" s="113" t="str">
        <f>'Business Organization'!F56</f>
        <v>B</v>
      </c>
      <c r="AD56" s="113" t="str">
        <f>Production!F56</f>
        <v>B</v>
      </c>
      <c r="AE56" s="113" t="str">
        <f>Finance!F56</f>
        <v>D</v>
      </c>
      <c r="AF56" s="122">
        <f>Bangla!G56</f>
        <v>3</v>
      </c>
      <c r="AG56" s="122">
        <f>English!F56</f>
        <v>0</v>
      </c>
      <c r="AH56" s="120">
        <f>ICT!H56</f>
        <v>3</v>
      </c>
      <c r="AI56" s="120">
        <f>Accounting!G56</f>
        <v>3</v>
      </c>
      <c r="AJ56" s="120">
        <f>'Business Organization'!G56</f>
        <v>3</v>
      </c>
      <c r="AK56" s="120">
        <f>IF(SubjectList!G56="Finance",Finance!G56,IF(SubjectList!G56="Production",Production!G56,IF(SubjectList!G56="Economics",Economics!G56)))</f>
        <v>3</v>
      </c>
      <c r="AL56" s="120">
        <f>Finance!G56</f>
        <v>1</v>
      </c>
      <c r="AM56" s="120">
        <f>Optional!H56</f>
        <v>1</v>
      </c>
      <c r="AN56" s="120">
        <f>Optional!I56</f>
        <v>0</v>
      </c>
      <c r="AO56" s="120">
        <f t="shared" si="14"/>
        <v>15</v>
      </c>
      <c r="AP56" s="120">
        <f t="shared" si="15"/>
        <v>15</v>
      </c>
      <c r="AQ56" s="116" t="str">
        <f t="shared" si="16"/>
        <v/>
      </c>
      <c r="AR56" s="116" t="str">
        <f t="shared" si="17"/>
        <v/>
      </c>
      <c r="AS56" s="117">
        <f t="shared" si="18"/>
        <v>336</v>
      </c>
      <c r="AT56" s="118">
        <f t="shared" si="19"/>
        <v>1</v>
      </c>
      <c r="AU56" s="118">
        <f t="shared" si="20"/>
        <v>0</v>
      </c>
      <c r="AV56" s="118">
        <f t="shared" si="21"/>
        <v>1</v>
      </c>
      <c r="AW56" s="118">
        <f t="shared" si="22"/>
        <v>1</v>
      </c>
      <c r="AX56" s="118">
        <f t="shared" si="23"/>
        <v>1</v>
      </c>
      <c r="AY56" s="118">
        <f t="shared" si="24"/>
        <v>1</v>
      </c>
      <c r="AZ56" s="111">
        <f t="shared" si="25"/>
        <v>5</v>
      </c>
      <c r="BA56" s="111" t="str">
        <f t="shared" si="26"/>
        <v>F1</v>
      </c>
      <c r="BB56" s="117" t="str">
        <f>IF(AR56="","",RANK(AR56,AR$2:AR145,0))</f>
        <v/>
      </c>
      <c r="BC56" s="111" t="str">
        <f t="shared" si="27"/>
        <v/>
      </c>
    </row>
    <row r="57" spans="1:55" x14ac:dyDescent="0.35">
      <c r="A57" s="113">
        <f>'Student Basic Info'!A57</f>
        <v>556</v>
      </c>
      <c r="B57" s="113" t="str">
        <f>'Student Basic Info'!C57</f>
        <v>Tahamina Tabassum</v>
      </c>
      <c r="C57" s="121" t="str">
        <f>IF(Bangla!B57="","",Bangla!B57)</f>
        <v/>
      </c>
      <c r="D57" s="121">
        <f>IF(Bangla!C57="","",Bangla!C57)</f>
        <v>60</v>
      </c>
      <c r="E57" s="112">
        <f>IF(Bangla!D57="","",Bangla!D57)</f>
        <v>60</v>
      </c>
      <c r="F57" s="112">
        <f>IF(English!C57="","",English!C57)</f>
        <v>27</v>
      </c>
      <c r="G57" s="113">
        <f>IF(ICT!B57="","",ICT!B57)</f>
        <v>10</v>
      </c>
      <c r="H57" s="113">
        <f>IF(ICT!C57="","",ICT!C57)</f>
        <v>11</v>
      </c>
      <c r="I57" s="113">
        <f>IF(ICT!D57="","",ICT!D57)</f>
        <v>20</v>
      </c>
      <c r="J57" s="114">
        <f>IF(ICT!E57="","",ICT!E57)</f>
        <v>41</v>
      </c>
      <c r="K57" s="113">
        <f>IF(Accounting!B57="","",Accounting!B57)</f>
        <v>12</v>
      </c>
      <c r="L57" s="113">
        <f>IF(Accounting!C57="","",Accounting!C57)</f>
        <v>6</v>
      </c>
      <c r="M57" s="114">
        <f>IF(Accounting!D57="","",Accounting!D57)</f>
        <v>18</v>
      </c>
      <c r="N57" s="113">
        <f>IF('Business Organization'!B57="","",'Business Organization'!B57)</f>
        <v>21</v>
      </c>
      <c r="O57" s="113">
        <f>IF('Business Organization'!C57="","",'Business Organization'!C57)</f>
        <v>31</v>
      </c>
      <c r="P57" s="114">
        <f>IF('Business Organization'!D57="","",'Business Organization'!D57)</f>
        <v>52</v>
      </c>
      <c r="Q57" s="113">
        <f>IF(SubjectList!G57="Finance",IF(Finance!B57=0,"", Finance!B57),IF(SubjectList!G57="Production",IF(Production!B57=0,"", Production!B57),IF(SubjectList!G57="Economics",IF(Economics!B57=0,"", Economics!B57))))</f>
        <v>10</v>
      </c>
      <c r="R57" s="113">
        <f>IF(SubjectList!G57="Finance",IF(Finance!C57=0,"", Finance!C57),IF(SubjectList!G57="Production",IF(Production!C57=0,"", Production!C57),IF(SubjectList!G57="Economics",IF(Economics!C57=0,"", Economics!C57))))</f>
        <v>16</v>
      </c>
      <c r="S57" s="114">
        <f>IF(SubjectList!G57="Finance",IF(Finance!D57=0,"", Finance!D57),IF(SubjectList!G57="Production",IF(Production!D57=0,"", Production!D57),IF(SubjectList!G57="Economics",IF(Economics!D57=0,"", Economics!D57))))</f>
        <v>26</v>
      </c>
      <c r="T57" s="113">
        <f>IF(SubjectList!H57="Finance",IF(Finance!B57=0,"", Finance!B57),IF(SubjectList!H57="Production",IF(Production!B57=0,"", Production!B57),IF(SubjectList!H57="Economics",IF(Economics!B57=0,"", Economics!B57))))</f>
        <v>12</v>
      </c>
      <c r="U57" s="113">
        <f>IF(SubjectList!H57="Finance",IF(Finance!C57=0,"", Finance!C57),IF(SubjectList!H57="Production",IF(Production!C57=0,"", Production!C57),IF(SubjectList!H57="Economics",IF(Economics!C57=0,"", Economics!C57))))</f>
        <v>30</v>
      </c>
      <c r="V57" s="114">
        <f>IF(SubjectList!H57="Finance",IF(Finance!D57=0,"", Finance!D57),IF(SubjectList!H57="Production",IF(Production!D57=0,"", Production!D57),IF(SubjectList!H57="Economics",IF(Economics!D57=0,"", Economics!D57))))</f>
        <v>42</v>
      </c>
      <c r="W57" s="115" t="str">
        <f>IF(SubjectList!G57="Finance","Finance",IF(SubjectList!G57="Production","Production",IF(SubjectList!G57="Economics","Not Given")))</f>
        <v>Finance</v>
      </c>
      <c r="X57" s="115" t="str">
        <f>IF(SubjectList!H57="Finance","Finance",IF(SubjectList!H57="Production","Production",IF(SubjectList!H57="Economics","Economics","Not Given")))</f>
        <v>Production</v>
      </c>
      <c r="Y57" s="113" t="str">
        <f>Bangla!F57</f>
        <v>A-</v>
      </c>
      <c r="Z57" s="113" t="str">
        <f>English!E57</f>
        <v>F</v>
      </c>
      <c r="AA57" s="113" t="str">
        <f>ICT!G57</f>
        <v>F</v>
      </c>
      <c r="AB57" s="113" t="str">
        <f>Accounting!F57</f>
        <v>F</v>
      </c>
      <c r="AC57" s="113" t="str">
        <f>'Business Organization'!F57</f>
        <v>B</v>
      </c>
      <c r="AD57" s="113" t="str">
        <f>Production!F57</f>
        <v>C</v>
      </c>
      <c r="AE57" s="113" t="str">
        <f>Finance!F57</f>
        <v>F</v>
      </c>
      <c r="AF57" s="122">
        <f>Bangla!G57</f>
        <v>3.5</v>
      </c>
      <c r="AG57" s="122">
        <f>English!F57</f>
        <v>0</v>
      </c>
      <c r="AH57" s="120">
        <f>ICT!H57</f>
        <v>0</v>
      </c>
      <c r="AI57" s="120">
        <f>Accounting!G57</f>
        <v>0</v>
      </c>
      <c r="AJ57" s="120">
        <f>'Business Organization'!G57</f>
        <v>3</v>
      </c>
      <c r="AK57" s="120">
        <f>IF(SubjectList!G57="Finance",Finance!G57,IF(SubjectList!G57="Production",Production!G57,IF(SubjectList!G57="Economics",Economics!G57)))</f>
        <v>0</v>
      </c>
      <c r="AL57" s="120">
        <f>Finance!G57</f>
        <v>0</v>
      </c>
      <c r="AM57" s="120">
        <f>Optional!H57</f>
        <v>2</v>
      </c>
      <c r="AN57" s="120">
        <f>Optional!I57</f>
        <v>0</v>
      </c>
      <c r="AO57" s="120">
        <f t="shared" si="14"/>
        <v>6.5</v>
      </c>
      <c r="AP57" s="120">
        <f t="shared" si="15"/>
        <v>6.5</v>
      </c>
      <c r="AQ57" s="116" t="str">
        <f t="shared" si="16"/>
        <v/>
      </c>
      <c r="AR57" s="116" t="str">
        <f t="shared" si="17"/>
        <v/>
      </c>
      <c r="AS57" s="117">
        <f t="shared" si="18"/>
        <v>266</v>
      </c>
      <c r="AT57" s="118">
        <f t="shared" si="19"/>
        <v>1</v>
      </c>
      <c r="AU57" s="118">
        <f t="shared" si="20"/>
        <v>0</v>
      </c>
      <c r="AV57" s="118">
        <f t="shared" si="21"/>
        <v>0</v>
      </c>
      <c r="AW57" s="118">
        <f t="shared" si="22"/>
        <v>0</v>
      </c>
      <c r="AX57" s="118">
        <f t="shared" si="23"/>
        <v>1</v>
      </c>
      <c r="AY57" s="118">
        <f t="shared" si="24"/>
        <v>0</v>
      </c>
      <c r="AZ57" s="111">
        <f t="shared" si="25"/>
        <v>2</v>
      </c>
      <c r="BA57" s="111" t="str">
        <f t="shared" si="26"/>
        <v>F4</v>
      </c>
      <c r="BB57" s="117" t="str">
        <f>IF(AR57="","",RANK(AR57,AR$2:AR145,0))</f>
        <v/>
      </c>
      <c r="BC57" s="111" t="str">
        <f t="shared" si="27"/>
        <v/>
      </c>
    </row>
    <row r="58" spans="1:55" x14ac:dyDescent="0.35">
      <c r="A58" s="113">
        <f>'Student Basic Info'!A58</f>
        <v>557</v>
      </c>
      <c r="B58" s="113" t="str">
        <f>'Student Basic Info'!C58</f>
        <v>Tanjila Akrar</v>
      </c>
      <c r="C58" s="121" t="str">
        <f>IF(Bangla!B58="","",Bangla!B58)</f>
        <v/>
      </c>
      <c r="D58" s="121">
        <f>IF(Bangla!C58="","",Bangla!C58)</f>
        <v>50</v>
      </c>
      <c r="E58" s="112">
        <f>IF(Bangla!D58="","",Bangla!D58)</f>
        <v>50</v>
      </c>
      <c r="F58" s="112">
        <f>IF(English!C58="","",English!C58)</f>
        <v>33</v>
      </c>
      <c r="G58" s="113">
        <f>IF(ICT!B58="","",ICT!B58)</f>
        <v>13</v>
      </c>
      <c r="H58" s="113">
        <f>IF(ICT!C58="","",ICT!C58)</f>
        <v>17</v>
      </c>
      <c r="I58" s="113">
        <f>IF(ICT!D58="","",ICT!D58)</f>
        <v>18</v>
      </c>
      <c r="J58" s="114">
        <f>IF(ICT!E58="","",ICT!E58)</f>
        <v>48</v>
      </c>
      <c r="K58" s="113">
        <f>IF(Accounting!B58="","",Accounting!B58)</f>
        <v>12</v>
      </c>
      <c r="L58" s="113">
        <f>IF(Accounting!C58="","",Accounting!C58)</f>
        <v>25</v>
      </c>
      <c r="M58" s="114">
        <f>IF(Accounting!D58="","",Accounting!D58)</f>
        <v>37</v>
      </c>
      <c r="N58" s="113">
        <f>IF('Business Organization'!B58="","",'Business Organization'!B58)</f>
        <v>23</v>
      </c>
      <c r="O58" s="113">
        <f>IF('Business Organization'!C58="","",'Business Organization'!C58)</f>
        <v>36</v>
      </c>
      <c r="P58" s="114">
        <f>IF('Business Organization'!D58="","",'Business Organization'!D58)</f>
        <v>59</v>
      </c>
      <c r="Q58" s="113">
        <f>IF(SubjectList!G58="Finance",IF(Finance!B58=0,"", Finance!B58),IF(SubjectList!G58="Production",IF(Production!B58=0,"", Production!B58),IF(SubjectList!G58="Economics",IF(Economics!B58=0,"", Economics!B58))))</f>
        <v>10</v>
      </c>
      <c r="R58" s="113">
        <f>IF(SubjectList!G58="Finance",IF(Finance!C58=0,"", Finance!C58),IF(SubjectList!G58="Production",IF(Production!C58=0,"", Production!C58),IF(SubjectList!G58="Economics",IF(Economics!C58=0,"", Economics!C58))))</f>
        <v>23</v>
      </c>
      <c r="S58" s="114">
        <f>IF(SubjectList!G58="Finance",IF(Finance!D58=0,"", Finance!D58),IF(SubjectList!G58="Production",IF(Production!D58=0,"", Production!D58),IF(SubjectList!G58="Economics",IF(Economics!D58=0,"", Economics!D58))))</f>
        <v>33</v>
      </c>
      <c r="T58" s="113">
        <f>IF(SubjectList!H58="Finance",IF(Finance!B58=0,"", Finance!B58),IF(SubjectList!H58="Production",IF(Production!B58=0,"", Production!B58),IF(SubjectList!H58="Economics",IF(Economics!B58=0,"", Economics!B58))))</f>
        <v>12</v>
      </c>
      <c r="U58" s="113">
        <f>IF(SubjectList!H58="Finance",IF(Finance!C58=0,"", Finance!C58),IF(SubjectList!H58="Production",IF(Production!C58=0,"", Production!C58),IF(SubjectList!H58="Economics",IF(Economics!C58=0,"", Economics!C58))))</f>
        <v>35</v>
      </c>
      <c r="V58" s="114">
        <f>IF(SubjectList!H58="Finance",IF(Finance!D58=0,"", Finance!D58),IF(SubjectList!H58="Production",IF(Production!D58=0,"", Production!D58),IF(SubjectList!H58="Economics",IF(Economics!D58=0,"", Economics!D58))))</f>
        <v>47</v>
      </c>
      <c r="W58" s="115" t="str">
        <f>IF(SubjectList!G58="Finance","Finance",IF(SubjectList!G58="Production","Production",IF(SubjectList!G58="Economics","Not Given")))</f>
        <v>Finance</v>
      </c>
      <c r="X58" s="115" t="str">
        <f>IF(SubjectList!H58="Finance","Finance",IF(SubjectList!H58="Production","Production",IF(SubjectList!H58="Economics","Economics","Not Given")))</f>
        <v>Production</v>
      </c>
      <c r="Y58" s="113" t="str">
        <f>Bangla!F58</f>
        <v>B</v>
      </c>
      <c r="Z58" s="113" t="str">
        <f>English!E58</f>
        <v>D</v>
      </c>
      <c r="AA58" s="113" t="str">
        <f>ICT!G58</f>
        <v>C</v>
      </c>
      <c r="AB58" s="113" t="str">
        <f>Accounting!F58</f>
        <v>D</v>
      </c>
      <c r="AC58" s="113" t="str">
        <f>'Business Organization'!F58</f>
        <v>B</v>
      </c>
      <c r="AD58" s="113" t="str">
        <f>Production!F58</f>
        <v>C</v>
      </c>
      <c r="AE58" s="113" t="str">
        <f>Finance!F58</f>
        <v>D</v>
      </c>
      <c r="AF58" s="122">
        <f>Bangla!G58</f>
        <v>3</v>
      </c>
      <c r="AG58" s="122">
        <f>English!F58</f>
        <v>1</v>
      </c>
      <c r="AH58" s="120">
        <f>ICT!H58</f>
        <v>2</v>
      </c>
      <c r="AI58" s="120">
        <f>Accounting!G58</f>
        <v>1</v>
      </c>
      <c r="AJ58" s="120">
        <f>'Business Organization'!G58</f>
        <v>3</v>
      </c>
      <c r="AK58" s="120">
        <f>IF(SubjectList!G58="Finance",Finance!G58,IF(SubjectList!G58="Production",Production!G58,IF(SubjectList!G58="Economics",Economics!G58)))</f>
        <v>1</v>
      </c>
      <c r="AL58" s="120">
        <f>Finance!G58</f>
        <v>1</v>
      </c>
      <c r="AM58" s="120">
        <f>Optional!H58</f>
        <v>2</v>
      </c>
      <c r="AN58" s="120">
        <f>Optional!I58</f>
        <v>0</v>
      </c>
      <c r="AO58" s="120">
        <f t="shared" si="14"/>
        <v>11</v>
      </c>
      <c r="AP58" s="120">
        <f t="shared" si="15"/>
        <v>11</v>
      </c>
      <c r="AQ58" s="116">
        <f t="shared" si="16"/>
        <v>1.8333333333333333</v>
      </c>
      <c r="AR58" s="116">
        <f t="shared" si="17"/>
        <v>1.8333333333333333</v>
      </c>
      <c r="AS58" s="117">
        <f t="shared" si="18"/>
        <v>307</v>
      </c>
      <c r="AT58" s="118">
        <f t="shared" si="19"/>
        <v>1</v>
      </c>
      <c r="AU58" s="118">
        <f t="shared" si="20"/>
        <v>1</v>
      </c>
      <c r="AV58" s="118">
        <f t="shared" si="21"/>
        <v>1</v>
      </c>
      <c r="AW58" s="118">
        <f t="shared" si="22"/>
        <v>1</v>
      </c>
      <c r="AX58" s="118">
        <f t="shared" si="23"/>
        <v>1</v>
      </c>
      <c r="AY58" s="118">
        <f t="shared" si="24"/>
        <v>1</v>
      </c>
      <c r="AZ58" s="111">
        <f t="shared" si="25"/>
        <v>6</v>
      </c>
      <c r="BA58" s="111" t="str">
        <f t="shared" si="26"/>
        <v>Pass</v>
      </c>
      <c r="BB58" s="117">
        <f>IF(AR58="","",RANK(AR58,AR$2:AR145,0))</f>
        <v>11</v>
      </c>
      <c r="BC58" s="111" t="str">
        <f t="shared" si="27"/>
        <v>D</v>
      </c>
    </row>
    <row r="59" spans="1:55" x14ac:dyDescent="0.35">
      <c r="A59" s="113">
        <f>'Student Basic Info'!A59</f>
        <v>558</v>
      </c>
      <c r="B59" s="113" t="str">
        <f>'Student Basic Info'!C59</f>
        <v>Nusrat Zahan Evana</v>
      </c>
      <c r="C59" s="121" t="str">
        <f>IF(Bangla!B59="","",Bangla!B59)</f>
        <v/>
      </c>
      <c r="D59" s="121">
        <f>IF(Bangla!C59="","",Bangla!C59)</f>
        <v>60</v>
      </c>
      <c r="E59" s="112">
        <f>IF(Bangla!D59="","",Bangla!D59)</f>
        <v>60</v>
      </c>
      <c r="F59" s="112">
        <f>IF(English!C59="","",English!C59)</f>
        <v>33</v>
      </c>
      <c r="G59" s="113">
        <f>IF(ICT!B59="","",ICT!B59)</f>
        <v>10</v>
      </c>
      <c r="H59" s="113">
        <f>IF(ICT!C59="","",ICT!C59)</f>
        <v>26</v>
      </c>
      <c r="I59" s="113">
        <f>IF(ICT!D59="","",ICT!D59)</f>
        <v>20</v>
      </c>
      <c r="J59" s="114">
        <f>IF(ICT!E59="","",ICT!E59)</f>
        <v>56</v>
      </c>
      <c r="K59" s="113">
        <f>IF(Accounting!B59="","",Accounting!B59)</f>
        <v>11</v>
      </c>
      <c r="L59" s="113">
        <f>IF(Accounting!C59="","",Accounting!C59)</f>
        <v>40</v>
      </c>
      <c r="M59" s="114">
        <f>IF(Accounting!D59="","",Accounting!D59)</f>
        <v>51</v>
      </c>
      <c r="N59" s="113">
        <f>IF('Business Organization'!B59="","",'Business Organization'!B59)</f>
        <v>22</v>
      </c>
      <c r="O59" s="113">
        <f>IF('Business Organization'!C59="","",'Business Organization'!C59)</f>
        <v>43</v>
      </c>
      <c r="P59" s="114">
        <f>IF('Business Organization'!D59="","",'Business Organization'!D59)</f>
        <v>65</v>
      </c>
      <c r="Q59" s="113">
        <f>IF(SubjectList!G59="Finance",IF(Finance!B59=0,"", Finance!B59),IF(SubjectList!G59="Production",IF(Production!B59=0,"", Production!B59),IF(SubjectList!G59="Economics",IF(Economics!B59=0,"", Economics!B59))))</f>
        <v>15</v>
      </c>
      <c r="R59" s="113">
        <f>IF(SubjectList!G59="Finance",IF(Finance!C59=0,"", Finance!C59),IF(SubjectList!G59="Production",IF(Production!C59=0,"", Production!C59),IF(SubjectList!G59="Economics",IF(Economics!C59=0,"", Economics!C59))))</f>
        <v>25</v>
      </c>
      <c r="S59" s="114">
        <f>IF(SubjectList!G59="Finance",IF(Finance!D59=0,"", Finance!D59),IF(SubjectList!G59="Production",IF(Production!D59=0,"", Production!D59),IF(SubjectList!G59="Economics",IF(Economics!D59=0,"", Economics!D59))))</f>
        <v>40</v>
      </c>
      <c r="T59" s="113">
        <f>IF(SubjectList!H59="Finance",IF(Finance!B59=0,"", Finance!B59),IF(SubjectList!H59="Production",IF(Production!B59=0,"", Production!B59),IF(SubjectList!H59="Economics",IF(Economics!B59=0,"", Economics!B59))))</f>
        <v>15</v>
      </c>
      <c r="U59" s="113">
        <f>IF(SubjectList!H59="Finance",IF(Finance!C59=0,"", Finance!C59),IF(SubjectList!H59="Production",IF(Production!C59=0,"", Production!C59),IF(SubjectList!H59="Economics",IF(Economics!C59=0,"", Economics!C59))))</f>
        <v>44</v>
      </c>
      <c r="V59" s="114">
        <f>IF(SubjectList!H59="Finance",IF(Finance!D59=0,"", Finance!D59),IF(SubjectList!H59="Production",IF(Production!D59=0,"", Production!D59),IF(SubjectList!H59="Economics",IF(Economics!D59=0,"", Economics!D59))))</f>
        <v>59</v>
      </c>
      <c r="W59" s="115" t="str">
        <f>IF(SubjectList!G59="Finance","Finance",IF(SubjectList!G59="Production","Production",IF(SubjectList!G59="Economics","Not Given")))</f>
        <v>Finance</v>
      </c>
      <c r="X59" s="115" t="str">
        <f>IF(SubjectList!H59="Finance","Finance",IF(SubjectList!H59="Production","Production",IF(SubjectList!H59="Economics","Economics","Not Given")))</f>
        <v>Production</v>
      </c>
      <c r="Y59" s="113" t="str">
        <f>Bangla!F59</f>
        <v>A-</v>
      </c>
      <c r="Z59" s="113" t="str">
        <f>English!E59</f>
        <v>D</v>
      </c>
      <c r="AA59" s="113" t="str">
        <f>ICT!G59</f>
        <v>B</v>
      </c>
      <c r="AB59" s="113" t="str">
        <f>Accounting!F59</f>
        <v>B</v>
      </c>
      <c r="AC59" s="113" t="str">
        <f>'Business Organization'!F59</f>
        <v>A-</v>
      </c>
      <c r="AD59" s="113" t="str">
        <f>Production!F59</f>
        <v>B</v>
      </c>
      <c r="AE59" s="113" t="str">
        <f>Finance!F59</f>
        <v>C</v>
      </c>
      <c r="AF59" s="122">
        <f>Bangla!G59</f>
        <v>3.5</v>
      </c>
      <c r="AG59" s="122">
        <f>English!F59</f>
        <v>1</v>
      </c>
      <c r="AH59" s="120">
        <f>ICT!H59</f>
        <v>3</v>
      </c>
      <c r="AI59" s="120">
        <f>Accounting!G59</f>
        <v>3</v>
      </c>
      <c r="AJ59" s="120">
        <f>'Business Organization'!G59</f>
        <v>3.5</v>
      </c>
      <c r="AK59" s="120">
        <f>IF(SubjectList!G59="Finance",Finance!G59,IF(SubjectList!G59="Production",Production!G59,IF(SubjectList!G59="Economics",Economics!G59)))</f>
        <v>2</v>
      </c>
      <c r="AL59" s="120">
        <f>Finance!G59</f>
        <v>2</v>
      </c>
      <c r="AM59" s="120">
        <f>Optional!H59</f>
        <v>3</v>
      </c>
      <c r="AN59" s="120">
        <f>Optional!I59</f>
        <v>1</v>
      </c>
      <c r="AO59" s="120">
        <f t="shared" si="14"/>
        <v>16</v>
      </c>
      <c r="AP59" s="120">
        <f t="shared" si="15"/>
        <v>17</v>
      </c>
      <c r="AQ59" s="116">
        <f t="shared" si="16"/>
        <v>2.6666666666666665</v>
      </c>
      <c r="AR59" s="116">
        <f t="shared" si="17"/>
        <v>2.8333333333333335</v>
      </c>
      <c r="AS59" s="117">
        <f t="shared" si="18"/>
        <v>364</v>
      </c>
      <c r="AT59" s="118">
        <f t="shared" si="19"/>
        <v>1</v>
      </c>
      <c r="AU59" s="118">
        <f t="shared" si="20"/>
        <v>1</v>
      </c>
      <c r="AV59" s="118">
        <f t="shared" si="21"/>
        <v>1</v>
      </c>
      <c r="AW59" s="118">
        <f t="shared" si="22"/>
        <v>1</v>
      </c>
      <c r="AX59" s="118">
        <f t="shared" si="23"/>
        <v>1</v>
      </c>
      <c r="AY59" s="118">
        <f t="shared" si="24"/>
        <v>1</v>
      </c>
      <c r="AZ59" s="111">
        <f t="shared" si="25"/>
        <v>6</v>
      </c>
      <c r="BA59" s="111" t="str">
        <f t="shared" si="26"/>
        <v>Pass</v>
      </c>
      <c r="BB59" s="117">
        <f>IF(AR59="","",RANK(AR59,AR$2:AR145,0))</f>
        <v>5</v>
      </c>
      <c r="BC59" s="111" t="str">
        <f t="shared" si="27"/>
        <v>C</v>
      </c>
    </row>
    <row r="60" spans="1:55" x14ac:dyDescent="0.35">
      <c r="A60" s="113">
        <f>'Student Basic Info'!A60</f>
        <v>559</v>
      </c>
      <c r="B60" s="113" t="str">
        <f>'Student Basic Info'!C60</f>
        <v>Nahat Binte Raju</v>
      </c>
      <c r="C60" s="121" t="str">
        <f>IF(Bangla!B60="","",Bangla!B60)</f>
        <v/>
      </c>
      <c r="D60" s="121">
        <f>IF(Bangla!C60="","",Bangla!C60)</f>
        <v>60</v>
      </c>
      <c r="E60" s="112">
        <f>IF(Bangla!D60="","",Bangla!D60)</f>
        <v>60</v>
      </c>
      <c r="F60" s="112">
        <f>IF(English!C60="","",English!C60)</f>
        <v>41</v>
      </c>
      <c r="G60" s="113">
        <f>IF(ICT!B60="","",ICT!B60)</f>
        <v>18</v>
      </c>
      <c r="H60" s="113">
        <f>IF(ICT!C60="","",ICT!C60)</f>
        <v>19</v>
      </c>
      <c r="I60" s="113">
        <f>IF(ICT!D60="","",ICT!D60)</f>
        <v>20</v>
      </c>
      <c r="J60" s="114">
        <f>IF(ICT!E60="","",ICT!E60)</f>
        <v>57</v>
      </c>
      <c r="K60" s="113">
        <f>IF(Accounting!B60="","",Accounting!B60)</f>
        <v>11</v>
      </c>
      <c r="L60" s="113">
        <f>IF(Accounting!C60="","",Accounting!C60)</f>
        <v>38</v>
      </c>
      <c r="M60" s="114">
        <f>IF(Accounting!D60="","",Accounting!D60)</f>
        <v>49</v>
      </c>
      <c r="N60" s="113">
        <f>IF('Business Organization'!B60="","",'Business Organization'!B60)</f>
        <v>19</v>
      </c>
      <c r="O60" s="113">
        <f>IF('Business Organization'!C60="","",'Business Organization'!C60)</f>
        <v>25</v>
      </c>
      <c r="P60" s="114">
        <f>IF('Business Organization'!D60="","",'Business Organization'!D60)</f>
        <v>44</v>
      </c>
      <c r="Q60" s="113">
        <f>IF(SubjectList!G60="Finance",IF(Finance!B60=0,"", Finance!B60),IF(SubjectList!G60="Production",IF(Production!B60=0,"", Production!B60),IF(SubjectList!G60="Economics",IF(Economics!B60=0,"", Economics!B60))))</f>
        <v>10</v>
      </c>
      <c r="R60" s="113">
        <f>IF(SubjectList!G60="Finance",IF(Finance!C60=0,"", Finance!C60),IF(SubjectList!G60="Production",IF(Production!C60=0,"", Production!C60),IF(SubjectList!G60="Economics",IF(Economics!C60=0,"", Economics!C60))))</f>
        <v>23</v>
      </c>
      <c r="S60" s="114">
        <f>IF(SubjectList!G60="Finance",IF(Finance!D60=0,"", Finance!D60),IF(SubjectList!G60="Production",IF(Production!D60=0,"", Production!D60),IF(SubjectList!G60="Economics",IF(Economics!D60=0,"", Economics!D60))))</f>
        <v>33</v>
      </c>
      <c r="T60" s="113">
        <f>IF(SubjectList!H60="Finance",IF(Finance!B60=0,"", Finance!B60),IF(SubjectList!H60="Production",IF(Production!B60=0,"", Production!B60),IF(SubjectList!H60="Economics",IF(Economics!B60=0,"", Economics!B60))))</f>
        <v>16</v>
      </c>
      <c r="U60" s="113">
        <f>IF(SubjectList!H60="Finance",IF(Finance!C60=0,"", Finance!C60),IF(SubjectList!H60="Production",IF(Production!C60=0,"", Production!C60),IF(SubjectList!H60="Economics",IF(Economics!C60=0,"", Economics!C60))))</f>
        <v>32</v>
      </c>
      <c r="V60" s="114">
        <f>IF(SubjectList!H60="Finance",IF(Finance!D60=0,"", Finance!D60),IF(SubjectList!H60="Production",IF(Production!D60=0,"", Production!D60),IF(SubjectList!H60="Economics",IF(Economics!D60=0,"", Economics!D60))))</f>
        <v>48</v>
      </c>
      <c r="W60" s="115" t="str">
        <f>IF(SubjectList!G60="Finance","Finance",IF(SubjectList!G60="Production","Production",IF(SubjectList!G60="Economics","Not Given")))</f>
        <v>Finance</v>
      </c>
      <c r="X60" s="115" t="str">
        <f>IF(SubjectList!H60="Finance","Finance",IF(SubjectList!H60="Production","Production",IF(SubjectList!H60="Economics","Economics","Not Given")))</f>
        <v>Production</v>
      </c>
      <c r="Y60" s="113" t="str">
        <f>Bangla!F60</f>
        <v>A-</v>
      </c>
      <c r="Z60" s="113" t="str">
        <f>English!E60</f>
        <v>C</v>
      </c>
      <c r="AA60" s="113" t="str">
        <f>ICT!G60</f>
        <v>B</v>
      </c>
      <c r="AB60" s="113" t="str">
        <f>Accounting!F60</f>
        <v>C</v>
      </c>
      <c r="AC60" s="113" t="str">
        <f>'Business Organization'!F60</f>
        <v>C</v>
      </c>
      <c r="AD60" s="113" t="str">
        <f>Production!F60</f>
        <v>C</v>
      </c>
      <c r="AE60" s="113" t="str">
        <f>Finance!F60</f>
        <v>D</v>
      </c>
      <c r="AF60" s="122">
        <f>Bangla!G60</f>
        <v>3.5</v>
      </c>
      <c r="AG60" s="122">
        <f>English!F60</f>
        <v>2</v>
      </c>
      <c r="AH60" s="120">
        <f>ICT!H60</f>
        <v>3</v>
      </c>
      <c r="AI60" s="120">
        <f>Accounting!G60</f>
        <v>2</v>
      </c>
      <c r="AJ60" s="120">
        <f>'Business Organization'!G60</f>
        <v>2</v>
      </c>
      <c r="AK60" s="120">
        <f>IF(SubjectList!G60="Finance",Finance!G60,IF(SubjectList!G60="Production",Production!G60,IF(SubjectList!G60="Economics",Economics!G60)))</f>
        <v>1</v>
      </c>
      <c r="AL60" s="120">
        <f>Finance!G60</f>
        <v>1</v>
      </c>
      <c r="AM60" s="120">
        <f>Optional!H60</f>
        <v>2</v>
      </c>
      <c r="AN60" s="120">
        <f>Optional!I60</f>
        <v>0</v>
      </c>
      <c r="AO60" s="120">
        <f t="shared" si="14"/>
        <v>13.5</v>
      </c>
      <c r="AP60" s="120">
        <f t="shared" si="15"/>
        <v>13.5</v>
      </c>
      <c r="AQ60" s="116">
        <f t="shared" si="16"/>
        <v>2.25</v>
      </c>
      <c r="AR60" s="116">
        <f t="shared" si="17"/>
        <v>2.25</v>
      </c>
      <c r="AS60" s="117">
        <f t="shared" si="18"/>
        <v>332</v>
      </c>
      <c r="AT60" s="118">
        <f t="shared" si="19"/>
        <v>1</v>
      </c>
      <c r="AU60" s="118">
        <f t="shared" si="20"/>
        <v>1</v>
      </c>
      <c r="AV60" s="118">
        <f t="shared" si="21"/>
        <v>1</v>
      </c>
      <c r="AW60" s="118">
        <f t="shared" si="22"/>
        <v>1</v>
      </c>
      <c r="AX60" s="118">
        <f t="shared" si="23"/>
        <v>1</v>
      </c>
      <c r="AY60" s="118">
        <f t="shared" si="24"/>
        <v>1</v>
      </c>
      <c r="AZ60" s="111">
        <f t="shared" si="25"/>
        <v>6</v>
      </c>
      <c r="BA60" s="111" t="str">
        <f t="shared" si="26"/>
        <v>Pass</v>
      </c>
      <c r="BB60" s="117">
        <f>IF(AR60="","",RANK(AR60,AR$2:AR145,0))</f>
        <v>10</v>
      </c>
      <c r="BC60" s="111" t="str">
        <f t="shared" si="27"/>
        <v>C</v>
      </c>
    </row>
    <row r="61" spans="1:55" x14ac:dyDescent="0.35">
      <c r="A61" s="113">
        <f>'Student Basic Info'!A61</f>
        <v>560</v>
      </c>
      <c r="B61" s="113" t="str">
        <f>'Student Basic Info'!C61</f>
        <v>Nadiya Tasmin Nipu</v>
      </c>
      <c r="C61" s="121" t="str">
        <f>IF(Bangla!B61="","",Bangla!B61)</f>
        <v/>
      </c>
      <c r="D61" s="121">
        <f>IF(Bangla!C61="","",Bangla!C61)</f>
        <v>60</v>
      </c>
      <c r="E61" s="112">
        <f>IF(Bangla!D61="","",Bangla!D61)</f>
        <v>60</v>
      </c>
      <c r="F61" s="112">
        <f>IF(English!C61="","",English!C61)</f>
        <v>16</v>
      </c>
      <c r="G61" s="113">
        <f>IF(ICT!B61="","",ICT!B61)</f>
        <v>11</v>
      </c>
      <c r="H61" s="113">
        <f>IF(ICT!C61="","",ICT!C61)</f>
        <v>17</v>
      </c>
      <c r="I61" s="113">
        <f>IF(ICT!D61="","",ICT!D61)</f>
        <v>18</v>
      </c>
      <c r="J61" s="114">
        <f>IF(ICT!E61="","",ICT!E61)</f>
        <v>46</v>
      </c>
      <c r="K61" s="113">
        <f>IF(Accounting!B61="","",Accounting!B61)</f>
        <v>8</v>
      </c>
      <c r="L61" s="113">
        <f>IF(Accounting!C61="","",Accounting!C61)</f>
        <v>30</v>
      </c>
      <c r="M61" s="114">
        <f>IF(Accounting!D61="","",Accounting!D61)</f>
        <v>38</v>
      </c>
      <c r="N61" s="113">
        <f>IF('Business Organization'!B61="","",'Business Organization'!B61)</f>
        <v>19</v>
      </c>
      <c r="O61" s="113">
        <f>IF('Business Organization'!C61="","",'Business Organization'!C61)</f>
        <v>27</v>
      </c>
      <c r="P61" s="114">
        <f>IF('Business Organization'!D61="","",'Business Organization'!D61)</f>
        <v>46</v>
      </c>
      <c r="Q61" s="113">
        <f>IF(SubjectList!G61="Finance",IF(Finance!B61=0,"", Finance!B61),IF(SubjectList!G61="Production",IF(Production!B61=0,"", Production!B61),IF(SubjectList!G61="Economics",IF(Economics!B61=0,"", Economics!B61))))</f>
        <v>10</v>
      </c>
      <c r="R61" s="113">
        <f>IF(SubjectList!G61="Finance",IF(Finance!C61=0,"", Finance!C61),IF(SubjectList!G61="Production",IF(Production!C61=0,"", Production!C61),IF(SubjectList!G61="Economics",IF(Economics!C61=0,"", Economics!C61))))</f>
        <v>23</v>
      </c>
      <c r="S61" s="114">
        <f>IF(SubjectList!G61="Finance",IF(Finance!D61=0,"", Finance!D61),IF(SubjectList!G61="Production",IF(Production!D61=0,"", Production!D61),IF(SubjectList!G61="Economics",IF(Economics!D61=0,"", Economics!D61))))</f>
        <v>33</v>
      </c>
      <c r="T61" s="113">
        <f>IF(SubjectList!H61="Finance",IF(Finance!B61=0,"", Finance!B61),IF(SubjectList!H61="Production",IF(Production!B61=0,"", Production!B61),IF(SubjectList!H61="Economics",IF(Economics!B61=0,"", Economics!B61))))</f>
        <v>13</v>
      </c>
      <c r="U61" s="113">
        <f>IF(SubjectList!H61="Finance",IF(Finance!C61=0,"", Finance!C61),IF(SubjectList!H61="Production",IF(Production!C61=0,"", Production!C61),IF(SubjectList!H61="Economics",IF(Economics!C61=0,"", Economics!C61))))</f>
        <v>32</v>
      </c>
      <c r="V61" s="114">
        <f>IF(SubjectList!H61="Finance",IF(Finance!D61=0,"", Finance!D61),IF(SubjectList!H61="Production",IF(Production!D61=0,"", Production!D61),IF(SubjectList!H61="Economics",IF(Economics!D61=0,"", Economics!D61))))</f>
        <v>45</v>
      </c>
      <c r="W61" s="115" t="str">
        <f>IF(SubjectList!G61="Finance","Finance",IF(SubjectList!G61="Production","Production",IF(SubjectList!G61="Economics","Not Given")))</f>
        <v>Finance</v>
      </c>
      <c r="X61" s="115" t="str">
        <f>IF(SubjectList!H61="Finance","Finance",IF(SubjectList!H61="Production","Production",IF(SubjectList!H61="Economics","Economics","Not Given")))</f>
        <v>Production</v>
      </c>
      <c r="Y61" s="113" t="str">
        <f>Bangla!F61</f>
        <v>A-</v>
      </c>
      <c r="Z61" s="113" t="str">
        <f>English!E61</f>
        <v>F</v>
      </c>
      <c r="AA61" s="113" t="str">
        <f>ICT!G61</f>
        <v>C</v>
      </c>
      <c r="AB61" s="113" t="str">
        <f>Accounting!F61</f>
        <v>F</v>
      </c>
      <c r="AC61" s="113" t="str">
        <f>'Business Organization'!F61</f>
        <v>C</v>
      </c>
      <c r="AD61" s="113" t="str">
        <f>Production!F61</f>
        <v>C</v>
      </c>
      <c r="AE61" s="113" t="str">
        <f>Finance!F61</f>
        <v>D</v>
      </c>
      <c r="AF61" s="122">
        <f>Bangla!G61</f>
        <v>3.5</v>
      </c>
      <c r="AG61" s="122">
        <f>English!F61</f>
        <v>0</v>
      </c>
      <c r="AH61" s="120">
        <f>ICT!H61</f>
        <v>2</v>
      </c>
      <c r="AI61" s="120">
        <f>Accounting!G61</f>
        <v>0</v>
      </c>
      <c r="AJ61" s="120">
        <f>'Business Organization'!G61</f>
        <v>2</v>
      </c>
      <c r="AK61" s="120">
        <f>IF(SubjectList!G61="Finance",Finance!G61,IF(SubjectList!G61="Production",Production!G61,IF(SubjectList!G61="Economics",Economics!G61)))</f>
        <v>1</v>
      </c>
      <c r="AL61" s="120">
        <f>Finance!G61</f>
        <v>1</v>
      </c>
      <c r="AM61" s="120">
        <f>Optional!H61</f>
        <v>2</v>
      </c>
      <c r="AN61" s="120">
        <f>Optional!I61</f>
        <v>0</v>
      </c>
      <c r="AO61" s="120">
        <f t="shared" si="14"/>
        <v>8.5</v>
      </c>
      <c r="AP61" s="120">
        <f t="shared" si="15"/>
        <v>8.5</v>
      </c>
      <c r="AQ61" s="116" t="str">
        <f t="shared" si="16"/>
        <v/>
      </c>
      <c r="AR61" s="116" t="str">
        <f t="shared" si="17"/>
        <v/>
      </c>
      <c r="AS61" s="117">
        <f t="shared" si="18"/>
        <v>284</v>
      </c>
      <c r="AT61" s="118">
        <f t="shared" si="19"/>
        <v>1</v>
      </c>
      <c r="AU61" s="118">
        <f t="shared" si="20"/>
        <v>0</v>
      </c>
      <c r="AV61" s="118">
        <f t="shared" si="21"/>
        <v>1</v>
      </c>
      <c r="AW61" s="118">
        <f t="shared" si="22"/>
        <v>0</v>
      </c>
      <c r="AX61" s="118">
        <f t="shared" si="23"/>
        <v>1</v>
      </c>
      <c r="AY61" s="118">
        <f t="shared" si="24"/>
        <v>1</v>
      </c>
      <c r="AZ61" s="111">
        <f t="shared" si="25"/>
        <v>4</v>
      </c>
      <c r="BA61" s="111" t="str">
        <f t="shared" si="26"/>
        <v>F2</v>
      </c>
      <c r="BB61" s="117" t="str">
        <f>IF(AR61="","",RANK(AR61,AR$2:AR145,0))</f>
        <v/>
      </c>
      <c r="BC61" s="111" t="str">
        <f t="shared" si="27"/>
        <v/>
      </c>
    </row>
    <row r="62" spans="1:55" x14ac:dyDescent="0.35">
      <c r="A62" s="113">
        <f>'Student Basic Info'!A62</f>
        <v>561</v>
      </c>
      <c r="B62" s="113" t="str">
        <f>'Student Basic Info'!C62</f>
        <v>Umme Habiba Niha</v>
      </c>
      <c r="C62" s="121" t="str">
        <f>IF(Bangla!B62="","",Bangla!B62)</f>
        <v/>
      </c>
      <c r="D62" s="121">
        <f>IF(Bangla!C62="","",Bangla!C62)</f>
        <v>18</v>
      </c>
      <c r="E62" s="112">
        <f>IF(Bangla!D62="","",Bangla!D62)</f>
        <v>18</v>
      </c>
      <c r="F62" s="112">
        <f>IF(English!C62="","",English!C62)</f>
        <v>14</v>
      </c>
      <c r="G62" s="113">
        <f>IF(ICT!B62="","",ICT!B62)</f>
        <v>7</v>
      </c>
      <c r="H62" s="113">
        <f>IF(ICT!C62="","",ICT!C62)</f>
        <v>11</v>
      </c>
      <c r="I62" s="113">
        <f>IF(ICT!D62="","",ICT!D62)</f>
        <v>24</v>
      </c>
      <c r="J62" s="114">
        <f>IF(ICT!E62="","",ICT!E62)</f>
        <v>42</v>
      </c>
      <c r="K62" s="113">
        <f>IF(Accounting!B62="","",Accounting!B62)</f>
        <v>6</v>
      </c>
      <c r="L62" s="113">
        <f>IF(Accounting!C62="","",Accounting!C62)</f>
        <v>11</v>
      </c>
      <c r="M62" s="114">
        <f>IF(Accounting!D62="","",Accounting!D62)</f>
        <v>17</v>
      </c>
      <c r="N62" s="113">
        <f>IF('Business Organization'!B62="","",'Business Organization'!B62)</f>
        <v>11</v>
      </c>
      <c r="O62" s="113">
        <f>IF('Business Organization'!C62="","",'Business Organization'!C62)</f>
        <v>14</v>
      </c>
      <c r="P62" s="114">
        <f>IF('Business Organization'!D62="","",'Business Organization'!D62)</f>
        <v>25</v>
      </c>
      <c r="Q62" s="113" t="str">
        <f>IF(SubjectList!G62="Finance",IF(Finance!B62=0,"", Finance!B62),IF(SubjectList!G62="Production",IF(Production!B62=0,"", Production!B62),IF(SubjectList!G62="Economics",IF(Economics!B62=0,"", Economics!B62))))</f>
        <v/>
      </c>
      <c r="R62" s="113" t="str">
        <f>IF(SubjectList!G62="Finance",IF(Finance!C62=0,"", Finance!C62),IF(SubjectList!G62="Production",IF(Production!C62=0,"", Production!C62),IF(SubjectList!G62="Economics",IF(Economics!C62=0,"", Economics!C62))))</f>
        <v/>
      </c>
      <c r="S62" s="114" t="str">
        <f>IF(SubjectList!G62="Finance",IF(Finance!D62=0,"", Finance!D62),IF(SubjectList!G62="Production",IF(Production!D62=0,"", Production!D62),IF(SubjectList!G62="Economics",IF(Economics!D62=0,"", Economics!D62))))</f>
        <v/>
      </c>
      <c r="T62" s="113">
        <f>IF(SubjectList!H62="Finance",IF(Finance!B62=0,"", Finance!B62),IF(SubjectList!H62="Production",IF(Production!B62=0,"", Production!B62),IF(SubjectList!H62="Economics",IF(Economics!B62=0,"", Economics!B62))))</f>
        <v>8</v>
      </c>
      <c r="U62" s="113">
        <f>IF(SubjectList!H62="Finance",IF(Finance!C62=0,"", Finance!C62),IF(SubjectList!H62="Production",IF(Production!C62=0,"", Production!C62),IF(SubjectList!H62="Economics",IF(Economics!C62=0,"", Economics!C62))))</f>
        <v>7</v>
      </c>
      <c r="V62" s="114">
        <f>IF(SubjectList!H62="Finance",IF(Finance!D62=0,"", Finance!D62),IF(SubjectList!H62="Production",IF(Production!D62=0,"", Production!D62),IF(SubjectList!H62="Economics",IF(Economics!D62=0,"", Economics!D62))))</f>
        <v>15</v>
      </c>
      <c r="W62" s="115" t="str">
        <f>IF(SubjectList!G62="Finance","Finance",IF(SubjectList!G62="Production","Production",IF(SubjectList!G62="Economics","Not Given")))</f>
        <v>Finance</v>
      </c>
      <c r="X62" s="115" t="str">
        <f>IF(SubjectList!H62="Finance","Finance",IF(SubjectList!H62="Production","Production",IF(SubjectList!H62="Economics","Economics","Not Given")))</f>
        <v>Production</v>
      </c>
      <c r="Y62" s="113" t="str">
        <f>Bangla!F62</f>
        <v>F</v>
      </c>
      <c r="Z62" s="113" t="str">
        <f>English!E62</f>
        <v>F</v>
      </c>
      <c r="AA62" s="113" t="str">
        <f>ICT!G62</f>
        <v>F</v>
      </c>
      <c r="AB62" s="113" t="str">
        <f>Accounting!F62</f>
        <v>F</v>
      </c>
      <c r="AC62" s="113" t="str">
        <f>'Business Organization'!F62</f>
        <v>F</v>
      </c>
      <c r="AD62" s="113" t="str">
        <f>Production!F62</f>
        <v>F</v>
      </c>
      <c r="AE62" s="113" t="str">
        <f>Finance!F62</f>
        <v/>
      </c>
      <c r="AF62" s="122">
        <f>Bangla!G62</f>
        <v>0</v>
      </c>
      <c r="AG62" s="122">
        <f>English!F62</f>
        <v>0</v>
      </c>
      <c r="AH62" s="120">
        <f>ICT!H62</f>
        <v>0</v>
      </c>
      <c r="AI62" s="120">
        <f>Accounting!G62</f>
        <v>0</v>
      </c>
      <c r="AJ62" s="120">
        <f>'Business Organization'!G62</f>
        <v>0</v>
      </c>
      <c r="AK62" s="120" t="str">
        <f>IF(SubjectList!G62="Finance",Finance!G62,IF(SubjectList!G62="Production",Production!G62,IF(SubjectList!G62="Economics",Economics!G62)))</f>
        <v/>
      </c>
      <c r="AL62" s="120" t="str">
        <f>Finance!G62</f>
        <v/>
      </c>
      <c r="AM62" s="120">
        <f>Optional!H62</f>
        <v>0</v>
      </c>
      <c r="AN62" s="120">
        <f>Optional!I62</f>
        <v>0</v>
      </c>
      <c r="AO62" s="120" t="str">
        <f t="shared" si="14"/>
        <v/>
      </c>
      <c r="AP62" s="120">
        <f t="shared" si="15"/>
        <v>0</v>
      </c>
      <c r="AQ62" s="116" t="str">
        <f t="shared" si="16"/>
        <v/>
      </c>
      <c r="AR62" s="116" t="str">
        <f t="shared" si="17"/>
        <v/>
      </c>
      <c r="AS62" s="117">
        <f t="shared" si="18"/>
        <v>131</v>
      </c>
      <c r="AT62" s="118">
        <f t="shared" si="19"/>
        <v>0</v>
      </c>
      <c r="AU62" s="118">
        <f t="shared" si="20"/>
        <v>0</v>
      </c>
      <c r="AV62" s="118">
        <f t="shared" si="21"/>
        <v>0</v>
      </c>
      <c r="AW62" s="118">
        <f t="shared" si="22"/>
        <v>0</v>
      </c>
      <c r="AX62" s="118">
        <f t="shared" si="23"/>
        <v>0</v>
      </c>
      <c r="AY62" s="118">
        <f t="shared" si="24"/>
        <v>0</v>
      </c>
      <c r="AZ62" s="111">
        <f t="shared" si="25"/>
        <v>0</v>
      </c>
      <c r="BA62" s="111" t="str">
        <f t="shared" si="26"/>
        <v>F6</v>
      </c>
      <c r="BB62" s="117" t="str">
        <f>IF(AR62="","",RANK(AR62,AR$2:AR145,0))</f>
        <v/>
      </c>
      <c r="BC62" s="111" t="str">
        <f t="shared" si="27"/>
        <v/>
      </c>
    </row>
    <row r="63" spans="1:55" x14ac:dyDescent="0.35">
      <c r="A63" s="113">
        <f>'Student Basic Info'!A63</f>
        <v>562</v>
      </c>
      <c r="B63" s="113" t="str">
        <f>'Student Basic Info'!C63</f>
        <v>Md. Ridwan Hosain</v>
      </c>
      <c r="C63" s="121" t="str">
        <f>IF(Bangla!B63="","",Bangla!B63)</f>
        <v/>
      </c>
      <c r="D63" s="121" t="str">
        <f>IF(Bangla!C63="","",Bangla!C63)</f>
        <v/>
      </c>
      <c r="E63" s="112" t="str">
        <f>IF(Bangla!D63="","",Bangla!D63)</f>
        <v/>
      </c>
      <c r="F63" s="112" t="str">
        <f>IF(English!C63="","",English!C63)</f>
        <v/>
      </c>
      <c r="G63" s="113" t="str">
        <f>IF(ICT!B63="","",ICT!B63)</f>
        <v/>
      </c>
      <c r="H63" s="113" t="str">
        <f>IF(ICT!C63="","",ICT!C63)</f>
        <v/>
      </c>
      <c r="I63" s="113" t="str">
        <f>IF(ICT!D63="","",ICT!D63)</f>
        <v/>
      </c>
      <c r="J63" s="114" t="str">
        <f>IF(ICT!E63="","",ICT!E63)</f>
        <v/>
      </c>
      <c r="K63" s="113" t="str">
        <f>IF(Accounting!B63="","",Accounting!B63)</f>
        <v/>
      </c>
      <c r="L63" s="113" t="str">
        <f>IF(Accounting!C63="","",Accounting!C63)</f>
        <v/>
      </c>
      <c r="M63" s="114" t="str">
        <f>IF(Accounting!D63="","",Accounting!D63)</f>
        <v/>
      </c>
      <c r="N63" s="113" t="str">
        <f>IF('Business Organization'!B63="","",'Business Organization'!B63)</f>
        <v/>
      </c>
      <c r="O63" s="113" t="str">
        <f>IF('Business Organization'!C63="","",'Business Organization'!C63)</f>
        <v/>
      </c>
      <c r="P63" s="114" t="str">
        <f>IF('Business Organization'!D63="","",'Business Organization'!D63)</f>
        <v/>
      </c>
      <c r="Q63" s="113" t="str">
        <f>IF(SubjectList!G63="Finance",IF(Finance!B63=0,"", Finance!B63),IF(SubjectList!G63="Production",IF(Production!B63=0,"", Production!B63),IF(SubjectList!G63="Economics",IF(Economics!B63=0,"", Economics!B63))))</f>
        <v/>
      </c>
      <c r="R63" s="113" t="str">
        <f>IF(SubjectList!G63="Finance",IF(Finance!C63=0,"", Finance!C63),IF(SubjectList!G63="Production",IF(Production!C63=0,"", Production!C63),IF(SubjectList!G63="Economics",IF(Economics!C63=0,"", Economics!C63))))</f>
        <v/>
      </c>
      <c r="S63" s="114" t="str">
        <f>IF(SubjectList!G63="Finance",IF(Finance!D63=0,"", Finance!D63),IF(SubjectList!G63="Production",IF(Production!D63=0,"", Production!D63),IF(SubjectList!G63="Economics",IF(Economics!D63=0,"", Economics!D63))))</f>
        <v/>
      </c>
      <c r="T63" s="113" t="str">
        <f>IF(SubjectList!H63="Finance",IF(Finance!B63=0,"", Finance!B63),IF(SubjectList!H63="Production",IF(Production!B63=0,"", Production!B63),IF(SubjectList!H63="Economics",IF(Economics!B63=0,"", Economics!B63))))</f>
        <v/>
      </c>
      <c r="U63" s="113" t="str">
        <f>IF(SubjectList!H63="Finance",IF(Finance!C63=0,"", Finance!C63),IF(SubjectList!H63="Production",IF(Production!C63=0,"", Production!C63),IF(SubjectList!H63="Economics",IF(Economics!C63=0,"", Economics!C63))))</f>
        <v/>
      </c>
      <c r="V63" s="114" t="str">
        <f>IF(SubjectList!H63="Finance",IF(Finance!D63=0,"", Finance!D63),IF(SubjectList!H63="Production",IF(Production!D63=0,"", Production!D63),IF(SubjectList!H63="Economics",IF(Economics!D63=0,"", Economics!D63))))</f>
        <v/>
      </c>
      <c r="W63" s="115" t="str">
        <f>IF(SubjectList!G63="Finance","Finance",IF(SubjectList!G63="Production","Production",IF(SubjectList!G63="Economics","Not Given")))</f>
        <v>Finance</v>
      </c>
      <c r="X63" s="115" t="str">
        <f>IF(SubjectList!H63="Finance","Finance",IF(SubjectList!H63="Production","Production",IF(SubjectList!H63="Economics","Economics","Not Given")))</f>
        <v>Production</v>
      </c>
      <c r="Y63" s="113" t="str">
        <f>Bangla!F63</f>
        <v/>
      </c>
      <c r="Z63" s="113" t="str">
        <f>English!E63</f>
        <v/>
      </c>
      <c r="AA63" s="113" t="str">
        <f>ICT!G63</f>
        <v/>
      </c>
      <c r="AB63" s="113" t="str">
        <f>Accounting!F63</f>
        <v/>
      </c>
      <c r="AC63" s="113" t="str">
        <f>'Business Organization'!F63</f>
        <v/>
      </c>
      <c r="AD63" s="113" t="str">
        <f>Production!F63</f>
        <v/>
      </c>
      <c r="AE63" s="113" t="str">
        <f>Finance!F63</f>
        <v/>
      </c>
      <c r="AF63" s="122" t="str">
        <f>Bangla!G63</f>
        <v/>
      </c>
      <c r="AG63" s="122" t="str">
        <f>English!F63</f>
        <v/>
      </c>
      <c r="AH63" s="120" t="str">
        <f>ICT!H63</f>
        <v/>
      </c>
      <c r="AI63" s="120" t="str">
        <f>Accounting!G63</f>
        <v/>
      </c>
      <c r="AJ63" s="120" t="str">
        <f>'Business Organization'!G63</f>
        <v/>
      </c>
      <c r="AK63" s="120" t="str">
        <f>IF(SubjectList!G63="Finance",Finance!G63,IF(SubjectList!G63="Production",Production!G63,IF(SubjectList!G63="Economics",Economics!G63)))</f>
        <v/>
      </c>
      <c r="AL63" s="120" t="str">
        <f>Finance!G63</f>
        <v/>
      </c>
      <c r="AM63" s="120" t="str">
        <f>Optional!H63</f>
        <v/>
      </c>
      <c r="AN63" s="120" t="str">
        <f>Optional!I63</f>
        <v/>
      </c>
      <c r="AO63" s="120" t="str">
        <f t="shared" si="14"/>
        <v/>
      </c>
      <c r="AP63" s="120">
        <f t="shared" si="15"/>
        <v>0</v>
      </c>
      <c r="AQ63" s="116" t="str">
        <f t="shared" si="16"/>
        <v/>
      </c>
      <c r="AR63" s="116" t="str">
        <f t="shared" si="17"/>
        <v/>
      </c>
      <c r="AS63" s="117">
        <f t="shared" si="18"/>
        <v>0</v>
      </c>
      <c r="AT63" s="118">
        <f t="shared" si="19"/>
        <v>0</v>
      </c>
      <c r="AU63" s="118">
        <f t="shared" si="20"/>
        <v>0</v>
      </c>
      <c r="AV63" s="118">
        <f t="shared" si="21"/>
        <v>0</v>
      </c>
      <c r="AW63" s="118">
        <f t="shared" si="22"/>
        <v>0</v>
      </c>
      <c r="AX63" s="118">
        <f t="shared" si="23"/>
        <v>0</v>
      </c>
      <c r="AY63" s="118">
        <f t="shared" si="24"/>
        <v>0</v>
      </c>
      <c r="AZ63" s="111">
        <f t="shared" si="25"/>
        <v>0</v>
      </c>
      <c r="BA63" s="111" t="str">
        <f t="shared" si="26"/>
        <v>F6</v>
      </c>
      <c r="BB63" s="117" t="str">
        <f>IF(AR63="","",RANK(AR63,AR$2:AR145,0))</f>
        <v/>
      </c>
      <c r="BC63" s="111" t="str">
        <f t="shared" si="27"/>
        <v/>
      </c>
    </row>
    <row r="64" spans="1:55" x14ac:dyDescent="0.35">
      <c r="A64" s="113">
        <f>'Student Basic Info'!A64</f>
        <v>563</v>
      </c>
      <c r="B64" s="113" t="str">
        <f>'Student Basic Info'!C64</f>
        <v>Mehedi Hasan Rahim</v>
      </c>
      <c r="C64" s="121" t="str">
        <f>IF(Bangla!B64="","",Bangla!B64)</f>
        <v/>
      </c>
      <c r="D64" s="121" t="str">
        <f>IF(Bangla!C64="","",Bangla!C64)</f>
        <v/>
      </c>
      <c r="E64" s="112" t="str">
        <f>IF(Bangla!D64="","",Bangla!D64)</f>
        <v/>
      </c>
      <c r="F64" s="112" t="str">
        <f>IF(English!C64="","",English!C64)</f>
        <v/>
      </c>
      <c r="G64" s="113" t="str">
        <f>IF(ICT!B64="","",ICT!B64)</f>
        <v/>
      </c>
      <c r="H64" s="113" t="str">
        <f>IF(ICT!C64="","",ICT!C64)</f>
        <v/>
      </c>
      <c r="I64" s="113" t="str">
        <f>IF(ICT!D64="","",ICT!D64)</f>
        <v/>
      </c>
      <c r="J64" s="114" t="str">
        <f>IF(ICT!E64="","",ICT!E64)</f>
        <v/>
      </c>
      <c r="K64" s="113" t="str">
        <f>IF(Accounting!B64="","",Accounting!B64)</f>
        <v/>
      </c>
      <c r="L64" s="113" t="str">
        <f>IF(Accounting!C64="","",Accounting!C64)</f>
        <v/>
      </c>
      <c r="M64" s="114" t="str">
        <f>IF(Accounting!D64="","",Accounting!D64)</f>
        <v/>
      </c>
      <c r="N64" s="113" t="str">
        <f>IF('Business Organization'!B64="","",'Business Organization'!B64)</f>
        <v/>
      </c>
      <c r="O64" s="113" t="str">
        <f>IF('Business Organization'!C64="","",'Business Organization'!C64)</f>
        <v/>
      </c>
      <c r="P64" s="114" t="str">
        <f>IF('Business Organization'!D64="","",'Business Organization'!D64)</f>
        <v/>
      </c>
      <c r="Q64" s="113" t="str">
        <f>IF(SubjectList!G64="Finance",IF(Finance!B64=0,"", Finance!B64),IF(SubjectList!G64="Production",IF(Production!B64=0,"", Production!B64),IF(SubjectList!G64="Economics",IF(Economics!B64=0,"", Economics!B64))))</f>
        <v/>
      </c>
      <c r="R64" s="113" t="str">
        <f>IF(SubjectList!G64="Finance",IF(Finance!C64=0,"", Finance!C64),IF(SubjectList!G64="Production",IF(Production!C64=0,"", Production!C64),IF(SubjectList!G64="Economics",IF(Economics!C64=0,"", Economics!C64))))</f>
        <v/>
      </c>
      <c r="S64" s="114" t="str">
        <f>IF(SubjectList!G64="Finance",IF(Finance!D64=0,"", Finance!D64),IF(SubjectList!G64="Production",IF(Production!D64=0,"", Production!D64),IF(SubjectList!G64="Economics",IF(Economics!D64=0,"", Economics!D64))))</f>
        <v/>
      </c>
      <c r="T64" s="113" t="str">
        <f>IF(SubjectList!H64="Finance",IF(Finance!B64=0,"", Finance!B64),IF(SubjectList!H64="Production",IF(Production!B64=0,"", Production!B64),IF(SubjectList!H64="Economics",IF(Economics!B64=0,"", Economics!B64))))</f>
        <v/>
      </c>
      <c r="U64" s="113" t="str">
        <f>IF(SubjectList!H64="Finance",IF(Finance!C64=0,"", Finance!C64),IF(SubjectList!H64="Production",IF(Production!C64=0,"", Production!C64),IF(SubjectList!H64="Economics",IF(Economics!C64=0,"", Economics!C64))))</f>
        <v/>
      </c>
      <c r="V64" s="114" t="str">
        <f>IF(SubjectList!H64="Finance",IF(Finance!D64=0,"", Finance!D64),IF(SubjectList!H64="Production",IF(Production!D64=0,"", Production!D64),IF(SubjectList!H64="Economics",IF(Economics!D64=0,"", Economics!D64))))</f>
        <v/>
      </c>
      <c r="W64" s="115" t="str">
        <f>IF(SubjectList!G64="Finance","Finance",IF(SubjectList!G64="Production","Production",IF(SubjectList!G64="Economics","Not Given")))</f>
        <v>Finance</v>
      </c>
      <c r="X64" s="115" t="str">
        <f>IF(SubjectList!H64="Finance","Finance",IF(SubjectList!H64="Production","Production",IF(SubjectList!H64="Economics","Economics","Not Given")))</f>
        <v>Economics</v>
      </c>
      <c r="Y64" s="113" t="str">
        <f>Bangla!F64</f>
        <v/>
      </c>
      <c r="Z64" s="113" t="str">
        <f>English!E64</f>
        <v/>
      </c>
      <c r="AA64" s="113" t="str">
        <f>ICT!G64</f>
        <v/>
      </c>
      <c r="AB64" s="113" t="str">
        <f>Accounting!F64</f>
        <v/>
      </c>
      <c r="AC64" s="113" t="str">
        <f>'Business Organization'!F64</f>
        <v/>
      </c>
      <c r="AD64" s="113" t="str">
        <f>Production!F64</f>
        <v/>
      </c>
      <c r="AE64" s="113" t="str">
        <f>Finance!F64</f>
        <v/>
      </c>
      <c r="AF64" s="122" t="str">
        <f>Bangla!G64</f>
        <v/>
      </c>
      <c r="AG64" s="122" t="str">
        <f>English!F64</f>
        <v/>
      </c>
      <c r="AH64" s="120" t="str">
        <f>ICT!H64</f>
        <v/>
      </c>
      <c r="AI64" s="120" t="str">
        <f>Accounting!G64</f>
        <v/>
      </c>
      <c r="AJ64" s="120" t="str">
        <f>'Business Organization'!G64</f>
        <v/>
      </c>
      <c r="AK64" s="120" t="str">
        <f>IF(SubjectList!G64="Finance",Finance!G64,IF(SubjectList!G64="Production",Production!G64,IF(SubjectList!G64="Economics",Economics!G64)))</f>
        <v/>
      </c>
      <c r="AL64" s="120" t="str">
        <f>Finance!G64</f>
        <v/>
      </c>
      <c r="AM64" s="120" t="str">
        <f>Optional!H64</f>
        <v/>
      </c>
      <c r="AN64" s="120" t="str">
        <f>Optional!I64</f>
        <v/>
      </c>
      <c r="AO64" s="120" t="str">
        <f t="shared" si="14"/>
        <v/>
      </c>
      <c r="AP64" s="120">
        <f t="shared" si="15"/>
        <v>0</v>
      </c>
      <c r="AQ64" s="116" t="str">
        <f t="shared" si="16"/>
        <v/>
      </c>
      <c r="AR64" s="116" t="str">
        <f t="shared" si="17"/>
        <v/>
      </c>
      <c r="AS64" s="117">
        <f t="shared" si="18"/>
        <v>0</v>
      </c>
      <c r="AT64" s="118">
        <f t="shared" si="19"/>
        <v>0</v>
      </c>
      <c r="AU64" s="118">
        <f t="shared" si="20"/>
        <v>0</v>
      </c>
      <c r="AV64" s="118">
        <f t="shared" si="21"/>
        <v>0</v>
      </c>
      <c r="AW64" s="118">
        <f t="shared" si="22"/>
        <v>0</v>
      </c>
      <c r="AX64" s="118">
        <f t="shared" si="23"/>
        <v>0</v>
      </c>
      <c r="AY64" s="118">
        <f t="shared" si="24"/>
        <v>0</v>
      </c>
      <c r="AZ64" s="111">
        <f t="shared" si="25"/>
        <v>0</v>
      </c>
      <c r="BA64" s="111" t="str">
        <f t="shared" si="26"/>
        <v>F6</v>
      </c>
      <c r="BB64" s="117" t="str">
        <f>IF(AR64="","",RANK(AR64,AR$2:AR145,0))</f>
        <v/>
      </c>
      <c r="BC64" s="111" t="str">
        <f t="shared" si="27"/>
        <v/>
      </c>
    </row>
    <row r="65" spans="1:55" x14ac:dyDescent="0.35">
      <c r="A65" s="113">
        <f>'Student Basic Info'!A65</f>
        <v>564</v>
      </c>
      <c r="B65" s="113" t="str">
        <f>'Student Basic Info'!C65</f>
        <v>Mominul Haque</v>
      </c>
      <c r="C65" s="121" t="str">
        <f>IF(Bangla!B65="","",Bangla!B65)</f>
        <v/>
      </c>
      <c r="D65" s="121" t="str">
        <f>IF(Bangla!C65="","",Bangla!C65)</f>
        <v/>
      </c>
      <c r="E65" s="112" t="str">
        <f>IF(Bangla!D65="","",Bangla!D65)</f>
        <v/>
      </c>
      <c r="F65" s="112" t="str">
        <f>IF(English!C65="","",English!C65)</f>
        <v/>
      </c>
      <c r="G65" s="113" t="str">
        <f>IF(ICT!B65="","",ICT!B65)</f>
        <v/>
      </c>
      <c r="H65" s="113" t="str">
        <f>IF(ICT!C65="","",ICT!C65)</f>
        <v/>
      </c>
      <c r="I65" s="113" t="str">
        <f>IF(ICT!D65="","",ICT!D65)</f>
        <v/>
      </c>
      <c r="J65" s="114" t="str">
        <f>IF(ICT!E65="","",ICT!E65)</f>
        <v/>
      </c>
      <c r="K65" s="113" t="str">
        <f>IF(Accounting!B65="","",Accounting!B65)</f>
        <v/>
      </c>
      <c r="L65" s="113" t="str">
        <f>IF(Accounting!C65="","",Accounting!C65)</f>
        <v/>
      </c>
      <c r="M65" s="114" t="str">
        <f>IF(Accounting!D65="","",Accounting!D65)</f>
        <v/>
      </c>
      <c r="N65" s="113" t="str">
        <f>IF('Business Organization'!B65="","",'Business Organization'!B65)</f>
        <v/>
      </c>
      <c r="O65" s="113" t="str">
        <f>IF('Business Organization'!C65="","",'Business Organization'!C65)</f>
        <v/>
      </c>
      <c r="P65" s="114" t="str">
        <f>IF('Business Organization'!D65="","",'Business Organization'!D65)</f>
        <v/>
      </c>
      <c r="Q65" s="113" t="str">
        <f>IF(SubjectList!G65="Finance",IF(Finance!B65=0,"", Finance!B65),IF(SubjectList!G65="Production",IF(Production!B65=0,"", Production!B65),IF(SubjectList!G65="Economics",IF(Economics!B65=0,"", Economics!B65))))</f>
        <v/>
      </c>
      <c r="R65" s="113" t="str">
        <f>IF(SubjectList!G65="Finance",IF(Finance!C65=0,"", Finance!C65),IF(SubjectList!G65="Production",IF(Production!C65=0,"", Production!C65),IF(SubjectList!G65="Economics",IF(Economics!C65=0,"", Economics!C65))))</f>
        <v/>
      </c>
      <c r="S65" s="114" t="str">
        <f>IF(SubjectList!G65="Finance",IF(Finance!D65=0,"", Finance!D65),IF(SubjectList!G65="Production",IF(Production!D65=0,"", Production!D65),IF(SubjectList!G65="Economics",IF(Economics!D65=0,"", Economics!D65))))</f>
        <v/>
      </c>
      <c r="T65" s="113" t="str">
        <f>IF(SubjectList!H65="Finance",IF(Finance!B65=0,"", Finance!B65),IF(SubjectList!H65="Production",IF(Production!B65=0,"", Production!B65),IF(SubjectList!H65="Economics",IF(Economics!B65=0,"", Economics!B65))))</f>
        <v/>
      </c>
      <c r="U65" s="113" t="str">
        <f>IF(SubjectList!H65="Finance",IF(Finance!C65=0,"", Finance!C65),IF(SubjectList!H65="Production",IF(Production!C65=0,"", Production!C65),IF(SubjectList!H65="Economics",IF(Economics!C65=0,"", Economics!C65))))</f>
        <v/>
      </c>
      <c r="V65" s="114" t="str">
        <f>IF(SubjectList!H65="Finance",IF(Finance!D65=0,"", Finance!D65),IF(SubjectList!H65="Production",IF(Production!D65=0,"", Production!D65),IF(SubjectList!H65="Economics",IF(Economics!D65=0,"", Economics!D65))))</f>
        <v/>
      </c>
      <c r="W65" s="115" t="str">
        <f>IF(SubjectList!G65="Finance","Finance",IF(SubjectList!G65="Production","Production",IF(SubjectList!G65="Economics","Not Given")))</f>
        <v>Finance</v>
      </c>
      <c r="X65" s="115" t="str">
        <f>IF(SubjectList!H65="Finance","Finance",IF(SubjectList!H65="Production","Production",IF(SubjectList!H65="Economics","Economics","Not Given")))</f>
        <v>Production</v>
      </c>
      <c r="Y65" s="113" t="str">
        <f>Bangla!F65</f>
        <v/>
      </c>
      <c r="Z65" s="113" t="str">
        <f>English!E65</f>
        <v/>
      </c>
      <c r="AA65" s="113" t="str">
        <f>ICT!G65</f>
        <v/>
      </c>
      <c r="AB65" s="113" t="str">
        <f>Accounting!F65</f>
        <v/>
      </c>
      <c r="AC65" s="113" t="str">
        <f>'Business Organization'!F65</f>
        <v/>
      </c>
      <c r="AD65" s="113" t="str">
        <f>Production!F65</f>
        <v/>
      </c>
      <c r="AE65" s="113" t="str">
        <f>Finance!F65</f>
        <v/>
      </c>
      <c r="AF65" s="122" t="str">
        <f>Bangla!G65</f>
        <v/>
      </c>
      <c r="AG65" s="122" t="str">
        <f>English!F65</f>
        <v/>
      </c>
      <c r="AH65" s="120" t="str">
        <f>ICT!H65</f>
        <v/>
      </c>
      <c r="AI65" s="120" t="str">
        <f>Accounting!G65</f>
        <v/>
      </c>
      <c r="AJ65" s="120" t="str">
        <f>'Business Organization'!G65</f>
        <v/>
      </c>
      <c r="AK65" s="120" t="str">
        <f>IF(SubjectList!G65="Finance",Finance!G65,IF(SubjectList!G65="Production",Production!G65,IF(SubjectList!G65="Economics",Economics!G65)))</f>
        <v/>
      </c>
      <c r="AL65" s="120" t="str">
        <f>Finance!G65</f>
        <v/>
      </c>
      <c r="AM65" s="120" t="str">
        <f>Optional!H65</f>
        <v/>
      </c>
      <c r="AN65" s="120" t="str">
        <f>Optional!I65</f>
        <v/>
      </c>
      <c r="AO65" s="120" t="str">
        <f t="shared" si="14"/>
        <v/>
      </c>
      <c r="AP65" s="120">
        <f t="shared" si="15"/>
        <v>0</v>
      </c>
      <c r="AQ65" s="116" t="str">
        <f t="shared" si="16"/>
        <v/>
      </c>
      <c r="AR65" s="116" t="str">
        <f t="shared" si="17"/>
        <v/>
      </c>
      <c r="AS65" s="117">
        <f t="shared" si="18"/>
        <v>0</v>
      </c>
      <c r="AT65" s="118">
        <f t="shared" si="19"/>
        <v>0</v>
      </c>
      <c r="AU65" s="118">
        <f t="shared" si="20"/>
        <v>0</v>
      </c>
      <c r="AV65" s="118">
        <f t="shared" si="21"/>
        <v>0</v>
      </c>
      <c r="AW65" s="118">
        <f t="shared" si="22"/>
        <v>0</v>
      </c>
      <c r="AX65" s="118">
        <f t="shared" si="23"/>
        <v>0</v>
      </c>
      <c r="AY65" s="118">
        <f t="shared" si="24"/>
        <v>0</v>
      </c>
      <c r="AZ65" s="111">
        <f t="shared" si="25"/>
        <v>0</v>
      </c>
      <c r="BA65" s="111" t="str">
        <f t="shared" si="26"/>
        <v>F6</v>
      </c>
      <c r="BB65" s="117" t="str">
        <f>IF(AR65="","",RANK(AR65,AR$2:AR145,0))</f>
        <v/>
      </c>
      <c r="BC65" s="111" t="str">
        <f t="shared" si="27"/>
        <v/>
      </c>
    </row>
    <row r="66" spans="1:55" x14ac:dyDescent="0.35">
      <c r="A66" s="113">
        <f>'Student Basic Info'!A66</f>
        <v>565</v>
      </c>
      <c r="B66" s="113" t="str">
        <f>'Student Basic Info'!C66</f>
        <v>Farhana Islam</v>
      </c>
      <c r="C66" s="121" t="str">
        <f>IF(Bangla!B66="","",Bangla!B66)</f>
        <v/>
      </c>
      <c r="D66" s="121">
        <f>IF(Bangla!C66="","",Bangla!C66)</f>
        <v>40</v>
      </c>
      <c r="E66" s="112">
        <f>IF(Bangla!D66="","",Bangla!D66)</f>
        <v>40</v>
      </c>
      <c r="F66" s="112">
        <f>IF(English!C66="","",English!C66)</f>
        <v>19</v>
      </c>
      <c r="G66" s="113">
        <f>IF(ICT!B66="","",ICT!B66)</f>
        <v>11</v>
      </c>
      <c r="H66" s="113">
        <f>IF(ICT!C66="","",ICT!C66)</f>
        <v>17</v>
      </c>
      <c r="I66" s="113">
        <f>IF(ICT!D66="","",ICT!D66)</f>
        <v>20</v>
      </c>
      <c r="J66" s="114">
        <f>IF(ICT!E66="","",ICT!E66)</f>
        <v>48</v>
      </c>
      <c r="K66" s="113">
        <f>IF(Accounting!B66="","",Accounting!B66)</f>
        <v>11</v>
      </c>
      <c r="L66" s="113">
        <f>IF(Accounting!C66="","",Accounting!C66)</f>
        <v>40</v>
      </c>
      <c r="M66" s="114">
        <f>IF(Accounting!D66="","",Accounting!D66)</f>
        <v>51</v>
      </c>
      <c r="N66" s="113">
        <f>IF('Business Organization'!B66="","",'Business Organization'!B66)</f>
        <v>21</v>
      </c>
      <c r="O66" s="113">
        <f>IF('Business Organization'!C66="","",'Business Organization'!C66)</f>
        <v>19</v>
      </c>
      <c r="P66" s="114">
        <f>IF('Business Organization'!D66="","",'Business Organization'!D66)</f>
        <v>40</v>
      </c>
      <c r="Q66" s="113">
        <f>IF(SubjectList!G66="Finance",IF(Finance!B66=0,"", Finance!B66),IF(SubjectList!G66="Production",IF(Production!B66=0,"", Production!B66),IF(SubjectList!G66="Economics",IF(Economics!B66=0,"", Economics!B66))))</f>
        <v>13</v>
      </c>
      <c r="R66" s="113">
        <f>IF(SubjectList!G66="Finance",IF(Finance!C66=0,"", Finance!C66),IF(SubjectList!G66="Production",IF(Production!C66=0,"", Production!C66),IF(SubjectList!G66="Economics",IF(Economics!C66=0,"", Economics!C66))))</f>
        <v>30</v>
      </c>
      <c r="S66" s="114">
        <f>IF(SubjectList!G66="Finance",IF(Finance!D66=0,"", Finance!D66),IF(SubjectList!G66="Production",IF(Production!D66=0,"", Production!D66),IF(SubjectList!G66="Economics",IF(Economics!D66=0,"", Economics!D66))))</f>
        <v>43</v>
      </c>
      <c r="T66" s="113" t="str">
        <f>IF(SubjectList!H66="Finance",IF(Finance!B66=0,"", Finance!B66),IF(SubjectList!H66="Production",IF(Production!B66=0,"", Production!B66),IF(SubjectList!H66="Economics",IF(Economics!B66=0,"", Economics!B66))))</f>
        <v/>
      </c>
      <c r="U66" s="113" t="str">
        <f>IF(SubjectList!H66="Finance",IF(Finance!C66=0,"", Finance!C66),IF(SubjectList!H66="Production",IF(Production!C66=0,"", Production!C66),IF(SubjectList!H66="Economics",IF(Economics!C66=0,"", Economics!C66))))</f>
        <v/>
      </c>
      <c r="V66" s="114" t="str">
        <f>IF(SubjectList!H66="Finance",IF(Finance!D66=0,"", Finance!D66),IF(SubjectList!H66="Production",IF(Production!D66=0,"", Production!D66),IF(SubjectList!H66="Economics",IF(Economics!D66=0,"", Economics!D66))))</f>
        <v/>
      </c>
      <c r="W66" s="115" t="str">
        <f>IF(SubjectList!G66="Finance","Finance",IF(SubjectList!G66="Production","Production",IF(SubjectList!G66="Economics","Not Given")))</f>
        <v>Production</v>
      </c>
      <c r="X66" s="115" t="str">
        <f>IF(SubjectList!H66="Finance","Finance",IF(SubjectList!H66="Production","Production",IF(SubjectList!H66="Economics","Economics","Not Given")))</f>
        <v>Finance</v>
      </c>
      <c r="Y66" s="113" t="str">
        <f>Bangla!F66</f>
        <v>C</v>
      </c>
      <c r="Z66" s="113" t="str">
        <f>English!E66</f>
        <v>F</v>
      </c>
      <c r="AA66" s="113" t="str">
        <f>ICT!G66</f>
        <v>C</v>
      </c>
      <c r="AB66" s="113" t="str">
        <f>Accounting!F66</f>
        <v>B</v>
      </c>
      <c r="AC66" s="113" t="str">
        <f>'Business Organization'!F66</f>
        <v>F</v>
      </c>
      <c r="AD66" s="113" t="str">
        <f>Production!F66</f>
        <v>C</v>
      </c>
      <c r="AE66" s="113" t="str">
        <f>Finance!F66</f>
        <v/>
      </c>
      <c r="AF66" s="122">
        <f>Bangla!G66</f>
        <v>2</v>
      </c>
      <c r="AG66" s="122">
        <f>English!F66</f>
        <v>0</v>
      </c>
      <c r="AH66" s="120">
        <f>ICT!H66</f>
        <v>2</v>
      </c>
      <c r="AI66" s="120">
        <f>Accounting!G66</f>
        <v>3</v>
      </c>
      <c r="AJ66" s="120">
        <f>'Business Organization'!G66</f>
        <v>0</v>
      </c>
      <c r="AK66" s="120">
        <f>IF(SubjectList!G66="Finance",Finance!G66,IF(SubjectList!G66="Production",Production!G66,IF(SubjectList!G66="Economics",Economics!G66)))</f>
        <v>2</v>
      </c>
      <c r="AL66" s="120" t="str">
        <f>Finance!G66</f>
        <v/>
      </c>
      <c r="AM66" s="120" t="str">
        <f>Optional!H66</f>
        <v/>
      </c>
      <c r="AN66" s="120" t="str">
        <f>Optional!I66</f>
        <v/>
      </c>
      <c r="AO66" s="120">
        <f t="shared" ref="AO66:AO97" si="28">IF(AZ66=0, "", SUM(AF66:AK66))</f>
        <v>9</v>
      </c>
      <c r="AP66" s="120">
        <f t="shared" ref="AP66:AP97" si="29">SUM(AN66:AO66)</f>
        <v>9</v>
      </c>
      <c r="AQ66" s="116" t="str">
        <f t="shared" ref="AQ66:AQ97" si="30">IF(AZ66=6,IF(AP66&gt;=30,5,(AP66-AN66)/6),"")</f>
        <v/>
      </c>
      <c r="AR66" s="116" t="str">
        <f t="shared" ref="AR66:AR97" si="31">IF(AZ66=6, IF(AP66&gt;=30,5,AP66/6), "")</f>
        <v/>
      </c>
      <c r="AS66" s="117">
        <f t="shared" ref="AS66:AS97" si="32">IF(E66="",0,E66)+IF(F66="",0,F66)+IF(J66="",0,J66)+IF(M66="",0,M66)+IF(P66="",0,P66)+IF(S66="",0,S66)+IF(V66="",0,V66)</f>
        <v>241</v>
      </c>
      <c r="AT66" s="118">
        <f t="shared" ref="AT66:AT97" si="33">(IF(AF66="",0,IF(AF66=0,0,1)))</f>
        <v>1</v>
      </c>
      <c r="AU66" s="118">
        <f t="shared" ref="AU66:AU97" si="34">(IF(AG66="",0,IF(AG66=0,0,1)))</f>
        <v>0</v>
      </c>
      <c r="AV66" s="118">
        <f t="shared" ref="AV66:AV97" si="35">(IF(AH66="",0,IF(AH66=0,0,1)))</f>
        <v>1</v>
      </c>
      <c r="AW66" s="118">
        <f t="shared" ref="AW66:AW97" si="36">(IF(AI66="",0,IF(AI66=0,0,1)))</f>
        <v>1</v>
      </c>
      <c r="AX66" s="118">
        <f t="shared" ref="AX66:AX97" si="37">(IF(AJ66="",0,IF(AJ66=0,0,1)))</f>
        <v>0</v>
      </c>
      <c r="AY66" s="118">
        <f t="shared" ref="AY66:AY97" si="38">(IF(AK66="",0,IF(AK66=0,0,1)))</f>
        <v>1</v>
      </c>
      <c r="AZ66" s="111">
        <f t="shared" ref="AZ66:AZ97" si="39">SUM(AT66:AY66)</f>
        <v>4</v>
      </c>
      <c r="BA66" s="111" t="str">
        <f t="shared" ref="BA66:BA97" si="40">IF(AZ66=0,"F6",IF(AZ66=1,"F5",IF(AZ66=2,"F4",IF(AZ66=3,"F3",IF(AZ66=4,"F2",IF(AZ66=5,"F1",IF(AZ66=6,"Pass")))))))</f>
        <v>F2</v>
      </c>
      <c r="BB66" s="117" t="str">
        <f>IF(AR66="","",RANK(AR66,AR$2:AR145,0))</f>
        <v/>
      </c>
      <c r="BC66" s="111" t="str">
        <f t="shared" ref="BC66:BC97" si="41">IF(AR66&gt;=5,"",IF(AR66&gt;=4,"A",IF(AR66&gt;=3.5,"A-",IF(AR66&gt;=3,"B",IF(AR66&gt;=2,"C",IF(AR66&gt;=1,"D","F"))))))</f>
        <v/>
      </c>
    </row>
    <row r="67" spans="1:55" x14ac:dyDescent="0.35">
      <c r="A67" s="113">
        <f>'Student Basic Info'!A67</f>
        <v>566</v>
      </c>
      <c r="B67" s="113" t="str">
        <f>'Student Basic Info'!C67</f>
        <v>Md. Mushfiqul Alom</v>
      </c>
      <c r="C67" s="121" t="str">
        <f>IF(Bangla!B67="","",Bangla!B67)</f>
        <v/>
      </c>
      <c r="D67" s="121" t="str">
        <f>IF(Bangla!C67="","",Bangla!C67)</f>
        <v/>
      </c>
      <c r="E67" s="112" t="str">
        <f>IF(Bangla!D67="","",Bangla!D67)</f>
        <v/>
      </c>
      <c r="F67" s="112" t="str">
        <f>IF(English!C67="","",English!C67)</f>
        <v/>
      </c>
      <c r="G67" s="113" t="str">
        <f>IF(ICT!B67="","",ICT!B67)</f>
        <v/>
      </c>
      <c r="H67" s="113" t="str">
        <f>IF(ICT!C67="","",ICT!C67)</f>
        <v/>
      </c>
      <c r="I67" s="113" t="str">
        <f>IF(ICT!D67="","",ICT!D67)</f>
        <v/>
      </c>
      <c r="J67" s="114" t="str">
        <f>IF(ICT!E67="","",ICT!E67)</f>
        <v/>
      </c>
      <c r="K67" s="113" t="str">
        <f>IF(Accounting!B67="","",Accounting!B67)</f>
        <v/>
      </c>
      <c r="L67" s="113" t="str">
        <f>IF(Accounting!C67="","",Accounting!C67)</f>
        <v/>
      </c>
      <c r="M67" s="114" t="str">
        <f>IF(Accounting!D67="","",Accounting!D67)</f>
        <v/>
      </c>
      <c r="N67" s="113" t="str">
        <f>IF('Business Organization'!B67="","",'Business Organization'!B67)</f>
        <v/>
      </c>
      <c r="O67" s="113" t="str">
        <f>IF('Business Organization'!C67="","",'Business Organization'!C67)</f>
        <v/>
      </c>
      <c r="P67" s="114" t="str">
        <f>IF('Business Organization'!D67="","",'Business Organization'!D67)</f>
        <v/>
      </c>
      <c r="Q67" s="113" t="str">
        <f>IF(SubjectList!G67="Finance",IF(Finance!B67=0,"", Finance!B67),IF(SubjectList!G67="Production",IF(Production!B67=0,"", Production!B67),IF(SubjectList!G67="Economics",IF(Economics!B67=0,"", Economics!B67))))</f>
        <v/>
      </c>
      <c r="R67" s="113" t="str">
        <f>IF(SubjectList!G67="Finance",IF(Finance!C67=0,"", Finance!C67),IF(SubjectList!G67="Production",IF(Production!C67=0,"", Production!C67),IF(SubjectList!G67="Economics",IF(Economics!C67=0,"", Economics!C67))))</f>
        <v/>
      </c>
      <c r="S67" s="114" t="str">
        <f>IF(SubjectList!G67="Finance",IF(Finance!D67=0,"", Finance!D67),IF(SubjectList!G67="Production",IF(Production!D67=0,"", Production!D67),IF(SubjectList!G67="Economics",IF(Economics!D67=0,"", Economics!D67))))</f>
        <v/>
      </c>
      <c r="T67" s="113" t="str">
        <f>IF(SubjectList!H67="Finance",IF(Finance!B67=0,"", Finance!B67),IF(SubjectList!H67="Production",IF(Production!B67=0,"", Production!B67),IF(SubjectList!H67="Economics",IF(Economics!B67=0,"", Economics!B67))))</f>
        <v/>
      </c>
      <c r="U67" s="113" t="str">
        <f>IF(SubjectList!H67="Finance",IF(Finance!C67=0,"", Finance!C67),IF(SubjectList!H67="Production",IF(Production!C67=0,"", Production!C67),IF(SubjectList!H67="Economics",IF(Economics!C67=0,"", Economics!C67))))</f>
        <v/>
      </c>
      <c r="V67" s="114" t="str">
        <f>IF(SubjectList!H67="Finance",IF(Finance!D67=0,"", Finance!D67),IF(SubjectList!H67="Production",IF(Production!D67=0,"", Production!D67),IF(SubjectList!H67="Economics",IF(Economics!D67=0,"", Economics!D67))))</f>
        <v/>
      </c>
      <c r="W67" s="115" t="str">
        <f>IF(SubjectList!G67="Finance","Finance",IF(SubjectList!G67="Production","Production",IF(SubjectList!G67="Economics","Not Given")))</f>
        <v>Finance</v>
      </c>
      <c r="X67" s="115" t="str">
        <f>IF(SubjectList!H67="Finance","Finance",IF(SubjectList!H67="Production","Production",IF(SubjectList!H67="Economics","Economics","Not Given")))</f>
        <v>Production</v>
      </c>
      <c r="Y67" s="113" t="str">
        <f>Bangla!F67</f>
        <v/>
      </c>
      <c r="Z67" s="113" t="str">
        <f>English!E67</f>
        <v/>
      </c>
      <c r="AA67" s="113" t="str">
        <f>ICT!G67</f>
        <v/>
      </c>
      <c r="AB67" s="113" t="str">
        <f>Accounting!F67</f>
        <v/>
      </c>
      <c r="AC67" s="113" t="str">
        <f>'Business Organization'!F67</f>
        <v/>
      </c>
      <c r="AD67" s="113" t="str">
        <f>Production!F67</f>
        <v/>
      </c>
      <c r="AE67" s="113" t="str">
        <f>Finance!F67</f>
        <v/>
      </c>
      <c r="AF67" s="122" t="str">
        <f>Bangla!G67</f>
        <v/>
      </c>
      <c r="AG67" s="122" t="str">
        <f>English!F67</f>
        <v/>
      </c>
      <c r="AH67" s="120" t="str">
        <f>ICT!H67</f>
        <v/>
      </c>
      <c r="AI67" s="120" t="str">
        <f>Accounting!G67</f>
        <v/>
      </c>
      <c r="AJ67" s="120" t="str">
        <f>'Business Organization'!G67</f>
        <v/>
      </c>
      <c r="AK67" s="120" t="str">
        <f>IF(SubjectList!G67="Finance",Finance!G67,IF(SubjectList!G67="Production",Production!G67,IF(SubjectList!G67="Economics",Economics!G67)))</f>
        <v/>
      </c>
      <c r="AL67" s="120" t="str">
        <f>Finance!G67</f>
        <v/>
      </c>
      <c r="AM67" s="120" t="str">
        <f>Optional!H67</f>
        <v/>
      </c>
      <c r="AN67" s="120" t="str">
        <f>Optional!I67</f>
        <v/>
      </c>
      <c r="AO67" s="120" t="str">
        <f t="shared" si="28"/>
        <v/>
      </c>
      <c r="AP67" s="120">
        <f t="shared" si="29"/>
        <v>0</v>
      </c>
      <c r="AQ67" s="116" t="str">
        <f t="shared" si="30"/>
        <v/>
      </c>
      <c r="AR67" s="116" t="str">
        <f t="shared" si="31"/>
        <v/>
      </c>
      <c r="AS67" s="117">
        <f t="shared" si="32"/>
        <v>0</v>
      </c>
      <c r="AT67" s="118">
        <f t="shared" si="33"/>
        <v>0</v>
      </c>
      <c r="AU67" s="118">
        <f t="shared" si="34"/>
        <v>0</v>
      </c>
      <c r="AV67" s="118">
        <f t="shared" si="35"/>
        <v>0</v>
      </c>
      <c r="AW67" s="118">
        <f t="shared" si="36"/>
        <v>0</v>
      </c>
      <c r="AX67" s="118">
        <f t="shared" si="37"/>
        <v>0</v>
      </c>
      <c r="AY67" s="118">
        <f t="shared" si="38"/>
        <v>0</v>
      </c>
      <c r="AZ67" s="111">
        <f t="shared" si="39"/>
        <v>0</v>
      </c>
      <c r="BA67" s="111" t="str">
        <f t="shared" si="40"/>
        <v>F6</v>
      </c>
      <c r="BB67" s="117" t="str">
        <f>IF(AR67="","",RANK(AR67,AR$2:AR145,0))</f>
        <v/>
      </c>
      <c r="BC67" s="111" t="str">
        <f t="shared" si="41"/>
        <v/>
      </c>
    </row>
    <row r="68" spans="1:55" x14ac:dyDescent="0.35">
      <c r="A68" s="113">
        <f>'Student Basic Info'!A68</f>
        <v>567</v>
      </c>
      <c r="B68" s="113" t="str">
        <f>'Student Basic Info'!C68</f>
        <v>Fokhrul Alom</v>
      </c>
      <c r="C68" s="121" t="str">
        <f>IF(Bangla!B68="","",Bangla!B68)</f>
        <v/>
      </c>
      <c r="D68" s="121">
        <f>IF(Bangla!C68="","",Bangla!C68)</f>
        <v>16</v>
      </c>
      <c r="E68" s="112">
        <f>IF(Bangla!D68="","",Bangla!D68)</f>
        <v>16</v>
      </c>
      <c r="F68" s="112">
        <f>IF(English!C68="","",English!C68)</f>
        <v>9</v>
      </c>
      <c r="G68" s="113">
        <f>IF(ICT!B68="","",ICT!B68)</f>
        <v>5</v>
      </c>
      <c r="H68" s="113">
        <f>IF(ICT!C68="","",ICT!C68)</f>
        <v>1</v>
      </c>
      <c r="I68" s="113">
        <f>IF(ICT!D68="","",ICT!D68)</f>
        <v>8</v>
      </c>
      <c r="J68" s="114">
        <f>IF(ICT!E68="","",ICT!E68)</f>
        <v>14</v>
      </c>
      <c r="K68" s="113">
        <f>IF(Accounting!B68="","",Accounting!B68)</f>
        <v>5</v>
      </c>
      <c r="L68" s="113">
        <f>IF(Accounting!C68="","",Accounting!C68)</f>
        <v>8</v>
      </c>
      <c r="M68" s="114">
        <f>IF(Accounting!D68="","",Accounting!D68)</f>
        <v>13</v>
      </c>
      <c r="N68" s="113">
        <f>IF('Business Organization'!B68="","",'Business Organization'!B68)</f>
        <v>13</v>
      </c>
      <c r="O68" s="113">
        <f>IF('Business Organization'!C68="","",'Business Organization'!C68)</f>
        <v>7</v>
      </c>
      <c r="P68" s="114">
        <f>IF('Business Organization'!D68="","",'Business Organization'!D68)</f>
        <v>20</v>
      </c>
      <c r="Q68" s="113">
        <f>IF(SubjectList!G68="Finance",IF(Finance!B68=0,"", Finance!B68),IF(SubjectList!G68="Production",IF(Production!B68=0,"", Production!B68),IF(SubjectList!G68="Economics",IF(Economics!B68=0,"", Economics!B68))))</f>
        <v>5</v>
      </c>
      <c r="R68" s="113">
        <f>IF(SubjectList!G68="Finance",IF(Finance!C68=0,"", Finance!C68),IF(SubjectList!G68="Production",IF(Production!C68=0,"", Production!C68),IF(SubjectList!G68="Economics",IF(Economics!C68=0,"", Economics!C68))))</f>
        <v>7</v>
      </c>
      <c r="S68" s="114">
        <f>IF(SubjectList!G68="Finance",IF(Finance!D68=0,"", Finance!D68),IF(SubjectList!G68="Production",IF(Production!D68=0,"", Production!D68),IF(SubjectList!G68="Economics",IF(Economics!D68=0,"", Economics!D68))))</f>
        <v>12</v>
      </c>
      <c r="T68" s="113">
        <f>IF(SubjectList!H68="Finance",IF(Finance!B68=0,"", Finance!B68),IF(SubjectList!H68="Production",IF(Production!B68=0,"", Production!B68),IF(SubjectList!H68="Economics",IF(Economics!B68=0,"", Economics!B68))))</f>
        <v>13</v>
      </c>
      <c r="U68" s="113">
        <f>IF(SubjectList!H68="Finance",IF(Finance!C68=0,"", Finance!C68),IF(SubjectList!H68="Production",IF(Production!C68=0,"", Production!C68),IF(SubjectList!H68="Economics",IF(Economics!C68=0,"", Economics!C68))))</f>
        <v>17</v>
      </c>
      <c r="V68" s="114">
        <f>IF(SubjectList!H68="Finance",IF(Finance!D68=0,"", Finance!D68),IF(SubjectList!H68="Production",IF(Production!D68=0,"", Production!D68),IF(SubjectList!H68="Economics",IF(Economics!D68=0,"", Economics!D68))))</f>
        <v>30</v>
      </c>
      <c r="W68" s="115" t="str">
        <f>IF(SubjectList!G68="Finance","Finance",IF(SubjectList!G68="Production","Production",IF(SubjectList!G68="Economics","Not Given")))</f>
        <v>Finance</v>
      </c>
      <c r="X68" s="115" t="str">
        <f>IF(SubjectList!H68="Finance","Finance",IF(SubjectList!H68="Production","Production",IF(SubjectList!H68="Economics","Economics","Not Given")))</f>
        <v>Production</v>
      </c>
      <c r="Y68" s="113" t="str">
        <f>Bangla!F68</f>
        <v>F</v>
      </c>
      <c r="Z68" s="113" t="str">
        <f>English!E68</f>
        <v>F</v>
      </c>
      <c r="AA68" s="113" t="str">
        <f>ICT!G68</f>
        <v>F</v>
      </c>
      <c r="AB68" s="113" t="str">
        <f>Accounting!F68</f>
        <v>F</v>
      </c>
      <c r="AC68" s="113" t="str">
        <f>'Business Organization'!F68</f>
        <v>F</v>
      </c>
      <c r="AD68" s="113" t="str">
        <f>Production!F68</f>
        <v>F</v>
      </c>
      <c r="AE68" s="113" t="str">
        <f>Finance!F68</f>
        <v>F</v>
      </c>
      <c r="AF68" s="122">
        <f>Bangla!G68</f>
        <v>0</v>
      </c>
      <c r="AG68" s="122">
        <f>English!F68</f>
        <v>0</v>
      </c>
      <c r="AH68" s="120">
        <f>ICT!H68</f>
        <v>0</v>
      </c>
      <c r="AI68" s="120">
        <f>Accounting!G68</f>
        <v>0</v>
      </c>
      <c r="AJ68" s="120">
        <f>'Business Organization'!G68</f>
        <v>0</v>
      </c>
      <c r="AK68" s="120">
        <f>IF(SubjectList!G68="Finance",Finance!G68,IF(SubjectList!G68="Production",Production!G68,IF(SubjectList!G68="Economics",Economics!G68)))</f>
        <v>0</v>
      </c>
      <c r="AL68" s="120">
        <f>Finance!G68</f>
        <v>0</v>
      </c>
      <c r="AM68" s="120">
        <f>Optional!H68</f>
        <v>0</v>
      </c>
      <c r="AN68" s="120">
        <f>Optional!I68</f>
        <v>0</v>
      </c>
      <c r="AO68" s="120" t="str">
        <f t="shared" si="28"/>
        <v/>
      </c>
      <c r="AP68" s="120">
        <f t="shared" si="29"/>
        <v>0</v>
      </c>
      <c r="AQ68" s="116" t="str">
        <f t="shared" si="30"/>
        <v/>
      </c>
      <c r="AR68" s="116" t="str">
        <f t="shared" si="31"/>
        <v/>
      </c>
      <c r="AS68" s="117">
        <f t="shared" si="32"/>
        <v>114</v>
      </c>
      <c r="AT68" s="118">
        <f t="shared" si="33"/>
        <v>0</v>
      </c>
      <c r="AU68" s="118">
        <f t="shared" si="34"/>
        <v>0</v>
      </c>
      <c r="AV68" s="118">
        <f t="shared" si="35"/>
        <v>0</v>
      </c>
      <c r="AW68" s="118">
        <f t="shared" si="36"/>
        <v>0</v>
      </c>
      <c r="AX68" s="118">
        <f t="shared" si="37"/>
        <v>0</v>
      </c>
      <c r="AY68" s="118">
        <f t="shared" si="38"/>
        <v>0</v>
      </c>
      <c r="AZ68" s="111">
        <f t="shared" si="39"/>
        <v>0</v>
      </c>
      <c r="BA68" s="111" t="str">
        <f t="shared" si="40"/>
        <v>F6</v>
      </c>
      <c r="BB68" s="117" t="str">
        <f>IF(AR68="","",RANK(AR68,AR$2:AR145,0))</f>
        <v/>
      </c>
      <c r="BC68" s="111" t="str">
        <f t="shared" si="41"/>
        <v/>
      </c>
    </row>
    <row r="69" spans="1:55" x14ac:dyDescent="0.35">
      <c r="A69" s="113">
        <f>'Student Basic Info'!A69</f>
        <v>568</v>
      </c>
      <c r="B69" s="113" t="str">
        <f>'Student Basic Info'!C69</f>
        <v>Sanzida Aktar Ruhi</v>
      </c>
      <c r="C69" s="121" t="str">
        <f>IF(Bangla!B69="","",Bangla!B69)</f>
        <v/>
      </c>
      <c r="D69" s="121">
        <f>IF(Bangla!C69="","",Bangla!C69)</f>
        <v>13</v>
      </c>
      <c r="E69" s="112">
        <f>IF(Bangla!D69="","",Bangla!D69)</f>
        <v>13</v>
      </c>
      <c r="F69" s="112">
        <f>IF(English!C69="","",English!C69)</f>
        <v>9</v>
      </c>
      <c r="G69" s="113">
        <f>IF(ICT!B69="","",ICT!B69)</f>
        <v>7</v>
      </c>
      <c r="H69" s="113">
        <f>IF(ICT!C69="","",ICT!C69)</f>
        <v>1</v>
      </c>
      <c r="I69" s="113">
        <f>IF(ICT!D69="","",ICT!D69)</f>
        <v>24</v>
      </c>
      <c r="J69" s="114">
        <f>IF(ICT!E69="","",ICT!E69)</f>
        <v>32</v>
      </c>
      <c r="K69" s="113">
        <f>IF(Accounting!B69="","",Accounting!B69)</f>
        <v>7</v>
      </c>
      <c r="L69" s="113">
        <f>IF(Accounting!C69="","",Accounting!C69)</f>
        <v>7</v>
      </c>
      <c r="M69" s="114">
        <f>IF(Accounting!D69="","",Accounting!D69)</f>
        <v>14</v>
      </c>
      <c r="N69" s="113">
        <f>IF('Business Organization'!B69="","",'Business Organization'!B69)</f>
        <v>9</v>
      </c>
      <c r="O69" s="113">
        <f>IF('Business Organization'!C69="","",'Business Organization'!C69)</f>
        <v>2</v>
      </c>
      <c r="P69" s="114">
        <f>IF('Business Organization'!D69="","",'Business Organization'!D69)</f>
        <v>11</v>
      </c>
      <c r="Q69" s="113">
        <f>IF(SubjectList!G69="Finance",IF(Finance!B69=0,"", Finance!B69),IF(SubjectList!G69="Production",IF(Production!B69=0,"", Production!B69),IF(SubjectList!G69="Economics",IF(Economics!B69=0,"", Economics!B69))))</f>
        <v>12</v>
      </c>
      <c r="R69" s="113">
        <f>IF(SubjectList!G69="Finance",IF(Finance!C69=0,"", Finance!C69),IF(SubjectList!G69="Production",IF(Production!C69=0,"", Production!C69),IF(SubjectList!G69="Economics",IF(Economics!C69=0,"", Economics!C69))))</f>
        <v>13</v>
      </c>
      <c r="S69" s="114">
        <f>IF(SubjectList!G69="Finance",IF(Finance!D69=0,"", Finance!D69),IF(SubjectList!G69="Production",IF(Production!D69=0,"", Production!D69),IF(SubjectList!G69="Economics",IF(Economics!D69=0,"", Economics!D69))))</f>
        <v>25</v>
      </c>
      <c r="T69" s="113">
        <f>IF(SubjectList!H69="Finance",IF(Finance!B69=0,"", Finance!B69),IF(SubjectList!H69="Production",IF(Production!B69=0,"", Production!B69),IF(SubjectList!H69="Economics",IF(Economics!B69=0,"", Economics!B69))))</f>
        <v>11</v>
      </c>
      <c r="U69" s="113">
        <f>IF(SubjectList!H69="Finance",IF(Finance!C69=0,"", Finance!C69),IF(SubjectList!H69="Production",IF(Production!C69=0,"", Production!C69),IF(SubjectList!H69="Economics",IF(Economics!C69=0,"", Economics!C69))))</f>
        <v>3</v>
      </c>
      <c r="V69" s="114">
        <f>IF(SubjectList!H69="Finance",IF(Finance!D69=0,"", Finance!D69),IF(SubjectList!H69="Production",IF(Production!D69=0,"", Production!D69),IF(SubjectList!H69="Economics",IF(Economics!D69=0,"", Economics!D69))))</f>
        <v>14</v>
      </c>
      <c r="W69" s="115" t="str">
        <f>IF(SubjectList!G69="Finance","Finance",IF(SubjectList!G69="Production","Production",IF(SubjectList!G69="Economics","Not Given")))</f>
        <v>Production</v>
      </c>
      <c r="X69" s="115" t="str">
        <f>IF(SubjectList!H69="Finance","Finance",IF(SubjectList!H69="Production","Production",IF(SubjectList!H69="Economics","Economics","Not Given")))</f>
        <v>Finance</v>
      </c>
      <c r="Y69" s="113" t="str">
        <f>Bangla!F69</f>
        <v>F</v>
      </c>
      <c r="Z69" s="113" t="str">
        <f>English!E69</f>
        <v>F</v>
      </c>
      <c r="AA69" s="113" t="str">
        <f>ICT!G69</f>
        <v>F</v>
      </c>
      <c r="AB69" s="113" t="str">
        <f>Accounting!F69</f>
        <v>F</v>
      </c>
      <c r="AC69" s="113" t="str">
        <f>'Business Organization'!F69</f>
        <v>F</v>
      </c>
      <c r="AD69" s="113" t="str">
        <f>Production!F69</f>
        <v>F</v>
      </c>
      <c r="AE69" s="113" t="str">
        <f>Finance!F69</f>
        <v>F</v>
      </c>
      <c r="AF69" s="122">
        <f>Bangla!G69</f>
        <v>0</v>
      </c>
      <c r="AG69" s="122">
        <f>English!F69</f>
        <v>0</v>
      </c>
      <c r="AH69" s="120">
        <f>ICT!H69</f>
        <v>0</v>
      </c>
      <c r="AI69" s="120">
        <f>Accounting!G69</f>
        <v>0</v>
      </c>
      <c r="AJ69" s="120">
        <f>'Business Organization'!G69</f>
        <v>0</v>
      </c>
      <c r="AK69" s="120">
        <f>IF(SubjectList!G69="Finance",Finance!G69,IF(SubjectList!G69="Production",Production!G69,IF(SubjectList!G69="Economics",Economics!G69)))</f>
        <v>0</v>
      </c>
      <c r="AL69" s="120">
        <f>Finance!G69</f>
        <v>0</v>
      </c>
      <c r="AM69" s="120">
        <f>Optional!H69</f>
        <v>0</v>
      </c>
      <c r="AN69" s="120">
        <f>Optional!I69</f>
        <v>0</v>
      </c>
      <c r="AO69" s="120" t="str">
        <f t="shared" si="28"/>
        <v/>
      </c>
      <c r="AP69" s="120">
        <f t="shared" si="29"/>
        <v>0</v>
      </c>
      <c r="AQ69" s="116" t="str">
        <f t="shared" si="30"/>
        <v/>
      </c>
      <c r="AR69" s="116" t="str">
        <f t="shared" si="31"/>
        <v/>
      </c>
      <c r="AS69" s="117">
        <f t="shared" si="32"/>
        <v>118</v>
      </c>
      <c r="AT69" s="118">
        <f t="shared" si="33"/>
        <v>0</v>
      </c>
      <c r="AU69" s="118">
        <f t="shared" si="34"/>
        <v>0</v>
      </c>
      <c r="AV69" s="118">
        <f t="shared" si="35"/>
        <v>0</v>
      </c>
      <c r="AW69" s="118">
        <f t="shared" si="36"/>
        <v>0</v>
      </c>
      <c r="AX69" s="118">
        <f t="shared" si="37"/>
        <v>0</v>
      </c>
      <c r="AY69" s="118">
        <f t="shared" si="38"/>
        <v>0</v>
      </c>
      <c r="AZ69" s="111">
        <f t="shared" si="39"/>
        <v>0</v>
      </c>
      <c r="BA69" s="111" t="str">
        <f t="shared" si="40"/>
        <v>F6</v>
      </c>
      <c r="BB69" s="117" t="str">
        <f>IF(AR69="","",RANK(AR69,AR$2:AR145,0))</f>
        <v/>
      </c>
      <c r="BC69" s="111" t="str">
        <f t="shared" si="41"/>
        <v/>
      </c>
    </row>
    <row r="70" spans="1:55" x14ac:dyDescent="0.35">
      <c r="A70" s="113">
        <f>'Student Basic Info'!A70</f>
        <v>569</v>
      </c>
      <c r="B70" s="113" t="str">
        <f>'Student Basic Info'!C70</f>
        <v>Miheraz Hosain</v>
      </c>
      <c r="C70" s="121" t="str">
        <f>IF(Bangla!B70="","",Bangla!B70)</f>
        <v/>
      </c>
      <c r="D70" s="121" t="str">
        <f>IF(Bangla!C70="","",Bangla!C70)</f>
        <v/>
      </c>
      <c r="E70" s="112" t="str">
        <f>IF(Bangla!D70="","",Bangla!D70)</f>
        <v/>
      </c>
      <c r="F70" s="112" t="str">
        <f>IF(English!C70="","",English!C70)</f>
        <v/>
      </c>
      <c r="G70" s="113" t="str">
        <f>IF(ICT!B70="","",ICT!B70)</f>
        <v/>
      </c>
      <c r="H70" s="113" t="str">
        <f>IF(ICT!C70="","",ICT!C70)</f>
        <v/>
      </c>
      <c r="I70" s="113" t="str">
        <f>IF(ICT!D70="","",ICT!D70)</f>
        <v/>
      </c>
      <c r="J70" s="114" t="str">
        <f>IF(ICT!E70="","",ICT!E70)</f>
        <v/>
      </c>
      <c r="K70" s="113" t="str">
        <f>IF(Accounting!B70="","",Accounting!B70)</f>
        <v/>
      </c>
      <c r="L70" s="113" t="str">
        <f>IF(Accounting!C70="","",Accounting!C70)</f>
        <v/>
      </c>
      <c r="M70" s="114" t="str">
        <f>IF(Accounting!D70="","",Accounting!D70)</f>
        <v/>
      </c>
      <c r="N70" s="113" t="str">
        <f>IF('Business Organization'!B70="","",'Business Organization'!B70)</f>
        <v/>
      </c>
      <c r="O70" s="113" t="str">
        <f>IF('Business Organization'!C70="","",'Business Organization'!C70)</f>
        <v/>
      </c>
      <c r="P70" s="114" t="str">
        <f>IF('Business Organization'!D70="","",'Business Organization'!D70)</f>
        <v/>
      </c>
      <c r="Q70" s="113" t="str">
        <f>IF(SubjectList!G70="Finance",IF(Finance!B70=0,"", Finance!B70),IF(SubjectList!G70="Production",IF(Production!B70=0,"", Production!B70),IF(SubjectList!G70="Economics",IF(Economics!B70=0,"", Economics!B70))))</f>
        <v/>
      </c>
      <c r="R70" s="113" t="str">
        <f>IF(SubjectList!G70="Finance",IF(Finance!C70=0,"", Finance!C70),IF(SubjectList!G70="Production",IF(Production!C70=0,"", Production!C70),IF(SubjectList!G70="Economics",IF(Economics!C70=0,"", Economics!C70))))</f>
        <v/>
      </c>
      <c r="S70" s="114" t="str">
        <f>IF(SubjectList!G70="Finance",IF(Finance!D70=0,"", Finance!D70),IF(SubjectList!G70="Production",IF(Production!D70=0,"", Production!D70),IF(SubjectList!G70="Economics",IF(Economics!D70=0,"", Economics!D70))))</f>
        <v/>
      </c>
      <c r="T70" s="113" t="str">
        <f>IF(SubjectList!H70="Finance",IF(Finance!B70=0,"", Finance!B70),IF(SubjectList!H70="Production",IF(Production!B70=0,"", Production!B70),IF(SubjectList!H70="Economics",IF(Economics!B70=0,"", Economics!B70))))</f>
        <v/>
      </c>
      <c r="U70" s="113" t="str">
        <f>IF(SubjectList!H70="Finance",IF(Finance!C70=0,"", Finance!C70),IF(SubjectList!H70="Production",IF(Production!C70=0,"", Production!C70),IF(SubjectList!H70="Economics",IF(Economics!C70=0,"", Economics!C70))))</f>
        <v/>
      </c>
      <c r="V70" s="114" t="str">
        <f>IF(SubjectList!H70="Finance",IF(Finance!D70=0,"", Finance!D70),IF(SubjectList!H70="Production",IF(Production!D70=0,"", Production!D70),IF(SubjectList!H70="Economics",IF(Economics!D70=0,"", Economics!D70))))</f>
        <v/>
      </c>
      <c r="W70" s="115" t="str">
        <f>IF(SubjectList!G70="Finance","Finance",IF(SubjectList!G70="Production","Production",IF(SubjectList!G70="Economics","Not Given")))</f>
        <v>Finance</v>
      </c>
      <c r="X70" s="115" t="str">
        <f>IF(SubjectList!H70="Finance","Finance",IF(SubjectList!H70="Production","Production",IF(SubjectList!H70="Economics","Economics","Not Given")))</f>
        <v>Economics</v>
      </c>
      <c r="Y70" s="113" t="str">
        <f>Bangla!F70</f>
        <v/>
      </c>
      <c r="Z70" s="113" t="str">
        <f>English!E70</f>
        <v/>
      </c>
      <c r="AA70" s="113" t="str">
        <f>ICT!G70</f>
        <v/>
      </c>
      <c r="AB70" s="113" t="str">
        <f>Accounting!F70</f>
        <v/>
      </c>
      <c r="AC70" s="113" t="str">
        <f>'Business Organization'!F70</f>
        <v/>
      </c>
      <c r="AD70" s="113" t="str">
        <f>Production!F70</f>
        <v/>
      </c>
      <c r="AE70" s="113" t="str">
        <f>Finance!F70</f>
        <v/>
      </c>
      <c r="AF70" s="122" t="str">
        <f>Bangla!G70</f>
        <v/>
      </c>
      <c r="AG70" s="122" t="str">
        <f>English!F70</f>
        <v/>
      </c>
      <c r="AH70" s="120" t="str">
        <f>ICT!H70</f>
        <v/>
      </c>
      <c r="AI70" s="120" t="str">
        <f>Accounting!G70</f>
        <v/>
      </c>
      <c r="AJ70" s="120" t="str">
        <f>'Business Organization'!G70</f>
        <v/>
      </c>
      <c r="AK70" s="120" t="str">
        <f>IF(SubjectList!G70="Finance",Finance!G70,IF(SubjectList!G70="Production",Production!G70,IF(SubjectList!G70="Economics",Economics!G70)))</f>
        <v/>
      </c>
      <c r="AL70" s="120" t="str">
        <f>Finance!G70</f>
        <v/>
      </c>
      <c r="AM70" s="120" t="str">
        <f>Optional!H70</f>
        <v/>
      </c>
      <c r="AN70" s="120" t="str">
        <f>Optional!I70</f>
        <v/>
      </c>
      <c r="AO70" s="120" t="str">
        <f t="shared" si="28"/>
        <v/>
      </c>
      <c r="AP70" s="120">
        <f t="shared" si="29"/>
        <v>0</v>
      </c>
      <c r="AQ70" s="116" t="str">
        <f t="shared" si="30"/>
        <v/>
      </c>
      <c r="AR70" s="116" t="str">
        <f t="shared" si="31"/>
        <v/>
      </c>
      <c r="AS70" s="117">
        <f t="shared" si="32"/>
        <v>0</v>
      </c>
      <c r="AT70" s="118">
        <f t="shared" si="33"/>
        <v>0</v>
      </c>
      <c r="AU70" s="118">
        <f t="shared" si="34"/>
        <v>0</v>
      </c>
      <c r="AV70" s="118">
        <f t="shared" si="35"/>
        <v>0</v>
      </c>
      <c r="AW70" s="118">
        <f t="shared" si="36"/>
        <v>0</v>
      </c>
      <c r="AX70" s="118">
        <f t="shared" si="37"/>
        <v>0</v>
      </c>
      <c r="AY70" s="118">
        <f t="shared" si="38"/>
        <v>0</v>
      </c>
      <c r="AZ70" s="111">
        <f t="shared" si="39"/>
        <v>0</v>
      </c>
      <c r="BA70" s="111" t="str">
        <f t="shared" si="40"/>
        <v>F6</v>
      </c>
      <c r="BB70" s="117" t="str">
        <f>IF(AR70="","",RANK(AR70,AR$2:AR145,0))</f>
        <v/>
      </c>
      <c r="BC70" s="111" t="str">
        <f t="shared" si="41"/>
        <v/>
      </c>
    </row>
    <row r="71" spans="1:55" x14ac:dyDescent="0.35">
      <c r="A71" s="113">
        <f>'Student Basic Info'!A71</f>
        <v>570</v>
      </c>
      <c r="B71" s="113" t="str">
        <f>'Student Basic Info'!C71</f>
        <v>Md. Naymul Islam</v>
      </c>
      <c r="C71" s="121" t="str">
        <f>IF(Bangla!B71="","",Bangla!B71)</f>
        <v/>
      </c>
      <c r="D71" s="121" t="str">
        <f>IF(Bangla!C71="","",Bangla!C71)</f>
        <v/>
      </c>
      <c r="E71" s="112" t="str">
        <f>IF(Bangla!D71="","",Bangla!D71)</f>
        <v/>
      </c>
      <c r="F71" s="112" t="str">
        <f>IF(English!C71="","",English!C71)</f>
        <v/>
      </c>
      <c r="G71" s="113" t="str">
        <f>IF(ICT!B71="","",ICT!B71)</f>
        <v/>
      </c>
      <c r="H71" s="113" t="str">
        <f>IF(ICT!C71="","",ICT!C71)</f>
        <v/>
      </c>
      <c r="I71" s="113" t="str">
        <f>IF(ICT!D71="","",ICT!D71)</f>
        <v/>
      </c>
      <c r="J71" s="114" t="str">
        <f>IF(ICT!E71="","",ICT!E71)</f>
        <v/>
      </c>
      <c r="K71" s="113" t="str">
        <f>IF(Accounting!B71="","",Accounting!B71)</f>
        <v/>
      </c>
      <c r="L71" s="113" t="str">
        <f>IF(Accounting!C71="","",Accounting!C71)</f>
        <v/>
      </c>
      <c r="M71" s="114" t="str">
        <f>IF(Accounting!D71="","",Accounting!D71)</f>
        <v/>
      </c>
      <c r="N71" s="113" t="str">
        <f>IF('Business Organization'!B71="","",'Business Organization'!B71)</f>
        <v/>
      </c>
      <c r="O71" s="113" t="str">
        <f>IF('Business Organization'!C71="","",'Business Organization'!C71)</f>
        <v/>
      </c>
      <c r="P71" s="114" t="str">
        <f>IF('Business Organization'!D71="","",'Business Organization'!D71)</f>
        <v/>
      </c>
      <c r="Q71" s="113" t="str">
        <f>IF(SubjectList!G71="Finance",IF(Finance!B71=0,"", Finance!B71),IF(SubjectList!G71="Production",IF(Production!B71=0,"", Production!B71),IF(SubjectList!G71="Economics",IF(Economics!B71=0,"", Economics!B71))))</f>
        <v/>
      </c>
      <c r="R71" s="113" t="str">
        <f>IF(SubjectList!G71="Finance",IF(Finance!C71=0,"", Finance!C71),IF(SubjectList!G71="Production",IF(Production!C71=0,"", Production!C71),IF(SubjectList!G71="Economics",IF(Economics!C71=0,"", Economics!C71))))</f>
        <v/>
      </c>
      <c r="S71" s="114" t="str">
        <f>IF(SubjectList!G71="Finance",IF(Finance!D71=0,"", Finance!D71),IF(SubjectList!G71="Production",IF(Production!D71=0,"", Production!D71),IF(SubjectList!G71="Economics",IF(Economics!D71=0,"", Economics!D71))))</f>
        <v/>
      </c>
      <c r="T71" s="113" t="str">
        <f>IF(SubjectList!H71="Finance",IF(Finance!B71=0,"", Finance!B71),IF(SubjectList!H71="Production",IF(Production!B71=0,"", Production!B71),IF(SubjectList!H71="Economics",IF(Economics!B71=0,"", Economics!B71))))</f>
        <v/>
      </c>
      <c r="U71" s="113" t="str">
        <f>IF(SubjectList!H71="Finance",IF(Finance!C71=0,"", Finance!C71),IF(SubjectList!H71="Production",IF(Production!C71=0,"", Production!C71),IF(SubjectList!H71="Economics",IF(Economics!C71=0,"", Economics!C71))))</f>
        <v/>
      </c>
      <c r="V71" s="114" t="str">
        <f>IF(SubjectList!H71="Finance",IF(Finance!D71=0,"", Finance!D71),IF(SubjectList!H71="Production",IF(Production!D71=0,"", Production!D71),IF(SubjectList!H71="Economics",IF(Economics!D71=0,"", Economics!D71))))</f>
        <v/>
      </c>
      <c r="W71" s="115" t="str">
        <f>IF(SubjectList!G71="Finance","Finance",IF(SubjectList!G71="Production","Production",IF(SubjectList!G71="Economics","Not Given")))</f>
        <v>Production</v>
      </c>
      <c r="X71" s="115" t="str">
        <f>IF(SubjectList!H71="Finance","Finance",IF(SubjectList!H71="Production","Production",IF(SubjectList!H71="Economics","Economics","Not Given")))</f>
        <v>Economics</v>
      </c>
      <c r="Y71" s="113" t="str">
        <f>Bangla!F71</f>
        <v/>
      </c>
      <c r="Z71" s="113" t="str">
        <f>English!E71</f>
        <v/>
      </c>
      <c r="AA71" s="113" t="str">
        <f>ICT!G71</f>
        <v/>
      </c>
      <c r="AB71" s="113" t="str">
        <f>Accounting!F71</f>
        <v/>
      </c>
      <c r="AC71" s="113" t="str">
        <f>'Business Organization'!F71</f>
        <v/>
      </c>
      <c r="AD71" s="113" t="str">
        <f>Production!F71</f>
        <v/>
      </c>
      <c r="AE71" s="113" t="str">
        <f>Finance!F71</f>
        <v/>
      </c>
      <c r="AF71" s="122" t="str">
        <f>Bangla!G71</f>
        <v/>
      </c>
      <c r="AG71" s="122" t="str">
        <f>English!F71</f>
        <v/>
      </c>
      <c r="AH71" s="120" t="str">
        <f>ICT!H71</f>
        <v/>
      </c>
      <c r="AI71" s="120" t="str">
        <f>Accounting!G71</f>
        <v/>
      </c>
      <c r="AJ71" s="120" t="str">
        <f>'Business Organization'!G71</f>
        <v/>
      </c>
      <c r="AK71" s="120" t="str">
        <f>IF(SubjectList!G71="Finance",Finance!G71,IF(SubjectList!G71="Production",Production!G71,IF(SubjectList!G71="Economics",Economics!G71)))</f>
        <v/>
      </c>
      <c r="AL71" s="120" t="str">
        <f>Finance!G71</f>
        <v/>
      </c>
      <c r="AM71" s="120" t="str">
        <f>Optional!H71</f>
        <v/>
      </c>
      <c r="AN71" s="120" t="str">
        <f>Optional!I71</f>
        <v/>
      </c>
      <c r="AO71" s="120" t="str">
        <f t="shared" si="28"/>
        <v/>
      </c>
      <c r="AP71" s="120">
        <f t="shared" si="29"/>
        <v>0</v>
      </c>
      <c r="AQ71" s="116" t="str">
        <f t="shared" si="30"/>
        <v/>
      </c>
      <c r="AR71" s="116" t="str">
        <f t="shared" si="31"/>
        <v/>
      </c>
      <c r="AS71" s="117">
        <f t="shared" si="32"/>
        <v>0</v>
      </c>
      <c r="AT71" s="118">
        <f t="shared" si="33"/>
        <v>0</v>
      </c>
      <c r="AU71" s="118">
        <f t="shared" si="34"/>
        <v>0</v>
      </c>
      <c r="AV71" s="118">
        <f t="shared" si="35"/>
        <v>0</v>
      </c>
      <c r="AW71" s="118">
        <f t="shared" si="36"/>
        <v>0</v>
      </c>
      <c r="AX71" s="118">
        <f t="shared" si="37"/>
        <v>0</v>
      </c>
      <c r="AY71" s="118">
        <f t="shared" si="38"/>
        <v>0</v>
      </c>
      <c r="AZ71" s="111">
        <f t="shared" si="39"/>
        <v>0</v>
      </c>
      <c r="BA71" s="111" t="str">
        <f t="shared" si="40"/>
        <v>F6</v>
      </c>
      <c r="BB71" s="117" t="str">
        <f>IF(AR71="","",RANK(AR71,AR$2:AR145,0))</f>
        <v/>
      </c>
      <c r="BC71" s="111" t="str">
        <f t="shared" si="41"/>
        <v/>
      </c>
    </row>
    <row r="72" spans="1:55" x14ac:dyDescent="0.35">
      <c r="A72" s="113">
        <f>'Student Basic Info'!A72</f>
        <v>571</v>
      </c>
      <c r="B72" s="113" t="str">
        <f>'Student Basic Info'!C72</f>
        <v>Nirob Chandra Dhupi</v>
      </c>
      <c r="C72" s="121" t="str">
        <f>IF(Bangla!B72="","",Bangla!B72)</f>
        <v/>
      </c>
      <c r="D72" s="121" t="str">
        <f>IF(Bangla!C72="","",Bangla!C72)</f>
        <v/>
      </c>
      <c r="E72" s="112" t="str">
        <f>IF(Bangla!D72="","",Bangla!D72)</f>
        <v/>
      </c>
      <c r="F72" s="112" t="str">
        <f>IF(English!C72="","",English!C72)</f>
        <v/>
      </c>
      <c r="G72" s="113" t="str">
        <f>IF(ICT!B72="","",ICT!B72)</f>
        <v/>
      </c>
      <c r="H72" s="113" t="str">
        <f>IF(ICT!C72="","",ICT!C72)</f>
        <v/>
      </c>
      <c r="I72" s="113" t="str">
        <f>IF(ICT!D72="","",ICT!D72)</f>
        <v/>
      </c>
      <c r="J72" s="114" t="str">
        <f>IF(ICT!E72="","",ICT!E72)</f>
        <v/>
      </c>
      <c r="K72" s="113" t="str">
        <f>IF(Accounting!B72="","",Accounting!B72)</f>
        <v/>
      </c>
      <c r="L72" s="113" t="str">
        <f>IF(Accounting!C72="","",Accounting!C72)</f>
        <v/>
      </c>
      <c r="M72" s="114" t="str">
        <f>IF(Accounting!D72="","",Accounting!D72)</f>
        <v/>
      </c>
      <c r="N72" s="113" t="str">
        <f>IF('Business Organization'!B72="","",'Business Organization'!B72)</f>
        <v/>
      </c>
      <c r="O72" s="113" t="str">
        <f>IF('Business Organization'!C72="","",'Business Organization'!C72)</f>
        <v/>
      </c>
      <c r="P72" s="114" t="str">
        <f>IF('Business Organization'!D72="","",'Business Organization'!D72)</f>
        <v/>
      </c>
      <c r="Q72" s="113" t="str">
        <f>IF(SubjectList!G72="Finance",IF(Finance!B72=0,"", Finance!B72),IF(SubjectList!G72="Production",IF(Production!B72=0,"", Production!B72),IF(SubjectList!G72="Economics",IF(Economics!B72=0,"", Economics!B72))))</f>
        <v/>
      </c>
      <c r="R72" s="113" t="str">
        <f>IF(SubjectList!G72="Finance",IF(Finance!C72=0,"", Finance!C72),IF(SubjectList!G72="Production",IF(Production!C72=0,"", Production!C72),IF(SubjectList!G72="Economics",IF(Economics!C72=0,"", Economics!C72))))</f>
        <v/>
      </c>
      <c r="S72" s="114" t="str">
        <f>IF(SubjectList!G72="Finance",IF(Finance!D72=0,"", Finance!D72),IF(SubjectList!G72="Production",IF(Production!D72=0,"", Production!D72),IF(SubjectList!G72="Economics",IF(Economics!D72=0,"", Economics!D72))))</f>
        <v/>
      </c>
      <c r="T72" s="113" t="str">
        <f>IF(SubjectList!H72="Finance",IF(Finance!B72=0,"", Finance!B72),IF(SubjectList!H72="Production",IF(Production!B72=0,"", Production!B72),IF(SubjectList!H72="Economics",IF(Economics!B72=0,"", Economics!B72))))</f>
        <v/>
      </c>
      <c r="U72" s="113" t="str">
        <f>IF(SubjectList!H72="Finance",IF(Finance!C72=0,"", Finance!C72),IF(SubjectList!H72="Production",IF(Production!C72=0,"", Production!C72),IF(SubjectList!H72="Economics",IF(Economics!C72=0,"", Economics!C72))))</f>
        <v/>
      </c>
      <c r="V72" s="114" t="str">
        <f>IF(SubjectList!H72="Finance",IF(Finance!D72=0,"", Finance!D72),IF(SubjectList!H72="Production",IF(Production!D72=0,"", Production!D72),IF(SubjectList!H72="Economics",IF(Economics!D72=0,"", Economics!D72))))</f>
        <v/>
      </c>
      <c r="W72" s="115" t="str">
        <f>IF(SubjectList!G72="Finance","Finance",IF(SubjectList!G72="Production","Production",IF(SubjectList!G72="Economics","Not Given")))</f>
        <v>Production</v>
      </c>
      <c r="X72" s="115" t="str">
        <f>IF(SubjectList!H72="Finance","Finance",IF(SubjectList!H72="Production","Production",IF(SubjectList!H72="Economics","Economics","Not Given")))</f>
        <v>Economics</v>
      </c>
      <c r="Y72" s="113" t="str">
        <f>Bangla!F72</f>
        <v/>
      </c>
      <c r="Z72" s="113" t="str">
        <f>English!E72</f>
        <v/>
      </c>
      <c r="AA72" s="113" t="str">
        <f>ICT!G72</f>
        <v/>
      </c>
      <c r="AB72" s="113" t="str">
        <f>Accounting!F72</f>
        <v/>
      </c>
      <c r="AC72" s="113" t="str">
        <f>'Business Organization'!F72</f>
        <v/>
      </c>
      <c r="AD72" s="113" t="str">
        <f>Production!F72</f>
        <v/>
      </c>
      <c r="AE72" s="113" t="str">
        <f>Finance!F72</f>
        <v/>
      </c>
      <c r="AF72" s="122" t="str">
        <f>Bangla!G72</f>
        <v/>
      </c>
      <c r="AG72" s="122" t="str">
        <f>English!F72</f>
        <v/>
      </c>
      <c r="AH72" s="120" t="str">
        <f>ICT!H72</f>
        <v/>
      </c>
      <c r="AI72" s="120" t="str">
        <f>Accounting!G72</f>
        <v/>
      </c>
      <c r="AJ72" s="120" t="str">
        <f>'Business Organization'!G72</f>
        <v/>
      </c>
      <c r="AK72" s="120" t="str">
        <f>IF(SubjectList!G72="Finance",Finance!G72,IF(SubjectList!G72="Production",Production!G72,IF(SubjectList!G72="Economics",Economics!G72)))</f>
        <v/>
      </c>
      <c r="AL72" s="120" t="str">
        <f>Finance!G72</f>
        <v/>
      </c>
      <c r="AM72" s="120" t="str">
        <f>Optional!H72</f>
        <v/>
      </c>
      <c r="AN72" s="120" t="str">
        <f>Optional!I72</f>
        <v/>
      </c>
      <c r="AO72" s="120" t="str">
        <f t="shared" si="28"/>
        <v/>
      </c>
      <c r="AP72" s="120">
        <f t="shared" si="29"/>
        <v>0</v>
      </c>
      <c r="AQ72" s="116" t="str">
        <f t="shared" si="30"/>
        <v/>
      </c>
      <c r="AR72" s="116" t="str">
        <f t="shared" si="31"/>
        <v/>
      </c>
      <c r="AS72" s="117">
        <f t="shared" si="32"/>
        <v>0</v>
      </c>
      <c r="AT72" s="118">
        <f t="shared" si="33"/>
        <v>0</v>
      </c>
      <c r="AU72" s="118">
        <f t="shared" si="34"/>
        <v>0</v>
      </c>
      <c r="AV72" s="118">
        <f t="shared" si="35"/>
        <v>0</v>
      </c>
      <c r="AW72" s="118">
        <f t="shared" si="36"/>
        <v>0</v>
      </c>
      <c r="AX72" s="118">
        <f t="shared" si="37"/>
        <v>0</v>
      </c>
      <c r="AY72" s="118">
        <f t="shared" si="38"/>
        <v>0</v>
      </c>
      <c r="AZ72" s="111">
        <f t="shared" si="39"/>
        <v>0</v>
      </c>
      <c r="BA72" s="111" t="str">
        <f t="shared" si="40"/>
        <v>F6</v>
      </c>
      <c r="BB72" s="117" t="str">
        <f>IF(AR72="","",RANK(AR72,AR$2:AR145,0))</f>
        <v/>
      </c>
      <c r="BC72" s="111" t="str">
        <f t="shared" si="41"/>
        <v/>
      </c>
    </row>
    <row r="73" spans="1:55" x14ac:dyDescent="0.35">
      <c r="A73" s="113">
        <f>'Student Basic Info'!A73</f>
        <v>572</v>
      </c>
      <c r="B73" s="113" t="str">
        <f>'Student Basic Info'!C73</f>
        <v>Abu Bokkor Siddik</v>
      </c>
      <c r="C73" s="121" t="str">
        <f>IF(Bangla!B73="","",Bangla!B73)</f>
        <v/>
      </c>
      <c r="D73" s="121">
        <f>IF(Bangla!C73="","",Bangla!C73)</f>
        <v>19</v>
      </c>
      <c r="E73" s="112">
        <f>IF(Bangla!D73="","",Bangla!D73)</f>
        <v>19</v>
      </c>
      <c r="F73" s="112">
        <f>IF(English!C73="","",English!C73)</f>
        <v>7</v>
      </c>
      <c r="G73" s="113">
        <f>IF(ICT!B73="","",ICT!B73)</f>
        <v>11</v>
      </c>
      <c r="H73" s="113">
        <f>IF(ICT!C73="","",ICT!C73)</f>
        <v>2</v>
      </c>
      <c r="I73" s="113">
        <f>IF(ICT!D73="","",ICT!D73)</f>
        <v>23</v>
      </c>
      <c r="J73" s="114">
        <f>IF(ICT!E73="","",ICT!E73)</f>
        <v>36</v>
      </c>
      <c r="K73" s="113">
        <f>IF(Accounting!B73="","",Accounting!B73)</f>
        <v>5</v>
      </c>
      <c r="L73" s="113">
        <f>IF(Accounting!C73="","",Accounting!C73)</f>
        <v>6</v>
      </c>
      <c r="M73" s="114">
        <f>IF(Accounting!D73="","",Accounting!D73)</f>
        <v>11</v>
      </c>
      <c r="N73" s="113">
        <f>IF('Business Organization'!B73="","",'Business Organization'!B73)</f>
        <v>16</v>
      </c>
      <c r="O73" s="113">
        <f>IF('Business Organization'!C73="","",'Business Organization'!C73)</f>
        <v>7</v>
      </c>
      <c r="P73" s="114">
        <f>IF('Business Organization'!D73="","",'Business Organization'!D73)</f>
        <v>23</v>
      </c>
      <c r="Q73" s="113">
        <f>IF(SubjectList!G73="Finance",IF(Finance!B73=0,"", Finance!B73),IF(SubjectList!G73="Production",IF(Production!B73=0,"", Production!B73),IF(SubjectList!G73="Economics",IF(Economics!B73=0,"", Economics!B73))))</f>
        <v>5</v>
      </c>
      <c r="R73" s="113">
        <f>IF(SubjectList!G73="Finance",IF(Finance!C73=0,"", Finance!C73),IF(SubjectList!G73="Production",IF(Production!C73=0,"", Production!C73),IF(SubjectList!G73="Economics",IF(Economics!C73=0,"", Economics!C73))))</f>
        <v>3</v>
      </c>
      <c r="S73" s="114">
        <f>IF(SubjectList!G73="Finance",IF(Finance!D73=0,"", Finance!D73),IF(SubjectList!G73="Production",IF(Production!D73=0,"", Production!D73),IF(SubjectList!G73="Economics",IF(Economics!D73=0,"", Economics!D73))))</f>
        <v>8</v>
      </c>
      <c r="T73" s="113">
        <f>IF(SubjectList!H73="Finance",IF(Finance!B73=0,"", Finance!B73),IF(SubjectList!H73="Production",IF(Production!B73=0,"", Production!B73),IF(SubjectList!H73="Economics",IF(Economics!B73=0,"", Economics!B73))))</f>
        <v>7</v>
      </c>
      <c r="U73" s="113">
        <f>IF(SubjectList!H73="Finance",IF(Finance!C73=0,"", Finance!C73),IF(SubjectList!H73="Production",IF(Production!C73=0,"", Production!C73),IF(SubjectList!H73="Economics",IF(Economics!C73=0,"", Economics!C73))))</f>
        <v>2</v>
      </c>
      <c r="V73" s="114">
        <f>IF(SubjectList!H73="Finance",IF(Finance!D73=0,"", Finance!D73),IF(SubjectList!H73="Production",IF(Production!D73=0,"", Production!D73),IF(SubjectList!H73="Economics",IF(Economics!D73=0,"", Economics!D73))))</f>
        <v>9</v>
      </c>
      <c r="W73" s="115" t="str">
        <f>IF(SubjectList!G73="Finance","Finance",IF(SubjectList!G73="Production","Production",IF(SubjectList!G73="Economics","Not Given")))</f>
        <v>Finance</v>
      </c>
      <c r="X73" s="115" t="str">
        <f>IF(SubjectList!H73="Finance","Finance",IF(SubjectList!H73="Production","Production",IF(SubjectList!H73="Economics","Economics","Not Given")))</f>
        <v>Production</v>
      </c>
      <c r="Y73" s="113" t="str">
        <f>Bangla!F73</f>
        <v>F</v>
      </c>
      <c r="Z73" s="113" t="str">
        <f>English!E73</f>
        <v>F</v>
      </c>
      <c r="AA73" s="113" t="str">
        <f>ICT!G73</f>
        <v>F</v>
      </c>
      <c r="AB73" s="113" t="str">
        <f>Accounting!F73</f>
        <v>F</v>
      </c>
      <c r="AC73" s="113" t="str">
        <f>'Business Organization'!F73</f>
        <v>F</v>
      </c>
      <c r="AD73" s="113" t="str">
        <f>Production!F73</f>
        <v>F</v>
      </c>
      <c r="AE73" s="113" t="str">
        <f>Finance!F73</f>
        <v>F</v>
      </c>
      <c r="AF73" s="122">
        <f>Bangla!G73</f>
        <v>0</v>
      </c>
      <c r="AG73" s="122">
        <f>English!F73</f>
        <v>0</v>
      </c>
      <c r="AH73" s="120">
        <f>ICT!H73</f>
        <v>0</v>
      </c>
      <c r="AI73" s="120">
        <f>Accounting!G73</f>
        <v>0</v>
      </c>
      <c r="AJ73" s="120">
        <f>'Business Organization'!G73</f>
        <v>0</v>
      </c>
      <c r="AK73" s="120">
        <f>IF(SubjectList!G73="Finance",Finance!G73,IF(SubjectList!G73="Production",Production!G73,IF(SubjectList!G73="Economics",Economics!G73)))</f>
        <v>0</v>
      </c>
      <c r="AL73" s="120">
        <f>Finance!G73</f>
        <v>0</v>
      </c>
      <c r="AM73" s="120">
        <f>Optional!H73</f>
        <v>0</v>
      </c>
      <c r="AN73" s="120">
        <f>Optional!I73</f>
        <v>0</v>
      </c>
      <c r="AO73" s="120" t="str">
        <f t="shared" si="28"/>
        <v/>
      </c>
      <c r="AP73" s="120">
        <f t="shared" si="29"/>
        <v>0</v>
      </c>
      <c r="AQ73" s="116" t="str">
        <f t="shared" si="30"/>
        <v/>
      </c>
      <c r="AR73" s="116" t="str">
        <f t="shared" si="31"/>
        <v/>
      </c>
      <c r="AS73" s="117">
        <f t="shared" si="32"/>
        <v>113</v>
      </c>
      <c r="AT73" s="118">
        <f t="shared" si="33"/>
        <v>0</v>
      </c>
      <c r="AU73" s="118">
        <f t="shared" si="34"/>
        <v>0</v>
      </c>
      <c r="AV73" s="118">
        <f t="shared" si="35"/>
        <v>0</v>
      </c>
      <c r="AW73" s="118">
        <f t="shared" si="36"/>
        <v>0</v>
      </c>
      <c r="AX73" s="118">
        <f t="shared" si="37"/>
        <v>0</v>
      </c>
      <c r="AY73" s="118">
        <f t="shared" si="38"/>
        <v>0</v>
      </c>
      <c r="AZ73" s="111">
        <f t="shared" si="39"/>
        <v>0</v>
      </c>
      <c r="BA73" s="111" t="str">
        <f t="shared" si="40"/>
        <v>F6</v>
      </c>
      <c r="BB73" s="117" t="str">
        <f>IF(AR73="","",RANK(AR73,AR$2:AR145,0))</f>
        <v/>
      </c>
      <c r="BC73" s="111" t="str">
        <f t="shared" si="41"/>
        <v/>
      </c>
    </row>
    <row r="74" spans="1:55" x14ac:dyDescent="0.35">
      <c r="A74" s="113">
        <f>'Student Basic Info'!A74</f>
        <v>573</v>
      </c>
      <c r="B74" s="113" t="str">
        <f>'Student Basic Info'!C74</f>
        <v>Sultan Ahammed Nafiz</v>
      </c>
      <c r="C74" s="121" t="str">
        <f>IF(Bangla!B74="","",Bangla!B74)</f>
        <v/>
      </c>
      <c r="D74" s="121">
        <f>IF(Bangla!C74="","",Bangla!C74)</f>
        <v>20</v>
      </c>
      <c r="E74" s="112">
        <f>IF(Bangla!D74="","",Bangla!D74)</f>
        <v>20</v>
      </c>
      <c r="F74" s="112">
        <f>IF(English!C74="","",English!C74)</f>
        <v>9</v>
      </c>
      <c r="G74" s="113">
        <f>IF(ICT!B74="","",ICT!B74)</f>
        <v>8</v>
      </c>
      <c r="H74" s="113">
        <f>IF(ICT!C74="","",ICT!C74)</f>
        <v>2</v>
      </c>
      <c r="I74" s="113">
        <f>IF(ICT!D74="","",ICT!D74)</f>
        <v>23</v>
      </c>
      <c r="J74" s="114">
        <f>IF(ICT!E74="","",ICT!E74)</f>
        <v>33</v>
      </c>
      <c r="K74" s="113">
        <f>IF(Accounting!B74="","",Accounting!B74)</f>
        <v>7</v>
      </c>
      <c r="L74" s="113">
        <f>IF(Accounting!C74="","",Accounting!C74)</f>
        <v>5</v>
      </c>
      <c r="M74" s="114">
        <f>IF(Accounting!D74="","",Accounting!D74)</f>
        <v>12</v>
      </c>
      <c r="N74" s="113">
        <f>IF('Business Organization'!B74="","",'Business Organization'!B74)</f>
        <v>13</v>
      </c>
      <c r="O74" s="113">
        <f>IF('Business Organization'!C74="","",'Business Organization'!C74)</f>
        <v>6</v>
      </c>
      <c r="P74" s="114">
        <f>IF('Business Organization'!D74="","",'Business Organization'!D74)</f>
        <v>19</v>
      </c>
      <c r="Q74" s="113">
        <f>IF(SubjectList!G74="Finance",IF(Finance!B74=0,"", Finance!B74),IF(SubjectList!G74="Production",IF(Production!B74=0,"", Production!B74),IF(SubjectList!G74="Economics",IF(Economics!B74=0,"", Economics!B74))))</f>
        <v>14</v>
      </c>
      <c r="R74" s="113">
        <f>IF(SubjectList!G74="Finance",IF(Finance!C74=0,"", Finance!C74),IF(SubjectList!G74="Production",IF(Production!C74=0,"", Production!C74),IF(SubjectList!G74="Economics",IF(Economics!C74=0,"", Economics!C74))))</f>
        <v>3</v>
      </c>
      <c r="S74" s="114">
        <f>IF(SubjectList!G74="Finance",IF(Finance!D74=0,"", Finance!D74),IF(SubjectList!G74="Production",IF(Production!D74=0,"", Production!D74),IF(SubjectList!G74="Economics",IF(Economics!D74=0,"", Economics!D74))))</f>
        <v>17</v>
      </c>
      <c r="T74" s="113">
        <f>IF(SubjectList!H74="Finance",IF(Finance!B74=0,"", Finance!B74),IF(SubjectList!H74="Production",IF(Production!B74=0,"", Production!B74),IF(SubjectList!H74="Economics",IF(Economics!B74=0,"", Economics!B74))))</f>
        <v>7</v>
      </c>
      <c r="U74" s="113">
        <f>IF(SubjectList!H74="Finance",IF(Finance!C74=0,"", Finance!C74),IF(SubjectList!H74="Production",IF(Production!C74=0,"", Production!C74),IF(SubjectList!H74="Economics",IF(Economics!C74=0,"", Economics!C74))))</f>
        <v>4</v>
      </c>
      <c r="V74" s="114">
        <f>IF(SubjectList!H74="Finance",IF(Finance!D74=0,"", Finance!D74),IF(SubjectList!H74="Production",IF(Production!D74=0,"", Production!D74),IF(SubjectList!H74="Economics",IF(Economics!D74=0,"", Economics!D74))))</f>
        <v>11</v>
      </c>
      <c r="W74" s="115" t="str">
        <f>IF(SubjectList!G74="Finance","Finance",IF(SubjectList!G74="Production","Production",IF(SubjectList!G74="Economics","Not Given")))</f>
        <v>Production</v>
      </c>
      <c r="X74" s="115" t="str">
        <f>IF(SubjectList!H74="Finance","Finance",IF(SubjectList!H74="Production","Production",IF(SubjectList!H74="Economics","Economics","Not Given")))</f>
        <v>Finance</v>
      </c>
      <c r="Y74" s="113" t="str">
        <f>Bangla!F74</f>
        <v>F</v>
      </c>
      <c r="Z74" s="113" t="str">
        <f>English!E74</f>
        <v>F</v>
      </c>
      <c r="AA74" s="113" t="str">
        <f>ICT!G74</f>
        <v>F</v>
      </c>
      <c r="AB74" s="113" t="str">
        <f>Accounting!F74</f>
        <v>F</v>
      </c>
      <c r="AC74" s="113" t="str">
        <f>'Business Organization'!F74</f>
        <v>F</v>
      </c>
      <c r="AD74" s="113" t="str">
        <f>Production!F74</f>
        <v>F</v>
      </c>
      <c r="AE74" s="113" t="str">
        <f>Finance!F74</f>
        <v>F</v>
      </c>
      <c r="AF74" s="122">
        <f>Bangla!G74</f>
        <v>0</v>
      </c>
      <c r="AG74" s="122">
        <f>English!F74</f>
        <v>0</v>
      </c>
      <c r="AH74" s="120">
        <f>ICT!H74</f>
        <v>0</v>
      </c>
      <c r="AI74" s="120">
        <f>Accounting!G74</f>
        <v>0</v>
      </c>
      <c r="AJ74" s="120">
        <f>'Business Organization'!G74</f>
        <v>0</v>
      </c>
      <c r="AK74" s="120">
        <f>IF(SubjectList!G74="Finance",Finance!G74,IF(SubjectList!G74="Production",Production!G74,IF(SubjectList!G74="Economics",Economics!G74)))</f>
        <v>0</v>
      </c>
      <c r="AL74" s="120">
        <f>Finance!G74</f>
        <v>0</v>
      </c>
      <c r="AM74" s="120">
        <f>Optional!H74</f>
        <v>0</v>
      </c>
      <c r="AN74" s="120">
        <f>Optional!I74</f>
        <v>0</v>
      </c>
      <c r="AO74" s="120" t="str">
        <f t="shared" si="28"/>
        <v/>
      </c>
      <c r="AP74" s="120">
        <f t="shared" si="29"/>
        <v>0</v>
      </c>
      <c r="AQ74" s="116" t="str">
        <f t="shared" si="30"/>
        <v/>
      </c>
      <c r="AR74" s="116" t="str">
        <f t="shared" si="31"/>
        <v/>
      </c>
      <c r="AS74" s="117">
        <f t="shared" si="32"/>
        <v>121</v>
      </c>
      <c r="AT74" s="118">
        <f t="shared" si="33"/>
        <v>0</v>
      </c>
      <c r="AU74" s="118">
        <f t="shared" si="34"/>
        <v>0</v>
      </c>
      <c r="AV74" s="118">
        <f t="shared" si="35"/>
        <v>0</v>
      </c>
      <c r="AW74" s="118">
        <f t="shared" si="36"/>
        <v>0</v>
      </c>
      <c r="AX74" s="118">
        <f t="shared" si="37"/>
        <v>0</v>
      </c>
      <c r="AY74" s="118">
        <f t="shared" si="38"/>
        <v>0</v>
      </c>
      <c r="AZ74" s="111">
        <f t="shared" si="39"/>
        <v>0</v>
      </c>
      <c r="BA74" s="111" t="str">
        <f t="shared" si="40"/>
        <v>F6</v>
      </c>
      <c r="BB74" s="117" t="str">
        <f>IF(AR74="","",RANK(AR74,AR$2:AR145,0))</f>
        <v/>
      </c>
      <c r="BC74" s="111" t="str">
        <f t="shared" si="41"/>
        <v/>
      </c>
    </row>
    <row r="75" spans="1:55" x14ac:dyDescent="0.35">
      <c r="A75" s="113">
        <f>'Student Basic Info'!A75</f>
        <v>574</v>
      </c>
      <c r="B75" s="113" t="str">
        <f>'Student Basic Info'!C75</f>
        <v xml:space="preserve">Mehedi Hasan </v>
      </c>
      <c r="C75" s="121" t="str">
        <f>IF(Bangla!B75="","",Bangla!B75)</f>
        <v/>
      </c>
      <c r="D75" s="121" t="str">
        <f>IF(Bangla!C75="","",Bangla!C75)</f>
        <v/>
      </c>
      <c r="E75" s="112" t="str">
        <f>IF(Bangla!D75="","",Bangla!D75)</f>
        <v/>
      </c>
      <c r="F75" s="112" t="str">
        <f>IF(English!C75="","",English!C75)</f>
        <v/>
      </c>
      <c r="G75" s="113">
        <f>IF(ICT!B75="","",ICT!B75)</f>
        <v>3</v>
      </c>
      <c r="H75" s="113">
        <f>IF(ICT!C75="","",ICT!C75)</f>
        <v>1</v>
      </c>
      <c r="I75" s="113">
        <f>IF(ICT!D75="","",ICT!D75)</f>
        <v>24</v>
      </c>
      <c r="J75" s="114">
        <f>IF(ICT!E75="","",ICT!E75)</f>
        <v>28</v>
      </c>
      <c r="K75" s="113">
        <f>IF(Accounting!B75="","",Accounting!B75)</f>
        <v>6</v>
      </c>
      <c r="L75" s="113">
        <f>IF(Accounting!C75="","",Accounting!C75)</f>
        <v>17</v>
      </c>
      <c r="M75" s="114">
        <f>IF(Accounting!D75="","",Accounting!D75)</f>
        <v>23</v>
      </c>
      <c r="N75" s="113">
        <f>IF('Business Organization'!B75="","",'Business Organization'!B75)</f>
        <v>10</v>
      </c>
      <c r="O75" s="113">
        <f>IF('Business Organization'!C75="","",'Business Organization'!C75)</f>
        <v>6</v>
      </c>
      <c r="P75" s="114">
        <f>IF('Business Organization'!D75="","",'Business Organization'!D75)</f>
        <v>16</v>
      </c>
      <c r="Q75" s="113">
        <f>IF(SubjectList!G75="Finance",IF(Finance!B75=0,"", Finance!B75),IF(SubjectList!G75="Production",IF(Production!B75=0,"", Production!B75),IF(SubjectList!G75="Economics",IF(Economics!B75=0,"", Economics!B75))))</f>
        <v>7</v>
      </c>
      <c r="R75" s="113">
        <f>IF(SubjectList!G75="Finance",IF(Finance!C75=0,"", Finance!C75),IF(SubjectList!G75="Production",IF(Production!C75=0,"", Production!C75),IF(SubjectList!G75="Economics",IF(Economics!C75=0,"", Economics!C75))))</f>
        <v>7</v>
      </c>
      <c r="S75" s="114">
        <f>IF(SubjectList!G75="Finance",IF(Finance!D75=0,"", Finance!D75),IF(SubjectList!G75="Production",IF(Production!D75=0,"", Production!D75),IF(SubjectList!G75="Economics",IF(Economics!D75=0,"", Economics!D75))))</f>
        <v>14</v>
      </c>
      <c r="T75" s="113" t="str">
        <f>IF(SubjectList!H75="Finance",IF(Finance!B75=0,"", Finance!B75),IF(SubjectList!H75="Production",IF(Production!B75=0,"", Production!B75),IF(SubjectList!H75="Economics",IF(Economics!B75=0,"", Economics!B75))))</f>
        <v/>
      </c>
      <c r="U75" s="113" t="str">
        <f>IF(SubjectList!H75="Finance",IF(Finance!C75=0,"", Finance!C75),IF(SubjectList!H75="Production",IF(Production!C75=0,"", Production!C75),IF(SubjectList!H75="Economics",IF(Economics!C75=0,"", Economics!C75))))</f>
        <v/>
      </c>
      <c r="V75" s="114" t="str">
        <f>IF(SubjectList!H75="Finance",IF(Finance!D75=0,"", Finance!D75),IF(SubjectList!H75="Production",IF(Production!D75=0,"", Production!D75),IF(SubjectList!H75="Economics",IF(Economics!D75=0,"", Economics!D75))))</f>
        <v/>
      </c>
      <c r="W75" s="115" t="str">
        <f>IF(SubjectList!G75="Finance","Finance",IF(SubjectList!G75="Production","Production",IF(SubjectList!G75="Economics","Not Given")))</f>
        <v>Finance</v>
      </c>
      <c r="X75" s="115" t="str">
        <f>IF(SubjectList!H75="Finance","Finance",IF(SubjectList!H75="Production","Production",IF(SubjectList!H75="Economics","Economics","Not Given")))</f>
        <v>Economics</v>
      </c>
      <c r="Y75" s="113" t="str">
        <f>Bangla!F75</f>
        <v/>
      </c>
      <c r="Z75" s="113" t="str">
        <f>English!E75</f>
        <v/>
      </c>
      <c r="AA75" s="113" t="str">
        <f>ICT!G75</f>
        <v>F</v>
      </c>
      <c r="AB75" s="113" t="str">
        <f>Accounting!F75</f>
        <v>F</v>
      </c>
      <c r="AC75" s="113" t="str">
        <f>'Business Organization'!F75</f>
        <v>F</v>
      </c>
      <c r="AD75" s="113" t="str">
        <f>Production!F75</f>
        <v>F</v>
      </c>
      <c r="AE75" s="113" t="str">
        <f>Finance!F75</f>
        <v>F</v>
      </c>
      <c r="AF75" s="122" t="str">
        <f>Bangla!G75</f>
        <v/>
      </c>
      <c r="AG75" s="122" t="str">
        <f>English!F75</f>
        <v/>
      </c>
      <c r="AH75" s="120">
        <f>ICT!H75</f>
        <v>0</v>
      </c>
      <c r="AI75" s="120">
        <f>Accounting!G75</f>
        <v>0</v>
      </c>
      <c r="AJ75" s="120">
        <f>'Business Organization'!G75</f>
        <v>0</v>
      </c>
      <c r="AK75" s="120">
        <f>IF(SubjectList!G75="Finance",Finance!G75,IF(SubjectList!G75="Production",Production!G75,IF(SubjectList!G75="Economics",Economics!G75)))</f>
        <v>0</v>
      </c>
      <c r="AL75" s="120">
        <f>Finance!G75</f>
        <v>0</v>
      </c>
      <c r="AM75" s="120" t="str">
        <f>Optional!H75</f>
        <v/>
      </c>
      <c r="AN75" s="120" t="str">
        <f>Optional!I75</f>
        <v/>
      </c>
      <c r="AO75" s="120" t="str">
        <f t="shared" si="28"/>
        <v/>
      </c>
      <c r="AP75" s="120">
        <f t="shared" si="29"/>
        <v>0</v>
      </c>
      <c r="AQ75" s="116" t="str">
        <f t="shared" si="30"/>
        <v/>
      </c>
      <c r="AR75" s="116" t="str">
        <f t="shared" si="31"/>
        <v/>
      </c>
      <c r="AS75" s="117">
        <f t="shared" si="32"/>
        <v>81</v>
      </c>
      <c r="AT75" s="118">
        <f t="shared" si="33"/>
        <v>0</v>
      </c>
      <c r="AU75" s="118">
        <f t="shared" si="34"/>
        <v>0</v>
      </c>
      <c r="AV75" s="118">
        <f t="shared" si="35"/>
        <v>0</v>
      </c>
      <c r="AW75" s="118">
        <f t="shared" si="36"/>
        <v>0</v>
      </c>
      <c r="AX75" s="118">
        <f t="shared" si="37"/>
        <v>0</v>
      </c>
      <c r="AY75" s="118">
        <f t="shared" si="38"/>
        <v>0</v>
      </c>
      <c r="AZ75" s="111">
        <f t="shared" si="39"/>
        <v>0</v>
      </c>
      <c r="BA75" s="111" t="str">
        <f t="shared" si="40"/>
        <v>F6</v>
      </c>
      <c r="BB75" s="117" t="str">
        <f>IF(AR75="","",RANK(AR75,AR$2:AR145,0))</f>
        <v/>
      </c>
      <c r="BC75" s="111" t="str">
        <f t="shared" si="41"/>
        <v/>
      </c>
    </row>
    <row r="76" spans="1:55" x14ac:dyDescent="0.35">
      <c r="A76" s="113">
        <f>'Student Basic Info'!A76</f>
        <v>575</v>
      </c>
      <c r="B76" s="113" t="str">
        <f>'Student Basic Info'!C76</f>
        <v>Torikul Islam</v>
      </c>
      <c r="C76" s="121" t="str">
        <f>IF(Bangla!B76="","",Bangla!B76)</f>
        <v/>
      </c>
      <c r="D76" s="121" t="str">
        <f>IF(Bangla!C76="","",Bangla!C76)</f>
        <v/>
      </c>
      <c r="E76" s="112" t="str">
        <f>IF(Bangla!D76="","",Bangla!D76)</f>
        <v/>
      </c>
      <c r="F76" s="112" t="str">
        <f>IF(English!C76="","",English!C76)</f>
        <v/>
      </c>
      <c r="G76" s="113" t="str">
        <f>IF(ICT!B76="","",ICT!B76)</f>
        <v/>
      </c>
      <c r="H76" s="113" t="str">
        <f>IF(ICT!C76="","",ICT!C76)</f>
        <v/>
      </c>
      <c r="I76" s="113" t="str">
        <f>IF(ICT!D76="","",ICT!D76)</f>
        <v/>
      </c>
      <c r="J76" s="114" t="str">
        <f>IF(ICT!E76="","",ICT!E76)</f>
        <v/>
      </c>
      <c r="K76" s="113" t="str">
        <f>IF(Accounting!B76="","",Accounting!B76)</f>
        <v/>
      </c>
      <c r="L76" s="113" t="str">
        <f>IF(Accounting!C76="","",Accounting!C76)</f>
        <v/>
      </c>
      <c r="M76" s="114" t="str">
        <f>IF(Accounting!D76="","",Accounting!D76)</f>
        <v/>
      </c>
      <c r="N76" s="113" t="str">
        <f>IF('Business Organization'!B76="","",'Business Organization'!B76)</f>
        <v/>
      </c>
      <c r="O76" s="113" t="str">
        <f>IF('Business Organization'!C76="","",'Business Organization'!C76)</f>
        <v/>
      </c>
      <c r="P76" s="114" t="str">
        <f>IF('Business Organization'!D76="","",'Business Organization'!D76)</f>
        <v/>
      </c>
      <c r="Q76" s="113" t="str">
        <f>IF(SubjectList!G76="Finance",IF(Finance!B76=0,"", Finance!B76),IF(SubjectList!G76="Production",IF(Production!B76=0,"", Production!B76),IF(SubjectList!G76="Economics",IF(Economics!B76=0,"", Economics!B76))))</f>
        <v/>
      </c>
      <c r="R76" s="113" t="str">
        <f>IF(SubjectList!G76="Finance",IF(Finance!C76=0,"", Finance!C76),IF(SubjectList!G76="Production",IF(Production!C76=0,"", Production!C76),IF(SubjectList!G76="Economics",IF(Economics!C76=0,"", Economics!C76))))</f>
        <v/>
      </c>
      <c r="S76" s="114" t="str">
        <f>IF(SubjectList!G76="Finance",IF(Finance!D76=0,"", Finance!D76),IF(SubjectList!G76="Production",IF(Production!D76=0,"", Production!D76),IF(SubjectList!G76="Economics",IF(Economics!D76=0,"", Economics!D76))))</f>
        <v/>
      </c>
      <c r="T76" s="113" t="str">
        <f>IF(SubjectList!H76="Finance",IF(Finance!B76=0,"", Finance!B76),IF(SubjectList!H76="Production",IF(Production!B76=0,"", Production!B76),IF(SubjectList!H76="Economics",IF(Economics!B76=0,"", Economics!B76))))</f>
        <v/>
      </c>
      <c r="U76" s="113" t="str">
        <f>IF(SubjectList!H76="Finance",IF(Finance!C76=0,"", Finance!C76),IF(SubjectList!H76="Production",IF(Production!C76=0,"", Production!C76),IF(SubjectList!H76="Economics",IF(Economics!C76=0,"", Economics!C76))))</f>
        <v/>
      </c>
      <c r="V76" s="114" t="str">
        <f>IF(SubjectList!H76="Finance",IF(Finance!D76=0,"", Finance!D76),IF(SubjectList!H76="Production",IF(Production!D76=0,"", Production!D76),IF(SubjectList!H76="Economics",IF(Economics!D76=0,"", Economics!D76))))</f>
        <v/>
      </c>
      <c r="W76" s="115" t="str">
        <f>IF(SubjectList!G76="Finance","Finance",IF(SubjectList!G76="Production","Production",IF(SubjectList!G76="Economics","Not Given")))</f>
        <v>Finance</v>
      </c>
      <c r="X76" s="115" t="str">
        <f>IF(SubjectList!H76="Finance","Finance",IF(SubjectList!H76="Production","Production",IF(SubjectList!H76="Economics","Economics","Not Given")))</f>
        <v>Economics</v>
      </c>
      <c r="Y76" s="113" t="str">
        <f>Bangla!F76</f>
        <v/>
      </c>
      <c r="Z76" s="113" t="str">
        <f>English!E76</f>
        <v/>
      </c>
      <c r="AA76" s="113" t="str">
        <f>ICT!G76</f>
        <v/>
      </c>
      <c r="AB76" s="113" t="str">
        <f>Accounting!F76</f>
        <v/>
      </c>
      <c r="AC76" s="113" t="str">
        <f>'Business Organization'!F76</f>
        <v/>
      </c>
      <c r="AD76" s="113" t="str">
        <f>Production!F76</f>
        <v/>
      </c>
      <c r="AE76" s="113" t="str">
        <f>Finance!F76</f>
        <v/>
      </c>
      <c r="AF76" s="122" t="str">
        <f>Bangla!G76</f>
        <v/>
      </c>
      <c r="AG76" s="122" t="str">
        <f>English!F76</f>
        <v/>
      </c>
      <c r="AH76" s="120" t="str">
        <f>ICT!H76</f>
        <v/>
      </c>
      <c r="AI76" s="120" t="str">
        <f>Accounting!G76</f>
        <v/>
      </c>
      <c r="AJ76" s="120" t="str">
        <f>'Business Organization'!G76</f>
        <v/>
      </c>
      <c r="AK76" s="120" t="str">
        <f>IF(SubjectList!G76="Finance",Finance!G76,IF(SubjectList!G76="Production",Production!G76,IF(SubjectList!G76="Economics",Economics!G76)))</f>
        <v/>
      </c>
      <c r="AL76" s="120" t="str">
        <f>Finance!G76</f>
        <v/>
      </c>
      <c r="AM76" s="120" t="str">
        <f>Optional!H76</f>
        <v/>
      </c>
      <c r="AN76" s="120" t="str">
        <f>Optional!I76</f>
        <v/>
      </c>
      <c r="AO76" s="120" t="str">
        <f t="shared" si="28"/>
        <v/>
      </c>
      <c r="AP76" s="120">
        <f t="shared" si="29"/>
        <v>0</v>
      </c>
      <c r="AQ76" s="116" t="str">
        <f t="shared" si="30"/>
        <v/>
      </c>
      <c r="AR76" s="116" t="str">
        <f t="shared" si="31"/>
        <v/>
      </c>
      <c r="AS76" s="117">
        <f t="shared" si="32"/>
        <v>0</v>
      </c>
      <c r="AT76" s="118">
        <f t="shared" si="33"/>
        <v>0</v>
      </c>
      <c r="AU76" s="118">
        <f t="shared" si="34"/>
        <v>0</v>
      </c>
      <c r="AV76" s="118">
        <f t="shared" si="35"/>
        <v>0</v>
      </c>
      <c r="AW76" s="118">
        <f t="shared" si="36"/>
        <v>0</v>
      </c>
      <c r="AX76" s="118">
        <f t="shared" si="37"/>
        <v>0</v>
      </c>
      <c r="AY76" s="118">
        <f t="shared" si="38"/>
        <v>0</v>
      </c>
      <c r="AZ76" s="111">
        <f t="shared" si="39"/>
        <v>0</v>
      </c>
      <c r="BA76" s="111" t="str">
        <f t="shared" si="40"/>
        <v>F6</v>
      </c>
      <c r="BB76" s="117" t="str">
        <f>IF(AR76="","",RANK(AR76,AR$2:AR145,0))</f>
        <v/>
      </c>
      <c r="BC76" s="111" t="str">
        <f t="shared" si="41"/>
        <v/>
      </c>
    </row>
    <row r="77" spans="1:55" x14ac:dyDescent="0.35">
      <c r="A77" s="113">
        <f>'Student Basic Info'!A77</f>
        <v>576</v>
      </c>
      <c r="B77" s="113" t="str">
        <f>'Student Basic Info'!C77</f>
        <v>Irin Aktar</v>
      </c>
      <c r="C77" s="121" t="str">
        <f>IF(Bangla!B77="","",Bangla!B77)</f>
        <v/>
      </c>
      <c r="D77" s="121" t="str">
        <f>IF(Bangla!C77="","",Bangla!C77)</f>
        <v/>
      </c>
      <c r="E77" s="112" t="str">
        <f>IF(Bangla!D77="","",Bangla!D77)</f>
        <v/>
      </c>
      <c r="F77" s="112" t="str">
        <f>IF(English!C77="","",English!C77)</f>
        <v/>
      </c>
      <c r="G77" s="113" t="str">
        <f>IF(ICT!B77="","",ICT!B77)</f>
        <v/>
      </c>
      <c r="H77" s="113" t="str">
        <f>IF(ICT!C77="","",ICT!C77)</f>
        <v/>
      </c>
      <c r="I77" s="113" t="str">
        <f>IF(ICT!D77="","",ICT!D77)</f>
        <v/>
      </c>
      <c r="J77" s="114" t="str">
        <f>IF(ICT!E77="","",ICT!E77)</f>
        <v/>
      </c>
      <c r="K77" s="113" t="str">
        <f>IF(Accounting!B77="","",Accounting!B77)</f>
        <v/>
      </c>
      <c r="L77" s="113" t="str">
        <f>IF(Accounting!C77="","",Accounting!C77)</f>
        <v/>
      </c>
      <c r="M77" s="114" t="str">
        <f>IF(Accounting!D77="","",Accounting!D77)</f>
        <v/>
      </c>
      <c r="N77" s="113" t="str">
        <f>IF('Business Organization'!B77="","",'Business Organization'!B77)</f>
        <v/>
      </c>
      <c r="O77" s="113" t="str">
        <f>IF('Business Organization'!C77="","",'Business Organization'!C77)</f>
        <v/>
      </c>
      <c r="P77" s="114" t="str">
        <f>IF('Business Organization'!D77="","",'Business Organization'!D77)</f>
        <v/>
      </c>
      <c r="Q77" s="113" t="str">
        <f>IF(SubjectList!G77="Finance",IF(Finance!B77=0,"", Finance!B77),IF(SubjectList!G77="Production",IF(Production!B77=0,"", Production!B77),IF(SubjectList!G77="Economics",IF(Economics!B77=0,"", Economics!B77))))</f>
        <v/>
      </c>
      <c r="R77" s="113" t="str">
        <f>IF(SubjectList!G77="Finance",IF(Finance!C77=0,"", Finance!C77),IF(SubjectList!G77="Production",IF(Production!C77=0,"", Production!C77),IF(SubjectList!G77="Economics",IF(Economics!C77=0,"", Economics!C77))))</f>
        <v/>
      </c>
      <c r="S77" s="114" t="str">
        <f>IF(SubjectList!G77="Finance",IF(Finance!D77=0,"", Finance!D77),IF(SubjectList!G77="Production",IF(Production!D77=0,"", Production!D77),IF(SubjectList!G77="Economics",IF(Economics!D77=0,"", Economics!D77))))</f>
        <v/>
      </c>
      <c r="T77" s="113" t="str">
        <f>IF(SubjectList!H77="Finance",IF(Finance!B77=0,"", Finance!B77),IF(SubjectList!H77="Production",IF(Production!B77=0,"", Production!B77),IF(SubjectList!H77="Economics",IF(Economics!B77=0,"", Economics!B77))))</f>
        <v/>
      </c>
      <c r="U77" s="113" t="str">
        <f>IF(SubjectList!H77="Finance",IF(Finance!C77=0,"", Finance!C77),IF(SubjectList!H77="Production",IF(Production!C77=0,"", Production!C77),IF(SubjectList!H77="Economics",IF(Economics!C77=0,"", Economics!C77))))</f>
        <v/>
      </c>
      <c r="V77" s="114" t="str">
        <f>IF(SubjectList!H77="Finance",IF(Finance!D77=0,"", Finance!D77),IF(SubjectList!H77="Production",IF(Production!D77=0,"", Production!D77),IF(SubjectList!H77="Economics",IF(Economics!D77=0,"", Economics!D77))))</f>
        <v/>
      </c>
      <c r="W77" s="115" t="str">
        <f>IF(SubjectList!G77="Finance","Finance",IF(SubjectList!G77="Production","Production",IF(SubjectList!G77="Economics","Not Given")))</f>
        <v>Finance</v>
      </c>
      <c r="X77" s="115" t="str">
        <f>IF(SubjectList!H77="Finance","Finance",IF(SubjectList!H77="Production","Production",IF(SubjectList!H77="Economics","Economics","Not Given")))</f>
        <v>Production</v>
      </c>
      <c r="Y77" s="113" t="str">
        <f>Bangla!F77</f>
        <v/>
      </c>
      <c r="Z77" s="113" t="str">
        <f>English!E77</f>
        <v/>
      </c>
      <c r="AA77" s="113" t="str">
        <f>ICT!G77</f>
        <v/>
      </c>
      <c r="AB77" s="113" t="str">
        <f>Accounting!F77</f>
        <v/>
      </c>
      <c r="AC77" s="113" t="str">
        <f>'Business Organization'!F77</f>
        <v/>
      </c>
      <c r="AD77" s="113" t="str">
        <f>Production!F77</f>
        <v/>
      </c>
      <c r="AE77" s="113" t="str">
        <f>Finance!F77</f>
        <v/>
      </c>
      <c r="AF77" s="122" t="str">
        <f>Bangla!G77</f>
        <v/>
      </c>
      <c r="AG77" s="122" t="str">
        <f>English!F77</f>
        <v/>
      </c>
      <c r="AH77" s="120" t="str">
        <f>ICT!H77</f>
        <v/>
      </c>
      <c r="AI77" s="120" t="str">
        <f>Accounting!G77</f>
        <v/>
      </c>
      <c r="AJ77" s="120" t="str">
        <f>'Business Organization'!G77</f>
        <v/>
      </c>
      <c r="AK77" s="120" t="str">
        <f>IF(SubjectList!G77="Finance",Finance!G77,IF(SubjectList!G77="Production",Production!G77,IF(SubjectList!G77="Economics",Economics!G77)))</f>
        <v/>
      </c>
      <c r="AL77" s="120" t="str">
        <f>Finance!G77</f>
        <v/>
      </c>
      <c r="AM77" s="120" t="str">
        <f>Optional!H77</f>
        <v/>
      </c>
      <c r="AN77" s="120" t="str">
        <f>Optional!I77</f>
        <v/>
      </c>
      <c r="AO77" s="120" t="str">
        <f t="shared" si="28"/>
        <v/>
      </c>
      <c r="AP77" s="120">
        <f t="shared" si="29"/>
        <v>0</v>
      </c>
      <c r="AQ77" s="116" t="str">
        <f t="shared" si="30"/>
        <v/>
      </c>
      <c r="AR77" s="116" t="str">
        <f t="shared" si="31"/>
        <v/>
      </c>
      <c r="AS77" s="117">
        <f t="shared" si="32"/>
        <v>0</v>
      </c>
      <c r="AT77" s="118">
        <f t="shared" si="33"/>
        <v>0</v>
      </c>
      <c r="AU77" s="118">
        <f t="shared" si="34"/>
        <v>0</v>
      </c>
      <c r="AV77" s="118">
        <f t="shared" si="35"/>
        <v>0</v>
      </c>
      <c r="AW77" s="118">
        <f t="shared" si="36"/>
        <v>0</v>
      </c>
      <c r="AX77" s="118">
        <f t="shared" si="37"/>
        <v>0</v>
      </c>
      <c r="AY77" s="118">
        <f t="shared" si="38"/>
        <v>0</v>
      </c>
      <c r="AZ77" s="111">
        <f t="shared" si="39"/>
        <v>0</v>
      </c>
      <c r="BA77" s="111" t="str">
        <f t="shared" si="40"/>
        <v>F6</v>
      </c>
      <c r="BB77" s="117" t="str">
        <f>IF(AR77="","",RANK(AR77,AR$2:AR145,0))</f>
        <v/>
      </c>
      <c r="BC77" s="111" t="str">
        <f t="shared" si="41"/>
        <v/>
      </c>
    </row>
    <row r="78" spans="1:55" x14ac:dyDescent="0.35">
      <c r="A78" s="113">
        <f>'Student Basic Info'!A78</f>
        <v>577</v>
      </c>
      <c r="B78" s="113" t="str">
        <f>'Student Basic Info'!C78</f>
        <v>Karimul Islam</v>
      </c>
      <c r="C78" s="121" t="str">
        <f>IF(Bangla!B78="","",Bangla!B78)</f>
        <v/>
      </c>
      <c r="D78" s="121">
        <f>IF(Bangla!C78="","",Bangla!C78)</f>
        <v>33</v>
      </c>
      <c r="E78" s="112">
        <f>IF(Bangla!D78="","",Bangla!D78)</f>
        <v>33</v>
      </c>
      <c r="F78" s="112">
        <f>IF(English!C78="","",English!C78)</f>
        <v>12</v>
      </c>
      <c r="G78" s="113">
        <f>IF(ICT!B78="","",ICT!B78)</f>
        <v>9</v>
      </c>
      <c r="H78" s="113">
        <f>IF(ICT!C78="","",ICT!C78)</f>
        <v>4</v>
      </c>
      <c r="I78" s="113">
        <f>IF(ICT!D78="","",ICT!D78)</f>
        <v>23</v>
      </c>
      <c r="J78" s="114">
        <f>IF(ICT!E78="","",ICT!E78)</f>
        <v>36</v>
      </c>
      <c r="K78" s="113">
        <f>IF(Accounting!B78="","",Accounting!B78)</f>
        <v>8</v>
      </c>
      <c r="L78" s="113">
        <f>IF(Accounting!C78="","",Accounting!C78)</f>
        <v>12</v>
      </c>
      <c r="M78" s="114">
        <f>IF(Accounting!D78="","",Accounting!D78)</f>
        <v>20</v>
      </c>
      <c r="N78" s="113">
        <f>IF('Business Organization'!B78="","",'Business Organization'!B78)</f>
        <v>17</v>
      </c>
      <c r="O78" s="113">
        <f>IF('Business Organization'!C78="","",'Business Organization'!C78)</f>
        <v>10</v>
      </c>
      <c r="P78" s="114">
        <f>IF('Business Organization'!D78="","",'Business Organization'!D78)</f>
        <v>27</v>
      </c>
      <c r="Q78" s="113">
        <f>IF(SubjectList!G78="Finance",IF(Finance!B78=0,"", Finance!B78),IF(SubjectList!G78="Production",IF(Production!B78=0,"", Production!B78),IF(SubjectList!G78="Economics",IF(Economics!B78=0,"", Economics!B78))))</f>
        <v>6</v>
      </c>
      <c r="R78" s="113">
        <f>IF(SubjectList!G78="Finance",IF(Finance!C78=0,"", Finance!C78),IF(SubjectList!G78="Production",IF(Production!C78=0,"", Production!C78),IF(SubjectList!G78="Economics",IF(Economics!C78=0,"", Economics!C78))))</f>
        <v>11</v>
      </c>
      <c r="S78" s="114">
        <f>IF(SubjectList!G78="Finance",IF(Finance!D78=0,"", Finance!D78),IF(SubjectList!G78="Production",IF(Production!D78=0,"", Production!D78),IF(SubjectList!G78="Economics",IF(Economics!D78=0,"", Economics!D78))))</f>
        <v>17</v>
      </c>
      <c r="T78" s="113">
        <f>IF(SubjectList!H78="Finance",IF(Finance!B78=0,"", Finance!B78),IF(SubjectList!H78="Production",IF(Production!B78=0,"", Production!B78),IF(SubjectList!H78="Economics",IF(Economics!B78=0,"", Economics!B78))))</f>
        <v>10</v>
      </c>
      <c r="U78" s="113">
        <f>IF(SubjectList!H78="Finance",IF(Finance!C78=0,"", Finance!C78),IF(SubjectList!H78="Production",IF(Production!C78=0,"", Production!C78),IF(SubjectList!H78="Economics",IF(Economics!C78=0,"", Economics!C78))))</f>
        <v>23</v>
      </c>
      <c r="V78" s="114">
        <f>IF(SubjectList!H78="Finance",IF(Finance!D78=0,"", Finance!D78),IF(SubjectList!H78="Production",IF(Production!D78=0,"", Production!D78),IF(SubjectList!H78="Economics",IF(Economics!D78=0,"", Economics!D78))))</f>
        <v>33</v>
      </c>
      <c r="W78" s="115" t="str">
        <f>IF(SubjectList!G78="Finance","Finance",IF(SubjectList!G78="Production","Production",IF(SubjectList!G78="Economics","Not Given")))</f>
        <v>Finance</v>
      </c>
      <c r="X78" s="115" t="str">
        <f>IF(SubjectList!H78="Finance","Finance",IF(SubjectList!H78="Production","Production",IF(SubjectList!H78="Economics","Economics","Not Given")))</f>
        <v>Production</v>
      </c>
      <c r="Y78" s="113" t="str">
        <f>Bangla!F78</f>
        <v>D</v>
      </c>
      <c r="Z78" s="113" t="str">
        <f>English!E78</f>
        <v>F</v>
      </c>
      <c r="AA78" s="113" t="str">
        <f>ICT!G78</f>
        <v>F</v>
      </c>
      <c r="AB78" s="113" t="str">
        <f>Accounting!F78</f>
        <v>F</v>
      </c>
      <c r="AC78" s="113" t="str">
        <f>'Business Organization'!F78</f>
        <v>F</v>
      </c>
      <c r="AD78" s="113" t="str">
        <f>Production!F78</f>
        <v>D</v>
      </c>
      <c r="AE78" s="113" t="str">
        <f>Finance!F78</f>
        <v>F</v>
      </c>
      <c r="AF78" s="122">
        <f>Bangla!G78</f>
        <v>1</v>
      </c>
      <c r="AG78" s="122">
        <f>English!F78</f>
        <v>0</v>
      </c>
      <c r="AH78" s="120">
        <f>ICT!H78</f>
        <v>0</v>
      </c>
      <c r="AI78" s="120">
        <f>Accounting!G78</f>
        <v>0</v>
      </c>
      <c r="AJ78" s="120">
        <f>'Business Organization'!G78</f>
        <v>0</v>
      </c>
      <c r="AK78" s="120">
        <f>IF(SubjectList!G78="Finance",Finance!G78,IF(SubjectList!G78="Production",Production!G78,IF(SubjectList!G78="Economics",Economics!G78)))</f>
        <v>0</v>
      </c>
      <c r="AL78" s="120">
        <f>Finance!G78</f>
        <v>0</v>
      </c>
      <c r="AM78" s="120">
        <f>Optional!H78</f>
        <v>1</v>
      </c>
      <c r="AN78" s="120">
        <f>Optional!I78</f>
        <v>0</v>
      </c>
      <c r="AO78" s="120">
        <f t="shared" si="28"/>
        <v>1</v>
      </c>
      <c r="AP78" s="120">
        <f t="shared" si="29"/>
        <v>1</v>
      </c>
      <c r="AQ78" s="116" t="str">
        <f t="shared" si="30"/>
        <v/>
      </c>
      <c r="AR78" s="116" t="str">
        <f t="shared" si="31"/>
        <v/>
      </c>
      <c r="AS78" s="117">
        <f t="shared" si="32"/>
        <v>178</v>
      </c>
      <c r="AT78" s="118">
        <f t="shared" si="33"/>
        <v>1</v>
      </c>
      <c r="AU78" s="118">
        <f t="shared" si="34"/>
        <v>0</v>
      </c>
      <c r="AV78" s="118">
        <f t="shared" si="35"/>
        <v>0</v>
      </c>
      <c r="AW78" s="118">
        <f t="shared" si="36"/>
        <v>0</v>
      </c>
      <c r="AX78" s="118">
        <f t="shared" si="37"/>
        <v>0</v>
      </c>
      <c r="AY78" s="118">
        <f t="shared" si="38"/>
        <v>0</v>
      </c>
      <c r="AZ78" s="111">
        <f t="shared" si="39"/>
        <v>1</v>
      </c>
      <c r="BA78" s="111" t="str">
        <f t="shared" si="40"/>
        <v>F5</v>
      </c>
      <c r="BB78" s="117" t="str">
        <f>IF(AR78="","",RANK(AR78,AR$2:AR145,0))</f>
        <v/>
      </c>
      <c r="BC78" s="111" t="str">
        <f t="shared" si="41"/>
        <v/>
      </c>
    </row>
    <row r="79" spans="1:55" x14ac:dyDescent="0.35">
      <c r="A79" s="113">
        <f>'Student Basic Info'!A79</f>
        <v>578</v>
      </c>
      <c r="B79" s="113" t="str">
        <f>'Student Basic Info'!C79</f>
        <v>Omor Faruque</v>
      </c>
      <c r="C79" s="121" t="str">
        <f>IF(Bangla!B79="","",Bangla!B79)</f>
        <v/>
      </c>
      <c r="D79" s="121" t="str">
        <f>IF(Bangla!C79="","",Bangla!C79)</f>
        <v/>
      </c>
      <c r="E79" s="112" t="str">
        <f>IF(Bangla!D79="","",Bangla!D79)</f>
        <v/>
      </c>
      <c r="F79" s="112" t="str">
        <f>IF(English!C79="","",English!C79)</f>
        <v/>
      </c>
      <c r="G79" s="113" t="str">
        <f>IF(ICT!B79="","",ICT!B79)</f>
        <v/>
      </c>
      <c r="H79" s="113" t="str">
        <f>IF(ICT!C79="","",ICT!C79)</f>
        <v/>
      </c>
      <c r="I79" s="113" t="str">
        <f>IF(ICT!D79="","",ICT!D79)</f>
        <v/>
      </c>
      <c r="J79" s="114" t="str">
        <f>IF(ICT!E79="","",ICT!E79)</f>
        <v/>
      </c>
      <c r="K79" s="113" t="str">
        <f>IF(Accounting!B79="","",Accounting!B79)</f>
        <v/>
      </c>
      <c r="L79" s="113" t="str">
        <f>IF(Accounting!C79="","",Accounting!C79)</f>
        <v/>
      </c>
      <c r="M79" s="114" t="str">
        <f>IF(Accounting!D79="","",Accounting!D79)</f>
        <v/>
      </c>
      <c r="N79" s="113" t="str">
        <f>IF('Business Organization'!B79="","",'Business Organization'!B79)</f>
        <v/>
      </c>
      <c r="O79" s="113" t="str">
        <f>IF('Business Organization'!C79="","",'Business Organization'!C79)</f>
        <v/>
      </c>
      <c r="P79" s="114" t="str">
        <f>IF('Business Organization'!D79="","",'Business Organization'!D79)</f>
        <v/>
      </c>
      <c r="Q79" s="113" t="str">
        <f>IF(SubjectList!G79="Finance",IF(Finance!B79=0,"", Finance!B79),IF(SubjectList!G79="Production",IF(Production!B79=0,"", Production!B79),IF(SubjectList!G79="Economics",IF(Economics!B79=0,"", Economics!B79))))</f>
        <v/>
      </c>
      <c r="R79" s="113" t="str">
        <f>IF(SubjectList!G79="Finance",IF(Finance!C79=0,"", Finance!C79),IF(SubjectList!G79="Production",IF(Production!C79=0,"", Production!C79),IF(SubjectList!G79="Economics",IF(Economics!C79=0,"", Economics!C79))))</f>
        <v/>
      </c>
      <c r="S79" s="114" t="str">
        <f>IF(SubjectList!G79="Finance",IF(Finance!D79=0,"", Finance!D79),IF(SubjectList!G79="Production",IF(Production!D79=0,"", Production!D79),IF(SubjectList!G79="Economics",IF(Economics!D79=0,"", Economics!D79))))</f>
        <v/>
      </c>
      <c r="T79" s="113" t="str">
        <f>IF(SubjectList!H79="Finance",IF(Finance!B79=0,"", Finance!B79),IF(SubjectList!H79="Production",IF(Production!B79=0,"", Production!B79),IF(SubjectList!H79="Economics",IF(Economics!B79=0,"", Economics!B79))))</f>
        <v/>
      </c>
      <c r="U79" s="113" t="str">
        <f>IF(SubjectList!H79="Finance",IF(Finance!C79=0,"", Finance!C79),IF(SubjectList!H79="Production",IF(Production!C79=0,"", Production!C79),IF(SubjectList!H79="Economics",IF(Economics!C79=0,"", Economics!C79))))</f>
        <v/>
      </c>
      <c r="V79" s="114" t="str">
        <f>IF(SubjectList!H79="Finance",IF(Finance!D79=0,"", Finance!D79),IF(SubjectList!H79="Production",IF(Production!D79=0,"", Production!D79),IF(SubjectList!H79="Economics",IF(Economics!D79=0,"", Economics!D79))))</f>
        <v/>
      </c>
      <c r="W79" s="115" t="str">
        <f>IF(SubjectList!G79="Finance","Finance",IF(SubjectList!G79="Production","Production",IF(SubjectList!G79="Economics","Not Given")))</f>
        <v>Finance</v>
      </c>
      <c r="X79" s="115" t="str">
        <f>IF(SubjectList!H79="Finance","Finance",IF(SubjectList!H79="Production","Production",IF(SubjectList!H79="Economics","Economics","Not Given")))</f>
        <v>Production</v>
      </c>
      <c r="Y79" s="113" t="str">
        <f>Bangla!F79</f>
        <v/>
      </c>
      <c r="Z79" s="113" t="str">
        <f>English!E79</f>
        <v/>
      </c>
      <c r="AA79" s="113" t="str">
        <f>ICT!G79</f>
        <v/>
      </c>
      <c r="AB79" s="113" t="str">
        <f>Accounting!F79</f>
        <v/>
      </c>
      <c r="AC79" s="113" t="str">
        <f>'Business Organization'!F79</f>
        <v/>
      </c>
      <c r="AD79" s="113" t="str">
        <f>Production!F79</f>
        <v/>
      </c>
      <c r="AE79" s="113" t="str">
        <f>Finance!F79</f>
        <v/>
      </c>
      <c r="AF79" s="122" t="str">
        <f>Bangla!G79</f>
        <v/>
      </c>
      <c r="AG79" s="122" t="str">
        <f>English!F79</f>
        <v/>
      </c>
      <c r="AH79" s="120" t="str">
        <f>ICT!H79</f>
        <v/>
      </c>
      <c r="AI79" s="120" t="str">
        <f>Accounting!G79</f>
        <v/>
      </c>
      <c r="AJ79" s="120" t="str">
        <f>'Business Organization'!G79</f>
        <v/>
      </c>
      <c r="AK79" s="120" t="str">
        <f>IF(SubjectList!G79="Finance",Finance!G79,IF(SubjectList!G79="Production",Production!G79,IF(SubjectList!G79="Economics",Economics!G79)))</f>
        <v/>
      </c>
      <c r="AL79" s="120" t="str">
        <f>Finance!G79</f>
        <v/>
      </c>
      <c r="AM79" s="120" t="str">
        <f>Optional!H79</f>
        <v/>
      </c>
      <c r="AN79" s="120" t="str">
        <f>Optional!I79</f>
        <v/>
      </c>
      <c r="AO79" s="120" t="str">
        <f t="shared" si="28"/>
        <v/>
      </c>
      <c r="AP79" s="120">
        <f t="shared" si="29"/>
        <v>0</v>
      </c>
      <c r="AQ79" s="116" t="str">
        <f t="shared" si="30"/>
        <v/>
      </c>
      <c r="AR79" s="116" t="str">
        <f t="shared" si="31"/>
        <v/>
      </c>
      <c r="AS79" s="117">
        <f t="shared" si="32"/>
        <v>0</v>
      </c>
      <c r="AT79" s="118">
        <f t="shared" si="33"/>
        <v>0</v>
      </c>
      <c r="AU79" s="118">
        <f t="shared" si="34"/>
        <v>0</v>
      </c>
      <c r="AV79" s="118">
        <f t="shared" si="35"/>
        <v>0</v>
      </c>
      <c r="AW79" s="118">
        <f t="shared" si="36"/>
        <v>0</v>
      </c>
      <c r="AX79" s="118">
        <f t="shared" si="37"/>
        <v>0</v>
      </c>
      <c r="AY79" s="118">
        <f t="shared" si="38"/>
        <v>0</v>
      </c>
      <c r="AZ79" s="111">
        <f t="shared" si="39"/>
        <v>0</v>
      </c>
      <c r="BA79" s="111" t="str">
        <f t="shared" si="40"/>
        <v>F6</v>
      </c>
      <c r="BB79" s="117" t="str">
        <f>IF(AR79="","",RANK(AR79,AR$2:AR145,0))</f>
        <v/>
      </c>
      <c r="BC79" s="111" t="str">
        <f t="shared" si="41"/>
        <v/>
      </c>
    </row>
    <row r="80" spans="1:55" x14ac:dyDescent="0.35">
      <c r="A80" s="113">
        <f>'Student Basic Info'!A80</f>
        <v>579</v>
      </c>
      <c r="B80" s="113" t="str">
        <f>'Student Basic Info'!C80</f>
        <v xml:space="preserve">Yousup Ashraf </v>
      </c>
      <c r="C80" s="121" t="str">
        <f>IF(Bangla!B80="","",Bangla!B80)</f>
        <v/>
      </c>
      <c r="D80" s="121" t="str">
        <f>IF(Bangla!C80="","",Bangla!C80)</f>
        <v/>
      </c>
      <c r="E80" s="112" t="str">
        <f>IF(Bangla!D80="","",Bangla!D80)</f>
        <v/>
      </c>
      <c r="F80" s="112" t="str">
        <f>IF(English!C80="","",English!C80)</f>
        <v/>
      </c>
      <c r="G80" s="113" t="str">
        <f>IF(ICT!B80="","",ICT!B80)</f>
        <v/>
      </c>
      <c r="H80" s="113" t="str">
        <f>IF(ICT!C80="","",ICT!C80)</f>
        <v/>
      </c>
      <c r="I80" s="113" t="str">
        <f>IF(ICT!D80="","",ICT!D80)</f>
        <v/>
      </c>
      <c r="J80" s="114" t="str">
        <f>IF(ICT!E80="","",ICT!E80)</f>
        <v/>
      </c>
      <c r="K80" s="113" t="str">
        <f>IF(Accounting!B80="","",Accounting!B80)</f>
        <v/>
      </c>
      <c r="L80" s="113" t="str">
        <f>IF(Accounting!C80="","",Accounting!C80)</f>
        <v/>
      </c>
      <c r="M80" s="114" t="str">
        <f>IF(Accounting!D80="","",Accounting!D80)</f>
        <v/>
      </c>
      <c r="N80" s="113" t="str">
        <f>IF('Business Organization'!B80="","",'Business Organization'!B80)</f>
        <v/>
      </c>
      <c r="O80" s="113" t="str">
        <f>IF('Business Organization'!C80="","",'Business Organization'!C80)</f>
        <v/>
      </c>
      <c r="P80" s="114" t="str">
        <f>IF('Business Organization'!D80="","",'Business Organization'!D80)</f>
        <v/>
      </c>
      <c r="Q80" s="113" t="str">
        <f>IF(SubjectList!G80="Finance",IF(Finance!B80=0,"", Finance!B80),IF(SubjectList!G80="Production",IF(Production!B80=0,"", Production!B80),IF(SubjectList!G80="Economics",IF(Economics!B80=0,"", Economics!B80))))</f>
        <v/>
      </c>
      <c r="R80" s="113" t="str">
        <f>IF(SubjectList!G80="Finance",IF(Finance!C80=0,"", Finance!C80),IF(SubjectList!G80="Production",IF(Production!C80=0,"", Production!C80),IF(SubjectList!G80="Economics",IF(Economics!C80=0,"", Economics!C80))))</f>
        <v/>
      </c>
      <c r="S80" s="114" t="str">
        <f>IF(SubjectList!G80="Finance",IF(Finance!D80=0,"", Finance!D80),IF(SubjectList!G80="Production",IF(Production!D80=0,"", Production!D80),IF(SubjectList!G80="Economics",IF(Economics!D80=0,"", Economics!D80))))</f>
        <v/>
      </c>
      <c r="T80" s="113" t="str">
        <f>IF(SubjectList!H80="Finance",IF(Finance!B80=0,"", Finance!B80),IF(SubjectList!H80="Production",IF(Production!B80=0,"", Production!B80),IF(SubjectList!H80="Economics",IF(Economics!B80=0,"", Economics!B80))))</f>
        <v/>
      </c>
      <c r="U80" s="113" t="str">
        <f>IF(SubjectList!H80="Finance",IF(Finance!C80=0,"", Finance!C80),IF(SubjectList!H80="Production",IF(Production!C80=0,"", Production!C80),IF(SubjectList!H80="Economics",IF(Economics!C80=0,"", Economics!C80))))</f>
        <v/>
      </c>
      <c r="V80" s="114" t="str">
        <f>IF(SubjectList!H80="Finance",IF(Finance!D80=0,"", Finance!D80),IF(SubjectList!H80="Production",IF(Production!D80=0,"", Production!D80),IF(SubjectList!H80="Economics",IF(Economics!D80=0,"", Economics!D80))))</f>
        <v/>
      </c>
      <c r="W80" s="115" t="str">
        <f>IF(SubjectList!G80="Finance","Finance",IF(SubjectList!G80="Production","Production",IF(SubjectList!G80="Economics","Not Given")))</f>
        <v>Production</v>
      </c>
      <c r="X80" s="115" t="str">
        <f>IF(SubjectList!H80="Finance","Finance",IF(SubjectList!H80="Production","Production",IF(SubjectList!H80="Economics","Economics","Not Given")))</f>
        <v>Finance</v>
      </c>
      <c r="Y80" s="113" t="str">
        <f>Bangla!F80</f>
        <v/>
      </c>
      <c r="Z80" s="113" t="str">
        <f>English!E80</f>
        <v/>
      </c>
      <c r="AA80" s="113" t="str">
        <f>ICT!G80</f>
        <v/>
      </c>
      <c r="AB80" s="113" t="str">
        <f>Accounting!F80</f>
        <v/>
      </c>
      <c r="AC80" s="113" t="str">
        <f>'Business Organization'!F80</f>
        <v/>
      </c>
      <c r="AD80" s="113" t="str">
        <f>Production!F80</f>
        <v/>
      </c>
      <c r="AE80" s="113" t="str">
        <f>Finance!F80</f>
        <v/>
      </c>
      <c r="AF80" s="122" t="str">
        <f>Bangla!G80</f>
        <v/>
      </c>
      <c r="AG80" s="122" t="str">
        <f>English!F80</f>
        <v/>
      </c>
      <c r="AH80" s="120" t="str">
        <f>ICT!H80</f>
        <v/>
      </c>
      <c r="AI80" s="120" t="str">
        <f>Accounting!G80</f>
        <v/>
      </c>
      <c r="AJ80" s="120" t="str">
        <f>'Business Organization'!G80</f>
        <v/>
      </c>
      <c r="AK80" s="120" t="str">
        <f>IF(SubjectList!G80="Finance",Finance!G80,IF(SubjectList!G80="Production",Production!G80,IF(SubjectList!G80="Economics",Economics!G80)))</f>
        <v/>
      </c>
      <c r="AL80" s="120" t="str">
        <f>Finance!G80</f>
        <v/>
      </c>
      <c r="AM80" s="120" t="str">
        <f>Optional!H80</f>
        <v/>
      </c>
      <c r="AN80" s="120" t="str">
        <f>Optional!I80</f>
        <v/>
      </c>
      <c r="AO80" s="120" t="str">
        <f t="shared" si="28"/>
        <v/>
      </c>
      <c r="AP80" s="120">
        <f t="shared" si="29"/>
        <v>0</v>
      </c>
      <c r="AQ80" s="116" t="str">
        <f t="shared" si="30"/>
        <v/>
      </c>
      <c r="AR80" s="116" t="str">
        <f t="shared" si="31"/>
        <v/>
      </c>
      <c r="AS80" s="117">
        <f t="shared" si="32"/>
        <v>0</v>
      </c>
      <c r="AT80" s="118">
        <f t="shared" si="33"/>
        <v>0</v>
      </c>
      <c r="AU80" s="118">
        <f t="shared" si="34"/>
        <v>0</v>
      </c>
      <c r="AV80" s="118">
        <f t="shared" si="35"/>
        <v>0</v>
      </c>
      <c r="AW80" s="118">
        <f t="shared" si="36"/>
        <v>0</v>
      </c>
      <c r="AX80" s="118">
        <f t="shared" si="37"/>
        <v>0</v>
      </c>
      <c r="AY80" s="118">
        <f t="shared" si="38"/>
        <v>0</v>
      </c>
      <c r="AZ80" s="111">
        <f t="shared" si="39"/>
        <v>0</v>
      </c>
      <c r="BA80" s="111" t="str">
        <f t="shared" si="40"/>
        <v>F6</v>
      </c>
      <c r="BB80" s="117" t="str">
        <f>IF(AR80="","",RANK(AR80,AR$2:AR145,0))</f>
        <v/>
      </c>
      <c r="BC80" s="111" t="str">
        <f t="shared" si="41"/>
        <v/>
      </c>
    </row>
    <row r="81" spans="1:55" x14ac:dyDescent="0.35">
      <c r="A81" s="113">
        <f>'Student Basic Info'!A81</f>
        <v>580</v>
      </c>
      <c r="B81" s="113" t="str">
        <f>'Student Basic Info'!C81</f>
        <v>Ala Uddin</v>
      </c>
      <c r="C81" s="121" t="str">
        <f>IF(Bangla!B81="","",Bangla!B81)</f>
        <v/>
      </c>
      <c r="D81" s="121" t="str">
        <f>IF(Bangla!C81="","",Bangla!C81)</f>
        <v/>
      </c>
      <c r="E81" s="112" t="str">
        <f>IF(Bangla!D81="","",Bangla!D81)</f>
        <v/>
      </c>
      <c r="F81" s="112" t="str">
        <f>IF(English!C81="","",English!C81)</f>
        <v/>
      </c>
      <c r="G81" s="113" t="str">
        <f>IF(ICT!B81="","",ICT!B81)</f>
        <v/>
      </c>
      <c r="H81" s="113" t="str">
        <f>IF(ICT!C81="","",ICT!C81)</f>
        <v/>
      </c>
      <c r="I81" s="113" t="str">
        <f>IF(ICT!D81="","",ICT!D81)</f>
        <v/>
      </c>
      <c r="J81" s="114" t="str">
        <f>IF(ICT!E81="","",ICT!E81)</f>
        <v/>
      </c>
      <c r="K81" s="113" t="str">
        <f>IF(Accounting!B81="","",Accounting!B81)</f>
        <v/>
      </c>
      <c r="L81" s="113" t="str">
        <f>IF(Accounting!C81="","",Accounting!C81)</f>
        <v/>
      </c>
      <c r="M81" s="114" t="str">
        <f>IF(Accounting!D81="","",Accounting!D81)</f>
        <v/>
      </c>
      <c r="N81" s="113" t="str">
        <f>IF('Business Organization'!B81="","",'Business Organization'!B81)</f>
        <v/>
      </c>
      <c r="O81" s="113" t="str">
        <f>IF('Business Organization'!C81="","",'Business Organization'!C81)</f>
        <v/>
      </c>
      <c r="P81" s="114" t="str">
        <f>IF('Business Organization'!D81="","",'Business Organization'!D81)</f>
        <v/>
      </c>
      <c r="Q81" s="113" t="str">
        <f>IF(SubjectList!G81="Finance",IF(Finance!B81=0,"", Finance!B81),IF(SubjectList!G81="Production",IF(Production!B81=0,"", Production!B81),IF(SubjectList!G81="Economics",IF(Economics!B81=0,"", Economics!B81))))</f>
        <v/>
      </c>
      <c r="R81" s="113" t="str">
        <f>IF(SubjectList!G81="Finance",IF(Finance!C81=0,"", Finance!C81),IF(SubjectList!G81="Production",IF(Production!C81=0,"", Production!C81),IF(SubjectList!G81="Economics",IF(Economics!C81=0,"", Economics!C81))))</f>
        <v/>
      </c>
      <c r="S81" s="114" t="str">
        <f>IF(SubjectList!G81="Finance",IF(Finance!D81=0,"", Finance!D81),IF(SubjectList!G81="Production",IF(Production!D81=0,"", Production!D81),IF(SubjectList!G81="Economics",IF(Economics!D81=0,"", Economics!D81))))</f>
        <v/>
      </c>
      <c r="T81" s="113" t="str">
        <f>IF(SubjectList!H81="Finance",IF(Finance!B81=0,"", Finance!B81),IF(SubjectList!H81="Production",IF(Production!B81=0,"", Production!B81),IF(SubjectList!H81="Economics",IF(Economics!B81=0,"", Economics!B81))))</f>
        <v/>
      </c>
      <c r="U81" s="113" t="str">
        <f>IF(SubjectList!H81="Finance",IF(Finance!C81=0,"", Finance!C81),IF(SubjectList!H81="Production",IF(Production!C81=0,"", Production!C81),IF(SubjectList!H81="Economics",IF(Economics!C81=0,"", Economics!C81))))</f>
        <v/>
      </c>
      <c r="V81" s="114" t="str">
        <f>IF(SubjectList!H81="Finance",IF(Finance!D81=0,"", Finance!D81),IF(SubjectList!H81="Production",IF(Production!D81=0,"", Production!D81),IF(SubjectList!H81="Economics",IF(Economics!D81=0,"", Economics!D81))))</f>
        <v/>
      </c>
      <c r="W81" s="115" t="str">
        <f>IF(SubjectList!G81="Finance","Finance",IF(SubjectList!G81="Production","Production",IF(SubjectList!G81="Economics","Not Given")))</f>
        <v>Production</v>
      </c>
      <c r="X81" s="115" t="str">
        <f>IF(SubjectList!H81="Finance","Finance",IF(SubjectList!H81="Production","Production",IF(SubjectList!H81="Economics","Economics","Not Given")))</f>
        <v>Finance</v>
      </c>
      <c r="Y81" s="113" t="str">
        <f>Bangla!F81</f>
        <v/>
      </c>
      <c r="Z81" s="113" t="str">
        <f>English!E81</f>
        <v/>
      </c>
      <c r="AA81" s="113" t="str">
        <f>ICT!G81</f>
        <v/>
      </c>
      <c r="AB81" s="113" t="str">
        <f>Accounting!F81</f>
        <v/>
      </c>
      <c r="AC81" s="113" t="str">
        <f>'Business Organization'!F81</f>
        <v/>
      </c>
      <c r="AD81" s="113" t="str">
        <f>Production!F81</f>
        <v/>
      </c>
      <c r="AE81" s="113" t="str">
        <f>Finance!F81</f>
        <v/>
      </c>
      <c r="AF81" s="122" t="str">
        <f>Bangla!G81</f>
        <v/>
      </c>
      <c r="AG81" s="122" t="str">
        <f>English!F81</f>
        <v/>
      </c>
      <c r="AH81" s="120" t="str">
        <f>ICT!H81</f>
        <v/>
      </c>
      <c r="AI81" s="120" t="str">
        <f>Accounting!G81</f>
        <v/>
      </c>
      <c r="AJ81" s="120" t="str">
        <f>'Business Organization'!G81</f>
        <v/>
      </c>
      <c r="AK81" s="120" t="str">
        <f>IF(SubjectList!G81="Finance",Finance!G81,IF(SubjectList!G81="Production",Production!G81,IF(SubjectList!G81="Economics",Economics!G81)))</f>
        <v/>
      </c>
      <c r="AL81" s="120" t="str">
        <f>Finance!G81</f>
        <v/>
      </c>
      <c r="AM81" s="120" t="str">
        <f>Optional!H81</f>
        <v/>
      </c>
      <c r="AN81" s="120" t="str">
        <f>Optional!I81</f>
        <v/>
      </c>
      <c r="AO81" s="120" t="str">
        <f t="shared" si="28"/>
        <v/>
      </c>
      <c r="AP81" s="120">
        <f t="shared" si="29"/>
        <v>0</v>
      </c>
      <c r="AQ81" s="116" t="str">
        <f t="shared" si="30"/>
        <v/>
      </c>
      <c r="AR81" s="116" t="str">
        <f t="shared" si="31"/>
        <v/>
      </c>
      <c r="AS81" s="117">
        <f t="shared" si="32"/>
        <v>0</v>
      </c>
      <c r="AT81" s="118">
        <f t="shared" si="33"/>
        <v>0</v>
      </c>
      <c r="AU81" s="118">
        <f t="shared" si="34"/>
        <v>0</v>
      </c>
      <c r="AV81" s="118">
        <f t="shared" si="35"/>
        <v>0</v>
      </c>
      <c r="AW81" s="118">
        <f t="shared" si="36"/>
        <v>0</v>
      </c>
      <c r="AX81" s="118">
        <f t="shared" si="37"/>
        <v>0</v>
      </c>
      <c r="AY81" s="118">
        <f t="shared" si="38"/>
        <v>0</v>
      </c>
      <c r="AZ81" s="111">
        <f t="shared" si="39"/>
        <v>0</v>
      </c>
      <c r="BA81" s="111" t="str">
        <f t="shared" si="40"/>
        <v>F6</v>
      </c>
      <c r="BB81" s="117" t="str">
        <f>IF(AR81="","",RANK(AR81,AR$2:AR145,0))</f>
        <v/>
      </c>
      <c r="BC81" s="111" t="str">
        <f t="shared" si="41"/>
        <v/>
      </c>
    </row>
    <row r="82" spans="1:55" x14ac:dyDescent="0.35">
      <c r="A82" s="113">
        <f>'Student Basic Info'!A82</f>
        <v>581</v>
      </c>
      <c r="B82" s="113" t="str">
        <f>'Student Basic Info'!C82</f>
        <v>Meheraz Hasan</v>
      </c>
      <c r="C82" s="121" t="str">
        <f>IF(Bangla!B82="","",Bangla!B82)</f>
        <v/>
      </c>
      <c r="D82" s="121" t="str">
        <f>IF(Bangla!C82="","",Bangla!C82)</f>
        <v/>
      </c>
      <c r="E82" s="112" t="str">
        <f>IF(Bangla!D82="","",Bangla!D82)</f>
        <v/>
      </c>
      <c r="F82" s="112">
        <f>IF(English!C82="","",English!C82)</f>
        <v>3</v>
      </c>
      <c r="G82" s="113">
        <f>IF(ICT!B82="","",ICT!B82)</f>
        <v>7</v>
      </c>
      <c r="H82" s="113">
        <f>IF(ICT!C82="","",ICT!C82)</f>
        <v>1</v>
      </c>
      <c r="I82" s="113">
        <f>IF(ICT!D82="","",ICT!D82)</f>
        <v>8</v>
      </c>
      <c r="J82" s="114">
        <f>IF(ICT!E82="","",ICT!E82)</f>
        <v>16</v>
      </c>
      <c r="K82" s="113" t="str">
        <f>IF(Accounting!B82="","",Accounting!B82)</f>
        <v/>
      </c>
      <c r="L82" s="113" t="str">
        <f>IF(Accounting!C82="","",Accounting!C82)</f>
        <v/>
      </c>
      <c r="M82" s="114" t="str">
        <f>IF(Accounting!D82="","",Accounting!D82)</f>
        <v/>
      </c>
      <c r="N82" s="113" t="str">
        <f>IF('Business Organization'!B82="","",'Business Organization'!B82)</f>
        <v/>
      </c>
      <c r="O82" s="113" t="str">
        <f>IF('Business Organization'!C82="","",'Business Organization'!C82)</f>
        <v/>
      </c>
      <c r="P82" s="114" t="str">
        <f>IF('Business Organization'!D82="","",'Business Organization'!D82)</f>
        <v/>
      </c>
      <c r="Q82" s="113">
        <f>IF(SubjectList!G82="Finance",IF(Finance!B82=0,"", Finance!B82),IF(SubjectList!G82="Production",IF(Production!B82=0,"", Production!B82),IF(SubjectList!G82="Economics",IF(Economics!B82=0,"", Economics!B82))))</f>
        <v>11</v>
      </c>
      <c r="R82" s="113">
        <f>IF(SubjectList!G82="Finance",IF(Finance!C82=0,"", Finance!C82),IF(SubjectList!G82="Production",IF(Production!C82=0,"", Production!C82),IF(SubjectList!G82="Economics",IF(Economics!C82=0,"", Economics!C82))))</f>
        <v>1</v>
      </c>
      <c r="S82" s="114">
        <f>IF(SubjectList!G82="Finance",IF(Finance!D82=0,"", Finance!D82),IF(SubjectList!G82="Production",IF(Production!D82=0,"", Production!D82),IF(SubjectList!G82="Economics",IF(Economics!D82=0,"", Economics!D82))))</f>
        <v>12</v>
      </c>
      <c r="T82" s="113">
        <f>IF(SubjectList!H82="Finance",IF(Finance!B82=0,"", Finance!B82),IF(SubjectList!H82="Production",IF(Production!B82=0,"", Production!B82),IF(SubjectList!H82="Economics",IF(Economics!B82=0,"", Economics!B82))))</f>
        <v>12</v>
      </c>
      <c r="U82" s="113">
        <f>IF(SubjectList!H82="Finance",IF(Finance!C82=0,"", Finance!C82),IF(SubjectList!H82="Production",IF(Production!C82=0,"", Production!C82),IF(SubjectList!H82="Economics",IF(Economics!C82=0,"", Economics!C82))))</f>
        <v>2</v>
      </c>
      <c r="V82" s="114">
        <f>IF(SubjectList!H82="Finance",IF(Finance!D82=0,"", Finance!D82),IF(SubjectList!H82="Production",IF(Production!D82=0,"", Production!D82),IF(SubjectList!H82="Economics",IF(Economics!D82=0,"", Economics!D82))))</f>
        <v>14</v>
      </c>
      <c r="W82" s="115" t="str">
        <f>IF(SubjectList!G82="Finance","Finance",IF(SubjectList!G82="Production","Production",IF(SubjectList!G82="Economics","Not Given")))</f>
        <v>Production</v>
      </c>
      <c r="X82" s="115" t="str">
        <f>IF(SubjectList!H82="Finance","Finance",IF(SubjectList!H82="Production","Production",IF(SubjectList!H82="Economics","Economics","Not Given")))</f>
        <v>Finance</v>
      </c>
      <c r="Y82" s="113" t="str">
        <f>Bangla!F82</f>
        <v/>
      </c>
      <c r="Z82" s="113" t="str">
        <f>English!E82</f>
        <v>F</v>
      </c>
      <c r="AA82" s="113" t="str">
        <f>ICT!G82</f>
        <v>F</v>
      </c>
      <c r="AB82" s="113" t="str">
        <f>Accounting!F82</f>
        <v/>
      </c>
      <c r="AC82" s="113" t="str">
        <f>'Business Organization'!F82</f>
        <v/>
      </c>
      <c r="AD82" s="113" t="str">
        <f>Production!F82</f>
        <v>F</v>
      </c>
      <c r="AE82" s="113" t="str">
        <f>Finance!F82</f>
        <v>F</v>
      </c>
      <c r="AF82" s="122" t="str">
        <f>Bangla!G82</f>
        <v/>
      </c>
      <c r="AG82" s="122">
        <f>English!F82</f>
        <v>0</v>
      </c>
      <c r="AH82" s="120">
        <f>ICT!H82</f>
        <v>0</v>
      </c>
      <c r="AI82" s="120" t="str">
        <f>Accounting!G82</f>
        <v/>
      </c>
      <c r="AJ82" s="120" t="str">
        <f>'Business Organization'!G82</f>
        <v/>
      </c>
      <c r="AK82" s="120">
        <f>IF(SubjectList!G82="Finance",Finance!G82,IF(SubjectList!G82="Production",Production!G82,IF(SubjectList!G82="Economics",Economics!G82)))</f>
        <v>0</v>
      </c>
      <c r="AL82" s="120">
        <f>Finance!G82</f>
        <v>0</v>
      </c>
      <c r="AM82" s="120">
        <f>Optional!H82</f>
        <v>0</v>
      </c>
      <c r="AN82" s="120">
        <f>Optional!I82</f>
        <v>0</v>
      </c>
      <c r="AO82" s="120" t="str">
        <f t="shared" si="28"/>
        <v/>
      </c>
      <c r="AP82" s="120">
        <f t="shared" si="29"/>
        <v>0</v>
      </c>
      <c r="AQ82" s="116" t="str">
        <f t="shared" si="30"/>
        <v/>
      </c>
      <c r="AR82" s="116" t="str">
        <f t="shared" si="31"/>
        <v/>
      </c>
      <c r="AS82" s="117">
        <f t="shared" si="32"/>
        <v>45</v>
      </c>
      <c r="AT82" s="118">
        <f t="shared" si="33"/>
        <v>0</v>
      </c>
      <c r="AU82" s="118">
        <f t="shared" si="34"/>
        <v>0</v>
      </c>
      <c r="AV82" s="118">
        <f t="shared" si="35"/>
        <v>0</v>
      </c>
      <c r="AW82" s="118">
        <f t="shared" si="36"/>
        <v>0</v>
      </c>
      <c r="AX82" s="118">
        <f t="shared" si="37"/>
        <v>0</v>
      </c>
      <c r="AY82" s="118">
        <f t="shared" si="38"/>
        <v>0</v>
      </c>
      <c r="AZ82" s="111">
        <f t="shared" si="39"/>
        <v>0</v>
      </c>
      <c r="BA82" s="111" t="str">
        <f t="shared" si="40"/>
        <v>F6</v>
      </c>
      <c r="BB82" s="117" t="str">
        <f>IF(AR82="","",RANK(AR82,AR$2:AR145,0))</f>
        <v/>
      </c>
      <c r="BC82" s="111" t="str">
        <f t="shared" si="41"/>
        <v/>
      </c>
    </row>
    <row r="83" spans="1:55" x14ac:dyDescent="0.35">
      <c r="A83" s="113">
        <f>'Student Basic Info'!A83</f>
        <v>582</v>
      </c>
      <c r="B83" s="113" t="str">
        <f>'Student Basic Info'!C83</f>
        <v>Imran Hosain</v>
      </c>
      <c r="C83" s="121" t="str">
        <f>IF(Bangla!B83="","",Bangla!B83)</f>
        <v/>
      </c>
      <c r="D83" s="121" t="str">
        <f>IF(Bangla!C83="","",Bangla!C83)</f>
        <v/>
      </c>
      <c r="E83" s="112" t="str">
        <f>IF(Bangla!D83="","",Bangla!D83)</f>
        <v/>
      </c>
      <c r="F83" s="112" t="str">
        <f>IF(English!C83="","",English!C83)</f>
        <v/>
      </c>
      <c r="G83" s="113" t="str">
        <f>IF(ICT!B83="","",ICT!B83)</f>
        <v/>
      </c>
      <c r="H83" s="113" t="str">
        <f>IF(ICT!C83="","",ICT!C83)</f>
        <v/>
      </c>
      <c r="I83" s="113" t="str">
        <f>IF(ICT!D83="","",ICT!D83)</f>
        <v/>
      </c>
      <c r="J83" s="114" t="str">
        <f>IF(ICT!E83="","",ICT!E83)</f>
        <v/>
      </c>
      <c r="K83" s="113" t="str">
        <f>IF(Accounting!B83="","",Accounting!B83)</f>
        <v/>
      </c>
      <c r="L83" s="113" t="str">
        <f>IF(Accounting!C83="","",Accounting!C83)</f>
        <v/>
      </c>
      <c r="M83" s="114" t="str">
        <f>IF(Accounting!D83="","",Accounting!D83)</f>
        <v/>
      </c>
      <c r="N83" s="113" t="str">
        <f>IF('Business Organization'!B83="","",'Business Organization'!B83)</f>
        <v/>
      </c>
      <c r="O83" s="113" t="str">
        <f>IF('Business Organization'!C83="","",'Business Organization'!C83)</f>
        <v/>
      </c>
      <c r="P83" s="114" t="str">
        <f>IF('Business Organization'!D83="","",'Business Organization'!D83)</f>
        <v/>
      </c>
      <c r="Q83" s="113" t="str">
        <f>IF(SubjectList!G83="Finance",IF(Finance!B83=0,"", Finance!B83),IF(SubjectList!G83="Production",IF(Production!B83=0,"", Production!B83),IF(SubjectList!G83="Economics",IF(Economics!B83=0,"", Economics!B83))))</f>
        <v/>
      </c>
      <c r="R83" s="113" t="str">
        <f>IF(SubjectList!G83="Finance",IF(Finance!C83=0,"", Finance!C83),IF(SubjectList!G83="Production",IF(Production!C83=0,"", Production!C83),IF(SubjectList!G83="Economics",IF(Economics!C83=0,"", Economics!C83))))</f>
        <v/>
      </c>
      <c r="S83" s="114" t="str">
        <f>IF(SubjectList!G83="Finance",IF(Finance!D83=0,"", Finance!D83),IF(SubjectList!G83="Production",IF(Production!D83=0,"", Production!D83),IF(SubjectList!G83="Economics",IF(Economics!D83=0,"", Economics!D83))))</f>
        <v/>
      </c>
      <c r="T83" s="113" t="str">
        <f>IF(SubjectList!H83="Finance",IF(Finance!B83=0,"", Finance!B83),IF(SubjectList!H83="Production",IF(Production!B83=0,"", Production!B83),IF(SubjectList!H83="Economics",IF(Economics!B83=0,"", Economics!B83))))</f>
        <v/>
      </c>
      <c r="U83" s="113" t="str">
        <f>IF(SubjectList!H83="Finance",IF(Finance!C83=0,"", Finance!C83),IF(SubjectList!H83="Production",IF(Production!C83=0,"", Production!C83),IF(SubjectList!H83="Economics",IF(Economics!C83=0,"", Economics!C83))))</f>
        <v/>
      </c>
      <c r="V83" s="114" t="str">
        <f>IF(SubjectList!H83="Finance",IF(Finance!D83=0,"", Finance!D83),IF(SubjectList!H83="Production",IF(Production!D83=0,"", Production!D83),IF(SubjectList!H83="Economics",IF(Economics!D83=0,"", Economics!D83))))</f>
        <v/>
      </c>
      <c r="W83" s="115" t="str">
        <f>IF(SubjectList!G83="Finance","Finance",IF(SubjectList!G83="Production","Production",IF(SubjectList!G83="Economics","Not Given")))</f>
        <v>Production</v>
      </c>
      <c r="X83" s="115" t="str">
        <f>IF(SubjectList!H83="Finance","Finance",IF(SubjectList!H83="Production","Production",IF(SubjectList!H83="Economics","Economics","Not Given")))</f>
        <v>Finance</v>
      </c>
      <c r="Y83" s="113" t="str">
        <f>Bangla!F83</f>
        <v/>
      </c>
      <c r="Z83" s="113" t="str">
        <f>English!E83</f>
        <v/>
      </c>
      <c r="AA83" s="113" t="str">
        <f>ICT!G83</f>
        <v/>
      </c>
      <c r="AB83" s="113" t="str">
        <f>Accounting!F83</f>
        <v/>
      </c>
      <c r="AC83" s="113" t="str">
        <f>'Business Organization'!F83</f>
        <v/>
      </c>
      <c r="AD83" s="113" t="str">
        <f>Production!F83</f>
        <v/>
      </c>
      <c r="AE83" s="113" t="str">
        <f>Finance!F83</f>
        <v/>
      </c>
      <c r="AF83" s="122" t="str">
        <f>Bangla!G83</f>
        <v/>
      </c>
      <c r="AG83" s="122" t="str">
        <f>English!F83</f>
        <v/>
      </c>
      <c r="AH83" s="120" t="str">
        <f>ICT!H83</f>
        <v/>
      </c>
      <c r="AI83" s="120" t="str">
        <f>Accounting!G83</f>
        <v/>
      </c>
      <c r="AJ83" s="120" t="str">
        <f>'Business Organization'!G83</f>
        <v/>
      </c>
      <c r="AK83" s="120" t="str">
        <f>IF(SubjectList!G83="Finance",Finance!G83,IF(SubjectList!G83="Production",Production!G83,IF(SubjectList!G83="Economics",Economics!G83)))</f>
        <v/>
      </c>
      <c r="AL83" s="120" t="str">
        <f>Finance!G83</f>
        <v/>
      </c>
      <c r="AM83" s="120" t="str">
        <f>Optional!H83</f>
        <v/>
      </c>
      <c r="AN83" s="120" t="str">
        <f>Optional!I83</f>
        <v/>
      </c>
      <c r="AO83" s="120" t="str">
        <f t="shared" si="28"/>
        <v/>
      </c>
      <c r="AP83" s="120">
        <f t="shared" si="29"/>
        <v>0</v>
      </c>
      <c r="AQ83" s="116" t="str">
        <f t="shared" si="30"/>
        <v/>
      </c>
      <c r="AR83" s="116" t="str">
        <f t="shared" si="31"/>
        <v/>
      </c>
      <c r="AS83" s="117">
        <f t="shared" si="32"/>
        <v>0</v>
      </c>
      <c r="AT83" s="118">
        <f t="shared" si="33"/>
        <v>0</v>
      </c>
      <c r="AU83" s="118">
        <f t="shared" si="34"/>
        <v>0</v>
      </c>
      <c r="AV83" s="118">
        <f t="shared" si="35"/>
        <v>0</v>
      </c>
      <c r="AW83" s="118">
        <f t="shared" si="36"/>
        <v>0</v>
      </c>
      <c r="AX83" s="118">
        <f t="shared" si="37"/>
        <v>0</v>
      </c>
      <c r="AY83" s="118">
        <f t="shared" si="38"/>
        <v>0</v>
      </c>
      <c r="AZ83" s="111">
        <f t="shared" si="39"/>
        <v>0</v>
      </c>
      <c r="BA83" s="111" t="str">
        <f t="shared" si="40"/>
        <v>F6</v>
      </c>
      <c r="BB83" s="117" t="str">
        <f>IF(AR83="","",RANK(AR83,AR$2:AR145,0))</f>
        <v/>
      </c>
      <c r="BC83" s="111" t="str">
        <f t="shared" si="41"/>
        <v/>
      </c>
    </row>
    <row r="84" spans="1:55" x14ac:dyDescent="0.35">
      <c r="A84" s="113">
        <f>'Student Basic Info'!A84</f>
        <v>583</v>
      </c>
      <c r="B84" s="113" t="str">
        <f>'Student Basic Info'!C84</f>
        <v>Raihanul Haque</v>
      </c>
      <c r="C84" s="121" t="str">
        <f>IF(Bangla!B84="","",Bangla!B84)</f>
        <v/>
      </c>
      <c r="D84" s="121" t="str">
        <f>IF(Bangla!C84="","",Bangla!C84)</f>
        <v/>
      </c>
      <c r="E84" s="112" t="str">
        <f>IF(Bangla!D84="","",Bangla!D84)</f>
        <v/>
      </c>
      <c r="F84" s="112" t="str">
        <f>IF(English!C84="","",English!C84)</f>
        <v/>
      </c>
      <c r="G84" s="113" t="str">
        <f>IF(ICT!B84="","",ICT!B84)</f>
        <v/>
      </c>
      <c r="H84" s="113" t="str">
        <f>IF(ICT!C84="","",ICT!C84)</f>
        <v/>
      </c>
      <c r="I84" s="113" t="str">
        <f>IF(ICT!D84="","",ICT!D84)</f>
        <v/>
      </c>
      <c r="J84" s="114" t="str">
        <f>IF(ICT!E84="","",ICT!E84)</f>
        <v/>
      </c>
      <c r="K84" s="113" t="str">
        <f>IF(Accounting!B84="","",Accounting!B84)</f>
        <v/>
      </c>
      <c r="L84" s="113" t="str">
        <f>IF(Accounting!C84="","",Accounting!C84)</f>
        <v/>
      </c>
      <c r="M84" s="114" t="str">
        <f>IF(Accounting!D84="","",Accounting!D84)</f>
        <v/>
      </c>
      <c r="N84" s="113" t="str">
        <f>IF('Business Organization'!B84="","",'Business Organization'!B84)</f>
        <v/>
      </c>
      <c r="O84" s="113" t="str">
        <f>IF('Business Organization'!C84="","",'Business Organization'!C84)</f>
        <v/>
      </c>
      <c r="P84" s="114" t="str">
        <f>IF('Business Organization'!D84="","",'Business Organization'!D84)</f>
        <v/>
      </c>
      <c r="Q84" s="113" t="str">
        <f>IF(SubjectList!G84="Finance",IF(Finance!B84=0,"", Finance!B84),IF(SubjectList!G84="Production",IF(Production!B84=0,"", Production!B84),IF(SubjectList!G84="Economics",IF(Economics!B84=0,"", Economics!B84))))</f>
        <v/>
      </c>
      <c r="R84" s="113" t="str">
        <f>IF(SubjectList!G84="Finance",IF(Finance!C84=0,"", Finance!C84),IF(SubjectList!G84="Production",IF(Production!C84=0,"", Production!C84),IF(SubjectList!G84="Economics",IF(Economics!C84=0,"", Economics!C84))))</f>
        <v/>
      </c>
      <c r="S84" s="114" t="str">
        <f>IF(SubjectList!G84="Finance",IF(Finance!D84=0,"", Finance!D84),IF(SubjectList!G84="Production",IF(Production!D84=0,"", Production!D84),IF(SubjectList!G84="Economics",IF(Economics!D84=0,"", Economics!D84))))</f>
        <v/>
      </c>
      <c r="T84" s="113" t="str">
        <f>IF(SubjectList!H84="Finance",IF(Finance!B84=0,"", Finance!B84),IF(SubjectList!H84="Production",IF(Production!B84=0,"", Production!B84),IF(SubjectList!H84="Economics",IF(Economics!B84=0,"", Economics!B84))))</f>
        <v/>
      </c>
      <c r="U84" s="113" t="str">
        <f>IF(SubjectList!H84="Finance",IF(Finance!C84=0,"", Finance!C84),IF(SubjectList!H84="Production",IF(Production!C84=0,"", Production!C84),IF(SubjectList!H84="Economics",IF(Economics!C84=0,"", Economics!C84))))</f>
        <v/>
      </c>
      <c r="V84" s="114" t="str">
        <f>IF(SubjectList!H84="Finance",IF(Finance!D84=0,"", Finance!D84),IF(SubjectList!H84="Production",IF(Production!D84=0,"", Production!D84),IF(SubjectList!H84="Economics",IF(Economics!D84=0,"", Economics!D84))))</f>
        <v/>
      </c>
      <c r="W84" s="115" t="str">
        <f>IF(SubjectList!G84="Finance","Finance",IF(SubjectList!G84="Production","Production",IF(SubjectList!G84="Economics","Not Given")))</f>
        <v>Production</v>
      </c>
      <c r="X84" s="115" t="str">
        <f>IF(SubjectList!H84="Finance","Finance",IF(SubjectList!H84="Production","Production",IF(SubjectList!H84="Economics","Economics","Not Given")))</f>
        <v>Finance</v>
      </c>
      <c r="Y84" s="113" t="str">
        <f>Bangla!F84</f>
        <v/>
      </c>
      <c r="Z84" s="113" t="str">
        <f>English!E84</f>
        <v/>
      </c>
      <c r="AA84" s="113" t="str">
        <f>ICT!G84</f>
        <v/>
      </c>
      <c r="AB84" s="113" t="str">
        <f>Accounting!F84</f>
        <v/>
      </c>
      <c r="AC84" s="113" t="str">
        <f>'Business Organization'!F84</f>
        <v/>
      </c>
      <c r="AD84" s="113" t="str">
        <f>Production!F84</f>
        <v/>
      </c>
      <c r="AE84" s="113" t="str">
        <f>Finance!F84</f>
        <v/>
      </c>
      <c r="AF84" s="122" t="str">
        <f>Bangla!G84</f>
        <v/>
      </c>
      <c r="AG84" s="122" t="str">
        <f>English!F84</f>
        <v/>
      </c>
      <c r="AH84" s="120" t="str">
        <f>ICT!H84</f>
        <v/>
      </c>
      <c r="AI84" s="120" t="str">
        <f>Accounting!G84</f>
        <v/>
      </c>
      <c r="AJ84" s="120" t="str">
        <f>'Business Organization'!G84</f>
        <v/>
      </c>
      <c r="AK84" s="120" t="str">
        <f>IF(SubjectList!G84="Finance",Finance!G84,IF(SubjectList!G84="Production",Production!G84,IF(SubjectList!G84="Economics",Economics!G84)))</f>
        <v/>
      </c>
      <c r="AL84" s="120" t="str">
        <f>Finance!G84</f>
        <v/>
      </c>
      <c r="AM84" s="120" t="str">
        <f>Optional!H84</f>
        <v/>
      </c>
      <c r="AN84" s="120" t="str">
        <f>Optional!I84</f>
        <v/>
      </c>
      <c r="AO84" s="120" t="str">
        <f t="shared" si="28"/>
        <v/>
      </c>
      <c r="AP84" s="120">
        <f t="shared" si="29"/>
        <v>0</v>
      </c>
      <c r="AQ84" s="116" t="str">
        <f t="shared" si="30"/>
        <v/>
      </c>
      <c r="AR84" s="116" t="str">
        <f t="shared" si="31"/>
        <v/>
      </c>
      <c r="AS84" s="117">
        <f t="shared" si="32"/>
        <v>0</v>
      </c>
      <c r="AT84" s="118">
        <f t="shared" si="33"/>
        <v>0</v>
      </c>
      <c r="AU84" s="118">
        <f t="shared" si="34"/>
        <v>0</v>
      </c>
      <c r="AV84" s="118">
        <f t="shared" si="35"/>
        <v>0</v>
      </c>
      <c r="AW84" s="118">
        <f t="shared" si="36"/>
        <v>0</v>
      </c>
      <c r="AX84" s="118">
        <f t="shared" si="37"/>
        <v>0</v>
      </c>
      <c r="AY84" s="118">
        <f t="shared" si="38"/>
        <v>0</v>
      </c>
      <c r="AZ84" s="111">
        <f t="shared" si="39"/>
        <v>0</v>
      </c>
      <c r="BA84" s="111" t="str">
        <f t="shared" si="40"/>
        <v>F6</v>
      </c>
      <c r="BB84" s="117" t="str">
        <f>IF(AR84="","",RANK(AR84,AR$2:AR145,0))</f>
        <v/>
      </c>
      <c r="BC84" s="111" t="str">
        <f t="shared" si="41"/>
        <v/>
      </c>
    </row>
    <row r="85" spans="1:55" x14ac:dyDescent="0.35">
      <c r="A85" s="113">
        <f>'Student Basic Info'!A85</f>
        <v>584</v>
      </c>
      <c r="B85" s="113" t="str">
        <f>'Student Basic Info'!C85</f>
        <v>Mohammad Tahmid</v>
      </c>
      <c r="C85" s="121" t="str">
        <f>IF(Bangla!B85="","",Bangla!B85)</f>
        <v/>
      </c>
      <c r="D85" s="121">
        <f>IF(Bangla!C85="","",Bangla!C85)</f>
        <v>40</v>
      </c>
      <c r="E85" s="112">
        <f>IF(Bangla!D85="","",Bangla!D85)</f>
        <v>40</v>
      </c>
      <c r="F85" s="112">
        <f>IF(English!C85="","",English!C85)</f>
        <v>5</v>
      </c>
      <c r="G85" s="113">
        <f>IF(ICT!B85="","",ICT!B85)</f>
        <v>17</v>
      </c>
      <c r="H85" s="113">
        <f>IF(ICT!C85="","",ICT!C85)</f>
        <v>5</v>
      </c>
      <c r="I85" s="113">
        <f>IF(ICT!D85="","",ICT!D85)</f>
        <v>8</v>
      </c>
      <c r="J85" s="114">
        <f>IF(ICT!E85="","",ICT!E85)</f>
        <v>30</v>
      </c>
      <c r="K85" s="113">
        <f>IF(Accounting!B85="","",Accounting!B85)</f>
        <v>10</v>
      </c>
      <c r="L85" s="113">
        <f>IF(Accounting!C85="","",Accounting!C85)</f>
        <v>5</v>
      </c>
      <c r="M85" s="114">
        <f>IF(Accounting!D85="","",Accounting!D85)</f>
        <v>15</v>
      </c>
      <c r="N85" s="113" t="str">
        <f>IF('Business Organization'!B85="","",'Business Organization'!B85)</f>
        <v/>
      </c>
      <c r="O85" s="113" t="str">
        <f>IF('Business Organization'!C85="","",'Business Organization'!C85)</f>
        <v/>
      </c>
      <c r="P85" s="114" t="str">
        <f>IF('Business Organization'!D85="","",'Business Organization'!D85)</f>
        <v/>
      </c>
      <c r="Q85" s="113">
        <f>IF(SubjectList!G85="Finance",IF(Finance!B85=0,"", Finance!B85),IF(SubjectList!G85="Production",IF(Production!B85=0,"", Production!B85),IF(SubjectList!G85="Economics",IF(Economics!B85=0,"", Economics!B85))))</f>
        <v>9</v>
      </c>
      <c r="R85" s="113" t="str">
        <f>IF(SubjectList!G85="Finance",IF(Finance!C85=0,"", Finance!C85),IF(SubjectList!G85="Production",IF(Production!C85=0,"", Production!C85),IF(SubjectList!G85="Economics",IF(Economics!C85=0,"", Economics!C85))))</f>
        <v/>
      </c>
      <c r="S85" s="114">
        <f>IF(SubjectList!G85="Finance",IF(Finance!D85=0,"", Finance!D85),IF(SubjectList!G85="Production",IF(Production!D85=0,"", Production!D85),IF(SubjectList!G85="Economics",IF(Economics!D85=0,"", Economics!D85))))</f>
        <v>9</v>
      </c>
      <c r="T85" s="113">
        <f>IF(SubjectList!H85="Finance",IF(Finance!B85=0,"", Finance!B85),IF(SubjectList!H85="Production",IF(Production!B85=0,"", Production!B85),IF(SubjectList!H85="Economics",IF(Economics!B85=0,"", Economics!B85))))</f>
        <v>10</v>
      </c>
      <c r="U85" s="113">
        <f>IF(SubjectList!H85="Finance",IF(Finance!C85=0,"", Finance!C85),IF(SubjectList!H85="Production",IF(Production!C85=0,"", Production!C85),IF(SubjectList!H85="Economics",IF(Economics!C85=0,"", Economics!C85))))</f>
        <v>1</v>
      </c>
      <c r="V85" s="114">
        <f>IF(SubjectList!H85="Finance",IF(Finance!D85=0,"", Finance!D85),IF(SubjectList!H85="Production",IF(Production!D85=0,"", Production!D85),IF(SubjectList!H85="Economics",IF(Economics!D85=0,"", Economics!D85))))</f>
        <v>11</v>
      </c>
      <c r="W85" s="115" t="str">
        <f>IF(SubjectList!G85="Finance","Finance",IF(SubjectList!G85="Production","Production",IF(SubjectList!G85="Economics","Not Given")))</f>
        <v>Production</v>
      </c>
      <c r="X85" s="115" t="str">
        <f>IF(SubjectList!H85="Finance","Finance",IF(SubjectList!H85="Production","Production",IF(SubjectList!H85="Economics","Economics","Not Given")))</f>
        <v>Finance</v>
      </c>
      <c r="Y85" s="113" t="str">
        <f>Bangla!F85</f>
        <v>C</v>
      </c>
      <c r="Z85" s="113" t="str">
        <f>English!E85</f>
        <v>F</v>
      </c>
      <c r="AA85" s="113" t="str">
        <f>ICT!G85</f>
        <v>F</v>
      </c>
      <c r="AB85" s="113" t="str">
        <f>Accounting!F85</f>
        <v>F</v>
      </c>
      <c r="AC85" s="113" t="str">
        <f>'Business Organization'!F85</f>
        <v/>
      </c>
      <c r="AD85" s="113" t="str">
        <f>Production!F85</f>
        <v>F</v>
      </c>
      <c r="AE85" s="113" t="str">
        <f>Finance!F85</f>
        <v>F</v>
      </c>
      <c r="AF85" s="122">
        <f>Bangla!G85</f>
        <v>2</v>
      </c>
      <c r="AG85" s="122">
        <f>English!F85</f>
        <v>0</v>
      </c>
      <c r="AH85" s="120">
        <f>ICT!H85</f>
        <v>0</v>
      </c>
      <c r="AI85" s="120">
        <f>Accounting!G85</f>
        <v>0</v>
      </c>
      <c r="AJ85" s="120" t="str">
        <f>'Business Organization'!G85</f>
        <v/>
      </c>
      <c r="AK85" s="120">
        <f>IF(SubjectList!G85="Finance",Finance!G85,IF(SubjectList!G85="Production",Production!G85,IF(SubjectList!G85="Economics",Economics!G85)))</f>
        <v>0</v>
      </c>
      <c r="AL85" s="120">
        <f>Finance!G85</f>
        <v>0</v>
      </c>
      <c r="AM85" s="120">
        <f>Optional!H85</f>
        <v>0</v>
      </c>
      <c r="AN85" s="120">
        <f>Optional!I85</f>
        <v>0</v>
      </c>
      <c r="AO85" s="120">
        <f t="shared" si="28"/>
        <v>2</v>
      </c>
      <c r="AP85" s="120">
        <f t="shared" si="29"/>
        <v>2</v>
      </c>
      <c r="AQ85" s="116" t="str">
        <f t="shared" si="30"/>
        <v/>
      </c>
      <c r="AR85" s="116" t="str">
        <f t="shared" si="31"/>
        <v/>
      </c>
      <c r="AS85" s="117">
        <f t="shared" si="32"/>
        <v>110</v>
      </c>
      <c r="AT85" s="118">
        <f t="shared" si="33"/>
        <v>1</v>
      </c>
      <c r="AU85" s="118">
        <f t="shared" si="34"/>
        <v>0</v>
      </c>
      <c r="AV85" s="118">
        <f t="shared" si="35"/>
        <v>0</v>
      </c>
      <c r="AW85" s="118">
        <f t="shared" si="36"/>
        <v>0</v>
      </c>
      <c r="AX85" s="118">
        <f t="shared" si="37"/>
        <v>0</v>
      </c>
      <c r="AY85" s="118">
        <f t="shared" si="38"/>
        <v>0</v>
      </c>
      <c r="AZ85" s="111">
        <f t="shared" si="39"/>
        <v>1</v>
      </c>
      <c r="BA85" s="111" t="str">
        <f t="shared" si="40"/>
        <v>F5</v>
      </c>
      <c r="BB85" s="117" t="str">
        <f>IF(AR85="","",RANK(AR85,AR$2:AR145,0))</f>
        <v/>
      </c>
      <c r="BC85" s="111" t="str">
        <f t="shared" si="41"/>
        <v/>
      </c>
    </row>
    <row r="86" spans="1:55" x14ac:dyDescent="0.35">
      <c r="A86" s="113">
        <f>'Student Basic Info'!A86</f>
        <v>585</v>
      </c>
      <c r="B86" s="113" t="str">
        <f>'Student Basic Info'!C86</f>
        <v xml:space="preserve">Imam Hosain </v>
      </c>
      <c r="C86" s="121" t="str">
        <f>IF(Bangla!B86="","",Bangla!B86)</f>
        <v/>
      </c>
      <c r="D86" s="121">
        <f>IF(Bangla!C86="","",Bangla!C86)</f>
        <v>33</v>
      </c>
      <c r="E86" s="112">
        <f>IF(Bangla!D86="","",Bangla!D86)</f>
        <v>33</v>
      </c>
      <c r="F86" s="112">
        <f>IF(English!C86="","",English!C86)</f>
        <v>22</v>
      </c>
      <c r="G86" s="113">
        <f>IF(ICT!B86="","",ICT!B86)</f>
        <v>9</v>
      </c>
      <c r="H86" s="113">
        <f>IF(ICT!C86="","",ICT!C86)</f>
        <v>7</v>
      </c>
      <c r="I86" s="113">
        <f>IF(ICT!D86="","",ICT!D86)</f>
        <v>8</v>
      </c>
      <c r="J86" s="114">
        <f>IF(ICT!E86="","",ICT!E86)</f>
        <v>24</v>
      </c>
      <c r="K86" s="113">
        <f>IF(Accounting!B86="","",Accounting!B86)</f>
        <v>8</v>
      </c>
      <c r="L86" s="113">
        <f>IF(Accounting!C86="","",Accounting!C86)</f>
        <v>11</v>
      </c>
      <c r="M86" s="114">
        <f>IF(Accounting!D86="","",Accounting!D86)</f>
        <v>19</v>
      </c>
      <c r="N86" s="113">
        <f>IF('Business Organization'!B86="","",'Business Organization'!B86)</f>
        <v>16</v>
      </c>
      <c r="O86" s="113">
        <f>IF('Business Organization'!C86="","",'Business Organization'!C86)</f>
        <v>8</v>
      </c>
      <c r="P86" s="114">
        <f>IF('Business Organization'!D86="","",'Business Organization'!D86)</f>
        <v>24</v>
      </c>
      <c r="Q86" s="113">
        <f>IF(SubjectList!G86="Finance",IF(Finance!B86=0,"", Finance!B86),IF(SubjectList!G86="Production",IF(Production!B86=0,"", Production!B86),IF(SubjectList!G86="Economics",IF(Economics!B86=0,"", Economics!B86))))</f>
        <v>16</v>
      </c>
      <c r="R86" s="113">
        <f>IF(SubjectList!G86="Finance",IF(Finance!C86=0,"", Finance!C86),IF(SubjectList!G86="Production",IF(Production!C86=0,"", Production!C86),IF(SubjectList!G86="Economics",IF(Economics!C86=0,"", Economics!C86))))</f>
        <v>24</v>
      </c>
      <c r="S86" s="114">
        <f>IF(SubjectList!G86="Finance",IF(Finance!D86=0,"", Finance!D86),IF(SubjectList!G86="Production",IF(Production!D86=0,"", Production!D86),IF(SubjectList!G86="Economics",IF(Economics!D86=0,"", Economics!D86))))</f>
        <v>40</v>
      </c>
      <c r="T86" s="113">
        <f>IF(SubjectList!H86="Finance",IF(Finance!B86=0,"", Finance!B86),IF(SubjectList!H86="Production",IF(Production!B86=0,"", Production!B86),IF(SubjectList!H86="Economics",IF(Economics!B86=0,"", Economics!B86))))</f>
        <v>7</v>
      </c>
      <c r="U86" s="113">
        <f>IF(SubjectList!H86="Finance",IF(Finance!C86=0,"", Finance!C86),IF(SubjectList!H86="Production",IF(Production!C86=0,"", Production!C86),IF(SubjectList!H86="Economics",IF(Economics!C86=0,"", Economics!C86))))</f>
        <v>6</v>
      </c>
      <c r="V86" s="114">
        <f>IF(SubjectList!H86="Finance",IF(Finance!D86=0,"", Finance!D86),IF(SubjectList!H86="Production",IF(Production!D86=0,"", Production!D86),IF(SubjectList!H86="Economics",IF(Economics!D86=0,"", Economics!D86))))</f>
        <v>13</v>
      </c>
      <c r="W86" s="115" t="str">
        <f>IF(SubjectList!G86="Finance","Finance",IF(SubjectList!G86="Production","Production",IF(SubjectList!G86="Economics","Not Given")))</f>
        <v>Production</v>
      </c>
      <c r="X86" s="115" t="str">
        <f>IF(SubjectList!H86="Finance","Finance",IF(SubjectList!H86="Production","Production",IF(SubjectList!H86="Economics","Economics","Not Given")))</f>
        <v>Finance</v>
      </c>
      <c r="Y86" s="113" t="str">
        <f>Bangla!F86</f>
        <v>D</v>
      </c>
      <c r="Z86" s="113" t="str">
        <f>English!E86</f>
        <v>F</v>
      </c>
      <c r="AA86" s="113" t="str">
        <f>ICT!G86</f>
        <v>F</v>
      </c>
      <c r="AB86" s="113" t="str">
        <f>Accounting!F86</f>
        <v>F</v>
      </c>
      <c r="AC86" s="113" t="str">
        <f>'Business Organization'!F86</f>
        <v>F</v>
      </c>
      <c r="AD86" s="113" t="str">
        <f>Production!F86</f>
        <v>C</v>
      </c>
      <c r="AE86" s="113" t="str">
        <f>Finance!F86</f>
        <v>F</v>
      </c>
      <c r="AF86" s="122">
        <f>Bangla!G86</f>
        <v>1</v>
      </c>
      <c r="AG86" s="122">
        <f>English!F86</f>
        <v>0</v>
      </c>
      <c r="AH86" s="120">
        <f>ICT!H86</f>
        <v>0</v>
      </c>
      <c r="AI86" s="120">
        <f>Accounting!G86</f>
        <v>0</v>
      </c>
      <c r="AJ86" s="120">
        <f>'Business Organization'!G86</f>
        <v>0</v>
      </c>
      <c r="AK86" s="120">
        <f>IF(SubjectList!G86="Finance",Finance!G86,IF(SubjectList!G86="Production",Production!G86,IF(SubjectList!G86="Economics",Economics!G86)))</f>
        <v>2</v>
      </c>
      <c r="AL86" s="120">
        <f>Finance!G86</f>
        <v>0</v>
      </c>
      <c r="AM86" s="120">
        <f>Optional!H86</f>
        <v>0</v>
      </c>
      <c r="AN86" s="120">
        <f>Optional!I86</f>
        <v>0</v>
      </c>
      <c r="AO86" s="120">
        <f t="shared" si="28"/>
        <v>3</v>
      </c>
      <c r="AP86" s="120">
        <f t="shared" si="29"/>
        <v>3</v>
      </c>
      <c r="AQ86" s="116" t="str">
        <f t="shared" si="30"/>
        <v/>
      </c>
      <c r="AR86" s="116" t="str">
        <f t="shared" si="31"/>
        <v/>
      </c>
      <c r="AS86" s="117">
        <f t="shared" si="32"/>
        <v>175</v>
      </c>
      <c r="AT86" s="118">
        <f t="shared" si="33"/>
        <v>1</v>
      </c>
      <c r="AU86" s="118">
        <f t="shared" si="34"/>
        <v>0</v>
      </c>
      <c r="AV86" s="118">
        <f t="shared" si="35"/>
        <v>0</v>
      </c>
      <c r="AW86" s="118">
        <f t="shared" si="36"/>
        <v>0</v>
      </c>
      <c r="AX86" s="118">
        <f t="shared" si="37"/>
        <v>0</v>
      </c>
      <c r="AY86" s="118">
        <f t="shared" si="38"/>
        <v>1</v>
      </c>
      <c r="AZ86" s="111">
        <f t="shared" si="39"/>
        <v>2</v>
      </c>
      <c r="BA86" s="111" t="str">
        <f t="shared" si="40"/>
        <v>F4</v>
      </c>
      <c r="BB86" s="117" t="str">
        <f>IF(AR86="","",RANK(AR86,AR$2:AR145,0))</f>
        <v/>
      </c>
      <c r="BC86" s="111" t="str">
        <f t="shared" si="41"/>
        <v/>
      </c>
    </row>
    <row r="87" spans="1:55" x14ac:dyDescent="0.35">
      <c r="A87" s="113">
        <f>'Student Basic Info'!A87</f>
        <v>586</v>
      </c>
      <c r="B87" s="113" t="str">
        <f>'Student Basic Info'!C87</f>
        <v>Abdur Rahman</v>
      </c>
      <c r="C87" s="121" t="str">
        <f>IF(Bangla!B87="","",Bangla!B87)</f>
        <v/>
      </c>
      <c r="D87" s="121">
        <f>IF(Bangla!C87="","",Bangla!C87)</f>
        <v>33</v>
      </c>
      <c r="E87" s="112">
        <f>IF(Bangla!D87="","",Bangla!D87)</f>
        <v>33</v>
      </c>
      <c r="F87" s="112">
        <f>IF(English!C87="","",English!C87)</f>
        <v>24</v>
      </c>
      <c r="G87" s="113">
        <f>IF(ICT!B87="","",ICT!B87)</f>
        <v>17</v>
      </c>
      <c r="H87" s="113">
        <f>IF(ICT!C87="","",ICT!C87)</f>
        <v>11</v>
      </c>
      <c r="I87" s="113">
        <f>IF(ICT!D87="","",ICT!D87)</f>
        <v>8</v>
      </c>
      <c r="J87" s="114">
        <f>IF(ICT!E87="","",ICT!E87)</f>
        <v>36</v>
      </c>
      <c r="K87" s="113">
        <f>IF(Accounting!B87="","",Accounting!B87)</f>
        <v>8</v>
      </c>
      <c r="L87" s="113">
        <f>IF(Accounting!C87="","",Accounting!C87)</f>
        <v>4</v>
      </c>
      <c r="M87" s="114">
        <f>IF(Accounting!D87="","",Accounting!D87)</f>
        <v>12</v>
      </c>
      <c r="N87" s="113">
        <f>IF('Business Organization'!B87="","",'Business Organization'!B87)</f>
        <v>18</v>
      </c>
      <c r="O87" s="113">
        <f>IF('Business Organization'!C87="","",'Business Organization'!C87)</f>
        <v>7</v>
      </c>
      <c r="P87" s="114">
        <f>IF('Business Organization'!D87="","",'Business Organization'!D87)</f>
        <v>25</v>
      </c>
      <c r="Q87" s="113">
        <f>IF(SubjectList!G87="Finance",IF(Finance!B87=0,"", Finance!B87),IF(SubjectList!G87="Production",IF(Production!B87=0,"", Production!B87),IF(SubjectList!G87="Economics",IF(Economics!B87=0,"", Economics!B87))))</f>
        <v>16</v>
      </c>
      <c r="R87" s="113">
        <f>IF(SubjectList!G87="Finance",IF(Finance!C87=0,"", Finance!C87),IF(SubjectList!G87="Production",IF(Production!C87=0,"", Production!C87),IF(SubjectList!G87="Economics",IF(Economics!C87=0,"", Economics!C87))))</f>
        <v>3</v>
      </c>
      <c r="S87" s="114">
        <f>IF(SubjectList!G87="Finance",IF(Finance!D87=0,"", Finance!D87),IF(SubjectList!G87="Production",IF(Production!D87=0,"", Production!D87),IF(SubjectList!G87="Economics",IF(Economics!D87=0,"", Economics!D87))))</f>
        <v>19</v>
      </c>
      <c r="T87" s="113">
        <f>IF(SubjectList!H87="Finance",IF(Finance!B87=0,"", Finance!B87),IF(SubjectList!H87="Production",IF(Production!B87=0,"", Production!B87),IF(SubjectList!H87="Economics",IF(Economics!B87=0,"", Economics!B87))))</f>
        <v>6</v>
      </c>
      <c r="U87" s="113">
        <f>IF(SubjectList!H87="Finance",IF(Finance!C87=0,"", Finance!C87),IF(SubjectList!H87="Production",IF(Production!C87=0,"", Production!C87),IF(SubjectList!H87="Economics",IF(Economics!C87=0,"", Economics!C87))))</f>
        <v>4</v>
      </c>
      <c r="V87" s="114">
        <f>IF(SubjectList!H87="Finance",IF(Finance!D87=0,"", Finance!D87),IF(SubjectList!H87="Production",IF(Production!D87=0,"", Production!D87),IF(SubjectList!H87="Economics",IF(Economics!D87=0,"", Economics!D87))))</f>
        <v>10</v>
      </c>
      <c r="W87" s="115" t="str">
        <f>IF(SubjectList!G87="Finance","Finance",IF(SubjectList!G87="Production","Production",IF(SubjectList!G87="Economics","Not Given")))</f>
        <v>Production</v>
      </c>
      <c r="X87" s="115" t="str">
        <f>IF(SubjectList!H87="Finance","Finance",IF(SubjectList!H87="Production","Production",IF(SubjectList!H87="Economics","Economics","Not Given")))</f>
        <v>Finance</v>
      </c>
      <c r="Y87" s="113" t="str">
        <f>Bangla!F87</f>
        <v>D</v>
      </c>
      <c r="Z87" s="113" t="str">
        <f>English!E87</f>
        <v>F</v>
      </c>
      <c r="AA87" s="113" t="str">
        <f>ICT!G87</f>
        <v>F</v>
      </c>
      <c r="AB87" s="113" t="str">
        <f>Accounting!F87</f>
        <v>F</v>
      </c>
      <c r="AC87" s="113" t="str">
        <f>'Business Organization'!F87</f>
        <v>F</v>
      </c>
      <c r="AD87" s="113" t="str">
        <f>Production!F87</f>
        <v>F</v>
      </c>
      <c r="AE87" s="113" t="str">
        <f>Finance!F87</f>
        <v>F</v>
      </c>
      <c r="AF87" s="122">
        <f>Bangla!G87</f>
        <v>1</v>
      </c>
      <c r="AG87" s="122">
        <f>English!F87</f>
        <v>0</v>
      </c>
      <c r="AH87" s="120">
        <f>ICT!H87</f>
        <v>0</v>
      </c>
      <c r="AI87" s="120">
        <f>Accounting!G87</f>
        <v>0</v>
      </c>
      <c r="AJ87" s="120">
        <f>'Business Organization'!G87</f>
        <v>0</v>
      </c>
      <c r="AK87" s="120">
        <f>IF(SubjectList!G87="Finance",Finance!G87,IF(SubjectList!G87="Production",Production!G87,IF(SubjectList!G87="Economics",Economics!G87)))</f>
        <v>0</v>
      </c>
      <c r="AL87" s="120">
        <f>Finance!G87</f>
        <v>0</v>
      </c>
      <c r="AM87" s="120">
        <f>Optional!H87</f>
        <v>0</v>
      </c>
      <c r="AN87" s="120">
        <f>Optional!I87</f>
        <v>0</v>
      </c>
      <c r="AO87" s="120">
        <f t="shared" si="28"/>
        <v>1</v>
      </c>
      <c r="AP87" s="120">
        <f t="shared" si="29"/>
        <v>1</v>
      </c>
      <c r="AQ87" s="116" t="str">
        <f t="shared" si="30"/>
        <v/>
      </c>
      <c r="AR87" s="116" t="str">
        <f t="shared" si="31"/>
        <v/>
      </c>
      <c r="AS87" s="117">
        <f t="shared" si="32"/>
        <v>159</v>
      </c>
      <c r="AT87" s="118">
        <f t="shared" si="33"/>
        <v>1</v>
      </c>
      <c r="AU87" s="118">
        <f t="shared" si="34"/>
        <v>0</v>
      </c>
      <c r="AV87" s="118">
        <f t="shared" si="35"/>
        <v>0</v>
      </c>
      <c r="AW87" s="118">
        <f t="shared" si="36"/>
        <v>0</v>
      </c>
      <c r="AX87" s="118">
        <f t="shared" si="37"/>
        <v>0</v>
      </c>
      <c r="AY87" s="118">
        <f t="shared" si="38"/>
        <v>0</v>
      </c>
      <c r="AZ87" s="111">
        <f t="shared" si="39"/>
        <v>1</v>
      </c>
      <c r="BA87" s="111" t="str">
        <f t="shared" si="40"/>
        <v>F5</v>
      </c>
      <c r="BB87" s="117" t="str">
        <f>IF(AR87="","",RANK(AR87,AR$2:AR145,0))</f>
        <v/>
      </c>
      <c r="BC87" s="111" t="str">
        <f t="shared" si="41"/>
        <v/>
      </c>
    </row>
    <row r="88" spans="1:55" x14ac:dyDescent="0.35">
      <c r="A88" s="113">
        <f>'Student Basic Info'!A88</f>
        <v>587</v>
      </c>
      <c r="B88" s="113" t="str">
        <f>'Student Basic Info'!C88</f>
        <v xml:space="preserve">Romana Aktar </v>
      </c>
      <c r="C88" s="121" t="str">
        <f>IF(Bangla!B88="","",Bangla!B88)</f>
        <v/>
      </c>
      <c r="D88" s="121">
        <f>IF(Bangla!C88="","",Bangla!C88)</f>
        <v>50</v>
      </c>
      <c r="E88" s="112">
        <f>IF(Bangla!D88="","",Bangla!D88)</f>
        <v>50</v>
      </c>
      <c r="F88" s="112">
        <f>IF(English!C88="","",English!C88)</f>
        <v>21</v>
      </c>
      <c r="G88" s="113">
        <f>IF(ICT!B88="","",ICT!B88)</f>
        <v>8</v>
      </c>
      <c r="H88" s="113">
        <f>IF(ICT!C88="","",ICT!C88)</f>
        <v>11</v>
      </c>
      <c r="I88" s="113">
        <f>IF(ICT!D88="","",ICT!D88)</f>
        <v>18</v>
      </c>
      <c r="J88" s="114">
        <f>IF(ICT!E88="","",ICT!E88)</f>
        <v>37</v>
      </c>
      <c r="K88" s="113">
        <f>IF(Accounting!B88="","",Accounting!B88)</f>
        <v>8</v>
      </c>
      <c r="L88" s="113">
        <f>IF(Accounting!C88="","",Accounting!C88)</f>
        <v>15</v>
      </c>
      <c r="M88" s="114">
        <f>IF(Accounting!D88="","",Accounting!D88)</f>
        <v>23</v>
      </c>
      <c r="N88" s="113">
        <f>IF('Business Organization'!B88="","",'Business Organization'!B88)</f>
        <v>17</v>
      </c>
      <c r="O88" s="113">
        <f>IF('Business Organization'!C88="","",'Business Organization'!C88)</f>
        <v>16</v>
      </c>
      <c r="P88" s="114">
        <f>IF('Business Organization'!D88="","",'Business Organization'!D88)</f>
        <v>33</v>
      </c>
      <c r="Q88" s="113">
        <f>IF(SubjectList!G88="Finance",IF(Finance!B88=0,"", Finance!B88),IF(SubjectList!G88="Production",IF(Production!B88=0,"", Production!B88),IF(SubjectList!G88="Economics",IF(Economics!B88=0,"", Economics!B88))))</f>
        <v>15</v>
      </c>
      <c r="R88" s="113">
        <f>IF(SubjectList!G88="Finance",IF(Finance!C88=0,"", Finance!C88),IF(SubjectList!G88="Production",IF(Production!C88=0,"", Production!C88),IF(SubjectList!G88="Economics",IF(Economics!C88=0,"", Economics!C88))))</f>
        <v>31</v>
      </c>
      <c r="S88" s="114">
        <f>IF(SubjectList!G88="Finance",IF(Finance!D88=0,"", Finance!D88),IF(SubjectList!G88="Production",IF(Production!D88=0,"", Production!D88),IF(SubjectList!G88="Economics",IF(Economics!D88=0,"", Economics!D88))))</f>
        <v>46</v>
      </c>
      <c r="T88" s="113">
        <f>IF(SubjectList!H88="Finance",IF(Finance!B88=0,"", Finance!B88),IF(SubjectList!H88="Production",IF(Production!B88=0,"", Production!B88),IF(SubjectList!H88="Economics",IF(Economics!B88=0,"", Economics!B88))))</f>
        <v>10</v>
      </c>
      <c r="U88" s="113">
        <f>IF(SubjectList!H88="Finance",IF(Finance!C88=0,"", Finance!C88),IF(SubjectList!H88="Production",IF(Production!C88=0,"", Production!C88),IF(SubjectList!H88="Economics",IF(Economics!C88=0,"", Economics!C88))))</f>
        <v>6</v>
      </c>
      <c r="V88" s="114">
        <f>IF(SubjectList!H88="Finance",IF(Finance!D88=0,"", Finance!D88),IF(SubjectList!H88="Production",IF(Production!D88=0,"", Production!D88),IF(SubjectList!H88="Economics",IF(Economics!D88=0,"", Economics!D88))))</f>
        <v>16</v>
      </c>
      <c r="W88" s="115" t="str">
        <f>IF(SubjectList!G88="Finance","Finance",IF(SubjectList!G88="Production","Production",IF(SubjectList!G88="Economics","Not Given")))</f>
        <v>Production</v>
      </c>
      <c r="X88" s="115" t="str">
        <f>IF(SubjectList!H88="Finance","Finance",IF(SubjectList!H88="Production","Production",IF(SubjectList!H88="Economics","Economics","Not Given")))</f>
        <v>Finance</v>
      </c>
      <c r="Y88" s="113" t="str">
        <f>Bangla!F88</f>
        <v>B</v>
      </c>
      <c r="Z88" s="113" t="str">
        <f>English!E88</f>
        <v>F</v>
      </c>
      <c r="AA88" s="113" t="str">
        <f>ICT!G88</f>
        <v>F</v>
      </c>
      <c r="AB88" s="113" t="str">
        <f>Accounting!F88</f>
        <v>F</v>
      </c>
      <c r="AC88" s="113" t="str">
        <f>'Business Organization'!F88</f>
        <v>F</v>
      </c>
      <c r="AD88" s="113" t="str">
        <f>Production!F88</f>
        <v>C</v>
      </c>
      <c r="AE88" s="113" t="str">
        <f>Finance!F88</f>
        <v>F</v>
      </c>
      <c r="AF88" s="122">
        <f>Bangla!G88</f>
        <v>3</v>
      </c>
      <c r="AG88" s="122">
        <f>English!F88</f>
        <v>0</v>
      </c>
      <c r="AH88" s="120">
        <f>ICT!H88</f>
        <v>0</v>
      </c>
      <c r="AI88" s="120">
        <f>Accounting!G88</f>
        <v>0</v>
      </c>
      <c r="AJ88" s="120">
        <f>'Business Organization'!G88</f>
        <v>0</v>
      </c>
      <c r="AK88" s="120">
        <f>IF(SubjectList!G88="Finance",Finance!G88,IF(SubjectList!G88="Production",Production!G88,IF(SubjectList!G88="Economics",Economics!G88)))</f>
        <v>2</v>
      </c>
      <c r="AL88" s="120">
        <f>Finance!G88</f>
        <v>0</v>
      </c>
      <c r="AM88" s="120">
        <f>Optional!H88</f>
        <v>0</v>
      </c>
      <c r="AN88" s="120">
        <f>Optional!I88</f>
        <v>0</v>
      </c>
      <c r="AO88" s="120">
        <f t="shared" si="28"/>
        <v>5</v>
      </c>
      <c r="AP88" s="120">
        <f t="shared" si="29"/>
        <v>5</v>
      </c>
      <c r="AQ88" s="116" t="str">
        <f t="shared" si="30"/>
        <v/>
      </c>
      <c r="AR88" s="116" t="str">
        <f t="shared" si="31"/>
        <v/>
      </c>
      <c r="AS88" s="117">
        <f t="shared" si="32"/>
        <v>226</v>
      </c>
      <c r="AT88" s="118">
        <f t="shared" si="33"/>
        <v>1</v>
      </c>
      <c r="AU88" s="118">
        <f t="shared" si="34"/>
        <v>0</v>
      </c>
      <c r="AV88" s="118">
        <f t="shared" si="35"/>
        <v>0</v>
      </c>
      <c r="AW88" s="118">
        <f t="shared" si="36"/>
        <v>0</v>
      </c>
      <c r="AX88" s="118">
        <f t="shared" si="37"/>
        <v>0</v>
      </c>
      <c r="AY88" s="118">
        <f t="shared" si="38"/>
        <v>1</v>
      </c>
      <c r="AZ88" s="111">
        <f t="shared" si="39"/>
        <v>2</v>
      </c>
      <c r="BA88" s="111" t="str">
        <f t="shared" si="40"/>
        <v>F4</v>
      </c>
      <c r="BB88" s="117" t="str">
        <f>IF(AR88="","",RANK(AR88,AR$2:AR145,0))</f>
        <v/>
      </c>
      <c r="BC88" s="111" t="str">
        <f t="shared" si="41"/>
        <v/>
      </c>
    </row>
    <row r="89" spans="1:55" x14ac:dyDescent="0.35">
      <c r="A89" s="113">
        <f>'Student Basic Info'!A89</f>
        <v>588</v>
      </c>
      <c r="B89" s="113" t="str">
        <f>'Student Basic Info'!C89</f>
        <v>Prithika Rani Debi</v>
      </c>
      <c r="C89" s="121" t="str">
        <f>IF(Bangla!B89="","",Bangla!B89)</f>
        <v/>
      </c>
      <c r="D89" s="121">
        <f>IF(Bangla!C89="","",Bangla!C89)</f>
        <v>50</v>
      </c>
      <c r="E89" s="112">
        <f>IF(Bangla!D89="","",Bangla!D89)</f>
        <v>50</v>
      </c>
      <c r="F89" s="112">
        <f>IF(English!C89="","",English!C89)</f>
        <v>23</v>
      </c>
      <c r="G89" s="113">
        <f>IF(ICT!B89="","",ICT!B89)</f>
        <v>10</v>
      </c>
      <c r="H89" s="113">
        <f>IF(ICT!C89="","",ICT!C89)</f>
        <v>12</v>
      </c>
      <c r="I89" s="113">
        <f>IF(ICT!D89="","",ICT!D89)</f>
        <v>18</v>
      </c>
      <c r="J89" s="114">
        <f>IF(ICT!E89="","",ICT!E89)</f>
        <v>40</v>
      </c>
      <c r="K89" s="113">
        <f>IF(Accounting!B89="","",Accounting!B89)</f>
        <v>8</v>
      </c>
      <c r="L89" s="113">
        <f>IF(Accounting!C89="","",Accounting!C89)</f>
        <v>23</v>
      </c>
      <c r="M89" s="114">
        <f>IF(Accounting!D89="","",Accounting!D89)</f>
        <v>31</v>
      </c>
      <c r="N89" s="113">
        <f>IF('Business Organization'!B89="","",'Business Organization'!B89)</f>
        <v>21</v>
      </c>
      <c r="O89" s="113">
        <f>IF('Business Organization'!C89="","",'Business Organization'!C89)</f>
        <v>16</v>
      </c>
      <c r="P89" s="114">
        <f>IF('Business Organization'!D89="","",'Business Organization'!D89)</f>
        <v>37</v>
      </c>
      <c r="Q89" s="113">
        <f>IF(SubjectList!G89="Finance",IF(Finance!B89=0,"", Finance!B89),IF(SubjectList!G89="Production",IF(Production!B89=0,"", Production!B89),IF(SubjectList!G89="Economics",IF(Economics!B89=0,"", Economics!B89))))</f>
        <v>12</v>
      </c>
      <c r="R89" s="113">
        <f>IF(SubjectList!G89="Finance",IF(Finance!C89=0,"", Finance!C89),IF(SubjectList!G89="Production",IF(Production!C89=0,"", Production!C89),IF(SubjectList!G89="Economics",IF(Economics!C89=0,"", Economics!C89))))</f>
        <v>33</v>
      </c>
      <c r="S89" s="114">
        <f>IF(SubjectList!G89="Finance",IF(Finance!D89=0,"", Finance!D89),IF(SubjectList!G89="Production",IF(Production!D89=0,"", Production!D89),IF(SubjectList!G89="Economics",IF(Economics!D89=0,"", Economics!D89))))</f>
        <v>45</v>
      </c>
      <c r="T89" s="113">
        <f>IF(SubjectList!H89="Finance",IF(Finance!B89=0,"", Finance!B89),IF(SubjectList!H89="Production",IF(Production!B89=0,"", Production!B89),IF(SubjectList!H89="Economics",IF(Economics!B89=0,"", Economics!B89))))</f>
        <v>11</v>
      </c>
      <c r="U89" s="113">
        <f>IF(SubjectList!H89="Finance",IF(Finance!C89=0,"", Finance!C89),IF(SubjectList!H89="Production",IF(Production!C89=0,"", Production!C89),IF(SubjectList!H89="Economics",IF(Economics!C89=0,"", Economics!C89))))</f>
        <v>8</v>
      </c>
      <c r="V89" s="114">
        <f>IF(SubjectList!H89="Finance",IF(Finance!D89=0,"", Finance!D89),IF(SubjectList!H89="Production",IF(Production!D89=0,"", Production!D89),IF(SubjectList!H89="Economics",IF(Economics!D89=0,"", Economics!D89))))</f>
        <v>19</v>
      </c>
      <c r="W89" s="115" t="str">
        <f>IF(SubjectList!G89="Finance","Finance",IF(SubjectList!G89="Production","Production",IF(SubjectList!G89="Economics","Not Given")))</f>
        <v>Production</v>
      </c>
      <c r="X89" s="115" t="str">
        <f>IF(SubjectList!H89="Finance","Finance",IF(SubjectList!H89="Production","Production",IF(SubjectList!H89="Economics","Economics","Not Given")))</f>
        <v>Finance</v>
      </c>
      <c r="Y89" s="113" t="str">
        <f>Bangla!F89</f>
        <v>B</v>
      </c>
      <c r="Z89" s="113" t="str">
        <f>English!E89</f>
        <v>F</v>
      </c>
      <c r="AA89" s="113" t="str">
        <f>ICT!G89</f>
        <v>F</v>
      </c>
      <c r="AB89" s="113" t="str">
        <f>Accounting!F89</f>
        <v>F</v>
      </c>
      <c r="AC89" s="113" t="str">
        <f>'Business Organization'!F89</f>
        <v>F</v>
      </c>
      <c r="AD89" s="113" t="str">
        <f>Production!F89</f>
        <v>C</v>
      </c>
      <c r="AE89" s="113" t="str">
        <f>Finance!F89</f>
        <v>F</v>
      </c>
      <c r="AF89" s="122">
        <f>Bangla!G89</f>
        <v>3</v>
      </c>
      <c r="AG89" s="122">
        <f>English!F89</f>
        <v>0</v>
      </c>
      <c r="AH89" s="120">
        <f>ICT!H89</f>
        <v>0</v>
      </c>
      <c r="AI89" s="120">
        <f>Accounting!G89</f>
        <v>0</v>
      </c>
      <c r="AJ89" s="120">
        <f>'Business Organization'!G89</f>
        <v>0</v>
      </c>
      <c r="AK89" s="120">
        <f>IF(SubjectList!G89="Finance",Finance!G89,IF(SubjectList!G89="Production",Production!G89,IF(SubjectList!G89="Economics",Economics!G89)))</f>
        <v>2</v>
      </c>
      <c r="AL89" s="120">
        <f>Finance!G89</f>
        <v>0</v>
      </c>
      <c r="AM89" s="120">
        <f>Optional!H89</f>
        <v>0</v>
      </c>
      <c r="AN89" s="120">
        <f>Optional!I89</f>
        <v>0</v>
      </c>
      <c r="AO89" s="120">
        <f t="shared" si="28"/>
        <v>5</v>
      </c>
      <c r="AP89" s="120">
        <f t="shared" si="29"/>
        <v>5</v>
      </c>
      <c r="AQ89" s="116" t="str">
        <f t="shared" si="30"/>
        <v/>
      </c>
      <c r="AR89" s="116" t="str">
        <f t="shared" si="31"/>
        <v/>
      </c>
      <c r="AS89" s="117">
        <f t="shared" si="32"/>
        <v>245</v>
      </c>
      <c r="AT89" s="118">
        <f t="shared" si="33"/>
        <v>1</v>
      </c>
      <c r="AU89" s="118">
        <f t="shared" si="34"/>
        <v>0</v>
      </c>
      <c r="AV89" s="118">
        <f t="shared" si="35"/>
        <v>0</v>
      </c>
      <c r="AW89" s="118">
        <f t="shared" si="36"/>
        <v>0</v>
      </c>
      <c r="AX89" s="118">
        <f t="shared" si="37"/>
        <v>0</v>
      </c>
      <c r="AY89" s="118">
        <f t="shared" si="38"/>
        <v>1</v>
      </c>
      <c r="AZ89" s="111">
        <f t="shared" si="39"/>
        <v>2</v>
      </c>
      <c r="BA89" s="111" t="str">
        <f t="shared" si="40"/>
        <v>F4</v>
      </c>
      <c r="BB89" s="117" t="str">
        <f>IF(AR89="","",RANK(AR89,AR$2:AR145,0))</f>
        <v/>
      </c>
      <c r="BC89" s="111" t="str">
        <f t="shared" si="41"/>
        <v/>
      </c>
    </row>
    <row r="90" spans="1:55" x14ac:dyDescent="0.35">
      <c r="A90" s="113">
        <f>'Student Basic Info'!A90</f>
        <v>589</v>
      </c>
      <c r="B90" s="113" t="str">
        <f>'Student Basic Info'!C90</f>
        <v>Mohammad Shahriyar Nafiz</v>
      </c>
      <c r="C90" s="121" t="str">
        <f>IF(Bangla!B90="","",Bangla!B90)</f>
        <v/>
      </c>
      <c r="D90" s="121" t="str">
        <f>IF(Bangla!C90="","",Bangla!C90)</f>
        <v/>
      </c>
      <c r="E90" s="112" t="str">
        <f>IF(Bangla!D90="","",Bangla!D90)</f>
        <v/>
      </c>
      <c r="F90" s="112" t="str">
        <f>IF(English!C90="","",English!C90)</f>
        <v/>
      </c>
      <c r="G90" s="113" t="str">
        <f>IF(ICT!B90="","",ICT!B90)</f>
        <v/>
      </c>
      <c r="H90" s="113" t="str">
        <f>IF(ICT!C90="","",ICT!C90)</f>
        <v/>
      </c>
      <c r="I90" s="113" t="str">
        <f>IF(ICT!D90="","",ICT!D90)</f>
        <v/>
      </c>
      <c r="J90" s="114" t="str">
        <f>IF(ICT!E90="","",ICT!E90)</f>
        <v/>
      </c>
      <c r="K90" s="113" t="str">
        <f>IF(Accounting!B90="","",Accounting!B90)</f>
        <v/>
      </c>
      <c r="L90" s="113" t="str">
        <f>IF(Accounting!C90="","",Accounting!C90)</f>
        <v/>
      </c>
      <c r="M90" s="114" t="str">
        <f>IF(Accounting!D90="","",Accounting!D90)</f>
        <v/>
      </c>
      <c r="N90" s="113" t="str">
        <f>IF('Business Organization'!B90="","",'Business Organization'!B90)</f>
        <v/>
      </c>
      <c r="O90" s="113" t="str">
        <f>IF('Business Organization'!C90="","",'Business Organization'!C90)</f>
        <v/>
      </c>
      <c r="P90" s="114" t="str">
        <f>IF('Business Organization'!D90="","",'Business Organization'!D90)</f>
        <v/>
      </c>
      <c r="Q90" s="113" t="str">
        <f>IF(SubjectList!G90="Finance",IF(Finance!B90=0,"", Finance!B90),IF(SubjectList!G90="Production",IF(Production!B90=0,"", Production!B90),IF(SubjectList!G90="Economics",IF(Economics!B90=0,"", Economics!B90))))</f>
        <v/>
      </c>
      <c r="R90" s="113" t="str">
        <f>IF(SubjectList!G90="Finance",IF(Finance!C90=0,"", Finance!C90),IF(SubjectList!G90="Production",IF(Production!C90=0,"", Production!C90),IF(SubjectList!G90="Economics",IF(Economics!C90=0,"", Economics!C90))))</f>
        <v/>
      </c>
      <c r="S90" s="114" t="str">
        <f>IF(SubjectList!G90="Finance",IF(Finance!D90=0,"", Finance!D90),IF(SubjectList!G90="Production",IF(Production!D90=0,"", Production!D90),IF(SubjectList!G90="Economics",IF(Economics!D90=0,"", Economics!D90))))</f>
        <v/>
      </c>
      <c r="T90" s="113" t="str">
        <f>IF(SubjectList!H90="Finance",IF(Finance!B90=0,"", Finance!B90),IF(SubjectList!H90="Production",IF(Production!B90=0,"", Production!B90),IF(SubjectList!H90="Economics",IF(Economics!B90=0,"", Economics!B90))))</f>
        <v/>
      </c>
      <c r="U90" s="113" t="str">
        <f>IF(SubjectList!H90="Finance",IF(Finance!C90=0,"", Finance!C90),IF(SubjectList!H90="Production",IF(Production!C90=0,"", Production!C90),IF(SubjectList!H90="Economics",IF(Economics!C90=0,"", Economics!C90))))</f>
        <v/>
      </c>
      <c r="V90" s="114" t="str">
        <f>IF(SubjectList!H90="Finance",IF(Finance!D90=0,"", Finance!D90),IF(SubjectList!H90="Production",IF(Production!D90=0,"", Production!D90),IF(SubjectList!H90="Economics",IF(Economics!D90=0,"", Economics!D90))))</f>
        <v/>
      </c>
      <c r="W90" s="115" t="str">
        <f>IF(SubjectList!G90="Finance","Finance",IF(SubjectList!G90="Production","Production",IF(SubjectList!G90="Economics","Not Given")))</f>
        <v>Production</v>
      </c>
      <c r="X90" s="115" t="str">
        <f>IF(SubjectList!H90="Finance","Finance",IF(SubjectList!H90="Production","Production",IF(SubjectList!H90="Economics","Economics","Not Given")))</f>
        <v>Finance</v>
      </c>
      <c r="Y90" s="113" t="str">
        <f>Bangla!F90</f>
        <v/>
      </c>
      <c r="Z90" s="113" t="str">
        <f>English!E90</f>
        <v/>
      </c>
      <c r="AA90" s="113" t="str">
        <f>ICT!G90</f>
        <v/>
      </c>
      <c r="AB90" s="113" t="str">
        <f>Accounting!F90</f>
        <v/>
      </c>
      <c r="AC90" s="113" t="str">
        <f>'Business Organization'!F90</f>
        <v/>
      </c>
      <c r="AD90" s="113" t="str">
        <f>Production!F90</f>
        <v/>
      </c>
      <c r="AE90" s="113" t="str">
        <f>Finance!F90</f>
        <v/>
      </c>
      <c r="AF90" s="122" t="str">
        <f>Bangla!G90</f>
        <v/>
      </c>
      <c r="AG90" s="122" t="str">
        <f>English!F90</f>
        <v/>
      </c>
      <c r="AH90" s="120" t="str">
        <f>ICT!H90</f>
        <v/>
      </c>
      <c r="AI90" s="120" t="str">
        <f>Accounting!G90</f>
        <v/>
      </c>
      <c r="AJ90" s="120" t="str">
        <f>'Business Organization'!G90</f>
        <v/>
      </c>
      <c r="AK90" s="120" t="str">
        <f>IF(SubjectList!G90="Finance",Finance!G90,IF(SubjectList!G90="Production",Production!G90,IF(SubjectList!G90="Economics",Economics!G90)))</f>
        <v/>
      </c>
      <c r="AL90" s="120" t="str">
        <f>Finance!G90</f>
        <v/>
      </c>
      <c r="AM90" s="120" t="str">
        <f>Optional!H90</f>
        <v/>
      </c>
      <c r="AN90" s="120" t="str">
        <f>Optional!I90</f>
        <v/>
      </c>
      <c r="AO90" s="120" t="str">
        <f t="shared" si="28"/>
        <v/>
      </c>
      <c r="AP90" s="120">
        <f t="shared" si="29"/>
        <v>0</v>
      </c>
      <c r="AQ90" s="116" t="str">
        <f t="shared" si="30"/>
        <v/>
      </c>
      <c r="AR90" s="116" t="str">
        <f t="shared" si="31"/>
        <v/>
      </c>
      <c r="AS90" s="117">
        <f t="shared" si="32"/>
        <v>0</v>
      </c>
      <c r="AT90" s="118">
        <f t="shared" si="33"/>
        <v>0</v>
      </c>
      <c r="AU90" s="118">
        <f t="shared" si="34"/>
        <v>0</v>
      </c>
      <c r="AV90" s="118">
        <f t="shared" si="35"/>
        <v>0</v>
      </c>
      <c r="AW90" s="118">
        <f t="shared" si="36"/>
        <v>0</v>
      </c>
      <c r="AX90" s="118">
        <f t="shared" si="37"/>
        <v>0</v>
      </c>
      <c r="AY90" s="118">
        <f t="shared" si="38"/>
        <v>0</v>
      </c>
      <c r="AZ90" s="111">
        <f t="shared" si="39"/>
        <v>0</v>
      </c>
      <c r="BA90" s="111" t="str">
        <f t="shared" si="40"/>
        <v>F6</v>
      </c>
      <c r="BB90" s="117" t="str">
        <f>IF(AR90="","",RANK(AR90,AR$2:AR145,0))</f>
        <v/>
      </c>
      <c r="BC90" s="111" t="str">
        <f t="shared" si="41"/>
        <v/>
      </c>
    </row>
    <row r="91" spans="1:55" x14ac:dyDescent="0.35">
      <c r="A91" s="113">
        <f>'Student Basic Info'!A91</f>
        <v>590</v>
      </c>
      <c r="B91" s="113" t="str">
        <f>'Student Basic Info'!C91</f>
        <v>Rumpa Rani Debi</v>
      </c>
      <c r="C91" s="121" t="str">
        <f>IF(Bangla!B91="","",Bangla!B91)</f>
        <v/>
      </c>
      <c r="D91" s="121" t="str">
        <f>IF(Bangla!C91="","",Bangla!C91)</f>
        <v/>
      </c>
      <c r="E91" s="112" t="str">
        <f>IF(Bangla!D91="","",Bangla!D91)</f>
        <v/>
      </c>
      <c r="F91" s="112" t="str">
        <f>IF(English!C91="","",English!C91)</f>
        <v/>
      </c>
      <c r="G91" s="113" t="str">
        <f>IF(ICT!B91="","",ICT!B91)</f>
        <v/>
      </c>
      <c r="H91" s="113" t="str">
        <f>IF(ICT!C91="","",ICT!C91)</f>
        <v/>
      </c>
      <c r="I91" s="113" t="str">
        <f>IF(ICT!D91="","",ICT!D91)</f>
        <v/>
      </c>
      <c r="J91" s="114" t="str">
        <f>IF(ICT!E91="","",ICT!E91)</f>
        <v/>
      </c>
      <c r="K91" s="113" t="str">
        <f>IF(Accounting!B91="","",Accounting!B91)</f>
        <v/>
      </c>
      <c r="L91" s="113" t="str">
        <f>IF(Accounting!C91="","",Accounting!C91)</f>
        <v/>
      </c>
      <c r="M91" s="114" t="str">
        <f>IF(Accounting!D91="","",Accounting!D91)</f>
        <v/>
      </c>
      <c r="N91" s="113" t="str">
        <f>IF('Business Organization'!B91="","",'Business Organization'!B91)</f>
        <v/>
      </c>
      <c r="O91" s="113" t="str">
        <f>IF('Business Organization'!C91="","",'Business Organization'!C91)</f>
        <v/>
      </c>
      <c r="P91" s="114" t="str">
        <f>IF('Business Organization'!D91="","",'Business Organization'!D91)</f>
        <v/>
      </c>
      <c r="Q91" s="113" t="str">
        <f>IF(SubjectList!G91="Finance",IF(Finance!B91=0,"", Finance!B91),IF(SubjectList!G91="Production",IF(Production!B91=0,"", Production!B91),IF(SubjectList!G91="Economics",IF(Economics!B91=0,"", Economics!B91))))</f>
        <v/>
      </c>
      <c r="R91" s="113" t="str">
        <f>IF(SubjectList!G91="Finance",IF(Finance!C91=0,"", Finance!C91),IF(SubjectList!G91="Production",IF(Production!C91=0,"", Production!C91),IF(SubjectList!G91="Economics",IF(Economics!C91=0,"", Economics!C91))))</f>
        <v/>
      </c>
      <c r="S91" s="114" t="str">
        <f>IF(SubjectList!G91="Finance",IF(Finance!D91=0,"", Finance!D91),IF(SubjectList!G91="Production",IF(Production!D91=0,"", Production!D91),IF(SubjectList!G91="Economics",IF(Economics!D91=0,"", Economics!D91))))</f>
        <v/>
      </c>
      <c r="T91" s="113" t="str">
        <f>IF(SubjectList!H91="Finance",IF(Finance!B91=0,"", Finance!B91),IF(SubjectList!H91="Production",IF(Production!B91=0,"", Production!B91),IF(SubjectList!H91="Economics",IF(Economics!B91=0,"", Economics!B91))))</f>
        <v/>
      </c>
      <c r="U91" s="113" t="str">
        <f>IF(SubjectList!H91="Finance",IF(Finance!C91=0,"", Finance!C91),IF(SubjectList!H91="Production",IF(Production!C91=0,"", Production!C91),IF(SubjectList!H91="Economics",IF(Economics!C91=0,"", Economics!C91))))</f>
        <v/>
      </c>
      <c r="V91" s="114" t="str">
        <f>IF(SubjectList!H91="Finance",IF(Finance!D91=0,"", Finance!D91),IF(SubjectList!H91="Production",IF(Production!D91=0,"", Production!D91),IF(SubjectList!H91="Economics",IF(Economics!D91=0,"", Economics!D91))))</f>
        <v/>
      </c>
      <c r="W91" s="115" t="str">
        <f>IF(SubjectList!G91="Finance","Finance",IF(SubjectList!G91="Production","Production",IF(SubjectList!G91="Economics","Not Given")))</f>
        <v>Production</v>
      </c>
      <c r="X91" s="115" t="str">
        <f>IF(SubjectList!H91="Finance","Finance",IF(SubjectList!H91="Production","Production",IF(SubjectList!H91="Economics","Economics","Not Given")))</f>
        <v>Finance</v>
      </c>
      <c r="Y91" s="113" t="str">
        <f>Bangla!F91</f>
        <v/>
      </c>
      <c r="Z91" s="113" t="str">
        <f>English!E91</f>
        <v/>
      </c>
      <c r="AA91" s="113" t="str">
        <f>ICT!G91</f>
        <v/>
      </c>
      <c r="AB91" s="113" t="str">
        <f>Accounting!F91</f>
        <v/>
      </c>
      <c r="AC91" s="113" t="str">
        <f>'Business Organization'!F91</f>
        <v/>
      </c>
      <c r="AD91" s="113" t="str">
        <f>Production!F91</f>
        <v/>
      </c>
      <c r="AE91" s="113" t="str">
        <f>Finance!F91</f>
        <v/>
      </c>
      <c r="AF91" s="122" t="str">
        <f>Bangla!G91</f>
        <v/>
      </c>
      <c r="AG91" s="122" t="str">
        <f>English!F91</f>
        <v/>
      </c>
      <c r="AH91" s="120" t="str">
        <f>ICT!H91</f>
        <v/>
      </c>
      <c r="AI91" s="120" t="str">
        <f>Accounting!G91</f>
        <v/>
      </c>
      <c r="AJ91" s="120" t="str">
        <f>'Business Organization'!G91</f>
        <v/>
      </c>
      <c r="AK91" s="120" t="str">
        <f>IF(SubjectList!G91="Finance",Finance!G91,IF(SubjectList!G91="Production",Production!G91,IF(SubjectList!G91="Economics",Economics!G91)))</f>
        <v/>
      </c>
      <c r="AL91" s="120" t="str">
        <f>Finance!G91</f>
        <v/>
      </c>
      <c r="AM91" s="120" t="str">
        <f>Optional!H91</f>
        <v/>
      </c>
      <c r="AN91" s="120" t="str">
        <f>Optional!I91</f>
        <v/>
      </c>
      <c r="AO91" s="120" t="str">
        <f t="shared" si="28"/>
        <v/>
      </c>
      <c r="AP91" s="120">
        <f t="shared" si="29"/>
        <v>0</v>
      </c>
      <c r="AQ91" s="116" t="str">
        <f t="shared" si="30"/>
        <v/>
      </c>
      <c r="AR91" s="116" t="str">
        <f t="shared" si="31"/>
        <v/>
      </c>
      <c r="AS91" s="117">
        <f t="shared" si="32"/>
        <v>0</v>
      </c>
      <c r="AT91" s="118">
        <f t="shared" si="33"/>
        <v>0</v>
      </c>
      <c r="AU91" s="118">
        <f t="shared" si="34"/>
        <v>0</v>
      </c>
      <c r="AV91" s="118">
        <f t="shared" si="35"/>
        <v>0</v>
      </c>
      <c r="AW91" s="118">
        <f t="shared" si="36"/>
        <v>0</v>
      </c>
      <c r="AX91" s="118">
        <f t="shared" si="37"/>
        <v>0</v>
      </c>
      <c r="AY91" s="118">
        <f t="shared" si="38"/>
        <v>0</v>
      </c>
      <c r="AZ91" s="111">
        <f t="shared" si="39"/>
        <v>0</v>
      </c>
      <c r="BA91" s="111" t="str">
        <f t="shared" si="40"/>
        <v>F6</v>
      </c>
      <c r="BB91" s="117" t="str">
        <f>IF(AR91="","",RANK(AR91,AR$2:AR145,0))</f>
        <v/>
      </c>
      <c r="BC91" s="111" t="str">
        <f t="shared" si="41"/>
        <v/>
      </c>
    </row>
    <row r="92" spans="1:55" x14ac:dyDescent="0.35">
      <c r="A92" s="113">
        <f>'Student Basic Info'!A92</f>
        <v>591</v>
      </c>
      <c r="B92" s="113" t="str">
        <f>'Student Basic Info'!C92</f>
        <v>Saiful Islam</v>
      </c>
      <c r="C92" s="121" t="str">
        <f>IF(Bangla!B92="","",Bangla!B92)</f>
        <v/>
      </c>
      <c r="D92" s="121">
        <f>IF(Bangla!C92="","",Bangla!C92)</f>
        <v>46</v>
      </c>
      <c r="E92" s="112">
        <f>IF(Bangla!D92="","",Bangla!D92)</f>
        <v>46</v>
      </c>
      <c r="F92" s="112">
        <f>IF(English!C92="","",English!C92)</f>
        <v>33</v>
      </c>
      <c r="G92" s="113">
        <f>IF(ICT!B92="","",ICT!B92)</f>
        <v>10</v>
      </c>
      <c r="H92" s="113">
        <f>IF(ICT!C92="","",ICT!C92)</f>
        <v>19</v>
      </c>
      <c r="I92" s="113">
        <f>IF(ICT!D92="","",ICT!D92)</f>
        <v>24</v>
      </c>
      <c r="J92" s="114">
        <f>IF(ICT!E92="","",ICT!E92)</f>
        <v>53</v>
      </c>
      <c r="K92" s="113">
        <f>IF(Accounting!B92="","",Accounting!B92)</f>
        <v>11</v>
      </c>
      <c r="L92" s="113">
        <f>IF(Accounting!C92="","",Accounting!C92)</f>
        <v>15</v>
      </c>
      <c r="M92" s="114">
        <f>IF(Accounting!D92="","",Accounting!D92)</f>
        <v>26</v>
      </c>
      <c r="N92" s="113">
        <f>IF('Business Organization'!B92="","",'Business Organization'!B92)</f>
        <v>12</v>
      </c>
      <c r="O92" s="113">
        <f>IF('Business Organization'!C92="","",'Business Organization'!C92)</f>
        <v>20</v>
      </c>
      <c r="P92" s="114">
        <f>IF('Business Organization'!D92="","",'Business Organization'!D92)</f>
        <v>32</v>
      </c>
      <c r="Q92" s="113">
        <f>IF(SubjectList!G92="Finance",IF(Finance!B92=0,"", Finance!B92),IF(SubjectList!G92="Production",IF(Production!B92=0,"", Production!B92),IF(SubjectList!G92="Economics",IF(Economics!B92=0,"", Economics!B92))))</f>
        <v>11</v>
      </c>
      <c r="R92" s="113">
        <f>IF(SubjectList!G92="Finance",IF(Finance!C92=0,"", Finance!C92),IF(SubjectList!G92="Production",IF(Production!C92=0,"", Production!C92),IF(SubjectList!G92="Economics",IF(Economics!C92=0,"", Economics!C92))))</f>
        <v>18</v>
      </c>
      <c r="S92" s="114">
        <f>IF(SubjectList!G92="Finance",IF(Finance!D92=0,"", Finance!D92),IF(SubjectList!G92="Production",IF(Production!D92=0,"", Production!D92),IF(SubjectList!G92="Economics",IF(Economics!D92=0,"", Economics!D92))))</f>
        <v>29</v>
      </c>
      <c r="T92" s="113">
        <f>IF(SubjectList!H92="Finance",IF(Finance!B92=0,"", Finance!B92),IF(SubjectList!H92="Production",IF(Production!B92=0,"", Production!B92),IF(SubjectList!H92="Economics",IF(Economics!B92=0,"", Economics!B92))))</f>
        <v>7</v>
      </c>
      <c r="U92" s="113">
        <f>IF(SubjectList!H92="Finance",IF(Finance!C92=0,"", Finance!C92),IF(SubjectList!H92="Production",IF(Production!C92=0,"", Production!C92),IF(SubjectList!H92="Economics",IF(Economics!C92=0,"", Economics!C92))))</f>
        <v>5</v>
      </c>
      <c r="V92" s="114">
        <f>IF(SubjectList!H92="Finance",IF(Finance!D92=0,"", Finance!D92),IF(SubjectList!H92="Production",IF(Production!D92=0,"", Production!D92),IF(SubjectList!H92="Economics",IF(Economics!D92=0,"", Economics!D92))))</f>
        <v>12</v>
      </c>
      <c r="W92" s="115" t="str">
        <f>IF(SubjectList!G92="Finance","Finance",IF(SubjectList!G92="Production","Production",IF(SubjectList!G92="Economics","Not Given")))</f>
        <v>Production</v>
      </c>
      <c r="X92" s="115" t="str">
        <f>IF(SubjectList!H92="Finance","Finance",IF(SubjectList!H92="Production","Production",IF(SubjectList!H92="Economics","Economics","Not Given")))</f>
        <v>Finance</v>
      </c>
      <c r="Y92" s="113" t="str">
        <f>Bangla!F92</f>
        <v>C</v>
      </c>
      <c r="Z92" s="113" t="str">
        <f>English!E92</f>
        <v>D</v>
      </c>
      <c r="AA92" s="113" t="str">
        <f>ICT!G92</f>
        <v>B</v>
      </c>
      <c r="AB92" s="113" t="str">
        <f>Accounting!F92</f>
        <v>F</v>
      </c>
      <c r="AC92" s="113" t="str">
        <f>'Business Organization'!F92</f>
        <v>F</v>
      </c>
      <c r="AD92" s="113" t="str">
        <f>Production!F92</f>
        <v>F</v>
      </c>
      <c r="AE92" s="113" t="str">
        <f>Finance!F92</f>
        <v>F</v>
      </c>
      <c r="AF92" s="122">
        <f>Bangla!G92</f>
        <v>2</v>
      </c>
      <c r="AG92" s="122">
        <f>English!F92</f>
        <v>1</v>
      </c>
      <c r="AH92" s="120">
        <f>ICT!H92</f>
        <v>3</v>
      </c>
      <c r="AI92" s="120">
        <f>Accounting!G92</f>
        <v>0</v>
      </c>
      <c r="AJ92" s="120">
        <f>'Business Organization'!G92</f>
        <v>0</v>
      </c>
      <c r="AK92" s="120">
        <f>IF(SubjectList!G92="Finance",Finance!G92,IF(SubjectList!G92="Production",Production!G92,IF(SubjectList!G92="Economics",Economics!G92)))</f>
        <v>0</v>
      </c>
      <c r="AL92" s="120">
        <f>Finance!G92</f>
        <v>0</v>
      </c>
      <c r="AM92" s="120">
        <f>Optional!H92</f>
        <v>0</v>
      </c>
      <c r="AN92" s="120">
        <f>Optional!I92</f>
        <v>0</v>
      </c>
      <c r="AO92" s="120">
        <f t="shared" si="28"/>
        <v>6</v>
      </c>
      <c r="AP92" s="120">
        <f t="shared" si="29"/>
        <v>6</v>
      </c>
      <c r="AQ92" s="116" t="str">
        <f t="shared" si="30"/>
        <v/>
      </c>
      <c r="AR92" s="116" t="str">
        <f t="shared" si="31"/>
        <v/>
      </c>
      <c r="AS92" s="117">
        <f t="shared" si="32"/>
        <v>231</v>
      </c>
      <c r="AT92" s="118">
        <f t="shared" si="33"/>
        <v>1</v>
      </c>
      <c r="AU92" s="118">
        <f t="shared" si="34"/>
        <v>1</v>
      </c>
      <c r="AV92" s="118">
        <f t="shared" si="35"/>
        <v>1</v>
      </c>
      <c r="AW92" s="118">
        <f t="shared" si="36"/>
        <v>0</v>
      </c>
      <c r="AX92" s="118">
        <f t="shared" si="37"/>
        <v>0</v>
      </c>
      <c r="AY92" s="118">
        <f t="shared" si="38"/>
        <v>0</v>
      </c>
      <c r="AZ92" s="111">
        <f t="shared" si="39"/>
        <v>3</v>
      </c>
      <c r="BA92" s="111" t="str">
        <f t="shared" si="40"/>
        <v>F3</v>
      </c>
      <c r="BB92" s="117" t="str">
        <f>IF(AR92="","",RANK(AR92,AR$2:AR145,0))</f>
        <v/>
      </c>
      <c r="BC92" s="111" t="str">
        <f t="shared" si="41"/>
        <v/>
      </c>
    </row>
    <row r="93" spans="1:55" x14ac:dyDescent="0.35">
      <c r="A93" s="113">
        <f>'Student Basic Info'!A93</f>
        <v>592</v>
      </c>
      <c r="B93" s="113" t="str">
        <f>'Student Basic Info'!C93</f>
        <v>Zohirul Islam</v>
      </c>
      <c r="C93" s="121" t="str">
        <f>IF(Bangla!B93="","",Bangla!B93)</f>
        <v/>
      </c>
      <c r="D93" s="121">
        <f>IF(Bangla!C93="","",Bangla!C93)</f>
        <v>23</v>
      </c>
      <c r="E93" s="112">
        <f>IF(Bangla!D93="","",Bangla!D93)</f>
        <v>23</v>
      </c>
      <c r="F93" s="112">
        <f>IF(English!C93="","",English!C93)</f>
        <v>10</v>
      </c>
      <c r="G93" s="113">
        <f>IF(ICT!B93="","",ICT!B93)</f>
        <v>8</v>
      </c>
      <c r="H93" s="113">
        <f>IF(ICT!C93="","",ICT!C93)</f>
        <v>7</v>
      </c>
      <c r="I93" s="113">
        <f>IF(ICT!D93="","",ICT!D93)</f>
        <v>20</v>
      </c>
      <c r="J93" s="114">
        <f>IF(ICT!E93="","",ICT!E93)</f>
        <v>35</v>
      </c>
      <c r="K93" s="113">
        <f>IF(Accounting!B93="","",Accounting!B93)</f>
        <v>7</v>
      </c>
      <c r="L93" s="113">
        <f>IF(Accounting!C93="","",Accounting!C93)</f>
        <v>5</v>
      </c>
      <c r="M93" s="114">
        <f>IF(Accounting!D93="","",Accounting!D93)</f>
        <v>12</v>
      </c>
      <c r="N93" s="113">
        <f>IF('Business Organization'!B93="","",'Business Organization'!B93)</f>
        <v>11</v>
      </c>
      <c r="O93" s="113">
        <f>IF('Business Organization'!C93="","",'Business Organization'!C93)</f>
        <v>6</v>
      </c>
      <c r="P93" s="114">
        <f>IF('Business Organization'!D93="","",'Business Organization'!D93)</f>
        <v>17</v>
      </c>
      <c r="Q93" s="113">
        <f>IF(SubjectList!G93="Finance",IF(Finance!B93=0,"", Finance!B93),IF(SubjectList!G93="Production",IF(Production!B93=0,"", Production!B93),IF(SubjectList!G93="Economics",IF(Economics!B93=0,"", Economics!B93))))</f>
        <v>7</v>
      </c>
      <c r="R93" s="113">
        <f>IF(SubjectList!G93="Finance",IF(Finance!C93=0,"", Finance!C93),IF(SubjectList!G93="Production",IF(Production!C93=0,"", Production!C93),IF(SubjectList!G93="Economics",IF(Economics!C93=0,"", Economics!C93))))</f>
        <v>10</v>
      </c>
      <c r="S93" s="114">
        <f>IF(SubjectList!G93="Finance",IF(Finance!D93=0,"", Finance!D93),IF(SubjectList!G93="Production",IF(Production!D93=0,"", Production!D93),IF(SubjectList!G93="Economics",IF(Economics!D93=0,"", Economics!D93))))</f>
        <v>17</v>
      </c>
      <c r="T93" s="113">
        <f>IF(SubjectList!H93="Finance",IF(Finance!B93=0,"", Finance!B93),IF(SubjectList!H93="Production",IF(Production!B93=0,"", Production!B93),IF(SubjectList!H93="Economics",IF(Economics!B93=0,"", Economics!B93))))</f>
        <v>7</v>
      </c>
      <c r="U93" s="113">
        <f>IF(SubjectList!H93="Finance",IF(Finance!C93=0,"", Finance!C93),IF(SubjectList!H93="Production",IF(Production!C93=0,"", Production!C93),IF(SubjectList!H93="Economics",IF(Economics!C93=0,"", Economics!C93))))</f>
        <v>16</v>
      </c>
      <c r="V93" s="114">
        <f>IF(SubjectList!H93="Finance",IF(Finance!D93=0,"", Finance!D93),IF(SubjectList!H93="Production",IF(Production!D93=0,"", Production!D93),IF(SubjectList!H93="Economics",IF(Economics!D93=0,"", Economics!D93))))</f>
        <v>23</v>
      </c>
      <c r="W93" s="115" t="str">
        <f>IF(SubjectList!G93="Finance","Finance",IF(SubjectList!G93="Production","Production",IF(SubjectList!G93="Economics","Not Given")))</f>
        <v>Finance</v>
      </c>
      <c r="X93" s="115" t="str">
        <f>IF(SubjectList!H93="Finance","Finance",IF(SubjectList!H93="Production","Production",IF(SubjectList!H93="Economics","Economics","Not Given")))</f>
        <v>Production</v>
      </c>
      <c r="Y93" s="113" t="str">
        <f>Bangla!F93</f>
        <v>F</v>
      </c>
      <c r="Z93" s="113" t="str">
        <f>English!E93</f>
        <v>F</v>
      </c>
      <c r="AA93" s="113" t="str">
        <f>ICT!G93</f>
        <v>F</v>
      </c>
      <c r="AB93" s="113" t="str">
        <f>Accounting!F93</f>
        <v>F</v>
      </c>
      <c r="AC93" s="113" t="str">
        <f>'Business Organization'!F93</f>
        <v>F</v>
      </c>
      <c r="AD93" s="113" t="str">
        <f>Production!F93</f>
        <v>F</v>
      </c>
      <c r="AE93" s="113" t="str">
        <f>Finance!F93</f>
        <v>F</v>
      </c>
      <c r="AF93" s="122">
        <f>Bangla!G93</f>
        <v>0</v>
      </c>
      <c r="AG93" s="122">
        <f>English!F93</f>
        <v>0</v>
      </c>
      <c r="AH93" s="120">
        <f>ICT!H93</f>
        <v>0</v>
      </c>
      <c r="AI93" s="120">
        <f>Accounting!G93</f>
        <v>0</v>
      </c>
      <c r="AJ93" s="120">
        <f>'Business Organization'!G93</f>
        <v>0</v>
      </c>
      <c r="AK93" s="120">
        <f>IF(SubjectList!G93="Finance",Finance!G93,IF(SubjectList!G93="Production",Production!G93,IF(SubjectList!G93="Economics",Economics!G93)))</f>
        <v>0</v>
      </c>
      <c r="AL93" s="120">
        <f>Finance!G93</f>
        <v>0</v>
      </c>
      <c r="AM93" s="120">
        <f>Optional!H93</f>
        <v>0</v>
      </c>
      <c r="AN93" s="120">
        <f>Optional!I93</f>
        <v>0</v>
      </c>
      <c r="AO93" s="120" t="str">
        <f t="shared" si="28"/>
        <v/>
      </c>
      <c r="AP93" s="120">
        <f t="shared" si="29"/>
        <v>0</v>
      </c>
      <c r="AQ93" s="116" t="str">
        <f t="shared" si="30"/>
        <v/>
      </c>
      <c r="AR93" s="116" t="str">
        <f t="shared" si="31"/>
        <v/>
      </c>
      <c r="AS93" s="117">
        <f t="shared" si="32"/>
        <v>137</v>
      </c>
      <c r="AT93" s="118">
        <f t="shared" si="33"/>
        <v>0</v>
      </c>
      <c r="AU93" s="118">
        <f t="shared" si="34"/>
        <v>0</v>
      </c>
      <c r="AV93" s="118">
        <f t="shared" si="35"/>
        <v>0</v>
      </c>
      <c r="AW93" s="118">
        <f t="shared" si="36"/>
        <v>0</v>
      </c>
      <c r="AX93" s="118">
        <f t="shared" si="37"/>
        <v>0</v>
      </c>
      <c r="AY93" s="118">
        <f t="shared" si="38"/>
        <v>0</v>
      </c>
      <c r="AZ93" s="111">
        <f t="shared" si="39"/>
        <v>0</v>
      </c>
      <c r="BA93" s="111" t="str">
        <f t="shared" si="40"/>
        <v>F6</v>
      </c>
      <c r="BB93" s="117" t="str">
        <f>IF(AR93="","",RANK(AR93,AR$2:AR145,0))</f>
        <v/>
      </c>
      <c r="BC93" s="111" t="str">
        <f t="shared" si="41"/>
        <v/>
      </c>
    </row>
    <row r="94" spans="1:55" x14ac:dyDescent="0.35">
      <c r="A94" s="113">
        <f>'Student Basic Info'!A94</f>
        <v>593</v>
      </c>
      <c r="B94" s="113" t="str">
        <f>'Student Basic Info'!C94</f>
        <v>Jahedul Islam</v>
      </c>
      <c r="C94" s="121" t="str">
        <f>IF(Bangla!B94="","",Bangla!B94)</f>
        <v/>
      </c>
      <c r="D94" s="121">
        <f>IF(Bangla!C94="","",Bangla!C94)</f>
        <v>45</v>
      </c>
      <c r="E94" s="112">
        <f>IF(Bangla!D94="","",Bangla!D94)</f>
        <v>45</v>
      </c>
      <c r="F94" s="112">
        <f>IF(English!C94="","",English!C94)</f>
        <v>40</v>
      </c>
      <c r="G94" s="113">
        <f>IF(ICT!B94="","",ICT!B94)</f>
        <v>10</v>
      </c>
      <c r="H94" s="113">
        <f>IF(ICT!C94="","",ICT!C94)</f>
        <v>5</v>
      </c>
      <c r="I94" s="113">
        <f>IF(ICT!D94="","",ICT!D94)</f>
        <v>20</v>
      </c>
      <c r="J94" s="114">
        <f>IF(ICT!E94="","",ICT!E94)</f>
        <v>35</v>
      </c>
      <c r="K94" s="113">
        <f>IF(Accounting!B94="","",Accounting!B94)</f>
        <v>5</v>
      </c>
      <c r="L94" s="113">
        <f>IF(Accounting!C94="","",Accounting!C94)</f>
        <v>11</v>
      </c>
      <c r="M94" s="114">
        <f>IF(Accounting!D94="","",Accounting!D94)</f>
        <v>16</v>
      </c>
      <c r="N94" s="113">
        <f>IF('Business Organization'!B94="","",'Business Organization'!B94)</f>
        <v>14</v>
      </c>
      <c r="O94" s="113">
        <f>IF('Business Organization'!C94="","",'Business Organization'!C94)</f>
        <v>13</v>
      </c>
      <c r="P94" s="114">
        <f>IF('Business Organization'!D94="","",'Business Organization'!D94)</f>
        <v>27</v>
      </c>
      <c r="Q94" s="113">
        <f>IF(SubjectList!G94="Finance",IF(Finance!B94=0,"", Finance!B94),IF(SubjectList!G94="Production",IF(Production!B94=0,"", Production!B94),IF(SubjectList!G94="Economics",IF(Economics!B94=0,"", Economics!B94))))</f>
        <v>10</v>
      </c>
      <c r="R94" s="113">
        <f>IF(SubjectList!G94="Finance",IF(Finance!C94=0,"", Finance!C94),IF(SubjectList!G94="Production",IF(Production!C94=0,"", Production!C94),IF(SubjectList!G94="Economics",IF(Economics!C94=0,"", Economics!C94))))</f>
        <v>18</v>
      </c>
      <c r="S94" s="114">
        <f>IF(SubjectList!G94="Finance",IF(Finance!D94=0,"", Finance!D94),IF(SubjectList!G94="Production",IF(Production!D94=0,"", Production!D94),IF(SubjectList!G94="Economics",IF(Economics!D94=0,"", Economics!D94))))</f>
        <v>28</v>
      </c>
      <c r="T94" s="113">
        <f>IF(SubjectList!H94="Finance",IF(Finance!B94=0,"", Finance!B94),IF(SubjectList!H94="Production",IF(Production!B94=0,"", Production!B94),IF(SubjectList!H94="Economics",IF(Economics!B94=0,"", Economics!B94))))</f>
        <v>8</v>
      </c>
      <c r="U94" s="113">
        <f>IF(SubjectList!H94="Finance",IF(Finance!C94=0,"", Finance!C94),IF(SubjectList!H94="Production",IF(Production!C94=0,"", Production!C94),IF(SubjectList!H94="Economics",IF(Economics!C94=0,"", Economics!C94))))</f>
        <v>2</v>
      </c>
      <c r="V94" s="114">
        <f>IF(SubjectList!H94="Finance",IF(Finance!D94=0,"", Finance!D94),IF(SubjectList!H94="Production",IF(Production!D94=0,"", Production!D94),IF(SubjectList!H94="Economics",IF(Economics!D94=0,"", Economics!D94))))</f>
        <v>10</v>
      </c>
      <c r="W94" s="115" t="str">
        <f>IF(SubjectList!G94="Finance","Finance",IF(SubjectList!G94="Production","Production",IF(SubjectList!G94="Economics","Not Given")))</f>
        <v>Production</v>
      </c>
      <c r="X94" s="115" t="str">
        <f>IF(SubjectList!H94="Finance","Finance",IF(SubjectList!H94="Production","Production",IF(SubjectList!H94="Economics","Economics","Not Given")))</f>
        <v>Finance</v>
      </c>
      <c r="Y94" s="113" t="str">
        <f>Bangla!F94</f>
        <v>C</v>
      </c>
      <c r="Z94" s="113" t="str">
        <f>English!E94</f>
        <v>C</v>
      </c>
      <c r="AA94" s="113" t="str">
        <f>ICT!G94</f>
        <v>F</v>
      </c>
      <c r="AB94" s="113" t="str">
        <f>Accounting!F94</f>
        <v>F</v>
      </c>
      <c r="AC94" s="113" t="str">
        <f>'Business Organization'!F94</f>
        <v>F</v>
      </c>
      <c r="AD94" s="113" t="str">
        <f>Production!F94</f>
        <v>F</v>
      </c>
      <c r="AE94" s="113" t="str">
        <f>Finance!F94</f>
        <v>F</v>
      </c>
      <c r="AF94" s="122">
        <f>Bangla!G94</f>
        <v>2</v>
      </c>
      <c r="AG94" s="122">
        <f>English!F94</f>
        <v>2</v>
      </c>
      <c r="AH94" s="120">
        <f>ICT!H94</f>
        <v>0</v>
      </c>
      <c r="AI94" s="120">
        <f>Accounting!G94</f>
        <v>0</v>
      </c>
      <c r="AJ94" s="120">
        <f>'Business Organization'!G94</f>
        <v>0</v>
      </c>
      <c r="AK94" s="120">
        <f>IF(SubjectList!G94="Finance",Finance!G94,IF(SubjectList!G94="Production",Production!G94,IF(SubjectList!G94="Economics",Economics!G94)))</f>
        <v>0</v>
      </c>
      <c r="AL94" s="120">
        <f>Finance!G94</f>
        <v>0</v>
      </c>
      <c r="AM94" s="120">
        <f>Optional!H94</f>
        <v>0</v>
      </c>
      <c r="AN94" s="120">
        <f>Optional!I94</f>
        <v>0</v>
      </c>
      <c r="AO94" s="120">
        <f t="shared" si="28"/>
        <v>4</v>
      </c>
      <c r="AP94" s="120">
        <f t="shared" si="29"/>
        <v>4</v>
      </c>
      <c r="AQ94" s="116" t="str">
        <f t="shared" si="30"/>
        <v/>
      </c>
      <c r="AR94" s="116" t="str">
        <f t="shared" si="31"/>
        <v/>
      </c>
      <c r="AS94" s="117">
        <f t="shared" si="32"/>
        <v>201</v>
      </c>
      <c r="AT94" s="118">
        <f t="shared" si="33"/>
        <v>1</v>
      </c>
      <c r="AU94" s="118">
        <f t="shared" si="34"/>
        <v>1</v>
      </c>
      <c r="AV94" s="118">
        <f t="shared" si="35"/>
        <v>0</v>
      </c>
      <c r="AW94" s="118">
        <f t="shared" si="36"/>
        <v>0</v>
      </c>
      <c r="AX94" s="118">
        <f t="shared" si="37"/>
        <v>0</v>
      </c>
      <c r="AY94" s="118">
        <f t="shared" si="38"/>
        <v>0</v>
      </c>
      <c r="AZ94" s="111">
        <f t="shared" si="39"/>
        <v>2</v>
      </c>
      <c r="BA94" s="111" t="str">
        <f t="shared" si="40"/>
        <v>F4</v>
      </c>
      <c r="BB94" s="117" t="str">
        <f>IF(AR94="","",RANK(AR94,AR$2:AR145,0))</f>
        <v/>
      </c>
      <c r="BC94" s="111" t="str">
        <f t="shared" si="41"/>
        <v/>
      </c>
    </row>
    <row r="95" spans="1:55" x14ac:dyDescent="0.35">
      <c r="A95" s="113">
        <f>'Student Basic Info'!A95</f>
        <v>594</v>
      </c>
      <c r="B95" s="113" t="str">
        <f>'Student Basic Info'!C95</f>
        <v>Ali Hosain</v>
      </c>
      <c r="C95" s="121" t="str">
        <f>IF(Bangla!B95="","",Bangla!B95)</f>
        <v/>
      </c>
      <c r="D95" s="121" t="str">
        <f>IF(Bangla!C95="","",Bangla!C95)</f>
        <v/>
      </c>
      <c r="E95" s="112" t="str">
        <f>IF(Bangla!D95="","",Bangla!D95)</f>
        <v/>
      </c>
      <c r="F95" s="112" t="str">
        <f>IF(English!C95="","",English!C95)</f>
        <v/>
      </c>
      <c r="G95" s="113" t="str">
        <f>IF(ICT!B95="","",ICT!B95)</f>
        <v/>
      </c>
      <c r="H95" s="113" t="str">
        <f>IF(ICT!C95="","",ICT!C95)</f>
        <v/>
      </c>
      <c r="I95" s="113" t="str">
        <f>IF(ICT!D95="","",ICT!D95)</f>
        <v/>
      </c>
      <c r="J95" s="114" t="str">
        <f>IF(ICT!E95="","",ICT!E95)</f>
        <v/>
      </c>
      <c r="K95" s="113" t="str">
        <f>IF(Accounting!B95="","",Accounting!B95)</f>
        <v/>
      </c>
      <c r="L95" s="113" t="str">
        <f>IF(Accounting!C95="","",Accounting!C95)</f>
        <v/>
      </c>
      <c r="M95" s="114" t="str">
        <f>IF(Accounting!D95="","",Accounting!D95)</f>
        <v/>
      </c>
      <c r="N95" s="113" t="str">
        <f>IF('Business Organization'!B95="","",'Business Organization'!B95)</f>
        <v/>
      </c>
      <c r="O95" s="113" t="str">
        <f>IF('Business Organization'!C95="","",'Business Organization'!C95)</f>
        <v/>
      </c>
      <c r="P95" s="114" t="str">
        <f>IF('Business Organization'!D95="","",'Business Organization'!D95)</f>
        <v/>
      </c>
      <c r="Q95" s="113" t="str">
        <f>IF(SubjectList!G95="Finance",IF(Finance!B95=0,"", Finance!B95),IF(SubjectList!G95="Production",IF(Production!B95=0,"", Production!B95),IF(SubjectList!G95="Economics",IF(Economics!B95=0,"", Economics!B95))))</f>
        <v/>
      </c>
      <c r="R95" s="113" t="str">
        <f>IF(SubjectList!G95="Finance",IF(Finance!C95=0,"", Finance!C95),IF(SubjectList!G95="Production",IF(Production!C95=0,"", Production!C95),IF(SubjectList!G95="Economics",IF(Economics!C95=0,"", Economics!C95))))</f>
        <v/>
      </c>
      <c r="S95" s="114" t="str">
        <f>IF(SubjectList!G95="Finance",IF(Finance!D95=0,"", Finance!D95),IF(SubjectList!G95="Production",IF(Production!D95=0,"", Production!D95),IF(SubjectList!G95="Economics",IF(Economics!D95=0,"", Economics!D95))))</f>
        <v/>
      </c>
      <c r="T95" s="113" t="str">
        <f>IF(SubjectList!H95="Finance",IF(Finance!B95=0,"", Finance!B95),IF(SubjectList!H95="Production",IF(Production!B95=0,"", Production!B95),IF(SubjectList!H95="Economics",IF(Economics!B95=0,"", Economics!B95))))</f>
        <v/>
      </c>
      <c r="U95" s="113" t="str">
        <f>IF(SubjectList!H95="Finance",IF(Finance!C95=0,"", Finance!C95),IF(SubjectList!H95="Production",IF(Production!C95=0,"", Production!C95),IF(SubjectList!H95="Economics",IF(Economics!C95=0,"", Economics!C95))))</f>
        <v/>
      </c>
      <c r="V95" s="114" t="str">
        <f>IF(SubjectList!H95="Finance",IF(Finance!D95=0,"", Finance!D95),IF(SubjectList!H95="Production",IF(Production!D95=0,"", Production!D95),IF(SubjectList!H95="Economics",IF(Economics!D95=0,"", Economics!D95))))</f>
        <v/>
      </c>
      <c r="W95" s="115" t="str">
        <f>IF(SubjectList!G95="Finance","Finance",IF(SubjectList!G95="Production","Production",IF(SubjectList!G95="Economics","Not Given")))</f>
        <v>Finance</v>
      </c>
      <c r="X95" s="115" t="str">
        <f>IF(SubjectList!H95="Finance","Finance",IF(SubjectList!H95="Production","Production",IF(SubjectList!H95="Economics","Economics","Not Given")))</f>
        <v>Production</v>
      </c>
      <c r="Y95" s="113" t="str">
        <f>Bangla!F95</f>
        <v/>
      </c>
      <c r="Z95" s="113" t="str">
        <f>English!E95</f>
        <v/>
      </c>
      <c r="AA95" s="113" t="str">
        <f>ICT!G95</f>
        <v/>
      </c>
      <c r="AB95" s="113" t="str">
        <f>Accounting!F95</f>
        <v/>
      </c>
      <c r="AC95" s="113" t="str">
        <f>'Business Organization'!F95</f>
        <v/>
      </c>
      <c r="AD95" s="113" t="str">
        <f>Production!F95</f>
        <v/>
      </c>
      <c r="AE95" s="113" t="str">
        <f>Finance!F95</f>
        <v/>
      </c>
      <c r="AF95" s="122" t="str">
        <f>Bangla!G95</f>
        <v/>
      </c>
      <c r="AG95" s="122" t="str">
        <f>English!F95</f>
        <v/>
      </c>
      <c r="AH95" s="120" t="str">
        <f>ICT!H95</f>
        <v/>
      </c>
      <c r="AI95" s="120" t="str">
        <f>Accounting!G95</f>
        <v/>
      </c>
      <c r="AJ95" s="120" t="str">
        <f>'Business Organization'!G95</f>
        <v/>
      </c>
      <c r="AK95" s="120" t="str">
        <f>IF(SubjectList!G95="Finance",Finance!G95,IF(SubjectList!G95="Production",Production!G95,IF(SubjectList!G95="Economics",Economics!G95)))</f>
        <v/>
      </c>
      <c r="AL95" s="120" t="str">
        <f>Finance!G95</f>
        <v/>
      </c>
      <c r="AM95" s="120" t="str">
        <f>Optional!H95</f>
        <v/>
      </c>
      <c r="AN95" s="120" t="str">
        <f>Optional!I95</f>
        <v/>
      </c>
      <c r="AO95" s="120" t="str">
        <f t="shared" si="28"/>
        <v/>
      </c>
      <c r="AP95" s="120">
        <f t="shared" si="29"/>
        <v>0</v>
      </c>
      <c r="AQ95" s="116" t="str">
        <f t="shared" si="30"/>
        <v/>
      </c>
      <c r="AR95" s="116" t="str">
        <f t="shared" si="31"/>
        <v/>
      </c>
      <c r="AS95" s="117">
        <f t="shared" si="32"/>
        <v>0</v>
      </c>
      <c r="AT95" s="118">
        <f t="shared" si="33"/>
        <v>0</v>
      </c>
      <c r="AU95" s="118">
        <f t="shared" si="34"/>
        <v>0</v>
      </c>
      <c r="AV95" s="118">
        <f t="shared" si="35"/>
        <v>0</v>
      </c>
      <c r="AW95" s="118">
        <f t="shared" si="36"/>
        <v>0</v>
      </c>
      <c r="AX95" s="118">
        <f t="shared" si="37"/>
        <v>0</v>
      </c>
      <c r="AY95" s="118">
        <f t="shared" si="38"/>
        <v>0</v>
      </c>
      <c r="AZ95" s="111">
        <f t="shared" si="39"/>
        <v>0</v>
      </c>
      <c r="BA95" s="111" t="str">
        <f t="shared" si="40"/>
        <v>F6</v>
      </c>
      <c r="BB95" s="117" t="str">
        <f>IF(AR95="","",RANK(AR95,AR$2:AR145,0))</f>
        <v/>
      </c>
      <c r="BC95" s="111" t="str">
        <f t="shared" si="41"/>
        <v/>
      </c>
    </row>
    <row r="96" spans="1:55" x14ac:dyDescent="0.35">
      <c r="A96" s="113">
        <f>'Student Basic Info'!A96</f>
        <v>595</v>
      </c>
      <c r="B96" s="113" t="str">
        <f>'Student Basic Info'!C96</f>
        <v>Md. Saiful Islam</v>
      </c>
      <c r="C96" s="121" t="str">
        <f>IF(Bangla!B96="","",Bangla!B96)</f>
        <v/>
      </c>
      <c r="D96" s="121" t="str">
        <f>IF(Bangla!C96="","",Bangla!C96)</f>
        <v/>
      </c>
      <c r="E96" s="112" t="str">
        <f>IF(Bangla!D96="","",Bangla!D96)</f>
        <v/>
      </c>
      <c r="F96" s="112" t="str">
        <f>IF(English!C96="","",English!C96)</f>
        <v/>
      </c>
      <c r="G96" s="113" t="str">
        <f>IF(ICT!B96="","",ICT!B96)</f>
        <v/>
      </c>
      <c r="H96" s="113" t="str">
        <f>IF(ICT!C96="","",ICT!C96)</f>
        <v/>
      </c>
      <c r="I96" s="113" t="str">
        <f>IF(ICT!D96="","",ICT!D96)</f>
        <v/>
      </c>
      <c r="J96" s="114" t="str">
        <f>IF(ICT!E96="","",ICT!E96)</f>
        <v/>
      </c>
      <c r="K96" s="113" t="str">
        <f>IF(Accounting!B96="","",Accounting!B96)</f>
        <v/>
      </c>
      <c r="L96" s="113" t="str">
        <f>IF(Accounting!C96="","",Accounting!C96)</f>
        <v/>
      </c>
      <c r="M96" s="114" t="str">
        <f>IF(Accounting!D96="","",Accounting!D96)</f>
        <v/>
      </c>
      <c r="N96" s="113" t="str">
        <f>IF('Business Organization'!B96="","",'Business Organization'!B96)</f>
        <v/>
      </c>
      <c r="O96" s="113" t="str">
        <f>IF('Business Organization'!C96="","",'Business Organization'!C96)</f>
        <v/>
      </c>
      <c r="P96" s="114" t="str">
        <f>IF('Business Organization'!D96="","",'Business Organization'!D96)</f>
        <v/>
      </c>
      <c r="Q96" s="113" t="str">
        <f>IF(SubjectList!G96="Finance",IF(Finance!B96=0,"", Finance!B96),IF(SubjectList!G96="Production",IF(Production!B96=0,"", Production!B96),IF(SubjectList!G96="Economics",IF(Economics!B96=0,"", Economics!B96))))</f>
        <v/>
      </c>
      <c r="R96" s="113" t="str">
        <f>IF(SubjectList!G96="Finance",IF(Finance!C96=0,"", Finance!C96),IF(SubjectList!G96="Production",IF(Production!C96=0,"", Production!C96),IF(SubjectList!G96="Economics",IF(Economics!C96=0,"", Economics!C96))))</f>
        <v/>
      </c>
      <c r="S96" s="114" t="str">
        <f>IF(SubjectList!G96="Finance",IF(Finance!D96=0,"", Finance!D96),IF(SubjectList!G96="Production",IF(Production!D96=0,"", Production!D96),IF(SubjectList!G96="Economics",IF(Economics!D96=0,"", Economics!D96))))</f>
        <v/>
      </c>
      <c r="T96" s="113" t="str">
        <f>IF(SubjectList!H96="Finance",IF(Finance!B96=0,"", Finance!B96),IF(SubjectList!H96="Production",IF(Production!B96=0,"", Production!B96),IF(SubjectList!H96="Economics",IF(Economics!B96=0,"", Economics!B96))))</f>
        <v/>
      </c>
      <c r="U96" s="113" t="str">
        <f>IF(SubjectList!H96="Finance",IF(Finance!C96=0,"", Finance!C96),IF(SubjectList!H96="Production",IF(Production!C96=0,"", Production!C96),IF(SubjectList!H96="Economics",IF(Economics!C96=0,"", Economics!C96))))</f>
        <v/>
      </c>
      <c r="V96" s="114" t="str">
        <f>IF(SubjectList!H96="Finance",IF(Finance!D96=0,"", Finance!D96),IF(SubjectList!H96="Production",IF(Production!D96=0,"", Production!D96),IF(SubjectList!H96="Economics",IF(Economics!D96=0,"", Economics!D96))))</f>
        <v/>
      </c>
      <c r="W96" s="115" t="str">
        <f>IF(SubjectList!G96="Finance","Finance",IF(SubjectList!G96="Production","Production",IF(SubjectList!G96="Economics","Not Given")))</f>
        <v>Production</v>
      </c>
      <c r="X96" s="115" t="str">
        <f>IF(SubjectList!H96="Finance","Finance",IF(SubjectList!H96="Production","Production",IF(SubjectList!H96="Economics","Economics","Not Given")))</f>
        <v>Finance</v>
      </c>
      <c r="Y96" s="113" t="str">
        <f>Bangla!F96</f>
        <v/>
      </c>
      <c r="Z96" s="113" t="str">
        <f>English!E96</f>
        <v/>
      </c>
      <c r="AA96" s="113" t="str">
        <f>ICT!G96</f>
        <v/>
      </c>
      <c r="AB96" s="113" t="str">
        <f>Accounting!F96</f>
        <v/>
      </c>
      <c r="AC96" s="113" t="str">
        <f>'Business Organization'!F96</f>
        <v/>
      </c>
      <c r="AD96" s="113" t="str">
        <f>Production!F96</f>
        <v/>
      </c>
      <c r="AE96" s="113" t="str">
        <f>Finance!F96</f>
        <v/>
      </c>
      <c r="AF96" s="122" t="str">
        <f>Bangla!G96</f>
        <v/>
      </c>
      <c r="AG96" s="122" t="str">
        <f>English!F96</f>
        <v/>
      </c>
      <c r="AH96" s="120" t="str">
        <f>ICT!H96</f>
        <v/>
      </c>
      <c r="AI96" s="120" t="str">
        <f>Accounting!G96</f>
        <v/>
      </c>
      <c r="AJ96" s="120" t="str">
        <f>'Business Organization'!G96</f>
        <v/>
      </c>
      <c r="AK96" s="120" t="str">
        <f>IF(SubjectList!G96="Finance",Finance!G96,IF(SubjectList!G96="Production",Production!G96,IF(SubjectList!G96="Economics",Economics!G96)))</f>
        <v/>
      </c>
      <c r="AL96" s="120" t="str">
        <f>Finance!G96</f>
        <v/>
      </c>
      <c r="AM96" s="120" t="str">
        <f>Optional!H96</f>
        <v/>
      </c>
      <c r="AN96" s="120" t="str">
        <f>Optional!I96</f>
        <v/>
      </c>
      <c r="AO96" s="120" t="str">
        <f t="shared" si="28"/>
        <v/>
      </c>
      <c r="AP96" s="120">
        <f t="shared" si="29"/>
        <v>0</v>
      </c>
      <c r="AQ96" s="116" t="str">
        <f t="shared" si="30"/>
        <v/>
      </c>
      <c r="AR96" s="116" t="str">
        <f t="shared" si="31"/>
        <v/>
      </c>
      <c r="AS96" s="117">
        <f t="shared" si="32"/>
        <v>0</v>
      </c>
      <c r="AT96" s="118">
        <f t="shared" si="33"/>
        <v>0</v>
      </c>
      <c r="AU96" s="118">
        <f t="shared" si="34"/>
        <v>0</v>
      </c>
      <c r="AV96" s="118">
        <f t="shared" si="35"/>
        <v>0</v>
      </c>
      <c r="AW96" s="118">
        <f t="shared" si="36"/>
        <v>0</v>
      </c>
      <c r="AX96" s="118">
        <f t="shared" si="37"/>
        <v>0</v>
      </c>
      <c r="AY96" s="118">
        <f t="shared" si="38"/>
        <v>0</v>
      </c>
      <c r="AZ96" s="111">
        <f t="shared" si="39"/>
        <v>0</v>
      </c>
      <c r="BA96" s="111" t="str">
        <f t="shared" si="40"/>
        <v>F6</v>
      </c>
      <c r="BB96" s="117" t="str">
        <f>IF(AR96="","",RANK(AR96,AR$2:AR145,0))</f>
        <v/>
      </c>
      <c r="BC96" s="111" t="str">
        <f t="shared" si="41"/>
        <v/>
      </c>
    </row>
    <row r="97" spans="1:55" x14ac:dyDescent="0.35">
      <c r="A97" s="113">
        <f>'Student Basic Info'!A97</f>
        <v>596</v>
      </c>
      <c r="B97" s="113" t="str">
        <f>'Student Basic Info'!C97</f>
        <v>Ashiqur Rahman</v>
      </c>
      <c r="C97" s="121" t="str">
        <f>IF(Bangla!B97="","",Bangla!B97)</f>
        <v/>
      </c>
      <c r="D97" s="121" t="str">
        <f>IF(Bangla!C97="","",Bangla!C97)</f>
        <v/>
      </c>
      <c r="E97" s="112" t="str">
        <f>IF(Bangla!D97="","",Bangla!D97)</f>
        <v/>
      </c>
      <c r="F97" s="112" t="str">
        <f>IF(English!C97="","",English!C97)</f>
        <v/>
      </c>
      <c r="G97" s="113" t="str">
        <f>IF(ICT!B97="","",ICT!B97)</f>
        <v/>
      </c>
      <c r="H97" s="113" t="str">
        <f>IF(ICT!C97="","",ICT!C97)</f>
        <v/>
      </c>
      <c r="I97" s="113" t="str">
        <f>IF(ICT!D97="","",ICT!D97)</f>
        <v/>
      </c>
      <c r="J97" s="114" t="str">
        <f>IF(ICT!E97="","",ICT!E97)</f>
        <v/>
      </c>
      <c r="K97" s="113" t="str">
        <f>IF(Accounting!B97="","",Accounting!B97)</f>
        <v/>
      </c>
      <c r="L97" s="113" t="str">
        <f>IF(Accounting!C97="","",Accounting!C97)</f>
        <v/>
      </c>
      <c r="M97" s="114" t="str">
        <f>IF(Accounting!D97="","",Accounting!D97)</f>
        <v/>
      </c>
      <c r="N97" s="113" t="str">
        <f>IF('Business Organization'!B97="","",'Business Organization'!B97)</f>
        <v/>
      </c>
      <c r="O97" s="113" t="str">
        <f>IF('Business Organization'!C97="","",'Business Organization'!C97)</f>
        <v/>
      </c>
      <c r="P97" s="114" t="str">
        <f>IF('Business Organization'!D97="","",'Business Organization'!D97)</f>
        <v/>
      </c>
      <c r="Q97" s="113" t="str">
        <f>IF(SubjectList!G97="Finance",IF(Finance!B97=0,"", Finance!B97),IF(SubjectList!G97="Production",IF(Production!B97=0,"", Production!B97),IF(SubjectList!G97="Economics",IF(Economics!B97=0,"", Economics!B97))))</f>
        <v/>
      </c>
      <c r="R97" s="113" t="str">
        <f>IF(SubjectList!G97="Finance",IF(Finance!C97=0,"", Finance!C97),IF(SubjectList!G97="Production",IF(Production!C97=0,"", Production!C97),IF(SubjectList!G97="Economics",IF(Economics!C97=0,"", Economics!C97))))</f>
        <v/>
      </c>
      <c r="S97" s="114" t="str">
        <f>IF(SubjectList!G97="Finance",IF(Finance!D97=0,"", Finance!D97),IF(SubjectList!G97="Production",IF(Production!D97=0,"", Production!D97),IF(SubjectList!G97="Economics",IF(Economics!D97=0,"", Economics!D97))))</f>
        <v/>
      </c>
      <c r="T97" s="113" t="str">
        <f>IF(SubjectList!H97="Finance",IF(Finance!B97=0,"", Finance!B97),IF(SubjectList!H97="Production",IF(Production!B97=0,"", Production!B97),IF(SubjectList!H97="Economics",IF(Economics!B97=0,"", Economics!B97))))</f>
        <v/>
      </c>
      <c r="U97" s="113" t="str">
        <f>IF(SubjectList!H97="Finance",IF(Finance!C97=0,"", Finance!C97),IF(SubjectList!H97="Production",IF(Production!C97=0,"", Production!C97),IF(SubjectList!H97="Economics",IF(Economics!C97=0,"", Economics!C97))))</f>
        <v/>
      </c>
      <c r="V97" s="114" t="str">
        <f>IF(SubjectList!H97="Finance",IF(Finance!D97=0,"", Finance!D97),IF(SubjectList!H97="Production",IF(Production!D97=0,"", Production!D97),IF(SubjectList!H97="Economics",IF(Economics!D97=0,"", Economics!D97))))</f>
        <v/>
      </c>
      <c r="W97" s="115" t="str">
        <f>IF(SubjectList!G97="Finance","Finance",IF(SubjectList!G97="Production","Production",IF(SubjectList!G97="Economics","Not Given")))</f>
        <v>Production</v>
      </c>
      <c r="X97" s="115" t="str">
        <f>IF(SubjectList!H97="Finance","Finance",IF(SubjectList!H97="Production","Production",IF(SubjectList!H97="Economics","Economics","Not Given")))</f>
        <v>Finance</v>
      </c>
      <c r="Y97" s="113" t="str">
        <f>Bangla!F97</f>
        <v/>
      </c>
      <c r="Z97" s="113" t="str">
        <f>English!E97</f>
        <v/>
      </c>
      <c r="AA97" s="113" t="str">
        <f>ICT!G97</f>
        <v/>
      </c>
      <c r="AB97" s="113" t="str">
        <f>Accounting!F97</f>
        <v/>
      </c>
      <c r="AC97" s="113" t="str">
        <f>'Business Organization'!F97</f>
        <v/>
      </c>
      <c r="AD97" s="113" t="str">
        <f>Production!F97</f>
        <v/>
      </c>
      <c r="AE97" s="113" t="str">
        <f>Finance!F97</f>
        <v/>
      </c>
      <c r="AF97" s="122" t="str">
        <f>Bangla!G97</f>
        <v/>
      </c>
      <c r="AG97" s="122" t="str">
        <f>English!F97</f>
        <v/>
      </c>
      <c r="AH97" s="120" t="str">
        <f>ICT!H97</f>
        <v/>
      </c>
      <c r="AI97" s="120" t="str">
        <f>Accounting!G97</f>
        <v/>
      </c>
      <c r="AJ97" s="120" t="str">
        <f>'Business Organization'!G97</f>
        <v/>
      </c>
      <c r="AK97" s="120" t="str">
        <f>IF(SubjectList!G97="Finance",Finance!G97,IF(SubjectList!G97="Production",Production!G97,IF(SubjectList!G97="Economics",Economics!G97)))</f>
        <v/>
      </c>
      <c r="AL97" s="120" t="str">
        <f>Finance!G97</f>
        <v/>
      </c>
      <c r="AM97" s="120" t="str">
        <f>Optional!H97</f>
        <v/>
      </c>
      <c r="AN97" s="120" t="str">
        <f>Optional!I97</f>
        <v/>
      </c>
      <c r="AO97" s="120" t="str">
        <f t="shared" si="28"/>
        <v/>
      </c>
      <c r="AP97" s="120">
        <f t="shared" si="29"/>
        <v>0</v>
      </c>
      <c r="AQ97" s="116" t="str">
        <f t="shared" si="30"/>
        <v/>
      </c>
      <c r="AR97" s="116" t="str">
        <f t="shared" si="31"/>
        <v/>
      </c>
      <c r="AS97" s="117">
        <f t="shared" si="32"/>
        <v>0</v>
      </c>
      <c r="AT97" s="118">
        <f t="shared" si="33"/>
        <v>0</v>
      </c>
      <c r="AU97" s="118">
        <f t="shared" si="34"/>
        <v>0</v>
      </c>
      <c r="AV97" s="118">
        <f t="shared" si="35"/>
        <v>0</v>
      </c>
      <c r="AW97" s="118">
        <f t="shared" si="36"/>
        <v>0</v>
      </c>
      <c r="AX97" s="118">
        <f t="shared" si="37"/>
        <v>0</v>
      </c>
      <c r="AY97" s="118">
        <f t="shared" si="38"/>
        <v>0</v>
      </c>
      <c r="AZ97" s="111">
        <f t="shared" si="39"/>
        <v>0</v>
      </c>
      <c r="BA97" s="111" t="str">
        <f t="shared" si="40"/>
        <v>F6</v>
      </c>
      <c r="BB97" s="117" t="str">
        <f>IF(AR97="","",RANK(AR97,AR$2:AR145,0))</f>
        <v/>
      </c>
      <c r="BC97" s="111" t="str">
        <f t="shared" si="41"/>
        <v/>
      </c>
    </row>
    <row r="98" spans="1:55" x14ac:dyDescent="0.35">
      <c r="A98" s="113">
        <f>'Student Basic Info'!A98</f>
        <v>597</v>
      </c>
      <c r="B98" s="113" t="str">
        <f>'Student Basic Info'!C98</f>
        <v>Md. Shahadat Hosain Shakib</v>
      </c>
      <c r="C98" s="121" t="str">
        <f>IF(Bangla!B98="","",Bangla!B98)</f>
        <v/>
      </c>
      <c r="D98" s="121" t="str">
        <f>IF(Bangla!C98="","",Bangla!C98)</f>
        <v/>
      </c>
      <c r="E98" s="112" t="str">
        <f>IF(Bangla!D98="","",Bangla!D98)</f>
        <v/>
      </c>
      <c r="F98" s="112" t="str">
        <f>IF(English!C98="","",English!C98)</f>
        <v/>
      </c>
      <c r="G98" s="113" t="str">
        <f>IF(ICT!B98="","",ICT!B98)</f>
        <v/>
      </c>
      <c r="H98" s="113" t="str">
        <f>IF(ICT!C98="","",ICT!C98)</f>
        <v/>
      </c>
      <c r="I98" s="113" t="str">
        <f>IF(ICT!D98="","",ICT!D98)</f>
        <v/>
      </c>
      <c r="J98" s="114" t="str">
        <f>IF(ICT!E98="","",ICT!E98)</f>
        <v/>
      </c>
      <c r="K98" s="113" t="str">
        <f>IF(Accounting!B98="","",Accounting!B98)</f>
        <v/>
      </c>
      <c r="L98" s="113" t="str">
        <f>IF(Accounting!C98="","",Accounting!C98)</f>
        <v/>
      </c>
      <c r="M98" s="114" t="str">
        <f>IF(Accounting!D98="","",Accounting!D98)</f>
        <v/>
      </c>
      <c r="N98" s="113" t="str">
        <f>IF('Business Organization'!B98="","",'Business Organization'!B98)</f>
        <v/>
      </c>
      <c r="O98" s="113" t="str">
        <f>IF('Business Organization'!C98="","",'Business Organization'!C98)</f>
        <v/>
      </c>
      <c r="P98" s="114" t="str">
        <f>IF('Business Organization'!D98="","",'Business Organization'!D98)</f>
        <v/>
      </c>
      <c r="Q98" s="113" t="str">
        <f>IF(SubjectList!G98="Finance",IF(Finance!B98=0,"", Finance!B98),IF(SubjectList!G98="Production",IF(Production!B98=0,"", Production!B98),IF(SubjectList!G98="Economics",IF(Economics!B98=0,"", Economics!B98))))</f>
        <v/>
      </c>
      <c r="R98" s="113" t="str">
        <f>IF(SubjectList!G98="Finance",IF(Finance!C98=0,"", Finance!C98),IF(SubjectList!G98="Production",IF(Production!C98=0,"", Production!C98),IF(SubjectList!G98="Economics",IF(Economics!C98=0,"", Economics!C98))))</f>
        <v/>
      </c>
      <c r="S98" s="114" t="str">
        <f>IF(SubjectList!G98="Finance",IF(Finance!D98=0,"", Finance!D98),IF(SubjectList!G98="Production",IF(Production!D98=0,"", Production!D98),IF(SubjectList!G98="Economics",IF(Economics!D98=0,"", Economics!D98))))</f>
        <v/>
      </c>
      <c r="T98" s="113" t="str">
        <f>IF(SubjectList!H98="Finance",IF(Finance!B98=0,"", Finance!B98),IF(SubjectList!H98="Production",IF(Production!B98=0,"", Production!B98),IF(SubjectList!H98="Economics",IF(Economics!B98=0,"", Economics!B98))))</f>
        <v/>
      </c>
      <c r="U98" s="113" t="str">
        <f>IF(SubjectList!H98="Finance",IF(Finance!C98=0,"", Finance!C98),IF(SubjectList!H98="Production",IF(Production!C98=0,"", Production!C98),IF(SubjectList!H98="Economics",IF(Economics!C98=0,"", Economics!C98))))</f>
        <v/>
      </c>
      <c r="V98" s="114" t="str">
        <f>IF(SubjectList!H98="Finance",IF(Finance!D98=0,"", Finance!D98),IF(SubjectList!H98="Production",IF(Production!D98=0,"", Production!D98),IF(SubjectList!H98="Economics",IF(Economics!D98=0,"", Economics!D98))))</f>
        <v/>
      </c>
      <c r="W98" s="115" t="str">
        <f>IF(SubjectList!G98="Finance","Finance",IF(SubjectList!G98="Production","Production",IF(SubjectList!G98="Economics","Not Given")))</f>
        <v>Production</v>
      </c>
      <c r="X98" s="115" t="str">
        <f>IF(SubjectList!H98="Finance","Finance",IF(SubjectList!H98="Production","Production",IF(SubjectList!H98="Economics","Economics","Not Given")))</f>
        <v>Finance</v>
      </c>
      <c r="Y98" s="113" t="str">
        <f>Bangla!F98</f>
        <v/>
      </c>
      <c r="Z98" s="113" t="str">
        <f>English!E98</f>
        <v/>
      </c>
      <c r="AA98" s="113" t="str">
        <f>ICT!G98</f>
        <v/>
      </c>
      <c r="AB98" s="113" t="str">
        <f>Accounting!F98</f>
        <v/>
      </c>
      <c r="AC98" s="113" t="str">
        <f>'Business Organization'!F98</f>
        <v/>
      </c>
      <c r="AD98" s="113" t="str">
        <f>Production!F98</f>
        <v/>
      </c>
      <c r="AE98" s="113" t="str">
        <f>Finance!F98</f>
        <v/>
      </c>
      <c r="AF98" s="122" t="str">
        <f>Bangla!G98</f>
        <v/>
      </c>
      <c r="AG98" s="122" t="str">
        <f>English!F98</f>
        <v/>
      </c>
      <c r="AH98" s="120" t="str">
        <f>ICT!H98</f>
        <v/>
      </c>
      <c r="AI98" s="120" t="str">
        <f>Accounting!G98</f>
        <v/>
      </c>
      <c r="AJ98" s="120" t="str">
        <f>'Business Organization'!G98</f>
        <v/>
      </c>
      <c r="AK98" s="120" t="str">
        <f>IF(SubjectList!G98="Finance",Finance!G98,IF(SubjectList!G98="Production",Production!G98,IF(SubjectList!G98="Economics",Economics!G98)))</f>
        <v/>
      </c>
      <c r="AL98" s="120" t="str">
        <f>Finance!G98</f>
        <v/>
      </c>
      <c r="AM98" s="120" t="str">
        <f>Optional!H98</f>
        <v/>
      </c>
      <c r="AN98" s="120" t="str">
        <f>Optional!I98</f>
        <v/>
      </c>
      <c r="AO98" s="120" t="str">
        <f t="shared" ref="AO98:AO129" si="42">IF(AZ98=0, "", SUM(AF98:AK98))</f>
        <v/>
      </c>
      <c r="AP98" s="120">
        <f t="shared" ref="AP98:AP129" si="43">SUM(AN98:AO98)</f>
        <v>0</v>
      </c>
      <c r="AQ98" s="116" t="str">
        <f t="shared" ref="AQ98:AQ129" si="44">IF(AZ98=6,IF(AP98&gt;=30,5,(AP98-AN98)/6),"")</f>
        <v/>
      </c>
      <c r="AR98" s="116" t="str">
        <f t="shared" ref="AR98:AR129" si="45">IF(AZ98=6, IF(AP98&gt;=30,5,AP98/6), "")</f>
        <v/>
      </c>
      <c r="AS98" s="117">
        <f t="shared" ref="AS98:AS129" si="46">IF(E98="",0,E98)+IF(F98="",0,F98)+IF(J98="",0,J98)+IF(M98="",0,M98)+IF(P98="",0,P98)+IF(S98="",0,S98)+IF(V98="",0,V98)</f>
        <v>0</v>
      </c>
      <c r="AT98" s="118">
        <f t="shared" ref="AT98:AT129" si="47">(IF(AF98="",0,IF(AF98=0,0,1)))</f>
        <v>0</v>
      </c>
      <c r="AU98" s="118">
        <f t="shared" ref="AU98:AU129" si="48">(IF(AG98="",0,IF(AG98=0,0,1)))</f>
        <v>0</v>
      </c>
      <c r="AV98" s="118">
        <f t="shared" ref="AV98:AV129" si="49">(IF(AH98="",0,IF(AH98=0,0,1)))</f>
        <v>0</v>
      </c>
      <c r="AW98" s="118">
        <f t="shared" ref="AW98:AW129" si="50">(IF(AI98="",0,IF(AI98=0,0,1)))</f>
        <v>0</v>
      </c>
      <c r="AX98" s="118">
        <f t="shared" ref="AX98:AX129" si="51">(IF(AJ98="",0,IF(AJ98=0,0,1)))</f>
        <v>0</v>
      </c>
      <c r="AY98" s="118">
        <f t="shared" ref="AY98:AY129" si="52">(IF(AK98="",0,IF(AK98=0,0,1)))</f>
        <v>0</v>
      </c>
      <c r="AZ98" s="111">
        <f t="shared" ref="AZ98:AZ129" si="53">SUM(AT98:AY98)</f>
        <v>0</v>
      </c>
      <c r="BA98" s="111" t="str">
        <f t="shared" ref="BA98:BA129" si="54">IF(AZ98=0,"F6",IF(AZ98=1,"F5",IF(AZ98=2,"F4",IF(AZ98=3,"F3",IF(AZ98=4,"F2",IF(AZ98=5,"F1",IF(AZ98=6,"Pass")))))))</f>
        <v>F6</v>
      </c>
      <c r="BB98" s="117" t="str">
        <f>IF(AR98="","",RANK(AR98,AR$2:AR145,0))</f>
        <v/>
      </c>
      <c r="BC98" s="111" t="str">
        <f t="shared" ref="BC98:BC129" si="55">IF(AR98&gt;=5,"",IF(AR98&gt;=4,"A",IF(AR98&gt;=3.5,"A-",IF(AR98&gt;=3,"B",IF(AR98&gt;=2,"C",IF(AR98&gt;=1,"D","F"))))))</f>
        <v/>
      </c>
    </row>
    <row r="99" spans="1:55" x14ac:dyDescent="0.35">
      <c r="A99" s="113">
        <f>'Student Basic Info'!A99</f>
        <v>598</v>
      </c>
      <c r="B99" s="113" t="str">
        <f>'Student Basic Info'!C99</f>
        <v>Shekh Shourov</v>
      </c>
      <c r="C99" s="121" t="str">
        <f>IF(Bangla!B99="","",Bangla!B99)</f>
        <v/>
      </c>
      <c r="D99" s="121" t="str">
        <f>IF(Bangla!C99="","",Bangla!C99)</f>
        <v/>
      </c>
      <c r="E99" s="112" t="str">
        <f>IF(Bangla!D99="","",Bangla!D99)</f>
        <v/>
      </c>
      <c r="F99" s="112" t="str">
        <f>IF(English!C99="","",English!C99)</f>
        <v/>
      </c>
      <c r="G99" s="113" t="str">
        <f>IF(ICT!B99="","",ICT!B99)</f>
        <v/>
      </c>
      <c r="H99" s="113" t="str">
        <f>IF(ICT!C99="","",ICT!C99)</f>
        <v/>
      </c>
      <c r="I99" s="113" t="str">
        <f>IF(ICT!D99="","",ICT!D99)</f>
        <v/>
      </c>
      <c r="J99" s="114" t="str">
        <f>IF(ICT!E99="","",ICT!E99)</f>
        <v/>
      </c>
      <c r="K99" s="113" t="str">
        <f>IF(Accounting!B99="","",Accounting!B99)</f>
        <v/>
      </c>
      <c r="L99" s="113" t="str">
        <f>IF(Accounting!C99="","",Accounting!C99)</f>
        <v/>
      </c>
      <c r="M99" s="114" t="str">
        <f>IF(Accounting!D99="","",Accounting!D99)</f>
        <v/>
      </c>
      <c r="N99" s="113" t="str">
        <f>IF('Business Organization'!B99="","",'Business Organization'!B99)</f>
        <v/>
      </c>
      <c r="O99" s="113" t="str">
        <f>IF('Business Organization'!C99="","",'Business Organization'!C99)</f>
        <v/>
      </c>
      <c r="P99" s="114" t="str">
        <f>IF('Business Organization'!D99="","",'Business Organization'!D99)</f>
        <v/>
      </c>
      <c r="Q99" s="113" t="str">
        <f>IF(SubjectList!G99="Finance",IF(Finance!B99=0,"", Finance!B99),IF(SubjectList!G99="Production",IF(Production!B99=0,"", Production!B99),IF(SubjectList!G99="Economics",IF(Economics!B99=0,"", Economics!B99))))</f>
        <v/>
      </c>
      <c r="R99" s="113" t="str">
        <f>IF(SubjectList!G99="Finance",IF(Finance!C99=0,"", Finance!C99),IF(SubjectList!G99="Production",IF(Production!C99=0,"", Production!C99),IF(SubjectList!G99="Economics",IF(Economics!C99=0,"", Economics!C99))))</f>
        <v/>
      </c>
      <c r="S99" s="114" t="str">
        <f>IF(SubjectList!G99="Finance",IF(Finance!D99=0,"", Finance!D99),IF(SubjectList!G99="Production",IF(Production!D99=0,"", Production!D99),IF(SubjectList!G99="Economics",IF(Economics!D99=0,"", Economics!D99))))</f>
        <v/>
      </c>
      <c r="T99" s="113" t="str">
        <f>IF(SubjectList!H99="Finance",IF(Finance!B99=0,"", Finance!B99),IF(SubjectList!H99="Production",IF(Production!B99=0,"", Production!B99),IF(SubjectList!H99="Economics",IF(Economics!B99=0,"", Economics!B99))))</f>
        <v/>
      </c>
      <c r="U99" s="113" t="str">
        <f>IF(SubjectList!H99="Finance",IF(Finance!C99=0,"", Finance!C99),IF(SubjectList!H99="Production",IF(Production!C99=0,"", Production!C99),IF(SubjectList!H99="Economics",IF(Economics!C99=0,"", Economics!C99))))</f>
        <v/>
      </c>
      <c r="V99" s="114" t="str">
        <f>IF(SubjectList!H99="Finance",IF(Finance!D99=0,"", Finance!D99),IF(SubjectList!H99="Production",IF(Production!D99=0,"", Production!D99),IF(SubjectList!H99="Economics",IF(Economics!D99=0,"", Economics!D99))))</f>
        <v/>
      </c>
      <c r="W99" s="115" t="str">
        <f>IF(SubjectList!G99="Finance","Finance",IF(SubjectList!G99="Production","Production",IF(SubjectList!G99="Economics","Not Given")))</f>
        <v>Production</v>
      </c>
      <c r="X99" s="115" t="str">
        <f>IF(SubjectList!H99="Finance","Finance",IF(SubjectList!H99="Production","Production",IF(SubjectList!H99="Economics","Economics","Not Given")))</f>
        <v>Economics</v>
      </c>
      <c r="Y99" s="113" t="str">
        <f>Bangla!F99</f>
        <v/>
      </c>
      <c r="Z99" s="113" t="str">
        <f>English!E99</f>
        <v/>
      </c>
      <c r="AA99" s="113" t="str">
        <f>ICT!G99</f>
        <v/>
      </c>
      <c r="AB99" s="113" t="str">
        <f>Accounting!F99</f>
        <v/>
      </c>
      <c r="AC99" s="113" t="str">
        <f>'Business Organization'!F99</f>
        <v/>
      </c>
      <c r="AD99" s="113" t="str">
        <f>Production!F99</f>
        <v/>
      </c>
      <c r="AE99" s="113" t="str">
        <f>Finance!F99</f>
        <v/>
      </c>
      <c r="AF99" s="122" t="str">
        <f>Bangla!G99</f>
        <v/>
      </c>
      <c r="AG99" s="122" t="str">
        <f>English!F99</f>
        <v/>
      </c>
      <c r="AH99" s="120" t="str">
        <f>ICT!H99</f>
        <v/>
      </c>
      <c r="AI99" s="120" t="str">
        <f>Accounting!G99</f>
        <v/>
      </c>
      <c r="AJ99" s="120" t="str">
        <f>'Business Organization'!G99</f>
        <v/>
      </c>
      <c r="AK99" s="120" t="str">
        <f>IF(SubjectList!G99="Finance",Finance!G99,IF(SubjectList!G99="Production",Production!G99,IF(SubjectList!G99="Economics",Economics!G99)))</f>
        <v/>
      </c>
      <c r="AL99" s="120" t="str">
        <f>Finance!G99</f>
        <v/>
      </c>
      <c r="AM99" s="120" t="str">
        <f>Optional!H99</f>
        <v/>
      </c>
      <c r="AN99" s="120" t="str">
        <f>Optional!I99</f>
        <v/>
      </c>
      <c r="AO99" s="120" t="str">
        <f t="shared" si="42"/>
        <v/>
      </c>
      <c r="AP99" s="120">
        <f t="shared" si="43"/>
        <v>0</v>
      </c>
      <c r="AQ99" s="116" t="str">
        <f t="shared" si="44"/>
        <v/>
      </c>
      <c r="AR99" s="116" t="str">
        <f t="shared" si="45"/>
        <v/>
      </c>
      <c r="AS99" s="117">
        <f t="shared" si="46"/>
        <v>0</v>
      </c>
      <c r="AT99" s="118">
        <f t="shared" si="47"/>
        <v>0</v>
      </c>
      <c r="AU99" s="118">
        <f t="shared" si="48"/>
        <v>0</v>
      </c>
      <c r="AV99" s="118">
        <f t="shared" si="49"/>
        <v>0</v>
      </c>
      <c r="AW99" s="118">
        <f t="shared" si="50"/>
        <v>0</v>
      </c>
      <c r="AX99" s="118">
        <f t="shared" si="51"/>
        <v>0</v>
      </c>
      <c r="AY99" s="118">
        <f t="shared" si="52"/>
        <v>0</v>
      </c>
      <c r="AZ99" s="111">
        <f t="shared" si="53"/>
        <v>0</v>
      </c>
      <c r="BA99" s="111" t="str">
        <f t="shared" si="54"/>
        <v>F6</v>
      </c>
      <c r="BB99" s="117" t="str">
        <f>IF(AR99="","",RANK(AR99,AR$2:AR145,0))</f>
        <v/>
      </c>
      <c r="BC99" s="111" t="str">
        <f t="shared" si="55"/>
        <v/>
      </c>
    </row>
    <row r="100" spans="1:55" x14ac:dyDescent="0.35">
      <c r="A100" s="113">
        <f>'Student Basic Info'!A100</f>
        <v>599</v>
      </c>
      <c r="B100" s="113" t="str">
        <f>'Student Basic Info'!C100</f>
        <v>Maliha Aktar</v>
      </c>
      <c r="C100" s="121" t="str">
        <f>IF(Bangla!B100="","",Bangla!B100)</f>
        <v/>
      </c>
      <c r="D100" s="121" t="str">
        <f>IF(Bangla!C100="","",Bangla!C100)</f>
        <v/>
      </c>
      <c r="E100" s="112" t="str">
        <f>IF(Bangla!D100="","",Bangla!D100)</f>
        <v/>
      </c>
      <c r="F100" s="112" t="str">
        <f>IF(English!C100="","",English!C100)</f>
        <v/>
      </c>
      <c r="G100" s="113" t="str">
        <f>IF(ICT!B100="","",ICT!B100)</f>
        <v/>
      </c>
      <c r="H100" s="113" t="str">
        <f>IF(ICT!C100="","",ICT!C100)</f>
        <v/>
      </c>
      <c r="I100" s="113" t="str">
        <f>IF(ICT!D100="","",ICT!D100)</f>
        <v/>
      </c>
      <c r="J100" s="114" t="str">
        <f>IF(ICT!E100="","",ICT!E100)</f>
        <v/>
      </c>
      <c r="K100" s="113" t="str">
        <f>IF(Accounting!B100="","",Accounting!B100)</f>
        <v/>
      </c>
      <c r="L100" s="113" t="str">
        <f>IF(Accounting!C100="","",Accounting!C100)</f>
        <v/>
      </c>
      <c r="M100" s="114" t="str">
        <f>IF(Accounting!D100="","",Accounting!D100)</f>
        <v/>
      </c>
      <c r="N100" s="113" t="str">
        <f>IF('Business Organization'!B100="","",'Business Organization'!B100)</f>
        <v/>
      </c>
      <c r="O100" s="113" t="str">
        <f>IF('Business Organization'!C100="","",'Business Organization'!C100)</f>
        <v/>
      </c>
      <c r="P100" s="114" t="str">
        <f>IF('Business Organization'!D100="","",'Business Organization'!D100)</f>
        <v/>
      </c>
      <c r="Q100" s="113" t="str">
        <f>IF(SubjectList!G100="Finance",IF(Finance!B100=0,"", Finance!B100),IF(SubjectList!G100="Production",IF(Production!B100=0,"", Production!B100),IF(SubjectList!G100="Economics",IF(Economics!B100=0,"", Economics!B100))))</f>
        <v/>
      </c>
      <c r="R100" s="113" t="str">
        <f>IF(SubjectList!G100="Finance",IF(Finance!C100=0,"", Finance!C100),IF(SubjectList!G100="Production",IF(Production!C100=0,"", Production!C100),IF(SubjectList!G100="Economics",IF(Economics!C100=0,"", Economics!C100))))</f>
        <v/>
      </c>
      <c r="S100" s="114" t="str">
        <f>IF(SubjectList!G100="Finance",IF(Finance!D100=0,"", Finance!D100),IF(SubjectList!G100="Production",IF(Production!D100=0,"", Production!D100),IF(SubjectList!G100="Economics",IF(Economics!D100=0,"", Economics!D100))))</f>
        <v/>
      </c>
      <c r="T100" s="113" t="str">
        <f>IF(SubjectList!H100="Finance",IF(Finance!B100=0,"", Finance!B100),IF(SubjectList!H100="Production",IF(Production!B100=0,"", Production!B100),IF(SubjectList!H100="Economics",IF(Economics!B100=0,"", Economics!B100))))</f>
        <v/>
      </c>
      <c r="U100" s="113" t="str">
        <f>IF(SubjectList!H100="Finance",IF(Finance!C100=0,"", Finance!C100),IF(SubjectList!H100="Production",IF(Production!C100=0,"", Production!C100),IF(SubjectList!H100="Economics",IF(Economics!C100=0,"", Economics!C100))))</f>
        <v/>
      </c>
      <c r="V100" s="114" t="str">
        <f>IF(SubjectList!H100="Finance",IF(Finance!D100=0,"", Finance!D100),IF(SubjectList!H100="Production",IF(Production!D100=0,"", Production!D100),IF(SubjectList!H100="Economics",IF(Economics!D100=0,"", Economics!D100))))</f>
        <v/>
      </c>
      <c r="W100" s="115" t="str">
        <f>IF(SubjectList!G100="Finance","Finance",IF(SubjectList!G100="Production","Production",IF(SubjectList!G100="Economics","Not Given")))</f>
        <v>Production</v>
      </c>
      <c r="X100" s="115" t="str">
        <f>IF(SubjectList!H100="Finance","Finance",IF(SubjectList!H100="Production","Production",IF(SubjectList!H100="Economics","Economics","Not Given")))</f>
        <v>Economics</v>
      </c>
      <c r="Y100" s="113" t="str">
        <f>Bangla!F100</f>
        <v/>
      </c>
      <c r="Z100" s="113" t="str">
        <f>English!E100</f>
        <v/>
      </c>
      <c r="AA100" s="113" t="str">
        <f>ICT!G100</f>
        <v/>
      </c>
      <c r="AB100" s="113" t="str">
        <f>Accounting!F100</f>
        <v/>
      </c>
      <c r="AC100" s="113" t="str">
        <f>'Business Organization'!F100</f>
        <v/>
      </c>
      <c r="AD100" s="113" t="str">
        <f>Production!F100</f>
        <v/>
      </c>
      <c r="AE100" s="113" t="str">
        <f>Finance!F100</f>
        <v/>
      </c>
      <c r="AF100" s="122" t="str">
        <f>Bangla!G100</f>
        <v/>
      </c>
      <c r="AG100" s="122" t="str">
        <f>English!F100</f>
        <v/>
      </c>
      <c r="AH100" s="120" t="str">
        <f>ICT!H100</f>
        <v/>
      </c>
      <c r="AI100" s="120" t="str">
        <f>Accounting!G100</f>
        <v/>
      </c>
      <c r="AJ100" s="120" t="str">
        <f>'Business Organization'!G100</f>
        <v/>
      </c>
      <c r="AK100" s="120" t="str">
        <f>IF(SubjectList!G100="Finance",Finance!G100,IF(SubjectList!G100="Production",Production!G100,IF(SubjectList!G100="Economics",Economics!G100)))</f>
        <v/>
      </c>
      <c r="AL100" s="120" t="str">
        <f>Finance!G100</f>
        <v/>
      </c>
      <c r="AM100" s="120" t="str">
        <f>Optional!H100</f>
        <v/>
      </c>
      <c r="AN100" s="120" t="str">
        <f>Optional!I100</f>
        <v/>
      </c>
      <c r="AO100" s="120" t="str">
        <f t="shared" si="42"/>
        <v/>
      </c>
      <c r="AP100" s="120">
        <f t="shared" si="43"/>
        <v>0</v>
      </c>
      <c r="AQ100" s="116" t="str">
        <f t="shared" si="44"/>
        <v/>
      </c>
      <c r="AR100" s="116" t="str">
        <f t="shared" si="45"/>
        <v/>
      </c>
      <c r="AS100" s="117">
        <f t="shared" si="46"/>
        <v>0</v>
      </c>
      <c r="AT100" s="118">
        <f t="shared" si="47"/>
        <v>0</v>
      </c>
      <c r="AU100" s="118">
        <f t="shared" si="48"/>
        <v>0</v>
      </c>
      <c r="AV100" s="118">
        <f t="shared" si="49"/>
        <v>0</v>
      </c>
      <c r="AW100" s="118">
        <f t="shared" si="50"/>
        <v>0</v>
      </c>
      <c r="AX100" s="118">
        <f t="shared" si="51"/>
        <v>0</v>
      </c>
      <c r="AY100" s="118">
        <f t="shared" si="52"/>
        <v>0</v>
      </c>
      <c r="AZ100" s="111">
        <f t="shared" si="53"/>
        <v>0</v>
      </c>
      <c r="BA100" s="111" t="str">
        <f t="shared" si="54"/>
        <v>F6</v>
      </c>
      <c r="BB100" s="117" t="str">
        <f>IF(AR100="","",RANK(AR100,AR$2:AR145,0))</f>
        <v/>
      </c>
      <c r="BC100" s="111" t="str">
        <f t="shared" si="55"/>
        <v/>
      </c>
    </row>
    <row r="101" spans="1:55" x14ac:dyDescent="0.35">
      <c r="A101" s="113">
        <f>'Student Basic Info'!A101</f>
        <v>600</v>
      </c>
      <c r="B101" s="113" t="str">
        <f>'Student Basic Info'!C101</f>
        <v>Nazmun Sabik Siyam</v>
      </c>
      <c r="C101" s="121" t="str">
        <f>IF(Bangla!B101="","",Bangla!B101)</f>
        <v/>
      </c>
      <c r="D101" s="121">
        <f>IF(Bangla!C101="","",Bangla!C101)</f>
        <v>10</v>
      </c>
      <c r="E101" s="112">
        <f>IF(Bangla!D101="","",Bangla!D101)</f>
        <v>10</v>
      </c>
      <c r="F101" s="112">
        <f>IF(English!C101="","",English!C101)</f>
        <v>16</v>
      </c>
      <c r="G101" s="113">
        <f>IF(ICT!B101="","",ICT!B101)</f>
        <v>5</v>
      </c>
      <c r="H101" s="113">
        <f>IF(ICT!C101="","",ICT!C101)</f>
        <v>9</v>
      </c>
      <c r="I101" s="113">
        <f>IF(ICT!D101="","",ICT!D101)</f>
        <v>24</v>
      </c>
      <c r="J101" s="114">
        <f>IF(ICT!E101="","",ICT!E101)</f>
        <v>38</v>
      </c>
      <c r="K101" s="113">
        <f>IF(Accounting!B101="","",Accounting!B101)</f>
        <v>8</v>
      </c>
      <c r="L101" s="113">
        <f>IF(Accounting!C101="","",Accounting!C101)</f>
        <v>0</v>
      </c>
      <c r="M101" s="114">
        <f>IF(Accounting!D101="","",Accounting!D101)</f>
        <v>8</v>
      </c>
      <c r="N101" s="113">
        <f>IF('Business Organization'!B101="","",'Business Organization'!B101)</f>
        <v>10</v>
      </c>
      <c r="O101" s="113">
        <f>IF('Business Organization'!C101="","",'Business Organization'!C101)</f>
        <v>3</v>
      </c>
      <c r="P101" s="114">
        <f>IF('Business Organization'!D101="","",'Business Organization'!D101)</f>
        <v>13</v>
      </c>
      <c r="Q101" s="113" t="str">
        <f>IF(SubjectList!G101="Finance",IF(Finance!B101=0,"", Finance!B101),IF(SubjectList!G101="Production",IF(Production!B101=0,"", Production!B101),IF(SubjectList!G101="Economics",IF(Economics!B101=0,"", Economics!B101))))</f>
        <v/>
      </c>
      <c r="R101" s="113" t="str">
        <f>IF(SubjectList!G101="Finance",IF(Finance!C101=0,"", Finance!C101),IF(SubjectList!G101="Production",IF(Production!C101=0,"", Production!C101),IF(SubjectList!G101="Economics",IF(Economics!C101=0,"", Economics!C101))))</f>
        <v/>
      </c>
      <c r="S101" s="114" t="str">
        <f>IF(SubjectList!G101="Finance",IF(Finance!D101=0,"", Finance!D101),IF(SubjectList!G101="Production",IF(Production!D101=0,"", Production!D101),IF(SubjectList!G101="Economics",IF(Economics!D101=0,"", Economics!D101))))</f>
        <v/>
      </c>
      <c r="T101" s="113">
        <f>IF(SubjectList!H101="Finance",IF(Finance!B101=0,"", Finance!B101),IF(SubjectList!H101="Production",IF(Production!B101=0,"", Production!B101),IF(SubjectList!H101="Economics",IF(Economics!B101=0,"", Economics!B101))))</f>
        <v>18</v>
      </c>
      <c r="U101" s="113">
        <f>IF(SubjectList!H101="Finance",IF(Finance!C101=0,"", Finance!C101),IF(SubjectList!H101="Production",IF(Production!C101=0,"", Production!C101),IF(SubjectList!H101="Economics",IF(Economics!C101=0,"", Economics!C101))))</f>
        <v>3</v>
      </c>
      <c r="V101" s="114">
        <f>IF(SubjectList!H101="Finance",IF(Finance!D101=0,"", Finance!D101),IF(SubjectList!H101="Production",IF(Production!D101=0,"", Production!D101),IF(SubjectList!H101="Economics",IF(Economics!D101=0,"", Economics!D101))))</f>
        <v>21</v>
      </c>
      <c r="W101" s="115" t="str">
        <f>IF(SubjectList!G101="Finance","Finance",IF(SubjectList!G101="Production","Production",IF(SubjectList!G101="Economics","Not Given")))</f>
        <v>Finance</v>
      </c>
      <c r="X101" s="115" t="str">
        <f>IF(SubjectList!H101="Finance","Finance",IF(SubjectList!H101="Production","Production",IF(SubjectList!H101="Economics","Economics","Not Given")))</f>
        <v>Production</v>
      </c>
      <c r="Y101" s="113" t="str">
        <f>Bangla!F101</f>
        <v>F</v>
      </c>
      <c r="Z101" s="113" t="str">
        <f>English!E101</f>
        <v>F</v>
      </c>
      <c r="AA101" s="113" t="str">
        <f>ICT!G101</f>
        <v>F</v>
      </c>
      <c r="AB101" s="113" t="str">
        <f>Accounting!F101</f>
        <v>F</v>
      </c>
      <c r="AC101" s="113" t="str">
        <f>'Business Organization'!F101</f>
        <v>F</v>
      </c>
      <c r="AD101" s="113" t="str">
        <f>Production!F101</f>
        <v>F</v>
      </c>
      <c r="AE101" s="113" t="str">
        <f>Finance!F101</f>
        <v/>
      </c>
      <c r="AF101" s="122">
        <f>Bangla!G101</f>
        <v>0</v>
      </c>
      <c r="AG101" s="122">
        <f>English!F101</f>
        <v>0</v>
      </c>
      <c r="AH101" s="120">
        <f>ICT!H101</f>
        <v>0</v>
      </c>
      <c r="AI101" s="120">
        <f>Accounting!G101</f>
        <v>0</v>
      </c>
      <c r="AJ101" s="120">
        <f>'Business Organization'!G101</f>
        <v>0</v>
      </c>
      <c r="AK101" s="120" t="str">
        <f>IF(SubjectList!G101="Finance",Finance!G101,IF(SubjectList!G101="Production",Production!G101,IF(SubjectList!G101="Economics",Economics!G101)))</f>
        <v/>
      </c>
      <c r="AL101" s="120" t="str">
        <f>Finance!G101</f>
        <v/>
      </c>
      <c r="AM101" s="120">
        <f>Optional!H101</f>
        <v>0</v>
      </c>
      <c r="AN101" s="120">
        <f>Optional!I101</f>
        <v>0</v>
      </c>
      <c r="AO101" s="120" t="str">
        <f t="shared" si="42"/>
        <v/>
      </c>
      <c r="AP101" s="120">
        <f t="shared" si="43"/>
        <v>0</v>
      </c>
      <c r="AQ101" s="116" t="str">
        <f t="shared" si="44"/>
        <v/>
      </c>
      <c r="AR101" s="116" t="str">
        <f t="shared" si="45"/>
        <v/>
      </c>
      <c r="AS101" s="117">
        <f t="shared" si="46"/>
        <v>106</v>
      </c>
      <c r="AT101" s="118">
        <f t="shared" si="47"/>
        <v>0</v>
      </c>
      <c r="AU101" s="118">
        <f t="shared" si="48"/>
        <v>0</v>
      </c>
      <c r="AV101" s="118">
        <f t="shared" si="49"/>
        <v>0</v>
      </c>
      <c r="AW101" s="118">
        <f t="shared" si="50"/>
        <v>0</v>
      </c>
      <c r="AX101" s="118">
        <f t="shared" si="51"/>
        <v>0</v>
      </c>
      <c r="AY101" s="118">
        <f t="shared" si="52"/>
        <v>0</v>
      </c>
      <c r="AZ101" s="111">
        <f t="shared" si="53"/>
        <v>0</v>
      </c>
      <c r="BA101" s="111" t="str">
        <f t="shared" si="54"/>
        <v>F6</v>
      </c>
      <c r="BB101" s="117" t="str">
        <f>IF(AR101="","",RANK(AR101,AR$2:AR145,0))</f>
        <v/>
      </c>
      <c r="BC101" s="111" t="str">
        <f t="shared" si="55"/>
        <v/>
      </c>
    </row>
    <row r="102" spans="1:55" x14ac:dyDescent="0.35">
      <c r="A102" s="113">
        <f>'Student Basic Info'!A102</f>
        <v>601</v>
      </c>
      <c r="B102" s="113" t="str">
        <f>'Student Basic Info'!C102</f>
        <v>Md. Ali Ashraf</v>
      </c>
      <c r="C102" s="121" t="str">
        <f>IF(Bangla!B102="","",Bangla!B102)</f>
        <v/>
      </c>
      <c r="D102" s="121">
        <f>IF(Bangla!C102="","",Bangla!C102)</f>
        <v>20</v>
      </c>
      <c r="E102" s="112">
        <f>IF(Bangla!D102="","",Bangla!D102)</f>
        <v>20</v>
      </c>
      <c r="F102" s="112">
        <f>IF(English!C102="","",English!C102)</f>
        <v>5</v>
      </c>
      <c r="G102" s="113">
        <f>IF(ICT!B102="","",ICT!B102)</f>
        <v>10</v>
      </c>
      <c r="H102" s="113">
        <f>IF(ICT!C102="","",ICT!C102)</f>
        <v>2</v>
      </c>
      <c r="I102" s="113">
        <f>IF(ICT!D102="","",ICT!D102)</f>
        <v>8</v>
      </c>
      <c r="J102" s="114">
        <f>IF(ICT!E102="","",ICT!E102)</f>
        <v>20</v>
      </c>
      <c r="K102" s="113">
        <f>IF(Accounting!B102="","",Accounting!B102)</f>
        <v>8</v>
      </c>
      <c r="L102" s="113">
        <f>IF(Accounting!C102="","",Accounting!C102)</f>
        <v>0</v>
      </c>
      <c r="M102" s="114">
        <f>IF(Accounting!D102="","",Accounting!D102)</f>
        <v>8</v>
      </c>
      <c r="N102" s="113">
        <f>IF('Business Organization'!B102="","",'Business Organization'!B102)</f>
        <v>18</v>
      </c>
      <c r="O102" s="113">
        <f>IF('Business Organization'!C102="","",'Business Organization'!C102)</f>
        <v>7</v>
      </c>
      <c r="P102" s="114">
        <f>IF('Business Organization'!D102="","",'Business Organization'!D102)</f>
        <v>25</v>
      </c>
      <c r="Q102" s="113">
        <f>IF(SubjectList!G102="Finance",IF(Finance!B102=0,"", Finance!B102),IF(SubjectList!G102="Production",IF(Production!B102=0,"", Production!B102),IF(SubjectList!G102="Economics",IF(Economics!B102=0,"", Economics!B102))))</f>
        <v>10</v>
      </c>
      <c r="R102" s="113">
        <f>IF(SubjectList!G102="Finance",IF(Finance!C102=0,"", Finance!C102),IF(SubjectList!G102="Production",IF(Production!C102=0,"", Production!C102),IF(SubjectList!G102="Economics",IF(Economics!C102=0,"", Economics!C102))))</f>
        <v>3</v>
      </c>
      <c r="S102" s="114">
        <f>IF(SubjectList!G102="Finance",IF(Finance!D102=0,"", Finance!D102),IF(SubjectList!G102="Production",IF(Production!D102=0,"", Production!D102),IF(SubjectList!G102="Economics",IF(Economics!D102=0,"", Economics!D102))))</f>
        <v>13</v>
      </c>
      <c r="T102" s="113">
        <f>IF(SubjectList!H102="Finance",IF(Finance!B102=0,"", Finance!B102),IF(SubjectList!H102="Production",IF(Production!B102=0,"", Production!B102),IF(SubjectList!H102="Economics",IF(Economics!B102=0,"", Economics!B102))))</f>
        <v>11</v>
      </c>
      <c r="U102" s="113">
        <f>IF(SubjectList!H102="Finance",IF(Finance!C102=0,"", Finance!C102),IF(SubjectList!H102="Production",IF(Production!C102=0,"", Production!C102),IF(SubjectList!H102="Economics",IF(Economics!C102=0,"", Economics!C102))))</f>
        <v>1</v>
      </c>
      <c r="V102" s="114">
        <f>IF(SubjectList!H102="Finance",IF(Finance!D102=0,"", Finance!D102),IF(SubjectList!H102="Production",IF(Production!D102=0,"", Production!D102),IF(SubjectList!H102="Economics",IF(Economics!D102=0,"", Economics!D102))))</f>
        <v>12</v>
      </c>
      <c r="W102" s="115" t="str">
        <f>IF(SubjectList!G102="Finance","Finance",IF(SubjectList!G102="Production","Production",IF(SubjectList!G102="Economics","Not Given")))</f>
        <v>Finance</v>
      </c>
      <c r="X102" s="115" t="str">
        <f>IF(SubjectList!H102="Finance","Finance",IF(SubjectList!H102="Production","Production",IF(SubjectList!H102="Economics","Economics","Not Given")))</f>
        <v>Production</v>
      </c>
      <c r="Y102" s="113" t="str">
        <f>Bangla!F102</f>
        <v>F</v>
      </c>
      <c r="Z102" s="113" t="str">
        <f>English!E102</f>
        <v>F</v>
      </c>
      <c r="AA102" s="113" t="str">
        <f>ICT!G102</f>
        <v>F</v>
      </c>
      <c r="AB102" s="113" t="str">
        <f>Accounting!F102</f>
        <v>F</v>
      </c>
      <c r="AC102" s="113" t="str">
        <f>'Business Organization'!F102</f>
        <v>F</v>
      </c>
      <c r="AD102" s="113" t="str">
        <f>Production!F102</f>
        <v>F</v>
      </c>
      <c r="AE102" s="113" t="str">
        <f>Finance!F102</f>
        <v>F</v>
      </c>
      <c r="AF102" s="122">
        <f>Bangla!G102</f>
        <v>0</v>
      </c>
      <c r="AG102" s="122">
        <f>English!F102</f>
        <v>0</v>
      </c>
      <c r="AH102" s="120">
        <f>ICT!H102</f>
        <v>0</v>
      </c>
      <c r="AI102" s="120">
        <f>Accounting!G102</f>
        <v>0</v>
      </c>
      <c r="AJ102" s="120">
        <f>'Business Organization'!G102</f>
        <v>0</v>
      </c>
      <c r="AK102" s="120">
        <f>IF(SubjectList!G102="Finance",Finance!G102,IF(SubjectList!G102="Production",Production!G102,IF(SubjectList!G102="Economics",Economics!G102)))</f>
        <v>0</v>
      </c>
      <c r="AL102" s="120">
        <f>Finance!G102</f>
        <v>0</v>
      </c>
      <c r="AM102" s="120">
        <f>Optional!H102</f>
        <v>0</v>
      </c>
      <c r="AN102" s="120">
        <f>Optional!I102</f>
        <v>0</v>
      </c>
      <c r="AO102" s="120" t="str">
        <f t="shared" si="42"/>
        <v/>
      </c>
      <c r="AP102" s="120">
        <f t="shared" si="43"/>
        <v>0</v>
      </c>
      <c r="AQ102" s="116" t="str">
        <f t="shared" si="44"/>
        <v/>
      </c>
      <c r="AR102" s="116" t="str">
        <f t="shared" si="45"/>
        <v/>
      </c>
      <c r="AS102" s="117">
        <f t="shared" si="46"/>
        <v>103</v>
      </c>
      <c r="AT102" s="118">
        <f t="shared" si="47"/>
        <v>0</v>
      </c>
      <c r="AU102" s="118">
        <f t="shared" si="48"/>
        <v>0</v>
      </c>
      <c r="AV102" s="118">
        <f t="shared" si="49"/>
        <v>0</v>
      </c>
      <c r="AW102" s="118">
        <f t="shared" si="50"/>
        <v>0</v>
      </c>
      <c r="AX102" s="118">
        <f t="shared" si="51"/>
        <v>0</v>
      </c>
      <c r="AY102" s="118">
        <f t="shared" si="52"/>
        <v>0</v>
      </c>
      <c r="AZ102" s="111">
        <f t="shared" si="53"/>
        <v>0</v>
      </c>
      <c r="BA102" s="111" t="str">
        <f t="shared" si="54"/>
        <v>F6</v>
      </c>
      <c r="BB102" s="117" t="str">
        <f>IF(AR102="","",RANK(AR102,AR$2:AR145,0))</f>
        <v/>
      </c>
      <c r="BC102" s="111" t="str">
        <f t="shared" si="55"/>
        <v/>
      </c>
    </row>
    <row r="103" spans="1:55" x14ac:dyDescent="0.35">
      <c r="A103" s="113">
        <f>'Student Basic Info'!A103</f>
        <v>602</v>
      </c>
      <c r="B103" s="113" t="str">
        <f>'Student Basic Info'!C103</f>
        <v>Abu Sufiyan Noyon</v>
      </c>
      <c r="C103" s="121" t="str">
        <f>IF(Bangla!B103="","",Bangla!B103)</f>
        <v/>
      </c>
      <c r="D103" s="121" t="str">
        <f>IF(Bangla!C103="","",Bangla!C103)</f>
        <v/>
      </c>
      <c r="E103" s="112" t="str">
        <f>IF(Bangla!D103="","",Bangla!D103)</f>
        <v/>
      </c>
      <c r="F103" s="112" t="str">
        <f>IF(English!C103="","",English!C103)</f>
        <v/>
      </c>
      <c r="G103" s="113" t="str">
        <f>IF(ICT!B103="","",ICT!B103)</f>
        <v/>
      </c>
      <c r="H103" s="113" t="str">
        <f>IF(ICT!C103="","",ICT!C103)</f>
        <v/>
      </c>
      <c r="I103" s="113" t="str">
        <f>IF(ICT!D103="","",ICT!D103)</f>
        <v/>
      </c>
      <c r="J103" s="114" t="str">
        <f>IF(ICT!E103="","",ICT!E103)</f>
        <v/>
      </c>
      <c r="K103" s="113" t="str">
        <f>IF(Accounting!B103="","",Accounting!B103)</f>
        <v/>
      </c>
      <c r="L103" s="113" t="str">
        <f>IF(Accounting!C103="","",Accounting!C103)</f>
        <v/>
      </c>
      <c r="M103" s="114" t="str">
        <f>IF(Accounting!D103="","",Accounting!D103)</f>
        <v/>
      </c>
      <c r="N103" s="113" t="str">
        <f>IF('Business Organization'!B103="","",'Business Organization'!B103)</f>
        <v/>
      </c>
      <c r="O103" s="113" t="str">
        <f>IF('Business Organization'!C103="","",'Business Organization'!C103)</f>
        <v/>
      </c>
      <c r="P103" s="114" t="str">
        <f>IF('Business Organization'!D103="","",'Business Organization'!D103)</f>
        <v/>
      </c>
      <c r="Q103" s="113" t="str">
        <f>IF(SubjectList!G103="Finance",IF(Finance!B103=0,"", Finance!B103),IF(SubjectList!G103="Production",IF(Production!B103=0,"", Production!B103),IF(SubjectList!G103="Economics",IF(Economics!B103=0,"", Economics!B103))))</f>
        <v/>
      </c>
      <c r="R103" s="113" t="str">
        <f>IF(SubjectList!G103="Finance",IF(Finance!C103=0,"", Finance!C103),IF(SubjectList!G103="Production",IF(Production!C103=0,"", Production!C103),IF(SubjectList!G103="Economics",IF(Economics!C103=0,"", Economics!C103))))</f>
        <v/>
      </c>
      <c r="S103" s="114" t="str">
        <f>IF(SubjectList!G103="Finance",IF(Finance!D103=0,"", Finance!D103),IF(SubjectList!G103="Production",IF(Production!D103=0,"", Production!D103),IF(SubjectList!G103="Economics",IF(Economics!D103=0,"", Economics!D103))))</f>
        <v/>
      </c>
      <c r="T103" s="113" t="str">
        <f>IF(SubjectList!H103="Finance",IF(Finance!B103=0,"", Finance!B103),IF(SubjectList!H103="Production",IF(Production!B103=0,"", Production!B103),IF(SubjectList!H103="Economics",IF(Economics!B103=0,"", Economics!B103))))</f>
        <v/>
      </c>
      <c r="U103" s="113" t="str">
        <f>IF(SubjectList!H103="Finance",IF(Finance!C103=0,"", Finance!C103),IF(SubjectList!H103="Production",IF(Production!C103=0,"", Production!C103),IF(SubjectList!H103="Economics",IF(Economics!C103=0,"", Economics!C103))))</f>
        <v/>
      </c>
      <c r="V103" s="114" t="str">
        <f>IF(SubjectList!H103="Finance",IF(Finance!D103=0,"", Finance!D103),IF(SubjectList!H103="Production",IF(Production!D103=0,"", Production!D103),IF(SubjectList!H103="Economics",IF(Economics!D103=0,"", Economics!D103))))</f>
        <v/>
      </c>
      <c r="W103" s="115" t="str">
        <f>IF(SubjectList!G103="Finance","Finance",IF(SubjectList!G103="Production","Production",IF(SubjectList!G103="Economics","Not Given")))</f>
        <v>Finance</v>
      </c>
      <c r="X103" s="115" t="str">
        <f>IF(SubjectList!H103="Finance","Finance",IF(SubjectList!H103="Production","Production",IF(SubjectList!H103="Economics","Economics","Not Given")))</f>
        <v>Economics</v>
      </c>
      <c r="Y103" s="113" t="str">
        <f>Bangla!F103</f>
        <v/>
      </c>
      <c r="Z103" s="113" t="str">
        <f>English!E103</f>
        <v/>
      </c>
      <c r="AA103" s="113" t="str">
        <f>ICT!G103</f>
        <v/>
      </c>
      <c r="AB103" s="113" t="str">
        <f>Accounting!F103</f>
        <v/>
      </c>
      <c r="AC103" s="113" t="str">
        <f>'Business Organization'!F103</f>
        <v/>
      </c>
      <c r="AD103" s="113" t="str">
        <f>Production!F103</f>
        <v/>
      </c>
      <c r="AE103" s="113" t="str">
        <f>Finance!F103</f>
        <v/>
      </c>
      <c r="AF103" s="122" t="str">
        <f>Bangla!G103</f>
        <v/>
      </c>
      <c r="AG103" s="122" t="str">
        <f>English!F103</f>
        <v/>
      </c>
      <c r="AH103" s="120" t="str">
        <f>ICT!H103</f>
        <v/>
      </c>
      <c r="AI103" s="120" t="str">
        <f>Accounting!G103</f>
        <v/>
      </c>
      <c r="AJ103" s="120" t="str">
        <f>'Business Organization'!G103</f>
        <v/>
      </c>
      <c r="AK103" s="120" t="str">
        <f>IF(SubjectList!G103="Finance",Finance!G103,IF(SubjectList!G103="Production",Production!G103,IF(SubjectList!G103="Economics",Economics!G103)))</f>
        <v/>
      </c>
      <c r="AL103" s="120" t="str">
        <f>Finance!G103</f>
        <v/>
      </c>
      <c r="AM103" s="120" t="str">
        <f>Optional!H103</f>
        <v/>
      </c>
      <c r="AN103" s="120" t="str">
        <f>Optional!I103</f>
        <v/>
      </c>
      <c r="AO103" s="120" t="str">
        <f t="shared" si="42"/>
        <v/>
      </c>
      <c r="AP103" s="120">
        <f t="shared" si="43"/>
        <v>0</v>
      </c>
      <c r="AQ103" s="116" t="str">
        <f t="shared" si="44"/>
        <v/>
      </c>
      <c r="AR103" s="116" t="str">
        <f t="shared" si="45"/>
        <v/>
      </c>
      <c r="AS103" s="117">
        <f t="shared" si="46"/>
        <v>0</v>
      </c>
      <c r="AT103" s="118">
        <f t="shared" si="47"/>
        <v>0</v>
      </c>
      <c r="AU103" s="118">
        <f t="shared" si="48"/>
        <v>0</v>
      </c>
      <c r="AV103" s="118">
        <f t="shared" si="49"/>
        <v>0</v>
      </c>
      <c r="AW103" s="118">
        <f t="shared" si="50"/>
        <v>0</v>
      </c>
      <c r="AX103" s="118">
        <f t="shared" si="51"/>
        <v>0</v>
      </c>
      <c r="AY103" s="118">
        <f t="shared" si="52"/>
        <v>0</v>
      </c>
      <c r="AZ103" s="111">
        <f t="shared" si="53"/>
        <v>0</v>
      </c>
      <c r="BA103" s="111" t="str">
        <f t="shared" si="54"/>
        <v>F6</v>
      </c>
      <c r="BB103" s="117" t="str">
        <f>IF(AR103="","",RANK(AR103,AR$2:AR145,0))</f>
        <v/>
      </c>
      <c r="BC103" s="111" t="str">
        <f t="shared" si="55"/>
        <v/>
      </c>
    </row>
    <row r="104" spans="1:55" x14ac:dyDescent="0.35">
      <c r="A104" s="113">
        <f>'Student Basic Info'!A104</f>
        <v>603</v>
      </c>
      <c r="B104" s="113" t="str">
        <f>'Student Basic Info'!C104</f>
        <v>Md. Omor Ali Zidan</v>
      </c>
      <c r="C104" s="121" t="str">
        <f>IF(Bangla!B104="","",Bangla!B104)</f>
        <v/>
      </c>
      <c r="D104" s="121" t="str">
        <f>IF(Bangla!C104="","",Bangla!C104)</f>
        <v/>
      </c>
      <c r="E104" s="112" t="str">
        <f>IF(Bangla!D104="","",Bangla!D104)</f>
        <v/>
      </c>
      <c r="F104" s="112" t="str">
        <f>IF(English!C104="","",English!C104)</f>
        <v/>
      </c>
      <c r="G104" s="113" t="str">
        <f>IF(ICT!B104="","",ICT!B104)</f>
        <v/>
      </c>
      <c r="H104" s="113" t="str">
        <f>IF(ICT!C104="","",ICT!C104)</f>
        <v/>
      </c>
      <c r="I104" s="113" t="str">
        <f>IF(ICT!D104="","",ICT!D104)</f>
        <v/>
      </c>
      <c r="J104" s="114" t="str">
        <f>IF(ICT!E104="","",ICT!E104)</f>
        <v/>
      </c>
      <c r="K104" s="113" t="str">
        <f>IF(Accounting!B104="","",Accounting!B104)</f>
        <v/>
      </c>
      <c r="L104" s="113" t="str">
        <f>IF(Accounting!C104="","",Accounting!C104)</f>
        <v/>
      </c>
      <c r="M104" s="114" t="str">
        <f>IF(Accounting!D104="","",Accounting!D104)</f>
        <v/>
      </c>
      <c r="N104" s="113" t="str">
        <f>IF('Business Organization'!B104="","",'Business Organization'!B104)</f>
        <v/>
      </c>
      <c r="O104" s="113" t="str">
        <f>IF('Business Organization'!C104="","",'Business Organization'!C104)</f>
        <v/>
      </c>
      <c r="P104" s="114" t="str">
        <f>IF('Business Organization'!D104="","",'Business Organization'!D104)</f>
        <v/>
      </c>
      <c r="Q104" s="113" t="str">
        <f>IF(SubjectList!G104="Finance",IF(Finance!B104=0,"", Finance!B104),IF(SubjectList!G104="Production",IF(Production!B104=0,"", Production!B104),IF(SubjectList!G104="Economics",IF(Economics!B104=0,"", Economics!B104))))</f>
        <v/>
      </c>
      <c r="R104" s="113" t="str">
        <f>IF(SubjectList!G104="Finance",IF(Finance!C104=0,"", Finance!C104),IF(SubjectList!G104="Production",IF(Production!C104=0,"", Production!C104),IF(SubjectList!G104="Economics",IF(Economics!C104=0,"", Economics!C104))))</f>
        <v/>
      </c>
      <c r="S104" s="114" t="str">
        <f>IF(SubjectList!G104="Finance",IF(Finance!D104=0,"", Finance!D104),IF(SubjectList!G104="Production",IF(Production!D104=0,"", Production!D104),IF(SubjectList!G104="Economics",IF(Economics!D104=0,"", Economics!D104))))</f>
        <v/>
      </c>
      <c r="T104" s="113" t="str">
        <f>IF(SubjectList!H104="Finance",IF(Finance!B104=0,"", Finance!B104),IF(SubjectList!H104="Production",IF(Production!B104=0,"", Production!B104),IF(SubjectList!H104="Economics",IF(Economics!B104=0,"", Economics!B104))))</f>
        <v/>
      </c>
      <c r="U104" s="113" t="str">
        <f>IF(SubjectList!H104="Finance",IF(Finance!C104=0,"", Finance!C104),IF(SubjectList!H104="Production",IF(Production!C104=0,"", Production!C104),IF(SubjectList!H104="Economics",IF(Economics!C104=0,"", Economics!C104))))</f>
        <v/>
      </c>
      <c r="V104" s="114" t="str">
        <f>IF(SubjectList!H104="Finance",IF(Finance!D104=0,"", Finance!D104),IF(SubjectList!H104="Production",IF(Production!D104=0,"", Production!D104),IF(SubjectList!H104="Economics",IF(Economics!D104=0,"", Economics!D104))))</f>
        <v/>
      </c>
      <c r="W104" s="115" t="str">
        <f>IF(SubjectList!G104="Finance","Finance",IF(SubjectList!G104="Production","Production",IF(SubjectList!G104="Economics","Not Given")))</f>
        <v>Finance</v>
      </c>
      <c r="X104" s="115" t="str">
        <f>IF(SubjectList!H104="Finance","Finance",IF(SubjectList!H104="Production","Production",IF(SubjectList!H104="Economics","Economics","Not Given")))</f>
        <v>Production</v>
      </c>
      <c r="Y104" s="113" t="str">
        <f>Bangla!F104</f>
        <v/>
      </c>
      <c r="Z104" s="113" t="str">
        <f>English!E104</f>
        <v/>
      </c>
      <c r="AA104" s="113" t="str">
        <f>ICT!G104</f>
        <v/>
      </c>
      <c r="AB104" s="113" t="str">
        <f>Accounting!F104</f>
        <v/>
      </c>
      <c r="AC104" s="113" t="str">
        <f>'Business Organization'!F104</f>
        <v/>
      </c>
      <c r="AD104" s="113" t="str">
        <f>Production!F104</f>
        <v/>
      </c>
      <c r="AE104" s="113" t="str">
        <f>Finance!F104</f>
        <v/>
      </c>
      <c r="AF104" s="122" t="str">
        <f>Bangla!G104</f>
        <v/>
      </c>
      <c r="AG104" s="122" t="str">
        <f>English!F104</f>
        <v/>
      </c>
      <c r="AH104" s="120" t="str">
        <f>ICT!H104</f>
        <v/>
      </c>
      <c r="AI104" s="120" t="str">
        <f>Accounting!G104</f>
        <v/>
      </c>
      <c r="AJ104" s="120" t="str">
        <f>'Business Organization'!G104</f>
        <v/>
      </c>
      <c r="AK104" s="120" t="str">
        <f>IF(SubjectList!G104="Finance",Finance!G104,IF(SubjectList!G104="Production",Production!G104,IF(SubjectList!G104="Economics",Economics!G104)))</f>
        <v/>
      </c>
      <c r="AL104" s="120" t="str">
        <f>Finance!G104</f>
        <v/>
      </c>
      <c r="AM104" s="120" t="str">
        <f>Optional!H104</f>
        <v/>
      </c>
      <c r="AN104" s="120" t="str">
        <f>Optional!I104</f>
        <v/>
      </c>
      <c r="AO104" s="120" t="str">
        <f t="shared" si="42"/>
        <v/>
      </c>
      <c r="AP104" s="120">
        <f t="shared" si="43"/>
        <v>0</v>
      </c>
      <c r="AQ104" s="116" t="str">
        <f t="shared" si="44"/>
        <v/>
      </c>
      <c r="AR104" s="116" t="str">
        <f t="shared" si="45"/>
        <v/>
      </c>
      <c r="AS104" s="117">
        <f t="shared" si="46"/>
        <v>0</v>
      </c>
      <c r="AT104" s="118">
        <f t="shared" si="47"/>
        <v>0</v>
      </c>
      <c r="AU104" s="118">
        <f t="shared" si="48"/>
        <v>0</v>
      </c>
      <c r="AV104" s="118">
        <f t="shared" si="49"/>
        <v>0</v>
      </c>
      <c r="AW104" s="118">
        <f t="shared" si="50"/>
        <v>0</v>
      </c>
      <c r="AX104" s="118">
        <f t="shared" si="51"/>
        <v>0</v>
      </c>
      <c r="AY104" s="118">
        <f t="shared" si="52"/>
        <v>0</v>
      </c>
      <c r="AZ104" s="111">
        <f t="shared" si="53"/>
        <v>0</v>
      </c>
      <c r="BA104" s="111" t="str">
        <f t="shared" si="54"/>
        <v>F6</v>
      </c>
      <c r="BB104" s="117" t="str">
        <f>IF(AR104="","",RANK(AR104,AR$2:AR145,0))</f>
        <v/>
      </c>
      <c r="BC104" s="111" t="str">
        <f t="shared" si="55"/>
        <v/>
      </c>
    </row>
    <row r="105" spans="1:55" x14ac:dyDescent="0.35">
      <c r="A105" s="113">
        <f>'Student Basic Info'!A105</f>
        <v>604</v>
      </c>
      <c r="B105" s="113" t="str">
        <f>'Student Basic Info'!C105</f>
        <v>Eti</v>
      </c>
      <c r="C105" s="121" t="str">
        <f>IF(Bangla!B105="","",Bangla!B105)</f>
        <v/>
      </c>
      <c r="D105" s="121" t="str">
        <f>IF(Bangla!C105="","",Bangla!C105)</f>
        <v/>
      </c>
      <c r="E105" s="112" t="str">
        <f>IF(Bangla!D105="","",Bangla!D105)</f>
        <v/>
      </c>
      <c r="F105" s="112" t="str">
        <f>IF(English!C105="","",English!C105)</f>
        <v/>
      </c>
      <c r="G105" s="113" t="str">
        <f>IF(ICT!B105="","",ICT!B105)</f>
        <v/>
      </c>
      <c r="H105" s="113" t="str">
        <f>IF(ICT!C105="","",ICT!C105)</f>
        <v/>
      </c>
      <c r="I105" s="113" t="str">
        <f>IF(ICT!D105="","",ICT!D105)</f>
        <v/>
      </c>
      <c r="J105" s="114" t="str">
        <f>IF(ICT!E105="","",ICT!E105)</f>
        <v/>
      </c>
      <c r="K105" s="113" t="str">
        <f>IF(Accounting!B105="","",Accounting!B105)</f>
        <v/>
      </c>
      <c r="L105" s="113" t="str">
        <f>IF(Accounting!C105="","",Accounting!C105)</f>
        <v/>
      </c>
      <c r="M105" s="114" t="str">
        <f>IF(Accounting!D105="","",Accounting!D105)</f>
        <v/>
      </c>
      <c r="N105" s="113" t="str">
        <f>IF('Business Organization'!B105="","",'Business Organization'!B105)</f>
        <v/>
      </c>
      <c r="O105" s="113" t="str">
        <f>IF('Business Organization'!C105="","",'Business Organization'!C105)</f>
        <v/>
      </c>
      <c r="P105" s="114" t="str">
        <f>IF('Business Organization'!D105="","",'Business Organization'!D105)</f>
        <v/>
      </c>
      <c r="Q105" s="113" t="str">
        <f>IF(SubjectList!G105="Finance",IF(Finance!B105=0,"", Finance!B105),IF(SubjectList!G105="Production",IF(Production!B105=0,"", Production!B105),IF(SubjectList!G105="Economics",IF(Economics!B105=0,"", Economics!B105))))</f>
        <v/>
      </c>
      <c r="R105" s="113" t="str">
        <f>IF(SubjectList!G105="Finance",IF(Finance!C105=0,"", Finance!C105),IF(SubjectList!G105="Production",IF(Production!C105=0,"", Production!C105),IF(SubjectList!G105="Economics",IF(Economics!C105=0,"", Economics!C105))))</f>
        <v/>
      </c>
      <c r="S105" s="114" t="str">
        <f>IF(SubjectList!G105="Finance",IF(Finance!D105=0,"", Finance!D105),IF(SubjectList!G105="Production",IF(Production!D105=0,"", Production!D105),IF(SubjectList!G105="Economics",IF(Economics!D105=0,"", Economics!D105))))</f>
        <v/>
      </c>
      <c r="T105" s="113" t="str">
        <f>IF(SubjectList!H105="Finance",IF(Finance!B105=0,"", Finance!B105),IF(SubjectList!H105="Production",IF(Production!B105=0,"", Production!B105),IF(SubjectList!H105="Economics",IF(Economics!B105=0,"", Economics!B105))))</f>
        <v/>
      </c>
      <c r="U105" s="113" t="str">
        <f>IF(SubjectList!H105="Finance",IF(Finance!C105=0,"", Finance!C105),IF(SubjectList!H105="Production",IF(Production!C105=0,"", Production!C105),IF(SubjectList!H105="Economics",IF(Economics!C105=0,"", Economics!C105))))</f>
        <v/>
      </c>
      <c r="V105" s="114" t="str">
        <f>IF(SubjectList!H105="Finance",IF(Finance!D105=0,"", Finance!D105),IF(SubjectList!H105="Production",IF(Production!D105=0,"", Production!D105),IF(SubjectList!H105="Economics",IF(Economics!D105=0,"", Economics!D105))))</f>
        <v/>
      </c>
      <c r="W105" s="115" t="str">
        <f>IF(SubjectList!G105="Finance","Finance",IF(SubjectList!G105="Production","Production",IF(SubjectList!G105="Economics","Not Given")))</f>
        <v>Finance</v>
      </c>
      <c r="X105" s="115" t="str">
        <f>IF(SubjectList!H105="Finance","Finance",IF(SubjectList!H105="Production","Production",IF(SubjectList!H105="Economics","Economics","Not Given")))</f>
        <v>Production</v>
      </c>
      <c r="Y105" s="113" t="str">
        <f>Bangla!F105</f>
        <v/>
      </c>
      <c r="Z105" s="113" t="str">
        <f>English!E105</f>
        <v/>
      </c>
      <c r="AA105" s="113" t="str">
        <f>ICT!G105</f>
        <v/>
      </c>
      <c r="AB105" s="113" t="str">
        <f>Accounting!F105</f>
        <v/>
      </c>
      <c r="AC105" s="113" t="str">
        <f>'Business Organization'!F105</f>
        <v/>
      </c>
      <c r="AD105" s="113" t="str">
        <f>Production!F105</f>
        <v/>
      </c>
      <c r="AE105" s="113" t="str">
        <f>Finance!F105</f>
        <v/>
      </c>
      <c r="AF105" s="122" t="str">
        <f>Bangla!G105</f>
        <v/>
      </c>
      <c r="AG105" s="122" t="str">
        <f>English!F105</f>
        <v/>
      </c>
      <c r="AH105" s="120" t="str">
        <f>ICT!H105</f>
        <v/>
      </c>
      <c r="AI105" s="120" t="str">
        <f>Accounting!G105</f>
        <v/>
      </c>
      <c r="AJ105" s="120" t="str">
        <f>'Business Organization'!G105</f>
        <v/>
      </c>
      <c r="AK105" s="120" t="str">
        <f>IF(SubjectList!G105="Finance",Finance!G105,IF(SubjectList!G105="Production",Production!G105,IF(SubjectList!G105="Economics",Economics!G105)))</f>
        <v/>
      </c>
      <c r="AL105" s="120" t="str">
        <f>Finance!G105</f>
        <v/>
      </c>
      <c r="AM105" s="120" t="str">
        <f>Optional!H105</f>
        <v/>
      </c>
      <c r="AN105" s="120" t="str">
        <f>Optional!I105</f>
        <v/>
      </c>
      <c r="AO105" s="120" t="str">
        <f t="shared" si="42"/>
        <v/>
      </c>
      <c r="AP105" s="120">
        <f t="shared" si="43"/>
        <v>0</v>
      </c>
      <c r="AQ105" s="116" t="str">
        <f t="shared" si="44"/>
        <v/>
      </c>
      <c r="AR105" s="116" t="str">
        <f t="shared" si="45"/>
        <v/>
      </c>
      <c r="AS105" s="117">
        <f t="shared" si="46"/>
        <v>0</v>
      </c>
      <c r="AT105" s="118">
        <f t="shared" si="47"/>
        <v>0</v>
      </c>
      <c r="AU105" s="118">
        <f t="shared" si="48"/>
        <v>0</v>
      </c>
      <c r="AV105" s="118">
        <f t="shared" si="49"/>
        <v>0</v>
      </c>
      <c r="AW105" s="118">
        <f t="shared" si="50"/>
        <v>0</v>
      </c>
      <c r="AX105" s="118">
        <f t="shared" si="51"/>
        <v>0</v>
      </c>
      <c r="AY105" s="118">
        <f t="shared" si="52"/>
        <v>0</v>
      </c>
      <c r="AZ105" s="111">
        <f t="shared" si="53"/>
        <v>0</v>
      </c>
      <c r="BA105" s="111" t="str">
        <f t="shared" si="54"/>
        <v>F6</v>
      </c>
      <c r="BB105" s="117" t="str">
        <f>IF(AR105="","",RANK(AR105,AR$2:AR145,0))</f>
        <v/>
      </c>
      <c r="BC105" s="111" t="str">
        <f t="shared" si="55"/>
        <v/>
      </c>
    </row>
    <row r="106" spans="1:55" x14ac:dyDescent="0.35">
      <c r="A106" s="113">
        <f>'Student Basic Info'!A106</f>
        <v>605</v>
      </c>
      <c r="B106" s="113" t="str">
        <f>'Student Basic Info'!C106</f>
        <v>Jhumur Mojumdar</v>
      </c>
      <c r="C106" s="121" t="str">
        <f>IF(Bangla!B106="","",Bangla!B106)</f>
        <v/>
      </c>
      <c r="D106" s="121">
        <f>IF(Bangla!C106="","",Bangla!C106)</f>
        <v>40</v>
      </c>
      <c r="E106" s="112">
        <f>IF(Bangla!D106="","",Bangla!D106)</f>
        <v>40</v>
      </c>
      <c r="F106" s="112">
        <f>IF(English!C106="","",English!C106)</f>
        <v>14</v>
      </c>
      <c r="G106" s="113">
        <f>IF(ICT!B106="","",ICT!B106)</f>
        <v>6</v>
      </c>
      <c r="H106" s="113">
        <f>IF(ICT!C106="","",ICT!C106)</f>
        <v>11</v>
      </c>
      <c r="I106" s="113">
        <f>IF(ICT!D106="","",ICT!D106)</f>
        <v>20</v>
      </c>
      <c r="J106" s="114">
        <f>IF(ICT!E106="","",ICT!E106)</f>
        <v>37</v>
      </c>
      <c r="K106" s="113">
        <f>IF(Accounting!B106="","",Accounting!B106)</f>
        <v>8</v>
      </c>
      <c r="L106" s="113">
        <f>IF(Accounting!C106="","",Accounting!C106)</f>
        <v>24</v>
      </c>
      <c r="M106" s="114">
        <f>IF(Accounting!D106="","",Accounting!D106)</f>
        <v>32</v>
      </c>
      <c r="N106" s="113">
        <f>IF('Business Organization'!B106="","",'Business Organization'!B106)</f>
        <v>17</v>
      </c>
      <c r="O106" s="113">
        <f>IF('Business Organization'!C106="","",'Business Organization'!C106)</f>
        <v>16</v>
      </c>
      <c r="P106" s="114">
        <f>IF('Business Organization'!D106="","",'Business Organization'!D106)</f>
        <v>33</v>
      </c>
      <c r="Q106" s="113">
        <f>IF(SubjectList!G106="Finance",IF(Finance!B106=0,"", Finance!B106),IF(SubjectList!G106="Production",IF(Production!B106=0,"", Production!B106),IF(SubjectList!G106="Economics",IF(Economics!B106=0,"", Economics!B106))))</f>
        <v>13</v>
      </c>
      <c r="R106" s="113">
        <f>IF(SubjectList!G106="Finance",IF(Finance!C106=0,"", Finance!C106),IF(SubjectList!G106="Production",IF(Production!C106=0,"", Production!C106),IF(SubjectList!G106="Economics",IF(Economics!C106=0,"", Economics!C106))))</f>
        <v>23</v>
      </c>
      <c r="S106" s="114">
        <f>IF(SubjectList!G106="Finance",IF(Finance!D106=0,"", Finance!D106),IF(SubjectList!G106="Production",IF(Production!D106=0,"", Production!D106),IF(SubjectList!G106="Economics",IF(Economics!D106=0,"", Economics!D106))))</f>
        <v>36</v>
      </c>
      <c r="T106" s="113">
        <f>IF(SubjectList!H106="Finance",IF(Finance!B106=0,"", Finance!B106),IF(SubjectList!H106="Production",IF(Production!B106=0,"", Production!B106),IF(SubjectList!H106="Economics",IF(Economics!B106=0,"", Economics!B106))))</f>
        <v>13</v>
      </c>
      <c r="U106" s="113">
        <f>IF(SubjectList!H106="Finance",IF(Finance!C106=0,"", Finance!C106),IF(SubjectList!H106="Production",IF(Production!C106=0,"", Production!C106),IF(SubjectList!H106="Economics",IF(Economics!C106=0,"", Economics!C106))))</f>
        <v>27</v>
      </c>
      <c r="V106" s="114">
        <f>IF(SubjectList!H106="Finance",IF(Finance!D106=0,"", Finance!D106),IF(SubjectList!H106="Production",IF(Production!D106=0,"", Production!D106),IF(SubjectList!H106="Economics",IF(Economics!D106=0,"", Economics!D106))))</f>
        <v>40</v>
      </c>
      <c r="W106" s="115" t="str">
        <f>IF(SubjectList!G106="Finance","Finance",IF(SubjectList!G106="Production","Production",IF(SubjectList!G106="Economics","Not Given")))</f>
        <v>Finance</v>
      </c>
      <c r="X106" s="115" t="str">
        <f>IF(SubjectList!H106="Finance","Finance",IF(SubjectList!H106="Production","Production",IF(SubjectList!H106="Economics","Economics","Not Given")))</f>
        <v>Production</v>
      </c>
      <c r="Y106" s="113" t="str">
        <f>Bangla!F106</f>
        <v>C</v>
      </c>
      <c r="Z106" s="113" t="str">
        <f>English!E106</f>
        <v>F</v>
      </c>
      <c r="AA106" s="113" t="str">
        <f>ICT!G106</f>
        <v>F</v>
      </c>
      <c r="AB106" s="113" t="str">
        <f>Accounting!F106</f>
        <v>F</v>
      </c>
      <c r="AC106" s="113" t="str">
        <f>'Business Organization'!F106</f>
        <v>F</v>
      </c>
      <c r="AD106" s="113" t="str">
        <f>Production!F106</f>
        <v>C</v>
      </c>
      <c r="AE106" s="113" t="str">
        <f>Finance!F106</f>
        <v>D</v>
      </c>
      <c r="AF106" s="122">
        <f>Bangla!G106</f>
        <v>2</v>
      </c>
      <c r="AG106" s="122">
        <f>English!F106</f>
        <v>0</v>
      </c>
      <c r="AH106" s="120">
        <f>ICT!H106</f>
        <v>0</v>
      </c>
      <c r="AI106" s="120">
        <f>Accounting!G106</f>
        <v>0</v>
      </c>
      <c r="AJ106" s="120">
        <f>'Business Organization'!G106</f>
        <v>0</v>
      </c>
      <c r="AK106" s="120">
        <f>IF(SubjectList!G106="Finance",Finance!G106,IF(SubjectList!G106="Production",Production!G106,IF(SubjectList!G106="Economics",Economics!G106)))</f>
        <v>1</v>
      </c>
      <c r="AL106" s="120">
        <f>Finance!G106</f>
        <v>1</v>
      </c>
      <c r="AM106" s="120">
        <f>Optional!H106</f>
        <v>2</v>
      </c>
      <c r="AN106" s="120">
        <f>Optional!I106</f>
        <v>0</v>
      </c>
      <c r="AO106" s="120">
        <f t="shared" si="42"/>
        <v>3</v>
      </c>
      <c r="AP106" s="120">
        <f t="shared" si="43"/>
        <v>3</v>
      </c>
      <c r="AQ106" s="116" t="str">
        <f t="shared" si="44"/>
        <v/>
      </c>
      <c r="AR106" s="116" t="str">
        <f t="shared" si="45"/>
        <v/>
      </c>
      <c r="AS106" s="117">
        <f t="shared" si="46"/>
        <v>232</v>
      </c>
      <c r="AT106" s="118">
        <f t="shared" si="47"/>
        <v>1</v>
      </c>
      <c r="AU106" s="118">
        <f t="shared" si="48"/>
        <v>0</v>
      </c>
      <c r="AV106" s="118">
        <f t="shared" si="49"/>
        <v>0</v>
      </c>
      <c r="AW106" s="118">
        <f t="shared" si="50"/>
        <v>0</v>
      </c>
      <c r="AX106" s="118">
        <f t="shared" si="51"/>
        <v>0</v>
      </c>
      <c r="AY106" s="118">
        <f t="shared" si="52"/>
        <v>1</v>
      </c>
      <c r="AZ106" s="111">
        <f t="shared" si="53"/>
        <v>2</v>
      </c>
      <c r="BA106" s="111" t="str">
        <f t="shared" si="54"/>
        <v>F4</v>
      </c>
      <c r="BB106" s="117" t="str">
        <f>IF(AR106="","",RANK(AR106,AR$2:AR145,0))</f>
        <v/>
      </c>
      <c r="BC106" s="111" t="str">
        <f t="shared" si="55"/>
        <v/>
      </c>
    </row>
    <row r="107" spans="1:55" x14ac:dyDescent="0.35">
      <c r="A107" s="113">
        <f>'Student Basic Info'!A107</f>
        <v>606</v>
      </c>
      <c r="B107" s="113" t="str">
        <f>'Student Basic Info'!C107</f>
        <v>Boishakhi Mojumdar</v>
      </c>
      <c r="C107" s="121" t="str">
        <f>IF(Bangla!B107="","",Bangla!B107)</f>
        <v/>
      </c>
      <c r="D107" s="121">
        <f>IF(Bangla!C107="","",Bangla!C107)</f>
        <v>33</v>
      </c>
      <c r="E107" s="112">
        <f>IF(Bangla!D107="","",Bangla!D107)</f>
        <v>33</v>
      </c>
      <c r="F107" s="112">
        <f>IF(English!C107="","",English!C107)</f>
        <v>10</v>
      </c>
      <c r="G107" s="113">
        <f>IF(ICT!B107="","",ICT!B107)</f>
        <v>3</v>
      </c>
      <c r="H107" s="113">
        <f>IF(ICT!C107="","",ICT!C107)</f>
        <v>7</v>
      </c>
      <c r="I107" s="113">
        <f>IF(ICT!D107="","",ICT!D107)</f>
        <v>22</v>
      </c>
      <c r="J107" s="114">
        <f>IF(ICT!E107="","",ICT!E107)</f>
        <v>32</v>
      </c>
      <c r="K107" s="113">
        <f>IF(Accounting!B107="","",Accounting!B107)</f>
        <v>6</v>
      </c>
      <c r="L107" s="113">
        <f>IF(Accounting!C107="","",Accounting!C107)</f>
        <v>19</v>
      </c>
      <c r="M107" s="114">
        <f>IF(Accounting!D107="","",Accounting!D107)</f>
        <v>25</v>
      </c>
      <c r="N107" s="113">
        <f>IF('Business Organization'!B107="","",'Business Organization'!B107)</f>
        <v>10</v>
      </c>
      <c r="O107" s="113">
        <f>IF('Business Organization'!C107="","",'Business Organization'!C107)</f>
        <v>9</v>
      </c>
      <c r="P107" s="114">
        <f>IF('Business Organization'!D107="","",'Business Organization'!D107)</f>
        <v>19</v>
      </c>
      <c r="Q107" s="113">
        <f>IF(SubjectList!G107="Finance",IF(Finance!B107=0,"", Finance!B107),IF(SubjectList!G107="Production",IF(Production!B107=0,"", Production!B107),IF(SubjectList!G107="Economics",IF(Economics!B107=0,"", Economics!B107))))</f>
        <v>7</v>
      </c>
      <c r="R107" s="113">
        <f>IF(SubjectList!G107="Finance",IF(Finance!C107=0,"", Finance!C107),IF(SubjectList!G107="Production",IF(Production!C107=0,"", Production!C107),IF(SubjectList!G107="Economics",IF(Economics!C107=0,"", Economics!C107))))</f>
        <v>13</v>
      </c>
      <c r="S107" s="114">
        <f>IF(SubjectList!G107="Finance",IF(Finance!D107=0,"", Finance!D107),IF(SubjectList!G107="Production",IF(Production!D107=0,"", Production!D107),IF(SubjectList!G107="Economics",IF(Economics!D107=0,"", Economics!D107))))</f>
        <v>20</v>
      </c>
      <c r="T107" s="113">
        <f>IF(SubjectList!H107="Finance",IF(Finance!B107=0,"", Finance!B107),IF(SubjectList!H107="Production",IF(Production!B107=0,"", Production!B107),IF(SubjectList!H107="Economics",IF(Economics!B107=0,"", Economics!B107))))</f>
        <v>6</v>
      </c>
      <c r="U107" s="113">
        <f>IF(SubjectList!H107="Finance",IF(Finance!C107=0,"", Finance!C107),IF(SubjectList!H107="Production",IF(Production!C107=0,"", Production!C107),IF(SubjectList!H107="Economics",IF(Economics!C107=0,"", Economics!C107))))</f>
        <v>23</v>
      </c>
      <c r="V107" s="114">
        <f>IF(SubjectList!H107="Finance",IF(Finance!D107=0,"", Finance!D107),IF(SubjectList!H107="Production",IF(Production!D107=0,"", Production!D107),IF(SubjectList!H107="Economics",IF(Economics!D107=0,"", Economics!D107))))</f>
        <v>29</v>
      </c>
      <c r="W107" s="115" t="str">
        <f>IF(SubjectList!G107="Finance","Finance",IF(SubjectList!G107="Production","Production",IF(SubjectList!G107="Economics","Not Given")))</f>
        <v>Production</v>
      </c>
      <c r="X107" s="115" t="str">
        <f>IF(SubjectList!H107="Finance","Finance",IF(SubjectList!H107="Production","Production",IF(SubjectList!H107="Economics","Economics","Not Given")))</f>
        <v>Finance</v>
      </c>
      <c r="Y107" s="113" t="str">
        <f>Bangla!F107</f>
        <v>D</v>
      </c>
      <c r="Z107" s="113" t="str">
        <f>English!E107</f>
        <v>F</v>
      </c>
      <c r="AA107" s="113" t="str">
        <f>ICT!G107</f>
        <v>F</v>
      </c>
      <c r="AB107" s="113" t="str">
        <f>Accounting!F107</f>
        <v>F</v>
      </c>
      <c r="AC107" s="113" t="str">
        <f>'Business Organization'!F107</f>
        <v>F</v>
      </c>
      <c r="AD107" s="113" t="str">
        <f>Production!F107</f>
        <v>F</v>
      </c>
      <c r="AE107" s="113" t="str">
        <f>Finance!F107</f>
        <v>F</v>
      </c>
      <c r="AF107" s="122">
        <f>Bangla!G107</f>
        <v>1</v>
      </c>
      <c r="AG107" s="122">
        <f>English!F107</f>
        <v>0</v>
      </c>
      <c r="AH107" s="120">
        <f>ICT!H107</f>
        <v>0</v>
      </c>
      <c r="AI107" s="120">
        <f>Accounting!G107</f>
        <v>0</v>
      </c>
      <c r="AJ107" s="120">
        <f>'Business Organization'!G107</f>
        <v>0</v>
      </c>
      <c r="AK107" s="120">
        <f>IF(SubjectList!G107="Finance",Finance!G107,IF(SubjectList!G107="Production",Production!G107,IF(SubjectList!G107="Economics",Economics!G107)))</f>
        <v>0</v>
      </c>
      <c r="AL107" s="120">
        <f>Finance!G107</f>
        <v>0</v>
      </c>
      <c r="AM107" s="120">
        <f>Optional!H107</f>
        <v>0</v>
      </c>
      <c r="AN107" s="120">
        <f>Optional!I107</f>
        <v>0</v>
      </c>
      <c r="AO107" s="120">
        <f t="shared" si="42"/>
        <v>1</v>
      </c>
      <c r="AP107" s="120">
        <f t="shared" si="43"/>
        <v>1</v>
      </c>
      <c r="AQ107" s="116" t="str">
        <f t="shared" si="44"/>
        <v/>
      </c>
      <c r="AR107" s="116" t="str">
        <f t="shared" si="45"/>
        <v/>
      </c>
      <c r="AS107" s="117">
        <f t="shared" si="46"/>
        <v>168</v>
      </c>
      <c r="AT107" s="118">
        <f t="shared" si="47"/>
        <v>1</v>
      </c>
      <c r="AU107" s="118">
        <f t="shared" si="48"/>
        <v>0</v>
      </c>
      <c r="AV107" s="118">
        <f t="shared" si="49"/>
        <v>0</v>
      </c>
      <c r="AW107" s="118">
        <f t="shared" si="50"/>
        <v>0</v>
      </c>
      <c r="AX107" s="118">
        <f t="shared" si="51"/>
        <v>0</v>
      </c>
      <c r="AY107" s="118">
        <f t="shared" si="52"/>
        <v>0</v>
      </c>
      <c r="AZ107" s="111">
        <f t="shared" si="53"/>
        <v>1</v>
      </c>
      <c r="BA107" s="111" t="str">
        <f t="shared" si="54"/>
        <v>F5</v>
      </c>
      <c r="BB107" s="117" t="str">
        <f>IF(AR107="","",RANK(AR107,AR$2:AR145,0))</f>
        <v/>
      </c>
      <c r="BC107" s="111" t="str">
        <f t="shared" si="55"/>
        <v/>
      </c>
    </row>
    <row r="108" spans="1:55" x14ac:dyDescent="0.35">
      <c r="A108" s="113">
        <f>'Student Basic Info'!A108</f>
        <v>607</v>
      </c>
      <c r="B108" s="113" t="str">
        <f>'Student Basic Info'!C108</f>
        <v>Shekh Shahriyar Aziz</v>
      </c>
      <c r="C108" s="121" t="str">
        <f>IF(Bangla!B108="","",Bangla!B108)</f>
        <v/>
      </c>
      <c r="D108" s="121">
        <f>IF(Bangla!C108="","",Bangla!C108)</f>
        <v>26</v>
      </c>
      <c r="E108" s="112">
        <f>IF(Bangla!D108="","",Bangla!D108)</f>
        <v>26</v>
      </c>
      <c r="F108" s="112">
        <f>IF(English!C108="","",English!C108)</f>
        <v>13</v>
      </c>
      <c r="G108" s="113">
        <f>IF(ICT!B108="","",ICT!B108)</f>
        <v>12</v>
      </c>
      <c r="H108" s="113">
        <f>IF(ICT!C108="","",ICT!C108)</f>
        <v>4</v>
      </c>
      <c r="I108" s="113">
        <f>IF(ICT!D108="","",ICT!D108)</f>
        <v>8</v>
      </c>
      <c r="J108" s="114">
        <f>IF(ICT!E108="","",ICT!E108)</f>
        <v>24</v>
      </c>
      <c r="K108" s="113">
        <f>IF(Accounting!B108="","",Accounting!B108)</f>
        <v>10</v>
      </c>
      <c r="L108" s="113">
        <f>IF(Accounting!C108="","",Accounting!C108)</f>
        <v>20</v>
      </c>
      <c r="M108" s="114">
        <f>IF(Accounting!D108="","",Accounting!D108)</f>
        <v>30</v>
      </c>
      <c r="N108" s="113">
        <f>IF('Business Organization'!B108="","",'Business Organization'!B108)</f>
        <v>12</v>
      </c>
      <c r="O108" s="113">
        <f>IF('Business Organization'!C108="","",'Business Organization'!C108)</f>
        <v>6</v>
      </c>
      <c r="P108" s="114">
        <f>IF('Business Organization'!D108="","",'Business Organization'!D108)</f>
        <v>18</v>
      </c>
      <c r="Q108" s="113">
        <f>IF(SubjectList!G108="Finance",IF(Finance!B108=0,"", Finance!B108),IF(SubjectList!G108="Production",IF(Production!B108=0,"", Production!B108),IF(SubjectList!G108="Economics",IF(Economics!B108=0,"", Economics!B108))))</f>
        <v>12</v>
      </c>
      <c r="R108" s="113">
        <f>IF(SubjectList!G108="Finance",IF(Finance!C108=0,"", Finance!C108),IF(SubjectList!G108="Production",IF(Production!C108=0,"", Production!C108),IF(SubjectList!G108="Economics",IF(Economics!C108=0,"", Economics!C108))))</f>
        <v>3</v>
      </c>
      <c r="S108" s="114">
        <f>IF(SubjectList!G108="Finance",IF(Finance!D108=0,"", Finance!D108),IF(SubjectList!G108="Production",IF(Production!D108=0,"", Production!D108),IF(SubjectList!G108="Economics",IF(Economics!D108=0,"", Economics!D108))))</f>
        <v>15</v>
      </c>
      <c r="T108" s="113">
        <f>IF(SubjectList!H108="Finance",IF(Finance!B108=0,"", Finance!B108),IF(SubjectList!H108="Production",IF(Production!B108=0,"", Production!B108),IF(SubjectList!H108="Economics",IF(Economics!B108=0,"", Economics!B108))))</f>
        <v>10</v>
      </c>
      <c r="U108" s="113">
        <f>IF(SubjectList!H108="Finance",IF(Finance!C108=0,"", Finance!C108),IF(SubjectList!H108="Production",IF(Production!C108=0,"", Production!C108),IF(SubjectList!H108="Economics",IF(Economics!C108=0,"", Economics!C108))))</f>
        <v>3</v>
      </c>
      <c r="V108" s="114">
        <f>IF(SubjectList!H108="Finance",IF(Finance!D108=0,"", Finance!D108),IF(SubjectList!H108="Production",IF(Production!D108=0,"", Production!D108),IF(SubjectList!H108="Economics",IF(Economics!D108=0,"", Economics!D108))))</f>
        <v>13</v>
      </c>
      <c r="W108" s="115" t="str">
        <f>IF(SubjectList!G108="Finance","Finance",IF(SubjectList!G108="Production","Production",IF(SubjectList!G108="Economics","Not Given")))</f>
        <v>Finance</v>
      </c>
      <c r="X108" s="115" t="str">
        <f>IF(SubjectList!H108="Finance","Finance",IF(SubjectList!H108="Production","Production",IF(SubjectList!H108="Economics","Economics","Not Given")))</f>
        <v>Production</v>
      </c>
      <c r="Y108" s="113" t="str">
        <f>Bangla!F108</f>
        <v>F</v>
      </c>
      <c r="Z108" s="113" t="str">
        <f>English!E108</f>
        <v>F</v>
      </c>
      <c r="AA108" s="113" t="str">
        <f>ICT!G108</f>
        <v>F</v>
      </c>
      <c r="AB108" s="113" t="str">
        <f>Accounting!F108</f>
        <v>F</v>
      </c>
      <c r="AC108" s="113" t="str">
        <f>'Business Organization'!F108</f>
        <v>F</v>
      </c>
      <c r="AD108" s="113" t="str">
        <f>Production!F108</f>
        <v>F</v>
      </c>
      <c r="AE108" s="113" t="str">
        <f>Finance!F108</f>
        <v>F</v>
      </c>
      <c r="AF108" s="122">
        <f>Bangla!G108</f>
        <v>0</v>
      </c>
      <c r="AG108" s="122">
        <f>English!F108</f>
        <v>0</v>
      </c>
      <c r="AH108" s="120">
        <f>ICT!H108</f>
        <v>0</v>
      </c>
      <c r="AI108" s="120">
        <f>Accounting!G108</f>
        <v>0</v>
      </c>
      <c r="AJ108" s="120">
        <f>'Business Organization'!G108</f>
        <v>0</v>
      </c>
      <c r="AK108" s="120">
        <f>IF(SubjectList!G108="Finance",Finance!G108,IF(SubjectList!G108="Production",Production!G108,IF(SubjectList!G108="Economics",Economics!G108)))</f>
        <v>0</v>
      </c>
      <c r="AL108" s="120">
        <f>Finance!G108</f>
        <v>0</v>
      </c>
      <c r="AM108" s="120">
        <f>Optional!H108</f>
        <v>0</v>
      </c>
      <c r="AN108" s="120">
        <f>Optional!I108</f>
        <v>0</v>
      </c>
      <c r="AO108" s="120" t="str">
        <f t="shared" si="42"/>
        <v/>
      </c>
      <c r="AP108" s="120">
        <f t="shared" si="43"/>
        <v>0</v>
      </c>
      <c r="AQ108" s="116" t="str">
        <f t="shared" si="44"/>
        <v/>
      </c>
      <c r="AR108" s="116" t="str">
        <f t="shared" si="45"/>
        <v/>
      </c>
      <c r="AS108" s="117">
        <f t="shared" si="46"/>
        <v>139</v>
      </c>
      <c r="AT108" s="118">
        <f t="shared" si="47"/>
        <v>0</v>
      </c>
      <c r="AU108" s="118">
        <f t="shared" si="48"/>
        <v>0</v>
      </c>
      <c r="AV108" s="118">
        <f t="shared" si="49"/>
        <v>0</v>
      </c>
      <c r="AW108" s="118">
        <f t="shared" si="50"/>
        <v>0</v>
      </c>
      <c r="AX108" s="118">
        <f t="shared" si="51"/>
        <v>0</v>
      </c>
      <c r="AY108" s="118">
        <f t="shared" si="52"/>
        <v>0</v>
      </c>
      <c r="AZ108" s="111">
        <f t="shared" si="53"/>
        <v>0</v>
      </c>
      <c r="BA108" s="111" t="str">
        <f t="shared" si="54"/>
        <v>F6</v>
      </c>
      <c r="BB108" s="117" t="str">
        <f>IF(AR108="","",RANK(AR108,AR$2:AR145,0))</f>
        <v/>
      </c>
      <c r="BC108" s="111" t="str">
        <f t="shared" si="55"/>
        <v/>
      </c>
    </row>
    <row r="109" spans="1:55" x14ac:dyDescent="0.35">
      <c r="A109" s="113">
        <f>'Student Basic Info'!A109</f>
        <v>608</v>
      </c>
      <c r="B109" s="113" t="str">
        <f>'Student Basic Info'!C109</f>
        <v xml:space="preserve">Zahidul Islam </v>
      </c>
      <c r="C109" s="121" t="str">
        <f>IF(Bangla!B109="","",Bangla!B109)</f>
        <v/>
      </c>
      <c r="D109" s="121">
        <f>IF(Bangla!C109="","",Bangla!C109)</f>
        <v>40</v>
      </c>
      <c r="E109" s="112">
        <f>IF(Bangla!D109="","",Bangla!D109)</f>
        <v>40</v>
      </c>
      <c r="F109" s="112">
        <f>IF(English!C109="","",English!C109)</f>
        <v>33</v>
      </c>
      <c r="G109" s="113">
        <f>IF(ICT!B109="","",ICT!B109)</f>
        <v>12</v>
      </c>
      <c r="H109" s="113">
        <f>IF(ICT!C109="","",ICT!C109)</f>
        <v>12</v>
      </c>
      <c r="I109" s="113">
        <f>IF(ICT!D109="","",ICT!D109)</f>
        <v>8</v>
      </c>
      <c r="J109" s="114">
        <f>IF(ICT!E109="","",ICT!E109)</f>
        <v>32</v>
      </c>
      <c r="K109" s="113">
        <f>IF(Accounting!B109="","",Accounting!B109)</f>
        <v>10</v>
      </c>
      <c r="L109" s="113">
        <f>IF(Accounting!C109="","",Accounting!C109)</f>
        <v>6</v>
      </c>
      <c r="M109" s="114">
        <f>IF(Accounting!D109="","",Accounting!D109)</f>
        <v>16</v>
      </c>
      <c r="N109" s="113">
        <f>IF('Business Organization'!B109="","",'Business Organization'!B109)</f>
        <v>18</v>
      </c>
      <c r="O109" s="113">
        <f>IF('Business Organization'!C109="","",'Business Organization'!C109)</f>
        <v>19</v>
      </c>
      <c r="P109" s="114">
        <f>IF('Business Organization'!D109="","",'Business Organization'!D109)</f>
        <v>37</v>
      </c>
      <c r="Q109" s="113">
        <f>IF(SubjectList!G109="Finance",IF(Finance!B109=0,"", Finance!B109),IF(SubjectList!G109="Production",IF(Production!B109=0,"", Production!B109),IF(SubjectList!G109="Economics",IF(Economics!B109=0,"", Economics!B109))))</f>
        <v>19</v>
      </c>
      <c r="R109" s="113">
        <f>IF(SubjectList!G109="Finance",IF(Finance!C109=0,"", Finance!C109),IF(SubjectList!G109="Production",IF(Production!C109=0,"", Production!C109),IF(SubjectList!G109="Economics",IF(Economics!C109=0,"", Economics!C109))))</f>
        <v>32</v>
      </c>
      <c r="S109" s="114">
        <f>IF(SubjectList!G109="Finance",IF(Finance!D109=0,"", Finance!D109),IF(SubjectList!G109="Production",IF(Production!D109=0,"", Production!D109),IF(SubjectList!G109="Economics",IF(Economics!D109=0,"", Economics!D109))))</f>
        <v>51</v>
      </c>
      <c r="T109" s="113">
        <f>IF(SubjectList!H109="Finance",IF(Finance!B109=0,"", Finance!B109),IF(SubjectList!H109="Production",IF(Production!B109=0,"", Production!B109),IF(SubjectList!H109="Economics",IF(Economics!B109=0,"", Economics!B109))))</f>
        <v>10</v>
      </c>
      <c r="U109" s="113">
        <f>IF(SubjectList!H109="Finance",IF(Finance!C109=0,"", Finance!C109),IF(SubjectList!H109="Production",IF(Production!C109=0,"", Production!C109),IF(SubjectList!H109="Economics",IF(Economics!C109=0,"", Economics!C109))))</f>
        <v>2</v>
      </c>
      <c r="V109" s="114">
        <f>IF(SubjectList!H109="Finance",IF(Finance!D109=0,"", Finance!D109),IF(SubjectList!H109="Production",IF(Production!D109=0,"", Production!D109),IF(SubjectList!H109="Economics",IF(Economics!D109=0,"", Economics!D109))))</f>
        <v>12</v>
      </c>
      <c r="W109" s="115" t="str">
        <f>IF(SubjectList!G109="Finance","Finance",IF(SubjectList!G109="Production","Production",IF(SubjectList!G109="Economics","Not Given")))</f>
        <v>Production</v>
      </c>
      <c r="X109" s="115" t="str">
        <f>IF(SubjectList!H109="Finance","Finance",IF(SubjectList!H109="Production","Production",IF(SubjectList!H109="Economics","Economics","Not Given")))</f>
        <v>Finance</v>
      </c>
      <c r="Y109" s="113" t="str">
        <f>Bangla!F109</f>
        <v>C</v>
      </c>
      <c r="Z109" s="113" t="str">
        <f>English!E109</f>
        <v>D</v>
      </c>
      <c r="AA109" s="113" t="str">
        <f>ICT!G109</f>
        <v>F</v>
      </c>
      <c r="AB109" s="113" t="str">
        <f>Accounting!F109</f>
        <v>F</v>
      </c>
      <c r="AC109" s="113" t="str">
        <f>'Business Organization'!F109</f>
        <v>F</v>
      </c>
      <c r="AD109" s="113" t="str">
        <f>Production!F109</f>
        <v>B</v>
      </c>
      <c r="AE109" s="113" t="str">
        <f>Finance!F109</f>
        <v>F</v>
      </c>
      <c r="AF109" s="122">
        <f>Bangla!G109</f>
        <v>2</v>
      </c>
      <c r="AG109" s="122">
        <f>English!F109</f>
        <v>1</v>
      </c>
      <c r="AH109" s="120">
        <f>ICT!H109</f>
        <v>0</v>
      </c>
      <c r="AI109" s="120">
        <f>Accounting!G109</f>
        <v>0</v>
      </c>
      <c r="AJ109" s="120">
        <f>'Business Organization'!G109</f>
        <v>0</v>
      </c>
      <c r="AK109" s="120">
        <f>IF(SubjectList!G109="Finance",Finance!G109,IF(SubjectList!G109="Production",Production!G109,IF(SubjectList!G109="Economics",Economics!G109)))</f>
        <v>3</v>
      </c>
      <c r="AL109" s="120">
        <f>Finance!G109</f>
        <v>0</v>
      </c>
      <c r="AM109" s="120">
        <f>Optional!H109</f>
        <v>0</v>
      </c>
      <c r="AN109" s="120">
        <f>Optional!I109</f>
        <v>0</v>
      </c>
      <c r="AO109" s="120">
        <f t="shared" si="42"/>
        <v>6</v>
      </c>
      <c r="AP109" s="120">
        <f t="shared" si="43"/>
        <v>6</v>
      </c>
      <c r="AQ109" s="116" t="str">
        <f t="shared" si="44"/>
        <v/>
      </c>
      <c r="AR109" s="116" t="str">
        <f t="shared" si="45"/>
        <v/>
      </c>
      <c r="AS109" s="117">
        <f t="shared" si="46"/>
        <v>221</v>
      </c>
      <c r="AT109" s="118">
        <f t="shared" si="47"/>
        <v>1</v>
      </c>
      <c r="AU109" s="118">
        <f t="shared" si="48"/>
        <v>1</v>
      </c>
      <c r="AV109" s="118">
        <f t="shared" si="49"/>
        <v>0</v>
      </c>
      <c r="AW109" s="118">
        <f t="shared" si="50"/>
        <v>0</v>
      </c>
      <c r="AX109" s="118">
        <f t="shared" si="51"/>
        <v>0</v>
      </c>
      <c r="AY109" s="118">
        <f t="shared" si="52"/>
        <v>1</v>
      </c>
      <c r="AZ109" s="111">
        <f t="shared" si="53"/>
        <v>3</v>
      </c>
      <c r="BA109" s="111" t="str">
        <f t="shared" si="54"/>
        <v>F3</v>
      </c>
      <c r="BB109" s="117" t="str">
        <f>IF(AR109="","",RANK(AR109,AR$2:AR145,0))</f>
        <v/>
      </c>
      <c r="BC109" s="111" t="str">
        <f t="shared" si="55"/>
        <v/>
      </c>
    </row>
    <row r="110" spans="1:55" x14ac:dyDescent="0.35">
      <c r="A110" s="113">
        <f>'Student Basic Info'!A110</f>
        <v>609</v>
      </c>
      <c r="B110" s="113" t="str">
        <f>'Student Basic Info'!C110</f>
        <v>Jorina Aktar</v>
      </c>
      <c r="C110" s="121" t="str">
        <f>IF(Bangla!B110="","",Bangla!B110)</f>
        <v/>
      </c>
      <c r="D110" s="121">
        <f>IF(Bangla!C110="","",Bangla!C110)</f>
        <v>33</v>
      </c>
      <c r="E110" s="112">
        <f>IF(Bangla!D110="","",Bangla!D110)</f>
        <v>33</v>
      </c>
      <c r="F110" s="112">
        <f>IF(English!C110="","",English!C110)</f>
        <v>13</v>
      </c>
      <c r="G110" s="113">
        <f>IF(ICT!B110="","",ICT!B110)</f>
        <v>8</v>
      </c>
      <c r="H110" s="113">
        <f>IF(ICT!C110="","",ICT!C110)</f>
        <v>6</v>
      </c>
      <c r="I110" s="113">
        <f>IF(ICT!D110="","",ICT!D110)</f>
        <v>18</v>
      </c>
      <c r="J110" s="114">
        <f>IF(ICT!E110="","",ICT!E110)</f>
        <v>32</v>
      </c>
      <c r="K110" s="113">
        <f>IF(Accounting!B110="","",Accounting!B110)</f>
        <v>5</v>
      </c>
      <c r="L110" s="113">
        <f>IF(Accounting!C110="","",Accounting!C110)</f>
        <v>25</v>
      </c>
      <c r="M110" s="114">
        <f>IF(Accounting!D110="","",Accounting!D110)</f>
        <v>30</v>
      </c>
      <c r="N110" s="113">
        <f>IF('Business Organization'!B110="","",'Business Organization'!B110)</f>
        <v>10</v>
      </c>
      <c r="O110" s="113">
        <f>IF('Business Organization'!C110="","",'Business Organization'!C110)</f>
        <v>16</v>
      </c>
      <c r="P110" s="114">
        <f>IF('Business Organization'!D110="","",'Business Organization'!D110)</f>
        <v>26</v>
      </c>
      <c r="Q110" s="113">
        <f>IF(SubjectList!G110="Finance",IF(Finance!B110=0,"", Finance!B110),IF(SubjectList!G110="Production",IF(Production!B110=0,"", Production!B110),IF(SubjectList!G110="Economics",IF(Economics!B110=0,"", Economics!B110))))</f>
        <v>11</v>
      </c>
      <c r="R110" s="113">
        <f>IF(SubjectList!G110="Finance",IF(Finance!C110=0,"", Finance!C110),IF(SubjectList!G110="Production",IF(Production!C110=0,"", Production!C110),IF(SubjectList!G110="Economics",IF(Economics!C110=0,"", Economics!C110))))</f>
        <v>23</v>
      </c>
      <c r="S110" s="114">
        <f>IF(SubjectList!G110="Finance",IF(Finance!D110=0,"", Finance!D110),IF(SubjectList!G110="Production",IF(Production!D110=0,"", Production!D110),IF(SubjectList!G110="Economics",IF(Economics!D110=0,"", Economics!D110))))</f>
        <v>34</v>
      </c>
      <c r="T110" s="113">
        <f>IF(SubjectList!H110="Finance",IF(Finance!B110=0,"", Finance!B110),IF(SubjectList!H110="Production",IF(Production!B110=0,"", Production!B110),IF(SubjectList!H110="Economics",IF(Economics!B110=0,"", Economics!B110))))</f>
        <v>6</v>
      </c>
      <c r="U110" s="113">
        <f>IF(SubjectList!H110="Finance",IF(Finance!C110=0,"", Finance!C110),IF(SubjectList!H110="Production",IF(Production!C110=0,"", Production!C110),IF(SubjectList!H110="Economics",IF(Economics!C110=0,"", Economics!C110))))</f>
        <v>17</v>
      </c>
      <c r="V110" s="114">
        <f>IF(SubjectList!H110="Finance",IF(Finance!D110=0,"", Finance!D110),IF(SubjectList!H110="Production",IF(Production!D110=0,"", Production!D110),IF(SubjectList!H110="Economics",IF(Economics!D110=0,"", Economics!D110))))</f>
        <v>23</v>
      </c>
      <c r="W110" s="115" t="str">
        <f>IF(SubjectList!G110="Finance","Finance",IF(SubjectList!G110="Production","Production",IF(SubjectList!G110="Economics","Not Given")))</f>
        <v>Production</v>
      </c>
      <c r="X110" s="115" t="str">
        <f>IF(SubjectList!H110="Finance","Finance",IF(SubjectList!H110="Production","Production",IF(SubjectList!H110="Economics","Economics","Not Given")))</f>
        <v>Finance</v>
      </c>
      <c r="Y110" s="113" t="str">
        <f>Bangla!F110</f>
        <v>D</v>
      </c>
      <c r="Z110" s="113" t="str">
        <f>English!E110</f>
        <v>F</v>
      </c>
      <c r="AA110" s="113" t="str">
        <f>ICT!G110</f>
        <v>F</v>
      </c>
      <c r="AB110" s="113" t="str">
        <f>Accounting!F110</f>
        <v>F</v>
      </c>
      <c r="AC110" s="113" t="str">
        <f>'Business Organization'!F110</f>
        <v>F</v>
      </c>
      <c r="AD110" s="113" t="str">
        <f>Production!F110</f>
        <v>D</v>
      </c>
      <c r="AE110" s="113" t="str">
        <f>Finance!F110</f>
        <v>F</v>
      </c>
      <c r="AF110" s="122">
        <f>Bangla!G110</f>
        <v>1</v>
      </c>
      <c r="AG110" s="122">
        <f>English!F110</f>
        <v>0</v>
      </c>
      <c r="AH110" s="120">
        <f>ICT!H110</f>
        <v>0</v>
      </c>
      <c r="AI110" s="120">
        <f>Accounting!G110</f>
        <v>0</v>
      </c>
      <c r="AJ110" s="120">
        <f>'Business Organization'!G110</f>
        <v>0</v>
      </c>
      <c r="AK110" s="120">
        <f>IF(SubjectList!G110="Finance",Finance!G110,IF(SubjectList!G110="Production",Production!G110,IF(SubjectList!G110="Economics",Economics!G110)))</f>
        <v>1</v>
      </c>
      <c r="AL110" s="120">
        <f>Finance!G110</f>
        <v>0</v>
      </c>
      <c r="AM110" s="120">
        <f>Optional!H110</f>
        <v>0</v>
      </c>
      <c r="AN110" s="120">
        <f>Optional!I110</f>
        <v>0</v>
      </c>
      <c r="AO110" s="120">
        <f t="shared" si="42"/>
        <v>2</v>
      </c>
      <c r="AP110" s="120">
        <f t="shared" si="43"/>
        <v>2</v>
      </c>
      <c r="AQ110" s="116" t="str">
        <f t="shared" si="44"/>
        <v/>
      </c>
      <c r="AR110" s="116" t="str">
        <f t="shared" si="45"/>
        <v/>
      </c>
      <c r="AS110" s="117">
        <f t="shared" si="46"/>
        <v>191</v>
      </c>
      <c r="AT110" s="118">
        <f t="shared" si="47"/>
        <v>1</v>
      </c>
      <c r="AU110" s="118">
        <f t="shared" si="48"/>
        <v>0</v>
      </c>
      <c r="AV110" s="118">
        <f t="shared" si="49"/>
        <v>0</v>
      </c>
      <c r="AW110" s="118">
        <f t="shared" si="50"/>
        <v>0</v>
      </c>
      <c r="AX110" s="118">
        <f t="shared" si="51"/>
        <v>0</v>
      </c>
      <c r="AY110" s="118">
        <f t="shared" si="52"/>
        <v>1</v>
      </c>
      <c r="AZ110" s="111">
        <f t="shared" si="53"/>
        <v>2</v>
      </c>
      <c r="BA110" s="111" t="str">
        <f t="shared" si="54"/>
        <v>F4</v>
      </c>
      <c r="BB110" s="117" t="str">
        <f>IF(AR110="","",RANK(AR110,AR$2:AR145,0))</f>
        <v/>
      </c>
      <c r="BC110" s="111" t="str">
        <f t="shared" si="55"/>
        <v/>
      </c>
    </row>
    <row r="111" spans="1:55" x14ac:dyDescent="0.35">
      <c r="A111" s="113">
        <f>'Student Basic Info'!A111</f>
        <v>610</v>
      </c>
      <c r="B111" s="113" t="str">
        <f>'Student Basic Info'!C111</f>
        <v>Youhidul Islam</v>
      </c>
      <c r="C111" s="121" t="str">
        <f>IF(Bangla!B111="","",Bangla!B111)</f>
        <v/>
      </c>
      <c r="D111" s="121">
        <f>IF(Bangla!C111="","",Bangla!C111)</f>
        <v>33</v>
      </c>
      <c r="E111" s="112">
        <f>IF(Bangla!D111="","",Bangla!D111)</f>
        <v>33</v>
      </c>
      <c r="F111" s="112">
        <f>IF(English!C111="","",English!C111)</f>
        <v>19</v>
      </c>
      <c r="G111" s="113">
        <f>IF(ICT!B111="","",ICT!B111)</f>
        <v>6</v>
      </c>
      <c r="H111" s="113">
        <f>IF(ICT!C111="","",ICT!C111)</f>
        <v>8</v>
      </c>
      <c r="I111" s="113">
        <f>IF(ICT!D111="","",ICT!D111)</f>
        <v>8</v>
      </c>
      <c r="J111" s="114">
        <f>IF(ICT!E111="","",ICT!E111)</f>
        <v>22</v>
      </c>
      <c r="K111" s="113">
        <f>IF(Accounting!B111="","",Accounting!B111)</f>
        <v>8</v>
      </c>
      <c r="L111" s="113">
        <f>IF(Accounting!C111="","",Accounting!C111)</f>
        <v>2</v>
      </c>
      <c r="M111" s="114">
        <f>IF(Accounting!D111="","",Accounting!D111)</f>
        <v>10</v>
      </c>
      <c r="N111" s="113" t="str">
        <f>IF('Business Organization'!B111="","",'Business Organization'!B111)</f>
        <v/>
      </c>
      <c r="O111" s="113" t="str">
        <f>IF('Business Organization'!C111="","",'Business Organization'!C111)</f>
        <v/>
      </c>
      <c r="P111" s="114" t="str">
        <f>IF('Business Organization'!D111="","",'Business Organization'!D111)</f>
        <v/>
      </c>
      <c r="Q111" s="113" t="str">
        <f>IF(SubjectList!G111="Finance",IF(Finance!B111=0,"", Finance!B111),IF(SubjectList!G111="Production",IF(Production!B111=0,"", Production!B111),IF(SubjectList!G111="Economics",IF(Economics!B111=0,"", Economics!B111))))</f>
        <v/>
      </c>
      <c r="R111" s="113" t="str">
        <f>IF(SubjectList!G111="Finance",IF(Finance!C111=0,"", Finance!C111),IF(SubjectList!G111="Production",IF(Production!C111=0,"", Production!C111),IF(SubjectList!G111="Economics",IF(Economics!C111=0,"", Economics!C111))))</f>
        <v/>
      </c>
      <c r="S111" s="114" t="str">
        <f>IF(SubjectList!G111="Finance",IF(Finance!D111=0,"", Finance!D111),IF(SubjectList!G111="Production",IF(Production!D111=0,"", Production!D111),IF(SubjectList!G111="Economics",IF(Economics!D111=0,"", Economics!D111))))</f>
        <v/>
      </c>
      <c r="T111" s="113" t="str">
        <f>IF(SubjectList!H111="Finance",IF(Finance!B111=0,"", Finance!B111),IF(SubjectList!H111="Production",IF(Production!B111=0,"", Production!B111),IF(SubjectList!H111="Economics",IF(Economics!B111=0,"", Economics!B111))))</f>
        <v/>
      </c>
      <c r="U111" s="113" t="str">
        <f>IF(SubjectList!H111="Finance",IF(Finance!C111=0,"", Finance!C111),IF(SubjectList!H111="Production",IF(Production!C111=0,"", Production!C111),IF(SubjectList!H111="Economics",IF(Economics!C111=0,"", Economics!C111))))</f>
        <v/>
      </c>
      <c r="V111" s="114" t="str">
        <f>IF(SubjectList!H111="Finance",IF(Finance!D111=0,"", Finance!D111),IF(SubjectList!H111="Production",IF(Production!D111=0,"", Production!D111),IF(SubjectList!H111="Economics",IF(Economics!D111=0,"", Economics!D111))))</f>
        <v/>
      </c>
      <c r="W111" s="115" t="str">
        <f>IF(SubjectList!G111="Finance","Finance",IF(SubjectList!G111="Production","Production",IF(SubjectList!G111="Economics","Not Given")))</f>
        <v>Finance</v>
      </c>
      <c r="X111" s="115" t="str">
        <f>IF(SubjectList!H111="Finance","Finance",IF(SubjectList!H111="Production","Production",IF(SubjectList!H111="Economics","Economics","Not Given")))</f>
        <v>Economics</v>
      </c>
      <c r="Y111" s="113" t="str">
        <f>Bangla!F111</f>
        <v>D</v>
      </c>
      <c r="Z111" s="113" t="str">
        <f>English!E111</f>
        <v>F</v>
      </c>
      <c r="AA111" s="113" t="str">
        <f>ICT!G111</f>
        <v>F</v>
      </c>
      <c r="AB111" s="113" t="str">
        <f>Accounting!F111</f>
        <v>F</v>
      </c>
      <c r="AC111" s="113" t="str">
        <f>'Business Organization'!F111</f>
        <v/>
      </c>
      <c r="AD111" s="113" t="str">
        <f>Production!F111</f>
        <v/>
      </c>
      <c r="AE111" s="113" t="str">
        <f>Finance!F111</f>
        <v/>
      </c>
      <c r="AF111" s="122">
        <f>Bangla!G111</f>
        <v>1</v>
      </c>
      <c r="AG111" s="122">
        <f>English!F111</f>
        <v>0</v>
      </c>
      <c r="AH111" s="120">
        <f>ICT!H111</f>
        <v>0</v>
      </c>
      <c r="AI111" s="120">
        <f>Accounting!G111</f>
        <v>0</v>
      </c>
      <c r="AJ111" s="120" t="str">
        <f>'Business Organization'!G111</f>
        <v/>
      </c>
      <c r="AK111" s="120" t="str">
        <f>IF(SubjectList!G111="Finance",Finance!G111,IF(SubjectList!G111="Production",Production!G111,IF(SubjectList!G111="Economics",Economics!G111)))</f>
        <v/>
      </c>
      <c r="AL111" s="120" t="str">
        <f>Finance!G111</f>
        <v/>
      </c>
      <c r="AM111" s="120" t="str">
        <f>Optional!H111</f>
        <v/>
      </c>
      <c r="AN111" s="120" t="str">
        <f>Optional!I111</f>
        <v/>
      </c>
      <c r="AO111" s="120">
        <f t="shared" si="42"/>
        <v>1</v>
      </c>
      <c r="AP111" s="120">
        <f t="shared" si="43"/>
        <v>1</v>
      </c>
      <c r="AQ111" s="116" t="str">
        <f t="shared" si="44"/>
        <v/>
      </c>
      <c r="AR111" s="116" t="str">
        <f t="shared" si="45"/>
        <v/>
      </c>
      <c r="AS111" s="117">
        <f t="shared" si="46"/>
        <v>84</v>
      </c>
      <c r="AT111" s="118">
        <f t="shared" si="47"/>
        <v>1</v>
      </c>
      <c r="AU111" s="118">
        <f t="shared" si="48"/>
        <v>0</v>
      </c>
      <c r="AV111" s="118">
        <f t="shared" si="49"/>
        <v>0</v>
      </c>
      <c r="AW111" s="118">
        <f t="shared" si="50"/>
        <v>0</v>
      </c>
      <c r="AX111" s="118">
        <f t="shared" si="51"/>
        <v>0</v>
      </c>
      <c r="AY111" s="118">
        <f t="shared" si="52"/>
        <v>0</v>
      </c>
      <c r="AZ111" s="111">
        <f t="shared" si="53"/>
        <v>1</v>
      </c>
      <c r="BA111" s="111" t="str">
        <f t="shared" si="54"/>
        <v>F5</v>
      </c>
      <c r="BB111" s="117" t="str">
        <f>IF(AR111="","",RANK(AR111,AR$2:AR145,0))</f>
        <v/>
      </c>
      <c r="BC111" s="111" t="str">
        <f t="shared" si="55"/>
        <v/>
      </c>
    </row>
    <row r="112" spans="1:55" x14ac:dyDescent="0.35">
      <c r="A112" s="113">
        <f>'Student Basic Info'!A112</f>
        <v>611</v>
      </c>
      <c r="B112" s="113" t="str">
        <f>'Student Basic Info'!C112</f>
        <v>Aman Ullah</v>
      </c>
      <c r="C112" s="121" t="str">
        <f>IF(Bangla!B112="","",Bangla!B112)</f>
        <v/>
      </c>
      <c r="D112" s="121">
        <f>IF(Bangla!C112="","",Bangla!C112)</f>
        <v>33</v>
      </c>
      <c r="E112" s="112">
        <f>IF(Bangla!D112="","",Bangla!D112)</f>
        <v>33</v>
      </c>
      <c r="F112" s="112">
        <f>IF(English!C112="","",English!C112)</f>
        <v>28</v>
      </c>
      <c r="G112" s="113">
        <f>IF(ICT!B112="","",ICT!B112)</f>
        <v>6</v>
      </c>
      <c r="H112" s="113">
        <f>IF(ICT!C112="","",ICT!C112)</f>
        <v>4</v>
      </c>
      <c r="I112" s="113">
        <f>IF(ICT!D112="","",ICT!D112)</f>
        <v>20</v>
      </c>
      <c r="J112" s="114">
        <f>IF(ICT!E112="","",ICT!E112)</f>
        <v>30</v>
      </c>
      <c r="K112" s="113">
        <f>IF(Accounting!B112="","",Accounting!B112)</f>
        <v>13</v>
      </c>
      <c r="L112" s="113">
        <f>IF(Accounting!C112="","",Accounting!C112)</f>
        <v>17</v>
      </c>
      <c r="M112" s="114">
        <f>IF(Accounting!D112="","",Accounting!D112)</f>
        <v>30</v>
      </c>
      <c r="N112" s="113">
        <f>IF('Business Organization'!B112="","",'Business Organization'!B112)</f>
        <v>12</v>
      </c>
      <c r="O112" s="113">
        <f>IF('Business Organization'!C112="","",'Business Organization'!C112)</f>
        <v>23</v>
      </c>
      <c r="P112" s="114">
        <f>IF('Business Organization'!D112="","",'Business Organization'!D112)</f>
        <v>35</v>
      </c>
      <c r="Q112" s="113">
        <f>IF(SubjectList!G112="Finance",IF(Finance!B112=0,"", Finance!B112),IF(SubjectList!G112="Production",IF(Production!B112=0,"", Production!B112),IF(SubjectList!G112="Economics",IF(Economics!B112=0,"", Economics!B112))))</f>
        <v>7</v>
      </c>
      <c r="R112" s="113">
        <f>IF(SubjectList!G112="Finance",IF(Finance!C112=0,"", Finance!C112),IF(SubjectList!G112="Production",IF(Production!C112=0,"", Production!C112),IF(SubjectList!G112="Economics",IF(Economics!C112=0,"", Economics!C112))))</f>
        <v>16</v>
      </c>
      <c r="S112" s="114">
        <f>IF(SubjectList!G112="Finance",IF(Finance!D112=0,"", Finance!D112),IF(SubjectList!G112="Production",IF(Production!D112=0,"", Production!D112),IF(SubjectList!G112="Economics",IF(Economics!D112=0,"", Economics!D112))))</f>
        <v>23</v>
      </c>
      <c r="T112" s="113">
        <f>IF(SubjectList!H112="Finance",IF(Finance!B112=0,"", Finance!B112),IF(SubjectList!H112="Production",IF(Production!B112=0,"", Production!B112),IF(SubjectList!H112="Economics",IF(Economics!B112=0,"", Economics!B112))))</f>
        <v>10</v>
      </c>
      <c r="U112" s="113">
        <f>IF(SubjectList!H112="Finance",IF(Finance!C112=0,"", Finance!C112),IF(SubjectList!H112="Production",IF(Production!C112=0,"", Production!C112),IF(SubjectList!H112="Economics",IF(Economics!C112=0,"", Economics!C112))))</f>
        <v>17</v>
      </c>
      <c r="V112" s="114">
        <f>IF(SubjectList!H112="Finance",IF(Finance!D112=0,"", Finance!D112),IF(SubjectList!H112="Production",IF(Production!D112=0,"", Production!D112),IF(SubjectList!H112="Economics",IF(Economics!D112=0,"", Economics!D112))))</f>
        <v>27</v>
      </c>
      <c r="W112" s="115" t="str">
        <f>IF(SubjectList!G112="Finance","Finance",IF(SubjectList!G112="Production","Production",IF(SubjectList!G112="Economics","Not Given")))</f>
        <v>Finance</v>
      </c>
      <c r="X112" s="115" t="str">
        <f>IF(SubjectList!H112="Finance","Finance",IF(SubjectList!H112="Production","Production",IF(SubjectList!H112="Economics","Economics","Not Given")))</f>
        <v>Economics</v>
      </c>
      <c r="Y112" s="113" t="str">
        <f>Bangla!F112</f>
        <v>D</v>
      </c>
      <c r="Z112" s="113" t="str">
        <f>English!E112</f>
        <v>F</v>
      </c>
      <c r="AA112" s="113" t="str">
        <f>ICT!G112</f>
        <v>F</v>
      </c>
      <c r="AB112" s="113" t="str">
        <f>Accounting!F112</f>
        <v>F</v>
      </c>
      <c r="AC112" s="113" t="str">
        <f>'Business Organization'!F112</f>
        <v>D</v>
      </c>
      <c r="AD112" s="113" t="str">
        <f>Production!F112</f>
        <v/>
      </c>
      <c r="AE112" s="113" t="str">
        <f>Finance!F112</f>
        <v>F</v>
      </c>
      <c r="AF112" s="122">
        <f>Bangla!G112</f>
        <v>1</v>
      </c>
      <c r="AG112" s="122">
        <f>English!F112</f>
        <v>0</v>
      </c>
      <c r="AH112" s="120">
        <f>ICT!H112</f>
        <v>0</v>
      </c>
      <c r="AI112" s="120">
        <f>Accounting!G112</f>
        <v>0</v>
      </c>
      <c r="AJ112" s="120">
        <f>'Business Organization'!G112</f>
        <v>1</v>
      </c>
      <c r="AK112" s="120">
        <f>IF(SubjectList!G112="Finance",Finance!G112,IF(SubjectList!G112="Production",Production!G112,IF(SubjectList!G112="Economics",Economics!G112)))</f>
        <v>0</v>
      </c>
      <c r="AL112" s="120">
        <f>Finance!G112</f>
        <v>0</v>
      </c>
      <c r="AM112" s="120">
        <f>Optional!H112</f>
        <v>0</v>
      </c>
      <c r="AN112" s="120">
        <f>Optional!I112</f>
        <v>0</v>
      </c>
      <c r="AO112" s="120">
        <f t="shared" si="42"/>
        <v>2</v>
      </c>
      <c r="AP112" s="120">
        <f t="shared" si="43"/>
        <v>2</v>
      </c>
      <c r="AQ112" s="116" t="str">
        <f t="shared" si="44"/>
        <v/>
      </c>
      <c r="AR112" s="116" t="str">
        <f t="shared" si="45"/>
        <v/>
      </c>
      <c r="AS112" s="117">
        <f t="shared" si="46"/>
        <v>206</v>
      </c>
      <c r="AT112" s="118">
        <f t="shared" si="47"/>
        <v>1</v>
      </c>
      <c r="AU112" s="118">
        <f t="shared" si="48"/>
        <v>0</v>
      </c>
      <c r="AV112" s="118">
        <f t="shared" si="49"/>
        <v>0</v>
      </c>
      <c r="AW112" s="118">
        <f t="shared" si="50"/>
        <v>0</v>
      </c>
      <c r="AX112" s="118">
        <f t="shared" si="51"/>
        <v>1</v>
      </c>
      <c r="AY112" s="118">
        <f t="shared" si="52"/>
        <v>0</v>
      </c>
      <c r="AZ112" s="111">
        <f t="shared" si="53"/>
        <v>2</v>
      </c>
      <c r="BA112" s="111" t="str">
        <f t="shared" si="54"/>
        <v>F4</v>
      </c>
      <c r="BB112" s="117" t="str">
        <f>IF(AR112="","",RANK(AR112,AR$2:AR145,0))</f>
        <v/>
      </c>
      <c r="BC112" s="111" t="str">
        <f t="shared" si="55"/>
        <v/>
      </c>
    </row>
    <row r="113" spans="1:55" x14ac:dyDescent="0.35">
      <c r="A113" s="113">
        <f>'Student Basic Info'!A113</f>
        <v>612</v>
      </c>
      <c r="B113" s="113" t="str">
        <f>'Student Basic Info'!C113</f>
        <v>Ajharul Islam</v>
      </c>
      <c r="C113" s="121" t="str">
        <f>IF(Bangla!B113="","",Bangla!B113)</f>
        <v/>
      </c>
      <c r="D113" s="121">
        <f>IF(Bangla!C113="","",Bangla!C113)</f>
        <v>33</v>
      </c>
      <c r="E113" s="112">
        <f>IF(Bangla!D113="","",Bangla!D113)</f>
        <v>33</v>
      </c>
      <c r="F113" s="112">
        <f>IF(English!C113="","",English!C113)</f>
        <v>38</v>
      </c>
      <c r="G113" s="113">
        <f>IF(ICT!B113="","",ICT!B113)</f>
        <v>10</v>
      </c>
      <c r="H113" s="113">
        <f>IF(ICT!C113="","",ICT!C113)</f>
        <v>5</v>
      </c>
      <c r="I113" s="113">
        <f>IF(ICT!D113="","",ICT!D113)</f>
        <v>24</v>
      </c>
      <c r="J113" s="114">
        <f>IF(ICT!E113="","",ICT!E113)</f>
        <v>39</v>
      </c>
      <c r="K113" s="113">
        <f>IF(Accounting!B113="","",Accounting!B113)</f>
        <v>11</v>
      </c>
      <c r="L113" s="113">
        <f>IF(Accounting!C113="","",Accounting!C113)</f>
        <v>20</v>
      </c>
      <c r="M113" s="114">
        <f>IF(Accounting!D113="","",Accounting!D113)</f>
        <v>31</v>
      </c>
      <c r="N113" s="113">
        <f>IF('Business Organization'!B113="","",'Business Organization'!B113)</f>
        <v>18</v>
      </c>
      <c r="O113" s="113">
        <f>IF('Business Organization'!C113="","",'Business Organization'!C113)</f>
        <v>25</v>
      </c>
      <c r="P113" s="114">
        <f>IF('Business Organization'!D113="","",'Business Organization'!D113)</f>
        <v>43</v>
      </c>
      <c r="Q113" s="113">
        <f>IF(SubjectList!G113="Finance",IF(Finance!B113=0,"", Finance!B113),IF(SubjectList!G113="Production",IF(Production!B113=0,"", Production!B113),IF(SubjectList!G113="Economics",IF(Economics!B113=0,"", Economics!B113))))</f>
        <v>10</v>
      </c>
      <c r="R113" s="113">
        <f>IF(SubjectList!G113="Finance",IF(Finance!C113=0,"", Finance!C113),IF(SubjectList!G113="Production",IF(Production!C113=0,"", Production!C113),IF(SubjectList!G113="Economics",IF(Economics!C113=0,"", Economics!C113))))</f>
        <v>12</v>
      </c>
      <c r="S113" s="114">
        <f>IF(SubjectList!G113="Finance",IF(Finance!D113=0,"", Finance!D113),IF(SubjectList!G113="Production",IF(Production!D113=0,"", Production!D113),IF(SubjectList!G113="Economics",IF(Economics!D113=0,"", Economics!D113))))</f>
        <v>22</v>
      </c>
      <c r="T113" s="113">
        <f>IF(SubjectList!H113="Finance",IF(Finance!B113=0,"", Finance!B113),IF(SubjectList!H113="Production",IF(Production!B113=0,"", Production!B113),IF(SubjectList!H113="Economics",IF(Economics!B113=0,"", Economics!B113))))</f>
        <v>13</v>
      </c>
      <c r="U113" s="113">
        <f>IF(SubjectList!H113="Finance",IF(Finance!C113=0,"", Finance!C113),IF(SubjectList!H113="Production",IF(Production!C113=0,"", Production!C113),IF(SubjectList!H113="Economics",IF(Economics!C113=0,"", Economics!C113))))</f>
        <v>23</v>
      </c>
      <c r="V113" s="114">
        <f>IF(SubjectList!H113="Finance",IF(Finance!D113=0,"", Finance!D113),IF(SubjectList!H113="Production",IF(Production!D113=0,"", Production!D113),IF(SubjectList!H113="Economics",IF(Economics!D113=0,"", Economics!D113))))</f>
        <v>36</v>
      </c>
      <c r="W113" s="115" t="str">
        <f>IF(SubjectList!G113="Finance","Finance",IF(SubjectList!G113="Production","Production",IF(SubjectList!G113="Economics","Not Given")))</f>
        <v>Finance</v>
      </c>
      <c r="X113" s="115" t="str">
        <f>IF(SubjectList!H113="Finance","Finance",IF(SubjectList!H113="Production","Production",IF(SubjectList!H113="Economics","Economics","Not Given")))</f>
        <v>Economics</v>
      </c>
      <c r="Y113" s="113" t="str">
        <f>Bangla!F113</f>
        <v>D</v>
      </c>
      <c r="Z113" s="113" t="str">
        <f>English!E113</f>
        <v>D</v>
      </c>
      <c r="AA113" s="113" t="str">
        <f>ICT!G113</f>
        <v>F</v>
      </c>
      <c r="AB113" s="113" t="str">
        <f>Accounting!F113</f>
        <v>F</v>
      </c>
      <c r="AC113" s="113" t="str">
        <f>'Business Organization'!F113</f>
        <v>C</v>
      </c>
      <c r="AD113" s="113" t="str">
        <f>Production!F113</f>
        <v/>
      </c>
      <c r="AE113" s="113" t="str">
        <f>Finance!F113</f>
        <v>F</v>
      </c>
      <c r="AF113" s="122">
        <f>Bangla!G113</f>
        <v>1</v>
      </c>
      <c r="AG113" s="122">
        <f>English!F113</f>
        <v>1</v>
      </c>
      <c r="AH113" s="120">
        <f>ICT!H113</f>
        <v>0</v>
      </c>
      <c r="AI113" s="120">
        <f>Accounting!G113</f>
        <v>0</v>
      </c>
      <c r="AJ113" s="120">
        <f>'Business Organization'!G113</f>
        <v>2</v>
      </c>
      <c r="AK113" s="120">
        <f>IF(SubjectList!G113="Finance",Finance!G113,IF(SubjectList!G113="Production",Production!G113,IF(SubjectList!G113="Economics",Economics!G113)))</f>
        <v>0</v>
      </c>
      <c r="AL113" s="120">
        <f>Finance!G113</f>
        <v>0</v>
      </c>
      <c r="AM113" s="120">
        <f>Optional!H113</f>
        <v>1</v>
      </c>
      <c r="AN113" s="120">
        <f>Optional!I113</f>
        <v>0</v>
      </c>
      <c r="AO113" s="120">
        <f t="shared" si="42"/>
        <v>4</v>
      </c>
      <c r="AP113" s="120">
        <f t="shared" si="43"/>
        <v>4</v>
      </c>
      <c r="AQ113" s="116" t="str">
        <f t="shared" si="44"/>
        <v/>
      </c>
      <c r="AR113" s="116" t="str">
        <f t="shared" si="45"/>
        <v/>
      </c>
      <c r="AS113" s="117">
        <f t="shared" si="46"/>
        <v>242</v>
      </c>
      <c r="AT113" s="118">
        <f t="shared" si="47"/>
        <v>1</v>
      </c>
      <c r="AU113" s="118">
        <f t="shared" si="48"/>
        <v>1</v>
      </c>
      <c r="AV113" s="118">
        <f t="shared" si="49"/>
        <v>0</v>
      </c>
      <c r="AW113" s="118">
        <f t="shared" si="50"/>
        <v>0</v>
      </c>
      <c r="AX113" s="118">
        <f t="shared" si="51"/>
        <v>1</v>
      </c>
      <c r="AY113" s="118">
        <f t="shared" si="52"/>
        <v>0</v>
      </c>
      <c r="AZ113" s="111">
        <f t="shared" si="53"/>
        <v>3</v>
      </c>
      <c r="BA113" s="111" t="str">
        <f t="shared" si="54"/>
        <v>F3</v>
      </c>
      <c r="BB113" s="117" t="str">
        <f>IF(AR113="","",RANK(AR113,AR$2:AR145,0))</f>
        <v/>
      </c>
      <c r="BC113" s="111" t="str">
        <f t="shared" si="55"/>
        <v/>
      </c>
    </row>
    <row r="114" spans="1:55" x14ac:dyDescent="0.35">
      <c r="A114" s="113">
        <f>'Student Basic Info'!A114</f>
        <v>613</v>
      </c>
      <c r="B114" s="113" t="str">
        <f>'Student Basic Info'!C114</f>
        <v>Fokkrul Islam</v>
      </c>
      <c r="C114" s="121" t="str">
        <f>IF(Bangla!B114="","",Bangla!B114)</f>
        <v/>
      </c>
      <c r="D114" s="121" t="str">
        <f>IF(Bangla!C114="","",Bangla!C114)</f>
        <v/>
      </c>
      <c r="E114" s="112" t="str">
        <f>IF(Bangla!D114="","",Bangla!D114)</f>
        <v/>
      </c>
      <c r="F114" s="112" t="str">
        <f>IF(English!C114="","",English!C114)</f>
        <v/>
      </c>
      <c r="G114" s="113" t="str">
        <f>IF(ICT!B114="","",ICT!B114)</f>
        <v/>
      </c>
      <c r="H114" s="113" t="str">
        <f>IF(ICT!C114="","",ICT!C114)</f>
        <v/>
      </c>
      <c r="I114" s="113" t="str">
        <f>IF(ICT!D114="","",ICT!D114)</f>
        <v/>
      </c>
      <c r="J114" s="114" t="str">
        <f>IF(ICT!E114="","",ICT!E114)</f>
        <v/>
      </c>
      <c r="K114" s="113" t="str">
        <f>IF(Accounting!B114="","",Accounting!B114)</f>
        <v/>
      </c>
      <c r="L114" s="113" t="str">
        <f>IF(Accounting!C114="","",Accounting!C114)</f>
        <v/>
      </c>
      <c r="M114" s="114" t="str">
        <f>IF(Accounting!D114="","",Accounting!D114)</f>
        <v/>
      </c>
      <c r="N114" s="113" t="str">
        <f>IF('Business Organization'!B114="","",'Business Organization'!B114)</f>
        <v/>
      </c>
      <c r="O114" s="113" t="str">
        <f>IF('Business Organization'!C114="","",'Business Organization'!C114)</f>
        <v/>
      </c>
      <c r="P114" s="114" t="str">
        <f>IF('Business Organization'!D114="","",'Business Organization'!D114)</f>
        <v/>
      </c>
      <c r="Q114" s="113" t="str">
        <f>IF(SubjectList!G114="Finance",IF(Finance!B114=0,"", Finance!B114),IF(SubjectList!G114="Production",IF(Production!B114=0,"", Production!B114),IF(SubjectList!G114="Economics",IF(Economics!B114=0,"", Economics!B114))))</f>
        <v/>
      </c>
      <c r="R114" s="113" t="str">
        <f>IF(SubjectList!G114="Finance",IF(Finance!C114=0,"", Finance!C114),IF(SubjectList!G114="Production",IF(Production!C114=0,"", Production!C114),IF(SubjectList!G114="Economics",IF(Economics!C114=0,"", Economics!C114))))</f>
        <v/>
      </c>
      <c r="S114" s="114" t="str">
        <f>IF(SubjectList!G114="Finance",IF(Finance!D114=0,"", Finance!D114),IF(SubjectList!G114="Production",IF(Production!D114=0,"", Production!D114),IF(SubjectList!G114="Economics",IF(Economics!D114=0,"", Economics!D114))))</f>
        <v/>
      </c>
      <c r="T114" s="113" t="str">
        <f>IF(SubjectList!H114="Finance",IF(Finance!B114=0,"", Finance!B114),IF(SubjectList!H114="Production",IF(Production!B114=0,"", Production!B114),IF(SubjectList!H114="Economics",IF(Economics!B114=0,"", Economics!B114))))</f>
        <v/>
      </c>
      <c r="U114" s="113" t="str">
        <f>IF(SubjectList!H114="Finance",IF(Finance!C114=0,"", Finance!C114),IF(SubjectList!H114="Production",IF(Production!C114=0,"", Production!C114),IF(SubjectList!H114="Economics",IF(Economics!C114=0,"", Economics!C114))))</f>
        <v/>
      </c>
      <c r="V114" s="114" t="str">
        <f>IF(SubjectList!H114="Finance",IF(Finance!D114=0,"", Finance!D114),IF(SubjectList!H114="Production",IF(Production!D114=0,"", Production!D114),IF(SubjectList!H114="Economics",IF(Economics!D114=0,"", Economics!D114))))</f>
        <v/>
      </c>
      <c r="W114" s="115" t="str">
        <f>IF(SubjectList!G114="Finance","Finance",IF(SubjectList!G114="Production","Production",IF(SubjectList!G114="Economics","Not Given")))</f>
        <v>Finance</v>
      </c>
      <c r="X114" s="115" t="str">
        <f>IF(SubjectList!H114="Finance","Finance",IF(SubjectList!H114="Production","Production",IF(SubjectList!H114="Economics","Economics","Not Given")))</f>
        <v>Production</v>
      </c>
      <c r="Y114" s="113" t="str">
        <f>Bangla!F114</f>
        <v/>
      </c>
      <c r="Z114" s="113" t="str">
        <f>English!E114</f>
        <v/>
      </c>
      <c r="AA114" s="113" t="str">
        <f>ICT!G114</f>
        <v/>
      </c>
      <c r="AB114" s="113" t="str">
        <f>Accounting!F114</f>
        <v/>
      </c>
      <c r="AC114" s="113" t="str">
        <f>'Business Organization'!F114</f>
        <v/>
      </c>
      <c r="AD114" s="113" t="str">
        <f>Production!F114</f>
        <v/>
      </c>
      <c r="AE114" s="113" t="str">
        <f>Finance!F114</f>
        <v/>
      </c>
      <c r="AF114" s="122" t="str">
        <f>Bangla!G114</f>
        <v/>
      </c>
      <c r="AG114" s="122" t="str">
        <f>English!F114</f>
        <v/>
      </c>
      <c r="AH114" s="120" t="str">
        <f>ICT!H114</f>
        <v/>
      </c>
      <c r="AI114" s="120" t="str">
        <f>Accounting!G114</f>
        <v/>
      </c>
      <c r="AJ114" s="120" t="str">
        <f>'Business Organization'!G114</f>
        <v/>
      </c>
      <c r="AK114" s="120" t="str">
        <f>IF(SubjectList!G114="Finance",Finance!G114,IF(SubjectList!G114="Production",Production!G114,IF(SubjectList!G114="Economics",Economics!G114)))</f>
        <v/>
      </c>
      <c r="AL114" s="120" t="str">
        <f>Finance!G114</f>
        <v/>
      </c>
      <c r="AM114" s="120" t="str">
        <f>Optional!H114</f>
        <v/>
      </c>
      <c r="AN114" s="120" t="str">
        <f>Optional!I114</f>
        <v/>
      </c>
      <c r="AO114" s="120" t="str">
        <f t="shared" si="42"/>
        <v/>
      </c>
      <c r="AP114" s="120">
        <f t="shared" si="43"/>
        <v>0</v>
      </c>
      <c r="AQ114" s="116" t="str">
        <f t="shared" si="44"/>
        <v/>
      </c>
      <c r="AR114" s="116" t="str">
        <f t="shared" si="45"/>
        <v/>
      </c>
      <c r="AS114" s="117">
        <f t="shared" si="46"/>
        <v>0</v>
      </c>
      <c r="AT114" s="118">
        <f t="shared" si="47"/>
        <v>0</v>
      </c>
      <c r="AU114" s="118">
        <f t="shared" si="48"/>
        <v>0</v>
      </c>
      <c r="AV114" s="118">
        <f t="shared" si="49"/>
        <v>0</v>
      </c>
      <c r="AW114" s="118">
        <f t="shared" si="50"/>
        <v>0</v>
      </c>
      <c r="AX114" s="118">
        <f t="shared" si="51"/>
        <v>0</v>
      </c>
      <c r="AY114" s="118">
        <f t="shared" si="52"/>
        <v>0</v>
      </c>
      <c r="AZ114" s="111">
        <f t="shared" si="53"/>
        <v>0</v>
      </c>
      <c r="BA114" s="111" t="str">
        <f t="shared" si="54"/>
        <v>F6</v>
      </c>
      <c r="BB114" s="117" t="str">
        <f>IF(AR114="","",RANK(AR114,AR$2:AR145,0))</f>
        <v/>
      </c>
      <c r="BC114" s="111" t="str">
        <f t="shared" si="55"/>
        <v/>
      </c>
    </row>
    <row r="115" spans="1:55" x14ac:dyDescent="0.35">
      <c r="A115" s="113">
        <f>'Student Basic Info'!A115</f>
        <v>614</v>
      </c>
      <c r="B115" s="113" t="str">
        <f>'Student Basic Info'!C115</f>
        <v>Moumita Tabassum</v>
      </c>
      <c r="C115" s="121" t="str">
        <f>IF(Bangla!B115="","",Bangla!B115)</f>
        <v/>
      </c>
      <c r="D115" s="121">
        <f>IF(Bangla!C115="","",Bangla!C115)</f>
        <v>63</v>
      </c>
      <c r="E115" s="112">
        <f>IF(Bangla!D115="","",Bangla!D115)</f>
        <v>63</v>
      </c>
      <c r="F115" s="112">
        <f>IF(English!C115="","",English!C115)</f>
        <v>61</v>
      </c>
      <c r="G115" s="113">
        <f>IF(ICT!B115="","",ICT!B115)</f>
        <v>15</v>
      </c>
      <c r="H115" s="113">
        <f>IF(ICT!C115="","",ICT!C115)</f>
        <v>31</v>
      </c>
      <c r="I115" s="113">
        <f>IF(ICT!D115="","",ICT!D115)</f>
        <v>25</v>
      </c>
      <c r="J115" s="114">
        <f>IF(ICT!E115="","",ICT!E115)</f>
        <v>71</v>
      </c>
      <c r="K115" s="113">
        <f>IF(Accounting!B115="","",Accounting!B115)</f>
        <v>15</v>
      </c>
      <c r="L115" s="113">
        <f>IF(Accounting!C115="","",Accounting!C115)</f>
        <v>43</v>
      </c>
      <c r="M115" s="114">
        <f>IF(Accounting!D115="","",Accounting!D115)</f>
        <v>58</v>
      </c>
      <c r="N115" s="113">
        <f>IF('Business Organization'!B115="","",'Business Organization'!B115)</f>
        <v>23</v>
      </c>
      <c r="O115" s="113">
        <f>IF('Business Organization'!C115="","",'Business Organization'!C115)</f>
        <v>24</v>
      </c>
      <c r="P115" s="114">
        <f>IF('Business Organization'!D115="","",'Business Organization'!D115)</f>
        <v>47</v>
      </c>
      <c r="Q115" s="113">
        <f>IF(SubjectList!G115="Finance",IF(Finance!B115=0,"", Finance!B115),IF(SubjectList!G115="Production",IF(Production!B115=0,"", Production!B115),IF(SubjectList!G115="Economics",IF(Economics!B115=0,"", Economics!B115))))</f>
        <v>13</v>
      </c>
      <c r="R115" s="113">
        <f>IF(SubjectList!G115="Finance",IF(Finance!C115=0,"", Finance!C115),IF(SubjectList!G115="Production",IF(Production!C115=0,"", Production!C115),IF(SubjectList!G115="Economics",IF(Economics!C115=0,"", Economics!C115))))</f>
        <v>23</v>
      </c>
      <c r="S115" s="114">
        <f>IF(SubjectList!G115="Finance",IF(Finance!D115=0,"", Finance!D115),IF(SubjectList!G115="Production",IF(Production!D115=0,"", Production!D115),IF(SubjectList!G115="Economics",IF(Economics!D115=0,"", Economics!D115))))</f>
        <v>36</v>
      </c>
      <c r="T115" s="113">
        <f>IF(SubjectList!H115="Finance",IF(Finance!B115=0,"", Finance!B115),IF(SubjectList!H115="Production",IF(Production!B115=0,"", Production!B115),IF(SubjectList!H115="Economics",IF(Economics!B115=0,"", Economics!B115))))</f>
        <v>15</v>
      </c>
      <c r="U115" s="113">
        <f>IF(SubjectList!H115="Finance",IF(Finance!C115=0,"", Finance!C115),IF(SubjectList!H115="Production",IF(Production!C115=0,"", Production!C115),IF(SubjectList!H115="Economics",IF(Economics!C115=0,"", Economics!C115))))</f>
        <v>27</v>
      </c>
      <c r="V115" s="114">
        <f>IF(SubjectList!H115="Finance",IF(Finance!D115=0,"", Finance!D115),IF(SubjectList!H115="Production",IF(Production!D115=0,"", Production!D115),IF(SubjectList!H115="Economics",IF(Economics!D115=0,"", Economics!D115))))</f>
        <v>42</v>
      </c>
      <c r="W115" s="115" t="str">
        <f>IF(SubjectList!G115="Finance","Finance",IF(SubjectList!G115="Production","Production",IF(SubjectList!G115="Economics","Not Given")))</f>
        <v>Finance</v>
      </c>
      <c r="X115" s="115" t="str">
        <f>IF(SubjectList!H115="Finance","Finance",IF(SubjectList!H115="Production","Production",IF(SubjectList!H115="Economics","Economics","Not Given")))</f>
        <v>Production</v>
      </c>
      <c r="Y115" s="113" t="str">
        <f>Bangla!F115</f>
        <v>A-</v>
      </c>
      <c r="Z115" s="113" t="str">
        <f>English!E115</f>
        <v>A-</v>
      </c>
      <c r="AA115" s="113" t="str">
        <f>ICT!G115</f>
        <v>A</v>
      </c>
      <c r="AB115" s="113" t="str">
        <f>Accounting!F115</f>
        <v>B</v>
      </c>
      <c r="AC115" s="113" t="str">
        <f>'Business Organization'!F115</f>
        <v>C</v>
      </c>
      <c r="AD115" s="113" t="str">
        <f>Production!F115</f>
        <v>C</v>
      </c>
      <c r="AE115" s="113" t="str">
        <f>Finance!F115</f>
        <v>D</v>
      </c>
      <c r="AF115" s="122">
        <f>Bangla!G115</f>
        <v>3.5</v>
      </c>
      <c r="AG115" s="122">
        <f>English!F115</f>
        <v>3.5</v>
      </c>
      <c r="AH115" s="120">
        <f>ICT!H115</f>
        <v>4</v>
      </c>
      <c r="AI115" s="120">
        <f>Accounting!G115</f>
        <v>3</v>
      </c>
      <c r="AJ115" s="120">
        <f>'Business Organization'!G115</f>
        <v>2</v>
      </c>
      <c r="AK115" s="120">
        <f>IF(SubjectList!G115="Finance",Finance!G115,IF(SubjectList!G115="Production",Production!G115,IF(SubjectList!G115="Economics",Economics!G115)))</f>
        <v>1</v>
      </c>
      <c r="AL115" s="120">
        <f>Finance!G115</f>
        <v>1</v>
      </c>
      <c r="AM115" s="120">
        <f>Optional!H115</f>
        <v>2</v>
      </c>
      <c r="AN115" s="120">
        <f>Optional!I115</f>
        <v>0</v>
      </c>
      <c r="AO115" s="120">
        <f t="shared" si="42"/>
        <v>17</v>
      </c>
      <c r="AP115" s="120">
        <f t="shared" si="43"/>
        <v>17</v>
      </c>
      <c r="AQ115" s="116">
        <f t="shared" si="44"/>
        <v>2.8333333333333335</v>
      </c>
      <c r="AR115" s="116">
        <f t="shared" si="45"/>
        <v>2.8333333333333335</v>
      </c>
      <c r="AS115" s="117">
        <f t="shared" si="46"/>
        <v>378</v>
      </c>
      <c r="AT115" s="118">
        <f t="shared" si="47"/>
        <v>1</v>
      </c>
      <c r="AU115" s="118">
        <f t="shared" si="48"/>
        <v>1</v>
      </c>
      <c r="AV115" s="118">
        <f t="shared" si="49"/>
        <v>1</v>
      </c>
      <c r="AW115" s="118">
        <f t="shared" si="50"/>
        <v>1</v>
      </c>
      <c r="AX115" s="118">
        <f t="shared" si="51"/>
        <v>1</v>
      </c>
      <c r="AY115" s="118">
        <f t="shared" si="52"/>
        <v>1</v>
      </c>
      <c r="AZ115" s="111">
        <f t="shared" si="53"/>
        <v>6</v>
      </c>
      <c r="BA115" s="111" t="str">
        <f t="shared" si="54"/>
        <v>Pass</v>
      </c>
      <c r="BB115" s="117">
        <f>IF(AR115="","",RANK(AR115,AR$2:AR145,0))</f>
        <v>5</v>
      </c>
      <c r="BC115" s="111" t="str">
        <f t="shared" si="55"/>
        <v>C</v>
      </c>
    </row>
    <row r="116" spans="1:55" x14ac:dyDescent="0.35">
      <c r="A116" s="113">
        <f>'Student Basic Info'!A116</f>
        <v>615</v>
      </c>
      <c r="B116" s="113" t="str">
        <f>'Student Basic Info'!C116</f>
        <v>Tasfia Atrar</v>
      </c>
      <c r="C116" s="121" t="str">
        <f>IF(Bangla!B116="","",Bangla!B116)</f>
        <v/>
      </c>
      <c r="D116" s="121">
        <f>IF(Bangla!C116="","",Bangla!C116)</f>
        <v>33</v>
      </c>
      <c r="E116" s="112">
        <f>IF(Bangla!D116="","",Bangla!D116)</f>
        <v>33</v>
      </c>
      <c r="F116" s="112">
        <f>IF(English!C116="","",English!C116)</f>
        <v>14</v>
      </c>
      <c r="G116" s="113">
        <f>IF(ICT!B116="","",ICT!B116)</f>
        <v>8</v>
      </c>
      <c r="H116" s="113">
        <f>IF(ICT!C116="","",ICT!C116)</f>
        <v>4</v>
      </c>
      <c r="I116" s="113">
        <f>IF(ICT!D116="","",ICT!D116)</f>
        <v>25</v>
      </c>
      <c r="J116" s="114">
        <f>IF(ICT!E116="","",ICT!E116)</f>
        <v>37</v>
      </c>
      <c r="K116" s="113">
        <f>IF(Accounting!B116="","",Accounting!B116)</f>
        <v>6</v>
      </c>
      <c r="L116" s="113">
        <f>IF(Accounting!C116="","",Accounting!C116)</f>
        <v>19</v>
      </c>
      <c r="M116" s="114">
        <f>IF(Accounting!D116="","",Accounting!D116)</f>
        <v>25</v>
      </c>
      <c r="N116" s="113">
        <f>IF('Business Organization'!B116="","",'Business Organization'!B116)</f>
        <v>14</v>
      </c>
      <c r="O116" s="113">
        <f>IF('Business Organization'!C116="","",'Business Organization'!C116)</f>
        <v>17</v>
      </c>
      <c r="P116" s="114">
        <f>IF('Business Organization'!D116="","",'Business Organization'!D116)</f>
        <v>31</v>
      </c>
      <c r="Q116" s="113">
        <f>IF(SubjectList!G116="Finance",IF(Finance!B116=0,"", Finance!B116),IF(SubjectList!G116="Production",IF(Production!B116=0,"", Production!B116),IF(SubjectList!G116="Economics",IF(Economics!B116=0,"", Economics!B116))))</f>
        <v>10</v>
      </c>
      <c r="R116" s="113">
        <f>IF(SubjectList!G116="Finance",IF(Finance!C116=0,"", Finance!C116),IF(SubjectList!G116="Production",IF(Production!C116=0,"", Production!C116),IF(SubjectList!G116="Economics",IF(Economics!C116=0,"", Economics!C116))))</f>
        <v>23</v>
      </c>
      <c r="S116" s="114">
        <f>IF(SubjectList!G116="Finance",IF(Finance!D116=0,"", Finance!D116),IF(SubjectList!G116="Production",IF(Production!D116=0,"", Production!D116),IF(SubjectList!G116="Economics",IF(Economics!D116=0,"", Economics!D116))))</f>
        <v>33</v>
      </c>
      <c r="T116" s="113">
        <f>IF(SubjectList!H116="Finance",IF(Finance!B116=0,"", Finance!B116),IF(SubjectList!H116="Production",IF(Production!B116=0,"", Production!B116),IF(SubjectList!H116="Economics",IF(Economics!B116=0,"", Economics!B116))))</f>
        <v>8</v>
      </c>
      <c r="U116" s="113">
        <f>IF(SubjectList!H116="Finance",IF(Finance!C116=0,"", Finance!C116),IF(SubjectList!H116="Production",IF(Production!C116=0,"", Production!C116),IF(SubjectList!H116="Economics",IF(Economics!C116=0,"", Economics!C116))))</f>
        <v>28</v>
      </c>
      <c r="V116" s="114">
        <f>IF(SubjectList!H116="Finance",IF(Finance!D116=0,"", Finance!D116),IF(SubjectList!H116="Production",IF(Production!D116=0,"", Production!D116),IF(SubjectList!H116="Economics",IF(Economics!D116=0,"", Economics!D116))))</f>
        <v>36</v>
      </c>
      <c r="W116" s="115" t="str">
        <f>IF(SubjectList!G116="Finance","Finance",IF(SubjectList!G116="Production","Production",IF(SubjectList!G116="Economics","Not Given")))</f>
        <v>Finance</v>
      </c>
      <c r="X116" s="115" t="str">
        <f>IF(SubjectList!H116="Finance","Finance",IF(SubjectList!H116="Production","Production",IF(SubjectList!H116="Economics","Economics","Not Given")))</f>
        <v>Production</v>
      </c>
      <c r="Y116" s="113" t="str">
        <f>Bangla!F116</f>
        <v>D</v>
      </c>
      <c r="Z116" s="113" t="str">
        <f>English!E116</f>
        <v>F</v>
      </c>
      <c r="AA116" s="113" t="str">
        <f>ICT!G116</f>
        <v>F</v>
      </c>
      <c r="AB116" s="113" t="str">
        <f>Accounting!F116</f>
        <v>F</v>
      </c>
      <c r="AC116" s="113" t="str">
        <f>'Business Organization'!F116</f>
        <v>F</v>
      </c>
      <c r="AD116" s="113" t="str">
        <f>Production!F116</f>
        <v>F</v>
      </c>
      <c r="AE116" s="113" t="str">
        <f>Finance!F116</f>
        <v>D</v>
      </c>
      <c r="AF116" s="122">
        <f>Bangla!G116</f>
        <v>1</v>
      </c>
      <c r="AG116" s="122">
        <f>English!F116</f>
        <v>0</v>
      </c>
      <c r="AH116" s="120">
        <f>ICT!H116</f>
        <v>0</v>
      </c>
      <c r="AI116" s="120">
        <f>Accounting!G116</f>
        <v>0</v>
      </c>
      <c r="AJ116" s="120">
        <f>'Business Organization'!G116</f>
        <v>0</v>
      </c>
      <c r="AK116" s="120">
        <f>IF(SubjectList!G116="Finance",Finance!G116,IF(SubjectList!G116="Production",Production!G116,IF(SubjectList!G116="Economics",Economics!G116)))</f>
        <v>1</v>
      </c>
      <c r="AL116" s="120">
        <f>Finance!G116</f>
        <v>1</v>
      </c>
      <c r="AM116" s="120">
        <f>Optional!H116</f>
        <v>0</v>
      </c>
      <c r="AN116" s="120">
        <f>Optional!I116</f>
        <v>0</v>
      </c>
      <c r="AO116" s="120">
        <f t="shared" si="42"/>
        <v>2</v>
      </c>
      <c r="AP116" s="120">
        <f t="shared" si="43"/>
        <v>2</v>
      </c>
      <c r="AQ116" s="116" t="str">
        <f t="shared" si="44"/>
        <v/>
      </c>
      <c r="AR116" s="116" t="str">
        <f t="shared" si="45"/>
        <v/>
      </c>
      <c r="AS116" s="117">
        <f t="shared" si="46"/>
        <v>209</v>
      </c>
      <c r="AT116" s="118">
        <f t="shared" si="47"/>
        <v>1</v>
      </c>
      <c r="AU116" s="118">
        <f t="shared" si="48"/>
        <v>0</v>
      </c>
      <c r="AV116" s="118">
        <f t="shared" si="49"/>
        <v>0</v>
      </c>
      <c r="AW116" s="118">
        <f t="shared" si="50"/>
        <v>0</v>
      </c>
      <c r="AX116" s="118">
        <f t="shared" si="51"/>
        <v>0</v>
      </c>
      <c r="AY116" s="118">
        <f t="shared" si="52"/>
        <v>1</v>
      </c>
      <c r="AZ116" s="111">
        <f t="shared" si="53"/>
        <v>2</v>
      </c>
      <c r="BA116" s="111" t="str">
        <f t="shared" si="54"/>
        <v>F4</v>
      </c>
      <c r="BB116" s="117" t="str">
        <f>IF(AR116="","",RANK(AR116,AR$2:AR145,0))</f>
        <v/>
      </c>
      <c r="BC116" s="111" t="str">
        <f t="shared" si="55"/>
        <v/>
      </c>
    </row>
    <row r="117" spans="1:55" x14ac:dyDescent="0.35">
      <c r="A117" s="113">
        <f>'Student Basic Info'!A117</f>
        <v>616</v>
      </c>
      <c r="B117" s="113" t="str">
        <f>'Student Basic Info'!C117</f>
        <v>Farzana Aktar Mili</v>
      </c>
      <c r="C117" s="121" t="str">
        <f>IF(Bangla!B117="","",Bangla!B117)</f>
        <v/>
      </c>
      <c r="D117" s="121" t="str">
        <f>IF(Bangla!C117="","",Bangla!C117)</f>
        <v/>
      </c>
      <c r="E117" s="112" t="str">
        <f>IF(Bangla!D117="","",Bangla!D117)</f>
        <v/>
      </c>
      <c r="F117" s="112" t="str">
        <f>IF(English!C117="","",English!C117)</f>
        <v/>
      </c>
      <c r="G117" s="113" t="str">
        <f>IF(ICT!B117="","",ICT!B117)</f>
        <v/>
      </c>
      <c r="H117" s="113" t="str">
        <f>IF(ICT!C117="","",ICT!C117)</f>
        <v/>
      </c>
      <c r="I117" s="113" t="str">
        <f>IF(ICT!D117="","",ICT!D117)</f>
        <v/>
      </c>
      <c r="J117" s="114" t="str">
        <f>IF(ICT!E117="","",ICT!E117)</f>
        <v/>
      </c>
      <c r="K117" s="113" t="str">
        <f>IF(Accounting!B117="","",Accounting!B117)</f>
        <v/>
      </c>
      <c r="L117" s="113" t="str">
        <f>IF(Accounting!C117="","",Accounting!C117)</f>
        <v/>
      </c>
      <c r="M117" s="114" t="str">
        <f>IF(Accounting!D117="","",Accounting!D117)</f>
        <v/>
      </c>
      <c r="N117" s="113" t="str">
        <f>IF('Business Organization'!B117="","",'Business Organization'!B117)</f>
        <v/>
      </c>
      <c r="O117" s="113" t="str">
        <f>IF('Business Organization'!C117="","",'Business Organization'!C117)</f>
        <v/>
      </c>
      <c r="P117" s="114" t="str">
        <f>IF('Business Organization'!D117="","",'Business Organization'!D117)</f>
        <v/>
      </c>
      <c r="Q117" s="113" t="str">
        <f>IF(SubjectList!G117="Finance",IF(Finance!B117=0,"", Finance!B117),IF(SubjectList!G117="Production",IF(Production!B117=0,"", Production!B117),IF(SubjectList!G117="Economics",IF(Economics!B117=0,"", Economics!B117))))</f>
        <v/>
      </c>
      <c r="R117" s="113" t="str">
        <f>IF(SubjectList!G117="Finance",IF(Finance!C117=0,"", Finance!C117),IF(SubjectList!G117="Production",IF(Production!C117=0,"", Production!C117),IF(SubjectList!G117="Economics",IF(Economics!C117=0,"", Economics!C117))))</f>
        <v/>
      </c>
      <c r="S117" s="114" t="str">
        <f>IF(SubjectList!G117="Finance",IF(Finance!D117=0,"", Finance!D117),IF(SubjectList!G117="Production",IF(Production!D117=0,"", Production!D117),IF(SubjectList!G117="Economics",IF(Economics!D117=0,"", Economics!D117))))</f>
        <v/>
      </c>
      <c r="T117" s="113" t="str">
        <f>IF(SubjectList!H117="Finance",IF(Finance!B117=0,"", Finance!B117),IF(SubjectList!H117="Production",IF(Production!B117=0,"", Production!B117),IF(SubjectList!H117="Economics",IF(Economics!B117=0,"", Economics!B117))))</f>
        <v/>
      </c>
      <c r="U117" s="113" t="str">
        <f>IF(SubjectList!H117="Finance",IF(Finance!C117=0,"", Finance!C117),IF(SubjectList!H117="Production",IF(Production!C117=0,"", Production!C117),IF(SubjectList!H117="Economics",IF(Economics!C117=0,"", Economics!C117))))</f>
        <v/>
      </c>
      <c r="V117" s="114" t="str">
        <f>IF(SubjectList!H117="Finance",IF(Finance!D117=0,"", Finance!D117),IF(SubjectList!H117="Production",IF(Production!D117=0,"", Production!D117),IF(SubjectList!H117="Economics",IF(Economics!D117=0,"", Economics!D117))))</f>
        <v/>
      </c>
      <c r="W117" s="115" t="str">
        <f>IF(SubjectList!G117="Finance","Finance",IF(SubjectList!G117="Production","Production",IF(SubjectList!G117="Economics","Not Given")))</f>
        <v>Finance</v>
      </c>
      <c r="X117" s="115" t="str">
        <f>IF(SubjectList!H117="Finance","Finance",IF(SubjectList!H117="Production","Production",IF(SubjectList!H117="Economics","Economics","Not Given")))</f>
        <v>Production</v>
      </c>
      <c r="Y117" s="113" t="str">
        <f>Bangla!F117</f>
        <v/>
      </c>
      <c r="Z117" s="113" t="str">
        <f>English!E117</f>
        <v/>
      </c>
      <c r="AA117" s="113" t="str">
        <f>ICT!G117</f>
        <v/>
      </c>
      <c r="AB117" s="113" t="str">
        <f>Accounting!F117</f>
        <v/>
      </c>
      <c r="AC117" s="113" t="str">
        <f>'Business Organization'!F117</f>
        <v/>
      </c>
      <c r="AD117" s="113" t="str">
        <f>Production!F117</f>
        <v/>
      </c>
      <c r="AE117" s="113" t="str">
        <f>Finance!F117</f>
        <v/>
      </c>
      <c r="AF117" s="122" t="str">
        <f>Bangla!G117</f>
        <v/>
      </c>
      <c r="AG117" s="122" t="str">
        <f>English!F117</f>
        <v/>
      </c>
      <c r="AH117" s="120" t="str">
        <f>ICT!H117</f>
        <v/>
      </c>
      <c r="AI117" s="120" t="str">
        <f>Accounting!G117</f>
        <v/>
      </c>
      <c r="AJ117" s="120" t="str">
        <f>'Business Organization'!G117</f>
        <v/>
      </c>
      <c r="AK117" s="120" t="str">
        <f>IF(SubjectList!G117="Finance",Finance!G117,IF(SubjectList!G117="Production",Production!G117,IF(SubjectList!G117="Economics",Economics!G117)))</f>
        <v/>
      </c>
      <c r="AL117" s="120" t="str">
        <f>Finance!G117</f>
        <v/>
      </c>
      <c r="AM117" s="120" t="str">
        <f>Optional!H117</f>
        <v/>
      </c>
      <c r="AN117" s="120" t="str">
        <f>Optional!I117</f>
        <v/>
      </c>
      <c r="AO117" s="120" t="str">
        <f t="shared" si="42"/>
        <v/>
      </c>
      <c r="AP117" s="120">
        <f t="shared" si="43"/>
        <v>0</v>
      </c>
      <c r="AQ117" s="116" t="str">
        <f t="shared" si="44"/>
        <v/>
      </c>
      <c r="AR117" s="116" t="str">
        <f t="shared" si="45"/>
        <v/>
      </c>
      <c r="AS117" s="117">
        <f t="shared" si="46"/>
        <v>0</v>
      </c>
      <c r="AT117" s="118">
        <f t="shared" si="47"/>
        <v>0</v>
      </c>
      <c r="AU117" s="118">
        <f t="shared" si="48"/>
        <v>0</v>
      </c>
      <c r="AV117" s="118">
        <f t="shared" si="49"/>
        <v>0</v>
      </c>
      <c r="AW117" s="118">
        <f t="shared" si="50"/>
        <v>0</v>
      </c>
      <c r="AX117" s="118">
        <f t="shared" si="51"/>
        <v>0</v>
      </c>
      <c r="AY117" s="118">
        <f t="shared" si="52"/>
        <v>0</v>
      </c>
      <c r="AZ117" s="111">
        <f t="shared" si="53"/>
        <v>0</v>
      </c>
      <c r="BA117" s="111" t="str">
        <f t="shared" si="54"/>
        <v>F6</v>
      </c>
      <c r="BB117" s="117" t="str">
        <f>IF(AR117="","",RANK(AR117,AR$2:AR145,0))</f>
        <v/>
      </c>
      <c r="BC117" s="111" t="str">
        <f t="shared" si="55"/>
        <v/>
      </c>
    </row>
    <row r="118" spans="1:55" x14ac:dyDescent="0.35">
      <c r="A118" s="113">
        <f>'Student Basic Info'!A118</f>
        <v>617</v>
      </c>
      <c r="B118" s="113" t="str">
        <f>'Student Basic Info'!C118</f>
        <v>Tanvir Hossain</v>
      </c>
      <c r="C118" s="121" t="str">
        <f>IF(Bangla!B118="","",Bangla!B118)</f>
        <v/>
      </c>
      <c r="D118" s="121" t="str">
        <f>IF(Bangla!C118="","",Bangla!C118)</f>
        <v/>
      </c>
      <c r="E118" s="112" t="str">
        <f>IF(Bangla!D118="","",Bangla!D118)</f>
        <v/>
      </c>
      <c r="F118" s="112" t="str">
        <f>IF(English!C118="","",English!C118)</f>
        <v/>
      </c>
      <c r="G118" s="113" t="str">
        <f>IF(ICT!B118="","",ICT!B118)</f>
        <v/>
      </c>
      <c r="H118" s="113" t="str">
        <f>IF(ICT!C118="","",ICT!C118)</f>
        <v/>
      </c>
      <c r="I118" s="113" t="str">
        <f>IF(ICT!D118="","",ICT!D118)</f>
        <v/>
      </c>
      <c r="J118" s="114" t="str">
        <f>IF(ICT!E118="","",ICT!E118)</f>
        <v/>
      </c>
      <c r="K118" s="113" t="str">
        <f>IF(Accounting!B118="","",Accounting!B118)</f>
        <v/>
      </c>
      <c r="L118" s="113" t="str">
        <f>IF(Accounting!C118="","",Accounting!C118)</f>
        <v/>
      </c>
      <c r="M118" s="114" t="str">
        <f>IF(Accounting!D118="","",Accounting!D118)</f>
        <v/>
      </c>
      <c r="N118" s="113" t="str">
        <f>IF('Business Organization'!B118="","",'Business Organization'!B118)</f>
        <v/>
      </c>
      <c r="O118" s="113" t="str">
        <f>IF('Business Organization'!C118="","",'Business Organization'!C118)</f>
        <v/>
      </c>
      <c r="P118" s="114" t="str">
        <f>IF('Business Organization'!D118="","",'Business Organization'!D118)</f>
        <v/>
      </c>
      <c r="Q118" s="113" t="str">
        <f>IF(SubjectList!G118="Finance",IF(Finance!B118=0,"", Finance!B118),IF(SubjectList!G118="Production",IF(Production!B118=0,"", Production!B118),IF(SubjectList!G118="Economics",IF(Economics!B118=0,"", Economics!B118))))</f>
        <v/>
      </c>
      <c r="R118" s="113" t="str">
        <f>IF(SubjectList!G118="Finance",IF(Finance!C118=0,"", Finance!C118),IF(SubjectList!G118="Production",IF(Production!C118=0,"", Production!C118),IF(SubjectList!G118="Economics",IF(Economics!C118=0,"", Economics!C118))))</f>
        <v/>
      </c>
      <c r="S118" s="114" t="str">
        <f>IF(SubjectList!G118="Finance",IF(Finance!D118=0,"", Finance!D118),IF(SubjectList!G118="Production",IF(Production!D118=0,"", Production!D118),IF(SubjectList!G118="Economics",IF(Economics!D118=0,"", Economics!D118))))</f>
        <v/>
      </c>
      <c r="T118" s="113" t="str">
        <f>IF(SubjectList!H118="Finance",IF(Finance!B118=0,"", Finance!B118),IF(SubjectList!H118="Production",IF(Production!B118=0,"", Production!B118),IF(SubjectList!H118="Economics",IF(Economics!B118=0,"", Economics!B118))))</f>
        <v/>
      </c>
      <c r="U118" s="113" t="str">
        <f>IF(SubjectList!H118="Finance",IF(Finance!C118=0,"", Finance!C118),IF(SubjectList!H118="Production",IF(Production!C118=0,"", Production!C118),IF(SubjectList!H118="Economics",IF(Economics!C118=0,"", Economics!C118))))</f>
        <v/>
      </c>
      <c r="V118" s="114" t="str">
        <f>IF(SubjectList!H118="Finance",IF(Finance!D118=0,"", Finance!D118),IF(SubjectList!H118="Production",IF(Production!D118=0,"", Production!D118),IF(SubjectList!H118="Economics",IF(Economics!D118=0,"", Economics!D118))))</f>
        <v/>
      </c>
      <c r="W118" s="115" t="str">
        <f>IF(SubjectList!G118="Finance","Finance",IF(SubjectList!G118="Production","Production",IF(SubjectList!G118="Economics","Not Given")))</f>
        <v>Finance</v>
      </c>
      <c r="X118" s="115" t="str">
        <f>IF(SubjectList!H118="Finance","Finance",IF(SubjectList!H118="Production","Production",IF(SubjectList!H118="Economics","Economics","Not Given")))</f>
        <v>Production</v>
      </c>
      <c r="Y118" s="113" t="str">
        <f>Bangla!F118</f>
        <v/>
      </c>
      <c r="Z118" s="113" t="str">
        <f>English!E118</f>
        <v/>
      </c>
      <c r="AA118" s="113" t="str">
        <f>ICT!G118</f>
        <v/>
      </c>
      <c r="AB118" s="113" t="str">
        <f>Accounting!F118</f>
        <v/>
      </c>
      <c r="AC118" s="113" t="str">
        <f>'Business Organization'!F118</f>
        <v/>
      </c>
      <c r="AD118" s="113" t="str">
        <f>Production!F118</f>
        <v/>
      </c>
      <c r="AE118" s="113" t="str">
        <f>Finance!F118</f>
        <v/>
      </c>
      <c r="AF118" s="122" t="str">
        <f>Bangla!G118</f>
        <v/>
      </c>
      <c r="AG118" s="122" t="str">
        <f>English!F118</f>
        <v/>
      </c>
      <c r="AH118" s="120" t="str">
        <f>ICT!H118</f>
        <v/>
      </c>
      <c r="AI118" s="120" t="str">
        <f>Accounting!G118</f>
        <v/>
      </c>
      <c r="AJ118" s="120" t="str">
        <f>'Business Organization'!G118</f>
        <v/>
      </c>
      <c r="AK118" s="120" t="str">
        <f>IF(SubjectList!G118="Finance",Finance!G118,IF(SubjectList!G118="Production",Production!G118,IF(SubjectList!G118="Economics",Economics!G118)))</f>
        <v/>
      </c>
      <c r="AL118" s="120" t="str">
        <f>Finance!G118</f>
        <v/>
      </c>
      <c r="AM118" s="120" t="str">
        <f>Optional!H118</f>
        <v/>
      </c>
      <c r="AN118" s="120" t="str">
        <f>Optional!I118</f>
        <v/>
      </c>
      <c r="AO118" s="120" t="str">
        <f t="shared" si="42"/>
        <v/>
      </c>
      <c r="AP118" s="120">
        <f t="shared" si="43"/>
        <v>0</v>
      </c>
      <c r="AQ118" s="116" t="str">
        <f t="shared" si="44"/>
        <v/>
      </c>
      <c r="AR118" s="116" t="str">
        <f t="shared" si="45"/>
        <v/>
      </c>
      <c r="AS118" s="117">
        <f t="shared" si="46"/>
        <v>0</v>
      </c>
      <c r="AT118" s="118">
        <f t="shared" si="47"/>
        <v>0</v>
      </c>
      <c r="AU118" s="118">
        <f t="shared" si="48"/>
        <v>0</v>
      </c>
      <c r="AV118" s="118">
        <f t="shared" si="49"/>
        <v>0</v>
      </c>
      <c r="AW118" s="118">
        <f t="shared" si="50"/>
        <v>0</v>
      </c>
      <c r="AX118" s="118">
        <f t="shared" si="51"/>
        <v>0</v>
      </c>
      <c r="AY118" s="118">
        <f t="shared" si="52"/>
        <v>0</v>
      </c>
      <c r="AZ118" s="111">
        <f t="shared" si="53"/>
        <v>0</v>
      </c>
      <c r="BA118" s="111" t="str">
        <f t="shared" si="54"/>
        <v>F6</v>
      </c>
      <c r="BB118" s="117" t="str">
        <f>IF(AR118="","",RANK(AR118,AR$2:AR145,0))</f>
        <v/>
      </c>
      <c r="BC118" s="111" t="str">
        <f t="shared" si="55"/>
        <v/>
      </c>
    </row>
    <row r="119" spans="1:55" x14ac:dyDescent="0.35">
      <c r="A119" s="113">
        <f>'Student Basic Info'!A119</f>
        <v>618</v>
      </c>
      <c r="B119" s="113" t="str">
        <f>'Student Basic Info'!C119</f>
        <v>Mizanur Rahman</v>
      </c>
      <c r="C119" s="121" t="str">
        <f>IF(Bangla!B119="","",Bangla!B119)</f>
        <v/>
      </c>
      <c r="D119" s="121" t="str">
        <f>IF(Bangla!C119="","",Bangla!C119)</f>
        <v/>
      </c>
      <c r="E119" s="112" t="str">
        <f>IF(Bangla!D119="","",Bangla!D119)</f>
        <v/>
      </c>
      <c r="F119" s="112" t="str">
        <f>IF(English!C119="","",English!C119)</f>
        <v/>
      </c>
      <c r="G119" s="113" t="str">
        <f>IF(ICT!B119="","",ICT!B119)</f>
        <v/>
      </c>
      <c r="H119" s="113" t="str">
        <f>IF(ICT!C119="","",ICT!C119)</f>
        <v/>
      </c>
      <c r="I119" s="113" t="str">
        <f>IF(ICT!D119="","",ICT!D119)</f>
        <v/>
      </c>
      <c r="J119" s="114" t="str">
        <f>IF(ICT!E119="","",ICT!E119)</f>
        <v/>
      </c>
      <c r="K119" s="113" t="str">
        <f>IF(Accounting!B119="","",Accounting!B119)</f>
        <v/>
      </c>
      <c r="L119" s="113" t="str">
        <f>IF(Accounting!C119="","",Accounting!C119)</f>
        <v/>
      </c>
      <c r="M119" s="114" t="str">
        <f>IF(Accounting!D119="","",Accounting!D119)</f>
        <v/>
      </c>
      <c r="N119" s="113" t="str">
        <f>IF('Business Organization'!B119="","",'Business Organization'!B119)</f>
        <v/>
      </c>
      <c r="O119" s="113" t="str">
        <f>IF('Business Organization'!C119="","",'Business Organization'!C119)</f>
        <v/>
      </c>
      <c r="P119" s="114" t="str">
        <f>IF('Business Organization'!D119="","",'Business Organization'!D119)</f>
        <v/>
      </c>
      <c r="Q119" s="113" t="str">
        <f>IF(SubjectList!G119="Finance",IF(Finance!B119=0,"", Finance!B119),IF(SubjectList!G119="Production",IF(Production!B119=0,"", Production!B119),IF(SubjectList!G119="Economics",IF(Economics!B119=0,"", Economics!B119))))</f>
        <v/>
      </c>
      <c r="R119" s="113" t="str">
        <f>IF(SubjectList!G119="Finance",IF(Finance!C119=0,"", Finance!C119),IF(SubjectList!G119="Production",IF(Production!C119=0,"", Production!C119),IF(SubjectList!G119="Economics",IF(Economics!C119=0,"", Economics!C119))))</f>
        <v/>
      </c>
      <c r="S119" s="114" t="str">
        <f>IF(SubjectList!G119="Finance",IF(Finance!D119=0,"", Finance!D119),IF(SubjectList!G119="Production",IF(Production!D119=0,"", Production!D119),IF(SubjectList!G119="Economics",IF(Economics!D119=0,"", Economics!D119))))</f>
        <v/>
      </c>
      <c r="T119" s="113" t="str">
        <f>IF(SubjectList!H119="Finance",IF(Finance!B119=0,"", Finance!B119),IF(SubjectList!H119="Production",IF(Production!B119=0,"", Production!B119),IF(SubjectList!H119="Economics",IF(Economics!B119=0,"", Economics!B119))))</f>
        <v/>
      </c>
      <c r="U119" s="113" t="str">
        <f>IF(SubjectList!H119="Finance",IF(Finance!C119=0,"", Finance!C119),IF(SubjectList!H119="Production",IF(Production!C119=0,"", Production!C119),IF(SubjectList!H119="Economics",IF(Economics!C119=0,"", Economics!C119))))</f>
        <v/>
      </c>
      <c r="V119" s="114" t="str">
        <f>IF(SubjectList!H119="Finance",IF(Finance!D119=0,"", Finance!D119),IF(SubjectList!H119="Production",IF(Production!D119=0,"", Production!D119),IF(SubjectList!H119="Economics",IF(Economics!D119=0,"", Economics!D119))))</f>
        <v/>
      </c>
      <c r="W119" s="115" t="str">
        <f>IF(SubjectList!G119="Finance","Finance",IF(SubjectList!G119="Production","Production",IF(SubjectList!G119="Economics","Not Given")))</f>
        <v>Production</v>
      </c>
      <c r="X119" s="115" t="str">
        <f>IF(SubjectList!H119="Finance","Finance",IF(SubjectList!H119="Production","Production",IF(SubjectList!H119="Economics","Economics","Not Given")))</f>
        <v>Economics</v>
      </c>
      <c r="Y119" s="113" t="str">
        <f>Bangla!F119</f>
        <v/>
      </c>
      <c r="Z119" s="113" t="str">
        <f>English!E119</f>
        <v/>
      </c>
      <c r="AA119" s="113" t="str">
        <f>ICT!G119</f>
        <v/>
      </c>
      <c r="AB119" s="113" t="str">
        <f>Accounting!F119</f>
        <v/>
      </c>
      <c r="AC119" s="113" t="str">
        <f>'Business Organization'!F119</f>
        <v/>
      </c>
      <c r="AD119" s="113" t="str">
        <f>Production!F119</f>
        <v/>
      </c>
      <c r="AE119" s="113" t="str">
        <f>Finance!F119</f>
        <v/>
      </c>
      <c r="AF119" s="122" t="str">
        <f>Bangla!G119</f>
        <v/>
      </c>
      <c r="AG119" s="122" t="str">
        <f>English!F119</f>
        <v/>
      </c>
      <c r="AH119" s="120" t="str">
        <f>ICT!H119</f>
        <v/>
      </c>
      <c r="AI119" s="120" t="str">
        <f>Accounting!G119</f>
        <v/>
      </c>
      <c r="AJ119" s="120" t="str">
        <f>'Business Organization'!G119</f>
        <v/>
      </c>
      <c r="AK119" s="120" t="str">
        <f>IF(SubjectList!G119="Finance",Finance!G119,IF(SubjectList!G119="Production",Production!G119,IF(SubjectList!G119="Economics",Economics!G119)))</f>
        <v/>
      </c>
      <c r="AL119" s="120" t="str">
        <f>Finance!G119</f>
        <v/>
      </c>
      <c r="AM119" s="120" t="str">
        <f>Optional!H119</f>
        <v/>
      </c>
      <c r="AN119" s="120" t="str">
        <f>Optional!I119</f>
        <v/>
      </c>
      <c r="AO119" s="120" t="str">
        <f t="shared" si="42"/>
        <v/>
      </c>
      <c r="AP119" s="120">
        <f t="shared" si="43"/>
        <v>0</v>
      </c>
      <c r="AQ119" s="116" t="str">
        <f t="shared" si="44"/>
        <v/>
      </c>
      <c r="AR119" s="116" t="str">
        <f t="shared" si="45"/>
        <v/>
      </c>
      <c r="AS119" s="117">
        <f t="shared" si="46"/>
        <v>0</v>
      </c>
      <c r="AT119" s="118">
        <f t="shared" si="47"/>
        <v>0</v>
      </c>
      <c r="AU119" s="118">
        <f t="shared" si="48"/>
        <v>0</v>
      </c>
      <c r="AV119" s="118">
        <f t="shared" si="49"/>
        <v>0</v>
      </c>
      <c r="AW119" s="118">
        <f t="shared" si="50"/>
        <v>0</v>
      </c>
      <c r="AX119" s="118">
        <f t="shared" si="51"/>
        <v>0</v>
      </c>
      <c r="AY119" s="118">
        <f t="shared" si="52"/>
        <v>0</v>
      </c>
      <c r="AZ119" s="111">
        <f t="shared" si="53"/>
        <v>0</v>
      </c>
      <c r="BA119" s="111" t="str">
        <f t="shared" si="54"/>
        <v>F6</v>
      </c>
      <c r="BB119" s="117" t="str">
        <f>IF(AR119="","",RANK(AR119,AR$2:AR145,0))</f>
        <v/>
      </c>
      <c r="BC119" s="111" t="str">
        <f t="shared" si="55"/>
        <v/>
      </c>
    </row>
    <row r="120" spans="1:55" x14ac:dyDescent="0.35">
      <c r="A120" s="113">
        <f>'Student Basic Info'!A120</f>
        <v>619</v>
      </c>
      <c r="B120" s="113" t="str">
        <f>'Student Basic Info'!C120</f>
        <v>Yeasin Arafat</v>
      </c>
      <c r="C120" s="121" t="str">
        <f>IF(Bangla!B120="","",Bangla!B120)</f>
        <v/>
      </c>
      <c r="D120" s="121" t="str">
        <f>IF(Bangla!C120="","",Bangla!C120)</f>
        <v/>
      </c>
      <c r="E120" s="112" t="str">
        <f>IF(Bangla!D120="","",Bangla!D120)</f>
        <v/>
      </c>
      <c r="F120" s="112" t="str">
        <f>IF(English!C120="","",English!C120)</f>
        <v/>
      </c>
      <c r="G120" s="113" t="str">
        <f>IF(ICT!B120="","",ICT!B120)</f>
        <v/>
      </c>
      <c r="H120" s="113" t="str">
        <f>IF(ICT!C120="","",ICT!C120)</f>
        <v/>
      </c>
      <c r="I120" s="113" t="str">
        <f>IF(ICT!D120="","",ICT!D120)</f>
        <v/>
      </c>
      <c r="J120" s="114" t="str">
        <f>IF(ICT!E120="","",ICT!E120)</f>
        <v/>
      </c>
      <c r="K120" s="113" t="str">
        <f>IF(Accounting!B120="","",Accounting!B120)</f>
        <v/>
      </c>
      <c r="L120" s="113" t="str">
        <f>IF(Accounting!C120="","",Accounting!C120)</f>
        <v/>
      </c>
      <c r="M120" s="114" t="str">
        <f>IF(Accounting!D120="","",Accounting!D120)</f>
        <v/>
      </c>
      <c r="N120" s="113" t="str">
        <f>IF('Business Organization'!B120="","",'Business Organization'!B120)</f>
        <v/>
      </c>
      <c r="O120" s="113" t="str">
        <f>IF('Business Organization'!C120="","",'Business Organization'!C120)</f>
        <v/>
      </c>
      <c r="P120" s="114" t="str">
        <f>IF('Business Organization'!D120="","",'Business Organization'!D120)</f>
        <v/>
      </c>
      <c r="Q120" s="113" t="str">
        <f>IF(SubjectList!G120="Finance",IF(Finance!B120=0,"", Finance!B120),IF(SubjectList!G120="Production",IF(Production!B120=0,"", Production!B120),IF(SubjectList!G120="Economics",IF(Economics!B120=0,"", Economics!B120))))</f>
        <v/>
      </c>
      <c r="R120" s="113" t="str">
        <f>IF(SubjectList!G120="Finance",IF(Finance!C120=0,"", Finance!C120),IF(SubjectList!G120="Production",IF(Production!C120=0,"", Production!C120),IF(SubjectList!G120="Economics",IF(Economics!C120=0,"", Economics!C120))))</f>
        <v/>
      </c>
      <c r="S120" s="114" t="str">
        <f>IF(SubjectList!G120="Finance",IF(Finance!D120=0,"", Finance!D120),IF(SubjectList!G120="Production",IF(Production!D120=0,"", Production!D120),IF(SubjectList!G120="Economics",IF(Economics!D120=0,"", Economics!D120))))</f>
        <v/>
      </c>
      <c r="T120" s="113" t="str">
        <f>IF(SubjectList!H120="Finance",IF(Finance!B120=0,"", Finance!B120),IF(SubjectList!H120="Production",IF(Production!B120=0,"", Production!B120),IF(SubjectList!H120="Economics",IF(Economics!B120=0,"", Economics!B120))))</f>
        <v/>
      </c>
      <c r="U120" s="113" t="str">
        <f>IF(SubjectList!H120="Finance",IF(Finance!C120=0,"", Finance!C120),IF(SubjectList!H120="Production",IF(Production!C120=0,"", Production!C120),IF(SubjectList!H120="Economics",IF(Economics!C120=0,"", Economics!C120))))</f>
        <v/>
      </c>
      <c r="V120" s="114" t="str">
        <f>IF(SubjectList!H120="Finance",IF(Finance!D120=0,"", Finance!D120),IF(SubjectList!H120="Production",IF(Production!D120=0,"", Production!D120),IF(SubjectList!H120="Economics",IF(Economics!D120=0,"", Economics!D120))))</f>
        <v/>
      </c>
      <c r="W120" s="115" t="str">
        <f>IF(SubjectList!G120="Finance","Finance",IF(SubjectList!G120="Production","Production",IF(SubjectList!G120="Economics","Not Given")))</f>
        <v>Finance</v>
      </c>
      <c r="X120" s="115" t="str">
        <f>IF(SubjectList!H120="Finance","Finance",IF(SubjectList!H120="Production","Production",IF(SubjectList!H120="Economics","Economics","Not Given")))</f>
        <v>Production</v>
      </c>
      <c r="Y120" s="113" t="str">
        <f>Bangla!F120</f>
        <v/>
      </c>
      <c r="Z120" s="113" t="str">
        <f>English!E120</f>
        <v/>
      </c>
      <c r="AA120" s="113" t="str">
        <f>ICT!G120</f>
        <v/>
      </c>
      <c r="AB120" s="113" t="str">
        <f>Accounting!F120</f>
        <v/>
      </c>
      <c r="AC120" s="113" t="str">
        <f>'Business Organization'!F120</f>
        <v/>
      </c>
      <c r="AD120" s="113" t="str">
        <f>Production!F120</f>
        <v/>
      </c>
      <c r="AE120" s="113" t="str">
        <f>Finance!F120</f>
        <v/>
      </c>
      <c r="AF120" s="122" t="str">
        <f>Bangla!G120</f>
        <v/>
      </c>
      <c r="AG120" s="122" t="str">
        <f>English!F120</f>
        <v/>
      </c>
      <c r="AH120" s="120" t="str">
        <f>ICT!H120</f>
        <v/>
      </c>
      <c r="AI120" s="120" t="str">
        <f>Accounting!G120</f>
        <v/>
      </c>
      <c r="AJ120" s="120" t="str">
        <f>'Business Organization'!G120</f>
        <v/>
      </c>
      <c r="AK120" s="120" t="str">
        <f>IF(SubjectList!G120="Finance",Finance!G120,IF(SubjectList!G120="Production",Production!G120,IF(SubjectList!G120="Economics",Economics!G120)))</f>
        <v/>
      </c>
      <c r="AL120" s="120" t="str">
        <f>Finance!G120</f>
        <v/>
      </c>
      <c r="AM120" s="120" t="str">
        <f>Optional!H120</f>
        <v/>
      </c>
      <c r="AN120" s="120" t="str">
        <f>Optional!I120</f>
        <v/>
      </c>
      <c r="AO120" s="120" t="str">
        <f t="shared" si="42"/>
        <v/>
      </c>
      <c r="AP120" s="120">
        <f t="shared" si="43"/>
        <v>0</v>
      </c>
      <c r="AQ120" s="116" t="str">
        <f t="shared" si="44"/>
        <v/>
      </c>
      <c r="AR120" s="116" t="str">
        <f t="shared" si="45"/>
        <v/>
      </c>
      <c r="AS120" s="117">
        <f t="shared" si="46"/>
        <v>0</v>
      </c>
      <c r="AT120" s="118">
        <f t="shared" si="47"/>
        <v>0</v>
      </c>
      <c r="AU120" s="118">
        <f t="shared" si="48"/>
        <v>0</v>
      </c>
      <c r="AV120" s="118">
        <f t="shared" si="49"/>
        <v>0</v>
      </c>
      <c r="AW120" s="118">
        <f t="shared" si="50"/>
        <v>0</v>
      </c>
      <c r="AX120" s="118">
        <f t="shared" si="51"/>
        <v>0</v>
      </c>
      <c r="AY120" s="118">
        <f t="shared" si="52"/>
        <v>0</v>
      </c>
      <c r="AZ120" s="111">
        <f t="shared" si="53"/>
        <v>0</v>
      </c>
      <c r="BA120" s="111" t="str">
        <f t="shared" si="54"/>
        <v>F6</v>
      </c>
      <c r="BB120" s="117" t="str">
        <f>IF(AR120="","",RANK(AR120,AR$2:AR145,0))</f>
        <v/>
      </c>
      <c r="BC120" s="111" t="str">
        <f t="shared" si="55"/>
        <v/>
      </c>
    </row>
    <row r="121" spans="1:55" x14ac:dyDescent="0.35">
      <c r="A121" s="113">
        <f>'Student Basic Info'!A121</f>
        <v>620</v>
      </c>
      <c r="B121" s="113" t="str">
        <f>'Student Basic Info'!C121</f>
        <v>Abdullah Al Noman</v>
      </c>
      <c r="C121" s="121" t="str">
        <f>IF(Bangla!B121="","",Bangla!B121)</f>
        <v/>
      </c>
      <c r="D121" s="121" t="str">
        <f>IF(Bangla!C121="","",Bangla!C121)</f>
        <v/>
      </c>
      <c r="E121" s="112" t="str">
        <f>IF(Bangla!D121="","",Bangla!D121)</f>
        <v/>
      </c>
      <c r="F121" s="112" t="str">
        <f>IF(English!C121="","",English!C121)</f>
        <v/>
      </c>
      <c r="G121" s="113" t="str">
        <f>IF(ICT!B121="","",ICT!B121)</f>
        <v/>
      </c>
      <c r="H121" s="113" t="str">
        <f>IF(ICT!C121="","",ICT!C121)</f>
        <v/>
      </c>
      <c r="I121" s="113" t="str">
        <f>IF(ICT!D121="","",ICT!D121)</f>
        <v/>
      </c>
      <c r="J121" s="114" t="str">
        <f>IF(ICT!E121="","",ICT!E121)</f>
        <v/>
      </c>
      <c r="K121" s="113" t="str">
        <f>IF(Accounting!B121="","",Accounting!B121)</f>
        <v/>
      </c>
      <c r="L121" s="113" t="str">
        <f>IF(Accounting!C121="","",Accounting!C121)</f>
        <v/>
      </c>
      <c r="M121" s="114" t="str">
        <f>IF(Accounting!D121="","",Accounting!D121)</f>
        <v/>
      </c>
      <c r="N121" s="113" t="str">
        <f>IF('Business Organization'!B121="","",'Business Organization'!B121)</f>
        <v/>
      </c>
      <c r="O121" s="113" t="str">
        <f>IF('Business Organization'!C121="","",'Business Organization'!C121)</f>
        <v/>
      </c>
      <c r="P121" s="114" t="str">
        <f>IF('Business Organization'!D121="","",'Business Organization'!D121)</f>
        <v/>
      </c>
      <c r="Q121" s="113" t="str">
        <f>IF(SubjectList!G121="Finance",IF(Finance!B121=0,"", Finance!B121),IF(SubjectList!G121="Production",IF(Production!B121=0,"", Production!B121),IF(SubjectList!G121="Economics",IF(Economics!B121=0,"", Economics!B121))))</f>
        <v/>
      </c>
      <c r="R121" s="113" t="str">
        <f>IF(SubjectList!G121="Finance",IF(Finance!C121=0,"", Finance!C121),IF(SubjectList!G121="Production",IF(Production!C121=0,"", Production!C121),IF(SubjectList!G121="Economics",IF(Economics!C121=0,"", Economics!C121))))</f>
        <v/>
      </c>
      <c r="S121" s="114" t="str">
        <f>IF(SubjectList!G121="Finance",IF(Finance!D121=0,"", Finance!D121),IF(SubjectList!G121="Production",IF(Production!D121=0,"", Production!D121),IF(SubjectList!G121="Economics",IF(Economics!D121=0,"", Economics!D121))))</f>
        <v/>
      </c>
      <c r="T121" s="113" t="str">
        <f>IF(SubjectList!H121="Finance",IF(Finance!B121=0,"", Finance!B121),IF(SubjectList!H121="Production",IF(Production!B121=0,"", Production!B121),IF(SubjectList!H121="Economics",IF(Economics!B121=0,"", Economics!B121))))</f>
        <v/>
      </c>
      <c r="U121" s="113" t="str">
        <f>IF(SubjectList!H121="Finance",IF(Finance!C121=0,"", Finance!C121),IF(SubjectList!H121="Production",IF(Production!C121=0,"", Production!C121),IF(SubjectList!H121="Economics",IF(Economics!C121=0,"", Economics!C121))))</f>
        <v/>
      </c>
      <c r="V121" s="114" t="str">
        <f>IF(SubjectList!H121="Finance",IF(Finance!D121=0,"", Finance!D121),IF(SubjectList!H121="Production",IF(Production!D121=0,"", Production!D121),IF(SubjectList!H121="Economics",IF(Economics!D121=0,"", Economics!D121))))</f>
        <v/>
      </c>
      <c r="W121" s="115" t="str">
        <f>IF(SubjectList!G121="Finance","Finance",IF(SubjectList!G121="Production","Production",IF(SubjectList!G121="Economics","Not Given")))</f>
        <v>Finance</v>
      </c>
      <c r="X121" s="115" t="str">
        <f>IF(SubjectList!H121="Finance","Finance",IF(SubjectList!H121="Production","Production",IF(SubjectList!H121="Economics","Economics","Not Given")))</f>
        <v>Production</v>
      </c>
      <c r="Y121" s="113" t="str">
        <f>Bangla!F121</f>
        <v/>
      </c>
      <c r="Z121" s="113" t="str">
        <f>English!E121</f>
        <v/>
      </c>
      <c r="AA121" s="113" t="str">
        <f>ICT!G121</f>
        <v/>
      </c>
      <c r="AB121" s="113" t="str">
        <f>Accounting!F121</f>
        <v/>
      </c>
      <c r="AC121" s="113" t="str">
        <f>'Business Organization'!F121</f>
        <v/>
      </c>
      <c r="AD121" s="113" t="str">
        <f>Production!F121</f>
        <v/>
      </c>
      <c r="AE121" s="113" t="str">
        <f>Finance!F121</f>
        <v/>
      </c>
      <c r="AF121" s="122" t="str">
        <f>Bangla!G121</f>
        <v/>
      </c>
      <c r="AG121" s="122" t="str">
        <f>English!F121</f>
        <v/>
      </c>
      <c r="AH121" s="120" t="str">
        <f>ICT!H121</f>
        <v/>
      </c>
      <c r="AI121" s="120" t="str">
        <f>Accounting!G121</f>
        <v/>
      </c>
      <c r="AJ121" s="120" t="str">
        <f>'Business Organization'!G121</f>
        <v/>
      </c>
      <c r="AK121" s="120" t="str">
        <f>IF(SubjectList!G121="Finance",Finance!G121,IF(SubjectList!G121="Production",Production!G121,IF(SubjectList!G121="Economics",Economics!G121)))</f>
        <v/>
      </c>
      <c r="AL121" s="120" t="str">
        <f>Finance!G121</f>
        <v/>
      </c>
      <c r="AM121" s="120" t="str">
        <f>Optional!H121</f>
        <v/>
      </c>
      <c r="AN121" s="120" t="str">
        <f>Optional!I121</f>
        <v/>
      </c>
      <c r="AO121" s="120" t="str">
        <f t="shared" si="42"/>
        <v/>
      </c>
      <c r="AP121" s="120">
        <f t="shared" si="43"/>
        <v>0</v>
      </c>
      <c r="AQ121" s="116" t="str">
        <f t="shared" si="44"/>
        <v/>
      </c>
      <c r="AR121" s="116" t="str">
        <f t="shared" si="45"/>
        <v/>
      </c>
      <c r="AS121" s="117">
        <f t="shared" si="46"/>
        <v>0</v>
      </c>
      <c r="AT121" s="118">
        <f t="shared" si="47"/>
        <v>0</v>
      </c>
      <c r="AU121" s="118">
        <f t="shared" si="48"/>
        <v>0</v>
      </c>
      <c r="AV121" s="118">
        <f t="shared" si="49"/>
        <v>0</v>
      </c>
      <c r="AW121" s="118">
        <f t="shared" si="50"/>
        <v>0</v>
      </c>
      <c r="AX121" s="118">
        <f t="shared" si="51"/>
        <v>0</v>
      </c>
      <c r="AY121" s="118">
        <f t="shared" si="52"/>
        <v>0</v>
      </c>
      <c r="AZ121" s="111">
        <f t="shared" si="53"/>
        <v>0</v>
      </c>
      <c r="BA121" s="111" t="str">
        <f t="shared" si="54"/>
        <v>F6</v>
      </c>
      <c r="BB121" s="117" t="str">
        <f>IF(AR121="","",RANK(AR121,AR$2:AR145,0))</f>
        <v/>
      </c>
      <c r="BC121" s="111" t="str">
        <f t="shared" si="55"/>
        <v/>
      </c>
    </row>
    <row r="122" spans="1:55" x14ac:dyDescent="0.35">
      <c r="A122" s="113">
        <f>'Student Basic Info'!A122</f>
        <v>621</v>
      </c>
      <c r="B122" s="113" t="str">
        <f>'Student Basic Info'!C122</f>
        <v>Delower Hossain</v>
      </c>
      <c r="C122" s="121" t="str">
        <f>IF(Bangla!B122="","",Bangla!B122)</f>
        <v/>
      </c>
      <c r="D122" s="121">
        <f>IF(Bangla!C122="","",Bangla!C122)</f>
        <v>40</v>
      </c>
      <c r="E122" s="112">
        <f>IF(Bangla!D122="","",Bangla!D122)</f>
        <v>40</v>
      </c>
      <c r="F122" s="112">
        <f>IF(English!C122="","",English!C122)</f>
        <v>17</v>
      </c>
      <c r="G122" s="113">
        <f>IF(ICT!B122="","",ICT!B122)</f>
        <v>18</v>
      </c>
      <c r="H122" s="113">
        <f>IF(ICT!C122="","",ICT!C122)</f>
        <v>18</v>
      </c>
      <c r="I122" s="113">
        <f>IF(ICT!D122="","",ICT!D122)</f>
        <v>18</v>
      </c>
      <c r="J122" s="114">
        <f>IF(ICT!E122="","",ICT!E122)</f>
        <v>54</v>
      </c>
      <c r="K122" s="113">
        <f>IF(Accounting!B122="","",Accounting!B122)</f>
        <v>14</v>
      </c>
      <c r="L122" s="113">
        <f>IF(Accounting!C122="","",Accounting!C122)</f>
        <v>23</v>
      </c>
      <c r="M122" s="114">
        <f>IF(Accounting!D122="","",Accounting!D122)</f>
        <v>37</v>
      </c>
      <c r="N122" s="113">
        <f>IF('Business Organization'!B122="","",'Business Organization'!B122)</f>
        <v>18</v>
      </c>
      <c r="O122" s="113">
        <f>IF('Business Organization'!C122="","",'Business Organization'!C122)</f>
        <v>9</v>
      </c>
      <c r="P122" s="114">
        <f>IF('Business Organization'!D122="","",'Business Organization'!D122)</f>
        <v>27</v>
      </c>
      <c r="Q122" s="113">
        <f>IF(SubjectList!G122="Finance",IF(Finance!B122=0,"", Finance!B122),IF(SubjectList!G122="Production",IF(Production!B122=0,"", Production!B122),IF(SubjectList!G122="Economics",IF(Economics!B122=0,"", Economics!B122))))</f>
        <v>10</v>
      </c>
      <c r="R122" s="113">
        <f>IF(SubjectList!G122="Finance",IF(Finance!C122=0,"", Finance!C122),IF(SubjectList!G122="Production",IF(Production!C122=0,"", Production!C122),IF(SubjectList!G122="Economics",IF(Economics!C122=0,"", Economics!C122))))</f>
        <v>10</v>
      </c>
      <c r="S122" s="114">
        <f>IF(SubjectList!G122="Finance",IF(Finance!D122=0,"", Finance!D122),IF(SubjectList!G122="Production",IF(Production!D122=0,"", Production!D122),IF(SubjectList!G122="Economics",IF(Economics!D122=0,"", Economics!D122))))</f>
        <v>20</v>
      </c>
      <c r="T122" s="113">
        <f>IF(SubjectList!H122="Finance",IF(Finance!B122=0,"", Finance!B122),IF(SubjectList!H122="Production",IF(Production!B122=0,"", Production!B122),IF(SubjectList!H122="Economics",IF(Economics!B122=0,"", Economics!B122))))</f>
        <v>14</v>
      </c>
      <c r="U122" s="113">
        <f>IF(SubjectList!H122="Finance",IF(Finance!C122=0,"", Finance!C122),IF(SubjectList!H122="Production",IF(Production!C122=0,"", Production!C122),IF(SubjectList!H122="Economics",IF(Economics!C122=0,"", Economics!C122))))</f>
        <v>31</v>
      </c>
      <c r="V122" s="114">
        <f>IF(SubjectList!H122="Finance",IF(Finance!D122=0,"", Finance!D122),IF(SubjectList!H122="Production",IF(Production!D122=0,"", Production!D122),IF(SubjectList!H122="Economics",IF(Economics!D122=0,"", Economics!D122))))</f>
        <v>45</v>
      </c>
      <c r="W122" s="115" t="str">
        <f>IF(SubjectList!G122="Finance","Finance",IF(SubjectList!G122="Production","Production",IF(SubjectList!G122="Economics","Not Given")))</f>
        <v>Finance</v>
      </c>
      <c r="X122" s="115" t="str">
        <f>IF(SubjectList!H122="Finance","Finance",IF(SubjectList!H122="Production","Production",IF(SubjectList!H122="Economics","Economics","Not Given")))</f>
        <v>Production</v>
      </c>
      <c r="Y122" s="113" t="str">
        <f>Bangla!F122</f>
        <v>C</v>
      </c>
      <c r="Z122" s="113" t="str">
        <f>English!E122</f>
        <v>F</v>
      </c>
      <c r="AA122" s="113" t="str">
        <f>ICT!G122</f>
        <v>B</v>
      </c>
      <c r="AB122" s="113" t="str">
        <f>Accounting!F122</f>
        <v>D</v>
      </c>
      <c r="AC122" s="113" t="str">
        <f>'Business Organization'!F122</f>
        <v>F</v>
      </c>
      <c r="AD122" s="113" t="str">
        <f>Production!F122</f>
        <v>C</v>
      </c>
      <c r="AE122" s="113" t="str">
        <f>Finance!F122</f>
        <v>F</v>
      </c>
      <c r="AF122" s="122">
        <f>Bangla!G122</f>
        <v>2</v>
      </c>
      <c r="AG122" s="122">
        <f>English!F122</f>
        <v>0</v>
      </c>
      <c r="AH122" s="120">
        <f>ICT!H122</f>
        <v>3</v>
      </c>
      <c r="AI122" s="120">
        <f>Accounting!G122</f>
        <v>1</v>
      </c>
      <c r="AJ122" s="120">
        <f>'Business Organization'!G122</f>
        <v>0</v>
      </c>
      <c r="AK122" s="120">
        <f>IF(SubjectList!G122="Finance",Finance!G122,IF(SubjectList!G122="Production",Production!G122,IF(SubjectList!G122="Economics",Economics!G122)))</f>
        <v>0</v>
      </c>
      <c r="AL122" s="120">
        <f>Finance!G122</f>
        <v>0</v>
      </c>
      <c r="AM122" s="120">
        <f>Optional!H122</f>
        <v>2</v>
      </c>
      <c r="AN122" s="120">
        <f>Optional!I122</f>
        <v>0</v>
      </c>
      <c r="AO122" s="120">
        <f t="shared" si="42"/>
        <v>6</v>
      </c>
      <c r="AP122" s="120">
        <f t="shared" si="43"/>
        <v>6</v>
      </c>
      <c r="AQ122" s="116" t="str">
        <f t="shared" si="44"/>
        <v/>
      </c>
      <c r="AR122" s="116" t="str">
        <f t="shared" si="45"/>
        <v/>
      </c>
      <c r="AS122" s="117">
        <f t="shared" si="46"/>
        <v>240</v>
      </c>
      <c r="AT122" s="118">
        <f t="shared" si="47"/>
        <v>1</v>
      </c>
      <c r="AU122" s="118">
        <f t="shared" si="48"/>
        <v>0</v>
      </c>
      <c r="AV122" s="118">
        <f t="shared" si="49"/>
        <v>1</v>
      </c>
      <c r="AW122" s="118">
        <f t="shared" si="50"/>
        <v>1</v>
      </c>
      <c r="AX122" s="118">
        <f t="shared" si="51"/>
        <v>0</v>
      </c>
      <c r="AY122" s="118">
        <f t="shared" si="52"/>
        <v>0</v>
      </c>
      <c r="AZ122" s="111">
        <f t="shared" si="53"/>
        <v>3</v>
      </c>
      <c r="BA122" s="111" t="str">
        <f t="shared" si="54"/>
        <v>F3</v>
      </c>
      <c r="BB122" s="117" t="str">
        <f>IF(AR122="","",RANK(AR122,AR$2:AR145,0))</f>
        <v/>
      </c>
      <c r="BC122" s="111" t="str">
        <f t="shared" si="55"/>
        <v/>
      </c>
    </row>
    <row r="123" spans="1:55" x14ac:dyDescent="0.35">
      <c r="A123" s="113">
        <f>'Student Basic Info'!A123</f>
        <v>622</v>
      </c>
      <c r="B123" s="113" t="str">
        <f>'Student Basic Info'!C123</f>
        <v>Nur Islam</v>
      </c>
      <c r="C123" s="121" t="str">
        <f>IF(Bangla!B123="","",Bangla!B123)</f>
        <v/>
      </c>
      <c r="D123" s="121">
        <f>IF(Bangla!C123="","",Bangla!C123)</f>
        <v>50</v>
      </c>
      <c r="E123" s="112">
        <f>IF(Bangla!D123="","",Bangla!D123)</f>
        <v>50</v>
      </c>
      <c r="F123" s="112">
        <f>IF(English!C123="","",English!C123)</f>
        <v>23</v>
      </c>
      <c r="G123" s="113">
        <f>IF(ICT!B123="","",ICT!B123)</f>
        <v>14</v>
      </c>
      <c r="H123" s="113">
        <f>IF(ICT!C123="","",ICT!C123)</f>
        <v>24</v>
      </c>
      <c r="I123" s="113">
        <f>IF(ICT!D123="","",ICT!D123)</f>
        <v>24</v>
      </c>
      <c r="J123" s="114">
        <f>IF(ICT!E123="","",ICT!E123)</f>
        <v>62</v>
      </c>
      <c r="K123" s="113">
        <f>IF(Accounting!B123="","",Accounting!B123)</f>
        <v>15</v>
      </c>
      <c r="L123" s="113">
        <f>IF(Accounting!C123="","",Accounting!C123)</f>
        <v>27</v>
      </c>
      <c r="M123" s="114">
        <f>IF(Accounting!D123="","",Accounting!D123)</f>
        <v>42</v>
      </c>
      <c r="N123" s="113">
        <f>IF('Business Organization'!B123="","",'Business Organization'!B123)</f>
        <v>15</v>
      </c>
      <c r="O123" s="113">
        <f>IF('Business Organization'!C123="","",'Business Organization'!C123)</f>
        <v>18</v>
      </c>
      <c r="P123" s="114">
        <f>IF('Business Organization'!D123="","",'Business Organization'!D123)</f>
        <v>33</v>
      </c>
      <c r="Q123" s="113">
        <f>IF(SubjectList!G123="Finance",IF(Finance!B123=0,"", Finance!B123),IF(SubjectList!G123="Production",IF(Production!B123=0,"", Production!B123),IF(SubjectList!G123="Economics",IF(Economics!B123=0,"", Economics!B123))))</f>
        <v>11</v>
      </c>
      <c r="R123" s="113">
        <f>IF(SubjectList!G123="Finance",IF(Finance!C123=0,"", Finance!C123),IF(SubjectList!G123="Production",IF(Production!C123=0,"", Production!C123),IF(SubjectList!G123="Economics",IF(Economics!C123=0,"", Economics!C123))))</f>
        <v>3</v>
      </c>
      <c r="S123" s="114">
        <f>IF(SubjectList!G123="Finance",IF(Finance!D123=0,"", Finance!D123),IF(SubjectList!G123="Production",IF(Production!D123=0,"", Production!D123),IF(SubjectList!G123="Economics",IF(Economics!D123=0,"", Economics!D123))))</f>
        <v>14</v>
      </c>
      <c r="T123" s="113">
        <f>IF(SubjectList!H123="Finance",IF(Finance!B123=0,"", Finance!B123),IF(SubjectList!H123="Production",IF(Production!B123=0,"", Production!B123),IF(SubjectList!H123="Economics",IF(Economics!B123=0,"", Economics!B123))))</f>
        <v>10</v>
      </c>
      <c r="U123" s="113">
        <f>IF(SubjectList!H123="Finance",IF(Finance!C123=0,"", Finance!C123),IF(SubjectList!H123="Production",IF(Production!C123=0,"", Production!C123),IF(SubjectList!H123="Economics",IF(Economics!C123=0,"", Economics!C123))))</f>
        <v>27</v>
      </c>
      <c r="V123" s="114">
        <f>IF(SubjectList!H123="Finance",IF(Finance!D123=0,"", Finance!D123),IF(SubjectList!H123="Production",IF(Production!D123=0,"", Production!D123),IF(SubjectList!H123="Economics",IF(Economics!D123=0,"", Economics!D123))))</f>
        <v>37</v>
      </c>
      <c r="W123" s="115" t="str">
        <f>IF(SubjectList!G123="Finance","Finance",IF(SubjectList!G123="Production","Production",IF(SubjectList!G123="Economics","Not Given")))</f>
        <v>Finance</v>
      </c>
      <c r="X123" s="115" t="str">
        <f>IF(SubjectList!H123="Finance","Finance",IF(SubjectList!H123="Production","Production",IF(SubjectList!H123="Economics","Economics","Not Given")))</f>
        <v>Production</v>
      </c>
      <c r="Y123" s="113" t="str">
        <f>Bangla!F123</f>
        <v>B</v>
      </c>
      <c r="Z123" s="113" t="str">
        <f>English!E123</f>
        <v>F</v>
      </c>
      <c r="AA123" s="113" t="str">
        <f>ICT!G123</f>
        <v>A-</v>
      </c>
      <c r="AB123" s="113" t="str">
        <f>Accounting!F123</f>
        <v>C</v>
      </c>
      <c r="AC123" s="113" t="str">
        <f>'Business Organization'!F123</f>
        <v>F</v>
      </c>
      <c r="AD123" s="113" t="str">
        <f>Production!F123</f>
        <v>D</v>
      </c>
      <c r="AE123" s="113" t="str">
        <f>Finance!F123</f>
        <v>F</v>
      </c>
      <c r="AF123" s="122">
        <f>Bangla!G123</f>
        <v>3</v>
      </c>
      <c r="AG123" s="122">
        <f>English!F123</f>
        <v>0</v>
      </c>
      <c r="AH123" s="120">
        <f>ICT!H123</f>
        <v>3.5</v>
      </c>
      <c r="AI123" s="120">
        <f>Accounting!G123</f>
        <v>2</v>
      </c>
      <c r="AJ123" s="120">
        <f>'Business Organization'!G123</f>
        <v>0</v>
      </c>
      <c r="AK123" s="120">
        <f>IF(SubjectList!G123="Finance",Finance!G123,IF(SubjectList!G123="Production",Production!G123,IF(SubjectList!G123="Economics",Economics!G123)))</f>
        <v>0</v>
      </c>
      <c r="AL123" s="120">
        <f>Finance!G123</f>
        <v>0</v>
      </c>
      <c r="AM123" s="120">
        <f>Optional!H123</f>
        <v>1</v>
      </c>
      <c r="AN123" s="120">
        <f>Optional!I123</f>
        <v>0</v>
      </c>
      <c r="AO123" s="120">
        <f t="shared" si="42"/>
        <v>8.5</v>
      </c>
      <c r="AP123" s="120">
        <f t="shared" si="43"/>
        <v>8.5</v>
      </c>
      <c r="AQ123" s="116" t="str">
        <f t="shared" si="44"/>
        <v/>
      </c>
      <c r="AR123" s="116" t="str">
        <f t="shared" si="45"/>
        <v/>
      </c>
      <c r="AS123" s="117">
        <f t="shared" si="46"/>
        <v>261</v>
      </c>
      <c r="AT123" s="118">
        <f t="shared" si="47"/>
        <v>1</v>
      </c>
      <c r="AU123" s="118">
        <f t="shared" si="48"/>
        <v>0</v>
      </c>
      <c r="AV123" s="118">
        <f t="shared" si="49"/>
        <v>1</v>
      </c>
      <c r="AW123" s="118">
        <f t="shared" si="50"/>
        <v>1</v>
      </c>
      <c r="AX123" s="118">
        <f t="shared" si="51"/>
        <v>0</v>
      </c>
      <c r="AY123" s="118">
        <f t="shared" si="52"/>
        <v>0</v>
      </c>
      <c r="AZ123" s="111">
        <f t="shared" si="53"/>
        <v>3</v>
      </c>
      <c r="BA123" s="111" t="str">
        <f t="shared" si="54"/>
        <v>F3</v>
      </c>
      <c r="BB123" s="117" t="str">
        <f>IF(AR123="","",RANK(AR123,AR$2:AR145,0))</f>
        <v/>
      </c>
      <c r="BC123" s="111" t="str">
        <f t="shared" si="55"/>
        <v/>
      </c>
    </row>
    <row r="124" spans="1:55" x14ac:dyDescent="0.35">
      <c r="A124" s="113">
        <f>'Student Basic Info'!A124</f>
        <v>623</v>
      </c>
      <c r="B124" s="113" t="str">
        <f>'Student Basic Info'!C124</f>
        <v>Mehedi Hasan</v>
      </c>
      <c r="C124" s="121" t="str">
        <f>IF(Bangla!B124="","",Bangla!B124)</f>
        <v/>
      </c>
      <c r="D124" s="121" t="str">
        <f>IF(Bangla!C124="","",Bangla!C124)</f>
        <v/>
      </c>
      <c r="E124" s="112" t="str">
        <f>IF(Bangla!D124="","",Bangla!D124)</f>
        <v/>
      </c>
      <c r="F124" s="112" t="str">
        <f>IF(English!C124="","",English!C124)</f>
        <v/>
      </c>
      <c r="G124" s="113" t="str">
        <f>IF(ICT!B124="","",ICT!B124)</f>
        <v/>
      </c>
      <c r="H124" s="113" t="str">
        <f>IF(ICT!C124="","",ICT!C124)</f>
        <v/>
      </c>
      <c r="I124" s="113" t="str">
        <f>IF(ICT!D124="","",ICT!D124)</f>
        <v/>
      </c>
      <c r="J124" s="114" t="str">
        <f>IF(ICT!E124="","",ICT!E124)</f>
        <v/>
      </c>
      <c r="K124" s="113" t="str">
        <f>IF(Accounting!B124="","",Accounting!B124)</f>
        <v/>
      </c>
      <c r="L124" s="113" t="str">
        <f>IF(Accounting!C124="","",Accounting!C124)</f>
        <v/>
      </c>
      <c r="M124" s="114" t="str">
        <f>IF(Accounting!D124="","",Accounting!D124)</f>
        <v/>
      </c>
      <c r="N124" s="113" t="str">
        <f>IF('Business Organization'!B124="","",'Business Organization'!B124)</f>
        <v/>
      </c>
      <c r="O124" s="113" t="str">
        <f>IF('Business Organization'!C124="","",'Business Organization'!C124)</f>
        <v/>
      </c>
      <c r="P124" s="114" t="str">
        <f>IF('Business Organization'!D124="","",'Business Organization'!D124)</f>
        <v/>
      </c>
      <c r="Q124" s="113" t="str">
        <f>IF(SubjectList!G124="Finance",IF(Finance!B124=0,"", Finance!B124),IF(SubjectList!G124="Production",IF(Production!B124=0,"", Production!B124),IF(SubjectList!G124="Economics",IF(Economics!B124=0,"", Economics!B124))))</f>
        <v/>
      </c>
      <c r="R124" s="113" t="str">
        <f>IF(SubjectList!G124="Finance",IF(Finance!C124=0,"", Finance!C124),IF(SubjectList!G124="Production",IF(Production!C124=0,"", Production!C124),IF(SubjectList!G124="Economics",IF(Economics!C124=0,"", Economics!C124))))</f>
        <v/>
      </c>
      <c r="S124" s="114" t="str">
        <f>IF(SubjectList!G124="Finance",IF(Finance!D124=0,"", Finance!D124),IF(SubjectList!G124="Production",IF(Production!D124=0,"", Production!D124),IF(SubjectList!G124="Economics",IF(Economics!D124=0,"", Economics!D124))))</f>
        <v/>
      </c>
      <c r="T124" s="113" t="str">
        <f>IF(SubjectList!H124="Finance",IF(Finance!B124=0,"", Finance!B124),IF(SubjectList!H124="Production",IF(Production!B124=0,"", Production!B124),IF(SubjectList!H124="Economics",IF(Economics!B124=0,"", Economics!B124))))</f>
        <v/>
      </c>
      <c r="U124" s="113" t="str">
        <f>IF(SubjectList!H124="Finance",IF(Finance!C124=0,"", Finance!C124),IF(SubjectList!H124="Production",IF(Production!C124=0,"", Production!C124),IF(SubjectList!H124="Economics",IF(Economics!C124=0,"", Economics!C124))))</f>
        <v/>
      </c>
      <c r="V124" s="114" t="str">
        <f>IF(SubjectList!H124="Finance",IF(Finance!D124=0,"", Finance!D124),IF(SubjectList!H124="Production",IF(Production!D124=0,"", Production!D124),IF(SubjectList!H124="Economics",IF(Economics!D124=0,"", Economics!D124))))</f>
        <v/>
      </c>
      <c r="W124" s="115" t="str">
        <f>IF(SubjectList!G124="Finance","Finance",IF(SubjectList!G124="Production","Production",IF(SubjectList!G124="Economics","Not Given")))</f>
        <v>Finance</v>
      </c>
      <c r="X124" s="115" t="str">
        <f>IF(SubjectList!H124="Finance","Finance",IF(SubjectList!H124="Production","Production",IF(SubjectList!H124="Economics","Economics","Not Given")))</f>
        <v>Economics</v>
      </c>
      <c r="Y124" s="113" t="str">
        <f>Bangla!F124</f>
        <v/>
      </c>
      <c r="Z124" s="113" t="str">
        <f>English!E124</f>
        <v/>
      </c>
      <c r="AA124" s="113" t="str">
        <f>ICT!G124</f>
        <v/>
      </c>
      <c r="AB124" s="113" t="str">
        <f>Accounting!F124</f>
        <v/>
      </c>
      <c r="AC124" s="113" t="str">
        <f>'Business Organization'!F124</f>
        <v/>
      </c>
      <c r="AD124" s="113" t="str">
        <f>Production!F124</f>
        <v/>
      </c>
      <c r="AE124" s="113" t="str">
        <f>Finance!F124</f>
        <v/>
      </c>
      <c r="AF124" s="122" t="str">
        <f>Bangla!G124</f>
        <v/>
      </c>
      <c r="AG124" s="122" t="str">
        <f>English!F124</f>
        <v/>
      </c>
      <c r="AH124" s="120" t="str">
        <f>ICT!H124</f>
        <v/>
      </c>
      <c r="AI124" s="120" t="str">
        <f>Accounting!G124</f>
        <v/>
      </c>
      <c r="AJ124" s="120" t="str">
        <f>'Business Organization'!G124</f>
        <v/>
      </c>
      <c r="AK124" s="120" t="str">
        <f>IF(SubjectList!G124="Finance",Finance!G124,IF(SubjectList!G124="Production",Production!G124,IF(SubjectList!G124="Economics",Economics!G124)))</f>
        <v/>
      </c>
      <c r="AL124" s="120" t="str">
        <f>Finance!G124</f>
        <v/>
      </c>
      <c r="AM124" s="120" t="str">
        <f>Optional!H124</f>
        <v/>
      </c>
      <c r="AN124" s="120" t="str">
        <f>Optional!I124</f>
        <v/>
      </c>
      <c r="AO124" s="120" t="str">
        <f t="shared" si="42"/>
        <v/>
      </c>
      <c r="AP124" s="120">
        <f t="shared" si="43"/>
        <v>0</v>
      </c>
      <c r="AQ124" s="116" t="str">
        <f t="shared" si="44"/>
        <v/>
      </c>
      <c r="AR124" s="116" t="str">
        <f t="shared" si="45"/>
        <v/>
      </c>
      <c r="AS124" s="117">
        <f t="shared" si="46"/>
        <v>0</v>
      </c>
      <c r="AT124" s="118">
        <f t="shared" si="47"/>
        <v>0</v>
      </c>
      <c r="AU124" s="118">
        <f t="shared" si="48"/>
        <v>0</v>
      </c>
      <c r="AV124" s="118">
        <f t="shared" si="49"/>
        <v>0</v>
      </c>
      <c r="AW124" s="118">
        <f t="shared" si="50"/>
        <v>0</v>
      </c>
      <c r="AX124" s="118">
        <f t="shared" si="51"/>
        <v>0</v>
      </c>
      <c r="AY124" s="118">
        <f t="shared" si="52"/>
        <v>0</v>
      </c>
      <c r="AZ124" s="111">
        <f t="shared" si="53"/>
        <v>0</v>
      </c>
      <c r="BA124" s="111" t="str">
        <f t="shared" si="54"/>
        <v>F6</v>
      </c>
      <c r="BB124" s="117" t="str">
        <f>IF(AR124="","",RANK(AR124,AR$2:AR145,0))</f>
        <v/>
      </c>
      <c r="BC124" s="111" t="str">
        <f t="shared" si="55"/>
        <v/>
      </c>
    </row>
    <row r="125" spans="1:55" x14ac:dyDescent="0.35">
      <c r="A125" s="113">
        <f>'Student Basic Info'!A125</f>
        <v>624</v>
      </c>
      <c r="B125" s="113" t="str">
        <f>'Student Basic Info'!C125</f>
        <v>Nurul Afsar Ashraf</v>
      </c>
      <c r="C125" s="121" t="str">
        <f>IF(Bangla!B125="","",Bangla!B125)</f>
        <v/>
      </c>
      <c r="D125" s="121" t="str">
        <f>IF(Bangla!C125="","",Bangla!C125)</f>
        <v/>
      </c>
      <c r="E125" s="112" t="str">
        <f>IF(Bangla!D125="","",Bangla!D125)</f>
        <v/>
      </c>
      <c r="F125" s="112" t="str">
        <f>IF(English!C125="","",English!C125)</f>
        <v/>
      </c>
      <c r="G125" s="113" t="str">
        <f>IF(ICT!B125="","",ICT!B125)</f>
        <v/>
      </c>
      <c r="H125" s="113" t="str">
        <f>IF(ICT!C125="","",ICT!C125)</f>
        <v/>
      </c>
      <c r="I125" s="113" t="str">
        <f>IF(ICT!D125="","",ICT!D125)</f>
        <v/>
      </c>
      <c r="J125" s="114" t="str">
        <f>IF(ICT!E125="","",ICT!E125)</f>
        <v/>
      </c>
      <c r="K125" s="113" t="str">
        <f>IF(Accounting!B125="","",Accounting!B125)</f>
        <v/>
      </c>
      <c r="L125" s="113" t="str">
        <f>IF(Accounting!C125="","",Accounting!C125)</f>
        <v/>
      </c>
      <c r="M125" s="114" t="str">
        <f>IF(Accounting!D125="","",Accounting!D125)</f>
        <v/>
      </c>
      <c r="N125" s="113" t="str">
        <f>IF('Business Organization'!B125="","",'Business Organization'!B125)</f>
        <v/>
      </c>
      <c r="O125" s="113" t="str">
        <f>IF('Business Organization'!C125="","",'Business Organization'!C125)</f>
        <v/>
      </c>
      <c r="P125" s="114" t="str">
        <f>IF('Business Organization'!D125="","",'Business Organization'!D125)</f>
        <v/>
      </c>
      <c r="Q125" s="113" t="str">
        <f>IF(SubjectList!G125="Finance",IF(Finance!B125=0,"", Finance!B125),IF(SubjectList!G125="Production",IF(Production!B125=0,"", Production!B125),IF(SubjectList!G125="Economics",IF(Economics!B125=0,"", Economics!B125))))</f>
        <v/>
      </c>
      <c r="R125" s="113" t="str">
        <f>IF(SubjectList!G125="Finance",IF(Finance!C125=0,"", Finance!C125),IF(SubjectList!G125="Production",IF(Production!C125=0,"", Production!C125),IF(SubjectList!G125="Economics",IF(Economics!C125=0,"", Economics!C125))))</f>
        <v/>
      </c>
      <c r="S125" s="114" t="str">
        <f>IF(SubjectList!G125="Finance",IF(Finance!D125=0,"", Finance!D125),IF(SubjectList!G125="Production",IF(Production!D125=0,"", Production!D125),IF(SubjectList!G125="Economics",IF(Economics!D125=0,"", Economics!D125))))</f>
        <v/>
      </c>
      <c r="T125" s="113" t="str">
        <f>IF(SubjectList!H125="Finance",IF(Finance!B125=0,"", Finance!B125),IF(SubjectList!H125="Production",IF(Production!B125=0,"", Production!B125),IF(SubjectList!H125="Economics",IF(Economics!B125=0,"", Economics!B125))))</f>
        <v/>
      </c>
      <c r="U125" s="113" t="str">
        <f>IF(SubjectList!H125="Finance",IF(Finance!C125=0,"", Finance!C125),IF(SubjectList!H125="Production",IF(Production!C125=0,"", Production!C125),IF(SubjectList!H125="Economics",IF(Economics!C125=0,"", Economics!C125))))</f>
        <v/>
      </c>
      <c r="V125" s="114" t="str">
        <f>IF(SubjectList!H125="Finance",IF(Finance!D125=0,"", Finance!D125),IF(SubjectList!H125="Production",IF(Production!D125=0,"", Production!D125),IF(SubjectList!H125="Economics",IF(Economics!D125=0,"", Economics!D125))))</f>
        <v/>
      </c>
      <c r="W125" s="115" t="str">
        <f>IF(SubjectList!G125="Finance","Finance",IF(SubjectList!G125="Production","Production",IF(SubjectList!G125="Economics","Not Given")))</f>
        <v>Finance</v>
      </c>
      <c r="X125" s="115" t="str">
        <f>IF(SubjectList!H125="Finance","Finance",IF(SubjectList!H125="Production","Production",IF(SubjectList!H125="Economics","Economics","Not Given")))</f>
        <v>Production</v>
      </c>
      <c r="Y125" s="113" t="str">
        <f>Bangla!F125</f>
        <v/>
      </c>
      <c r="Z125" s="113" t="str">
        <f>English!E125</f>
        <v/>
      </c>
      <c r="AA125" s="113" t="str">
        <f>ICT!G125</f>
        <v/>
      </c>
      <c r="AB125" s="113" t="str">
        <f>Accounting!F125</f>
        <v/>
      </c>
      <c r="AC125" s="113" t="str">
        <f>'Business Organization'!F125</f>
        <v/>
      </c>
      <c r="AD125" s="113" t="str">
        <f>Production!F125</f>
        <v/>
      </c>
      <c r="AE125" s="113" t="str">
        <f>Finance!F125</f>
        <v/>
      </c>
      <c r="AF125" s="122" t="str">
        <f>Bangla!G125</f>
        <v/>
      </c>
      <c r="AG125" s="122" t="str">
        <f>English!F125</f>
        <v/>
      </c>
      <c r="AH125" s="120" t="str">
        <f>ICT!H125</f>
        <v/>
      </c>
      <c r="AI125" s="120" t="str">
        <f>Accounting!G125</f>
        <v/>
      </c>
      <c r="AJ125" s="120" t="str">
        <f>'Business Organization'!G125</f>
        <v/>
      </c>
      <c r="AK125" s="120" t="str">
        <f>IF(SubjectList!G125="Finance",Finance!G125,IF(SubjectList!G125="Production",Production!G125,IF(SubjectList!G125="Economics",Economics!G125)))</f>
        <v/>
      </c>
      <c r="AL125" s="120" t="str">
        <f>Finance!G125</f>
        <v/>
      </c>
      <c r="AM125" s="120" t="str">
        <f>Optional!H125</f>
        <v/>
      </c>
      <c r="AN125" s="120" t="str">
        <f>Optional!I125</f>
        <v/>
      </c>
      <c r="AO125" s="120" t="str">
        <f t="shared" si="42"/>
        <v/>
      </c>
      <c r="AP125" s="120">
        <f t="shared" si="43"/>
        <v>0</v>
      </c>
      <c r="AQ125" s="116" t="str">
        <f t="shared" si="44"/>
        <v/>
      </c>
      <c r="AR125" s="116" t="str">
        <f t="shared" si="45"/>
        <v/>
      </c>
      <c r="AS125" s="117">
        <f t="shared" si="46"/>
        <v>0</v>
      </c>
      <c r="AT125" s="118">
        <f t="shared" si="47"/>
        <v>0</v>
      </c>
      <c r="AU125" s="118">
        <f t="shared" si="48"/>
        <v>0</v>
      </c>
      <c r="AV125" s="118">
        <f t="shared" si="49"/>
        <v>0</v>
      </c>
      <c r="AW125" s="118">
        <f t="shared" si="50"/>
        <v>0</v>
      </c>
      <c r="AX125" s="118">
        <f t="shared" si="51"/>
        <v>0</v>
      </c>
      <c r="AY125" s="118">
        <f t="shared" si="52"/>
        <v>0</v>
      </c>
      <c r="AZ125" s="111">
        <f t="shared" si="53"/>
        <v>0</v>
      </c>
      <c r="BA125" s="111" t="str">
        <f t="shared" si="54"/>
        <v>F6</v>
      </c>
      <c r="BB125" s="117" t="str">
        <f>IF(AR125="","",RANK(AR125,AR$2:AR145,0))</f>
        <v/>
      </c>
      <c r="BC125" s="111" t="str">
        <f t="shared" si="55"/>
        <v/>
      </c>
    </row>
    <row r="126" spans="1:55" x14ac:dyDescent="0.35">
      <c r="A126" s="113">
        <f>'Student Basic Info'!A126</f>
        <v>625</v>
      </c>
      <c r="B126" s="113" t="str">
        <f>'Student Basic Info'!C126</f>
        <v>Marjahan Aktar</v>
      </c>
      <c r="C126" s="121" t="str">
        <f>IF(Bangla!B126="","",Bangla!B126)</f>
        <v/>
      </c>
      <c r="D126" s="121" t="str">
        <f>IF(Bangla!C126="","",Bangla!C126)</f>
        <v/>
      </c>
      <c r="E126" s="112" t="str">
        <f>IF(Bangla!D126="","",Bangla!D126)</f>
        <v/>
      </c>
      <c r="F126" s="112" t="str">
        <f>IF(English!C126="","",English!C126)</f>
        <v/>
      </c>
      <c r="G126" s="113" t="str">
        <f>IF(ICT!B126="","",ICT!B126)</f>
        <v/>
      </c>
      <c r="H126" s="113" t="str">
        <f>IF(ICT!C126="","",ICT!C126)</f>
        <v/>
      </c>
      <c r="I126" s="113" t="str">
        <f>IF(ICT!D126="","",ICT!D126)</f>
        <v/>
      </c>
      <c r="J126" s="114" t="str">
        <f>IF(ICT!E126="","",ICT!E126)</f>
        <v/>
      </c>
      <c r="K126" s="113" t="str">
        <f>IF(Accounting!B126="","",Accounting!B126)</f>
        <v/>
      </c>
      <c r="L126" s="113" t="str">
        <f>IF(Accounting!C126="","",Accounting!C126)</f>
        <v/>
      </c>
      <c r="M126" s="114" t="str">
        <f>IF(Accounting!D126="","",Accounting!D126)</f>
        <v/>
      </c>
      <c r="N126" s="113" t="str">
        <f>IF('Business Organization'!B126="","",'Business Organization'!B126)</f>
        <v/>
      </c>
      <c r="O126" s="113" t="str">
        <f>IF('Business Organization'!C126="","",'Business Organization'!C126)</f>
        <v/>
      </c>
      <c r="P126" s="114" t="str">
        <f>IF('Business Organization'!D126="","",'Business Organization'!D126)</f>
        <v/>
      </c>
      <c r="Q126" s="113" t="str">
        <f>IF(SubjectList!G126="Finance",IF(Finance!B126=0,"", Finance!B126),IF(SubjectList!G126="Production",IF(Production!B126=0,"", Production!B126),IF(SubjectList!G126="Economics",IF(Economics!B126=0,"", Economics!B126))))</f>
        <v/>
      </c>
      <c r="R126" s="113" t="str">
        <f>IF(SubjectList!G126="Finance",IF(Finance!C126=0,"", Finance!C126),IF(SubjectList!G126="Production",IF(Production!C126=0,"", Production!C126),IF(SubjectList!G126="Economics",IF(Economics!C126=0,"", Economics!C126))))</f>
        <v/>
      </c>
      <c r="S126" s="114" t="str">
        <f>IF(SubjectList!G126="Finance",IF(Finance!D126=0,"", Finance!D126),IF(SubjectList!G126="Production",IF(Production!D126=0,"", Production!D126),IF(SubjectList!G126="Economics",IF(Economics!D126=0,"", Economics!D126))))</f>
        <v/>
      </c>
      <c r="T126" s="113" t="str">
        <f>IF(SubjectList!H126="Finance",IF(Finance!B126=0,"", Finance!B126),IF(SubjectList!H126="Production",IF(Production!B126=0,"", Production!B126),IF(SubjectList!H126="Economics",IF(Economics!B126=0,"", Economics!B126))))</f>
        <v/>
      </c>
      <c r="U126" s="113" t="str">
        <f>IF(SubjectList!H126="Finance",IF(Finance!C126=0,"", Finance!C126),IF(SubjectList!H126="Production",IF(Production!C126=0,"", Production!C126),IF(SubjectList!H126="Economics",IF(Economics!C126=0,"", Economics!C126))))</f>
        <v/>
      </c>
      <c r="V126" s="114" t="str">
        <f>IF(SubjectList!H126="Finance",IF(Finance!D126=0,"", Finance!D126),IF(SubjectList!H126="Production",IF(Production!D126=0,"", Production!D126),IF(SubjectList!H126="Economics",IF(Economics!D126=0,"", Economics!D126))))</f>
        <v/>
      </c>
      <c r="W126" s="115" t="str">
        <f>IF(SubjectList!G126="Finance","Finance",IF(SubjectList!G126="Production","Production",IF(SubjectList!G126="Economics","Not Given")))</f>
        <v>Production</v>
      </c>
      <c r="X126" s="115" t="str">
        <f>IF(SubjectList!H126="Finance","Finance",IF(SubjectList!H126="Production","Production",IF(SubjectList!H126="Economics","Economics","Not Given")))</f>
        <v>Economics</v>
      </c>
      <c r="Y126" s="113" t="str">
        <f>Bangla!F126</f>
        <v/>
      </c>
      <c r="Z126" s="113" t="str">
        <f>English!E126</f>
        <v/>
      </c>
      <c r="AA126" s="113" t="str">
        <f>ICT!G126</f>
        <v/>
      </c>
      <c r="AB126" s="113" t="str">
        <f>Accounting!F126</f>
        <v/>
      </c>
      <c r="AC126" s="113" t="str">
        <f>'Business Organization'!F126</f>
        <v/>
      </c>
      <c r="AD126" s="113" t="str">
        <f>Production!F126</f>
        <v/>
      </c>
      <c r="AE126" s="113" t="str">
        <f>Finance!F126</f>
        <v/>
      </c>
      <c r="AF126" s="122" t="str">
        <f>Bangla!G126</f>
        <v/>
      </c>
      <c r="AG126" s="122" t="str">
        <f>English!F126</f>
        <v/>
      </c>
      <c r="AH126" s="120" t="str">
        <f>ICT!H126</f>
        <v/>
      </c>
      <c r="AI126" s="120" t="str">
        <f>Accounting!G126</f>
        <v/>
      </c>
      <c r="AJ126" s="120" t="str">
        <f>'Business Organization'!G126</f>
        <v/>
      </c>
      <c r="AK126" s="120" t="str">
        <f>IF(SubjectList!G126="Finance",Finance!G126,IF(SubjectList!G126="Production",Production!G126,IF(SubjectList!G126="Economics",Economics!G126)))</f>
        <v/>
      </c>
      <c r="AL126" s="120" t="str">
        <f>Finance!G126</f>
        <v/>
      </c>
      <c r="AM126" s="120" t="str">
        <f>Optional!H126</f>
        <v/>
      </c>
      <c r="AN126" s="120" t="str">
        <f>Optional!I126</f>
        <v/>
      </c>
      <c r="AO126" s="120" t="str">
        <f t="shared" si="42"/>
        <v/>
      </c>
      <c r="AP126" s="120">
        <f t="shared" si="43"/>
        <v>0</v>
      </c>
      <c r="AQ126" s="116" t="str">
        <f t="shared" si="44"/>
        <v/>
      </c>
      <c r="AR126" s="116" t="str">
        <f t="shared" si="45"/>
        <v/>
      </c>
      <c r="AS126" s="117">
        <f t="shared" si="46"/>
        <v>0</v>
      </c>
      <c r="AT126" s="118">
        <f t="shared" si="47"/>
        <v>0</v>
      </c>
      <c r="AU126" s="118">
        <f t="shared" si="48"/>
        <v>0</v>
      </c>
      <c r="AV126" s="118">
        <f t="shared" si="49"/>
        <v>0</v>
      </c>
      <c r="AW126" s="118">
        <f t="shared" si="50"/>
        <v>0</v>
      </c>
      <c r="AX126" s="118">
        <f t="shared" si="51"/>
        <v>0</v>
      </c>
      <c r="AY126" s="118">
        <f t="shared" si="52"/>
        <v>0</v>
      </c>
      <c r="AZ126" s="111">
        <f t="shared" si="53"/>
        <v>0</v>
      </c>
      <c r="BA126" s="111" t="str">
        <f t="shared" si="54"/>
        <v>F6</v>
      </c>
      <c r="BB126" s="117" t="str">
        <f>IF(AR126="","",RANK(AR126,AR$2:AR145,0))</f>
        <v/>
      </c>
      <c r="BC126" s="111" t="str">
        <f t="shared" si="55"/>
        <v/>
      </c>
    </row>
    <row r="127" spans="1:55" x14ac:dyDescent="0.35">
      <c r="A127" s="113">
        <f>'Student Basic Info'!A127</f>
        <v>626</v>
      </c>
      <c r="B127" s="113" t="str">
        <f>'Student Basic Info'!C127</f>
        <v>Fokhrul Islam</v>
      </c>
      <c r="C127" s="121" t="str">
        <f>IF(Bangla!B127="","",Bangla!B127)</f>
        <v/>
      </c>
      <c r="D127" s="121" t="str">
        <f>IF(Bangla!C127="","",Bangla!C127)</f>
        <v/>
      </c>
      <c r="E127" s="112" t="str">
        <f>IF(Bangla!D127="","",Bangla!D127)</f>
        <v/>
      </c>
      <c r="F127" s="112" t="str">
        <f>IF(English!C127="","",English!C127)</f>
        <v/>
      </c>
      <c r="G127" s="113" t="str">
        <f>IF(ICT!B127="","",ICT!B127)</f>
        <v/>
      </c>
      <c r="H127" s="113" t="str">
        <f>IF(ICT!C127="","",ICT!C127)</f>
        <v/>
      </c>
      <c r="I127" s="113" t="str">
        <f>IF(ICT!D127="","",ICT!D127)</f>
        <v/>
      </c>
      <c r="J127" s="114" t="str">
        <f>IF(ICT!E127="","",ICT!E127)</f>
        <v/>
      </c>
      <c r="K127" s="113" t="str">
        <f>IF(Accounting!B127="","",Accounting!B127)</f>
        <v/>
      </c>
      <c r="L127" s="113" t="str">
        <f>IF(Accounting!C127="","",Accounting!C127)</f>
        <v/>
      </c>
      <c r="M127" s="114" t="str">
        <f>IF(Accounting!D127="","",Accounting!D127)</f>
        <v/>
      </c>
      <c r="N127" s="113" t="str">
        <f>IF('Business Organization'!B127="","",'Business Organization'!B127)</f>
        <v/>
      </c>
      <c r="O127" s="113" t="str">
        <f>IF('Business Organization'!C127="","",'Business Organization'!C127)</f>
        <v/>
      </c>
      <c r="P127" s="114" t="str">
        <f>IF('Business Organization'!D127="","",'Business Organization'!D127)</f>
        <v/>
      </c>
      <c r="Q127" s="113" t="str">
        <f>IF(SubjectList!G127="Finance",IF(Finance!B127=0,"", Finance!B127),IF(SubjectList!G127="Production",IF(Production!B127=0,"", Production!B127),IF(SubjectList!G127="Economics",IF(Economics!B127=0,"", Economics!B127))))</f>
        <v/>
      </c>
      <c r="R127" s="113" t="str">
        <f>IF(SubjectList!G127="Finance",IF(Finance!C127=0,"", Finance!C127),IF(SubjectList!G127="Production",IF(Production!C127=0,"", Production!C127),IF(SubjectList!G127="Economics",IF(Economics!C127=0,"", Economics!C127))))</f>
        <v/>
      </c>
      <c r="S127" s="114" t="str">
        <f>IF(SubjectList!G127="Finance",IF(Finance!D127=0,"", Finance!D127),IF(SubjectList!G127="Production",IF(Production!D127=0,"", Production!D127),IF(SubjectList!G127="Economics",IF(Economics!D127=0,"", Economics!D127))))</f>
        <v/>
      </c>
      <c r="T127" s="113" t="str">
        <f>IF(SubjectList!H127="Finance",IF(Finance!B127=0,"", Finance!B127),IF(SubjectList!H127="Production",IF(Production!B127=0,"", Production!B127),IF(SubjectList!H127="Economics",IF(Economics!B127=0,"", Economics!B127))))</f>
        <v/>
      </c>
      <c r="U127" s="113" t="str">
        <f>IF(SubjectList!H127="Finance",IF(Finance!C127=0,"", Finance!C127),IF(SubjectList!H127="Production",IF(Production!C127=0,"", Production!C127),IF(SubjectList!H127="Economics",IF(Economics!C127=0,"", Economics!C127))))</f>
        <v/>
      </c>
      <c r="V127" s="114" t="str">
        <f>IF(SubjectList!H127="Finance",IF(Finance!D127=0,"", Finance!D127),IF(SubjectList!H127="Production",IF(Production!D127=0,"", Production!D127),IF(SubjectList!H127="Economics",IF(Economics!D127=0,"", Economics!D127))))</f>
        <v/>
      </c>
      <c r="W127" s="115" t="str">
        <f>IF(SubjectList!G127="Finance","Finance",IF(SubjectList!G127="Production","Production",IF(SubjectList!G127="Economics","Not Given")))</f>
        <v>Finance</v>
      </c>
      <c r="X127" s="115" t="str">
        <f>IF(SubjectList!H127="Finance","Finance",IF(SubjectList!H127="Production","Production",IF(SubjectList!H127="Economics","Economics","Not Given")))</f>
        <v>Production</v>
      </c>
      <c r="Y127" s="113" t="str">
        <f>Bangla!F127</f>
        <v/>
      </c>
      <c r="Z127" s="113" t="str">
        <f>English!E127</f>
        <v/>
      </c>
      <c r="AA127" s="113" t="str">
        <f>ICT!G127</f>
        <v/>
      </c>
      <c r="AB127" s="113" t="str">
        <f>Accounting!F127</f>
        <v/>
      </c>
      <c r="AC127" s="113" t="str">
        <f>'Business Organization'!F127</f>
        <v/>
      </c>
      <c r="AD127" s="113" t="str">
        <f>Production!F127</f>
        <v/>
      </c>
      <c r="AE127" s="113" t="str">
        <f>Finance!F127</f>
        <v/>
      </c>
      <c r="AF127" s="122" t="str">
        <f>Bangla!G127</f>
        <v/>
      </c>
      <c r="AG127" s="122" t="str">
        <f>English!F127</f>
        <v/>
      </c>
      <c r="AH127" s="120" t="str">
        <f>ICT!H127</f>
        <v/>
      </c>
      <c r="AI127" s="120" t="str">
        <f>Accounting!G127</f>
        <v/>
      </c>
      <c r="AJ127" s="120" t="str">
        <f>'Business Organization'!G127</f>
        <v/>
      </c>
      <c r="AK127" s="120" t="str">
        <f>IF(SubjectList!G127="Finance",Finance!G127,IF(SubjectList!G127="Production",Production!G127,IF(SubjectList!G127="Economics",Economics!G127)))</f>
        <v/>
      </c>
      <c r="AL127" s="120" t="str">
        <f>Finance!G127</f>
        <v/>
      </c>
      <c r="AM127" s="120" t="str">
        <f>Optional!H127</f>
        <v/>
      </c>
      <c r="AN127" s="120" t="str">
        <f>Optional!I127</f>
        <v/>
      </c>
      <c r="AO127" s="120" t="str">
        <f t="shared" si="42"/>
        <v/>
      </c>
      <c r="AP127" s="120">
        <f t="shared" si="43"/>
        <v>0</v>
      </c>
      <c r="AQ127" s="116" t="str">
        <f t="shared" si="44"/>
        <v/>
      </c>
      <c r="AR127" s="116" t="str">
        <f t="shared" si="45"/>
        <v/>
      </c>
      <c r="AS127" s="117">
        <f t="shared" si="46"/>
        <v>0</v>
      </c>
      <c r="AT127" s="118">
        <f t="shared" si="47"/>
        <v>0</v>
      </c>
      <c r="AU127" s="118">
        <f t="shared" si="48"/>
        <v>0</v>
      </c>
      <c r="AV127" s="118">
        <f t="shared" si="49"/>
        <v>0</v>
      </c>
      <c r="AW127" s="118">
        <f t="shared" si="50"/>
        <v>0</v>
      </c>
      <c r="AX127" s="118">
        <f t="shared" si="51"/>
        <v>0</v>
      </c>
      <c r="AY127" s="118">
        <f t="shared" si="52"/>
        <v>0</v>
      </c>
      <c r="AZ127" s="111">
        <f t="shared" si="53"/>
        <v>0</v>
      </c>
      <c r="BA127" s="111" t="str">
        <f t="shared" si="54"/>
        <v>F6</v>
      </c>
      <c r="BB127" s="117" t="str">
        <f>IF(AR127="","",RANK(AR127,AR$2:AR145,0))</f>
        <v/>
      </c>
      <c r="BC127" s="111" t="str">
        <f t="shared" si="55"/>
        <v/>
      </c>
    </row>
    <row r="128" spans="1:55" x14ac:dyDescent="0.35">
      <c r="A128" s="113">
        <f>'Student Basic Info'!A128</f>
        <v>627</v>
      </c>
      <c r="B128" s="113" t="str">
        <f>'Student Basic Info'!C128</f>
        <v>Israt Jahan</v>
      </c>
      <c r="C128" s="121" t="str">
        <f>IF(Bangla!B128="","",Bangla!B128)</f>
        <v/>
      </c>
      <c r="D128" s="121" t="str">
        <f>IF(Bangla!C128="","",Bangla!C128)</f>
        <v/>
      </c>
      <c r="E128" s="112" t="str">
        <f>IF(Bangla!D128="","",Bangla!D128)</f>
        <v/>
      </c>
      <c r="F128" s="112" t="str">
        <f>IF(English!C128="","",English!C128)</f>
        <v/>
      </c>
      <c r="G128" s="113" t="str">
        <f>IF(ICT!B128="","",ICT!B128)</f>
        <v/>
      </c>
      <c r="H128" s="113" t="str">
        <f>IF(ICT!C128="","",ICT!C128)</f>
        <v/>
      </c>
      <c r="I128" s="113" t="str">
        <f>IF(ICT!D128="","",ICT!D128)</f>
        <v/>
      </c>
      <c r="J128" s="114" t="str">
        <f>IF(ICT!E128="","",ICT!E128)</f>
        <v/>
      </c>
      <c r="K128" s="113" t="str">
        <f>IF(Accounting!B128="","",Accounting!B128)</f>
        <v/>
      </c>
      <c r="L128" s="113" t="str">
        <f>IF(Accounting!C128="","",Accounting!C128)</f>
        <v/>
      </c>
      <c r="M128" s="114" t="str">
        <f>IF(Accounting!D128="","",Accounting!D128)</f>
        <v/>
      </c>
      <c r="N128" s="113" t="str">
        <f>IF('Business Organization'!B128="","",'Business Organization'!B128)</f>
        <v/>
      </c>
      <c r="O128" s="113" t="str">
        <f>IF('Business Organization'!C128="","",'Business Organization'!C128)</f>
        <v/>
      </c>
      <c r="P128" s="114" t="str">
        <f>IF('Business Organization'!D128="","",'Business Organization'!D128)</f>
        <v/>
      </c>
      <c r="Q128" s="113" t="str">
        <f>IF(SubjectList!G128="Finance",IF(Finance!B128=0,"", Finance!B128),IF(SubjectList!G128="Production",IF(Production!B128=0,"", Production!B128),IF(SubjectList!G128="Economics",IF(Economics!B128=0,"", Economics!B128))))</f>
        <v/>
      </c>
      <c r="R128" s="113" t="str">
        <f>IF(SubjectList!G128="Finance",IF(Finance!C128=0,"", Finance!C128),IF(SubjectList!G128="Production",IF(Production!C128=0,"", Production!C128),IF(SubjectList!G128="Economics",IF(Economics!C128=0,"", Economics!C128))))</f>
        <v/>
      </c>
      <c r="S128" s="114" t="str">
        <f>IF(SubjectList!G128="Finance",IF(Finance!D128=0,"", Finance!D128),IF(SubjectList!G128="Production",IF(Production!D128=0,"", Production!D128),IF(SubjectList!G128="Economics",IF(Economics!D128=0,"", Economics!D128))))</f>
        <v/>
      </c>
      <c r="T128" s="113" t="str">
        <f>IF(SubjectList!H128="Finance",IF(Finance!B128=0,"", Finance!B128),IF(SubjectList!H128="Production",IF(Production!B128=0,"", Production!B128),IF(SubjectList!H128="Economics",IF(Economics!B128=0,"", Economics!B128))))</f>
        <v/>
      </c>
      <c r="U128" s="113" t="str">
        <f>IF(SubjectList!H128="Finance",IF(Finance!C128=0,"", Finance!C128),IF(SubjectList!H128="Production",IF(Production!C128=0,"", Production!C128),IF(SubjectList!H128="Economics",IF(Economics!C128=0,"", Economics!C128))))</f>
        <v/>
      </c>
      <c r="V128" s="114" t="str">
        <f>IF(SubjectList!H128="Finance",IF(Finance!D128=0,"", Finance!D128),IF(SubjectList!H128="Production",IF(Production!D128=0,"", Production!D128),IF(SubjectList!H128="Economics",IF(Economics!D128=0,"", Economics!D128))))</f>
        <v/>
      </c>
      <c r="W128" s="115" t="str">
        <f>IF(SubjectList!G128="Finance","Finance",IF(SubjectList!G128="Production","Production",IF(SubjectList!G128="Economics","Not Given")))</f>
        <v>Production</v>
      </c>
      <c r="X128" s="115" t="str">
        <f>IF(SubjectList!H128="Finance","Finance",IF(SubjectList!H128="Production","Production",IF(SubjectList!H128="Economics","Economics","Not Given")))</f>
        <v>Finance</v>
      </c>
      <c r="Y128" s="113" t="str">
        <f>Bangla!F128</f>
        <v/>
      </c>
      <c r="Z128" s="113" t="str">
        <f>English!E128</f>
        <v/>
      </c>
      <c r="AA128" s="113" t="str">
        <f>ICT!G128</f>
        <v/>
      </c>
      <c r="AB128" s="113" t="str">
        <f>Accounting!F128</f>
        <v/>
      </c>
      <c r="AC128" s="113" t="str">
        <f>'Business Organization'!F128</f>
        <v/>
      </c>
      <c r="AD128" s="113" t="str">
        <f>Production!F128</f>
        <v/>
      </c>
      <c r="AE128" s="113" t="str">
        <f>Finance!F128</f>
        <v/>
      </c>
      <c r="AF128" s="122" t="str">
        <f>Bangla!G128</f>
        <v/>
      </c>
      <c r="AG128" s="122" t="str">
        <f>English!F128</f>
        <v/>
      </c>
      <c r="AH128" s="120" t="str">
        <f>ICT!H128</f>
        <v/>
      </c>
      <c r="AI128" s="120" t="str">
        <f>Accounting!G128</f>
        <v/>
      </c>
      <c r="AJ128" s="120" t="str">
        <f>'Business Organization'!G128</f>
        <v/>
      </c>
      <c r="AK128" s="120" t="str">
        <f>IF(SubjectList!G128="Finance",Finance!G128,IF(SubjectList!G128="Production",Production!G128,IF(SubjectList!G128="Economics",Economics!G128)))</f>
        <v/>
      </c>
      <c r="AL128" s="120" t="str">
        <f>Finance!G128</f>
        <v/>
      </c>
      <c r="AM128" s="120" t="str">
        <f>Optional!H128</f>
        <v/>
      </c>
      <c r="AN128" s="120" t="str">
        <f>Optional!I128</f>
        <v/>
      </c>
      <c r="AO128" s="120" t="str">
        <f t="shared" si="42"/>
        <v/>
      </c>
      <c r="AP128" s="120">
        <f t="shared" si="43"/>
        <v>0</v>
      </c>
      <c r="AQ128" s="116" t="str">
        <f t="shared" si="44"/>
        <v/>
      </c>
      <c r="AR128" s="116" t="str">
        <f t="shared" si="45"/>
        <v/>
      </c>
      <c r="AS128" s="117">
        <f t="shared" si="46"/>
        <v>0</v>
      </c>
      <c r="AT128" s="118">
        <f t="shared" si="47"/>
        <v>0</v>
      </c>
      <c r="AU128" s="118">
        <f t="shared" si="48"/>
        <v>0</v>
      </c>
      <c r="AV128" s="118">
        <f t="shared" si="49"/>
        <v>0</v>
      </c>
      <c r="AW128" s="118">
        <f t="shared" si="50"/>
        <v>0</v>
      </c>
      <c r="AX128" s="118">
        <f t="shared" si="51"/>
        <v>0</v>
      </c>
      <c r="AY128" s="118">
        <f t="shared" si="52"/>
        <v>0</v>
      </c>
      <c r="AZ128" s="111">
        <f t="shared" si="53"/>
        <v>0</v>
      </c>
      <c r="BA128" s="111" t="str">
        <f t="shared" si="54"/>
        <v>F6</v>
      </c>
      <c r="BB128" s="117" t="str">
        <f>IF(AR128="","",RANK(AR128,AR$2:AR145,0))</f>
        <v/>
      </c>
      <c r="BC128" s="111" t="str">
        <f t="shared" si="55"/>
        <v/>
      </c>
    </row>
    <row r="129" spans="1:55" x14ac:dyDescent="0.35">
      <c r="A129" s="113">
        <f>'Student Basic Info'!A129</f>
        <v>628</v>
      </c>
      <c r="B129" s="113" t="str">
        <f>'Student Basic Info'!C129</f>
        <v>Md. Nur Nabi Hasan Roni</v>
      </c>
      <c r="C129" s="121" t="str">
        <f>IF(Bangla!B129="","",Bangla!B129)</f>
        <v/>
      </c>
      <c r="D129" s="121" t="str">
        <f>IF(Bangla!C129="","",Bangla!C129)</f>
        <v/>
      </c>
      <c r="E129" s="112" t="str">
        <f>IF(Bangla!D129="","",Bangla!D129)</f>
        <v/>
      </c>
      <c r="F129" s="112" t="str">
        <f>IF(English!C129="","",English!C129)</f>
        <v/>
      </c>
      <c r="G129" s="113" t="str">
        <f>IF(ICT!B129="","",ICT!B129)</f>
        <v/>
      </c>
      <c r="H129" s="113" t="str">
        <f>IF(ICT!C129="","",ICT!C129)</f>
        <v/>
      </c>
      <c r="I129" s="113" t="str">
        <f>IF(ICT!D129="","",ICT!D129)</f>
        <v/>
      </c>
      <c r="J129" s="114" t="str">
        <f>IF(ICT!E129="","",ICT!E129)</f>
        <v/>
      </c>
      <c r="K129" s="113" t="str">
        <f>IF(Accounting!B129="","",Accounting!B129)</f>
        <v/>
      </c>
      <c r="L129" s="113" t="str">
        <f>IF(Accounting!C129="","",Accounting!C129)</f>
        <v/>
      </c>
      <c r="M129" s="114" t="str">
        <f>IF(Accounting!D129="","",Accounting!D129)</f>
        <v/>
      </c>
      <c r="N129" s="113" t="str">
        <f>IF('Business Organization'!B129="","",'Business Organization'!B129)</f>
        <v/>
      </c>
      <c r="O129" s="113" t="str">
        <f>IF('Business Organization'!C129="","",'Business Organization'!C129)</f>
        <v/>
      </c>
      <c r="P129" s="114" t="str">
        <f>IF('Business Organization'!D129="","",'Business Organization'!D129)</f>
        <v/>
      </c>
      <c r="Q129" s="113" t="str">
        <f>IF(SubjectList!G129="Finance",IF(Finance!B129=0,"", Finance!B129),IF(SubjectList!G129="Production",IF(Production!B129=0,"", Production!B129),IF(SubjectList!G129="Economics",IF(Economics!B129=0,"", Economics!B129))))</f>
        <v/>
      </c>
      <c r="R129" s="113" t="str">
        <f>IF(SubjectList!G129="Finance",IF(Finance!C129=0,"", Finance!C129),IF(SubjectList!G129="Production",IF(Production!C129=0,"", Production!C129),IF(SubjectList!G129="Economics",IF(Economics!C129=0,"", Economics!C129))))</f>
        <v/>
      </c>
      <c r="S129" s="114" t="str">
        <f>IF(SubjectList!G129="Finance",IF(Finance!D129=0,"", Finance!D129),IF(SubjectList!G129="Production",IF(Production!D129=0,"", Production!D129),IF(SubjectList!G129="Economics",IF(Economics!D129=0,"", Economics!D129))))</f>
        <v/>
      </c>
      <c r="T129" s="113" t="str">
        <f>IF(SubjectList!H129="Finance",IF(Finance!B129=0,"", Finance!B129),IF(SubjectList!H129="Production",IF(Production!B129=0,"", Production!B129),IF(SubjectList!H129="Economics",IF(Economics!B129=0,"", Economics!B129))))</f>
        <v/>
      </c>
      <c r="U129" s="113" t="str">
        <f>IF(SubjectList!H129="Finance",IF(Finance!C129=0,"", Finance!C129),IF(SubjectList!H129="Production",IF(Production!C129=0,"", Production!C129),IF(SubjectList!H129="Economics",IF(Economics!C129=0,"", Economics!C129))))</f>
        <v/>
      </c>
      <c r="V129" s="114" t="str">
        <f>IF(SubjectList!H129="Finance",IF(Finance!D129=0,"", Finance!D129),IF(SubjectList!H129="Production",IF(Production!D129=0,"", Production!D129),IF(SubjectList!H129="Economics",IF(Economics!D129=0,"", Economics!D129))))</f>
        <v/>
      </c>
      <c r="W129" s="115" t="str">
        <f>IF(SubjectList!G129="Finance","Finance",IF(SubjectList!G129="Production","Production",IF(SubjectList!G129="Economics","Not Given")))</f>
        <v>Finance</v>
      </c>
      <c r="X129" s="115" t="str">
        <f>IF(SubjectList!H129="Finance","Finance",IF(SubjectList!H129="Production","Production",IF(SubjectList!H129="Economics","Economics","Not Given")))</f>
        <v>Production</v>
      </c>
      <c r="Y129" s="113" t="str">
        <f>Bangla!F129</f>
        <v/>
      </c>
      <c r="Z129" s="113" t="str">
        <f>English!E129</f>
        <v/>
      </c>
      <c r="AA129" s="113" t="str">
        <f>ICT!G129</f>
        <v/>
      </c>
      <c r="AB129" s="113" t="str">
        <f>Accounting!F129</f>
        <v/>
      </c>
      <c r="AC129" s="113" t="str">
        <f>'Business Organization'!F129</f>
        <v/>
      </c>
      <c r="AD129" s="113" t="str">
        <f>Production!F129</f>
        <v/>
      </c>
      <c r="AE129" s="113" t="str">
        <f>Finance!F129</f>
        <v/>
      </c>
      <c r="AF129" s="122" t="str">
        <f>Bangla!G129</f>
        <v/>
      </c>
      <c r="AG129" s="122" t="str">
        <f>English!F129</f>
        <v/>
      </c>
      <c r="AH129" s="120" t="str">
        <f>ICT!H129</f>
        <v/>
      </c>
      <c r="AI129" s="120" t="str">
        <f>Accounting!G129</f>
        <v/>
      </c>
      <c r="AJ129" s="120" t="str">
        <f>'Business Organization'!G129</f>
        <v/>
      </c>
      <c r="AK129" s="120" t="str">
        <f>IF(SubjectList!G129="Finance",Finance!G129,IF(SubjectList!G129="Production",Production!G129,IF(SubjectList!G129="Economics",Economics!G129)))</f>
        <v/>
      </c>
      <c r="AL129" s="120" t="str">
        <f>Finance!G129</f>
        <v/>
      </c>
      <c r="AM129" s="120" t="str">
        <f>Optional!H129</f>
        <v/>
      </c>
      <c r="AN129" s="120" t="str">
        <f>Optional!I129</f>
        <v/>
      </c>
      <c r="AO129" s="120" t="str">
        <f t="shared" si="42"/>
        <v/>
      </c>
      <c r="AP129" s="120">
        <f t="shared" si="43"/>
        <v>0</v>
      </c>
      <c r="AQ129" s="116" t="str">
        <f t="shared" si="44"/>
        <v/>
      </c>
      <c r="AR129" s="116" t="str">
        <f t="shared" si="45"/>
        <v/>
      </c>
      <c r="AS129" s="117">
        <f t="shared" si="46"/>
        <v>0</v>
      </c>
      <c r="AT129" s="118">
        <f t="shared" si="47"/>
        <v>0</v>
      </c>
      <c r="AU129" s="118">
        <f t="shared" si="48"/>
        <v>0</v>
      </c>
      <c r="AV129" s="118">
        <f t="shared" si="49"/>
        <v>0</v>
      </c>
      <c r="AW129" s="118">
        <f t="shared" si="50"/>
        <v>0</v>
      </c>
      <c r="AX129" s="118">
        <f t="shared" si="51"/>
        <v>0</v>
      </c>
      <c r="AY129" s="118">
        <f t="shared" si="52"/>
        <v>0</v>
      </c>
      <c r="AZ129" s="111">
        <f t="shared" si="53"/>
        <v>0</v>
      </c>
      <c r="BA129" s="111" t="str">
        <f t="shared" si="54"/>
        <v>F6</v>
      </c>
      <c r="BB129" s="117" t="str">
        <f>IF(AR129="","",RANK(AR129,AR$2:AR145,0))</f>
        <v/>
      </c>
      <c r="BC129" s="111" t="str">
        <f t="shared" si="55"/>
        <v/>
      </c>
    </row>
    <row r="130" spans="1:55" x14ac:dyDescent="0.35">
      <c r="A130" s="113">
        <f>'Student Basic Info'!A130</f>
        <v>629</v>
      </c>
      <c r="B130" s="113" t="str">
        <f>'Student Basic Info'!C130</f>
        <v>Khaled Bin Rahmat</v>
      </c>
      <c r="C130" s="121" t="str">
        <f>IF(Bangla!B130="","",Bangla!B130)</f>
        <v/>
      </c>
      <c r="D130" s="121" t="str">
        <f>IF(Bangla!C130="","",Bangla!C130)</f>
        <v/>
      </c>
      <c r="E130" s="112" t="str">
        <f>IF(Bangla!D130="","",Bangla!D130)</f>
        <v/>
      </c>
      <c r="F130" s="112" t="str">
        <f>IF(English!C130="","",English!C130)</f>
        <v/>
      </c>
      <c r="G130" s="113" t="str">
        <f>IF(ICT!B130="","",ICT!B130)</f>
        <v/>
      </c>
      <c r="H130" s="113" t="str">
        <f>IF(ICT!C130="","",ICT!C130)</f>
        <v/>
      </c>
      <c r="I130" s="113" t="str">
        <f>IF(ICT!D130="","",ICT!D130)</f>
        <v/>
      </c>
      <c r="J130" s="114" t="str">
        <f>IF(ICT!E130="","",ICT!E130)</f>
        <v/>
      </c>
      <c r="K130" s="113" t="str">
        <f>IF(Accounting!B130="","",Accounting!B130)</f>
        <v/>
      </c>
      <c r="L130" s="113" t="str">
        <f>IF(Accounting!C130="","",Accounting!C130)</f>
        <v/>
      </c>
      <c r="M130" s="114" t="str">
        <f>IF(Accounting!D130="","",Accounting!D130)</f>
        <v/>
      </c>
      <c r="N130" s="113" t="str">
        <f>IF('Business Organization'!B130="","",'Business Organization'!B130)</f>
        <v/>
      </c>
      <c r="O130" s="113" t="str">
        <f>IF('Business Organization'!C130="","",'Business Organization'!C130)</f>
        <v/>
      </c>
      <c r="P130" s="114" t="str">
        <f>IF('Business Organization'!D130="","",'Business Organization'!D130)</f>
        <v/>
      </c>
      <c r="Q130" s="113" t="str">
        <f>IF(SubjectList!G130="Finance",IF(Finance!B130=0,"", Finance!B130),IF(SubjectList!G130="Production",IF(Production!B130=0,"", Production!B130),IF(SubjectList!G130="Economics",IF(Economics!B130=0,"", Economics!B130))))</f>
        <v/>
      </c>
      <c r="R130" s="113" t="str">
        <f>IF(SubjectList!G130="Finance",IF(Finance!C130=0,"", Finance!C130),IF(SubjectList!G130="Production",IF(Production!C130=0,"", Production!C130),IF(SubjectList!G130="Economics",IF(Economics!C130=0,"", Economics!C130))))</f>
        <v/>
      </c>
      <c r="S130" s="114" t="str">
        <f>IF(SubjectList!G130="Finance",IF(Finance!D130=0,"", Finance!D130),IF(SubjectList!G130="Production",IF(Production!D130=0,"", Production!D130),IF(SubjectList!G130="Economics",IF(Economics!D130=0,"", Economics!D130))))</f>
        <v/>
      </c>
      <c r="T130" s="113" t="str">
        <f>IF(SubjectList!H130="Finance",IF(Finance!B130=0,"", Finance!B130),IF(SubjectList!H130="Production",IF(Production!B130=0,"", Production!B130),IF(SubjectList!H130="Economics",IF(Economics!B130=0,"", Economics!B130))))</f>
        <v/>
      </c>
      <c r="U130" s="113" t="str">
        <f>IF(SubjectList!H130="Finance",IF(Finance!C130=0,"", Finance!C130),IF(SubjectList!H130="Production",IF(Production!C130=0,"", Production!C130),IF(SubjectList!H130="Economics",IF(Economics!C130=0,"", Economics!C130))))</f>
        <v/>
      </c>
      <c r="V130" s="114" t="str">
        <f>IF(SubjectList!H130="Finance",IF(Finance!D130=0,"", Finance!D130),IF(SubjectList!H130="Production",IF(Production!D130=0,"", Production!D130),IF(SubjectList!H130="Economics",IF(Economics!D130=0,"", Economics!D130))))</f>
        <v/>
      </c>
      <c r="W130" s="115" t="str">
        <f>IF(SubjectList!G130="Finance","Finance",IF(SubjectList!G130="Production","Production",IF(SubjectList!G130="Economics","Not Given")))</f>
        <v>Finance</v>
      </c>
      <c r="X130" s="115" t="str">
        <f>IF(SubjectList!H130="Finance","Finance",IF(SubjectList!H130="Production","Production",IF(SubjectList!H130="Economics","Economics","Not Given")))</f>
        <v>Production</v>
      </c>
      <c r="Y130" s="113" t="str">
        <f>Bangla!F130</f>
        <v/>
      </c>
      <c r="Z130" s="113" t="str">
        <f>English!E130</f>
        <v/>
      </c>
      <c r="AA130" s="113" t="str">
        <f>ICT!G130</f>
        <v/>
      </c>
      <c r="AB130" s="113" t="str">
        <f>Accounting!F130</f>
        <v/>
      </c>
      <c r="AC130" s="113" t="str">
        <f>'Business Organization'!F130</f>
        <v/>
      </c>
      <c r="AD130" s="113" t="str">
        <f>Production!F130</f>
        <v/>
      </c>
      <c r="AE130" s="113" t="str">
        <f>Finance!F130</f>
        <v/>
      </c>
      <c r="AF130" s="122" t="str">
        <f>Bangla!G130</f>
        <v/>
      </c>
      <c r="AG130" s="122" t="str">
        <f>English!F130</f>
        <v/>
      </c>
      <c r="AH130" s="120" t="str">
        <f>ICT!H130</f>
        <v/>
      </c>
      <c r="AI130" s="120" t="str">
        <f>Accounting!G130</f>
        <v/>
      </c>
      <c r="AJ130" s="120" t="str">
        <f>'Business Organization'!G130</f>
        <v/>
      </c>
      <c r="AK130" s="120" t="str">
        <f>IF(SubjectList!G130="Finance",Finance!G130,IF(SubjectList!G130="Production",Production!G130,IF(SubjectList!G130="Economics",Economics!G130)))</f>
        <v/>
      </c>
      <c r="AL130" s="120" t="str">
        <f>Finance!G130</f>
        <v/>
      </c>
      <c r="AM130" s="120" t="str">
        <f>Optional!H130</f>
        <v/>
      </c>
      <c r="AN130" s="120" t="str">
        <f>Optional!I130</f>
        <v/>
      </c>
      <c r="AO130" s="120" t="str">
        <f t="shared" ref="AO130:AO145" si="56">IF(AZ130=0, "", SUM(AF130:AK130))</f>
        <v/>
      </c>
      <c r="AP130" s="120">
        <f t="shared" ref="AP130:AP145" si="57">SUM(AN130:AO130)</f>
        <v>0</v>
      </c>
      <c r="AQ130" s="116" t="str">
        <f t="shared" ref="AQ130:AQ145" si="58">IF(AZ130=6,IF(AP130&gt;=30,5,(AP130-AN130)/6),"")</f>
        <v/>
      </c>
      <c r="AR130" s="116" t="str">
        <f t="shared" ref="AR130:AR145" si="59">IF(AZ130=6, IF(AP130&gt;=30,5,AP130/6), "")</f>
        <v/>
      </c>
      <c r="AS130" s="117">
        <f t="shared" ref="AS130:AS145" si="60">IF(E130="",0,E130)+IF(F130="",0,F130)+IF(J130="",0,J130)+IF(M130="",0,M130)+IF(P130="",0,P130)+IF(S130="",0,S130)+IF(V130="",0,V130)</f>
        <v>0</v>
      </c>
      <c r="AT130" s="118">
        <f t="shared" ref="AT130:AT145" si="61">(IF(AF130="",0,IF(AF130=0,0,1)))</f>
        <v>0</v>
      </c>
      <c r="AU130" s="118">
        <f t="shared" ref="AU130:AU145" si="62">(IF(AG130="",0,IF(AG130=0,0,1)))</f>
        <v>0</v>
      </c>
      <c r="AV130" s="118">
        <f t="shared" ref="AV130:AV145" si="63">(IF(AH130="",0,IF(AH130=0,0,1)))</f>
        <v>0</v>
      </c>
      <c r="AW130" s="118">
        <f t="shared" ref="AW130:AW145" si="64">(IF(AI130="",0,IF(AI130=0,0,1)))</f>
        <v>0</v>
      </c>
      <c r="AX130" s="118">
        <f t="shared" ref="AX130:AX145" si="65">(IF(AJ130="",0,IF(AJ130=0,0,1)))</f>
        <v>0</v>
      </c>
      <c r="AY130" s="118">
        <f t="shared" ref="AY130:AY145" si="66">(IF(AK130="",0,IF(AK130=0,0,1)))</f>
        <v>0</v>
      </c>
      <c r="AZ130" s="111">
        <f t="shared" ref="AZ130:AZ145" si="67">SUM(AT130:AY130)</f>
        <v>0</v>
      </c>
      <c r="BA130" s="111" t="str">
        <f t="shared" ref="BA130:BA145" si="68">IF(AZ130=0,"F6",IF(AZ130=1,"F5",IF(AZ130=2,"F4",IF(AZ130=3,"F3",IF(AZ130=4,"F2",IF(AZ130=5,"F1",IF(AZ130=6,"Pass")))))))</f>
        <v>F6</v>
      </c>
      <c r="BB130" s="117" t="str">
        <f>IF(AR130="","",RANK(AR130,AR$2:AR145,0))</f>
        <v/>
      </c>
      <c r="BC130" s="111" t="str">
        <f t="shared" ref="BC130:BC145" si="69">IF(AR130&gt;=5,"",IF(AR130&gt;=4,"A",IF(AR130&gt;=3.5,"A-",IF(AR130&gt;=3,"B",IF(AR130&gt;=2,"C",IF(AR130&gt;=1,"D","F"))))))</f>
        <v/>
      </c>
    </row>
    <row r="131" spans="1:55" x14ac:dyDescent="0.35">
      <c r="A131" s="113">
        <f>'Student Basic Info'!A131</f>
        <v>630</v>
      </c>
      <c r="B131" s="113" t="str">
        <f>'Student Basic Info'!C131</f>
        <v>Fokhrul Islam</v>
      </c>
      <c r="C131" s="121" t="str">
        <f>IF(Bangla!B131="","",Bangla!B131)</f>
        <v/>
      </c>
      <c r="D131" s="121" t="str">
        <f>IF(Bangla!C131="","",Bangla!C131)</f>
        <v/>
      </c>
      <c r="E131" s="112" t="str">
        <f>IF(Bangla!D131="","",Bangla!D131)</f>
        <v/>
      </c>
      <c r="F131" s="112" t="str">
        <f>IF(English!C131="","",English!C131)</f>
        <v/>
      </c>
      <c r="G131" s="113" t="str">
        <f>IF(ICT!B131="","",ICT!B131)</f>
        <v/>
      </c>
      <c r="H131" s="113" t="str">
        <f>IF(ICT!C131="","",ICT!C131)</f>
        <v/>
      </c>
      <c r="I131" s="113" t="str">
        <f>IF(ICT!D131="","",ICT!D131)</f>
        <v/>
      </c>
      <c r="J131" s="114" t="str">
        <f>IF(ICT!E131="","",ICT!E131)</f>
        <v/>
      </c>
      <c r="K131" s="113" t="str">
        <f>IF(Accounting!B131="","",Accounting!B131)</f>
        <v/>
      </c>
      <c r="L131" s="113" t="str">
        <f>IF(Accounting!C131="","",Accounting!C131)</f>
        <v/>
      </c>
      <c r="M131" s="114" t="str">
        <f>IF(Accounting!D131="","",Accounting!D131)</f>
        <v/>
      </c>
      <c r="N131" s="113" t="str">
        <f>IF('Business Organization'!B131="","",'Business Organization'!B131)</f>
        <v/>
      </c>
      <c r="O131" s="113" t="str">
        <f>IF('Business Organization'!C131="","",'Business Organization'!C131)</f>
        <v/>
      </c>
      <c r="P131" s="114" t="str">
        <f>IF('Business Organization'!D131="","",'Business Organization'!D131)</f>
        <v/>
      </c>
      <c r="Q131" s="113" t="str">
        <f>IF(SubjectList!G131="Finance",IF(Finance!B131=0,"", Finance!B131),IF(SubjectList!G131="Production",IF(Production!B131=0,"", Production!B131),IF(SubjectList!G131="Economics",IF(Economics!B131=0,"", Economics!B131))))</f>
        <v/>
      </c>
      <c r="R131" s="113" t="str">
        <f>IF(SubjectList!G131="Finance",IF(Finance!C131=0,"", Finance!C131),IF(SubjectList!G131="Production",IF(Production!C131=0,"", Production!C131),IF(SubjectList!G131="Economics",IF(Economics!C131=0,"", Economics!C131))))</f>
        <v/>
      </c>
      <c r="S131" s="114" t="str">
        <f>IF(SubjectList!G131="Finance",IF(Finance!D131=0,"", Finance!D131),IF(SubjectList!G131="Production",IF(Production!D131=0,"", Production!D131),IF(SubjectList!G131="Economics",IF(Economics!D131=0,"", Economics!D131))))</f>
        <v/>
      </c>
      <c r="T131" s="113" t="str">
        <f>IF(SubjectList!H131="Finance",IF(Finance!B131=0,"", Finance!B131),IF(SubjectList!H131="Production",IF(Production!B131=0,"", Production!B131),IF(SubjectList!H131="Economics",IF(Economics!B131=0,"", Economics!B131))))</f>
        <v/>
      </c>
      <c r="U131" s="113" t="str">
        <f>IF(SubjectList!H131="Finance",IF(Finance!C131=0,"", Finance!C131),IF(SubjectList!H131="Production",IF(Production!C131=0,"", Production!C131),IF(SubjectList!H131="Economics",IF(Economics!C131=0,"", Economics!C131))))</f>
        <v/>
      </c>
      <c r="V131" s="114" t="str">
        <f>IF(SubjectList!H131="Finance",IF(Finance!D131=0,"", Finance!D131),IF(SubjectList!H131="Production",IF(Production!D131=0,"", Production!D131),IF(SubjectList!H131="Economics",IF(Economics!D131=0,"", Economics!D131))))</f>
        <v/>
      </c>
      <c r="W131" s="115" t="str">
        <f>IF(SubjectList!G131="Finance","Finance",IF(SubjectList!G131="Production","Production",IF(SubjectList!G131="Economics","Not Given")))</f>
        <v>Finance</v>
      </c>
      <c r="X131" s="115" t="str">
        <f>IF(SubjectList!H131="Finance","Finance",IF(SubjectList!H131="Production","Production",IF(SubjectList!H131="Economics","Economics","Not Given")))</f>
        <v>Economics</v>
      </c>
      <c r="Y131" s="113" t="str">
        <f>Bangla!F131</f>
        <v/>
      </c>
      <c r="Z131" s="113" t="str">
        <f>English!E131</f>
        <v/>
      </c>
      <c r="AA131" s="113" t="str">
        <f>ICT!G131</f>
        <v/>
      </c>
      <c r="AB131" s="113" t="str">
        <f>Accounting!F131</f>
        <v/>
      </c>
      <c r="AC131" s="113" t="str">
        <f>'Business Organization'!F131</f>
        <v/>
      </c>
      <c r="AD131" s="113" t="str">
        <f>Production!F131</f>
        <v/>
      </c>
      <c r="AE131" s="113" t="str">
        <f>Finance!F131</f>
        <v/>
      </c>
      <c r="AF131" s="122" t="str">
        <f>Bangla!G131</f>
        <v/>
      </c>
      <c r="AG131" s="122" t="str">
        <f>English!F131</f>
        <v/>
      </c>
      <c r="AH131" s="120" t="str">
        <f>ICT!H131</f>
        <v/>
      </c>
      <c r="AI131" s="120" t="str">
        <f>Accounting!G131</f>
        <v/>
      </c>
      <c r="AJ131" s="120" t="str">
        <f>'Business Organization'!G131</f>
        <v/>
      </c>
      <c r="AK131" s="120" t="str">
        <f>IF(SubjectList!G131="Finance",Finance!G131,IF(SubjectList!G131="Production",Production!G131,IF(SubjectList!G131="Economics",Economics!G131)))</f>
        <v/>
      </c>
      <c r="AL131" s="120" t="str">
        <f>Finance!G131</f>
        <v/>
      </c>
      <c r="AM131" s="120" t="str">
        <f>Optional!H131</f>
        <v/>
      </c>
      <c r="AN131" s="120" t="str">
        <f>Optional!I131</f>
        <v/>
      </c>
      <c r="AO131" s="120" t="str">
        <f t="shared" si="56"/>
        <v/>
      </c>
      <c r="AP131" s="120">
        <f t="shared" si="57"/>
        <v>0</v>
      </c>
      <c r="AQ131" s="116" t="str">
        <f t="shared" si="58"/>
        <v/>
      </c>
      <c r="AR131" s="116" t="str">
        <f t="shared" si="59"/>
        <v/>
      </c>
      <c r="AS131" s="117">
        <f t="shared" si="60"/>
        <v>0</v>
      </c>
      <c r="AT131" s="118">
        <f t="shared" si="61"/>
        <v>0</v>
      </c>
      <c r="AU131" s="118">
        <f t="shared" si="62"/>
        <v>0</v>
      </c>
      <c r="AV131" s="118">
        <f t="shared" si="63"/>
        <v>0</v>
      </c>
      <c r="AW131" s="118">
        <f t="shared" si="64"/>
        <v>0</v>
      </c>
      <c r="AX131" s="118">
        <f t="shared" si="65"/>
        <v>0</v>
      </c>
      <c r="AY131" s="118">
        <f t="shared" si="66"/>
        <v>0</v>
      </c>
      <c r="AZ131" s="111">
        <f t="shared" si="67"/>
        <v>0</v>
      </c>
      <c r="BA131" s="111" t="str">
        <f t="shared" si="68"/>
        <v>F6</v>
      </c>
      <c r="BB131" s="117" t="str">
        <f>IF(AR131="","",RANK(AR131,AR$2:AR145,0))</f>
        <v/>
      </c>
      <c r="BC131" s="111" t="str">
        <f t="shared" si="69"/>
        <v/>
      </c>
    </row>
    <row r="132" spans="1:55" x14ac:dyDescent="0.35">
      <c r="A132" s="113">
        <f>'Student Basic Info'!A132</f>
        <v>631</v>
      </c>
      <c r="B132" s="113" t="str">
        <f>'Student Basic Info'!C132</f>
        <v>Zihad Hossain</v>
      </c>
      <c r="C132" s="121" t="str">
        <f>IF(Bangla!B132="","",Bangla!B132)</f>
        <v/>
      </c>
      <c r="D132" s="121" t="str">
        <f>IF(Bangla!C132="","",Bangla!C132)</f>
        <v/>
      </c>
      <c r="E132" s="112" t="str">
        <f>IF(Bangla!D132="","",Bangla!D132)</f>
        <v/>
      </c>
      <c r="F132" s="112" t="str">
        <f>IF(English!C132="","",English!C132)</f>
        <v/>
      </c>
      <c r="G132" s="113" t="str">
        <f>IF(ICT!B132="","",ICT!B132)</f>
        <v/>
      </c>
      <c r="H132" s="113" t="str">
        <f>IF(ICT!C132="","",ICT!C132)</f>
        <v/>
      </c>
      <c r="I132" s="113" t="str">
        <f>IF(ICT!D132="","",ICT!D132)</f>
        <v/>
      </c>
      <c r="J132" s="114" t="str">
        <f>IF(ICT!E132="","",ICT!E132)</f>
        <v/>
      </c>
      <c r="K132" s="113" t="str">
        <f>IF(Accounting!B132="","",Accounting!B132)</f>
        <v/>
      </c>
      <c r="L132" s="113" t="str">
        <f>IF(Accounting!C132="","",Accounting!C132)</f>
        <v/>
      </c>
      <c r="M132" s="114" t="str">
        <f>IF(Accounting!D132="","",Accounting!D132)</f>
        <v/>
      </c>
      <c r="N132" s="113" t="str">
        <f>IF('Business Organization'!B132="","",'Business Organization'!B132)</f>
        <v/>
      </c>
      <c r="O132" s="113" t="str">
        <f>IF('Business Organization'!C132="","",'Business Organization'!C132)</f>
        <v/>
      </c>
      <c r="P132" s="114" t="str">
        <f>IF('Business Organization'!D132="","",'Business Organization'!D132)</f>
        <v/>
      </c>
      <c r="Q132" s="113" t="str">
        <f>IF(SubjectList!G132="Finance",IF(Finance!B132=0,"", Finance!B132),IF(SubjectList!G132="Production",IF(Production!B132=0,"", Production!B132),IF(SubjectList!G132="Economics",IF(Economics!B132=0,"", Economics!B132))))</f>
        <v/>
      </c>
      <c r="R132" s="113" t="str">
        <f>IF(SubjectList!G132="Finance",IF(Finance!C132=0,"", Finance!C132),IF(SubjectList!G132="Production",IF(Production!C132=0,"", Production!C132),IF(SubjectList!G132="Economics",IF(Economics!C132=0,"", Economics!C132))))</f>
        <v/>
      </c>
      <c r="S132" s="114" t="str">
        <f>IF(SubjectList!G132="Finance",IF(Finance!D132=0,"", Finance!D132),IF(SubjectList!G132="Production",IF(Production!D132=0,"", Production!D132),IF(SubjectList!G132="Economics",IF(Economics!D132=0,"", Economics!D132))))</f>
        <v/>
      </c>
      <c r="T132" s="113" t="str">
        <f>IF(SubjectList!H132="Finance",IF(Finance!B132=0,"", Finance!B132),IF(SubjectList!H132="Production",IF(Production!B132=0,"", Production!B132),IF(SubjectList!H132="Economics",IF(Economics!B132=0,"", Economics!B132))))</f>
        <v/>
      </c>
      <c r="U132" s="113" t="str">
        <f>IF(SubjectList!H132="Finance",IF(Finance!C132=0,"", Finance!C132),IF(SubjectList!H132="Production",IF(Production!C132=0,"", Production!C132),IF(SubjectList!H132="Economics",IF(Economics!C132=0,"", Economics!C132))))</f>
        <v/>
      </c>
      <c r="V132" s="114" t="str">
        <f>IF(SubjectList!H132="Finance",IF(Finance!D132=0,"", Finance!D132),IF(SubjectList!H132="Production",IF(Production!D132=0,"", Production!D132),IF(SubjectList!H132="Economics",IF(Economics!D132=0,"", Economics!D132))))</f>
        <v/>
      </c>
      <c r="W132" s="115" t="str">
        <f>IF(SubjectList!G132="Finance","Finance",IF(SubjectList!G132="Production","Production",IF(SubjectList!G132="Economics","Not Given")))</f>
        <v>Finance</v>
      </c>
      <c r="X132" s="115" t="str">
        <f>IF(SubjectList!H132="Finance","Finance",IF(SubjectList!H132="Production","Production",IF(SubjectList!H132="Economics","Economics","Not Given")))</f>
        <v>Production</v>
      </c>
      <c r="Y132" s="113" t="str">
        <f>Bangla!F132</f>
        <v/>
      </c>
      <c r="Z132" s="113" t="str">
        <f>English!E132</f>
        <v/>
      </c>
      <c r="AA132" s="113" t="str">
        <f>ICT!G132</f>
        <v/>
      </c>
      <c r="AB132" s="113" t="str">
        <f>Accounting!F132</f>
        <v/>
      </c>
      <c r="AC132" s="113" t="str">
        <f>'Business Organization'!F132</f>
        <v/>
      </c>
      <c r="AD132" s="113" t="str">
        <f>Production!F132</f>
        <v/>
      </c>
      <c r="AE132" s="113" t="str">
        <f>Finance!F132</f>
        <v/>
      </c>
      <c r="AF132" s="122" t="str">
        <f>Bangla!G132</f>
        <v/>
      </c>
      <c r="AG132" s="122" t="str">
        <f>English!F132</f>
        <v/>
      </c>
      <c r="AH132" s="120" t="str">
        <f>ICT!H132</f>
        <v/>
      </c>
      <c r="AI132" s="120" t="str">
        <f>Accounting!G132</f>
        <v/>
      </c>
      <c r="AJ132" s="120" t="str">
        <f>'Business Organization'!G132</f>
        <v/>
      </c>
      <c r="AK132" s="120" t="str">
        <f>IF(SubjectList!G132="Finance",Finance!G132,IF(SubjectList!G132="Production",Production!G132,IF(SubjectList!G132="Economics",Economics!G132)))</f>
        <v/>
      </c>
      <c r="AL132" s="120" t="str">
        <f>Finance!G132</f>
        <v/>
      </c>
      <c r="AM132" s="120" t="str">
        <f>Optional!H132</f>
        <v/>
      </c>
      <c r="AN132" s="120" t="str">
        <f>Optional!I132</f>
        <v/>
      </c>
      <c r="AO132" s="120" t="str">
        <f t="shared" si="56"/>
        <v/>
      </c>
      <c r="AP132" s="120">
        <f t="shared" si="57"/>
        <v>0</v>
      </c>
      <c r="AQ132" s="116" t="str">
        <f t="shared" si="58"/>
        <v/>
      </c>
      <c r="AR132" s="116" t="str">
        <f t="shared" si="59"/>
        <v/>
      </c>
      <c r="AS132" s="117">
        <f t="shared" si="60"/>
        <v>0</v>
      </c>
      <c r="AT132" s="118">
        <f t="shared" si="61"/>
        <v>0</v>
      </c>
      <c r="AU132" s="118">
        <f t="shared" si="62"/>
        <v>0</v>
      </c>
      <c r="AV132" s="118">
        <f t="shared" si="63"/>
        <v>0</v>
      </c>
      <c r="AW132" s="118">
        <f t="shared" si="64"/>
        <v>0</v>
      </c>
      <c r="AX132" s="118">
        <f t="shared" si="65"/>
        <v>0</v>
      </c>
      <c r="AY132" s="118">
        <f t="shared" si="66"/>
        <v>0</v>
      </c>
      <c r="AZ132" s="111">
        <f t="shared" si="67"/>
        <v>0</v>
      </c>
      <c r="BA132" s="111" t="str">
        <f t="shared" si="68"/>
        <v>F6</v>
      </c>
      <c r="BB132" s="117" t="str">
        <f>IF(AR132="","",RANK(AR132,AR$2:AR145,0))</f>
        <v/>
      </c>
      <c r="BC132" s="111" t="str">
        <f t="shared" si="69"/>
        <v/>
      </c>
    </row>
    <row r="133" spans="1:55" x14ac:dyDescent="0.35">
      <c r="A133" s="113">
        <f>'Student Basic Info'!A133</f>
        <v>632</v>
      </c>
      <c r="B133" s="113" t="str">
        <f>'Student Basic Info'!C133</f>
        <v>Ayesha Khatun</v>
      </c>
      <c r="C133" s="121" t="str">
        <f>IF(Bangla!B133="","",Bangla!B133)</f>
        <v/>
      </c>
      <c r="D133" s="121" t="str">
        <f>IF(Bangla!C133="","",Bangla!C133)</f>
        <v/>
      </c>
      <c r="E133" s="112" t="str">
        <f>IF(Bangla!D133="","",Bangla!D133)</f>
        <v/>
      </c>
      <c r="F133" s="112" t="str">
        <f>IF(English!C133="","",English!C133)</f>
        <v/>
      </c>
      <c r="G133" s="113" t="str">
        <f>IF(ICT!B133="","",ICT!B133)</f>
        <v/>
      </c>
      <c r="H133" s="113" t="str">
        <f>IF(ICT!C133="","",ICT!C133)</f>
        <v/>
      </c>
      <c r="I133" s="113" t="str">
        <f>IF(ICT!D133="","",ICT!D133)</f>
        <v/>
      </c>
      <c r="J133" s="114" t="str">
        <f>IF(ICT!E133="","",ICT!E133)</f>
        <v/>
      </c>
      <c r="K133" s="113" t="str">
        <f>IF(Accounting!B133="","",Accounting!B133)</f>
        <v/>
      </c>
      <c r="L133" s="113" t="str">
        <f>IF(Accounting!C133="","",Accounting!C133)</f>
        <v/>
      </c>
      <c r="M133" s="114" t="str">
        <f>IF(Accounting!D133="","",Accounting!D133)</f>
        <v/>
      </c>
      <c r="N133" s="113" t="str">
        <f>IF('Business Organization'!B133="","",'Business Organization'!B133)</f>
        <v/>
      </c>
      <c r="O133" s="113" t="str">
        <f>IF('Business Organization'!C133="","",'Business Organization'!C133)</f>
        <v/>
      </c>
      <c r="P133" s="114" t="str">
        <f>IF('Business Organization'!D133="","",'Business Organization'!D133)</f>
        <v/>
      </c>
      <c r="Q133" s="113" t="str">
        <f>IF(SubjectList!G133="Finance",IF(Finance!B133=0,"", Finance!B133),IF(SubjectList!G133="Production",IF(Production!B133=0,"", Production!B133),IF(SubjectList!G133="Economics",IF(Economics!B133=0,"", Economics!B133))))</f>
        <v/>
      </c>
      <c r="R133" s="113" t="str">
        <f>IF(SubjectList!G133="Finance",IF(Finance!C133=0,"", Finance!C133),IF(SubjectList!G133="Production",IF(Production!C133=0,"", Production!C133),IF(SubjectList!G133="Economics",IF(Economics!C133=0,"", Economics!C133))))</f>
        <v/>
      </c>
      <c r="S133" s="114" t="str">
        <f>IF(SubjectList!G133="Finance",IF(Finance!D133=0,"", Finance!D133),IF(SubjectList!G133="Production",IF(Production!D133=0,"", Production!D133),IF(SubjectList!G133="Economics",IF(Economics!D133=0,"", Economics!D133))))</f>
        <v/>
      </c>
      <c r="T133" s="113" t="str">
        <f>IF(SubjectList!H133="Finance",IF(Finance!B133=0,"", Finance!B133),IF(SubjectList!H133="Production",IF(Production!B133=0,"", Production!B133),IF(SubjectList!H133="Economics",IF(Economics!B133=0,"", Economics!B133))))</f>
        <v/>
      </c>
      <c r="U133" s="113" t="str">
        <f>IF(SubjectList!H133="Finance",IF(Finance!C133=0,"", Finance!C133),IF(SubjectList!H133="Production",IF(Production!C133=0,"", Production!C133),IF(SubjectList!H133="Economics",IF(Economics!C133=0,"", Economics!C133))))</f>
        <v/>
      </c>
      <c r="V133" s="114" t="str">
        <f>IF(SubjectList!H133="Finance",IF(Finance!D133=0,"", Finance!D133),IF(SubjectList!H133="Production",IF(Production!D133=0,"", Production!D133),IF(SubjectList!H133="Economics",IF(Economics!D133=0,"", Economics!D133))))</f>
        <v/>
      </c>
      <c r="W133" s="115" t="str">
        <f>IF(SubjectList!G133="Finance","Finance",IF(SubjectList!G133="Production","Production",IF(SubjectList!G133="Economics","Not Given")))</f>
        <v>Finance</v>
      </c>
      <c r="X133" s="115" t="str">
        <f>IF(SubjectList!H133="Finance","Finance",IF(SubjectList!H133="Production","Production",IF(SubjectList!H133="Economics","Economics","Not Given")))</f>
        <v>Production</v>
      </c>
      <c r="Y133" s="113" t="str">
        <f>Bangla!F133</f>
        <v/>
      </c>
      <c r="Z133" s="113" t="str">
        <f>English!E133</f>
        <v/>
      </c>
      <c r="AA133" s="113" t="str">
        <f>ICT!G133</f>
        <v/>
      </c>
      <c r="AB133" s="113" t="str">
        <f>Accounting!F133</f>
        <v/>
      </c>
      <c r="AC133" s="113" t="str">
        <f>'Business Organization'!F133</f>
        <v/>
      </c>
      <c r="AD133" s="113" t="str">
        <f>Production!F133</f>
        <v/>
      </c>
      <c r="AE133" s="113" t="str">
        <f>Finance!F133</f>
        <v/>
      </c>
      <c r="AF133" s="122" t="str">
        <f>Bangla!G133</f>
        <v/>
      </c>
      <c r="AG133" s="122" t="str">
        <f>English!F133</f>
        <v/>
      </c>
      <c r="AH133" s="120" t="str">
        <f>ICT!H133</f>
        <v/>
      </c>
      <c r="AI133" s="120" t="str">
        <f>Accounting!G133</f>
        <v/>
      </c>
      <c r="AJ133" s="120" t="str">
        <f>'Business Organization'!G133</f>
        <v/>
      </c>
      <c r="AK133" s="120" t="str">
        <f>IF(SubjectList!G133="Finance",Finance!G133,IF(SubjectList!G133="Production",Production!G133,IF(SubjectList!G133="Economics",Economics!G133)))</f>
        <v/>
      </c>
      <c r="AL133" s="120" t="str">
        <f>Finance!G133</f>
        <v/>
      </c>
      <c r="AM133" s="120" t="str">
        <f>Optional!H133</f>
        <v/>
      </c>
      <c r="AN133" s="120" t="str">
        <f>Optional!I133</f>
        <v/>
      </c>
      <c r="AO133" s="120" t="str">
        <f t="shared" si="56"/>
        <v/>
      </c>
      <c r="AP133" s="120">
        <f t="shared" si="57"/>
        <v>0</v>
      </c>
      <c r="AQ133" s="116" t="str">
        <f t="shared" si="58"/>
        <v/>
      </c>
      <c r="AR133" s="116" t="str">
        <f t="shared" si="59"/>
        <v/>
      </c>
      <c r="AS133" s="117">
        <f t="shared" si="60"/>
        <v>0</v>
      </c>
      <c r="AT133" s="118">
        <f t="shared" si="61"/>
        <v>0</v>
      </c>
      <c r="AU133" s="118">
        <f t="shared" si="62"/>
        <v>0</v>
      </c>
      <c r="AV133" s="118">
        <f t="shared" si="63"/>
        <v>0</v>
      </c>
      <c r="AW133" s="118">
        <f t="shared" si="64"/>
        <v>0</v>
      </c>
      <c r="AX133" s="118">
        <f t="shared" si="65"/>
        <v>0</v>
      </c>
      <c r="AY133" s="118">
        <f t="shared" si="66"/>
        <v>0</v>
      </c>
      <c r="AZ133" s="111">
        <f t="shared" si="67"/>
        <v>0</v>
      </c>
      <c r="BA133" s="111" t="str">
        <f t="shared" si="68"/>
        <v>F6</v>
      </c>
      <c r="BB133" s="117" t="str">
        <f>IF(AR133="","",RANK(AR133,AR$2:AR145,0))</f>
        <v/>
      </c>
      <c r="BC133" s="111" t="str">
        <f t="shared" si="69"/>
        <v/>
      </c>
    </row>
    <row r="134" spans="1:55" x14ac:dyDescent="0.35">
      <c r="A134" s="113">
        <f>'Student Basic Info'!A134</f>
        <v>633</v>
      </c>
      <c r="B134" s="113" t="str">
        <f>'Student Basic Info'!C134</f>
        <v>Ismail Hossain</v>
      </c>
      <c r="C134" s="121" t="str">
        <f>IF(Bangla!B134="","",Bangla!B134)</f>
        <v/>
      </c>
      <c r="D134" s="121" t="str">
        <f>IF(Bangla!C134="","",Bangla!C134)</f>
        <v/>
      </c>
      <c r="E134" s="112" t="str">
        <f>IF(Bangla!D134="","",Bangla!D134)</f>
        <v/>
      </c>
      <c r="F134" s="112" t="str">
        <f>IF(English!C134="","",English!C134)</f>
        <v/>
      </c>
      <c r="G134" s="113" t="str">
        <f>IF(ICT!B134="","",ICT!B134)</f>
        <v/>
      </c>
      <c r="H134" s="113" t="str">
        <f>IF(ICT!C134="","",ICT!C134)</f>
        <v/>
      </c>
      <c r="I134" s="113" t="str">
        <f>IF(ICT!D134="","",ICT!D134)</f>
        <v/>
      </c>
      <c r="J134" s="114" t="str">
        <f>IF(ICT!E134="","",ICT!E134)</f>
        <v/>
      </c>
      <c r="K134" s="113" t="str">
        <f>IF(Accounting!B134="","",Accounting!B134)</f>
        <v/>
      </c>
      <c r="L134" s="113" t="str">
        <f>IF(Accounting!C134="","",Accounting!C134)</f>
        <v/>
      </c>
      <c r="M134" s="114" t="str">
        <f>IF(Accounting!D134="","",Accounting!D134)</f>
        <v/>
      </c>
      <c r="N134" s="113" t="str">
        <f>IF('Business Organization'!B134="","",'Business Organization'!B134)</f>
        <v/>
      </c>
      <c r="O134" s="113" t="str">
        <f>IF('Business Organization'!C134="","",'Business Organization'!C134)</f>
        <v/>
      </c>
      <c r="P134" s="114" t="str">
        <f>IF('Business Organization'!D134="","",'Business Organization'!D134)</f>
        <v/>
      </c>
      <c r="Q134" s="113" t="str">
        <f>IF(SubjectList!G134="Finance",IF(Finance!B134=0,"", Finance!B134),IF(SubjectList!G134="Production",IF(Production!B134=0,"", Production!B134),IF(SubjectList!G134="Economics",IF(Economics!B134=0,"", Economics!B134))))</f>
        <v/>
      </c>
      <c r="R134" s="113" t="str">
        <f>IF(SubjectList!G134="Finance",IF(Finance!C134=0,"", Finance!C134),IF(SubjectList!G134="Production",IF(Production!C134=0,"", Production!C134),IF(SubjectList!G134="Economics",IF(Economics!C134=0,"", Economics!C134))))</f>
        <v/>
      </c>
      <c r="S134" s="114" t="str">
        <f>IF(SubjectList!G134="Finance",IF(Finance!D134=0,"", Finance!D134),IF(SubjectList!G134="Production",IF(Production!D134=0,"", Production!D134),IF(SubjectList!G134="Economics",IF(Economics!D134=0,"", Economics!D134))))</f>
        <v/>
      </c>
      <c r="T134" s="113" t="str">
        <f>IF(SubjectList!H134="Finance",IF(Finance!B134=0,"", Finance!B134),IF(SubjectList!H134="Production",IF(Production!B134=0,"", Production!B134),IF(SubjectList!H134="Economics",IF(Economics!B134=0,"", Economics!B134))))</f>
        <v/>
      </c>
      <c r="U134" s="113" t="str">
        <f>IF(SubjectList!H134="Finance",IF(Finance!C134=0,"", Finance!C134),IF(SubjectList!H134="Production",IF(Production!C134=0,"", Production!C134),IF(SubjectList!H134="Economics",IF(Economics!C134=0,"", Economics!C134))))</f>
        <v/>
      </c>
      <c r="V134" s="114" t="str">
        <f>IF(SubjectList!H134="Finance",IF(Finance!D134=0,"", Finance!D134),IF(SubjectList!H134="Production",IF(Production!D134=0,"", Production!D134),IF(SubjectList!H134="Economics",IF(Economics!D134=0,"", Economics!D134))))</f>
        <v/>
      </c>
      <c r="W134" s="115" t="str">
        <f>IF(SubjectList!G134="Finance","Finance",IF(SubjectList!G134="Production","Production",IF(SubjectList!G134="Economics","Not Given")))</f>
        <v>Production</v>
      </c>
      <c r="X134" s="115" t="str">
        <f>IF(SubjectList!H134="Finance","Finance",IF(SubjectList!H134="Production","Production",IF(SubjectList!H134="Economics","Economics","Not Given")))</f>
        <v>Economics</v>
      </c>
      <c r="Y134" s="113" t="str">
        <f>Bangla!F134</f>
        <v/>
      </c>
      <c r="Z134" s="113" t="str">
        <f>English!E134</f>
        <v/>
      </c>
      <c r="AA134" s="113" t="str">
        <f>ICT!G134</f>
        <v/>
      </c>
      <c r="AB134" s="113" t="str">
        <f>Accounting!F134</f>
        <v/>
      </c>
      <c r="AC134" s="113" t="str">
        <f>'Business Organization'!F134</f>
        <v/>
      </c>
      <c r="AD134" s="113" t="str">
        <f>Production!F134</f>
        <v/>
      </c>
      <c r="AE134" s="113" t="str">
        <f>Finance!F134</f>
        <v/>
      </c>
      <c r="AF134" s="122" t="str">
        <f>Bangla!G134</f>
        <v/>
      </c>
      <c r="AG134" s="122" t="str">
        <f>English!F134</f>
        <v/>
      </c>
      <c r="AH134" s="120" t="str">
        <f>ICT!H134</f>
        <v/>
      </c>
      <c r="AI134" s="120" t="str">
        <f>Accounting!G134</f>
        <v/>
      </c>
      <c r="AJ134" s="120" t="str">
        <f>'Business Organization'!G134</f>
        <v/>
      </c>
      <c r="AK134" s="120" t="str">
        <f>IF(SubjectList!G134="Finance",Finance!G134,IF(SubjectList!G134="Production",Production!G134,IF(SubjectList!G134="Economics",Economics!G134)))</f>
        <v/>
      </c>
      <c r="AL134" s="120" t="str">
        <f>Finance!G134</f>
        <v/>
      </c>
      <c r="AM134" s="120" t="str">
        <f>Optional!H134</f>
        <v/>
      </c>
      <c r="AN134" s="120" t="str">
        <f>Optional!I134</f>
        <v/>
      </c>
      <c r="AO134" s="120" t="str">
        <f t="shared" si="56"/>
        <v/>
      </c>
      <c r="AP134" s="120">
        <f t="shared" si="57"/>
        <v>0</v>
      </c>
      <c r="AQ134" s="116" t="str">
        <f t="shared" si="58"/>
        <v/>
      </c>
      <c r="AR134" s="116" t="str">
        <f t="shared" si="59"/>
        <v/>
      </c>
      <c r="AS134" s="117">
        <f t="shared" si="60"/>
        <v>0</v>
      </c>
      <c r="AT134" s="118">
        <f t="shared" si="61"/>
        <v>0</v>
      </c>
      <c r="AU134" s="118">
        <f t="shared" si="62"/>
        <v>0</v>
      </c>
      <c r="AV134" s="118">
        <f t="shared" si="63"/>
        <v>0</v>
      </c>
      <c r="AW134" s="118">
        <f t="shared" si="64"/>
        <v>0</v>
      </c>
      <c r="AX134" s="118">
        <f t="shared" si="65"/>
        <v>0</v>
      </c>
      <c r="AY134" s="118">
        <f t="shared" si="66"/>
        <v>0</v>
      </c>
      <c r="AZ134" s="111">
        <f t="shared" si="67"/>
        <v>0</v>
      </c>
      <c r="BA134" s="111" t="str">
        <f t="shared" si="68"/>
        <v>F6</v>
      </c>
      <c r="BB134" s="117" t="str">
        <f>IF(AR134="","",RANK(AR134,AR$2:AR145,0))</f>
        <v/>
      </c>
      <c r="BC134" s="111" t="str">
        <f t="shared" si="69"/>
        <v/>
      </c>
    </row>
    <row r="135" spans="1:55" x14ac:dyDescent="0.35">
      <c r="A135" s="113">
        <f>'Student Basic Info'!A135</f>
        <v>634</v>
      </c>
      <c r="B135" s="113" t="str">
        <f>'Student Basic Info'!C135</f>
        <v>Md. Shahadat Hossain</v>
      </c>
      <c r="C135" s="121" t="str">
        <f>IF(Bangla!B135="","",Bangla!B135)</f>
        <v/>
      </c>
      <c r="D135" s="121" t="str">
        <f>IF(Bangla!C135="","",Bangla!C135)</f>
        <v/>
      </c>
      <c r="E135" s="112" t="str">
        <f>IF(Bangla!D135="","",Bangla!D135)</f>
        <v/>
      </c>
      <c r="F135" s="112" t="str">
        <f>IF(English!C135="","",English!C135)</f>
        <v/>
      </c>
      <c r="G135" s="113" t="str">
        <f>IF(ICT!B135="","",ICT!B135)</f>
        <v/>
      </c>
      <c r="H135" s="113" t="str">
        <f>IF(ICT!C135="","",ICT!C135)</f>
        <v/>
      </c>
      <c r="I135" s="113" t="str">
        <f>IF(ICT!D135="","",ICT!D135)</f>
        <v/>
      </c>
      <c r="J135" s="114" t="str">
        <f>IF(ICT!E135="","",ICT!E135)</f>
        <v/>
      </c>
      <c r="K135" s="113" t="str">
        <f>IF(Accounting!B135="","",Accounting!B135)</f>
        <v/>
      </c>
      <c r="L135" s="113" t="str">
        <f>IF(Accounting!C135="","",Accounting!C135)</f>
        <v/>
      </c>
      <c r="M135" s="114" t="str">
        <f>IF(Accounting!D135="","",Accounting!D135)</f>
        <v/>
      </c>
      <c r="N135" s="113" t="str">
        <f>IF('Business Organization'!B135="","",'Business Organization'!B135)</f>
        <v/>
      </c>
      <c r="O135" s="113" t="str">
        <f>IF('Business Organization'!C135="","",'Business Organization'!C135)</f>
        <v/>
      </c>
      <c r="P135" s="114" t="str">
        <f>IF('Business Organization'!D135="","",'Business Organization'!D135)</f>
        <v/>
      </c>
      <c r="Q135" s="113" t="str">
        <f>IF(SubjectList!G135="Finance",IF(Finance!B135=0,"", Finance!B135),IF(SubjectList!G135="Production",IF(Production!B135=0,"", Production!B135),IF(SubjectList!G135="Economics",IF(Economics!B135=0,"", Economics!B135))))</f>
        <v/>
      </c>
      <c r="R135" s="113" t="str">
        <f>IF(SubjectList!G135="Finance",IF(Finance!C135=0,"", Finance!C135),IF(SubjectList!G135="Production",IF(Production!C135=0,"", Production!C135),IF(SubjectList!G135="Economics",IF(Economics!C135=0,"", Economics!C135))))</f>
        <v/>
      </c>
      <c r="S135" s="114" t="str">
        <f>IF(SubjectList!G135="Finance",IF(Finance!D135=0,"", Finance!D135),IF(SubjectList!G135="Production",IF(Production!D135=0,"", Production!D135),IF(SubjectList!G135="Economics",IF(Economics!D135=0,"", Economics!D135))))</f>
        <v/>
      </c>
      <c r="T135" s="113" t="str">
        <f>IF(SubjectList!H135="Finance",IF(Finance!B135=0,"", Finance!B135),IF(SubjectList!H135="Production",IF(Production!B135=0,"", Production!B135),IF(SubjectList!H135="Economics",IF(Economics!B135=0,"", Economics!B135))))</f>
        <v/>
      </c>
      <c r="U135" s="113" t="str">
        <f>IF(SubjectList!H135="Finance",IF(Finance!C135=0,"", Finance!C135),IF(SubjectList!H135="Production",IF(Production!C135=0,"", Production!C135),IF(SubjectList!H135="Economics",IF(Economics!C135=0,"", Economics!C135))))</f>
        <v/>
      </c>
      <c r="V135" s="114" t="str">
        <f>IF(SubjectList!H135="Finance",IF(Finance!D135=0,"", Finance!D135),IF(SubjectList!H135="Production",IF(Production!D135=0,"", Production!D135),IF(SubjectList!H135="Economics",IF(Economics!D135=0,"", Economics!D135))))</f>
        <v/>
      </c>
      <c r="W135" s="115" t="str">
        <f>IF(SubjectList!G135="Finance","Finance",IF(SubjectList!G135="Production","Production",IF(SubjectList!G135="Economics","Not Given")))</f>
        <v>Finance</v>
      </c>
      <c r="X135" s="115" t="str">
        <f>IF(SubjectList!H135="Finance","Finance",IF(SubjectList!H135="Production","Production",IF(SubjectList!H135="Economics","Economics","Not Given")))</f>
        <v>Production</v>
      </c>
      <c r="Y135" s="113" t="str">
        <f>Bangla!F135</f>
        <v/>
      </c>
      <c r="Z135" s="113" t="str">
        <f>English!E135</f>
        <v/>
      </c>
      <c r="AA135" s="113" t="str">
        <f>ICT!G135</f>
        <v/>
      </c>
      <c r="AB135" s="113" t="str">
        <f>Accounting!F135</f>
        <v/>
      </c>
      <c r="AC135" s="113" t="str">
        <f>'Business Organization'!F135</f>
        <v/>
      </c>
      <c r="AD135" s="113" t="str">
        <f>Production!F135</f>
        <v/>
      </c>
      <c r="AE135" s="113" t="str">
        <f>Finance!F135</f>
        <v/>
      </c>
      <c r="AF135" s="122" t="str">
        <f>Bangla!G135</f>
        <v/>
      </c>
      <c r="AG135" s="122" t="str">
        <f>English!F135</f>
        <v/>
      </c>
      <c r="AH135" s="120" t="str">
        <f>ICT!H135</f>
        <v/>
      </c>
      <c r="AI135" s="120" t="str">
        <f>Accounting!G135</f>
        <v/>
      </c>
      <c r="AJ135" s="120" t="str">
        <f>'Business Organization'!G135</f>
        <v/>
      </c>
      <c r="AK135" s="120" t="str">
        <f>IF(SubjectList!G135="Finance",Finance!G135,IF(SubjectList!G135="Production",Production!G135,IF(SubjectList!G135="Economics",Economics!G135)))</f>
        <v/>
      </c>
      <c r="AL135" s="120" t="str">
        <f>Finance!G135</f>
        <v/>
      </c>
      <c r="AM135" s="120" t="str">
        <f>Optional!H135</f>
        <v/>
      </c>
      <c r="AN135" s="120" t="str">
        <f>Optional!I135</f>
        <v/>
      </c>
      <c r="AO135" s="120" t="str">
        <f t="shared" si="56"/>
        <v/>
      </c>
      <c r="AP135" s="120">
        <f t="shared" si="57"/>
        <v>0</v>
      </c>
      <c r="AQ135" s="116" t="str">
        <f t="shared" si="58"/>
        <v/>
      </c>
      <c r="AR135" s="116" t="str">
        <f t="shared" si="59"/>
        <v/>
      </c>
      <c r="AS135" s="117">
        <f t="shared" si="60"/>
        <v>0</v>
      </c>
      <c r="AT135" s="118">
        <f t="shared" si="61"/>
        <v>0</v>
      </c>
      <c r="AU135" s="118">
        <f t="shared" si="62"/>
        <v>0</v>
      </c>
      <c r="AV135" s="118">
        <f t="shared" si="63"/>
        <v>0</v>
      </c>
      <c r="AW135" s="118">
        <f t="shared" si="64"/>
        <v>0</v>
      </c>
      <c r="AX135" s="118">
        <f t="shared" si="65"/>
        <v>0</v>
      </c>
      <c r="AY135" s="118">
        <f t="shared" si="66"/>
        <v>0</v>
      </c>
      <c r="AZ135" s="111">
        <f t="shared" si="67"/>
        <v>0</v>
      </c>
      <c r="BA135" s="111" t="str">
        <f t="shared" si="68"/>
        <v>F6</v>
      </c>
      <c r="BB135" s="117" t="str">
        <f>IF(AR135="","",RANK(AR135,AR$2:AR145,0))</f>
        <v/>
      </c>
      <c r="BC135" s="111" t="str">
        <f t="shared" si="69"/>
        <v/>
      </c>
    </row>
    <row r="136" spans="1:55" x14ac:dyDescent="0.35">
      <c r="A136" s="113">
        <f>'Student Basic Info'!A136</f>
        <v>635</v>
      </c>
      <c r="B136" s="113" t="str">
        <f>'Student Basic Info'!C136</f>
        <v>Tabzid Mahmud</v>
      </c>
      <c r="C136" s="121" t="str">
        <f>IF(Bangla!B136="","",Bangla!B136)</f>
        <v/>
      </c>
      <c r="D136" s="121" t="str">
        <f>IF(Bangla!C136="","",Bangla!C136)</f>
        <v/>
      </c>
      <c r="E136" s="112" t="str">
        <f>IF(Bangla!D136="","",Bangla!D136)</f>
        <v/>
      </c>
      <c r="F136" s="112" t="str">
        <f>IF(English!C136="","",English!C136)</f>
        <v/>
      </c>
      <c r="G136" s="113" t="str">
        <f>IF(ICT!B136="","",ICT!B136)</f>
        <v/>
      </c>
      <c r="H136" s="113" t="str">
        <f>IF(ICT!C136="","",ICT!C136)</f>
        <v/>
      </c>
      <c r="I136" s="113" t="str">
        <f>IF(ICT!D136="","",ICT!D136)</f>
        <v/>
      </c>
      <c r="J136" s="114" t="str">
        <f>IF(ICT!E136="","",ICT!E136)</f>
        <v/>
      </c>
      <c r="K136" s="113" t="str">
        <f>IF(Accounting!B136="","",Accounting!B136)</f>
        <v/>
      </c>
      <c r="L136" s="113" t="str">
        <f>IF(Accounting!C136="","",Accounting!C136)</f>
        <v/>
      </c>
      <c r="M136" s="114" t="str">
        <f>IF(Accounting!D136="","",Accounting!D136)</f>
        <v/>
      </c>
      <c r="N136" s="113" t="str">
        <f>IF('Business Organization'!B136="","",'Business Organization'!B136)</f>
        <v/>
      </c>
      <c r="O136" s="113" t="str">
        <f>IF('Business Organization'!C136="","",'Business Organization'!C136)</f>
        <v/>
      </c>
      <c r="P136" s="114" t="str">
        <f>IF('Business Organization'!D136="","",'Business Organization'!D136)</f>
        <v/>
      </c>
      <c r="Q136" s="113" t="str">
        <f>IF(SubjectList!G136="Finance",IF(Finance!B136=0,"", Finance!B136),IF(SubjectList!G136="Production",IF(Production!B136=0,"", Production!B136),IF(SubjectList!G136="Economics",IF(Economics!B136=0,"", Economics!B136))))</f>
        <v/>
      </c>
      <c r="R136" s="113" t="str">
        <f>IF(SubjectList!G136="Finance",IF(Finance!C136=0,"", Finance!C136),IF(SubjectList!G136="Production",IF(Production!C136=0,"", Production!C136),IF(SubjectList!G136="Economics",IF(Economics!C136=0,"", Economics!C136))))</f>
        <v/>
      </c>
      <c r="S136" s="114" t="str">
        <f>IF(SubjectList!G136="Finance",IF(Finance!D136=0,"", Finance!D136),IF(SubjectList!G136="Production",IF(Production!D136=0,"", Production!D136),IF(SubjectList!G136="Economics",IF(Economics!D136=0,"", Economics!D136))))</f>
        <v/>
      </c>
      <c r="T136" s="113" t="str">
        <f>IF(SubjectList!H136="Finance",IF(Finance!B136=0,"", Finance!B136),IF(SubjectList!H136="Production",IF(Production!B136=0,"", Production!B136),IF(SubjectList!H136="Economics",IF(Economics!B136=0,"", Economics!B136))))</f>
        <v/>
      </c>
      <c r="U136" s="113" t="str">
        <f>IF(SubjectList!H136="Finance",IF(Finance!C136=0,"", Finance!C136),IF(SubjectList!H136="Production",IF(Production!C136=0,"", Production!C136),IF(SubjectList!H136="Economics",IF(Economics!C136=0,"", Economics!C136))))</f>
        <v/>
      </c>
      <c r="V136" s="114" t="str">
        <f>IF(SubjectList!H136="Finance",IF(Finance!D136=0,"", Finance!D136),IF(SubjectList!H136="Production",IF(Production!D136=0,"", Production!D136),IF(SubjectList!H136="Economics",IF(Economics!D136=0,"", Economics!D136))))</f>
        <v/>
      </c>
      <c r="W136" s="115" t="str">
        <f>IF(SubjectList!G136="Finance","Finance",IF(SubjectList!G136="Production","Production",IF(SubjectList!G136="Economics","Not Given")))</f>
        <v>Finance</v>
      </c>
      <c r="X136" s="115" t="str">
        <f>IF(SubjectList!H136="Finance","Finance",IF(SubjectList!H136="Production","Production",IF(SubjectList!H136="Economics","Economics","Not Given")))</f>
        <v>Economics</v>
      </c>
      <c r="Y136" s="113" t="str">
        <f>Bangla!F136</f>
        <v/>
      </c>
      <c r="Z136" s="113" t="str">
        <f>English!E136</f>
        <v/>
      </c>
      <c r="AA136" s="113" t="str">
        <f>ICT!G136</f>
        <v/>
      </c>
      <c r="AB136" s="113" t="str">
        <f>Accounting!F136</f>
        <v/>
      </c>
      <c r="AC136" s="113" t="str">
        <f>'Business Organization'!F136</f>
        <v/>
      </c>
      <c r="AD136" s="113" t="str">
        <f>Production!F136</f>
        <v/>
      </c>
      <c r="AE136" s="113" t="str">
        <f>Finance!F136</f>
        <v/>
      </c>
      <c r="AF136" s="122" t="str">
        <f>Bangla!G136</f>
        <v/>
      </c>
      <c r="AG136" s="122" t="str">
        <f>English!F136</f>
        <v/>
      </c>
      <c r="AH136" s="120" t="str">
        <f>ICT!H136</f>
        <v/>
      </c>
      <c r="AI136" s="120" t="str">
        <f>Accounting!G136</f>
        <v/>
      </c>
      <c r="AJ136" s="120" t="str">
        <f>'Business Organization'!G136</f>
        <v/>
      </c>
      <c r="AK136" s="120" t="str">
        <f>IF(SubjectList!G136="Finance",Finance!G136,IF(SubjectList!G136="Production",Production!G136,IF(SubjectList!G136="Economics",Economics!G136)))</f>
        <v/>
      </c>
      <c r="AL136" s="120" t="str">
        <f>Finance!G136</f>
        <v/>
      </c>
      <c r="AM136" s="120" t="str">
        <f>Optional!H136</f>
        <v/>
      </c>
      <c r="AN136" s="120" t="str">
        <f>Optional!I136</f>
        <v/>
      </c>
      <c r="AO136" s="120" t="str">
        <f t="shared" si="56"/>
        <v/>
      </c>
      <c r="AP136" s="120">
        <f t="shared" si="57"/>
        <v>0</v>
      </c>
      <c r="AQ136" s="116" t="str">
        <f t="shared" si="58"/>
        <v/>
      </c>
      <c r="AR136" s="116" t="str">
        <f t="shared" si="59"/>
        <v/>
      </c>
      <c r="AS136" s="117">
        <f t="shared" si="60"/>
        <v>0</v>
      </c>
      <c r="AT136" s="118">
        <f t="shared" si="61"/>
        <v>0</v>
      </c>
      <c r="AU136" s="118">
        <f t="shared" si="62"/>
        <v>0</v>
      </c>
      <c r="AV136" s="118">
        <f t="shared" si="63"/>
        <v>0</v>
      </c>
      <c r="AW136" s="118">
        <f t="shared" si="64"/>
        <v>0</v>
      </c>
      <c r="AX136" s="118">
        <f t="shared" si="65"/>
        <v>0</v>
      </c>
      <c r="AY136" s="118">
        <f t="shared" si="66"/>
        <v>0</v>
      </c>
      <c r="AZ136" s="111">
        <f t="shared" si="67"/>
        <v>0</v>
      </c>
      <c r="BA136" s="111" t="str">
        <f t="shared" si="68"/>
        <v>F6</v>
      </c>
      <c r="BB136" s="117" t="str">
        <f>IF(AR136="","",RANK(AR136,AR$2:AR145,0))</f>
        <v/>
      </c>
      <c r="BC136" s="111" t="str">
        <f t="shared" si="69"/>
        <v/>
      </c>
    </row>
    <row r="137" spans="1:55" x14ac:dyDescent="0.35">
      <c r="A137" s="113">
        <f>'Student Basic Info'!A137</f>
        <v>636</v>
      </c>
      <c r="B137" s="113" t="str">
        <f>'Student Basic Info'!C137</f>
        <v>Md. Ariful Islam</v>
      </c>
      <c r="C137" s="121" t="str">
        <f>IF(Bangla!B137="","",Bangla!B137)</f>
        <v/>
      </c>
      <c r="D137" s="121" t="str">
        <f>IF(Bangla!C137="","",Bangla!C137)</f>
        <v/>
      </c>
      <c r="E137" s="112" t="str">
        <f>IF(Bangla!D137="","",Bangla!D137)</f>
        <v/>
      </c>
      <c r="F137" s="112" t="str">
        <f>IF(English!C137="","",English!C137)</f>
        <v/>
      </c>
      <c r="G137" s="113" t="str">
        <f>IF(ICT!B137="","",ICT!B137)</f>
        <v/>
      </c>
      <c r="H137" s="113" t="str">
        <f>IF(ICT!C137="","",ICT!C137)</f>
        <v/>
      </c>
      <c r="I137" s="113" t="str">
        <f>IF(ICT!D137="","",ICT!D137)</f>
        <v/>
      </c>
      <c r="J137" s="114" t="str">
        <f>IF(ICT!E137="","",ICT!E137)</f>
        <v/>
      </c>
      <c r="K137" s="113" t="str">
        <f>IF(Accounting!B137="","",Accounting!B137)</f>
        <v/>
      </c>
      <c r="L137" s="113" t="str">
        <f>IF(Accounting!C137="","",Accounting!C137)</f>
        <v/>
      </c>
      <c r="M137" s="114" t="str">
        <f>IF(Accounting!D137="","",Accounting!D137)</f>
        <v/>
      </c>
      <c r="N137" s="113" t="str">
        <f>IF('Business Organization'!B137="","",'Business Organization'!B137)</f>
        <v/>
      </c>
      <c r="O137" s="113" t="str">
        <f>IF('Business Organization'!C137="","",'Business Organization'!C137)</f>
        <v/>
      </c>
      <c r="P137" s="114" t="str">
        <f>IF('Business Organization'!D137="","",'Business Organization'!D137)</f>
        <v/>
      </c>
      <c r="Q137" s="113" t="str">
        <f>IF(SubjectList!G137="Finance",IF(Finance!B137=0,"", Finance!B137),IF(SubjectList!G137="Production",IF(Production!B137=0,"", Production!B137),IF(SubjectList!G137="Economics",IF(Economics!B137=0,"", Economics!B137))))</f>
        <v/>
      </c>
      <c r="R137" s="113" t="str">
        <f>IF(SubjectList!G137="Finance",IF(Finance!C137=0,"", Finance!C137),IF(SubjectList!G137="Production",IF(Production!C137=0,"", Production!C137),IF(SubjectList!G137="Economics",IF(Economics!C137=0,"", Economics!C137))))</f>
        <v/>
      </c>
      <c r="S137" s="114" t="str">
        <f>IF(SubjectList!G137="Finance",IF(Finance!D137=0,"", Finance!D137),IF(SubjectList!G137="Production",IF(Production!D137=0,"", Production!D137),IF(SubjectList!G137="Economics",IF(Economics!D137=0,"", Economics!D137))))</f>
        <v/>
      </c>
      <c r="T137" s="113" t="str">
        <f>IF(SubjectList!H137="Finance",IF(Finance!B137=0,"", Finance!B137),IF(SubjectList!H137="Production",IF(Production!B137=0,"", Production!B137),IF(SubjectList!H137="Economics",IF(Economics!B137=0,"", Economics!B137))))</f>
        <v/>
      </c>
      <c r="U137" s="113" t="str">
        <f>IF(SubjectList!H137="Finance",IF(Finance!C137=0,"", Finance!C137),IF(SubjectList!H137="Production",IF(Production!C137=0,"", Production!C137),IF(SubjectList!H137="Economics",IF(Economics!C137=0,"", Economics!C137))))</f>
        <v/>
      </c>
      <c r="V137" s="114" t="str">
        <f>IF(SubjectList!H137="Finance",IF(Finance!D137=0,"", Finance!D137),IF(SubjectList!H137="Production",IF(Production!D137=0,"", Production!D137),IF(SubjectList!H137="Economics",IF(Economics!D137=0,"", Economics!D137))))</f>
        <v/>
      </c>
      <c r="W137" s="115" t="str">
        <f>IF(SubjectList!G137="Finance","Finance",IF(SubjectList!G137="Production","Production",IF(SubjectList!G137="Economics","Not Given")))</f>
        <v>Production</v>
      </c>
      <c r="X137" s="115" t="str">
        <f>IF(SubjectList!H137="Finance","Finance",IF(SubjectList!H137="Production","Production",IF(SubjectList!H137="Economics","Economics","Not Given")))</f>
        <v>Finance</v>
      </c>
      <c r="Y137" s="113" t="str">
        <f>Bangla!F137</f>
        <v/>
      </c>
      <c r="Z137" s="113" t="str">
        <f>English!E137</f>
        <v/>
      </c>
      <c r="AA137" s="113" t="str">
        <f>ICT!G137</f>
        <v/>
      </c>
      <c r="AB137" s="113" t="str">
        <f>Accounting!F137</f>
        <v/>
      </c>
      <c r="AC137" s="113" t="str">
        <f>'Business Organization'!F137</f>
        <v/>
      </c>
      <c r="AD137" s="113" t="str">
        <f>Production!F137</f>
        <v/>
      </c>
      <c r="AE137" s="113" t="str">
        <f>Finance!F137</f>
        <v/>
      </c>
      <c r="AF137" s="122" t="str">
        <f>Bangla!G137</f>
        <v/>
      </c>
      <c r="AG137" s="122" t="str">
        <f>English!F137</f>
        <v/>
      </c>
      <c r="AH137" s="120" t="str">
        <f>ICT!H137</f>
        <v/>
      </c>
      <c r="AI137" s="120" t="str">
        <f>Accounting!G137</f>
        <v/>
      </c>
      <c r="AJ137" s="120" t="str">
        <f>'Business Organization'!G137</f>
        <v/>
      </c>
      <c r="AK137" s="120" t="str">
        <f>IF(SubjectList!G137="Finance",Finance!G137,IF(SubjectList!G137="Production",Production!G137,IF(SubjectList!G137="Economics",Economics!G137)))</f>
        <v/>
      </c>
      <c r="AL137" s="120" t="str">
        <f>Finance!G137</f>
        <v/>
      </c>
      <c r="AM137" s="120" t="str">
        <f>Optional!H137</f>
        <v/>
      </c>
      <c r="AN137" s="120" t="str">
        <f>Optional!I137</f>
        <v/>
      </c>
      <c r="AO137" s="120" t="str">
        <f t="shared" si="56"/>
        <v/>
      </c>
      <c r="AP137" s="120">
        <f t="shared" si="57"/>
        <v>0</v>
      </c>
      <c r="AQ137" s="116" t="str">
        <f t="shared" si="58"/>
        <v/>
      </c>
      <c r="AR137" s="116" t="str">
        <f t="shared" si="59"/>
        <v/>
      </c>
      <c r="AS137" s="117">
        <f t="shared" si="60"/>
        <v>0</v>
      </c>
      <c r="AT137" s="118">
        <f t="shared" si="61"/>
        <v>0</v>
      </c>
      <c r="AU137" s="118">
        <f t="shared" si="62"/>
        <v>0</v>
      </c>
      <c r="AV137" s="118">
        <f t="shared" si="63"/>
        <v>0</v>
      </c>
      <c r="AW137" s="118">
        <f t="shared" si="64"/>
        <v>0</v>
      </c>
      <c r="AX137" s="118">
        <f t="shared" si="65"/>
        <v>0</v>
      </c>
      <c r="AY137" s="118">
        <f t="shared" si="66"/>
        <v>0</v>
      </c>
      <c r="AZ137" s="111">
        <f t="shared" si="67"/>
        <v>0</v>
      </c>
      <c r="BA137" s="111" t="str">
        <f t="shared" si="68"/>
        <v>F6</v>
      </c>
      <c r="BB137" s="117" t="str">
        <f>IF(AR137="","",RANK(AR137,AR$2:AR145,0))</f>
        <v/>
      </c>
      <c r="BC137" s="111" t="str">
        <f t="shared" si="69"/>
        <v/>
      </c>
    </row>
    <row r="138" spans="1:55" x14ac:dyDescent="0.35">
      <c r="A138" s="113">
        <f>'Student Basic Info'!A138</f>
        <v>637</v>
      </c>
      <c r="B138" s="113" t="str">
        <f>'Student Basic Info'!C138</f>
        <v>Mostafizur Rahman</v>
      </c>
      <c r="C138" s="121" t="str">
        <f>IF(Bangla!B138="","",Bangla!B138)</f>
        <v/>
      </c>
      <c r="D138" s="121">
        <f>IF(Bangla!C138="","",Bangla!C138)</f>
        <v>33</v>
      </c>
      <c r="E138" s="112">
        <f>IF(Bangla!D138="","",Bangla!D138)</f>
        <v>33</v>
      </c>
      <c r="F138" s="112">
        <f>IF(English!C138="","",English!C138)</f>
        <v>17</v>
      </c>
      <c r="G138" s="113">
        <f>IF(ICT!B138="","",ICT!B138)</f>
        <v>6</v>
      </c>
      <c r="H138" s="113">
        <f>IF(ICT!C138="","",ICT!C138)</f>
        <v>4</v>
      </c>
      <c r="I138" s="113">
        <f>IF(ICT!D138="","",ICT!D138)</f>
        <v>8</v>
      </c>
      <c r="J138" s="114">
        <f>IF(ICT!E138="","",ICT!E138)</f>
        <v>18</v>
      </c>
      <c r="K138" s="113">
        <f>IF(Accounting!B138="","",Accounting!B138)</f>
        <v>7</v>
      </c>
      <c r="L138" s="113">
        <f>IF(Accounting!C138="","",Accounting!C138)</f>
        <v>8</v>
      </c>
      <c r="M138" s="114">
        <f>IF(Accounting!D138="","",Accounting!D138)</f>
        <v>15</v>
      </c>
      <c r="N138" s="113">
        <f>IF('Business Organization'!B138="","",'Business Organization'!B138)</f>
        <v>13</v>
      </c>
      <c r="O138" s="113">
        <f>IF('Business Organization'!C138="","",'Business Organization'!C138)</f>
        <v>14</v>
      </c>
      <c r="P138" s="114">
        <f>IF('Business Organization'!D138="","",'Business Organization'!D138)</f>
        <v>27</v>
      </c>
      <c r="Q138" s="113">
        <f>IF(SubjectList!G138="Finance",IF(Finance!B138=0,"", Finance!B138),IF(SubjectList!G138="Production",IF(Production!B138=0,"", Production!B138),IF(SubjectList!G138="Economics",IF(Economics!B138=0,"", Economics!B138))))</f>
        <v>6</v>
      </c>
      <c r="R138" s="113">
        <f>IF(SubjectList!G138="Finance",IF(Finance!C138=0,"", Finance!C138),IF(SubjectList!G138="Production",IF(Production!C138=0,"", Production!C138),IF(SubjectList!G138="Economics",IF(Economics!C138=0,"", Economics!C138))))</f>
        <v>6</v>
      </c>
      <c r="S138" s="114">
        <f>IF(SubjectList!G138="Finance",IF(Finance!D138=0,"", Finance!D138),IF(SubjectList!G138="Production",IF(Production!D138=0,"", Production!D138),IF(SubjectList!G138="Economics",IF(Economics!D138=0,"", Economics!D138))))</f>
        <v>12</v>
      </c>
      <c r="T138" s="113">
        <f>IF(SubjectList!H138="Finance",IF(Finance!B138=0,"", Finance!B138),IF(SubjectList!H138="Production",IF(Production!B138=0,"", Production!B138),IF(SubjectList!H138="Economics",IF(Economics!B138=0,"", Economics!B138))))</f>
        <v>15</v>
      </c>
      <c r="U138" s="113">
        <f>IF(SubjectList!H138="Finance",IF(Finance!C138=0,"", Finance!C138),IF(SubjectList!H138="Production",IF(Production!C138=0,"", Production!C138),IF(SubjectList!H138="Economics",IF(Economics!C138=0,"", Economics!C138))))</f>
        <v>15</v>
      </c>
      <c r="V138" s="114">
        <f>IF(SubjectList!H138="Finance",IF(Finance!D138=0,"", Finance!D138),IF(SubjectList!H138="Production",IF(Production!D138=0,"", Production!D138),IF(SubjectList!H138="Economics",IF(Economics!D138=0,"", Economics!D138))))</f>
        <v>30</v>
      </c>
      <c r="W138" s="115" t="str">
        <f>IF(SubjectList!G138="Finance","Finance",IF(SubjectList!G138="Production","Production",IF(SubjectList!G138="Economics","Not Given")))</f>
        <v>Finance</v>
      </c>
      <c r="X138" s="115" t="str">
        <f>IF(SubjectList!H138="Finance","Finance",IF(SubjectList!H138="Production","Production",IF(SubjectList!H138="Economics","Economics","Not Given")))</f>
        <v>Production</v>
      </c>
      <c r="Y138" s="113" t="str">
        <f>Bangla!F138</f>
        <v>D</v>
      </c>
      <c r="Z138" s="113" t="str">
        <f>English!E138</f>
        <v>F</v>
      </c>
      <c r="AA138" s="113" t="str">
        <f>ICT!G138</f>
        <v>F</v>
      </c>
      <c r="AB138" s="113" t="str">
        <f>Accounting!F138</f>
        <v>F</v>
      </c>
      <c r="AC138" s="113" t="str">
        <f>'Business Organization'!F138</f>
        <v>F</v>
      </c>
      <c r="AD138" s="113" t="str">
        <f>Production!F138</f>
        <v>F</v>
      </c>
      <c r="AE138" s="113" t="str">
        <f>Finance!F138</f>
        <v>F</v>
      </c>
      <c r="AF138" s="122">
        <f>Bangla!G138</f>
        <v>1</v>
      </c>
      <c r="AG138" s="122">
        <f>English!F138</f>
        <v>0</v>
      </c>
      <c r="AH138" s="120">
        <f>ICT!H138</f>
        <v>0</v>
      </c>
      <c r="AI138" s="120">
        <f>Accounting!G138</f>
        <v>0</v>
      </c>
      <c r="AJ138" s="120">
        <f>'Business Organization'!G138</f>
        <v>0</v>
      </c>
      <c r="AK138" s="120">
        <f>IF(SubjectList!G138="Finance",Finance!G138,IF(SubjectList!G138="Production",Production!G138,IF(SubjectList!G138="Economics",Economics!G138)))</f>
        <v>0</v>
      </c>
      <c r="AL138" s="120">
        <f>Finance!G138</f>
        <v>0</v>
      </c>
      <c r="AM138" s="120">
        <f>Optional!H138</f>
        <v>0</v>
      </c>
      <c r="AN138" s="120">
        <f>Optional!I138</f>
        <v>0</v>
      </c>
      <c r="AO138" s="120">
        <f t="shared" si="56"/>
        <v>1</v>
      </c>
      <c r="AP138" s="120">
        <f t="shared" si="57"/>
        <v>1</v>
      </c>
      <c r="AQ138" s="116" t="str">
        <f t="shared" si="58"/>
        <v/>
      </c>
      <c r="AR138" s="116" t="str">
        <f t="shared" si="59"/>
        <v/>
      </c>
      <c r="AS138" s="117">
        <f t="shared" si="60"/>
        <v>152</v>
      </c>
      <c r="AT138" s="118">
        <f t="shared" si="61"/>
        <v>1</v>
      </c>
      <c r="AU138" s="118">
        <f t="shared" si="62"/>
        <v>0</v>
      </c>
      <c r="AV138" s="118">
        <f t="shared" si="63"/>
        <v>0</v>
      </c>
      <c r="AW138" s="118">
        <f t="shared" si="64"/>
        <v>0</v>
      </c>
      <c r="AX138" s="118">
        <f t="shared" si="65"/>
        <v>0</v>
      </c>
      <c r="AY138" s="118">
        <f t="shared" si="66"/>
        <v>0</v>
      </c>
      <c r="AZ138" s="111">
        <f t="shared" si="67"/>
        <v>1</v>
      </c>
      <c r="BA138" s="111" t="str">
        <f t="shared" si="68"/>
        <v>F5</v>
      </c>
      <c r="BB138" s="117" t="str">
        <f>IF(AR138="","",RANK(AR138,AR$2:AR145,0))</f>
        <v/>
      </c>
      <c r="BC138" s="111" t="str">
        <f t="shared" si="69"/>
        <v/>
      </c>
    </row>
    <row r="139" spans="1:55" x14ac:dyDescent="0.35">
      <c r="A139" s="113">
        <f>'Student Basic Info'!A139</f>
        <v>638</v>
      </c>
      <c r="B139" s="113" t="str">
        <f>'Student Basic Info'!C139</f>
        <v xml:space="preserve">Md. Al Amin </v>
      </c>
      <c r="C139" s="121" t="str">
        <f>IF(Bangla!B139="","",Bangla!B139)</f>
        <v/>
      </c>
      <c r="D139" s="121">
        <f>IF(Bangla!C139="","",Bangla!C139)</f>
        <v>33</v>
      </c>
      <c r="E139" s="112">
        <f>IF(Bangla!D139="","",Bangla!D139)</f>
        <v>33</v>
      </c>
      <c r="F139" s="112">
        <f>IF(English!C139="","",English!C139)</f>
        <v>7</v>
      </c>
      <c r="G139" s="113">
        <f>IF(ICT!B139="","",ICT!B139)</f>
        <v>9</v>
      </c>
      <c r="H139" s="113">
        <f>IF(ICT!C139="","",ICT!C139)</f>
        <v>1</v>
      </c>
      <c r="I139" s="113">
        <f>IF(ICT!D139="","",ICT!D139)</f>
        <v>8</v>
      </c>
      <c r="J139" s="114">
        <f>IF(ICT!E139="","",ICT!E139)</f>
        <v>18</v>
      </c>
      <c r="K139" s="113">
        <f>IF(Accounting!B139="","",Accounting!B139)</f>
        <v>5</v>
      </c>
      <c r="L139" s="113">
        <f>IF(Accounting!C139="","",Accounting!C139)</f>
        <v>0</v>
      </c>
      <c r="M139" s="114">
        <f>IF(Accounting!D139="","",Accounting!D139)</f>
        <v>5</v>
      </c>
      <c r="N139" s="113">
        <f>IF('Business Organization'!B139="","",'Business Organization'!B139)</f>
        <v>12</v>
      </c>
      <c r="O139" s="113">
        <f>IF('Business Organization'!C139="","",'Business Organization'!C139)</f>
        <v>9</v>
      </c>
      <c r="P139" s="114">
        <f>IF('Business Organization'!D139="","",'Business Organization'!D139)</f>
        <v>21</v>
      </c>
      <c r="Q139" s="113" t="str">
        <f>IF(SubjectList!G139="Finance",IF(Finance!B139=0,"", Finance!B139),IF(SubjectList!G139="Production",IF(Production!B139=0,"", Production!B139),IF(SubjectList!G139="Economics",IF(Economics!B139=0,"", Economics!B139))))</f>
        <v/>
      </c>
      <c r="R139" s="113" t="str">
        <f>IF(SubjectList!G139="Finance",IF(Finance!C139=0,"", Finance!C139),IF(SubjectList!G139="Production",IF(Production!C139=0,"", Production!C139),IF(SubjectList!G139="Economics",IF(Economics!C139=0,"", Economics!C139))))</f>
        <v/>
      </c>
      <c r="S139" s="114" t="str">
        <f>IF(SubjectList!G139="Finance",IF(Finance!D139=0,"", Finance!D139),IF(SubjectList!G139="Production",IF(Production!D139=0,"", Production!D139),IF(SubjectList!G139="Economics",IF(Economics!D139=0,"", Economics!D139))))</f>
        <v/>
      </c>
      <c r="T139" s="113">
        <f>IF(SubjectList!H139="Finance",IF(Finance!B139=0,"", Finance!B139),IF(SubjectList!H139="Production",IF(Production!B139=0,"", Production!B139),IF(SubjectList!H139="Economics",IF(Economics!B139=0,"", Economics!B139))))</f>
        <v>10</v>
      </c>
      <c r="U139" s="113">
        <f>IF(SubjectList!H139="Finance",IF(Finance!C139=0,"", Finance!C139),IF(SubjectList!H139="Production",IF(Production!C139=0,"", Production!C139),IF(SubjectList!H139="Economics",IF(Economics!C139=0,"", Economics!C139))))</f>
        <v>1</v>
      </c>
      <c r="V139" s="114">
        <f>IF(SubjectList!H139="Finance",IF(Finance!D139=0,"", Finance!D139),IF(SubjectList!H139="Production",IF(Production!D139=0,"", Production!D139),IF(SubjectList!H139="Economics",IF(Economics!D139=0,"", Economics!D139))))</f>
        <v>11</v>
      </c>
      <c r="W139" s="115" t="str">
        <f>IF(SubjectList!G139="Finance","Finance",IF(SubjectList!G139="Production","Production",IF(SubjectList!G139="Economics","Not Given")))</f>
        <v>Production</v>
      </c>
      <c r="X139" s="115" t="str">
        <f>IF(SubjectList!H139="Finance","Finance",IF(SubjectList!H139="Production","Production",IF(SubjectList!H139="Economics","Economics","Not Given")))</f>
        <v>Finance</v>
      </c>
      <c r="Y139" s="113" t="str">
        <f>Bangla!F139</f>
        <v>D</v>
      </c>
      <c r="Z139" s="113" t="str">
        <f>English!E139</f>
        <v>F</v>
      </c>
      <c r="AA139" s="113" t="str">
        <f>ICT!G139</f>
        <v>F</v>
      </c>
      <c r="AB139" s="113" t="str">
        <f>Accounting!F139</f>
        <v>F</v>
      </c>
      <c r="AC139" s="113" t="str">
        <f>'Business Organization'!F139</f>
        <v>F</v>
      </c>
      <c r="AD139" s="113" t="str">
        <f>Production!F139</f>
        <v/>
      </c>
      <c r="AE139" s="113" t="str">
        <f>Finance!F139</f>
        <v>F</v>
      </c>
      <c r="AF139" s="122">
        <f>Bangla!G139</f>
        <v>1</v>
      </c>
      <c r="AG139" s="122">
        <f>English!F139</f>
        <v>0</v>
      </c>
      <c r="AH139" s="120">
        <f>ICT!H139</f>
        <v>0</v>
      </c>
      <c r="AI139" s="120">
        <f>Accounting!G139</f>
        <v>0</v>
      </c>
      <c r="AJ139" s="120">
        <f>'Business Organization'!G139</f>
        <v>0</v>
      </c>
      <c r="AK139" s="120" t="str">
        <f>IF(SubjectList!G139="Finance",Finance!G139,IF(SubjectList!G139="Production",Production!G139,IF(SubjectList!G139="Economics",Economics!G139)))</f>
        <v/>
      </c>
      <c r="AL139" s="120">
        <f>Finance!G139</f>
        <v>0</v>
      </c>
      <c r="AM139" s="120">
        <f>Optional!H139</f>
        <v>0</v>
      </c>
      <c r="AN139" s="120">
        <f>Optional!I139</f>
        <v>0</v>
      </c>
      <c r="AO139" s="120">
        <f t="shared" si="56"/>
        <v>1</v>
      </c>
      <c r="AP139" s="120">
        <f t="shared" si="57"/>
        <v>1</v>
      </c>
      <c r="AQ139" s="116" t="str">
        <f t="shared" si="58"/>
        <v/>
      </c>
      <c r="AR139" s="116" t="str">
        <f t="shared" si="59"/>
        <v/>
      </c>
      <c r="AS139" s="117">
        <f t="shared" si="60"/>
        <v>95</v>
      </c>
      <c r="AT139" s="118">
        <f t="shared" si="61"/>
        <v>1</v>
      </c>
      <c r="AU139" s="118">
        <f t="shared" si="62"/>
        <v>0</v>
      </c>
      <c r="AV139" s="118">
        <f t="shared" si="63"/>
        <v>0</v>
      </c>
      <c r="AW139" s="118">
        <f t="shared" si="64"/>
        <v>0</v>
      </c>
      <c r="AX139" s="118">
        <f t="shared" si="65"/>
        <v>0</v>
      </c>
      <c r="AY139" s="118">
        <f t="shared" si="66"/>
        <v>0</v>
      </c>
      <c r="AZ139" s="111">
        <f t="shared" si="67"/>
        <v>1</v>
      </c>
      <c r="BA139" s="111" t="str">
        <f t="shared" si="68"/>
        <v>F5</v>
      </c>
      <c r="BB139" s="117" t="str">
        <f>IF(AR139="","",RANK(AR139,AR$2:AR145,0))</f>
        <v/>
      </c>
      <c r="BC139" s="111" t="str">
        <f t="shared" si="69"/>
        <v/>
      </c>
    </row>
    <row r="140" spans="1:55" x14ac:dyDescent="0.35">
      <c r="A140" s="113">
        <f>'Student Basic Info'!A140</f>
        <v>639</v>
      </c>
      <c r="B140" s="113" t="str">
        <f>'Student Basic Info'!C140</f>
        <v>Bibi Fatema Khatun</v>
      </c>
      <c r="C140" s="121" t="str">
        <f>IF(Bangla!B140="","",Bangla!B140)</f>
        <v/>
      </c>
      <c r="D140" s="121" t="str">
        <f>IF(Bangla!C140="","",Bangla!C140)</f>
        <v/>
      </c>
      <c r="E140" s="112" t="str">
        <f>IF(Bangla!D140="","",Bangla!D140)</f>
        <v/>
      </c>
      <c r="F140" s="112" t="str">
        <f>IF(English!C140="","",English!C140)</f>
        <v/>
      </c>
      <c r="G140" s="113" t="str">
        <f>IF(ICT!B140="","",ICT!B140)</f>
        <v/>
      </c>
      <c r="H140" s="113" t="str">
        <f>IF(ICT!C140="","",ICT!C140)</f>
        <v/>
      </c>
      <c r="I140" s="113" t="str">
        <f>IF(ICT!D140="","",ICT!D140)</f>
        <v/>
      </c>
      <c r="J140" s="114" t="str">
        <f>IF(ICT!E140="","",ICT!E140)</f>
        <v/>
      </c>
      <c r="K140" s="113" t="str">
        <f>IF(Accounting!B140="","",Accounting!B140)</f>
        <v/>
      </c>
      <c r="L140" s="113" t="str">
        <f>IF(Accounting!C140="","",Accounting!C140)</f>
        <v/>
      </c>
      <c r="M140" s="114" t="str">
        <f>IF(Accounting!D140="","",Accounting!D140)</f>
        <v/>
      </c>
      <c r="N140" s="113" t="str">
        <f>IF('Business Organization'!B140="","",'Business Organization'!B140)</f>
        <v/>
      </c>
      <c r="O140" s="113" t="str">
        <f>IF('Business Organization'!C140="","",'Business Organization'!C140)</f>
        <v/>
      </c>
      <c r="P140" s="114" t="str">
        <f>IF('Business Organization'!D140="","",'Business Organization'!D140)</f>
        <v/>
      </c>
      <c r="Q140" s="113" t="str">
        <f>IF(SubjectList!G140="Finance",IF(Finance!B140=0,"", Finance!B140),IF(SubjectList!G140="Production",IF(Production!B140=0,"", Production!B140),IF(SubjectList!G140="Economics",IF(Economics!B140=0,"", Economics!B140))))</f>
        <v/>
      </c>
      <c r="R140" s="113" t="str">
        <f>IF(SubjectList!G140="Finance",IF(Finance!C140=0,"", Finance!C140),IF(SubjectList!G140="Production",IF(Production!C140=0,"", Production!C140),IF(SubjectList!G140="Economics",IF(Economics!C140=0,"", Economics!C140))))</f>
        <v/>
      </c>
      <c r="S140" s="114" t="str">
        <f>IF(SubjectList!G140="Finance",IF(Finance!D140=0,"", Finance!D140),IF(SubjectList!G140="Production",IF(Production!D140=0,"", Production!D140),IF(SubjectList!G140="Economics",IF(Economics!D140=0,"", Economics!D140))))</f>
        <v/>
      </c>
      <c r="T140" s="113" t="str">
        <f>IF(SubjectList!H140="Finance",IF(Finance!B140=0,"", Finance!B140),IF(SubjectList!H140="Production",IF(Production!B140=0,"", Production!B140),IF(SubjectList!H140="Economics",IF(Economics!B140=0,"", Economics!B140))))</f>
        <v/>
      </c>
      <c r="U140" s="113" t="str">
        <f>IF(SubjectList!H140="Finance",IF(Finance!C140=0,"", Finance!C140),IF(SubjectList!H140="Production",IF(Production!C140=0,"", Production!C140),IF(SubjectList!H140="Economics",IF(Economics!C140=0,"", Economics!C140))))</f>
        <v/>
      </c>
      <c r="V140" s="114" t="str">
        <f>IF(SubjectList!H140="Finance",IF(Finance!D140=0,"", Finance!D140),IF(SubjectList!H140="Production",IF(Production!D140=0,"", Production!D140),IF(SubjectList!H140="Economics",IF(Economics!D140=0,"", Economics!D140))))</f>
        <v/>
      </c>
      <c r="W140" s="115" t="str">
        <f>IF(SubjectList!G140="Finance","Finance",IF(SubjectList!G140="Production","Production",IF(SubjectList!G140="Economics","Not Given")))</f>
        <v>Finance</v>
      </c>
      <c r="X140" s="115" t="str">
        <f>IF(SubjectList!H140="Finance","Finance",IF(SubjectList!H140="Production","Production",IF(SubjectList!H140="Economics","Economics","Not Given")))</f>
        <v>Production</v>
      </c>
      <c r="Y140" s="113" t="str">
        <f>Bangla!F140</f>
        <v/>
      </c>
      <c r="Z140" s="113" t="str">
        <f>English!E140</f>
        <v/>
      </c>
      <c r="AA140" s="113" t="str">
        <f>ICT!G140</f>
        <v/>
      </c>
      <c r="AB140" s="113" t="str">
        <f>Accounting!F140</f>
        <v/>
      </c>
      <c r="AC140" s="113" t="str">
        <f>'Business Organization'!F140</f>
        <v/>
      </c>
      <c r="AD140" s="113" t="str">
        <f>Production!F140</f>
        <v/>
      </c>
      <c r="AE140" s="113" t="str">
        <f>Finance!F140</f>
        <v/>
      </c>
      <c r="AF140" s="122" t="str">
        <f>Bangla!G140</f>
        <v/>
      </c>
      <c r="AG140" s="122" t="str">
        <f>English!F140</f>
        <v/>
      </c>
      <c r="AH140" s="120" t="str">
        <f>ICT!H140</f>
        <v/>
      </c>
      <c r="AI140" s="120" t="str">
        <f>Accounting!G140</f>
        <v/>
      </c>
      <c r="AJ140" s="120" t="str">
        <f>'Business Organization'!G140</f>
        <v/>
      </c>
      <c r="AK140" s="120" t="str">
        <f>IF(SubjectList!G140="Finance",Finance!G140,IF(SubjectList!G140="Production",Production!G140,IF(SubjectList!G140="Economics",Economics!G140)))</f>
        <v/>
      </c>
      <c r="AL140" s="120" t="str">
        <f>Finance!G140</f>
        <v/>
      </c>
      <c r="AM140" s="120" t="str">
        <f>Optional!H140</f>
        <v/>
      </c>
      <c r="AN140" s="120" t="str">
        <f>Optional!I140</f>
        <v/>
      </c>
      <c r="AO140" s="120" t="str">
        <f t="shared" si="56"/>
        <v/>
      </c>
      <c r="AP140" s="120">
        <f t="shared" si="57"/>
        <v>0</v>
      </c>
      <c r="AQ140" s="116" t="str">
        <f t="shared" si="58"/>
        <v/>
      </c>
      <c r="AR140" s="116" t="str">
        <f t="shared" si="59"/>
        <v/>
      </c>
      <c r="AS140" s="117">
        <f t="shared" si="60"/>
        <v>0</v>
      </c>
      <c r="AT140" s="118">
        <f t="shared" si="61"/>
        <v>0</v>
      </c>
      <c r="AU140" s="118">
        <f t="shared" si="62"/>
        <v>0</v>
      </c>
      <c r="AV140" s="118">
        <f t="shared" si="63"/>
        <v>0</v>
      </c>
      <c r="AW140" s="118">
        <f t="shared" si="64"/>
        <v>0</v>
      </c>
      <c r="AX140" s="118">
        <f t="shared" si="65"/>
        <v>0</v>
      </c>
      <c r="AY140" s="118">
        <f t="shared" si="66"/>
        <v>0</v>
      </c>
      <c r="AZ140" s="111">
        <f t="shared" si="67"/>
        <v>0</v>
      </c>
      <c r="BA140" s="111" t="str">
        <f t="shared" si="68"/>
        <v>F6</v>
      </c>
      <c r="BB140" s="117" t="str">
        <f>IF(AR140="","",RANK(AR140,AR$2:AR145,0))</f>
        <v/>
      </c>
      <c r="BC140" s="111" t="str">
        <f t="shared" si="69"/>
        <v/>
      </c>
    </row>
    <row r="141" spans="1:55" x14ac:dyDescent="0.35">
      <c r="A141" s="113">
        <f>'Student Basic Info'!A141</f>
        <v>640</v>
      </c>
      <c r="B141" s="113" t="str">
        <f>'Student Basic Info'!C141</f>
        <v>Sazzad Hossain Sanzid</v>
      </c>
      <c r="C141" s="121" t="str">
        <f>IF(Bangla!B141="","",Bangla!B141)</f>
        <v/>
      </c>
      <c r="D141" s="121" t="str">
        <f>IF(Bangla!C141="","",Bangla!C141)</f>
        <v/>
      </c>
      <c r="E141" s="112" t="str">
        <f>IF(Bangla!D141="","",Bangla!D141)</f>
        <v/>
      </c>
      <c r="F141" s="112" t="str">
        <f>IF(English!C141="","",English!C141)</f>
        <v/>
      </c>
      <c r="G141" s="113" t="str">
        <f>IF(ICT!B141="","",ICT!B141)</f>
        <v/>
      </c>
      <c r="H141" s="113" t="str">
        <f>IF(ICT!C141="","",ICT!C141)</f>
        <v/>
      </c>
      <c r="I141" s="113" t="str">
        <f>IF(ICT!D141="","",ICT!D141)</f>
        <v/>
      </c>
      <c r="J141" s="114" t="str">
        <f>IF(ICT!E141="","",ICT!E141)</f>
        <v/>
      </c>
      <c r="K141" s="113" t="str">
        <f>IF(Accounting!B141="","",Accounting!B141)</f>
        <v/>
      </c>
      <c r="L141" s="113" t="str">
        <f>IF(Accounting!C141="","",Accounting!C141)</f>
        <v/>
      </c>
      <c r="M141" s="114" t="str">
        <f>IF(Accounting!D141="","",Accounting!D141)</f>
        <v/>
      </c>
      <c r="N141" s="113" t="str">
        <f>IF('Business Organization'!B141="","",'Business Organization'!B141)</f>
        <v/>
      </c>
      <c r="O141" s="113" t="str">
        <f>IF('Business Organization'!C141="","",'Business Organization'!C141)</f>
        <v/>
      </c>
      <c r="P141" s="114" t="str">
        <f>IF('Business Organization'!D141="","",'Business Organization'!D141)</f>
        <v/>
      </c>
      <c r="Q141" s="113" t="str">
        <f>IF(SubjectList!G141="Finance",IF(Finance!B141=0,"", Finance!B141),IF(SubjectList!G141="Production",IF(Production!B141=0,"", Production!B141),IF(SubjectList!G141="Economics",IF(Economics!B141=0,"", Economics!B141))))</f>
        <v/>
      </c>
      <c r="R141" s="113" t="str">
        <f>IF(SubjectList!G141="Finance",IF(Finance!C141=0,"", Finance!C141),IF(SubjectList!G141="Production",IF(Production!C141=0,"", Production!C141),IF(SubjectList!G141="Economics",IF(Economics!C141=0,"", Economics!C141))))</f>
        <v/>
      </c>
      <c r="S141" s="114" t="str">
        <f>IF(SubjectList!G141="Finance",IF(Finance!D141=0,"", Finance!D141),IF(SubjectList!G141="Production",IF(Production!D141=0,"", Production!D141),IF(SubjectList!G141="Economics",IF(Economics!D141=0,"", Economics!D141))))</f>
        <v/>
      </c>
      <c r="T141" s="113" t="str">
        <f>IF(SubjectList!H141="Finance",IF(Finance!B141=0,"", Finance!B141),IF(SubjectList!H141="Production",IF(Production!B141=0,"", Production!B141),IF(SubjectList!H141="Economics",IF(Economics!B141=0,"", Economics!B141))))</f>
        <v/>
      </c>
      <c r="U141" s="113" t="str">
        <f>IF(SubjectList!H141="Finance",IF(Finance!C141=0,"", Finance!C141),IF(SubjectList!H141="Production",IF(Production!C141=0,"", Production!C141),IF(SubjectList!H141="Economics",IF(Economics!C141=0,"", Economics!C141))))</f>
        <v/>
      </c>
      <c r="V141" s="114" t="str">
        <f>IF(SubjectList!H141="Finance",IF(Finance!D141=0,"", Finance!D141),IF(SubjectList!H141="Production",IF(Production!D141=0,"", Production!D141),IF(SubjectList!H141="Economics",IF(Economics!D141=0,"", Economics!D141))))</f>
        <v/>
      </c>
      <c r="W141" s="115" t="str">
        <f>IF(SubjectList!G141="Finance","Finance",IF(SubjectList!G141="Production","Production",IF(SubjectList!G141="Economics","Not Given")))</f>
        <v>Finance</v>
      </c>
      <c r="X141" s="115" t="str">
        <f>IF(SubjectList!H141="Finance","Finance",IF(SubjectList!H141="Production","Production",IF(SubjectList!H141="Economics","Economics","Not Given")))</f>
        <v>Production</v>
      </c>
      <c r="Y141" s="113" t="str">
        <f>Bangla!F141</f>
        <v/>
      </c>
      <c r="Z141" s="113" t="str">
        <f>English!E141</f>
        <v/>
      </c>
      <c r="AA141" s="113" t="str">
        <f>ICT!G141</f>
        <v/>
      </c>
      <c r="AB141" s="113" t="str">
        <f>Accounting!F141</f>
        <v/>
      </c>
      <c r="AC141" s="113" t="str">
        <f>'Business Organization'!F141</f>
        <v/>
      </c>
      <c r="AD141" s="113" t="str">
        <f>Production!F141</f>
        <v/>
      </c>
      <c r="AE141" s="113" t="str">
        <f>Finance!F141</f>
        <v/>
      </c>
      <c r="AF141" s="122" t="str">
        <f>Bangla!G141</f>
        <v/>
      </c>
      <c r="AG141" s="122" t="str">
        <f>English!F141</f>
        <v/>
      </c>
      <c r="AH141" s="120" t="str">
        <f>ICT!H141</f>
        <v/>
      </c>
      <c r="AI141" s="120" t="str">
        <f>Accounting!G141</f>
        <v/>
      </c>
      <c r="AJ141" s="120" t="str">
        <f>'Business Organization'!G141</f>
        <v/>
      </c>
      <c r="AK141" s="120" t="str">
        <f>IF(SubjectList!G141="Finance",Finance!G141,IF(SubjectList!G141="Production",Production!G141,IF(SubjectList!G141="Economics",Economics!G141)))</f>
        <v/>
      </c>
      <c r="AL141" s="120" t="str">
        <f>Finance!G141</f>
        <v/>
      </c>
      <c r="AM141" s="120" t="str">
        <f>Optional!H141</f>
        <v/>
      </c>
      <c r="AN141" s="120" t="str">
        <f>Optional!I141</f>
        <v/>
      </c>
      <c r="AO141" s="120" t="str">
        <f t="shared" si="56"/>
        <v/>
      </c>
      <c r="AP141" s="120">
        <f t="shared" si="57"/>
        <v>0</v>
      </c>
      <c r="AQ141" s="116" t="str">
        <f t="shared" si="58"/>
        <v/>
      </c>
      <c r="AR141" s="116" t="str">
        <f t="shared" si="59"/>
        <v/>
      </c>
      <c r="AS141" s="117">
        <f t="shared" si="60"/>
        <v>0</v>
      </c>
      <c r="AT141" s="118">
        <f t="shared" si="61"/>
        <v>0</v>
      </c>
      <c r="AU141" s="118">
        <f t="shared" si="62"/>
        <v>0</v>
      </c>
      <c r="AV141" s="118">
        <f t="shared" si="63"/>
        <v>0</v>
      </c>
      <c r="AW141" s="118">
        <f t="shared" si="64"/>
        <v>0</v>
      </c>
      <c r="AX141" s="118">
        <f t="shared" si="65"/>
        <v>0</v>
      </c>
      <c r="AY141" s="118">
        <f t="shared" si="66"/>
        <v>0</v>
      </c>
      <c r="AZ141" s="111">
        <f t="shared" si="67"/>
        <v>0</v>
      </c>
      <c r="BA141" s="111" t="str">
        <f t="shared" si="68"/>
        <v>F6</v>
      </c>
      <c r="BB141" s="117" t="str">
        <f>IF(AR141="","",RANK(AR141,AR$2:AR145,0))</f>
        <v/>
      </c>
      <c r="BC141" s="111" t="str">
        <f t="shared" si="69"/>
        <v/>
      </c>
    </row>
    <row r="142" spans="1:55" x14ac:dyDescent="0.35">
      <c r="A142" s="113">
        <f>'Student Basic Info'!A142</f>
        <v>641</v>
      </c>
      <c r="B142" s="113" t="str">
        <f>'Student Basic Info'!C142</f>
        <v>Md. Sohrab Hossain</v>
      </c>
      <c r="C142" s="121" t="str">
        <f>IF(Bangla!B142="","",Bangla!B142)</f>
        <v/>
      </c>
      <c r="D142" s="121">
        <f>IF(Bangla!C142="","",Bangla!C142)</f>
        <v>40</v>
      </c>
      <c r="E142" s="112">
        <f>IF(Bangla!D142="","",Bangla!D142)</f>
        <v>40</v>
      </c>
      <c r="F142" s="112">
        <f>IF(English!C142="","",English!C142)</f>
        <v>33</v>
      </c>
      <c r="G142" s="113">
        <f>IF(ICT!B142="","",ICT!B142)</f>
        <v>13</v>
      </c>
      <c r="H142" s="113">
        <f>IF(ICT!C142="","",ICT!C142)</f>
        <v>24</v>
      </c>
      <c r="I142" s="113">
        <f>IF(ICT!D142="","",ICT!D142)</f>
        <v>24</v>
      </c>
      <c r="J142" s="114">
        <f>IF(ICT!E142="","",ICT!E142)</f>
        <v>61</v>
      </c>
      <c r="K142" s="113">
        <f>IF(Accounting!B142="","",Accounting!B142)</f>
        <v>7</v>
      </c>
      <c r="L142" s="113">
        <f>IF(Accounting!C142="","",Accounting!C142)</f>
        <v>4</v>
      </c>
      <c r="M142" s="114">
        <f>IF(Accounting!D142="","",Accounting!D142)</f>
        <v>11</v>
      </c>
      <c r="N142" s="113">
        <f>IF('Business Organization'!B142="","",'Business Organization'!B142)</f>
        <v>13</v>
      </c>
      <c r="O142" s="113">
        <f>IF('Business Organization'!C142="","",'Business Organization'!C142)</f>
        <v>6</v>
      </c>
      <c r="P142" s="114">
        <f>IF('Business Organization'!D142="","",'Business Organization'!D142)</f>
        <v>19</v>
      </c>
      <c r="Q142" s="113">
        <f>IF(SubjectList!G142="Finance",IF(Finance!B142=0,"", Finance!B142),IF(SubjectList!G142="Production",IF(Production!B142=0,"", Production!B142),IF(SubjectList!G142="Economics",IF(Economics!B142=0,"", Economics!B142))))</f>
        <v>16</v>
      </c>
      <c r="R142" s="113">
        <f>IF(SubjectList!G142="Finance",IF(Finance!C142=0,"", Finance!C142),IF(SubjectList!G142="Production",IF(Production!C142=0,"", Production!C142),IF(SubjectList!G142="Economics",IF(Economics!C142=0,"", Economics!C142))))</f>
        <v>31</v>
      </c>
      <c r="S142" s="114">
        <f>IF(SubjectList!G142="Finance",IF(Finance!D142=0,"", Finance!D142),IF(SubjectList!G142="Production",IF(Production!D142=0,"", Production!D142),IF(SubjectList!G142="Economics",IF(Economics!D142=0,"", Economics!D142))))</f>
        <v>47</v>
      </c>
      <c r="T142" s="113">
        <f>IF(SubjectList!H142="Finance",IF(Finance!B142=0,"", Finance!B142),IF(SubjectList!H142="Production",IF(Production!B142=0,"", Production!B142),IF(SubjectList!H142="Economics",IF(Economics!B142=0,"", Economics!B142))))</f>
        <v>7</v>
      </c>
      <c r="U142" s="113">
        <f>IF(SubjectList!H142="Finance",IF(Finance!C142=0,"", Finance!C142),IF(SubjectList!H142="Production",IF(Production!C142=0,"", Production!C142),IF(SubjectList!H142="Economics",IF(Economics!C142=0,"", Economics!C142))))</f>
        <v>3</v>
      </c>
      <c r="V142" s="114">
        <f>IF(SubjectList!H142="Finance",IF(Finance!D142=0,"", Finance!D142),IF(SubjectList!H142="Production",IF(Production!D142=0,"", Production!D142),IF(SubjectList!H142="Economics",IF(Economics!D142=0,"", Economics!D142))))</f>
        <v>10</v>
      </c>
      <c r="W142" s="115" t="str">
        <f>IF(SubjectList!G142="Finance","Finance",IF(SubjectList!G142="Production","Production",IF(SubjectList!G142="Economics","Not Given")))</f>
        <v>Production</v>
      </c>
      <c r="X142" s="115" t="str">
        <f>IF(SubjectList!H142="Finance","Finance",IF(SubjectList!H142="Production","Production",IF(SubjectList!H142="Economics","Economics","Not Given")))</f>
        <v>Economics</v>
      </c>
      <c r="Y142" s="113" t="str">
        <f>Bangla!F142</f>
        <v>C</v>
      </c>
      <c r="Z142" s="113" t="str">
        <f>English!E142</f>
        <v>D</v>
      </c>
      <c r="AA142" s="113" t="str">
        <f>ICT!G142</f>
        <v>A-</v>
      </c>
      <c r="AB142" s="113" t="str">
        <f>Accounting!F142</f>
        <v>F</v>
      </c>
      <c r="AC142" s="113" t="str">
        <f>'Business Organization'!F142</f>
        <v>F</v>
      </c>
      <c r="AD142" s="113" t="str">
        <f>Production!F142</f>
        <v>C</v>
      </c>
      <c r="AE142" s="113" t="str">
        <f>Finance!F142</f>
        <v/>
      </c>
      <c r="AF142" s="122">
        <f>Bangla!G142</f>
        <v>2</v>
      </c>
      <c r="AG142" s="122">
        <f>English!F142</f>
        <v>1</v>
      </c>
      <c r="AH142" s="120">
        <f>ICT!H142</f>
        <v>3.5</v>
      </c>
      <c r="AI142" s="120">
        <f>Accounting!G142</f>
        <v>0</v>
      </c>
      <c r="AJ142" s="120">
        <f>'Business Organization'!G142</f>
        <v>0</v>
      </c>
      <c r="AK142" s="120">
        <f>IF(SubjectList!G142="Finance",Finance!G142,IF(SubjectList!G142="Production",Production!G142,IF(SubjectList!G142="Economics",Economics!G142)))</f>
        <v>2</v>
      </c>
      <c r="AL142" s="120" t="str">
        <f>Finance!G142</f>
        <v/>
      </c>
      <c r="AM142" s="120">
        <f>Optional!H142</f>
        <v>0</v>
      </c>
      <c r="AN142" s="120">
        <f>Optional!I142</f>
        <v>0</v>
      </c>
      <c r="AO142" s="120">
        <f t="shared" si="56"/>
        <v>8.5</v>
      </c>
      <c r="AP142" s="120">
        <f t="shared" si="57"/>
        <v>8.5</v>
      </c>
      <c r="AQ142" s="116" t="str">
        <f t="shared" si="58"/>
        <v/>
      </c>
      <c r="AR142" s="116" t="str">
        <f t="shared" si="59"/>
        <v/>
      </c>
      <c r="AS142" s="117">
        <f t="shared" si="60"/>
        <v>221</v>
      </c>
      <c r="AT142" s="118">
        <f t="shared" si="61"/>
        <v>1</v>
      </c>
      <c r="AU142" s="118">
        <f t="shared" si="62"/>
        <v>1</v>
      </c>
      <c r="AV142" s="118">
        <f t="shared" si="63"/>
        <v>1</v>
      </c>
      <c r="AW142" s="118">
        <f t="shared" si="64"/>
        <v>0</v>
      </c>
      <c r="AX142" s="118">
        <f t="shared" si="65"/>
        <v>0</v>
      </c>
      <c r="AY142" s="118">
        <f t="shared" si="66"/>
        <v>1</v>
      </c>
      <c r="AZ142" s="111">
        <f t="shared" si="67"/>
        <v>4</v>
      </c>
      <c r="BA142" s="111" t="str">
        <f t="shared" si="68"/>
        <v>F2</v>
      </c>
      <c r="BB142" s="117" t="str">
        <f>IF(AR142="","",RANK(AR142,AR$2:AR145,0))</f>
        <v/>
      </c>
      <c r="BC142" s="111" t="str">
        <f t="shared" si="69"/>
        <v/>
      </c>
    </row>
    <row r="143" spans="1:55" x14ac:dyDescent="0.35">
      <c r="A143" s="113">
        <f>'Student Basic Info'!A143</f>
        <v>642</v>
      </c>
      <c r="B143" s="113" t="str">
        <f>'Student Basic Info'!C143</f>
        <v>Jannatul Nure Hafsa</v>
      </c>
      <c r="C143" s="121" t="str">
        <f>IF(Bangla!B143="","",Bangla!B143)</f>
        <v/>
      </c>
      <c r="D143" s="121">
        <f>IF(Bangla!C143="","",Bangla!C143)</f>
        <v>24</v>
      </c>
      <c r="E143" s="112">
        <f>IF(Bangla!D143="","",Bangla!D143)</f>
        <v>24</v>
      </c>
      <c r="F143" s="112">
        <f>IF(English!C143="","",English!C143)</f>
        <v>17</v>
      </c>
      <c r="G143" s="113">
        <f>IF(ICT!B143="","",ICT!B143)</f>
        <v>5</v>
      </c>
      <c r="H143" s="113">
        <f>IF(ICT!C143="","",ICT!C143)</f>
        <v>4</v>
      </c>
      <c r="I143" s="113">
        <f>IF(ICT!D143="","",ICT!D143)</f>
        <v>20</v>
      </c>
      <c r="J143" s="114">
        <f>IF(ICT!E143="","",ICT!E143)</f>
        <v>29</v>
      </c>
      <c r="K143" s="113">
        <f>IF(Accounting!B143="","",Accounting!B143)</f>
        <v>12</v>
      </c>
      <c r="L143" s="113">
        <f>IF(Accounting!C143="","",Accounting!C143)</f>
        <v>33</v>
      </c>
      <c r="M143" s="114">
        <f>IF(Accounting!D143="","",Accounting!D143)</f>
        <v>45</v>
      </c>
      <c r="N143" s="113">
        <f>IF('Business Organization'!B143="","",'Business Organization'!B143)</f>
        <v>17</v>
      </c>
      <c r="O143" s="113">
        <f>IF('Business Organization'!C143="","",'Business Organization'!C143)</f>
        <v>24</v>
      </c>
      <c r="P143" s="114">
        <f>IF('Business Organization'!D143="","",'Business Organization'!D143)</f>
        <v>41</v>
      </c>
      <c r="Q143" s="113">
        <f>IF(SubjectList!G143="Finance",IF(Finance!B143=0,"", Finance!B143),IF(SubjectList!G143="Production",IF(Production!B143=0,"", Production!B143),IF(SubjectList!G143="Economics",IF(Economics!B143=0,"", Economics!B143))))</f>
        <v>10</v>
      </c>
      <c r="R143" s="113">
        <f>IF(SubjectList!G143="Finance",IF(Finance!C143=0,"", Finance!C143),IF(SubjectList!G143="Production",IF(Production!C143=0,"", Production!C143),IF(SubjectList!G143="Economics",IF(Economics!C143=0,"", Economics!C143))))</f>
        <v>11</v>
      </c>
      <c r="S143" s="114">
        <f>IF(SubjectList!G143="Finance",IF(Finance!D143=0,"", Finance!D143),IF(SubjectList!G143="Production",IF(Production!D143=0,"", Production!D143),IF(SubjectList!G143="Economics",IF(Economics!D143=0,"", Economics!D143))))</f>
        <v>21</v>
      </c>
      <c r="T143" s="113">
        <f>IF(SubjectList!H143="Finance",IF(Finance!B143=0,"", Finance!B143),IF(SubjectList!H143="Production",IF(Production!B143=0,"", Production!B143),IF(SubjectList!H143="Economics",IF(Economics!B143=0,"", Economics!B143))))</f>
        <v>12</v>
      </c>
      <c r="U143" s="113">
        <f>IF(SubjectList!H143="Finance",IF(Finance!C143=0,"", Finance!C143),IF(SubjectList!H143="Production",IF(Production!C143=0,"", Production!C143),IF(SubjectList!H143="Economics",IF(Economics!C143=0,"", Economics!C143))))</f>
        <v>25</v>
      </c>
      <c r="V143" s="114">
        <f>IF(SubjectList!H143="Finance",IF(Finance!D143=0,"", Finance!D143),IF(SubjectList!H143="Production",IF(Production!D143=0,"", Production!D143),IF(SubjectList!H143="Economics",IF(Economics!D143=0,"", Economics!D143))))</f>
        <v>37</v>
      </c>
      <c r="W143" s="115" t="str">
        <f>IF(SubjectList!G143="Finance","Finance",IF(SubjectList!G143="Production","Production",IF(SubjectList!G143="Economics","Not Given")))</f>
        <v>Finance</v>
      </c>
      <c r="X143" s="115" t="str">
        <f>IF(SubjectList!H143="Finance","Finance",IF(SubjectList!H143="Production","Production",IF(SubjectList!H143="Economics","Economics","Not Given")))</f>
        <v>Economics</v>
      </c>
      <c r="Y143" s="113" t="str">
        <f>Bangla!F143</f>
        <v>F</v>
      </c>
      <c r="Z143" s="113" t="str">
        <f>English!E143</f>
        <v>F</v>
      </c>
      <c r="AA143" s="113" t="str">
        <f>ICT!G143</f>
        <v>F</v>
      </c>
      <c r="AB143" s="113" t="str">
        <f>Accounting!F143</f>
        <v>C</v>
      </c>
      <c r="AC143" s="113" t="str">
        <f>'Business Organization'!F143</f>
        <v>C</v>
      </c>
      <c r="AD143" s="113" t="str">
        <f>Production!F143</f>
        <v/>
      </c>
      <c r="AE143" s="113" t="str">
        <f>Finance!F143</f>
        <v>F</v>
      </c>
      <c r="AF143" s="122">
        <f>Bangla!G143</f>
        <v>0</v>
      </c>
      <c r="AG143" s="122">
        <f>English!F143</f>
        <v>0</v>
      </c>
      <c r="AH143" s="120">
        <f>ICT!H143</f>
        <v>0</v>
      </c>
      <c r="AI143" s="120">
        <f>Accounting!G143</f>
        <v>2</v>
      </c>
      <c r="AJ143" s="120">
        <f>'Business Organization'!G143</f>
        <v>2</v>
      </c>
      <c r="AK143" s="120">
        <f>IF(SubjectList!G143="Finance",Finance!G143,IF(SubjectList!G143="Production",Production!G143,IF(SubjectList!G143="Economics",Economics!G143)))</f>
        <v>0</v>
      </c>
      <c r="AL143" s="120">
        <f>Finance!G143</f>
        <v>0</v>
      </c>
      <c r="AM143" s="120">
        <f>Optional!H143</f>
        <v>1</v>
      </c>
      <c r="AN143" s="120">
        <f>Optional!I143</f>
        <v>0</v>
      </c>
      <c r="AO143" s="120">
        <f t="shared" si="56"/>
        <v>4</v>
      </c>
      <c r="AP143" s="120">
        <f t="shared" si="57"/>
        <v>4</v>
      </c>
      <c r="AQ143" s="116" t="str">
        <f t="shared" si="58"/>
        <v/>
      </c>
      <c r="AR143" s="116" t="str">
        <f t="shared" si="59"/>
        <v/>
      </c>
      <c r="AS143" s="117">
        <f t="shared" si="60"/>
        <v>214</v>
      </c>
      <c r="AT143" s="118">
        <f t="shared" si="61"/>
        <v>0</v>
      </c>
      <c r="AU143" s="118">
        <f t="shared" si="62"/>
        <v>0</v>
      </c>
      <c r="AV143" s="118">
        <f t="shared" si="63"/>
        <v>0</v>
      </c>
      <c r="AW143" s="118">
        <f t="shared" si="64"/>
        <v>1</v>
      </c>
      <c r="AX143" s="118">
        <f t="shared" si="65"/>
        <v>1</v>
      </c>
      <c r="AY143" s="118">
        <f t="shared" si="66"/>
        <v>0</v>
      </c>
      <c r="AZ143" s="111">
        <f t="shared" si="67"/>
        <v>2</v>
      </c>
      <c r="BA143" s="111" t="str">
        <f t="shared" si="68"/>
        <v>F4</v>
      </c>
      <c r="BB143" s="117" t="str">
        <f>IF(AR143="","",RANK(AR143,AR$2:AR145,0))</f>
        <v/>
      </c>
      <c r="BC143" s="111" t="str">
        <f t="shared" si="69"/>
        <v/>
      </c>
    </row>
    <row r="144" spans="1:55" x14ac:dyDescent="0.35">
      <c r="A144" s="113">
        <f>'Student Basic Info'!A144</f>
        <v>643</v>
      </c>
      <c r="B144" s="113">
        <f>'Student Basic Info'!C144</f>
        <v>0</v>
      </c>
      <c r="C144" s="121" t="str">
        <f>IF(Bangla!B144="","",Bangla!B144)</f>
        <v/>
      </c>
      <c r="D144" s="121" t="str">
        <f>IF(Bangla!C144="","",Bangla!C144)</f>
        <v/>
      </c>
      <c r="E144" s="112" t="str">
        <f>IF(Bangla!D144="","",Bangla!D144)</f>
        <v/>
      </c>
      <c r="F144" s="112" t="str">
        <f>IF(English!C144="","",English!C144)</f>
        <v/>
      </c>
      <c r="G144" s="113" t="str">
        <f>IF(ICT!B144="","",ICT!B144)</f>
        <v/>
      </c>
      <c r="H144" s="113" t="str">
        <f>IF(ICT!C144="","",ICT!C144)</f>
        <v/>
      </c>
      <c r="I144" s="113" t="str">
        <f>IF(ICT!D144="","",ICT!D144)</f>
        <v/>
      </c>
      <c r="J144" s="114" t="str">
        <f>IF(ICT!E144="","",ICT!E144)</f>
        <v/>
      </c>
      <c r="K144" s="113" t="str">
        <f>IF(Accounting!B144="","",Accounting!B144)</f>
        <v/>
      </c>
      <c r="L144" s="113" t="str">
        <f>IF(Accounting!C144="","",Accounting!C144)</f>
        <v/>
      </c>
      <c r="M144" s="114" t="str">
        <f>IF(Accounting!D144="","",Accounting!D144)</f>
        <v/>
      </c>
      <c r="N144" s="113" t="str">
        <f>IF('Business Organization'!B144="","",'Business Organization'!B144)</f>
        <v/>
      </c>
      <c r="O144" s="113" t="str">
        <f>IF('Business Organization'!C144="","",'Business Organization'!C144)</f>
        <v/>
      </c>
      <c r="P144" s="114" t="str">
        <f>IF('Business Organization'!D144="","",'Business Organization'!D144)</f>
        <v/>
      </c>
      <c r="Q144" s="113" t="str">
        <f>IF(SubjectList!G144="Finance",IF(Finance!B144=0,"", Finance!B144),IF(SubjectList!G144="Production",IF(Production!B144=0,"", Production!B144),IF(SubjectList!G144="Economics",IF(Economics!B144=0,"", Economics!B144))))</f>
        <v/>
      </c>
      <c r="R144" s="113" t="str">
        <f>IF(SubjectList!G144="Finance",IF(Finance!C144=0,"", Finance!C144),IF(SubjectList!G144="Production",IF(Production!C144=0,"", Production!C144),IF(SubjectList!G144="Economics",IF(Economics!C144=0,"", Economics!C144))))</f>
        <v/>
      </c>
      <c r="S144" s="114" t="str">
        <f>IF(SubjectList!G144="Finance",IF(Finance!D144=0,"", Finance!D144),IF(SubjectList!G144="Production",IF(Production!D144=0,"", Production!D144),IF(SubjectList!G144="Economics",IF(Economics!D144=0,"", Economics!D144))))</f>
        <v/>
      </c>
      <c r="T144" s="113" t="str">
        <f>IF(SubjectList!H144="Finance",IF(Finance!B144=0,"", Finance!B144),IF(SubjectList!H144="Production",IF(Production!B144=0,"", Production!B144),IF(SubjectList!H144="Economics",IF(Economics!B144=0,"", Economics!B144))))</f>
        <v/>
      </c>
      <c r="U144" s="113" t="str">
        <f>IF(SubjectList!H144="Finance",IF(Finance!C144=0,"", Finance!C144),IF(SubjectList!H144="Production",IF(Production!C144=0,"", Production!C144),IF(SubjectList!H144="Economics",IF(Economics!C144=0,"", Economics!C144))))</f>
        <v/>
      </c>
      <c r="V144" s="114" t="str">
        <f>IF(SubjectList!H144="Finance",IF(Finance!D144=0,"", Finance!D144),IF(SubjectList!H144="Production",IF(Production!D144=0,"", Production!D144),IF(SubjectList!H144="Economics",IF(Economics!D144=0,"", Economics!D144))))</f>
        <v/>
      </c>
      <c r="W144" s="115" t="str">
        <f>IF(SubjectList!G144="Finance","Finance",IF(SubjectList!G144="Production","Production",IF(SubjectList!G144="Economics","Not Given")))</f>
        <v>Finance</v>
      </c>
      <c r="X144" s="115" t="str">
        <f>IF(SubjectList!H144="Finance","Finance",IF(SubjectList!H144="Production","Production",IF(SubjectList!H144="Economics","Economics","Not Given")))</f>
        <v>Production</v>
      </c>
      <c r="Y144" s="113" t="str">
        <f>Bangla!F144</f>
        <v/>
      </c>
      <c r="Z144" s="113" t="str">
        <f>English!E144</f>
        <v/>
      </c>
      <c r="AA144" s="113" t="str">
        <f>ICT!G144</f>
        <v/>
      </c>
      <c r="AB144" s="113" t="str">
        <f>Accounting!F144</f>
        <v/>
      </c>
      <c r="AC144" s="113" t="str">
        <f>'Business Organization'!F144</f>
        <v/>
      </c>
      <c r="AD144" s="113" t="str">
        <f>Production!F144</f>
        <v/>
      </c>
      <c r="AE144" s="113" t="str">
        <f>Finance!F144</f>
        <v/>
      </c>
      <c r="AF144" s="122" t="str">
        <f>Bangla!G144</f>
        <v/>
      </c>
      <c r="AG144" s="122" t="str">
        <f>English!F144</f>
        <v/>
      </c>
      <c r="AH144" s="120" t="str">
        <f>ICT!H144</f>
        <v/>
      </c>
      <c r="AI144" s="120" t="str">
        <f>Accounting!G144</f>
        <v/>
      </c>
      <c r="AJ144" s="120" t="str">
        <f>'Business Organization'!G144</f>
        <v/>
      </c>
      <c r="AK144" s="120" t="str">
        <f>IF(SubjectList!G144="Finance",Finance!G144,IF(SubjectList!G144="Production",Production!G144,IF(SubjectList!G144="Economics",Economics!G144)))</f>
        <v/>
      </c>
      <c r="AL144" s="120" t="str">
        <f>Finance!G144</f>
        <v/>
      </c>
      <c r="AM144" s="120" t="str">
        <f>Optional!H144</f>
        <v/>
      </c>
      <c r="AN144" s="120" t="str">
        <f>Optional!I144</f>
        <v/>
      </c>
      <c r="AO144" s="120" t="str">
        <f t="shared" si="56"/>
        <v/>
      </c>
      <c r="AP144" s="120">
        <f t="shared" si="57"/>
        <v>0</v>
      </c>
      <c r="AQ144" s="116" t="str">
        <f t="shared" si="58"/>
        <v/>
      </c>
      <c r="AR144" s="116" t="str">
        <f t="shared" si="59"/>
        <v/>
      </c>
      <c r="AS144" s="117">
        <f t="shared" si="60"/>
        <v>0</v>
      </c>
      <c r="AT144" s="118">
        <f t="shared" si="61"/>
        <v>0</v>
      </c>
      <c r="AU144" s="118">
        <f t="shared" si="62"/>
        <v>0</v>
      </c>
      <c r="AV144" s="118">
        <f t="shared" si="63"/>
        <v>0</v>
      </c>
      <c r="AW144" s="118">
        <f t="shared" si="64"/>
        <v>0</v>
      </c>
      <c r="AX144" s="118">
        <f t="shared" si="65"/>
        <v>0</v>
      </c>
      <c r="AY144" s="118">
        <f t="shared" si="66"/>
        <v>0</v>
      </c>
      <c r="AZ144" s="111">
        <f t="shared" si="67"/>
        <v>0</v>
      </c>
      <c r="BA144" s="111" t="str">
        <f t="shared" si="68"/>
        <v>F6</v>
      </c>
      <c r="BB144" s="117" t="str">
        <f>IF(AR144="","",RANK(AR144,AR$2:AR145,0))</f>
        <v/>
      </c>
      <c r="BC144" s="111" t="str">
        <f t="shared" si="69"/>
        <v/>
      </c>
    </row>
    <row r="145" spans="1:55" x14ac:dyDescent="0.35">
      <c r="A145" s="113">
        <f>'Student Basic Info'!A145</f>
        <v>644</v>
      </c>
      <c r="B145" s="113" t="str">
        <f>'Student Basic Info'!C145</f>
        <v>Khadiza Aktar</v>
      </c>
      <c r="C145" s="121" t="str">
        <f>IF(Bangla!B145="","",Bangla!B145)</f>
        <v/>
      </c>
      <c r="D145" s="121">
        <f>IF(Bangla!C145="","",Bangla!C145)</f>
        <v>22</v>
      </c>
      <c r="E145" s="112">
        <f>IF(Bangla!D145="","",Bangla!D145)</f>
        <v>22</v>
      </c>
      <c r="F145" s="112">
        <f>IF(English!C145="","",English!C145)</f>
        <v>10</v>
      </c>
      <c r="G145" s="113">
        <f>IF(ICT!B145="","",ICT!B145)</f>
        <v>5</v>
      </c>
      <c r="H145" s="113">
        <f>IF(ICT!C145="","",ICT!C145)</f>
        <v>4</v>
      </c>
      <c r="I145" s="113">
        <f>IF(ICT!D145="","",ICT!D145)</f>
        <v>20</v>
      </c>
      <c r="J145" s="114">
        <f>IF(ICT!E145="","",ICT!E145)</f>
        <v>29</v>
      </c>
      <c r="K145" s="113">
        <f>IF(Accounting!B145="","",Accounting!B145)</f>
        <v>7</v>
      </c>
      <c r="L145" s="113">
        <f>IF(Accounting!C145="","",Accounting!C145)</f>
        <v>23</v>
      </c>
      <c r="M145" s="114">
        <f>IF(Accounting!D145="","",Accounting!D145)</f>
        <v>30</v>
      </c>
      <c r="N145" s="113">
        <f>IF('Business Organization'!B145="","",'Business Organization'!B145)</f>
        <v>17</v>
      </c>
      <c r="O145" s="113">
        <f>IF('Business Organization'!C145="","",'Business Organization'!C145)</f>
        <v>7</v>
      </c>
      <c r="P145" s="114">
        <f>IF('Business Organization'!D145="","",'Business Organization'!D145)</f>
        <v>24</v>
      </c>
      <c r="Q145" s="113">
        <f>IF(SubjectList!G145="Finance",IF(Finance!B145=0,"", Finance!B145),IF(SubjectList!G145="Production",IF(Production!B145=0,"", Production!B145),IF(SubjectList!G145="Economics",IF(Economics!B145=0,"", Economics!B145))))</f>
        <v>10</v>
      </c>
      <c r="R145" s="113">
        <f>IF(SubjectList!G145="Finance",IF(Finance!C145=0,"", Finance!C145),IF(SubjectList!G145="Production",IF(Production!C145=0,"", Production!C145),IF(SubjectList!G145="Economics",IF(Economics!C145=0,"", Economics!C145))))</f>
        <v>10</v>
      </c>
      <c r="S145" s="114">
        <f>IF(SubjectList!G145="Finance",IF(Finance!D145=0,"", Finance!D145),IF(SubjectList!G145="Production",IF(Production!D145=0,"", Production!D145),IF(SubjectList!G145="Economics",IF(Economics!D145=0,"", Economics!D145))))</f>
        <v>20</v>
      </c>
      <c r="T145" s="113">
        <f>IF(SubjectList!H145="Finance",IF(Finance!B145=0,"", Finance!B145),IF(SubjectList!H145="Production",IF(Production!B145=0,"", Production!B145),IF(SubjectList!H145="Economics",IF(Economics!B145=0,"", Economics!B145))))</f>
        <v>9</v>
      </c>
      <c r="U145" s="113">
        <f>IF(SubjectList!H145="Finance",IF(Finance!C145=0,"", Finance!C145),IF(SubjectList!H145="Production",IF(Production!C145=0,"", Production!C145),IF(SubjectList!H145="Economics",IF(Economics!C145=0,"", Economics!C145))))</f>
        <v>11</v>
      </c>
      <c r="V145" s="114">
        <f>IF(SubjectList!H145="Finance",IF(Finance!D145=0,"", Finance!D145),IF(SubjectList!H145="Production",IF(Production!D145=0,"", Production!D145),IF(SubjectList!H145="Economics",IF(Economics!D145=0,"", Economics!D145))))</f>
        <v>20</v>
      </c>
      <c r="W145" s="115" t="str">
        <f>IF(SubjectList!G145="Finance","Finance",IF(SubjectList!G145="Production","Production",IF(SubjectList!G145="Economics","Not Given")))</f>
        <v>Finance</v>
      </c>
      <c r="X145" s="115" t="str">
        <f>IF(SubjectList!H145="Finance","Finance",IF(SubjectList!H145="Production","Production",IF(SubjectList!H145="Economics","Economics","Not Given")))</f>
        <v>Production</v>
      </c>
      <c r="Y145" s="113" t="str">
        <f>Bangla!F145</f>
        <v>F</v>
      </c>
      <c r="Z145" s="113" t="str">
        <f>English!E145</f>
        <v>F</v>
      </c>
      <c r="AA145" s="113" t="str">
        <f>ICT!G145</f>
        <v>F</v>
      </c>
      <c r="AB145" s="113" t="str">
        <f>Accounting!F145</f>
        <v>F</v>
      </c>
      <c r="AC145" s="113" t="str">
        <f>'Business Organization'!F145</f>
        <v>F</v>
      </c>
      <c r="AD145" s="113" t="str">
        <f>Production!F145</f>
        <v>F</v>
      </c>
      <c r="AE145" s="113" t="str">
        <f>Finance!F145</f>
        <v>F</v>
      </c>
      <c r="AF145" s="122">
        <f>Bangla!G145</f>
        <v>0</v>
      </c>
      <c r="AG145" s="122">
        <f>English!F145</f>
        <v>0</v>
      </c>
      <c r="AH145" s="120">
        <f>ICT!H145</f>
        <v>0</v>
      </c>
      <c r="AI145" s="120">
        <f>Accounting!G145</f>
        <v>0</v>
      </c>
      <c r="AJ145" s="120">
        <f>'Business Organization'!G145</f>
        <v>0</v>
      </c>
      <c r="AK145" s="120">
        <f>IF(SubjectList!G145="Finance",Finance!G145,IF(SubjectList!G145="Production",Production!G145,IF(SubjectList!G145="Economics",Economics!G145)))</f>
        <v>0</v>
      </c>
      <c r="AL145" s="120">
        <f>Finance!G145</f>
        <v>0</v>
      </c>
      <c r="AM145" s="120">
        <f>Optional!H145</f>
        <v>0</v>
      </c>
      <c r="AN145" s="120">
        <f>Optional!I145</f>
        <v>0</v>
      </c>
      <c r="AO145" s="120" t="str">
        <f t="shared" si="56"/>
        <v/>
      </c>
      <c r="AP145" s="120">
        <f t="shared" si="57"/>
        <v>0</v>
      </c>
      <c r="AQ145" s="116" t="str">
        <f t="shared" si="58"/>
        <v/>
      </c>
      <c r="AR145" s="116" t="str">
        <f t="shared" si="59"/>
        <v/>
      </c>
      <c r="AS145" s="117">
        <f t="shared" si="60"/>
        <v>155</v>
      </c>
      <c r="AT145" s="118">
        <f t="shared" si="61"/>
        <v>0</v>
      </c>
      <c r="AU145" s="118">
        <f t="shared" si="62"/>
        <v>0</v>
      </c>
      <c r="AV145" s="118">
        <f t="shared" si="63"/>
        <v>0</v>
      </c>
      <c r="AW145" s="118">
        <f t="shared" si="64"/>
        <v>0</v>
      </c>
      <c r="AX145" s="118">
        <f t="shared" si="65"/>
        <v>0</v>
      </c>
      <c r="AY145" s="118">
        <f t="shared" si="66"/>
        <v>0</v>
      </c>
      <c r="AZ145" s="111">
        <f t="shared" si="67"/>
        <v>0</v>
      </c>
      <c r="BA145" s="111" t="str">
        <f t="shared" si="68"/>
        <v>F6</v>
      </c>
      <c r="BB145" s="117" t="str">
        <f>IF(AR145="","",RANK(AR145,AR$2:AR145,0))</f>
        <v/>
      </c>
      <c r="BC145" s="111" t="str">
        <f t="shared" si="69"/>
        <v/>
      </c>
    </row>
  </sheetData>
  <sheetProtection formatCells="0" formatColumns="0" formatRows="0" insertColumns="0" insertRows="0" insertHyperlinks="0" deleteColumns="0" deleteRows="0"/>
  <conditionalFormatting sqref="BA2:BA145">
    <cfRule type="containsText" dxfId="0" priority="1" operator="containsText" text="Pass">
      <formula>NOT(ISERROR(SEARCH("Pass",BA2)))</formula>
    </cfRule>
  </conditionalFormatting>
  <pageMargins left="0.7" right="0.7" top="1.61" bottom="0.75" header="0.3" footer="0.3"/>
  <pageSetup orientation="landscape" r:id="rId1"/>
  <headerFooter>
    <oddHeader>&amp;C&amp;"-,Bold"&amp;28&amp;KFFC000BAMNI DEGREE COLLEGE&amp;"-,Regular"&amp;11&amp;K01+000
&amp;"-,Bold"&amp;16Test Examination Result-2025&amp;"-,Regular"&amp;11
&amp;"-,Bold"&amp;14Group: Business Studies  (Summary Sheet)&amp;"-,Regular"&amp;11
&amp;"-,Italic"&amp;14&amp;UDate of Publication of Result: February 20,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Introduction</vt:lpstr>
      <vt:lpstr>Inputs</vt:lpstr>
      <vt:lpstr>Sheet1</vt:lpstr>
      <vt:lpstr>Student Basic Info</vt:lpstr>
      <vt:lpstr>Prev. Academic</vt:lpstr>
      <vt:lpstr>SubjectList</vt:lpstr>
      <vt:lpstr>Bangla</vt:lpstr>
      <vt:lpstr>English</vt:lpstr>
      <vt:lpstr>ICT</vt:lpstr>
      <vt:lpstr>Accounting</vt:lpstr>
      <vt:lpstr>Business Organization</vt:lpstr>
      <vt:lpstr>Production</vt:lpstr>
      <vt:lpstr>Finance</vt:lpstr>
      <vt:lpstr>Economics</vt:lpstr>
      <vt:lpstr>Optional</vt:lpstr>
      <vt:lpstr>Detailed Summary</vt:lpstr>
      <vt:lpstr>Combined Merit List</vt:lpstr>
      <vt:lpstr>All Subject Pass</vt:lpstr>
      <vt:lpstr>Fail in One Subject</vt:lpstr>
      <vt:lpstr>Fail in Two Subjects</vt:lpstr>
      <vt:lpstr>Fail in Three Subjects</vt:lpstr>
      <vt:lpstr>GPA Calculation Summary Sheet</vt:lpstr>
      <vt:lpstr>'Combined Merit List'!Print_Titles</vt:lpstr>
      <vt:lpstr>'GPA Calculation Summary Sheet'!Print_Titles</vt:lpstr>
      <vt:lpstr>ICT!Print_Titles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Hossain</dc:creator>
  <cp:lastModifiedBy>Ali Hossain</cp:lastModifiedBy>
  <cp:lastPrinted>2025-03-17T16:09:08Z</cp:lastPrinted>
  <dcterms:created xsi:type="dcterms:W3CDTF">2023-12-14T05:32:41Z</dcterms:created>
  <dcterms:modified xsi:type="dcterms:W3CDTF">2025-08-28T07:12:26Z</dcterms:modified>
</cp:coreProperties>
</file>