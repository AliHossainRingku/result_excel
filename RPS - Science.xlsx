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moni Degree College\RPS\RPS 2025\TEST 2025\"/>
    </mc:Choice>
  </mc:AlternateContent>
  <bookViews>
    <workbookView xWindow="0" yWindow="0" windowWidth="19180" windowHeight="7140" activeTab="8"/>
  </bookViews>
  <sheets>
    <sheet name="Introduction" sheetId="12" r:id="rId1"/>
    <sheet name="Inputs" sheetId="13" state="hidden" r:id="rId2"/>
    <sheet name="Sheet1" sheetId="11" state="hidden" r:id="rId3"/>
    <sheet name="Student Basic Info" sheetId="14" r:id="rId4"/>
    <sheet name="Prev. Academic" sheetId="15" r:id="rId5"/>
    <sheet name="SubjectList" sheetId="16" r:id="rId6"/>
    <sheet name="Bangla" sheetId="4" r:id="rId7"/>
    <sheet name="English" sheetId="5" r:id="rId8"/>
    <sheet name="ICT" sheetId="3" r:id="rId9"/>
    <sheet name="Physics" sheetId="21" r:id="rId10"/>
    <sheet name="Chemistry" sheetId="22" r:id="rId11"/>
    <sheet name="Biology" sheetId="23" r:id="rId12"/>
    <sheet name="Math" sheetId="24" r:id="rId13"/>
    <sheet name="Optional" sheetId="25" r:id="rId14"/>
    <sheet name="Detailed Summary" sheetId="19" r:id="rId15"/>
    <sheet name="Combined Merit List" sheetId="10" r:id="rId16"/>
    <sheet name="All Subject Pass" sheetId="27" r:id="rId17"/>
    <sheet name="Fail in One Subject" sheetId="28" r:id="rId18"/>
    <sheet name="Fail in Two Subjects" sheetId="29" r:id="rId19"/>
    <sheet name="Fail in Three Subjects" sheetId="31" r:id="rId20"/>
    <sheet name="Fail in Four Subjects" sheetId="32" r:id="rId21"/>
    <sheet name="Fail in Five Subjects" sheetId="33" r:id="rId22"/>
    <sheet name="Fail in Six Subjects" sheetId="34" r:id="rId23"/>
    <sheet name="GPA Calculation Summary Sheet" sheetId="35" r:id="rId24"/>
    <sheet name="Combined Marks" sheetId="18" state="hidden" r:id="rId25"/>
  </sheets>
  <definedNames>
    <definedName name="_xlnm._FilterDatabase" localSheetId="16" hidden="1">'All Subject Pass'!$U$1:$U$88</definedName>
    <definedName name="_xlnm._FilterDatabase" localSheetId="14" hidden="1">'Detailed Summary'!$BJ$1:$BJ$88</definedName>
    <definedName name="_xlnm._FilterDatabase" localSheetId="21" hidden="1">'Fail in Five Subjects'!$U$2:$U$89</definedName>
    <definedName name="_xlnm._FilterDatabase" localSheetId="20" hidden="1">'Fail in Four Subjects'!$U$2:$U$89</definedName>
    <definedName name="_xlnm._FilterDatabase" localSheetId="17" hidden="1">'Fail in One Subject'!$U$2:$U$89</definedName>
    <definedName name="_xlnm._FilterDatabase" localSheetId="22" hidden="1">'Fail in Six Subjects'!$U$2:$U$89</definedName>
    <definedName name="_xlnm._FilterDatabase" localSheetId="19" hidden="1">'Fail in Three Subjects'!$U$2:$U$89</definedName>
    <definedName name="_xlnm._FilterDatabase" localSheetId="18" hidden="1">'Fail in Two Subjects'!$U$2:$U$89</definedName>
    <definedName name="_xlnm._FilterDatabase" localSheetId="23" hidden="1">'GPA Calculation Summary Sheet'!$E$1:$E$88</definedName>
    <definedName name="_xlnm.Print_Titles" localSheetId="16">'All Subject Pass'!$1:$1</definedName>
    <definedName name="_xlnm.Print_Titles" localSheetId="24">'Combined Marks'!$1:$1</definedName>
    <definedName name="_xlnm.Print_Titles" localSheetId="15">'Combined Merit List'!$1:$1</definedName>
    <definedName name="_xlnm.Print_Titles" localSheetId="14">'Detailed Summary'!$1:$1</definedName>
    <definedName name="_xlnm.Print_Titles" localSheetId="21">'Fail in Five Subjects'!$2:$2</definedName>
    <definedName name="_xlnm.Print_Titles" localSheetId="20">'Fail in Four Subjects'!$2:$2</definedName>
    <definedName name="_xlnm.Print_Titles" localSheetId="17">'Fail in One Subject'!$2:$2</definedName>
    <definedName name="_xlnm.Print_Titles" localSheetId="22">'Fail in Six Subjects'!$2:$2</definedName>
    <definedName name="_xlnm.Print_Titles" localSheetId="19">'Fail in Three Subjects'!$2:$2</definedName>
    <definedName name="_xlnm.Print_Titles" localSheetId="18">'Fail in Two Subjects'!$2:$2</definedName>
    <definedName name="_xlnm.Print_Titles" localSheetId="23">'GPA Calculation Summary Sheet'!$1:$1</definedName>
    <definedName name="_xlnm.Print_Titles" localSheetId="8">ICT!$1:$1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9" l="1"/>
  <c r="G10" i="4" l="1"/>
  <c r="F2" i="23" l="1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2" i="22"/>
  <c r="E2" i="23"/>
  <c r="E81" i="24"/>
  <c r="F81" i="24" s="1"/>
  <c r="AB88" i="35" l="1"/>
  <c r="AA88" i="35"/>
  <c r="W88" i="35"/>
  <c r="U88" i="35"/>
  <c r="T88" i="35"/>
  <c r="S88" i="35"/>
  <c r="Q88" i="35"/>
  <c r="P88" i="35"/>
  <c r="O88" i="35"/>
  <c r="M88" i="35"/>
  <c r="L88" i="35"/>
  <c r="K88" i="35"/>
  <c r="I88" i="35"/>
  <c r="H88" i="35"/>
  <c r="G88" i="35"/>
  <c r="D88" i="35"/>
  <c r="C88" i="35"/>
  <c r="B88" i="35"/>
  <c r="A88" i="35"/>
  <c r="AB87" i="35"/>
  <c r="AA87" i="35"/>
  <c r="W87" i="35"/>
  <c r="U87" i="35"/>
  <c r="T87" i="35"/>
  <c r="S87" i="35"/>
  <c r="Q87" i="35"/>
  <c r="P87" i="35"/>
  <c r="O87" i="35"/>
  <c r="M87" i="35"/>
  <c r="L87" i="35"/>
  <c r="K87" i="35"/>
  <c r="I87" i="35"/>
  <c r="G87" i="35"/>
  <c r="D87" i="35"/>
  <c r="C87" i="35"/>
  <c r="B87" i="35"/>
  <c r="A87" i="35"/>
  <c r="AB86" i="35"/>
  <c r="AA86" i="35"/>
  <c r="W86" i="35"/>
  <c r="U86" i="35"/>
  <c r="T86" i="35"/>
  <c r="S86" i="35"/>
  <c r="Q86" i="35"/>
  <c r="P86" i="35"/>
  <c r="O86" i="35"/>
  <c r="M86" i="35"/>
  <c r="L86" i="35"/>
  <c r="K86" i="35"/>
  <c r="I86" i="35"/>
  <c r="H86" i="35"/>
  <c r="G86" i="35"/>
  <c r="D86" i="35"/>
  <c r="C86" i="35"/>
  <c r="B86" i="35"/>
  <c r="A86" i="35"/>
  <c r="AB85" i="35"/>
  <c r="AA85" i="35"/>
  <c r="W85" i="35"/>
  <c r="U85" i="35"/>
  <c r="T85" i="35"/>
  <c r="S85" i="35"/>
  <c r="Q85" i="35"/>
  <c r="P85" i="35"/>
  <c r="O85" i="35"/>
  <c r="M85" i="35"/>
  <c r="L85" i="35"/>
  <c r="K85" i="35"/>
  <c r="I85" i="35"/>
  <c r="H85" i="35"/>
  <c r="G85" i="35"/>
  <c r="D85" i="35"/>
  <c r="C85" i="35"/>
  <c r="B85" i="35"/>
  <c r="A85" i="35"/>
  <c r="AB84" i="35"/>
  <c r="AA84" i="35"/>
  <c r="W84" i="35"/>
  <c r="U84" i="35"/>
  <c r="T84" i="35"/>
  <c r="S84" i="35"/>
  <c r="Q84" i="35"/>
  <c r="P84" i="35"/>
  <c r="O84" i="35"/>
  <c r="M84" i="35"/>
  <c r="L84" i="35"/>
  <c r="K84" i="35"/>
  <c r="I84" i="35"/>
  <c r="H84" i="35"/>
  <c r="G84" i="35"/>
  <c r="D84" i="35"/>
  <c r="C84" i="35"/>
  <c r="B84" i="35"/>
  <c r="A84" i="35"/>
  <c r="AB83" i="35"/>
  <c r="AA83" i="35"/>
  <c r="W83" i="35"/>
  <c r="U83" i="35"/>
  <c r="T83" i="35"/>
  <c r="S83" i="35"/>
  <c r="Q83" i="35"/>
  <c r="P83" i="35"/>
  <c r="O83" i="35"/>
  <c r="M83" i="35"/>
  <c r="L83" i="35"/>
  <c r="K83" i="35"/>
  <c r="I83" i="35"/>
  <c r="H83" i="35"/>
  <c r="G83" i="35"/>
  <c r="D83" i="35"/>
  <c r="C83" i="35"/>
  <c r="B83" i="35"/>
  <c r="A83" i="35"/>
  <c r="AB82" i="35"/>
  <c r="AA82" i="35"/>
  <c r="W82" i="35"/>
  <c r="U82" i="35"/>
  <c r="T82" i="35"/>
  <c r="S82" i="35"/>
  <c r="Q82" i="35"/>
  <c r="P82" i="35"/>
  <c r="O82" i="35"/>
  <c r="M82" i="35"/>
  <c r="L82" i="35"/>
  <c r="K82" i="35"/>
  <c r="I82" i="35"/>
  <c r="H82" i="35"/>
  <c r="G82" i="35"/>
  <c r="D82" i="35"/>
  <c r="C82" i="35"/>
  <c r="B82" i="35"/>
  <c r="A82" i="35"/>
  <c r="AB81" i="35"/>
  <c r="AA81" i="35"/>
  <c r="W81" i="35"/>
  <c r="U81" i="35"/>
  <c r="T81" i="35"/>
  <c r="S81" i="35"/>
  <c r="Q81" i="35"/>
  <c r="P81" i="35"/>
  <c r="O81" i="35"/>
  <c r="M81" i="35"/>
  <c r="L81" i="35"/>
  <c r="K81" i="35"/>
  <c r="I81" i="35"/>
  <c r="H81" i="35"/>
  <c r="G81" i="35"/>
  <c r="D81" i="35"/>
  <c r="C81" i="35"/>
  <c r="B81" i="35"/>
  <c r="A81" i="35"/>
  <c r="AB80" i="35"/>
  <c r="AA80" i="35"/>
  <c r="W80" i="35"/>
  <c r="U80" i="35"/>
  <c r="T80" i="35"/>
  <c r="S80" i="35"/>
  <c r="Q80" i="35"/>
  <c r="P80" i="35"/>
  <c r="O80" i="35"/>
  <c r="M80" i="35"/>
  <c r="L80" i="35"/>
  <c r="K80" i="35"/>
  <c r="I80" i="35"/>
  <c r="H80" i="35"/>
  <c r="G80" i="35"/>
  <c r="D80" i="35"/>
  <c r="C80" i="35"/>
  <c r="B80" i="35"/>
  <c r="A80" i="35"/>
  <c r="AB79" i="35"/>
  <c r="AA79" i="35"/>
  <c r="W79" i="35"/>
  <c r="U79" i="35"/>
  <c r="T79" i="35"/>
  <c r="S79" i="35"/>
  <c r="Q79" i="35"/>
  <c r="P79" i="35"/>
  <c r="O79" i="35"/>
  <c r="M79" i="35"/>
  <c r="L79" i="35"/>
  <c r="K79" i="35"/>
  <c r="I79" i="35"/>
  <c r="H79" i="35"/>
  <c r="G79" i="35"/>
  <c r="D79" i="35"/>
  <c r="C79" i="35"/>
  <c r="B79" i="35"/>
  <c r="A79" i="35"/>
  <c r="AB78" i="35"/>
  <c r="AA78" i="35"/>
  <c r="W78" i="35"/>
  <c r="U78" i="35"/>
  <c r="T78" i="35"/>
  <c r="S78" i="35"/>
  <c r="Q78" i="35"/>
  <c r="P78" i="35"/>
  <c r="O78" i="35"/>
  <c r="M78" i="35"/>
  <c r="L78" i="35"/>
  <c r="K78" i="35"/>
  <c r="I78" i="35"/>
  <c r="H78" i="35"/>
  <c r="G78" i="35"/>
  <c r="D78" i="35"/>
  <c r="C78" i="35"/>
  <c r="B78" i="35"/>
  <c r="A78" i="35"/>
  <c r="AB77" i="35"/>
  <c r="AA77" i="35"/>
  <c r="W77" i="35"/>
  <c r="U77" i="35"/>
  <c r="T77" i="35"/>
  <c r="S77" i="35"/>
  <c r="Q77" i="35"/>
  <c r="P77" i="35"/>
  <c r="O77" i="35"/>
  <c r="M77" i="35"/>
  <c r="L77" i="35"/>
  <c r="K77" i="35"/>
  <c r="I77" i="35"/>
  <c r="H77" i="35"/>
  <c r="G77" i="35"/>
  <c r="D77" i="35"/>
  <c r="C77" i="35"/>
  <c r="B77" i="35"/>
  <c r="A77" i="35"/>
  <c r="AB76" i="35"/>
  <c r="AA76" i="35"/>
  <c r="W76" i="35"/>
  <c r="U76" i="35"/>
  <c r="T76" i="35"/>
  <c r="S76" i="35"/>
  <c r="Q76" i="35"/>
  <c r="P76" i="35"/>
  <c r="O76" i="35"/>
  <c r="M76" i="35"/>
  <c r="L76" i="35"/>
  <c r="K76" i="35"/>
  <c r="I76" i="35"/>
  <c r="H76" i="35"/>
  <c r="G76" i="35"/>
  <c r="D76" i="35"/>
  <c r="C76" i="35"/>
  <c r="B76" i="35"/>
  <c r="A76" i="35"/>
  <c r="AB75" i="35"/>
  <c r="AA75" i="35"/>
  <c r="W75" i="35"/>
  <c r="U75" i="35"/>
  <c r="T75" i="35"/>
  <c r="S75" i="35"/>
  <c r="Q75" i="35"/>
  <c r="P75" i="35"/>
  <c r="O75" i="35"/>
  <c r="M75" i="35"/>
  <c r="L75" i="35"/>
  <c r="K75" i="35"/>
  <c r="I75" i="35"/>
  <c r="H75" i="35"/>
  <c r="G75" i="35"/>
  <c r="D75" i="35"/>
  <c r="C75" i="35"/>
  <c r="B75" i="35"/>
  <c r="A75" i="35"/>
  <c r="AB74" i="35"/>
  <c r="AA74" i="35"/>
  <c r="W74" i="35"/>
  <c r="U74" i="35"/>
  <c r="T74" i="35"/>
  <c r="S74" i="35"/>
  <c r="Q74" i="35"/>
  <c r="P74" i="35"/>
  <c r="O74" i="35"/>
  <c r="M74" i="35"/>
  <c r="L74" i="35"/>
  <c r="K74" i="35"/>
  <c r="I74" i="35"/>
  <c r="H74" i="35"/>
  <c r="G74" i="35"/>
  <c r="D74" i="35"/>
  <c r="C74" i="35"/>
  <c r="B74" i="35"/>
  <c r="A74" i="35"/>
  <c r="AB73" i="35"/>
  <c r="AA73" i="35"/>
  <c r="W73" i="35"/>
  <c r="U73" i="35"/>
  <c r="T73" i="35"/>
  <c r="S73" i="35"/>
  <c r="Q73" i="35"/>
  <c r="P73" i="35"/>
  <c r="O73" i="35"/>
  <c r="M73" i="35"/>
  <c r="L73" i="35"/>
  <c r="K73" i="35"/>
  <c r="I73" i="35"/>
  <c r="H73" i="35"/>
  <c r="G73" i="35"/>
  <c r="D73" i="35"/>
  <c r="C73" i="35"/>
  <c r="B73" i="35"/>
  <c r="A73" i="35"/>
  <c r="AB72" i="35"/>
  <c r="AA72" i="35"/>
  <c r="W72" i="35"/>
  <c r="U72" i="35"/>
  <c r="T72" i="35"/>
  <c r="S72" i="35"/>
  <c r="Q72" i="35"/>
  <c r="P72" i="35"/>
  <c r="O72" i="35"/>
  <c r="M72" i="35"/>
  <c r="L72" i="35"/>
  <c r="K72" i="35"/>
  <c r="I72" i="35"/>
  <c r="H72" i="35"/>
  <c r="G72" i="35"/>
  <c r="D72" i="35"/>
  <c r="C72" i="35"/>
  <c r="B72" i="35"/>
  <c r="A72" i="35"/>
  <c r="AB71" i="35"/>
  <c r="AA71" i="35"/>
  <c r="W71" i="35"/>
  <c r="U71" i="35"/>
  <c r="T71" i="35"/>
  <c r="S71" i="35"/>
  <c r="Q71" i="35"/>
  <c r="P71" i="35"/>
  <c r="O71" i="35"/>
  <c r="M71" i="35"/>
  <c r="L71" i="35"/>
  <c r="K71" i="35"/>
  <c r="I71" i="35"/>
  <c r="H71" i="35"/>
  <c r="G71" i="35"/>
  <c r="D71" i="35"/>
  <c r="C71" i="35"/>
  <c r="B71" i="35"/>
  <c r="A71" i="35"/>
  <c r="AB70" i="35"/>
  <c r="AA70" i="35"/>
  <c r="W70" i="35"/>
  <c r="U70" i="35"/>
  <c r="T70" i="35"/>
  <c r="S70" i="35"/>
  <c r="Q70" i="35"/>
  <c r="P70" i="35"/>
  <c r="O70" i="35"/>
  <c r="M70" i="35"/>
  <c r="L70" i="35"/>
  <c r="K70" i="35"/>
  <c r="I70" i="35"/>
  <c r="H70" i="35"/>
  <c r="G70" i="35"/>
  <c r="D70" i="35"/>
  <c r="C70" i="35"/>
  <c r="B70" i="35"/>
  <c r="A70" i="35"/>
  <c r="AB69" i="35"/>
  <c r="AA69" i="35"/>
  <c r="W69" i="35"/>
  <c r="U69" i="35"/>
  <c r="T69" i="35"/>
  <c r="S69" i="35"/>
  <c r="Q69" i="35"/>
  <c r="P69" i="35"/>
  <c r="O69" i="35"/>
  <c r="M69" i="35"/>
  <c r="L69" i="35"/>
  <c r="K69" i="35"/>
  <c r="I69" i="35"/>
  <c r="H69" i="35"/>
  <c r="G69" i="35"/>
  <c r="D69" i="35"/>
  <c r="C69" i="35"/>
  <c r="B69" i="35"/>
  <c r="A69" i="35"/>
  <c r="AB68" i="35"/>
  <c r="AA68" i="35"/>
  <c r="W68" i="35"/>
  <c r="U68" i="35"/>
  <c r="T68" i="35"/>
  <c r="S68" i="35"/>
  <c r="Q68" i="35"/>
  <c r="P68" i="35"/>
  <c r="O68" i="35"/>
  <c r="M68" i="35"/>
  <c r="L68" i="35"/>
  <c r="K68" i="35"/>
  <c r="I68" i="35"/>
  <c r="H68" i="35"/>
  <c r="G68" i="35"/>
  <c r="D68" i="35"/>
  <c r="C68" i="35"/>
  <c r="B68" i="35"/>
  <c r="A68" i="35"/>
  <c r="AB67" i="35"/>
  <c r="AA67" i="35"/>
  <c r="W67" i="35"/>
  <c r="U67" i="35"/>
  <c r="T67" i="35"/>
  <c r="S67" i="35"/>
  <c r="Q67" i="35"/>
  <c r="P67" i="35"/>
  <c r="O67" i="35"/>
  <c r="M67" i="35"/>
  <c r="L67" i="35"/>
  <c r="K67" i="35"/>
  <c r="I67" i="35"/>
  <c r="H67" i="35"/>
  <c r="G67" i="35"/>
  <c r="D67" i="35"/>
  <c r="C67" i="35"/>
  <c r="B67" i="35"/>
  <c r="A67" i="35"/>
  <c r="AB66" i="35"/>
  <c r="AA66" i="35"/>
  <c r="W66" i="35"/>
  <c r="U66" i="35"/>
  <c r="T66" i="35"/>
  <c r="S66" i="35"/>
  <c r="Q66" i="35"/>
  <c r="P66" i="35"/>
  <c r="O66" i="35"/>
  <c r="M66" i="35"/>
  <c r="L66" i="35"/>
  <c r="K66" i="35"/>
  <c r="I66" i="35"/>
  <c r="H66" i="35"/>
  <c r="G66" i="35"/>
  <c r="D66" i="35"/>
  <c r="C66" i="35"/>
  <c r="B66" i="35"/>
  <c r="A66" i="35"/>
  <c r="AB65" i="35"/>
  <c r="AA65" i="35"/>
  <c r="W65" i="35"/>
  <c r="U65" i="35"/>
  <c r="T65" i="35"/>
  <c r="S65" i="35"/>
  <c r="Q65" i="35"/>
  <c r="P65" i="35"/>
  <c r="O65" i="35"/>
  <c r="M65" i="35"/>
  <c r="L65" i="35"/>
  <c r="K65" i="35"/>
  <c r="I65" i="35"/>
  <c r="H65" i="35"/>
  <c r="G65" i="35"/>
  <c r="D65" i="35"/>
  <c r="C65" i="35"/>
  <c r="B65" i="35"/>
  <c r="A65" i="35"/>
  <c r="AB64" i="35"/>
  <c r="AA64" i="35"/>
  <c r="W64" i="35"/>
  <c r="U64" i="35"/>
  <c r="T64" i="35"/>
  <c r="S64" i="35"/>
  <c r="Q64" i="35"/>
  <c r="P64" i="35"/>
  <c r="O64" i="35"/>
  <c r="M64" i="35"/>
  <c r="L64" i="35"/>
  <c r="K64" i="35"/>
  <c r="I64" i="35"/>
  <c r="H64" i="35"/>
  <c r="G64" i="35"/>
  <c r="D64" i="35"/>
  <c r="C64" i="35"/>
  <c r="B64" i="35"/>
  <c r="A64" i="35"/>
  <c r="AB63" i="35"/>
  <c r="AA63" i="35"/>
  <c r="W63" i="35"/>
  <c r="U63" i="35"/>
  <c r="T63" i="35"/>
  <c r="S63" i="35"/>
  <c r="Q63" i="35"/>
  <c r="P63" i="35"/>
  <c r="O63" i="35"/>
  <c r="M63" i="35"/>
  <c r="L63" i="35"/>
  <c r="K63" i="35"/>
  <c r="I63" i="35"/>
  <c r="H63" i="35"/>
  <c r="G63" i="35"/>
  <c r="D63" i="35"/>
  <c r="C63" i="35"/>
  <c r="B63" i="35"/>
  <c r="A63" i="35"/>
  <c r="AB62" i="35"/>
  <c r="AA62" i="35"/>
  <c r="W62" i="35"/>
  <c r="U62" i="35"/>
  <c r="T62" i="35"/>
  <c r="S62" i="35"/>
  <c r="Q62" i="35"/>
  <c r="P62" i="35"/>
  <c r="O62" i="35"/>
  <c r="M62" i="35"/>
  <c r="L62" i="35"/>
  <c r="K62" i="35"/>
  <c r="I62" i="35"/>
  <c r="H62" i="35"/>
  <c r="G62" i="35"/>
  <c r="D62" i="35"/>
  <c r="C62" i="35"/>
  <c r="B62" i="35"/>
  <c r="A62" i="35"/>
  <c r="AB61" i="35"/>
  <c r="AA61" i="35"/>
  <c r="W61" i="35"/>
  <c r="U61" i="35"/>
  <c r="T61" i="35"/>
  <c r="S61" i="35"/>
  <c r="Q61" i="35"/>
  <c r="P61" i="35"/>
  <c r="O61" i="35"/>
  <c r="M61" i="35"/>
  <c r="L61" i="35"/>
  <c r="K61" i="35"/>
  <c r="I61" i="35"/>
  <c r="H61" i="35"/>
  <c r="G61" i="35"/>
  <c r="D61" i="35"/>
  <c r="C61" i="35"/>
  <c r="B61" i="35"/>
  <c r="A61" i="35"/>
  <c r="AB60" i="35"/>
  <c r="AA60" i="35"/>
  <c r="W60" i="35"/>
  <c r="U60" i="35"/>
  <c r="T60" i="35"/>
  <c r="S60" i="35"/>
  <c r="Q60" i="35"/>
  <c r="P60" i="35"/>
  <c r="O60" i="35"/>
  <c r="M60" i="35"/>
  <c r="L60" i="35"/>
  <c r="K60" i="35"/>
  <c r="I60" i="35"/>
  <c r="H60" i="35"/>
  <c r="G60" i="35"/>
  <c r="D60" i="35"/>
  <c r="C60" i="35"/>
  <c r="B60" i="35"/>
  <c r="A60" i="35"/>
  <c r="AB59" i="35"/>
  <c r="AA59" i="35"/>
  <c r="W59" i="35"/>
  <c r="U59" i="35"/>
  <c r="T59" i="35"/>
  <c r="S59" i="35"/>
  <c r="Q59" i="35"/>
  <c r="P59" i="35"/>
  <c r="O59" i="35"/>
  <c r="M59" i="35"/>
  <c r="L59" i="35"/>
  <c r="K59" i="35"/>
  <c r="I59" i="35"/>
  <c r="H59" i="35"/>
  <c r="G59" i="35"/>
  <c r="D59" i="35"/>
  <c r="C59" i="35"/>
  <c r="B59" i="35"/>
  <c r="A59" i="35"/>
  <c r="AB58" i="35"/>
  <c r="AA58" i="35"/>
  <c r="W58" i="35"/>
  <c r="U58" i="35"/>
  <c r="T58" i="35"/>
  <c r="S58" i="35"/>
  <c r="Q58" i="35"/>
  <c r="P58" i="35"/>
  <c r="O58" i="35"/>
  <c r="M58" i="35"/>
  <c r="L58" i="35"/>
  <c r="K58" i="35"/>
  <c r="I58" i="35"/>
  <c r="H58" i="35"/>
  <c r="G58" i="35"/>
  <c r="D58" i="35"/>
  <c r="C58" i="35"/>
  <c r="B58" i="35"/>
  <c r="A58" i="35"/>
  <c r="AB57" i="35"/>
  <c r="AA57" i="35"/>
  <c r="W57" i="35"/>
  <c r="U57" i="35"/>
  <c r="T57" i="35"/>
  <c r="S57" i="35"/>
  <c r="Q57" i="35"/>
  <c r="P57" i="35"/>
  <c r="O57" i="35"/>
  <c r="M57" i="35"/>
  <c r="L57" i="35"/>
  <c r="K57" i="35"/>
  <c r="I57" i="35"/>
  <c r="H57" i="35"/>
  <c r="G57" i="35"/>
  <c r="D57" i="35"/>
  <c r="C57" i="35"/>
  <c r="B57" i="35"/>
  <c r="A57" i="35"/>
  <c r="AB56" i="35"/>
  <c r="AA56" i="35"/>
  <c r="W56" i="35"/>
  <c r="U56" i="35"/>
  <c r="T56" i="35"/>
  <c r="S56" i="35"/>
  <c r="Q56" i="35"/>
  <c r="P56" i="35"/>
  <c r="O56" i="35"/>
  <c r="M56" i="35"/>
  <c r="L56" i="35"/>
  <c r="K56" i="35"/>
  <c r="I56" i="35"/>
  <c r="H56" i="35"/>
  <c r="G56" i="35"/>
  <c r="D56" i="35"/>
  <c r="C56" i="35"/>
  <c r="B56" i="35"/>
  <c r="A56" i="35"/>
  <c r="AB55" i="35"/>
  <c r="AA55" i="35"/>
  <c r="W55" i="35"/>
  <c r="U55" i="35"/>
  <c r="T55" i="35"/>
  <c r="S55" i="35"/>
  <c r="Q55" i="35"/>
  <c r="P55" i="35"/>
  <c r="O55" i="35"/>
  <c r="M55" i="35"/>
  <c r="L55" i="35"/>
  <c r="K55" i="35"/>
  <c r="I55" i="35"/>
  <c r="H55" i="35"/>
  <c r="G55" i="35"/>
  <c r="D55" i="35"/>
  <c r="C55" i="35"/>
  <c r="B55" i="35"/>
  <c r="A55" i="35"/>
  <c r="AB54" i="35"/>
  <c r="AA54" i="35"/>
  <c r="W54" i="35"/>
  <c r="U54" i="35"/>
  <c r="T54" i="35"/>
  <c r="S54" i="35"/>
  <c r="Q54" i="35"/>
  <c r="P54" i="35"/>
  <c r="O54" i="35"/>
  <c r="M54" i="35"/>
  <c r="L54" i="35"/>
  <c r="K54" i="35"/>
  <c r="I54" i="35"/>
  <c r="H54" i="35"/>
  <c r="G54" i="35"/>
  <c r="D54" i="35"/>
  <c r="C54" i="35"/>
  <c r="B54" i="35"/>
  <c r="A54" i="35"/>
  <c r="AB53" i="35"/>
  <c r="AA53" i="35"/>
  <c r="W53" i="35"/>
  <c r="U53" i="35"/>
  <c r="T53" i="35"/>
  <c r="S53" i="35"/>
  <c r="Q53" i="35"/>
  <c r="P53" i="35"/>
  <c r="O53" i="35"/>
  <c r="M53" i="35"/>
  <c r="L53" i="35"/>
  <c r="K53" i="35"/>
  <c r="I53" i="35"/>
  <c r="H53" i="35"/>
  <c r="G53" i="35"/>
  <c r="D53" i="35"/>
  <c r="C53" i="35"/>
  <c r="B53" i="35"/>
  <c r="A53" i="35"/>
  <c r="AB52" i="35"/>
  <c r="AA52" i="35"/>
  <c r="W52" i="35"/>
  <c r="U52" i="35"/>
  <c r="T52" i="35"/>
  <c r="S52" i="35"/>
  <c r="Q52" i="35"/>
  <c r="P52" i="35"/>
  <c r="O52" i="35"/>
  <c r="M52" i="35"/>
  <c r="L52" i="35"/>
  <c r="K52" i="35"/>
  <c r="I52" i="35"/>
  <c r="H52" i="35"/>
  <c r="G52" i="35"/>
  <c r="D52" i="35"/>
  <c r="C52" i="35"/>
  <c r="B52" i="35"/>
  <c r="A52" i="35"/>
  <c r="AB51" i="35"/>
  <c r="AA51" i="35"/>
  <c r="W51" i="35"/>
  <c r="U51" i="35"/>
  <c r="T51" i="35"/>
  <c r="S51" i="35"/>
  <c r="Q51" i="35"/>
  <c r="P51" i="35"/>
  <c r="O51" i="35"/>
  <c r="M51" i="35"/>
  <c r="L51" i="35"/>
  <c r="K51" i="35"/>
  <c r="I51" i="35"/>
  <c r="H51" i="35"/>
  <c r="G51" i="35"/>
  <c r="D51" i="35"/>
  <c r="C51" i="35"/>
  <c r="B51" i="35"/>
  <c r="A51" i="35"/>
  <c r="AB50" i="35"/>
  <c r="AA50" i="35"/>
  <c r="W50" i="35"/>
  <c r="U50" i="35"/>
  <c r="T50" i="35"/>
  <c r="S50" i="35"/>
  <c r="Q50" i="35"/>
  <c r="P50" i="35"/>
  <c r="O50" i="35"/>
  <c r="M50" i="35"/>
  <c r="L50" i="35"/>
  <c r="K50" i="35"/>
  <c r="I50" i="35"/>
  <c r="H50" i="35"/>
  <c r="G50" i="35"/>
  <c r="D50" i="35"/>
  <c r="C50" i="35"/>
  <c r="B50" i="35"/>
  <c r="A50" i="35"/>
  <c r="AB49" i="35"/>
  <c r="AA49" i="35"/>
  <c r="W49" i="35"/>
  <c r="U49" i="35"/>
  <c r="T49" i="35"/>
  <c r="S49" i="35"/>
  <c r="Q49" i="35"/>
  <c r="P49" i="35"/>
  <c r="O49" i="35"/>
  <c r="M49" i="35"/>
  <c r="L49" i="35"/>
  <c r="K49" i="35"/>
  <c r="I49" i="35"/>
  <c r="H49" i="35"/>
  <c r="G49" i="35"/>
  <c r="D49" i="35"/>
  <c r="C49" i="35"/>
  <c r="B49" i="35"/>
  <c r="A49" i="35"/>
  <c r="AB48" i="35"/>
  <c r="AA48" i="35"/>
  <c r="W48" i="35"/>
  <c r="U48" i="35"/>
  <c r="T48" i="35"/>
  <c r="S48" i="35"/>
  <c r="Q48" i="35"/>
  <c r="P48" i="35"/>
  <c r="O48" i="35"/>
  <c r="M48" i="35"/>
  <c r="L48" i="35"/>
  <c r="K48" i="35"/>
  <c r="I48" i="35"/>
  <c r="H48" i="35"/>
  <c r="G48" i="35"/>
  <c r="D48" i="35"/>
  <c r="C48" i="35"/>
  <c r="B48" i="35"/>
  <c r="A48" i="35"/>
  <c r="AB47" i="35"/>
  <c r="AA47" i="35"/>
  <c r="W47" i="35"/>
  <c r="U47" i="35"/>
  <c r="T47" i="35"/>
  <c r="S47" i="35"/>
  <c r="Q47" i="35"/>
  <c r="P47" i="35"/>
  <c r="O47" i="35"/>
  <c r="M47" i="35"/>
  <c r="L47" i="35"/>
  <c r="K47" i="35"/>
  <c r="I47" i="35"/>
  <c r="H47" i="35"/>
  <c r="G47" i="35"/>
  <c r="D47" i="35"/>
  <c r="C47" i="35"/>
  <c r="B47" i="35"/>
  <c r="A47" i="35"/>
  <c r="AB46" i="35"/>
  <c r="AA46" i="35"/>
  <c r="W46" i="35"/>
  <c r="U46" i="35"/>
  <c r="T46" i="35"/>
  <c r="S46" i="35"/>
  <c r="Q46" i="35"/>
  <c r="P46" i="35"/>
  <c r="O46" i="35"/>
  <c r="M46" i="35"/>
  <c r="L46" i="35"/>
  <c r="K46" i="35"/>
  <c r="I46" i="35"/>
  <c r="H46" i="35"/>
  <c r="G46" i="35"/>
  <c r="D46" i="35"/>
  <c r="C46" i="35"/>
  <c r="B46" i="35"/>
  <c r="A46" i="35"/>
  <c r="AB45" i="35"/>
  <c r="AA45" i="35"/>
  <c r="W45" i="35"/>
  <c r="U45" i="35"/>
  <c r="T45" i="35"/>
  <c r="S45" i="35"/>
  <c r="Q45" i="35"/>
  <c r="P45" i="35"/>
  <c r="O45" i="35"/>
  <c r="M45" i="35"/>
  <c r="L45" i="35"/>
  <c r="K45" i="35"/>
  <c r="I45" i="35"/>
  <c r="H45" i="35"/>
  <c r="G45" i="35"/>
  <c r="D45" i="35"/>
  <c r="C45" i="35"/>
  <c r="B45" i="35"/>
  <c r="A45" i="35"/>
  <c r="AB44" i="35"/>
  <c r="AA44" i="35"/>
  <c r="W44" i="35"/>
  <c r="U44" i="35"/>
  <c r="T44" i="35"/>
  <c r="S44" i="35"/>
  <c r="Q44" i="35"/>
  <c r="P44" i="35"/>
  <c r="O44" i="35"/>
  <c r="M44" i="35"/>
  <c r="L44" i="35"/>
  <c r="K44" i="35"/>
  <c r="I44" i="35"/>
  <c r="H44" i="35"/>
  <c r="G44" i="35"/>
  <c r="D44" i="35"/>
  <c r="C44" i="35"/>
  <c r="B44" i="35"/>
  <c r="A44" i="35"/>
  <c r="AB43" i="35"/>
  <c r="AA43" i="35"/>
  <c r="W43" i="35"/>
  <c r="U43" i="35"/>
  <c r="T43" i="35"/>
  <c r="S43" i="35"/>
  <c r="Q43" i="35"/>
  <c r="P43" i="35"/>
  <c r="O43" i="35"/>
  <c r="M43" i="35"/>
  <c r="L43" i="35"/>
  <c r="K43" i="35"/>
  <c r="I43" i="35"/>
  <c r="H43" i="35"/>
  <c r="G43" i="35"/>
  <c r="D43" i="35"/>
  <c r="C43" i="35"/>
  <c r="B43" i="35"/>
  <c r="A43" i="35"/>
  <c r="AB42" i="35"/>
  <c r="AA42" i="35"/>
  <c r="W42" i="35"/>
  <c r="U42" i="35"/>
  <c r="T42" i="35"/>
  <c r="S42" i="35"/>
  <c r="Q42" i="35"/>
  <c r="P42" i="35"/>
  <c r="O42" i="35"/>
  <c r="M42" i="35"/>
  <c r="L42" i="35"/>
  <c r="K42" i="35"/>
  <c r="I42" i="35"/>
  <c r="H42" i="35"/>
  <c r="G42" i="35"/>
  <c r="D42" i="35"/>
  <c r="C42" i="35"/>
  <c r="B42" i="35"/>
  <c r="A42" i="35"/>
  <c r="AB41" i="35"/>
  <c r="AA41" i="35"/>
  <c r="W41" i="35"/>
  <c r="U41" i="35"/>
  <c r="T41" i="35"/>
  <c r="S41" i="35"/>
  <c r="Q41" i="35"/>
  <c r="P41" i="35"/>
  <c r="O41" i="35"/>
  <c r="M41" i="35"/>
  <c r="L41" i="35"/>
  <c r="K41" i="35"/>
  <c r="I41" i="35"/>
  <c r="H41" i="35"/>
  <c r="G41" i="35"/>
  <c r="D41" i="35"/>
  <c r="C41" i="35"/>
  <c r="B41" i="35"/>
  <c r="A41" i="35"/>
  <c r="AB40" i="35"/>
  <c r="AA40" i="35"/>
  <c r="W40" i="35"/>
  <c r="U40" i="35"/>
  <c r="T40" i="35"/>
  <c r="S40" i="35"/>
  <c r="Q40" i="35"/>
  <c r="P40" i="35"/>
  <c r="O40" i="35"/>
  <c r="M40" i="35"/>
  <c r="L40" i="35"/>
  <c r="K40" i="35"/>
  <c r="I40" i="35"/>
  <c r="H40" i="35"/>
  <c r="G40" i="35"/>
  <c r="D40" i="35"/>
  <c r="C40" i="35"/>
  <c r="B40" i="35"/>
  <c r="A40" i="35"/>
  <c r="AB39" i="35"/>
  <c r="AA39" i="35"/>
  <c r="W39" i="35"/>
  <c r="U39" i="35"/>
  <c r="T39" i="35"/>
  <c r="S39" i="35"/>
  <c r="Q39" i="35"/>
  <c r="P39" i="35"/>
  <c r="O39" i="35"/>
  <c r="M39" i="35"/>
  <c r="L39" i="35"/>
  <c r="K39" i="35"/>
  <c r="I39" i="35"/>
  <c r="H39" i="35"/>
  <c r="G39" i="35"/>
  <c r="D39" i="35"/>
  <c r="C39" i="35"/>
  <c r="B39" i="35"/>
  <c r="A39" i="35"/>
  <c r="AB38" i="35"/>
  <c r="AA38" i="35"/>
  <c r="W38" i="35"/>
  <c r="U38" i="35"/>
  <c r="T38" i="35"/>
  <c r="S38" i="35"/>
  <c r="Q38" i="35"/>
  <c r="P38" i="35"/>
  <c r="O38" i="35"/>
  <c r="M38" i="35"/>
  <c r="L38" i="35"/>
  <c r="K38" i="35"/>
  <c r="I38" i="35"/>
  <c r="H38" i="35"/>
  <c r="G38" i="35"/>
  <c r="D38" i="35"/>
  <c r="C38" i="35"/>
  <c r="B38" i="35"/>
  <c r="A38" i="35"/>
  <c r="AB37" i="35"/>
  <c r="AA37" i="35"/>
  <c r="W37" i="35"/>
  <c r="U37" i="35"/>
  <c r="T37" i="35"/>
  <c r="S37" i="35"/>
  <c r="Q37" i="35"/>
  <c r="P37" i="35"/>
  <c r="O37" i="35"/>
  <c r="M37" i="35"/>
  <c r="L37" i="35"/>
  <c r="K37" i="35"/>
  <c r="I37" i="35"/>
  <c r="H37" i="35"/>
  <c r="G37" i="35"/>
  <c r="D37" i="35"/>
  <c r="C37" i="35"/>
  <c r="B37" i="35"/>
  <c r="A37" i="35"/>
  <c r="AB36" i="35"/>
  <c r="AA36" i="35"/>
  <c r="W36" i="35"/>
  <c r="U36" i="35"/>
  <c r="T36" i="35"/>
  <c r="S36" i="35"/>
  <c r="Q36" i="35"/>
  <c r="P36" i="35"/>
  <c r="O36" i="35"/>
  <c r="M36" i="35"/>
  <c r="L36" i="35"/>
  <c r="K36" i="35"/>
  <c r="I36" i="35"/>
  <c r="H36" i="35"/>
  <c r="G36" i="35"/>
  <c r="D36" i="35"/>
  <c r="C36" i="35"/>
  <c r="B36" i="35"/>
  <c r="A36" i="35"/>
  <c r="AB35" i="35"/>
  <c r="AA35" i="35"/>
  <c r="W35" i="35"/>
  <c r="U35" i="35"/>
  <c r="T35" i="35"/>
  <c r="S35" i="35"/>
  <c r="Q35" i="35"/>
  <c r="P35" i="35"/>
  <c r="O35" i="35"/>
  <c r="M35" i="35"/>
  <c r="L35" i="35"/>
  <c r="K35" i="35"/>
  <c r="I35" i="35"/>
  <c r="H35" i="35"/>
  <c r="G35" i="35"/>
  <c r="D35" i="35"/>
  <c r="C35" i="35"/>
  <c r="B35" i="35"/>
  <c r="A35" i="35"/>
  <c r="AB34" i="35"/>
  <c r="AA34" i="35"/>
  <c r="W34" i="35"/>
  <c r="U34" i="35"/>
  <c r="T34" i="35"/>
  <c r="S34" i="35"/>
  <c r="Q34" i="35"/>
  <c r="P34" i="35"/>
  <c r="O34" i="35"/>
  <c r="M34" i="35"/>
  <c r="L34" i="35"/>
  <c r="K34" i="35"/>
  <c r="I34" i="35"/>
  <c r="H34" i="35"/>
  <c r="G34" i="35"/>
  <c r="D34" i="35"/>
  <c r="C34" i="35"/>
  <c r="B34" i="35"/>
  <c r="A34" i="35"/>
  <c r="AB33" i="35"/>
  <c r="AA33" i="35"/>
  <c r="W33" i="35"/>
  <c r="U33" i="35"/>
  <c r="T33" i="35"/>
  <c r="S33" i="35"/>
  <c r="Q33" i="35"/>
  <c r="P33" i="35"/>
  <c r="O33" i="35"/>
  <c r="M33" i="35"/>
  <c r="L33" i="35"/>
  <c r="K33" i="35"/>
  <c r="I33" i="35"/>
  <c r="H33" i="35"/>
  <c r="G33" i="35"/>
  <c r="D33" i="35"/>
  <c r="C33" i="35"/>
  <c r="B33" i="35"/>
  <c r="A33" i="35"/>
  <c r="AB32" i="35"/>
  <c r="AA32" i="35"/>
  <c r="W32" i="35"/>
  <c r="U32" i="35"/>
  <c r="T32" i="35"/>
  <c r="S32" i="35"/>
  <c r="Q32" i="35"/>
  <c r="P32" i="35"/>
  <c r="O32" i="35"/>
  <c r="M32" i="35"/>
  <c r="L32" i="35"/>
  <c r="K32" i="35"/>
  <c r="I32" i="35"/>
  <c r="H32" i="35"/>
  <c r="G32" i="35"/>
  <c r="D32" i="35"/>
  <c r="C32" i="35"/>
  <c r="B32" i="35"/>
  <c r="A32" i="35"/>
  <c r="AB31" i="35"/>
  <c r="AA31" i="35"/>
  <c r="W31" i="35"/>
  <c r="U31" i="35"/>
  <c r="T31" i="35"/>
  <c r="S31" i="35"/>
  <c r="Q31" i="35"/>
  <c r="P31" i="35"/>
  <c r="O31" i="35"/>
  <c r="M31" i="35"/>
  <c r="L31" i="35"/>
  <c r="K31" i="35"/>
  <c r="I31" i="35"/>
  <c r="H31" i="35"/>
  <c r="G31" i="35"/>
  <c r="D31" i="35"/>
  <c r="C31" i="35"/>
  <c r="B31" i="35"/>
  <c r="A31" i="35"/>
  <c r="AB30" i="35"/>
  <c r="AA30" i="35"/>
  <c r="W30" i="35"/>
  <c r="U30" i="35"/>
  <c r="T30" i="35"/>
  <c r="S30" i="35"/>
  <c r="Q30" i="35"/>
  <c r="P30" i="35"/>
  <c r="O30" i="35"/>
  <c r="M30" i="35"/>
  <c r="L30" i="35"/>
  <c r="K30" i="35"/>
  <c r="I30" i="35"/>
  <c r="H30" i="35"/>
  <c r="G30" i="35"/>
  <c r="D30" i="35"/>
  <c r="C30" i="35"/>
  <c r="B30" i="35"/>
  <c r="A30" i="35"/>
  <c r="AB29" i="35"/>
  <c r="AA29" i="35"/>
  <c r="W29" i="35"/>
  <c r="U29" i="35"/>
  <c r="T29" i="35"/>
  <c r="S29" i="35"/>
  <c r="Q29" i="35"/>
  <c r="P29" i="35"/>
  <c r="O29" i="35"/>
  <c r="M29" i="35"/>
  <c r="L29" i="35"/>
  <c r="K29" i="35"/>
  <c r="I29" i="35"/>
  <c r="H29" i="35"/>
  <c r="G29" i="35"/>
  <c r="D29" i="35"/>
  <c r="C29" i="35"/>
  <c r="B29" i="35"/>
  <c r="A29" i="35"/>
  <c r="AB28" i="35"/>
  <c r="AA28" i="35"/>
  <c r="W28" i="35"/>
  <c r="U28" i="35"/>
  <c r="T28" i="35"/>
  <c r="S28" i="35"/>
  <c r="Q28" i="35"/>
  <c r="P28" i="35"/>
  <c r="O28" i="35"/>
  <c r="M28" i="35"/>
  <c r="L28" i="35"/>
  <c r="K28" i="35"/>
  <c r="I28" i="35"/>
  <c r="H28" i="35"/>
  <c r="G28" i="35"/>
  <c r="D28" i="35"/>
  <c r="C28" i="35"/>
  <c r="B28" i="35"/>
  <c r="A28" i="35"/>
  <c r="AB27" i="35"/>
  <c r="AA27" i="35"/>
  <c r="W27" i="35"/>
  <c r="U27" i="35"/>
  <c r="T27" i="35"/>
  <c r="S27" i="35"/>
  <c r="Q27" i="35"/>
  <c r="P27" i="35"/>
  <c r="O27" i="35"/>
  <c r="M27" i="35"/>
  <c r="L27" i="35"/>
  <c r="K27" i="35"/>
  <c r="I27" i="35"/>
  <c r="H27" i="35"/>
  <c r="G27" i="35"/>
  <c r="D27" i="35"/>
  <c r="C27" i="35"/>
  <c r="B27" i="35"/>
  <c r="A27" i="35"/>
  <c r="AB26" i="35"/>
  <c r="AA26" i="35"/>
  <c r="W26" i="35"/>
  <c r="U26" i="35"/>
  <c r="T26" i="35"/>
  <c r="S26" i="35"/>
  <c r="Q26" i="35"/>
  <c r="P26" i="35"/>
  <c r="O26" i="35"/>
  <c r="M26" i="35"/>
  <c r="L26" i="35"/>
  <c r="K26" i="35"/>
  <c r="I26" i="35"/>
  <c r="H26" i="35"/>
  <c r="G26" i="35"/>
  <c r="D26" i="35"/>
  <c r="C26" i="35"/>
  <c r="B26" i="35"/>
  <c r="A26" i="35"/>
  <c r="AB25" i="35"/>
  <c r="AA25" i="35"/>
  <c r="W25" i="35"/>
  <c r="U25" i="35"/>
  <c r="T25" i="35"/>
  <c r="S25" i="35"/>
  <c r="Q25" i="35"/>
  <c r="P25" i="35"/>
  <c r="O25" i="35"/>
  <c r="M25" i="35"/>
  <c r="L25" i="35"/>
  <c r="K25" i="35"/>
  <c r="I25" i="35"/>
  <c r="H25" i="35"/>
  <c r="G25" i="35"/>
  <c r="D25" i="35"/>
  <c r="C25" i="35"/>
  <c r="B25" i="35"/>
  <c r="A25" i="35"/>
  <c r="AB24" i="35"/>
  <c r="AA24" i="35"/>
  <c r="W24" i="35"/>
  <c r="U24" i="35"/>
  <c r="T24" i="35"/>
  <c r="S24" i="35"/>
  <c r="Q24" i="35"/>
  <c r="P24" i="35"/>
  <c r="O24" i="35"/>
  <c r="M24" i="35"/>
  <c r="L24" i="35"/>
  <c r="K24" i="35"/>
  <c r="I24" i="35"/>
  <c r="H24" i="35"/>
  <c r="G24" i="35"/>
  <c r="D24" i="35"/>
  <c r="C24" i="35"/>
  <c r="B24" i="35"/>
  <c r="A24" i="35"/>
  <c r="AB23" i="35"/>
  <c r="AA23" i="35"/>
  <c r="W23" i="35"/>
  <c r="U23" i="35"/>
  <c r="T23" i="35"/>
  <c r="S23" i="35"/>
  <c r="Q23" i="35"/>
  <c r="P23" i="35"/>
  <c r="O23" i="35"/>
  <c r="M23" i="35"/>
  <c r="L23" i="35"/>
  <c r="K23" i="35"/>
  <c r="I23" i="35"/>
  <c r="H23" i="35"/>
  <c r="G23" i="35"/>
  <c r="D23" i="35"/>
  <c r="C23" i="35"/>
  <c r="B23" i="35"/>
  <c r="A23" i="35"/>
  <c r="AB22" i="35"/>
  <c r="AA22" i="35"/>
  <c r="W22" i="35"/>
  <c r="U22" i="35"/>
  <c r="T22" i="35"/>
  <c r="S22" i="35"/>
  <c r="Q22" i="35"/>
  <c r="P22" i="35"/>
  <c r="O22" i="35"/>
  <c r="M22" i="35"/>
  <c r="L22" i="35"/>
  <c r="K22" i="35"/>
  <c r="I22" i="35"/>
  <c r="H22" i="35"/>
  <c r="G22" i="35"/>
  <c r="D22" i="35"/>
  <c r="C22" i="35"/>
  <c r="B22" i="35"/>
  <c r="A22" i="35"/>
  <c r="AB21" i="35"/>
  <c r="AA21" i="35"/>
  <c r="W21" i="35"/>
  <c r="U21" i="35"/>
  <c r="T21" i="35"/>
  <c r="S21" i="35"/>
  <c r="Q21" i="35"/>
  <c r="P21" i="35"/>
  <c r="O21" i="35"/>
  <c r="M21" i="35"/>
  <c r="L21" i="35"/>
  <c r="K21" i="35"/>
  <c r="I21" i="35"/>
  <c r="H21" i="35"/>
  <c r="G21" i="35"/>
  <c r="D21" i="35"/>
  <c r="C21" i="35"/>
  <c r="B21" i="35"/>
  <c r="A21" i="35"/>
  <c r="AB20" i="35"/>
  <c r="AA20" i="35"/>
  <c r="W20" i="35"/>
  <c r="U20" i="35"/>
  <c r="T20" i="35"/>
  <c r="S20" i="35"/>
  <c r="Q20" i="35"/>
  <c r="P20" i="35"/>
  <c r="O20" i="35"/>
  <c r="M20" i="35"/>
  <c r="L20" i="35"/>
  <c r="K20" i="35"/>
  <c r="I20" i="35"/>
  <c r="H20" i="35"/>
  <c r="G20" i="35"/>
  <c r="D20" i="35"/>
  <c r="C20" i="35"/>
  <c r="B20" i="35"/>
  <c r="A20" i="35"/>
  <c r="AB19" i="35"/>
  <c r="AA19" i="35"/>
  <c r="W19" i="35"/>
  <c r="U19" i="35"/>
  <c r="T19" i="35"/>
  <c r="S19" i="35"/>
  <c r="Q19" i="35"/>
  <c r="P19" i="35"/>
  <c r="O19" i="35"/>
  <c r="M19" i="35"/>
  <c r="L19" i="35"/>
  <c r="K19" i="35"/>
  <c r="I19" i="35"/>
  <c r="H19" i="35"/>
  <c r="G19" i="35"/>
  <c r="D19" i="35"/>
  <c r="C19" i="35"/>
  <c r="B19" i="35"/>
  <c r="A19" i="35"/>
  <c r="AB18" i="35"/>
  <c r="AA18" i="35"/>
  <c r="W18" i="35"/>
  <c r="U18" i="35"/>
  <c r="T18" i="35"/>
  <c r="S18" i="35"/>
  <c r="Q18" i="35"/>
  <c r="P18" i="35"/>
  <c r="O18" i="35"/>
  <c r="M18" i="35"/>
  <c r="L18" i="35"/>
  <c r="K18" i="35"/>
  <c r="I18" i="35"/>
  <c r="H18" i="35"/>
  <c r="G18" i="35"/>
  <c r="D18" i="35"/>
  <c r="C18" i="35"/>
  <c r="B18" i="35"/>
  <c r="A18" i="35"/>
  <c r="AB17" i="35"/>
  <c r="AA17" i="35"/>
  <c r="W17" i="35"/>
  <c r="U17" i="35"/>
  <c r="T17" i="35"/>
  <c r="S17" i="35"/>
  <c r="Q17" i="35"/>
  <c r="P17" i="35"/>
  <c r="O17" i="35"/>
  <c r="M17" i="35"/>
  <c r="L17" i="35"/>
  <c r="K17" i="35"/>
  <c r="I17" i="35"/>
  <c r="H17" i="35"/>
  <c r="G17" i="35"/>
  <c r="D17" i="35"/>
  <c r="C17" i="35"/>
  <c r="B17" i="35"/>
  <c r="A17" i="35"/>
  <c r="AB16" i="35"/>
  <c r="AA16" i="35"/>
  <c r="W16" i="35"/>
  <c r="U16" i="35"/>
  <c r="T16" i="35"/>
  <c r="S16" i="35"/>
  <c r="Q16" i="35"/>
  <c r="P16" i="35"/>
  <c r="O16" i="35"/>
  <c r="M16" i="35"/>
  <c r="L16" i="35"/>
  <c r="K16" i="35"/>
  <c r="I16" i="35"/>
  <c r="H16" i="35"/>
  <c r="G16" i="35"/>
  <c r="D16" i="35"/>
  <c r="C16" i="35"/>
  <c r="B16" i="35"/>
  <c r="A16" i="35"/>
  <c r="AB15" i="35"/>
  <c r="AA15" i="35"/>
  <c r="W15" i="35"/>
  <c r="U15" i="35"/>
  <c r="T15" i="35"/>
  <c r="S15" i="35"/>
  <c r="Q15" i="35"/>
  <c r="P15" i="35"/>
  <c r="O15" i="35"/>
  <c r="M15" i="35"/>
  <c r="L15" i="35"/>
  <c r="K15" i="35"/>
  <c r="I15" i="35"/>
  <c r="H15" i="35"/>
  <c r="G15" i="35"/>
  <c r="D15" i="35"/>
  <c r="C15" i="35"/>
  <c r="B15" i="35"/>
  <c r="A15" i="35"/>
  <c r="AB14" i="35"/>
  <c r="AA14" i="35"/>
  <c r="W14" i="35"/>
  <c r="U14" i="35"/>
  <c r="T14" i="35"/>
  <c r="S14" i="35"/>
  <c r="Q14" i="35"/>
  <c r="P14" i="35"/>
  <c r="O14" i="35"/>
  <c r="M14" i="35"/>
  <c r="L14" i="35"/>
  <c r="K14" i="35"/>
  <c r="I14" i="35"/>
  <c r="H14" i="35"/>
  <c r="G14" i="35"/>
  <c r="D14" i="35"/>
  <c r="C14" i="35"/>
  <c r="B14" i="35"/>
  <c r="A14" i="35"/>
  <c r="AB13" i="35"/>
  <c r="AA13" i="35"/>
  <c r="W13" i="35"/>
  <c r="U13" i="35"/>
  <c r="T13" i="35"/>
  <c r="S13" i="35"/>
  <c r="Q13" i="35"/>
  <c r="P13" i="35"/>
  <c r="O13" i="35"/>
  <c r="M13" i="35"/>
  <c r="L13" i="35"/>
  <c r="K13" i="35"/>
  <c r="I13" i="35"/>
  <c r="H13" i="35"/>
  <c r="G13" i="35"/>
  <c r="D13" i="35"/>
  <c r="C13" i="35"/>
  <c r="B13" i="35"/>
  <c r="A13" i="35"/>
  <c r="AB12" i="35"/>
  <c r="AA12" i="35"/>
  <c r="W12" i="35"/>
  <c r="U12" i="35"/>
  <c r="T12" i="35"/>
  <c r="S12" i="35"/>
  <c r="Q12" i="35"/>
  <c r="P12" i="35"/>
  <c r="O12" i="35"/>
  <c r="M12" i="35"/>
  <c r="L12" i="35"/>
  <c r="K12" i="35"/>
  <c r="I12" i="35"/>
  <c r="H12" i="35"/>
  <c r="G12" i="35"/>
  <c r="D12" i="35"/>
  <c r="C12" i="35"/>
  <c r="B12" i="35"/>
  <c r="A12" i="35"/>
  <c r="AB11" i="35"/>
  <c r="AA11" i="35"/>
  <c r="W11" i="35"/>
  <c r="U11" i="35"/>
  <c r="T11" i="35"/>
  <c r="S11" i="35"/>
  <c r="Q11" i="35"/>
  <c r="P11" i="35"/>
  <c r="O11" i="35"/>
  <c r="M11" i="35"/>
  <c r="L11" i="35"/>
  <c r="K11" i="35"/>
  <c r="I11" i="35"/>
  <c r="H11" i="35"/>
  <c r="G11" i="35"/>
  <c r="D11" i="35"/>
  <c r="C11" i="35"/>
  <c r="B11" i="35"/>
  <c r="A11" i="35"/>
  <c r="AB10" i="35"/>
  <c r="AA10" i="35"/>
  <c r="W10" i="35"/>
  <c r="U10" i="35"/>
  <c r="T10" i="35"/>
  <c r="S10" i="35"/>
  <c r="Q10" i="35"/>
  <c r="P10" i="35"/>
  <c r="O10" i="35"/>
  <c r="M10" i="35"/>
  <c r="L10" i="35"/>
  <c r="K10" i="35"/>
  <c r="I10" i="35"/>
  <c r="H10" i="35"/>
  <c r="G10" i="35"/>
  <c r="D10" i="35"/>
  <c r="C10" i="35"/>
  <c r="B10" i="35"/>
  <c r="A10" i="35"/>
  <c r="AB9" i="35"/>
  <c r="AA9" i="35"/>
  <c r="W9" i="35"/>
  <c r="U9" i="35"/>
  <c r="T9" i="35"/>
  <c r="S9" i="35"/>
  <c r="Q9" i="35"/>
  <c r="P9" i="35"/>
  <c r="O9" i="35"/>
  <c r="M9" i="35"/>
  <c r="L9" i="35"/>
  <c r="K9" i="35"/>
  <c r="I9" i="35"/>
  <c r="H9" i="35"/>
  <c r="G9" i="35"/>
  <c r="D9" i="35"/>
  <c r="C9" i="35"/>
  <c r="B9" i="35"/>
  <c r="A9" i="35"/>
  <c r="AB8" i="35"/>
  <c r="AA8" i="35"/>
  <c r="W8" i="35"/>
  <c r="U8" i="35"/>
  <c r="T8" i="35"/>
  <c r="S8" i="35"/>
  <c r="Q8" i="35"/>
  <c r="P8" i="35"/>
  <c r="O8" i="35"/>
  <c r="M8" i="35"/>
  <c r="L8" i="35"/>
  <c r="K8" i="35"/>
  <c r="I8" i="35"/>
  <c r="H8" i="35"/>
  <c r="G8" i="35"/>
  <c r="D8" i="35"/>
  <c r="C8" i="35"/>
  <c r="B8" i="35"/>
  <c r="A8" i="35"/>
  <c r="AB7" i="35"/>
  <c r="AA7" i="35"/>
  <c r="W7" i="35"/>
  <c r="U7" i="35"/>
  <c r="T7" i="35"/>
  <c r="S7" i="35"/>
  <c r="Q7" i="35"/>
  <c r="P7" i="35"/>
  <c r="O7" i="35"/>
  <c r="M7" i="35"/>
  <c r="L7" i="35"/>
  <c r="K7" i="35"/>
  <c r="I7" i="35"/>
  <c r="H7" i="35"/>
  <c r="G7" i="35"/>
  <c r="D7" i="35"/>
  <c r="C7" i="35"/>
  <c r="B7" i="35"/>
  <c r="A7" i="35"/>
  <c r="AB6" i="35"/>
  <c r="AA6" i="35"/>
  <c r="W6" i="35"/>
  <c r="U6" i="35"/>
  <c r="T6" i="35"/>
  <c r="S6" i="35"/>
  <c r="Q6" i="35"/>
  <c r="P6" i="35"/>
  <c r="O6" i="35"/>
  <c r="M6" i="35"/>
  <c r="L6" i="35"/>
  <c r="K6" i="35"/>
  <c r="I6" i="35"/>
  <c r="H6" i="35"/>
  <c r="G6" i="35"/>
  <c r="D6" i="35"/>
  <c r="C6" i="35"/>
  <c r="B6" i="35"/>
  <c r="A6" i="35"/>
  <c r="AB5" i="35"/>
  <c r="AA5" i="35"/>
  <c r="W5" i="35"/>
  <c r="U5" i="35"/>
  <c r="T5" i="35"/>
  <c r="S5" i="35"/>
  <c r="Q5" i="35"/>
  <c r="P5" i="35"/>
  <c r="O5" i="35"/>
  <c r="M5" i="35"/>
  <c r="L5" i="35"/>
  <c r="K5" i="35"/>
  <c r="I5" i="35"/>
  <c r="H5" i="35"/>
  <c r="G5" i="35"/>
  <c r="D5" i="35"/>
  <c r="C5" i="35"/>
  <c r="B5" i="35"/>
  <c r="A5" i="35"/>
  <c r="AN4" i="35"/>
  <c r="BB4" i="35" s="1"/>
  <c r="AM4" i="35"/>
  <c r="BA4" i="35" s="1"/>
  <c r="AG4" i="35"/>
  <c r="AF4" i="35"/>
  <c r="AB4" i="35"/>
  <c r="AA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I4" i="35"/>
  <c r="H4" i="35"/>
  <c r="G4" i="35"/>
  <c r="D4" i="35"/>
  <c r="C4" i="35"/>
  <c r="B4" i="35"/>
  <c r="A4" i="35"/>
  <c r="BB3" i="35"/>
  <c r="AN3" i="35"/>
  <c r="AM3" i="35"/>
  <c r="BA3" i="35" s="1"/>
  <c r="AK3" i="35"/>
  <c r="AY3" i="35" s="1"/>
  <c r="AG3" i="35"/>
  <c r="AF3" i="35"/>
  <c r="AD3" i="35"/>
  <c r="AB3" i="35"/>
  <c r="AA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I3" i="35"/>
  <c r="H3" i="35"/>
  <c r="G3" i="35"/>
  <c r="F3" i="35"/>
  <c r="D3" i="35"/>
  <c r="C3" i="35"/>
  <c r="B3" i="35"/>
  <c r="A3" i="35"/>
  <c r="AB2" i="35"/>
  <c r="AA2" i="35"/>
  <c r="Y2" i="35"/>
  <c r="X2" i="35"/>
  <c r="W2" i="35"/>
  <c r="U2" i="35"/>
  <c r="T2" i="35"/>
  <c r="S2" i="35"/>
  <c r="Q2" i="35"/>
  <c r="P2" i="35"/>
  <c r="O2" i="35"/>
  <c r="M2" i="35"/>
  <c r="L2" i="35"/>
  <c r="K2" i="35"/>
  <c r="I2" i="35"/>
  <c r="H2" i="35"/>
  <c r="G2" i="35"/>
  <c r="D2" i="35"/>
  <c r="C2" i="35"/>
  <c r="B2" i="35"/>
  <c r="A2" i="35"/>
  <c r="C89" i="34" l="1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81" i="34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M10" i="34"/>
  <c r="C10" i="34"/>
  <c r="B10" i="34"/>
  <c r="C9" i="34"/>
  <c r="B9" i="34"/>
  <c r="C8" i="34"/>
  <c r="B8" i="34"/>
  <c r="C7" i="34"/>
  <c r="B7" i="34"/>
  <c r="C6" i="34"/>
  <c r="B6" i="34"/>
  <c r="N5" i="34"/>
  <c r="H5" i="34"/>
  <c r="O5" i="34" s="1"/>
  <c r="G5" i="34"/>
  <c r="C5" i="34"/>
  <c r="B5" i="34"/>
  <c r="N4" i="34"/>
  <c r="L4" i="34"/>
  <c r="H4" i="34"/>
  <c r="O4" i="34" s="1"/>
  <c r="G4" i="34"/>
  <c r="E4" i="34"/>
  <c r="C4" i="34"/>
  <c r="B4" i="34"/>
  <c r="C3" i="34"/>
  <c r="B3" i="34"/>
  <c r="C89" i="33"/>
  <c r="B89" i="33"/>
  <c r="C88" i="33"/>
  <c r="B88" i="33"/>
  <c r="C87" i="33"/>
  <c r="B87" i="33"/>
  <c r="C86" i="33"/>
  <c r="B86" i="33"/>
  <c r="C85" i="33"/>
  <c r="B85" i="33"/>
  <c r="C84" i="33"/>
  <c r="B84" i="33"/>
  <c r="C83" i="33"/>
  <c r="B83" i="33"/>
  <c r="C82" i="33"/>
  <c r="B82" i="33"/>
  <c r="C81" i="33"/>
  <c r="B81" i="33"/>
  <c r="C80" i="33"/>
  <c r="B80" i="33"/>
  <c r="C79" i="33"/>
  <c r="B79" i="33"/>
  <c r="C78" i="33"/>
  <c r="B78" i="33"/>
  <c r="C77" i="33"/>
  <c r="B77" i="33"/>
  <c r="C76" i="33"/>
  <c r="B76" i="33"/>
  <c r="C75" i="33"/>
  <c r="B75" i="33"/>
  <c r="C74" i="33"/>
  <c r="B74" i="33"/>
  <c r="C73" i="33"/>
  <c r="B73" i="33"/>
  <c r="C72" i="33"/>
  <c r="B72" i="33"/>
  <c r="C71" i="33"/>
  <c r="B71" i="33"/>
  <c r="C70" i="33"/>
  <c r="B70" i="33"/>
  <c r="C69" i="33"/>
  <c r="B69" i="33"/>
  <c r="C68" i="33"/>
  <c r="B68" i="33"/>
  <c r="C67" i="33"/>
  <c r="B67" i="33"/>
  <c r="C66" i="33"/>
  <c r="B66" i="33"/>
  <c r="C65" i="33"/>
  <c r="B65" i="33"/>
  <c r="C64" i="33"/>
  <c r="B64" i="33"/>
  <c r="C63" i="33"/>
  <c r="B63" i="33"/>
  <c r="C62" i="33"/>
  <c r="B62" i="33"/>
  <c r="C61" i="33"/>
  <c r="B61" i="33"/>
  <c r="C60" i="33"/>
  <c r="B60" i="33"/>
  <c r="C59" i="33"/>
  <c r="B59" i="33"/>
  <c r="C58" i="33"/>
  <c r="B58" i="33"/>
  <c r="C57" i="33"/>
  <c r="B57" i="33"/>
  <c r="C56" i="33"/>
  <c r="B56" i="33"/>
  <c r="C55" i="33"/>
  <c r="B55" i="33"/>
  <c r="C54" i="33"/>
  <c r="B54" i="33"/>
  <c r="C53" i="33"/>
  <c r="B53" i="33"/>
  <c r="C52" i="33"/>
  <c r="B52" i="33"/>
  <c r="C51" i="33"/>
  <c r="B51" i="33"/>
  <c r="C50" i="33"/>
  <c r="B50" i="33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42" i="33"/>
  <c r="B42" i="33"/>
  <c r="C41" i="33"/>
  <c r="B41" i="33"/>
  <c r="C40" i="33"/>
  <c r="B40" i="33"/>
  <c r="C39" i="33"/>
  <c r="B39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M10" i="33"/>
  <c r="C10" i="33"/>
  <c r="B10" i="33"/>
  <c r="C9" i="33"/>
  <c r="B9" i="33"/>
  <c r="C8" i="33"/>
  <c r="B8" i="33"/>
  <c r="C7" i="33"/>
  <c r="B7" i="33"/>
  <c r="C6" i="33"/>
  <c r="B6" i="33"/>
  <c r="O5" i="33"/>
  <c r="H5" i="33"/>
  <c r="G5" i="33"/>
  <c r="N5" i="33" s="1"/>
  <c r="C5" i="33"/>
  <c r="B5" i="33"/>
  <c r="L4" i="33"/>
  <c r="H4" i="33"/>
  <c r="O4" i="33" s="1"/>
  <c r="G4" i="33"/>
  <c r="N4" i="33" s="1"/>
  <c r="E4" i="33"/>
  <c r="C4" i="33"/>
  <c r="B4" i="33"/>
  <c r="C3" i="33"/>
  <c r="B3" i="33"/>
  <c r="C89" i="32"/>
  <c r="B89" i="32"/>
  <c r="C88" i="32"/>
  <c r="B88" i="32"/>
  <c r="C87" i="32"/>
  <c r="B87" i="32"/>
  <c r="C86" i="32"/>
  <c r="B86" i="32"/>
  <c r="C85" i="32"/>
  <c r="B85" i="32"/>
  <c r="C84" i="32"/>
  <c r="B84" i="32"/>
  <c r="C83" i="32"/>
  <c r="B83" i="32"/>
  <c r="C82" i="32"/>
  <c r="B82" i="32"/>
  <c r="C81" i="32"/>
  <c r="B81" i="32"/>
  <c r="C80" i="32"/>
  <c r="B80" i="32"/>
  <c r="C79" i="32"/>
  <c r="B79" i="32"/>
  <c r="C78" i="32"/>
  <c r="B78" i="32"/>
  <c r="C77" i="32"/>
  <c r="B77" i="32"/>
  <c r="C76" i="32"/>
  <c r="B76" i="32"/>
  <c r="C75" i="32"/>
  <c r="B75" i="32"/>
  <c r="C74" i="32"/>
  <c r="B74" i="32"/>
  <c r="C73" i="32"/>
  <c r="B73" i="32"/>
  <c r="C72" i="32"/>
  <c r="B72" i="32"/>
  <c r="C71" i="32"/>
  <c r="B71" i="32"/>
  <c r="C70" i="32"/>
  <c r="B70" i="32"/>
  <c r="C69" i="32"/>
  <c r="B69" i="32"/>
  <c r="C68" i="32"/>
  <c r="B68" i="32"/>
  <c r="C67" i="32"/>
  <c r="B67" i="32"/>
  <c r="C66" i="32"/>
  <c r="B66" i="32"/>
  <c r="C65" i="32"/>
  <c r="B65" i="32"/>
  <c r="C64" i="32"/>
  <c r="B64" i="32"/>
  <c r="C63" i="32"/>
  <c r="B63" i="32"/>
  <c r="C62" i="32"/>
  <c r="B62" i="32"/>
  <c r="C61" i="32"/>
  <c r="B61" i="32"/>
  <c r="C60" i="32"/>
  <c r="B60" i="32"/>
  <c r="C59" i="32"/>
  <c r="B59" i="32"/>
  <c r="C58" i="32"/>
  <c r="B58" i="32"/>
  <c r="C57" i="32"/>
  <c r="B57" i="32"/>
  <c r="C56" i="32"/>
  <c r="B56" i="32"/>
  <c r="C55" i="32"/>
  <c r="B55" i="32"/>
  <c r="C54" i="32"/>
  <c r="B54" i="32"/>
  <c r="C53" i="32"/>
  <c r="B53" i="32"/>
  <c r="C52" i="32"/>
  <c r="B52" i="32"/>
  <c r="C51" i="32"/>
  <c r="B51" i="32"/>
  <c r="C50" i="32"/>
  <c r="B50" i="32"/>
  <c r="C49" i="32"/>
  <c r="B49" i="32"/>
  <c r="C48" i="32"/>
  <c r="B48" i="32"/>
  <c r="C47" i="32"/>
  <c r="B47" i="32"/>
  <c r="C46" i="32"/>
  <c r="B46" i="32"/>
  <c r="C45" i="32"/>
  <c r="B45" i="32"/>
  <c r="C44" i="32"/>
  <c r="B44" i="32"/>
  <c r="C43" i="32"/>
  <c r="B43" i="32"/>
  <c r="C42" i="32"/>
  <c r="B42" i="32"/>
  <c r="C41" i="32"/>
  <c r="B41" i="32"/>
  <c r="C40" i="32"/>
  <c r="B40" i="32"/>
  <c r="C39" i="32"/>
  <c r="B39" i="32"/>
  <c r="C38" i="32"/>
  <c r="B38" i="32"/>
  <c r="C37" i="32"/>
  <c r="B37" i="32"/>
  <c r="C36" i="32"/>
  <c r="B36" i="32"/>
  <c r="C35" i="32"/>
  <c r="B35" i="32"/>
  <c r="C34" i="32"/>
  <c r="B34" i="32"/>
  <c r="C33" i="32"/>
  <c r="B33" i="32"/>
  <c r="C32" i="32"/>
  <c r="B32" i="32"/>
  <c r="C31" i="32"/>
  <c r="B31" i="32"/>
  <c r="C30" i="32"/>
  <c r="B30" i="32"/>
  <c r="C29" i="32"/>
  <c r="B29" i="32"/>
  <c r="C28" i="32"/>
  <c r="B28" i="32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C16" i="32"/>
  <c r="B16" i="32"/>
  <c r="C15" i="32"/>
  <c r="B15" i="32"/>
  <c r="C14" i="32"/>
  <c r="B14" i="32"/>
  <c r="C13" i="32"/>
  <c r="B13" i="32"/>
  <c r="C12" i="32"/>
  <c r="B12" i="32"/>
  <c r="C11" i="32"/>
  <c r="B11" i="32"/>
  <c r="M10" i="32"/>
  <c r="C10" i="32"/>
  <c r="B10" i="32"/>
  <c r="C9" i="32"/>
  <c r="B9" i="32"/>
  <c r="C8" i="32"/>
  <c r="B8" i="32"/>
  <c r="C7" i="32"/>
  <c r="B7" i="32"/>
  <c r="C6" i="32"/>
  <c r="B6" i="32"/>
  <c r="N5" i="32"/>
  <c r="H5" i="32"/>
  <c r="O5" i="32" s="1"/>
  <c r="G5" i="32"/>
  <c r="C5" i="32"/>
  <c r="B5" i="32"/>
  <c r="O4" i="32"/>
  <c r="L4" i="32"/>
  <c r="H4" i="32"/>
  <c r="G4" i="32"/>
  <c r="N4" i="32" s="1"/>
  <c r="E4" i="32"/>
  <c r="C4" i="32"/>
  <c r="B4" i="32"/>
  <c r="C3" i="32"/>
  <c r="B3" i="32"/>
  <c r="D3" i="10" l="1"/>
  <c r="F3" i="10"/>
  <c r="G3" i="10"/>
  <c r="F4" i="10"/>
  <c r="G4" i="10"/>
  <c r="B88" i="25" l="1"/>
  <c r="C88" i="25" s="1"/>
  <c r="A88" i="25"/>
  <c r="C89" i="31"/>
  <c r="B89" i="31"/>
  <c r="C88" i="31"/>
  <c r="B88" i="31"/>
  <c r="C87" i="31"/>
  <c r="B87" i="31"/>
  <c r="C86" i="31"/>
  <c r="B86" i="31"/>
  <c r="C85" i="31"/>
  <c r="B85" i="31"/>
  <c r="C84" i="31"/>
  <c r="B84" i="31"/>
  <c r="C83" i="31"/>
  <c r="B83" i="31"/>
  <c r="C82" i="31"/>
  <c r="B82" i="31"/>
  <c r="C81" i="31"/>
  <c r="B81" i="31"/>
  <c r="C80" i="31"/>
  <c r="B80" i="31"/>
  <c r="C79" i="31"/>
  <c r="B79" i="31"/>
  <c r="C78" i="31"/>
  <c r="B78" i="31"/>
  <c r="C77" i="31"/>
  <c r="B77" i="31"/>
  <c r="C76" i="31"/>
  <c r="B76" i="31"/>
  <c r="C75" i="31"/>
  <c r="B75" i="31"/>
  <c r="C74" i="31"/>
  <c r="B74" i="31"/>
  <c r="C73" i="31"/>
  <c r="B73" i="31"/>
  <c r="C72" i="31"/>
  <c r="B72" i="31"/>
  <c r="C71" i="31"/>
  <c r="B71" i="31"/>
  <c r="C70" i="31"/>
  <c r="B70" i="31"/>
  <c r="C69" i="31"/>
  <c r="B69" i="31"/>
  <c r="C68" i="31"/>
  <c r="B68" i="31"/>
  <c r="C67" i="31"/>
  <c r="B67" i="31"/>
  <c r="C66" i="31"/>
  <c r="B66" i="31"/>
  <c r="C65" i="31"/>
  <c r="B65" i="31"/>
  <c r="C64" i="31"/>
  <c r="B64" i="31"/>
  <c r="C63" i="31"/>
  <c r="B63" i="31"/>
  <c r="C62" i="31"/>
  <c r="B62" i="31"/>
  <c r="C61" i="31"/>
  <c r="B61" i="31"/>
  <c r="C60" i="31"/>
  <c r="B60" i="31"/>
  <c r="C59" i="31"/>
  <c r="B59" i="31"/>
  <c r="C58" i="31"/>
  <c r="B58" i="31"/>
  <c r="C57" i="31"/>
  <c r="B57" i="31"/>
  <c r="C56" i="31"/>
  <c r="B56" i="31"/>
  <c r="C55" i="31"/>
  <c r="B55" i="31"/>
  <c r="C54" i="31"/>
  <c r="B54" i="31"/>
  <c r="C53" i="31"/>
  <c r="B53" i="31"/>
  <c r="C52" i="31"/>
  <c r="B52" i="31"/>
  <c r="C51" i="31"/>
  <c r="B51" i="31"/>
  <c r="C50" i="31"/>
  <c r="B50" i="31"/>
  <c r="C49" i="31"/>
  <c r="B49" i="31"/>
  <c r="C48" i="31"/>
  <c r="B48" i="31"/>
  <c r="C47" i="31"/>
  <c r="B47" i="31"/>
  <c r="C46" i="31"/>
  <c r="B46" i="31"/>
  <c r="C45" i="31"/>
  <c r="B45" i="31"/>
  <c r="C44" i="31"/>
  <c r="B44" i="31"/>
  <c r="C43" i="31"/>
  <c r="B43" i="31"/>
  <c r="C42" i="31"/>
  <c r="B42" i="31"/>
  <c r="C41" i="31"/>
  <c r="B41" i="31"/>
  <c r="C40" i="31"/>
  <c r="B40" i="31"/>
  <c r="C39" i="31"/>
  <c r="B39" i="31"/>
  <c r="C38" i="31"/>
  <c r="B38" i="31"/>
  <c r="C37" i="31"/>
  <c r="B37" i="31"/>
  <c r="C36" i="31"/>
  <c r="B36" i="31"/>
  <c r="C35" i="31"/>
  <c r="B35" i="31"/>
  <c r="C34" i="31"/>
  <c r="B34" i="31"/>
  <c r="C33" i="31"/>
  <c r="B33" i="31"/>
  <c r="C32" i="31"/>
  <c r="B32" i="31"/>
  <c r="C31" i="31"/>
  <c r="B31" i="31"/>
  <c r="C30" i="31"/>
  <c r="B30" i="31"/>
  <c r="C29" i="31"/>
  <c r="B29" i="31"/>
  <c r="C28" i="31"/>
  <c r="B28" i="31"/>
  <c r="C27" i="31"/>
  <c r="B27" i="31"/>
  <c r="C26" i="31"/>
  <c r="B26" i="31"/>
  <c r="C25" i="31"/>
  <c r="B25" i="31"/>
  <c r="C24" i="31"/>
  <c r="B24" i="31"/>
  <c r="C23" i="31"/>
  <c r="B23" i="31"/>
  <c r="C22" i="31"/>
  <c r="B22" i="31"/>
  <c r="C21" i="31"/>
  <c r="B21" i="31"/>
  <c r="C20" i="31"/>
  <c r="B20" i="31"/>
  <c r="C19" i="31"/>
  <c r="B19" i="31"/>
  <c r="C18" i="31"/>
  <c r="B18" i="31"/>
  <c r="C17" i="31"/>
  <c r="B17" i="31"/>
  <c r="C16" i="31"/>
  <c r="B16" i="31"/>
  <c r="C15" i="31"/>
  <c r="B15" i="31"/>
  <c r="C14" i="31"/>
  <c r="B14" i="31"/>
  <c r="C13" i="31"/>
  <c r="B13" i="31"/>
  <c r="C12" i="31"/>
  <c r="B12" i="31"/>
  <c r="C11" i="31"/>
  <c r="B11" i="31"/>
  <c r="M10" i="31"/>
  <c r="C10" i="31"/>
  <c r="B10" i="31"/>
  <c r="C9" i="31"/>
  <c r="B9" i="31"/>
  <c r="C8" i="31"/>
  <c r="B8" i="31"/>
  <c r="C7" i="31"/>
  <c r="B7" i="31"/>
  <c r="C6" i="31"/>
  <c r="B6" i="31"/>
  <c r="H5" i="31"/>
  <c r="O5" i="31" s="1"/>
  <c r="G5" i="31"/>
  <c r="N5" i="31" s="1"/>
  <c r="C5" i="31"/>
  <c r="B5" i="31"/>
  <c r="H4" i="31"/>
  <c r="O4" i="31" s="1"/>
  <c r="G4" i="31"/>
  <c r="N4" i="31" s="1"/>
  <c r="E4" i="31"/>
  <c r="L4" i="31" s="1"/>
  <c r="C4" i="31"/>
  <c r="B4" i="31"/>
  <c r="C3" i="31"/>
  <c r="B3" i="31"/>
  <c r="E88" i="25" l="1"/>
  <c r="Y88" i="35" s="1"/>
  <c r="D88" i="25"/>
  <c r="X88" i="35" l="1"/>
  <c r="C89" i="29"/>
  <c r="B89" i="29"/>
  <c r="C88" i="29"/>
  <c r="B88" i="29"/>
  <c r="C87" i="29"/>
  <c r="B87" i="29"/>
  <c r="C86" i="29"/>
  <c r="B86" i="29"/>
  <c r="C85" i="29"/>
  <c r="B85" i="29"/>
  <c r="C84" i="29"/>
  <c r="B84" i="29"/>
  <c r="C83" i="29"/>
  <c r="B83" i="29"/>
  <c r="C82" i="29"/>
  <c r="B82" i="29"/>
  <c r="C81" i="29"/>
  <c r="B81" i="29"/>
  <c r="C80" i="29"/>
  <c r="B80" i="29"/>
  <c r="C79" i="29"/>
  <c r="B79" i="29"/>
  <c r="C78" i="29"/>
  <c r="B78" i="29"/>
  <c r="C77" i="29"/>
  <c r="B77" i="29"/>
  <c r="C76" i="29"/>
  <c r="B76" i="29"/>
  <c r="C75" i="29"/>
  <c r="B75" i="29"/>
  <c r="C74" i="29"/>
  <c r="B74" i="29"/>
  <c r="C73" i="29"/>
  <c r="B73" i="29"/>
  <c r="C72" i="29"/>
  <c r="B72" i="29"/>
  <c r="C71" i="29"/>
  <c r="B71" i="29"/>
  <c r="C70" i="29"/>
  <c r="B70" i="29"/>
  <c r="C69" i="29"/>
  <c r="B69" i="29"/>
  <c r="C68" i="29"/>
  <c r="B68" i="29"/>
  <c r="C67" i="29"/>
  <c r="B67" i="29"/>
  <c r="C66" i="29"/>
  <c r="B66" i="29"/>
  <c r="C65" i="29"/>
  <c r="B65" i="29"/>
  <c r="C64" i="29"/>
  <c r="B64" i="29"/>
  <c r="C63" i="29"/>
  <c r="B63" i="29"/>
  <c r="C62" i="29"/>
  <c r="B62" i="29"/>
  <c r="C61" i="29"/>
  <c r="B61" i="29"/>
  <c r="C60" i="29"/>
  <c r="B60" i="29"/>
  <c r="C59" i="29"/>
  <c r="B59" i="29"/>
  <c r="C58" i="29"/>
  <c r="B58" i="29"/>
  <c r="C57" i="29"/>
  <c r="B57" i="29"/>
  <c r="C56" i="29"/>
  <c r="B56" i="29"/>
  <c r="C55" i="29"/>
  <c r="B55" i="29"/>
  <c r="C54" i="29"/>
  <c r="B54" i="29"/>
  <c r="C53" i="29"/>
  <c r="B53" i="29"/>
  <c r="C52" i="29"/>
  <c r="B52" i="29"/>
  <c r="C51" i="29"/>
  <c r="B51" i="29"/>
  <c r="C50" i="29"/>
  <c r="B50" i="29"/>
  <c r="C49" i="29"/>
  <c r="B49" i="29"/>
  <c r="C48" i="29"/>
  <c r="B48" i="29"/>
  <c r="C47" i="29"/>
  <c r="B47" i="29"/>
  <c r="C46" i="29"/>
  <c r="B46" i="29"/>
  <c r="C45" i="29"/>
  <c r="B45" i="29"/>
  <c r="C44" i="29"/>
  <c r="B44" i="29"/>
  <c r="C43" i="29"/>
  <c r="B43" i="29"/>
  <c r="C42" i="29"/>
  <c r="B42" i="29"/>
  <c r="C41" i="29"/>
  <c r="B41" i="29"/>
  <c r="C40" i="29"/>
  <c r="B40" i="29"/>
  <c r="C39" i="29"/>
  <c r="B39" i="29"/>
  <c r="C38" i="29"/>
  <c r="B38" i="29"/>
  <c r="C37" i="29"/>
  <c r="B37" i="29"/>
  <c r="C36" i="29"/>
  <c r="B36" i="29"/>
  <c r="C35" i="29"/>
  <c r="B35" i="29"/>
  <c r="C34" i="29"/>
  <c r="B34" i="29"/>
  <c r="C33" i="29"/>
  <c r="B33" i="29"/>
  <c r="C32" i="29"/>
  <c r="B32" i="29"/>
  <c r="C31" i="29"/>
  <c r="B31" i="29"/>
  <c r="C30" i="29"/>
  <c r="B30" i="29"/>
  <c r="C29" i="29"/>
  <c r="B29" i="29"/>
  <c r="C28" i="29"/>
  <c r="B28" i="29"/>
  <c r="C27" i="29"/>
  <c r="B27" i="29"/>
  <c r="C26" i="29"/>
  <c r="B26" i="29"/>
  <c r="C25" i="29"/>
  <c r="B25" i="29"/>
  <c r="C24" i="29"/>
  <c r="B24" i="29"/>
  <c r="C23" i="29"/>
  <c r="B23" i="29"/>
  <c r="C22" i="29"/>
  <c r="B22" i="29"/>
  <c r="C21" i="29"/>
  <c r="B21" i="29"/>
  <c r="C20" i="29"/>
  <c r="B20" i="29"/>
  <c r="C19" i="29"/>
  <c r="B19" i="29"/>
  <c r="C18" i="29"/>
  <c r="B18" i="29"/>
  <c r="C17" i="29"/>
  <c r="B17" i="29"/>
  <c r="C16" i="29"/>
  <c r="B16" i="29"/>
  <c r="C15" i="29"/>
  <c r="B15" i="29"/>
  <c r="C14" i="29"/>
  <c r="B14" i="29"/>
  <c r="C13" i="29"/>
  <c r="B13" i="29"/>
  <c r="C12" i="29"/>
  <c r="B12" i="29"/>
  <c r="C11" i="29"/>
  <c r="B11" i="29"/>
  <c r="M10" i="29"/>
  <c r="C10" i="29"/>
  <c r="B10" i="29"/>
  <c r="C9" i="29"/>
  <c r="B9" i="29"/>
  <c r="C8" i="29"/>
  <c r="B8" i="29"/>
  <c r="C7" i="29"/>
  <c r="B7" i="29"/>
  <c r="C6" i="29"/>
  <c r="B6" i="29"/>
  <c r="H5" i="29"/>
  <c r="O5" i="29" s="1"/>
  <c r="G5" i="29"/>
  <c r="N5" i="29" s="1"/>
  <c r="C5" i="29"/>
  <c r="B5" i="29"/>
  <c r="H4" i="29"/>
  <c r="O4" i="29" s="1"/>
  <c r="G4" i="29"/>
  <c r="N4" i="29" s="1"/>
  <c r="E4" i="29"/>
  <c r="L4" i="29" s="1"/>
  <c r="C4" i="29"/>
  <c r="B4" i="29"/>
  <c r="C3" i="29"/>
  <c r="B3" i="29"/>
  <c r="C89" i="28"/>
  <c r="B89" i="28"/>
  <c r="C88" i="28"/>
  <c r="B88" i="28"/>
  <c r="C87" i="28"/>
  <c r="B87" i="28"/>
  <c r="C86" i="28"/>
  <c r="B86" i="28"/>
  <c r="C85" i="28"/>
  <c r="B85" i="28"/>
  <c r="C84" i="28"/>
  <c r="B84" i="28"/>
  <c r="C83" i="28"/>
  <c r="B83" i="28"/>
  <c r="C82" i="28"/>
  <c r="B82" i="28"/>
  <c r="C81" i="28"/>
  <c r="B81" i="28"/>
  <c r="C80" i="28"/>
  <c r="B80" i="28"/>
  <c r="C79" i="28"/>
  <c r="B79" i="28"/>
  <c r="C78" i="28"/>
  <c r="B78" i="28"/>
  <c r="C77" i="28"/>
  <c r="B77" i="28"/>
  <c r="C76" i="28"/>
  <c r="B76" i="28"/>
  <c r="C75" i="28"/>
  <c r="B75" i="28"/>
  <c r="C74" i="28"/>
  <c r="B74" i="28"/>
  <c r="C73" i="28"/>
  <c r="B73" i="28"/>
  <c r="C72" i="28"/>
  <c r="B72" i="28"/>
  <c r="C71" i="28"/>
  <c r="B71" i="28"/>
  <c r="C70" i="28"/>
  <c r="B70" i="28"/>
  <c r="C69" i="28"/>
  <c r="B69" i="28"/>
  <c r="C68" i="28"/>
  <c r="B68" i="28"/>
  <c r="C67" i="28"/>
  <c r="B67" i="28"/>
  <c r="C66" i="28"/>
  <c r="B66" i="28"/>
  <c r="C65" i="28"/>
  <c r="B65" i="28"/>
  <c r="C64" i="28"/>
  <c r="B64" i="28"/>
  <c r="C63" i="28"/>
  <c r="B63" i="28"/>
  <c r="C62" i="28"/>
  <c r="B62" i="28"/>
  <c r="C61" i="28"/>
  <c r="B61" i="28"/>
  <c r="C60" i="28"/>
  <c r="B60" i="28"/>
  <c r="C59" i="28"/>
  <c r="B59" i="28"/>
  <c r="C58" i="28"/>
  <c r="B58" i="28"/>
  <c r="C57" i="28"/>
  <c r="B57" i="28"/>
  <c r="C56" i="28"/>
  <c r="B56" i="28"/>
  <c r="C55" i="28"/>
  <c r="B55" i="28"/>
  <c r="C54" i="28"/>
  <c r="B54" i="28"/>
  <c r="C53" i="28"/>
  <c r="B53" i="28"/>
  <c r="C52" i="28"/>
  <c r="B52" i="28"/>
  <c r="C51" i="28"/>
  <c r="B51" i="28"/>
  <c r="C50" i="28"/>
  <c r="B50" i="28"/>
  <c r="C49" i="28"/>
  <c r="B49" i="28"/>
  <c r="C48" i="28"/>
  <c r="B48" i="28"/>
  <c r="C47" i="28"/>
  <c r="B47" i="28"/>
  <c r="C46" i="28"/>
  <c r="B46" i="28"/>
  <c r="C45" i="28"/>
  <c r="B45" i="28"/>
  <c r="C44" i="28"/>
  <c r="B44" i="28"/>
  <c r="C43" i="28"/>
  <c r="B43" i="28"/>
  <c r="C42" i="28"/>
  <c r="B42" i="28"/>
  <c r="C41" i="28"/>
  <c r="B41" i="28"/>
  <c r="C40" i="28"/>
  <c r="B40" i="28"/>
  <c r="C39" i="28"/>
  <c r="B39" i="28"/>
  <c r="C38" i="28"/>
  <c r="B38" i="28"/>
  <c r="C37" i="28"/>
  <c r="B37" i="28"/>
  <c r="C36" i="28"/>
  <c r="B36" i="28"/>
  <c r="C35" i="28"/>
  <c r="B35" i="28"/>
  <c r="C34" i="28"/>
  <c r="B34" i="28"/>
  <c r="C33" i="28"/>
  <c r="B33" i="28"/>
  <c r="C32" i="28"/>
  <c r="B32" i="28"/>
  <c r="C31" i="28"/>
  <c r="B31" i="28"/>
  <c r="C30" i="28"/>
  <c r="B30" i="28"/>
  <c r="C29" i="28"/>
  <c r="B29" i="28"/>
  <c r="C28" i="28"/>
  <c r="B28" i="28"/>
  <c r="C27" i="28"/>
  <c r="B27" i="28"/>
  <c r="C26" i="28"/>
  <c r="B26" i="28"/>
  <c r="C25" i="28"/>
  <c r="B25" i="28"/>
  <c r="C24" i="28"/>
  <c r="B24" i="28"/>
  <c r="C23" i="28"/>
  <c r="B23" i="28"/>
  <c r="C22" i="28"/>
  <c r="B22" i="28"/>
  <c r="C21" i="28"/>
  <c r="B21" i="28"/>
  <c r="C20" i="28"/>
  <c r="B20" i="28"/>
  <c r="C19" i="28"/>
  <c r="B19" i="28"/>
  <c r="C18" i="28"/>
  <c r="B18" i="28"/>
  <c r="C17" i="28"/>
  <c r="B17" i="28"/>
  <c r="C16" i="28"/>
  <c r="B16" i="28"/>
  <c r="C15" i="28"/>
  <c r="B15" i="28"/>
  <c r="C14" i="28"/>
  <c r="B14" i="28"/>
  <c r="C13" i="28"/>
  <c r="B13" i="28"/>
  <c r="C12" i="28"/>
  <c r="B12" i="28"/>
  <c r="C11" i="28"/>
  <c r="B11" i="28"/>
  <c r="M10" i="28"/>
  <c r="C10" i="28"/>
  <c r="B10" i="28"/>
  <c r="C9" i="28"/>
  <c r="B9" i="28"/>
  <c r="C8" i="28"/>
  <c r="B8" i="28"/>
  <c r="C7" i="28"/>
  <c r="B7" i="28"/>
  <c r="C6" i="28"/>
  <c r="B6" i="28"/>
  <c r="H5" i="28"/>
  <c r="O5" i="28" s="1"/>
  <c r="G5" i="28"/>
  <c r="N5" i="28" s="1"/>
  <c r="C5" i="28"/>
  <c r="B5" i="28"/>
  <c r="H4" i="28"/>
  <c r="O4" i="28" s="1"/>
  <c r="G4" i="28"/>
  <c r="N4" i="28" s="1"/>
  <c r="E4" i="28"/>
  <c r="L4" i="28" s="1"/>
  <c r="C4" i="28"/>
  <c r="B4" i="28"/>
  <c r="C3" i="28"/>
  <c r="B3" i="28"/>
  <c r="C88" i="27"/>
  <c r="B88" i="27"/>
  <c r="C87" i="27"/>
  <c r="B87" i="27"/>
  <c r="C86" i="27"/>
  <c r="B86" i="27"/>
  <c r="C85" i="27"/>
  <c r="B85" i="27"/>
  <c r="C84" i="27"/>
  <c r="B84" i="27"/>
  <c r="C83" i="27"/>
  <c r="B83" i="27"/>
  <c r="C82" i="27"/>
  <c r="B82" i="27"/>
  <c r="C81" i="27"/>
  <c r="B81" i="27"/>
  <c r="C80" i="27"/>
  <c r="B80" i="27"/>
  <c r="C79" i="27"/>
  <c r="B79" i="27"/>
  <c r="C78" i="27"/>
  <c r="B78" i="27"/>
  <c r="C77" i="27"/>
  <c r="B77" i="27"/>
  <c r="C76" i="27"/>
  <c r="B76" i="27"/>
  <c r="C75" i="27"/>
  <c r="B75" i="27"/>
  <c r="C74" i="27"/>
  <c r="B74" i="27"/>
  <c r="C73" i="27"/>
  <c r="B73" i="27"/>
  <c r="C72" i="27"/>
  <c r="B72" i="27"/>
  <c r="C71" i="27"/>
  <c r="B71" i="27"/>
  <c r="C70" i="27"/>
  <c r="B70" i="27"/>
  <c r="C69" i="27"/>
  <c r="B69" i="27"/>
  <c r="C24" i="27"/>
  <c r="B24" i="27"/>
  <c r="C42" i="27"/>
  <c r="B42" i="27"/>
  <c r="C28" i="27"/>
  <c r="B28" i="27"/>
  <c r="C65" i="27"/>
  <c r="B65" i="27"/>
  <c r="C64" i="27"/>
  <c r="B64" i="27"/>
  <c r="C63" i="27"/>
  <c r="B63" i="27"/>
  <c r="C62" i="27"/>
  <c r="B62" i="27"/>
  <c r="C61" i="27"/>
  <c r="B61" i="27"/>
  <c r="C14" i="27"/>
  <c r="B14" i="27"/>
  <c r="C59" i="27"/>
  <c r="B59" i="27"/>
  <c r="C58" i="27"/>
  <c r="B58" i="27"/>
  <c r="C57" i="27"/>
  <c r="B57" i="27"/>
  <c r="C56" i="27"/>
  <c r="B56" i="27"/>
  <c r="C55" i="27"/>
  <c r="B55" i="27"/>
  <c r="C54" i="27"/>
  <c r="B54" i="27"/>
  <c r="C53" i="27"/>
  <c r="B53" i="27"/>
  <c r="C52" i="27"/>
  <c r="B52" i="27"/>
  <c r="C51" i="27"/>
  <c r="B51" i="27"/>
  <c r="C50" i="27"/>
  <c r="B50" i="27"/>
  <c r="C49" i="27"/>
  <c r="B49" i="27"/>
  <c r="C48" i="27"/>
  <c r="B48" i="27"/>
  <c r="C47" i="27"/>
  <c r="B47" i="27"/>
  <c r="C46" i="27"/>
  <c r="B46" i="27"/>
  <c r="C45" i="27"/>
  <c r="B45" i="27"/>
  <c r="C44" i="27"/>
  <c r="B44" i="27"/>
  <c r="C43" i="27"/>
  <c r="B43" i="27"/>
  <c r="C66" i="27"/>
  <c r="B66" i="27"/>
  <c r="C41" i="27"/>
  <c r="B41" i="27"/>
  <c r="C40" i="27"/>
  <c r="B40" i="27"/>
  <c r="C39" i="27"/>
  <c r="B39" i="27"/>
  <c r="C38" i="27"/>
  <c r="B38" i="27"/>
  <c r="C37" i="27"/>
  <c r="B37" i="27"/>
  <c r="C36" i="27"/>
  <c r="B36" i="27"/>
  <c r="C35" i="27"/>
  <c r="B35" i="27"/>
  <c r="C34" i="27"/>
  <c r="B34" i="27"/>
  <c r="C33" i="27"/>
  <c r="B33" i="27"/>
  <c r="C32" i="27"/>
  <c r="B32" i="27"/>
  <c r="C31" i="27"/>
  <c r="B31" i="27"/>
  <c r="C30" i="27"/>
  <c r="B30" i="27"/>
  <c r="C29" i="27"/>
  <c r="B29" i="27"/>
  <c r="C68" i="27"/>
  <c r="B68" i="27"/>
  <c r="C27" i="27"/>
  <c r="B27" i="27"/>
  <c r="C26" i="27"/>
  <c r="B26" i="27"/>
  <c r="C25" i="27"/>
  <c r="B25" i="27"/>
  <c r="C2" i="27"/>
  <c r="B2" i="27"/>
  <c r="C23" i="27"/>
  <c r="B23" i="27"/>
  <c r="C22" i="27"/>
  <c r="B22" i="27"/>
  <c r="C21" i="27"/>
  <c r="B21" i="27"/>
  <c r="C20" i="27"/>
  <c r="B20" i="27"/>
  <c r="C19" i="27"/>
  <c r="B19" i="27"/>
  <c r="C18" i="27"/>
  <c r="B18" i="27"/>
  <c r="C17" i="27"/>
  <c r="B17" i="27"/>
  <c r="C16" i="27"/>
  <c r="B16" i="27"/>
  <c r="C60" i="27"/>
  <c r="B60" i="27"/>
  <c r="C67" i="27"/>
  <c r="B67" i="27"/>
  <c r="C13" i="27"/>
  <c r="B13" i="27"/>
  <c r="C12" i="27"/>
  <c r="B12" i="27"/>
  <c r="C11" i="27"/>
  <c r="B11" i="27"/>
  <c r="C10" i="27"/>
  <c r="B10" i="27"/>
  <c r="M9" i="27"/>
  <c r="C9" i="27"/>
  <c r="B9" i="27"/>
  <c r="C8" i="27"/>
  <c r="B8" i="27"/>
  <c r="C7" i="27"/>
  <c r="B7" i="27"/>
  <c r="C6" i="27"/>
  <c r="B6" i="27"/>
  <c r="C5" i="27"/>
  <c r="B5" i="27"/>
  <c r="H4" i="27"/>
  <c r="O4" i="27" s="1"/>
  <c r="G4" i="27"/>
  <c r="N4" i="27" s="1"/>
  <c r="C4" i="27"/>
  <c r="B4" i="27"/>
  <c r="H3" i="27"/>
  <c r="O3" i="27" s="1"/>
  <c r="G3" i="27"/>
  <c r="N3" i="27" s="1"/>
  <c r="E3" i="27"/>
  <c r="L3" i="27" s="1"/>
  <c r="C3" i="27"/>
  <c r="B3" i="27"/>
  <c r="C15" i="27"/>
  <c r="B15" i="27"/>
  <c r="A88" i="18"/>
  <c r="B88" i="18"/>
  <c r="A88" i="10"/>
  <c r="B88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2" i="10"/>
  <c r="E88" i="21"/>
  <c r="N88" i="35" s="1"/>
  <c r="A88" i="21"/>
  <c r="F88" i="18" l="1"/>
  <c r="F88" i="21"/>
  <c r="G88" i="21" s="1"/>
  <c r="AF88" i="35" s="1"/>
  <c r="P88" i="19"/>
  <c r="Q88" i="19"/>
  <c r="R88" i="19"/>
  <c r="S88" i="19"/>
  <c r="T88" i="19"/>
  <c r="U88" i="19"/>
  <c r="V88" i="19"/>
  <c r="X88" i="19"/>
  <c r="Y88" i="19"/>
  <c r="Z88" i="19"/>
  <c r="AB88" i="19"/>
  <c r="AC88" i="19"/>
  <c r="AD88" i="19"/>
  <c r="AF88" i="19"/>
  <c r="AG88" i="19"/>
  <c r="H88" i="21" l="1"/>
  <c r="AK88" i="19"/>
  <c r="F3" i="22"/>
  <c r="F4" i="22"/>
  <c r="AR88" i="19" l="1"/>
  <c r="AM88" i="35"/>
  <c r="BA88" i="35" s="1"/>
  <c r="G89" i="34"/>
  <c r="N89" i="34" s="1"/>
  <c r="G89" i="33"/>
  <c r="N89" i="33" s="1"/>
  <c r="G89" i="32"/>
  <c r="N89" i="32" s="1"/>
  <c r="G89" i="31"/>
  <c r="N89" i="31" s="1"/>
  <c r="G89" i="29"/>
  <c r="N89" i="29" s="1"/>
  <c r="G88" i="27"/>
  <c r="N88" i="27" s="1"/>
  <c r="G89" i="28"/>
  <c r="N89" i="28" s="1"/>
  <c r="E88" i="23"/>
  <c r="A88" i="23"/>
  <c r="E88" i="24"/>
  <c r="F88" i="24" s="1"/>
  <c r="A88" i="24"/>
  <c r="E88" i="22"/>
  <c r="A88" i="22"/>
  <c r="F88" i="25" l="1"/>
  <c r="I88" i="18"/>
  <c r="G88" i="24"/>
  <c r="H88" i="24" s="1"/>
  <c r="G88" i="23"/>
  <c r="V88" i="35"/>
  <c r="H88" i="18"/>
  <c r="AA88" i="19"/>
  <c r="R88" i="35"/>
  <c r="G88" i="18"/>
  <c r="BF88" i="19"/>
  <c r="F88" i="10"/>
  <c r="W88" i="19"/>
  <c r="F88" i="22"/>
  <c r="G88" i="22" s="1"/>
  <c r="AG88" i="35" s="1"/>
  <c r="N88" i="19"/>
  <c r="L88" i="19"/>
  <c r="I88" i="19"/>
  <c r="H88" i="19"/>
  <c r="G88" i="19"/>
  <c r="F88" i="19"/>
  <c r="E88" i="19"/>
  <c r="D88" i="19"/>
  <c r="C88" i="19"/>
  <c r="B88" i="19"/>
  <c r="A88" i="19"/>
  <c r="AI88" i="35" l="1"/>
  <c r="AN88" i="19"/>
  <c r="AP88" i="35"/>
  <c r="J89" i="34"/>
  <c r="J89" i="32"/>
  <c r="J89" i="33"/>
  <c r="J89" i="31"/>
  <c r="J89" i="28"/>
  <c r="J89" i="29"/>
  <c r="J88" i="27"/>
  <c r="AU88" i="19"/>
  <c r="Z88" i="35"/>
  <c r="G88" i="25"/>
  <c r="H88" i="25" s="1"/>
  <c r="I88" i="25" s="1"/>
  <c r="J88" i="25" s="1"/>
  <c r="AE88" i="19"/>
  <c r="H88" i="23"/>
  <c r="AH88" i="35"/>
  <c r="AM88" i="19"/>
  <c r="H88" i="22"/>
  <c r="AL88" i="19"/>
  <c r="A88" i="15"/>
  <c r="E88" i="3"/>
  <c r="D88" i="4"/>
  <c r="A88" i="4"/>
  <c r="C88" i="5"/>
  <c r="A88" i="5"/>
  <c r="I88" i="16"/>
  <c r="A88" i="16"/>
  <c r="A88" i="3"/>
  <c r="AQ88" i="35" l="1"/>
  <c r="AV88" i="19"/>
  <c r="I88" i="10" s="1"/>
  <c r="AR88" i="35"/>
  <c r="AW88" i="19"/>
  <c r="J88" i="10" s="1"/>
  <c r="AO88" i="35"/>
  <c r="BC88" i="35" s="1"/>
  <c r="I89" i="33"/>
  <c r="P89" i="33" s="1"/>
  <c r="I89" i="32"/>
  <c r="P89" i="32" s="1"/>
  <c r="I89" i="34"/>
  <c r="P89" i="34" s="1"/>
  <c r="I89" i="31"/>
  <c r="P89" i="31" s="1"/>
  <c r="I88" i="27"/>
  <c r="P88" i="27" s="1"/>
  <c r="I89" i="28"/>
  <c r="P89" i="28" s="1"/>
  <c r="I89" i="29"/>
  <c r="P89" i="29" s="1"/>
  <c r="AT88" i="19"/>
  <c r="AS88" i="19"/>
  <c r="AN88" i="35"/>
  <c r="BB88" i="35" s="1"/>
  <c r="H89" i="33"/>
  <c r="O89" i="33" s="1"/>
  <c r="H89" i="32"/>
  <c r="O89" i="32" s="1"/>
  <c r="H89" i="34"/>
  <c r="O89" i="34" s="1"/>
  <c r="H89" i="31"/>
  <c r="O89" i="31" s="1"/>
  <c r="H89" i="28"/>
  <c r="O89" i="28" s="1"/>
  <c r="H89" i="29"/>
  <c r="O89" i="29" s="1"/>
  <c r="H88" i="27"/>
  <c r="O88" i="27" s="1"/>
  <c r="K88" i="19"/>
  <c r="F88" i="35"/>
  <c r="D88" i="18"/>
  <c r="D88" i="5"/>
  <c r="E88" i="5" s="1"/>
  <c r="E88" i="35"/>
  <c r="C88" i="18"/>
  <c r="E88" i="4"/>
  <c r="F88" i="4" s="1"/>
  <c r="J88" i="19"/>
  <c r="F88" i="3"/>
  <c r="G88" i="3" s="1"/>
  <c r="D3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2" i="18"/>
  <c r="BH88" i="19" l="1"/>
  <c r="H88" i="10"/>
  <c r="BG88" i="19"/>
  <c r="G88" i="10"/>
  <c r="F88" i="5"/>
  <c r="AD88" i="35"/>
  <c r="AI88" i="19"/>
  <c r="G88" i="4"/>
  <c r="AC88" i="35"/>
  <c r="AH88" i="19"/>
  <c r="H88" i="3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37" i="19"/>
  <c r="AG38" i="19"/>
  <c r="AG39" i="19"/>
  <c r="AG40" i="19"/>
  <c r="AG41" i="19"/>
  <c r="AG42" i="19"/>
  <c r="AG43" i="19"/>
  <c r="AG44" i="19"/>
  <c r="AG45" i="19"/>
  <c r="AG46" i="19"/>
  <c r="AG47" i="19"/>
  <c r="AG48" i="19"/>
  <c r="AG49" i="19"/>
  <c r="AG50" i="19"/>
  <c r="AG51" i="19"/>
  <c r="AG52" i="19"/>
  <c r="AG53" i="19"/>
  <c r="AG54" i="19"/>
  <c r="AG55" i="19"/>
  <c r="AG56" i="19"/>
  <c r="AG57" i="19"/>
  <c r="AG58" i="19"/>
  <c r="AG59" i="19"/>
  <c r="AG60" i="19"/>
  <c r="AG61" i="19"/>
  <c r="AG62" i="19"/>
  <c r="AG63" i="19"/>
  <c r="AG64" i="19"/>
  <c r="AG65" i="19"/>
  <c r="AG66" i="19"/>
  <c r="AG67" i="19"/>
  <c r="AG68" i="19"/>
  <c r="AG69" i="19"/>
  <c r="AG70" i="19"/>
  <c r="AG71" i="19"/>
  <c r="AG72" i="19"/>
  <c r="AG73" i="19"/>
  <c r="AG74" i="19"/>
  <c r="AG75" i="19"/>
  <c r="AG76" i="19"/>
  <c r="AG77" i="19"/>
  <c r="AG78" i="19"/>
  <c r="AG79" i="19"/>
  <c r="AG80" i="19"/>
  <c r="AG81" i="19"/>
  <c r="AG82" i="19"/>
  <c r="AG83" i="19"/>
  <c r="AG84" i="19"/>
  <c r="AG85" i="19"/>
  <c r="AG86" i="19"/>
  <c r="AG87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37" i="19"/>
  <c r="AF38" i="19"/>
  <c r="AF39" i="19"/>
  <c r="AF40" i="19"/>
  <c r="AF41" i="19"/>
  <c r="AF42" i="19"/>
  <c r="AF43" i="19"/>
  <c r="AF44" i="19"/>
  <c r="AF45" i="19"/>
  <c r="AF46" i="19"/>
  <c r="AF47" i="19"/>
  <c r="AF48" i="19"/>
  <c r="AF49" i="19"/>
  <c r="AF50" i="19"/>
  <c r="AF51" i="19"/>
  <c r="AF52" i="19"/>
  <c r="AF53" i="19"/>
  <c r="AF54" i="19"/>
  <c r="AF55" i="19"/>
  <c r="AF56" i="19"/>
  <c r="AF57" i="19"/>
  <c r="AF58" i="19"/>
  <c r="AF59" i="19"/>
  <c r="AF60" i="19"/>
  <c r="AF61" i="19"/>
  <c r="AF62" i="19"/>
  <c r="AF63" i="19"/>
  <c r="AF64" i="19"/>
  <c r="AF65" i="19"/>
  <c r="AF66" i="19"/>
  <c r="AF67" i="19"/>
  <c r="AF68" i="19"/>
  <c r="AF69" i="19"/>
  <c r="AF70" i="19"/>
  <c r="AF71" i="19"/>
  <c r="AF72" i="19"/>
  <c r="AF73" i="19"/>
  <c r="AF74" i="19"/>
  <c r="AF75" i="19"/>
  <c r="AF76" i="19"/>
  <c r="AF77" i="19"/>
  <c r="AF78" i="19"/>
  <c r="AF79" i="19"/>
  <c r="AF80" i="19"/>
  <c r="AF81" i="19"/>
  <c r="AF82" i="19"/>
  <c r="AF83" i="19"/>
  <c r="AF84" i="19"/>
  <c r="AF85" i="19"/>
  <c r="AF86" i="19"/>
  <c r="AF87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X87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8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F46" i="24" s="1"/>
  <c r="E47" i="24"/>
  <c r="E48" i="24"/>
  <c r="E49" i="24"/>
  <c r="E50" i="24"/>
  <c r="E51" i="24"/>
  <c r="E52" i="24"/>
  <c r="G52" i="24" s="1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F71" i="24" s="1"/>
  <c r="E72" i="24"/>
  <c r="E73" i="24"/>
  <c r="E74" i="24"/>
  <c r="E75" i="24"/>
  <c r="E76" i="24"/>
  <c r="H76" i="24" s="1"/>
  <c r="E77" i="24"/>
  <c r="E78" i="24"/>
  <c r="E79" i="24"/>
  <c r="E80" i="24"/>
  <c r="I81" i="18"/>
  <c r="E82" i="24"/>
  <c r="E83" i="24"/>
  <c r="E84" i="24"/>
  <c r="G84" i="24" s="1"/>
  <c r="E85" i="24"/>
  <c r="E86" i="24"/>
  <c r="E87" i="24"/>
  <c r="F87" i="24" s="1"/>
  <c r="G12" i="24"/>
  <c r="G19" i="24"/>
  <c r="G22" i="24"/>
  <c r="G27" i="24"/>
  <c r="G37" i="24"/>
  <c r="G43" i="24"/>
  <c r="G51" i="24"/>
  <c r="G53" i="24"/>
  <c r="G78" i="24"/>
  <c r="G79" i="24"/>
  <c r="G82" i="24"/>
  <c r="H12" i="24"/>
  <c r="H19" i="24"/>
  <c r="H22" i="24"/>
  <c r="AU22" i="19" s="1"/>
  <c r="H27" i="24"/>
  <c r="H37" i="24"/>
  <c r="H43" i="24"/>
  <c r="AU43" i="19" s="1"/>
  <c r="H51" i="24"/>
  <c r="H53" i="24"/>
  <c r="AU53" i="19" s="1"/>
  <c r="H78" i="24"/>
  <c r="AU78" i="19" s="1"/>
  <c r="H79" i="24"/>
  <c r="H82" i="24"/>
  <c r="E12" i="23"/>
  <c r="AA12" i="19" s="1"/>
  <c r="E13" i="23"/>
  <c r="E14" i="23"/>
  <c r="E15" i="23"/>
  <c r="E16" i="23"/>
  <c r="E17" i="23"/>
  <c r="E18" i="23"/>
  <c r="E19" i="23"/>
  <c r="E20" i="23"/>
  <c r="E21" i="23"/>
  <c r="E22" i="23"/>
  <c r="H22" i="23" s="1"/>
  <c r="E23" i="23"/>
  <c r="E24" i="23"/>
  <c r="E25" i="23"/>
  <c r="AA25" i="19" s="1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AA44" i="19" s="1"/>
  <c r="E45" i="23"/>
  <c r="E46" i="23"/>
  <c r="H46" i="18" s="1"/>
  <c r="E47" i="23"/>
  <c r="E48" i="23"/>
  <c r="E49" i="23"/>
  <c r="E50" i="23"/>
  <c r="E51" i="23"/>
  <c r="H51" i="18" s="1"/>
  <c r="E52" i="23"/>
  <c r="E53" i="23"/>
  <c r="E54" i="23"/>
  <c r="E55" i="23"/>
  <c r="E56" i="23"/>
  <c r="AA56" i="19" s="1"/>
  <c r="E57" i="23"/>
  <c r="E58" i="23"/>
  <c r="E59" i="23"/>
  <c r="E60" i="23"/>
  <c r="E61" i="23"/>
  <c r="E62" i="23"/>
  <c r="E63" i="23"/>
  <c r="E64" i="23"/>
  <c r="AA64" i="19" s="1"/>
  <c r="E65" i="23"/>
  <c r="E66" i="23"/>
  <c r="E67" i="23"/>
  <c r="E68" i="23"/>
  <c r="E69" i="23"/>
  <c r="E70" i="23"/>
  <c r="E71" i="23"/>
  <c r="E72" i="23"/>
  <c r="AA72" i="19" s="1"/>
  <c r="E73" i="23"/>
  <c r="AA73" i="19" s="1"/>
  <c r="E74" i="23"/>
  <c r="E75" i="23"/>
  <c r="E76" i="23"/>
  <c r="AA76" i="19" s="1"/>
  <c r="E77" i="23"/>
  <c r="AA77" i="19" s="1"/>
  <c r="E78" i="23"/>
  <c r="E79" i="23"/>
  <c r="E80" i="23"/>
  <c r="AA80" i="19" s="1"/>
  <c r="E81" i="23"/>
  <c r="E82" i="23"/>
  <c r="AA82" i="19" s="1"/>
  <c r="E83" i="23"/>
  <c r="E84" i="23"/>
  <c r="E85" i="23"/>
  <c r="E86" i="23"/>
  <c r="E87" i="23"/>
  <c r="H87" i="18" s="1"/>
  <c r="H53" i="22"/>
  <c r="G27" i="22"/>
  <c r="G43" i="22"/>
  <c r="G71" i="22"/>
  <c r="E3" i="22"/>
  <c r="G3" i="18" s="1"/>
  <c r="E4" i="22"/>
  <c r="G4" i="18" s="1"/>
  <c r="E5" i="22"/>
  <c r="R5" i="35" s="1"/>
  <c r="E6" i="22"/>
  <c r="E7" i="22"/>
  <c r="E8" i="22"/>
  <c r="E9" i="22"/>
  <c r="R9" i="35" s="1"/>
  <c r="E10" i="22"/>
  <c r="E11" i="22"/>
  <c r="E12" i="22"/>
  <c r="E13" i="22"/>
  <c r="R13" i="35" s="1"/>
  <c r="E14" i="22"/>
  <c r="R14" i="35" s="1"/>
  <c r="E15" i="22"/>
  <c r="E16" i="22"/>
  <c r="R16" i="35" s="1"/>
  <c r="E17" i="22"/>
  <c r="R17" i="35" s="1"/>
  <c r="E18" i="22"/>
  <c r="R18" i="35" s="1"/>
  <c r="E19" i="22"/>
  <c r="E20" i="22"/>
  <c r="R20" i="35" s="1"/>
  <c r="E21" i="22"/>
  <c r="W21" i="19" s="1"/>
  <c r="E22" i="22"/>
  <c r="W22" i="19" s="1"/>
  <c r="E23" i="22"/>
  <c r="R23" i="35" s="1"/>
  <c r="E24" i="22"/>
  <c r="E25" i="22"/>
  <c r="E26" i="22"/>
  <c r="R26" i="35" s="1"/>
  <c r="E27" i="22"/>
  <c r="E28" i="22"/>
  <c r="R28" i="35" s="1"/>
  <c r="E29" i="22"/>
  <c r="R29" i="35" s="1"/>
  <c r="E30" i="22"/>
  <c r="R30" i="35" s="1"/>
  <c r="E31" i="22"/>
  <c r="E32" i="22"/>
  <c r="R32" i="35" s="1"/>
  <c r="E33" i="22"/>
  <c r="R33" i="35" s="1"/>
  <c r="E34" i="22"/>
  <c r="R34" i="35" s="1"/>
  <c r="E35" i="22"/>
  <c r="R35" i="35" s="1"/>
  <c r="E36" i="22"/>
  <c r="R36" i="35" s="1"/>
  <c r="E37" i="22"/>
  <c r="R37" i="35" s="1"/>
  <c r="E38" i="22"/>
  <c r="R38" i="35" s="1"/>
  <c r="E39" i="22"/>
  <c r="R39" i="35" s="1"/>
  <c r="E40" i="22"/>
  <c r="R40" i="35" s="1"/>
  <c r="E41" i="22"/>
  <c r="R41" i="35" s="1"/>
  <c r="E42" i="22"/>
  <c r="E43" i="22"/>
  <c r="E44" i="22"/>
  <c r="E45" i="22"/>
  <c r="R45" i="35" s="1"/>
  <c r="E46" i="22"/>
  <c r="R46" i="35" s="1"/>
  <c r="E47" i="22"/>
  <c r="R47" i="35" s="1"/>
  <c r="E48" i="22"/>
  <c r="R48" i="35" s="1"/>
  <c r="E49" i="22"/>
  <c r="R49" i="35" s="1"/>
  <c r="E50" i="22"/>
  <c r="R50" i="35" s="1"/>
  <c r="E51" i="22"/>
  <c r="R51" i="35" s="1"/>
  <c r="E52" i="22"/>
  <c r="E53" i="22"/>
  <c r="W53" i="19" s="1"/>
  <c r="E54" i="22"/>
  <c r="R54" i="35" s="1"/>
  <c r="E55" i="22"/>
  <c r="R55" i="35" s="1"/>
  <c r="E56" i="22"/>
  <c r="E57" i="22"/>
  <c r="R57" i="35" s="1"/>
  <c r="E58" i="22"/>
  <c r="R58" i="35" s="1"/>
  <c r="E59" i="22"/>
  <c r="E60" i="22"/>
  <c r="E61" i="22"/>
  <c r="R61" i="35" s="1"/>
  <c r="E62" i="22"/>
  <c r="R62" i="35" s="1"/>
  <c r="E63" i="22"/>
  <c r="R63" i="35" s="1"/>
  <c r="E64" i="22"/>
  <c r="R64" i="35" s="1"/>
  <c r="E65" i="22"/>
  <c r="R65" i="35" s="1"/>
  <c r="E66" i="22"/>
  <c r="E67" i="22"/>
  <c r="E68" i="22"/>
  <c r="E69" i="22"/>
  <c r="R69" i="35" s="1"/>
  <c r="E70" i="22"/>
  <c r="E71" i="22"/>
  <c r="E72" i="22"/>
  <c r="E73" i="22"/>
  <c r="G73" i="22" s="1"/>
  <c r="E74" i="22"/>
  <c r="G74" i="22" s="1"/>
  <c r="E75" i="22"/>
  <c r="R75" i="35" s="1"/>
  <c r="E76" i="22"/>
  <c r="G76" i="22" s="1"/>
  <c r="E77" i="22"/>
  <c r="R77" i="35" s="1"/>
  <c r="E78" i="22"/>
  <c r="H78" i="22" s="1"/>
  <c r="E79" i="22"/>
  <c r="E80" i="22"/>
  <c r="R80" i="35" s="1"/>
  <c r="E81" i="22"/>
  <c r="R81" i="35" s="1"/>
  <c r="E82" i="22"/>
  <c r="G82" i="22" s="1"/>
  <c r="E83" i="22"/>
  <c r="R83" i="35" s="1"/>
  <c r="E84" i="22"/>
  <c r="G84" i="22" s="1"/>
  <c r="E85" i="22"/>
  <c r="W85" i="19" s="1"/>
  <c r="E86" i="22"/>
  <c r="W86" i="19" s="1"/>
  <c r="E87" i="22"/>
  <c r="E9" i="21"/>
  <c r="N9" i="35" s="1"/>
  <c r="E12" i="21"/>
  <c r="N12" i="35" s="1"/>
  <c r="E13" i="21"/>
  <c r="N13" i="35" s="1"/>
  <c r="E14" i="21"/>
  <c r="E15" i="21"/>
  <c r="N15" i="35" s="1"/>
  <c r="E16" i="21"/>
  <c r="N16" i="35" s="1"/>
  <c r="E17" i="21"/>
  <c r="N17" i="35" s="1"/>
  <c r="E18" i="21"/>
  <c r="E19" i="21"/>
  <c r="N19" i="35" s="1"/>
  <c r="E20" i="21"/>
  <c r="N20" i="35" s="1"/>
  <c r="E21" i="21"/>
  <c r="N21" i="35" s="1"/>
  <c r="E22" i="21"/>
  <c r="N22" i="35" s="1"/>
  <c r="E23" i="21"/>
  <c r="N23" i="35" s="1"/>
  <c r="E24" i="21"/>
  <c r="N24" i="35" s="1"/>
  <c r="E25" i="21"/>
  <c r="N25" i="35" s="1"/>
  <c r="E26" i="21"/>
  <c r="N26" i="35" s="1"/>
  <c r="E27" i="21"/>
  <c r="N27" i="35" s="1"/>
  <c r="E28" i="21"/>
  <c r="N28" i="35" s="1"/>
  <c r="E29" i="21"/>
  <c r="N29" i="35" s="1"/>
  <c r="E30" i="21"/>
  <c r="E31" i="21"/>
  <c r="N31" i="35" s="1"/>
  <c r="E32" i="21"/>
  <c r="N32" i="35" s="1"/>
  <c r="E33" i="21"/>
  <c r="N33" i="35" s="1"/>
  <c r="E34" i="21"/>
  <c r="E35" i="21"/>
  <c r="N35" i="35" s="1"/>
  <c r="E36" i="21"/>
  <c r="N36" i="35" s="1"/>
  <c r="E37" i="21"/>
  <c r="N37" i="35" s="1"/>
  <c r="E38" i="21"/>
  <c r="N38" i="35" s="1"/>
  <c r="E39" i="21"/>
  <c r="N39" i="35" s="1"/>
  <c r="E40" i="21"/>
  <c r="N40" i="35" s="1"/>
  <c r="E41" i="21"/>
  <c r="N41" i="35" s="1"/>
  <c r="E42" i="21"/>
  <c r="N42" i="35" s="1"/>
  <c r="E43" i="21"/>
  <c r="N43" i="35" s="1"/>
  <c r="E44" i="21"/>
  <c r="N44" i="35" s="1"/>
  <c r="E45" i="21"/>
  <c r="N45" i="35" s="1"/>
  <c r="E46" i="21"/>
  <c r="E47" i="21"/>
  <c r="N47" i="35" s="1"/>
  <c r="E48" i="21"/>
  <c r="N48" i="35" s="1"/>
  <c r="E49" i="21"/>
  <c r="N49" i="35" s="1"/>
  <c r="E50" i="21"/>
  <c r="E51" i="21"/>
  <c r="N51" i="35" s="1"/>
  <c r="E52" i="21"/>
  <c r="N52" i="35" s="1"/>
  <c r="E53" i="21"/>
  <c r="N53" i="35" s="1"/>
  <c r="E54" i="21"/>
  <c r="N54" i="35" s="1"/>
  <c r="E55" i="21"/>
  <c r="N55" i="35" s="1"/>
  <c r="E56" i="21"/>
  <c r="N56" i="35" s="1"/>
  <c r="E57" i="21"/>
  <c r="N57" i="35" s="1"/>
  <c r="E58" i="21"/>
  <c r="N58" i="35" s="1"/>
  <c r="E59" i="21"/>
  <c r="N59" i="35" s="1"/>
  <c r="E60" i="21"/>
  <c r="N60" i="35" s="1"/>
  <c r="E61" i="21"/>
  <c r="N61" i="35" s="1"/>
  <c r="E62" i="21"/>
  <c r="E63" i="21"/>
  <c r="N63" i="35" s="1"/>
  <c r="E64" i="21"/>
  <c r="N64" i="35" s="1"/>
  <c r="E65" i="21"/>
  <c r="N65" i="35" s="1"/>
  <c r="E66" i="21"/>
  <c r="E67" i="21"/>
  <c r="N67" i="35" s="1"/>
  <c r="E68" i="21"/>
  <c r="N68" i="35" s="1"/>
  <c r="E69" i="21"/>
  <c r="N69" i="35" s="1"/>
  <c r="E70" i="21"/>
  <c r="N70" i="35" s="1"/>
  <c r="E71" i="21"/>
  <c r="N71" i="35" s="1"/>
  <c r="E72" i="21"/>
  <c r="N72" i="35" s="1"/>
  <c r="E73" i="21"/>
  <c r="N73" i="35" s="1"/>
  <c r="E74" i="21"/>
  <c r="N74" i="35" s="1"/>
  <c r="E75" i="21"/>
  <c r="N75" i="35" s="1"/>
  <c r="E76" i="21"/>
  <c r="E77" i="21"/>
  <c r="N77" i="35" s="1"/>
  <c r="E78" i="21"/>
  <c r="E79" i="21"/>
  <c r="N79" i="35" s="1"/>
  <c r="E80" i="21"/>
  <c r="N80" i="35" s="1"/>
  <c r="E81" i="21"/>
  <c r="N81" i="35" s="1"/>
  <c r="E82" i="21"/>
  <c r="E83" i="21"/>
  <c r="N83" i="35" s="1"/>
  <c r="E84" i="21"/>
  <c r="E85" i="21"/>
  <c r="N85" i="35" s="1"/>
  <c r="E86" i="21"/>
  <c r="N86" i="35" s="1"/>
  <c r="E87" i="21"/>
  <c r="N87" i="35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F3" i="5"/>
  <c r="E3" i="5"/>
  <c r="D3" i="5"/>
  <c r="C3" i="5"/>
  <c r="C4" i="5"/>
  <c r="E4" i="5" s="1"/>
  <c r="AD4" i="35" s="1"/>
  <c r="C5" i="5"/>
  <c r="F5" i="35" s="1"/>
  <c r="C6" i="5"/>
  <c r="F6" i="5" s="1"/>
  <c r="C7" i="5"/>
  <c r="C8" i="5"/>
  <c r="F8" i="5" s="1"/>
  <c r="C9" i="5"/>
  <c r="C10" i="5"/>
  <c r="F10" i="35" s="1"/>
  <c r="C11" i="5"/>
  <c r="C12" i="5"/>
  <c r="E12" i="5" s="1"/>
  <c r="C13" i="5"/>
  <c r="C14" i="5"/>
  <c r="C15" i="5"/>
  <c r="C16" i="5"/>
  <c r="C17" i="5"/>
  <c r="C18" i="5"/>
  <c r="C19" i="5"/>
  <c r="C20" i="5"/>
  <c r="D20" i="5" s="1"/>
  <c r="C21" i="5"/>
  <c r="D21" i="5" s="1"/>
  <c r="C22" i="5"/>
  <c r="C23" i="5"/>
  <c r="C24" i="5"/>
  <c r="C25" i="5"/>
  <c r="C26" i="5"/>
  <c r="C27" i="5"/>
  <c r="C28" i="5"/>
  <c r="C29" i="5"/>
  <c r="D29" i="5" s="1"/>
  <c r="C30" i="5"/>
  <c r="C31" i="5"/>
  <c r="C32" i="5"/>
  <c r="C33" i="5"/>
  <c r="C34" i="5"/>
  <c r="C35" i="5"/>
  <c r="C36" i="5"/>
  <c r="D36" i="5" s="1"/>
  <c r="E36" i="5" s="1"/>
  <c r="AD36" i="35" s="1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E53" i="5" s="1"/>
  <c r="C54" i="5"/>
  <c r="C55" i="5"/>
  <c r="C56" i="5"/>
  <c r="C57" i="5"/>
  <c r="C58" i="5"/>
  <c r="C59" i="5"/>
  <c r="C60" i="5"/>
  <c r="C61" i="5"/>
  <c r="C62" i="5"/>
  <c r="C63" i="5"/>
  <c r="C64" i="5"/>
  <c r="D64" i="5" s="1"/>
  <c r="C65" i="5"/>
  <c r="D65" i="5" s="1"/>
  <c r="C66" i="5"/>
  <c r="D66" i="5" s="1"/>
  <c r="C67" i="5"/>
  <c r="C68" i="5"/>
  <c r="C69" i="5"/>
  <c r="C70" i="5"/>
  <c r="C71" i="5"/>
  <c r="C72" i="5"/>
  <c r="D72" i="5" s="1"/>
  <c r="C73" i="5"/>
  <c r="D73" i="5" s="1"/>
  <c r="C74" i="5"/>
  <c r="D74" i="5" s="1"/>
  <c r="C75" i="5"/>
  <c r="C76" i="5"/>
  <c r="C77" i="5"/>
  <c r="C78" i="5"/>
  <c r="E78" i="5" s="1"/>
  <c r="C79" i="5"/>
  <c r="C80" i="5"/>
  <c r="C81" i="5"/>
  <c r="C82" i="5"/>
  <c r="C83" i="5"/>
  <c r="C84" i="5"/>
  <c r="E84" i="5" s="1"/>
  <c r="C85" i="5"/>
  <c r="C86" i="5"/>
  <c r="C87" i="5"/>
  <c r="G53" i="4"/>
  <c r="G79" i="4"/>
  <c r="F53" i="4"/>
  <c r="F79" i="4"/>
  <c r="D12" i="4"/>
  <c r="D13" i="4"/>
  <c r="E13" i="35" s="1"/>
  <c r="D14" i="4"/>
  <c r="E14" i="35" s="1"/>
  <c r="D15" i="4"/>
  <c r="E15" i="35" s="1"/>
  <c r="D16" i="4"/>
  <c r="E16" i="35" s="1"/>
  <c r="D17" i="4"/>
  <c r="E17" i="35" s="1"/>
  <c r="D18" i="4"/>
  <c r="E18" i="35" s="1"/>
  <c r="D19" i="4"/>
  <c r="D20" i="4"/>
  <c r="E20" i="35" s="1"/>
  <c r="D21" i="4"/>
  <c r="E21" i="35" s="1"/>
  <c r="D22" i="4"/>
  <c r="G22" i="4" s="1"/>
  <c r="D23" i="4"/>
  <c r="E23" i="35" s="1"/>
  <c r="D24" i="4"/>
  <c r="E24" i="35" s="1"/>
  <c r="D25" i="4"/>
  <c r="D26" i="4"/>
  <c r="E26" i="35" s="1"/>
  <c r="D27" i="4"/>
  <c r="D28" i="4"/>
  <c r="E28" i="35" s="1"/>
  <c r="D29" i="4"/>
  <c r="E29" i="35" s="1"/>
  <c r="D30" i="4"/>
  <c r="E30" i="35" s="1"/>
  <c r="D31" i="4"/>
  <c r="E31" i="35" s="1"/>
  <c r="D32" i="4"/>
  <c r="E32" i="35" s="1"/>
  <c r="D33" i="4"/>
  <c r="E33" i="35" s="1"/>
  <c r="D34" i="4"/>
  <c r="E34" i="35" s="1"/>
  <c r="D35" i="4"/>
  <c r="E35" i="35" s="1"/>
  <c r="D36" i="4"/>
  <c r="E36" i="35" s="1"/>
  <c r="D37" i="4"/>
  <c r="E37" i="35" s="1"/>
  <c r="D38" i="4"/>
  <c r="E38" i="35" s="1"/>
  <c r="D39" i="4"/>
  <c r="E39" i="35" s="1"/>
  <c r="D40" i="4"/>
  <c r="E40" i="35" s="1"/>
  <c r="D41" i="4"/>
  <c r="E41" i="35" s="1"/>
  <c r="D42" i="4"/>
  <c r="E42" i="35" s="1"/>
  <c r="D43" i="4"/>
  <c r="D44" i="4"/>
  <c r="E44" i="35" s="1"/>
  <c r="D45" i="4"/>
  <c r="E45" i="35" s="1"/>
  <c r="D46" i="4"/>
  <c r="E46" i="35" s="1"/>
  <c r="D47" i="4"/>
  <c r="E47" i="35" s="1"/>
  <c r="D48" i="4"/>
  <c r="E48" i="35" s="1"/>
  <c r="D49" i="4"/>
  <c r="E49" i="35" s="1"/>
  <c r="D50" i="4"/>
  <c r="E50" i="35" s="1"/>
  <c r="D51" i="4"/>
  <c r="E51" i="35" s="1"/>
  <c r="D52" i="4"/>
  <c r="D53" i="4"/>
  <c r="D54" i="4"/>
  <c r="E54" i="35" s="1"/>
  <c r="D55" i="4"/>
  <c r="E55" i="35" s="1"/>
  <c r="D56" i="4"/>
  <c r="E56" i="35" s="1"/>
  <c r="D57" i="4"/>
  <c r="E57" i="35" s="1"/>
  <c r="D58" i="4"/>
  <c r="E58" i="35" s="1"/>
  <c r="D59" i="4"/>
  <c r="E59" i="35" s="1"/>
  <c r="D60" i="4"/>
  <c r="E60" i="35" s="1"/>
  <c r="D61" i="4"/>
  <c r="E61" i="35" s="1"/>
  <c r="D62" i="4"/>
  <c r="E62" i="35" s="1"/>
  <c r="D63" i="4"/>
  <c r="E63" i="35" s="1"/>
  <c r="D64" i="4"/>
  <c r="E64" i="35" s="1"/>
  <c r="D65" i="4"/>
  <c r="E65" i="35" s="1"/>
  <c r="D66" i="4"/>
  <c r="E66" i="35" s="1"/>
  <c r="D67" i="4"/>
  <c r="E67" i="35" s="1"/>
  <c r="D68" i="4"/>
  <c r="E68" i="35" s="1"/>
  <c r="D69" i="4"/>
  <c r="E69" i="35" s="1"/>
  <c r="D70" i="4"/>
  <c r="D71" i="4"/>
  <c r="E71" i="35" s="1"/>
  <c r="D72" i="4"/>
  <c r="G72" i="4" s="1"/>
  <c r="D73" i="4"/>
  <c r="E73" i="35" s="1"/>
  <c r="D74" i="4"/>
  <c r="E74" i="35" s="1"/>
  <c r="D75" i="4"/>
  <c r="E75" i="35" s="1"/>
  <c r="D76" i="4"/>
  <c r="E76" i="35" s="1"/>
  <c r="D77" i="4"/>
  <c r="E77" i="35" s="1"/>
  <c r="D78" i="4"/>
  <c r="G78" i="4" s="1"/>
  <c r="D79" i="4"/>
  <c r="D80" i="4"/>
  <c r="D81" i="4"/>
  <c r="E81" i="35" s="1"/>
  <c r="D82" i="4"/>
  <c r="E82" i="35" s="1"/>
  <c r="D83" i="4"/>
  <c r="E83" i="35" s="1"/>
  <c r="D84" i="4"/>
  <c r="D85" i="4"/>
  <c r="E85" i="35" s="1"/>
  <c r="D86" i="4"/>
  <c r="D87" i="4"/>
  <c r="E87" i="35" s="1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H11" i="19"/>
  <c r="H12" i="19"/>
  <c r="H13" i="19"/>
  <c r="H14" i="19"/>
  <c r="H15" i="19"/>
  <c r="H16" i="19"/>
  <c r="H17" i="19"/>
  <c r="H18" i="19"/>
  <c r="H19" i="19"/>
  <c r="H20" i="19"/>
  <c r="H21" i="19"/>
  <c r="H3" i="19"/>
  <c r="I3" i="19"/>
  <c r="H4" i="19"/>
  <c r="I4" i="19"/>
  <c r="H5" i="19"/>
  <c r="I5" i="19"/>
  <c r="H6" i="19"/>
  <c r="I6" i="19"/>
  <c r="H7" i="19"/>
  <c r="I7" i="19"/>
  <c r="H8" i="19"/>
  <c r="I8" i="19"/>
  <c r="H9" i="19"/>
  <c r="I9" i="19"/>
  <c r="H10" i="19"/>
  <c r="I10" i="19"/>
  <c r="H2" i="19"/>
  <c r="I2" i="19"/>
  <c r="G6" i="19"/>
  <c r="L2" i="19"/>
  <c r="M2" i="19"/>
  <c r="N2" i="19"/>
  <c r="P2" i="19"/>
  <c r="Q2" i="19"/>
  <c r="T2" i="19"/>
  <c r="U2" i="19"/>
  <c r="V2" i="19"/>
  <c r="X2" i="19"/>
  <c r="Y2" i="19"/>
  <c r="Z2" i="19"/>
  <c r="AB2" i="19"/>
  <c r="AC2" i="19"/>
  <c r="AD2" i="19"/>
  <c r="AF2" i="19"/>
  <c r="AG2" i="19"/>
  <c r="K3" i="19"/>
  <c r="L3" i="19"/>
  <c r="M3" i="19"/>
  <c r="N3" i="19"/>
  <c r="P3" i="19"/>
  <c r="Q3" i="19"/>
  <c r="T3" i="19"/>
  <c r="U3" i="19"/>
  <c r="V3" i="19"/>
  <c r="W3" i="19"/>
  <c r="X3" i="19"/>
  <c r="Y3" i="19"/>
  <c r="Z3" i="19"/>
  <c r="AB3" i="19"/>
  <c r="AF3" i="19"/>
  <c r="AG3" i="19"/>
  <c r="K4" i="19"/>
  <c r="L4" i="19"/>
  <c r="M4" i="19"/>
  <c r="N4" i="19"/>
  <c r="P4" i="19"/>
  <c r="Q4" i="19"/>
  <c r="T4" i="19"/>
  <c r="U4" i="19"/>
  <c r="V4" i="19"/>
  <c r="W4" i="19"/>
  <c r="X4" i="19"/>
  <c r="Y4" i="19"/>
  <c r="Z4" i="19"/>
  <c r="AB4" i="19"/>
  <c r="AF4" i="19"/>
  <c r="AG4" i="19"/>
  <c r="L5" i="19"/>
  <c r="M5" i="19"/>
  <c r="N5" i="19"/>
  <c r="P5" i="19"/>
  <c r="Q5" i="19"/>
  <c r="T5" i="19"/>
  <c r="U5" i="19"/>
  <c r="V5" i="19"/>
  <c r="X5" i="19"/>
  <c r="Y5" i="19"/>
  <c r="Z5" i="19"/>
  <c r="AB5" i="19"/>
  <c r="AF5" i="19"/>
  <c r="AG5" i="19"/>
  <c r="L6" i="19"/>
  <c r="M6" i="19"/>
  <c r="N6" i="19"/>
  <c r="P6" i="19"/>
  <c r="Q6" i="19"/>
  <c r="T6" i="19"/>
  <c r="U6" i="19"/>
  <c r="V6" i="19"/>
  <c r="X6" i="19"/>
  <c r="Y6" i="19"/>
  <c r="Z6" i="19"/>
  <c r="AB6" i="19"/>
  <c r="AF6" i="19"/>
  <c r="AG6" i="19"/>
  <c r="K7" i="19"/>
  <c r="L7" i="19"/>
  <c r="M7" i="19"/>
  <c r="N7" i="19"/>
  <c r="O7" i="19"/>
  <c r="P7" i="19"/>
  <c r="Q7" i="19"/>
  <c r="T7" i="19"/>
  <c r="U7" i="19"/>
  <c r="V7" i="19"/>
  <c r="X7" i="19"/>
  <c r="Y7" i="19"/>
  <c r="Z7" i="19"/>
  <c r="AB7" i="19"/>
  <c r="AF7" i="19"/>
  <c r="AG7" i="19"/>
  <c r="L8" i="19"/>
  <c r="M8" i="19"/>
  <c r="N8" i="19"/>
  <c r="P8" i="19"/>
  <c r="Q8" i="19"/>
  <c r="T8" i="19"/>
  <c r="U8" i="19"/>
  <c r="V8" i="19"/>
  <c r="X8" i="19"/>
  <c r="Y8" i="19"/>
  <c r="Z8" i="19"/>
  <c r="AB8" i="19"/>
  <c r="AF8" i="19"/>
  <c r="AG8" i="19"/>
  <c r="L9" i="19"/>
  <c r="M9" i="19"/>
  <c r="N9" i="19"/>
  <c r="P9" i="19"/>
  <c r="Q9" i="19"/>
  <c r="T9" i="19"/>
  <c r="U9" i="19"/>
  <c r="V9" i="19"/>
  <c r="X9" i="19"/>
  <c r="Y9" i="19"/>
  <c r="Z9" i="19"/>
  <c r="AB9" i="19"/>
  <c r="AF9" i="19"/>
  <c r="AG9" i="19"/>
  <c r="L10" i="19"/>
  <c r="M10" i="19"/>
  <c r="N10" i="19"/>
  <c r="P10" i="19"/>
  <c r="Q10" i="19"/>
  <c r="T10" i="19"/>
  <c r="U10" i="19"/>
  <c r="V10" i="19"/>
  <c r="X10" i="19"/>
  <c r="Y10" i="19"/>
  <c r="Z10" i="19"/>
  <c r="AB10" i="19"/>
  <c r="AF10" i="19"/>
  <c r="AG10" i="19"/>
  <c r="I11" i="19"/>
  <c r="K11" i="19"/>
  <c r="L11" i="19"/>
  <c r="M11" i="19"/>
  <c r="N11" i="19"/>
  <c r="P11" i="19"/>
  <c r="Q11" i="19"/>
  <c r="T11" i="19"/>
  <c r="U11" i="19"/>
  <c r="V11" i="19"/>
  <c r="W11" i="19"/>
  <c r="X11" i="19"/>
  <c r="Y11" i="19"/>
  <c r="Z11" i="19"/>
  <c r="AB11" i="19"/>
  <c r="AF11" i="19"/>
  <c r="AG11" i="19"/>
  <c r="J87" i="35" l="1"/>
  <c r="J43" i="35"/>
  <c r="J42" i="35"/>
  <c r="J59" i="35"/>
  <c r="J39" i="35"/>
  <c r="J15" i="35"/>
  <c r="J58" i="35"/>
  <c r="J22" i="35"/>
  <c r="J88" i="35"/>
  <c r="AW88" i="35" s="1"/>
  <c r="J34" i="35"/>
  <c r="J53" i="35"/>
  <c r="J21" i="35"/>
  <c r="J72" i="35"/>
  <c r="I72" i="18"/>
  <c r="F72" i="24"/>
  <c r="I60" i="18"/>
  <c r="F60" i="24"/>
  <c r="I44" i="18"/>
  <c r="F44" i="24"/>
  <c r="G44" i="24" s="1"/>
  <c r="I28" i="18"/>
  <c r="F28" i="24"/>
  <c r="I12" i="18"/>
  <c r="F12" i="24"/>
  <c r="H52" i="24"/>
  <c r="AU52" i="19" s="1"/>
  <c r="G76" i="24"/>
  <c r="I83" i="18"/>
  <c r="F83" i="24"/>
  <c r="I79" i="18"/>
  <c r="F79" i="24"/>
  <c r="I75" i="18"/>
  <c r="F75" i="24"/>
  <c r="I67" i="18"/>
  <c r="F67" i="24"/>
  <c r="I63" i="18"/>
  <c r="F63" i="24"/>
  <c r="I59" i="18"/>
  <c r="F59" i="24"/>
  <c r="I55" i="18"/>
  <c r="F55" i="24"/>
  <c r="AA51" i="19"/>
  <c r="F51" i="24"/>
  <c r="I47" i="18"/>
  <c r="F47" i="24"/>
  <c r="I43" i="18"/>
  <c r="F43" i="24"/>
  <c r="I39" i="18"/>
  <c r="F39" i="24"/>
  <c r="I35" i="18"/>
  <c r="F35" i="24"/>
  <c r="I31" i="18"/>
  <c r="F31" i="24"/>
  <c r="I27" i="18"/>
  <c r="F27" i="24"/>
  <c r="I23" i="18"/>
  <c r="F23" i="24"/>
  <c r="I19" i="18"/>
  <c r="F19" i="24"/>
  <c r="I15" i="18"/>
  <c r="F15" i="24"/>
  <c r="I84" i="18"/>
  <c r="F84" i="24"/>
  <c r="I68" i="18"/>
  <c r="F68" i="24"/>
  <c r="I56" i="18"/>
  <c r="F56" i="24"/>
  <c r="I40" i="18"/>
  <c r="F40" i="24"/>
  <c r="I24" i="18"/>
  <c r="F24" i="24"/>
  <c r="H84" i="24"/>
  <c r="G72" i="24"/>
  <c r="I86" i="18"/>
  <c r="F86" i="24"/>
  <c r="I82" i="18"/>
  <c r="F82" i="24"/>
  <c r="I78" i="18"/>
  <c r="F78" i="24"/>
  <c r="I74" i="18"/>
  <c r="F74" i="24"/>
  <c r="I70" i="18"/>
  <c r="F70" i="24"/>
  <c r="I66" i="18"/>
  <c r="F66" i="24"/>
  <c r="I62" i="18"/>
  <c r="F62" i="24"/>
  <c r="I58" i="18"/>
  <c r="F58" i="24"/>
  <c r="I54" i="18"/>
  <c r="F54" i="24"/>
  <c r="I50" i="18"/>
  <c r="F50" i="24"/>
  <c r="I42" i="18"/>
  <c r="F42" i="24"/>
  <c r="I38" i="18"/>
  <c r="F38" i="24"/>
  <c r="I34" i="18"/>
  <c r="F34" i="24"/>
  <c r="I30" i="18"/>
  <c r="F30" i="24"/>
  <c r="I26" i="18"/>
  <c r="F26" i="24"/>
  <c r="I22" i="18"/>
  <c r="F22" i="24"/>
  <c r="I18" i="18"/>
  <c r="F18" i="24"/>
  <c r="I14" i="18"/>
  <c r="F14" i="24"/>
  <c r="I76" i="18"/>
  <c r="F76" i="24"/>
  <c r="I64" i="18"/>
  <c r="F64" i="24"/>
  <c r="I48" i="18"/>
  <c r="F48" i="24"/>
  <c r="I36" i="18"/>
  <c r="F36" i="24"/>
  <c r="I20" i="18"/>
  <c r="F20" i="24"/>
  <c r="H72" i="24"/>
  <c r="AU72" i="19" s="1"/>
  <c r="G56" i="24"/>
  <c r="H56" i="24" s="1"/>
  <c r="J57" i="34" s="1"/>
  <c r="I85" i="18"/>
  <c r="F85" i="24"/>
  <c r="I77" i="18"/>
  <c r="F77" i="24"/>
  <c r="G77" i="24" s="1"/>
  <c r="I73" i="18"/>
  <c r="F73" i="24"/>
  <c r="G73" i="24" s="1"/>
  <c r="I69" i="18"/>
  <c r="F69" i="24"/>
  <c r="I65" i="18"/>
  <c r="F65" i="24"/>
  <c r="I61" i="18"/>
  <c r="F61" i="24"/>
  <c r="I57" i="18"/>
  <c r="F57" i="24"/>
  <c r="I53" i="18"/>
  <c r="F53" i="24"/>
  <c r="I49" i="18"/>
  <c r="F49" i="24"/>
  <c r="I45" i="18"/>
  <c r="F45" i="24"/>
  <c r="I41" i="18"/>
  <c r="F41" i="24"/>
  <c r="G41" i="24" s="1"/>
  <c r="I37" i="18"/>
  <c r="F37" i="24"/>
  <c r="I33" i="18"/>
  <c r="F33" i="24"/>
  <c r="G33" i="24" s="1"/>
  <c r="I29" i="18"/>
  <c r="F29" i="24"/>
  <c r="I25" i="18"/>
  <c r="F25" i="24"/>
  <c r="I21" i="18"/>
  <c r="F21" i="24"/>
  <c r="G21" i="24" s="1"/>
  <c r="H21" i="24" s="1"/>
  <c r="AU21" i="19" s="1"/>
  <c r="I17" i="18"/>
  <c r="F17" i="24"/>
  <c r="G17" i="24" s="1"/>
  <c r="I13" i="18"/>
  <c r="F13" i="24"/>
  <c r="I80" i="18"/>
  <c r="F80" i="24"/>
  <c r="I52" i="18"/>
  <c r="F52" i="24"/>
  <c r="I32" i="18"/>
  <c r="F32" i="24"/>
  <c r="I16" i="18"/>
  <c r="F16" i="24"/>
  <c r="G16" i="24" s="1"/>
  <c r="AN16" i="19" s="1"/>
  <c r="J55" i="35"/>
  <c r="J51" i="35"/>
  <c r="J23" i="35"/>
  <c r="J19" i="35"/>
  <c r="J7" i="35"/>
  <c r="J54" i="35"/>
  <c r="J50" i="35"/>
  <c r="J38" i="35"/>
  <c r="J26" i="35"/>
  <c r="J11" i="35"/>
  <c r="J78" i="35"/>
  <c r="J62" i="35"/>
  <c r="J18" i="35"/>
  <c r="J14" i="35"/>
  <c r="J13" i="35"/>
  <c r="J9" i="35"/>
  <c r="J47" i="35"/>
  <c r="J74" i="35"/>
  <c r="J46" i="35"/>
  <c r="J4" i="35"/>
  <c r="J30" i="35"/>
  <c r="J60" i="35"/>
  <c r="J3" i="35"/>
  <c r="J56" i="35"/>
  <c r="J52" i="35"/>
  <c r="J48" i="35"/>
  <c r="J44" i="35"/>
  <c r="J40" i="35"/>
  <c r="J36" i="35"/>
  <c r="J32" i="35"/>
  <c r="J20" i="35"/>
  <c r="J16" i="35"/>
  <c r="J12" i="35"/>
  <c r="J8" i="35"/>
  <c r="O11" i="19"/>
  <c r="G86" i="24"/>
  <c r="G69" i="24"/>
  <c r="G68" i="24"/>
  <c r="AI68" i="35" s="1"/>
  <c r="G85" i="24"/>
  <c r="G70" i="24"/>
  <c r="H70" i="24" s="1"/>
  <c r="H68" i="24"/>
  <c r="J69" i="33" s="1"/>
  <c r="G67" i="24"/>
  <c r="AI67" i="35" s="1"/>
  <c r="G62" i="24"/>
  <c r="H62" i="24" s="1"/>
  <c r="G61" i="24"/>
  <c r="H61" i="24" s="1"/>
  <c r="G55" i="24"/>
  <c r="H55" i="24" s="1"/>
  <c r="AU55" i="19" s="1"/>
  <c r="G50" i="24"/>
  <c r="G42" i="24"/>
  <c r="G36" i="24"/>
  <c r="H36" i="24" s="1"/>
  <c r="G32" i="24"/>
  <c r="AI32" i="35" s="1"/>
  <c r="G31" i="24"/>
  <c r="G25" i="24"/>
  <c r="G20" i="24"/>
  <c r="H20" i="24" s="1"/>
  <c r="AU20" i="19" s="1"/>
  <c r="W9" i="19"/>
  <c r="AP84" i="35"/>
  <c r="J85" i="34"/>
  <c r="J85" i="32"/>
  <c r="J85" i="33"/>
  <c r="J85" i="31"/>
  <c r="J85" i="28"/>
  <c r="J85" i="29"/>
  <c r="J84" i="27"/>
  <c r="AO51" i="35"/>
  <c r="BC51" i="35" s="1"/>
  <c r="J52" i="33"/>
  <c r="J52" i="34"/>
  <c r="J52" i="32"/>
  <c r="J52" i="31"/>
  <c r="J52" i="29"/>
  <c r="J51" i="27"/>
  <c r="J52" i="28"/>
  <c r="AP27" i="35"/>
  <c r="J28" i="33"/>
  <c r="J28" i="34"/>
  <c r="J28" i="32"/>
  <c r="J28" i="31"/>
  <c r="J28" i="29"/>
  <c r="J27" i="27"/>
  <c r="J28" i="28"/>
  <c r="AP19" i="35"/>
  <c r="J20" i="33"/>
  <c r="J20" i="34"/>
  <c r="J20" i="32"/>
  <c r="J20" i="31"/>
  <c r="J20" i="29"/>
  <c r="J19" i="27"/>
  <c r="J20" i="28"/>
  <c r="AI84" i="35"/>
  <c r="AN84" i="19"/>
  <c r="AI52" i="35"/>
  <c r="AN52" i="19"/>
  <c r="AI43" i="35"/>
  <c r="AN43" i="19"/>
  <c r="AI22" i="35"/>
  <c r="AN22" i="19"/>
  <c r="AI16" i="35"/>
  <c r="AP82" i="35"/>
  <c r="J83" i="33"/>
  <c r="J83" i="34"/>
  <c r="J83" i="32"/>
  <c r="J83" i="31"/>
  <c r="J83" i="29"/>
  <c r="J83" i="28"/>
  <c r="J82" i="27"/>
  <c r="AP76" i="35"/>
  <c r="J77" i="34"/>
  <c r="J77" i="32"/>
  <c r="J77" i="33"/>
  <c r="J77" i="31"/>
  <c r="J77" i="28"/>
  <c r="J77" i="29"/>
  <c r="J76" i="27"/>
  <c r="AP37" i="35"/>
  <c r="J38" i="34"/>
  <c r="J38" i="32"/>
  <c r="J38" i="33"/>
  <c r="J38" i="31"/>
  <c r="J38" i="28"/>
  <c r="J38" i="29"/>
  <c r="J37" i="27"/>
  <c r="AP12" i="35"/>
  <c r="J13" i="34"/>
  <c r="J13" i="32"/>
  <c r="J13" i="33"/>
  <c r="J13" i="31"/>
  <c r="J13" i="29"/>
  <c r="J12" i="27"/>
  <c r="J13" i="28"/>
  <c r="AI82" i="35"/>
  <c r="AN82" i="19"/>
  <c r="AI76" i="35"/>
  <c r="AN76" i="19"/>
  <c r="AN68" i="19"/>
  <c r="AI56" i="35"/>
  <c r="AN56" i="19"/>
  <c r="AH51" i="35"/>
  <c r="AM51" i="19"/>
  <c r="AI21" i="35"/>
  <c r="AN21" i="19"/>
  <c r="AI12" i="35"/>
  <c r="AN12" i="19"/>
  <c r="AI69" i="35"/>
  <c r="AN69" i="19"/>
  <c r="AU84" i="19"/>
  <c r="AP79" i="35"/>
  <c r="J80" i="33"/>
  <c r="J80" i="34"/>
  <c r="J80" i="32"/>
  <c r="J80" i="31"/>
  <c r="J80" i="29"/>
  <c r="J79" i="27"/>
  <c r="J80" i="28"/>
  <c r="J69" i="32"/>
  <c r="AP53" i="35"/>
  <c r="J54" i="34"/>
  <c r="J54" i="32"/>
  <c r="J54" i="33"/>
  <c r="J54" i="31"/>
  <c r="J54" i="28"/>
  <c r="J54" i="29"/>
  <c r="J53" i="27"/>
  <c r="AP22" i="35"/>
  <c r="J23" i="33"/>
  <c r="J23" i="34"/>
  <c r="J23" i="32"/>
  <c r="J23" i="31"/>
  <c r="J23" i="28"/>
  <c r="J23" i="29"/>
  <c r="J22" i="27"/>
  <c r="AI79" i="35"/>
  <c r="AN79" i="19"/>
  <c r="AN67" i="19"/>
  <c r="AI37" i="35"/>
  <c r="AN37" i="19"/>
  <c r="AI27" i="35"/>
  <c r="AN27" i="19"/>
  <c r="I87" i="18"/>
  <c r="V87" i="35"/>
  <c r="V51" i="35"/>
  <c r="I51" i="18"/>
  <c r="AT51" i="19"/>
  <c r="AU82" i="19"/>
  <c r="AU76" i="19"/>
  <c r="AU27" i="19"/>
  <c r="AU19" i="19"/>
  <c r="AP78" i="35"/>
  <c r="J79" i="33"/>
  <c r="J79" i="34"/>
  <c r="J79" i="32"/>
  <c r="J79" i="31"/>
  <c r="J79" i="29"/>
  <c r="J79" i="28"/>
  <c r="J78" i="27"/>
  <c r="AP72" i="35"/>
  <c r="J73" i="34"/>
  <c r="J73" i="32"/>
  <c r="J73" i="33"/>
  <c r="J73" i="31"/>
  <c r="J73" i="28"/>
  <c r="J73" i="29"/>
  <c r="J72" i="27"/>
  <c r="AP52" i="35"/>
  <c r="J53" i="34"/>
  <c r="J53" i="32"/>
  <c r="J53" i="33"/>
  <c r="J53" i="31"/>
  <c r="J53" i="28"/>
  <c r="J53" i="29"/>
  <c r="J52" i="27"/>
  <c r="AP43" i="35"/>
  <c r="J44" i="33"/>
  <c r="J44" i="34"/>
  <c r="J44" i="32"/>
  <c r="J44" i="31"/>
  <c r="J44" i="29"/>
  <c r="J43" i="27"/>
  <c r="J44" i="28"/>
  <c r="AP21" i="35"/>
  <c r="J22" i="34"/>
  <c r="J22" i="32"/>
  <c r="J22" i="33"/>
  <c r="J22" i="31"/>
  <c r="J22" i="28"/>
  <c r="J22" i="29"/>
  <c r="J21" i="27"/>
  <c r="AI78" i="35"/>
  <c r="AN78" i="19"/>
  <c r="AI72" i="35"/>
  <c r="AN72" i="19"/>
  <c r="AI53" i="35"/>
  <c r="AN53" i="19"/>
  <c r="AN36" i="19"/>
  <c r="AI19" i="35"/>
  <c r="AN19" i="19"/>
  <c r="AI17" i="35"/>
  <c r="AN17" i="19"/>
  <c r="I46" i="18"/>
  <c r="V46" i="35"/>
  <c r="AU79" i="19"/>
  <c r="AU37" i="19"/>
  <c r="AU12" i="19"/>
  <c r="AO22" i="35"/>
  <c r="BC22" i="35" s="1"/>
  <c r="I23" i="33"/>
  <c r="P23" i="33" s="1"/>
  <c r="I23" i="32"/>
  <c r="P23" i="32" s="1"/>
  <c r="I23" i="34"/>
  <c r="P23" i="34" s="1"/>
  <c r="I23" i="31"/>
  <c r="P23" i="31" s="1"/>
  <c r="I22" i="27"/>
  <c r="P22" i="27" s="1"/>
  <c r="I23" i="28"/>
  <c r="P23" i="28" s="1"/>
  <c r="I23" i="29"/>
  <c r="P23" i="29" s="1"/>
  <c r="AT22" i="19"/>
  <c r="H83" i="18"/>
  <c r="V83" i="35"/>
  <c r="V79" i="35"/>
  <c r="H79" i="18"/>
  <c r="V75" i="35"/>
  <c r="H75" i="18"/>
  <c r="V71" i="35"/>
  <c r="H71" i="18"/>
  <c r="H67" i="18"/>
  <c r="V67" i="35"/>
  <c r="H63" i="18"/>
  <c r="V63" i="35"/>
  <c r="H59" i="18"/>
  <c r="V59" i="35"/>
  <c r="H55" i="18"/>
  <c r="V55" i="35"/>
  <c r="H47" i="18"/>
  <c r="V47" i="35"/>
  <c r="V43" i="35"/>
  <c r="H43" i="18"/>
  <c r="H39" i="18"/>
  <c r="V39" i="35"/>
  <c r="H35" i="18"/>
  <c r="V35" i="35"/>
  <c r="H31" i="18"/>
  <c r="V31" i="35"/>
  <c r="V27" i="35"/>
  <c r="H27" i="18"/>
  <c r="H23" i="18"/>
  <c r="V23" i="35"/>
  <c r="V19" i="35"/>
  <c r="H19" i="18"/>
  <c r="H15" i="18"/>
  <c r="V15" i="35"/>
  <c r="G87" i="23"/>
  <c r="H87" i="23" s="1"/>
  <c r="G77" i="23"/>
  <c r="H77" i="23" s="1"/>
  <c r="G73" i="23"/>
  <c r="H73" i="23" s="1"/>
  <c r="G64" i="23"/>
  <c r="H64" i="23" s="1"/>
  <c r="G44" i="23"/>
  <c r="H44" i="23" s="1"/>
  <c r="G82" i="23"/>
  <c r="G22" i="23"/>
  <c r="H82" i="23"/>
  <c r="AA19" i="19"/>
  <c r="V86" i="35"/>
  <c r="H86" i="18"/>
  <c r="V82" i="35"/>
  <c r="H82" i="18"/>
  <c r="V78" i="35"/>
  <c r="H78" i="18"/>
  <c r="V74" i="35"/>
  <c r="H74" i="18"/>
  <c r="V70" i="35"/>
  <c r="H70" i="18"/>
  <c r="H66" i="18"/>
  <c r="V66" i="35"/>
  <c r="H62" i="18"/>
  <c r="V62" i="35"/>
  <c r="H58" i="18"/>
  <c r="V58" i="35"/>
  <c r="H54" i="18"/>
  <c r="V54" i="35"/>
  <c r="H50" i="18"/>
  <c r="V50" i="35"/>
  <c r="H42" i="18"/>
  <c r="V42" i="35"/>
  <c r="H38" i="18"/>
  <c r="V38" i="35"/>
  <c r="H34" i="18"/>
  <c r="V34" i="35"/>
  <c r="H30" i="18"/>
  <c r="V30" i="35"/>
  <c r="H26" i="18"/>
  <c r="V26" i="35"/>
  <c r="V22" i="35"/>
  <c r="H22" i="18"/>
  <c r="H18" i="18"/>
  <c r="V18" i="35"/>
  <c r="H14" i="18"/>
  <c r="V14" i="35"/>
  <c r="G86" i="23"/>
  <c r="H86" i="23" s="1"/>
  <c r="G80" i="23"/>
  <c r="H80" i="23" s="1"/>
  <c r="G76" i="23"/>
  <c r="H76" i="23" s="1"/>
  <c r="G72" i="23"/>
  <c r="H72" i="23" s="1"/>
  <c r="G56" i="23"/>
  <c r="H56" i="23" s="1"/>
  <c r="G21" i="23"/>
  <c r="H21" i="23" s="1"/>
  <c r="G43" i="23"/>
  <c r="H43" i="23"/>
  <c r="AA86" i="19"/>
  <c r="AA22" i="19"/>
  <c r="BH51" i="19"/>
  <c r="H51" i="10"/>
  <c r="V85" i="35"/>
  <c r="H85" i="18"/>
  <c r="H81" i="18"/>
  <c r="V81" i="35"/>
  <c r="V77" i="35"/>
  <c r="H77" i="18"/>
  <c r="V73" i="35"/>
  <c r="H73" i="18"/>
  <c r="H69" i="18"/>
  <c r="V69" i="35"/>
  <c r="H65" i="18"/>
  <c r="V65" i="35"/>
  <c r="H61" i="18"/>
  <c r="V61" i="35"/>
  <c r="H57" i="18"/>
  <c r="V57" i="35"/>
  <c r="V53" i="35"/>
  <c r="H53" i="18"/>
  <c r="H49" i="18"/>
  <c r="V49" i="35"/>
  <c r="H45" i="18"/>
  <c r="V45" i="35"/>
  <c r="H41" i="18"/>
  <c r="V41" i="35"/>
  <c r="H37" i="18"/>
  <c r="V37" i="35"/>
  <c r="H33" i="18"/>
  <c r="V33" i="35"/>
  <c r="H29" i="18"/>
  <c r="V29" i="35"/>
  <c r="V25" i="35"/>
  <c r="H25" i="18"/>
  <c r="V21" i="35"/>
  <c r="H21" i="18"/>
  <c r="H17" i="18"/>
  <c r="V17" i="35"/>
  <c r="H13" i="18"/>
  <c r="V13" i="35"/>
  <c r="G85" i="23"/>
  <c r="H85" i="23" s="1"/>
  <c r="G75" i="23"/>
  <c r="H75" i="23" s="1"/>
  <c r="G71" i="23"/>
  <c r="H71" i="23" s="1"/>
  <c r="G79" i="23"/>
  <c r="G53" i="23"/>
  <c r="G27" i="23"/>
  <c r="G19" i="23"/>
  <c r="H79" i="23"/>
  <c r="H53" i="23"/>
  <c r="H27" i="23"/>
  <c r="H19" i="23"/>
  <c r="AA85" i="19"/>
  <c r="AA79" i="19"/>
  <c r="AA75" i="19"/>
  <c r="AA71" i="19"/>
  <c r="AA53" i="19"/>
  <c r="AA43" i="19"/>
  <c r="AA21" i="19"/>
  <c r="V84" i="35"/>
  <c r="H84" i="18"/>
  <c r="V80" i="35"/>
  <c r="H80" i="18"/>
  <c r="V76" i="35"/>
  <c r="H76" i="18"/>
  <c r="V72" i="35"/>
  <c r="H72" i="18"/>
  <c r="H68" i="18"/>
  <c r="V68" i="35"/>
  <c r="V64" i="35"/>
  <c r="H64" i="18"/>
  <c r="H60" i="18"/>
  <c r="V60" i="35"/>
  <c r="V56" i="35"/>
  <c r="H56" i="18"/>
  <c r="V52" i="35"/>
  <c r="H52" i="18"/>
  <c r="H48" i="18"/>
  <c r="V48" i="35"/>
  <c r="V44" i="35"/>
  <c r="H44" i="18"/>
  <c r="H40" i="18"/>
  <c r="V40" i="35"/>
  <c r="H36" i="18"/>
  <c r="V36" i="35"/>
  <c r="H32" i="18"/>
  <c r="V32" i="35"/>
  <c r="H28" i="18"/>
  <c r="V28" i="35"/>
  <c r="H24" i="18"/>
  <c r="V24" i="35"/>
  <c r="H20" i="18"/>
  <c r="V20" i="35"/>
  <c r="H16" i="18"/>
  <c r="V16" i="35"/>
  <c r="V12" i="35"/>
  <c r="H12" i="18"/>
  <c r="G74" i="23"/>
  <c r="H74" i="23" s="1"/>
  <c r="G52" i="23"/>
  <c r="H52" i="23" s="1"/>
  <c r="G25" i="23"/>
  <c r="H25" i="23" s="1"/>
  <c r="G84" i="23"/>
  <c r="G78" i="23"/>
  <c r="G70" i="23"/>
  <c r="G12" i="23"/>
  <c r="H84" i="23"/>
  <c r="H78" i="23"/>
  <c r="H70" i="23"/>
  <c r="H12" i="23"/>
  <c r="AA84" i="19"/>
  <c r="AA78" i="19"/>
  <c r="AA74" i="19"/>
  <c r="AA70" i="19"/>
  <c r="AA52" i="19"/>
  <c r="AA27" i="19"/>
  <c r="AA20" i="19"/>
  <c r="AL82" i="19"/>
  <c r="AG82" i="35"/>
  <c r="AS78" i="19"/>
  <c r="AN78" i="35"/>
  <c r="BB78" i="35" s="1"/>
  <c r="H79" i="33"/>
  <c r="O79" i="33" s="1"/>
  <c r="H79" i="34"/>
  <c r="O79" i="34" s="1"/>
  <c r="H79" i="32"/>
  <c r="O79" i="32" s="1"/>
  <c r="H79" i="31"/>
  <c r="O79" i="31" s="1"/>
  <c r="H79" i="29"/>
  <c r="O79" i="29" s="1"/>
  <c r="H79" i="28"/>
  <c r="O79" i="28" s="1"/>
  <c r="H78" i="27"/>
  <c r="O78" i="27" s="1"/>
  <c r="AL74" i="19"/>
  <c r="AG74" i="35"/>
  <c r="AL73" i="19"/>
  <c r="AG73" i="35"/>
  <c r="AL84" i="19"/>
  <c r="AG84" i="35"/>
  <c r="AL76" i="19"/>
  <c r="AG76" i="35"/>
  <c r="R72" i="35"/>
  <c r="F72" i="22"/>
  <c r="G72" i="18"/>
  <c r="G68" i="18"/>
  <c r="R68" i="35"/>
  <c r="F68" i="22"/>
  <c r="G68" i="22" s="1"/>
  <c r="AG68" i="35" s="1"/>
  <c r="R56" i="35"/>
  <c r="F56" i="22"/>
  <c r="G56" i="22" s="1"/>
  <c r="H56" i="22" s="1"/>
  <c r="G56" i="18"/>
  <c r="R44" i="35"/>
  <c r="F44" i="22"/>
  <c r="G44" i="22" s="1"/>
  <c r="H44" i="22" s="1"/>
  <c r="G44" i="18"/>
  <c r="G24" i="18"/>
  <c r="R24" i="35"/>
  <c r="F24" i="22"/>
  <c r="R12" i="35"/>
  <c r="F12" i="22"/>
  <c r="G12" i="18"/>
  <c r="G8" i="18"/>
  <c r="R8" i="35"/>
  <c r="F8" i="22"/>
  <c r="AL71" i="19"/>
  <c r="AG71" i="35"/>
  <c r="AL27" i="19"/>
  <c r="AG27" i="35"/>
  <c r="H72" i="22"/>
  <c r="AS53" i="19"/>
  <c r="AN53" i="35"/>
  <c r="BB53" i="35" s="1"/>
  <c r="H54" i="33"/>
  <c r="O54" i="33" s="1"/>
  <c r="H54" i="34"/>
  <c r="O54" i="34" s="1"/>
  <c r="H54" i="32"/>
  <c r="O54" i="32" s="1"/>
  <c r="H54" i="31"/>
  <c r="O54" i="31" s="1"/>
  <c r="H54" i="29"/>
  <c r="O54" i="29" s="1"/>
  <c r="H54" i="28"/>
  <c r="O54" i="28" s="1"/>
  <c r="H53" i="27"/>
  <c r="O53" i="27" s="1"/>
  <c r="W82" i="19"/>
  <c r="W74" i="19"/>
  <c r="W70" i="19"/>
  <c r="W44" i="19"/>
  <c r="W25" i="19"/>
  <c r="W12" i="19"/>
  <c r="R84" i="35"/>
  <c r="F84" i="22"/>
  <c r="G84" i="18"/>
  <c r="R76" i="35"/>
  <c r="F76" i="22"/>
  <c r="G76" i="18"/>
  <c r="G60" i="18"/>
  <c r="R60" i="35"/>
  <c r="F60" i="22"/>
  <c r="R52" i="35"/>
  <c r="F52" i="22"/>
  <c r="G52" i="22" s="1"/>
  <c r="G52" i="18"/>
  <c r="G87" i="18"/>
  <c r="R87" i="35"/>
  <c r="F87" i="22"/>
  <c r="G87" i="22" s="1"/>
  <c r="H87" i="22" s="1"/>
  <c r="R79" i="35"/>
  <c r="F79" i="22"/>
  <c r="G79" i="18"/>
  <c r="R71" i="35"/>
  <c r="F71" i="22"/>
  <c r="G71" i="18"/>
  <c r="G67" i="18"/>
  <c r="R67" i="35"/>
  <c r="F67" i="22"/>
  <c r="G67" i="22" s="1"/>
  <c r="G59" i="18"/>
  <c r="R59" i="35"/>
  <c r="F59" i="22"/>
  <c r="G59" i="22" s="1"/>
  <c r="R43" i="35"/>
  <c r="F43" i="22"/>
  <c r="G43" i="18"/>
  <c r="R31" i="35"/>
  <c r="F31" i="22"/>
  <c r="G31" i="22" s="1"/>
  <c r="H31" i="22" s="1"/>
  <c r="G31" i="18"/>
  <c r="R27" i="35"/>
  <c r="F27" i="22"/>
  <c r="G27" i="18"/>
  <c r="R19" i="35"/>
  <c r="F19" i="22"/>
  <c r="G19" i="22" s="1"/>
  <c r="G19" i="18"/>
  <c r="G15" i="18"/>
  <c r="R15" i="35"/>
  <c r="F15" i="22"/>
  <c r="R11" i="35"/>
  <c r="F11" i="22"/>
  <c r="G11" i="22" s="1"/>
  <c r="G11" i="18"/>
  <c r="G7" i="18"/>
  <c r="R7" i="35"/>
  <c r="F7" i="22"/>
  <c r="G12" i="22"/>
  <c r="H84" i="22"/>
  <c r="H76" i="22"/>
  <c r="H71" i="22"/>
  <c r="H27" i="22"/>
  <c r="W79" i="19"/>
  <c r="W73" i="19"/>
  <c r="W56" i="19"/>
  <c r="W43" i="19"/>
  <c r="R86" i="35"/>
  <c r="F86" i="22"/>
  <c r="G86" i="18"/>
  <c r="R82" i="35"/>
  <c r="F82" i="22"/>
  <c r="G82" i="18"/>
  <c r="R78" i="35"/>
  <c r="F78" i="22"/>
  <c r="G78" i="18"/>
  <c r="R74" i="35"/>
  <c r="F74" i="22"/>
  <c r="G74" i="18"/>
  <c r="R70" i="35"/>
  <c r="F70" i="22"/>
  <c r="G70" i="22" s="1"/>
  <c r="G70" i="18"/>
  <c r="G66" i="18"/>
  <c r="R66" i="35"/>
  <c r="F66" i="22"/>
  <c r="G42" i="18"/>
  <c r="R42" i="35"/>
  <c r="F42" i="22"/>
  <c r="R22" i="35"/>
  <c r="F22" i="22"/>
  <c r="G22" i="18"/>
  <c r="F10" i="22"/>
  <c r="R10" i="35"/>
  <c r="R6" i="35"/>
  <c r="F6" i="22"/>
  <c r="G86" i="22"/>
  <c r="G79" i="22"/>
  <c r="AL43" i="19"/>
  <c r="AG43" i="35"/>
  <c r="G22" i="22"/>
  <c r="H82" i="22"/>
  <c r="H74" i="22"/>
  <c r="H12" i="22"/>
  <c r="W78" i="19"/>
  <c r="W72" i="19"/>
  <c r="W31" i="19"/>
  <c r="R85" i="35"/>
  <c r="F85" i="22"/>
  <c r="G85" i="22" s="1"/>
  <c r="H85" i="22" s="1"/>
  <c r="G85" i="18"/>
  <c r="R73" i="35"/>
  <c r="F73" i="22"/>
  <c r="G73" i="18"/>
  <c r="R53" i="35"/>
  <c r="F53" i="22"/>
  <c r="G53" i="18"/>
  <c r="R25" i="35"/>
  <c r="F25" i="22"/>
  <c r="G25" i="22" s="1"/>
  <c r="H25" i="22" s="1"/>
  <c r="G25" i="18"/>
  <c r="R21" i="35"/>
  <c r="F21" i="22"/>
  <c r="G21" i="22" s="1"/>
  <c r="H21" i="22" s="1"/>
  <c r="G21" i="18"/>
  <c r="G78" i="22"/>
  <c r="G72" i="22"/>
  <c r="G53" i="22"/>
  <c r="H86" i="22"/>
  <c r="H79" i="22"/>
  <c r="H73" i="22"/>
  <c r="H43" i="22"/>
  <c r="H22" i="22"/>
  <c r="W84" i="19"/>
  <c r="W76" i="19"/>
  <c r="W71" i="19"/>
  <c r="W52" i="19"/>
  <c r="W27" i="19"/>
  <c r="W19" i="19"/>
  <c r="S84" i="19"/>
  <c r="N84" i="35"/>
  <c r="S76" i="19"/>
  <c r="N76" i="35"/>
  <c r="F82" i="21"/>
  <c r="N82" i="35"/>
  <c r="F78" i="21"/>
  <c r="N78" i="35"/>
  <c r="F66" i="21"/>
  <c r="G66" i="21" s="1"/>
  <c r="N66" i="35"/>
  <c r="F62" i="21"/>
  <c r="N62" i="35"/>
  <c r="F50" i="21"/>
  <c r="G50" i="21" s="1"/>
  <c r="N50" i="35"/>
  <c r="F46" i="21"/>
  <c r="N46" i="35"/>
  <c r="F34" i="21"/>
  <c r="G34" i="21" s="1"/>
  <c r="N34" i="35"/>
  <c r="F30" i="21"/>
  <c r="G30" i="21" s="1"/>
  <c r="N30" i="35"/>
  <c r="F18" i="21"/>
  <c r="G18" i="21" s="1"/>
  <c r="N18" i="35"/>
  <c r="F14" i="21"/>
  <c r="G14" i="21" s="1"/>
  <c r="N14" i="35"/>
  <c r="E84" i="18"/>
  <c r="J84" i="35"/>
  <c r="E80" i="18"/>
  <c r="J80" i="18" s="1"/>
  <c r="J80" i="35"/>
  <c r="E76" i="18"/>
  <c r="J76" i="35"/>
  <c r="E64" i="18"/>
  <c r="J64" i="35"/>
  <c r="E28" i="18"/>
  <c r="J28" i="35"/>
  <c r="E24" i="18"/>
  <c r="J24" i="35"/>
  <c r="E83" i="18"/>
  <c r="J83" i="35"/>
  <c r="E79" i="18"/>
  <c r="J79" i="35"/>
  <c r="E75" i="18"/>
  <c r="J75" i="35"/>
  <c r="E71" i="18"/>
  <c r="J71" i="35"/>
  <c r="E67" i="18"/>
  <c r="J67" i="35"/>
  <c r="E63" i="18"/>
  <c r="J63" i="35"/>
  <c r="E35" i="18"/>
  <c r="J35" i="35"/>
  <c r="E31" i="18"/>
  <c r="J31" i="35"/>
  <c r="E27" i="18"/>
  <c r="J27" i="18" s="1"/>
  <c r="J27" i="35"/>
  <c r="E86" i="18"/>
  <c r="J86" i="35"/>
  <c r="E82" i="18"/>
  <c r="J82" i="35"/>
  <c r="E70" i="18"/>
  <c r="J70" i="35"/>
  <c r="E66" i="18"/>
  <c r="J66" i="35"/>
  <c r="F10" i="3"/>
  <c r="G10" i="3" s="1"/>
  <c r="J10" i="35"/>
  <c r="J6" i="35"/>
  <c r="E85" i="18"/>
  <c r="J85" i="35"/>
  <c r="E81" i="18"/>
  <c r="J81" i="35"/>
  <c r="E77" i="18"/>
  <c r="J77" i="35"/>
  <c r="E73" i="18"/>
  <c r="J73" i="35"/>
  <c r="E69" i="18"/>
  <c r="J69" i="35"/>
  <c r="E65" i="18"/>
  <c r="J65" i="35"/>
  <c r="E61" i="18"/>
  <c r="J61" i="35"/>
  <c r="E57" i="18"/>
  <c r="J57" i="35"/>
  <c r="E49" i="18"/>
  <c r="J49" i="35"/>
  <c r="E45" i="18"/>
  <c r="J45" i="35"/>
  <c r="E41" i="18"/>
  <c r="J41" i="35"/>
  <c r="E37" i="18"/>
  <c r="J37" i="35"/>
  <c r="E33" i="18"/>
  <c r="J33" i="35"/>
  <c r="E29" i="18"/>
  <c r="J29" i="35"/>
  <c r="E25" i="18"/>
  <c r="J25" i="35"/>
  <c r="E17" i="18"/>
  <c r="J17" i="35"/>
  <c r="AD53" i="35"/>
  <c r="AI53" i="19"/>
  <c r="AD84" i="35"/>
  <c r="AI84" i="19"/>
  <c r="AD12" i="35"/>
  <c r="AI12" i="19"/>
  <c r="AK8" i="35"/>
  <c r="AY8" i="35" s="1"/>
  <c r="E9" i="34"/>
  <c r="L9" i="34" s="1"/>
  <c r="E9" i="33"/>
  <c r="L9" i="33" s="1"/>
  <c r="E9" i="32"/>
  <c r="L9" i="32" s="1"/>
  <c r="E9" i="31"/>
  <c r="L9" i="31" s="1"/>
  <c r="E9" i="29"/>
  <c r="L9" i="29" s="1"/>
  <c r="E9" i="28"/>
  <c r="L9" i="28" s="1"/>
  <c r="E8" i="27"/>
  <c r="L8" i="27" s="1"/>
  <c r="AD78" i="35"/>
  <c r="AI78" i="19"/>
  <c r="AK6" i="35"/>
  <c r="AY6" i="35" s="1"/>
  <c r="E7" i="34"/>
  <c r="L7" i="34" s="1"/>
  <c r="E7" i="33"/>
  <c r="L7" i="33" s="1"/>
  <c r="E7" i="32"/>
  <c r="L7" i="32" s="1"/>
  <c r="E7" i="31"/>
  <c r="L7" i="31" s="1"/>
  <c r="E7" i="28"/>
  <c r="L7" i="28" s="1"/>
  <c r="E6" i="27"/>
  <c r="L6" i="27" s="1"/>
  <c r="E7" i="29"/>
  <c r="L7" i="29" s="1"/>
  <c r="D87" i="18"/>
  <c r="F87" i="35"/>
  <c r="D83" i="18"/>
  <c r="F83" i="35"/>
  <c r="F79" i="35"/>
  <c r="D79" i="18"/>
  <c r="D75" i="18"/>
  <c r="F75" i="35"/>
  <c r="D71" i="18"/>
  <c r="F71" i="35"/>
  <c r="D67" i="18"/>
  <c r="F67" i="35"/>
  <c r="D63" i="18"/>
  <c r="F63" i="35"/>
  <c r="D59" i="18"/>
  <c r="F59" i="35"/>
  <c r="D55" i="18"/>
  <c r="F55" i="35"/>
  <c r="D51" i="18"/>
  <c r="F51" i="35"/>
  <c r="D47" i="18"/>
  <c r="F47" i="35"/>
  <c r="F43" i="35"/>
  <c r="D43" i="18"/>
  <c r="D39" i="18"/>
  <c r="F39" i="35"/>
  <c r="D35" i="18"/>
  <c r="F35" i="35"/>
  <c r="D31" i="18"/>
  <c r="F31" i="35"/>
  <c r="F27" i="35"/>
  <c r="D27" i="18"/>
  <c r="D23" i="18"/>
  <c r="F23" i="35"/>
  <c r="F19" i="35"/>
  <c r="D19" i="18"/>
  <c r="D15" i="18"/>
  <c r="F15" i="35"/>
  <c r="F11" i="35"/>
  <c r="D11" i="18"/>
  <c r="F7" i="35"/>
  <c r="D7" i="18"/>
  <c r="D79" i="5"/>
  <c r="D59" i="5"/>
  <c r="E59" i="5" s="1"/>
  <c r="F59" i="5" s="1"/>
  <c r="D52" i="5"/>
  <c r="E52" i="5" s="1"/>
  <c r="D43" i="5"/>
  <c r="D12" i="5"/>
  <c r="D7" i="5"/>
  <c r="E27" i="5"/>
  <c r="E19" i="5"/>
  <c r="E7" i="5"/>
  <c r="AD7" i="35" s="1"/>
  <c r="F84" i="5"/>
  <c r="F12" i="5"/>
  <c r="D86" i="18"/>
  <c r="F86" i="35"/>
  <c r="F82" i="35"/>
  <c r="D82" i="18"/>
  <c r="F78" i="35"/>
  <c r="D78" i="18"/>
  <c r="D74" i="18"/>
  <c r="F74" i="35"/>
  <c r="F70" i="35"/>
  <c r="D70" i="18"/>
  <c r="D66" i="18"/>
  <c r="F66" i="35"/>
  <c r="D62" i="18"/>
  <c r="F62" i="35"/>
  <c r="D58" i="18"/>
  <c r="F58" i="35"/>
  <c r="D54" i="18"/>
  <c r="F54" i="35"/>
  <c r="F50" i="35"/>
  <c r="D50" i="18"/>
  <c r="D46" i="18"/>
  <c r="F46" i="35"/>
  <c r="D42" i="18"/>
  <c r="F42" i="35"/>
  <c r="D38" i="18"/>
  <c r="F38" i="35"/>
  <c r="D34" i="18"/>
  <c r="F34" i="35"/>
  <c r="D30" i="18"/>
  <c r="F30" i="35"/>
  <c r="D26" i="18"/>
  <c r="F26" i="35"/>
  <c r="F22" i="35"/>
  <c r="D22" i="18"/>
  <c r="D18" i="18"/>
  <c r="F18" i="35"/>
  <c r="D14" i="18"/>
  <c r="F14" i="35"/>
  <c r="K6" i="19"/>
  <c r="F6" i="35"/>
  <c r="D6" i="18"/>
  <c r="D84" i="5"/>
  <c r="D78" i="5"/>
  <c r="D58" i="5"/>
  <c r="E58" i="5" s="1"/>
  <c r="AD58" i="35" s="1"/>
  <c r="D50" i="5"/>
  <c r="E50" i="5" s="1"/>
  <c r="F50" i="5" s="1"/>
  <c r="D42" i="5"/>
  <c r="E42" i="5" s="1"/>
  <c r="F42" i="5" s="1"/>
  <c r="D35" i="5"/>
  <c r="E35" i="5" s="1"/>
  <c r="AD35" i="35" s="1"/>
  <c r="D27" i="5"/>
  <c r="D11" i="5"/>
  <c r="E11" i="5" s="1"/>
  <c r="D6" i="5"/>
  <c r="E6" i="5"/>
  <c r="AD6" i="35" s="1"/>
  <c r="F82" i="5"/>
  <c r="F70" i="5"/>
  <c r="F22" i="5"/>
  <c r="F4" i="5"/>
  <c r="D85" i="18"/>
  <c r="F85" i="35"/>
  <c r="D81" i="18"/>
  <c r="F81" i="35"/>
  <c r="D77" i="18"/>
  <c r="F77" i="35"/>
  <c r="D73" i="18"/>
  <c r="F73" i="35"/>
  <c r="D69" i="18"/>
  <c r="F69" i="35"/>
  <c r="D65" i="18"/>
  <c r="F65" i="35"/>
  <c r="D61" i="18"/>
  <c r="F61" i="35"/>
  <c r="D57" i="18"/>
  <c r="F57" i="35"/>
  <c r="F53" i="35"/>
  <c r="D53" i="18"/>
  <c r="D49" i="18"/>
  <c r="F49" i="35"/>
  <c r="D45" i="18"/>
  <c r="F45" i="35"/>
  <c r="D41" i="18"/>
  <c r="F41" i="35"/>
  <c r="D37" i="18"/>
  <c r="F37" i="35"/>
  <c r="D33" i="18"/>
  <c r="F33" i="35"/>
  <c r="D29" i="18"/>
  <c r="F29" i="35"/>
  <c r="F25" i="35"/>
  <c r="D25" i="18"/>
  <c r="F21" i="35"/>
  <c r="D21" i="18"/>
  <c r="D17" i="18"/>
  <c r="F17" i="35"/>
  <c r="D13" i="18"/>
  <c r="F13" i="35"/>
  <c r="D9" i="18"/>
  <c r="F9" i="35"/>
  <c r="D82" i="5"/>
  <c r="D77" i="5"/>
  <c r="E77" i="5" s="1"/>
  <c r="D56" i="5"/>
  <c r="D49" i="5"/>
  <c r="E49" i="5" s="1"/>
  <c r="AD49" i="35" s="1"/>
  <c r="D39" i="5"/>
  <c r="D34" i="5"/>
  <c r="E34" i="5" s="1"/>
  <c r="D25" i="5"/>
  <c r="E25" i="5" s="1"/>
  <c r="D19" i="5"/>
  <c r="D10" i="5"/>
  <c r="E10" i="5" s="1"/>
  <c r="AD10" i="35" s="1"/>
  <c r="D5" i="5"/>
  <c r="E5" i="5" s="1"/>
  <c r="AD5" i="35" s="1"/>
  <c r="E82" i="5"/>
  <c r="E70" i="5"/>
  <c r="E22" i="5"/>
  <c r="F79" i="5"/>
  <c r="F43" i="5"/>
  <c r="F84" i="35"/>
  <c r="D84" i="18"/>
  <c r="D80" i="18"/>
  <c r="F80" i="35"/>
  <c r="F76" i="35"/>
  <c r="D76" i="18"/>
  <c r="D72" i="18"/>
  <c r="F72" i="35"/>
  <c r="D68" i="18"/>
  <c r="F68" i="35"/>
  <c r="D64" i="18"/>
  <c r="F64" i="35"/>
  <c r="D60" i="18"/>
  <c r="F60" i="35"/>
  <c r="F56" i="35"/>
  <c r="D56" i="18"/>
  <c r="F52" i="35"/>
  <c r="D52" i="18"/>
  <c r="D48" i="18"/>
  <c r="F48" i="35"/>
  <c r="D44" i="18"/>
  <c r="F44" i="35"/>
  <c r="D40" i="18"/>
  <c r="F40" i="35"/>
  <c r="D36" i="18"/>
  <c r="F36" i="35"/>
  <c r="D32" i="18"/>
  <c r="F32" i="35"/>
  <c r="D28" i="18"/>
  <c r="F28" i="35"/>
  <c r="D24" i="18"/>
  <c r="F24" i="35"/>
  <c r="D20" i="18"/>
  <c r="F20" i="35"/>
  <c r="D16" i="18"/>
  <c r="F16" i="35"/>
  <c r="F12" i="35"/>
  <c r="D12" i="18"/>
  <c r="K8" i="19"/>
  <c r="F8" i="35"/>
  <c r="D8" i="18"/>
  <c r="F4" i="35"/>
  <c r="D4" i="18"/>
  <c r="D81" i="5"/>
  <c r="E81" i="5" s="1"/>
  <c r="AD81" i="35" s="1"/>
  <c r="D76" i="5"/>
  <c r="E76" i="5" s="1"/>
  <c r="D70" i="5"/>
  <c r="D60" i="5"/>
  <c r="E60" i="5" s="1"/>
  <c r="AD60" i="35" s="1"/>
  <c r="D53" i="5"/>
  <c r="D48" i="5"/>
  <c r="E48" i="5" s="1"/>
  <c r="F48" i="5" s="1"/>
  <c r="D37" i="5"/>
  <c r="E37" i="5" s="1"/>
  <c r="D33" i="5"/>
  <c r="E33" i="5" s="1"/>
  <c r="D22" i="5"/>
  <c r="D14" i="5"/>
  <c r="D8" i="5"/>
  <c r="D4" i="5"/>
  <c r="E79" i="5"/>
  <c r="E56" i="5"/>
  <c r="F56" i="5" s="1"/>
  <c r="E43" i="5"/>
  <c r="E21" i="5"/>
  <c r="F21" i="5" s="1"/>
  <c r="E8" i="5"/>
  <c r="AD8" i="35" s="1"/>
  <c r="F78" i="5"/>
  <c r="F53" i="5"/>
  <c r="F27" i="5"/>
  <c r="F19" i="5"/>
  <c r="F7" i="5"/>
  <c r="AK88" i="35"/>
  <c r="AY88" i="35" s="1"/>
  <c r="E89" i="32"/>
  <c r="L89" i="32" s="1"/>
  <c r="E89" i="33"/>
  <c r="L89" i="33" s="1"/>
  <c r="E89" i="34"/>
  <c r="L89" i="34" s="1"/>
  <c r="E89" i="31"/>
  <c r="L89" i="31" s="1"/>
  <c r="E89" i="29"/>
  <c r="L89" i="29" s="1"/>
  <c r="E88" i="27"/>
  <c r="L88" i="27" s="1"/>
  <c r="E89" i="28"/>
  <c r="L89" i="28" s="1"/>
  <c r="AP88" i="19"/>
  <c r="AO72" i="19"/>
  <c r="AJ72" i="35"/>
  <c r="AX72" i="35" s="1"/>
  <c r="D73" i="34"/>
  <c r="K73" i="34" s="1"/>
  <c r="D73" i="33"/>
  <c r="K73" i="33" s="1"/>
  <c r="D73" i="32"/>
  <c r="K73" i="32" s="1"/>
  <c r="D73" i="31"/>
  <c r="K73" i="31" s="1"/>
  <c r="D73" i="29"/>
  <c r="K73" i="29" s="1"/>
  <c r="D73" i="28"/>
  <c r="K73" i="28" s="1"/>
  <c r="D72" i="27"/>
  <c r="K72" i="27" s="1"/>
  <c r="AO78" i="19"/>
  <c r="AJ78" i="35"/>
  <c r="AX78" i="35" s="1"/>
  <c r="D79" i="33"/>
  <c r="K79" i="33" s="1"/>
  <c r="D79" i="32"/>
  <c r="K79" i="32" s="1"/>
  <c r="D79" i="34"/>
  <c r="K79" i="34" s="1"/>
  <c r="D79" i="31"/>
  <c r="K79" i="31" s="1"/>
  <c r="D79" i="28"/>
  <c r="K79" i="28" s="1"/>
  <c r="D78" i="27"/>
  <c r="K78" i="27" s="1"/>
  <c r="D79" i="29"/>
  <c r="K79" i="29" s="1"/>
  <c r="AO22" i="19"/>
  <c r="AJ22" i="35"/>
  <c r="AX22" i="35" s="1"/>
  <c r="D23" i="32"/>
  <c r="K23" i="32" s="1"/>
  <c r="D23" i="33"/>
  <c r="K23" i="33" s="1"/>
  <c r="D23" i="34"/>
  <c r="K23" i="34" s="1"/>
  <c r="D23" i="31"/>
  <c r="K23" i="31" s="1"/>
  <c r="D22" i="27"/>
  <c r="K22" i="27" s="1"/>
  <c r="D23" i="29"/>
  <c r="K23" i="29" s="1"/>
  <c r="D23" i="28"/>
  <c r="K23" i="28" s="1"/>
  <c r="E84" i="35"/>
  <c r="E84" i="4"/>
  <c r="C84" i="18"/>
  <c r="AH79" i="19"/>
  <c r="AC79" i="35"/>
  <c r="E79" i="35"/>
  <c r="E79" i="4"/>
  <c r="C79" i="18"/>
  <c r="E43" i="35"/>
  <c r="E43" i="4"/>
  <c r="C43" i="18"/>
  <c r="E27" i="35"/>
  <c r="E27" i="4"/>
  <c r="C27" i="18"/>
  <c r="E19" i="35"/>
  <c r="E19" i="4"/>
  <c r="C19" i="18"/>
  <c r="F78" i="4"/>
  <c r="F52" i="4"/>
  <c r="G52" i="4" s="1"/>
  <c r="F22" i="4"/>
  <c r="G84" i="4"/>
  <c r="E80" i="35"/>
  <c r="E80" i="4"/>
  <c r="C80" i="18"/>
  <c r="E70" i="35"/>
  <c r="E70" i="4"/>
  <c r="C70" i="18"/>
  <c r="E22" i="35"/>
  <c r="E22" i="4"/>
  <c r="C22" i="18"/>
  <c r="F84" i="4"/>
  <c r="F72" i="4"/>
  <c r="F43" i="4"/>
  <c r="F19" i="4"/>
  <c r="G82" i="4"/>
  <c r="G43" i="4"/>
  <c r="G19" i="4"/>
  <c r="E72" i="35"/>
  <c r="E72" i="4"/>
  <c r="C72" i="18"/>
  <c r="E52" i="35"/>
  <c r="E52" i="4"/>
  <c r="C52" i="18"/>
  <c r="E12" i="35"/>
  <c r="E12" i="4"/>
  <c r="C12" i="18"/>
  <c r="AH53" i="19"/>
  <c r="AC53" i="35"/>
  <c r="AO79" i="19"/>
  <c r="AJ79" i="35"/>
  <c r="AX79" i="35" s="1"/>
  <c r="D80" i="34"/>
  <c r="K80" i="34" s="1"/>
  <c r="D80" i="32"/>
  <c r="K80" i="32" s="1"/>
  <c r="D80" i="33"/>
  <c r="K80" i="33" s="1"/>
  <c r="D80" i="31"/>
  <c r="K80" i="31" s="1"/>
  <c r="D80" i="28"/>
  <c r="K80" i="28" s="1"/>
  <c r="D79" i="27"/>
  <c r="K79" i="27" s="1"/>
  <c r="D80" i="29"/>
  <c r="K80" i="29" s="1"/>
  <c r="AJ53" i="35"/>
  <c r="AX53" i="35" s="1"/>
  <c r="D54" i="32"/>
  <c r="K54" i="32" s="1"/>
  <c r="D54" i="34"/>
  <c r="K54" i="34" s="1"/>
  <c r="D54" i="33"/>
  <c r="K54" i="33" s="1"/>
  <c r="D54" i="31"/>
  <c r="K54" i="31" s="1"/>
  <c r="D54" i="29"/>
  <c r="K54" i="29" s="1"/>
  <c r="D54" i="28"/>
  <c r="K54" i="28" s="1"/>
  <c r="D53" i="27"/>
  <c r="K53" i="27" s="1"/>
  <c r="E86" i="35"/>
  <c r="E86" i="4"/>
  <c r="F86" i="4" s="1"/>
  <c r="C86" i="18"/>
  <c r="E78" i="35"/>
  <c r="E78" i="4"/>
  <c r="C78" i="18"/>
  <c r="E53" i="35"/>
  <c r="E53" i="4"/>
  <c r="C53" i="18"/>
  <c r="E25" i="35"/>
  <c r="E25" i="4"/>
  <c r="F25" i="4" s="1"/>
  <c r="C25" i="18"/>
  <c r="F80" i="4"/>
  <c r="F70" i="4"/>
  <c r="F27" i="4"/>
  <c r="F12" i="4"/>
  <c r="G80" i="4"/>
  <c r="G70" i="4"/>
  <c r="G27" i="4"/>
  <c r="G12" i="4"/>
  <c r="AJ88" i="35"/>
  <c r="AX88" i="35" s="1"/>
  <c r="D89" i="34"/>
  <c r="K89" i="34" s="1"/>
  <c r="D89" i="32"/>
  <c r="K89" i="32" s="1"/>
  <c r="D89" i="33"/>
  <c r="K89" i="33" s="1"/>
  <c r="D89" i="31"/>
  <c r="K89" i="31" s="1"/>
  <c r="D89" i="28"/>
  <c r="K89" i="28" s="1"/>
  <c r="D88" i="27"/>
  <c r="K88" i="27" s="1"/>
  <c r="D89" i="29"/>
  <c r="K89" i="29" s="1"/>
  <c r="AO88" i="19"/>
  <c r="E21" i="18"/>
  <c r="E13" i="18"/>
  <c r="E72" i="18"/>
  <c r="E60" i="18"/>
  <c r="E56" i="18"/>
  <c r="E52" i="18"/>
  <c r="E48" i="18"/>
  <c r="E44" i="18"/>
  <c r="E40" i="18"/>
  <c r="E36" i="18"/>
  <c r="E32" i="18"/>
  <c r="E20" i="18"/>
  <c r="E16" i="18"/>
  <c r="E12" i="18"/>
  <c r="E8" i="18"/>
  <c r="E4" i="18"/>
  <c r="E53" i="18"/>
  <c r="E87" i="18"/>
  <c r="O88" i="19"/>
  <c r="BB88" i="19" s="1"/>
  <c r="E88" i="18"/>
  <c r="E59" i="18"/>
  <c r="E55" i="18"/>
  <c r="E51" i="18"/>
  <c r="J51" i="18" s="1"/>
  <c r="E47" i="18"/>
  <c r="E43" i="18"/>
  <c r="E39" i="18"/>
  <c r="E23" i="18"/>
  <c r="E19" i="18"/>
  <c r="E15" i="18"/>
  <c r="E11" i="18"/>
  <c r="E7" i="18"/>
  <c r="E3" i="18"/>
  <c r="E78" i="18"/>
  <c r="E74" i="18"/>
  <c r="E62" i="18"/>
  <c r="E58" i="18"/>
  <c r="E54" i="18"/>
  <c r="E50" i="18"/>
  <c r="E46" i="18"/>
  <c r="E42" i="18"/>
  <c r="E38" i="18"/>
  <c r="E34" i="18"/>
  <c r="E30" i="18"/>
  <c r="E26" i="18"/>
  <c r="E22" i="18"/>
  <c r="E18" i="18"/>
  <c r="E14" i="18"/>
  <c r="E47" i="4"/>
  <c r="F47" i="4" s="1"/>
  <c r="AC47" i="35" s="1"/>
  <c r="C47" i="18"/>
  <c r="E39" i="4"/>
  <c r="F39" i="4" s="1"/>
  <c r="AC39" i="35" s="1"/>
  <c r="C39" i="18"/>
  <c r="E21" i="4"/>
  <c r="F21" i="4" s="1"/>
  <c r="C21" i="18"/>
  <c r="E85" i="4"/>
  <c r="F85" i="4" s="1"/>
  <c r="C85" i="18"/>
  <c r="E77" i="4"/>
  <c r="F77" i="4" s="1"/>
  <c r="AC77" i="35" s="1"/>
  <c r="C77" i="18"/>
  <c r="E76" i="4"/>
  <c r="F76" i="4" s="1"/>
  <c r="AC76" i="35" s="1"/>
  <c r="C76" i="18"/>
  <c r="E74" i="4"/>
  <c r="F74" i="4" s="1"/>
  <c r="C74" i="18"/>
  <c r="E75" i="4"/>
  <c r="F75" i="4" s="1"/>
  <c r="G75" i="4" s="1"/>
  <c r="AJ75" i="35" s="1"/>
  <c r="AX75" i="35" s="1"/>
  <c r="C75" i="18"/>
  <c r="E73" i="4"/>
  <c r="F73" i="4" s="1"/>
  <c r="AC73" i="35" s="1"/>
  <c r="C73" i="18"/>
  <c r="E71" i="4"/>
  <c r="F71" i="4" s="1"/>
  <c r="AC71" i="35" s="1"/>
  <c r="C71" i="18"/>
  <c r="E69" i="4"/>
  <c r="F69" i="4" s="1"/>
  <c r="AC69" i="35" s="1"/>
  <c r="C69" i="18"/>
  <c r="E68" i="4"/>
  <c r="C68" i="18"/>
  <c r="F68" i="4"/>
  <c r="G68" i="4" s="1"/>
  <c r="AJ68" i="35" s="1"/>
  <c r="AX68" i="35" s="1"/>
  <c r="E67" i="4"/>
  <c r="F67" i="4" s="1"/>
  <c r="C67" i="18"/>
  <c r="G43" i="3"/>
  <c r="F70" i="3"/>
  <c r="F19" i="3"/>
  <c r="O82" i="19"/>
  <c r="G82" i="3"/>
  <c r="H53" i="3"/>
  <c r="F53" i="3"/>
  <c r="O53" i="19"/>
  <c r="O4" i="19"/>
  <c r="F43" i="3"/>
  <c r="H82" i="3"/>
  <c r="H22" i="3"/>
  <c r="O27" i="19"/>
  <c r="F82" i="3"/>
  <c r="F25" i="3"/>
  <c r="G25" i="3" s="1"/>
  <c r="H25" i="3" s="1"/>
  <c r="G53" i="3"/>
  <c r="H70" i="3"/>
  <c r="O19" i="19"/>
  <c r="G83" i="18"/>
  <c r="F83" i="22"/>
  <c r="G83" i="22" s="1"/>
  <c r="AG83" i="35" s="1"/>
  <c r="G81" i="18"/>
  <c r="F81" i="22"/>
  <c r="G81" i="22" s="1"/>
  <c r="AG81" i="35" s="1"/>
  <c r="G80" i="18"/>
  <c r="F80" i="22"/>
  <c r="G77" i="18"/>
  <c r="F77" i="22"/>
  <c r="G75" i="18"/>
  <c r="F75" i="22"/>
  <c r="G69" i="18"/>
  <c r="F69" i="22"/>
  <c r="G65" i="18"/>
  <c r="F65" i="22"/>
  <c r="G65" i="22" s="1"/>
  <c r="AG65" i="35" s="1"/>
  <c r="G64" i="18"/>
  <c r="F64" i="22"/>
  <c r="G64" i="22" s="1"/>
  <c r="AG64" i="35" s="1"/>
  <c r="G63" i="18"/>
  <c r="F63" i="22"/>
  <c r="G63" i="22" s="1"/>
  <c r="G62" i="18"/>
  <c r="F62" i="22"/>
  <c r="G62" i="22" s="1"/>
  <c r="AG62" i="35" s="1"/>
  <c r="G61" i="18"/>
  <c r="F61" i="22"/>
  <c r="G61" i="22" s="1"/>
  <c r="AG61" i="35" s="1"/>
  <c r="G58" i="18"/>
  <c r="F58" i="22"/>
  <c r="G57" i="18"/>
  <c r="F57" i="22"/>
  <c r="G55" i="18"/>
  <c r="F55" i="22"/>
  <c r="G55" i="22" s="1"/>
  <c r="AG55" i="35" s="1"/>
  <c r="G54" i="18"/>
  <c r="F54" i="22"/>
  <c r="G54" i="22" s="1"/>
  <c r="G51" i="18"/>
  <c r="F51" i="22"/>
  <c r="G50" i="18"/>
  <c r="F50" i="22"/>
  <c r="G50" i="22" s="1"/>
  <c r="AG50" i="35" s="1"/>
  <c r="G49" i="18"/>
  <c r="F49" i="22"/>
  <c r="G48" i="18"/>
  <c r="F48" i="22"/>
  <c r="G47" i="18"/>
  <c r="F47" i="22"/>
  <c r="G46" i="18"/>
  <c r="F46" i="22"/>
  <c r="G46" i="22" s="1"/>
  <c r="AG46" i="35" s="1"/>
  <c r="G45" i="18"/>
  <c r="F45" i="22"/>
  <c r="G45" i="22" s="1"/>
  <c r="AG45" i="35" s="1"/>
  <c r="G41" i="18"/>
  <c r="F41" i="22"/>
  <c r="G40" i="18"/>
  <c r="F40" i="22"/>
  <c r="G40" i="22" s="1"/>
  <c r="AG40" i="35" s="1"/>
  <c r="G39" i="18"/>
  <c r="F39" i="22"/>
  <c r="G39" i="22" s="1"/>
  <c r="G38" i="18"/>
  <c r="F38" i="22"/>
  <c r="G38" i="22" s="1"/>
  <c r="G37" i="18"/>
  <c r="F37" i="22"/>
  <c r="G37" i="22" s="1"/>
  <c r="G36" i="18"/>
  <c r="F36" i="22"/>
  <c r="G36" i="22" s="1"/>
  <c r="AG36" i="35" s="1"/>
  <c r="G35" i="18"/>
  <c r="F35" i="22"/>
  <c r="G35" i="22" s="1"/>
  <c r="AG35" i="35" s="1"/>
  <c r="G34" i="18"/>
  <c r="F34" i="22"/>
  <c r="G33" i="18"/>
  <c r="F33" i="22"/>
  <c r="G33" i="22" s="1"/>
  <c r="AG33" i="35" s="1"/>
  <c r="G32" i="18"/>
  <c r="F32" i="22"/>
  <c r="G30" i="18"/>
  <c r="F30" i="22"/>
  <c r="G30" i="22" s="1"/>
  <c r="AG30" i="35" s="1"/>
  <c r="G29" i="18"/>
  <c r="F29" i="22"/>
  <c r="G28" i="18"/>
  <c r="F28" i="22"/>
  <c r="G28" i="22" s="1"/>
  <c r="AG28" i="35" s="1"/>
  <c r="G26" i="18"/>
  <c r="F26" i="22"/>
  <c r="G26" i="22" s="1"/>
  <c r="G23" i="18"/>
  <c r="F23" i="22"/>
  <c r="G20" i="18"/>
  <c r="F20" i="22"/>
  <c r="G20" i="22" s="1"/>
  <c r="G18" i="18"/>
  <c r="F18" i="22"/>
  <c r="G18" i="22" s="1"/>
  <c r="G17" i="18"/>
  <c r="F17" i="22"/>
  <c r="G16" i="18"/>
  <c r="F16" i="22"/>
  <c r="G16" i="22" s="1"/>
  <c r="AG16" i="35" s="1"/>
  <c r="G13" i="18"/>
  <c r="F13" i="22"/>
  <c r="G13" i="22" s="1"/>
  <c r="G9" i="18"/>
  <c r="F9" i="22"/>
  <c r="G9" i="22" s="1"/>
  <c r="AG9" i="35" s="1"/>
  <c r="F80" i="18"/>
  <c r="F68" i="18"/>
  <c r="F64" i="18"/>
  <c r="F52" i="18"/>
  <c r="F48" i="18"/>
  <c r="F44" i="18"/>
  <c r="F40" i="18"/>
  <c r="F36" i="18"/>
  <c r="F32" i="18"/>
  <c r="F28" i="18"/>
  <c r="F24" i="18"/>
  <c r="F20" i="18"/>
  <c r="F16" i="18"/>
  <c r="F12" i="18"/>
  <c r="S68" i="19"/>
  <c r="S52" i="19"/>
  <c r="S36" i="19"/>
  <c r="S20" i="19"/>
  <c r="F87" i="21"/>
  <c r="G87" i="21" s="1"/>
  <c r="F87" i="18"/>
  <c r="S87" i="19"/>
  <c r="F83" i="21"/>
  <c r="G83" i="21" s="1"/>
  <c r="F83" i="18"/>
  <c r="S83" i="19"/>
  <c r="F79" i="21"/>
  <c r="G79" i="21" s="1"/>
  <c r="F79" i="18"/>
  <c r="S79" i="19"/>
  <c r="F75" i="21"/>
  <c r="G75" i="21" s="1"/>
  <c r="F75" i="18"/>
  <c r="S75" i="19"/>
  <c r="F71" i="21"/>
  <c r="G71" i="21" s="1"/>
  <c r="H71" i="21" s="1"/>
  <c r="F71" i="18"/>
  <c r="S71" i="19"/>
  <c r="F67" i="21"/>
  <c r="G67" i="21" s="1"/>
  <c r="F67" i="18"/>
  <c r="S67" i="19"/>
  <c r="F63" i="21"/>
  <c r="G63" i="21" s="1"/>
  <c r="F63" i="18"/>
  <c r="S63" i="19"/>
  <c r="F59" i="21"/>
  <c r="G59" i="21" s="1"/>
  <c r="H59" i="21" s="1"/>
  <c r="F59" i="18"/>
  <c r="S59" i="19"/>
  <c r="F55" i="21"/>
  <c r="G55" i="21" s="1"/>
  <c r="F55" i="18"/>
  <c r="S55" i="19"/>
  <c r="F51" i="21"/>
  <c r="G51" i="21" s="1"/>
  <c r="F51" i="18"/>
  <c r="S51" i="19"/>
  <c r="F47" i="21"/>
  <c r="G47" i="21" s="1"/>
  <c r="F47" i="18"/>
  <c r="S47" i="19"/>
  <c r="F43" i="21"/>
  <c r="F43" i="18"/>
  <c r="S43" i="19"/>
  <c r="F39" i="21"/>
  <c r="G39" i="21" s="1"/>
  <c r="F39" i="18"/>
  <c r="S39" i="19"/>
  <c r="F35" i="21"/>
  <c r="G35" i="21" s="1"/>
  <c r="F35" i="18"/>
  <c r="S35" i="19"/>
  <c r="F31" i="21"/>
  <c r="G31" i="21" s="1"/>
  <c r="F31" i="18"/>
  <c r="S31" i="19"/>
  <c r="F27" i="21"/>
  <c r="G27" i="21" s="1"/>
  <c r="AF27" i="35" s="1"/>
  <c r="F27" i="18"/>
  <c r="S27" i="19"/>
  <c r="F23" i="21"/>
  <c r="G23" i="21" s="1"/>
  <c r="AF23" i="35" s="1"/>
  <c r="F23" i="18"/>
  <c r="S23" i="19"/>
  <c r="F19" i="21"/>
  <c r="G19" i="21" s="1"/>
  <c r="F19" i="18"/>
  <c r="S19" i="19"/>
  <c r="F15" i="21"/>
  <c r="G15" i="21" s="1"/>
  <c r="F15" i="18"/>
  <c r="S15" i="19"/>
  <c r="G43" i="21"/>
  <c r="S80" i="19"/>
  <c r="S64" i="19"/>
  <c r="S48" i="19"/>
  <c r="S32" i="19"/>
  <c r="S16" i="19"/>
  <c r="F84" i="18"/>
  <c r="F72" i="18"/>
  <c r="F60" i="18"/>
  <c r="F86" i="18"/>
  <c r="S86" i="19"/>
  <c r="F82" i="18"/>
  <c r="S82" i="19"/>
  <c r="F78" i="18"/>
  <c r="S78" i="19"/>
  <c r="F74" i="18"/>
  <c r="S74" i="19"/>
  <c r="H70" i="21"/>
  <c r="F70" i="18"/>
  <c r="S70" i="19"/>
  <c r="F66" i="18"/>
  <c r="S66" i="19"/>
  <c r="F62" i="18"/>
  <c r="S62" i="19"/>
  <c r="F58" i="18"/>
  <c r="S58" i="19"/>
  <c r="F54" i="18"/>
  <c r="S54" i="19"/>
  <c r="F50" i="18"/>
  <c r="S50" i="19"/>
  <c r="F46" i="18"/>
  <c r="S46" i="19"/>
  <c r="F42" i="18"/>
  <c r="S42" i="19"/>
  <c r="F38" i="18"/>
  <c r="S38" i="19"/>
  <c r="F34" i="18"/>
  <c r="S34" i="19"/>
  <c r="F30" i="18"/>
  <c r="S30" i="19"/>
  <c r="F26" i="18"/>
  <c r="S26" i="19"/>
  <c r="F22" i="18"/>
  <c r="S22" i="19"/>
  <c r="F18" i="18"/>
  <c r="S18" i="19"/>
  <c r="F14" i="18"/>
  <c r="S14" i="19"/>
  <c r="F74" i="21"/>
  <c r="F58" i="21"/>
  <c r="G58" i="21" s="1"/>
  <c r="F42" i="21"/>
  <c r="G42" i="21" s="1"/>
  <c r="F26" i="21"/>
  <c r="G26" i="21" s="1"/>
  <c r="S60" i="19"/>
  <c r="S44" i="19"/>
  <c r="S28" i="19"/>
  <c r="S12" i="19"/>
  <c r="F76" i="18"/>
  <c r="F56" i="18"/>
  <c r="F85" i="18"/>
  <c r="S85" i="19"/>
  <c r="F81" i="18"/>
  <c r="S81" i="19"/>
  <c r="F77" i="18"/>
  <c r="S77" i="19"/>
  <c r="F73" i="18"/>
  <c r="S73" i="19"/>
  <c r="F69" i="18"/>
  <c r="S69" i="19"/>
  <c r="F65" i="18"/>
  <c r="S65" i="19"/>
  <c r="F61" i="18"/>
  <c r="S61" i="19"/>
  <c r="F57" i="18"/>
  <c r="S57" i="19"/>
  <c r="F53" i="18"/>
  <c r="S53" i="19"/>
  <c r="F49" i="18"/>
  <c r="S49" i="19"/>
  <c r="F45" i="18"/>
  <c r="S45" i="19"/>
  <c r="F41" i="18"/>
  <c r="S41" i="19"/>
  <c r="F37" i="18"/>
  <c r="S37" i="19"/>
  <c r="F33" i="18"/>
  <c r="S33" i="19"/>
  <c r="F29" i="18"/>
  <c r="S29" i="19"/>
  <c r="F25" i="18"/>
  <c r="S25" i="19"/>
  <c r="F21" i="18"/>
  <c r="S21" i="19"/>
  <c r="F17" i="18"/>
  <c r="S17" i="19"/>
  <c r="F13" i="18"/>
  <c r="S13" i="19"/>
  <c r="F86" i="21"/>
  <c r="G86" i="21" s="1"/>
  <c r="AF86" i="35" s="1"/>
  <c r="F70" i="21"/>
  <c r="F54" i="21"/>
  <c r="G54" i="21" s="1"/>
  <c r="AF54" i="35" s="1"/>
  <c r="F38" i="21"/>
  <c r="G38" i="21" s="1"/>
  <c r="AF38" i="35" s="1"/>
  <c r="F22" i="21"/>
  <c r="G22" i="21" s="1"/>
  <c r="AF22" i="35" s="1"/>
  <c r="S72" i="19"/>
  <c r="S56" i="19"/>
  <c r="S40" i="19"/>
  <c r="S24" i="19"/>
  <c r="F77" i="3"/>
  <c r="G77" i="3" s="1"/>
  <c r="F71" i="3"/>
  <c r="G71" i="3" s="1"/>
  <c r="F54" i="3"/>
  <c r="G54" i="3" s="1"/>
  <c r="F41" i="3"/>
  <c r="G41" i="3" s="1"/>
  <c r="D87" i="5"/>
  <c r="E87" i="5"/>
  <c r="F87" i="5"/>
  <c r="D86" i="5"/>
  <c r="E86" i="5" s="1"/>
  <c r="AD86" i="35" s="1"/>
  <c r="D85" i="5"/>
  <c r="E85" i="5" s="1"/>
  <c r="AD85" i="35" s="1"/>
  <c r="D83" i="5"/>
  <c r="E83" i="5"/>
  <c r="AI81" i="19"/>
  <c r="F81" i="5"/>
  <c r="D80" i="5"/>
  <c r="E80" i="5" s="1"/>
  <c r="AD80" i="35" s="1"/>
  <c r="F77" i="5"/>
  <c r="D75" i="5"/>
  <c r="E75" i="5" s="1"/>
  <c r="AD75" i="35" s="1"/>
  <c r="E74" i="5"/>
  <c r="E73" i="5"/>
  <c r="E72" i="5"/>
  <c r="AD72" i="35" s="1"/>
  <c r="D71" i="5"/>
  <c r="E71" i="5" s="1"/>
  <c r="AD71" i="35" s="1"/>
  <c r="D69" i="5"/>
  <c r="E69" i="5" s="1"/>
  <c r="AD69" i="35" s="1"/>
  <c r="D68" i="5"/>
  <c r="E68" i="5" s="1"/>
  <c r="AD68" i="35" s="1"/>
  <c r="D67" i="5"/>
  <c r="E67" i="5" s="1"/>
  <c r="E66" i="5"/>
  <c r="AD66" i="35" s="1"/>
  <c r="E65" i="5"/>
  <c r="E64" i="5"/>
  <c r="F64" i="5" s="1"/>
  <c r="D63" i="5"/>
  <c r="E63" i="5" s="1"/>
  <c r="AD63" i="35" s="1"/>
  <c r="D62" i="5"/>
  <c r="E62" i="5" s="1"/>
  <c r="AD62" i="35" s="1"/>
  <c r="D61" i="5"/>
  <c r="E61" i="5" s="1"/>
  <c r="AD61" i="35" s="1"/>
  <c r="AI60" i="19"/>
  <c r="AI58" i="19"/>
  <c r="F58" i="5"/>
  <c r="D57" i="5"/>
  <c r="E57" i="5" s="1"/>
  <c r="AD57" i="35" s="1"/>
  <c r="D55" i="5"/>
  <c r="E55" i="5" s="1"/>
  <c r="AD55" i="35" s="1"/>
  <c r="D54" i="5"/>
  <c r="E54" i="5" s="1"/>
  <c r="AD54" i="35" s="1"/>
  <c r="D51" i="5"/>
  <c r="E51" i="5" s="1"/>
  <c r="F51" i="5"/>
  <c r="F49" i="5"/>
  <c r="D47" i="5"/>
  <c r="E47" i="5" s="1"/>
  <c r="F47" i="5"/>
  <c r="D46" i="5"/>
  <c r="E46" i="5" s="1"/>
  <c r="AD46" i="35" s="1"/>
  <c r="D44" i="5"/>
  <c r="E44" i="5"/>
  <c r="F44" i="5" s="1"/>
  <c r="D45" i="5"/>
  <c r="E45" i="5"/>
  <c r="AD45" i="35" s="1"/>
  <c r="D41" i="5"/>
  <c r="E41" i="5" s="1"/>
  <c r="AD41" i="35" s="1"/>
  <c r="E40" i="5"/>
  <c r="F40" i="5" s="1"/>
  <c r="D40" i="5"/>
  <c r="E39" i="5"/>
  <c r="AD39" i="35" s="1"/>
  <c r="D38" i="5"/>
  <c r="E38" i="5" s="1"/>
  <c r="AD38" i="35" s="1"/>
  <c r="F37" i="5"/>
  <c r="AI36" i="19"/>
  <c r="F36" i="5"/>
  <c r="F35" i="5"/>
  <c r="AI35" i="19"/>
  <c r="F34" i="5"/>
  <c r="F33" i="5"/>
  <c r="D32" i="5"/>
  <c r="E32" i="5" s="1"/>
  <c r="AD32" i="35" s="1"/>
  <c r="D31" i="5"/>
  <c r="E31" i="5" s="1"/>
  <c r="F31" i="5"/>
  <c r="D30" i="5"/>
  <c r="E30" i="5" s="1"/>
  <c r="AD30" i="35" s="1"/>
  <c r="E29" i="5"/>
  <c r="D28" i="5"/>
  <c r="E28" i="5" s="1"/>
  <c r="D26" i="5"/>
  <c r="E26" i="5" s="1"/>
  <c r="AD26" i="35" s="1"/>
  <c r="D24" i="5"/>
  <c r="E24" i="5" s="1"/>
  <c r="D23" i="5"/>
  <c r="E23" i="5"/>
  <c r="AD23" i="35" s="1"/>
  <c r="E20" i="5"/>
  <c r="F20" i="5"/>
  <c r="D18" i="5"/>
  <c r="E18" i="5" s="1"/>
  <c r="AD18" i="35" s="1"/>
  <c r="D17" i="5"/>
  <c r="E17" i="5" s="1"/>
  <c r="D16" i="5"/>
  <c r="E16" i="5" s="1"/>
  <c r="F16" i="5"/>
  <c r="D15" i="5"/>
  <c r="E15" i="5" s="1"/>
  <c r="AD15" i="35" s="1"/>
  <c r="E14" i="5"/>
  <c r="AD14" i="35" s="1"/>
  <c r="D13" i="5"/>
  <c r="E13" i="5"/>
  <c r="AD13" i="35" s="1"/>
  <c r="K10" i="19"/>
  <c r="D10" i="18"/>
  <c r="F10" i="5"/>
  <c r="D9" i="5"/>
  <c r="K9" i="19"/>
  <c r="E9" i="5"/>
  <c r="F5" i="5"/>
  <c r="K5" i="19"/>
  <c r="D5" i="18"/>
  <c r="G5" i="18"/>
  <c r="F5" i="22"/>
  <c r="W5" i="19"/>
  <c r="G14" i="18"/>
  <c r="F14" i="22"/>
  <c r="G14" i="22" s="1"/>
  <c r="AG14" i="35" s="1"/>
  <c r="G32" i="22"/>
  <c r="H32" i="22" s="1"/>
  <c r="G83" i="23"/>
  <c r="AA83" i="19"/>
  <c r="AA81" i="19"/>
  <c r="G81" i="23"/>
  <c r="G69" i="23"/>
  <c r="AA69" i="19"/>
  <c r="G68" i="23"/>
  <c r="AA68" i="19"/>
  <c r="G67" i="23"/>
  <c r="AA67" i="19"/>
  <c r="G66" i="23"/>
  <c r="AA66" i="19"/>
  <c r="G65" i="23"/>
  <c r="AA65" i="19"/>
  <c r="G63" i="23"/>
  <c r="AA63" i="19"/>
  <c r="AA62" i="19"/>
  <c r="G62" i="23"/>
  <c r="AA61" i="19"/>
  <c r="G61" i="23"/>
  <c r="G60" i="23"/>
  <c r="AA60" i="19"/>
  <c r="G59" i="23"/>
  <c r="AA59" i="19"/>
  <c r="AA58" i="19"/>
  <c r="G58" i="23"/>
  <c r="G57" i="23"/>
  <c r="AA57" i="19"/>
  <c r="G55" i="23"/>
  <c r="AA55" i="19"/>
  <c r="G54" i="23"/>
  <c r="AA54" i="19"/>
  <c r="G51" i="23"/>
  <c r="G50" i="23"/>
  <c r="AA50" i="19"/>
  <c r="AA49" i="19"/>
  <c r="G49" i="23"/>
  <c r="AA48" i="19"/>
  <c r="G48" i="23"/>
  <c r="G47" i="23"/>
  <c r="AA47" i="19"/>
  <c r="G46" i="23"/>
  <c r="G45" i="23"/>
  <c r="AA45" i="19"/>
  <c r="G42" i="23"/>
  <c r="AA42" i="19"/>
  <c r="G41" i="23"/>
  <c r="AA41" i="19"/>
  <c r="G40" i="23"/>
  <c r="AA40" i="19"/>
  <c r="AA39" i="19"/>
  <c r="G39" i="23"/>
  <c r="AA38" i="19"/>
  <c r="G38" i="23"/>
  <c r="G37" i="23"/>
  <c r="AA37" i="19"/>
  <c r="AA36" i="19"/>
  <c r="G36" i="23"/>
  <c r="AA35" i="19"/>
  <c r="G35" i="23"/>
  <c r="G34" i="23"/>
  <c r="AA34" i="19"/>
  <c r="G33" i="23"/>
  <c r="AA33" i="19"/>
  <c r="G32" i="23"/>
  <c r="AA32" i="19"/>
  <c r="AA31" i="19"/>
  <c r="G31" i="23"/>
  <c r="G30" i="23"/>
  <c r="AA30" i="19"/>
  <c r="AA29" i="19"/>
  <c r="G29" i="23"/>
  <c r="AA28" i="19"/>
  <c r="G28" i="23"/>
  <c r="G26" i="23"/>
  <c r="AA26" i="19"/>
  <c r="G24" i="23"/>
  <c r="AA24" i="19"/>
  <c r="AA23" i="19"/>
  <c r="G23" i="23"/>
  <c r="G20" i="23"/>
  <c r="G18" i="23"/>
  <c r="AA18" i="19"/>
  <c r="G17" i="23"/>
  <c r="AA17" i="19"/>
  <c r="AA16" i="19"/>
  <c r="G16" i="23"/>
  <c r="AA15" i="19"/>
  <c r="G15" i="23"/>
  <c r="G14" i="23"/>
  <c r="AA14" i="19"/>
  <c r="G13" i="23"/>
  <c r="AA13" i="19"/>
  <c r="AA87" i="19"/>
  <c r="G87" i="24"/>
  <c r="G74" i="24"/>
  <c r="H74" i="24" s="1"/>
  <c r="G58" i="24"/>
  <c r="G83" i="24"/>
  <c r="G81" i="24"/>
  <c r="G80" i="24"/>
  <c r="H80" i="24" s="1"/>
  <c r="G75" i="24"/>
  <c r="G71" i="24"/>
  <c r="H71" i="24" s="1"/>
  <c r="I71" i="18"/>
  <c r="H69" i="24"/>
  <c r="AU69" i="19" s="1"/>
  <c r="H67" i="24"/>
  <c r="G66" i="24"/>
  <c r="G65" i="24"/>
  <c r="G64" i="24"/>
  <c r="G63" i="24"/>
  <c r="G60" i="24"/>
  <c r="G59" i="24"/>
  <c r="G57" i="24"/>
  <c r="G54" i="24"/>
  <c r="G49" i="24"/>
  <c r="G48" i="24"/>
  <c r="G47" i="24"/>
  <c r="G46" i="24"/>
  <c r="AA46" i="19"/>
  <c r="G45" i="24"/>
  <c r="G40" i="24"/>
  <c r="G39" i="24"/>
  <c r="G38" i="24"/>
  <c r="G35" i="24"/>
  <c r="G34" i="24"/>
  <c r="G30" i="24"/>
  <c r="G29" i="24"/>
  <c r="G28" i="24"/>
  <c r="G26" i="24"/>
  <c r="H26" i="24" s="1"/>
  <c r="G24" i="24"/>
  <c r="G23" i="24"/>
  <c r="G18" i="24"/>
  <c r="H17" i="24"/>
  <c r="H16" i="24"/>
  <c r="G15" i="24"/>
  <c r="G14" i="24"/>
  <c r="G13" i="24"/>
  <c r="W23" i="19"/>
  <c r="G23" i="22"/>
  <c r="AG23" i="35" s="1"/>
  <c r="W87" i="19"/>
  <c r="W83" i="19"/>
  <c r="W81" i="19"/>
  <c r="G80" i="22"/>
  <c r="AG80" i="35" s="1"/>
  <c r="W80" i="19"/>
  <c r="W77" i="19"/>
  <c r="G77" i="22"/>
  <c r="AG77" i="35" s="1"/>
  <c r="G75" i="22"/>
  <c r="AG75" i="35" s="1"/>
  <c r="W75" i="19"/>
  <c r="W69" i="19"/>
  <c r="G69" i="22"/>
  <c r="AG69" i="35" s="1"/>
  <c r="W68" i="19"/>
  <c r="W67" i="19"/>
  <c r="W66" i="19"/>
  <c r="G66" i="22"/>
  <c r="AG66" i="35" s="1"/>
  <c r="W65" i="19"/>
  <c r="W64" i="19"/>
  <c r="W63" i="19"/>
  <c r="W62" i="19"/>
  <c r="W61" i="19"/>
  <c r="W60" i="19"/>
  <c r="G60" i="22"/>
  <c r="W59" i="19"/>
  <c r="G58" i="22"/>
  <c r="W58" i="19"/>
  <c r="W57" i="19"/>
  <c r="G57" i="22"/>
  <c r="AG57" i="35" s="1"/>
  <c r="W55" i="19"/>
  <c r="W54" i="19"/>
  <c r="G51" i="22"/>
  <c r="W51" i="19"/>
  <c r="W50" i="19"/>
  <c r="G49" i="22"/>
  <c r="W49" i="19"/>
  <c r="W48" i="19"/>
  <c r="G48" i="22"/>
  <c r="AG48" i="35" s="1"/>
  <c r="W47" i="19"/>
  <c r="G47" i="22"/>
  <c r="AG47" i="35" s="1"/>
  <c r="W46" i="19"/>
  <c r="W45" i="19"/>
  <c r="W42" i="19"/>
  <c r="G42" i="22"/>
  <c r="G41" i="22"/>
  <c r="AG41" i="35" s="1"/>
  <c r="W41" i="19"/>
  <c r="W40" i="19"/>
  <c r="W39" i="19"/>
  <c r="W38" i="19"/>
  <c r="W37" i="19"/>
  <c r="W36" i="19"/>
  <c r="W35" i="19"/>
  <c r="W34" i="19"/>
  <c r="G34" i="22"/>
  <c r="W33" i="19"/>
  <c r="W32" i="19"/>
  <c r="W30" i="19"/>
  <c r="W29" i="19"/>
  <c r="G29" i="22"/>
  <c r="AG29" i="35" s="1"/>
  <c r="W28" i="19"/>
  <c r="W26" i="19"/>
  <c r="W24" i="19"/>
  <c r="G24" i="22"/>
  <c r="AG24" i="35" s="1"/>
  <c r="W20" i="19"/>
  <c r="W18" i="19"/>
  <c r="G17" i="22"/>
  <c r="W17" i="19"/>
  <c r="W16" i="19"/>
  <c r="W15" i="19"/>
  <c r="G15" i="22"/>
  <c r="W14" i="19"/>
  <c r="W13" i="19"/>
  <c r="O72" i="19"/>
  <c r="O79" i="19"/>
  <c r="O70" i="19"/>
  <c r="O52" i="19"/>
  <c r="O25" i="19"/>
  <c r="F84" i="3"/>
  <c r="H72" i="3"/>
  <c r="F75" i="3"/>
  <c r="G75" i="3" s="1"/>
  <c r="F23" i="3"/>
  <c r="G23" i="3" s="1"/>
  <c r="F16" i="3"/>
  <c r="G16" i="3" s="1"/>
  <c r="G72" i="3"/>
  <c r="G27" i="3"/>
  <c r="H79" i="3"/>
  <c r="K70" i="18"/>
  <c r="F87" i="3"/>
  <c r="G87" i="3" s="1"/>
  <c r="F79" i="3"/>
  <c r="F74" i="3"/>
  <c r="G74" i="3" s="1"/>
  <c r="F62" i="3"/>
  <c r="G62" i="3" s="1"/>
  <c r="F52" i="3"/>
  <c r="G52" i="3" s="1"/>
  <c r="H52" i="3" s="1"/>
  <c r="F38" i="3"/>
  <c r="G38" i="3" s="1"/>
  <c r="F22" i="3"/>
  <c r="F12" i="3"/>
  <c r="G79" i="3"/>
  <c r="G70" i="3"/>
  <c r="H78" i="3"/>
  <c r="H43" i="3"/>
  <c r="O87" i="19"/>
  <c r="O78" i="19"/>
  <c r="O62" i="19"/>
  <c r="O43" i="19"/>
  <c r="O22" i="19"/>
  <c r="G84" i="3"/>
  <c r="G19" i="3"/>
  <c r="F85" i="3"/>
  <c r="G85" i="3" s="1"/>
  <c r="F78" i="3"/>
  <c r="F72" i="3"/>
  <c r="F56" i="3"/>
  <c r="G56" i="3" s="1"/>
  <c r="F51" i="3"/>
  <c r="G51" i="3" s="1"/>
  <c r="F27" i="3"/>
  <c r="F21" i="3"/>
  <c r="G21" i="3" s="1"/>
  <c r="G78" i="3"/>
  <c r="G22" i="3"/>
  <c r="H84" i="3"/>
  <c r="H27" i="3"/>
  <c r="H19" i="3"/>
  <c r="O84" i="19"/>
  <c r="O75" i="19"/>
  <c r="O56" i="19"/>
  <c r="O33" i="19"/>
  <c r="O21" i="19"/>
  <c r="F7" i="3"/>
  <c r="G4" i="3"/>
  <c r="O8" i="19"/>
  <c r="F11" i="3"/>
  <c r="G11" i="3" s="1"/>
  <c r="O12" i="19"/>
  <c r="G12" i="3"/>
  <c r="G8" i="3"/>
  <c r="H12" i="3"/>
  <c r="E87" i="4"/>
  <c r="C87" i="18"/>
  <c r="F87" i="4"/>
  <c r="E83" i="4"/>
  <c r="F83" i="4" s="1"/>
  <c r="AC83" i="35" s="1"/>
  <c r="C83" i="18"/>
  <c r="E82" i="4"/>
  <c r="C82" i="18"/>
  <c r="F82" i="4"/>
  <c r="E81" i="4"/>
  <c r="C81" i="18"/>
  <c r="F81" i="4"/>
  <c r="G81" i="4" s="1"/>
  <c r="AO81" i="19" s="1"/>
  <c r="E66" i="4"/>
  <c r="F66" i="4" s="1"/>
  <c r="C66" i="18"/>
  <c r="E65" i="4"/>
  <c r="F65" i="4" s="1"/>
  <c r="AC65" i="35" s="1"/>
  <c r="C65" i="18"/>
  <c r="E64" i="4"/>
  <c r="C64" i="18"/>
  <c r="F64" i="4"/>
  <c r="E63" i="4"/>
  <c r="F63" i="4" s="1"/>
  <c r="G63" i="4" s="1"/>
  <c r="C63" i="18"/>
  <c r="E62" i="4"/>
  <c r="C62" i="18"/>
  <c r="F62" i="4"/>
  <c r="G62" i="4"/>
  <c r="E61" i="4"/>
  <c r="F61" i="4" s="1"/>
  <c r="AC61" i="35" s="1"/>
  <c r="C61" i="18"/>
  <c r="E60" i="4"/>
  <c r="C60" i="18"/>
  <c r="F60" i="4"/>
  <c r="E59" i="4"/>
  <c r="C59" i="18"/>
  <c r="F59" i="4"/>
  <c r="E58" i="4"/>
  <c r="F58" i="4" s="1"/>
  <c r="G58" i="4" s="1"/>
  <c r="C58" i="18"/>
  <c r="E57" i="4"/>
  <c r="C57" i="18"/>
  <c r="F57" i="4"/>
  <c r="E56" i="4"/>
  <c r="F56" i="4" s="1"/>
  <c r="AC56" i="35" s="1"/>
  <c r="C56" i="18"/>
  <c r="E55" i="4"/>
  <c r="C55" i="18"/>
  <c r="F55" i="4"/>
  <c r="G55" i="4" s="1"/>
  <c r="E54" i="4"/>
  <c r="C54" i="18"/>
  <c r="F54" i="4"/>
  <c r="G54" i="4" s="1"/>
  <c r="E51" i="4"/>
  <c r="C51" i="18"/>
  <c r="F51" i="4"/>
  <c r="AC51" i="35" s="1"/>
  <c r="E50" i="4"/>
  <c r="C50" i="18"/>
  <c r="F50" i="4"/>
  <c r="AC50" i="35" s="1"/>
  <c r="E49" i="4"/>
  <c r="C49" i="18"/>
  <c r="F49" i="4"/>
  <c r="E48" i="4"/>
  <c r="C48" i="18"/>
  <c r="F48" i="4"/>
  <c r="G48" i="4"/>
  <c r="E46" i="4"/>
  <c r="F46" i="4" s="1"/>
  <c r="C46" i="18"/>
  <c r="E45" i="4"/>
  <c r="F45" i="4" s="1"/>
  <c r="C45" i="18"/>
  <c r="E44" i="4"/>
  <c r="F44" i="4" s="1"/>
  <c r="C44" i="18"/>
  <c r="E42" i="4"/>
  <c r="F42" i="4" s="1"/>
  <c r="G42" i="4" s="1"/>
  <c r="C42" i="18"/>
  <c r="E41" i="4"/>
  <c r="F41" i="4" s="1"/>
  <c r="AC41" i="35" s="1"/>
  <c r="C41" i="18"/>
  <c r="E40" i="4"/>
  <c r="F40" i="4" s="1"/>
  <c r="G40" i="4" s="1"/>
  <c r="C40" i="18"/>
  <c r="E38" i="4"/>
  <c r="F38" i="4" s="1"/>
  <c r="C38" i="18"/>
  <c r="E37" i="4"/>
  <c r="C37" i="18"/>
  <c r="F37" i="4"/>
  <c r="AC37" i="35" s="1"/>
  <c r="E36" i="4"/>
  <c r="C36" i="18"/>
  <c r="F36" i="4"/>
  <c r="AC36" i="35" s="1"/>
  <c r="E35" i="4"/>
  <c r="F35" i="4" s="1"/>
  <c r="AC35" i="35" s="1"/>
  <c r="C35" i="18"/>
  <c r="E34" i="4"/>
  <c r="F34" i="4" s="1"/>
  <c r="G34" i="4" s="1"/>
  <c r="C34" i="18"/>
  <c r="E33" i="4"/>
  <c r="C33" i="18"/>
  <c r="F33" i="4"/>
  <c r="AC33" i="35" s="1"/>
  <c r="E32" i="4"/>
  <c r="C32" i="18"/>
  <c r="F32" i="4"/>
  <c r="AC32" i="35" s="1"/>
  <c r="E31" i="4"/>
  <c r="F31" i="4" s="1"/>
  <c r="AC31" i="35" s="1"/>
  <c r="C31" i="18"/>
  <c r="E30" i="4"/>
  <c r="F30" i="4" s="1"/>
  <c r="AC30" i="35" s="1"/>
  <c r="C30" i="18"/>
  <c r="E29" i="4"/>
  <c r="F29" i="4" s="1"/>
  <c r="AC29" i="35" s="1"/>
  <c r="C29" i="18"/>
  <c r="E28" i="4"/>
  <c r="F28" i="4" s="1"/>
  <c r="AC28" i="35" s="1"/>
  <c r="C28" i="18"/>
  <c r="E26" i="4"/>
  <c r="F26" i="4" s="1"/>
  <c r="AC26" i="35" s="1"/>
  <c r="C26" i="18"/>
  <c r="E24" i="4"/>
  <c r="C24" i="18"/>
  <c r="F24" i="4"/>
  <c r="G24" i="4"/>
  <c r="E23" i="4"/>
  <c r="F23" i="4" s="1"/>
  <c r="AC23" i="35" s="1"/>
  <c r="C23" i="18"/>
  <c r="E20" i="4"/>
  <c r="F20" i="4" s="1"/>
  <c r="AC20" i="35" s="1"/>
  <c r="C20" i="18"/>
  <c r="E18" i="4"/>
  <c r="F18" i="4" s="1"/>
  <c r="AC18" i="35" s="1"/>
  <c r="C18" i="18"/>
  <c r="E17" i="4"/>
  <c r="C17" i="18"/>
  <c r="F17" i="4"/>
  <c r="G17" i="4"/>
  <c r="AO17" i="19" s="1"/>
  <c r="E16" i="4"/>
  <c r="F16" i="4" s="1"/>
  <c r="C16" i="18"/>
  <c r="E15" i="4"/>
  <c r="F15" i="4" s="1"/>
  <c r="C15" i="18"/>
  <c r="E14" i="4"/>
  <c r="C14" i="18"/>
  <c r="F14" i="4"/>
  <c r="E13" i="4"/>
  <c r="F13" i="4" s="1"/>
  <c r="AC13" i="35" s="1"/>
  <c r="C13" i="18"/>
  <c r="AO53" i="19"/>
  <c r="AO12" i="19"/>
  <c r="W8" i="19"/>
  <c r="W7" i="19"/>
  <c r="W10" i="19"/>
  <c r="G10" i="18"/>
  <c r="W6" i="19"/>
  <c r="G6" i="18"/>
  <c r="G8" i="22"/>
  <c r="AG8" i="35" s="1"/>
  <c r="G4" i="22"/>
  <c r="G10" i="22"/>
  <c r="AG10" i="35" s="1"/>
  <c r="G7" i="22"/>
  <c r="AG7" i="35" s="1"/>
  <c r="G3" i="22"/>
  <c r="G5" i="22"/>
  <c r="AG5" i="35" s="1"/>
  <c r="G6" i="22"/>
  <c r="AG6" i="35" s="1"/>
  <c r="S9" i="19"/>
  <c r="F9" i="18"/>
  <c r="O86" i="19"/>
  <c r="F86" i="3"/>
  <c r="G86" i="3" s="1"/>
  <c r="O85" i="19"/>
  <c r="F83" i="3"/>
  <c r="G83" i="3" s="1"/>
  <c r="O83" i="19"/>
  <c r="F81" i="3"/>
  <c r="G81" i="3" s="1"/>
  <c r="O81" i="19"/>
  <c r="O80" i="19"/>
  <c r="F80" i="3"/>
  <c r="G80" i="3" s="1"/>
  <c r="O77" i="19"/>
  <c r="O76" i="19"/>
  <c r="F76" i="3"/>
  <c r="G76" i="3" s="1"/>
  <c r="O74" i="19"/>
  <c r="F73" i="3"/>
  <c r="G73" i="3" s="1"/>
  <c r="H73" i="3" s="1"/>
  <c r="O73" i="19"/>
  <c r="O71" i="19"/>
  <c r="O69" i="19"/>
  <c r="F69" i="3"/>
  <c r="G69" i="3" s="1"/>
  <c r="F68" i="3"/>
  <c r="G68" i="3" s="1"/>
  <c r="O67" i="19"/>
  <c r="F67" i="3"/>
  <c r="G67" i="3" s="1"/>
  <c r="F66" i="3"/>
  <c r="G66" i="3" s="1"/>
  <c r="O66" i="19"/>
  <c r="F65" i="3"/>
  <c r="G65" i="3" s="1"/>
  <c r="O65" i="19"/>
  <c r="F64" i="3"/>
  <c r="G64" i="3" s="1"/>
  <c r="O64" i="19"/>
  <c r="F63" i="3"/>
  <c r="G63" i="3" s="1"/>
  <c r="O63" i="19"/>
  <c r="F61" i="3"/>
  <c r="G61" i="3" s="1"/>
  <c r="O61" i="19"/>
  <c r="O60" i="19"/>
  <c r="F60" i="3"/>
  <c r="G60" i="3" s="1"/>
  <c r="F59" i="3"/>
  <c r="G59" i="3" s="1"/>
  <c r="O59" i="19"/>
  <c r="O58" i="19"/>
  <c r="F58" i="3"/>
  <c r="G58" i="3" s="1"/>
  <c r="F57" i="3"/>
  <c r="G57" i="3" s="1"/>
  <c r="O57" i="19"/>
  <c r="F55" i="3"/>
  <c r="G55" i="3" s="1"/>
  <c r="O55" i="19"/>
  <c r="O54" i="19"/>
  <c r="O51" i="19"/>
  <c r="F50" i="3"/>
  <c r="G50" i="3" s="1"/>
  <c r="O50" i="19"/>
  <c r="O49" i="19"/>
  <c r="F49" i="3"/>
  <c r="G49" i="3" s="1"/>
  <c r="H49" i="3" s="1"/>
  <c r="F48" i="3"/>
  <c r="G48" i="3" s="1"/>
  <c r="O48" i="19"/>
  <c r="F47" i="3"/>
  <c r="G47" i="3" s="1"/>
  <c r="O47" i="19"/>
  <c r="O46" i="19"/>
  <c r="F46" i="3"/>
  <c r="G46" i="3" s="1"/>
  <c r="O45" i="19"/>
  <c r="F45" i="3"/>
  <c r="G45" i="3" s="1"/>
  <c r="O44" i="19"/>
  <c r="F44" i="3"/>
  <c r="G44" i="3" s="1"/>
  <c r="F42" i="3"/>
  <c r="G42" i="3" s="1"/>
  <c r="O42" i="19"/>
  <c r="O41" i="19"/>
  <c r="O40" i="19"/>
  <c r="F40" i="3"/>
  <c r="G40" i="3" s="1"/>
  <c r="F39" i="3"/>
  <c r="G39" i="3" s="1"/>
  <c r="O39" i="19"/>
  <c r="O38" i="19"/>
  <c r="F37" i="3"/>
  <c r="G37" i="3" s="1"/>
  <c r="O37" i="19"/>
  <c r="F36" i="3"/>
  <c r="G36" i="3" s="1"/>
  <c r="O36" i="19"/>
  <c r="O35" i="19"/>
  <c r="F35" i="3"/>
  <c r="G35" i="3" s="1"/>
  <c r="F34" i="3"/>
  <c r="G34" i="3" s="1"/>
  <c r="O34" i="19"/>
  <c r="F33" i="3"/>
  <c r="G33" i="3" s="1"/>
  <c r="F32" i="3"/>
  <c r="G32" i="3" s="1"/>
  <c r="O32" i="19"/>
  <c r="O31" i="19"/>
  <c r="F31" i="3"/>
  <c r="G31" i="3" s="1"/>
  <c r="F30" i="3"/>
  <c r="G30" i="3" s="1"/>
  <c r="O30" i="19"/>
  <c r="O29" i="19"/>
  <c r="F29" i="3"/>
  <c r="G29" i="3" s="1"/>
  <c r="F28" i="3"/>
  <c r="G28" i="3" s="1"/>
  <c r="O28" i="19"/>
  <c r="F26" i="3"/>
  <c r="G26" i="3" s="1"/>
  <c r="O26" i="19"/>
  <c r="O24" i="19"/>
  <c r="F24" i="3"/>
  <c r="G24" i="3" s="1"/>
  <c r="O23" i="19"/>
  <c r="F20" i="3"/>
  <c r="G20" i="3" s="1"/>
  <c r="O20" i="19"/>
  <c r="F18" i="3"/>
  <c r="G18" i="3" s="1"/>
  <c r="O18" i="19"/>
  <c r="F17" i="3"/>
  <c r="G17" i="3" s="1"/>
  <c r="O17" i="19"/>
  <c r="O16" i="19"/>
  <c r="O15" i="19"/>
  <c r="F15" i="3"/>
  <c r="G15" i="3" s="1"/>
  <c r="F14" i="3"/>
  <c r="G14" i="3" s="1"/>
  <c r="O14" i="19"/>
  <c r="F13" i="3"/>
  <c r="G13" i="3" s="1"/>
  <c r="O13" i="19"/>
  <c r="O3" i="19"/>
  <c r="F3" i="3"/>
  <c r="O9" i="19"/>
  <c r="E9" i="18"/>
  <c r="F6" i="3"/>
  <c r="G6" i="3" s="1"/>
  <c r="G7" i="3"/>
  <c r="G3" i="3"/>
  <c r="H3" i="3" s="1"/>
  <c r="H8" i="3"/>
  <c r="H4" i="3"/>
  <c r="O10" i="19"/>
  <c r="E10" i="18"/>
  <c r="F9" i="3"/>
  <c r="G9" i="3" s="1"/>
  <c r="F5" i="3"/>
  <c r="G5" i="3" s="1"/>
  <c r="H7" i="3"/>
  <c r="O6" i="19"/>
  <c r="E6" i="18"/>
  <c r="F8" i="3"/>
  <c r="F4" i="3"/>
  <c r="F85" i="21"/>
  <c r="G85" i="21" s="1"/>
  <c r="F81" i="21"/>
  <c r="G81" i="21" s="1"/>
  <c r="F77" i="21"/>
  <c r="G77" i="21" s="1"/>
  <c r="F73" i="21"/>
  <c r="G73" i="21" s="1"/>
  <c r="AF73" i="35" s="1"/>
  <c r="F69" i="21"/>
  <c r="G69" i="21" s="1"/>
  <c r="F65" i="21"/>
  <c r="G65" i="21" s="1"/>
  <c r="F61" i="21"/>
  <c r="G61" i="21" s="1"/>
  <c r="F57" i="21"/>
  <c r="G57" i="21" s="1"/>
  <c r="AF57" i="35" s="1"/>
  <c r="F53" i="21"/>
  <c r="F49" i="21"/>
  <c r="G49" i="21" s="1"/>
  <c r="F45" i="21"/>
  <c r="G45" i="21" s="1"/>
  <c r="F41" i="21"/>
  <c r="G41" i="21" s="1"/>
  <c r="AF41" i="35" s="1"/>
  <c r="F37" i="21"/>
  <c r="G37" i="21" s="1"/>
  <c r="F33" i="21"/>
  <c r="G33" i="21" s="1"/>
  <c r="F29" i="21"/>
  <c r="G29" i="21" s="1"/>
  <c r="F25" i="21"/>
  <c r="G25" i="21" s="1"/>
  <c r="AF25" i="35" s="1"/>
  <c r="F21" i="21"/>
  <c r="G21" i="21" s="1"/>
  <c r="F17" i="21"/>
  <c r="G17" i="21" s="1"/>
  <c r="F13" i="21"/>
  <c r="G13" i="21" s="1"/>
  <c r="F9" i="21"/>
  <c r="G82" i="21"/>
  <c r="G78" i="21"/>
  <c r="G74" i="21"/>
  <c r="G70" i="21"/>
  <c r="G62" i="21"/>
  <c r="G46" i="21"/>
  <c r="H87" i="21"/>
  <c r="H31" i="21"/>
  <c r="F84" i="21"/>
  <c r="G84" i="21" s="1"/>
  <c r="AF84" i="35" s="1"/>
  <c r="F80" i="21"/>
  <c r="G80" i="21" s="1"/>
  <c r="AF80" i="35" s="1"/>
  <c r="F76" i="21"/>
  <c r="G76" i="21" s="1"/>
  <c r="F72" i="21"/>
  <c r="G72" i="21" s="1"/>
  <c r="AF72" i="35" s="1"/>
  <c r="F68" i="21"/>
  <c r="G68" i="21" s="1"/>
  <c r="AF68" i="35" s="1"/>
  <c r="F64" i="21"/>
  <c r="G64" i="21" s="1"/>
  <c r="AF64" i="35" s="1"/>
  <c r="F60" i="21"/>
  <c r="G60" i="21" s="1"/>
  <c r="AF60" i="35" s="1"/>
  <c r="F56" i="21"/>
  <c r="G56" i="21" s="1"/>
  <c r="H56" i="21" s="1"/>
  <c r="F52" i="21"/>
  <c r="G52" i="21" s="1"/>
  <c r="AF52" i="35" s="1"/>
  <c r="F48" i="21"/>
  <c r="G48" i="21" s="1"/>
  <c r="AF48" i="35" s="1"/>
  <c r="F44" i="21"/>
  <c r="G44" i="21" s="1"/>
  <c r="AF44" i="35" s="1"/>
  <c r="F40" i="21"/>
  <c r="G40" i="21" s="1"/>
  <c r="F36" i="21"/>
  <c r="G36" i="21" s="1"/>
  <c r="AF36" i="35" s="1"/>
  <c r="F32" i="21"/>
  <c r="G32" i="21" s="1"/>
  <c r="AF32" i="35" s="1"/>
  <c r="F28" i="21"/>
  <c r="G28" i="21" s="1"/>
  <c r="F24" i="21"/>
  <c r="G24" i="21" s="1"/>
  <c r="AF24" i="35" s="1"/>
  <c r="F20" i="21"/>
  <c r="G20" i="21" s="1"/>
  <c r="AF20" i="35" s="1"/>
  <c r="F16" i="21"/>
  <c r="G16" i="21" s="1"/>
  <c r="F12" i="21"/>
  <c r="G12" i="21" s="1"/>
  <c r="AF12" i="35" s="1"/>
  <c r="G53" i="21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2" i="10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12" i="19"/>
  <c r="C13" i="19"/>
  <c r="C14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B87" i="25"/>
  <c r="B86" i="25"/>
  <c r="B85" i="25"/>
  <c r="B84" i="25"/>
  <c r="B83" i="25"/>
  <c r="F83" i="25" s="1"/>
  <c r="B82" i="25"/>
  <c r="B81" i="25"/>
  <c r="B80" i="25"/>
  <c r="F80" i="25" s="1"/>
  <c r="Z80" i="35" s="1"/>
  <c r="B79" i="25"/>
  <c r="B78" i="25"/>
  <c r="B77" i="25"/>
  <c r="B76" i="25"/>
  <c r="B75" i="25"/>
  <c r="B74" i="25"/>
  <c r="F74" i="25" s="1"/>
  <c r="Z74" i="35" s="1"/>
  <c r="B73" i="25"/>
  <c r="B72" i="25"/>
  <c r="B71" i="25"/>
  <c r="B70" i="25"/>
  <c r="B69" i="25"/>
  <c r="B68" i="25"/>
  <c r="F68" i="25" s="1"/>
  <c r="Z68" i="35" s="1"/>
  <c r="B67" i="25"/>
  <c r="B66" i="25"/>
  <c r="B65" i="25"/>
  <c r="B64" i="25"/>
  <c r="F64" i="25" s="1"/>
  <c r="Z64" i="35" s="1"/>
  <c r="B63" i="25"/>
  <c r="B62" i="25"/>
  <c r="B61" i="25"/>
  <c r="B60" i="25"/>
  <c r="F60" i="25" s="1"/>
  <c r="Z60" i="35" s="1"/>
  <c r="B59" i="25"/>
  <c r="B58" i="25"/>
  <c r="B57" i="25"/>
  <c r="B56" i="25"/>
  <c r="B55" i="25"/>
  <c r="B54" i="25"/>
  <c r="B53" i="25"/>
  <c r="B52" i="25"/>
  <c r="B51" i="25"/>
  <c r="F51" i="25" s="1"/>
  <c r="Z51" i="35" s="1"/>
  <c r="B50" i="25"/>
  <c r="B49" i="25"/>
  <c r="B48" i="25"/>
  <c r="F48" i="25" s="1"/>
  <c r="Z48" i="35" s="1"/>
  <c r="B47" i="25"/>
  <c r="F47" i="25" s="1"/>
  <c r="Z47" i="35" s="1"/>
  <c r="B46" i="25"/>
  <c r="B45" i="25"/>
  <c r="B44" i="25"/>
  <c r="F44" i="25" s="1"/>
  <c r="Z44" i="35" s="1"/>
  <c r="B43" i="25"/>
  <c r="B42" i="25"/>
  <c r="B41" i="25"/>
  <c r="B40" i="25"/>
  <c r="F40" i="25" s="1"/>
  <c r="Z40" i="35" s="1"/>
  <c r="B39" i="25"/>
  <c r="B38" i="25"/>
  <c r="F38" i="25" s="1"/>
  <c r="Z38" i="35" s="1"/>
  <c r="B37" i="25"/>
  <c r="B36" i="25"/>
  <c r="B35" i="25"/>
  <c r="B34" i="25"/>
  <c r="F34" i="25" s="1"/>
  <c r="Z34" i="35" s="1"/>
  <c r="B33" i="25"/>
  <c r="B32" i="25"/>
  <c r="F32" i="25" s="1"/>
  <c r="B31" i="25"/>
  <c r="F31" i="25" s="1"/>
  <c r="B30" i="25"/>
  <c r="B29" i="25"/>
  <c r="B28" i="25"/>
  <c r="F28" i="25" s="1"/>
  <c r="Z28" i="35" s="1"/>
  <c r="B27" i="25"/>
  <c r="B26" i="25"/>
  <c r="B25" i="25"/>
  <c r="B24" i="25"/>
  <c r="F24" i="25" s="1"/>
  <c r="Z24" i="35" s="1"/>
  <c r="B23" i="25"/>
  <c r="B22" i="25"/>
  <c r="B21" i="25"/>
  <c r="B20" i="25"/>
  <c r="F20" i="25" s="1"/>
  <c r="Z20" i="35" s="1"/>
  <c r="B19" i="25"/>
  <c r="B18" i="25"/>
  <c r="F18" i="25" s="1"/>
  <c r="B17" i="25"/>
  <c r="B16" i="25"/>
  <c r="F16" i="25" s="1"/>
  <c r="Z16" i="35" s="1"/>
  <c r="B15" i="25"/>
  <c r="F15" i="25" s="1"/>
  <c r="Z15" i="35" s="1"/>
  <c r="B14" i="25"/>
  <c r="B13" i="25"/>
  <c r="B12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K27" i="18" l="1"/>
  <c r="AE69" i="35"/>
  <c r="K51" i="18"/>
  <c r="AW15" i="35"/>
  <c r="AE14" i="35"/>
  <c r="AE11" i="35"/>
  <c r="AW51" i="35"/>
  <c r="AE31" i="35"/>
  <c r="AE59" i="35"/>
  <c r="K48" i="18"/>
  <c r="AE71" i="35"/>
  <c r="AE34" i="35"/>
  <c r="AE48" i="35"/>
  <c r="AW74" i="35"/>
  <c r="AE28" i="35"/>
  <c r="AE50" i="35"/>
  <c r="AE67" i="35"/>
  <c r="AE86" i="35"/>
  <c r="AE22" i="35"/>
  <c r="AE51" i="35"/>
  <c r="AE70" i="35"/>
  <c r="E13" i="25"/>
  <c r="D13" i="25"/>
  <c r="C13" i="25"/>
  <c r="E17" i="25"/>
  <c r="D17" i="25"/>
  <c r="G17" i="25" s="1"/>
  <c r="H17" i="25" s="1"/>
  <c r="I17" i="25" s="1"/>
  <c r="C17" i="25"/>
  <c r="E21" i="25"/>
  <c r="D21" i="25"/>
  <c r="C21" i="25"/>
  <c r="F21" i="25"/>
  <c r="E25" i="25"/>
  <c r="D25" i="25"/>
  <c r="C25" i="25"/>
  <c r="G25" i="25" s="1"/>
  <c r="H25" i="25" s="1"/>
  <c r="I25" i="25" s="1"/>
  <c r="F25" i="25"/>
  <c r="E29" i="25"/>
  <c r="D29" i="25"/>
  <c r="C29" i="25"/>
  <c r="G29" i="25" s="1"/>
  <c r="H29" i="25" s="1"/>
  <c r="I29" i="25" s="1"/>
  <c r="E33" i="25"/>
  <c r="D33" i="25"/>
  <c r="C33" i="25"/>
  <c r="E37" i="25"/>
  <c r="D37" i="25"/>
  <c r="C37" i="25"/>
  <c r="F37" i="25"/>
  <c r="E41" i="25"/>
  <c r="D41" i="25"/>
  <c r="C41" i="25"/>
  <c r="F41" i="25"/>
  <c r="AE41" i="19" s="1"/>
  <c r="BB41" i="19" s="1"/>
  <c r="E45" i="25"/>
  <c r="D45" i="25"/>
  <c r="C45" i="25"/>
  <c r="E49" i="25"/>
  <c r="D49" i="25"/>
  <c r="C49" i="25"/>
  <c r="E53" i="25"/>
  <c r="D53" i="25"/>
  <c r="C53" i="25"/>
  <c r="F53" i="25"/>
  <c r="E57" i="25"/>
  <c r="D57" i="25"/>
  <c r="C57" i="25"/>
  <c r="E61" i="25"/>
  <c r="D61" i="25"/>
  <c r="C61" i="25"/>
  <c r="F61" i="25"/>
  <c r="AE61" i="19" s="1"/>
  <c r="BB61" i="19" s="1"/>
  <c r="E65" i="25"/>
  <c r="D65" i="25"/>
  <c r="C65" i="25"/>
  <c r="E69" i="25"/>
  <c r="D69" i="25"/>
  <c r="C69" i="25"/>
  <c r="E73" i="25"/>
  <c r="D73" i="25"/>
  <c r="G73" i="25" s="1"/>
  <c r="H73" i="25" s="1"/>
  <c r="I73" i="25" s="1"/>
  <c r="C73" i="25"/>
  <c r="F73" i="25"/>
  <c r="Z73" i="35" s="1"/>
  <c r="AW73" i="35" s="1"/>
  <c r="E77" i="25"/>
  <c r="D77" i="25"/>
  <c r="G77" i="25" s="1"/>
  <c r="H77" i="25" s="1"/>
  <c r="I77" i="25" s="1"/>
  <c r="C77" i="25"/>
  <c r="E81" i="25"/>
  <c r="D81" i="25"/>
  <c r="C81" i="25"/>
  <c r="G81" i="25" s="1"/>
  <c r="H81" i="25" s="1"/>
  <c r="I81" i="25" s="1"/>
  <c r="AQ81" i="35" s="1"/>
  <c r="E85" i="25"/>
  <c r="D85" i="25"/>
  <c r="C85" i="25"/>
  <c r="E14" i="25"/>
  <c r="D14" i="25"/>
  <c r="C14" i="25"/>
  <c r="E18" i="25"/>
  <c r="D18" i="25"/>
  <c r="C18" i="25"/>
  <c r="E22" i="25"/>
  <c r="D22" i="25"/>
  <c r="C22" i="25"/>
  <c r="F22" i="25"/>
  <c r="E26" i="25"/>
  <c r="D26" i="25"/>
  <c r="C26" i="25"/>
  <c r="G26" i="25" s="1"/>
  <c r="H26" i="25" s="1"/>
  <c r="I26" i="25" s="1"/>
  <c r="AQ26" i="35" s="1"/>
  <c r="E30" i="25"/>
  <c r="D30" i="25"/>
  <c r="C30" i="25"/>
  <c r="D34" i="25"/>
  <c r="G34" i="25" s="1"/>
  <c r="H34" i="25" s="1"/>
  <c r="I34" i="25" s="1"/>
  <c r="AQ34" i="35" s="1"/>
  <c r="E34" i="25"/>
  <c r="C34" i="25"/>
  <c r="E38" i="25"/>
  <c r="D38" i="25"/>
  <c r="C38" i="25"/>
  <c r="D42" i="25"/>
  <c r="E42" i="25"/>
  <c r="C42" i="25"/>
  <c r="E46" i="25"/>
  <c r="D46" i="25"/>
  <c r="C46" i="25"/>
  <c r="D50" i="25"/>
  <c r="E50" i="25"/>
  <c r="C50" i="25"/>
  <c r="E54" i="25"/>
  <c r="D54" i="25"/>
  <c r="G54" i="25" s="1"/>
  <c r="H54" i="25" s="1"/>
  <c r="I54" i="25" s="1"/>
  <c r="AQ54" i="35" s="1"/>
  <c r="C54" i="25"/>
  <c r="E58" i="25"/>
  <c r="D58" i="25"/>
  <c r="C58" i="25"/>
  <c r="G58" i="25" s="1"/>
  <c r="H58" i="25" s="1"/>
  <c r="I58" i="25" s="1"/>
  <c r="D62" i="25"/>
  <c r="E62" i="25"/>
  <c r="C62" i="25"/>
  <c r="E66" i="25"/>
  <c r="D66" i="25"/>
  <c r="C66" i="25"/>
  <c r="D70" i="25"/>
  <c r="E70" i="25"/>
  <c r="C70" i="25"/>
  <c r="F70" i="25"/>
  <c r="E74" i="25"/>
  <c r="D74" i="25"/>
  <c r="G74" i="25" s="1"/>
  <c r="H74" i="25" s="1"/>
  <c r="I74" i="25" s="1"/>
  <c r="J74" i="25" s="1"/>
  <c r="C74" i="25"/>
  <c r="D78" i="25"/>
  <c r="E78" i="25"/>
  <c r="C78" i="25"/>
  <c r="F78" i="25"/>
  <c r="E82" i="25"/>
  <c r="D82" i="25"/>
  <c r="C82" i="25"/>
  <c r="F82" i="25"/>
  <c r="D86" i="25"/>
  <c r="E86" i="25"/>
  <c r="C86" i="25"/>
  <c r="F13" i="25"/>
  <c r="Z13" i="35" s="1"/>
  <c r="F17" i="25"/>
  <c r="F54" i="25"/>
  <c r="Z54" i="35" s="1"/>
  <c r="AW54" i="35" s="1"/>
  <c r="F62" i="25"/>
  <c r="Z62" i="35" s="1"/>
  <c r="AW62" i="35" s="1"/>
  <c r="F66" i="25"/>
  <c r="F69" i="25"/>
  <c r="E15" i="25"/>
  <c r="D15" i="25"/>
  <c r="G15" i="25" s="1"/>
  <c r="H15" i="25" s="1"/>
  <c r="I15" i="25" s="1"/>
  <c r="AQ15" i="35" s="1"/>
  <c r="C15" i="25"/>
  <c r="E19" i="25"/>
  <c r="D19" i="25"/>
  <c r="C19" i="25"/>
  <c r="F19" i="25"/>
  <c r="E23" i="25"/>
  <c r="D23" i="25"/>
  <c r="C23" i="25"/>
  <c r="G23" i="25" s="1"/>
  <c r="H23" i="25" s="1"/>
  <c r="I23" i="25" s="1"/>
  <c r="AQ23" i="35" s="1"/>
  <c r="E27" i="25"/>
  <c r="D27" i="25"/>
  <c r="C27" i="25"/>
  <c r="F27" i="25"/>
  <c r="E31" i="25"/>
  <c r="D31" i="25"/>
  <c r="C31" i="25"/>
  <c r="G31" i="25" s="1"/>
  <c r="H31" i="25" s="1"/>
  <c r="I31" i="25" s="1"/>
  <c r="E35" i="25"/>
  <c r="D35" i="25"/>
  <c r="C35" i="25"/>
  <c r="E39" i="25"/>
  <c r="D39" i="25"/>
  <c r="G39" i="25" s="1"/>
  <c r="H39" i="25" s="1"/>
  <c r="I39" i="25" s="1"/>
  <c r="AQ39" i="35" s="1"/>
  <c r="C39" i="25"/>
  <c r="E43" i="25"/>
  <c r="D43" i="25"/>
  <c r="C43" i="25"/>
  <c r="F43" i="25"/>
  <c r="E47" i="25"/>
  <c r="D47" i="25"/>
  <c r="C47" i="25"/>
  <c r="G47" i="25" s="1"/>
  <c r="H47" i="25" s="1"/>
  <c r="I47" i="25" s="1"/>
  <c r="AQ47" i="35" s="1"/>
  <c r="E51" i="25"/>
  <c r="D51" i="25"/>
  <c r="C51" i="25"/>
  <c r="E55" i="25"/>
  <c r="D55" i="25"/>
  <c r="C55" i="25"/>
  <c r="F55" i="25"/>
  <c r="E59" i="25"/>
  <c r="D59" i="25"/>
  <c r="C59" i="25"/>
  <c r="E63" i="25"/>
  <c r="D63" i="25"/>
  <c r="G63" i="25" s="1"/>
  <c r="H63" i="25" s="1"/>
  <c r="I63" i="25" s="1"/>
  <c r="AQ63" i="35" s="1"/>
  <c r="C63" i="25"/>
  <c r="E67" i="25"/>
  <c r="D67" i="25"/>
  <c r="C67" i="25"/>
  <c r="E71" i="25"/>
  <c r="D71" i="25"/>
  <c r="C71" i="25"/>
  <c r="E75" i="25"/>
  <c r="D75" i="25"/>
  <c r="C75" i="25"/>
  <c r="E79" i="25"/>
  <c r="D79" i="25"/>
  <c r="C79" i="25"/>
  <c r="F79" i="25"/>
  <c r="E83" i="25"/>
  <c r="D83" i="25"/>
  <c r="G83" i="25" s="1"/>
  <c r="H83" i="25" s="1"/>
  <c r="I83" i="25" s="1"/>
  <c r="C83" i="25"/>
  <c r="E87" i="25"/>
  <c r="D87" i="25"/>
  <c r="C87" i="25"/>
  <c r="F87" i="25"/>
  <c r="F23" i="25"/>
  <c r="Z23" i="35" s="1"/>
  <c r="AW23" i="35" s="1"/>
  <c r="F35" i="25"/>
  <c r="Z35" i="35" s="1"/>
  <c r="AW35" i="35" s="1"/>
  <c r="F42" i="25"/>
  <c r="Z42" i="35" s="1"/>
  <c r="AW42" i="35" s="1"/>
  <c r="F59" i="25"/>
  <c r="Z59" i="35" s="1"/>
  <c r="F63" i="25"/>
  <c r="Z63" i="35" s="1"/>
  <c r="F65" i="25"/>
  <c r="Z65" i="35" s="1"/>
  <c r="AW65" i="35" s="1"/>
  <c r="F67" i="25"/>
  <c r="Z67" i="35" s="1"/>
  <c r="AW67" i="35" s="1"/>
  <c r="F75" i="25"/>
  <c r="Z75" i="35" s="1"/>
  <c r="F46" i="25"/>
  <c r="G46" i="25" s="1"/>
  <c r="H46" i="25" s="1"/>
  <c r="I46" i="25" s="1"/>
  <c r="AQ46" i="35" s="1"/>
  <c r="F50" i="25"/>
  <c r="F30" i="25"/>
  <c r="F77" i="25"/>
  <c r="Z77" i="35" s="1"/>
  <c r="C12" i="25"/>
  <c r="E12" i="25"/>
  <c r="D12" i="25"/>
  <c r="F12" i="25"/>
  <c r="C16" i="25"/>
  <c r="E16" i="25"/>
  <c r="D16" i="25"/>
  <c r="G16" i="25" s="1"/>
  <c r="H16" i="25" s="1"/>
  <c r="I16" i="25" s="1"/>
  <c r="AQ16" i="35" s="1"/>
  <c r="C20" i="25"/>
  <c r="E20" i="25"/>
  <c r="D20" i="25"/>
  <c r="C24" i="25"/>
  <c r="G24" i="25" s="1"/>
  <c r="H24" i="25" s="1"/>
  <c r="I24" i="25" s="1"/>
  <c r="AQ24" i="35" s="1"/>
  <c r="E24" i="25"/>
  <c r="D24" i="25"/>
  <c r="C28" i="25"/>
  <c r="E28" i="25"/>
  <c r="D28" i="25"/>
  <c r="C32" i="25"/>
  <c r="E32" i="25"/>
  <c r="D32" i="25"/>
  <c r="C36" i="25"/>
  <c r="E36" i="25"/>
  <c r="D36" i="25"/>
  <c r="F36" i="25"/>
  <c r="AE36" i="19" s="1"/>
  <c r="BB36" i="19" s="1"/>
  <c r="C40" i="25"/>
  <c r="E40" i="25"/>
  <c r="D40" i="25"/>
  <c r="C44" i="25"/>
  <c r="G44" i="25" s="1"/>
  <c r="H44" i="25" s="1"/>
  <c r="I44" i="25" s="1"/>
  <c r="E44" i="25"/>
  <c r="D44" i="25"/>
  <c r="C48" i="25"/>
  <c r="E48" i="25"/>
  <c r="D48" i="25"/>
  <c r="C52" i="25"/>
  <c r="E52" i="25"/>
  <c r="D52" i="25"/>
  <c r="F52" i="25"/>
  <c r="C56" i="25"/>
  <c r="E56" i="25"/>
  <c r="D56" i="25"/>
  <c r="G56" i="25" s="1"/>
  <c r="H56" i="25" s="1"/>
  <c r="I56" i="25" s="1"/>
  <c r="F56" i="25"/>
  <c r="Z56" i="35" s="1"/>
  <c r="C60" i="25"/>
  <c r="D60" i="25"/>
  <c r="E60" i="25"/>
  <c r="C64" i="25"/>
  <c r="E64" i="25"/>
  <c r="D64" i="25"/>
  <c r="C68" i="25"/>
  <c r="G68" i="25" s="1"/>
  <c r="H68" i="25" s="1"/>
  <c r="I68" i="25" s="1"/>
  <c r="AQ68" i="35" s="1"/>
  <c r="D68" i="25"/>
  <c r="E68" i="25"/>
  <c r="C72" i="25"/>
  <c r="D72" i="25"/>
  <c r="E72" i="25"/>
  <c r="F72" i="25"/>
  <c r="C76" i="25"/>
  <c r="D76" i="25"/>
  <c r="E76" i="25"/>
  <c r="C80" i="25"/>
  <c r="E80" i="25"/>
  <c r="D80" i="25"/>
  <c r="C84" i="25"/>
  <c r="D84" i="25"/>
  <c r="E84" i="25"/>
  <c r="F84" i="25"/>
  <c r="F14" i="25"/>
  <c r="F26" i="25"/>
  <c r="F29" i="25"/>
  <c r="Z29" i="35" s="1"/>
  <c r="AW29" i="35" s="1"/>
  <c r="F33" i="25"/>
  <c r="AE33" i="19" s="1"/>
  <c r="BB33" i="19" s="1"/>
  <c r="F39" i="25"/>
  <c r="Z39" i="35" s="1"/>
  <c r="F45" i="25"/>
  <c r="Z45" i="35" s="1"/>
  <c r="F49" i="25"/>
  <c r="Z49" i="35" s="1"/>
  <c r="AW49" i="35" s="1"/>
  <c r="F57" i="25"/>
  <c r="Z57" i="35" s="1"/>
  <c r="F71" i="25"/>
  <c r="Z71" i="35" s="1"/>
  <c r="F81" i="25"/>
  <c r="Z81" i="35" s="1"/>
  <c r="AW81" i="35" s="1"/>
  <c r="F58" i="25"/>
  <c r="Z58" i="35" s="1"/>
  <c r="AW58" i="35" s="1"/>
  <c r="F86" i="25"/>
  <c r="Z86" i="35" s="1"/>
  <c r="AW86" i="35" s="1"/>
  <c r="F76" i="25"/>
  <c r="F85" i="25"/>
  <c r="Z85" i="35" s="1"/>
  <c r="AW85" i="35" s="1"/>
  <c r="AI33" i="35"/>
  <c r="H33" i="24"/>
  <c r="H44" i="24"/>
  <c r="AI44" i="35"/>
  <c r="AN44" i="19"/>
  <c r="AI61" i="35"/>
  <c r="AE17" i="35"/>
  <c r="AE37" i="35"/>
  <c r="AE62" i="35"/>
  <c r="AE41" i="35"/>
  <c r="AE53" i="35"/>
  <c r="AE36" i="35"/>
  <c r="AE64" i="35"/>
  <c r="AE66" i="35"/>
  <c r="AE54" i="35"/>
  <c r="AE16" i="35"/>
  <c r="AE35" i="35"/>
  <c r="AE45" i="35"/>
  <c r="AE58" i="35"/>
  <c r="AE84" i="35"/>
  <c r="AE88" i="35"/>
  <c r="AE29" i="35"/>
  <c r="AE40" i="35"/>
  <c r="AE65" i="35"/>
  <c r="AE80" i="35"/>
  <c r="AE8" i="35"/>
  <c r="AE38" i="35"/>
  <c r="AE27" i="35"/>
  <c r="J79" i="18"/>
  <c r="K12" i="18"/>
  <c r="AL88" i="35"/>
  <c r="AZ88" i="35" s="1"/>
  <c r="BD88" i="35" s="1"/>
  <c r="BE88" i="35" s="1"/>
  <c r="AE32" i="35"/>
  <c r="AE60" i="35"/>
  <c r="AE3" i="35"/>
  <c r="AE81" i="35"/>
  <c r="AE15" i="35"/>
  <c r="AE20" i="35"/>
  <c r="AE42" i="35"/>
  <c r="AE55" i="35"/>
  <c r="AE63" i="35"/>
  <c r="K22" i="18"/>
  <c r="J70" i="18"/>
  <c r="K84" i="18"/>
  <c r="AE7" i="35"/>
  <c r="AE13" i="35"/>
  <c r="AE26" i="35"/>
  <c r="AE44" i="35"/>
  <c r="AE46" i="35"/>
  <c r="AE4" i="35"/>
  <c r="AE12" i="35"/>
  <c r="AE19" i="35"/>
  <c r="AE82" i="35"/>
  <c r="AE43" i="35"/>
  <c r="K80" i="18"/>
  <c r="H71" i="3"/>
  <c r="H38" i="3"/>
  <c r="AE56" i="35"/>
  <c r="H56" i="3"/>
  <c r="AE6" i="35"/>
  <c r="H6" i="3"/>
  <c r="AE87" i="35"/>
  <c r="H87" i="3"/>
  <c r="F88" i="34" s="1"/>
  <c r="AE75" i="35"/>
  <c r="H75" i="3"/>
  <c r="AW71" i="35"/>
  <c r="H62" i="3"/>
  <c r="AJ38" i="19"/>
  <c r="AE21" i="35"/>
  <c r="H21" i="3"/>
  <c r="J18" i="18"/>
  <c r="H11" i="3"/>
  <c r="J44" i="18"/>
  <c r="J31" i="18"/>
  <c r="AU68" i="19"/>
  <c r="J69" i="34"/>
  <c r="J69" i="29"/>
  <c r="J69" i="28"/>
  <c r="H86" i="24"/>
  <c r="AI86" i="35"/>
  <c r="AN86" i="19"/>
  <c r="H77" i="24"/>
  <c r="J78" i="28" s="1"/>
  <c r="AN77" i="19"/>
  <c r="AI77" i="35"/>
  <c r="AE73" i="19"/>
  <c r="AN70" i="19"/>
  <c r="AI70" i="35"/>
  <c r="J69" i="31"/>
  <c r="AP68" i="35"/>
  <c r="J24" i="27"/>
  <c r="AN62" i="19"/>
  <c r="AI62" i="35"/>
  <c r="AI36" i="35"/>
  <c r="AN33" i="19"/>
  <c r="H32" i="24"/>
  <c r="AN32" i="19"/>
  <c r="AN20" i="19"/>
  <c r="AI20" i="35"/>
  <c r="AP86" i="35"/>
  <c r="J87" i="31"/>
  <c r="J87" i="33"/>
  <c r="J87" i="29"/>
  <c r="J87" i="34"/>
  <c r="J87" i="28"/>
  <c r="AU86" i="19"/>
  <c r="J87" i="32"/>
  <c r="J86" i="27"/>
  <c r="AI85" i="35"/>
  <c r="AN85" i="19"/>
  <c r="H85" i="24"/>
  <c r="J78" i="34"/>
  <c r="H73" i="24"/>
  <c r="AI73" i="35"/>
  <c r="AN73" i="19"/>
  <c r="J72" i="33"/>
  <c r="J72" i="29"/>
  <c r="J72" i="34"/>
  <c r="J71" i="27"/>
  <c r="AU71" i="19"/>
  <c r="J72" i="32"/>
  <c r="J72" i="28"/>
  <c r="AP71" i="35"/>
  <c r="J72" i="31"/>
  <c r="G70" i="25"/>
  <c r="H70" i="25" s="1"/>
  <c r="I70" i="25" s="1"/>
  <c r="J70" i="25" s="1"/>
  <c r="AR70" i="35" s="1"/>
  <c r="J71" i="32"/>
  <c r="J70" i="27"/>
  <c r="AP70" i="35"/>
  <c r="J71" i="31"/>
  <c r="J71" i="33"/>
  <c r="J71" i="29"/>
  <c r="AU70" i="19"/>
  <c r="J71" i="34"/>
  <c r="J71" i="28"/>
  <c r="AW63" i="35"/>
  <c r="AU61" i="19"/>
  <c r="J62" i="34"/>
  <c r="J62" i="28"/>
  <c r="J62" i="32"/>
  <c r="J62" i="29"/>
  <c r="J62" i="33"/>
  <c r="J61" i="27"/>
  <c r="AP61" i="35"/>
  <c r="J62" i="31"/>
  <c r="AN61" i="19"/>
  <c r="AW59" i="35"/>
  <c r="AU56" i="19"/>
  <c r="J56" i="27"/>
  <c r="J57" i="33"/>
  <c r="J57" i="31"/>
  <c r="AP56" i="35"/>
  <c r="J57" i="29"/>
  <c r="J57" i="32"/>
  <c r="J57" i="28"/>
  <c r="AP55" i="35"/>
  <c r="AI55" i="35"/>
  <c r="J56" i="31"/>
  <c r="J56" i="34"/>
  <c r="J55" i="27"/>
  <c r="J56" i="29"/>
  <c r="J56" i="33"/>
  <c r="AN55" i="19"/>
  <c r="J56" i="28"/>
  <c r="J56" i="32"/>
  <c r="H50" i="24"/>
  <c r="AI50" i="35"/>
  <c r="AN50" i="19"/>
  <c r="AW45" i="35"/>
  <c r="AE44" i="19"/>
  <c r="BB44" i="19" s="1"/>
  <c r="H41" i="24"/>
  <c r="AI41" i="35"/>
  <c r="AN41" i="19"/>
  <c r="AU36" i="19"/>
  <c r="J37" i="32"/>
  <c r="J37" i="29"/>
  <c r="J37" i="33"/>
  <c r="J36" i="27"/>
  <c r="AP36" i="35"/>
  <c r="J37" i="31"/>
  <c r="J37" i="34"/>
  <c r="J37" i="28"/>
  <c r="H31" i="24"/>
  <c r="AI31" i="35"/>
  <c r="AN31" i="19"/>
  <c r="H25" i="24"/>
  <c r="AI25" i="35"/>
  <c r="AN25" i="19"/>
  <c r="J83" i="18"/>
  <c r="K73" i="18"/>
  <c r="AE56" i="19"/>
  <c r="BB56" i="19" s="1"/>
  <c r="AE55" i="19"/>
  <c r="Z55" i="35"/>
  <c r="AW55" i="35" s="1"/>
  <c r="G52" i="25"/>
  <c r="G50" i="25"/>
  <c r="H50" i="25" s="1"/>
  <c r="I50" i="25" s="1"/>
  <c r="Z50" i="35"/>
  <c r="AW50" i="35" s="1"/>
  <c r="Z41" i="35"/>
  <c r="AW41" i="35" s="1"/>
  <c r="J37" i="25"/>
  <c r="AW37" i="19" s="1"/>
  <c r="J37" i="10" s="1"/>
  <c r="H37" i="25"/>
  <c r="AW13" i="35"/>
  <c r="AE77" i="19"/>
  <c r="BB77" i="19" s="1"/>
  <c r="AW77" i="35"/>
  <c r="G86" i="25"/>
  <c r="H86" i="25" s="1"/>
  <c r="I86" i="25" s="1"/>
  <c r="AE85" i="19"/>
  <c r="BB85" i="19" s="1"/>
  <c r="G85" i="25"/>
  <c r="H85" i="25" s="1"/>
  <c r="I85" i="25" s="1"/>
  <c r="J76" i="25"/>
  <c r="AR76" i="35" s="1"/>
  <c r="AE72" i="19"/>
  <c r="BB72" i="19" s="1"/>
  <c r="G72" i="25"/>
  <c r="K72" i="18"/>
  <c r="AW57" i="35"/>
  <c r="AW56" i="35"/>
  <c r="H52" i="25"/>
  <c r="AE52" i="19"/>
  <c r="BB52" i="19" s="1"/>
  <c r="I52" i="25"/>
  <c r="AQ52" i="35" s="1"/>
  <c r="AE50" i="19"/>
  <c r="G41" i="25"/>
  <c r="H41" i="25" s="1"/>
  <c r="I41" i="25" s="1"/>
  <c r="G37" i="25"/>
  <c r="Z31" i="35"/>
  <c r="AW31" i="35" s="1"/>
  <c r="AE31" i="19"/>
  <c r="BB31" i="19" s="1"/>
  <c r="K24" i="18"/>
  <c r="I22" i="33"/>
  <c r="P22" i="33" s="1"/>
  <c r="I21" i="27"/>
  <c r="P21" i="27" s="1"/>
  <c r="AO21" i="35"/>
  <c r="BC21" i="35" s="1"/>
  <c r="I22" i="31"/>
  <c r="P22" i="31" s="1"/>
  <c r="AT21" i="19"/>
  <c r="BH21" i="19" s="1"/>
  <c r="I22" i="32"/>
  <c r="P22" i="32" s="1"/>
  <c r="I22" i="28"/>
  <c r="P22" i="28" s="1"/>
  <c r="I22" i="34"/>
  <c r="P22" i="34" s="1"/>
  <c r="I22" i="29"/>
  <c r="P22" i="29" s="1"/>
  <c r="K85" i="18"/>
  <c r="H86" i="33"/>
  <c r="O86" i="33" s="1"/>
  <c r="H86" i="29"/>
  <c r="O86" i="29" s="1"/>
  <c r="H86" i="34"/>
  <c r="O86" i="34" s="1"/>
  <c r="H86" i="28"/>
  <c r="O86" i="28" s="1"/>
  <c r="AS85" i="19"/>
  <c r="G85" i="10" s="1"/>
  <c r="H86" i="32"/>
  <c r="O86" i="32" s="1"/>
  <c r="H85" i="27"/>
  <c r="O85" i="27" s="1"/>
  <c r="AN85" i="35"/>
  <c r="BB85" i="35" s="1"/>
  <c r="H86" i="31"/>
  <c r="O86" i="31" s="1"/>
  <c r="AG70" i="35"/>
  <c r="H70" i="22"/>
  <c r="AL70" i="19"/>
  <c r="K67" i="18"/>
  <c r="AG52" i="35"/>
  <c r="H52" i="22"/>
  <c r="AL52" i="19"/>
  <c r="J48" i="18"/>
  <c r="AW44" i="35"/>
  <c r="J39" i="18"/>
  <c r="J34" i="18"/>
  <c r="J32" i="18"/>
  <c r="H32" i="33"/>
  <c r="O32" i="33" s="1"/>
  <c r="H31" i="27"/>
  <c r="O31" i="27" s="1"/>
  <c r="AS31" i="19"/>
  <c r="H32" i="32"/>
  <c r="O32" i="32" s="1"/>
  <c r="H32" i="29"/>
  <c r="O32" i="29" s="1"/>
  <c r="H32" i="28"/>
  <c r="O32" i="28" s="1"/>
  <c r="AN31" i="35"/>
  <c r="BB31" i="35" s="1"/>
  <c r="H32" i="31"/>
  <c r="O32" i="31" s="1"/>
  <c r="H32" i="34"/>
  <c r="O32" i="34" s="1"/>
  <c r="H26" i="34"/>
  <c r="O26" i="34" s="1"/>
  <c r="H26" i="28"/>
  <c r="O26" i="28" s="1"/>
  <c r="H26" i="32"/>
  <c r="O26" i="32" s="1"/>
  <c r="H25" i="27"/>
  <c r="O25" i="27" s="1"/>
  <c r="H26" i="29"/>
  <c r="O26" i="29" s="1"/>
  <c r="AN25" i="35"/>
  <c r="BB25" i="35" s="1"/>
  <c r="H26" i="31"/>
  <c r="O26" i="31" s="1"/>
  <c r="AS25" i="19"/>
  <c r="BG25" i="19" s="1"/>
  <c r="H26" i="33"/>
  <c r="O26" i="33" s="1"/>
  <c r="J24" i="18"/>
  <c r="AN21" i="35"/>
  <c r="BB21" i="35" s="1"/>
  <c r="H22" i="31"/>
  <c r="O22" i="31" s="1"/>
  <c r="AS21" i="19"/>
  <c r="H22" i="32"/>
  <c r="O22" i="32" s="1"/>
  <c r="H21" i="27"/>
  <c r="O21" i="27" s="1"/>
  <c r="H22" i="34"/>
  <c r="O22" i="34" s="1"/>
  <c r="H22" i="29"/>
  <c r="O22" i="29" s="1"/>
  <c r="H22" i="33"/>
  <c r="O22" i="33" s="1"/>
  <c r="H22" i="28"/>
  <c r="O22" i="28" s="1"/>
  <c r="AG19" i="35"/>
  <c r="H19" i="22"/>
  <c r="AL19" i="19"/>
  <c r="AG11" i="35"/>
  <c r="H11" i="22"/>
  <c r="H12" i="34" s="1"/>
  <c r="O12" i="34" s="1"/>
  <c r="J76" i="18"/>
  <c r="J86" i="18"/>
  <c r="K83" i="18"/>
  <c r="F76" i="5"/>
  <c r="AI76" i="19"/>
  <c r="AD76" i="35"/>
  <c r="AW75" i="35"/>
  <c r="F60" i="5"/>
  <c r="AK56" i="35"/>
  <c r="AY56" i="35" s="1"/>
  <c r="E57" i="31"/>
  <c r="L57" i="31" s="1"/>
  <c r="AP56" i="19"/>
  <c r="E57" i="33"/>
  <c r="L57" i="33" s="1"/>
  <c r="E57" i="29"/>
  <c r="L57" i="29" s="1"/>
  <c r="E57" i="32"/>
  <c r="L57" i="32" s="1"/>
  <c r="E57" i="28"/>
  <c r="L57" i="28" s="1"/>
  <c r="E57" i="34"/>
  <c r="L57" i="34" s="1"/>
  <c r="E56" i="27"/>
  <c r="L56" i="27" s="1"/>
  <c r="F52" i="5"/>
  <c r="AD52" i="35"/>
  <c r="AI52" i="19"/>
  <c r="AI49" i="19"/>
  <c r="AW47" i="35"/>
  <c r="AW39" i="35"/>
  <c r="AW38" i="35"/>
  <c r="AW34" i="35"/>
  <c r="AD25" i="35"/>
  <c r="AI25" i="19"/>
  <c r="F25" i="5"/>
  <c r="E26" i="33" s="1"/>
  <c r="L26" i="33" s="1"/>
  <c r="J25" i="18"/>
  <c r="J21" i="18"/>
  <c r="AD11" i="35"/>
  <c r="F11" i="5"/>
  <c r="G86" i="4"/>
  <c r="AC86" i="35"/>
  <c r="AH86" i="19"/>
  <c r="J65" i="18"/>
  <c r="J64" i="18"/>
  <c r="K54" i="18"/>
  <c r="AO52" i="19"/>
  <c r="D53" i="32"/>
  <c r="K53" i="32" s="1"/>
  <c r="D53" i="28"/>
  <c r="K53" i="28" s="1"/>
  <c r="AJ52" i="35"/>
  <c r="AX52" i="35" s="1"/>
  <c r="D53" i="31"/>
  <c r="K53" i="31" s="1"/>
  <c r="D53" i="33"/>
  <c r="K53" i="33" s="1"/>
  <c r="D52" i="27"/>
  <c r="K52" i="27" s="1"/>
  <c r="D53" i="34"/>
  <c r="K53" i="34" s="1"/>
  <c r="D53" i="29"/>
  <c r="K53" i="29" s="1"/>
  <c r="J49" i="18"/>
  <c r="J46" i="18"/>
  <c r="J40" i="18"/>
  <c r="K38" i="18"/>
  <c r="J35" i="18"/>
  <c r="G25" i="4"/>
  <c r="AH25" i="19"/>
  <c r="AC25" i="35"/>
  <c r="AI14" i="35"/>
  <c r="AN14" i="19"/>
  <c r="AI15" i="35"/>
  <c r="AN15" i="19"/>
  <c r="AP17" i="35"/>
  <c r="J18" i="34"/>
  <c r="J18" i="32"/>
  <c r="J18" i="33"/>
  <c r="J18" i="31"/>
  <c r="J18" i="28"/>
  <c r="J18" i="29"/>
  <c r="J17" i="27"/>
  <c r="AI24" i="35"/>
  <c r="AN24" i="19"/>
  <c r="AI34" i="35"/>
  <c r="AN34" i="19"/>
  <c r="AI38" i="35"/>
  <c r="AN38" i="19"/>
  <c r="AI45" i="35"/>
  <c r="AN45" i="19"/>
  <c r="AI47" i="35"/>
  <c r="AN47" i="19"/>
  <c r="AI54" i="35"/>
  <c r="AN54" i="19"/>
  <c r="AI64" i="35"/>
  <c r="AN64" i="19"/>
  <c r="AI80" i="35"/>
  <c r="AN80" i="19"/>
  <c r="AI83" i="35"/>
  <c r="AN83" i="19"/>
  <c r="AP74" i="35"/>
  <c r="J75" i="33"/>
  <c r="J75" i="34"/>
  <c r="J75" i="32"/>
  <c r="J75" i="31"/>
  <c r="J75" i="29"/>
  <c r="J75" i="28"/>
  <c r="J74" i="27"/>
  <c r="AP20" i="35"/>
  <c r="J21" i="34"/>
  <c r="J21" i="32"/>
  <c r="J21" i="33"/>
  <c r="J21" i="31"/>
  <c r="J21" i="29"/>
  <c r="J20" i="27"/>
  <c r="J21" i="28"/>
  <c r="AP16" i="35"/>
  <c r="J17" i="34"/>
  <c r="J17" i="32"/>
  <c r="J17" i="33"/>
  <c r="J17" i="31"/>
  <c r="J17" i="29"/>
  <c r="J16" i="27"/>
  <c r="J17" i="28"/>
  <c r="AI18" i="35"/>
  <c r="AN18" i="19"/>
  <c r="AP26" i="35"/>
  <c r="J27" i="33"/>
  <c r="J27" i="34"/>
  <c r="J27" i="32"/>
  <c r="J27" i="31"/>
  <c r="J27" i="29"/>
  <c r="J27" i="28"/>
  <c r="J26" i="27"/>
  <c r="H28" i="24"/>
  <c r="AU28" i="19" s="1"/>
  <c r="AI28" i="35"/>
  <c r="AN28" i="19"/>
  <c r="AI30" i="35"/>
  <c r="AN30" i="19"/>
  <c r="AP33" i="35"/>
  <c r="J34" i="34"/>
  <c r="J34" i="32"/>
  <c r="J34" i="33"/>
  <c r="J34" i="31"/>
  <c r="J34" i="28"/>
  <c r="J34" i="29"/>
  <c r="J33" i="27"/>
  <c r="AI39" i="35"/>
  <c r="AN39" i="19"/>
  <c r="AI42" i="35"/>
  <c r="AN42" i="19"/>
  <c r="AI60" i="35"/>
  <c r="AN60" i="19"/>
  <c r="AI71" i="35"/>
  <c r="AN71" i="19"/>
  <c r="AI75" i="35"/>
  <c r="AN75" i="19"/>
  <c r="AI81" i="35"/>
  <c r="AN81" i="19"/>
  <c r="AI58" i="35"/>
  <c r="AN58" i="19"/>
  <c r="AI23" i="35"/>
  <c r="AN23" i="19"/>
  <c r="AI26" i="35"/>
  <c r="AN26" i="19"/>
  <c r="AI29" i="35"/>
  <c r="AN29" i="19"/>
  <c r="AI35" i="35"/>
  <c r="AN35" i="19"/>
  <c r="AH46" i="35"/>
  <c r="AM46" i="19"/>
  <c r="AI49" i="35"/>
  <c r="AN49" i="19"/>
  <c r="AI57" i="35"/>
  <c r="AN57" i="19"/>
  <c r="AI63" i="35"/>
  <c r="AN63" i="19"/>
  <c r="AI65" i="35"/>
  <c r="AN65" i="19"/>
  <c r="AP67" i="35"/>
  <c r="J68" i="33"/>
  <c r="J68" i="34"/>
  <c r="J68" i="32"/>
  <c r="J68" i="31"/>
  <c r="J68" i="29"/>
  <c r="J42" i="27"/>
  <c r="J68" i="28"/>
  <c r="AI74" i="35"/>
  <c r="AN74" i="19"/>
  <c r="AI13" i="35"/>
  <c r="AN13" i="19"/>
  <c r="AU32" i="19"/>
  <c r="AP32" i="35"/>
  <c r="J33" i="34"/>
  <c r="J33" i="32"/>
  <c r="J33" i="33"/>
  <c r="J33" i="31"/>
  <c r="J33" i="29"/>
  <c r="J32" i="27"/>
  <c r="J33" i="28"/>
  <c r="AI40" i="35"/>
  <c r="AN40" i="19"/>
  <c r="AI48" i="35"/>
  <c r="AN48" i="19"/>
  <c r="AI59" i="35"/>
  <c r="AN59" i="19"/>
  <c r="AP62" i="35"/>
  <c r="J63" i="33"/>
  <c r="J63" i="34"/>
  <c r="J63" i="32"/>
  <c r="J63" i="31"/>
  <c r="J63" i="29"/>
  <c r="J63" i="28"/>
  <c r="J62" i="27"/>
  <c r="AI66" i="35"/>
  <c r="AN66" i="19"/>
  <c r="AP69" i="35"/>
  <c r="J70" i="34"/>
  <c r="J70" i="32"/>
  <c r="J70" i="33"/>
  <c r="J70" i="31"/>
  <c r="J70" i="28"/>
  <c r="J70" i="29"/>
  <c r="J69" i="27"/>
  <c r="AP80" i="35"/>
  <c r="J81" i="34"/>
  <c r="J81" i="32"/>
  <c r="J81" i="33"/>
  <c r="J81" i="31"/>
  <c r="J81" i="28"/>
  <c r="J81" i="29"/>
  <c r="J80" i="27"/>
  <c r="AH87" i="35"/>
  <c r="AM87" i="19"/>
  <c r="AE18" i="19"/>
  <c r="Z18" i="35"/>
  <c r="AW18" i="35" s="1"/>
  <c r="AE32" i="19"/>
  <c r="BB32" i="19" s="1"/>
  <c r="Z32" i="35"/>
  <c r="Z33" i="35"/>
  <c r="AW33" i="35" s="1"/>
  <c r="G69" i="25"/>
  <c r="H69" i="25" s="1"/>
  <c r="I69" i="25" s="1"/>
  <c r="AQ69" i="35" s="1"/>
  <c r="Z69" i="35"/>
  <c r="AW69" i="35" s="1"/>
  <c r="AH13" i="35"/>
  <c r="AM13" i="19"/>
  <c r="AH20" i="35"/>
  <c r="AM20" i="19"/>
  <c r="AH28" i="35"/>
  <c r="AM28" i="19"/>
  <c r="AH32" i="35"/>
  <c r="AM32" i="19"/>
  <c r="AH34" i="35"/>
  <c r="AM34" i="19"/>
  <c r="AH40" i="35"/>
  <c r="AM40" i="19"/>
  <c r="AH41" i="35"/>
  <c r="AM41" i="19"/>
  <c r="AH42" i="35"/>
  <c r="AM42" i="19"/>
  <c r="AI46" i="35"/>
  <c r="AN46" i="19"/>
  <c r="AH54" i="35"/>
  <c r="AM54" i="19"/>
  <c r="AH57" i="35"/>
  <c r="AM57" i="19"/>
  <c r="AH59" i="35"/>
  <c r="AM59" i="19"/>
  <c r="AH63" i="35"/>
  <c r="AM63" i="19"/>
  <c r="AH66" i="35"/>
  <c r="AM66" i="19"/>
  <c r="AH68" i="35"/>
  <c r="AM68" i="19"/>
  <c r="AO12" i="35"/>
  <c r="BC12" i="35" s="1"/>
  <c r="I13" i="33"/>
  <c r="P13" i="33" s="1"/>
  <c r="I13" i="34"/>
  <c r="P13" i="34" s="1"/>
  <c r="I13" i="32"/>
  <c r="P13" i="32" s="1"/>
  <c r="I13" i="31"/>
  <c r="P13" i="31" s="1"/>
  <c r="I12" i="27"/>
  <c r="P12" i="27" s="1"/>
  <c r="I13" i="28"/>
  <c r="P13" i="28" s="1"/>
  <c r="I13" i="29"/>
  <c r="P13" i="29" s="1"/>
  <c r="AT12" i="19"/>
  <c r="AO74" i="35"/>
  <c r="BC74" i="35" s="1"/>
  <c r="I75" i="34"/>
  <c r="P75" i="34" s="1"/>
  <c r="I75" i="33"/>
  <c r="P75" i="33" s="1"/>
  <c r="I75" i="32"/>
  <c r="P75" i="32" s="1"/>
  <c r="I75" i="31"/>
  <c r="P75" i="31" s="1"/>
  <c r="I74" i="27"/>
  <c r="P74" i="27" s="1"/>
  <c r="I75" i="28"/>
  <c r="P75" i="28" s="1"/>
  <c r="I75" i="29"/>
  <c r="P75" i="29" s="1"/>
  <c r="AT74" i="19"/>
  <c r="AH25" i="35"/>
  <c r="AM25" i="19"/>
  <c r="AH78" i="35"/>
  <c r="AM78" i="19"/>
  <c r="AO53" i="35"/>
  <c r="BC53" i="35" s="1"/>
  <c r="I54" i="33"/>
  <c r="P54" i="33" s="1"/>
  <c r="I54" i="34"/>
  <c r="P54" i="34" s="1"/>
  <c r="I54" i="32"/>
  <c r="P54" i="32" s="1"/>
  <c r="I54" i="31"/>
  <c r="P54" i="31" s="1"/>
  <c r="I53" i="27"/>
  <c r="P53" i="27" s="1"/>
  <c r="I54" i="28"/>
  <c r="P54" i="28" s="1"/>
  <c r="I54" i="29"/>
  <c r="P54" i="29" s="1"/>
  <c r="AT53" i="19"/>
  <c r="AO85" i="35"/>
  <c r="BC85" i="35" s="1"/>
  <c r="I86" i="33"/>
  <c r="P86" i="33" s="1"/>
  <c r="I86" i="32"/>
  <c r="P86" i="32" s="1"/>
  <c r="I86" i="34"/>
  <c r="P86" i="34" s="1"/>
  <c r="I86" i="31"/>
  <c r="P86" i="31" s="1"/>
  <c r="I85" i="27"/>
  <c r="P85" i="27" s="1"/>
  <c r="I86" i="28"/>
  <c r="P86" i="28" s="1"/>
  <c r="I86" i="29"/>
  <c r="P86" i="29" s="1"/>
  <c r="AT85" i="19"/>
  <c r="AH71" i="35"/>
  <c r="AM71" i="19"/>
  <c r="AO72" i="35"/>
  <c r="BC72" i="35" s="1"/>
  <c r="I73" i="33"/>
  <c r="P73" i="33" s="1"/>
  <c r="I73" i="34"/>
  <c r="P73" i="34" s="1"/>
  <c r="I73" i="32"/>
  <c r="P73" i="32" s="1"/>
  <c r="I73" i="31"/>
  <c r="P73" i="31" s="1"/>
  <c r="I72" i="27"/>
  <c r="P72" i="27" s="1"/>
  <c r="I73" i="28"/>
  <c r="P73" i="28" s="1"/>
  <c r="I73" i="29"/>
  <c r="P73" i="29" s="1"/>
  <c r="AT72" i="19"/>
  <c r="AH21" i="35"/>
  <c r="AM21" i="19"/>
  <c r="AH76" i="35"/>
  <c r="AM76" i="19"/>
  <c r="AO44" i="35"/>
  <c r="BC44" i="35" s="1"/>
  <c r="I45" i="34"/>
  <c r="P45" i="34" s="1"/>
  <c r="I45" i="33"/>
  <c r="P45" i="33" s="1"/>
  <c r="I45" i="32"/>
  <c r="P45" i="32" s="1"/>
  <c r="I45" i="31"/>
  <c r="P45" i="31" s="1"/>
  <c r="I44" i="27"/>
  <c r="P44" i="27" s="1"/>
  <c r="I45" i="28"/>
  <c r="P45" i="28" s="1"/>
  <c r="I45" i="29"/>
  <c r="P45" i="29" s="1"/>
  <c r="AT44" i="19"/>
  <c r="AO82" i="35"/>
  <c r="BC82" i="35" s="1"/>
  <c r="I83" i="33"/>
  <c r="P83" i="33" s="1"/>
  <c r="I83" i="32"/>
  <c r="P83" i="32" s="1"/>
  <c r="I83" i="34"/>
  <c r="P83" i="34" s="1"/>
  <c r="I83" i="31"/>
  <c r="P83" i="31" s="1"/>
  <c r="I82" i="27"/>
  <c r="P82" i="27" s="1"/>
  <c r="I83" i="28"/>
  <c r="P83" i="28" s="1"/>
  <c r="I83" i="29"/>
  <c r="P83" i="29" s="1"/>
  <c r="AT82" i="19"/>
  <c r="AH64" i="35"/>
  <c r="AM64" i="19"/>
  <c r="AI87" i="35"/>
  <c r="AN87" i="19"/>
  <c r="AE17" i="19"/>
  <c r="BB17" i="19" s="1"/>
  <c r="Z17" i="35"/>
  <c r="AW17" i="35" s="1"/>
  <c r="Z26" i="35"/>
  <c r="AW26" i="35" s="1"/>
  <c r="AE83" i="19"/>
  <c r="BB83" i="19" s="1"/>
  <c r="Z83" i="35"/>
  <c r="AW83" i="35" s="1"/>
  <c r="AH16" i="35"/>
  <c r="AM16" i="19"/>
  <c r="AH17" i="35"/>
  <c r="AM17" i="19"/>
  <c r="AH23" i="35"/>
  <c r="AM23" i="19"/>
  <c r="AH24" i="35"/>
  <c r="AM24" i="19"/>
  <c r="AH30" i="35"/>
  <c r="AM30" i="19"/>
  <c r="AH35" i="35"/>
  <c r="AM35" i="19"/>
  <c r="AH39" i="35"/>
  <c r="AM39" i="19"/>
  <c r="AH49" i="35"/>
  <c r="AM49" i="19"/>
  <c r="AH58" i="35"/>
  <c r="AM58" i="19"/>
  <c r="AH62" i="35"/>
  <c r="AM62" i="19"/>
  <c r="AW20" i="35"/>
  <c r="AW28" i="35"/>
  <c r="AW60" i="35"/>
  <c r="AO25" i="35"/>
  <c r="BC25" i="35" s="1"/>
  <c r="I26" i="33"/>
  <c r="P26" i="33" s="1"/>
  <c r="I26" i="34"/>
  <c r="P26" i="34" s="1"/>
  <c r="I26" i="32"/>
  <c r="P26" i="32" s="1"/>
  <c r="I26" i="31"/>
  <c r="P26" i="31" s="1"/>
  <c r="I25" i="27"/>
  <c r="P25" i="27" s="1"/>
  <c r="I26" i="28"/>
  <c r="P26" i="28" s="1"/>
  <c r="I26" i="29"/>
  <c r="P26" i="29" s="1"/>
  <c r="AT25" i="19"/>
  <c r="AO78" i="35"/>
  <c r="BC78" i="35" s="1"/>
  <c r="I79" i="33"/>
  <c r="P79" i="33" s="1"/>
  <c r="I79" i="32"/>
  <c r="P79" i="32" s="1"/>
  <c r="I79" i="34"/>
  <c r="P79" i="34" s="1"/>
  <c r="I79" i="31"/>
  <c r="P79" i="31" s="1"/>
  <c r="I78" i="27"/>
  <c r="P78" i="27" s="1"/>
  <c r="I79" i="28"/>
  <c r="P79" i="28" s="1"/>
  <c r="I79" i="29"/>
  <c r="P79" i="29" s="1"/>
  <c r="AT78" i="19"/>
  <c r="AH52" i="35"/>
  <c r="AM52" i="19"/>
  <c r="AH84" i="35"/>
  <c r="AM84" i="19"/>
  <c r="AW76" i="19"/>
  <c r="J76" i="10" s="1"/>
  <c r="AO71" i="35"/>
  <c r="BC71" i="35" s="1"/>
  <c r="I72" i="33"/>
  <c r="P72" i="33" s="1"/>
  <c r="I72" i="34"/>
  <c r="P72" i="34" s="1"/>
  <c r="I72" i="32"/>
  <c r="P72" i="32" s="1"/>
  <c r="I72" i="31"/>
  <c r="P72" i="31" s="1"/>
  <c r="I71" i="27"/>
  <c r="P71" i="27" s="1"/>
  <c r="I72" i="28"/>
  <c r="P72" i="28" s="1"/>
  <c r="I72" i="29"/>
  <c r="P72" i="29" s="1"/>
  <c r="AT71" i="19"/>
  <c r="AH19" i="35"/>
  <c r="AM19" i="19"/>
  <c r="AH75" i="35"/>
  <c r="AM75" i="19"/>
  <c r="Z87" i="35"/>
  <c r="AW87" i="35" s="1"/>
  <c r="AO76" i="35"/>
  <c r="BC76" i="35" s="1"/>
  <c r="I77" i="33"/>
  <c r="P77" i="33" s="1"/>
  <c r="I77" i="34"/>
  <c r="P77" i="34" s="1"/>
  <c r="I77" i="32"/>
  <c r="P77" i="32" s="1"/>
  <c r="I77" i="31"/>
  <c r="P77" i="31" s="1"/>
  <c r="I76" i="27"/>
  <c r="P76" i="27" s="1"/>
  <c r="I77" i="28"/>
  <c r="P77" i="28" s="1"/>
  <c r="I77" i="29"/>
  <c r="P77" i="29" s="1"/>
  <c r="AT76" i="19"/>
  <c r="AH43" i="35"/>
  <c r="AM43" i="19"/>
  <c r="AH80" i="35"/>
  <c r="AM80" i="19"/>
  <c r="AO64" i="35"/>
  <c r="BC64" i="35" s="1"/>
  <c r="I65" i="34"/>
  <c r="P65" i="34" s="1"/>
  <c r="I65" i="33"/>
  <c r="P65" i="33" s="1"/>
  <c r="I65" i="32"/>
  <c r="P65" i="32" s="1"/>
  <c r="I65" i="31"/>
  <c r="P65" i="31" s="1"/>
  <c r="I64" i="27"/>
  <c r="P64" i="27" s="1"/>
  <c r="I65" i="28"/>
  <c r="P65" i="28" s="1"/>
  <c r="I65" i="29"/>
  <c r="P65" i="29" s="1"/>
  <c r="AT64" i="19"/>
  <c r="AP87" i="35"/>
  <c r="I88" i="33"/>
  <c r="P88" i="33" s="1"/>
  <c r="I88" i="32"/>
  <c r="P88" i="32" s="1"/>
  <c r="I88" i="34"/>
  <c r="P88" i="34" s="1"/>
  <c r="I88" i="31"/>
  <c r="P88" i="31" s="1"/>
  <c r="I87" i="27"/>
  <c r="P87" i="27" s="1"/>
  <c r="I88" i="28"/>
  <c r="P88" i="28" s="1"/>
  <c r="I88" i="29"/>
  <c r="P88" i="29" s="1"/>
  <c r="AU87" i="19"/>
  <c r="AH73" i="35"/>
  <c r="AM73" i="19"/>
  <c r="AE66" i="19"/>
  <c r="BB66" i="19" s="1"/>
  <c r="Z66" i="35"/>
  <c r="AW66" i="35" s="1"/>
  <c r="AH14" i="35"/>
  <c r="AM14" i="19"/>
  <c r="AH29" i="35"/>
  <c r="AM29" i="19"/>
  <c r="AH33" i="35"/>
  <c r="AM33" i="19"/>
  <c r="AH37" i="35"/>
  <c r="AM37" i="19"/>
  <c r="AH45" i="35"/>
  <c r="AM45" i="19"/>
  <c r="AH47" i="35"/>
  <c r="AM47" i="19"/>
  <c r="AH50" i="35"/>
  <c r="AM50" i="19"/>
  <c r="AI51" i="35"/>
  <c r="AN51" i="19"/>
  <c r="AH55" i="35"/>
  <c r="AM55" i="19"/>
  <c r="AH60" i="35"/>
  <c r="AM60" i="19"/>
  <c r="AH65" i="35"/>
  <c r="AM65" i="19"/>
  <c r="AH67" i="35"/>
  <c r="AM67" i="19"/>
  <c r="AH69" i="35"/>
  <c r="AM69" i="19"/>
  <c r="AH83" i="35"/>
  <c r="AM83" i="19"/>
  <c r="AW80" i="35"/>
  <c r="AO52" i="35"/>
  <c r="BC52" i="35" s="1"/>
  <c r="I53" i="34"/>
  <c r="P53" i="34" s="1"/>
  <c r="I53" i="33"/>
  <c r="P53" i="33" s="1"/>
  <c r="I53" i="32"/>
  <c r="P53" i="32" s="1"/>
  <c r="I53" i="31"/>
  <c r="P53" i="31" s="1"/>
  <c r="I52" i="27"/>
  <c r="P52" i="27" s="1"/>
  <c r="I53" i="28"/>
  <c r="P53" i="28" s="1"/>
  <c r="I53" i="29"/>
  <c r="P53" i="29" s="1"/>
  <c r="AT52" i="19"/>
  <c r="AO84" i="35"/>
  <c r="BC84" i="35" s="1"/>
  <c r="I85" i="33"/>
  <c r="P85" i="33" s="1"/>
  <c r="I85" i="32"/>
  <c r="P85" i="32" s="1"/>
  <c r="I85" i="34"/>
  <c r="P85" i="34" s="1"/>
  <c r="I85" i="31"/>
  <c r="P85" i="31" s="1"/>
  <c r="I84" i="27"/>
  <c r="P84" i="27" s="1"/>
  <c r="I85" i="28"/>
  <c r="P85" i="28" s="1"/>
  <c r="I85" i="29"/>
  <c r="P85" i="29" s="1"/>
  <c r="AT84" i="19"/>
  <c r="AH70" i="35"/>
  <c r="AM70" i="19"/>
  <c r="AV70" i="19"/>
  <c r="I70" i="10" s="1"/>
  <c r="AO19" i="35"/>
  <c r="BC19" i="35" s="1"/>
  <c r="I20" i="33"/>
  <c r="P20" i="33" s="1"/>
  <c r="I20" i="34"/>
  <c r="P20" i="34" s="1"/>
  <c r="I20" i="32"/>
  <c r="P20" i="32" s="1"/>
  <c r="I20" i="31"/>
  <c r="P20" i="31" s="1"/>
  <c r="I19" i="27"/>
  <c r="P19" i="27" s="1"/>
  <c r="I20" i="28"/>
  <c r="P20" i="28" s="1"/>
  <c r="I20" i="29"/>
  <c r="P20" i="29" s="1"/>
  <c r="AT19" i="19"/>
  <c r="AO75" i="35"/>
  <c r="BC75" i="35" s="1"/>
  <c r="I76" i="34"/>
  <c r="P76" i="34" s="1"/>
  <c r="I76" i="33"/>
  <c r="P76" i="33" s="1"/>
  <c r="I76" i="32"/>
  <c r="P76" i="32" s="1"/>
  <c r="I76" i="31"/>
  <c r="P76" i="31" s="1"/>
  <c r="I75" i="27"/>
  <c r="P75" i="27" s="1"/>
  <c r="I76" i="28"/>
  <c r="P76" i="28" s="1"/>
  <c r="I76" i="29"/>
  <c r="P76" i="29" s="1"/>
  <c r="AT75" i="19"/>
  <c r="AH27" i="35"/>
  <c r="AM27" i="19"/>
  <c r="AH79" i="35"/>
  <c r="AM79" i="19"/>
  <c r="AO43" i="35"/>
  <c r="BC43" i="35" s="1"/>
  <c r="I44" i="34"/>
  <c r="P44" i="34" s="1"/>
  <c r="I44" i="33"/>
  <c r="P44" i="33" s="1"/>
  <c r="I44" i="32"/>
  <c r="P44" i="32" s="1"/>
  <c r="I44" i="31"/>
  <c r="P44" i="31" s="1"/>
  <c r="I43" i="27"/>
  <c r="P43" i="27" s="1"/>
  <c r="I44" i="28"/>
  <c r="P44" i="28" s="1"/>
  <c r="I44" i="29"/>
  <c r="P44" i="29" s="1"/>
  <c r="AT43" i="19"/>
  <c r="AO80" i="35"/>
  <c r="BC80" i="35" s="1"/>
  <c r="I81" i="34"/>
  <c r="P81" i="34" s="1"/>
  <c r="I81" i="33"/>
  <c r="P81" i="33" s="1"/>
  <c r="I81" i="32"/>
  <c r="P81" i="32" s="1"/>
  <c r="I81" i="31"/>
  <c r="P81" i="31" s="1"/>
  <c r="I80" i="27"/>
  <c r="P80" i="27" s="1"/>
  <c r="I81" i="28"/>
  <c r="P81" i="28" s="1"/>
  <c r="I81" i="29"/>
  <c r="P81" i="29" s="1"/>
  <c r="AT80" i="19"/>
  <c r="AH56" i="35"/>
  <c r="AM56" i="19"/>
  <c r="AH86" i="35"/>
  <c r="AM86" i="19"/>
  <c r="AO73" i="35"/>
  <c r="BC73" i="35" s="1"/>
  <c r="I74" i="33"/>
  <c r="P74" i="33" s="1"/>
  <c r="I74" i="34"/>
  <c r="P74" i="34" s="1"/>
  <c r="I74" i="32"/>
  <c r="P74" i="32" s="1"/>
  <c r="I74" i="31"/>
  <c r="P74" i="31" s="1"/>
  <c r="I73" i="27"/>
  <c r="P73" i="27" s="1"/>
  <c r="I74" i="28"/>
  <c r="P74" i="28" s="1"/>
  <c r="I74" i="29"/>
  <c r="P74" i="29" s="1"/>
  <c r="AT73" i="19"/>
  <c r="AH22" i="35"/>
  <c r="AM22" i="19"/>
  <c r="AH77" i="35"/>
  <c r="AM77" i="19"/>
  <c r="BH22" i="19"/>
  <c r="H22" i="10"/>
  <c r="AE14" i="19"/>
  <c r="BB14" i="19" s="1"/>
  <c r="Z14" i="35"/>
  <c r="AW14" i="35" s="1"/>
  <c r="AH15" i="35"/>
  <c r="AM15" i="19"/>
  <c r="AH18" i="35"/>
  <c r="AM18" i="19"/>
  <c r="AH26" i="35"/>
  <c r="AM26" i="19"/>
  <c r="AH31" i="35"/>
  <c r="AM31" i="19"/>
  <c r="AH36" i="35"/>
  <c r="AM36" i="19"/>
  <c r="AH38" i="35"/>
  <c r="AM38" i="19"/>
  <c r="AE46" i="19"/>
  <c r="BB46" i="19" s="1"/>
  <c r="Z46" i="35"/>
  <c r="AW46" i="35" s="1"/>
  <c r="AH48" i="35"/>
  <c r="AM48" i="19"/>
  <c r="AH61" i="35"/>
  <c r="AM61" i="19"/>
  <c r="AH81" i="35"/>
  <c r="AM81" i="19"/>
  <c r="AW16" i="35"/>
  <c r="AW24" i="35"/>
  <c r="AW32" i="35"/>
  <c r="AW40" i="35"/>
  <c r="AW48" i="35"/>
  <c r="AW64" i="35"/>
  <c r="AO70" i="35"/>
  <c r="BC70" i="35" s="1"/>
  <c r="I71" i="33"/>
  <c r="P71" i="33" s="1"/>
  <c r="I71" i="34"/>
  <c r="P71" i="34" s="1"/>
  <c r="I71" i="32"/>
  <c r="P71" i="32" s="1"/>
  <c r="I71" i="31"/>
  <c r="P71" i="31" s="1"/>
  <c r="I70" i="27"/>
  <c r="P70" i="27" s="1"/>
  <c r="I71" i="28"/>
  <c r="P71" i="28" s="1"/>
  <c r="I71" i="29"/>
  <c r="P71" i="29" s="1"/>
  <c r="AT70" i="19"/>
  <c r="AH12" i="35"/>
  <c r="AM12" i="19"/>
  <c r="AH74" i="35"/>
  <c r="AM74" i="19"/>
  <c r="AO27" i="35"/>
  <c r="BC27" i="35" s="1"/>
  <c r="I28" i="33"/>
  <c r="P28" i="33" s="1"/>
  <c r="I28" i="34"/>
  <c r="P28" i="34" s="1"/>
  <c r="I28" i="32"/>
  <c r="P28" i="32" s="1"/>
  <c r="I28" i="31"/>
  <c r="P28" i="31" s="1"/>
  <c r="I27" i="27"/>
  <c r="P27" i="27" s="1"/>
  <c r="I28" i="28"/>
  <c r="P28" i="28" s="1"/>
  <c r="I28" i="29"/>
  <c r="P28" i="29" s="1"/>
  <c r="AT27" i="19"/>
  <c r="AO79" i="35"/>
  <c r="BC79" i="35" s="1"/>
  <c r="I80" i="33"/>
  <c r="P80" i="33" s="1"/>
  <c r="I80" i="32"/>
  <c r="P80" i="32" s="1"/>
  <c r="I80" i="34"/>
  <c r="P80" i="34" s="1"/>
  <c r="I80" i="31"/>
  <c r="P80" i="31" s="1"/>
  <c r="I79" i="27"/>
  <c r="P79" i="27" s="1"/>
  <c r="I80" i="28"/>
  <c r="P80" i="28" s="1"/>
  <c r="I80" i="29"/>
  <c r="P80" i="29" s="1"/>
  <c r="AT79" i="19"/>
  <c r="AH53" i="35"/>
  <c r="AM53" i="19"/>
  <c r="AH85" i="35"/>
  <c r="AM85" i="19"/>
  <c r="AO56" i="35"/>
  <c r="BC56" i="35" s="1"/>
  <c r="I57" i="34"/>
  <c r="P57" i="34" s="1"/>
  <c r="I57" i="32"/>
  <c r="P57" i="32" s="1"/>
  <c r="I57" i="33"/>
  <c r="P57" i="33" s="1"/>
  <c r="I57" i="31"/>
  <c r="P57" i="31" s="1"/>
  <c r="I56" i="27"/>
  <c r="P56" i="27" s="1"/>
  <c r="I57" i="28"/>
  <c r="P57" i="28" s="1"/>
  <c r="I57" i="29"/>
  <c r="P57" i="29" s="1"/>
  <c r="AT56" i="19"/>
  <c r="AO86" i="35"/>
  <c r="BC86" i="35" s="1"/>
  <c r="I87" i="34"/>
  <c r="P87" i="34" s="1"/>
  <c r="I87" i="33"/>
  <c r="P87" i="33" s="1"/>
  <c r="I87" i="32"/>
  <c r="P87" i="32" s="1"/>
  <c r="I87" i="31"/>
  <c r="P87" i="31" s="1"/>
  <c r="I86" i="27"/>
  <c r="P86" i="27" s="1"/>
  <c r="I87" i="28"/>
  <c r="P87" i="28" s="1"/>
  <c r="I87" i="29"/>
  <c r="P87" i="29" s="1"/>
  <c r="AT86" i="19"/>
  <c r="AH72" i="35"/>
  <c r="AM72" i="19"/>
  <c r="AO77" i="35"/>
  <c r="BC77" i="35" s="1"/>
  <c r="I78" i="33"/>
  <c r="P78" i="33" s="1"/>
  <c r="I78" i="32"/>
  <c r="P78" i="32" s="1"/>
  <c r="I78" i="34"/>
  <c r="P78" i="34" s="1"/>
  <c r="I78" i="31"/>
  <c r="P78" i="31" s="1"/>
  <c r="I77" i="27"/>
  <c r="P77" i="27" s="1"/>
  <c r="I78" i="28"/>
  <c r="P78" i="28" s="1"/>
  <c r="I78" i="29"/>
  <c r="P78" i="29" s="1"/>
  <c r="AT77" i="19"/>
  <c r="AH44" i="35"/>
  <c r="AM44" i="19"/>
  <c r="AH82" i="35"/>
  <c r="AM82" i="19"/>
  <c r="AL13" i="19"/>
  <c r="AG13" i="35"/>
  <c r="AL37" i="19"/>
  <c r="AG37" i="35"/>
  <c r="AL42" i="19"/>
  <c r="AG42" i="35"/>
  <c r="AL59" i="19"/>
  <c r="AG59" i="35"/>
  <c r="AS22" i="19"/>
  <c r="AN22" i="35"/>
  <c r="BB22" i="35" s="1"/>
  <c r="H23" i="33"/>
  <c r="O23" i="33" s="1"/>
  <c r="H23" i="34"/>
  <c r="O23" i="34" s="1"/>
  <c r="H23" i="32"/>
  <c r="O23" i="32" s="1"/>
  <c r="H23" i="31"/>
  <c r="O23" i="31" s="1"/>
  <c r="H23" i="29"/>
  <c r="O23" i="29" s="1"/>
  <c r="H23" i="28"/>
  <c r="O23" i="28" s="1"/>
  <c r="H22" i="27"/>
  <c r="O22" i="27" s="1"/>
  <c r="AS79" i="19"/>
  <c r="AN79" i="35"/>
  <c r="BB79" i="35" s="1"/>
  <c r="H80" i="34"/>
  <c r="O80" i="34" s="1"/>
  <c r="H80" i="33"/>
  <c r="O80" i="33" s="1"/>
  <c r="H80" i="32"/>
  <c r="O80" i="32" s="1"/>
  <c r="H80" i="31"/>
  <c r="O80" i="31" s="1"/>
  <c r="H80" i="28"/>
  <c r="O80" i="28" s="1"/>
  <c r="H79" i="27"/>
  <c r="O79" i="27" s="1"/>
  <c r="H80" i="29"/>
  <c r="O80" i="29" s="1"/>
  <c r="AL53" i="19"/>
  <c r="AG53" i="35"/>
  <c r="AN70" i="35"/>
  <c r="BB70" i="35" s="1"/>
  <c r="H71" i="33"/>
  <c r="O71" i="33" s="1"/>
  <c r="H71" i="34"/>
  <c r="O71" i="34" s="1"/>
  <c r="H71" i="32"/>
  <c r="O71" i="32" s="1"/>
  <c r="H71" i="31"/>
  <c r="O71" i="31" s="1"/>
  <c r="H71" i="29"/>
  <c r="O71" i="29" s="1"/>
  <c r="H71" i="28"/>
  <c r="O71" i="28" s="1"/>
  <c r="H70" i="27"/>
  <c r="O70" i="27" s="1"/>
  <c r="AS70" i="19"/>
  <c r="AL86" i="19"/>
  <c r="AG86" i="35"/>
  <c r="AS71" i="19"/>
  <c r="AN71" i="35"/>
  <c r="BB71" i="35" s="1"/>
  <c r="H72" i="34"/>
  <c r="O72" i="34" s="1"/>
  <c r="H72" i="33"/>
  <c r="O72" i="33" s="1"/>
  <c r="H72" i="32"/>
  <c r="O72" i="32" s="1"/>
  <c r="H72" i="31"/>
  <c r="O72" i="31" s="1"/>
  <c r="H72" i="28"/>
  <c r="O72" i="28" s="1"/>
  <c r="H71" i="27"/>
  <c r="O71" i="27" s="1"/>
  <c r="H72" i="29"/>
  <c r="O72" i="29" s="1"/>
  <c r="AL25" i="19"/>
  <c r="AG25" i="35"/>
  <c r="BG21" i="19"/>
  <c r="G21" i="10"/>
  <c r="BG85" i="19"/>
  <c r="AL18" i="19"/>
  <c r="AG18" i="35"/>
  <c r="AL54" i="19"/>
  <c r="AG54" i="35"/>
  <c r="AL38" i="19"/>
  <c r="AG38" i="35"/>
  <c r="AS43" i="19"/>
  <c r="AN43" i="35"/>
  <c r="BB43" i="35" s="1"/>
  <c r="H44" i="33"/>
  <c r="O44" i="33" s="1"/>
  <c r="H44" i="34"/>
  <c r="O44" i="34" s="1"/>
  <c r="H44" i="32"/>
  <c r="O44" i="32" s="1"/>
  <c r="H44" i="31"/>
  <c r="O44" i="31" s="1"/>
  <c r="H44" i="28"/>
  <c r="O44" i="28" s="1"/>
  <c r="H43" i="27"/>
  <c r="O43" i="27" s="1"/>
  <c r="H44" i="29"/>
  <c r="O44" i="29" s="1"/>
  <c r="AS86" i="19"/>
  <c r="AN86" i="35"/>
  <c r="BB86" i="35" s="1"/>
  <c r="H87" i="34"/>
  <c r="O87" i="34" s="1"/>
  <c r="H87" i="33"/>
  <c r="O87" i="33" s="1"/>
  <c r="H87" i="32"/>
  <c r="O87" i="32" s="1"/>
  <c r="H87" i="31"/>
  <c r="O87" i="31" s="1"/>
  <c r="H87" i="29"/>
  <c r="O87" i="29" s="1"/>
  <c r="H87" i="28"/>
  <c r="O87" i="28" s="1"/>
  <c r="H86" i="27"/>
  <c r="O86" i="27" s="1"/>
  <c r="AL72" i="19"/>
  <c r="AG72" i="35"/>
  <c r="AN74" i="35"/>
  <c r="BB74" i="35" s="1"/>
  <c r="H75" i="34"/>
  <c r="O75" i="34" s="1"/>
  <c r="H75" i="32"/>
  <c r="O75" i="32" s="1"/>
  <c r="H75" i="33"/>
  <c r="O75" i="33" s="1"/>
  <c r="H75" i="31"/>
  <c r="O75" i="31" s="1"/>
  <c r="H75" i="29"/>
  <c r="O75" i="29" s="1"/>
  <c r="H75" i="28"/>
  <c r="O75" i="28" s="1"/>
  <c r="H74" i="27"/>
  <c r="O74" i="27" s="1"/>
  <c r="AS74" i="19"/>
  <c r="AS19" i="19"/>
  <c r="AN19" i="35"/>
  <c r="BB19" i="35" s="1"/>
  <c r="H20" i="34"/>
  <c r="O20" i="34" s="1"/>
  <c r="H20" i="33"/>
  <c r="O20" i="33" s="1"/>
  <c r="H20" i="32"/>
  <c r="O20" i="32" s="1"/>
  <c r="H20" i="31"/>
  <c r="O20" i="31" s="1"/>
  <c r="H20" i="29"/>
  <c r="O20" i="29" s="1"/>
  <c r="H20" i="28"/>
  <c r="O20" i="28" s="1"/>
  <c r="H19" i="27"/>
  <c r="O19" i="27" s="1"/>
  <c r="AS76" i="19"/>
  <c r="AN76" i="35"/>
  <c r="BB76" i="35" s="1"/>
  <c r="H77" i="34"/>
  <c r="O77" i="34" s="1"/>
  <c r="H77" i="32"/>
  <c r="O77" i="32" s="1"/>
  <c r="H77" i="33"/>
  <c r="O77" i="33" s="1"/>
  <c r="H77" i="31"/>
  <c r="O77" i="31" s="1"/>
  <c r="H77" i="28"/>
  <c r="O77" i="28" s="1"/>
  <c r="H76" i="27"/>
  <c r="O76" i="27" s="1"/>
  <c r="H77" i="29"/>
  <c r="O77" i="29" s="1"/>
  <c r="AL44" i="19"/>
  <c r="AG44" i="35"/>
  <c r="BG31" i="19"/>
  <c r="G31" i="10"/>
  <c r="BG78" i="19"/>
  <c r="G78" i="10"/>
  <c r="AL15" i="19"/>
  <c r="AG15" i="35"/>
  <c r="AL20" i="19"/>
  <c r="AG20" i="35"/>
  <c r="AL26" i="19"/>
  <c r="AG26" i="35"/>
  <c r="AN32" i="35"/>
  <c r="BB32" i="35" s="1"/>
  <c r="H33" i="33"/>
  <c r="O33" i="33" s="1"/>
  <c r="H33" i="34"/>
  <c r="O33" i="34" s="1"/>
  <c r="H33" i="32"/>
  <c r="O33" i="32" s="1"/>
  <c r="H33" i="31"/>
  <c r="O33" i="31" s="1"/>
  <c r="H33" i="28"/>
  <c r="O33" i="28" s="1"/>
  <c r="H33" i="29"/>
  <c r="O33" i="29" s="1"/>
  <c r="H32" i="27"/>
  <c r="O32" i="27" s="1"/>
  <c r="AL34" i="19"/>
  <c r="AG34" i="35"/>
  <c r="AL60" i="19"/>
  <c r="AG60" i="35"/>
  <c r="AL87" i="19"/>
  <c r="AG87" i="35"/>
  <c r="AL32" i="19"/>
  <c r="AG32" i="35"/>
  <c r="AS56" i="19"/>
  <c r="AN56" i="35"/>
  <c r="BB56" i="35" s="1"/>
  <c r="H57" i="33"/>
  <c r="O57" i="33" s="1"/>
  <c r="H57" i="34"/>
  <c r="O57" i="34" s="1"/>
  <c r="H57" i="32"/>
  <c r="O57" i="32" s="1"/>
  <c r="H57" i="31"/>
  <c r="O57" i="31" s="1"/>
  <c r="H57" i="28"/>
  <c r="O57" i="28" s="1"/>
  <c r="H57" i="29"/>
  <c r="O57" i="29" s="1"/>
  <c r="H56" i="27"/>
  <c r="O56" i="27" s="1"/>
  <c r="AL21" i="19"/>
  <c r="AG21" i="35"/>
  <c r="AL78" i="19"/>
  <c r="AG78" i="35"/>
  <c r="AN12" i="35"/>
  <c r="BB12" i="35" s="1"/>
  <c r="H13" i="34"/>
  <c r="O13" i="34" s="1"/>
  <c r="H13" i="33"/>
  <c r="O13" i="33" s="1"/>
  <c r="H13" i="32"/>
  <c r="O13" i="32" s="1"/>
  <c r="H13" i="31"/>
  <c r="O13" i="31" s="1"/>
  <c r="H13" i="29"/>
  <c r="O13" i="29" s="1"/>
  <c r="H13" i="28"/>
  <c r="O13" i="28" s="1"/>
  <c r="H12" i="27"/>
  <c r="O12" i="27" s="1"/>
  <c r="AS12" i="19"/>
  <c r="AN82" i="35"/>
  <c r="BB82" i="35" s="1"/>
  <c r="H83" i="34"/>
  <c r="O83" i="34" s="1"/>
  <c r="H83" i="32"/>
  <c r="O83" i="32" s="1"/>
  <c r="H83" i="33"/>
  <c r="O83" i="33" s="1"/>
  <c r="H83" i="31"/>
  <c r="O83" i="31" s="1"/>
  <c r="H83" i="29"/>
  <c r="O83" i="29" s="1"/>
  <c r="H83" i="28"/>
  <c r="O83" i="28" s="1"/>
  <c r="H82" i="27"/>
  <c r="O82" i="27" s="1"/>
  <c r="AS82" i="19"/>
  <c r="AL56" i="19"/>
  <c r="AG56" i="35"/>
  <c r="AS27" i="19"/>
  <c r="AN27" i="35"/>
  <c r="BB27" i="35" s="1"/>
  <c r="H28" i="34"/>
  <c r="O28" i="34" s="1"/>
  <c r="H28" i="33"/>
  <c r="O28" i="33" s="1"/>
  <c r="H28" i="32"/>
  <c r="O28" i="32" s="1"/>
  <c r="H28" i="31"/>
  <c r="O28" i="31" s="1"/>
  <c r="H28" i="28"/>
  <c r="O28" i="28" s="1"/>
  <c r="H27" i="27"/>
  <c r="O27" i="27" s="1"/>
  <c r="H28" i="29"/>
  <c r="O28" i="29" s="1"/>
  <c r="AS84" i="19"/>
  <c r="AN84" i="35"/>
  <c r="BB84" i="35" s="1"/>
  <c r="H85" i="34"/>
  <c r="O85" i="34" s="1"/>
  <c r="H85" i="32"/>
  <c r="O85" i="32" s="1"/>
  <c r="H85" i="33"/>
  <c r="O85" i="33" s="1"/>
  <c r="H85" i="31"/>
  <c r="O85" i="31" s="1"/>
  <c r="H85" i="28"/>
  <c r="O85" i="28" s="1"/>
  <c r="H84" i="27"/>
  <c r="O84" i="27" s="1"/>
  <c r="H85" i="29"/>
  <c r="O85" i="29" s="1"/>
  <c r="BG53" i="19"/>
  <c r="G53" i="10"/>
  <c r="AL17" i="19"/>
  <c r="AG17" i="35"/>
  <c r="H39" i="22"/>
  <c r="AS39" i="19" s="1"/>
  <c r="AG39" i="35"/>
  <c r="AL49" i="19"/>
  <c r="AG49" i="35"/>
  <c r="AL51" i="19"/>
  <c r="AG51" i="35"/>
  <c r="AL58" i="19"/>
  <c r="AG58" i="35"/>
  <c r="AL63" i="19"/>
  <c r="AG63" i="35"/>
  <c r="AL67" i="19"/>
  <c r="AG67" i="35"/>
  <c r="AN87" i="35"/>
  <c r="BB87" i="35" s="1"/>
  <c r="H88" i="34"/>
  <c r="O88" i="34" s="1"/>
  <c r="H88" i="33"/>
  <c r="O88" i="33" s="1"/>
  <c r="H88" i="32"/>
  <c r="O88" i="32" s="1"/>
  <c r="H88" i="31"/>
  <c r="O88" i="31" s="1"/>
  <c r="H88" i="28"/>
  <c r="O88" i="28" s="1"/>
  <c r="H87" i="27"/>
  <c r="O87" i="27" s="1"/>
  <c r="H88" i="29"/>
  <c r="O88" i="29" s="1"/>
  <c r="H12" i="32"/>
  <c r="O12" i="32" s="1"/>
  <c r="H12" i="28"/>
  <c r="O12" i="28" s="1"/>
  <c r="H11" i="27"/>
  <c r="O11" i="27" s="1"/>
  <c r="AS73" i="19"/>
  <c r="AN73" i="35"/>
  <c r="BB73" i="35" s="1"/>
  <c r="H74" i="33"/>
  <c r="O74" i="33" s="1"/>
  <c r="H74" i="34"/>
  <c r="O74" i="34" s="1"/>
  <c r="H74" i="32"/>
  <c r="O74" i="32" s="1"/>
  <c r="H74" i="31"/>
  <c r="O74" i="31" s="1"/>
  <c r="H74" i="29"/>
  <c r="O74" i="29" s="1"/>
  <c r="H74" i="28"/>
  <c r="O74" i="28" s="1"/>
  <c r="H73" i="27"/>
  <c r="O73" i="27" s="1"/>
  <c r="AL31" i="19"/>
  <c r="AG31" i="35"/>
  <c r="AL85" i="19"/>
  <c r="AG85" i="35"/>
  <c r="AN44" i="35"/>
  <c r="BB44" i="35" s="1"/>
  <c r="H45" i="33"/>
  <c r="O45" i="33" s="1"/>
  <c r="H45" i="34"/>
  <c r="O45" i="34" s="1"/>
  <c r="H45" i="32"/>
  <c r="O45" i="32" s="1"/>
  <c r="H45" i="31"/>
  <c r="O45" i="31" s="1"/>
  <c r="H45" i="28"/>
  <c r="O45" i="28" s="1"/>
  <c r="H45" i="29"/>
  <c r="O45" i="29" s="1"/>
  <c r="H44" i="27"/>
  <c r="O44" i="27" s="1"/>
  <c r="AS44" i="19"/>
  <c r="AL22" i="19"/>
  <c r="AG22" i="35"/>
  <c r="AL79" i="19"/>
  <c r="AG79" i="35"/>
  <c r="AS52" i="19"/>
  <c r="AN52" i="35"/>
  <c r="BB52" i="35" s="1"/>
  <c r="H53" i="34"/>
  <c r="O53" i="34" s="1"/>
  <c r="H53" i="33"/>
  <c r="O53" i="33" s="1"/>
  <c r="H53" i="32"/>
  <c r="O53" i="32" s="1"/>
  <c r="H53" i="31"/>
  <c r="O53" i="31" s="1"/>
  <c r="H53" i="28"/>
  <c r="O53" i="28" s="1"/>
  <c r="H53" i="29"/>
  <c r="O53" i="29" s="1"/>
  <c r="H52" i="27"/>
  <c r="O52" i="27" s="1"/>
  <c r="AL12" i="19"/>
  <c r="AG12" i="35"/>
  <c r="AS72" i="19"/>
  <c r="AN72" i="35"/>
  <c r="BB72" i="35" s="1"/>
  <c r="H73" i="34"/>
  <c r="O73" i="34" s="1"/>
  <c r="H73" i="33"/>
  <c r="O73" i="33" s="1"/>
  <c r="H73" i="32"/>
  <c r="O73" i="32" s="1"/>
  <c r="H73" i="31"/>
  <c r="O73" i="31" s="1"/>
  <c r="H73" i="28"/>
  <c r="O73" i="28" s="1"/>
  <c r="H72" i="27"/>
  <c r="O72" i="27" s="1"/>
  <c r="H73" i="29"/>
  <c r="O73" i="29" s="1"/>
  <c r="J37" i="18"/>
  <c r="K46" i="18"/>
  <c r="AK28" i="19"/>
  <c r="AF28" i="35"/>
  <c r="AK76" i="19"/>
  <c r="AF76" i="35"/>
  <c r="AM59" i="35"/>
  <c r="BA59" i="35" s="1"/>
  <c r="G60" i="33"/>
  <c r="N60" i="33" s="1"/>
  <c r="G60" i="34"/>
  <c r="N60" i="34" s="1"/>
  <c r="G60" i="32"/>
  <c r="N60" i="32" s="1"/>
  <c r="G60" i="31"/>
  <c r="N60" i="31" s="1"/>
  <c r="G60" i="28"/>
  <c r="N60" i="28" s="1"/>
  <c r="G60" i="29"/>
  <c r="N60" i="29" s="1"/>
  <c r="G59" i="27"/>
  <c r="N59" i="27" s="1"/>
  <c r="AK18" i="19"/>
  <c r="AF18" i="35"/>
  <c r="AK50" i="19"/>
  <c r="AF50" i="35"/>
  <c r="AK74" i="19"/>
  <c r="AF74" i="35"/>
  <c r="AK13" i="19"/>
  <c r="AF13" i="35"/>
  <c r="AK29" i="19"/>
  <c r="AF29" i="35"/>
  <c r="AK45" i="19"/>
  <c r="AF45" i="35"/>
  <c r="AK61" i="19"/>
  <c r="AF61" i="35"/>
  <c r="AK77" i="19"/>
  <c r="AF77" i="35"/>
  <c r="AK56" i="19"/>
  <c r="AF56" i="35"/>
  <c r="AK58" i="19"/>
  <c r="AF58" i="35"/>
  <c r="AM70" i="35"/>
  <c r="BA70" i="35" s="1"/>
  <c r="G71" i="34"/>
  <c r="N71" i="34" s="1"/>
  <c r="G71" i="33"/>
  <c r="N71" i="33" s="1"/>
  <c r="G71" i="32"/>
  <c r="N71" i="32" s="1"/>
  <c r="G71" i="31"/>
  <c r="N71" i="31" s="1"/>
  <c r="G71" i="29"/>
  <c r="N71" i="29" s="1"/>
  <c r="G71" i="28"/>
  <c r="N71" i="28" s="1"/>
  <c r="G70" i="27"/>
  <c r="N70" i="27" s="1"/>
  <c r="AK19" i="19"/>
  <c r="AF19" i="35"/>
  <c r="AK35" i="19"/>
  <c r="AF35" i="35"/>
  <c r="AK51" i="19"/>
  <c r="AF51" i="35"/>
  <c r="AK67" i="19"/>
  <c r="AF67" i="35"/>
  <c r="AK83" i="19"/>
  <c r="AF83" i="35"/>
  <c r="AK16" i="19"/>
  <c r="AF16" i="35"/>
  <c r="AM71" i="35"/>
  <c r="BA71" i="35" s="1"/>
  <c r="G72" i="34"/>
  <c r="N72" i="34" s="1"/>
  <c r="G72" i="32"/>
  <c r="N72" i="32" s="1"/>
  <c r="G72" i="33"/>
  <c r="N72" i="33" s="1"/>
  <c r="G72" i="31"/>
  <c r="N72" i="31" s="1"/>
  <c r="G72" i="28"/>
  <c r="N72" i="28" s="1"/>
  <c r="G71" i="27"/>
  <c r="N71" i="27" s="1"/>
  <c r="G72" i="29"/>
  <c r="N72" i="29" s="1"/>
  <c r="AK30" i="19"/>
  <c r="AF30" i="35"/>
  <c r="AK62" i="19"/>
  <c r="AF62" i="35"/>
  <c r="AK78" i="19"/>
  <c r="AF78" i="35"/>
  <c r="AK17" i="19"/>
  <c r="AF17" i="35"/>
  <c r="AK33" i="19"/>
  <c r="AF33" i="35"/>
  <c r="AK49" i="19"/>
  <c r="AF49" i="35"/>
  <c r="AK65" i="19"/>
  <c r="AF65" i="35"/>
  <c r="AK81" i="19"/>
  <c r="AF81" i="35"/>
  <c r="AK43" i="19"/>
  <c r="AF43" i="35"/>
  <c r="AK15" i="19"/>
  <c r="AF15" i="35"/>
  <c r="AK31" i="19"/>
  <c r="AF31" i="35"/>
  <c r="AK47" i="19"/>
  <c r="AF47" i="35"/>
  <c r="AK63" i="19"/>
  <c r="AF63" i="35"/>
  <c r="AK79" i="19"/>
  <c r="AF79" i="35"/>
  <c r="K77" i="18"/>
  <c r="AK21" i="19"/>
  <c r="AF21" i="35"/>
  <c r="AM87" i="35"/>
  <c r="BA87" i="35" s="1"/>
  <c r="G88" i="32"/>
  <c r="N88" i="32" s="1"/>
  <c r="G88" i="33"/>
  <c r="N88" i="33" s="1"/>
  <c r="G88" i="34"/>
  <c r="N88" i="34" s="1"/>
  <c r="G88" i="31"/>
  <c r="N88" i="31" s="1"/>
  <c r="G88" i="29"/>
  <c r="N88" i="29" s="1"/>
  <c r="G88" i="28"/>
  <c r="N88" i="28" s="1"/>
  <c r="G87" i="27"/>
  <c r="N87" i="27" s="1"/>
  <c r="AK34" i="19"/>
  <c r="AF34" i="35"/>
  <c r="AK66" i="19"/>
  <c r="AF66" i="35"/>
  <c r="AK82" i="19"/>
  <c r="AF82" i="35"/>
  <c r="AK37" i="19"/>
  <c r="AF37" i="35"/>
  <c r="AK69" i="19"/>
  <c r="AF69" i="35"/>
  <c r="AK85" i="19"/>
  <c r="AF85" i="35"/>
  <c r="AM56" i="35"/>
  <c r="BA56" i="35" s="1"/>
  <c r="G57" i="34"/>
  <c r="N57" i="34" s="1"/>
  <c r="G57" i="33"/>
  <c r="N57" i="33" s="1"/>
  <c r="G57" i="32"/>
  <c r="N57" i="32" s="1"/>
  <c r="G57" i="31"/>
  <c r="N57" i="31" s="1"/>
  <c r="G57" i="29"/>
  <c r="N57" i="29" s="1"/>
  <c r="G56" i="27"/>
  <c r="N56" i="27" s="1"/>
  <c r="G57" i="28"/>
  <c r="N57" i="28" s="1"/>
  <c r="AK26" i="19"/>
  <c r="AF26" i="35"/>
  <c r="AK59" i="19"/>
  <c r="AF59" i="35"/>
  <c r="AK75" i="19"/>
  <c r="AF75" i="35"/>
  <c r="AK53" i="19"/>
  <c r="AF53" i="35"/>
  <c r="AK40" i="19"/>
  <c r="AF40" i="35"/>
  <c r="AM31" i="35"/>
  <c r="BA31" i="35" s="1"/>
  <c r="G32" i="33"/>
  <c r="N32" i="33" s="1"/>
  <c r="G32" i="34"/>
  <c r="N32" i="34" s="1"/>
  <c r="G32" i="32"/>
  <c r="N32" i="32" s="1"/>
  <c r="G32" i="31"/>
  <c r="N32" i="31" s="1"/>
  <c r="G32" i="28"/>
  <c r="N32" i="28" s="1"/>
  <c r="G32" i="29"/>
  <c r="N32" i="29" s="1"/>
  <c r="G31" i="27"/>
  <c r="N31" i="27" s="1"/>
  <c r="AK14" i="19"/>
  <c r="AF14" i="35"/>
  <c r="AK46" i="19"/>
  <c r="AF46" i="35"/>
  <c r="AK70" i="19"/>
  <c r="AF70" i="35"/>
  <c r="AK42" i="19"/>
  <c r="AF42" i="35"/>
  <c r="AK39" i="19"/>
  <c r="AF39" i="35"/>
  <c r="AK55" i="19"/>
  <c r="AF55" i="35"/>
  <c r="AK71" i="19"/>
  <c r="AF71" i="35"/>
  <c r="AK87" i="19"/>
  <c r="AF87" i="35"/>
  <c r="K76" i="18"/>
  <c r="H5" i="3"/>
  <c r="AJ39" i="19"/>
  <c r="AE39" i="35"/>
  <c r="AJ52" i="19"/>
  <c r="AE52" i="35"/>
  <c r="AJ74" i="19"/>
  <c r="AE74" i="35"/>
  <c r="AJ23" i="19"/>
  <c r="AE23" i="35"/>
  <c r="H9" i="3"/>
  <c r="AE9" i="35"/>
  <c r="AJ30" i="19"/>
  <c r="AE30" i="35"/>
  <c r="AJ47" i="19"/>
  <c r="AE47" i="35"/>
  <c r="AJ73" i="19"/>
  <c r="AE73" i="35"/>
  <c r="AJ83" i="19"/>
  <c r="AE83" i="35"/>
  <c r="AJ18" i="19"/>
  <c r="AE18" i="35"/>
  <c r="AJ24" i="19"/>
  <c r="AE24" i="35"/>
  <c r="AJ76" i="19"/>
  <c r="AE76" i="35"/>
  <c r="F89" i="33"/>
  <c r="R89" i="33" s="1"/>
  <c r="T89" i="33" s="1"/>
  <c r="AJ79" i="19"/>
  <c r="AE79" i="35"/>
  <c r="AJ72" i="19"/>
  <c r="AE72" i="35"/>
  <c r="AJ77" i="19"/>
  <c r="AE77" i="35"/>
  <c r="H10" i="3"/>
  <c r="AE10" i="35"/>
  <c r="AJ33" i="19"/>
  <c r="AE33" i="35"/>
  <c r="AJ49" i="19"/>
  <c r="AE49" i="35"/>
  <c r="AJ57" i="19"/>
  <c r="AE57" i="35"/>
  <c r="AJ61" i="19"/>
  <c r="AE61" i="35"/>
  <c r="AJ78" i="19"/>
  <c r="AE78" i="35"/>
  <c r="AJ85" i="19"/>
  <c r="AE85" i="35"/>
  <c r="AJ25" i="19"/>
  <c r="AE25" i="35"/>
  <c r="K43" i="18"/>
  <c r="AK16" i="35"/>
  <c r="AY16" i="35" s="1"/>
  <c r="E17" i="33"/>
  <c r="L17" i="33" s="1"/>
  <c r="E17" i="34"/>
  <c r="L17" i="34" s="1"/>
  <c r="E17" i="32"/>
  <c r="L17" i="32" s="1"/>
  <c r="E17" i="31"/>
  <c r="L17" i="31" s="1"/>
  <c r="E17" i="29"/>
  <c r="L17" i="29" s="1"/>
  <c r="E17" i="28"/>
  <c r="L17" i="28" s="1"/>
  <c r="E16" i="27"/>
  <c r="L16" i="27" s="1"/>
  <c r="AK20" i="35"/>
  <c r="AY20" i="35" s="1"/>
  <c r="E21" i="33"/>
  <c r="L21" i="33" s="1"/>
  <c r="E21" i="34"/>
  <c r="L21" i="34" s="1"/>
  <c r="E21" i="32"/>
  <c r="L21" i="32" s="1"/>
  <c r="E21" i="31"/>
  <c r="L21" i="31" s="1"/>
  <c r="E21" i="29"/>
  <c r="L21" i="29" s="1"/>
  <c r="E20" i="27"/>
  <c r="L20" i="27" s="1"/>
  <c r="E21" i="28"/>
  <c r="L21" i="28" s="1"/>
  <c r="AI24" i="19"/>
  <c r="AD24" i="35"/>
  <c r="AI29" i="19"/>
  <c r="AD29" i="35"/>
  <c r="AK35" i="35"/>
  <c r="AY35" i="35" s="1"/>
  <c r="E36" i="33"/>
  <c r="L36" i="33" s="1"/>
  <c r="E36" i="34"/>
  <c r="L36" i="34" s="1"/>
  <c r="E36" i="32"/>
  <c r="L36" i="32" s="1"/>
  <c r="E36" i="31"/>
  <c r="L36" i="31" s="1"/>
  <c r="E36" i="28"/>
  <c r="L36" i="28" s="1"/>
  <c r="E36" i="29"/>
  <c r="L36" i="29" s="1"/>
  <c r="E35" i="27"/>
  <c r="L35" i="27" s="1"/>
  <c r="AI40" i="19"/>
  <c r="AD40" i="35"/>
  <c r="AK48" i="35"/>
  <c r="AY48" i="35" s="1"/>
  <c r="E49" i="33"/>
  <c r="L49" i="33" s="1"/>
  <c r="E49" i="34"/>
  <c r="L49" i="34" s="1"/>
  <c r="E49" i="32"/>
  <c r="L49" i="32" s="1"/>
  <c r="E49" i="31"/>
  <c r="L49" i="31" s="1"/>
  <c r="E49" i="29"/>
  <c r="L49" i="29" s="1"/>
  <c r="E48" i="27"/>
  <c r="L48" i="27" s="1"/>
  <c r="E49" i="28"/>
  <c r="L49" i="28" s="1"/>
  <c r="AI51" i="19"/>
  <c r="AD51" i="35"/>
  <c r="AK58" i="35"/>
  <c r="AY58" i="35" s="1"/>
  <c r="E59" i="34"/>
  <c r="L59" i="34" s="1"/>
  <c r="E59" i="33"/>
  <c r="L59" i="33" s="1"/>
  <c r="E59" i="32"/>
  <c r="L59" i="32" s="1"/>
  <c r="E59" i="31"/>
  <c r="L59" i="31" s="1"/>
  <c r="E59" i="28"/>
  <c r="L59" i="28" s="1"/>
  <c r="E59" i="29"/>
  <c r="L59" i="29" s="1"/>
  <c r="E58" i="27"/>
  <c r="L58" i="27" s="1"/>
  <c r="AK60" i="35"/>
  <c r="AY60" i="35" s="1"/>
  <c r="E61" i="33"/>
  <c r="L61" i="33" s="1"/>
  <c r="E61" i="34"/>
  <c r="L61" i="34" s="1"/>
  <c r="E61" i="32"/>
  <c r="L61" i="32" s="1"/>
  <c r="E61" i="31"/>
  <c r="L61" i="31" s="1"/>
  <c r="E61" i="29"/>
  <c r="L61" i="29" s="1"/>
  <c r="E14" i="27"/>
  <c r="L14" i="27" s="1"/>
  <c r="E61" i="28"/>
  <c r="L61" i="28" s="1"/>
  <c r="AK64" i="35"/>
  <c r="AY64" i="35" s="1"/>
  <c r="E65" i="34"/>
  <c r="L65" i="34" s="1"/>
  <c r="E65" i="33"/>
  <c r="L65" i="33" s="1"/>
  <c r="E65" i="32"/>
  <c r="L65" i="32" s="1"/>
  <c r="E65" i="31"/>
  <c r="L65" i="31" s="1"/>
  <c r="E65" i="29"/>
  <c r="L65" i="29" s="1"/>
  <c r="E64" i="27"/>
  <c r="L64" i="27" s="1"/>
  <c r="E65" i="28"/>
  <c r="L65" i="28" s="1"/>
  <c r="AI67" i="19"/>
  <c r="AD67" i="35"/>
  <c r="AK77" i="35"/>
  <c r="AY77" i="35" s="1"/>
  <c r="E78" i="33"/>
  <c r="L78" i="33" s="1"/>
  <c r="E78" i="34"/>
  <c r="L78" i="34" s="1"/>
  <c r="E78" i="32"/>
  <c r="L78" i="32" s="1"/>
  <c r="E78" i="31"/>
  <c r="L78" i="31" s="1"/>
  <c r="E78" i="28"/>
  <c r="L78" i="28" s="1"/>
  <c r="E78" i="29"/>
  <c r="L78" i="29" s="1"/>
  <c r="E77" i="27"/>
  <c r="L77" i="27" s="1"/>
  <c r="AI83" i="19"/>
  <c r="AD83" i="35"/>
  <c r="AK87" i="35"/>
  <c r="AY87" i="35" s="1"/>
  <c r="E88" i="33"/>
  <c r="L88" i="33" s="1"/>
  <c r="E88" i="34"/>
  <c r="L88" i="34" s="1"/>
  <c r="E88" i="32"/>
  <c r="L88" i="32" s="1"/>
  <c r="E88" i="31"/>
  <c r="L88" i="31" s="1"/>
  <c r="E88" i="28"/>
  <c r="L88" i="28" s="1"/>
  <c r="E88" i="29"/>
  <c r="L88" i="29" s="1"/>
  <c r="E87" i="27"/>
  <c r="L87" i="27" s="1"/>
  <c r="AK7" i="35"/>
  <c r="AY7" i="35" s="1"/>
  <c r="E8" i="34"/>
  <c r="L8" i="34" s="1"/>
  <c r="E8" i="33"/>
  <c r="L8" i="33" s="1"/>
  <c r="E8" i="32"/>
  <c r="L8" i="32" s="1"/>
  <c r="E8" i="31"/>
  <c r="L8" i="31" s="1"/>
  <c r="E8" i="28"/>
  <c r="L8" i="28" s="1"/>
  <c r="E7" i="27"/>
  <c r="L7" i="27" s="1"/>
  <c r="E8" i="29"/>
  <c r="L8" i="29" s="1"/>
  <c r="AK78" i="35"/>
  <c r="AY78" i="35" s="1"/>
  <c r="E79" i="34"/>
  <c r="L79" i="34" s="1"/>
  <c r="E79" i="33"/>
  <c r="L79" i="33" s="1"/>
  <c r="E79" i="32"/>
  <c r="L79" i="32" s="1"/>
  <c r="E79" i="31"/>
  <c r="L79" i="31" s="1"/>
  <c r="E79" i="28"/>
  <c r="L79" i="28" s="1"/>
  <c r="E79" i="29"/>
  <c r="L79" i="29" s="1"/>
  <c r="E78" i="27"/>
  <c r="L78" i="27" s="1"/>
  <c r="AP78" i="19"/>
  <c r="AD56" i="35"/>
  <c r="AI56" i="19"/>
  <c r="AI48" i="19"/>
  <c r="AD48" i="35"/>
  <c r="AK79" i="35"/>
  <c r="AY79" i="35" s="1"/>
  <c r="E80" i="34"/>
  <c r="L80" i="34" s="1"/>
  <c r="E80" i="33"/>
  <c r="L80" i="33" s="1"/>
  <c r="E80" i="32"/>
  <c r="L80" i="32" s="1"/>
  <c r="E80" i="31"/>
  <c r="L80" i="31" s="1"/>
  <c r="E80" i="28"/>
  <c r="L80" i="28" s="1"/>
  <c r="E80" i="29"/>
  <c r="L80" i="29" s="1"/>
  <c r="E79" i="27"/>
  <c r="L79" i="27" s="1"/>
  <c r="AP79" i="19"/>
  <c r="AD70" i="35"/>
  <c r="AI70" i="19"/>
  <c r="AK11" i="35"/>
  <c r="AY11" i="35" s="1"/>
  <c r="E12" i="34"/>
  <c r="L12" i="34" s="1"/>
  <c r="E12" i="33"/>
  <c r="L12" i="33" s="1"/>
  <c r="E12" i="32"/>
  <c r="L12" i="32" s="1"/>
  <c r="E12" i="31"/>
  <c r="L12" i="31" s="1"/>
  <c r="E12" i="28"/>
  <c r="L12" i="28" s="1"/>
  <c r="E11" i="27"/>
  <c r="L11" i="27" s="1"/>
  <c r="E12" i="29"/>
  <c r="L12" i="29" s="1"/>
  <c r="AK82" i="35"/>
  <c r="AY82" i="35" s="1"/>
  <c r="E83" i="34"/>
  <c r="L83" i="34" s="1"/>
  <c r="E83" i="33"/>
  <c r="L83" i="33" s="1"/>
  <c r="E83" i="32"/>
  <c r="L83" i="32" s="1"/>
  <c r="E83" i="31"/>
  <c r="L83" i="31" s="1"/>
  <c r="E83" i="28"/>
  <c r="L83" i="28" s="1"/>
  <c r="E83" i="29"/>
  <c r="L83" i="29" s="1"/>
  <c r="E82" i="27"/>
  <c r="L82" i="27" s="1"/>
  <c r="AP82" i="19"/>
  <c r="AK25" i="35"/>
  <c r="AY25" i="35" s="1"/>
  <c r="E26" i="31"/>
  <c r="L26" i="31" s="1"/>
  <c r="AP25" i="19"/>
  <c r="AK5" i="35"/>
  <c r="AY5" i="35" s="1"/>
  <c r="E6" i="34"/>
  <c r="L6" i="34" s="1"/>
  <c r="E6" i="33"/>
  <c r="L6" i="33" s="1"/>
  <c r="E6" i="32"/>
  <c r="L6" i="32" s="1"/>
  <c r="E6" i="31"/>
  <c r="L6" i="31" s="1"/>
  <c r="E6" i="29"/>
  <c r="L6" i="29" s="1"/>
  <c r="E6" i="28"/>
  <c r="L6" i="28" s="1"/>
  <c r="E5" i="27"/>
  <c r="L5" i="27" s="1"/>
  <c r="AK10" i="35"/>
  <c r="AY10" i="35" s="1"/>
  <c r="E11" i="33"/>
  <c r="L11" i="33" s="1"/>
  <c r="E11" i="34"/>
  <c r="L11" i="34" s="1"/>
  <c r="E11" i="32"/>
  <c r="L11" i="32" s="1"/>
  <c r="E11" i="31"/>
  <c r="L11" i="31" s="1"/>
  <c r="E10" i="27"/>
  <c r="L10" i="27" s="1"/>
  <c r="E11" i="29"/>
  <c r="L11" i="29" s="1"/>
  <c r="E11" i="28"/>
  <c r="L11" i="28" s="1"/>
  <c r="AI16" i="19"/>
  <c r="AD16" i="35"/>
  <c r="AI20" i="19"/>
  <c r="AD20" i="35"/>
  <c r="AK33" i="35"/>
  <c r="AY33" i="35" s="1"/>
  <c r="E34" i="34"/>
  <c r="L34" i="34" s="1"/>
  <c r="E34" i="33"/>
  <c r="L34" i="33" s="1"/>
  <c r="E34" i="32"/>
  <c r="L34" i="32" s="1"/>
  <c r="E34" i="31"/>
  <c r="L34" i="31" s="1"/>
  <c r="E34" i="28"/>
  <c r="L34" i="28" s="1"/>
  <c r="E34" i="29"/>
  <c r="L34" i="29" s="1"/>
  <c r="E33" i="27"/>
  <c r="L33" i="27" s="1"/>
  <c r="AK36" i="35"/>
  <c r="AY36" i="35" s="1"/>
  <c r="E37" i="34"/>
  <c r="L37" i="34" s="1"/>
  <c r="E37" i="33"/>
  <c r="L37" i="33" s="1"/>
  <c r="E37" i="32"/>
  <c r="L37" i="32" s="1"/>
  <c r="E37" i="31"/>
  <c r="L37" i="31" s="1"/>
  <c r="E37" i="29"/>
  <c r="L37" i="29" s="1"/>
  <c r="E36" i="27"/>
  <c r="L36" i="27" s="1"/>
  <c r="E37" i="28"/>
  <c r="L37" i="28" s="1"/>
  <c r="AK49" i="35"/>
  <c r="AY49" i="35" s="1"/>
  <c r="E50" i="34"/>
  <c r="L50" i="34" s="1"/>
  <c r="E50" i="33"/>
  <c r="L50" i="33" s="1"/>
  <c r="E50" i="32"/>
  <c r="L50" i="32" s="1"/>
  <c r="E50" i="31"/>
  <c r="L50" i="31" s="1"/>
  <c r="E50" i="28"/>
  <c r="L50" i="28" s="1"/>
  <c r="E50" i="29"/>
  <c r="L50" i="29" s="1"/>
  <c r="E49" i="27"/>
  <c r="L49" i="27" s="1"/>
  <c r="AI64" i="19"/>
  <c r="AD64" i="35"/>
  <c r="AI73" i="19"/>
  <c r="AD73" i="35"/>
  <c r="AI87" i="19"/>
  <c r="AD87" i="35"/>
  <c r="AK19" i="35"/>
  <c r="AY19" i="35" s="1"/>
  <c r="E20" i="33"/>
  <c r="L20" i="33" s="1"/>
  <c r="E20" i="34"/>
  <c r="L20" i="34" s="1"/>
  <c r="E20" i="32"/>
  <c r="L20" i="32" s="1"/>
  <c r="E20" i="31"/>
  <c r="L20" i="31" s="1"/>
  <c r="E20" i="29"/>
  <c r="L20" i="29" s="1"/>
  <c r="E20" i="28"/>
  <c r="L20" i="28" s="1"/>
  <c r="E19" i="27"/>
  <c r="L19" i="27" s="1"/>
  <c r="AP19" i="19"/>
  <c r="AD79" i="35"/>
  <c r="AI79" i="19"/>
  <c r="AD82" i="35"/>
  <c r="AI82" i="19"/>
  <c r="AK22" i="35"/>
  <c r="AY22" i="35" s="1"/>
  <c r="E23" i="34"/>
  <c r="L23" i="34" s="1"/>
  <c r="E23" i="33"/>
  <c r="L23" i="33" s="1"/>
  <c r="E23" i="32"/>
  <c r="L23" i="32" s="1"/>
  <c r="E23" i="31"/>
  <c r="L23" i="31" s="1"/>
  <c r="E23" i="28"/>
  <c r="L23" i="28" s="1"/>
  <c r="E22" i="27"/>
  <c r="L22" i="27" s="1"/>
  <c r="E23" i="29"/>
  <c r="L23" i="29" s="1"/>
  <c r="AP22" i="19"/>
  <c r="AK52" i="35"/>
  <c r="AY52" i="35" s="1"/>
  <c r="E53" i="33"/>
  <c r="L53" i="33" s="1"/>
  <c r="E53" i="34"/>
  <c r="L53" i="34" s="1"/>
  <c r="E53" i="32"/>
  <c r="L53" i="32" s="1"/>
  <c r="E53" i="31"/>
  <c r="L53" i="31" s="1"/>
  <c r="E53" i="29"/>
  <c r="L53" i="29" s="1"/>
  <c r="E52" i="27"/>
  <c r="L52" i="27" s="1"/>
  <c r="E53" i="28"/>
  <c r="L53" i="28" s="1"/>
  <c r="AP52" i="19"/>
  <c r="AD19" i="35"/>
  <c r="AI19" i="19"/>
  <c r="F9" i="5"/>
  <c r="AD9" i="35"/>
  <c r="AI17" i="19"/>
  <c r="AD17" i="35"/>
  <c r="AI28" i="19"/>
  <c r="AD28" i="35"/>
  <c r="AK31" i="35"/>
  <c r="AY31" i="35" s="1"/>
  <c r="E32" i="33"/>
  <c r="L32" i="33" s="1"/>
  <c r="E32" i="34"/>
  <c r="L32" i="34" s="1"/>
  <c r="E32" i="32"/>
  <c r="L32" i="32" s="1"/>
  <c r="E32" i="31"/>
  <c r="L32" i="31" s="1"/>
  <c r="E32" i="28"/>
  <c r="L32" i="28" s="1"/>
  <c r="E32" i="29"/>
  <c r="L32" i="29" s="1"/>
  <c r="E31" i="27"/>
  <c r="L31" i="27" s="1"/>
  <c r="AK34" i="35"/>
  <c r="AY34" i="35" s="1"/>
  <c r="E35" i="34"/>
  <c r="L35" i="34" s="1"/>
  <c r="E35" i="33"/>
  <c r="L35" i="33" s="1"/>
  <c r="E35" i="32"/>
  <c r="L35" i="32" s="1"/>
  <c r="E35" i="31"/>
  <c r="L35" i="31" s="1"/>
  <c r="E35" i="28"/>
  <c r="L35" i="28" s="1"/>
  <c r="E35" i="29"/>
  <c r="L35" i="29" s="1"/>
  <c r="E34" i="27"/>
  <c r="L34" i="27" s="1"/>
  <c r="AK40" i="35"/>
  <c r="AY40" i="35" s="1"/>
  <c r="E41" i="34"/>
  <c r="L41" i="34" s="1"/>
  <c r="E41" i="33"/>
  <c r="L41" i="33" s="1"/>
  <c r="E41" i="32"/>
  <c r="L41" i="32" s="1"/>
  <c r="E41" i="31"/>
  <c r="L41" i="31" s="1"/>
  <c r="E41" i="29"/>
  <c r="L41" i="29" s="1"/>
  <c r="E40" i="27"/>
  <c r="L40" i="27" s="1"/>
  <c r="E41" i="28"/>
  <c r="L41" i="28" s="1"/>
  <c r="AK42" i="35"/>
  <c r="AY42" i="35" s="1"/>
  <c r="E43" i="34"/>
  <c r="L43" i="34" s="1"/>
  <c r="E43" i="33"/>
  <c r="L43" i="33" s="1"/>
  <c r="E43" i="32"/>
  <c r="L43" i="32" s="1"/>
  <c r="E43" i="31"/>
  <c r="L43" i="31" s="1"/>
  <c r="E43" i="28"/>
  <c r="L43" i="28" s="1"/>
  <c r="E43" i="29"/>
  <c r="L43" i="29" s="1"/>
  <c r="E66" i="27"/>
  <c r="L66" i="27" s="1"/>
  <c r="AK44" i="35"/>
  <c r="AY44" i="35" s="1"/>
  <c r="E45" i="34"/>
  <c r="L45" i="34" s="1"/>
  <c r="E45" i="33"/>
  <c r="L45" i="33" s="1"/>
  <c r="E45" i="32"/>
  <c r="L45" i="32" s="1"/>
  <c r="E45" i="31"/>
  <c r="L45" i="31" s="1"/>
  <c r="E45" i="29"/>
  <c r="L45" i="29" s="1"/>
  <c r="E44" i="27"/>
  <c r="L44" i="27" s="1"/>
  <c r="E45" i="28"/>
  <c r="L45" i="28" s="1"/>
  <c r="AK47" i="35"/>
  <c r="AY47" i="35" s="1"/>
  <c r="E48" i="33"/>
  <c r="L48" i="33" s="1"/>
  <c r="E48" i="34"/>
  <c r="L48" i="34" s="1"/>
  <c r="E48" i="32"/>
  <c r="L48" i="32" s="1"/>
  <c r="E48" i="31"/>
  <c r="L48" i="31" s="1"/>
  <c r="E48" i="28"/>
  <c r="L48" i="28" s="1"/>
  <c r="E48" i="29"/>
  <c r="L48" i="29" s="1"/>
  <c r="E47" i="27"/>
  <c r="L47" i="27" s="1"/>
  <c r="AK59" i="35"/>
  <c r="AY59" i="35" s="1"/>
  <c r="E60" i="34"/>
  <c r="L60" i="34" s="1"/>
  <c r="E60" i="33"/>
  <c r="L60" i="33" s="1"/>
  <c r="E60" i="32"/>
  <c r="L60" i="32" s="1"/>
  <c r="E60" i="31"/>
  <c r="L60" i="31" s="1"/>
  <c r="E60" i="28"/>
  <c r="L60" i="28" s="1"/>
  <c r="E60" i="29"/>
  <c r="L60" i="29" s="1"/>
  <c r="E59" i="27"/>
  <c r="L59" i="27" s="1"/>
  <c r="AI65" i="19"/>
  <c r="AD65" i="35"/>
  <c r="AI74" i="19"/>
  <c r="AD74" i="35"/>
  <c r="AK81" i="35"/>
  <c r="AY81" i="35" s="1"/>
  <c r="E82" i="33"/>
  <c r="L82" i="33" s="1"/>
  <c r="E82" i="34"/>
  <c r="L82" i="34" s="1"/>
  <c r="E82" i="32"/>
  <c r="L82" i="32" s="1"/>
  <c r="E82" i="31"/>
  <c r="L82" i="31" s="1"/>
  <c r="E82" i="28"/>
  <c r="L82" i="28" s="1"/>
  <c r="E82" i="29"/>
  <c r="L82" i="29" s="1"/>
  <c r="E81" i="27"/>
  <c r="L81" i="27" s="1"/>
  <c r="AK27" i="35"/>
  <c r="AY27" i="35" s="1"/>
  <c r="E28" i="33"/>
  <c r="L28" i="33" s="1"/>
  <c r="E28" i="34"/>
  <c r="L28" i="34" s="1"/>
  <c r="E28" i="32"/>
  <c r="L28" i="32" s="1"/>
  <c r="E28" i="31"/>
  <c r="L28" i="31" s="1"/>
  <c r="E28" i="28"/>
  <c r="L28" i="28" s="1"/>
  <c r="E28" i="29"/>
  <c r="L28" i="29" s="1"/>
  <c r="E27" i="27"/>
  <c r="L27" i="27" s="1"/>
  <c r="AP27" i="19"/>
  <c r="AD21" i="35"/>
  <c r="AI21" i="19"/>
  <c r="AI33" i="19"/>
  <c r="AD33" i="35"/>
  <c r="AK21" i="35"/>
  <c r="AY21" i="35" s="1"/>
  <c r="E22" i="34"/>
  <c r="L22" i="34" s="1"/>
  <c r="E22" i="33"/>
  <c r="L22" i="33" s="1"/>
  <c r="E22" i="32"/>
  <c r="L22" i="32" s="1"/>
  <c r="E22" i="31"/>
  <c r="L22" i="31" s="1"/>
  <c r="E22" i="28"/>
  <c r="L22" i="28" s="1"/>
  <c r="E21" i="27"/>
  <c r="L21" i="27" s="1"/>
  <c r="E22" i="29"/>
  <c r="L22" i="29" s="1"/>
  <c r="AP21" i="19"/>
  <c r="AD22" i="35"/>
  <c r="AI22" i="19"/>
  <c r="AI34" i="19"/>
  <c r="AD34" i="35"/>
  <c r="AI77" i="19"/>
  <c r="AD77" i="35"/>
  <c r="AK50" i="35"/>
  <c r="AY50" i="35" s="1"/>
  <c r="E51" i="34"/>
  <c r="L51" i="34" s="1"/>
  <c r="E51" i="33"/>
  <c r="L51" i="33" s="1"/>
  <c r="E51" i="32"/>
  <c r="L51" i="32" s="1"/>
  <c r="E51" i="31"/>
  <c r="L51" i="31" s="1"/>
  <c r="E51" i="28"/>
  <c r="L51" i="28" s="1"/>
  <c r="E51" i="29"/>
  <c r="L51" i="29" s="1"/>
  <c r="E50" i="27"/>
  <c r="L50" i="27" s="1"/>
  <c r="AP50" i="19"/>
  <c r="AK76" i="35"/>
  <c r="AY76" i="35" s="1"/>
  <c r="E77" i="34"/>
  <c r="L77" i="34" s="1"/>
  <c r="E77" i="33"/>
  <c r="L77" i="33" s="1"/>
  <c r="E77" i="32"/>
  <c r="L77" i="32" s="1"/>
  <c r="E77" i="31"/>
  <c r="L77" i="31" s="1"/>
  <c r="E77" i="29"/>
  <c r="L77" i="29" s="1"/>
  <c r="E76" i="27"/>
  <c r="L76" i="27" s="1"/>
  <c r="E77" i="28"/>
  <c r="L77" i="28" s="1"/>
  <c r="AP76" i="19"/>
  <c r="AD27" i="35"/>
  <c r="AI27" i="19"/>
  <c r="AI31" i="19"/>
  <c r="AD31" i="35"/>
  <c r="AK37" i="35"/>
  <c r="AY37" i="35" s="1"/>
  <c r="E38" i="34"/>
  <c r="L38" i="34" s="1"/>
  <c r="E38" i="33"/>
  <c r="L38" i="33" s="1"/>
  <c r="E38" i="32"/>
  <c r="L38" i="32" s="1"/>
  <c r="E38" i="31"/>
  <c r="L38" i="31" s="1"/>
  <c r="E38" i="28"/>
  <c r="L38" i="28" s="1"/>
  <c r="E38" i="29"/>
  <c r="L38" i="29" s="1"/>
  <c r="E37" i="27"/>
  <c r="L37" i="27" s="1"/>
  <c r="AI42" i="19"/>
  <c r="AD42" i="35"/>
  <c r="AI44" i="19"/>
  <c r="AD44" i="35"/>
  <c r="AI47" i="19"/>
  <c r="AD47" i="35"/>
  <c r="AK51" i="35"/>
  <c r="AY51" i="35" s="1"/>
  <c r="E52" i="33"/>
  <c r="L52" i="33" s="1"/>
  <c r="E52" i="34"/>
  <c r="L52" i="34" s="1"/>
  <c r="E52" i="32"/>
  <c r="L52" i="32" s="1"/>
  <c r="E52" i="31"/>
  <c r="L52" i="31" s="1"/>
  <c r="E52" i="28"/>
  <c r="L52" i="28" s="1"/>
  <c r="E52" i="29"/>
  <c r="L52" i="29" s="1"/>
  <c r="E51" i="27"/>
  <c r="L51" i="27" s="1"/>
  <c r="BD88" i="19"/>
  <c r="D88" i="10"/>
  <c r="AK53" i="35"/>
  <c r="AY53" i="35" s="1"/>
  <c r="E54" i="33"/>
  <c r="L54" i="33" s="1"/>
  <c r="E54" i="34"/>
  <c r="L54" i="34" s="1"/>
  <c r="E54" i="32"/>
  <c r="L54" i="32" s="1"/>
  <c r="E54" i="31"/>
  <c r="L54" i="31" s="1"/>
  <c r="E54" i="28"/>
  <c r="L54" i="28" s="1"/>
  <c r="E54" i="29"/>
  <c r="L54" i="29" s="1"/>
  <c r="E53" i="27"/>
  <c r="L53" i="27" s="1"/>
  <c r="AP53" i="19"/>
  <c r="AD43" i="35"/>
  <c r="AI43" i="19"/>
  <c r="AI37" i="19"/>
  <c r="AD37" i="35"/>
  <c r="AK43" i="35"/>
  <c r="AY43" i="35" s="1"/>
  <c r="E44" i="34"/>
  <c r="L44" i="34" s="1"/>
  <c r="E44" i="33"/>
  <c r="L44" i="33" s="1"/>
  <c r="E44" i="32"/>
  <c r="L44" i="32" s="1"/>
  <c r="E44" i="31"/>
  <c r="L44" i="31" s="1"/>
  <c r="E44" i="28"/>
  <c r="L44" i="28" s="1"/>
  <c r="E44" i="29"/>
  <c r="L44" i="29" s="1"/>
  <c r="E43" i="27"/>
  <c r="L43" i="27" s="1"/>
  <c r="AP43" i="19"/>
  <c r="AD50" i="35"/>
  <c r="AI50" i="19"/>
  <c r="AK4" i="35"/>
  <c r="AY4" i="35" s="1"/>
  <c r="E5" i="34"/>
  <c r="L5" i="34" s="1"/>
  <c r="E5" i="33"/>
  <c r="L5" i="33" s="1"/>
  <c r="E5" i="32"/>
  <c r="L5" i="32" s="1"/>
  <c r="E5" i="31"/>
  <c r="L5" i="31" s="1"/>
  <c r="E5" i="29"/>
  <c r="L5" i="29" s="1"/>
  <c r="E5" i="28"/>
  <c r="L5" i="28" s="1"/>
  <c r="E4" i="27"/>
  <c r="L4" i="27" s="1"/>
  <c r="AK70" i="35"/>
  <c r="AY70" i="35" s="1"/>
  <c r="E71" i="34"/>
  <c r="L71" i="34" s="1"/>
  <c r="E71" i="33"/>
  <c r="L71" i="33" s="1"/>
  <c r="E71" i="32"/>
  <c r="L71" i="32" s="1"/>
  <c r="E71" i="31"/>
  <c r="L71" i="31" s="1"/>
  <c r="E71" i="28"/>
  <c r="L71" i="28" s="1"/>
  <c r="E71" i="29"/>
  <c r="L71" i="29" s="1"/>
  <c r="E70" i="27"/>
  <c r="L70" i="27" s="1"/>
  <c r="AP70" i="19"/>
  <c r="AK12" i="35"/>
  <c r="AY12" i="35" s="1"/>
  <c r="E13" i="34"/>
  <c r="L13" i="34" s="1"/>
  <c r="E13" i="33"/>
  <c r="L13" i="33" s="1"/>
  <c r="E13" i="32"/>
  <c r="L13" i="32" s="1"/>
  <c r="E13" i="31"/>
  <c r="L13" i="31" s="1"/>
  <c r="E13" i="28"/>
  <c r="L13" i="28" s="1"/>
  <c r="E12" i="27"/>
  <c r="L12" i="27" s="1"/>
  <c r="E13" i="29"/>
  <c r="L13" i="29" s="1"/>
  <c r="AP12" i="19"/>
  <c r="AK84" i="35"/>
  <c r="AY84" i="35" s="1"/>
  <c r="E85" i="33"/>
  <c r="L85" i="33" s="1"/>
  <c r="E85" i="34"/>
  <c r="L85" i="34" s="1"/>
  <c r="E85" i="32"/>
  <c r="L85" i="32" s="1"/>
  <c r="E85" i="31"/>
  <c r="L85" i="31" s="1"/>
  <c r="E85" i="29"/>
  <c r="L85" i="29" s="1"/>
  <c r="E84" i="27"/>
  <c r="L84" i="27" s="1"/>
  <c r="E85" i="28"/>
  <c r="L85" i="28" s="1"/>
  <c r="AP84" i="19"/>
  <c r="AI59" i="19"/>
  <c r="AD59" i="35"/>
  <c r="BD56" i="19"/>
  <c r="D56" i="10"/>
  <c r="AH15" i="19"/>
  <c r="AC15" i="35"/>
  <c r="BC17" i="19"/>
  <c r="C17" i="10"/>
  <c r="AH42" i="19"/>
  <c r="AC42" i="35"/>
  <c r="AH49" i="19"/>
  <c r="AC49" i="35"/>
  <c r="K57" i="18"/>
  <c r="AH84" i="19"/>
  <c r="AC84" i="35"/>
  <c r="AH52" i="19"/>
  <c r="AC52" i="35"/>
  <c r="AH16" i="19"/>
  <c r="AC16" i="35"/>
  <c r="AO24" i="19"/>
  <c r="AJ24" i="35"/>
  <c r="AX24" i="35" s="1"/>
  <c r="D25" i="33"/>
  <c r="K25" i="33" s="1"/>
  <c r="D25" i="34"/>
  <c r="K25" i="34" s="1"/>
  <c r="D25" i="32"/>
  <c r="K25" i="32" s="1"/>
  <c r="D25" i="31"/>
  <c r="K25" i="31" s="1"/>
  <c r="D2" i="27"/>
  <c r="K2" i="27" s="1"/>
  <c r="D25" i="28"/>
  <c r="K25" i="28" s="1"/>
  <c r="D25" i="29"/>
  <c r="K25" i="29" s="1"/>
  <c r="AO40" i="19"/>
  <c r="AJ40" i="35"/>
  <c r="AX40" i="35" s="1"/>
  <c r="D41" i="34"/>
  <c r="K41" i="34" s="1"/>
  <c r="D41" i="32"/>
  <c r="K41" i="32" s="1"/>
  <c r="D41" i="33"/>
  <c r="K41" i="33" s="1"/>
  <c r="D41" i="31"/>
  <c r="K41" i="31" s="1"/>
  <c r="D41" i="28"/>
  <c r="K41" i="28" s="1"/>
  <c r="D40" i="27"/>
  <c r="K40" i="27" s="1"/>
  <c r="D41" i="29"/>
  <c r="K41" i="29" s="1"/>
  <c r="AH46" i="19"/>
  <c r="AC46" i="35"/>
  <c r="AH48" i="19"/>
  <c r="AC48" i="35"/>
  <c r="AO54" i="19"/>
  <c r="AJ54" i="35"/>
  <c r="AX54" i="35" s="1"/>
  <c r="D55" i="33"/>
  <c r="K55" i="33" s="1"/>
  <c r="D55" i="34"/>
  <c r="K55" i="34" s="1"/>
  <c r="D55" i="32"/>
  <c r="K55" i="32" s="1"/>
  <c r="D55" i="31"/>
  <c r="K55" i="31" s="1"/>
  <c r="D55" i="29"/>
  <c r="K55" i="29" s="1"/>
  <c r="D54" i="27"/>
  <c r="K54" i="27" s="1"/>
  <c r="D55" i="28"/>
  <c r="K55" i="28" s="1"/>
  <c r="AO55" i="19"/>
  <c r="AJ55" i="35"/>
  <c r="AX55" i="35" s="1"/>
  <c r="D56" i="33"/>
  <c r="K56" i="33" s="1"/>
  <c r="D56" i="34"/>
  <c r="K56" i="34" s="1"/>
  <c r="D56" i="32"/>
  <c r="K56" i="32" s="1"/>
  <c r="D56" i="31"/>
  <c r="K56" i="31" s="1"/>
  <c r="D56" i="29"/>
  <c r="K56" i="29" s="1"/>
  <c r="D56" i="28"/>
  <c r="K56" i="28" s="1"/>
  <c r="D55" i="27"/>
  <c r="K55" i="27" s="1"/>
  <c r="AH60" i="19"/>
  <c r="AC60" i="35"/>
  <c r="J78" i="18"/>
  <c r="K15" i="18"/>
  <c r="K31" i="18"/>
  <c r="J47" i="18"/>
  <c r="K63" i="18"/>
  <c r="K28" i="18"/>
  <c r="K44" i="18"/>
  <c r="AH68" i="19"/>
  <c r="AC68" i="35"/>
  <c r="K47" i="18"/>
  <c r="BC88" i="19"/>
  <c r="C88" i="10"/>
  <c r="AO80" i="19"/>
  <c r="AJ80" i="35"/>
  <c r="AX80" i="35" s="1"/>
  <c r="D81" i="32"/>
  <c r="K81" i="32" s="1"/>
  <c r="D81" i="33"/>
  <c r="K81" i="33" s="1"/>
  <c r="D81" i="34"/>
  <c r="K81" i="34" s="1"/>
  <c r="D81" i="31"/>
  <c r="K81" i="31" s="1"/>
  <c r="D81" i="28"/>
  <c r="K81" i="28" s="1"/>
  <c r="D80" i="27"/>
  <c r="K80" i="27" s="1"/>
  <c r="D81" i="29"/>
  <c r="K81" i="29" s="1"/>
  <c r="AH80" i="19"/>
  <c r="AC80" i="35"/>
  <c r="AH19" i="19"/>
  <c r="AC19" i="35"/>
  <c r="AH78" i="19"/>
  <c r="AC78" i="35"/>
  <c r="BC52" i="19"/>
  <c r="C52" i="10"/>
  <c r="AO48" i="19"/>
  <c r="AJ48" i="35"/>
  <c r="AX48" i="35" s="1"/>
  <c r="D49" i="32"/>
  <c r="K49" i="32" s="1"/>
  <c r="D49" i="34"/>
  <c r="K49" i="34" s="1"/>
  <c r="D49" i="33"/>
  <c r="K49" i="33" s="1"/>
  <c r="D49" i="31"/>
  <c r="K49" i="31" s="1"/>
  <c r="D49" i="29"/>
  <c r="K49" i="29" s="1"/>
  <c r="D49" i="28"/>
  <c r="K49" i="28" s="1"/>
  <c r="D48" i="27"/>
  <c r="K48" i="27" s="1"/>
  <c r="J33" i="18"/>
  <c r="K81" i="18"/>
  <c r="K30" i="18"/>
  <c r="AH85" i="19"/>
  <c r="AC85" i="35"/>
  <c r="AO70" i="19"/>
  <c r="AJ70" i="35"/>
  <c r="AX70" i="35" s="1"/>
  <c r="D71" i="32"/>
  <c r="K71" i="32" s="1"/>
  <c r="D71" i="34"/>
  <c r="K71" i="34" s="1"/>
  <c r="D71" i="33"/>
  <c r="K71" i="33" s="1"/>
  <c r="D71" i="31"/>
  <c r="K71" i="31" s="1"/>
  <c r="D71" i="29"/>
  <c r="K71" i="29" s="1"/>
  <c r="D71" i="28"/>
  <c r="K71" i="28" s="1"/>
  <c r="D70" i="27"/>
  <c r="K70" i="27" s="1"/>
  <c r="AH70" i="19"/>
  <c r="AC70" i="35"/>
  <c r="AO82" i="19"/>
  <c r="AJ82" i="35"/>
  <c r="AX82" i="35" s="1"/>
  <c r="D83" i="34"/>
  <c r="K83" i="34" s="1"/>
  <c r="D83" i="32"/>
  <c r="K83" i="32" s="1"/>
  <c r="D83" i="33"/>
  <c r="K83" i="33" s="1"/>
  <c r="D83" i="31"/>
  <c r="K83" i="31" s="1"/>
  <c r="D83" i="28"/>
  <c r="K83" i="28" s="1"/>
  <c r="D82" i="27"/>
  <c r="K82" i="27" s="1"/>
  <c r="D83" i="29"/>
  <c r="K83" i="29" s="1"/>
  <c r="BC53" i="19"/>
  <c r="C53" i="10"/>
  <c r="AH14" i="19"/>
  <c r="AC14" i="35"/>
  <c r="AJ17" i="35"/>
  <c r="AX17" i="35" s="1"/>
  <c r="D18" i="34"/>
  <c r="K18" i="34" s="1"/>
  <c r="D18" i="32"/>
  <c r="K18" i="32" s="1"/>
  <c r="D18" i="33"/>
  <c r="K18" i="33" s="1"/>
  <c r="D18" i="31"/>
  <c r="K18" i="31" s="1"/>
  <c r="D18" i="29"/>
  <c r="K18" i="29" s="1"/>
  <c r="D17" i="27"/>
  <c r="K17" i="27" s="1"/>
  <c r="D18" i="28"/>
  <c r="K18" i="28" s="1"/>
  <c r="AH24" i="19"/>
  <c r="AC24" i="35"/>
  <c r="AO34" i="19"/>
  <c r="AJ34" i="35"/>
  <c r="AX34" i="35" s="1"/>
  <c r="D35" i="32"/>
  <c r="K35" i="32" s="1"/>
  <c r="D35" i="33"/>
  <c r="K35" i="33" s="1"/>
  <c r="D35" i="34"/>
  <c r="K35" i="34" s="1"/>
  <c r="D35" i="31"/>
  <c r="K35" i="31" s="1"/>
  <c r="D34" i="27"/>
  <c r="K34" i="27" s="1"/>
  <c r="D35" i="29"/>
  <c r="K35" i="29" s="1"/>
  <c r="D35" i="28"/>
  <c r="K35" i="28" s="1"/>
  <c r="AH38" i="19"/>
  <c r="AC38" i="35"/>
  <c r="AH40" i="19"/>
  <c r="AC40" i="35"/>
  <c r="AH45" i="19"/>
  <c r="AC45" i="35"/>
  <c r="AH54" i="19"/>
  <c r="AC54" i="35"/>
  <c r="AH55" i="19"/>
  <c r="AC55" i="35"/>
  <c r="AO58" i="19"/>
  <c r="AJ58" i="35"/>
  <c r="AX58" i="35" s="1"/>
  <c r="D59" i="32"/>
  <c r="K59" i="32" s="1"/>
  <c r="D59" i="34"/>
  <c r="K59" i="34" s="1"/>
  <c r="D59" i="33"/>
  <c r="K59" i="33" s="1"/>
  <c r="D59" i="31"/>
  <c r="K59" i="31" s="1"/>
  <c r="D59" i="29"/>
  <c r="K59" i="29" s="1"/>
  <c r="D58" i="27"/>
  <c r="K58" i="27" s="1"/>
  <c r="D59" i="28"/>
  <c r="K59" i="28" s="1"/>
  <c r="AH59" i="19"/>
  <c r="AC59" i="35"/>
  <c r="AO62" i="19"/>
  <c r="AJ62" i="35"/>
  <c r="AX62" i="35" s="1"/>
  <c r="D63" i="32"/>
  <c r="K63" i="32" s="1"/>
  <c r="D63" i="34"/>
  <c r="K63" i="34" s="1"/>
  <c r="D63" i="33"/>
  <c r="K63" i="33" s="1"/>
  <c r="D63" i="31"/>
  <c r="K63" i="31" s="1"/>
  <c r="D63" i="29"/>
  <c r="K63" i="29" s="1"/>
  <c r="D63" i="28"/>
  <c r="K63" i="28" s="1"/>
  <c r="D62" i="27"/>
  <c r="K62" i="27" s="1"/>
  <c r="AO63" i="19"/>
  <c r="AJ63" i="35"/>
  <c r="AX63" i="35" s="1"/>
  <c r="D64" i="32"/>
  <c r="K64" i="32" s="1"/>
  <c r="D64" i="34"/>
  <c r="K64" i="34" s="1"/>
  <c r="D64" i="33"/>
  <c r="K64" i="33" s="1"/>
  <c r="D64" i="31"/>
  <c r="K64" i="31" s="1"/>
  <c r="D64" i="29"/>
  <c r="K64" i="29" s="1"/>
  <c r="D64" i="28"/>
  <c r="K64" i="28" s="1"/>
  <c r="D63" i="27"/>
  <c r="K63" i="27" s="1"/>
  <c r="AH64" i="19"/>
  <c r="AC64" i="35"/>
  <c r="AJ81" i="35"/>
  <c r="AX81" i="35" s="1"/>
  <c r="D82" i="33"/>
  <c r="K82" i="33" s="1"/>
  <c r="D82" i="34"/>
  <c r="K82" i="34" s="1"/>
  <c r="D82" i="32"/>
  <c r="K82" i="32" s="1"/>
  <c r="D82" i="31"/>
  <c r="K82" i="31" s="1"/>
  <c r="D82" i="28"/>
  <c r="K82" i="28" s="1"/>
  <c r="D81" i="27"/>
  <c r="K81" i="27" s="1"/>
  <c r="D82" i="29"/>
  <c r="K82" i="29" s="1"/>
  <c r="AH82" i="19"/>
  <c r="AC82" i="35"/>
  <c r="K21" i="18"/>
  <c r="J29" i="18"/>
  <c r="K37" i="18"/>
  <c r="J45" i="18"/>
  <c r="J69" i="18"/>
  <c r="K66" i="18"/>
  <c r="J75" i="18"/>
  <c r="AJ12" i="35"/>
  <c r="AX12" i="35" s="1"/>
  <c r="D13" i="32"/>
  <c r="K13" i="32" s="1"/>
  <c r="D13" i="34"/>
  <c r="K13" i="34" s="1"/>
  <c r="D13" i="33"/>
  <c r="K13" i="33" s="1"/>
  <c r="D13" i="31"/>
  <c r="K13" i="31" s="1"/>
  <c r="D13" i="28"/>
  <c r="K13" i="28" s="1"/>
  <c r="D13" i="29"/>
  <c r="K13" i="29" s="1"/>
  <c r="D12" i="27"/>
  <c r="K12" i="27" s="1"/>
  <c r="AH12" i="19"/>
  <c r="AC12" i="35"/>
  <c r="BC79" i="19"/>
  <c r="C79" i="10"/>
  <c r="AO19" i="19"/>
  <c r="AJ19" i="35"/>
  <c r="AX19" i="35" s="1"/>
  <c r="D20" i="32"/>
  <c r="K20" i="32" s="1"/>
  <c r="D20" i="34"/>
  <c r="K20" i="34" s="1"/>
  <c r="D20" i="33"/>
  <c r="K20" i="33" s="1"/>
  <c r="D20" i="31"/>
  <c r="K20" i="31" s="1"/>
  <c r="D19" i="27"/>
  <c r="K19" i="27" s="1"/>
  <c r="D20" i="29"/>
  <c r="K20" i="29" s="1"/>
  <c r="D20" i="28"/>
  <c r="K20" i="28" s="1"/>
  <c r="AH43" i="19"/>
  <c r="AC43" i="35"/>
  <c r="AO84" i="19"/>
  <c r="AJ84" i="35"/>
  <c r="AX84" i="35" s="1"/>
  <c r="D85" i="34"/>
  <c r="K85" i="34" s="1"/>
  <c r="D85" i="32"/>
  <c r="K85" i="32" s="1"/>
  <c r="D85" i="33"/>
  <c r="K85" i="33" s="1"/>
  <c r="D85" i="31"/>
  <c r="K85" i="31" s="1"/>
  <c r="D85" i="28"/>
  <c r="K85" i="28" s="1"/>
  <c r="D84" i="27"/>
  <c r="K84" i="27" s="1"/>
  <c r="D85" i="29"/>
  <c r="K85" i="29" s="1"/>
  <c r="BC22" i="19"/>
  <c r="C22" i="10"/>
  <c r="BC78" i="19"/>
  <c r="C78" i="10"/>
  <c r="AH87" i="19"/>
  <c r="AC87" i="35"/>
  <c r="K17" i="18"/>
  <c r="BC12" i="19"/>
  <c r="C12" i="10"/>
  <c r="BC81" i="19"/>
  <c r="C81" i="10"/>
  <c r="AH17" i="19"/>
  <c r="AC17" i="35"/>
  <c r="AH34" i="19"/>
  <c r="AC34" i="35"/>
  <c r="AO42" i="19"/>
  <c r="AJ42" i="35"/>
  <c r="AX42" i="35" s="1"/>
  <c r="D43" i="33"/>
  <c r="K43" i="33" s="1"/>
  <c r="D43" i="32"/>
  <c r="K43" i="32" s="1"/>
  <c r="D43" i="34"/>
  <c r="K43" i="34" s="1"/>
  <c r="D43" i="31"/>
  <c r="K43" i="31" s="1"/>
  <c r="D43" i="29"/>
  <c r="K43" i="29" s="1"/>
  <c r="D43" i="28"/>
  <c r="K43" i="28" s="1"/>
  <c r="D66" i="27"/>
  <c r="K66" i="27" s="1"/>
  <c r="AH44" i="19"/>
  <c r="AC44" i="35"/>
  <c r="AH57" i="19"/>
  <c r="AC57" i="35"/>
  <c r="AH58" i="19"/>
  <c r="AC58" i="35"/>
  <c r="AH62" i="19"/>
  <c r="AC62" i="35"/>
  <c r="AH63" i="19"/>
  <c r="AC63" i="35"/>
  <c r="AH66" i="19"/>
  <c r="AC66" i="35"/>
  <c r="AH81" i="19"/>
  <c r="AC81" i="35"/>
  <c r="K23" i="18"/>
  <c r="J55" i="18"/>
  <c r="K71" i="18"/>
  <c r="K52" i="18"/>
  <c r="AH67" i="19"/>
  <c r="AC67" i="35"/>
  <c r="AH75" i="19"/>
  <c r="AC75" i="35"/>
  <c r="AH74" i="19"/>
  <c r="AC74" i="35"/>
  <c r="AH21" i="19"/>
  <c r="AC21" i="35"/>
  <c r="AO27" i="19"/>
  <c r="AJ27" i="35"/>
  <c r="AX27" i="35" s="1"/>
  <c r="D28" i="34"/>
  <c r="K28" i="34" s="1"/>
  <c r="D28" i="33"/>
  <c r="K28" i="33" s="1"/>
  <c r="D28" i="32"/>
  <c r="K28" i="32" s="1"/>
  <c r="D28" i="31"/>
  <c r="K28" i="31" s="1"/>
  <c r="D27" i="27"/>
  <c r="K27" i="27" s="1"/>
  <c r="D28" i="29"/>
  <c r="K28" i="29" s="1"/>
  <c r="D28" i="28"/>
  <c r="K28" i="28" s="1"/>
  <c r="AH27" i="19"/>
  <c r="AC27" i="35"/>
  <c r="AO43" i="19"/>
  <c r="AJ43" i="35"/>
  <c r="AX43" i="35" s="1"/>
  <c r="D44" i="33"/>
  <c r="K44" i="33" s="1"/>
  <c r="D44" i="32"/>
  <c r="K44" i="32" s="1"/>
  <c r="D44" i="34"/>
  <c r="K44" i="34" s="1"/>
  <c r="D44" i="31"/>
  <c r="K44" i="31" s="1"/>
  <c r="D44" i="28"/>
  <c r="K44" i="28" s="1"/>
  <c r="D43" i="27"/>
  <c r="K43" i="27" s="1"/>
  <c r="D44" i="29"/>
  <c r="K44" i="29" s="1"/>
  <c r="AH72" i="19"/>
  <c r="AC72" i="35"/>
  <c r="AH22" i="19"/>
  <c r="AC22" i="35"/>
  <c r="BC72" i="19"/>
  <c r="C72" i="10"/>
  <c r="AJ26" i="19"/>
  <c r="AJ37" i="19"/>
  <c r="AJ12" i="19"/>
  <c r="AJ22" i="19"/>
  <c r="AJ19" i="19"/>
  <c r="AJ84" i="19"/>
  <c r="F89" i="31"/>
  <c r="M89" i="31" s="1"/>
  <c r="Q89" i="31" s="1"/>
  <c r="U89" i="31" s="1"/>
  <c r="F89" i="34"/>
  <c r="R89" i="34" s="1"/>
  <c r="T89" i="34" s="1"/>
  <c r="K88" i="18"/>
  <c r="J88" i="18"/>
  <c r="AJ13" i="19"/>
  <c r="AJ55" i="19"/>
  <c r="AJ71" i="19"/>
  <c r="K26" i="18"/>
  <c r="AJ62" i="19"/>
  <c r="AJ70" i="19"/>
  <c r="AJ27" i="19"/>
  <c r="J53" i="18"/>
  <c r="K18" i="18"/>
  <c r="J26" i="18"/>
  <c r="K34" i="18"/>
  <c r="J42" i="18"/>
  <c r="J50" i="18"/>
  <c r="J58" i="18"/>
  <c r="J60" i="18"/>
  <c r="J43" i="18"/>
  <c r="K59" i="18"/>
  <c r="J16" i="18"/>
  <c r="F88" i="27"/>
  <c r="M88" i="27" s="1"/>
  <c r="Q88" i="27" s="1"/>
  <c r="U88" i="27" s="1"/>
  <c r="AQ88" i="19"/>
  <c r="BE88" i="19" s="1"/>
  <c r="BI88" i="19" s="1"/>
  <c r="AJ82" i="19"/>
  <c r="AJ43" i="19"/>
  <c r="K20" i="18"/>
  <c r="AJ53" i="19"/>
  <c r="F89" i="28"/>
  <c r="R89" i="28" s="1"/>
  <c r="T89" i="28" s="1"/>
  <c r="AJ21" i="19"/>
  <c r="AJ75" i="19"/>
  <c r="F89" i="32"/>
  <c r="M89" i="32" s="1"/>
  <c r="Q89" i="32" s="1"/>
  <c r="U89" i="32" s="1"/>
  <c r="AJ14" i="19"/>
  <c r="AJ29" i="19"/>
  <c r="AJ42" i="19"/>
  <c r="AJ45" i="19"/>
  <c r="AJ64" i="19"/>
  <c r="H85" i="3"/>
  <c r="AJ87" i="19"/>
  <c r="AJ88" i="19"/>
  <c r="AJ56" i="19"/>
  <c r="J19" i="18"/>
  <c r="F89" i="29"/>
  <c r="S89" i="29" s="1"/>
  <c r="V89" i="29" s="1"/>
  <c r="M89" i="33"/>
  <c r="Q89" i="33" s="1"/>
  <c r="U89" i="33" s="1"/>
  <c r="H23" i="3"/>
  <c r="AH47" i="19"/>
  <c r="G47" i="4"/>
  <c r="AJ47" i="35" s="1"/>
  <c r="AX47" i="35" s="1"/>
  <c r="AH39" i="19"/>
  <c r="G39" i="4"/>
  <c r="AJ39" i="35" s="1"/>
  <c r="AX39" i="35" s="1"/>
  <c r="G21" i="4"/>
  <c r="AJ21" i="35" s="1"/>
  <c r="AX21" i="35" s="1"/>
  <c r="G85" i="4"/>
  <c r="AJ85" i="35" s="1"/>
  <c r="AX85" i="35" s="1"/>
  <c r="AH77" i="19"/>
  <c r="G77" i="4"/>
  <c r="AJ77" i="35" s="1"/>
  <c r="AX77" i="35" s="1"/>
  <c r="J77" i="18"/>
  <c r="AH76" i="19"/>
  <c r="G76" i="4"/>
  <c r="AJ76" i="35" s="1"/>
  <c r="AX76" i="35" s="1"/>
  <c r="K74" i="18"/>
  <c r="G74" i="4"/>
  <c r="AJ74" i="35" s="1"/>
  <c r="AX74" i="35" s="1"/>
  <c r="AO75" i="19"/>
  <c r="D76" i="33"/>
  <c r="D76" i="32"/>
  <c r="D76" i="34"/>
  <c r="D76" i="31"/>
  <c r="K76" i="31" s="1"/>
  <c r="D76" i="29"/>
  <c r="K76" i="29" s="1"/>
  <c r="D76" i="28"/>
  <c r="K76" i="28" s="1"/>
  <c r="D75" i="27"/>
  <c r="K75" i="27" s="1"/>
  <c r="AH73" i="19"/>
  <c r="G73" i="4"/>
  <c r="AJ73" i="35" s="1"/>
  <c r="AX73" i="35" s="1"/>
  <c r="AH71" i="19"/>
  <c r="G71" i="4"/>
  <c r="AJ71" i="35" s="1"/>
  <c r="AX71" i="35" s="1"/>
  <c r="AH69" i="19"/>
  <c r="G69" i="4"/>
  <c r="AJ69" i="35" s="1"/>
  <c r="AX69" i="35" s="1"/>
  <c r="AO68" i="19"/>
  <c r="D69" i="32"/>
  <c r="D69" i="33"/>
  <c r="D69" i="34"/>
  <c r="D69" i="31"/>
  <c r="K69" i="31" s="1"/>
  <c r="D69" i="29"/>
  <c r="K69" i="29" s="1"/>
  <c r="D69" i="28"/>
  <c r="K69" i="28" s="1"/>
  <c r="D24" i="27"/>
  <c r="K24" i="27" s="1"/>
  <c r="G67" i="4"/>
  <c r="AJ67" i="35" s="1"/>
  <c r="AX67" i="35" s="1"/>
  <c r="K14" i="18"/>
  <c r="H61" i="3"/>
  <c r="H74" i="3"/>
  <c r="F88" i="29"/>
  <c r="K60" i="18"/>
  <c r="J61" i="18"/>
  <c r="K61" i="18"/>
  <c r="J67" i="18"/>
  <c r="H55" i="21"/>
  <c r="K49" i="18"/>
  <c r="K13" i="18"/>
  <c r="K69" i="18"/>
  <c r="J85" i="18"/>
  <c r="J74" i="18"/>
  <c r="H35" i="21"/>
  <c r="J12" i="18"/>
  <c r="J28" i="18"/>
  <c r="J20" i="18"/>
  <c r="K39" i="18"/>
  <c r="K86" i="18"/>
  <c r="K53" i="18"/>
  <c r="K55" i="18"/>
  <c r="J15" i="18"/>
  <c r="H67" i="21"/>
  <c r="K40" i="18"/>
  <c r="H51" i="21"/>
  <c r="J14" i="18"/>
  <c r="K79" i="18"/>
  <c r="J84" i="18"/>
  <c r="J22" i="18"/>
  <c r="K78" i="18"/>
  <c r="J59" i="18"/>
  <c r="K65" i="18"/>
  <c r="H83" i="21"/>
  <c r="H75" i="21"/>
  <c r="K75" i="18"/>
  <c r="J63" i="18"/>
  <c r="J54" i="18"/>
  <c r="AK48" i="19"/>
  <c r="H48" i="21"/>
  <c r="H46" i="21"/>
  <c r="K42" i="18"/>
  <c r="K41" i="18"/>
  <c r="H39" i="21"/>
  <c r="AK38" i="19"/>
  <c r="H38" i="21"/>
  <c r="H30" i="21"/>
  <c r="J30" i="18"/>
  <c r="J23" i="18"/>
  <c r="J17" i="18"/>
  <c r="K16" i="18"/>
  <c r="H15" i="21"/>
  <c r="H14" i="21"/>
  <c r="K50" i="18"/>
  <c r="J71" i="18"/>
  <c r="K19" i="18"/>
  <c r="J52" i="18"/>
  <c r="K35" i="18"/>
  <c r="J38" i="18"/>
  <c r="J73" i="18"/>
  <c r="K25" i="18"/>
  <c r="K58" i="18"/>
  <c r="J66" i="18"/>
  <c r="K33" i="18"/>
  <c r="J57" i="18"/>
  <c r="J81" i="18"/>
  <c r="AK44" i="19"/>
  <c r="H44" i="21"/>
  <c r="AK60" i="19"/>
  <c r="H60" i="21"/>
  <c r="AK22" i="19"/>
  <c r="H22" i="21"/>
  <c r="AK86" i="19"/>
  <c r="H86" i="21"/>
  <c r="AK23" i="19"/>
  <c r="H23" i="21"/>
  <c r="AK32" i="19"/>
  <c r="H32" i="21"/>
  <c r="AK64" i="19"/>
  <c r="H64" i="21"/>
  <c r="AK80" i="19"/>
  <c r="H80" i="21"/>
  <c r="AK12" i="19"/>
  <c r="H12" i="21"/>
  <c r="AK20" i="19"/>
  <c r="H20" i="21"/>
  <c r="AK36" i="19"/>
  <c r="H36" i="21"/>
  <c r="AK52" i="19"/>
  <c r="H52" i="21"/>
  <c r="AK68" i="19"/>
  <c r="H68" i="21"/>
  <c r="AK84" i="19"/>
  <c r="H84" i="21"/>
  <c r="AK54" i="19"/>
  <c r="H54" i="21"/>
  <c r="AK24" i="19"/>
  <c r="H24" i="21"/>
  <c r="AK72" i="19"/>
  <c r="H72" i="21"/>
  <c r="AK25" i="19"/>
  <c r="H25" i="21"/>
  <c r="AK41" i="19"/>
  <c r="H41" i="21"/>
  <c r="AK57" i="19"/>
  <c r="H57" i="21"/>
  <c r="AK73" i="19"/>
  <c r="H73" i="21"/>
  <c r="AK27" i="19"/>
  <c r="H27" i="21"/>
  <c r="AR71" i="19"/>
  <c r="AR70" i="19"/>
  <c r="F70" i="10" s="1"/>
  <c r="H43" i="21"/>
  <c r="AR59" i="19"/>
  <c r="BB73" i="19"/>
  <c r="J36" i="18"/>
  <c r="J72" i="18"/>
  <c r="H76" i="21"/>
  <c r="H13" i="21"/>
  <c r="H29" i="21"/>
  <c r="H45" i="21"/>
  <c r="H61" i="21"/>
  <c r="H77" i="21"/>
  <c r="H16" i="21"/>
  <c r="H18" i="21"/>
  <c r="H34" i="21"/>
  <c r="H50" i="21"/>
  <c r="H66" i="21"/>
  <c r="H82" i="21"/>
  <c r="AR87" i="19"/>
  <c r="H17" i="21"/>
  <c r="H33" i="21"/>
  <c r="H49" i="21"/>
  <c r="H65" i="21"/>
  <c r="H81" i="21"/>
  <c r="AR56" i="19"/>
  <c r="AR31" i="19"/>
  <c r="H79" i="21"/>
  <c r="H62" i="21"/>
  <c r="H78" i="21"/>
  <c r="H28" i="21"/>
  <c r="H40" i="21"/>
  <c r="H47" i="21"/>
  <c r="H63" i="21"/>
  <c r="K45" i="18"/>
  <c r="K29" i="18"/>
  <c r="AR46" i="19"/>
  <c r="H19" i="21"/>
  <c r="AR35" i="19"/>
  <c r="K64" i="18"/>
  <c r="H21" i="21"/>
  <c r="H37" i="21"/>
  <c r="H53" i="21"/>
  <c r="H69" i="21"/>
  <c r="H85" i="21"/>
  <c r="H26" i="21"/>
  <c r="H42" i="21"/>
  <c r="H58" i="21"/>
  <c r="H74" i="21"/>
  <c r="AJ51" i="19"/>
  <c r="H51" i="3"/>
  <c r="H33" i="3"/>
  <c r="AP87" i="19"/>
  <c r="AI86" i="19"/>
  <c r="F86" i="5"/>
  <c r="F85" i="5"/>
  <c r="AI85" i="19"/>
  <c r="F83" i="5"/>
  <c r="AP81" i="19"/>
  <c r="F80" i="5"/>
  <c r="AI80" i="19"/>
  <c r="AP77" i="19"/>
  <c r="AI75" i="19"/>
  <c r="F75" i="5"/>
  <c r="F74" i="5"/>
  <c r="F73" i="5"/>
  <c r="AI72" i="19"/>
  <c r="F72" i="5"/>
  <c r="F71" i="5"/>
  <c r="AI71" i="19"/>
  <c r="AI69" i="19"/>
  <c r="F69" i="5"/>
  <c r="AI68" i="19"/>
  <c r="F68" i="5"/>
  <c r="F67" i="5"/>
  <c r="AI66" i="19"/>
  <c r="F66" i="5"/>
  <c r="F65" i="5"/>
  <c r="AP64" i="19"/>
  <c r="AI63" i="19"/>
  <c r="F63" i="5"/>
  <c r="AI62" i="19"/>
  <c r="F62" i="5"/>
  <c r="AI61" i="19"/>
  <c r="F61" i="5"/>
  <c r="AP60" i="19"/>
  <c r="AP59" i="19"/>
  <c r="AP58" i="19"/>
  <c r="AI57" i="19"/>
  <c r="F57" i="5"/>
  <c r="AI55" i="19"/>
  <c r="F55" i="5"/>
  <c r="F54" i="5"/>
  <c r="AI54" i="19"/>
  <c r="AP51" i="19"/>
  <c r="AP49" i="19"/>
  <c r="AP48" i="19"/>
  <c r="AP47" i="19"/>
  <c r="F46" i="5"/>
  <c r="AI46" i="19"/>
  <c r="AP44" i="19"/>
  <c r="AI45" i="19"/>
  <c r="F45" i="5"/>
  <c r="AP42" i="19"/>
  <c r="AI41" i="19"/>
  <c r="F41" i="5"/>
  <c r="AP40" i="19"/>
  <c r="F39" i="5"/>
  <c r="AI39" i="19"/>
  <c r="AI38" i="19"/>
  <c r="F38" i="5"/>
  <c r="AP37" i="19"/>
  <c r="AP36" i="19"/>
  <c r="AP35" i="19"/>
  <c r="AP34" i="19"/>
  <c r="AP33" i="19"/>
  <c r="F32" i="5"/>
  <c r="AI32" i="19"/>
  <c r="AP31" i="19"/>
  <c r="AI30" i="19"/>
  <c r="F30" i="5"/>
  <c r="F29" i="5"/>
  <c r="F28" i="5"/>
  <c r="F26" i="5"/>
  <c r="AI26" i="19"/>
  <c r="F24" i="5"/>
  <c r="AI23" i="19"/>
  <c r="F23" i="5"/>
  <c r="AP20" i="19"/>
  <c r="AI18" i="19"/>
  <c r="F18" i="5"/>
  <c r="F17" i="5"/>
  <c r="AP16" i="19"/>
  <c r="AI15" i="19"/>
  <c r="F15" i="5"/>
  <c r="AI14" i="19"/>
  <c r="F14" i="5"/>
  <c r="AI13" i="19"/>
  <c r="F13" i="5"/>
  <c r="AL39" i="19"/>
  <c r="H13" i="22"/>
  <c r="H83" i="23"/>
  <c r="H81" i="23"/>
  <c r="AE69" i="19"/>
  <c r="BB69" i="19" s="1"/>
  <c r="H69" i="23"/>
  <c r="H68" i="23"/>
  <c r="H67" i="23"/>
  <c r="G66" i="25"/>
  <c r="H66" i="25" s="1"/>
  <c r="I66" i="25" s="1"/>
  <c r="AV66" i="19" s="1"/>
  <c r="I66" i="10" s="1"/>
  <c r="H66" i="23"/>
  <c r="H65" i="23"/>
  <c r="H63" i="23"/>
  <c r="H62" i="23"/>
  <c r="H61" i="23"/>
  <c r="H60" i="23"/>
  <c r="H59" i="23"/>
  <c r="H58" i="23"/>
  <c r="H57" i="23"/>
  <c r="H55" i="23"/>
  <c r="H54" i="23"/>
  <c r="H51" i="23"/>
  <c r="G51" i="25"/>
  <c r="H51" i="25" s="1"/>
  <c r="I51" i="25" s="1"/>
  <c r="AQ51" i="35" s="1"/>
  <c r="AE51" i="19"/>
  <c r="H50" i="23"/>
  <c r="H49" i="23"/>
  <c r="H48" i="23"/>
  <c r="H47" i="23"/>
  <c r="AV46" i="19"/>
  <c r="I46" i="10" s="1"/>
  <c r="J46" i="25"/>
  <c r="H46" i="23"/>
  <c r="H45" i="23"/>
  <c r="H42" i="23"/>
  <c r="H41" i="23"/>
  <c r="H40" i="23"/>
  <c r="H39" i="23"/>
  <c r="H38" i="23"/>
  <c r="H37" i="23"/>
  <c r="H36" i="23"/>
  <c r="H35" i="23"/>
  <c r="H34" i="23"/>
  <c r="H33" i="23"/>
  <c r="G32" i="25"/>
  <c r="H32" i="25" s="1"/>
  <c r="I32" i="25" s="1"/>
  <c r="AQ32" i="35" s="1"/>
  <c r="H32" i="23"/>
  <c r="H31" i="23"/>
  <c r="H30" i="23"/>
  <c r="H29" i="23"/>
  <c r="H28" i="23"/>
  <c r="AE26" i="19"/>
  <c r="BB26" i="19" s="1"/>
  <c r="H26" i="23"/>
  <c r="H24" i="23"/>
  <c r="H23" i="23"/>
  <c r="H20" i="23"/>
  <c r="H18" i="23"/>
  <c r="G18" i="25"/>
  <c r="H18" i="25" s="1"/>
  <c r="I18" i="25" s="1"/>
  <c r="H17" i="23"/>
  <c r="H16" i="23"/>
  <c r="H15" i="23"/>
  <c r="H14" i="23"/>
  <c r="H13" i="23"/>
  <c r="H87" i="24"/>
  <c r="AU74" i="19"/>
  <c r="AE74" i="19"/>
  <c r="BB74" i="19" s="1"/>
  <c r="AE58" i="19"/>
  <c r="BB58" i="19" s="1"/>
  <c r="H58" i="24"/>
  <c r="H83" i="24"/>
  <c r="H81" i="24"/>
  <c r="AE81" i="19"/>
  <c r="BB81" i="19" s="1"/>
  <c r="AE80" i="19"/>
  <c r="BB80" i="19" s="1"/>
  <c r="G80" i="25"/>
  <c r="H80" i="25" s="1"/>
  <c r="I80" i="25" s="1"/>
  <c r="AQ80" i="35" s="1"/>
  <c r="AU80" i="19"/>
  <c r="H75" i="24"/>
  <c r="AE75" i="19"/>
  <c r="BB75" i="19" s="1"/>
  <c r="G75" i="25"/>
  <c r="H75" i="25" s="1"/>
  <c r="I75" i="25" s="1"/>
  <c r="AQ75" i="35" s="1"/>
  <c r="G71" i="25"/>
  <c r="H71" i="25" s="1"/>
  <c r="I71" i="25" s="1"/>
  <c r="J71" i="25" s="1"/>
  <c r="AE71" i="19"/>
  <c r="BB71" i="19" s="1"/>
  <c r="J69" i="25"/>
  <c r="AE68" i="19"/>
  <c r="AU67" i="19"/>
  <c r="H66" i="24"/>
  <c r="H65" i="24"/>
  <c r="AU65" i="19" s="1"/>
  <c r="AE65" i="19"/>
  <c r="BB65" i="19" s="1"/>
  <c r="G65" i="25"/>
  <c r="H65" i="25" s="1"/>
  <c r="I65" i="25" s="1"/>
  <c r="H64" i="24"/>
  <c r="G64" i="25"/>
  <c r="H64" i="25" s="1"/>
  <c r="I64" i="25" s="1"/>
  <c r="AQ64" i="35" s="1"/>
  <c r="AE64" i="19"/>
  <c r="BB64" i="19" s="1"/>
  <c r="AE63" i="19"/>
  <c r="BB63" i="19" s="1"/>
  <c r="H63" i="24"/>
  <c r="AU62" i="19"/>
  <c r="AE62" i="19"/>
  <c r="BB62" i="19" s="1"/>
  <c r="H60" i="24"/>
  <c r="AE60" i="19"/>
  <c r="BB60" i="19" s="1"/>
  <c r="G60" i="25"/>
  <c r="H60" i="25" s="1"/>
  <c r="I60" i="25" s="1"/>
  <c r="AQ60" i="35" s="1"/>
  <c r="H59" i="24"/>
  <c r="G59" i="25"/>
  <c r="H59" i="25" s="1"/>
  <c r="I59" i="25" s="1"/>
  <c r="AQ59" i="35" s="1"/>
  <c r="AE59" i="19"/>
  <c r="BB59" i="19" s="1"/>
  <c r="AE57" i="19"/>
  <c r="BB57" i="19" s="1"/>
  <c r="H57" i="24"/>
  <c r="H54" i="24"/>
  <c r="AE54" i="19"/>
  <c r="BB54" i="19" s="1"/>
  <c r="H49" i="24"/>
  <c r="AE49" i="19"/>
  <c r="BB49" i="19" s="1"/>
  <c r="G49" i="25"/>
  <c r="H49" i="25" s="1"/>
  <c r="I49" i="25" s="1"/>
  <c r="AQ49" i="35" s="1"/>
  <c r="H48" i="24"/>
  <c r="G48" i="25"/>
  <c r="H48" i="25" s="1"/>
  <c r="I48" i="25" s="1"/>
  <c r="AQ48" i="35" s="1"/>
  <c r="AE48" i="19"/>
  <c r="BB48" i="19" s="1"/>
  <c r="H47" i="24"/>
  <c r="AE47" i="19"/>
  <c r="BB47" i="19" s="1"/>
  <c r="H46" i="24"/>
  <c r="H45" i="24"/>
  <c r="AE45" i="19"/>
  <c r="BB45" i="19" s="1"/>
  <c r="G45" i="25"/>
  <c r="H45" i="25" s="1"/>
  <c r="I45" i="25" s="1"/>
  <c r="AQ45" i="35" s="1"/>
  <c r="H42" i="24"/>
  <c r="AE42" i="19"/>
  <c r="BB42" i="19" s="1"/>
  <c r="H40" i="24"/>
  <c r="AE40" i="19"/>
  <c r="BB40" i="19" s="1"/>
  <c r="G40" i="25"/>
  <c r="H40" i="25" s="1"/>
  <c r="I40" i="25" s="1"/>
  <c r="AQ40" i="35" s="1"/>
  <c r="H39" i="24"/>
  <c r="AE39" i="19"/>
  <c r="BB39" i="19" s="1"/>
  <c r="G38" i="25"/>
  <c r="H38" i="25" s="1"/>
  <c r="I38" i="25" s="1"/>
  <c r="AQ38" i="35" s="1"/>
  <c r="AE38" i="19"/>
  <c r="BB38" i="19" s="1"/>
  <c r="H38" i="24"/>
  <c r="G35" i="25"/>
  <c r="H35" i="25" s="1"/>
  <c r="I35" i="25" s="1"/>
  <c r="AQ35" i="35" s="1"/>
  <c r="AE35" i="19"/>
  <c r="BB35" i="19" s="1"/>
  <c r="H35" i="24"/>
  <c r="AE34" i="19"/>
  <c r="H34" i="24"/>
  <c r="AU33" i="19"/>
  <c r="H30" i="24"/>
  <c r="H29" i="24"/>
  <c r="AE29" i="19"/>
  <c r="BB29" i="19" s="1"/>
  <c r="AE28" i="19"/>
  <c r="G28" i="25"/>
  <c r="H28" i="25" s="1"/>
  <c r="I28" i="25" s="1"/>
  <c r="AQ28" i="35" s="1"/>
  <c r="AU26" i="19"/>
  <c r="AE24" i="19"/>
  <c r="BB24" i="19" s="1"/>
  <c r="H24" i="24"/>
  <c r="H23" i="24"/>
  <c r="AE23" i="19"/>
  <c r="BB23" i="19" s="1"/>
  <c r="AE20" i="19"/>
  <c r="BB20" i="19" s="1"/>
  <c r="G20" i="25"/>
  <c r="H20" i="25" s="1"/>
  <c r="I20" i="25" s="1"/>
  <c r="H18" i="24"/>
  <c r="AU17" i="19"/>
  <c r="AU16" i="19"/>
  <c r="AE16" i="19"/>
  <c r="BB16" i="19" s="1"/>
  <c r="H15" i="24"/>
  <c r="AU15" i="19" s="1"/>
  <c r="AE15" i="19"/>
  <c r="BB15" i="19" s="1"/>
  <c r="G14" i="25"/>
  <c r="H14" i="25" s="1"/>
  <c r="I14" i="25" s="1"/>
  <c r="H14" i="24"/>
  <c r="H13" i="24"/>
  <c r="AE13" i="19"/>
  <c r="BB13" i="19" s="1"/>
  <c r="G13" i="25"/>
  <c r="H13" i="25" s="1"/>
  <c r="I13" i="25" s="1"/>
  <c r="AQ13" i="35" s="1"/>
  <c r="AL23" i="19"/>
  <c r="H23" i="22"/>
  <c r="AS87" i="19"/>
  <c r="AL83" i="19"/>
  <c r="H83" i="22"/>
  <c r="AL81" i="19"/>
  <c r="H81" i="22"/>
  <c r="AL80" i="19"/>
  <c r="H80" i="22"/>
  <c r="AL77" i="19"/>
  <c r="H77" i="22"/>
  <c r="AL75" i="19"/>
  <c r="H75" i="22"/>
  <c r="AL69" i="19"/>
  <c r="H69" i="22"/>
  <c r="AL68" i="19"/>
  <c r="H68" i="22"/>
  <c r="H67" i="22"/>
  <c r="AL66" i="19"/>
  <c r="H66" i="22"/>
  <c r="H65" i="22"/>
  <c r="AL65" i="19"/>
  <c r="AL64" i="19"/>
  <c r="H64" i="22"/>
  <c r="H63" i="22"/>
  <c r="AL62" i="19"/>
  <c r="H62" i="22"/>
  <c r="AL61" i="19"/>
  <c r="H61" i="22"/>
  <c r="H60" i="22"/>
  <c r="H59" i="22"/>
  <c r="H58" i="22"/>
  <c r="AL57" i="19"/>
  <c r="H57" i="22"/>
  <c r="AL55" i="19"/>
  <c r="H55" i="22"/>
  <c r="H54" i="22"/>
  <c r="AS54" i="19" s="1"/>
  <c r="H51" i="22"/>
  <c r="AL50" i="19"/>
  <c r="H50" i="22"/>
  <c r="BB50" i="19"/>
  <c r="H49" i="22"/>
  <c r="AL48" i="19"/>
  <c r="H48" i="22"/>
  <c r="AL47" i="19"/>
  <c r="H47" i="22"/>
  <c r="AL46" i="19"/>
  <c r="H46" i="22"/>
  <c r="AL45" i="19"/>
  <c r="H45" i="22"/>
  <c r="H42" i="22"/>
  <c r="AL41" i="19"/>
  <c r="H41" i="22"/>
  <c r="AL40" i="19"/>
  <c r="H40" i="22"/>
  <c r="H38" i="22"/>
  <c r="H37" i="22"/>
  <c r="AL36" i="19"/>
  <c r="H36" i="22"/>
  <c r="AL35" i="19"/>
  <c r="H35" i="22"/>
  <c r="H34" i="22"/>
  <c r="AL33" i="19"/>
  <c r="H33" i="22"/>
  <c r="AS32" i="19"/>
  <c r="AL30" i="19"/>
  <c r="H30" i="22"/>
  <c r="AL29" i="19"/>
  <c r="H29" i="22"/>
  <c r="AL28" i="19"/>
  <c r="H28" i="22"/>
  <c r="H26" i="22"/>
  <c r="AL24" i="19"/>
  <c r="H24" i="22"/>
  <c r="H20" i="22"/>
  <c r="H18" i="22"/>
  <c r="H17" i="22"/>
  <c r="AN17" i="35" s="1"/>
  <c r="BB17" i="35" s="1"/>
  <c r="AL16" i="19"/>
  <c r="H16" i="22"/>
  <c r="H15" i="22"/>
  <c r="AL14" i="19"/>
  <c r="H14" i="22"/>
  <c r="AN14" i="35" s="1"/>
  <c r="BB14" i="35" s="1"/>
  <c r="AQ87" i="19"/>
  <c r="H13" i="3"/>
  <c r="H18" i="3"/>
  <c r="AQ78" i="19"/>
  <c r="G87" i="4"/>
  <c r="K87" i="18"/>
  <c r="J87" i="18"/>
  <c r="AH83" i="19"/>
  <c r="G83" i="4"/>
  <c r="J82" i="18"/>
  <c r="K82" i="18"/>
  <c r="G66" i="4"/>
  <c r="AH65" i="19"/>
  <c r="G65" i="4"/>
  <c r="G64" i="4"/>
  <c r="J62" i="18"/>
  <c r="K62" i="18"/>
  <c r="AH61" i="19"/>
  <c r="G61" i="4"/>
  <c r="G60" i="4"/>
  <c r="G59" i="4"/>
  <c r="G57" i="4"/>
  <c r="AH56" i="19"/>
  <c r="G56" i="4"/>
  <c r="K56" i="18"/>
  <c r="J56" i="18"/>
  <c r="BB55" i="19"/>
  <c r="BB51" i="19"/>
  <c r="AH51" i="19"/>
  <c r="G51" i="4"/>
  <c r="AH50" i="19"/>
  <c r="G50" i="4"/>
  <c r="G49" i="4"/>
  <c r="G46" i="4"/>
  <c r="G45" i="4"/>
  <c r="G44" i="4"/>
  <c r="AH41" i="19"/>
  <c r="G41" i="4"/>
  <c r="J41" i="18"/>
  <c r="G38" i="4"/>
  <c r="AH37" i="19"/>
  <c r="G37" i="4"/>
  <c r="K36" i="18"/>
  <c r="AH36" i="19"/>
  <c r="G36" i="4"/>
  <c r="AH35" i="19"/>
  <c r="G35" i="4"/>
  <c r="AH33" i="19"/>
  <c r="G33" i="4"/>
  <c r="K32" i="18"/>
  <c r="AH32" i="19"/>
  <c r="G32" i="4"/>
  <c r="AH31" i="19"/>
  <c r="G31" i="4"/>
  <c r="AH30" i="19"/>
  <c r="G30" i="4"/>
  <c r="AH29" i="19"/>
  <c r="G29" i="4"/>
  <c r="AH28" i="19"/>
  <c r="G28" i="4"/>
  <c r="AH26" i="19"/>
  <c r="G26" i="4"/>
  <c r="AH23" i="19"/>
  <c r="G23" i="4"/>
  <c r="AH20" i="19"/>
  <c r="G20" i="4"/>
  <c r="AH18" i="19"/>
  <c r="G18" i="4"/>
  <c r="G16" i="4"/>
  <c r="G15" i="4"/>
  <c r="G14" i="4"/>
  <c r="AH13" i="19"/>
  <c r="G13" i="4"/>
  <c r="J13" i="18"/>
  <c r="BB28" i="19"/>
  <c r="BB18" i="19"/>
  <c r="BB34" i="19"/>
  <c r="AJ86" i="19"/>
  <c r="H86" i="3"/>
  <c r="H83" i="3"/>
  <c r="AJ81" i="19"/>
  <c r="H81" i="3"/>
  <c r="AL81" i="35" s="1"/>
  <c r="AZ81" i="35" s="1"/>
  <c r="AJ80" i="19"/>
  <c r="H80" i="3"/>
  <c r="H77" i="3"/>
  <c r="H76" i="3"/>
  <c r="AJ69" i="19"/>
  <c r="H69" i="3"/>
  <c r="H68" i="3"/>
  <c r="AJ67" i="19"/>
  <c r="H67" i="3"/>
  <c r="AQ84" i="19" s="1"/>
  <c r="AJ66" i="19"/>
  <c r="H66" i="3"/>
  <c r="AJ65" i="19"/>
  <c r="H65" i="3"/>
  <c r="H64" i="3"/>
  <c r="AJ63" i="19"/>
  <c r="H63" i="3"/>
  <c r="AJ60" i="19"/>
  <c r="H60" i="3"/>
  <c r="F4" i="28" s="1"/>
  <c r="H59" i="3"/>
  <c r="AJ59" i="19"/>
  <c r="AJ58" i="19"/>
  <c r="H58" i="3"/>
  <c r="H57" i="3"/>
  <c r="H55" i="3"/>
  <c r="H54" i="3"/>
  <c r="AJ54" i="19"/>
  <c r="AJ50" i="19"/>
  <c r="H50" i="3"/>
  <c r="H48" i="3"/>
  <c r="AL48" i="35" s="1"/>
  <c r="AZ48" i="35" s="1"/>
  <c r="AJ48" i="19"/>
  <c r="H47" i="3"/>
  <c r="AJ46" i="19"/>
  <c r="H46" i="3"/>
  <c r="F79" i="32" s="1"/>
  <c r="H45" i="3"/>
  <c r="AJ44" i="19"/>
  <c r="H44" i="3"/>
  <c r="H42" i="3"/>
  <c r="AJ41" i="19"/>
  <c r="H41" i="3"/>
  <c r="AJ40" i="19"/>
  <c r="H40" i="3"/>
  <c r="H39" i="3"/>
  <c r="H37" i="3"/>
  <c r="AJ36" i="19"/>
  <c r="H36" i="3"/>
  <c r="AJ35" i="19"/>
  <c r="H35" i="3"/>
  <c r="AJ34" i="19"/>
  <c r="H34" i="3"/>
  <c r="AJ32" i="19"/>
  <c r="H32" i="3"/>
  <c r="AJ31" i="19"/>
  <c r="H31" i="3"/>
  <c r="H30" i="3"/>
  <c r="H29" i="3"/>
  <c r="AJ28" i="19"/>
  <c r="H28" i="3"/>
  <c r="H26" i="3"/>
  <c r="H24" i="3"/>
  <c r="AJ20" i="19"/>
  <c r="H20" i="3"/>
  <c r="AJ17" i="19"/>
  <c r="H17" i="3"/>
  <c r="H16" i="3"/>
  <c r="AJ16" i="19"/>
  <c r="AJ15" i="19"/>
  <c r="H15" i="3"/>
  <c r="H14" i="3"/>
  <c r="G3" i="19"/>
  <c r="G4" i="19"/>
  <c r="G5" i="19"/>
  <c r="G7" i="19"/>
  <c r="G8" i="19"/>
  <c r="G9" i="19"/>
  <c r="G10" i="19"/>
  <c r="G2" i="19"/>
  <c r="F3" i="19"/>
  <c r="F4" i="19"/>
  <c r="F5" i="19"/>
  <c r="F6" i="19"/>
  <c r="F7" i="19"/>
  <c r="F8" i="19"/>
  <c r="F9" i="19"/>
  <c r="F10" i="19"/>
  <c r="F11" i="19"/>
  <c r="F2" i="19"/>
  <c r="E2" i="19"/>
  <c r="M89" i="28" l="1"/>
  <c r="Q89" i="28" s="1"/>
  <c r="U89" i="28" s="1"/>
  <c r="AQ74" i="19"/>
  <c r="F88" i="31"/>
  <c r="F88" i="33"/>
  <c r="M88" i="33" s="1"/>
  <c r="Q88" i="33" s="1"/>
  <c r="U88" i="33" s="1"/>
  <c r="F88" i="28"/>
  <c r="F88" i="32"/>
  <c r="M88" i="32" s="1"/>
  <c r="AL87" i="35"/>
  <c r="AZ87" i="35" s="1"/>
  <c r="F87" i="27"/>
  <c r="S87" i="27" s="1"/>
  <c r="F71" i="31"/>
  <c r="F26" i="28"/>
  <c r="M26" i="28" s="1"/>
  <c r="AQ23" i="19"/>
  <c r="F13" i="28"/>
  <c r="M13" i="28" s="1"/>
  <c r="Q13" i="28" s="1"/>
  <c r="U13" i="28" s="1"/>
  <c r="S89" i="34"/>
  <c r="V89" i="34" s="1"/>
  <c r="S89" i="33"/>
  <c r="V89" i="33" s="1"/>
  <c r="AL84" i="35"/>
  <c r="AZ84" i="35" s="1"/>
  <c r="F79" i="29"/>
  <c r="S79" i="29" s="1"/>
  <c r="V79" i="29" s="1"/>
  <c r="F5" i="33"/>
  <c r="M5" i="33" s="1"/>
  <c r="AL67" i="35"/>
  <c r="AZ67" i="35" s="1"/>
  <c r="F72" i="32"/>
  <c r="M72" i="32" s="1"/>
  <c r="AL16" i="35"/>
  <c r="AZ16" i="35" s="1"/>
  <c r="AL55" i="35"/>
  <c r="AZ55" i="35" s="1"/>
  <c r="AQ71" i="19"/>
  <c r="BE71" i="19" s="1"/>
  <c r="F85" i="32"/>
  <c r="AL22" i="35"/>
  <c r="AZ22" i="35" s="1"/>
  <c r="BD22" i="35" s="1"/>
  <c r="AU22" i="35" s="1"/>
  <c r="AL71" i="35"/>
  <c r="AZ71" i="35" s="1"/>
  <c r="F72" i="29"/>
  <c r="M72" i="29" s="1"/>
  <c r="AL70" i="35"/>
  <c r="AZ70" i="35" s="1"/>
  <c r="F73" i="34"/>
  <c r="R73" i="34" s="1"/>
  <c r="T73" i="34" s="1"/>
  <c r="AL26" i="35"/>
  <c r="AZ26" i="35" s="1"/>
  <c r="AL49" i="35"/>
  <c r="AZ49" i="35" s="1"/>
  <c r="F84" i="27"/>
  <c r="F72" i="34"/>
  <c r="M72" i="34" s="1"/>
  <c r="R88" i="27"/>
  <c r="T88" i="27" s="1"/>
  <c r="AL24" i="35"/>
  <c r="AZ24" i="35" s="1"/>
  <c r="F38" i="27"/>
  <c r="F11" i="27"/>
  <c r="M11" i="27" s="1"/>
  <c r="AL7" i="35"/>
  <c r="AZ7" i="35" s="1"/>
  <c r="AL8" i="35"/>
  <c r="AZ8" i="35" s="1"/>
  <c r="AL30" i="35"/>
  <c r="AZ30" i="35" s="1"/>
  <c r="AL53" i="35"/>
  <c r="AZ53" i="35" s="1"/>
  <c r="AL19" i="35"/>
  <c r="AZ19" i="35" s="1"/>
  <c r="F21" i="27"/>
  <c r="M21" i="27" s="1"/>
  <c r="AL80" i="35"/>
  <c r="AZ80" i="35" s="1"/>
  <c r="AQ73" i="19"/>
  <c r="BE73" i="19" s="1"/>
  <c r="F79" i="27"/>
  <c r="M79" i="27" s="1"/>
  <c r="F73" i="27"/>
  <c r="M73" i="27" s="1"/>
  <c r="F82" i="27"/>
  <c r="M82" i="27" s="1"/>
  <c r="AQ82" i="19"/>
  <c r="BE82" i="19" s="1"/>
  <c r="F86" i="29"/>
  <c r="M86" i="29" s="1"/>
  <c r="F26" i="32"/>
  <c r="M26" i="32" s="1"/>
  <c r="F83" i="32"/>
  <c r="S83" i="32" s="1"/>
  <c r="V83" i="32" s="1"/>
  <c r="F73" i="32"/>
  <c r="M73" i="32" s="1"/>
  <c r="AL34" i="35"/>
  <c r="AZ34" i="35" s="1"/>
  <c r="AL36" i="35"/>
  <c r="AZ36" i="35" s="1"/>
  <c r="AL45" i="35"/>
  <c r="AZ45" i="35" s="1"/>
  <c r="AQ85" i="19"/>
  <c r="E85" i="10" s="1"/>
  <c r="AQ72" i="19"/>
  <c r="BE72" i="19" s="1"/>
  <c r="F70" i="27"/>
  <c r="R70" i="27" s="1"/>
  <c r="T70" i="27" s="1"/>
  <c r="AQ70" i="19"/>
  <c r="BE70" i="19" s="1"/>
  <c r="F73" i="31"/>
  <c r="R73" i="31" s="1"/>
  <c r="T73" i="31" s="1"/>
  <c r="F74" i="28"/>
  <c r="M74" i="28" s="1"/>
  <c r="F71" i="27"/>
  <c r="R71" i="27" s="1"/>
  <c r="T71" i="27" s="1"/>
  <c r="F83" i="29"/>
  <c r="M83" i="29" s="1"/>
  <c r="Q83" i="29" s="1"/>
  <c r="U83" i="29" s="1"/>
  <c r="F85" i="31"/>
  <c r="M85" i="31" s="1"/>
  <c r="Q85" i="31" s="1"/>
  <c r="U85" i="31" s="1"/>
  <c r="F79" i="31"/>
  <c r="M79" i="31" s="1"/>
  <c r="Q79" i="31" s="1"/>
  <c r="U79" i="31" s="1"/>
  <c r="F74" i="32"/>
  <c r="M74" i="32" s="1"/>
  <c r="F83" i="34"/>
  <c r="M83" i="34" s="1"/>
  <c r="Q83" i="34" s="1"/>
  <c r="U83" i="34" s="1"/>
  <c r="F71" i="33"/>
  <c r="M71" i="33" s="1"/>
  <c r="Q71" i="33" s="1"/>
  <c r="U71" i="33" s="1"/>
  <c r="F85" i="33"/>
  <c r="M85" i="33" s="1"/>
  <c r="AL72" i="35"/>
  <c r="AZ72" i="35" s="1"/>
  <c r="AQ38" i="19"/>
  <c r="BE38" i="19" s="1"/>
  <c r="AL83" i="35"/>
  <c r="AZ83" i="35" s="1"/>
  <c r="F72" i="27"/>
  <c r="M72" i="27" s="1"/>
  <c r="AL54" i="35"/>
  <c r="AZ54" i="35" s="1"/>
  <c r="AL76" i="35"/>
  <c r="AZ76" i="35" s="1"/>
  <c r="AQ79" i="19"/>
  <c r="E79" i="10" s="1"/>
  <c r="F71" i="28"/>
  <c r="M71" i="28" s="1"/>
  <c r="Q71" i="28" s="1"/>
  <c r="U71" i="28" s="1"/>
  <c r="F73" i="28"/>
  <c r="S73" i="28" s="1"/>
  <c r="V73" i="28" s="1"/>
  <c r="F86" i="28"/>
  <c r="M86" i="28" s="1"/>
  <c r="S89" i="28"/>
  <c r="V89" i="28" s="1"/>
  <c r="F74" i="29"/>
  <c r="R74" i="29" s="1"/>
  <c r="T74" i="29" s="1"/>
  <c r="F72" i="28"/>
  <c r="M72" i="28" s="1"/>
  <c r="F83" i="28"/>
  <c r="M83" i="28" s="1"/>
  <c r="Q83" i="28" s="1"/>
  <c r="U83" i="28" s="1"/>
  <c r="F85" i="29"/>
  <c r="M85" i="29" s="1"/>
  <c r="F78" i="27"/>
  <c r="M78" i="27" s="1"/>
  <c r="Q78" i="27" s="1"/>
  <c r="U78" i="27" s="1"/>
  <c r="F72" i="33"/>
  <c r="M72" i="33" s="1"/>
  <c r="F74" i="34"/>
  <c r="M74" i="34" s="1"/>
  <c r="F73" i="33"/>
  <c r="M73" i="33" s="1"/>
  <c r="F71" i="32"/>
  <c r="S71" i="32" s="1"/>
  <c r="V71" i="32" s="1"/>
  <c r="F79" i="33"/>
  <c r="M79" i="33" s="1"/>
  <c r="Q79" i="33" s="1"/>
  <c r="U79" i="33" s="1"/>
  <c r="AL33" i="35"/>
  <c r="AZ33" i="35" s="1"/>
  <c r="F71" i="29"/>
  <c r="R71" i="29" s="1"/>
  <c r="T71" i="29" s="1"/>
  <c r="F73" i="29"/>
  <c r="R73" i="29" s="1"/>
  <c r="T73" i="29" s="1"/>
  <c r="F85" i="27"/>
  <c r="M85" i="27" s="1"/>
  <c r="F74" i="31"/>
  <c r="F72" i="31"/>
  <c r="S72" i="31" s="1"/>
  <c r="V72" i="31" s="1"/>
  <c r="F83" i="31"/>
  <c r="S83" i="31" s="1"/>
  <c r="V83" i="31" s="1"/>
  <c r="F85" i="28"/>
  <c r="M85" i="28" s="1"/>
  <c r="F79" i="28"/>
  <c r="F74" i="33"/>
  <c r="M74" i="33" s="1"/>
  <c r="F83" i="33"/>
  <c r="M83" i="33" s="1"/>
  <c r="Q83" i="33" s="1"/>
  <c r="U83" i="33" s="1"/>
  <c r="F71" i="34"/>
  <c r="S71" i="34" s="1"/>
  <c r="V71" i="34" s="1"/>
  <c r="F85" i="34"/>
  <c r="F79" i="34"/>
  <c r="R79" i="34" s="1"/>
  <c r="T79" i="34" s="1"/>
  <c r="AL75" i="35"/>
  <c r="AZ75" i="35" s="1"/>
  <c r="F25" i="27"/>
  <c r="M25" i="27" s="1"/>
  <c r="F27" i="27"/>
  <c r="AL82" i="35"/>
  <c r="AZ82" i="35" s="1"/>
  <c r="AL73" i="35"/>
  <c r="AZ73" i="35" s="1"/>
  <c r="AL78" i="35"/>
  <c r="AZ78" i="35" s="1"/>
  <c r="AV52" i="19"/>
  <c r="I52" i="10" s="1"/>
  <c r="AE67" i="19"/>
  <c r="BB67" i="19" s="1"/>
  <c r="G33" i="25"/>
  <c r="H33" i="25" s="1"/>
  <c r="I33" i="25" s="1"/>
  <c r="G36" i="25"/>
  <c r="H36" i="25" s="1"/>
  <c r="I36" i="25" s="1"/>
  <c r="AV36" i="19" s="1"/>
  <c r="I36" i="10" s="1"/>
  <c r="AE86" i="19"/>
  <c r="BB86" i="19" s="1"/>
  <c r="Z61" i="35"/>
  <c r="AW61" i="35" s="1"/>
  <c r="G67" i="25"/>
  <c r="H67" i="25" s="1"/>
  <c r="I67" i="25" s="1"/>
  <c r="AQ67" i="35" s="1"/>
  <c r="Z36" i="35"/>
  <c r="AW36" i="35" s="1"/>
  <c r="G42" i="25"/>
  <c r="H42" i="25" s="1"/>
  <c r="I42" i="25" s="1"/>
  <c r="AQ42" i="35" s="1"/>
  <c r="G57" i="25"/>
  <c r="H57" i="25" s="1"/>
  <c r="I57" i="25" s="1"/>
  <c r="AQ57" i="35" s="1"/>
  <c r="G62" i="25"/>
  <c r="H62" i="25" s="1"/>
  <c r="I62" i="25" s="1"/>
  <c r="AQ62" i="35" s="1"/>
  <c r="G61" i="25"/>
  <c r="H61" i="25" s="1"/>
  <c r="I61" i="25" s="1"/>
  <c r="J61" i="25" s="1"/>
  <c r="Y84" i="35"/>
  <c r="AD84" i="19"/>
  <c r="Y80" i="35"/>
  <c r="AD80" i="19"/>
  <c r="AC64" i="19"/>
  <c r="X64" i="35"/>
  <c r="X60" i="35"/>
  <c r="AC60" i="19"/>
  <c r="Y56" i="35"/>
  <c r="AD56" i="19"/>
  <c r="Y52" i="35"/>
  <c r="AD52" i="19"/>
  <c r="X40" i="35"/>
  <c r="AC40" i="19"/>
  <c r="AC36" i="19"/>
  <c r="X36" i="35"/>
  <c r="Y32" i="35"/>
  <c r="AD32" i="19"/>
  <c r="AC20" i="19"/>
  <c r="X20" i="35"/>
  <c r="Y16" i="35"/>
  <c r="AD16" i="19"/>
  <c r="Y12" i="35"/>
  <c r="AD12" i="19"/>
  <c r="AC87" i="19"/>
  <c r="X87" i="35"/>
  <c r="AD83" i="19"/>
  <c r="Y83" i="35"/>
  <c r="Y79" i="35"/>
  <c r="AD79" i="19"/>
  <c r="AC67" i="19"/>
  <c r="X67" i="35"/>
  <c r="Y63" i="35"/>
  <c r="AD63" i="19"/>
  <c r="G55" i="25"/>
  <c r="H55" i="25" s="1"/>
  <c r="I55" i="25" s="1"/>
  <c r="J55" i="25" s="1"/>
  <c r="AR55" i="35" s="1"/>
  <c r="AC47" i="19"/>
  <c r="X47" i="35"/>
  <c r="X43" i="35"/>
  <c r="AC43" i="19"/>
  <c r="Y39" i="35"/>
  <c r="AD39" i="19"/>
  <c r="AC23" i="19"/>
  <c r="X23" i="35"/>
  <c r="X19" i="35"/>
  <c r="AC19" i="19"/>
  <c r="AD15" i="19"/>
  <c r="Y15" i="35"/>
  <c r="Z82" i="35"/>
  <c r="AW82" i="35" s="1"/>
  <c r="H82" i="25"/>
  <c r="G82" i="25"/>
  <c r="J82" i="25"/>
  <c r="AE82" i="19"/>
  <c r="BB82" i="19" s="1"/>
  <c r="I82" i="25"/>
  <c r="Z78" i="35"/>
  <c r="AW78" i="35" s="1"/>
  <c r="H78" i="25"/>
  <c r="J78" i="25"/>
  <c r="AE78" i="19"/>
  <c r="BB78" i="19" s="1"/>
  <c r="G78" i="25"/>
  <c r="I78" i="25"/>
  <c r="AC66" i="19"/>
  <c r="X66" i="35"/>
  <c r="X62" i="35"/>
  <c r="AC62" i="19"/>
  <c r="Y50" i="35"/>
  <c r="AD50" i="19"/>
  <c r="AD46" i="19"/>
  <c r="Y46" i="35"/>
  <c r="Y34" i="35"/>
  <c r="AD34" i="19"/>
  <c r="AD30" i="19"/>
  <c r="Y30" i="35"/>
  <c r="Z22" i="35"/>
  <c r="AW22" i="35" s="1"/>
  <c r="J22" i="25"/>
  <c r="AE22" i="19"/>
  <c r="BB22" i="19" s="1"/>
  <c r="H22" i="25"/>
  <c r="I22" i="25"/>
  <c r="G22" i="25"/>
  <c r="AC14" i="19"/>
  <c r="X14" i="35"/>
  <c r="X85" i="35"/>
  <c r="AC85" i="19"/>
  <c r="AD81" i="19"/>
  <c r="Y81" i="35"/>
  <c r="AC65" i="19"/>
  <c r="X65" i="35"/>
  <c r="AC61" i="19"/>
  <c r="X61" i="35"/>
  <c r="AD57" i="19"/>
  <c r="Y57" i="35"/>
  <c r="Y53" i="35"/>
  <c r="AD53" i="19"/>
  <c r="X33" i="35"/>
  <c r="AC33" i="19"/>
  <c r="AD29" i="19"/>
  <c r="Y29" i="35"/>
  <c r="Y25" i="35"/>
  <c r="AD25" i="19"/>
  <c r="Y21" i="35"/>
  <c r="AD21" i="19"/>
  <c r="AR37" i="35"/>
  <c r="X84" i="35"/>
  <c r="AC84" i="19"/>
  <c r="Z72" i="35"/>
  <c r="AW72" i="35" s="1"/>
  <c r="I72" i="25"/>
  <c r="H72" i="25"/>
  <c r="J72" i="25"/>
  <c r="AD68" i="19"/>
  <c r="Y68" i="35"/>
  <c r="Y64" i="35"/>
  <c r="AD64" i="19"/>
  <c r="X44" i="35"/>
  <c r="AC44" i="19"/>
  <c r="AD40" i="19"/>
  <c r="Y40" i="35"/>
  <c r="Y36" i="35"/>
  <c r="AD36" i="19"/>
  <c r="X24" i="35"/>
  <c r="AC24" i="19"/>
  <c r="AD20" i="19"/>
  <c r="Y20" i="35"/>
  <c r="Y87" i="35"/>
  <c r="AD87" i="19"/>
  <c r="Z79" i="35"/>
  <c r="AW79" i="35" s="1"/>
  <c r="AE79" i="19"/>
  <c r="BB79" i="19" s="1"/>
  <c r="H79" i="25"/>
  <c r="G79" i="25"/>
  <c r="I79" i="25"/>
  <c r="J79" i="25"/>
  <c r="X71" i="35"/>
  <c r="AC71" i="19"/>
  <c r="AD67" i="19"/>
  <c r="Y67" i="35"/>
  <c r="AC51" i="19"/>
  <c r="X51" i="35"/>
  <c r="AD47" i="19"/>
  <c r="Y47" i="35"/>
  <c r="Y43" i="35"/>
  <c r="AD43" i="19"/>
  <c r="AC31" i="19"/>
  <c r="X31" i="35"/>
  <c r="X27" i="35"/>
  <c r="AC27" i="19"/>
  <c r="AD23" i="19"/>
  <c r="Y23" i="35"/>
  <c r="Y19" i="35"/>
  <c r="AD19" i="19"/>
  <c r="X74" i="35"/>
  <c r="AC74" i="19"/>
  <c r="Y70" i="35"/>
  <c r="AD70" i="19"/>
  <c r="AD66" i="19"/>
  <c r="Y66" i="35"/>
  <c r="X54" i="35"/>
  <c r="AC54" i="19"/>
  <c r="AC50" i="19"/>
  <c r="X50" i="35"/>
  <c r="X38" i="35"/>
  <c r="AC38" i="19"/>
  <c r="AC34" i="19"/>
  <c r="X34" i="35"/>
  <c r="X18" i="35"/>
  <c r="AC18" i="19"/>
  <c r="Y14" i="35"/>
  <c r="AD14" i="19"/>
  <c r="Y85" i="35"/>
  <c r="AD85" i="19"/>
  <c r="AC69" i="19"/>
  <c r="X69" i="35"/>
  <c r="AD65" i="19"/>
  <c r="Y65" i="35"/>
  <c r="Y61" i="35"/>
  <c r="AD61" i="19"/>
  <c r="Z53" i="35"/>
  <c r="AW53" i="35" s="1"/>
  <c r="I53" i="25"/>
  <c r="J53" i="25"/>
  <c r="AE53" i="19"/>
  <c r="BB53" i="19" s="1"/>
  <c r="H53" i="25"/>
  <c r="G53" i="25"/>
  <c r="AC45" i="19"/>
  <c r="X45" i="35"/>
  <c r="AC41" i="19"/>
  <c r="X41" i="35"/>
  <c r="AC37" i="19"/>
  <c r="X37" i="35"/>
  <c r="AD33" i="19"/>
  <c r="Y33" i="35"/>
  <c r="Z25" i="35"/>
  <c r="AW25" i="35" s="1"/>
  <c r="AE25" i="19"/>
  <c r="BB25" i="19" s="1"/>
  <c r="Z21" i="35"/>
  <c r="AW21" i="35" s="1"/>
  <c r="AE21" i="19"/>
  <c r="BB21" i="19" s="1"/>
  <c r="G21" i="25"/>
  <c r="H21" i="25" s="1"/>
  <c r="I21" i="25" s="1"/>
  <c r="AC13" i="19"/>
  <c r="X13" i="35"/>
  <c r="Z76" i="35"/>
  <c r="AW76" i="35" s="1"/>
  <c r="I76" i="25"/>
  <c r="H76" i="25"/>
  <c r="G76" i="25"/>
  <c r="AE76" i="19"/>
  <c r="BB76" i="19" s="1"/>
  <c r="Y76" i="35"/>
  <c r="AD76" i="19"/>
  <c r="Y72" i="35"/>
  <c r="AD72" i="19"/>
  <c r="X68" i="35"/>
  <c r="AC68" i="19"/>
  <c r="Z52" i="35"/>
  <c r="AW52" i="35" s="1"/>
  <c r="J52" i="25"/>
  <c r="AC48" i="19"/>
  <c r="X48" i="35"/>
  <c r="Y44" i="35"/>
  <c r="AD44" i="19"/>
  <c r="AC28" i="19"/>
  <c r="X28" i="35"/>
  <c r="Y24" i="35"/>
  <c r="AD24" i="19"/>
  <c r="Z12" i="35"/>
  <c r="AW12" i="35" s="1"/>
  <c r="J12" i="25"/>
  <c r="I12" i="25"/>
  <c r="H12" i="25"/>
  <c r="AE12" i="19"/>
  <c r="BB12" i="19" s="1"/>
  <c r="G12" i="25"/>
  <c r="AE87" i="19"/>
  <c r="BB87" i="19" s="1"/>
  <c r="G87" i="25"/>
  <c r="H87" i="25" s="1"/>
  <c r="I87" i="25" s="1"/>
  <c r="AC75" i="19"/>
  <c r="X75" i="35"/>
  <c r="Y71" i="35"/>
  <c r="AD71" i="19"/>
  <c r="AC59" i="19"/>
  <c r="X59" i="35"/>
  <c r="X55" i="35"/>
  <c r="AC55" i="19"/>
  <c r="Y51" i="35"/>
  <c r="AD51" i="19"/>
  <c r="Z43" i="35"/>
  <c r="AW43" i="35" s="1"/>
  <c r="I43" i="25"/>
  <c r="H43" i="25"/>
  <c r="G43" i="25"/>
  <c r="J43" i="25"/>
  <c r="AE43" i="19"/>
  <c r="BB43" i="19" s="1"/>
  <c r="AC35" i="19"/>
  <c r="X35" i="35"/>
  <c r="Y31" i="35"/>
  <c r="AD31" i="19"/>
  <c r="Y27" i="35"/>
  <c r="AD27" i="19"/>
  <c r="Z19" i="35"/>
  <c r="AW19" i="35" s="1"/>
  <c r="G19" i="25"/>
  <c r="I19" i="25"/>
  <c r="J19" i="25"/>
  <c r="AE19" i="19"/>
  <c r="BB19" i="19" s="1"/>
  <c r="H19" i="25"/>
  <c r="Y86" i="35"/>
  <c r="AD86" i="19"/>
  <c r="X82" i="35"/>
  <c r="AC82" i="19"/>
  <c r="Y78" i="35"/>
  <c r="AD78" i="19"/>
  <c r="Y74" i="35"/>
  <c r="AD74" i="19"/>
  <c r="X70" i="35"/>
  <c r="AC70" i="19"/>
  <c r="AC58" i="19"/>
  <c r="X58" i="35"/>
  <c r="Y54" i="35"/>
  <c r="AD54" i="19"/>
  <c r="Y42" i="35"/>
  <c r="AD42" i="19"/>
  <c r="AD38" i="19"/>
  <c r="Y38" i="35"/>
  <c r="AC26" i="19"/>
  <c r="X26" i="35"/>
  <c r="X22" i="35"/>
  <c r="AC22" i="19"/>
  <c r="AD18" i="19"/>
  <c r="Y18" i="35"/>
  <c r="X77" i="35"/>
  <c r="AC77" i="19"/>
  <c r="X73" i="35"/>
  <c r="AC73" i="19"/>
  <c r="AD69" i="19"/>
  <c r="Y69" i="35"/>
  <c r="AC49" i="19"/>
  <c r="X49" i="35"/>
  <c r="AD45" i="19"/>
  <c r="Y45" i="35"/>
  <c r="AD41" i="19"/>
  <c r="Y41" i="35"/>
  <c r="Y37" i="35"/>
  <c r="AD37" i="19"/>
  <c r="AC17" i="19"/>
  <c r="X17" i="35"/>
  <c r="AD13" i="19"/>
  <c r="Y13" i="35"/>
  <c r="Z84" i="35"/>
  <c r="AW84" i="35" s="1"/>
  <c r="I84" i="25"/>
  <c r="H84" i="25"/>
  <c r="G84" i="25"/>
  <c r="AE84" i="19"/>
  <c r="BB84" i="19" s="1"/>
  <c r="J84" i="25"/>
  <c r="AC80" i="19"/>
  <c r="X80" i="35"/>
  <c r="X76" i="35"/>
  <c r="AC76" i="19"/>
  <c r="X72" i="35"/>
  <c r="AC72" i="19"/>
  <c r="AD60" i="19"/>
  <c r="Y60" i="35"/>
  <c r="X56" i="35"/>
  <c r="AC56" i="19"/>
  <c r="X52" i="35"/>
  <c r="AC52" i="19"/>
  <c r="Y48" i="35"/>
  <c r="AD48" i="19"/>
  <c r="X32" i="35"/>
  <c r="AC32" i="19"/>
  <c r="AD28" i="19"/>
  <c r="Y28" i="35"/>
  <c r="X16" i="35"/>
  <c r="AC16" i="19"/>
  <c r="X12" i="35"/>
  <c r="AC12" i="19"/>
  <c r="Z30" i="35"/>
  <c r="AW30" i="35" s="1"/>
  <c r="AE30" i="19"/>
  <c r="BB30" i="19" s="1"/>
  <c r="G30" i="25"/>
  <c r="H30" i="25" s="1"/>
  <c r="I30" i="25" s="1"/>
  <c r="AC83" i="19"/>
  <c r="X83" i="35"/>
  <c r="X79" i="35"/>
  <c r="AC79" i="19"/>
  <c r="AD75" i="19"/>
  <c r="Y75" i="35"/>
  <c r="AC63" i="19"/>
  <c r="X63" i="35"/>
  <c r="AD59" i="19"/>
  <c r="Y59" i="35"/>
  <c r="AD55" i="19"/>
  <c r="Y55" i="35"/>
  <c r="AC39" i="19"/>
  <c r="X39" i="35"/>
  <c r="AD35" i="19"/>
  <c r="Y35" i="35"/>
  <c r="Z27" i="35"/>
  <c r="AW27" i="35" s="1"/>
  <c r="I27" i="25"/>
  <c r="J27" i="25"/>
  <c r="AE27" i="19"/>
  <c r="BB27" i="19" s="1"/>
  <c r="H27" i="25"/>
  <c r="G27" i="25"/>
  <c r="AC15" i="19"/>
  <c r="X15" i="35"/>
  <c r="X86" i="35"/>
  <c r="AC86" i="19"/>
  <c r="Y82" i="35"/>
  <c r="AD82" i="19"/>
  <c r="X78" i="35"/>
  <c r="AC78" i="19"/>
  <c r="Z70" i="35"/>
  <c r="AW70" i="35" s="1"/>
  <c r="AE70" i="19"/>
  <c r="BB70" i="19" s="1"/>
  <c r="Y62" i="35"/>
  <c r="AD62" i="19"/>
  <c r="AD58" i="19"/>
  <c r="Y58" i="35"/>
  <c r="X46" i="35"/>
  <c r="AC46" i="19"/>
  <c r="AC42" i="19"/>
  <c r="X42" i="35"/>
  <c r="X30" i="35"/>
  <c r="AC30" i="19"/>
  <c r="Y26" i="35"/>
  <c r="AD26" i="19"/>
  <c r="Y22" i="35"/>
  <c r="AD22" i="19"/>
  <c r="AC81" i="19"/>
  <c r="X81" i="35"/>
  <c r="Y77" i="35"/>
  <c r="AD77" i="19"/>
  <c r="Y73" i="35"/>
  <c r="AD73" i="19"/>
  <c r="AC57" i="19"/>
  <c r="X57" i="35"/>
  <c r="X53" i="35"/>
  <c r="AC53" i="19"/>
  <c r="AD49" i="19"/>
  <c r="Y49" i="35"/>
  <c r="AE37" i="19"/>
  <c r="BB37" i="19" s="1"/>
  <c r="Z37" i="35"/>
  <c r="AW37" i="35" s="1"/>
  <c r="I37" i="25"/>
  <c r="AC29" i="19"/>
  <c r="X29" i="35"/>
  <c r="X25" i="35"/>
  <c r="AC25" i="19"/>
  <c r="X21" i="35"/>
  <c r="AC21" i="19"/>
  <c r="AD17" i="19"/>
  <c r="Y17" i="35"/>
  <c r="J31" i="25"/>
  <c r="AV31" i="19"/>
  <c r="I31" i="10" s="1"/>
  <c r="AU44" i="19"/>
  <c r="AP44" i="35"/>
  <c r="J45" i="31"/>
  <c r="J45" i="34"/>
  <c r="J45" i="28"/>
  <c r="J45" i="32"/>
  <c r="J45" i="29"/>
  <c r="J45" i="33"/>
  <c r="J44" i="27"/>
  <c r="AU77" i="19"/>
  <c r="F6" i="27"/>
  <c r="M6" i="27" s="1"/>
  <c r="F76" i="31"/>
  <c r="M76" i="31" s="1"/>
  <c r="F76" i="33"/>
  <c r="M76" i="33" s="1"/>
  <c r="AL17" i="35"/>
  <c r="AZ17" i="35" s="1"/>
  <c r="AL32" i="35"/>
  <c r="AZ32" i="35" s="1"/>
  <c r="AL37" i="35"/>
  <c r="AZ37" i="35" s="1"/>
  <c r="R89" i="29"/>
  <c r="T89" i="29" s="1"/>
  <c r="F26" i="31"/>
  <c r="S26" i="31" s="1"/>
  <c r="V26" i="31" s="1"/>
  <c r="F26" i="33"/>
  <c r="M26" i="33" s="1"/>
  <c r="Q26" i="33" s="1"/>
  <c r="U26" i="33" s="1"/>
  <c r="AL59" i="35"/>
  <c r="AZ59" i="35" s="1"/>
  <c r="F26" i="29"/>
  <c r="M26" i="29" s="1"/>
  <c r="F26" i="34"/>
  <c r="M26" i="34" s="1"/>
  <c r="AL31" i="35"/>
  <c r="AZ31" i="35" s="1"/>
  <c r="AL58" i="35"/>
  <c r="AZ58" i="35" s="1"/>
  <c r="AQ12" i="19"/>
  <c r="BE12" i="19" s="1"/>
  <c r="AQ25" i="19"/>
  <c r="E25" i="10" s="1"/>
  <c r="AL39" i="35"/>
  <c r="AZ39" i="35" s="1"/>
  <c r="F5" i="29"/>
  <c r="M5" i="29" s="1"/>
  <c r="F80" i="28"/>
  <c r="M80" i="28" s="1"/>
  <c r="F19" i="27"/>
  <c r="R19" i="27" s="1"/>
  <c r="T19" i="27" s="1"/>
  <c r="F80" i="33"/>
  <c r="M80" i="33" s="1"/>
  <c r="Q80" i="33" s="1"/>
  <c r="U80" i="33" s="1"/>
  <c r="AL12" i="35"/>
  <c r="AZ12" i="35" s="1"/>
  <c r="AL60" i="35"/>
  <c r="AZ60" i="35" s="1"/>
  <c r="AL3" i="35"/>
  <c r="AZ3" i="35" s="1"/>
  <c r="AL42" i="35"/>
  <c r="AZ42" i="35" s="1"/>
  <c r="AL46" i="35"/>
  <c r="AZ46" i="35" s="1"/>
  <c r="AL4" i="35"/>
  <c r="AZ4" i="35" s="1"/>
  <c r="AL65" i="35"/>
  <c r="AZ65" i="35" s="1"/>
  <c r="AQ86" i="19"/>
  <c r="AL61" i="35"/>
  <c r="AZ61" i="35" s="1"/>
  <c r="F5" i="31"/>
  <c r="M5" i="31" s="1"/>
  <c r="F4" i="29"/>
  <c r="M4" i="29" s="1"/>
  <c r="F7" i="27"/>
  <c r="F5" i="34"/>
  <c r="M5" i="34" s="1"/>
  <c r="F4" i="34"/>
  <c r="M4" i="34" s="1"/>
  <c r="AL21" i="35"/>
  <c r="AZ21" i="35" s="1"/>
  <c r="AL62" i="35"/>
  <c r="AZ62" i="35" s="1"/>
  <c r="AL6" i="35"/>
  <c r="AZ6" i="35" s="1"/>
  <c r="AL38" i="35"/>
  <c r="AZ38" i="35" s="1"/>
  <c r="AL27" i="35"/>
  <c r="AZ27" i="35" s="1"/>
  <c r="AL29" i="35"/>
  <c r="AZ29" i="35" s="1"/>
  <c r="AL35" i="35"/>
  <c r="AZ35" i="35" s="1"/>
  <c r="AL44" i="35"/>
  <c r="AZ44" i="35" s="1"/>
  <c r="AL50" i="35"/>
  <c r="AZ50" i="35" s="1"/>
  <c r="AL63" i="35"/>
  <c r="AZ63" i="35" s="1"/>
  <c r="AL77" i="35"/>
  <c r="AZ77" i="35" s="1"/>
  <c r="AQ56" i="19"/>
  <c r="BE56" i="19" s="1"/>
  <c r="AL51" i="35"/>
  <c r="AZ51" i="35" s="1"/>
  <c r="F4" i="27"/>
  <c r="F4" i="31"/>
  <c r="M4" i="31" s="1"/>
  <c r="F80" i="29"/>
  <c r="M80" i="29" s="1"/>
  <c r="Q80" i="29" s="1"/>
  <c r="U80" i="29" s="1"/>
  <c r="F52" i="27"/>
  <c r="M52" i="27" s="1"/>
  <c r="F5" i="32"/>
  <c r="M5" i="32" s="1"/>
  <c r="F80" i="34"/>
  <c r="R80" i="34" s="1"/>
  <c r="T80" i="34" s="1"/>
  <c r="F4" i="32"/>
  <c r="M4" i="32" s="1"/>
  <c r="AL10" i="35"/>
  <c r="AZ10" i="35" s="1"/>
  <c r="AL9" i="35"/>
  <c r="AZ9" i="35" s="1"/>
  <c r="AL52" i="35"/>
  <c r="AZ52" i="35" s="1"/>
  <c r="AL79" i="35"/>
  <c r="AZ79" i="35" s="1"/>
  <c r="AQ52" i="19"/>
  <c r="BE52" i="19" s="1"/>
  <c r="F5" i="28"/>
  <c r="F3" i="27"/>
  <c r="M3" i="27" s="1"/>
  <c r="F57" i="29"/>
  <c r="M57" i="29" s="1"/>
  <c r="F80" i="31"/>
  <c r="M80" i="31" s="1"/>
  <c r="Q80" i="31" s="1"/>
  <c r="U80" i="31" s="1"/>
  <c r="F43" i="27"/>
  <c r="F80" i="32"/>
  <c r="M80" i="32" s="1"/>
  <c r="Q80" i="32" s="1"/>
  <c r="U80" i="32" s="1"/>
  <c r="F4" i="33"/>
  <c r="M4" i="33" s="1"/>
  <c r="AL11" i="35"/>
  <c r="AZ11" i="35" s="1"/>
  <c r="AL56" i="35"/>
  <c r="AZ56" i="35" s="1"/>
  <c r="AL43" i="35"/>
  <c r="AZ43" i="35" s="1"/>
  <c r="AL25" i="35"/>
  <c r="AZ25" i="35" s="1"/>
  <c r="F10" i="27"/>
  <c r="M10" i="27" s="1"/>
  <c r="AQ75" i="19"/>
  <c r="BE75" i="19" s="1"/>
  <c r="F76" i="28"/>
  <c r="M76" i="28" s="1"/>
  <c r="F76" i="32"/>
  <c r="M76" i="32" s="1"/>
  <c r="F76" i="29"/>
  <c r="M76" i="29" s="1"/>
  <c r="Q76" i="29" s="1"/>
  <c r="U76" i="29" s="1"/>
  <c r="F75" i="27"/>
  <c r="F76" i="34"/>
  <c r="M76" i="34" s="1"/>
  <c r="F62" i="27"/>
  <c r="M62" i="27" s="1"/>
  <c r="M89" i="29"/>
  <c r="Q89" i="29" s="1"/>
  <c r="U89" i="29" s="1"/>
  <c r="F86" i="31"/>
  <c r="M86" i="31" s="1"/>
  <c r="J78" i="29"/>
  <c r="J78" i="31"/>
  <c r="J77" i="27"/>
  <c r="J78" i="32"/>
  <c r="AP77" i="35"/>
  <c r="J78" i="33"/>
  <c r="J73" i="25"/>
  <c r="AV73" i="19"/>
  <c r="I73" i="10" s="1"/>
  <c r="AQ73" i="35"/>
  <c r="AW70" i="19"/>
  <c r="J70" i="10" s="1"/>
  <c r="AQ70" i="35"/>
  <c r="AQ55" i="35"/>
  <c r="AW55" i="19"/>
  <c r="J55" i="10" s="1"/>
  <c r="H21" i="10"/>
  <c r="J86" i="25"/>
  <c r="AQ86" i="35"/>
  <c r="AV86" i="19"/>
  <c r="I86" i="10" s="1"/>
  <c r="AV85" i="19"/>
  <c r="I85" i="10" s="1"/>
  <c r="J85" i="25"/>
  <c r="AQ85" i="35"/>
  <c r="AU85" i="19"/>
  <c r="AP85" i="35"/>
  <c r="J86" i="31"/>
  <c r="J86" i="34"/>
  <c r="J86" i="28"/>
  <c r="J86" i="32"/>
  <c r="J86" i="29"/>
  <c r="J86" i="33"/>
  <c r="J85" i="27"/>
  <c r="AV77" i="19"/>
  <c r="I77" i="10" s="1"/>
  <c r="J77" i="25"/>
  <c r="AR77" i="35" s="1"/>
  <c r="AQ77" i="35"/>
  <c r="J74" i="32"/>
  <c r="J73" i="27"/>
  <c r="J74" i="33"/>
  <c r="J74" i="29"/>
  <c r="AP73" i="35"/>
  <c r="J74" i="31"/>
  <c r="AU73" i="19"/>
  <c r="J74" i="34"/>
  <c r="J74" i="28"/>
  <c r="AV69" i="19"/>
  <c r="I69" i="10" s="1"/>
  <c r="AQ61" i="35"/>
  <c r="AV56" i="19"/>
  <c r="I56" i="10" s="1"/>
  <c r="J56" i="25"/>
  <c r="AQ56" i="35"/>
  <c r="AV55" i="19"/>
  <c r="I55" i="10" s="1"/>
  <c r="J50" i="25"/>
  <c r="AV50" i="19"/>
  <c r="I50" i="10" s="1"/>
  <c r="AQ50" i="35"/>
  <c r="J51" i="32"/>
  <c r="J50" i="27"/>
  <c r="AP50" i="35"/>
  <c r="J51" i="31"/>
  <c r="J51" i="33"/>
  <c r="J51" i="29"/>
  <c r="AU50" i="19"/>
  <c r="J51" i="34"/>
  <c r="J51" i="28"/>
  <c r="AV44" i="19"/>
  <c r="I44" i="10" s="1"/>
  <c r="AQ44" i="35"/>
  <c r="J44" i="25"/>
  <c r="AV41" i="19"/>
  <c r="I41" i="10" s="1"/>
  <c r="AQ41" i="35"/>
  <c r="J41" i="25"/>
  <c r="AP41" i="35"/>
  <c r="J42" i="31"/>
  <c r="AU41" i="19"/>
  <c r="J42" i="34"/>
  <c r="J42" i="28"/>
  <c r="J42" i="32"/>
  <c r="J42" i="29"/>
  <c r="J42" i="33"/>
  <c r="J41" i="27"/>
  <c r="AQ36" i="35"/>
  <c r="AQ31" i="35"/>
  <c r="AW31" i="19"/>
  <c r="J31" i="10" s="1"/>
  <c r="AR31" i="35"/>
  <c r="AU31" i="19"/>
  <c r="J32" i="33"/>
  <c r="J32" i="29"/>
  <c r="J32" i="34"/>
  <c r="J31" i="27"/>
  <c r="J32" i="32"/>
  <c r="J32" i="28"/>
  <c r="AP31" i="35"/>
  <c r="J32" i="31"/>
  <c r="J26" i="25"/>
  <c r="AV26" i="19"/>
  <c r="I26" i="10" s="1"/>
  <c r="J25" i="25"/>
  <c r="AQ25" i="35"/>
  <c r="AV25" i="19"/>
  <c r="I25" i="10" s="1"/>
  <c r="J26" i="33"/>
  <c r="J25" i="27"/>
  <c r="AP25" i="35"/>
  <c r="J26" i="31"/>
  <c r="J26" i="34"/>
  <c r="J26" i="28"/>
  <c r="J26" i="32"/>
  <c r="J26" i="29"/>
  <c r="AU25" i="19"/>
  <c r="AV87" i="19"/>
  <c r="I87" i="10" s="1"/>
  <c r="AQ87" i="35"/>
  <c r="J87" i="25"/>
  <c r="AW87" i="19" s="1"/>
  <c r="J87" i="10" s="1"/>
  <c r="H12" i="33"/>
  <c r="O12" i="33" s="1"/>
  <c r="G25" i="10"/>
  <c r="H12" i="31"/>
  <c r="O12" i="31" s="1"/>
  <c r="AN11" i="35"/>
  <c r="BB11" i="35" s="1"/>
  <c r="H12" i="29"/>
  <c r="O12" i="29" s="1"/>
  <c r="AS88" i="35"/>
  <c r="AT88" i="35" s="1"/>
  <c r="AU88" i="35"/>
  <c r="AV88" i="35"/>
  <c r="BF88" i="35" s="1"/>
  <c r="E25" i="27"/>
  <c r="L25" i="27" s="1"/>
  <c r="E26" i="28"/>
  <c r="L26" i="28" s="1"/>
  <c r="E26" i="34"/>
  <c r="L26" i="34" s="1"/>
  <c r="E26" i="32"/>
  <c r="L26" i="32" s="1"/>
  <c r="E26" i="29"/>
  <c r="L26" i="29" s="1"/>
  <c r="AJ86" i="35"/>
  <c r="AX86" i="35" s="1"/>
  <c r="D87" i="31"/>
  <c r="K87" i="31" s="1"/>
  <c r="D87" i="34"/>
  <c r="K87" i="34" s="1"/>
  <c r="D87" i="28"/>
  <c r="K87" i="28" s="1"/>
  <c r="D87" i="33"/>
  <c r="K87" i="33" s="1"/>
  <c r="D86" i="27"/>
  <c r="K86" i="27" s="1"/>
  <c r="AO86" i="19"/>
  <c r="D87" i="32"/>
  <c r="K87" i="32" s="1"/>
  <c r="D87" i="29"/>
  <c r="K87" i="29" s="1"/>
  <c r="D26" i="34"/>
  <c r="K26" i="34" s="1"/>
  <c r="D26" i="28"/>
  <c r="K26" i="28" s="1"/>
  <c r="D26" i="33"/>
  <c r="K26" i="33" s="1"/>
  <c r="D25" i="27"/>
  <c r="K25" i="27" s="1"/>
  <c r="D26" i="29"/>
  <c r="K26" i="29" s="1"/>
  <c r="AJ25" i="35"/>
  <c r="AX25" i="35" s="1"/>
  <c r="D26" i="31"/>
  <c r="K26" i="31" s="1"/>
  <c r="D26" i="32"/>
  <c r="K26" i="32" s="1"/>
  <c r="AO25" i="19"/>
  <c r="AP30" i="35"/>
  <c r="J31" i="33"/>
  <c r="J31" i="34"/>
  <c r="J31" i="32"/>
  <c r="J31" i="31"/>
  <c r="J31" i="28"/>
  <c r="J31" i="29"/>
  <c r="J30" i="27"/>
  <c r="AP34" i="35"/>
  <c r="J35" i="33"/>
  <c r="J35" i="34"/>
  <c r="J35" i="32"/>
  <c r="J35" i="31"/>
  <c r="J35" i="29"/>
  <c r="J35" i="28"/>
  <c r="J34" i="27"/>
  <c r="AP45" i="35"/>
  <c r="J46" i="34"/>
  <c r="J46" i="32"/>
  <c r="J46" i="33"/>
  <c r="J46" i="31"/>
  <c r="J46" i="28"/>
  <c r="J46" i="29"/>
  <c r="J45" i="27"/>
  <c r="AP47" i="35"/>
  <c r="J48" i="33"/>
  <c r="J48" i="34"/>
  <c r="J48" i="32"/>
  <c r="J48" i="31"/>
  <c r="J48" i="29"/>
  <c r="J47" i="27"/>
  <c r="J48" i="28"/>
  <c r="AP66" i="35"/>
  <c r="J67" i="33"/>
  <c r="J67" i="34"/>
  <c r="J67" i="32"/>
  <c r="J67" i="31"/>
  <c r="J67" i="29"/>
  <c r="J67" i="28"/>
  <c r="J28" i="27"/>
  <c r="AP13" i="35"/>
  <c r="J14" i="34"/>
  <c r="J14" i="32"/>
  <c r="J14" i="33"/>
  <c r="J14" i="31"/>
  <c r="J14" i="28"/>
  <c r="J14" i="29"/>
  <c r="J13" i="27"/>
  <c r="AP18" i="35"/>
  <c r="J19" i="33"/>
  <c r="J19" i="34"/>
  <c r="J19" i="32"/>
  <c r="J19" i="31"/>
  <c r="J19" i="28"/>
  <c r="J19" i="29"/>
  <c r="J18" i="27"/>
  <c r="AP42" i="35"/>
  <c r="J43" i="33"/>
  <c r="J43" i="34"/>
  <c r="J43" i="32"/>
  <c r="J43" i="31"/>
  <c r="J43" i="28"/>
  <c r="J43" i="29"/>
  <c r="J66" i="27"/>
  <c r="AO46" i="35"/>
  <c r="BC46" i="35" s="1"/>
  <c r="J47" i="33"/>
  <c r="J47" i="34"/>
  <c r="J47" i="32"/>
  <c r="J47" i="31"/>
  <c r="J47" i="29"/>
  <c r="J47" i="28"/>
  <c r="J46" i="27"/>
  <c r="AP54" i="35"/>
  <c r="J55" i="33"/>
  <c r="J55" i="34"/>
  <c r="J55" i="32"/>
  <c r="J55" i="31"/>
  <c r="J55" i="29"/>
  <c r="J55" i="28"/>
  <c r="J54" i="27"/>
  <c r="AP75" i="35"/>
  <c r="J76" i="33"/>
  <c r="J76" i="34"/>
  <c r="J76" i="32"/>
  <c r="J76" i="31"/>
  <c r="J76" i="29"/>
  <c r="J75" i="27"/>
  <c r="J76" i="28"/>
  <c r="AP83" i="35"/>
  <c r="J84" i="33"/>
  <c r="J84" i="34"/>
  <c r="J84" i="32"/>
  <c r="J84" i="31"/>
  <c r="J84" i="29"/>
  <c r="J83" i="27"/>
  <c r="J84" i="28"/>
  <c r="AP14" i="35"/>
  <c r="J15" i="33"/>
  <c r="J15" i="34"/>
  <c r="J15" i="32"/>
  <c r="J15" i="31"/>
  <c r="J15" i="29"/>
  <c r="J15" i="28"/>
  <c r="J67" i="27"/>
  <c r="AP23" i="35"/>
  <c r="J24" i="33"/>
  <c r="J24" i="34"/>
  <c r="J24" i="32"/>
  <c r="J24" i="31"/>
  <c r="J24" i="29"/>
  <c r="J23" i="27"/>
  <c r="J24" i="28"/>
  <c r="AP29" i="35"/>
  <c r="J30" i="34"/>
  <c r="J30" i="32"/>
  <c r="J30" i="33"/>
  <c r="J30" i="31"/>
  <c r="J30" i="28"/>
  <c r="J30" i="29"/>
  <c r="J29" i="27"/>
  <c r="AP38" i="35"/>
  <c r="J39" i="33"/>
  <c r="J39" i="34"/>
  <c r="J39" i="32"/>
  <c r="J39" i="31"/>
  <c r="J39" i="28"/>
  <c r="J39" i="29"/>
  <c r="J38" i="27"/>
  <c r="AP40" i="35"/>
  <c r="J41" i="34"/>
  <c r="J41" i="32"/>
  <c r="J41" i="33"/>
  <c r="J41" i="31"/>
  <c r="J41" i="28"/>
  <c r="J41" i="29"/>
  <c r="J40" i="27"/>
  <c r="AP49" i="35"/>
  <c r="J50" i="34"/>
  <c r="J50" i="32"/>
  <c r="J50" i="33"/>
  <c r="J50" i="31"/>
  <c r="J50" i="28"/>
  <c r="J50" i="29"/>
  <c r="J49" i="27"/>
  <c r="AP57" i="35"/>
  <c r="J58" i="34"/>
  <c r="J58" i="32"/>
  <c r="J58" i="33"/>
  <c r="J58" i="31"/>
  <c r="J58" i="28"/>
  <c r="J57" i="27"/>
  <c r="J58" i="29"/>
  <c r="AP60" i="35"/>
  <c r="J61" i="34"/>
  <c r="J61" i="32"/>
  <c r="J61" i="33"/>
  <c r="J61" i="31"/>
  <c r="J61" i="28"/>
  <c r="J61" i="29"/>
  <c r="J14" i="27"/>
  <c r="AP63" i="35"/>
  <c r="J64" i="33"/>
  <c r="J64" i="34"/>
  <c r="J64" i="32"/>
  <c r="J64" i="31"/>
  <c r="J64" i="29"/>
  <c r="J63" i="27"/>
  <c r="J64" i="28"/>
  <c r="AP58" i="35"/>
  <c r="J59" i="33"/>
  <c r="J59" i="34"/>
  <c r="J59" i="32"/>
  <c r="J59" i="31"/>
  <c r="J59" i="29"/>
  <c r="J59" i="28"/>
  <c r="J58" i="27"/>
  <c r="AP15" i="35"/>
  <c r="J16" i="33"/>
  <c r="J16" i="34"/>
  <c r="J16" i="32"/>
  <c r="J16" i="31"/>
  <c r="J16" i="29"/>
  <c r="J60" i="27"/>
  <c r="J16" i="28"/>
  <c r="AP24" i="35"/>
  <c r="J25" i="34"/>
  <c r="J25" i="32"/>
  <c r="J25" i="33"/>
  <c r="J25" i="31"/>
  <c r="J25" i="29"/>
  <c r="J2" i="27"/>
  <c r="J25" i="28"/>
  <c r="AP35" i="35"/>
  <c r="J36" i="33"/>
  <c r="J36" i="34"/>
  <c r="J36" i="32"/>
  <c r="J36" i="31"/>
  <c r="J36" i="29"/>
  <c r="J35" i="27"/>
  <c r="J36" i="28"/>
  <c r="AP39" i="35"/>
  <c r="J40" i="33"/>
  <c r="J40" i="34"/>
  <c r="J40" i="32"/>
  <c r="J40" i="31"/>
  <c r="J40" i="29"/>
  <c r="J39" i="27"/>
  <c r="J40" i="28"/>
  <c r="AP48" i="35"/>
  <c r="J49" i="34"/>
  <c r="J49" i="32"/>
  <c r="J49" i="33"/>
  <c r="J49" i="31"/>
  <c r="J49" i="28"/>
  <c r="J49" i="29"/>
  <c r="J48" i="27"/>
  <c r="AP59" i="35"/>
  <c r="J60" i="33"/>
  <c r="J60" i="34"/>
  <c r="J60" i="32"/>
  <c r="J60" i="31"/>
  <c r="J60" i="29"/>
  <c r="J59" i="27"/>
  <c r="J60" i="28"/>
  <c r="AP64" i="35"/>
  <c r="J65" i="34"/>
  <c r="J65" i="32"/>
  <c r="J65" i="33"/>
  <c r="J65" i="31"/>
  <c r="J65" i="28"/>
  <c r="J65" i="29"/>
  <c r="J64" i="27"/>
  <c r="AP65" i="35"/>
  <c r="J66" i="34"/>
  <c r="J66" i="32"/>
  <c r="J66" i="33"/>
  <c r="J66" i="31"/>
  <c r="J66" i="28"/>
  <c r="J65" i="27"/>
  <c r="J66" i="29"/>
  <c r="AP81" i="35"/>
  <c r="J82" i="34"/>
  <c r="J82" i="32"/>
  <c r="J82" i="33"/>
  <c r="J82" i="31"/>
  <c r="J82" i="28"/>
  <c r="J81" i="27"/>
  <c r="J82" i="29"/>
  <c r="AO87" i="35"/>
  <c r="BC87" i="35" s="1"/>
  <c r="J88" i="33"/>
  <c r="J88" i="34"/>
  <c r="J88" i="32"/>
  <c r="J88" i="31"/>
  <c r="J88" i="29"/>
  <c r="J87" i="27"/>
  <c r="J88" i="28"/>
  <c r="AP28" i="35"/>
  <c r="J29" i="34"/>
  <c r="J29" i="32"/>
  <c r="J29" i="33"/>
  <c r="J29" i="31"/>
  <c r="J29" i="29"/>
  <c r="J68" i="27"/>
  <c r="J29" i="28"/>
  <c r="AV29" i="19"/>
  <c r="I29" i="10" s="1"/>
  <c r="AQ29" i="35"/>
  <c r="AW69" i="19"/>
  <c r="J69" i="10" s="1"/>
  <c r="AR69" i="35"/>
  <c r="AW71" i="19"/>
  <c r="J71" i="10" s="1"/>
  <c r="AR71" i="35"/>
  <c r="AV83" i="19"/>
  <c r="I83" i="10" s="1"/>
  <c r="AQ83" i="35"/>
  <c r="AV58" i="19"/>
  <c r="I58" i="10" s="1"/>
  <c r="AQ58" i="35"/>
  <c r="AV74" i="19"/>
  <c r="I74" i="10" s="1"/>
  <c r="AQ74" i="35"/>
  <c r="AO13" i="35"/>
  <c r="BC13" i="35" s="1"/>
  <c r="I14" i="33"/>
  <c r="P14" i="33" s="1"/>
  <c r="I14" i="34"/>
  <c r="P14" i="34" s="1"/>
  <c r="I14" i="32"/>
  <c r="P14" i="32" s="1"/>
  <c r="I14" i="31"/>
  <c r="P14" i="31" s="1"/>
  <c r="I13" i="27"/>
  <c r="P13" i="27" s="1"/>
  <c r="I14" i="28"/>
  <c r="P14" i="28" s="1"/>
  <c r="I14" i="29"/>
  <c r="P14" i="29" s="1"/>
  <c r="AO17" i="35"/>
  <c r="BC17" i="35" s="1"/>
  <c r="I18" i="33"/>
  <c r="P18" i="33" s="1"/>
  <c r="I18" i="34"/>
  <c r="P18" i="34" s="1"/>
  <c r="I18" i="32"/>
  <c r="P18" i="32" s="1"/>
  <c r="I18" i="31"/>
  <c r="P18" i="31" s="1"/>
  <c r="I17" i="27"/>
  <c r="P17" i="27" s="1"/>
  <c r="I18" i="28"/>
  <c r="P18" i="28" s="1"/>
  <c r="I18" i="29"/>
  <c r="P18" i="29" s="1"/>
  <c r="AO23" i="35"/>
  <c r="BC23" i="35" s="1"/>
  <c r="I24" i="32"/>
  <c r="P24" i="32" s="1"/>
  <c r="I24" i="33"/>
  <c r="P24" i="33" s="1"/>
  <c r="I24" i="34"/>
  <c r="P24" i="34" s="1"/>
  <c r="I24" i="31"/>
  <c r="P24" i="31" s="1"/>
  <c r="I23" i="27"/>
  <c r="P23" i="27" s="1"/>
  <c r="I24" i="28"/>
  <c r="P24" i="28" s="1"/>
  <c r="I24" i="29"/>
  <c r="P24" i="29" s="1"/>
  <c r="AO31" i="35"/>
  <c r="BC31" i="35" s="1"/>
  <c r="I32" i="34"/>
  <c r="P32" i="34" s="1"/>
  <c r="I32" i="33"/>
  <c r="P32" i="33" s="1"/>
  <c r="I32" i="32"/>
  <c r="P32" i="32" s="1"/>
  <c r="I32" i="31"/>
  <c r="P32" i="31" s="1"/>
  <c r="I31" i="27"/>
  <c r="P31" i="27" s="1"/>
  <c r="I32" i="28"/>
  <c r="P32" i="28" s="1"/>
  <c r="I32" i="29"/>
  <c r="P32" i="29" s="1"/>
  <c r="AO34" i="35"/>
  <c r="BC34" i="35" s="1"/>
  <c r="I35" i="33"/>
  <c r="P35" i="33" s="1"/>
  <c r="I35" i="34"/>
  <c r="P35" i="34" s="1"/>
  <c r="I35" i="32"/>
  <c r="P35" i="32" s="1"/>
  <c r="I35" i="31"/>
  <c r="P35" i="31" s="1"/>
  <c r="I34" i="27"/>
  <c r="P34" i="27" s="1"/>
  <c r="I35" i="28"/>
  <c r="P35" i="28" s="1"/>
  <c r="I35" i="29"/>
  <c r="P35" i="29" s="1"/>
  <c r="AO38" i="35"/>
  <c r="BC38" i="35" s="1"/>
  <c r="I39" i="33"/>
  <c r="P39" i="33" s="1"/>
  <c r="I39" i="34"/>
  <c r="P39" i="34" s="1"/>
  <c r="I39" i="32"/>
  <c r="P39" i="32" s="1"/>
  <c r="I39" i="31"/>
  <c r="P39" i="31" s="1"/>
  <c r="I38" i="27"/>
  <c r="P38" i="27" s="1"/>
  <c r="I39" i="28"/>
  <c r="P39" i="28" s="1"/>
  <c r="I39" i="29"/>
  <c r="P39" i="29" s="1"/>
  <c r="AO42" i="35"/>
  <c r="BC42" i="35" s="1"/>
  <c r="I43" i="34"/>
  <c r="P43" i="34" s="1"/>
  <c r="I43" i="33"/>
  <c r="P43" i="33" s="1"/>
  <c r="I43" i="32"/>
  <c r="P43" i="32" s="1"/>
  <c r="I43" i="31"/>
  <c r="P43" i="31" s="1"/>
  <c r="I66" i="27"/>
  <c r="P66" i="27" s="1"/>
  <c r="I43" i="28"/>
  <c r="P43" i="28" s="1"/>
  <c r="I43" i="29"/>
  <c r="P43" i="29" s="1"/>
  <c r="AO50" i="35"/>
  <c r="BC50" i="35" s="1"/>
  <c r="I51" i="34"/>
  <c r="P51" i="34" s="1"/>
  <c r="I51" i="33"/>
  <c r="P51" i="33" s="1"/>
  <c r="I51" i="32"/>
  <c r="P51" i="32" s="1"/>
  <c r="I51" i="31"/>
  <c r="P51" i="31" s="1"/>
  <c r="I50" i="27"/>
  <c r="P50" i="27" s="1"/>
  <c r="I51" i="28"/>
  <c r="P51" i="28" s="1"/>
  <c r="I51" i="29"/>
  <c r="P51" i="29" s="1"/>
  <c r="AO54" i="35"/>
  <c r="BC54" i="35" s="1"/>
  <c r="I55" i="33"/>
  <c r="P55" i="33" s="1"/>
  <c r="I55" i="34"/>
  <c r="P55" i="34" s="1"/>
  <c r="I55" i="32"/>
  <c r="P55" i="32" s="1"/>
  <c r="I55" i="31"/>
  <c r="P55" i="31" s="1"/>
  <c r="I54" i="27"/>
  <c r="P54" i="27" s="1"/>
  <c r="I55" i="28"/>
  <c r="P55" i="28" s="1"/>
  <c r="I55" i="29"/>
  <c r="P55" i="29" s="1"/>
  <c r="AO59" i="35"/>
  <c r="BC59" i="35" s="1"/>
  <c r="I60" i="33"/>
  <c r="P60" i="33" s="1"/>
  <c r="I60" i="34"/>
  <c r="P60" i="34" s="1"/>
  <c r="I60" i="32"/>
  <c r="P60" i="32" s="1"/>
  <c r="I60" i="31"/>
  <c r="P60" i="31" s="1"/>
  <c r="I59" i="27"/>
  <c r="P59" i="27" s="1"/>
  <c r="I60" i="28"/>
  <c r="P60" i="28" s="1"/>
  <c r="I60" i="29"/>
  <c r="P60" i="29" s="1"/>
  <c r="AO63" i="35"/>
  <c r="BC63" i="35" s="1"/>
  <c r="I64" i="34"/>
  <c r="P64" i="34" s="1"/>
  <c r="I64" i="33"/>
  <c r="P64" i="33" s="1"/>
  <c r="I64" i="32"/>
  <c r="P64" i="32" s="1"/>
  <c r="I64" i="31"/>
  <c r="P64" i="31" s="1"/>
  <c r="I63" i="27"/>
  <c r="P63" i="27" s="1"/>
  <c r="I64" i="28"/>
  <c r="P64" i="28" s="1"/>
  <c r="I64" i="29"/>
  <c r="P64" i="29" s="1"/>
  <c r="AO67" i="35"/>
  <c r="BC67" i="35" s="1"/>
  <c r="I68" i="33"/>
  <c r="P68" i="33" s="1"/>
  <c r="I68" i="34"/>
  <c r="P68" i="34" s="1"/>
  <c r="I68" i="32"/>
  <c r="P68" i="32" s="1"/>
  <c r="I68" i="31"/>
  <c r="P68" i="31" s="1"/>
  <c r="I42" i="27"/>
  <c r="P42" i="27" s="1"/>
  <c r="I68" i="28"/>
  <c r="P68" i="28" s="1"/>
  <c r="I68" i="29"/>
  <c r="P68" i="29" s="1"/>
  <c r="AO81" i="35"/>
  <c r="BC81" i="35" s="1"/>
  <c r="I82" i="34"/>
  <c r="P82" i="34" s="1"/>
  <c r="I82" i="33"/>
  <c r="P82" i="33" s="1"/>
  <c r="I82" i="32"/>
  <c r="P82" i="32" s="1"/>
  <c r="I82" i="31"/>
  <c r="P82" i="31" s="1"/>
  <c r="I81" i="27"/>
  <c r="P81" i="27" s="1"/>
  <c r="I82" i="28"/>
  <c r="P82" i="28" s="1"/>
  <c r="I82" i="29"/>
  <c r="P82" i="29" s="1"/>
  <c r="BH70" i="19"/>
  <c r="H70" i="10"/>
  <c r="BH84" i="19"/>
  <c r="H84" i="10"/>
  <c r="BH64" i="19"/>
  <c r="H64" i="10"/>
  <c r="BH71" i="19"/>
  <c r="H71" i="10"/>
  <c r="BH25" i="19"/>
  <c r="H25" i="10"/>
  <c r="BH44" i="19"/>
  <c r="H44" i="10"/>
  <c r="AV20" i="19"/>
  <c r="I20" i="10" s="1"/>
  <c r="AQ20" i="35"/>
  <c r="AV65" i="19"/>
  <c r="I65" i="10" s="1"/>
  <c r="AQ65" i="35"/>
  <c r="AW74" i="19"/>
  <c r="J74" i="10" s="1"/>
  <c r="AR74" i="35"/>
  <c r="AO14" i="35"/>
  <c r="BC14" i="35" s="1"/>
  <c r="I15" i="33"/>
  <c r="P15" i="33" s="1"/>
  <c r="I15" i="34"/>
  <c r="P15" i="34" s="1"/>
  <c r="I15" i="32"/>
  <c r="P15" i="32" s="1"/>
  <c r="I15" i="31"/>
  <c r="P15" i="31" s="1"/>
  <c r="I67" i="27"/>
  <c r="P67" i="27" s="1"/>
  <c r="I15" i="28"/>
  <c r="P15" i="28" s="1"/>
  <c r="I15" i="29"/>
  <c r="P15" i="29" s="1"/>
  <c r="AV18" i="19"/>
  <c r="I18" i="10" s="1"/>
  <c r="AQ18" i="35"/>
  <c r="AO24" i="35"/>
  <c r="BC24" i="35" s="1"/>
  <c r="I25" i="33"/>
  <c r="P25" i="33" s="1"/>
  <c r="I25" i="34"/>
  <c r="P25" i="34" s="1"/>
  <c r="I25" i="32"/>
  <c r="P25" i="32" s="1"/>
  <c r="I25" i="31"/>
  <c r="P25" i="31" s="1"/>
  <c r="I2" i="27"/>
  <c r="P2" i="27" s="1"/>
  <c r="I25" i="28"/>
  <c r="P25" i="28" s="1"/>
  <c r="I25" i="29"/>
  <c r="P25" i="29" s="1"/>
  <c r="AO28" i="35"/>
  <c r="BC28" i="35" s="1"/>
  <c r="I29" i="33"/>
  <c r="P29" i="33" s="1"/>
  <c r="I29" i="32"/>
  <c r="P29" i="32" s="1"/>
  <c r="I29" i="34"/>
  <c r="P29" i="34" s="1"/>
  <c r="I29" i="31"/>
  <c r="P29" i="31" s="1"/>
  <c r="I68" i="27"/>
  <c r="P68" i="27" s="1"/>
  <c r="I29" i="28"/>
  <c r="P29" i="28" s="1"/>
  <c r="I29" i="29"/>
  <c r="P29" i="29" s="1"/>
  <c r="AO32" i="35"/>
  <c r="BC32" i="35" s="1"/>
  <c r="I33" i="32"/>
  <c r="P33" i="32" s="1"/>
  <c r="I33" i="34"/>
  <c r="P33" i="34" s="1"/>
  <c r="I33" i="33"/>
  <c r="P33" i="33" s="1"/>
  <c r="I33" i="31"/>
  <c r="P33" i="31" s="1"/>
  <c r="I32" i="27"/>
  <c r="P32" i="27" s="1"/>
  <c r="I33" i="28"/>
  <c r="P33" i="28" s="1"/>
  <c r="I33" i="29"/>
  <c r="P33" i="29" s="1"/>
  <c r="AO35" i="35"/>
  <c r="BC35" i="35" s="1"/>
  <c r="I36" i="33"/>
  <c r="P36" i="33" s="1"/>
  <c r="I36" i="34"/>
  <c r="P36" i="34" s="1"/>
  <c r="I36" i="32"/>
  <c r="P36" i="32" s="1"/>
  <c r="I36" i="31"/>
  <c r="P36" i="31" s="1"/>
  <c r="I35" i="27"/>
  <c r="P35" i="27" s="1"/>
  <c r="I36" i="28"/>
  <c r="P36" i="28" s="1"/>
  <c r="I36" i="29"/>
  <c r="P36" i="29" s="1"/>
  <c r="AO39" i="35"/>
  <c r="BC39" i="35" s="1"/>
  <c r="I40" i="34"/>
  <c r="P40" i="34" s="1"/>
  <c r="I40" i="32"/>
  <c r="P40" i="32" s="1"/>
  <c r="I40" i="33"/>
  <c r="P40" i="33" s="1"/>
  <c r="I40" i="31"/>
  <c r="P40" i="31" s="1"/>
  <c r="I39" i="27"/>
  <c r="P39" i="27" s="1"/>
  <c r="I40" i="28"/>
  <c r="P40" i="28" s="1"/>
  <c r="I40" i="29"/>
  <c r="P40" i="29" s="1"/>
  <c r="AO45" i="35"/>
  <c r="BC45" i="35" s="1"/>
  <c r="I46" i="33"/>
  <c r="P46" i="33" s="1"/>
  <c r="I46" i="34"/>
  <c r="P46" i="34" s="1"/>
  <c r="I46" i="32"/>
  <c r="P46" i="32" s="1"/>
  <c r="I46" i="31"/>
  <c r="P46" i="31" s="1"/>
  <c r="I45" i="27"/>
  <c r="P45" i="27" s="1"/>
  <c r="I46" i="28"/>
  <c r="P46" i="28" s="1"/>
  <c r="I46" i="29"/>
  <c r="P46" i="29" s="1"/>
  <c r="AO47" i="35"/>
  <c r="BC47" i="35" s="1"/>
  <c r="I48" i="33"/>
  <c r="P48" i="33" s="1"/>
  <c r="I48" i="34"/>
  <c r="P48" i="34" s="1"/>
  <c r="I48" i="32"/>
  <c r="P48" i="32" s="1"/>
  <c r="I48" i="31"/>
  <c r="P48" i="31" s="1"/>
  <c r="I47" i="27"/>
  <c r="P47" i="27" s="1"/>
  <c r="I48" i="28"/>
  <c r="P48" i="28" s="1"/>
  <c r="I48" i="29"/>
  <c r="P48" i="29" s="1"/>
  <c r="AO55" i="35"/>
  <c r="BC55" i="35" s="1"/>
  <c r="I56" i="33"/>
  <c r="P56" i="33" s="1"/>
  <c r="I56" i="34"/>
  <c r="P56" i="34" s="1"/>
  <c r="I56" i="32"/>
  <c r="P56" i="32" s="1"/>
  <c r="I56" i="31"/>
  <c r="P56" i="31" s="1"/>
  <c r="I55" i="27"/>
  <c r="P55" i="27" s="1"/>
  <c r="I56" i="28"/>
  <c r="P56" i="28" s="1"/>
  <c r="I56" i="29"/>
  <c r="P56" i="29" s="1"/>
  <c r="AO60" i="35"/>
  <c r="BC60" i="35" s="1"/>
  <c r="I61" i="33"/>
  <c r="P61" i="33" s="1"/>
  <c r="I61" i="34"/>
  <c r="P61" i="34" s="1"/>
  <c r="I61" i="32"/>
  <c r="P61" i="32" s="1"/>
  <c r="I61" i="31"/>
  <c r="P61" i="31" s="1"/>
  <c r="I14" i="27"/>
  <c r="P14" i="27" s="1"/>
  <c r="I61" i="28"/>
  <c r="P61" i="28" s="1"/>
  <c r="I61" i="29"/>
  <c r="P61" i="29" s="1"/>
  <c r="AO65" i="35"/>
  <c r="BC65" i="35" s="1"/>
  <c r="I66" i="33"/>
  <c r="P66" i="33" s="1"/>
  <c r="I66" i="32"/>
  <c r="P66" i="32" s="1"/>
  <c r="I66" i="34"/>
  <c r="P66" i="34" s="1"/>
  <c r="I66" i="31"/>
  <c r="P66" i="31" s="1"/>
  <c r="I65" i="27"/>
  <c r="P65" i="27" s="1"/>
  <c r="I66" i="28"/>
  <c r="P66" i="28" s="1"/>
  <c r="I66" i="29"/>
  <c r="P66" i="29" s="1"/>
  <c r="AO68" i="35"/>
  <c r="BC68" i="35" s="1"/>
  <c r="I69" i="33"/>
  <c r="P69" i="33" s="1"/>
  <c r="I69" i="34"/>
  <c r="P69" i="34" s="1"/>
  <c r="I69" i="32"/>
  <c r="P69" i="32" s="1"/>
  <c r="I69" i="31"/>
  <c r="P69" i="31" s="1"/>
  <c r="I24" i="27"/>
  <c r="P24" i="27" s="1"/>
  <c r="I69" i="28"/>
  <c r="P69" i="28" s="1"/>
  <c r="I69" i="29"/>
  <c r="P69" i="29" s="1"/>
  <c r="AO83" i="35"/>
  <c r="BC83" i="35" s="1"/>
  <c r="I84" i="33"/>
  <c r="P84" i="33" s="1"/>
  <c r="I84" i="32"/>
  <c r="P84" i="32" s="1"/>
  <c r="I84" i="34"/>
  <c r="P84" i="34" s="1"/>
  <c r="I84" i="31"/>
  <c r="P84" i="31" s="1"/>
  <c r="I83" i="27"/>
  <c r="P83" i="27" s="1"/>
  <c r="I84" i="28"/>
  <c r="P84" i="28" s="1"/>
  <c r="I84" i="29"/>
  <c r="P84" i="29" s="1"/>
  <c r="BH52" i="19"/>
  <c r="H52" i="10"/>
  <c r="AV14" i="19"/>
  <c r="I14" i="10" s="1"/>
  <c r="AQ14" i="35"/>
  <c r="AW26" i="19"/>
  <c r="J26" i="10" s="1"/>
  <c r="AR26" i="35"/>
  <c r="AV33" i="19"/>
  <c r="I33" i="10" s="1"/>
  <c r="AQ33" i="35"/>
  <c r="AV71" i="19"/>
  <c r="I71" i="10" s="1"/>
  <c r="AQ71" i="35"/>
  <c r="AO15" i="35"/>
  <c r="BC15" i="35" s="1"/>
  <c r="I16" i="34"/>
  <c r="P16" i="34" s="1"/>
  <c r="I16" i="33"/>
  <c r="P16" i="33" s="1"/>
  <c r="I16" i="32"/>
  <c r="P16" i="32" s="1"/>
  <c r="I16" i="31"/>
  <c r="P16" i="31" s="1"/>
  <c r="I60" i="27"/>
  <c r="P60" i="27" s="1"/>
  <c r="I16" i="28"/>
  <c r="P16" i="28" s="1"/>
  <c r="I16" i="29"/>
  <c r="P16" i="29" s="1"/>
  <c r="AO18" i="35"/>
  <c r="BC18" i="35" s="1"/>
  <c r="I19" i="33"/>
  <c r="P19" i="33" s="1"/>
  <c r="I19" i="34"/>
  <c r="P19" i="34" s="1"/>
  <c r="I19" i="32"/>
  <c r="P19" i="32" s="1"/>
  <c r="I19" i="31"/>
  <c r="P19" i="31" s="1"/>
  <c r="I18" i="27"/>
  <c r="P18" i="27" s="1"/>
  <c r="I19" i="28"/>
  <c r="P19" i="28" s="1"/>
  <c r="I19" i="29"/>
  <c r="P19" i="29" s="1"/>
  <c r="AO26" i="35"/>
  <c r="BC26" i="35" s="1"/>
  <c r="I27" i="33"/>
  <c r="P27" i="33" s="1"/>
  <c r="I27" i="34"/>
  <c r="P27" i="34" s="1"/>
  <c r="I27" i="32"/>
  <c r="P27" i="32" s="1"/>
  <c r="I27" i="31"/>
  <c r="P27" i="31" s="1"/>
  <c r="I26" i="27"/>
  <c r="P26" i="27" s="1"/>
  <c r="I27" i="28"/>
  <c r="P27" i="28" s="1"/>
  <c r="I27" i="29"/>
  <c r="P27" i="29" s="1"/>
  <c r="AO29" i="35"/>
  <c r="BC29" i="35" s="1"/>
  <c r="I30" i="33"/>
  <c r="P30" i="33" s="1"/>
  <c r="I30" i="32"/>
  <c r="P30" i="32" s="1"/>
  <c r="I30" i="34"/>
  <c r="P30" i="34" s="1"/>
  <c r="I30" i="31"/>
  <c r="P30" i="31" s="1"/>
  <c r="I29" i="27"/>
  <c r="P29" i="27" s="1"/>
  <c r="I30" i="28"/>
  <c r="P30" i="28" s="1"/>
  <c r="I30" i="29"/>
  <c r="P30" i="29" s="1"/>
  <c r="AT36" i="19"/>
  <c r="AO36" i="35"/>
  <c r="BC36" i="35" s="1"/>
  <c r="I37" i="33"/>
  <c r="P37" i="33" s="1"/>
  <c r="I37" i="34"/>
  <c r="P37" i="34" s="1"/>
  <c r="I37" i="32"/>
  <c r="P37" i="32" s="1"/>
  <c r="I37" i="31"/>
  <c r="P37" i="31" s="1"/>
  <c r="I36" i="27"/>
  <c r="P36" i="27" s="1"/>
  <c r="I37" i="28"/>
  <c r="P37" i="28" s="1"/>
  <c r="I37" i="29"/>
  <c r="P37" i="29" s="1"/>
  <c r="AT40" i="19"/>
  <c r="AO40" i="35"/>
  <c r="BC40" i="35" s="1"/>
  <c r="I41" i="34"/>
  <c r="P41" i="34" s="1"/>
  <c r="I41" i="32"/>
  <c r="P41" i="32" s="1"/>
  <c r="I41" i="33"/>
  <c r="P41" i="33" s="1"/>
  <c r="I41" i="31"/>
  <c r="P41" i="31" s="1"/>
  <c r="I40" i="27"/>
  <c r="P40" i="27" s="1"/>
  <c r="I41" i="28"/>
  <c r="P41" i="28" s="1"/>
  <c r="I41" i="29"/>
  <c r="P41" i="29" s="1"/>
  <c r="AP46" i="35"/>
  <c r="I47" i="33"/>
  <c r="P47" i="33" s="1"/>
  <c r="I47" i="34"/>
  <c r="P47" i="34" s="1"/>
  <c r="I47" i="32"/>
  <c r="P47" i="32" s="1"/>
  <c r="I47" i="31"/>
  <c r="P47" i="31" s="1"/>
  <c r="I46" i="27"/>
  <c r="P46" i="27" s="1"/>
  <c r="I47" i="28"/>
  <c r="P47" i="28" s="1"/>
  <c r="I47" i="29"/>
  <c r="P47" i="29" s="1"/>
  <c r="AO48" i="35"/>
  <c r="BC48" i="35" s="1"/>
  <c r="I49" i="34"/>
  <c r="P49" i="34" s="1"/>
  <c r="I49" i="33"/>
  <c r="P49" i="33" s="1"/>
  <c r="I49" i="32"/>
  <c r="P49" i="32" s="1"/>
  <c r="I49" i="31"/>
  <c r="P49" i="31" s="1"/>
  <c r="I48" i="27"/>
  <c r="P48" i="27" s="1"/>
  <c r="I49" i="28"/>
  <c r="P49" i="28" s="1"/>
  <c r="I49" i="29"/>
  <c r="P49" i="29" s="1"/>
  <c r="AO57" i="35"/>
  <c r="BC57" i="35" s="1"/>
  <c r="I58" i="34"/>
  <c r="P58" i="34" s="1"/>
  <c r="I58" i="32"/>
  <c r="P58" i="32" s="1"/>
  <c r="I58" i="33"/>
  <c r="P58" i="33" s="1"/>
  <c r="I58" i="31"/>
  <c r="P58" i="31" s="1"/>
  <c r="I57" i="27"/>
  <c r="P57" i="27" s="1"/>
  <c r="I58" i="28"/>
  <c r="P58" i="28" s="1"/>
  <c r="I58" i="29"/>
  <c r="P58" i="29" s="1"/>
  <c r="AO61" i="35"/>
  <c r="BC61" i="35" s="1"/>
  <c r="I62" i="33"/>
  <c r="P62" i="33" s="1"/>
  <c r="I62" i="34"/>
  <c r="P62" i="34" s="1"/>
  <c r="I62" i="32"/>
  <c r="P62" i="32" s="1"/>
  <c r="I62" i="31"/>
  <c r="P62" i="31" s="1"/>
  <c r="I61" i="27"/>
  <c r="P61" i="27" s="1"/>
  <c r="I62" i="28"/>
  <c r="P62" i="28" s="1"/>
  <c r="I62" i="29"/>
  <c r="P62" i="29" s="1"/>
  <c r="AO66" i="35"/>
  <c r="BC66" i="35" s="1"/>
  <c r="I67" i="33"/>
  <c r="P67" i="33" s="1"/>
  <c r="I67" i="34"/>
  <c r="P67" i="34" s="1"/>
  <c r="I67" i="32"/>
  <c r="P67" i="32" s="1"/>
  <c r="I67" i="31"/>
  <c r="P67" i="31" s="1"/>
  <c r="I28" i="27"/>
  <c r="P28" i="27" s="1"/>
  <c r="I67" i="28"/>
  <c r="P67" i="28" s="1"/>
  <c r="I67" i="29"/>
  <c r="P67" i="29" s="1"/>
  <c r="AO69" i="35"/>
  <c r="BC69" i="35" s="1"/>
  <c r="I70" i="34"/>
  <c r="P70" i="34" s="1"/>
  <c r="I70" i="33"/>
  <c r="P70" i="33" s="1"/>
  <c r="I70" i="32"/>
  <c r="P70" i="32" s="1"/>
  <c r="I70" i="31"/>
  <c r="P70" i="31" s="1"/>
  <c r="I69" i="27"/>
  <c r="P69" i="27" s="1"/>
  <c r="I70" i="28"/>
  <c r="P70" i="28" s="1"/>
  <c r="I70" i="29"/>
  <c r="P70" i="29" s="1"/>
  <c r="BH86" i="19"/>
  <c r="H86" i="10"/>
  <c r="BH79" i="19"/>
  <c r="H79" i="10"/>
  <c r="BH80" i="19"/>
  <c r="H80" i="10"/>
  <c r="BH75" i="19"/>
  <c r="H75" i="10"/>
  <c r="BH85" i="19"/>
  <c r="H85" i="10"/>
  <c r="BH74" i="19"/>
  <c r="H74" i="10"/>
  <c r="AV17" i="19"/>
  <c r="I17" i="10" s="1"/>
  <c r="AQ17" i="35"/>
  <c r="AO16" i="35"/>
  <c r="BC16" i="35" s="1"/>
  <c r="I17" i="34"/>
  <c r="P17" i="34" s="1"/>
  <c r="I17" i="33"/>
  <c r="P17" i="33" s="1"/>
  <c r="I17" i="32"/>
  <c r="P17" i="32" s="1"/>
  <c r="I17" i="31"/>
  <c r="P17" i="31" s="1"/>
  <c r="I16" i="27"/>
  <c r="P16" i="27" s="1"/>
  <c r="I17" i="28"/>
  <c r="P17" i="28" s="1"/>
  <c r="I17" i="29"/>
  <c r="P17" i="29" s="1"/>
  <c r="AO20" i="35"/>
  <c r="BC20" i="35" s="1"/>
  <c r="I21" i="33"/>
  <c r="P21" i="33" s="1"/>
  <c r="I21" i="32"/>
  <c r="P21" i="32" s="1"/>
  <c r="I21" i="34"/>
  <c r="P21" i="34" s="1"/>
  <c r="I21" i="31"/>
  <c r="P21" i="31" s="1"/>
  <c r="I20" i="27"/>
  <c r="P20" i="27" s="1"/>
  <c r="I21" i="28"/>
  <c r="P21" i="28" s="1"/>
  <c r="I21" i="29"/>
  <c r="P21" i="29" s="1"/>
  <c r="AO30" i="35"/>
  <c r="BC30" i="35" s="1"/>
  <c r="I31" i="33"/>
  <c r="P31" i="33" s="1"/>
  <c r="I31" i="34"/>
  <c r="P31" i="34" s="1"/>
  <c r="I31" i="32"/>
  <c r="P31" i="32" s="1"/>
  <c r="I31" i="31"/>
  <c r="P31" i="31" s="1"/>
  <c r="I30" i="27"/>
  <c r="P30" i="27" s="1"/>
  <c r="I31" i="28"/>
  <c r="P31" i="28" s="1"/>
  <c r="I31" i="29"/>
  <c r="P31" i="29" s="1"/>
  <c r="AO33" i="35"/>
  <c r="BC33" i="35" s="1"/>
  <c r="I34" i="33"/>
  <c r="P34" i="33" s="1"/>
  <c r="I34" i="32"/>
  <c r="P34" i="32" s="1"/>
  <c r="I34" i="34"/>
  <c r="P34" i="34" s="1"/>
  <c r="I34" i="31"/>
  <c r="P34" i="31" s="1"/>
  <c r="I33" i="27"/>
  <c r="P33" i="27" s="1"/>
  <c r="I34" i="28"/>
  <c r="P34" i="28" s="1"/>
  <c r="I34" i="29"/>
  <c r="P34" i="29" s="1"/>
  <c r="AO37" i="35"/>
  <c r="BC37" i="35" s="1"/>
  <c r="I38" i="33"/>
  <c r="P38" i="33" s="1"/>
  <c r="I38" i="34"/>
  <c r="P38" i="34" s="1"/>
  <c r="I38" i="32"/>
  <c r="P38" i="32" s="1"/>
  <c r="I38" i="31"/>
  <c r="P38" i="31" s="1"/>
  <c r="I37" i="27"/>
  <c r="P37" i="27" s="1"/>
  <c r="I38" i="28"/>
  <c r="P38" i="28" s="1"/>
  <c r="I38" i="29"/>
  <c r="P38" i="29" s="1"/>
  <c r="AO41" i="35"/>
  <c r="BC41" i="35" s="1"/>
  <c r="I42" i="33"/>
  <c r="P42" i="33" s="1"/>
  <c r="I42" i="32"/>
  <c r="P42" i="32" s="1"/>
  <c r="I42" i="34"/>
  <c r="P42" i="34" s="1"/>
  <c r="I42" i="31"/>
  <c r="P42" i="31" s="1"/>
  <c r="I41" i="27"/>
  <c r="P41" i="27" s="1"/>
  <c r="I42" i="28"/>
  <c r="P42" i="28" s="1"/>
  <c r="I42" i="29"/>
  <c r="P42" i="29" s="1"/>
  <c r="AW46" i="19"/>
  <c r="J46" i="10" s="1"/>
  <c r="AR46" i="35"/>
  <c r="AO49" i="35"/>
  <c r="BC49" i="35" s="1"/>
  <c r="I50" i="33"/>
  <c r="P50" i="33" s="1"/>
  <c r="I50" i="34"/>
  <c r="P50" i="34" s="1"/>
  <c r="I50" i="32"/>
  <c r="P50" i="32" s="1"/>
  <c r="I50" i="31"/>
  <c r="P50" i="31" s="1"/>
  <c r="I49" i="27"/>
  <c r="P49" i="27" s="1"/>
  <c r="I50" i="28"/>
  <c r="P50" i="28" s="1"/>
  <c r="I50" i="29"/>
  <c r="P50" i="29" s="1"/>
  <c r="AP51" i="35"/>
  <c r="I52" i="34"/>
  <c r="P52" i="34" s="1"/>
  <c r="I52" i="33"/>
  <c r="P52" i="33" s="1"/>
  <c r="I52" i="32"/>
  <c r="P52" i="32" s="1"/>
  <c r="I52" i="31"/>
  <c r="P52" i="31" s="1"/>
  <c r="I51" i="27"/>
  <c r="P51" i="27" s="1"/>
  <c r="I52" i="28"/>
  <c r="P52" i="28" s="1"/>
  <c r="I52" i="29"/>
  <c r="P52" i="29" s="1"/>
  <c r="AO58" i="35"/>
  <c r="BC58" i="35" s="1"/>
  <c r="I59" i="34"/>
  <c r="P59" i="34" s="1"/>
  <c r="I59" i="33"/>
  <c r="P59" i="33" s="1"/>
  <c r="I59" i="32"/>
  <c r="P59" i="32" s="1"/>
  <c r="I59" i="31"/>
  <c r="P59" i="31" s="1"/>
  <c r="I58" i="27"/>
  <c r="P58" i="27" s="1"/>
  <c r="I59" i="28"/>
  <c r="P59" i="28" s="1"/>
  <c r="I59" i="29"/>
  <c r="P59" i="29" s="1"/>
  <c r="AO62" i="35"/>
  <c r="BC62" i="35" s="1"/>
  <c r="I63" i="34"/>
  <c r="P63" i="34" s="1"/>
  <c r="I63" i="33"/>
  <c r="P63" i="33" s="1"/>
  <c r="I63" i="32"/>
  <c r="P63" i="32" s="1"/>
  <c r="I63" i="31"/>
  <c r="P63" i="31" s="1"/>
  <c r="I62" i="27"/>
  <c r="P62" i="27" s="1"/>
  <c r="I63" i="28"/>
  <c r="P63" i="28" s="1"/>
  <c r="I63" i="29"/>
  <c r="P63" i="29" s="1"/>
  <c r="J66" i="25"/>
  <c r="AQ66" i="35"/>
  <c r="BH77" i="19"/>
  <c r="H77" i="10"/>
  <c r="BH56" i="19"/>
  <c r="H56" i="10"/>
  <c r="BH27" i="19"/>
  <c r="H27" i="10"/>
  <c r="BH73" i="19"/>
  <c r="H73" i="10"/>
  <c r="BH43" i="19"/>
  <c r="H43" i="10"/>
  <c r="BH19" i="19"/>
  <c r="H19" i="10"/>
  <c r="BH76" i="19"/>
  <c r="H76" i="10"/>
  <c r="BH78" i="19"/>
  <c r="H78" i="10"/>
  <c r="BH82" i="19"/>
  <c r="H82" i="10"/>
  <c r="BH72" i="19"/>
  <c r="H72" i="10"/>
  <c r="BH53" i="19"/>
  <c r="H53" i="10"/>
  <c r="BH12" i="19"/>
  <c r="H12" i="10"/>
  <c r="AN15" i="35"/>
  <c r="BB15" i="35" s="1"/>
  <c r="H16" i="34"/>
  <c r="O16" i="34" s="1"/>
  <c r="H16" i="33"/>
  <c r="O16" i="33" s="1"/>
  <c r="H16" i="32"/>
  <c r="O16" i="32" s="1"/>
  <c r="H16" i="31"/>
  <c r="O16" i="31" s="1"/>
  <c r="H16" i="28"/>
  <c r="O16" i="28" s="1"/>
  <c r="H16" i="29"/>
  <c r="O16" i="29" s="1"/>
  <c r="H60" i="27"/>
  <c r="O60" i="27" s="1"/>
  <c r="AN18" i="35"/>
  <c r="BB18" i="35" s="1"/>
  <c r="H19" i="34"/>
  <c r="O19" i="34" s="1"/>
  <c r="H19" i="33"/>
  <c r="O19" i="33" s="1"/>
  <c r="H19" i="32"/>
  <c r="O19" i="32" s="1"/>
  <c r="H19" i="31"/>
  <c r="O19" i="31" s="1"/>
  <c r="H19" i="29"/>
  <c r="O19" i="29" s="1"/>
  <c r="H19" i="28"/>
  <c r="O19" i="28" s="1"/>
  <c r="H18" i="27"/>
  <c r="O18" i="27" s="1"/>
  <c r="AN26" i="35"/>
  <c r="BB26" i="35" s="1"/>
  <c r="H27" i="34"/>
  <c r="O27" i="34" s="1"/>
  <c r="H27" i="33"/>
  <c r="O27" i="33" s="1"/>
  <c r="H27" i="32"/>
  <c r="O27" i="32" s="1"/>
  <c r="H27" i="31"/>
  <c r="O27" i="31" s="1"/>
  <c r="H27" i="29"/>
  <c r="O27" i="29" s="1"/>
  <c r="H27" i="28"/>
  <c r="O27" i="28" s="1"/>
  <c r="H26" i="27"/>
  <c r="O26" i="27" s="1"/>
  <c r="AN33" i="35"/>
  <c r="BB33" i="35" s="1"/>
  <c r="H34" i="34"/>
  <c r="O34" i="34" s="1"/>
  <c r="H34" i="33"/>
  <c r="O34" i="33" s="1"/>
  <c r="H34" i="32"/>
  <c r="O34" i="32" s="1"/>
  <c r="H34" i="31"/>
  <c r="O34" i="31" s="1"/>
  <c r="H34" i="29"/>
  <c r="O34" i="29" s="1"/>
  <c r="H34" i="28"/>
  <c r="O34" i="28" s="1"/>
  <c r="H33" i="27"/>
  <c r="O33" i="27" s="1"/>
  <c r="AN38" i="35"/>
  <c r="BB38" i="35" s="1"/>
  <c r="H39" i="34"/>
  <c r="O39" i="34" s="1"/>
  <c r="H39" i="33"/>
  <c r="O39" i="33" s="1"/>
  <c r="H39" i="32"/>
  <c r="O39" i="32" s="1"/>
  <c r="H39" i="31"/>
  <c r="O39" i="31" s="1"/>
  <c r="H39" i="29"/>
  <c r="O39" i="29" s="1"/>
  <c r="H39" i="28"/>
  <c r="O39" i="28" s="1"/>
  <c r="H38" i="27"/>
  <c r="O38" i="27" s="1"/>
  <c r="AN41" i="35"/>
  <c r="BB41" i="35" s="1"/>
  <c r="H42" i="33"/>
  <c r="O42" i="33" s="1"/>
  <c r="H42" i="34"/>
  <c r="O42" i="34" s="1"/>
  <c r="H42" i="32"/>
  <c r="O42" i="32" s="1"/>
  <c r="H42" i="31"/>
  <c r="O42" i="31" s="1"/>
  <c r="H42" i="29"/>
  <c r="O42" i="29" s="1"/>
  <c r="H42" i="28"/>
  <c r="O42" i="28" s="1"/>
  <c r="H41" i="27"/>
  <c r="O41" i="27" s="1"/>
  <c r="BG54" i="19"/>
  <c r="G54" i="10"/>
  <c r="AN57" i="35"/>
  <c r="BB57" i="35" s="1"/>
  <c r="H58" i="34"/>
  <c r="O58" i="34" s="1"/>
  <c r="H58" i="33"/>
  <c r="O58" i="33" s="1"/>
  <c r="H58" i="32"/>
  <c r="O58" i="32" s="1"/>
  <c r="H58" i="31"/>
  <c r="O58" i="31" s="1"/>
  <c r="H58" i="29"/>
  <c r="O58" i="29" s="1"/>
  <c r="H58" i="28"/>
  <c r="O58" i="28" s="1"/>
  <c r="H57" i="27"/>
  <c r="O57" i="27" s="1"/>
  <c r="AN59" i="35"/>
  <c r="BB59" i="35" s="1"/>
  <c r="H60" i="33"/>
  <c r="O60" i="33" s="1"/>
  <c r="H60" i="34"/>
  <c r="O60" i="34" s="1"/>
  <c r="H60" i="32"/>
  <c r="O60" i="32" s="1"/>
  <c r="H60" i="31"/>
  <c r="O60" i="31" s="1"/>
  <c r="H60" i="28"/>
  <c r="O60" i="28" s="1"/>
  <c r="H59" i="27"/>
  <c r="O59" i="27" s="1"/>
  <c r="H60" i="29"/>
  <c r="O60" i="29" s="1"/>
  <c r="AN62" i="35"/>
  <c r="BB62" i="35" s="1"/>
  <c r="H63" i="34"/>
  <c r="O63" i="34" s="1"/>
  <c r="H63" i="32"/>
  <c r="O63" i="32" s="1"/>
  <c r="H63" i="33"/>
  <c r="O63" i="33" s="1"/>
  <c r="H63" i="31"/>
  <c r="O63" i="31" s="1"/>
  <c r="H63" i="29"/>
  <c r="O63" i="29" s="1"/>
  <c r="H63" i="28"/>
  <c r="O63" i="28" s="1"/>
  <c r="H62" i="27"/>
  <c r="O62" i="27" s="1"/>
  <c r="AN69" i="35"/>
  <c r="BB69" i="35" s="1"/>
  <c r="H70" i="33"/>
  <c r="O70" i="33" s="1"/>
  <c r="H70" i="34"/>
  <c r="O70" i="34" s="1"/>
  <c r="H70" i="32"/>
  <c r="O70" i="32" s="1"/>
  <c r="H70" i="31"/>
  <c r="O70" i="31" s="1"/>
  <c r="H70" i="29"/>
  <c r="O70" i="29" s="1"/>
  <c r="H70" i="28"/>
  <c r="O70" i="28" s="1"/>
  <c r="H69" i="27"/>
  <c r="O69" i="27" s="1"/>
  <c r="BG56" i="19"/>
  <c r="G56" i="10"/>
  <c r="BG71" i="19"/>
  <c r="G71" i="10"/>
  <c r="AN16" i="35"/>
  <c r="BB16" i="35" s="1"/>
  <c r="H17" i="33"/>
  <c r="O17" i="33" s="1"/>
  <c r="H17" i="34"/>
  <c r="O17" i="34" s="1"/>
  <c r="H17" i="32"/>
  <c r="O17" i="32" s="1"/>
  <c r="H17" i="31"/>
  <c r="O17" i="31" s="1"/>
  <c r="H17" i="29"/>
  <c r="O17" i="29" s="1"/>
  <c r="H17" i="28"/>
  <c r="O17" i="28" s="1"/>
  <c r="H16" i="27"/>
  <c r="O16" i="27" s="1"/>
  <c r="AN20" i="35"/>
  <c r="BB20" i="35" s="1"/>
  <c r="H21" i="33"/>
  <c r="O21" i="33" s="1"/>
  <c r="H21" i="34"/>
  <c r="O21" i="34" s="1"/>
  <c r="H21" i="32"/>
  <c r="O21" i="32" s="1"/>
  <c r="H21" i="31"/>
  <c r="O21" i="31" s="1"/>
  <c r="H21" i="28"/>
  <c r="O21" i="28" s="1"/>
  <c r="H20" i="27"/>
  <c r="O20" i="27" s="1"/>
  <c r="H21" i="29"/>
  <c r="O21" i="29" s="1"/>
  <c r="AN28" i="35"/>
  <c r="BB28" i="35" s="1"/>
  <c r="H29" i="33"/>
  <c r="O29" i="33" s="1"/>
  <c r="H29" i="34"/>
  <c r="O29" i="34" s="1"/>
  <c r="H29" i="32"/>
  <c r="O29" i="32" s="1"/>
  <c r="H29" i="31"/>
  <c r="O29" i="31" s="1"/>
  <c r="H29" i="28"/>
  <c r="O29" i="28" s="1"/>
  <c r="H29" i="29"/>
  <c r="O29" i="29" s="1"/>
  <c r="H68" i="27"/>
  <c r="O68" i="27" s="1"/>
  <c r="AN30" i="35"/>
  <c r="BB30" i="35" s="1"/>
  <c r="H31" i="33"/>
  <c r="O31" i="33" s="1"/>
  <c r="H31" i="34"/>
  <c r="O31" i="34" s="1"/>
  <c r="H31" i="32"/>
  <c r="O31" i="32" s="1"/>
  <c r="H31" i="31"/>
  <c r="O31" i="31" s="1"/>
  <c r="H31" i="29"/>
  <c r="O31" i="29" s="1"/>
  <c r="H31" i="28"/>
  <c r="O31" i="28" s="1"/>
  <c r="H30" i="27"/>
  <c r="O30" i="27" s="1"/>
  <c r="AN36" i="35"/>
  <c r="BB36" i="35" s="1"/>
  <c r="H37" i="33"/>
  <c r="O37" i="33" s="1"/>
  <c r="H37" i="34"/>
  <c r="O37" i="34" s="1"/>
  <c r="H37" i="32"/>
  <c r="O37" i="32" s="1"/>
  <c r="H37" i="31"/>
  <c r="O37" i="31" s="1"/>
  <c r="H37" i="28"/>
  <c r="O37" i="28" s="1"/>
  <c r="H37" i="29"/>
  <c r="O37" i="29" s="1"/>
  <c r="H36" i="27"/>
  <c r="O36" i="27" s="1"/>
  <c r="BG39" i="19"/>
  <c r="G39" i="10"/>
  <c r="AN46" i="35"/>
  <c r="BB46" i="35" s="1"/>
  <c r="H47" i="34"/>
  <c r="O47" i="34" s="1"/>
  <c r="H47" i="33"/>
  <c r="O47" i="33" s="1"/>
  <c r="H47" i="32"/>
  <c r="O47" i="32" s="1"/>
  <c r="H47" i="31"/>
  <c r="O47" i="31" s="1"/>
  <c r="H47" i="29"/>
  <c r="O47" i="29" s="1"/>
  <c r="H47" i="28"/>
  <c r="O47" i="28" s="1"/>
  <c r="H46" i="27"/>
  <c r="O46" i="27" s="1"/>
  <c r="AN48" i="35"/>
  <c r="BB48" i="35" s="1"/>
  <c r="H49" i="34"/>
  <c r="O49" i="34" s="1"/>
  <c r="H49" i="33"/>
  <c r="O49" i="33" s="1"/>
  <c r="H49" i="32"/>
  <c r="O49" i="32" s="1"/>
  <c r="H49" i="31"/>
  <c r="O49" i="31" s="1"/>
  <c r="H49" i="28"/>
  <c r="O49" i="28" s="1"/>
  <c r="H49" i="29"/>
  <c r="O49" i="29" s="1"/>
  <c r="H48" i="27"/>
  <c r="O48" i="27" s="1"/>
  <c r="AN50" i="35"/>
  <c r="BB50" i="35" s="1"/>
  <c r="H51" i="34"/>
  <c r="O51" i="34" s="1"/>
  <c r="H51" i="33"/>
  <c r="O51" i="33" s="1"/>
  <c r="H51" i="32"/>
  <c r="O51" i="32" s="1"/>
  <c r="H51" i="31"/>
  <c r="O51" i="31" s="1"/>
  <c r="H51" i="29"/>
  <c r="O51" i="29" s="1"/>
  <c r="H51" i="28"/>
  <c r="O51" i="28" s="1"/>
  <c r="H50" i="27"/>
  <c r="O50" i="27" s="1"/>
  <c r="AN54" i="35"/>
  <c r="BB54" i="35" s="1"/>
  <c r="H55" i="34"/>
  <c r="O55" i="34" s="1"/>
  <c r="H55" i="33"/>
  <c r="O55" i="33" s="1"/>
  <c r="H55" i="32"/>
  <c r="O55" i="32" s="1"/>
  <c r="H55" i="31"/>
  <c r="O55" i="31" s="1"/>
  <c r="H55" i="29"/>
  <c r="O55" i="29" s="1"/>
  <c r="H55" i="28"/>
  <c r="O55" i="28" s="1"/>
  <c r="H54" i="27"/>
  <c r="O54" i="27" s="1"/>
  <c r="AN60" i="35"/>
  <c r="BB60" i="35" s="1"/>
  <c r="H61" i="34"/>
  <c r="O61" i="34" s="1"/>
  <c r="H61" i="33"/>
  <c r="O61" i="33" s="1"/>
  <c r="H61" i="32"/>
  <c r="O61" i="32" s="1"/>
  <c r="H61" i="31"/>
  <c r="O61" i="31" s="1"/>
  <c r="H61" i="28"/>
  <c r="O61" i="28" s="1"/>
  <c r="H61" i="29"/>
  <c r="O61" i="29" s="1"/>
  <c r="H14" i="27"/>
  <c r="O14" i="27" s="1"/>
  <c r="AS67" i="19"/>
  <c r="AN67" i="35"/>
  <c r="BB67" i="35" s="1"/>
  <c r="H68" i="34"/>
  <c r="O68" i="34" s="1"/>
  <c r="H68" i="33"/>
  <c r="O68" i="33" s="1"/>
  <c r="H68" i="32"/>
  <c r="O68" i="32" s="1"/>
  <c r="H68" i="31"/>
  <c r="O68" i="31" s="1"/>
  <c r="H68" i="28"/>
  <c r="O68" i="28" s="1"/>
  <c r="H42" i="27"/>
  <c r="O42" i="27" s="1"/>
  <c r="H68" i="29"/>
  <c r="O68" i="29" s="1"/>
  <c r="AN77" i="35"/>
  <c r="BB77" i="35" s="1"/>
  <c r="H78" i="33"/>
  <c r="O78" i="33" s="1"/>
  <c r="H78" i="34"/>
  <c r="O78" i="34" s="1"/>
  <c r="H78" i="32"/>
  <c r="O78" i="32" s="1"/>
  <c r="H78" i="31"/>
  <c r="O78" i="31" s="1"/>
  <c r="H78" i="29"/>
  <c r="O78" i="29" s="1"/>
  <c r="H78" i="28"/>
  <c r="O78" i="28" s="1"/>
  <c r="H77" i="27"/>
  <c r="O77" i="27" s="1"/>
  <c r="AN81" i="35"/>
  <c r="BB81" i="35" s="1"/>
  <c r="H82" i="34"/>
  <c r="O82" i="34" s="1"/>
  <c r="H82" i="33"/>
  <c r="O82" i="33" s="1"/>
  <c r="H82" i="32"/>
  <c r="O82" i="32" s="1"/>
  <c r="H82" i="31"/>
  <c r="O82" i="31" s="1"/>
  <c r="H82" i="29"/>
  <c r="O82" i="29" s="1"/>
  <c r="H82" i="28"/>
  <c r="O82" i="28" s="1"/>
  <c r="H81" i="27"/>
  <c r="O81" i="27" s="1"/>
  <c r="BG87" i="19"/>
  <c r="G87" i="10"/>
  <c r="AS13" i="19"/>
  <c r="AN13" i="35"/>
  <c r="BB13" i="35" s="1"/>
  <c r="H14" i="34"/>
  <c r="O14" i="34" s="1"/>
  <c r="H14" i="33"/>
  <c r="O14" i="33" s="1"/>
  <c r="H14" i="32"/>
  <c r="O14" i="32" s="1"/>
  <c r="H14" i="31"/>
  <c r="O14" i="31" s="1"/>
  <c r="H14" i="29"/>
  <c r="O14" i="29" s="1"/>
  <c r="H14" i="28"/>
  <c r="O14" i="28" s="1"/>
  <c r="H13" i="27"/>
  <c r="O13" i="27" s="1"/>
  <c r="BG52" i="19"/>
  <c r="G52" i="10"/>
  <c r="BG76" i="19"/>
  <c r="G76" i="10"/>
  <c r="AN24" i="35"/>
  <c r="BB24" i="35" s="1"/>
  <c r="H25" i="34"/>
  <c r="O25" i="34" s="1"/>
  <c r="H25" i="33"/>
  <c r="O25" i="33" s="1"/>
  <c r="H25" i="32"/>
  <c r="O25" i="32" s="1"/>
  <c r="H25" i="31"/>
  <c r="O25" i="31" s="1"/>
  <c r="H25" i="28"/>
  <c r="O25" i="28" s="1"/>
  <c r="H25" i="29"/>
  <c r="O25" i="29" s="1"/>
  <c r="H2" i="27"/>
  <c r="O2" i="27" s="1"/>
  <c r="AN34" i="35"/>
  <c r="BB34" i="35" s="1"/>
  <c r="H35" i="33"/>
  <c r="O35" i="33" s="1"/>
  <c r="H35" i="34"/>
  <c r="O35" i="34" s="1"/>
  <c r="H35" i="32"/>
  <c r="O35" i="32" s="1"/>
  <c r="H35" i="31"/>
  <c r="O35" i="31" s="1"/>
  <c r="H35" i="29"/>
  <c r="O35" i="29" s="1"/>
  <c r="H35" i="28"/>
  <c r="O35" i="28" s="1"/>
  <c r="H34" i="27"/>
  <c r="O34" i="27" s="1"/>
  <c r="AN40" i="35"/>
  <c r="BB40" i="35" s="1"/>
  <c r="H41" i="34"/>
  <c r="O41" i="34" s="1"/>
  <c r="H41" i="33"/>
  <c r="O41" i="33" s="1"/>
  <c r="H41" i="32"/>
  <c r="O41" i="32" s="1"/>
  <c r="H41" i="31"/>
  <c r="O41" i="31" s="1"/>
  <c r="H41" i="28"/>
  <c r="O41" i="28" s="1"/>
  <c r="H41" i="29"/>
  <c r="O41" i="29" s="1"/>
  <c r="H40" i="27"/>
  <c r="O40" i="27" s="1"/>
  <c r="AN42" i="35"/>
  <c r="BB42" i="35" s="1"/>
  <c r="H43" i="33"/>
  <c r="O43" i="33" s="1"/>
  <c r="H43" i="34"/>
  <c r="O43" i="34" s="1"/>
  <c r="H43" i="32"/>
  <c r="O43" i="32" s="1"/>
  <c r="H43" i="31"/>
  <c r="O43" i="31" s="1"/>
  <c r="H43" i="29"/>
  <c r="O43" i="29" s="1"/>
  <c r="H43" i="28"/>
  <c r="O43" i="28" s="1"/>
  <c r="H66" i="27"/>
  <c r="O66" i="27" s="1"/>
  <c r="AN55" i="35"/>
  <c r="BB55" i="35" s="1"/>
  <c r="H56" i="33"/>
  <c r="O56" i="33" s="1"/>
  <c r="H56" i="34"/>
  <c r="O56" i="34" s="1"/>
  <c r="H56" i="32"/>
  <c r="O56" i="32" s="1"/>
  <c r="H56" i="31"/>
  <c r="O56" i="31" s="1"/>
  <c r="H56" i="28"/>
  <c r="O56" i="28" s="1"/>
  <c r="H55" i="27"/>
  <c r="O55" i="27" s="1"/>
  <c r="H56" i="29"/>
  <c r="O56" i="29" s="1"/>
  <c r="AN58" i="35"/>
  <c r="BB58" i="35" s="1"/>
  <c r="H59" i="34"/>
  <c r="O59" i="34" s="1"/>
  <c r="H59" i="33"/>
  <c r="O59" i="33" s="1"/>
  <c r="H59" i="32"/>
  <c r="O59" i="32" s="1"/>
  <c r="H59" i="31"/>
  <c r="O59" i="31" s="1"/>
  <c r="H59" i="29"/>
  <c r="O59" i="29" s="1"/>
  <c r="H59" i="28"/>
  <c r="O59" i="28" s="1"/>
  <c r="H58" i="27"/>
  <c r="O58" i="27" s="1"/>
  <c r="AN61" i="35"/>
  <c r="BB61" i="35" s="1"/>
  <c r="H62" i="33"/>
  <c r="O62" i="33" s="1"/>
  <c r="H62" i="34"/>
  <c r="O62" i="34" s="1"/>
  <c r="H62" i="32"/>
  <c r="O62" i="32" s="1"/>
  <c r="H62" i="31"/>
  <c r="O62" i="31" s="1"/>
  <c r="H62" i="29"/>
  <c r="O62" i="29" s="1"/>
  <c r="H62" i="28"/>
  <c r="O62" i="28" s="1"/>
  <c r="H61" i="27"/>
  <c r="O61" i="27" s="1"/>
  <c r="AN63" i="35"/>
  <c r="BB63" i="35" s="1"/>
  <c r="H64" i="34"/>
  <c r="O64" i="34" s="1"/>
  <c r="H64" i="33"/>
  <c r="O64" i="33" s="1"/>
  <c r="H64" i="32"/>
  <c r="O64" i="32" s="1"/>
  <c r="H64" i="31"/>
  <c r="O64" i="31" s="1"/>
  <c r="H64" i="28"/>
  <c r="O64" i="28" s="1"/>
  <c r="H63" i="27"/>
  <c r="O63" i="27" s="1"/>
  <c r="H64" i="29"/>
  <c r="O64" i="29" s="1"/>
  <c r="AN65" i="35"/>
  <c r="BB65" i="35" s="1"/>
  <c r="H66" i="33"/>
  <c r="O66" i="33" s="1"/>
  <c r="H66" i="34"/>
  <c r="O66" i="34" s="1"/>
  <c r="H66" i="32"/>
  <c r="O66" i="32" s="1"/>
  <c r="H66" i="31"/>
  <c r="O66" i="31" s="1"/>
  <c r="H66" i="29"/>
  <c r="O66" i="29" s="1"/>
  <c r="H66" i="28"/>
  <c r="O66" i="28" s="1"/>
  <c r="H65" i="27"/>
  <c r="O65" i="27" s="1"/>
  <c r="AN68" i="35"/>
  <c r="BB68" i="35" s="1"/>
  <c r="H69" i="34"/>
  <c r="O69" i="34" s="1"/>
  <c r="H69" i="32"/>
  <c r="O69" i="32" s="1"/>
  <c r="H69" i="33"/>
  <c r="O69" i="33" s="1"/>
  <c r="H69" i="31"/>
  <c r="O69" i="31" s="1"/>
  <c r="H69" i="28"/>
  <c r="O69" i="28" s="1"/>
  <c r="H24" i="27"/>
  <c r="O24" i="27" s="1"/>
  <c r="H69" i="29"/>
  <c r="O69" i="29" s="1"/>
  <c r="BG72" i="19"/>
  <c r="G72" i="10"/>
  <c r="BG44" i="19"/>
  <c r="G44" i="10"/>
  <c r="BG84" i="19"/>
  <c r="G84" i="10"/>
  <c r="BG82" i="19"/>
  <c r="G82" i="10"/>
  <c r="BG19" i="19"/>
  <c r="G19" i="10"/>
  <c r="BG86" i="19"/>
  <c r="G86" i="10"/>
  <c r="BG79" i="19"/>
  <c r="G79" i="10"/>
  <c r="AN29" i="35"/>
  <c r="BB29" i="35" s="1"/>
  <c r="H30" i="34"/>
  <c r="O30" i="34" s="1"/>
  <c r="H30" i="33"/>
  <c r="O30" i="33" s="1"/>
  <c r="H30" i="32"/>
  <c r="O30" i="32" s="1"/>
  <c r="H30" i="31"/>
  <c r="O30" i="31" s="1"/>
  <c r="H30" i="29"/>
  <c r="O30" i="29" s="1"/>
  <c r="H30" i="28"/>
  <c r="O30" i="28" s="1"/>
  <c r="H29" i="27"/>
  <c r="O29" i="27" s="1"/>
  <c r="BG32" i="19"/>
  <c r="G32" i="10"/>
  <c r="AN35" i="35"/>
  <c r="BB35" i="35" s="1"/>
  <c r="H36" i="34"/>
  <c r="O36" i="34" s="1"/>
  <c r="H36" i="33"/>
  <c r="O36" i="33" s="1"/>
  <c r="H36" i="32"/>
  <c r="O36" i="32" s="1"/>
  <c r="H36" i="31"/>
  <c r="O36" i="31" s="1"/>
  <c r="H36" i="28"/>
  <c r="O36" i="28" s="1"/>
  <c r="H35" i="27"/>
  <c r="O35" i="27" s="1"/>
  <c r="H36" i="29"/>
  <c r="O36" i="29" s="1"/>
  <c r="AN37" i="35"/>
  <c r="BB37" i="35" s="1"/>
  <c r="H38" i="34"/>
  <c r="O38" i="34" s="1"/>
  <c r="H38" i="33"/>
  <c r="O38" i="33" s="1"/>
  <c r="H38" i="32"/>
  <c r="O38" i="32" s="1"/>
  <c r="H38" i="31"/>
  <c r="O38" i="31" s="1"/>
  <c r="H38" i="29"/>
  <c r="O38" i="29" s="1"/>
  <c r="H38" i="28"/>
  <c r="O38" i="28" s="1"/>
  <c r="H37" i="27"/>
  <c r="O37" i="27" s="1"/>
  <c r="AN45" i="35"/>
  <c r="BB45" i="35" s="1"/>
  <c r="H46" i="33"/>
  <c r="O46" i="33" s="1"/>
  <c r="H46" i="34"/>
  <c r="O46" i="34" s="1"/>
  <c r="H46" i="32"/>
  <c r="O46" i="32" s="1"/>
  <c r="H46" i="31"/>
  <c r="O46" i="31" s="1"/>
  <c r="H46" i="29"/>
  <c r="O46" i="29" s="1"/>
  <c r="H46" i="28"/>
  <c r="O46" i="28" s="1"/>
  <c r="H45" i="27"/>
  <c r="O45" i="27" s="1"/>
  <c r="AN47" i="35"/>
  <c r="BB47" i="35" s="1"/>
  <c r="H48" i="33"/>
  <c r="O48" i="33" s="1"/>
  <c r="H48" i="34"/>
  <c r="O48" i="34" s="1"/>
  <c r="H48" i="32"/>
  <c r="O48" i="32" s="1"/>
  <c r="H48" i="31"/>
  <c r="O48" i="31" s="1"/>
  <c r="H48" i="28"/>
  <c r="O48" i="28" s="1"/>
  <c r="H47" i="27"/>
  <c r="O47" i="27" s="1"/>
  <c r="H48" i="29"/>
  <c r="O48" i="29" s="1"/>
  <c r="AS49" i="19"/>
  <c r="AN49" i="35"/>
  <c r="BB49" i="35" s="1"/>
  <c r="H50" i="33"/>
  <c r="O50" i="33" s="1"/>
  <c r="H50" i="34"/>
  <c r="O50" i="34" s="1"/>
  <c r="H50" i="32"/>
  <c r="O50" i="32" s="1"/>
  <c r="H50" i="31"/>
  <c r="O50" i="31" s="1"/>
  <c r="H50" i="29"/>
  <c r="O50" i="29" s="1"/>
  <c r="H50" i="28"/>
  <c r="O50" i="28" s="1"/>
  <c r="H49" i="27"/>
  <c r="O49" i="27" s="1"/>
  <c r="AN51" i="35"/>
  <c r="BB51" i="35" s="1"/>
  <c r="H52" i="33"/>
  <c r="O52" i="33" s="1"/>
  <c r="H52" i="34"/>
  <c r="O52" i="34" s="1"/>
  <c r="H52" i="32"/>
  <c r="O52" i="32" s="1"/>
  <c r="H52" i="31"/>
  <c r="O52" i="31" s="1"/>
  <c r="H52" i="28"/>
  <c r="O52" i="28" s="1"/>
  <c r="H51" i="27"/>
  <c r="O51" i="27" s="1"/>
  <c r="H52" i="29"/>
  <c r="O52" i="29" s="1"/>
  <c r="AS59" i="19"/>
  <c r="AN64" i="35"/>
  <c r="BB64" i="35" s="1"/>
  <c r="H65" i="34"/>
  <c r="O65" i="34" s="1"/>
  <c r="H65" i="32"/>
  <c r="O65" i="32" s="1"/>
  <c r="H65" i="33"/>
  <c r="O65" i="33" s="1"/>
  <c r="H65" i="31"/>
  <c r="O65" i="31" s="1"/>
  <c r="H65" i="28"/>
  <c r="O65" i="28" s="1"/>
  <c r="H65" i="29"/>
  <c r="O65" i="29" s="1"/>
  <c r="H64" i="27"/>
  <c r="O64" i="27" s="1"/>
  <c r="AN66" i="35"/>
  <c r="BB66" i="35" s="1"/>
  <c r="H67" i="34"/>
  <c r="O67" i="34" s="1"/>
  <c r="H67" i="32"/>
  <c r="O67" i="32" s="1"/>
  <c r="H67" i="33"/>
  <c r="O67" i="33" s="1"/>
  <c r="H67" i="31"/>
  <c r="O67" i="31" s="1"/>
  <c r="H67" i="29"/>
  <c r="O67" i="29" s="1"/>
  <c r="H67" i="28"/>
  <c r="O67" i="28" s="1"/>
  <c r="H28" i="27"/>
  <c r="O28" i="27" s="1"/>
  <c r="AN75" i="35"/>
  <c r="BB75" i="35" s="1"/>
  <c r="H76" i="34"/>
  <c r="O76" i="34" s="1"/>
  <c r="H76" i="33"/>
  <c r="O76" i="33" s="1"/>
  <c r="H76" i="32"/>
  <c r="O76" i="32" s="1"/>
  <c r="H76" i="31"/>
  <c r="O76" i="31" s="1"/>
  <c r="H76" i="28"/>
  <c r="O76" i="28" s="1"/>
  <c r="H75" i="27"/>
  <c r="O75" i="27" s="1"/>
  <c r="H76" i="29"/>
  <c r="O76" i="29" s="1"/>
  <c r="AN80" i="35"/>
  <c r="BB80" i="35" s="1"/>
  <c r="H81" i="34"/>
  <c r="O81" i="34" s="1"/>
  <c r="H81" i="33"/>
  <c r="O81" i="33" s="1"/>
  <c r="H81" i="32"/>
  <c r="O81" i="32" s="1"/>
  <c r="H81" i="31"/>
  <c r="O81" i="31" s="1"/>
  <c r="H81" i="28"/>
  <c r="O81" i="28" s="1"/>
  <c r="H80" i="27"/>
  <c r="O80" i="27" s="1"/>
  <c r="H81" i="29"/>
  <c r="O81" i="29" s="1"/>
  <c r="AN83" i="35"/>
  <c r="BB83" i="35" s="1"/>
  <c r="H84" i="33"/>
  <c r="O84" i="33" s="1"/>
  <c r="H84" i="34"/>
  <c r="O84" i="34" s="1"/>
  <c r="H84" i="32"/>
  <c r="O84" i="32" s="1"/>
  <c r="H84" i="31"/>
  <c r="O84" i="31" s="1"/>
  <c r="H84" i="28"/>
  <c r="O84" i="28" s="1"/>
  <c r="H83" i="27"/>
  <c r="O83" i="27" s="1"/>
  <c r="H84" i="29"/>
  <c r="O84" i="29" s="1"/>
  <c r="AN23" i="35"/>
  <c r="BB23" i="35" s="1"/>
  <c r="H24" i="34"/>
  <c r="O24" i="34" s="1"/>
  <c r="H24" i="33"/>
  <c r="O24" i="33" s="1"/>
  <c r="H24" i="32"/>
  <c r="O24" i="32" s="1"/>
  <c r="H24" i="31"/>
  <c r="O24" i="31" s="1"/>
  <c r="H24" i="28"/>
  <c r="O24" i="28" s="1"/>
  <c r="H23" i="27"/>
  <c r="O23" i="27" s="1"/>
  <c r="H24" i="29"/>
  <c r="O24" i="29" s="1"/>
  <c r="BG73" i="19"/>
  <c r="G73" i="10"/>
  <c r="AN39" i="35"/>
  <c r="BB39" i="35" s="1"/>
  <c r="H40" i="33"/>
  <c r="O40" i="33" s="1"/>
  <c r="H40" i="34"/>
  <c r="O40" i="34" s="1"/>
  <c r="H40" i="32"/>
  <c r="O40" i="32" s="1"/>
  <c r="H40" i="31"/>
  <c r="O40" i="31" s="1"/>
  <c r="H40" i="28"/>
  <c r="O40" i="28" s="1"/>
  <c r="H39" i="27"/>
  <c r="O39" i="27" s="1"/>
  <c r="H40" i="29"/>
  <c r="O40" i="29" s="1"/>
  <c r="BG27" i="19"/>
  <c r="G27" i="10"/>
  <c r="BG12" i="19"/>
  <c r="G12" i="10"/>
  <c r="BG74" i="19"/>
  <c r="G74" i="10"/>
  <c r="BG43" i="19"/>
  <c r="G43" i="10"/>
  <c r="BG70" i="19"/>
  <c r="G70" i="10"/>
  <c r="BG22" i="19"/>
  <c r="G22" i="10"/>
  <c r="AM74" i="35"/>
  <c r="BA74" i="35" s="1"/>
  <c r="G75" i="34"/>
  <c r="N75" i="34" s="1"/>
  <c r="G75" i="33"/>
  <c r="N75" i="33" s="1"/>
  <c r="G75" i="32"/>
  <c r="N75" i="32" s="1"/>
  <c r="G75" i="31"/>
  <c r="N75" i="31" s="1"/>
  <c r="G75" i="29"/>
  <c r="N75" i="29" s="1"/>
  <c r="G75" i="28"/>
  <c r="N75" i="28" s="1"/>
  <c r="G74" i="27"/>
  <c r="N74" i="27" s="1"/>
  <c r="AM85" i="35"/>
  <c r="BA85" i="35" s="1"/>
  <c r="G86" i="34"/>
  <c r="N86" i="34" s="1"/>
  <c r="G86" i="33"/>
  <c r="N86" i="33" s="1"/>
  <c r="G86" i="32"/>
  <c r="N86" i="32" s="1"/>
  <c r="G86" i="31"/>
  <c r="N86" i="31" s="1"/>
  <c r="G86" i="28"/>
  <c r="N86" i="28" s="1"/>
  <c r="G85" i="27"/>
  <c r="N85" i="27" s="1"/>
  <c r="G86" i="29"/>
  <c r="N86" i="29" s="1"/>
  <c r="AM21" i="35"/>
  <c r="BA21" i="35" s="1"/>
  <c r="G22" i="34"/>
  <c r="N22" i="34" s="1"/>
  <c r="G22" i="33"/>
  <c r="N22" i="33" s="1"/>
  <c r="G22" i="32"/>
  <c r="N22" i="32" s="1"/>
  <c r="G22" i="31"/>
  <c r="N22" i="31" s="1"/>
  <c r="G22" i="29"/>
  <c r="N22" i="29" s="1"/>
  <c r="G22" i="28"/>
  <c r="N22" i="28" s="1"/>
  <c r="G21" i="27"/>
  <c r="N21" i="27" s="1"/>
  <c r="BF46" i="19"/>
  <c r="F46" i="10"/>
  <c r="AM47" i="35"/>
  <c r="BA47" i="35" s="1"/>
  <c r="G48" i="34"/>
  <c r="N48" i="34" s="1"/>
  <c r="G48" i="33"/>
  <c r="N48" i="33" s="1"/>
  <c r="G48" i="32"/>
  <c r="N48" i="32" s="1"/>
  <c r="G48" i="31"/>
  <c r="N48" i="31" s="1"/>
  <c r="G48" i="28"/>
  <c r="N48" i="28" s="1"/>
  <c r="G48" i="29"/>
  <c r="N48" i="29" s="1"/>
  <c r="G47" i="27"/>
  <c r="N47" i="27" s="1"/>
  <c r="AM62" i="35"/>
  <c r="BA62" i="35" s="1"/>
  <c r="G63" i="34"/>
  <c r="N63" i="34" s="1"/>
  <c r="G63" i="33"/>
  <c r="N63" i="33" s="1"/>
  <c r="G63" i="32"/>
  <c r="N63" i="32" s="1"/>
  <c r="G63" i="31"/>
  <c r="N63" i="31" s="1"/>
  <c r="G63" i="29"/>
  <c r="N63" i="29" s="1"/>
  <c r="G62" i="27"/>
  <c r="N62" i="27" s="1"/>
  <c r="G63" i="28"/>
  <c r="N63" i="28" s="1"/>
  <c r="AM81" i="35"/>
  <c r="BA81" i="35" s="1"/>
  <c r="G82" i="33"/>
  <c r="N82" i="33" s="1"/>
  <c r="G82" i="32"/>
  <c r="N82" i="32" s="1"/>
  <c r="G82" i="34"/>
  <c r="N82" i="34" s="1"/>
  <c r="G82" i="31"/>
  <c r="N82" i="31" s="1"/>
  <c r="G82" i="28"/>
  <c r="N82" i="28" s="1"/>
  <c r="G81" i="27"/>
  <c r="N81" i="27" s="1"/>
  <c r="G82" i="29"/>
  <c r="N82" i="29" s="1"/>
  <c r="AM17" i="35"/>
  <c r="BA17" i="35" s="1"/>
  <c r="G18" i="33"/>
  <c r="N18" i="33" s="1"/>
  <c r="G18" i="34"/>
  <c r="N18" i="34" s="1"/>
  <c r="G18" i="32"/>
  <c r="N18" i="32" s="1"/>
  <c r="G18" i="31"/>
  <c r="N18" i="31" s="1"/>
  <c r="G18" i="28"/>
  <c r="N18" i="28" s="1"/>
  <c r="G18" i="29"/>
  <c r="N18" i="29" s="1"/>
  <c r="G17" i="27"/>
  <c r="N17" i="27" s="1"/>
  <c r="AM50" i="35"/>
  <c r="BA50" i="35" s="1"/>
  <c r="G51" i="34"/>
  <c r="N51" i="34" s="1"/>
  <c r="G51" i="33"/>
  <c r="N51" i="33" s="1"/>
  <c r="G51" i="32"/>
  <c r="N51" i="32" s="1"/>
  <c r="G51" i="31"/>
  <c r="N51" i="31" s="1"/>
  <c r="G51" i="29"/>
  <c r="N51" i="29" s="1"/>
  <c r="G51" i="28"/>
  <c r="N51" i="28" s="1"/>
  <c r="G50" i="27"/>
  <c r="N50" i="27" s="1"/>
  <c r="AM77" i="35"/>
  <c r="BA77" i="35" s="1"/>
  <c r="G78" i="34"/>
  <c r="N78" i="34" s="1"/>
  <c r="G78" i="33"/>
  <c r="N78" i="33" s="1"/>
  <c r="G78" i="32"/>
  <c r="N78" i="32" s="1"/>
  <c r="G78" i="31"/>
  <c r="N78" i="31" s="1"/>
  <c r="G78" i="28"/>
  <c r="N78" i="28" s="1"/>
  <c r="G77" i="27"/>
  <c r="N77" i="27" s="1"/>
  <c r="G78" i="29"/>
  <c r="N78" i="29" s="1"/>
  <c r="AM13" i="35"/>
  <c r="BA13" i="35" s="1"/>
  <c r="G14" i="34"/>
  <c r="N14" i="34" s="1"/>
  <c r="G14" i="33"/>
  <c r="N14" i="33" s="1"/>
  <c r="G14" i="32"/>
  <c r="N14" i="32" s="1"/>
  <c r="G14" i="31"/>
  <c r="N14" i="31" s="1"/>
  <c r="G14" i="28"/>
  <c r="N14" i="28" s="1"/>
  <c r="G13" i="27"/>
  <c r="N13" i="27" s="1"/>
  <c r="G14" i="29"/>
  <c r="N14" i="29" s="1"/>
  <c r="AM73" i="35"/>
  <c r="BA73" i="35" s="1"/>
  <c r="G74" i="33"/>
  <c r="N74" i="33" s="1"/>
  <c r="G74" i="32"/>
  <c r="N74" i="32" s="1"/>
  <c r="G74" i="34"/>
  <c r="N74" i="34" s="1"/>
  <c r="G74" i="31"/>
  <c r="N74" i="31" s="1"/>
  <c r="G74" i="28"/>
  <c r="N74" i="28" s="1"/>
  <c r="G73" i="27"/>
  <c r="N73" i="27" s="1"/>
  <c r="G74" i="29"/>
  <c r="N74" i="29" s="1"/>
  <c r="AM41" i="35"/>
  <c r="BA41" i="35" s="1"/>
  <c r="G42" i="34"/>
  <c r="N42" i="34" s="1"/>
  <c r="G42" i="33"/>
  <c r="N42" i="33" s="1"/>
  <c r="G42" i="32"/>
  <c r="N42" i="32" s="1"/>
  <c r="G42" i="31"/>
  <c r="N42" i="31" s="1"/>
  <c r="G42" i="28"/>
  <c r="N42" i="28" s="1"/>
  <c r="G42" i="29"/>
  <c r="N42" i="29" s="1"/>
  <c r="G41" i="27"/>
  <c r="N41" i="27" s="1"/>
  <c r="AM72" i="35"/>
  <c r="BA72" i="35" s="1"/>
  <c r="G73" i="32"/>
  <c r="N73" i="32" s="1"/>
  <c r="G73" i="33"/>
  <c r="N73" i="33" s="1"/>
  <c r="G73" i="34"/>
  <c r="N73" i="34" s="1"/>
  <c r="G73" i="31"/>
  <c r="N73" i="31" s="1"/>
  <c r="G73" i="29"/>
  <c r="N73" i="29" s="1"/>
  <c r="G73" i="28"/>
  <c r="N73" i="28" s="1"/>
  <c r="G72" i="27"/>
  <c r="N72" i="27" s="1"/>
  <c r="AM54" i="35"/>
  <c r="BA54" i="35" s="1"/>
  <c r="G55" i="34"/>
  <c r="N55" i="34" s="1"/>
  <c r="G55" i="33"/>
  <c r="N55" i="33" s="1"/>
  <c r="G55" i="32"/>
  <c r="N55" i="32" s="1"/>
  <c r="G55" i="31"/>
  <c r="N55" i="31" s="1"/>
  <c r="G55" i="29"/>
  <c r="N55" i="29" s="1"/>
  <c r="G54" i="27"/>
  <c r="N54" i="27" s="1"/>
  <c r="G55" i="28"/>
  <c r="N55" i="28" s="1"/>
  <c r="AM68" i="35"/>
  <c r="BA68" i="35" s="1"/>
  <c r="G69" i="33"/>
  <c r="N69" i="33" s="1"/>
  <c r="G69" i="32"/>
  <c r="N69" i="32" s="1"/>
  <c r="G69" i="34"/>
  <c r="N69" i="34" s="1"/>
  <c r="G69" i="31"/>
  <c r="N69" i="31" s="1"/>
  <c r="G69" i="29"/>
  <c r="N69" i="29" s="1"/>
  <c r="G69" i="28"/>
  <c r="N69" i="28" s="1"/>
  <c r="G24" i="27"/>
  <c r="N24" i="27" s="1"/>
  <c r="AM36" i="35"/>
  <c r="BA36" i="35" s="1"/>
  <c r="G37" i="34"/>
  <c r="N37" i="34" s="1"/>
  <c r="G37" i="33"/>
  <c r="N37" i="33" s="1"/>
  <c r="G37" i="32"/>
  <c r="N37" i="32" s="1"/>
  <c r="G37" i="31"/>
  <c r="N37" i="31" s="1"/>
  <c r="G37" i="29"/>
  <c r="N37" i="29" s="1"/>
  <c r="G37" i="28"/>
  <c r="N37" i="28" s="1"/>
  <c r="G36" i="27"/>
  <c r="N36" i="27" s="1"/>
  <c r="AM12" i="35"/>
  <c r="BA12" i="35" s="1"/>
  <c r="G13" i="34"/>
  <c r="N13" i="34" s="1"/>
  <c r="G13" i="33"/>
  <c r="N13" i="33" s="1"/>
  <c r="G13" i="32"/>
  <c r="N13" i="32" s="1"/>
  <c r="G13" i="31"/>
  <c r="N13" i="31" s="1"/>
  <c r="G13" i="29"/>
  <c r="N13" i="29" s="1"/>
  <c r="G13" i="28"/>
  <c r="N13" i="28" s="1"/>
  <c r="G12" i="27"/>
  <c r="N12" i="27" s="1"/>
  <c r="AM64" i="35"/>
  <c r="BA64" i="35" s="1"/>
  <c r="G65" i="34"/>
  <c r="N65" i="34" s="1"/>
  <c r="G65" i="33"/>
  <c r="N65" i="33" s="1"/>
  <c r="G65" i="32"/>
  <c r="N65" i="32" s="1"/>
  <c r="G65" i="31"/>
  <c r="N65" i="31" s="1"/>
  <c r="G65" i="29"/>
  <c r="N65" i="29" s="1"/>
  <c r="G64" i="27"/>
  <c r="N64" i="27" s="1"/>
  <c r="G65" i="28"/>
  <c r="N65" i="28" s="1"/>
  <c r="AM23" i="35"/>
  <c r="BA23" i="35" s="1"/>
  <c r="G24" i="33"/>
  <c r="N24" i="33" s="1"/>
  <c r="G24" i="34"/>
  <c r="N24" i="34" s="1"/>
  <c r="G24" i="32"/>
  <c r="N24" i="32" s="1"/>
  <c r="G24" i="31"/>
  <c r="N24" i="31" s="1"/>
  <c r="G24" i="28"/>
  <c r="N24" i="28" s="1"/>
  <c r="G24" i="29"/>
  <c r="N24" i="29" s="1"/>
  <c r="G23" i="27"/>
  <c r="N23" i="27" s="1"/>
  <c r="AM22" i="35"/>
  <c r="BA22" i="35" s="1"/>
  <c r="G23" i="33"/>
  <c r="N23" i="33" s="1"/>
  <c r="G23" i="34"/>
  <c r="N23" i="34" s="1"/>
  <c r="G23" i="32"/>
  <c r="N23" i="32" s="1"/>
  <c r="G23" i="31"/>
  <c r="N23" i="31" s="1"/>
  <c r="G22" i="27"/>
  <c r="N22" i="27" s="1"/>
  <c r="G23" i="29"/>
  <c r="N23" i="29" s="1"/>
  <c r="G23" i="28"/>
  <c r="N23" i="28" s="1"/>
  <c r="AM44" i="35"/>
  <c r="BA44" i="35" s="1"/>
  <c r="G45" i="34"/>
  <c r="N45" i="34" s="1"/>
  <c r="G45" i="33"/>
  <c r="N45" i="33" s="1"/>
  <c r="G45" i="32"/>
  <c r="N45" i="32" s="1"/>
  <c r="G45" i="31"/>
  <c r="N45" i="31" s="1"/>
  <c r="G45" i="29"/>
  <c r="N45" i="29" s="1"/>
  <c r="G45" i="28"/>
  <c r="N45" i="28" s="1"/>
  <c r="G44" i="27"/>
  <c r="N44" i="27" s="1"/>
  <c r="AM14" i="35"/>
  <c r="BA14" i="35" s="1"/>
  <c r="G15" i="34"/>
  <c r="N15" i="34" s="1"/>
  <c r="G15" i="33"/>
  <c r="N15" i="33" s="1"/>
  <c r="G15" i="32"/>
  <c r="N15" i="32" s="1"/>
  <c r="G15" i="31"/>
  <c r="N15" i="31" s="1"/>
  <c r="G15" i="29"/>
  <c r="N15" i="29" s="1"/>
  <c r="G15" i="28"/>
  <c r="N15" i="28" s="1"/>
  <c r="G67" i="27"/>
  <c r="N67" i="27" s="1"/>
  <c r="AM46" i="35"/>
  <c r="BA46" i="35" s="1"/>
  <c r="G47" i="34"/>
  <c r="N47" i="34" s="1"/>
  <c r="G47" i="33"/>
  <c r="N47" i="33" s="1"/>
  <c r="G47" i="32"/>
  <c r="N47" i="32" s="1"/>
  <c r="G47" i="31"/>
  <c r="N47" i="31" s="1"/>
  <c r="G47" i="29"/>
  <c r="N47" i="29" s="1"/>
  <c r="G46" i="27"/>
  <c r="N46" i="27" s="1"/>
  <c r="G47" i="28"/>
  <c r="N47" i="28" s="1"/>
  <c r="AR51" i="19"/>
  <c r="AM51" i="35"/>
  <c r="BA51" i="35" s="1"/>
  <c r="G52" i="34"/>
  <c r="N52" i="34" s="1"/>
  <c r="G52" i="33"/>
  <c r="N52" i="33" s="1"/>
  <c r="G52" i="32"/>
  <c r="N52" i="32" s="1"/>
  <c r="G52" i="31"/>
  <c r="N52" i="31" s="1"/>
  <c r="G52" i="28"/>
  <c r="N52" i="28" s="1"/>
  <c r="G52" i="29"/>
  <c r="N52" i="29" s="1"/>
  <c r="G51" i="27"/>
  <c r="N51" i="27" s="1"/>
  <c r="AM35" i="35"/>
  <c r="BA35" i="35" s="1"/>
  <c r="G36" i="34"/>
  <c r="N36" i="34" s="1"/>
  <c r="G36" i="33"/>
  <c r="N36" i="33" s="1"/>
  <c r="G36" i="32"/>
  <c r="N36" i="32" s="1"/>
  <c r="G36" i="31"/>
  <c r="N36" i="31" s="1"/>
  <c r="G36" i="28"/>
  <c r="N36" i="28" s="1"/>
  <c r="G36" i="29"/>
  <c r="N36" i="29" s="1"/>
  <c r="G35" i="27"/>
  <c r="N35" i="27" s="1"/>
  <c r="AM58" i="35"/>
  <c r="BA58" i="35" s="1"/>
  <c r="G59" i="33"/>
  <c r="N59" i="33" s="1"/>
  <c r="G59" i="34"/>
  <c r="N59" i="34" s="1"/>
  <c r="G59" i="32"/>
  <c r="N59" i="32" s="1"/>
  <c r="G59" i="31"/>
  <c r="N59" i="31" s="1"/>
  <c r="G59" i="29"/>
  <c r="N59" i="29" s="1"/>
  <c r="G59" i="28"/>
  <c r="N59" i="28" s="1"/>
  <c r="G58" i="27"/>
  <c r="N58" i="27" s="1"/>
  <c r="AM69" i="35"/>
  <c r="BA69" i="35" s="1"/>
  <c r="G70" i="34"/>
  <c r="N70" i="34" s="1"/>
  <c r="G70" i="33"/>
  <c r="N70" i="33" s="1"/>
  <c r="G70" i="32"/>
  <c r="N70" i="32" s="1"/>
  <c r="G70" i="31"/>
  <c r="N70" i="31" s="1"/>
  <c r="G70" i="28"/>
  <c r="N70" i="28" s="1"/>
  <c r="G69" i="27"/>
  <c r="N69" i="27" s="1"/>
  <c r="G70" i="29"/>
  <c r="N70" i="29" s="1"/>
  <c r="AM40" i="35"/>
  <c r="BA40" i="35" s="1"/>
  <c r="G41" i="34"/>
  <c r="N41" i="34" s="1"/>
  <c r="G41" i="33"/>
  <c r="N41" i="33" s="1"/>
  <c r="G41" i="32"/>
  <c r="N41" i="32" s="1"/>
  <c r="G41" i="31"/>
  <c r="N41" i="31" s="1"/>
  <c r="G41" i="29"/>
  <c r="N41" i="29" s="1"/>
  <c r="G40" i="27"/>
  <c r="N40" i="27" s="1"/>
  <c r="G41" i="28"/>
  <c r="N41" i="28" s="1"/>
  <c r="AM79" i="35"/>
  <c r="BA79" i="35" s="1"/>
  <c r="G80" i="32"/>
  <c r="N80" i="32" s="1"/>
  <c r="G80" i="33"/>
  <c r="N80" i="33" s="1"/>
  <c r="G80" i="34"/>
  <c r="N80" i="34" s="1"/>
  <c r="G80" i="31"/>
  <c r="N80" i="31" s="1"/>
  <c r="G80" i="28"/>
  <c r="N80" i="28" s="1"/>
  <c r="G79" i="27"/>
  <c r="N79" i="27" s="1"/>
  <c r="G80" i="29"/>
  <c r="N80" i="29" s="1"/>
  <c r="AM65" i="35"/>
  <c r="BA65" i="35" s="1"/>
  <c r="G66" i="34"/>
  <c r="N66" i="34" s="1"/>
  <c r="G66" i="33"/>
  <c r="N66" i="33" s="1"/>
  <c r="G66" i="32"/>
  <c r="N66" i="32" s="1"/>
  <c r="G66" i="31"/>
  <c r="N66" i="31" s="1"/>
  <c r="G66" i="28"/>
  <c r="N66" i="28" s="1"/>
  <c r="G66" i="29"/>
  <c r="N66" i="29" s="1"/>
  <c r="G65" i="27"/>
  <c r="N65" i="27" s="1"/>
  <c r="BF87" i="19"/>
  <c r="F87" i="10"/>
  <c r="AM34" i="35"/>
  <c r="BA34" i="35" s="1"/>
  <c r="G35" i="34"/>
  <c r="N35" i="34" s="1"/>
  <c r="G35" i="33"/>
  <c r="N35" i="33" s="1"/>
  <c r="G35" i="32"/>
  <c r="N35" i="32" s="1"/>
  <c r="G35" i="31"/>
  <c r="N35" i="31" s="1"/>
  <c r="G35" i="29"/>
  <c r="N35" i="29" s="1"/>
  <c r="G35" i="28"/>
  <c r="N35" i="28" s="1"/>
  <c r="G34" i="27"/>
  <c r="N34" i="27" s="1"/>
  <c r="AM61" i="35"/>
  <c r="BA61" i="35" s="1"/>
  <c r="G62" i="34"/>
  <c r="N62" i="34" s="1"/>
  <c r="G62" i="33"/>
  <c r="N62" i="33" s="1"/>
  <c r="G62" i="32"/>
  <c r="N62" i="32" s="1"/>
  <c r="G62" i="31"/>
  <c r="N62" i="31" s="1"/>
  <c r="G62" i="28"/>
  <c r="N62" i="28" s="1"/>
  <c r="G62" i="29"/>
  <c r="N62" i="29" s="1"/>
  <c r="G61" i="27"/>
  <c r="N61" i="27" s="1"/>
  <c r="AM76" i="35"/>
  <c r="BA76" i="35" s="1"/>
  <c r="BD76" i="35" s="1"/>
  <c r="AU76" i="35" s="1"/>
  <c r="G77" i="34"/>
  <c r="N77" i="34" s="1"/>
  <c r="G77" i="33"/>
  <c r="N77" i="33" s="1"/>
  <c r="G77" i="32"/>
  <c r="N77" i="32" s="1"/>
  <c r="G77" i="31"/>
  <c r="N77" i="31" s="1"/>
  <c r="G77" i="29"/>
  <c r="N77" i="29" s="1"/>
  <c r="G77" i="28"/>
  <c r="N77" i="28" s="1"/>
  <c r="G76" i="27"/>
  <c r="N76" i="27" s="1"/>
  <c r="BF59" i="19"/>
  <c r="F59" i="10"/>
  <c r="BF71" i="19"/>
  <c r="F71" i="10"/>
  <c r="AM15" i="35"/>
  <c r="BA15" i="35" s="1"/>
  <c r="G16" i="34"/>
  <c r="N16" i="34" s="1"/>
  <c r="G16" i="33"/>
  <c r="N16" i="33" s="1"/>
  <c r="G16" i="32"/>
  <c r="N16" i="32" s="1"/>
  <c r="G16" i="31"/>
  <c r="N16" i="31" s="1"/>
  <c r="G16" i="28"/>
  <c r="N16" i="28" s="1"/>
  <c r="G16" i="29"/>
  <c r="N16" i="29" s="1"/>
  <c r="G60" i="27"/>
  <c r="N60" i="27" s="1"/>
  <c r="AR39" i="19"/>
  <c r="AM39" i="35"/>
  <c r="BA39" i="35" s="1"/>
  <c r="G40" i="33"/>
  <c r="N40" i="33" s="1"/>
  <c r="G40" i="34"/>
  <c r="N40" i="34" s="1"/>
  <c r="G40" i="32"/>
  <c r="N40" i="32" s="1"/>
  <c r="G40" i="31"/>
  <c r="N40" i="31" s="1"/>
  <c r="G40" i="28"/>
  <c r="N40" i="28" s="1"/>
  <c r="G40" i="29"/>
  <c r="N40" i="29" s="1"/>
  <c r="G39" i="27"/>
  <c r="N39" i="27" s="1"/>
  <c r="AR48" i="19"/>
  <c r="AM48" i="35"/>
  <c r="BA48" i="35" s="1"/>
  <c r="G49" i="34"/>
  <c r="N49" i="34" s="1"/>
  <c r="G49" i="33"/>
  <c r="N49" i="33" s="1"/>
  <c r="G49" i="32"/>
  <c r="N49" i="32" s="1"/>
  <c r="G49" i="31"/>
  <c r="N49" i="31" s="1"/>
  <c r="G49" i="29"/>
  <c r="N49" i="29" s="1"/>
  <c r="G48" i="27"/>
  <c r="N48" i="27" s="1"/>
  <c r="G49" i="28"/>
  <c r="N49" i="28" s="1"/>
  <c r="BD12" i="35"/>
  <c r="BE12" i="35" s="1"/>
  <c r="AM42" i="35"/>
  <c r="BA42" i="35" s="1"/>
  <c r="G43" i="34"/>
  <c r="N43" i="34" s="1"/>
  <c r="G43" i="33"/>
  <c r="N43" i="33" s="1"/>
  <c r="G43" i="32"/>
  <c r="N43" i="32" s="1"/>
  <c r="G43" i="31"/>
  <c r="N43" i="31" s="1"/>
  <c r="G43" i="29"/>
  <c r="N43" i="29" s="1"/>
  <c r="G43" i="28"/>
  <c r="N43" i="28" s="1"/>
  <c r="G66" i="27"/>
  <c r="N66" i="27" s="1"/>
  <c r="AM53" i="35"/>
  <c r="BA53" i="35" s="1"/>
  <c r="G54" i="34"/>
  <c r="N54" i="34" s="1"/>
  <c r="G54" i="33"/>
  <c r="N54" i="33" s="1"/>
  <c r="G54" i="32"/>
  <c r="N54" i="32" s="1"/>
  <c r="G54" i="31"/>
  <c r="N54" i="31" s="1"/>
  <c r="G54" i="28"/>
  <c r="N54" i="28" s="1"/>
  <c r="G54" i="29"/>
  <c r="N54" i="29" s="1"/>
  <c r="G53" i="27"/>
  <c r="N53" i="27" s="1"/>
  <c r="BF35" i="19"/>
  <c r="F35" i="10"/>
  <c r="AM28" i="35"/>
  <c r="BA28" i="35" s="1"/>
  <c r="G29" i="34"/>
  <c r="N29" i="34" s="1"/>
  <c r="G29" i="33"/>
  <c r="N29" i="33" s="1"/>
  <c r="G29" i="32"/>
  <c r="N29" i="32" s="1"/>
  <c r="G29" i="31"/>
  <c r="N29" i="31" s="1"/>
  <c r="G29" i="29"/>
  <c r="N29" i="29" s="1"/>
  <c r="G29" i="28"/>
  <c r="N29" i="28" s="1"/>
  <c r="G68" i="27"/>
  <c r="N68" i="27" s="1"/>
  <c r="BF31" i="19"/>
  <c r="F31" i="10"/>
  <c r="AM49" i="35"/>
  <c r="BA49" i="35" s="1"/>
  <c r="G50" i="34"/>
  <c r="N50" i="34" s="1"/>
  <c r="G50" i="33"/>
  <c r="N50" i="33" s="1"/>
  <c r="G50" i="32"/>
  <c r="N50" i="32" s="1"/>
  <c r="G50" i="31"/>
  <c r="N50" i="31" s="1"/>
  <c r="G50" i="28"/>
  <c r="N50" i="28" s="1"/>
  <c r="G50" i="29"/>
  <c r="N50" i="29" s="1"/>
  <c r="G49" i="27"/>
  <c r="N49" i="27" s="1"/>
  <c r="AM82" i="35"/>
  <c r="BA82" i="35" s="1"/>
  <c r="G83" i="33"/>
  <c r="N83" i="33" s="1"/>
  <c r="G83" i="34"/>
  <c r="N83" i="34" s="1"/>
  <c r="G83" i="32"/>
  <c r="N83" i="32" s="1"/>
  <c r="G83" i="31"/>
  <c r="N83" i="31" s="1"/>
  <c r="G83" i="29"/>
  <c r="N83" i="29" s="1"/>
  <c r="G83" i="28"/>
  <c r="N83" i="28" s="1"/>
  <c r="G82" i="27"/>
  <c r="N82" i="27" s="1"/>
  <c r="AM18" i="35"/>
  <c r="BA18" i="35" s="1"/>
  <c r="G19" i="33"/>
  <c r="N19" i="33" s="1"/>
  <c r="G19" i="34"/>
  <c r="N19" i="34" s="1"/>
  <c r="G19" i="32"/>
  <c r="N19" i="32" s="1"/>
  <c r="G19" i="31"/>
  <c r="N19" i="31" s="1"/>
  <c r="G19" i="29"/>
  <c r="N19" i="29" s="1"/>
  <c r="G19" i="28"/>
  <c r="N19" i="28" s="1"/>
  <c r="G18" i="27"/>
  <c r="N18" i="27" s="1"/>
  <c r="AM45" i="35"/>
  <c r="BA45" i="35" s="1"/>
  <c r="G46" i="34"/>
  <c r="N46" i="34" s="1"/>
  <c r="G46" i="33"/>
  <c r="N46" i="33" s="1"/>
  <c r="G46" i="32"/>
  <c r="N46" i="32" s="1"/>
  <c r="G46" i="31"/>
  <c r="N46" i="31" s="1"/>
  <c r="G46" i="28"/>
  <c r="N46" i="28" s="1"/>
  <c r="G46" i="29"/>
  <c r="N46" i="29" s="1"/>
  <c r="G45" i="27"/>
  <c r="N45" i="27" s="1"/>
  <c r="AM43" i="35"/>
  <c r="BA43" i="35" s="1"/>
  <c r="G44" i="34"/>
  <c r="N44" i="34" s="1"/>
  <c r="G44" i="33"/>
  <c r="N44" i="33" s="1"/>
  <c r="G44" i="32"/>
  <c r="N44" i="32" s="1"/>
  <c r="G44" i="31"/>
  <c r="N44" i="31" s="1"/>
  <c r="G44" i="28"/>
  <c r="N44" i="28" s="1"/>
  <c r="G44" i="29"/>
  <c r="N44" i="29" s="1"/>
  <c r="G43" i="27"/>
  <c r="N43" i="27" s="1"/>
  <c r="AM27" i="35"/>
  <c r="BA27" i="35" s="1"/>
  <c r="G28" i="34"/>
  <c r="N28" i="34" s="1"/>
  <c r="G28" i="33"/>
  <c r="N28" i="33" s="1"/>
  <c r="G28" i="32"/>
  <c r="N28" i="32" s="1"/>
  <c r="G28" i="31"/>
  <c r="N28" i="31" s="1"/>
  <c r="G28" i="28"/>
  <c r="N28" i="28" s="1"/>
  <c r="G28" i="29"/>
  <c r="N28" i="29" s="1"/>
  <c r="G27" i="27"/>
  <c r="N27" i="27" s="1"/>
  <c r="AM57" i="35"/>
  <c r="BA57" i="35" s="1"/>
  <c r="G58" i="34"/>
  <c r="N58" i="34" s="1"/>
  <c r="G58" i="33"/>
  <c r="N58" i="33" s="1"/>
  <c r="G58" i="32"/>
  <c r="N58" i="32" s="1"/>
  <c r="G58" i="31"/>
  <c r="N58" i="31" s="1"/>
  <c r="G58" i="28"/>
  <c r="N58" i="28" s="1"/>
  <c r="G58" i="29"/>
  <c r="N58" i="29" s="1"/>
  <c r="G57" i="27"/>
  <c r="N57" i="27" s="1"/>
  <c r="AM25" i="35"/>
  <c r="BA25" i="35" s="1"/>
  <c r="G26" i="33"/>
  <c r="N26" i="33" s="1"/>
  <c r="G26" i="34"/>
  <c r="N26" i="34" s="1"/>
  <c r="G26" i="32"/>
  <c r="N26" i="32" s="1"/>
  <c r="G26" i="31"/>
  <c r="N26" i="31" s="1"/>
  <c r="G26" i="28"/>
  <c r="N26" i="28" s="1"/>
  <c r="G26" i="29"/>
  <c r="N26" i="29" s="1"/>
  <c r="G25" i="27"/>
  <c r="N25" i="27" s="1"/>
  <c r="AM24" i="35"/>
  <c r="BA24" i="35" s="1"/>
  <c r="G25" i="34"/>
  <c r="N25" i="34" s="1"/>
  <c r="G25" i="33"/>
  <c r="N25" i="33" s="1"/>
  <c r="G25" i="32"/>
  <c r="N25" i="32" s="1"/>
  <c r="G25" i="31"/>
  <c r="N25" i="31" s="1"/>
  <c r="G25" i="29"/>
  <c r="N25" i="29" s="1"/>
  <c r="G2" i="27"/>
  <c r="N2" i="27" s="1"/>
  <c r="G25" i="28"/>
  <c r="N25" i="28" s="1"/>
  <c r="AM84" i="35"/>
  <c r="BA84" i="35" s="1"/>
  <c r="G85" i="33"/>
  <c r="N85" i="33" s="1"/>
  <c r="G85" i="34"/>
  <c r="N85" i="34" s="1"/>
  <c r="G85" i="32"/>
  <c r="N85" i="32" s="1"/>
  <c r="G85" i="31"/>
  <c r="N85" i="31" s="1"/>
  <c r="G85" i="29"/>
  <c r="N85" i="29" s="1"/>
  <c r="G85" i="28"/>
  <c r="N85" i="28" s="1"/>
  <c r="G84" i="27"/>
  <c r="N84" i="27" s="1"/>
  <c r="AM52" i="35"/>
  <c r="BA52" i="35" s="1"/>
  <c r="G53" i="34"/>
  <c r="N53" i="34" s="1"/>
  <c r="G53" i="33"/>
  <c r="N53" i="33" s="1"/>
  <c r="G53" i="32"/>
  <c r="N53" i="32" s="1"/>
  <c r="G53" i="31"/>
  <c r="N53" i="31" s="1"/>
  <c r="G53" i="29"/>
  <c r="N53" i="29" s="1"/>
  <c r="G53" i="28"/>
  <c r="N53" i="28" s="1"/>
  <c r="G52" i="27"/>
  <c r="N52" i="27" s="1"/>
  <c r="AM20" i="35"/>
  <c r="BA20" i="35" s="1"/>
  <c r="G21" i="34"/>
  <c r="N21" i="34" s="1"/>
  <c r="G21" i="33"/>
  <c r="N21" i="33" s="1"/>
  <c r="G21" i="32"/>
  <c r="N21" i="32" s="1"/>
  <c r="G21" i="31"/>
  <c r="N21" i="31" s="1"/>
  <c r="G21" i="29"/>
  <c r="N21" i="29" s="1"/>
  <c r="G21" i="28"/>
  <c r="N21" i="28" s="1"/>
  <c r="G20" i="27"/>
  <c r="N20" i="27" s="1"/>
  <c r="AM80" i="35"/>
  <c r="BA80" i="35" s="1"/>
  <c r="G81" i="32"/>
  <c r="N81" i="32" s="1"/>
  <c r="G81" i="34"/>
  <c r="N81" i="34" s="1"/>
  <c r="G81" i="33"/>
  <c r="N81" i="33" s="1"/>
  <c r="G81" i="31"/>
  <c r="N81" i="31" s="1"/>
  <c r="G81" i="29"/>
  <c r="N81" i="29" s="1"/>
  <c r="G80" i="27"/>
  <c r="N80" i="27" s="1"/>
  <c r="G81" i="28"/>
  <c r="N81" i="28" s="1"/>
  <c r="AM32" i="35"/>
  <c r="BA32" i="35" s="1"/>
  <c r="G33" i="33"/>
  <c r="N33" i="33" s="1"/>
  <c r="G33" i="34"/>
  <c r="N33" i="34" s="1"/>
  <c r="G33" i="32"/>
  <c r="N33" i="32" s="1"/>
  <c r="G33" i="31"/>
  <c r="N33" i="31" s="1"/>
  <c r="G33" i="29"/>
  <c r="N33" i="29" s="1"/>
  <c r="G32" i="27"/>
  <c r="N32" i="27" s="1"/>
  <c r="G33" i="28"/>
  <c r="N33" i="28" s="1"/>
  <c r="AM86" i="35"/>
  <c r="BA86" i="35" s="1"/>
  <c r="G87" i="34"/>
  <c r="N87" i="34" s="1"/>
  <c r="G87" i="33"/>
  <c r="N87" i="33" s="1"/>
  <c r="G87" i="32"/>
  <c r="N87" i="32" s="1"/>
  <c r="G87" i="31"/>
  <c r="N87" i="31" s="1"/>
  <c r="G87" i="29"/>
  <c r="N87" i="29" s="1"/>
  <c r="G87" i="28"/>
  <c r="N87" i="28" s="1"/>
  <c r="G86" i="27"/>
  <c r="N86" i="27" s="1"/>
  <c r="AM60" i="35"/>
  <c r="BA60" i="35" s="1"/>
  <c r="G61" i="33"/>
  <c r="N61" i="33" s="1"/>
  <c r="G61" i="34"/>
  <c r="N61" i="34" s="1"/>
  <c r="G61" i="32"/>
  <c r="N61" i="32" s="1"/>
  <c r="G61" i="31"/>
  <c r="N61" i="31" s="1"/>
  <c r="G61" i="29"/>
  <c r="N61" i="29" s="1"/>
  <c r="G61" i="28"/>
  <c r="N61" i="28" s="1"/>
  <c r="G14" i="27"/>
  <c r="N14" i="27" s="1"/>
  <c r="AR30" i="19"/>
  <c r="AM30" i="35"/>
  <c r="BA30" i="35" s="1"/>
  <c r="G31" i="34"/>
  <c r="N31" i="34" s="1"/>
  <c r="G31" i="33"/>
  <c r="N31" i="33" s="1"/>
  <c r="G31" i="32"/>
  <c r="N31" i="32" s="1"/>
  <c r="G31" i="31"/>
  <c r="N31" i="31" s="1"/>
  <c r="G31" i="29"/>
  <c r="N31" i="29" s="1"/>
  <c r="G30" i="27"/>
  <c r="N30" i="27" s="1"/>
  <c r="G31" i="28"/>
  <c r="N31" i="28" s="1"/>
  <c r="AM75" i="35"/>
  <c r="BA75" i="35" s="1"/>
  <c r="G76" i="32"/>
  <c r="N76" i="32" s="1"/>
  <c r="G76" i="34"/>
  <c r="N76" i="34" s="1"/>
  <c r="G76" i="33"/>
  <c r="N76" i="33" s="1"/>
  <c r="G76" i="31"/>
  <c r="N76" i="31" s="1"/>
  <c r="G76" i="28"/>
  <c r="N76" i="28" s="1"/>
  <c r="G75" i="27"/>
  <c r="N75" i="27" s="1"/>
  <c r="G76" i="29"/>
  <c r="N76" i="29" s="1"/>
  <c r="AR67" i="19"/>
  <c r="AM67" i="35"/>
  <c r="BA67" i="35" s="1"/>
  <c r="G68" i="32"/>
  <c r="N68" i="32" s="1"/>
  <c r="G68" i="34"/>
  <c r="N68" i="34" s="1"/>
  <c r="G68" i="33"/>
  <c r="N68" i="33" s="1"/>
  <c r="G68" i="31"/>
  <c r="N68" i="31" s="1"/>
  <c r="G68" i="28"/>
  <c r="N68" i="28" s="1"/>
  <c r="G42" i="27"/>
  <c r="N42" i="27" s="1"/>
  <c r="G68" i="29"/>
  <c r="N68" i="29" s="1"/>
  <c r="AM26" i="35"/>
  <c r="BA26" i="35" s="1"/>
  <c r="G27" i="33"/>
  <c r="N27" i="33" s="1"/>
  <c r="G27" i="34"/>
  <c r="N27" i="34" s="1"/>
  <c r="G27" i="32"/>
  <c r="N27" i="32" s="1"/>
  <c r="G27" i="31"/>
  <c r="N27" i="31" s="1"/>
  <c r="G27" i="29"/>
  <c r="N27" i="29" s="1"/>
  <c r="G27" i="28"/>
  <c r="N27" i="28" s="1"/>
  <c r="G26" i="27"/>
  <c r="N26" i="27" s="1"/>
  <c r="AM37" i="35"/>
  <c r="BA37" i="35" s="1"/>
  <c r="G38" i="34"/>
  <c r="N38" i="34" s="1"/>
  <c r="G38" i="33"/>
  <c r="N38" i="33" s="1"/>
  <c r="G38" i="32"/>
  <c r="N38" i="32" s="1"/>
  <c r="G38" i="31"/>
  <c r="N38" i="31" s="1"/>
  <c r="G38" i="28"/>
  <c r="N38" i="28" s="1"/>
  <c r="G38" i="29"/>
  <c r="N38" i="29" s="1"/>
  <c r="G37" i="27"/>
  <c r="N37" i="27" s="1"/>
  <c r="AM19" i="35"/>
  <c r="BA19" i="35" s="1"/>
  <c r="G20" i="34"/>
  <c r="N20" i="34" s="1"/>
  <c r="G20" i="33"/>
  <c r="N20" i="33" s="1"/>
  <c r="G20" i="32"/>
  <c r="N20" i="32" s="1"/>
  <c r="G20" i="31"/>
  <c r="N20" i="31" s="1"/>
  <c r="G20" i="29"/>
  <c r="N20" i="29" s="1"/>
  <c r="G20" i="28"/>
  <c r="N20" i="28" s="1"/>
  <c r="G19" i="27"/>
  <c r="N19" i="27" s="1"/>
  <c r="AM63" i="35"/>
  <c r="BA63" i="35" s="1"/>
  <c r="G64" i="33"/>
  <c r="N64" i="33" s="1"/>
  <c r="G64" i="34"/>
  <c r="N64" i="34" s="1"/>
  <c r="G64" i="32"/>
  <c r="N64" i="32" s="1"/>
  <c r="G64" i="31"/>
  <c r="N64" i="31" s="1"/>
  <c r="G64" i="28"/>
  <c r="N64" i="28" s="1"/>
  <c r="G64" i="29"/>
  <c r="N64" i="29" s="1"/>
  <c r="G63" i="27"/>
  <c r="N63" i="27" s="1"/>
  <c r="AM78" i="35"/>
  <c r="BA78" i="35" s="1"/>
  <c r="G79" i="34"/>
  <c r="N79" i="34" s="1"/>
  <c r="G79" i="33"/>
  <c r="N79" i="33" s="1"/>
  <c r="G79" i="32"/>
  <c r="N79" i="32" s="1"/>
  <c r="G79" i="31"/>
  <c r="N79" i="31" s="1"/>
  <c r="G79" i="29"/>
  <c r="N79" i="29" s="1"/>
  <c r="G79" i="28"/>
  <c r="N79" i="28" s="1"/>
  <c r="G78" i="27"/>
  <c r="N78" i="27" s="1"/>
  <c r="BF56" i="19"/>
  <c r="F56" i="10"/>
  <c r="AM33" i="35"/>
  <c r="BA33" i="35" s="1"/>
  <c r="G34" i="33"/>
  <c r="N34" i="33" s="1"/>
  <c r="G34" i="34"/>
  <c r="N34" i="34" s="1"/>
  <c r="G34" i="32"/>
  <c r="N34" i="32" s="1"/>
  <c r="G34" i="31"/>
  <c r="N34" i="31" s="1"/>
  <c r="G34" i="28"/>
  <c r="N34" i="28" s="1"/>
  <c r="G34" i="29"/>
  <c r="N34" i="29" s="1"/>
  <c r="G33" i="27"/>
  <c r="N33" i="27" s="1"/>
  <c r="AM66" i="35"/>
  <c r="BA66" i="35" s="1"/>
  <c r="G67" i="34"/>
  <c r="N67" i="34" s="1"/>
  <c r="G67" i="33"/>
  <c r="N67" i="33" s="1"/>
  <c r="G67" i="32"/>
  <c r="N67" i="32" s="1"/>
  <c r="G67" i="31"/>
  <c r="N67" i="31" s="1"/>
  <c r="G67" i="29"/>
  <c r="N67" i="29" s="1"/>
  <c r="G67" i="28"/>
  <c r="N67" i="28" s="1"/>
  <c r="G28" i="27"/>
  <c r="N28" i="27" s="1"/>
  <c r="AM16" i="35"/>
  <c r="BA16" i="35" s="1"/>
  <c r="G17" i="34"/>
  <c r="N17" i="34" s="1"/>
  <c r="G17" i="33"/>
  <c r="N17" i="33" s="1"/>
  <c r="G17" i="32"/>
  <c r="N17" i="32" s="1"/>
  <c r="G17" i="31"/>
  <c r="N17" i="31" s="1"/>
  <c r="G17" i="29"/>
  <c r="N17" i="29" s="1"/>
  <c r="G17" i="28"/>
  <c r="N17" i="28" s="1"/>
  <c r="G16" i="27"/>
  <c r="N16" i="27" s="1"/>
  <c r="AM29" i="35"/>
  <c r="BA29" i="35" s="1"/>
  <c r="G30" i="34"/>
  <c r="N30" i="34" s="1"/>
  <c r="G30" i="33"/>
  <c r="N30" i="33" s="1"/>
  <c r="G30" i="32"/>
  <c r="N30" i="32" s="1"/>
  <c r="G30" i="31"/>
  <c r="N30" i="31" s="1"/>
  <c r="G30" i="28"/>
  <c r="N30" i="28" s="1"/>
  <c r="G30" i="29"/>
  <c r="N30" i="29" s="1"/>
  <c r="G29" i="27"/>
  <c r="N29" i="27" s="1"/>
  <c r="AR38" i="19"/>
  <c r="AM38" i="35"/>
  <c r="BA38" i="35" s="1"/>
  <c r="G39" i="33"/>
  <c r="N39" i="33" s="1"/>
  <c r="G39" i="34"/>
  <c r="N39" i="34" s="1"/>
  <c r="G39" i="32"/>
  <c r="N39" i="32" s="1"/>
  <c r="G39" i="31"/>
  <c r="N39" i="31" s="1"/>
  <c r="G39" i="29"/>
  <c r="N39" i="29" s="1"/>
  <c r="G38" i="27"/>
  <c r="N38" i="27" s="1"/>
  <c r="G39" i="28"/>
  <c r="N39" i="28" s="1"/>
  <c r="AM83" i="35"/>
  <c r="BA83" i="35" s="1"/>
  <c r="G84" i="32"/>
  <c r="N84" i="32" s="1"/>
  <c r="G84" i="34"/>
  <c r="N84" i="34" s="1"/>
  <c r="G84" i="33"/>
  <c r="N84" i="33" s="1"/>
  <c r="G84" i="31"/>
  <c r="N84" i="31" s="1"/>
  <c r="G84" i="28"/>
  <c r="N84" i="28" s="1"/>
  <c r="G83" i="27"/>
  <c r="N83" i="27" s="1"/>
  <c r="G84" i="29"/>
  <c r="N84" i="29" s="1"/>
  <c r="AM55" i="35"/>
  <c r="BA55" i="35" s="1"/>
  <c r="G56" i="34"/>
  <c r="N56" i="34" s="1"/>
  <c r="G56" i="33"/>
  <c r="N56" i="33" s="1"/>
  <c r="G56" i="32"/>
  <c r="N56" i="32" s="1"/>
  <c r="G56" i="31"/>
  <c r="N56" i="31" s="1"/>
  <c r="G56" i="28"/>
  <c r="N56" i="28" s="1"/>
  <c r="G56" i="29"/>
  <c r="N56" i="29" s="1"/>
  <c r="G55" i="27"/>
  <c r="N55" i="27" s="1"/>
  <c r="F86" i="32"/>
  <c r="M86" i="32" s="1"/>
  <c r="F41" i="34"/>
  <c r="M41" i="34" s="1"/>
  <c r="AL40" i="35"/>
  <c r="AZ40" i="35" s="1"/>
  <c r="F63" i="28"/>
  <c r="M63" i="28" s="1"/>
  <c r="AL86" i="35"/>
  <c r="AZ86" i="35" s="1"/>
  <c r="F7" i="28"/>
  <c r="M7" i="28" s="1"/>
  <c r="AL13" i="35"/>
  <c r="AZ13" i="35" s="1"/>
  <c r="F56" i="27"/>
  <c r="M56" i="27" s="1"/>
  <c r="AL74" i="35"/>
  <c r="AZ74" i="35" s="1"/>
  <c r="R89" i="32"/>
  <c r="T89" i="32" s="1"/>
  <c r="F86" i="34"/>
  <c r="M86" i="34" s="1"/>
  <c r="F11" i="28"/>
  <c r="M11" i="28" s="1"/>
  <c r="AL20" i="35"/>
  <c r="AZ20" i="35" s="1"/>
  <c r="F39" i="28"/>
  <c r="M39" i="28" s="1"/>
  <c r="AL41" i="35"/>
  <c r="AZ41" i="35" s="1"/>
  <c r="F20" i="29"/>
  <c r="S20" i="29" s="1"/>
  <c r="V20" i="29" s="1"/>
  <c r="AL47" i="35"/>
  <c r="AZ47" i="35" s="1"/>
  <c r="F22" i="28"/>
  <c r="M22" i="28" s="1"/>
  <c r="AL57" i="35"/>
  <c r="AZ57" i="35" s="1"/>
  <c r="F24" i="31"/>
  <c r="M24" i="31" s="1"/>
  <c r="AL66" i="35"/>
  <c r="AZ66" i="35" s="1"/>
  <c r="F53" i="29"/>
  <c r="M53" i="29" s="1"/>
  <c r="F23" i="27"/>
  <c r="M23" i="27" s="1"/>
  <c r="AL23" i="35"/>
  <c r="AZ23" i="35" s="1"/>
  <c r="E88" i="10"/>
  <c r="F8" i="27"/>
  <c r="M8" i="27" s="1"/>
  <c r="AL15" i="35"/>
  <c r="AZ15" i="35" s="1"/>
  <c r="F28" i="28"/>
  <c r="R28" i="28" s="1"/>
  <c r="T28" i="28" s="1"/>
  <c r="AL18" i="35"/>
  <c r="AZ18" i="35" s="1"/>
  <c r="F8" i="29"/>
  <c r="M8" i="29" s="1"/>
  <c r="AL14" i="35"/>
  <c r="AZ14" i="35" s="1"/>
  <c r="F12" i="27"/>
  <c r="M12" i="27" s="1"/>
  <c r="AL28" i="35"/>
  <c r="AZ28" i="35" s="1"/>
  <c r="F50" i="34"/>
  <c r="S50" i="34" s="1"/>
  <c r="V50" i="34" s="1"/>
  <c r="AL64" i="35"/>
  <c r="AZ64" i="35" s="1"/>
  <c r="F53" i="27"/>
  <c r="M53" i="27" s="1"/>
  <c r="AL69" i="35"/>
  <c r="AZ69" i="35" s="1"/>
  <c r="F86" i="33"/>
  <c r="M86" i="33" s="1"/>
  <c r="AL85" i="35"/>
  <c r="AZ85" i="35" s="1"/>
  <c r="AK29" i="35"/>
  <c r="AY29" i="35" s="1"/>
  <c r="E30" i="34"/>
  <c r="L30" i="34" s="1"/>
  <c r="E30" i="33"/>
  <c r="L30" i="33" s="1"/>
  <c r="E30" i="32"/>
  <c r="L30" i="32" s="1"/>
  <c r="E30" i="31"/>
  <c r="L30" i="31" s="1"/>
  <c r="E30" i="28"/>
  <c r="L30" i="28" s="1"/>
  <c r="E30" i="29"/>
  <c r="L30" i="29" s="1"/>
  <c r="E29" i="27"/>
  <c r="L29" i="27" s="1"/>
  <c r="AK57" i="35"/>
  <c r="AY57" i="35" s="1"/>
  <c r="E58" i="34"/>
  <c r="L58" i="34" s="1"/>
  <c r="E58" i="33"/>
  <c r="L58" i="33" s="1"/>
  <c r="E58" i="32"/>
  <c r="L58" i="32" s="1"/>
  <c r="E58" i="31"/>
  <c r="L58" i="31" s="1"/>
  <c r="E58" i="28"/>
  <c r="L58" i="28" s="1"/>
  <c r="E58" i="29"/>
  <c r="L58" i="29" s="1"/>
  <c r="E57" i="27"/>
  <c r="L57" i="27" s="1"/>
  <c r="AK14" i="35"/>
  <c r="AY14" i="35" s="1"/>
  <c r="E15" i="33"/>
  <c r="L15" i="33" s="1"/>
  <c r="E15" i="34"/>
  <c r="L15" i="34" s="1"/>
  <c r="E15" i="32"/>
  <c r="L15" i="32" s="1"/>
  <c r="E15" i="31"/>
  <c r="L15" i="31" s="1"/>
  <c r="E15" i="29"/>
  <c r="L15" i="29" s="1"/>
  <c r="E67" i="27"/>
  <c r="L67" i="27" s="1"/>
  <c r="E15" i="28"/>
  <c r="L15" i="28" s="1"/>
  <c r="BD16" i="19"/>
  <c r="D16" i="10"/>
  <c r="BD20" i="19"/>
  <c r="D20" i="10"/>
  <c r="AK30" i="35"/>
  <c r="AY30" i="35" s="1"/>
  <c r="E31" i="34"/>
  <c r="L31" i="34" s="1"/>
  <c r="E31" i="33"/>
  <c r="L31" i="33" s="1"/>
  <c r="E31" i="32"/>
  <c r="L31" i="32" s="1"/>
  <c r="E31" i="31"/>
  <c r="L31" i="31" s="1"/>
  <c r="E31" i="28"/>
  <c r="L31" i="28" s="1"/>
  <c r="E31" i="29"/>
  <c r="L31" i="29" s="1"/>
  <c r="E30" i="27"/>
  <c r="L30" i="27" s="1"/>
  <c r="AK32" i="35"/>
  <c r="AY32" i="35" s="1"/>
  <c r="E33" i="33"/>
  <c r="L33" i="33" s="1"/>
  <c r="E33" i="34"/>
  <c r="L33" i="34" s="1"/>
  <c r="E33" i="32"/>
  <c r="L33" i="32" s="1"/>
  <c r="E33" i="31"/>
  <c r="L33" i="31" s="1"/>
  <c r="E33" i="29"/>
  <c r="L33" i="29" s="1"/>
  <c r="E32" i="27"/>
  <c r="L32" i="27" s="1"/>
  <c r="E33" i="28"/>
  <c r="L33" i="28" s="1"/>
  <c r="BD36" i="19"/>
  <c r="D36" i="10"/>
  <c r="BD44" i="19"/>
  <c r="D44" i="10"/>
  <c r="BD48" i="19"/>
  <c r="D48" i="10"/>
  <c r="AK54" i="35"/>
  <c r="AY54" i="35" s="1"/>
  <c r="E55" i="34"/>
  <c r="L55" i="34" s="1"/>
  <c r="E55" i="33"/>
  <c r="L55" i="33" s="1"/>
  <c r="E55" i="32"/>
  <c r="L55" i="32" s="1"/>
  <c r="E55" i="31"/>
  <c r="L55" i="31" s="1"/>
  <c r="E55" i="28"/>
  <c r="L55" i="28" s="1"/>
  <c r="E55" i="29"/>
  <c r="L55" i="29" s="1"/>
  <c r="E54" i="27"/>
  <c r="L54" i="27" s="1"/>
  <c r="AK61" i="35"/>
  <c r="AY61" i="35" s="1"/>
  <c r="E62" i="33"/>
  <c r="L62" i="33" s="1"/>
  <c r="E62" i="34"/>
  <c r="L62" i="34" s="1"/>
  <c r="E62" i="32"/>
  <c r="L62" i="32" s="1"/>
  <c r="E62" i="31"/>
  <c r="L62" i="31" s="1"/>
  <c r="E62" i="28"/>
  <c r="L62" i="28" s="1"/>
  <c r="E62" i="29"/>
  <c r="L62" i="29" s="1"/>
  <c r="E61" i="27"/>
  <c r="L61" i="27" s="1"/>
  <c r="AK63" i="35"/>
  <c r="AY63" i="35" s="1"/>
  <c r="E64" i="34"/>
  <c r="L64" i="34" s="1"/>
  <c r="E64" i="33"/>
  <c r="L64" i="33" s="1"/>
  <c r="E64" i="32"/>
  <c r="L64" i="32" s="1"/>
  <c r="E64" i="31"/>
  <c r="L64" i="31" s="1"/>
  <c r="E64" i="28"/>
  <c r="L64" i="28" s="1"/>
  <c r="E64" i="29"/>
  <c r="L64" i="29" s="1"/>
  <c r="E63" i="27"/>
  <c r="L63" i="27" s="1"/>
  <c r="AK66" i="35"/>
  <c r="AY66" i="35" s="1"/>
  <c r="E67" i="33"/>
  <c r="L67" i="33" s="1"/>
  <c r="E67" i="34"/>
  <c r="L67" i="34" s="1"/>
  <c r="E67" i="32"/>
  <c r="L67" i="32" s="1"/>
  <c r="E67" i="31"/>
  <c r="L67" i="31" s="1"/>
  <c r="E67" i="28"/>
  <c r="L67" i="28" s="1"/>
  <c r="E67" i="29"/>
  <c r="L67" i="29" s="1"/>
  <c r="E28" i="27"/>
  <c r="L28" i="27" s="1"/>
  <c r="AK71" i="35"/>
  <c r="AY71" i="35" s="1"/>
  <c r="E72" i="34"/>
  <c r="L72" i="34" s="1"/>
  <c r="E72" i="33"/>
  <c r="L72" i="33" s="1"/>
  <c r="E72" i="32"/>
  <c r="L72" i="32" s="1"/>
  <c r="E72" i="31"/>
  <c r="L72" i="31" s="1"/>
  <c r="E72" i="28"/>
  <c r="L72" i="28" s="1"/>
  <c r="E72" i="29"/>
  <c r="L72" i="29" s="1"/>
  <c r="E71" i="27"/>
  <c r="L71" i="27" s="1"/>
  <c r="AK73" i="35"/>
  <c r="AY73" i="35" s="1"/>
  <c r="E74" i="34"/>
  <c r="L74" i="34" s="1"/>
  <c r="E74" i="33"/>
  <c r="L74" i="33" s="1"/>
  <c r="E74" i="32"/>
  <c r="L74" i="32" s="1"/>
  <c r="E74" i="31"/>
  <c r="L74" i="31" s="1"/>
  <c r="E74" i="28"/>
  <c r="L74" i="28" s="1"/>
  <c r="E74" i="29"/>
  <c r="L74" i="29" s="1"/>
  <c r="E73" i="27"/>
  <c r="L73" i="27" s="1"/>
  <c r="BD77" i="19"/>
  <c r="D77" i="10"/>
  <c r="AK83" i="35"/>
  <c r="AY83" i="35" s="1"/>
  <c r="E84" i="33"/>
  <c r="L84" i="33" s="1"/>
  <c r="E84" i="34"/>
  <c r="L84" i="34" s="1"/>
  <c r="E84" i="32"/>
  <c r="L84" i="32" s="1"/>
  <c r="E84" i="31"/>
  <c r="L84" i="31" s="1"/>
  <c r="E84" i="28"/>
  <c r="L84" i="28" s="1"/>
  <c r="E84" i="29"/>
  <c r="L84" i="29" s="1"/>
  <c r="E83" i="27"/>
  <c r="L83" i="27" s="1"/>
  <c r="BD84" i="35"/>
  <c r="BE84" i="35" s="1"/>
  <c r="BD70" i="35"/>
  <c r="BE70" i="35" s="1"/>
  <c r="BD52" i="19"/>
  <c r="D52" i="10"/>
  <c r="BD82" i="19"/>
  <c r="D82" i="10"/>
  <c r="BD78" i="19"/>
  <c r="D78" i="10"/>
  <c r="AK23" i="35"/>
  <c r="AY23" i="35" s="1"/>
  <c r="E24" i="33"/>
  <c r="L24" i="33" s="1"/>
  <c r="E24" i="34"/>
  <c r="L24" i="34" s="1"/>
  <c r="E24" i="32"/>
  <c r="L24" i="32" s="1"/>
  <c r="E24" i="31"/>
  <c r="L24" i="31" s="1"/>
  <c r="E24" i="28"/>
  <c r="L24" i="28" s="1"/>
  <c r="E24" i="29"/>
  <c r="L24" i="29" s="1"/>
  <c r="E23" i="27"/>
  <c r="L23" i="27" s="1"/>
  <c r="BD33" i="19"/>
  <c r="D33" i="10"/>
  <c r="BD37" i="19"/>
  <c r="D37" i="10"/>
  <c r="AK39" i="35"/>
  <c r="AY39" i="35" s="1"/>
  <c r="E40" i="33"/>
  <c r="L40" i="33" s="1"/>
  <c r="E40" i="34"/>
  <c r="L40" i="34" s="1"/>
  <c r="E40" i="32"/>
  <c r="L40" i="32" s="1"/>
  <c r="E40" i="31"/>
  <c r="L40" i="31" s="1"/>
  <c r="E40" i="28"/>
  <c r="L40" i="28" s="1"/>
  <c r="E40" i="29"/>
  <c r="L40" i="29" s="1"/>
  <c r="E39" i="27"/>
  <c r="L39" i="27" s="1"/>
  <c r="BD42" i="19"/>
  <c r="D42" i="10"/>
  <c r="AK55" i="35"/>
  <c r="AY55" i="35" s="1"/>
  <c r="E56" i="34"/>
  <c r="L56" i="34" s="1"/>
  <c r="E56" i="33"/>
  <c r="L56" i="33" s="1"/>
  <c r="E56" i="32"/>
  <c r="L56" i="32" s="1"/>
  <c r="E56" i="31"/>
  <c r="L56" i="31" s="1"/>
  <c r="E56" i="28"/>
  <c r="L56" i="28" s="1"/>
  <c r="E56" i="29"/>
  <c r="L56" i="29" s="1"/>
  <c r="E55" i="27"/>
  <c r="L55" i="27" s="1"/>
  <c r="BD58" i="19"/>
  <c r="D58" i="10"/>
  <c r="AK69" i="35"/>
  <c r="AY69" i="35" s="1"/>
  <c r="E70" i="33"/>
  <c r="L70" i="33" s="1"/>
  <c r="E70" i="34"/>
  <c r="L70" i="34" s="1"/>
  <c r="E70" i="32"/>
  <c r="L70" i="32" s="1"/>
  <c r="E70" i="31"/>
  <c r="L70" i="31" s="1"/>
  <c r="E70" i="28"/>
  <c r="L70" i="28" s="1"/>
  <c r="E70" i="29"/>
  <c r="L70" i="29" s="1"/>
  <c r="E69" i="27"/>
  <c r="L69" i="27" s="1"/>
  <c r="AK72" i="35"/>
  <c r="AY72" i="35" s="1"/>
  <c r="E73" i="33"/>
  <c r="L73" i="33" s="1"/>
  <c r="E73" i="34"/>
  <c r="L73" i="34" s="1"/>
  <c r="E73" i="32"/>
  <c r="L73" i="32" s="1"/>
  <c r="E73" i="31"/>
  <c r="L73" i="31" s="1"/>
  <c r="E73" i="29"/>
  <c r="L73" i="29" s="1"/>
  <c r="E72" i="27"/>
  <c r="L72" i="27" s="1"/>
  <c r="E73" i="28"/>
  <c r="L73" i="28" s="1"/>
  <c r="AK74" i="35"/>
  <c r="AY74" i="35" s="1"/>
  <c r="E75" i="33"/>
  <c r="L75" i="33" s="1"/>
  <c r="E75" i="34"/>
  <c r="L75" i="34" s="1"/>
  <c r="E75" i="32"/>
  <c r="L75" i="32" s="1"/>
  <c r="E75" i="31"/>
  <c r="L75" i="31" s="1"/>
  <c r="E75" i="28"/>
  <c r="L75" i="28" s="1"/>
  <c r="E75" i="29"/>
  <c r="L75" i="29" s="1"/>
  <c r="E74" i="27"/>
  <c r="L74" i="27" s="1"/>
  <c r="BD87" i="19"/>
  <c r="D87" i="10"/>
  <c r="BD84" i="19"/>
  <c r="D84" i="10"/>
  <c r="AK9" i="35"/>
  <c r="AY9" i="35" s="1"/>
  <c r="E10" i="33"/>
  <c r="L10" i="33" s="1"/>
  <c r="E10" i="34"/>
  <c r="L10" i="34" s="1"/>
  <c r="E10" i="32"/>
  <c r="L10" i="32" s="1"/>
  <c r="E10" i="31"/>
  <c r="L10" i="31" s="1"/>
  <c r="E10" i="29"/>
  <c r="L10" i="29" s="1"/>
  <c r="E10" i="28"/>
  <c r="L10" i="28" s="1"/>
  <c r="E9" i="27"/>
  <c r="L9" i="27" s="1"/>
  <c r="BD22" i="19"/>
  <c r="D22" i="10"/>
  <c r="AK17" i="35"/>
  <c r="AY17" i="35" s="1"/>
  <c r="E18" i="34"/>
  <c r="L18" i="34" s="1"/>
  <c r="E18" i="33"/>
  <c r="L18" i="33" s="1"/>
  <c r="E18" i="32"/>
  <c r="L18" i="32" s="1"/>
  <c r="E18" i="31"/>
  <c r="L18" i="31" s="1"/>
  <c r="E18" i="29"/>
  <c r="L18" i="29" s="1"/>
  <c r="E18" i="28"/>
  <c r="L18" i="28" s="1"/>
  <c r="E17" i="27"/>
  <c r="L17" i="27" s="1"/>
  <c r="AK26" i="35"/>
  <c r="AY26" i="35" s="1"/>
  <c r="E27" i="34"/>
  <c r="L27" i="34" s="1"/>
  <c r="E27" i="33"/>
  <c r="L27" i="33" s="1"/>
  <c r="E27" i="32"/>
  <c r="L27" i="32" s="1"/>
  <c r="E27" i="31"/>
  <c r="L27" i="31" s="1"/>
  <c r="E27" i="28"/>
  <c r="L27" i="28" s="1"/>
  <c r="E27" i="29"/>
  <c r="L27" i="29" s="1"/>
  <c r="E26" i="27"/>
  <c r="L26" i="27" s="1"/>
  <c r="BD49" i="19"/>
  <c r="D49" i="10"/>
  <c r="AK13" i="35"/>
  <c r="AY13" i="35" s="1"/>
  <c r="E14" i="33"/>
  <c r="L14" i="33" s="1"/>
  <c r="E14" i="34"/>
  <c r="L14" i="34" s="1"/>
  <c r="E14" i="32"/>
  <c r="L14" i="32" s="1"/>
  <c r="E14" i="31"/>
  <c r="L14" i="31" s="1"/>
  <c r="E14" i="29"/>
  <c r="L14" i="29" s="1"/>
  <c r="E14" i="28"/>
  <c r="L14" i="28" s="1"/>
  <c r="E13" i="27"/>
  <c r="L13" i="27" s="1"/>
  <c r="AK15" i="35"/>
  <c r="AY15" i="35" s="1"/>
  <c r="E16" i="33"/>
  <c r="L16" i="33" s="1"/>
  <c r="E16" i="34"/>
  <c r="L16" i="34" s="1"/>
  <c r="E16" i="32"/>
  <c r="L16" i="32" s="1"/>
  <c r="E16" i="31"/>
  <c r="L16" i="31" s="1"/>
  <c r="E16" i="28"/>
  <c r="L16" i="28" s="1"/>
  <c r="E60" i="27"/>
  <c r="L60" i="27" s="1"/>
  <c r="E16" i="29"/>
  <c r="L16" i="29" s="1"/>
  <c r="AK18" i="35"/>
  <c r="AY18" i="35" s="1"/>
  <c r="E19" i="34"/>
  <c r="L19" i="34" s="1"/>
  <c r="E19" i="33"/>
  <c r="L19" i="33" s="1"/>
  <c r="E19" i="32"/>
  <c r="L19" i="32" s="1"/>
  <c r="E19" i="31"/>
  <c r="L19" i="31" s="1"/>
  <c r="E19" i="28"/>
  <c r="L19" i="28" s="1"/>
  <c r="E18" i="27"/>
  <c r="L18" i="27" s="1"/>
  <c r="E19" i="29"/>
  <c r="L19" i="29" s="1"/>
  <c r="AK28" i="35"/>
  <c r="AY28" i="35" s="1"/>
  <c r="E29" i="33"/>
  <c r="L29" i="33" s="1"/>
  <c r="E29" i="34"/>
  <c r="L29" i="34" s="1"/>
  <c r="E29" i="32"/>
  <c r="L29" i="32" s="1"/>
  <c r="E29" i="31"/>
  <c r="L29" i="31" s="1"/>
  <c r="E29" i="29"/>
  <c r="L29" i="29" s="1"/>
  <c r="E29" i="28"/>
  <c r="L29" i="28" s="1"/>
  <c r="E68" i="27"/>
  <c r="L68" i="27" s="1"/>
  <c r="BD31" i="19"/>
  <c r="D31" i="10"/>
  <c r="BD34" i="19"/>
  <c r="D34" i="10"/>
  <c r="AK38" i="35"/>
  <c r="AY38" i="35" s="1"/>
  <c r="E39" i="34"/>
  <c r="L39" i="34" s="1"/>
  <c r="E39" i="33"/>
  <c r="L39" i="33" s="1"/>
  <c r="E39" i="32"/>
  <c r="L39" i="32" s="1"/>
  <c r="E39" i="31"/>
  <c r="L39" i="31" s="1"/>
  <c r="E39" i="28"/>
  <c r="L39" i="28" s="1"/>
  <c r="E39" i="29"/>
  <c r="L39" i="29" s="1"/>
  <c r="E38" i="27"/>
  <c r="L38" i="27" s="1"/>
  <c r="BD40" i="19"/>
  <c r="D40" i="10"/>
  <c r="AK45" i="35"/>
  <c r="AY45" i="35" s="1"/>
  <c r="E46" i="33"/>
  <c r="L46" i="33" s="1"/>
  <c r="E46" i="34"/>
  <c r="L46" i="34" s="1"/>
  <c r="E46" i="32"/>
  <c r="L46" i="32" s="1"/>
  <c r="E46" i="31"/>
  <c r="L46" i="31" s="1"/>
  <c r="E46" i="28"/>
  <c r="L46" i="28" s="1"/>
  <c r="E46" i="29"/>
  <c r="L46" i="29" s="1"/>
  <c r="E45" i="27"/>
  <c r="L45" i="27" s="1"/>
  <c r="AK46" i="35"/>
  <c r="AY46" i="35" s="1"/>
  <c r="E47" i="34"/>
  <c r="L47" i="34" s="1"/>
  <c r="E47" i="33"/>
  <c r="L47" i="33" s="1"/>
  <c r="E47" i="32"/>
  <c r="L47" i="32" s="1"/>
  <c r="E47" i="31"/>
  <c r="L47" i="31" s="1"/>
  <c r="E47" i="28"/>
  <c r="L47" i="28" s="1"/>
  <c r="E47" i="29"/>
  <c r="L47" i="29" s="1"/>
  <c r="E46" i="27"/>
  <c r="L46" i="27" s="1"/>
  <c r="BD51" i="19"/>
  <c r="D51" i="10"/>
  <c r="BD59" i="19"/>
  <c r="D59" i="10"/>
  <c r="AK62" i="35"/>
  <c r="AY62" i="35" s="1"/>
  <c r="E63" i="34"/>
  <c r="L63" i="34" s="1"/>
  <c r="E63" i="33"/>
  <c r="L63" i="33" s="1"/>
  <c r="E63" i="32"/>
  <c r="L63" i="32" s="1"/>
  <c r="E63" i="31"/>
  <c r="L63" i="31" s="1"/>
  <c r="E63" i="28"/>
  <c r="L63" i="28" s="1"/>
  <c r="E63" i="29"/>
  <c r="L63" i="29" s="1"/>
  <c r="E62" i="27"/>
  <c r="L62" i="27" s="1"/>
  <c r="BD64" i="19"/>
  <c r="D64" i="10"/>
  <c r="AK67" i="35"/>
  <c r="AY67" i="35" s="1"/>
  <c r="E68" i="33"/>
  <c r="L68" i="33" s="1"/>
  <c r="E68" i="34"/>
  <c r="L68" i="34" s="1"/>
  <c r="E68" i="32"/>
  <c r="L68" i="32" s="1"/>
  <c r="E68" i="31"/>
  <c r="L68" i="31" s="1"/>
  <c r="E68" i="28"/>
  <c r="L68" i="28" s="1"/>
  <c r="E68" i="29"/>
  <c r="L68" i="29" s="1"/>
  <c r="E42" i="27"/>
  <c r="L42" i="27" s="1"/>
  <c r="AK75" i="35"/>
  <c r="AY75" i="35" s="1"/>
  <c r="E76" i="33"/>
  <c r="L76" i="33" s="1"/>
  <c r="E76" i="34"/>
  <c r="L76" i="34" s="1"/>
  <c r="E76" i="32"/>
  <c r="L76" i="32" s="1"/>
  <c r="E76" i="31"/>
  <c r="L76" i="31" s="1"/>
  <c r="E76" i="28"/>
  <c r="L76" i="28" s="1"/>
  <c r="E76" i="29"/>
  <c r="L76" i="29" s="1"/>
  <c r="E75" i="27"/>
  <c r="L75" i="27" s="1"/>
  <c r="AK80" i="35"/>
  <c r="AY80" i="35" s="1"/>
  <c r="E81" i="33"/>
  <c r="L81" i="33" s="1"/>
  <c r="E81" i="34"/>
  <c r="L81" i="34" s="1"/>
  <c r="E81" i="32"/>
  <c r="L81" i="32" s="1"/>
  <c r="E81" i="31"/>
  <c r="L81" i="31" s="1"/>
  <c r="E81" i="29"/>
  <c r="L81" i="29" s="1"/>
  <c r="E80" i="27"/>
  <c r="L80" i="27" s="1"/>
  <c r="E81" i="28"/>
  <c r="L81" i="28" s="1"/>
  <c r="AK85" i="35"/>
  <c r="AY85" i="35" s="1"/>
  <c r="E86" i="33"/>
  <c r="L86" i="33" s="1"/>
  <c r="E86" i="34"/>
  <c r="L86" i="34" s="1"/>
  <c r="E86" i="32"/>
  <c r="L86" i="32" s="1"/>
  <c r="E86" i="31"/>
  <c r="L86" i="31" s="1"/>
  <c r="E86" i="28"/>
  <c r="L86" i="28" s="1"/>
  <c r="E86" i="29"/>
  <c r="L86" i="29" s="1"/>
  <c r="E85" i="27"/>
  <c r="L85" i="27" s="1"/>
  <c r="BD12" i="19"/>
  <c r="D12" i="10"/>
  <c r="BD43" i="19"/>
  <c r="D43" i="10"/>
  <c r="BD76" i="19"/>
  <c r="D76" i="10"/>
  <c r="BD21" i="19"/>
  <c r="D21" i="10"/>
  <c r="BD19" i="19"/>
  <c r="D19" i="10"/>
  <c r="AK24" i="35"/>
  <c r="AY24" i="35" s="1"/>
  <c r="E25" i="33"/>
  <c r="L25" i="33" s="1"/>
  <c r="E25" i="34"/>
  <c r="L25" i="34" s="1"/>
  <c r="E25" i="32"/>
  <c r="L25" i="32" s="1"/>
  <c r="E25" i="31"/>
  <c r="L25" i="31" s="1"/>
  <c r="E25" i="29"/>
  <c r="L25" i="29" s="1"/>
  <c r="E25" i="28"/>
  <c r="L25" i="28" s="1"/>
  <c r="E2" i="27"/>
  <c r="L2" i="27" s="1"/>
  <c r="BD35" i="19"/>
  <c r="D35" i="10"/>
  <c r="AK41" i="35"/>
  <c r="AY41" i="35" s="1"/>
  <c r="E42" i="34"/>
  <c r="L42" i="34" s="1"/>
  <c r="E42" i="33"/>
  <c r="L42" i="33" s="1"/>
  <c r="E42" i="32"/>
  <c r="L42" i="32" s="1"/>
  <c r="E42" i="31"/>
  <c r="L42" i="31" s="1"/>
  <c r="E42" i="28"/>
  <c r="L42" i="28" s="1"/>
  <c r="E42" i="29"/>
  <c r="L42" i="29" s="1"/>
  <c r="E41" i="27"/>
  <c r="L41" i="27" s="1"/>
  <c r="BD47" i="19"/>
  <c r="D47" i="10"/>
  <c r="BD60" i="19"/>
  <c r="D60" i="10"/>
  <c r="AK65" i="35"/>
  <c r="AY65" i="35" s="1"/>
  <c r="E66" i="34"/>
  <c r="L66" i="34" s="1"/>
  <c r="E66" i="33"/>
  <c r="L66" i="33" s="1"/>
  <c r="E66" i="32"/>
  <c r="L66" i="32" s="1"/>
  <c r="E66" i="31"/>
  <c r="L66" i="31" s="1"/>
  <c r="E66" i="28"/>
  <c r="L66" i="28" s="1"/>
  <c r="E66" i="29"/>
  <c r="L66" i="29" s="1"/>
  <c r="E65" i="27"/>
  <c r="L65" i="27" s="1"/>
  <c r="AK68" i="35"/>
  <c r="AY68" i="35" s="1"/>
  <c r="E69" i="34"/>
  <c r="L69" i="34" s="1"/>
  <c r="E69" i="33"/>
  <c r="L69" i="33" s="1"/>
  <c r="E69" i="32"/>
  <c r="L69" i="32" s="1"/>
  <c r="E69" i="31"/>
  <c r="L69" i="31" s="1"/>
  <c r="E69" i="29"/>
  <c r="L69" i="29" s="1"/>
  <c r="E24" i="27"/>
  <c r="L24" i="27" s="1"/>
  <c r="E69" i="28"/>
  <c r="L69" i="28" s="1"/>
  <c r="BD81" i="19"/>
  <c r="D81" i="10"/>
  <c r="AK86" i="35"/>
  <c r="AY86" i="35" s="1"/>
  <c r="E87" i="34"/>
  <c r="L87" i="34" s="1"/>
  <c r="E87" i="33"/>
  <c r="L87" i="33" s="1"/>
  <c r="E87" i="32"/>
  <c r="L87" i="32" s="1"/>
  <c r="E87" i="31"/>
  <c r="L87" i="31" s="1"/>
  <c r="E87" i="28"/>
  <c r="L87" i="28" s="1"/>
  <c r="E87" i="29"/>
  <c r="L87" i="29" s="1"/>
  <c r="E86" i="27"/>
  <c r="L86" i="27" s="1"/>
  <c r="BD70" i="19"/>
  <c r="D70" i="10"/>
  <c r="BD53" i="19"/>
  <c r="D53" i="10"/>
  <c r="BD50" i="19"/>
  <c r="D50" i="10"/>
  <c r="BD27" i="19"/>
  <c r="D27" i="10"/>
  <c r="BD25" i="19"/>
  <c r="D25" i="10"/>
  <c r="BD79" i="19"/>
  <c r="D79" i="10"/>
  <c r="AJ20" i="35"/>
  <c r="AX20" i="35" s="1"/>
  <c r="D21" i="33"/>
  <c r="K21" i="33" s="1"/>
  <c r="D21" i="34"/>
  <c r="K21" i="34" s="1"/>
  <c r="D21" i="32"/>
  <c r="K21" i="32" s="1"/>
  <c r="D21" i="31"/>
  <c r="K21" i="31" s="1"/>
  <c r="D20" i="27"/>
  <c r="K20" i="27" s="1"/>
  <c r="D21" i="28"/>
  <c r="K21" i="28" s="1"/>
  <c r="D21" i="29"/>
  <c r="K21" i="29" s="1"/>
  <c r="AJ29" i="35"/>
  <c r="AX29" i="35" s="1"/>
  <c r="D30" i="32"/>
  <c r="K30" i="32" s="1"/>
  <c r="D30" i="34"/>
  <c r="K30" i="34" s="1"/>
  <c r="D30" i="33"/>
  <c r="K30" i="33" s="1"/>
  <c r="D30" i="31"/>
  <c r="K30" i="31" s="1"/>
  <c r="D29" i="27"/>
  <c r="K29" i="27" s="1"/>
  <c r="D30" i="28"/>
  <c r="K30" i="28" s="1"/>
  <c r="D30" i="29"/>
  <c r="K30" i="29" s="1"/>
  <c r="AJ46" i="35"/>
  <c r="AX46" i="35" s="1"/>
  <c r="D47" i="32"/>
  <c r="K47" i="32" s="1"/>
  <c r="D47" i="34"/>
  <c r="K47" i="34" s="1"/>
  <c r="D47" i="33"/>
  <c r="K47" i="33" s="1"/>
  <c r="D47" i="31"/>
  <c r="K47" i="31" s="1"/>
  <c r="D47" i="29"/>
  <c r="K47" i="29" s="1"/>
  <c r="D47" i="28"/>
  <c r="K47" i="28" s="1"/>
  <c r="D46" i="27"/>
  <c r="K46" i="27" s="1"/>
  <c r="BC62" i="19"/>
  <c r="C62" i="10"/>
  <c r="AJ83" i="35"/>
  <c r="AX83" i="35" s="1"/>
  <c r="D84" i="34"/>
  <c r="K84" i="34" s="1"/>
  <c r="D84" i="33"/>
  <c r="K84" i="33" s="1"/>
  <c r="D84" i="32"/>
  <c r="K84" i="32" s="1"/>
  <c r="D84" i="31"/>
  <c r="K84" i="31" s="1"/>
  <c r="D84" i="28"/>
  <c r="K84" i="28" s="1"/>
  <c r="D83" i="27"/>
  <c r="K83" i="27" s="1"/>
  <c r="D84" i="29"/>
  <c r="K84" i="29" s="1"/>
  <c r="BC82" i="19"/>
  <c r="C82" i="10"/>
  <c r="BC40" i="19"/>
  <c r="C40" i="10"/>
  <c r="AJ15" i="35"/>
  <c r="AX15" i="35" s="1"/>
  <c r="D16" i="32"/>
  <c r="K16" i="32" s="1"/>
  <c r="D16" i="34"/>
  <c r="K16" i="34" s="1"/>
  <c r="D16" i="33"/>
  <c r="K16" i="33" s="1"/>
  <c r="D16" i="31"/>
  <c r="K16" i="31" s="1"/>
  <c r="D16" i="28"/>
  <c r="K16" i="28" s="1"/>
  <c r="D16" i="29"/>
  <c r="K16" i="29" s="1"/>
  <c r="D60" i="27"/>
  <c r="K60" i="27" s="1"/>
  <c r="AJ41" i="35"/>
  <c r="AX41" i="35" s="1"/>
  <c r="D42" i="34"/>
  <c r="K42" i="34" s="1"/>
  <c r="D42" i="33"/>
  <c r="K42" i="33" s="1"/>
  <c r="D42" i="32"/>
  <c r="K42" i="32" s="1"/>
  <c r="D42" i="31"/>
  <c r="K42" i="31" s="1"/>
  <c r="D42" i="29"/>
  <c r="K42" i="29" s="1"/>
  <c r="D42" i="28"/>
  <c r="K42" i="28" s="1"/>
  <c r="D41" i="27"/>
  <c r="K41" i="27" s="1"/>
  <c r="AJ51" i="35"/>
  <c r="AX51" i="35" s="1"/>
  <c r="D52" i="34"/>
  <c r="K52" i="34" s="1"/>
  <c r="D52" i="33"/>
  <c r="K52" i="33" s="1"/>
  <c r="D52" i="32"/>
  <c r="K52" i="32" s="1"/>
  <c r="D52" i="31"/>
  <c r="K52" i="31" s="1"/>
  <c r="D52" i="29"/>
  <c r="K52" i="29" s="1"/>
  <c r="D52" i="28"/>
  <c r="K52" i="28" s="1"/>
  <c r="D51" i="27"/>
  <c r="K51" i="27" s="1"/>
  <c r="AJ57" i="35"/>
  <c r="AX57" i="35" s="1"/>
  <c r="D58" i="34"/>
  <c r="K58" i="34" s="1"/>
  <c r="D58" i="33"/>
  <c r="K58" i="33" s="1"/>
  <c r="D58" i="32"/>
  <c r="K58" i="32" s="1"/>
  <c r="D58" i="31"/>
  <c r="K58" i="31" s="1"/>
  <c r="D58" i="29"/>
  <c r="K58" i="29" s="1"/>
  <c r="D57" i="27"/>
  <c r="K57" i="27" s="1"/>
  <c r="D58" i="28"/>
  <c r="K58" i="28" s="1"/>
  <c r="BC84" i="19"/>
  <c r="C84" i="10"/>
  <c r="BC54" i="19"/>
  <c r="C54" i="10"/>
  <c r="AJ13" i="35"/>
  <c r="AX13" i="35" s="1"/>
  <c r="D14" i="32"/>
  <c r="K14" i="32" s="1"/>
  <c r="D14" i="34"/>
  <c r="K14" i="34" s="1"/>
  <c r="D14" i="33"/>
  <c r="K14" i="33" s="1"/>
  <c r="D14" i="31"/>
  <c r="K14" i="31" s="1"/>
  <c r="D14" i="28"/>
  <c r="K14" i="28" s="1"/>
  <c r="D14" i="29"/>
  <c r="K14" i="29" s="1"/>
  <c r="D13" i="27"/>
  <c r="K13" i="27" s="1"/>
  <c r="AJ33" i="35"/>
  <c r="AX33" i="35" s="1"/>
  <c r="D34" i="33"/>
  <c r="K34" i="33" s="1"/>
  <c r="D34" i="32"/>
  <c r="K34" i="32" s="1"/>
  <c r="D34" i="34"/>
  <c r="K34" i="34" s="1"/>
  <c r="D34" i="31"/>
  <c r="K34" i="31" s="1"/>
  <c r="D33" i="27"/>
  <c r="K33" i="27" s="1"/>
  <c r="D34" i="29"/>
  <c r="K34" i="29" s="1"/>
  <c r="D34" i="28"/>
  <c r="K34" i="28" s="1"/>
  <c r="AJ49" i="35"/>
  <c r="AX49" i="35" s="1"/>
  <c r="D50" i="32"/>
  <c r="K50" i="32" s="1"/>
  <c r="D50" i="34"/>
  <c r="K50" i="34" s="1"/>
  <c r="D50" i="33"/>
  <c r="K50" i="33" s="1"/>
  <c r="D50" i="31"/>
  <c r="K50" i="31" s="1"/>
  <c r="D50" i="29"/>
  <c r="K50" i="29" s="1"/>
  <c r="D49" i="27"/>
  <c r="K49" i="27" s="1"/>
  <c r="D50" i="28"/>
  <c r="K50" i="28" s="1"/>
  <c r="AJ59" i="35"/>
  <c r="AX59" i="35" s="1"/>
  <c r="D60" i="34"/>
  <c r="K60" i="34" s="1"/>
  <c r="D60" i="33"/>
  <c r="K60" i="33" s="1"/>
  <c r="D60" i="32"/>
  <c r="K60" i="32" s="1"/>
  <c r="D60" i="31"/>
  <c r="K60" i="31" s="1"/>
  <c r="D60" i="29"/>
  <c r="K60" i="29" s="1"/>
  <c r="D60" i="28"/>
  <c r="K60" i="28" s="1"/>
  <c r="D59" i="27"/>
  <c r="K59" i="27" s="1"/>
  <c r="AJ87" i="35"/>
  <c r="AX87" i="35" s="1"/>
  <c r="BD87" i="35" s="1"/>
  <c r="D88" i="32"/>
  <c r="K88" i="32" s="1"/>
  <c r="D88" i="34"/>
  <c r="K88" i="34" s="1"/>
  <c r="D88" i="33"/>
  <c r="K88" i="33" s="1"/>
  <c r="D88" i="31"/>
  <c r="K88" i="31" s="1"/>
  <c r="D88" i="28"/>
  <c r="K88" i="28" s="1"/>
  <c r="D87" i="27"/>
  <c r="K87" i="27" s="1"/>
  <c r="D88" i="29"/>
  <c r="K88" i="29" s="1"/>
  <c r="AJ18" i="35"/>
  <c r="AX18" i="35" s="1"/>
  <c r="D19" i="32"/>
  <c r="K19" i="32" s="1"/>
  <c r="D19" i="34"/>
  <c r="K19" i="34" s="1"/>
  <c r="D19" i="33"/>
  <c r="K19" i="33" s="1"/>
  <c r="D19" i="31"/>
  <c r="K19" i="31" s="1"/>
  <c r="D19" i="29"/>
  <c r="K19" i="29" s="1"/>
  <c r="D18" i="27"/>
  <c r="K18" i="27" s="1"/>
  <c r="D19" i="28"/>
  <c r="K19" i="28" s="1"/>
  <c r="AJ23" i="35"/>
  <c r="AX23" i="35" s="1"/>
  <c r="D24" i="32"/>
  <c r="K24" i="32" s="1"/>
  <c r="D24" i="33"/>
  <c r="K24" i="33" s="1"/>
  <c r="D24" i="34"/>
  <c r="K24" i="34" s="1"/>
  <c r="D24" i="31"/>
  <c r="K24" i="31" s="1"/>
  <c r="D23" i="27"/>
  <c r="K23" i="27" s="1"/>
  <c r="D24" i="29"/>
  <c r="K24" i="29" s="1"/>
  <c r="D24" i="28"/>
  <c r="K24" i="28" s="1"/>
  <c r="AJ28" i="35"/>
  <c r="AX28" i="35" s="1"/>
  <c r="D29" i="34"/>
  <c r="K29" i="34" s="1"/>
  <c r="D29" i="33"/>
  <c r="K29" i="33" s="1"/>
  <c r="D29" i="32"/>
  <c r="K29" i="32" s="1"/>
  <c r="D29" i="31"/>
  <c r="K29" i="31" s="1"/>
  <c r="D29" i="28"/>
  <c r="K29" i="28" s="1"/>
  <c r="D68" i="27"/>
  <c r="K68" i="27" s="1"/>
  <c r="D29" i="29"/>
  <c r="K29" i="29" s="1"/>
  <c r="AJ30" i="35"/>
  <c r="AX30" i="35" s="1"/>
  <c r="D31" i="33"/>
  <c r="K31" i="33" s="1"/>
  <c r="D31" i="32"/>
  <c r="K31" i="32" s="1"/>
  <c r="D31" i="34"/>
  <c r="K31" i="34" s="1"/>
  <c r="D31" i="31"/>
  <c r="K31" i="31" s="1"/>
  <c r="D31" i="28"/>
  <c r="K31" i="28" s="1"/>
  <c r="D30" i="27"/>
  <c r="K30" i="27" s="1"/>
  <c r="D31" i="29"/>
  <c r="K31" i="29" s="1"/>
  <c r="AJ32" i="35"/>
  <c r="AX32" i="35" s="1"/>
  <c r="D33" i="33"/>
  <c r="K33" i="33" s="1"/>
  <c r="D33" i="32"/>
  <c r="K33" i="32" s="1"/>
  <c r="D33" i="34"/>
  <c r="K33" i="34" s="1"/>
  <c r="D33" i="31"/>
  <c r="K33" i="31" s="1"/>
  <c r="D32" i="27"/>
  <c r="K32" i="27" s="1"/>
  <c r="D33" i="29"/>
  <c r="K33" i="29" s="1"/>
  <c r="D33" i="28"/>
  <c r="K33" i="28" s="1"/>
  <c r="AJ38" i="35"/>
  <c r="AX38" i="35" s="1"/>
  <c r="D39" i="33"/>
  <c r="K39" i="33" s="1"/>
  <c r="D39" i="32"/>
  <c r="K39" i="32" s="1"/>
  <c r="D39" i="34"/>
  <c r="K39" i="34" s="1"/>
  <c r="D39" i="31"/>
  <c r="K39" i="31" s="1"/>
  <c r="D38" i="27"/>
  <c r="K38" i="27" s="1"/>
  <c r="D39" i="29"/>
  <c r="K39" i="29" s="1"/>
  <c r="D39" i="28"/>
  <c r="K39" i="28" s="1"/>
  <c r="AJ44" i="35"/>
  <c r="AX44" i="35" s="1"/>
  <c r="D45" i="34"/>
  <c r="K45" i="34" s="1"/>
  <c r="D45" i="33"/>
  <c r="K45" i="33" s="1"/>
  <c r="D45" i="32"/>
  <c r="K45" i="32" s="1"/>
  <c r="D45" i="31"/>
  <c r="K45" i="31" s="1"/>
  <c r="D45" i="28"/>
  <c r="K45" i="28" s="1"/>
  <c r="D44" i="27"/>
  <c r="K44" i="27" s="1"/>
  <c r="D45" i="29"/>
  <c r="K45" i="29" s="1"/>
  <c r="AJ50" i="35"/>
  <c r="AX50" i="35" s="1"/>
  <c r="D51" i="33"/>
  <c r="K51" i="33" s="1"/>
  <c r="D51" i="32"/>
  <c r="K51" i="32" s="1"/>
  <c r="D51" i="34"/>
  <c r="K51" i="34" s="1"/>
  <c r="D51" i="31"/>
  <c r="K51" i="31" s="1"/>
  <c r="D51" i="29"/>
  <c r="K51" i="29" s="1"/>
  <c r="D51" i="28"/>
  <c r="K51" i="28" s="1"/>
  <c r="D50" i="27"/>
  <c r="K50" i="27" s="1"/>
  <c r="AJ56" i="35"/>
  <c r="AX56" i="35" s="1"/>
  <c r="BD56" i="35" s="1"/>
  <c r="D57" i="33"/>
  <c r="K57" i="33" s="1"/>
  <c r="D57" i="32"/>
  <c r="K57" i="32" s="1"/>
  <c r="D57" i="34"/>
  <c r="K57" i="34" s="1"/>
  <c r="D57" i="31"/>
  <c r="K57" i="31" s="1"/>
  <c r="D57" i="29"/>
  <c r="K57" i="29" s="1"/>
  <c r="D57" i="28"/>
  <c r="K57" i="28" s="1"/>
  <c r="D56" i="27"/>
  <c r="K56" i="27" s="1"/>
  <c r="AJ60" i="35"/>
  <c r="AX60" i="35" s="1"/>
  <c r="D61" i="34"/>
  <c r="K61" i="34" s="1"/>
  <c r="D61" i="33"/>
  <c r="K61" i="33" s="1"/>
  <c r="D61" i="32"/>
  <c r="K61" i="32" s="1"/>
  <c r="D61" i="31"/>
  <c r="K61" i="31" s="1"/>
  <c r="D61" i="29"/>
  <c r="K61" i="29" s="1"/>
  <c r="D14" i="27"/>
  <c r="K14" i="27" s="1"/>
  <c r="D61" i="28"/>
  <c r="K61" i="28" s="1"/>
  <c r="AJ66" i="35"/>
  <c r="AX66" i="35" s="1"/>
  <c r="D67" i="34"/>
  <c r="K67" i="34" s="1"/>
  <c r="D67" i="33"/>
  <c r="K67" i="33" s="1"/>
  <c r="D67" i="32"/>
  <c r="K67" i="32" s="1"/>
  <c r="D67" i="31"/>
  <c r="K67" i="31" s="1"/>
  <c r="D67" i="29"/>
  <c r="K67" i="29" s="1"/>
  <c r="D67" i="28"/>
  <c r="K67" i="28" s="1"/>
  <c r="D28" i="27"/>
  <c r="K28" i="27" s="1"/>
  <c r="BC42" i="19"/>
  <c r="C42" i="10"/>
  <c r="BC34" i="19"/>
  <c r="C34" i="10"/>
  <c r="BC48" i="19"/>
  <c r="C48" i="10"/>
  <c r="BC24" i="19"/>
  <c r="C24" i="10"/>
  <c r="AJ26" i="35"/>
  <c r="AX26" i="35" s="1"/>
  <c r="D27" i="34"/>
  <c r="K27" i="34" s="1"/>
  <c r="D27" i="32"/>
  <c r="K27" i="32" s="1"/>
  <c r="D27" i="33"/>
  <c r="K27" i="33" s="1"/>
  <c r="D27" i="31"/>
  <c r="K27" i="31" s="1"/>
  <c r="D27" i="28"/>
  <c r="K27" i="28" s="1"/>
  <c r="D26" i="27"/>
  <c r="K26" i="27" s="1"/>
  <c r="D27" i="29"/>
  <c r="K27" i="29" s="1"/>
  <c r="AJ31" i="35"/>
  <c r="AX31" i="35" s="1"/>
  <c r="D32" i="34"/>
  <c r="K32" i="34" s="1"/>
  <c r="D32" i="33"/>
  <c r="K32" i="33" s="1"/>
  <c r="D32" i="32"/>
  <c r="K32" i="32" s="1"/>
  <c r="D32" i="31"/>
  <c r="K32" i="31" s="1"/>
  <c r="D31" i="27"/>
  <c r="K31" i="27" s="1"/>
  <c r="D32" i="29"/>
  <c r="K32" i="29" s="1"/>
  <c r="D32" i="28"/>
  <c r="K32" i="28" s="1"/>
  <c r="AJ37" i="35"/>
  <c r="AX37" i="35" s="1"/>
  <c r="D38" i="32"/>
  <c r="K38" i="32" s="1"/>
  <c r="D38" i="34"/>
  <c r="K38" i="34" s="1"/>
  <c r="D38" i="33"/>
  <c r="K38" i="33" s="1"/>
  <c r="D38" i="31"/>
  <c r="K38" i="31" s="1"/>
  <c r="D37" i="27"/>
  <c r="K37" i="27" s="1"/>
  <c r="D38" i="29"/>
  <c r="K38" i="29" s="1"/>
  <c r="D38" i="28"/>
  <c r="K38" i="28" s="1"/>
  <c r="AJ65" i="35"/>
  <c r="AX65" i="35" s="1"/>
  <c r="D66" i="32"/>
  <c r="K66" i="32" s="1"/>
  <c r="D66" i="34"/>
  <c r="K66" i="34" s="1"/>
  <c r="D66" i="33"/>
  <c r="K66" i="33" s="1"/>
  <c r="D66" i="31"/>
  <c r="K66" i="31" s="1"/>
  <c r="D66" i="29"/>
  <c r="K66" i="29" s="1"/>
  <c r="D66" i="28"/>
  <c r="K66" i="28" s="1"/>
  <c r="D65" i="27"/>
  <c r="K65" i="27" s="1"/>
  <c r="BC43" i="19"/>
  <c r="C43" i="10"/>
  <c r="BC70" i="19"/>
  <c r="C70" i="10"/>
  <c r="AJ16" i="35"/>
  <c r="AX16" i="35" s="1"/>
  <c r="D17" i="32"/>
  <c r="K17" i="32" s="1"/>
  <c r="D17" i="34"/>
  <c r="K17" i="34" s="1"/>
  <c r="D17" i="33"/>
  <c r="K17" i="33" s="1"/>
  <c r="D17" i="31"/>
  <c r="K17" i="31" s="1"/>
  <c r="D17" i="28"/>
  <c r="K17" i="28" s="1"/>
  <c r="D17" i="29"/>
  <c r="K17" i="29" s="1"/>
  <c r="D16" i="27"/>
  <c r="K16" i="27" s="1"/>
  <c r="AJ36" i="35"/>
  <c r="AX36" i="35" s="1"/>
  <c r="D37" i="34"/>
  <c r="K37" i="34" s="1"/>
  <c r="D37" i="32"/>
  <c r="K37" i="32" s="1"/>
  <c r="D37" i="33"/>
  <c r="K37" i="33" s="1"/>
  <c r="D37" i="31"/>
  <c r="K37" i="31" s="1"/>
  <c r="D36" i="27"/>
  <c r="K36" i="27" s="1"/>
  <c r="D37" i="29"/>
  <c r="K37" i="29" s="1"/>
  <c r="D37" i="28"/>
  <c r="K37" i="28" s="1"/>
  <c r="AJ14" i="35"/>
  <c r="AX14" i="35" s="1"/>
  <c r="D15" i="32"/>
  <c r="K15" i="32" s="1"/>
  <c r="D15" i="34"/>
  <c r="K15" i="34" s="1"/>
  <c r="D15" i="33"/>
  <c r="K15" i="33" s="1"/>
  <c r="D15" i="31"/>
  <c r="K15" i="31" s="1"/>
  <c r="D15" i="28"/>
  <c r="K15" i="28" s="1"/>
  <c r="D15" i="29"/>
  <c r="K15" i="29" s="1"/>
  <c r="D67" i="27"/>
  <c r="K67" i="27" s="1"/>
  <c r="AJ35" i="35"/>
  <c r="AX35" i="35" s="1"/>
  <c r="D36" i="33"/>
  <c r="K36" i="33" s="1"/>
  <c r="D36" i="34"/>
  <c r="K36" i="34" s="1"/>
  <c r="D36" i="32"/>
  <c r="K36" i="32" s="1"/>
  <c r="D36" i="31"/>
  <c r="K36" i="31" s="1"/>
  <c r="D35" i="27"/>
  <c r="K35" i="27" s="1"/>
  <c r="D36" i="29"/>
  <c r="K36" i="29" s="1"/>
  <c r="D36" i="28"/>
  <c r="K36" i="28" s="1"/>
  <c r="AJ45" i="35"/>
  <c r="AX45" i="35" s="1"/>
  <c r="D46" i="34"/>
  <c r="K46" i="34" s="1"/>
  <c r="D46" i="33"/>
  <c r="K46" i="33" s="1"/>
  <c r="D46" i="32"/>
  <c r="K46" i="32" s="1"/>
  <c r="D46" i="31"/>
  <c r="K46" i="31" s="1"/>
  <c r="D46" i="29"/>
  <c r="K46" i="29" s="1"/>
  <c r="D46" i="28"/>
  <c r="K46" i="28" s="1"/>
  <c r="D45" i="27"/>
  <c r="K45" i="27" s="1"/>
  <c r="AJ61" i="35"/>
  <c r="AX61" i="35" s="1"/>
  <c r="D62" i="32"/>
  <c r="K62" i="32" s="1"/>
  <c r="D62" i="34"/>
  <c r="K62" i="34" s="1"/>
  <c r="D62" i="33"/>
  <c r="K62" i="33" s="1"/>
  <c r="D62" i="31"/>
  <c r="K62" i="31" s="1"/>
  <c r="D62" i="29"/>
  <c r="K62" i="29" s="1"/>
  <c r="D62" i="28"/>
  <c r="K62" i="28" s="1"/>
  <c r="D61" i="27"/>
  <c r="K61" i="27" s="1"/>
  <c r="AJ64" i="35"/>
  <c r="AX64" i="35" s="1"/>
  <c r="D65" i="33"/>
  <c r="K65" i="33" s="1"/>
  <c r="D65" i="34"/>
  <c r="K65" i="34" s="1"/>
  <c r="D65" i="32"/>
  <c r="K65" i="32" s="1"/>
  <c r="D65" i="31"/>
  <c r="K65" i="31" s="1"/>
  <c r="D65" i="29"/>
  <c r="K65" i="29" s="1"/>
  <c r="D65" i="28"/>
  <c r="K65" i="28" s="1"/>
  <c r="D64" i="27"/>
  <c r="K64" i="27" s="1"/>
  <c r="BC27" i="19"/>
  <c r="C27" i="10"/>
  <c r="BC19" i="19"/>
  <c r="C19" i="10"/>
  <c r="BC63" i="19"/>
  <c r="C63" i="10"/>
  <c r="BC58" i="19"/>
  <c r="C58" i="10"/>
  <c r="BC80" i="19"/>
  <c r="C80" i="10"/>
  <c r="BC55" i="19"/>
  <c r="C55" i="10"/>
  <c r="S88" i="27"/>
  <c r="F41" i="32"/>
  <c r="M41" i="32" s="1"/>
  <c r="F67" i="34"/>
  <c r="M67" i="34" s="1"/>
  <c r="F41" i="33"/>
  <c r="M41" i="33" s="1"/>
  <c r="F67" i="32"/>
  <c r="M67" i="32" s="1"/>
  <c r="F67" i="33"/>
  <c r="M67" i="33" s="1"/>
  <c r="AX88" i="19"/>
  <c r="AY88" i="19" s="1"/>
  <c r="K88" i="10" s="1"/>
  <c r="BJ88" i="19"/>
  <c r="M88" i="10" s="1"/>
  <c r="F17" i="33"/>
  <c r="F17" i="32"/>
  <c r="F17" i="34"/>
  <c r="F21" i="33"/>
  <c r="F21" i="34"/>
  <c r="F21" i="32"/>
  <c r="F23" i="32"/>
  <c r="F23" i="34"/>
  <c r="F23" i="33"/>
  <c r="BE84" i="19"/>
  <c r="E84" i="10"/>
  <c r="AQ22" i="19"/>
  <c r="R83" i="32"/>
  <c r="T83" i="32" s="1"/>
  <c r="F12" i="33"/>
  <c r="F12" i="34"/>
  <c r="F12" i="32"/>
  <c r="F34" i="33"/>
  <c r="F34" i="32"/>
  <c r="F34" i="34"/>
  <c r="F35" i="32"/>
  <c r="F35" i="33"/>
  <c r="F35" i="34"/>
  <c r="F18" i="33"/>
  <c r="M18" i="33" s="1"/>
  <c r="F18" i="32"/>
  <c r="M18" i="32" s="1"/>
  <c r="F18" i="34"/>
  <c r="M18" i="34" s="1"/>
  <c r="AQ49" i="19"/>
  <c r="E49" i="10" s="1"/>
  <c r="F44" i="33"/>
  <c r="F44" i="32"/>
  <c r="F44" i="34"/>
  <c r="F58" i="34"/>
  <c r="F58" i="33"/>
  <c r="F58" i="32"/>
  <c r="F61" i="32"/>
  <c r="F61" i="34"/>
  <c r="F61" i="33"/>
  <c r="E72" i="10"/>
  <c r="AQ19" i="19"/>
  <c r="BE87" i="19"/>
  <c r="E87" i="10"/>
  <c r="F22" i="27"/>
  <c r="S22" i="27" s="1"/>
  <c r="R89" i="31"/>
  <c r="T89" i="31" s="1"/>
  <c r="F22" i="31"/>
  <c r="M22" i="31" s="1"/>
  <c r="F13" i="31"/>
  <c r="R13" i="31" s="1"/>
  <c r="T13" i="31" s="1"/>
  <c r="F7" i="29"/>
  <c r="M7" i="29" s="1"/>
  <c r="F8" i="28"/>
  <c r="M8" i="28" s="1"/>
  <c r="F11" i="29"/>
  <c r="M11" i="29" s="1"/>
  <c r="F24" i="28"/>
  <c r="M24" i="28" s="1"/>
  <c r="F12" i="28"/>
  <c r="M12" i="28" s="1"/>
  <c r="F53" i="28"/>
  <c r="M53" i="28" s="1"/>
  <c r="F44" i="28"/>
  <c r="S44" i="28" s="1"/>
  <c r="V44" i="28" s="1"/>
  <c r="F20" i="28"/>
  <c r="M20" i="28" s="1"/>
  <c r="Q20" i="28" s="1"/>
  <c r="U20" i="28" s="1"/>
  <c r="F50" i="28"/>
  <c r="M50" i="28" s="1"/>
  <c r="F29" i="34"/>
  <c r="F29" i="32"/>
  <c r="F29" i="33"/>
  <c r="M89" i="34"/>
  <c r="Q89" i="34" s="1"/>
  <c r="U89" i="34" s="1"/>
  <c r="S89" i="32"/>
  <c r="V89" i="32" s="1"/>
  <c r="R88" i="34"/>
  <c r="T88" i="34" s="1"/>
  <c r="M88" i="34"/>
  <c r="Q88" i="34" s="1"/>
  <c r="U88" i="34" s="1"/>
  <c r="S88" i="34"/>
  <c r="V88" i="34" s="1"/>
  <c r="M85" i="34"/>
  <c r="F9" i="33"/>
  <c r="F9" i="32"/>
  <c r="F9" i="34"/>
  <c r="F16" i="34"/>
  <c r="F16" i="32"/>
  <c r="F16" i="33"/>
  <c r="F54" i="33"/>
  <c r="F54" i="34"/>
  <c r="F54" i="32"/>
  <c r="F43" i="34"/>
  <c r="F43" i="33"/>
  <c r="F43" i="32"/>
  <c r="F54" i="28"/>
  <c r="S54" i="28" s="1"/>
  <c r="V54" i="28" s="1"/>
  <c r="F23" i="29"/>
  <c r="R23" i="29" s="1"/>
  <c r="T23" i="29" s="1"/>
  <c r="F50" i="29"/>
  <c r="M50" i="29" s="1"/>
  <c r="F50" i="33"/>
  <c r="M50" i="33" s="1"/>
  <c r="F39" i="34"/>
  <c r="F39" i="33"/>
  <c r="F39" i="32"/>
  <c r="F45" i="33"/>
  <c r="F45" i="32"/>
  <c r="F45" i="34"/>
  <c r="F49" i="34"/>
  <c r="F49" i="32"/>
  <c r="F49" i="33"/>
  <c r="F63" i="32"/>
  <c r="F63" i="34"/>
  <c r="F63" i="33"/>
  <c r="F28" i="34"/>
  <c r="F28" i="32"/>
  <c r="F28" i="33"/>
  <c r="AQ21" i="19"/>
  <c r="AQ27" i="19"/>
  <c r="F54" i="31"/>
  <c r="M54" i="31" s="1"/>
  <c r="Q54" i="31" s="1"/>
  <c r="U54" i="31" s="1"/>
  <c r="F23" i="28"/>
  <c r="S23" i="28" s="1"/>
  <c r="V23" i="28" s="1"/>
  <c r="S89" i="31"/>
  <c r="V89" i="31" s="1"/>
  <c r="F57" i="32"/>
  <c r="F57" i="34"/>
  <c r="F57" i="33"/>
  <c r="F63" i="29"/>
  <c r="M63" i="29" s="1"/>
  <c r="F9" i="29"/>
  <c r="M9" i="29" s="1"/>
  <c r="F57" i="28"/>
  <c r="S57" i="28" s="1"/>
  <c r="V57" i="28" s="1"/>
  <c r="F28" i="29"/>
  <c r="S28" i="29" s="1"/>
  <c r="V28" i="29" s="1"/>
  <c r="F24" i="29"/>
  <c r="M24" i="29" s="1"/>
  <c r="F12" i="29"/>
  <c r="M12" i="29" s="1"/>
  <c r="F44" i="29"/>
  <c r="M44" i="29" s="1"/>
  <c r="Q44" i="29" s="1"/>
  <c r="U44" i="29" s="1"/>
  <c r="F49" i="27"/>
  <c r="F39" i="29"/>
  <c r="M39" i="29" s="1"/>
  <c r="F50" i="32"/>
  <c r="M50" i="32" s="1"/>
  <c r="M85" i="32"/>
  <c r="Q85" i="32" s="1"/>
  <c r="U85" i="32" s="1"/>
  <c r="R85" i="32"/>
  <c r="T85" i="32" s="1"/>
  <c r="F9" i="28"/>
  <c r="M9" i="28" s="1"/>
  <c r="F11" i="34"/>
  <c r="F11" i="33"/>
  <c r="F11" i="32"/>
  <c r="F20" i="34"/>
  <c r="F20" i="32"/>
  <c r="F20" i="33"/>
  <c r="F8" i="33"/>
  <c r="F8" i="32"/>
  <c r="F8" i="34"/>
  <c r="F25" i="33"/>
  <c r="F25" i="32"/>
  <c r="F25" i="34"/>
  <c r="F13" i="34"/>
  <c r="F13" i="33"/>
  <c r="F13" i="32"/>
  <c r="F15" i="34"/>
  <c r="M15" i="34" s="1"/>
  <c r="F15" i="33"/>
  <c r="M15" i="33" s="1"/>
  <c r="F15" i="32"/>
  <c r="M15" i="32" s="1"/>
  <c r="F22" i="32"/>
  <c r="M22" i="32" s="1"/>
  <c r="F22" i="33"/>
  <c r="M22" i="33" s="1"/>
  <c r="F22" i="34"/>
  <c r="M22" i="34" s="1"/>
  <c r="F47" i="33"/>
  <c r="F47" i="32"/>
  <c r="F47" i="34"/>
  <c r="F53" i="34"/>
  <c r="F53" i="33"/>
  <c r="F53" i="32"/>
  <c r="BE78" i="19"/>
  <c r="E78" i="10"/>
  <c r="F7" i="33"/>
  <c r="F7" i="32"/>
  <c r="F7" i="34"/>
  <c r="AQ62" i="19"/>
  <c r="AQ43" i="19"/>
  <c r="F14" i="33"/>
  <c r="F14" i="34"/>
  <c r="F14" i="32"/>
  <c r="F54" i="29"/>
  <c r="S54" i="29" s="1"/>
  <c r="V54" i="29" s="1"/>
  <c r="AQ53" i="19"/>
  <c r="F23" i="31"/>
  <c r="M23" i="31" s="1"/>
  <c r="Q23" i="31" s="1"/>
  <c r="U23" i="31" s="1"/>
  <c r="F22" i="29"/>
  <c r="M22" i="29" s="1"/>
  <c r="F13" i="29"/>
  <c r="S13" i="29" s="1"/>
  <c r="V13" i="29" s="1"/>
  <c r="F48" i="34"/>
  <c r="M48" i="34" s="1"/>
  <c r="F48" i="32"/>
  <c r="M48" i="32" s="1"/>
  <c r="F48" i="33"/>
  <c r="M48" i="33" s="1"/>
  <c r="F7" i="31"/>
  <c r="M7" i="31" s="1"/>
  <c r="F63" i="31"/>
  <c r="M63" i="31" s="1"/>
  <c r="F9" i="31"/>
  <c r="M9" i="31" s="1"/>
  <c r="F8" i="31"/>
  <c r="M8" i="31" s="1"/>
  <c r="F57" i="31"/>
  <c r="M57" i="31" s="1"/>
  <c r="F11" i="31"/>
  <c r="M11" i="31" s="1"/>
  <c r="F28" i="31"/>
  <c r="S28" i="31" s="1"/>
  <c r="V28" i="31" s="1"/>
  <c r="F12" i="31"/>
  <c r="M12" i="31" s="1"/>
  <c r="F53" i="31"/>
  <c r="M53" i="31" s="1"/>
  <c r="Q53" i="31" s="1"/>
  <c r="U53" i="31" s="1"/>
  <c r="F44" i="31"/>
  <c r="R44" i="31" s="1"/>
  <c r="T44" i="31" s="1"/>
  <c r="F20" i="31"/>
  <c r="M20" i="31" s="1"/>
  <c r="Q20" i="31" s="1"/>
  <c r="U20" i="31" s="1"/>
  <c r="F50" i="31"/>
  <c r="M50" i="31" s="1"/>
  <c r="F39" i="31"/>
  <c r="M39" i="31" s="1"/>
  <c r="S88" i="33"/>
  <c r="V88" i="33" s="1"/>
  <c r="R80" i="33"/>
  <c r="T80" i="33" s="1"/>
  <c r="S79" i="32"/>
  <c r="V79" i="32" s="1"/>
  <c r="M79" i="32"/>
  <c r="Q79" i="32" s="1"/>
  <c r="U79" i="32" s="1"/>
  <c r="R79" i="32"/>
  <c r="T79" i="32" s="1"/>
  <c r="BA88" i="19"/>
  <c r="AZ88" i="19"/>
  <c r="L88" i="10" s="1"/>
  <c r="F87" i="33"/>
  <c r="F87" i="32"/>
  <c r="F87" i="34"/>
  <c r="BE86" i="19"/>
  <c r="E86" i="10"/>
  <c r="F84" i="33"/>
  <c r="F84" i="34"/>
  <c r="F84" i="32"/>
  <c r="F82" i="34"/>
  <c r="F82" i="32"/>
  <c r="F82" i="33"/>
  <c r="F81" i="33"/>
  <c r="F81" i="34"/>
  <c r="F81" i="32"/>
  <c r="F78" i="34"/>
  <c r="M78" i="34" s="1"/>
  <c r="F78" i="32"/>
  <c r="M78" i="32" s="1"/>
  <c r="F78" i="33"/>
  <c r="M78" i="33" s="1"/>
  <c r="F77" i="34"/>
  <c r="M77" i="34" s="1"/>
  <c r="F77" i="33"/>
  <c r="M77" i="33" s="1"/>
  <c r="F77" i="32"/>
  <c r="M77" i="32" s="1"/>
  <c r="F75" i="32"/>
  <c r="M75" i="32" s="1"/>
  <c r="F75" i="34"/>
  <c r="M75" i="34" s="1"/>
  <c r="F75" i="33"/>
  <c r="M75" i="33" s="1"/>
  <c r="BE74" i="19"/>
  <c r="E74" i="10"/>
  <c r="F70" i="34"/>
  <c r="M70" i="34" s="1"/>
  <c r="F70" i="33"/>
  <c r="M70" i="33" s="1"/>
  <c r="F70" i="32"/>
  <c r="M70" i="32" s="1"/>
  <c r="F68" i="32"/>
  <c r="M68" i="32" s="1"/>
  <c r="F68" i="34"/>
  <c r="M68" i="34" s="1"/>
  <c r="F68" i="33"/>
  <c r="M68" i="33" s="1"/>
  <c r="F66" i="33"/>
  <c r="F66" i="34"/>
  <c r="F66" i="32"/>
  <c r="F65" i="33"/>
  <c r="F65" i="32"/>
  <c r="F65" i="34"/>
  <c r="F64" i="32"/>
  <c r="F64" i="33"/>
  <c r="F64" i="34"/>
  <c r="F62" i="33"/>
  <c r="F62" i="34"/>
  <c r="F62" i="32"/>
  <c r="AQ61" i="19"/>
  <c r="F60" i="33"/>
  <c r="F60" i="34"/>
  <c r="F60" i="32"/>
  <c r="F59" i="34"/>
  <c r="F59" i="33"/>
  <c r="F59" i="32"/>
  <c r="F56" i="33"/>
  <c r="F56" i="32"/>
  <c r="F56" i="34"/>
  <c r="F55" i="33"/>
  <c r="F55" i="34"/>
  <c r="F55" i="32"/>
  <c r="F52" i="34"/>
  <c r="F52" i="32"/>
  <c r="F52" i="33"/>
  <c r="F51" i="33"/>
  <c r="F51" i="34"/>
  <c r="F51" i="32"/>
  <c r="F46" i="32"/>
  <c r="F46" i="33"/>
  <c r="F46" i="34"/>
  <c r="F42" i="33"/>
  <c r="F42" i="34"/>
  <c r="F42" i="32"/>
  <c r="F40" i="34"/>
  <c r="M40" i="34" s="1"/>
  <c r="F40" i="33"/>
  <c r="M40" i="33" s="1"/>
  <c r="F40" i="32"/>
  <c r="M40" i="32" s="1"/>
  <c r="F38" i="33"/>
  <c r="F38" i="34"/>
  <c r="F38" i="32"/>
  <c r="F37" i="34"/>
  <c r="F37" i="32"/>
  <c r="F37" i="33"/>
  <c r="F36" i="32"/>
  <c r="F36" i="34"/>
  <c r="F36" i="33"/>
  <c r="F33" i="32"/>
  <c r="F33" i="33"/>
  <c r="F33" i="34"/>
  <c r="F32" i="33"/>
  <c r="F32" i="32"/>
  <c r="F32" i="34"/>
  <c r="F31" i="33"/>
  <c r="F31" i="34"/>
  <c r="F31" i="32"/>
  <c r="F30" i="33"/>
  <c r="F30" i="32"/>
  <c r="F30" i="34"/>
  <c r="F27" i="32"/>
  <c r="F27" i="34"/>
  <c r="F27" i="33"/>
  <c r="BE23" i="19"/>
  <c r="E23" i="10"/>
  <c r="F24" i="34"/>
  <c r="F24" i="32"/>
  <c r="F24" i="33"/>
  <c r="F19" i="33"/>
  <c r="F19" i="34"/>
  <c r="F19" i="32"/>
  <c r="H18" i="33"/>
  <c r="H18" i="34"/>
  <c r="H18" i="32"/>
  <c r="H18" i="31"/>
  <c r="O18" i="31" s="1"/>
  <c r="H18" i="29"/>
  <c r="O18" i="29" s="1"/>
  <c r="H17" i="27"/>
  <c r="O17" i="27" s="1"/>
  <c r="H18" i="28"/>
  <c r="O18" i="28" s="1"/>
  <c r="AO47" i="19"/>
  <c r="D48" i="34"/>
  <c r="D48" i="33"/>
  <c r="D48" i="32"/>
  <c r="D48" i="31"/>
  <c r="K48" i="31" s="1"/>
  <c r="D48" i="28"/>
  <c r="K48" i="28" s="1"/>
  <c r="D47" i="27"/>
  <c r="K47" i="27" s="1"/>
  <c r="D48" i="29"/>
  <c r="K48" i="29" s="1"/>
  <c r="AO39" i="19"/>
  <c r="D40" i="32"/>
  <c r="D40" i="34"/>
  <c r="D40" i="33"/>
  <c r="D40" i="31"/>
  <c r="K40" i="31" s="1"/>
  <c r="D39" i="27"/>
  <c r="K39" i="27" s="1"/>
  <c r="D40" i="29"/>
  <c r="K40" i="29" s="1"/>
  <c r="D40" i="28"/>
  <c r="K40" i="28" s="1"/>
  <c r="D22" i="33"/>
  <c r="D22" i="34"/>
  <c r="D22" i="32"/>
  <c r="D22" i="31"/>
  <c r="K22" i="31" s="1"/>
  <c r="D22" i="29"/>
  <c r="K22" i="29" s="1"/>
  <c r="D22" i="28"/>
  <c r="K22" i="28" s="1"/>
  <c r="D21" i="27"/>
  <c r="K21" i="27" s="1"/>
  <c r="AO21" i="19"/>
  <c r="D86" i="32"/>
  <c r="D86" i="33"/>
  <c r="D86" i="34"/>
  <c r="D86" i="31"/>
  <c r="K86" i="31" s="1"/>
  <c r="D86" i="29"/>
  <c r="K86" i="29" s="1"/>
  <c r="D86" i="28"/>
  <c r="K86" i="28" s="1"/>
  <c r="D85" i="27"/>
  <c r="K85" i="27" s="1"/>
  <c r="AO85" i="19"/>
  <c r="D78" i="34"/>
  <c r="D78" i="33"/>
  <c r="D78" i="32"/>
  <c r="D78" i="31"/>
  <c r="K78" i="31" s="1"/>
  <c r="D77" i="27"/>
  <c r="K77" i="27" s="1"/>
  <c r="D78" i="29"/>
  <c r="K78" i="29" s="1"/>
  <c r="D78" i="28"/>
  <c r="K78" i="28" s="1"/>
  <c r="AO77" i="19"/>
  <c r="AO76" i="19"/>
  <c r="D77" i="32"/>
  <c r="D77" i="34"/>
  <c r="D77" i="33"/>
  <c r="D77" i="31"/>
  <c r="K77" i="31" s="1"/>
  <c r="D77" i="29"/>
  <c r="K77" i="29" s="1"/>
  <c r="D77" i="28"/>
  <c r="K77" i="28" s="1"/>
  <c r="D76" i="27"/>
  <c r="K76" i="27" s="1"/>
  <c r="AO74" i="19"/>
  <c r="D75" i="34"/>
  <c r="D75" i="32"/>
  <c r="D75" i="33"/>
  <c r="D75" i="31"/>
  <c r="K75" i="31" s="1"/>
  <c r="D75" i="29"/>
  <c r="K75" i="29" s="1"/>
  <c r="D75" i="28"/>
  <c r="K75" i="28" s="1"/>
  <c r="D74" i="27"/>
  <c r="K74" i="27" s="1"/>
  <c r="K76" i="34"/>
  <c r="K76" i="32"/>
  <c r="K76" i="33"/>
  <c r="BC75" i="19"/>
  <c r="C75" i="10"/>
  <c r="D74" i="33"/>
  <c r="D74" i="32"/>
  <c r="D74" i="34"/>
  <c r="D74" i="31"/>
  <c r="K74" i="31" s="1"/>
  <c r="D73" i="27"/>
  <c r="K73" i="27" s="1"/>
  <c r="D74" i="29"/>
  <c r="K74" i="29" s="1"/>
  <c r="D74" i="28"/>
  <c r="K74" i="28" s="1"/>
  <c r="AO73" i="19"/>
  <c r="AO71" i="19"/>
  <c r="D72" i="34"/>
  <c r="D72" i="33"/>
  <c r="D72" i="32"/>
  <c r="D72" i="31"/>
  <c r="K72" i="31" s="1"/>
  <c r="D71" i="27"/>
  <c r="K71" i="27" s="1"/>
  <c r="D72" i="28"/>
  <c r="K72" i="28" s="1"/>
  <c r="D72" i="29"/>
  <c r="K72" i="29" s="1"/>
  <c r="D70" i="33"/>
  <c r="D70" i="34"/>
  <c r="D70" i="32"/>
  <c r="D70" i="31"/>
  <c r="K70" i="31" s="1"/>
  <c r="D70" i="28"/>
  <c r="K70" i="28" s="1"/>
  <c r="D69" i="27"/>
  <c r="K69" i="27" s="1"/>
  <c r="D70" i="29"/>
  <c r="K70" i="29" s="1"/>
  <c r="AO69" i="19"/>
  <c r="K69" i="34"/>
  <c r="K69" i="33"/>
  <c r="K69" i="32"/>
  <c r="BC68" i="19"/>
  <c r="C68" i="10"/>
  <c r="AO67" i="19"/>
  <c r="D68" i="34"/>
  <c r="D68" i="32"/>
  <c r="D68" i="33"/>
  <c r="D68" i="31"/>
  <c r="K68" i="31" s="1"/>
  <c r="D42" i="27"/>
  <c r="K42" i="27" s="1"/>
  <c r="D68" i="28"/>
  <c r="K68" i="28" s="1"/>
  <c r="D68" i="29"/>
  <c r="K68" i="29" s="1"/>
  <c r="H15" i="34"/>
  <c r="H15" i="33"/>
  <c r="H15" i="32"/>
  <c r="H15" i="31"/>
  <c r="O15" i="31" s="1"/>
  <c r="H15" i="29"/>
  <c r="O15" i="29" s="1"/>
  <c r="H15" i="28"/>
  <c r="O15" i="28" s="1"/>
  <c r="H67" i="27"/>
  <c r="O67" i="27" s="1"/>
  <c r="AQ51" i="19"/>
  <c r="AQ20" i="19"/>
  <c r="F21" i="31"/>
  <c r="F20" i="27"/>
  <c r="F21" i="28"/>
  <c r="F21" i="29"/>
  <c r="F33" i="31"/>
  <c r="F32" i="27"/>
  <c r="F33" i="28"/>
  <c r="F33" i="29"/>
  <c r="F60" i="31"/>
  <c r="F60" i="29"/>
  <c r="F60" i="28"/>
  <c r="F59" i="27"/>
  <c r="F66" i="31"/>
  <c r="F66" i="29"/>
  <c r="F65" i="27"/>
  <c r="F66" i="28"/>
  <c r="F68" i="31"/>
  <c r="F68" i="29"/>
  <c r="F42" i="27"/>
  <c r="F68" i="28"/>
  <c r="F78" i="31"/>
  <c r="F77" i="27"/>
  <c r="F78" i="29"/>
  <c r="F78" i="28"/>
  <c r="F34" i="31"/>
  <c r="F33" i="27"/>
  <c r="F34" i="28"/>
  <c r="F34" i="29"/>
  <c r="M4" i="27"/>
  <c r="M7" i="27"/>
  <c r="F16" i="31"/>
  <c r="F16" i="28"/>
  <c r="F16" i="29"/>
  <c r="F60" i="27"/>
  <c r="F18" i="31"/>
  <c r="F18" i="28"/>
  <c r="F17" i="27"/>
  <c r="F18" i="29"/>
  <c r="F27" i="31"/>
  <c r="F27" i="29"/>
  <c r="F27" i="28"/>
  <c r="F26" i="27"/>
  <c r="F31" i="31"/>
  <c r="F31" i="28"/>
  <c r="F30" i="27"/>
  <c r="F31" i="29"/>
  <c r="F40" i="31"/>
  <c r="F40" i="29"/>
  <c r="F40" i="28"/>
  <c r="F39" i="27"/>
  <c r="F46" i="31"/>
  <c r="F45" i="27"/>
  <c r="F46" i="28"/>
  <c r="F46" i="29"/>
  <c r="F51" i="31"/>
  <c r="F51" i="28"/>
  <c r="F51" i="29"/>
  <c r="F50" i="27"/>
  <c r="F59" i="31"/>
  <c r="F59" i="29"/>
  <c r="F59" i="28"/>
  <c r="F58" i="27"/>
  <c r="F61" i="31"/>
  <c r="F61" i="29"/>
  <c r="F14" i="27"/>
  <c r="F61" i="28"/>
  <c r="F64" i="31"/>
  <c r="F64" i="29"/>
  <c r="F64" i="28"/>
  <c r="F63" i="27"/>
  <c r="F81" i="31"/>
  <c r="F81" i="29"/>
  <c r="F80" i="27"/>
  <c r="F81" i="28"/>
  <c r="F84" i="31"/>
  <c r="F84" i="29"/>
  <c r="F83" i="27"/>
  <c r="F84" i="28"/>
  <c r="F87" i="31"/>
  <c r="F87" i="29"/>
  <c r="F87" i="28"/>
  <c r="F86" i="27"/>
  <c r="F52" i="31"/>
  <c r="F52" i="29"/>
  <c r="F52" i="28"/>
  <c r="F51" i="27"/>
  <c r="M88" i="31"/>
  <c r="Q88" i="31" s="1"/>
  <c r="U88" i="31" s="1"/>
  <c r="S88" i="31"/>
  <c r="V88" i="31" s="1"/>
  <c r="R88" i="31"/>
  <c r="T88" i="31" s="1"/>
  <c r="M5" i="28"/>
  <c r="M4" i="28"/>
  <c r="R83" i="29"/>
  <c r="T83" i="29" s="1"/>
  <c r="M79" i="28"/>
  <c r="Q79" i="28" s="1"/>
  <c r="U79" i="28" s="1"/>
  <c r="R79" i="28"/>
  <c r="T79" i="28" s="1"/>
  <c r="S79" i="28"/>
  <c r="V79" i="28" s="1"/>
  <c r="M27" i="27"/>
  <c r="Q27" i="27" s="1"/>
  <c r="U27" i="27" s="1"/>
  <c r="R27" i="27"/>
  <c r="T27" i="27" s="1"/>
  <c r="M43" i="27"/>
  <c r="M38" i="27"/>
  <c r="F17" i="31"/>
  <c r="F16" i="27"/>
  <c r="F17" i="29"/>
  <c r="F17" i="28"/>
  <c r="F25" i="31"/>
  <c r="F25" i="29"/>
  <c r="F25" i="28"/>
  <c r="F2" i="27"/>
  <c r="F35" i="31"/>
  <c r="F35" i="28"/>
  <c r="F34" i="27"/>
  <c r="F35" i="29"/>
  <c r="F42" i="31"/>
  <c r="F41" i="27"/>
  <c r="F42" i="28"/>
  <c r="F42" i="29"/>
  <c r="F14" i="31"/>
  <c r="F13" i="27"/>
  <c r="F14" i="28"/>
  <c r="F14" i="29"/>
  <c r="S75" i="27"/>
  <c r="F29" i="31"/>
  <c r="F29" i="28"/>
  <c r="F68" i="27"/>
  <c r="F29" i="29"/>
  <c r="F32" i="31"/>
  <c r="F32" i="29"/>
  <c r="F31" i="27"/>
  <c r="F32" i="28"/>
  <c r="AQ33" i="19"/>
  <c r="F36" i="31"/>
  <c r="F36" i="28"/>
  <c r="F36" i="29"/>
  <c r="F35" i="27"/>
  <c r="F38" i="31"/>
  <c r="F38" i="29"/>
  <c r="F38" i="28"/>
  <c r="F37" i="27"/>
  <c r="F41" i="31"/>
  <c r="F41" i="28"/>
  <c r="F40" i="27"/>
  <c r="F41" i="29"/>
  <c r="AQ42" i="19"/>
  <c r="F43" i="31"/>
  <c r="F43" i="29"/>
  <c r="F43" i="28"/>
  <c r="F66" i="27"/>
  <c r="AQ46" i="19"/>
  <c r="F47" i="31"/>
  <c r="F47" i="28"/>
  <c r="F47" i="29"/>
  <c r="F46" i="27"/>
  <c r="F49" i="31"/>
  <c r="F49" i="28"/>
  <c r="F49" i="29"/>
  <c r="F48" i="27"/>
  <c r="F55" i="31"/>
  <c r="F55" i="29"/>
  <c r="F54" i="27"/>
  <c r="F55" i="28"/>
  <c r="AQ66" i="19"/>
  <c r="F67" i="31"/>
  <c r="F67" i="28"/>
  <c r="F67" i="29"/>
  <c r="F28" i="27"/>
  <c r="M88" i="28"/>
  <c r="Q88" i="28" s="1"/>
  <c r="U88" i="28" s="1"/>
  <c r="S88" i="28"/>
  <c r="V88" i="28" s="1"/>
  <c r="R88" i="28"/>
  <c r="T88" i="28" s="1"/>
  <c r="F75" i="31"/>
  <c r="F75" i="28"/>
  <c r="F75" i="29"/>
  <c r="F74" i="27"/>
  <c r="R83" i="28"/>
  <c r="T83" i="28" s="1"/>
  <c r="M84" i="27"/>
  <c r="R84" i="27"/>
  <c r="T84" i="27" s="1"/>
  <c r="S84" i="27"/>
  <c r="F15" i="31"/>
  <c r="F15" i="29"/>
  <c r="F67" i="27"/>
  <c r="F15" i="28"/>
  <c r="F30" i="31"/>
  <c r="F29" i="27"/>
  <c r="F30" i="29"/>
  <c r="F30" i="28"/>
  <c r="F37" i="31"/>
  <c r="F37" i="29"/>
  <c r="F36" i="27"/>
  <c r="F37" i="28"/>
  <c r="F48" i="31"/>
  <c r="F48" i="29"/>
  <c r="F48" i="28"/>
  <c r="F47" i="27"/>
  <c r="F58" i="31"/>
  <c r="F57" i="27"/>
  <c r="F58" i="28"/>
  <c r="F58" i="29"/>
  <c r="M88" i="29"/>
  <c r="Q88" i="29" s="1"/>
  <c r="U88" i="29" s="1"/>
  <c r="R88" i="29"/>
  <c r="T88" i="29" s="1"/>
  <c r="S88" i="29"/>
  <c r="V88" i="29" s="1"/>
  <c r="AQ13" i="19"/>
  <c r="F45" i="31"/>
  <c r="F45" i="28"/>
  <c r="F44" i="27"/>
  <c r="F45" i="29"/>
  <c r="F56" i="31"/>
  <c r="F56" i="28"/>
  <c r="F56" i="29"/>
  <c r="F55" i="27"/>
  <c r="F65" i="31"/>
  <c r="F64" i="27"/>
  <c r="F65" i="29"/>
  <c r="F65" i="28"/>
  <c r="F70" i="31"/>
  <c r="F69" i="27"/>
  <c r="F70" i="28"/>
  <c r="F70" i="29"/>
  <c r="F77" i="31"/>
  <c r="F77" i="29"/>
  <c r="F77" i="28"/>
  <c r="F76" i="27"/>
  <c r="F82" i="31"/>
  <c r="F81" i="27"/>
  <c r="F82" i="29"/>
  <c r="F82" i="28"/>
  <c r="AQ18" i="19"/>
  <c r="F19" i="31"/>
  <c r="F19" i="29"/>
  <c r="F19" i="28"/>
  <c r="F18" i="27"/>
  <c r="M71" i="31"/>
  <c r="Q71" i="31" s="1"/>
  <c r="U71" i="31" s="1"/>
  <c r="R71" i="31"/>
  <c r="T71" i="31" s="1"/>
  <c r="S71" i="31"/>
  <c r="V71" i="31" s="1"/>
  <c r="R87" i="27"/>
  <c r="T87" i="27" s="1"/>
  <c r="F62" i="31"/>
  <c r="F62" i="28"/>
  <c r="F61" i="27"/>
  <c r="F62" i="29"/>
  <c r="M74" i="31"/>
  <c r="BF70" i="19"/>
  <c r="AR55" i="19"/>
  <c r="AR14" i="19"/>
  <c r="AR15" i="19"/>
  <c r="AR83" i="19"/>
  <c r="AR75" i="19"/>
  <c r="AR19" i="19"/>
  <c r="AR33" i="19"/>
  <c r="AR18" i="19"/>
  <c r="AR43" i="19"/>
  <c r="AR57" i="19"/>
  <c r="AR84" i="19"/>
  <c r="AR20" i="19"/>
  <c r="AR60" i="19"/>
  <c r="AR74" i="19"/>
  <c r="AR85" i="19"/>
  <c r="AR21" i="19"/>
  <c r="AR47" i="19"/>
  <c r="AR62" i="19"/>
  <c r="AR81" i="19"/>
  <c r="AR17" i="19"/>
  <c r="AR66" i="19"/>
  <c r="AR16" i="19"/>
  <c r="AR29" i="19"/>
  <c r="AR37" i="19"/>
  <c r="AR27" i="19"/>
  <c r="F27" i="10" s="1"/>
  <c r="AR24" i="19"/>
  <c r="AR32" i="19"/>
  <c r="AR58" i="19"/>
  <c r="AR69" i="19"/>
  <c r="AR40" i="19"/>
  <c r="AR79" i="19"/>
  <c r="AR65" i="19"/>
  <c r="AR50" i="19"/>
  <c r="AR77" i="19"/>
  <c r="AR13" i="19"/>
  <c r="AR73" i="19"/>
  <c r="AR41" i="19"/>
  <c r="AR72" i="19"/>
  <c r="AR54" i="19"/>
  <c r="AR68" i="19"/>
  <c r="AR36" i="19"/>
  <c r="AR12" i="19"/>
  <c r="F12" i="10" s="1"/>
  <c r="AR64" i="19"/>
  <c r="AR23" i="19"/>
  <c r="AR22" i="19"/>
  <c r="AR44" i="19"/>
  <c r="AR26" i="19"/>
  <c r="AR63" i="19"/>
  <c r="AR78" i="19"/>
  <c r="AR82" i="19"/>
  <c r="AR45" i="19"/>
  <c r="AR25" i="19"/>
  <c r="AR52" i="19"/>
  <c r="AR80" i="19"/>
  <c r="AR86" i="19"/>
  <c r="AR42" i="19"/>
  <c r="AR53" i="19"/>
  <c r="AR28" i="19"/>
  <c r="AR49" i="19"/>
  <c r="AR34" i="19"/>
  <c r="AR61" i="19"/>
  <c r="AR76" i="19"/>
  <c r="AP86" i="19"/>
  <c r="AP85" i="19"/>
  <c r="AP83" i="19"/>
  <c r="AP80" i="19"/>
  <c r="AP75" i="19"/>
  <c r="AP74" i="19"/>
  <c r="AP73" i="19"/>
  <c r="AP72" i="19"/>
  <c r="AP71" i="19"/>
  <c r="AP69" i="19"/>
  <c r="AP68" i="19"/>
  <c r="AP67" i="19"/>
  <c r="AP66" i="19"/>
  <c r="AP65" i="19"/>
  <c r="AP63" i="19"/>
  <c r="AP62" i="19"/>
  <c r="AP61" i="19"/>
  <c r="AP57" i="19"/>
  <c r="AP55" i="19"/>
  <c r="AP54" i="19"/>
  <c r="AP46" i="19"/>
  <c r="AP45" i="19"/>
  <c r="AP41" i="19"/>
  <c r="AP39" i="19"/>
  <c r="AP38" i="19"/>
  <c r="AP32" i="19"/>
  <c r="AP30" i="19"/>
  <c r="AP29" i="19"/>
  <c r="AP28" i="19"/>
  <c r="AP26" i="19"/>
  <c r="AP24" i="19"/>
  <c r="AP23" i="19"/>
  <c r="AP18" i="19"/>
  <c r="AP17" i="19"/>
  <c r="AP15" i="19"/>
  <c r="AP14" i="19"/>
  <c r="AP13" i="19"/>
  <c r="AT83" i="19"/>
  <c r="AT81" i="19"/>
  <c r="AT69" i="19"/>
  <c r="AT68" i="19"/>
  <c r="AT67" i="19"/>
  <c r="AT66" i="19"/>
  <c r="AT65" i="19"/>
  <c r="AT63" i="19"/>
  <c r="AT62" i="19"/>
  <c r="AT61" i="19"/>
  <c r="AT60" i="19"/>
  <c r="AT59" i="19"/>
  <c r="AT58" i="19"/>
  <c r="J58" i="25"/>
  <c r="AT57" i="19"/>
  <c r="AT55" i="19"/>
  <c r="AT54" i="19"/>
  <c r="AV51" i="19"/>
  <c r="I51" i="10" s="1"/>
  <c r="J51" i="25"/>
  <c r="AU51" i="19"/>
  <c r="AT50" i="19"/>
  <c r="AT49" i="19"/>
  <c r="AT48" i="19"/>
  <c r="AT47" i="19"/>
  <c r="AU46" i="19"/>
  <c r="AT45" i="19"/>
  <c r="AT42" i="19"/>
  <c r="AT41" i="19"/>
  <c r="AT39" i="19"/>
  <c r="AT38" i="19"/>
  <c r="AT37" i="19"/>
  <c r="AT35" i="19"/>
  <c r="AT34" i="19"/>
  <c r="J33" i="25"/>
  <c r="AT33" i="19"/>
  <c r="AT32" i="19"/>
  <c r="AT31" i="19"/>
  <c r="AT30" i="19"/>
  <c r="AT29" i="19"/>
  <c r="AT28" i="19"/>
  <c r="AT26" i="19"/>
  <c r="AT24" i="19"/>
  <c r="AT23" i="19"/>
  <c r="AT20" i="19"/>
  <c r="AT18" i="19"/>
  <c r="J18" i="25"/>
  <c r="AT17" i="19"/>
  <c r="AT16" i="19"/>
  <c r="AT15" i="19"/>
  <c r="AT14" i="19"/>
  <c r="AT13" i="19"/>
  <c r="AT87" i="19"/>
  <c r="AU58" i="19"/>
  <c r="AU83" i="19"/>
  <c r="J83" i="25"/>
  <c r="AV81" i="19"/>
  <c r="I81" i="10" s="1"/>
  <c r="J81" i="25"/>
  <c r="AU81" i="19"/>
  <c r="AV80" i="19"/>
  <c r="I80" i="10" s="1"/>
  <c r="J80" i="25"/>
  <c r="AV75" i="19"/>
  <c r="I75" i="10" s="1"/>
  <c r="J75" i="25"/>
  <c r="AU75" i="19"/>
  <c r="AV68" i="19"/>
  <c r="I68" i="10" s="1"/>
  <c r="J68" i="25"/>
  <c r="AV67" i="19"/>
  <c r="I67" i="10" s="1"/>
  <c r="J67" i="25"/>
  <c r="AU66" i="19"/>
  <c r="J65" i="25"/>
  <c r="AV64" i="19"/>
  <c r="I64" i="10" s="1"/>
  <c r="J64" i="25"/>
  <c r="AU64" i="19"/>
  <c r="AV63" i="19"/>
  <c r="I63" i="10" s="1"/>
  <c r="J63" i="25"/>
  <c r="AU63" i="19"/>
  <c r="AV62" i="19"/>
  <c r="I62" i="10" s="1"/>
  <c r="J62" i="25"/>
  <c r="AV60" i="19"/>
  <c r="I60" i="10" s="1"/>
  <c r="J60" i="25"/>
  <c r="AU60" i="19"/>
  <c r="AV59" i="19"/>
  <c r="I59" i="10" s="1"/>
  <c r="J59" i="25"/>
  <c r="AU59" i="19"/>
  <c r="AV57" i="19"/>
  <c r="I57" i="10" s="1"/>
  <c r="J57" i="25"/>
  <c r="AU57" i="19"/>
  <c r="AV54" i="19"/>
  <c r="I54" i="10" s="1"/>
  <c r="J54" i="25"/>
  <c r="AU54" i="19"/>
  <c r="AV49" i="19"/>
  <c r="I49" i="10" s="1"/>
  <c r="J49" i="25"/>
  <c r="AU49" i="19"/>
  <c r="AV48" i="19"/>
  <c r="I48" i="10" s="1"/>
  <c r="J48" i="25"/>
  <c r="AU48" i="19"/>
  <c r="AV47" i="19"/>
  <c r="I47" i="10" s="1"/>
  <c r="J47" i="25"/>
  <c r="AU47" i="19"/>
  <c r="AT46" i="19"/>
  <c r="AU45" i="19"/>
  <c r="AV45" i="19"/>
  <c r="I45" i="10" s="1"/>
  <c r="J45" i="25"/>
  <c r="AV42" i="19"/>
  <c r="I42" i="10" s="1"/>
  <c r="J42" i="25"/>
  <c r="AU42" i="19"/>
  <c r="AV40" i="19"/>
  <c r="I40" i="10" s="1"/>
  <c r="J40" i="25"/>
  <c r="AU40" i="19"/>
  <c r="AV39" i="19"/>
  <c r="I39" i="10" s="1"/>
  <c r="J39" i="25"/>
  <c r="AU39" i="19"/>
  <c r="AV38" i="19"/>
  <c r="I38" i="10" s="1"/>
  <c r="J38" i="25"/>
  <c r="AU38" i="19"/>
  <c r="AV35" i="19"/>
  <c r="I35" i="10" s="1"/>
  <c r="J35" i="25"/>
  <c r="AU35" i="19"/>
  <c r="AV34" i="19"/>
  <c r="I34" i="10" s="1"/>
  <c r="J34" i="25"/>
  <c r="AU34" i="19"/>
  <c r="AV32" i="19"/>
  <c r="I32" i="10" s="1"/>
  <c r="J32" i="25"/>
  <c r="AU30" i="19"/>
  <c r="AU29" i="19"/>
  <c r="J29" i="25"/>
  <c r="AV28" i="19"/>
  <c r="I28" i="10" s="1"/>
  <c r="J28" i="25"/>
  <c r="AV24" i="19"/>
  <c r="I24" i="10" s="1"/>
  <c r="J24" i="25"/>
  <c r="AU24" i="19"/>
  <c r="AV23" i="19"/>
  <c r="I23" i="10" s="1"/>
  <c r="J23" i="25"/>
  <c r="AU23" i="19"/>
  <c r="J20" i="25"/>
  <c r="AU18" i="19"/>
  <c r="J17" i="25"/>
  <c r="AV16" i="19"/>
  <c r="I16" i="10" s="1"/>
  <c r="J16" i="25"/>
  <c r="AV15" i="19"/>
  <c r="I15" i="10" s="1"/>
  <c r="J15" i="25"/>
  <c r="J14" i="25"/>
  <c r="AU14" i="19"/>
  <c r="AV13" i="19"/>
  <c r="I13" i="10" s="1"/>
  <c r="J13" i="25"/>
  <c r="AU13" i="19"/>
  <c r="AS23" i="19"/>
  <c r="AS83" i="19"/>
  <c r="AS81" i="19"/>
  <c r="AS80" i="19"/>
  <c r="AS77" i="19"/>
  <c r="AS75" i="19"/>
  <c r="AS69" i="19"/>
  <c r="AS68" i="19"/>
  <c r="AS66" i="19"/>
  <c r="AS65" i="19"/>
  <c r="AS64" i="19"/>
  <c r="AS63" i="19"/>
  <c r="AS62" i="19"/>
  <c r="AS61" i="19"/>
  <c r="AS60" i="19"/>
  <c r="AS58" i="19"/>
  <c r="AS57" i="19"/>
  <c r="AS55" i="19"/>
  <c r="AS51" i="19"/>
  <c r="AS50" i="19"/>
  <c r="AS48" i="19"/>
  <c r="AS47" i="19"/>
  <c r="AS46" i="19"/>
  <c r="AS45" i="19"/>
  <c r="AS42" i="19"/>
  <c r="AS41" i="19"/>
  <c r="AS40" i="19"/>
  <c r="AS38" i="19"/>
  <c r="AS37" i="19"/>
  <c r="AS36" i="19"/>
  <c r="AS35" i="19"/>
  <c r="AS34" i="19"/>
  <c r="AS33" i="19"/>
  <c r="AS30" i="19"/>
  <c r="AS29" i="19"/>
  <c r="AS28" i="19"/>
  <c r="AS26" i="19"/>
  <c r="AS24" i="19"/>
  <c r="AS20" i="19"/>
  <c r="AS18" i="19"/>
  <c r="AS17" i="19"/>
  <c r="AS16" i="19"/>
  <c r="AS15" i="19"/>
  <c r="AS14" i="19"/>
  <c r="AQ39" i="19"/>
  <c r="E39" i="10" s="1"/>
  <c r="AO87" i="19"/>
  <c r="AO83" i="19"/>
  <c r="AO66" i="19"/>
  <c r="AO65" i="19"/>
  <c r="AO64" i="19"/>
  <c r="AO61" i="19"/>
  <c r="AO60" i="19"/>
  <c r="AO59" i="19"/>
  <c r="AO57" i="19"/>
  <c r="AO56" i="19"/>
  <c r="AO51" i="19"/>
  <c r="AO50" i="19"/>
  <c r="AO49" i="19"/>
  <c r="AO46" i="19"/>
  <c r="AO45" i="19"/>
  <c r="AO44" i="19"/>
  <c r="AO41" i="19"/>
  <c r="AO38" i="19"/>
  <c r="AO37" i="19"/>
  <c r="AO36" i="19"/>
  <c r="AO35" i="19"/>
  <c r="AO33" i="19"/>
  <c r="AO32" i="19"/>
  <c r="AO31" i="19"/>
  <c r="AO30" i="19"/>
  <c r="AO29" i="19"/>
  <c r="AO28" i="19"/>
  <c r="AO26" i="19"/>
  <c r="AO23" i="19"/>
  <c r="AO20" i="19"/>
  <c r="AO18" i="19"/>
  <c r="AO16" i="19"/>
  <c r="AO15" i="19"/>
  <c r="AO14" i="19"/>
  <c r="AO13" i="19"/>
  <c r="AQ83" i="19"/>
  <c r="AQ81" i="19"/>
  <c r="AQ80" i="19"/>
  <c r="AQ77" i="19"/>
  <c r="AQ76" i="19"/>
  <c r="AQ69" i="19"/>
  <c r="AQ67" i="19"/>
  <c r="AQ65" i="19"/>
  <c r="AQ64" i="19"/>
  <c r="AQ63" i="19"/>
  <c r="AQ60" i="19"/>
  <c r="AQ59" i="19"/>
  <c r="AQ58" i="19"/>
  <c r="AQ57" i="19"/>
  <c r="AQ55" i="19"/>
  <c r="AQ54" i="19"/>
  <c r="AQ50" i="19"/>
  <c r="AQ48" i="19"/>
  <c r="AQ47" i="19"/>
  <c r="AQ45" i="19"/>
  <c r="AQ44" i="19"/>
  <c r="AQ41" i="19"/>
  <c r="AQ40" i="19"/>
  <c r="AQ37" i="19"/>
  <c r="AQ36" i="19"/>
  <c r="AQ35" i="19"/>
  <c r="AQ34" i="19"/>
  <c r="AQ32" i="19"/>
  <c r="AQ31" i="19"/>
  <c r="AQ30" i="19"/>
  <c r="AQ29" i="19"/>
  <c r="AQ28" i="19"/>
  <c r="AQ26" i="19"/>
  <c r="AQ24" i="19"/>
  <c r="AQ17" i="19"/>
  <c r="AQ16" i="19"/>
  <c r="AQ15" i="19"/>
  <c r="AQ14" i="19"/>
  <c r="E3" i="19"/>
  <c r="E4" i="19"/>
  <c r="E5" i="19"/>
  <c r="E6" i="19"/>
  <c r="E7" i="19"/>
  <c r="E8" i="19"/>
  <c r="E9" i="19"/>
  <c r="E10" i="19"/>
  <c r="E11" i="19"/>
  <c r="D3" i="19"/>
  <c r="D4" i="19"/>
  <c r="D5" i="19"/>
  <c r="D6" i="19"/>
  <c r="D7" i="19"/>
  <c r="D8" i="19"/>
  <c r="D9" i="19"/>
  <c r="D10" i="19"/>
  <c r="D11" i="19"/>
  <c r="D2" i="19"/>
  <c r="A3" i="25"/>
  <c r="A4" i="25"/>
  <c r="A5" i="25"/>
  <c r="A6" i="25"/>
  <c r="A7" i="25"/>
  <c r="A8" i="25"/>
  <c r="A9" i="25"/>
  <c r="A10" i="25"/>
  <c r="A11" i="25"/>
  <c r="A2" i="25"/>
  <c r="A3" i="24"/>
  <c r="A4" i="24"/>
  <c r="A5" i="24"/>
  <c r="A6" i="24"/>
  <c r="A7" i="24"/>
  <c r="A8" i="24"/>
  <c r="A9" i="24"/>
  <c r="A10" i="24"/>
  <c r="A11" i="24"/>
  <c r="A2" i="24"/>
  <c r="A2" i="23"/>
  <c r="A2" i="22"/>
  <c r="A2" i="21"/>
  <c r="A2" i="3"/>
  <c r="A2" i="5"/>
  <c r="A2" i="4"/>
  <c r="A2" i="16"/>
  <c r="A2" i="15"/>
  <c r="M87" i="27" l="1"/>
  <c r="R79" i="29"/>
  <c r="T79" i="29" s="1"/>
  <c r="R13" i="28"/>
  <c r="T13" i="28" s="1"/>
  <c r="R88" i="33"/>
  <c r="T88" i="33" s="1"/>
  <c r="R54" i="28"/>
  <c r="T54" i="28" s="1"/>
  <c r="S57" i="31"/>
  <c r="V57" i="31" s="1"/>
  <c r="BD72" i="35"/>
  <c r="M71" i="27"/>
  <c r="Q71" i="27" s="1"/>
  <c r="U71" i="27" s="1"/>
  <c r="R13" i="29"/>
  <c r="T13" i="29" s="1"/>
  <c r="R54" i="29"/>
  <c r="T54" i="29" s="1"/>
  <c r="R53" i="31"/>
  <c r="T53" i="31" s="1"/>
  <c r="M70" i="27"/>
  <c r="Q70" i="27" s="1"/>
  <c r="U70" i="27" s="1"/>
  <c r="M73" i="28"/>
  <c r="R79" i="33"/>
  <c r="T79" i="33" s="1"/>
  <c r="M79" i="29"/>
  <c r="Q79" i="29" s="1"/>
  <c r="U79" i="29" s="1"/>
  <c r="S13" i="28"/>
  <c r="V13" i="28" s="1"/>
  <c r="R85" i="29"/>
  <c r="T85" i="29" s="1"/>
  <c r="S73" i="31"/>
  <c r="V73" i="31" s="1"/>
  <c r="S73" i="34"/>
  <c r="V73" i="34" s="1"/>
  <c r="S80" i="33"/>
  <c r="V80" i="33" s="1"/>
  <c r="S79" i="27"/>
  <c r="M73" i="29"/>
  <c r="Q73" i="29" s="1"/>
  <c r="U73" i="29" s="1"/>
  <c r="R83" i="31"/>
  <c r="T83" i="31" s="1"/>
  <c r="S85" i="33"/>
  <c r="V85" i="33" s="1"/>
  <c r="BD71" i="35"/>
  <c r="AV71" i="35" s="1"/>
  <c r="BF71" i="35" s="1"/>
  <c r="R83" i="33"/>
  <c r="T83" i="33" s="1"/>
  <c r="S28" i="28"/>
  <c r="V28" i="28" s="1"/>
  <c r="S74" i="29"/>
  <c r="V74" i="29" s="1"/>
  <c r="R71" i="28"/>
  <c r="T71" i="28" s="1"/>
  <c r="R71" i="32"/>
  <c r="T71" i="32" s="1"/>
  <c r="S71" i="29"/>
  <c r="V71" i="29" s="1"/>
  <c r="M73" i="34"/>
  <c r="Q73" i="34" s="1"/>
  <c r="U73" i="34" s="1"/>
  <c r="R72" i="31"/>
  <c r="T72" i="31" s="1"/>
  <c r="BE49" i="19"/>
  <c r="R44" i="28"/>
  <c r="T44" i="28" s="1"/>
  <c r="S23" i="31"/>
  <c r="V23" i="31" s="1"/>
  <c r="S20" i="31"/>
  <c r="V20" i="31" s="1"/>
  <c r="M20" i="29"/>
  <c r="Q20" i="29" s="1"/>
  <c r="U20" i="29" s="1"/>
  <c r="M13" i="29"/>
  <c r="Q13" i="29" s="1"/>
  <c r="U13" i="29" s="1"/>
  <c r="M54" i="29"/>
  <c r="Q54" i="29" s="1"/>
  <c r="U54" i="29" s="1"/>
  <c r="M28" i="28"/>
  <c r="Q28" i="28" s="1"/>
  <c r="U28" i="28" s="1"/>
  <c r="S53" i="31"/>
  <c r="V53" i="31" s="1"/>
  <c r="M19" i="27"/>
  <c r="Q19" i="27" s="1"/>
  <c r="U19" i="27" s="1"/>
  <c r="R39" i="31"/>
  <c r="T39" i="31" s="1"/>
  <c r="S72" i="29"/>
  <c r="V72" i="29" s="1"/>
  <c r="S79" i="33"/>
  <c r="V79" i="33" s="1"/>
  <c r="S53" i="27"/>
  <c r="S70" i="27"/>
  <c r="E71" i="10"/>
  <c r="BE25" i="19"/>
  <c r="M26" i="31"/>
  <c r="Q26" i="31" s="1"/>
  <c r="U26" i="31" s="1"/>
  <c r="M71" i="34"/>
  <c r="Q71" i="34" s="1"/>
  <c r="U71" i="34" s="1"/>
  <c r="M72" i="31"/>
  <c r="Q72" i="31" s="1"/>
  <c r="U72" i="31" s="1"/>
  <c r="R22" i="28"/>
  <c r="T22" i="28" s="1"/>
  <c r="M71" i="29"/>
  <c r="Q71" i="29" s="1"/>
  <c r="U71" i="29" s="1"/>
  <c r="R28" i="31"/>
  <c r="T28" i="31" s="1"/>
  <c r="M50" i="34"/>
  <c r="Q50" i="34" s="1"/>
  <c r="U50" i="34" s="1"/>
  <c r="E73" i="10"/>
  <c r="M79" i="34"/>
  <c r="Q79" i="34" s="1"/>
  <c r="U79" i="34" s="1"/>
  <c r="BE85" i="19"/>
  <c r="S85" i="31"/>
  <c r="V85" i="31" s="1"/>
  <c r="M57" i="28"/>
  <c r="Q57" i="28" s="1"/>
  <c r="U57" i="28" s="1"/>
  <c r="S80" i="32"/>
  <c r="V80" i="32" s="1"/>
  <c r="R73" i="33"/>
  <c r="T73" i="33" s="1"/>
  <c r="BE79" i="19"/>
  <c r="M73" i="31"/>
  <c r="Q73" i="31" s="1"/>
  <c r="U73" i="31" s="1"/>
  <c r="M80" i="34"/>
  <c r="Q80" i="34" s="1"/>
  <c r="U80" i="34" s="1"/>
  <c r="S71" i="33"/>
  <c r="V71" i="33" s="1"/>
  <c r="M28" i="29"/>
  <c r="Q28" i="29" s="1"/>
  <c r="U28" i="29" s="1"/>
  <c r="R23" i="31"/>
  <c r="T23" i="31" s="1"/>
  <c r="R22" i="27"/>
  <c r="T22" i="27" s="1"/>
  <c r="M13" i="31"/>
  <c r="Q13" i="31" s="1"/>
  <c r="U13" i="31" s="1"/>
  <c r="R20" i="31"/>
  <c r="T20" i="31" s="1"/>
  <c r="M28" i="31"/>
  <c r="Q28" i="31" s="1"/>
  <c r="U28" i="31" s="1"/>
  <c r="R76" i="34"/>
  <c r="T76" i="34" s="1"/>
  <c r="S79" i="34"/>
  <c r="V79" i="34" s="1"/>
  <c r="R80" i="32"/>
  <c r="T80" i="32" s="1"/>
  <c r="R71" i="33"/>
  <c r="T71" i="33" s="1"/>
  <c r="M23" i="28"/>
  <c r="Q23" i="28" s="1"/>
  <c r="U23" i="28" s="1"/>
  <c r="S80" i="34"/>
  <c r="V80" i="34" s="1"/>
  <c r="E82" i="10"/>
  <c r="AS12" i="35"/>
  <c r="BD52" i="35"/>
  <c r="BE52" i="35" s="1"/>
  <c r="BD43" i="35"/>
  <c r="AU43" i="35" s="1"/>
  <c r="BD82" i="35"/>
  <c r="AS82" i="35" s="1"/>
  <c r="BD53" i="35"/>
  <c r="AU53" i="35" s="1"/>
  <c r="BD77" i="35"/>
  <c r="BE77" i="35" s="1"/>
  <c r="R20" i="28"/>
  <c r="T20" i="28" s="1"/>
  <c r="S44" i="29"/>
  <c r="V44" i="29" s="1"/>
  <c r="R79" i="31"/>
  <c r="T79" i="31" s="1"/>
  <c r="M83" i="31"/>
  <c r="Q83" i="31" s="1"/>
  <c r="U83" i="31" s="1"/>
  <c r="R54" i="31"/>
  <c r="T54" i="31" s="1"/>
  <c r="S20" i="28"/>
  <c r="V20" i="28" s="1"/>
  <c r="R79" i="27"/>
  <c r="T79" i="27" s="1"/>
  <c r="M74" i="29"/>
  <c r="R80" i="28"/>
  <c r="T80" i="28" s="1"/>
  <c r="S71" i="28"/>
  <c r="V71" i="28" s="1"/>
  <c r="M54" i="28"/>
  <c r="Q54" i="28" s="1"/>
  <c r="U54" i="28" s="1"/>
  <c r="S78" i="27"/>
  <c r="S72" i="27"/>
  <c r="R85" i="33"/>
  <c r="T85" i="33" s="1"/>
  <c r="S83" i="33"/>
  <c r="V83" i="33" s="1"/>
  <c r="M71" i="32"/>
  <c r="Q71" i="32" s="1"/>
  <c r="U71" i="32" s="1"/>
  <c r="BD19" i="35"/>
  <c r="AU19" i="35" s="1"/>
  <c r="BD79" i="35"/>
  <c r="AU79" i="35" s="1"/>
  <c r="R44" i="29"/>
  <c r="T44" i="29" s="1"/>
  <c r="S79" i="31"/>
  <c r="V79" i="31" s="1"/>
  <c r="S54" i="31"/>
  <c r="V54" i="31" s="1"/>
  <c r="S13" i="31"/>
  <c r="V13" i="31" s="1"/>
  <c r="R78" i="27"/>
  <c r="T78" i="27" s="1"/>
  <c r="R72" i="27"/>
  <c r="T72" i="27" s="1"/>
  <c r="Q76" i="33"/>
  <c r="U76" i="33" s="1"/>
  <c r="S80" i="31"/>
  <c r="V80" i="31" s="1"/>
  <c r="S83" i="28"/>
  <c r="V83" i="28" s="1"/>
  <c r="S56" i="27"/>
  <c r="S83" i="29"/>
  <c r="V83" i="29" s="1"/>
  <c r="R82" i="27"/>
  <c r="T82" i="27" s="1"/>
  <c r="E52" i="10"/>
  <c r="S83" i="34"/>
  <c r="V83" i="34" s="1"/>
  <c r="M83" i="32"/>
  <c r="Q83" i="32" s="1"/>
  <c r="U83" i="32" s="1"/>
  <c r="R20" i="29"/>
  <c r="T20" i="29" s="1"/>
  <c r="R26" i="31"/>
  <c r="T26" i="31" s="1"/>
  <c r="R80" i="31"/>
  <c r="T80" i="31" s="1"/>
  <c r="R86" i="28"/>
  <c r="T86" i="28" s="1"/>
  <c r="S19" i="27"/>
  <c r="R56" i="27"/>
  <c r="T56" i="27" s="1"/>
  <c r="S82" i="27"/>
  <c r="S85" i="27"/>
  <c r="R71" i="34"/>
  <c r="T71" i="34" s="1"/>
  <c r="E38" i="10"/>
  <c r="E70" i="10"/>
  <c r="R83" i="34"/>
  <c r="T83" i="34" s="1"/>
  <c r="BD78" i="35"/>
  <c r="AV78" i="35" s="1"/>
  <c r="BF78" i="35" s="1"/>
  <c r="R50" i="31"/>
  <c r="T50" i="31" s="1"/>
  <c r="S23" i="29"/>
  <c r="V23" i="29" s="1"/>
  <c r="Q52" i="27"/>
  <c r="U52" i="27" s="1"/>
  <c r="Q84" i="27"/>
  <c r="U84" i="27" s="1"/>
  <c r="BD21" i="35"/>
  <c r="AU21" i="35" s="1"/>
  <c r="BD14" i="35"/>
  <c r="AS14" i="35" s="1"/>
  <c r="BD16" i="35"/>
  <c r="AU16" i="35" s="1"/>
  <c r="BD51" i="35"/>
  <c r="AV51" i="35" s="1"/>
  <c r="BD55" i="35"/>
  <c r="AV55" i="35" s="1"/>
  <c r="BF55" i="35" s="1"/>
  <c r="BD27" i="35"/>
  <c r="AU27" i="35" s="1"/>
  <c r="BD62" i="35"/>
  <c r="AU62" i="35" s="1"/>
  <c r="Q80" i="28"/>
  <c r="U80" i="28" s="1"/>
  <c r="R75" i="27"/>
  <c r="T75" i="27" s="1"/>
  <c r="R52" i="27"/>
  <c r="T52" i="27" s="1"/>
  <c r="S12" i="27"/>
  <c r="R53" i="27"/>
  <c r="T53" i="27" s="1"/>
  <c r="R43" i="27"/>
  <c r="T43" i="27" s="1"/>
  <c r="R12" i="27"/>
  <c r="T12" i="27" s="1"/>
  <c r="S43" i="27"/>
  <c r="S27" i="27"/>
  <c r="Q72" i="27"/>
  <c r="U72" i="27" s="1"/>
  <c r="Q87" i="27"/>
  <c r="U87" i="27" s="1"/>
  <c r="Q53" i="27"/>
  <c r="U53" i="27" s="1"/>
  <c r="Q25" i="27"/>
  <c r="U25" i="27" s="1"/>
  <c r="Q82" i="27"/>
  <c r="U82" i="27" s="1"/>
  <c r="Q79" i="27"/>
  <c r="U79" i="27" s="1"/>
  <c r="Q12" i="27"/>
  <c r="U12" i="27" s="1"/>
  <c r="Q43" i="27"/>
  <c r="U43" i="27" s="1"/>
  <c r="Q56" i="27"/>
  <c r="U56" i="27" s="1"/>
  <c r="J36" i="25"/>
  <c r="AV61" i="19"/>
  <c r="I61" i="10" s="1"/>
  <c r="AW77" i="19"/>
  <c r="J77" i="10" s="1"/>
  <c r="AV37" i="19"/>
  <c r="I37" i="10" s="1"/>
  <c r="AQ37" i="35"/>
  <c r="AR19" i="35"/>
  <c r="AW19" i="19"/>
  <c r="J19" i="10" s="1"/>
  <c r="AR12" i="35"/>
  <c r="AW12" i="19"/>
  <c r="J12" i="10" s="1"/>
  <c r="AR79" i="35"/>
  <c r="AW79" i="19"/>
  <c r="J79" i="10" s="1"/>
  <c r="AQ72" i="35"/>
  <c r="AV72" i="19"/>
  <c r="I72" i="10" s="1"/>
  <c r="AQ22" i="35"/>
  <c r="AV22" i="19"/>
  <c r="I22" i="10" s="1"/>
  <c r="AR78" i="35"/>
  <c r="AW78" i="19"/>
  <c r="J78" i="10" s="1"/>
  <c r="J30" i="25"/>
  <c r="AV30" i="19"/>
  <c r="I30" i="10" s="1"/>
  <c r="AQ30" i="35"/>
  <c r="AQ19" i="35"/>
  <c r="AV19" i="19"/>
  <c r="I19" i="10" s="1"/>
  <c r="AV76" i="19"/>
  <c r="I76" i="10" s="1"/>
  <c r="AQ76" i="35"/>
  <c r="J21" i="25"/>
  <c r="AV21" i="19"/>
  <c r="I21" i="10" s="1"/>
  <c r="AQ21" i="35"/>
  <c r="AW53" i="19"/>
  <c r="J53" i="10" s="1"/>
  <c r="AR53" i="35"/>
  <c r="AQ79" i="35"/>
  <c r="AV79" i="19"/>
  <c r="I79" i="10" s="1"/>
  <c r="AV78" i="19"/>
  <c r="I78" i="10" s="1"/>
  <c r="AQ78" i="35"/>
  <c r="AW82" i="19"/>
  <c r="J82" i="10" s="1"/>
  <c r="AR82" i="35"/>
  <c r="AR27" i="35"/>
  <c r="AW27" i="19"/>
  <c r="J27" i="10" s="1"/>
  <c r="AR84" i="35"/>
  <c r="AW84" i="19"/>
  <c r="J84" i="10" s="1"/>
  <c r="AQ84" i="35"/>
  <c r="AV84" i="19"/>
  <c r="I84" i="10" s="1"/>
  <c r="AV43" i="19"/>
  <c r="I43" i="10" s="1"/>
  <c r="AQ43" i="35"/>
  <c r="AR52" i="35"/>
  <c r="AW52" i="19"/>
  <c r="J52" i="10" s="1"/>
  <c r="AV53" i="19"/>
  <c r="I53" i="10" s="1"/>
  <c r="AQ53" i="35"/>
  <c r="AR72" i="35"/>
  <c r="AW72" i="19"/>
  <c r="J72" i="10" s="1"/>
  <c r="AQ27" i="35"/>
  <c r="AV27" i="19"/>
  <c r="I27" i="10" s="1"/>
  <c r="AW43" i="19"/>
  <c r="J43" i="10" s="1"/>
  <c r="AR43" i="35"/>
  <c r="AQ12" i="35"/>
  <c r="AV12" i="19"/>
  <c r="I12" i="10" s="1"/>
  <c r="AR22" i="35"/>
  <c r="AW22" i="19"/>
  <c r="J22" i="10" s="1"/>
  <c r="AV82" i="19"/>
  <c r="I82" i="10" s="1"/>
  <c r="AQ82" i="35"/>
  <c r="BD49" i="35"/>
  <c r="AS49" i="35" s="1"/>
  <c r="S52" i="27"/>
  <c r="M75" i="27"/>
  <c r="Q75" i="27" s="1"/>
  <c r="U75" i="27" s="1"/>
  <c r="E75" i="10"/>
  <c r="R80" i="29"/>
  <c r="T80" i="29" s="1"/>
  <c r="S57" i="29"/>
  <c r="V57" i="29" s="1"/>
  <c r="S80" i="28"/>
  <c r="V80" i="28" s="1"/>
  <c r="E56" i="10"/>
  <c r="E12" i="10"/>
  <c r="R28" i="29"/>
  <c r="T28" i="29" s="1"/>
  <c r="S80" i="29"/>
  <c r="V80" i="29" s="1"/>
  <c r="R23" i="28"/>
  <c r="T23" i="28" s="1"/>
  <c r="BD44" i="35"/>
  <c r="AS44" i="35" s="1"/>
  <c r="AT44" i="35" s="1"/>
  <c r="BD25" i="35"/>
  <c r="BE25" i="35" s="1"/>
  <c r="S44" i="31"/>
  <c r="V44" i="31" s="1"/>
  <c r="R50" i="28"/>
  <c r="T50" i="28" s="1"/>
  <c r="R22" i="29"/>
  <c r="T22" i="29" s="1"/>
  <c r="AS76" i="35"/>
  <c r="AT76" i="35" s="1"/>
  <c r="R57" i="28"/>
  <c r="T57" i="28" s="1"/>
  <c r="BD86" i="35"/>
  <c r="BE86" i="35" s="1"/>
  <c r="S76" i="29"/>
  <c r="V76" i="29" s="1"/>
  <c r="R76" i="29"/>
  <c r="T76" i="29" s="1"/>
  <c r="S76" i="33"/>
  <c r="V76" i="33" s="1"/>
  <c r="S73" i="29"/>
  <c r="V73" i="29" s="1"/>
  <c r="S73" i="32"/>
  <c r="V73" i="32" s="1"/>
  <c r="R53" i="29"/>
  <c r="T53" i="29" s="1"/>
  <c r="Q50" i="32"/>
  <c r="U50" i="32" s="1"/>
  <c r="R49" i="27"/>
  <c r="T49" i="27" s="1"/>
  <c r="S49" i="27"/>
  <c r="BD34" i="35"/>
  <c r="AV34" i="35" s="1"/>
  <c r="BF34" i="35" s="1"/>
  <c r="R26" i="28"/>
  <c r="T26" i="28" s="1"/>
  <c r="R26" i="33"/>
  <c r="T26" i="33" s="1"/>
  <c r="BD42" i="35"/>
  <c r="AS42" i="35" s="1"/>
  <c r="AU12" i="35"/>
  <c r="AV12" i="35"/>
  <c r="BF12" i="35" s="1"/>
  <c r="AS84" i="35"/>
  <c r="AT84" i="35" s="1"/>
  <c r="AV22" i="35"/>
  <c r="BF22" i="35" s="1"/>
  <c r="AU84" i="35"/>
  <c r="R50" i="32"/>
  <c r="T50" i="32" s="1"/>
  <c r="R63" i="29"/>
  <c r="T63" i="29" s="1"/>
  <c r="BD36" i="35"/>
  <c r="BE36" i="35" s="1"/>
  <c r="AW73" i="19"/>
  <c r="J73" i="10" s="1"/>
  <c r="AR73" i="35"/>
  <c r="AW86" i="19"/>
  <c r="J86" i="10" s="1"/>
  <c r="AR86" i="35"/>
  <c r="AR85" i="35"/>
  <c r="AW85" i="19"/>
  <c r="J85" i="10" s="1"/>
  <c r="BD81" i="35"/>
  <c r="AS81" i="35" s="1"/>
  <c r="AU70" i="35"/>
  <c r="BI70" i="19"/>
  <c r="AX70" i="19" s="1"/>
  <c r="AY70" i="19" s="1"/>
  <c r="K70" i="10" s="1"/>
  <c r="AS70" i="35"/>
  <c r="AT70" i="35" s="1"/>
  <c r="AW61" i="19"/>
  <c r="J61" i="10" s="1"/>
  <c r="AR61" i="35"/>
  <c r="BD60" i="35"/>
  <c r="AS60" i="35" s="1"/>
  <c r="AW56" i="19"/>
  <c r="J56" i="10" s="1"/>
  <c r="AR56" i="35"/>
  <c r="BD50" i="35"/>
  <c r="AS50" i="35" s="1"/>
  <c r="AR50" i="35"/>
  <c r="AW50" i="19"/>
  <c r="J50" i="10" s="1"/>
  <c r="AR44" i="35"/>
  <c r="AW44" i="19"/>
  <c r="J44" i="10" s="1"/>
  <c r="AR41" i="35"/>
  <c r="AW41" i="19"/>
  <c r="J41" i="10" s="1"/>
  <c r="AW36" i="19"/>
  <c r="J36" i="10" s="1"/>
  <c r="AR36" i="35"/>
  <c r="AR25" i="35"/>
  <c r="AW25" i="19"/>
  <c r="J25" i="10" s="1"/>
  <c r="BD17" i="35"/>
  <c r="AV17" i="35" s="1"/>
  <c r="BF17" i="35" s="1"/>
  <c r="AR87" i="35"/>
  <c r="R63" i="28"/>
  <c r="T63" i="28" s="1"/>
  <c r="S63" i="28"/>
  <c r="V63" i="28" s="1"/>
  <c r="Q63" i="28"/>
  <c r="U63" i="28" s="1"/>
  <c r="BD41" i="35"/>
  <c r="AU41" i="35" s="1"/>
  <c r="S41" i="32"/>
  <c r="V41" i="32" s="1"/>
  <c r="BD33" i="35"/>
  <c r="AU33" i="35" s="1"/>
  <c r="AV77" i="35"/>
  <c r="BG77" i="35" s="1"/>
  <c r="BD83" i="35"/>
  <c r="BE83" i="35" s="1"/>
  <c r="BD67" i="35"/>
  <c r="AS67" i="35" s="1"/>
  <c r="BD65" i="35"/>
  <c r="AS65" i="35" s="1"/>
  <c r="BD63" i="35"/>
  <c r="AV63" i="35" s="1"/>
  <c r="BG63" i="35" s="1"/>
  <c r="Q63" i="31"/>
  <c r="U63" i="31" s="1"/>
  <c r="BD61" i="35"/>
  <c r="AU61" i="35" s="1"/>
  <c r="BD58" i="35"/>
  <c r="AS58" i="35" s="1"/>
  <c r="BD54" i="35"/>
  <c r="AV54" i="35" s="1"/>
  <c r="BG54" i="35" s="1"/>
  <c r="Q50" i="31"/>
  <c r="U50" i="31" s="1"/>
  <c r="S50" i="31"/>
  <c r="V50" i="31" s="1"/>
  <c r="BD48" i="35"/>
  <c r="BE48" i="35" s="1"/>
  <c r="BD47" i="35"/>
  <c r="AU47" i="35" s="1"/>
  <c r="BD46" i="35"/>
  <c r="AS46" i="35" s="1"/>
  <c r="AT46" i="35" s="1"/>
  <c r="BD40" i="35"/>
  <c r="AV40" i="35" s="1"/>
  <c r="S39" i="31"/>
  <c r="V39" i="31" s="1"/>
  <c r="BD32" i="35"/>
  <c r="AV32" i="35" s="1"/>
  <c r="BD31" i="35"/>
  <c r="AU31" i="35" s="1"/>
  <c r="BD24" i="35"/>
  <c r="AS24" i="35" s="1"/>
  <c r="Q24" i="31"/>
  <c r="U24" i="31" s="1"/>
  <c r="BG88" i="35"/>
  <c r="R76" i="31"/>
  <c r="T76" i="31" s="1"/>
  <c r="BD75" i="35"/>
  <c r="BE75" i="35" s="1"/>
  <c r="AV70" i="35"/>
  <c r="BG70" i="35" s="1"/>
  <c r="Q67" i="33"/>
  <c r="U67" i="33" s="1"/>
  <c r="BD59" i="35"/>
  <c r="AS59" i="35" s="1"/>
  <c r="BD57" i="35"/>
  <c r="BE57" i="35" s="1"/>
  <c r="Q50" i="29"/>
  <c r="U50" i="29" s="1"/>
  <c r="R41" i="33"/>
  <c r="T41" i="33" s="1"/>
  <c r="Q41" i="33"/>
  <c r="U41" i="33" s="1"/>
  <c r="BD30" i="35"/>
  <c r="BE30" i="35" s="1"/>
  <c r="BD29" i="35"/>
  <c r="AU29" i="35" s="1"/>
  <c r="BD80" i="35"/>
  <c r="BE80" i="35" s="1"/>
  <c r="Q76" i="34"/>
  <c r="U76" i="34" s="1"/>
  <c r="S76" i="34"/>
  <c r="V76" i="34" s="1"/>
  <c r="BD64" i="35"/>
  <c r="BE64" i="35" s="1"/>
  <c r="Q50" i="28"/>
  <c r="U50" i="28" s="1"/>
  <c r="S50" i="28"/>
  <c r="V50" i="28" s="1"/>
  <c r="R50" i="34"/>
  <c r="T50" i="34" s="1"/>
  <c r="Q41" i="32"/>
  <c r="U41" i="32" s="1"/>
  <c r="R41" i="32"/>
  <c r="T41" i="32" s="1"/>
  <c r="Q38" i="27"/>
  <c r="U38" i="27" s="1"/>
  <c r="BD15" i="35"/>
  <c r="AS15" i="35" s="1"/>
  <c r="BD13" i="35"/>
  <c r="BE13" i="35" s="1"/>
  <c r="S86" i="29"/>
  <c r="V86" i="29" s="1"/>
  <c r="BD85" i="35"/>
  <c r="BE85" i="35" s="1"/>
  <c r="R85" i="31"/>
  <c r="T85" i="31" s="1"/>
  <c r="S85" i="32"/>
  <c r="V85" i="32" s="1"/>
  <c r="AV84" i="35"/>
  <c r="BG84" i="35" s="1"/>
  <c r="S85" i="34"/>
  <c r="V85" i="34" s="1"/>
  <c r="R85" i="34"/>
  <c r="T85" i="34" s="1"/>
  <c r="S85" i="28"/>
  <c r="V85" i="28" s="1"/>
  <c r="S85" i="29"/>
  <c r="V85" i="29" s="1"/>
  <c r="Q85" i="33"/>
  <c r="U85" i="33" s="1"/>
  <c r="Q85" i="34"/>
  <c r="U85" i="34" s="1"/>
  <c r="Q85" i="28"/>
  <c r="U85" i="28" s="1"/>
  <c r="R85" i="28"/>
  <c r="T85" i="28" s="1"/>
  <c r="Q85" i="29"/>
  <c r="U85" i="29" s="1"/>
  <c r="AV76" i="35"/>
  <c r="BG76" i="35" s="1"/>
  <c r="Q76" i="32"/>
  <c r="U76" i="32" s="1"/>
  <c r="R76" i="32"/>
  <c r="T76" i="32" s="1"/>
  <c r="R76" i="28"/>
  <c r="T76" i="28" s="1"/>
  <c r="S76" i="32"/>
  <c r="V76" i="32" s="1"/>
  <c r="BD74" i="35"/>
  <c r="AV74" i="35" s="1"/>
  <c r="BD73" i="35"/>
  <c r="AV73" i="35" s="1"/>
  <c r="Q73" i="33"/>
  <c r="U73" i="33" s="1"/>
  <c r="S73" i="33"/>
  <c r="V73" i="33" s="1"/>
  <c r="BD69" i="35"/>
  <c r="AS69" i="35" s="1"/>
  <c r="AT69" i="35" s="1"/>
  <c r="S67" i="34"/>
  <c r="V67" i="34" s="1"/>
  <c r="Q67" i="32"/>
  <c r="U67" i="32" s="1"/>
  <c r="S62" i="27"/>
  <c r="S53" i="28"/>
  <c r="V53" i="28" s="1"/>
  <c r="Q53" i="29"/>
  <c r="U53" i="29" s="1"/>
  <c r="Q53" i="28"/>
  <c r="U53" i="28" s="1"/>
  <c r="R53" i="28"/>
  <c r="T53" i="28" s="1"/>
  <c r="S53" i="29"/>
  <c r="V53" i="29" s="1"/>
  <c r="Q50" i="33"/>
  <c r="U50" i="33" s="1"/>
  <c r="R50" i="33"/>
  <c r="T50" i="33" s="1"/>
  <c r="BD45" i="35"/>
  <c r="AS45" i="35" s="1"/>
  <c r="S41" i="34"/>
  <c r="V41" i="34" s="1"/>
  <c r="S41" i="33"/>
  <c r="V41" i="33" s="1"/>
  <c r="R41" i="34"/>
  <c r="T41" i="34" s="1"/>
  <c r="Q41" i="34"/>
  <c r="U41" i="34" s="1"/>
  <c r="R39" i="29"/>
  <c r="T39" i="29" s="1"/>
  <c r="Q39" i="29"/>
  <c r="U39" i="29" s="1"/>
  <c r="S39" i="29"/>
  <c r="V39" i="29" s="1"/>
  <c r="BD37" i="35"/>
  <c r="AU37" i="35" s="1"/>
  <c r="BD35" i="35"/>
  <c r="AV35" i="35" s="1"/>
  <c r="BD28" i="35"/>
  <c r="BE28" i="35" s="1"/>
  <c r="BD26" i="35"/>
  <c r="AS26" i="35" s="1"/>
  <c r="AT26" i="35" s="1"/>
  <c r="Q26" i="29"/>
  <c r="U26" i="29" s="1"/>
  <c r="S26" i="28"/>
  <c r="V26" i="28" s="1"/>
  <c r="Q26" i="28"/>
  <c r="U26" i="28" s="1"/>
  <c r="S26" i="33"/>
  <c r="V26" i="33" s="1"/>
  <c r="R26" i="29"/>
  <c r="T26" i="29" s="1"/>
  <c r="S26" i="29"/>
  <c r="V26" i="29" s="1"/>
  <c r="R26" i="34"/>
  <c r="T26" i="34" s="1"/>
  <c r="S24" i="28"/>
  <c r="V24" i="28" s="1"/>
  <c r="R24" i="29"/>
  <c r="T24" i="29" s="1"/>
  <c r="R24" i="28"/>
  <c r="T24" i="28" s="1"/>
  <c r="S24" i="29"/>
  <c r="V24" i="29" s="1"/>
  <c r="Q24" i="29"/>
  <c r="U24" i="29" s="1"/>
  <c r="Q24" i="28"/>
  <c r="U24" i="28" s="1"/>
  <c r="R22" i="31"/>
  <c r="T22" i="31" s="1"/>
  <c r="BD20" i="35"/>
  <c r="BE20" i="35" s="1"/>
  <c r="S86" i="31"/>
  <c r="V86" i="31" s="1"/>
  <c r="S76" i="31"/>
  <c r="V76" i="31" s="1"/>
  <c r="Q76" i="31"/>
  <c r="U76" i="31" s="1"/>
  <c r="R74" i="31"/>
  <c r="T74" i="31" s="1"/>
  <c r="BD66" i="35"/>
  <c r="Q63" i="29"/>
  <c r="U63" i="29" s="1"/>
  <c r="S63" i="29"/>
  <c r="V63" i="29" s="1"/>
  <c r="BD39" i="35"/>
  <c r="AV39" i="35" s="1"/>
  <c r="Q39" i="31"/>
  <c r="U39" i="31" s="1"/>
  <c r="BD38" i="35"/>
  <c r="AS38" i="35" s="1"/>
  <c r="R38" i="27"/>
  <c r="T38" i="27" s="1"/>
  <c r="S26" i="34"/>
  <c r="V26" i="34" s="1"/>
  <c r="Q26" i="34"/>
  <c r="U26" i="34" s="1"/>
  <c r="BD23" i="35"/>
  <c r="AU23" i="35" s="1"/>
  <c r="R24" i="31"/>
  <c r="T24" i="31" s="1"/>
  <c r="S24" i="31"/>
  <c r="V24" i="31" s="1"/>
  <c r="BD18" i="35"/>
  <c r="AV18" i="35" s="1"/>
  <c r="BC86" i="19"/>
  <c r="C86" i="10"/>
  <c r="R86" i="29"/>
  <c r="T86" i="29" s="1"/>
  <c r="AU77" i="35"/>
  <c r="AS77" i="35"/>
  <c r="AT77" i="35" s="1"/>
  <c r="S67" i="32"/>
  <c r="V67" i="32" s="1"/>
  <c r="R67" i="32"/>
  <c r="T67" i="32" s="1"/>
  <c r="Q57" i="31"/>
  <c r="U57" i="31" s="1"/>
  <c r="R57" i="31"/>
  <c r="T57" i="31" s="1"/>
  <c r="R39" i="28"/>
  <c r="T39" i="28" s="1"/>
  <c r="S39" i="28"/>
  <c r="V39" i="28" s="1"/>
  <c r="S26" i="32"/>
  <c r="V26" i="32" s="1"/>
  <c r="S25" i="27"/>
  <c r="R26" i="32"/>
  <c r="T26" i="32" s="1"/>
  <c r="R25" i="27"/>
  <c r="T25" i="27" s="1"/>
  <c r="Q26" i="32"/>
  <c r="U26" i="32" s="1"/>
  <c r="C25" i="10"/>
  <c r="BC25" i="19"/>
  <c r="S22" i="29"/>
  <c r="V22" i="29" s="1"/>
  <c r="S21" i="27"/>
  <c r="AW13" i="19"/>
  <c r="J13" i="10" s="1"/>
  <c r="AR13" i="35"/>
  <c r="AW23" i="19"/>
  <c r="J23" i="10" s="1"/>
  <c r="AR23" i="35"/>
  <c r="AW42" i="19"/>
  <c r="J42" i="10" s="1"/>
  <c r="AR42" i="35"/>
  <c r="AW80" i="19"/>
  <c r="J80" i="10" s="1"/>
  <c r="AR80" i="35"/>
  <c r="BH16" i="19"/>
  <c r="H16" i="10"/>
  <c r="BH35" i="19"/>
  <c r="H35" i="10"/>
  <c r="AW16" i="19"/>
  <c r="J16" i="10" s="1"/>
  <c r="AR16" i="35"/>
  <c r="AW20" i="19"/>
  <c r="J20" i="10" s="1"/>
  <c r="AR20" i="35"/>
  <c r="AW32" i="19"/>
  <c r="J32" i="10" s="1"/>
  <c r="AR32" i="35"/>
  <c r="AW39" i="19"/>
  <c r="J39" i="10" s="1"/>
  <c r="AR39" i="35"/>
  <c r="AW45" i="19"/>
  <c r="J45" i="10" s="1"/>
  <c r="AR45" i="35"/>
  <c r="AW48" i="19"/>
  <c r="J48" i="10" s="1"/>
  <c r="AR48" i="35"/>
  <c r="AW59" i="19"/>
  <c r="J59" i="10" s="1"/>
  <c r="AR59" i="35"/>
  <c r="AW63" i="19"/>
  <c r="J63" i="10" s="1"/>
  <c r="AR63" i="35"/>
  <c r="AW75" i="19"/>
  <c r="J75" i="10" s="1"/>
  <c r="AR75" i="35"/>
  <c r="BH14" i="19"/>
  <c r="H14" i="10"/>
  <c r="AW18" i="19"/>
  <c r="J18" i="10" s="1"/>
  <c r="AR18" i="35"/>
  <c r="BH24" i="19"/>
  <c r="H24" i="10"/>
  <c r="BH30" i="19"/>
  <c r="H30" i="10"/>
  <c r="AW33" i="19"/>
  <c r="J33" i="10" s="1"/>
  <c r="AR33" i="35"/>
  <c r="BH38" i="19"/>
  <c r="H38" i="10"/>
  <c r="BH45" i="19"/>
  <c r="H45" i="10"/>
  <c r="BH49" i="19"/>
  <c r="H49" i="10"/>
  <c r="AW58" i="19"/>
  <c r="J58" i="10" s="1"/>
  <c r="AR58" i="35"/>
  <c r="BH61" i="19"/>
  <c r="H61" i="10"/>
  <c r="BH66" i="19"/>
  <c r="H66" i="10"/>
  <c r="BH81" i="19"/>
  <c r="H81" i="10"/>
  <c r="AS22" i="35"/>
  <c r="BH40" i="19"/>
  <c r="H40" i="10"/>
  <c r="AW14" i="19"/>
  <c r="J14" i="10" s="1"/>
  <c r="AR14" i="35"/>
  <c r="AW38" i="19"/>
  <c r="J38" i="10" s="1"/>
  <c r="AR38" i="35"/>
  <c r="AW47" i="19"/>
  <c r="J47" i="10" s="1"/>
  <c r="AR47" i="35"/>
  <c r="AW57" i="19"/>
  <c r="J57" i="10" s="1"/>
  <c r="AR57" i="35"/>
  <c r="AW65" i="19"/>
  <c r="J65" i="10" s="1"/>
  <c r="AR65" i="35"/>
  <c r="AW68" i="19"/>
  <c r="J68" i="10" s="1"/>
  <c r="AR68" i="35"/>
  <c r="AW81" i="19"/>
  <c r="J81" i="10" s="1"/>
  <c r="AR81" i="35"/>
  <c r="BH15" i="19"/>
  <c r="H15" i="10"/>
  <c r="BH18" i="19"/>
  <c r="H18" i="10"/>
  <c r="BH26" i="19"/>
  <c r="H26" i="10"/>
  <c r="BH31" i="19"/>
  <c r="H31" i="10"/>
  <c r="BH34" i="19"/>
  <c r="H34" i="10"/>
  <c r="BH39" i="19"/>
  <c r="H39" i="10"/>
  <c r="BH50" i="19"/>
  <c r="H50" i="10"/>
  <c r="BH54" i="19"/>
  <c r="H54" i="10"/>
  <c r="BH58" i="19"/>
  <c r="H58" i="10"/>
  <c r="BH62" i="19"/>
  <c r="H62" i="10"/>
  <c r="BH67" i="19"/>
  <c r="H67" i="10"/>
  <c r="BH83" i="19"/>
  <c r="H83" i="10"/>
  <c r="BH36" i="19"/>
  <c r="H36" i="10"/>
  <c r="AW24" i="19"/>
  <c r="J24" i="10" s="1"/>
  <c r="AR24" i="35"/>
  <c r="AW17" i="19"/>
  <c r="J17" i="10" s="1"/>
  <c r="AR17" i="35"/>
  <c r="AW35" i="19"/>
  <c r="J35" i="10" s="1"/>
  <c r="AR35" i="35"/>
  <c r="BH28" i="19"/>
  <c r="H28" i="10"/>
  <c r="BH41" i="19"/>
  <c r="H41" i="10"/>
  <c r="BH47" i="19"/>
  <c r="H47" i="10"/>
  <c r="BH59" i="19"/>
  <c r="H59" i="10"/>
  <c r="BH63" i="19"/>
  <c r="H63" i="10"/>
  <c r="BH68" i="19"/>
  <c r="H68" i="10"/>
  <c r="AW29" i="19"/>
  <c r="J29" i="10" s="1"/>
  <c r="AR29" i="35"/>
  <c r="AW62" i="19"/>
  <c r="J62" i="10" s="1"/>
  <c r="AR62" i="35"/>
  <c r="AW15" i="19"/>
  <c r="J15" i="10" s="1"/>
  <c r="AR15" i="35"/>
  <c r="AW54" i="19"/>
  <c r="J54" i="10" s="1"/>
  <c r="AR54" i="35"/>
  <c r="BH87" i="19"/>
  <c r="BI87" i="19" s="1"/>
  <c r="AX87" i="19" s="1"/>
  <c r="AY87" i="19" s="1"/>
  <c r="K87" i="10" s="1"/>
  <c r="H87" i="10"/>
  <c r="BH20" i="19"/>
  <c r="H20" i="10"/>
  <c r="BH32" i="19"/>
  <c r="H32" i="10"/>
  <c r="BH55" i="19"/>
  <c r="H55" i="10"/>
  <c r="AW28" i="19"/>
  <c r="J28" i="10" s="1"/>
  <c r="AR28" i="35"/>
  <c r="AW34" i="19"/>
  <c r="J34" i="10" s="1"/>
  <c r="AR34" i="35"/>
  <c r="AW40" i="19"/>
  <c r="J40" i="10" s="1"/>
  <c r="AR40" i="35"/>
  <c r="BH46" i="19"/>
  <c r="H46" i="10"/>
  <c r="AW49" i="19"/>
  <c r="J49" i="10" s="1"/>
  <c r="AR49" i="35"/>
  <c r="AW60" i="19"/>
  <c r="J60" i="10" s="1"/>
  <c r="AR60" i="35"/>
  <c r="AW64" i="19"/>
  <c r="J64" i="10" s="1"/>
  <c r="AR64" i="35"/>
  <c r="AW67" i="19"/>
  <c r="J67" i="10" s="1"/>
  <c r="AR67" i="35"/>
  <c r="AW83" i="19"/>
  <c r="J83" i="10" s="1"/>
  <c r="AR83" i="35"/>
  <c r="BH13" i="19"/>
  <c r="H13" i="10"/>
  <c r="BH17" i="19"/>
  <c r="H17" i="10"/>
  <c r="BH23" i="19"/>
  <c r="H23" i="10"/>
  <c r="BH29" i="19"/>
  <c r="H29" i="10"/>
  <c r="BH33" i="19"/>
  <c r="H33" i="10"/>
  <c r="BH37" i="19"/>
  <c r="H37" i="10"/>
  <c r="BH42" i="19"/>
  <c r="H42" i="10"/>
  <c r="BH48" i="19"/>
  <c r="H48" i="10"/>
  <c r="AW51" i="19"/>
  <c r="J51" i="10" s="1"/>
  <c r="AR51" i="35"/>
  <c r="BH57" i="19"/>
  <c r="H57" i="10"/>
  <c r="BH60" i="19"/>
  <c r="H60" i="10"/>
  <c r="BH65" i="19"/>
  <c r="H65" i="10"/>
  <c r="BH69" i="19"/>
  <c r="H69" i="10"/>
  <c r="AW66" i="19"/>
  <c r="J66" i="10" s="1"/>
  <c r="AR66" i="35"/>
  <c r="BG28" i="19"/>
  <c r="G28" i="10"/>
  <c r="BG38" i="19"/>
  <c r="G38" i="10"/>
  <c r="BG45" i="19"/>
  <c r="G45" i="10"/>
  <c r="BG58" i="19"/>
  <c r="G58" i="10"/>
  <c r="BG63" i="19"/>
  <c r="G63" i="10"/>
  <c r="BG80" i="19"/>
  <c r="G80" i="10"/>
  <c r="BG15" i="19"/>
  <c r="G15" i="10"/>
  <c r="BG20" i="19"/>
  <c r="G20" i="10"/>
  <c r="BG29" i="19"/>
  <c r="G29" i="10"/>
  <c r="BG35" i="19"/>
  <c r="G35" i="10"/>
  <c r="BG40" i="19"/>
  <c r="G40" i="10"/>
  <c r="BG46" i="19"/>
  <c r="G46" i="10"/>
  <c r="BG51" i="19"/>
  <c r="G51" i="10"/>
  <c r="BG60" i="19"/>
  <c r="G60" i="10"/>
  <c r="BG64" i="19"/>
  <c r="G64" i="10"/>
  <c r="BG69" i="19"/>
  <c r="G69" i="10"/>
  <c r="BG81" i="19"/>
  <c r="G81" i="10"/>
  <c r="BE76" i="35"/>
  <c r="BE22" i="35"/>
  <c r="BG13" i="19"/>
  <c r="G13" i="10"/>
  <c r="BG24" i="19"/>
  <c r="G24" i="10"/>
  <c r="BG30" i="19"/>
  <c r="G30" i="10"/>
  <c r="BG36" i="19"/>
  <c r="G36" i="10"/>
  <c r="BG55" i="19"/>
  <c r="G55" i="10"/>
  <c r="BG75" i="19"/>
  <c r="G75" i="10"/>
  <c r="BG16" i="19"/>
  <c r="G16" i="10"/>
  <c r="BG41" i="19"/>
  <c r="G41" i="10"/>
  <c r="BG47" i="19"/>
  <c r="G47" i="10"/>
  <c r="BG61" i="19"/>
  <c r="G61" i="10"/>
  <c r="BG65" i="19"/>
  <c r="G65" i="10"/>
  <c r="BG83" i="19"/>
  <c r="G83" i="10"/>
  <c r="BG26" i="19"/>
  <c r="G26" i="10"/>
  <c r="BG33" i="19"/>
  <c r="G33" i="10"/>
  <c r="BG37" i="19"/>
  <c r="G37" i="10"/>
  <c r="BG42" i="19"/>
  <c r="G42" i="10"/>
  <c r="BG48" i="19"/>
  <c r="G48" i="10"/>
  <c r="BG57" i="19"/>
  <c r="G57" i="10"/>
  <c r="BG62" i="19"/>
  <c r="G62" i="10"/>
  <c r="BG66" i="19"/>
  <c r="G66" i="10"/>
  <c r="BG77" i="19"/>
  <c r="G77" i="10"/>
  <c r="BG23" i="19"/>
  <c r="G23" i="10"/>
  <c r="BE71" i="35"/>
  <c r="BG59" i="19"/>
  <c r="G59" i="10"/>
  <c r="BG18" i="19"/>
  <c r="G18" i="10"/>
  <c r="BG34" i="19"/>
  <c r="G34" i="10"/>
  <c r="BG50" i="19"/>
  <c r="G50" i="10"/>
  <c r="BG68" i="19"/>
  <c r="G68" i="10"/>
  <c r="BG49" i="19"/>
  <c r="G49" i="10"/>
  <c r="BG67" i="19"/>
  <c r="G67" i="10"/>
  <c r="BE27" i="35"/>
  <c r="BF49" i="19"/>
  <c r="F49" i="10"/>
  <c r="BF86" i="19"/>
  <c r="F86" i="10"/>
  <c r="BF45" i="19"/>
  <c r="F45" i="10"/>
  <c r="BF26" i="19"/>
  <c r="F26" i="10"/>
  <c r="BF64" i="19"/>
  <c r="F64" i="10"/>
  <c r="BF54" i="19"/>
  <c r="F54" i="10"/>
  <c r="BF13" i="19"/>
  <c r="F13" i="10"/>
  <c r="BF79" i="19"/>
  <c r="F79" i="10"/>
  <c r="BF32" i="19"/>
  <c r="F32" i="10"/>
  <c r="BF29" i="19"/>
  <c r="F29" i="10"/>
  <c r="BF81" i="19"/>
  <c r="F81" i="10"/>
  <c r="BF85" i="19"/>
  <c r="F85" i="10"/>
  <c r="BF84" i="19"/>
  <c r="BI84" i="19" s="1"/>
  <c r="AX84" i="19" s="1"/>
  <c r="F84" i="10"/>
  <c r="BF33" i="19"/>
  <c r="F33" i="10"/>
  <c r="BF15" i="19"/>
  <c r="F15" i="10"/>
  <c r="BF76" i="19"/>
  <c r="F76" i="10"/>
  <c r="BF28" i="19"/>
  <c r="F28" i="10"/>
  <c r="BF80" i="19"/>
  <c r="F80" i="10"/>
  <c r="BF82" i="19"/>
  <c r="BI82" i="19" s="1"/>
  <c r="BJ82" i="19" s="1"/>
  <c r="M82" i="10" s="1"/>
  <c r="F82" i="10"/>
  <c r="BF44" i="19"/>
  <c r="F44" i="10"/>
  <c r="BF72" i="19"/>
  <c r="F72" i="10"/>
  <c r="BF77" i="19"/>
  <c r="F77" i="10"/>
  <c r="BF40" i="19"/>
  <c r="F40" i="10"/>
  <c r="BF24" i="19"/>
  <c r="F24" i="10"/>
  <c r="BF16" i="19"/>
  <c r="F16" i="10"/>
  <c r="BF62" i="19"/>
  <c r="F62" i="10"/>
  <c r="BF74" i="19"/>
  <c r="F74" i="10"/>
  <c r="BF57" i="19"/>
  <c r="F57" i="10"/>
  <c r="BF19" i="19"/>
  <c r="F19" i="10"/>
  <c r="BF14" i="19"/>
  <c r="F14" i="10"/>
  <c r="BF48" i="19"/>
  <c r="F48" i="10"/>
  <c r="BF51" i="19"/>
  <c r="F51" i="10"/>
  <c r="BF61" i="19"/>
  <c r="F61" i="10"/>
  <c r="BF53" i="19"/>
  <c r="F53" i="10"/>
  <c r="BF52" i="19"/>
  <c r="BI52" i="19" s="1"/>
  <c r="AZ52" i="19" s="1"/>
  <c r="L52" i="10" s="1"/>
  <c r="F52" i="10"/>
  <c r="BF78" i="19"/>
  <c r="BI78" i="19" s="1"/>
  <c r="AZ78" i="19" s="1"/>
  <c r="L78" i="10" s="1"/>
  <c r="F78" i="10"/>
  <c r="BF22" i="19"/>
  <c r="F22" i="10"/>
  <c r="BF36" i="19"/>
  <c r="F36" i="10"/>
  <c r="BF41" i="19"/>
  <c r="F41" i="10"/>
  <c r="BF50" i="19"/>
  <c r="F50" i="10"/>
  <c r="BF69" i="19"/>
  <c r="F69" i="10"/>
  <c r="BF66" i="19"/>
  <c r="F66" i="10"/>
  <c r="BF47" i="19"/>
  <c r="F47" i="10"/>
  <c r="BF60" i="19"/>
  <c r="F60" i="10"/>
  <c r="BF43" i="19"/>
  <c r="F43" i="10"/>
  <c r="BF75" i="19"/>
  <c r="BI75" i="19" s="1"/>
  <c r="BJ75" i="19" s="1"/>
  <c r="M75" i="10" s="1"/>
  <c r="F75" i="10"/>
  <c r="BF55" i="19"/>
  <c r="F55" i="10"/>
  <c r="BF67" i="19"/>
  <c r="F67" i="10"/>
  <c r="BF39" i="19"/>
  <c r="F39" i="10"/>
  <c r="BF34" i="19"/>
  <c r="F34" i="10"/>
  <c r="BF42" i="19"/>
  <c r="F42" i="10"/>
  <c r="BF25" i="19"/>
  <c r="F25" i="10"/>
  <c r="BF63" i="19"/>
  <c r="F63" i="10"/>
  <c r="BF23" i="19"/>
  <c r="F23" i="10"/>
  <c r="BF68" i="19"/>
  <c r="F68" i="10"/>
  <c r="BF73" i="19"/>
  <c r="F73" i="10"/>
  <c r="BF65" i="19"/>
  <c r="F65" i="10"/>
  <c r="BF58" i="19"/>
  <c r="F58" i="10"/>
  <c r="BF37" i="19"/>
  <c r="F37" i="10"/>
  <c r="BF17" i="19"/>
  <c r="F17" i="10"/>
  <c r="BF21" i="19"/>
  <c r="F21" i="10"/>
  <c r="BF20" i="19"/>
  <c r="F20" i="10"/>
  <c r="BF18" i="19"/>
  <c r="F18" i="10"/>
  <c r="BF83" i="19"/>
  <c r="F83" i="10"/>
  <c r="BF38" i="19"/>
  <c r="F38" i="10"/>
  <c r="BF30" i="19"/>
  <c r="F30" i="10"/>
  <c r="AV52" i="35"/>
  <c r="AS52" i="35"/>
  <c r="AU52" i="35"/>
  <c r="BD23" i="19"/>
  <c r="D23" i="10"/>
  <c r="BD54" i="19"/>
  <c r="D54" i="10"/>
  <c r="BD72" i="19"/>
  <c r="D72" i="10"/>
  <c r="BD15" i="19"/>
  <c r="D15" i="10"/>
  <c r="BD24" i="19"/>
  <c r="D24" i="10"/>
  <c r="BD41" i="19"/>
  <c r="D41" i="10"/>
  <c r="BD63" i="19"/>
  <c r="D63" i="10"/>
  <c r="BD68" i="19"/>
  <c r="D68" i="10"/>
  <c r="BD83" i="19"/>
  <c r="D83" i="10"/>
  <c r="BD17" i="19"/>
  <c r="D17" i="10"/>
  <c r="BD26" i="19"/>
  <c r="D26" i="10"/>
  <c r="BD32" i="19"/>
  <c r="D32" i="10"/>
  <c r="BD45" i="19"/>
  <c r="D45" i="10"/>
  <c r="BD57" i="19"/>
  <c r="D57" i="10"/>
  <c r="BD65" i="19"/>
  <c r="D65" i="10"/>
  <c r="BD69" i="19"/>
  <c r="D69" i="10"/>
  <c r="BD74" i="19"/>
  <c r="D74" i="10"/>
  <c r="BD85" i="19"/>
  <c r="D85" i="10"/>
  <c r="Q39" i="28"/>
  <c r="U39" i="28" s="1"/>
  <c r="S76" i="28"/>
  <c r="V76" i="28" s="1"/>
  <c r="R73" i="28"/>
  <c r="T73" i="28" s="1"/>
  <c r="R23" i="27"/>
  <c r="T23" i="27" s="1"/>
  <c r="R62" i="27"/>
  <c r="T62" i="27" s="1"/>
  <c r="R67" i="33"/>
  <c r="T67" i="33" s="1"/>
  <c r="R73" i="32"/>
  <c r="T73" i="32" s="1"/>
  <c r="BD14" i="19"/>
  <c r="D14" i="10"/>
  <c r="BD39" i="19"/>
  <c r="D39" i="10"/>
  <c r="BD62" i="19"/>
  <c r="D62" i="10"/>
  <c r="BD80" i="19"/>
  <c r="D80" i="10"/>
  <c r="BD30" i="19"/>
  <c r="D30" i="10"/>
  <c r="BD55" i="19"/>
  <c r="D55" i="10"/>
  <c r="BD73" i="19"/>
  <c r="D73" i="10"/>
  <c r="BD13" i="19"/>
  <c r="D13" i="10"/>
  <c r="BD18" i="19"/>
  <c r="D18" i="10"/>
  <c r="BD28" i="19"/>
  <c r="D28" i="10"/>
  <c r="BD38" i="19"/>
  <c r="D38" i="10"/>
  <c r="BD46" i="19"/>
  <c r="D46" i="10"/>
  <c r="BD61" i="19"/>
  <c r="D61" i="10"/>
  <c r="BD66" i="19"/>
  <c r="D66" i="10"/>
  <c r="BD71" i="19"/>
  <c r="D71" i="10"/>
  <c r="BD75" i="19"/>
  <c r="D75" i="10"/>
  <c r="BD86" i="19"/>
  <c r="BI86" i="19" s="1"/>
  <c r="BJ86" i="19" s="1"/>
  <c r="M86" i="10" s="1"/>
  <c r="D86" i="10"/>
  <c r="Q76" i="28"/>
  <c r="U76" i="28" s="1"/>
  <c r="Q73" i="28"/>
  <c r="U73" i="28" s="1"/>
  <c r="Q74" i="28"/>
  <c r="U74" i="28" s="1"/>
  <c r="Q62" i="27"/>
  <c r="U62" i="27" s="1"/>
  <c r="R76" i="33"/>
  <c r="T76" i="33" s="1"/>
  <c r="S67" i="33"/>
  <c r="V67" i="33" s="1"/>
  <c r="Q73" i="32"/>
  <c r="U73" i="32" s="1"/>
  <c r="BD29" i="19"/>
  <c r="D29" i="10"/>
  <c r="BD67" i="19"/>
  <c r="D67" i="10"/>
  <c r="AS72" i="35"/>
  <c r="AT72" i="35" s="1"/>
  <c r="BE72" i="35"/>
  <c r="AU72" i="35"/>
  <c r="AV72" i="35"/>
  <c r="BC20" i="19"/>
  <c r="C20" i="10"/>
  <c r="BC56" i="19"/>
  <c r="BI56" i="19" s="1"/>
  <c r="BA56" i="19" s="1"/>
  <c r="C56" i="10"/>
  <c r="BC29" i="19"/>
  <c r="C29" i="10"/>
  <c r="BC46" i="19"/>
  <c r="C46" i="10"/>
  <c r="BC30" i="19"/>
  <c r="C30" i="10"/>
  <c r="BC49" i="19"/>
  <c r="C49" i="10"/>
  <c r="BC64" i="19"/>
  <c r="C64" i="10"/>
  <c r="S72" i="28"/>
  <c r="V72" i="28" s="1"/>
  <c r="Q86" i="28"/>
  <c r="U86" i="28" s="1"/>
  <c r="S22" i="28"/>
  <c r="V22" i="28" s="1"/>
  <c r="R67" i="34"/>
  <c r="T67" i="34" s="1"/>
  <c r="S88" i="32"/>
  <c r="V88" i="32" s="1"/>
  <c r="AU56" i="35"/>
  <c r="BE56" i="35"/>
  <c r="AS56" i="35"/>
  <c r="AV56" i="35"/>
  <c r="BE87" i="35"/>
  <c r="AV87" i="35"/>
  <c r="AS87" i="35"/>
  <c r="AU87" i="35"/>
  <c r="AU49" i="35"/>
  <c r="BC38" i="19"/>
  <c r="C38" i="10"/>
  <c r="BC83" i="19"/>
  <c r="C83" i="10"/>
  <c r="BC15" i="19"/>
  <c r="C15" i="10"/>
  <c r="BC35" i="19"/>
  <c r="C35" i="10"/>
  <c r="BC57" i="19"/>
  <c r="C57" i="10"/>
  <c r="BC16" i="19"/>
  <c r="C16" i="10"/>
  <c r="BC26" i="19"/>
  <c r="C26" i="10"/>
  <c r="BC31" i="19"/>
  <c r="C31" i="10"/>
  <c r="BC36" i="19"/>
  <c r="C36" i="10"/>
  <c r="BC44" i="19"/>
  <c r="C44" i="10"/>
  <c r="BC50" i="19"/>
  <c r="C50" i="10"/>
  <c r="BC59" i="19"/>
  <c r="C59" i="10"/>
  <c r="BC65" i="19"/>
  <c r="C65" i="10"/>
  <c r="R72" i="28"/>
  <c r="T72" i="28" s="1"/>
  <c r="Q22" i="28"/>
  <c r="U22" i="28" s="1"/>
  <c r="Q57" i="29"/>
  <c r="U57" i="29" s="1"/>
  <c r="S50" i="29"/>
  <c r="V50" i="29" s="1"/>
  <c r="S23" i="27"/>
  <c r="S74" i="28"/>
  <c r="V74" i="28" s="1"/>
  <c r="Q67" i="34"/>
  <c r="U67" i="34" s="1"/>
  <c r="R88" i="32"/>
  <c r="T88" i="32" s="1"/>
  <c r="BC14" i="19"/>
  <c r="C14" i="10"/>
  <c r="BC33" i="19"/>
  <c r="C33" i="10"/>
  <c r="BC61" i="19"/>
  <c r="C61" i="10"/>
  <c r="BC23" i="19"/>
  <c r="C23" i="10"/>
  <c r="BC41" i="19"/>
  <c r="C41" i="10"/>
  <c r="BC87" i="19"/>
  <c r="C87" i="10"/>
  <c r="BC13" i="19"/>
  <c r="C13" i="10"/>
  <c r="BC18" i="19"/>
  <c r="C18" i="10"/>
  <c r="BC28" i="19"/>
  <c r="C28" i="10"/>
  <c r="BC32" i="19"/>
  <c r="C32" i="10"/>
  <c r="BC37" i="19"/>
  <c r="C37" i="10"/>
  <c r="BC45" i="19"/>
  <c r="C45" i="10"/>
  <c r="BC51" i="19"/>
  <c r="C51" i="10"/>
  <c r="BC60" i="19"/>
  <c r="C60" i="10"/>
  <c r="BC66" i="19"/>
  <c r="C66" i="10"/>
  <c r="Q72" i="28"/>
  <c r="U72" i="28" s="1"/>
  <c r="S86" i="28"/>
  <c r="V86" i="28" s="1"/>
  <c r="R57" i="29"/>
  <c r="T57" i="29" s="1"/>
  <c r="S38" i="27"/>
  <c r="R50" i="29"/>
  <c r="T50" i="29" s="1"/>
  <c r="Q23" i="27"/>
  <c r="U23" i="27" s="1"/>
  <c r="S71" i="27"/>
  <c r="R74" i="28"/>
  <c r="T74" i="28" s="1"/>
  <c r="BN88" i="19"/>
  <c r="W88" i="27" s="1"/>
  <c r="BM88" i="19"/>
  <c r="Y88" i="27" s="1"/>
  <c r="BL88" i="19"/>
  <c r="Q88" i="32"/>
  <c r="U88" i="32" s="1"/>
  <c r="AU36" i="35"/>
  <c r="Q73" i="27"/>
  <c r="U73" i="27" s="1"/>
  <c r="R85" i="27"/>
  <c r="T85" i="27" s="1"/>
  <c r="R21" i="27"/>
  <c r="T21" i="27" s="1"/>
  <c r="Q85" i="27"/>
  <c r="U85" i="27" s="1"/>
  <c r="M49" i="27"/>
  <c r="Q49" i="27" s="1"/>
  <c r="U49" i="27" s="1"/>
  <c r="R73" i="27"/>
  <c r="T73" i="27" s="1"/>
  <c r="S73" i="27"/>
  <c r="BE33" i="19"/>
  <c r="E33" i="10"/>
  <c r="M57" i="32"/>
  <c r="Q57" i="32" s="1"/>
  <c r="U57" i="32" s="1"/>
  <c r="S57" i="32"/>
  <c r="V57" i="32" s="1"/>
  <c r="R57" i="32"/>
  <c r="T57" i="32" s="1"/>
  <c r="BE27" i="19"/>
  <c r="E27" i="10"/>
  <c r="M28" i="34"/>
  <c r="Q28" i="34" s="1"/>
  <c r="U28" i="34" s="1"/>
  <c r="S28" i="34"/>
  <c r="V28" i="34" s="1"/>
  <c r="R28" i="34"/>
  <c r="T28" i="34" s="1"/>
  <c r="M63" i="34"/>
  <c r="Q63" i="34" s="1"/>
  <c r="U63" i="34" s="1"/>
  <c r="S63" i="34"/>
  <c r="V63" i="34" s="1"/>
  <c r="R63" i="34"/>
  <c r="T63" i="34" s="1"/>
  <c r="M49" i="34"/>
  <c r="Q49" i="34" s="1"/>
  <c r="U49" i="34" s="1"/>
  <c r="R49" i="34"/>
  <c r="T49" i="34" s="1"/>
  <c r="S49" i="34"/>
  <c r="V49" i="34" s="1"/>
  <c r="M39" i="32"/>
  <c r="Q39" i="32" s="1"/>
  <c r="U39" i="32" s="1"/>
  <c r="R39" i="32"/>
  <c r="T39" i="32" s="1"/>
  <c r="S39" i="32"/>
  <c r="V39" i="32" s="1"/>
  <c r="M43" i="34"/>
  <c r="Q43" i="34" s="1"/>
  <c r="U43" i="34" s="1"/>
  <c r="R43" i="34"/>
  <c r="T43" i="34" s="1"/>
  <c r="S43" i="34"/>
  <c r="V43" i="34" s="1"/>
  <c r="M54" i="34"/>
  <c r="Q54" i="34" s="1"/>
  <c r="U54" i="34" s="1"/>
  <c r="R54" i="34"/>
  <c r="T54" i="34" s="1"/>
  <c r="S54" i="34"/>
  <c r="V54" i="34" s="1"/>
  <c r="M16" i="34"/>
  <c r="Q16" i="34" s="1"/>
  <c r="U16" i="34" s="1"/>
  <c r="R16" i="34"/>
  <c r="T16" i="34" s="1"/>
  <c r="S16" i="34"/>
  <c r="V16" i="34" s="1"/>
  <c r="M29" i="32"/>
  <c r="Q29" i="32" s="1"/>
  <c r="U29" i="32" s="1"/>
  <c r="R29" i="32"/>
  <c r="T29" i="32" s="1"/>
  <c r="S29" i="32"/>
  <c r="V29" i="32" s="1"/>
  <c r="M61" i="32"/>
  <c r="Q61" i="32" s="1"/>
  <c r="U61" i="32" s="1"/>
  <c r="R61" i="32"/>
  <c r="T61" i="32" s="1"/>
  <c r="S61" i="32"/>
  <c r="V61" i="32" s="1"/>
  <c r="M44" i="34"/>
  <c r="Q44" i="34" s="1"/>
  <c r="U44" i="34" s="1"/>
  <c r="S44" i="34"/>
  <c r="V44" i="34" s="1"/>
  <c r="R44" i="34"/>
  <c r="T44" i="34" s="1"/>
  <c r="M35" i="33"/>
  <c r="Q35" i="33" s="1"/>
  <c r="U35" i="33" s="1"/>
  <c r="R35" i="33"/>
  <c r="T35" i="33" s="1"/>
  <c r="S35" i="33"/>
  <c r="V35" i="33" s="1"/>
  <c r="M34" i="33"/>
  <c r="Q34" i="33" s="1"/>
  <c r="U34" i="33" s="1"/>
  <c r="R34" i="33"/>
  <c r="T34" i="33" s="1"/>
  <c r="S34" i="33"/>
  <c r="V34" i="33" s="1"/>
  <c r="M21" i="32"/>
  <c r="Q21" i="32" s="1"/>
  <c r="U21" i="32" s="1"/>
  <c r="R21" i="32"/>
  <c r="T21" i="32" s="1"/>
  <c r="S21" i="32"/>
  <c r="V21" i="32" s="1"/>
  <c r="M17" i="32"/>
  <c r="Q17" i="32" s="1"/>
  <c r="U17" i="32" s="1"/>
  <c r="S17" i="32"/>
  <c r="V17" i="32" s="1"/>
  <c r="R17" i="32"/>
  <c r="T17" i="32" s="1"/>
  <c r="BE14" i="19"/>
  <c r="E14" i="10"/>
  <c r="BE24" i="19"/>
  <c r="E24" i="10"/>
  <c r="BE48" i="19"/>
  <c r="E48" i="10"/>
  <c r="BE57" i="19"/>
  <c r="E57" i="10"/>
  <c r="R63" i="31"/>
  <c r="T63" i="31" s="1"/>
  <c r="BE13" i="19"/>
  <c r="E13" i="10"/>
  <c r="M44" i="28"/>
  <c r="Q44" i="28" s="1"/>
  <c r="U44" i="28" s="1"/>
  <c r="M22" i="27"/>
  <c r="Q22" i="27" s="1"/>
  <c r="U22" i="27" s="1"/>
  <c r="BE66" i="19"/>
  <c r="E66" i="10"/>
  <c r="M23" i="29"/>
  <c r="Q23" i="29" s="1"/>
  <c r="U23" i="29" s="1"/>
  <c r="M44" i="31"/>
  <c r="Q44" i="31" s="1"/>
  <c r="U44" i="31" s="1"/>
  <c r="BE43" i="19"/>
  <c r="BI43" i="19" s="1"/>
  <c r="E43" i="10"/>
  <c r="M7" i="33"/>
  <c r="M53" i="33"/>
  <c r="Q53" i="33" s="1"/>
  <c r="U53" i="33" s="1"/>
  <c r="S53" i="33"/>
  <c r="V53" i="33" s="1"/>
  <c r="R53" i="33"/>
  <c r="T53" i="33" s="1"/>
  <c r="M47" i="33"/>
  <c r="Q47" i="33" s="1"/>
  <c r="U47" i="33" s="1"/>
  <c r="R47" i="33"/>
  <c r="T47" i="33" s="1"/>
  <c r="S47" i="33"/>
  <c r="V47" i="33" s="1"/>
  <c r="M13" i="33"/>
  <c r="Q13" i="33" s="1"/>
  <c r="U13" i="33" s="1"/>
  <c r="R13" i="33"/>
  <c r="T13" i="33" s="1"/>
  <c r="S13" i="33"/>
  <c r="V13" i="33" s="1"/>
  <c r="M25" i="33"/>
  <c r="Q25" i="33" s="1"/>
  <c r="U25" i="33" s="1"/>
  <c r="S25" i="33"/>
  <c r="V25" i="33" s="1"/>
  <c r="R25" i="33"/>
  <c r="T25" i="33" s="1"/>
  <c r="M20" i="33"/>
  <c r="Q20" i="33" s="1"/>
  <c r="U20" i="33" s="1"/>
  <c r="R20" i="33"/>
  <c r="T20" i="33" s="1"/>
  <c r="S20" i="33"/>
  <c r="V20" i="33" s="1"/>
  <c r="BE21" i="19"/>
  <c r="E21" i="10"/>
  <c r="M63" i="32"/>
  <c r="Q63" i="32" s="1"/>
  <c r="U63" i="32" s="1"/>
  <c r="R63" i="32"/>
  <c r="T63" i="32" s="1"/>
  <c r="S63" i="32"/>
  <c r="V63" i="32" s="1"/>
  <c r="M45" i="34"/>
  <c r="Q45" i="34" s="1"/>
  <c r="U45" i="34" s="1"/>
  <c r="S45" i="34"/>
  <c r="V45" i="34" s="1"/>
  <c r="R45" i="34"/>
  <c r="T45" i="34" s="1"/>
  <c r="M39" i="33"/>
  <c r="Q39" i="33" s="1"/>
  <c r="U39" i="33" s="1"/>
  <c r="R39" i="33"/>
  <c r="T39" i="33" s="1"/>
  <c r="S39" i="33"/>
  <c r="V39" i="33" s="1"/>
  <c r="M54" i="33"/>
  <c r="Q54" i="33" s="1"/>
  <c r="U54" i="33" s="1"/>
  <c r="R54" i="33"/>
  <c r="T54" i="33" s="1"/>
  <c r="S54" i="33"/>
  <c r="V54" i="33" s="1"/>
  <c r="M9" i="34"/>
  <c r="M29" i="34"/>
  <c r="Q29" i="34" s="1"/>
  <c r="U29" i="34" s="1"/>
  <c r="R29" i="34"/>
  <c r="T29" i="34" s="1"/>
  <c r="S29" i="34"/>
  <c r="V29" i="34" s="1"/>
  <c r="M58" i="32"/>
  <c r="Q58" i="32" s="1"/>
  <c r="U58" i="32" s="1"/>
  <c r="S58" i="32"/>
  <c r="V58" i="32" s="1"/>
  <c r="R58" i="32"/>
  <c r="T58" i="32" s="1"/>
  <c r="M44" i="32"/>
  <c r="Q44" i="32" s="1"/>
  <c r="U44" i="32" s="1"/>
  <c r="R44" i="32"/>
  <c r="T44" i="32" s="1"/>
  <c r="S44" i="32"/>
  <c r="V44" i="32" s="1"/>
  <c r="M35" i="32"/>
  <c r="Q35" i="32" s="1"/>
  <c r="U35" i="32" s="1"/>
  <c r="S35" i="32"/>
  <c r="V35" i="32" s="1"/>
  <c r="R35" i="32"/>
  <c r="T35" i="32" s="1"/>
  <c r="M12" i="32"/>
  <c r="M23" i="33"/>
  <c r="Q23" i="33" s="1"/>
  <c r="U23" i="33" s="1"/>
  <c r="R23" i="33"/>
  <c r="T23" i="33" s="1"/>
  <c r="S23" i="33"/>
  <c r="V23" i="33" s="1"/>
  <c r="M21" i="34"/>
  <c r="Q21" i="34" s="1"/>
  <c r="U21" i="34" s="1"/>
  <c r="R21" i="34"/>
  <c r="T21" i="34" s="1"/>
  <c r="S21" i="34"/>
  <c r="V21" i="34" s="1"/>
  <c r="M17" i="33"/>
  <c r="Q17" i="33" s="1"/>
  <c r="U17" i="33" s="1"/>
  <c r="S17" i="33"/>
  <c r="V17" i="33" s="1"/>
  <c r="R17" i="33"/>
  <c r="T17" i="33" s="1"/>
  <c r="BE40" i="19"/>
  <c r="E40" i="10"/>
  <c r="BE60" i="19"/>
  <c r="E60" i="10"/>
  <c r="BE20" i="19"/>
  <c r="E20" i="10"/>
  <c r="M14" i="33"/>
  <c r="Q14" i="33" s="1"/>
  <c r="U14" i="33" s="1"/>
  <c r="R14" i="33"/>
  <c r="T14" i="33" s="1"/>
  <c r="S14" i="33"/>
  <c r="V14" i="33" s="1"/>
  <c r="M53" i="32"/>
  <c r="Q53" i="32" s="1"/>
  <c r="U53" i="32" s="1"/>
  <c r="R53" i="32"/>
  <c r="T53" i="32" s="1"/>
  <c r="S53" i="32"/>
  <c r="V53" i="32" s="1"/>
  <c r="M47" i="32"/>
  <c r="Q47" i="32" s="1"/>
  <c r="U47" i="32" s="1"/>
  <c r="R47" i="32"/>
  <c r="T47" i="32" s="1"/>
  <c r="S47" i="32"/>
  <c r="V47" i="32" s="1"/>
  <c r="M13" i="32"/>
  <c r="Q13" i="32" s="1"/>
  <c r="U13" i="32" s="1"/>
  <c r="S13" i="32"/>
  <c r="V13" i="32" s="1"/>
  <c r="R13" i="32"/>
  <c r="T13" i="32" s="1"/>
  <c r="M8" i="33"/>
  <c r="M11" i="34"/>
  <c r="BE44" i="19"/>
  <c r="E44" i="10"/>
  <c r="S63" i="31"/>
  <c r="V63" i="31" s="1"/>
  <c r="BE46" i="19"/>
  <c r="E46" i="10"/>
  <c r="S50" i="33"/>
  <c r="V50" i="33" s="1"/>
  <c r="S50" i="32"/>
  <c r="V50" i="32" s="1"/>
  <c r="M14" i="32"/>
  <c r="Q14" i="32" s="1"/>
  <c r="U14" i="32" s="1"/>
  <c r="S14" i="32"/>
  <c r="V14" i="32" s="1"/>
  <c r="R14" i="32"/>
  <c r="T14" i="32" s="1"/>
  <c r="BE62" i="19"/>
  <c r="E62" i="10"/>
  <c r="M53" i="34"/>
  <c r="Q53" i="34" s="1"/>
  <c r="U53" i="34" s="1"/>
  <c r="R53" i="34"/>
  <c r="T53" i="34" s="1"/>
  <c r="S53" i="34"/>
  <c r="V53" i="34" s="1"/>
  <c r="M13" i="34"/>
  <c r="Q13" i="34" s="1"/>
  <c r="U13" i="34" s="1"/>
  <c r="R13" i="34"/>
  <c r="T13" i="34" s="1"/>
  <c r="S13" i="34"/>
  <c r="V13" i="34" s="1"/>
  <c r="M8" i="34"/>
  <c r="M20" i="32"/>
  <c r="Q20" i="32" s="1"/>
  <c r="U20" i="32" s="1"/>
  <c r="S20" i="32"/>
  <c r="V20" i="32" s="1"/>
  <c r="R20" i="32"/>
  <c r="T20" i="32" s="1"/>
  <c r="M11" i="32"/>
  <c r="M57" i="33"/>
  <c r="Q57" i="33" s="1"/>
  <c r="U57" i="33" s="1"/>
  <c r="S57" i="33"/>
  <c r="V57" i="33" s="1"/>
  <c r="R57" i="33"/>
  <c r="T57" i="33" s="1"/>
  <c r="M28" i="33"/>
  <c r="Q28" i="33" s="1"/>
  <c r="U28" i="33" s="1"/>
  <c r="R28" i="33"/>
  <c r="T28" i="33" s="1"/>
  <c r="S28" i="33"/>
  <c r="V28" i="33" s="1"/>
  <c r="M49" i="33"/>
  <c r="Q49" i="33" s="1"/>
  <c r="U49" i="33" s="1"/>
  <c r="S49" i="33"/>
  <c r="V49" i="33" s="1"/>
  <c r="R49" i="33"/>
  <c r="T49" i="33" s="1"/>
  <c r="M45" i="32"/>
  <c r="Q45" i="32" s="1"/>
  <c r="U45" i="32" s="1"/>
  <c r="S45" i="32"/>
  <c r="V45" i="32" s="1"/>
  <c r="R45" i="32"/>
  <c r="T45" i="32" s="1"/>
  <c r="M39" i="34"/>
  <c r="Q39" i="34" s="1"/>
  <c r="U39" i="34" s="1"/>
  <c r="S39" i="34"/>
  <c r="V39" i="34" s="1"/>
  <c r="R39" i="34"/>
  <c r="T39" i="34" s="1"/>
  <c r="M43" i="32"/>
  <c r="Q43" i="32" s="1"/>
  <c r="U43" i="32" s="1"/>
  <c r="R43" i="32"/>
  <c r="T43" i="32" s="1"/>
  <c r="S43" i="32"/>
  <c r="V43" i="32" s="1"/>
  <c r="M16" i="33"/>
  <c r="Q16" i="33" s="1"/>
  <c r="U16" i="33" s="1"/>
  <c r="S16" i="33"/>
  <c r="V16" i="33" s="1"/>
  <c r="R16" i="33"/>
  <c r="T16" i="33" s="1"/>
  <c r="M9" i="32"/>
  <c r="M61" i="33"/>
  <c r="Q61" i="33" s="1"/>
  <c r="U61" i="33" s="1"/>
  <c r="S61" i="33"/>
  <c r="V61" i="33" s="1"/>
  <c r="R61" i="33"/>
  <c r="T61" i="33" s="1"/>
  <c r="M58" i="33"/>
  <c r="Q58" i="33" s="1"/>
  <c r="U58" i="33" s="1"/>
  <c r="R58" i="33"/>
  <c r="T58" i="33" s="1"/>
  <c r="S58" i="33"/>
  <c r="V58" i="33" s="1"/>
  <c r="M44" i="33"/>
  <c r="Q44" i="33" s="1"/>
  <c r="U44" i="33" s="1"/>
  <c r="R44" i="33"/>
  <c r="T44" i="33" s="1"/>
  <c r="S44" i="33"/>
  <c r="V44" i="33" s="1"/>
  <c r="M34" i="34"/>
  <c r="Q34" i="34" s="1"/>
  <c r="U34" i="34" s="1"/>
  <c r="R34" i="34"/>
  <c r="T34" i="34" s="1"/>
  <c r="S34" i="34"/>
  <c r="V34" i="34" s="1"/>
  <c r="M12" i="34"/>
  <c r="BE22" i="19"/>
  <c r="BI22" i="19" s="1"/>
  <c r="E22" i="10"/>
  <c r="M23" i="34"/>
  <c r="Q23" i="34" s="1"/>
  <c r="U23" i="34" s="1"/>
  <c r="S23" i="34"/>
  <c r="V23" i="34" s="1"/>
  <c r="R23" i="34"/>
  <c r="T23" i="34" s="1"/>
  <c r="M21" i="33"/>
  <c r="Q21" i="33" s="1"/>
  <c r="U21" i="33" s="1"/>
  <c r="R21" i="33"/>
  <c r="T21" i="33" s="1"/>
  <c r="S21" i="33"/>
  <c r="V21" i="33" s="1"/>
  <c r="BE17" i="19"/>
  <c r="E17" i="10"/>
  <c r="BE34" i="19"/>
  <c r="E34" i="10"/>
  <c r="BE47" i="19"/>
  <c r="E47" i="10"/>
  <c r="BE53" i="19"/>
  <c r="BI53" i="19" s="1"/>
  <c r="E53" i="10"/>
  <c r="M7" i="32"/>
  <c r="M25" i="32"/>
  <c r="Q25" i="32" s="1"/>
  <c r="U25" i="32" s="1"/>
  <c r="S25" i="32"/>
  <c r="V25" i="32" s="1"/>
  <c r="R25" i="32"/>
  <c r="T25" i="32" s="1"/>
  <c r="BE15" i="19"/>
  <c r="E15" i="10"/>
  <c r="BE16" i="19"/>
  <c r="BI16" i="19" s="1"/>
  <c r="E16" i="10"/>
  <c r="BE28" i="19"/>
  <c r="E28" i="10"/>
  <c r="BE42" i="19"/>
  <c r="E42" i="10"/>
  <c r="M14" i="34"/>
  <c r="Q14" i="34" s="1"/>
  <c r="U14" i="34" s="1"/>
  <c r="S14" i="34"/>
  <c r="V14" i="34" s="1"/>
  <c r="R14" i="34"/>
  <c r="T14" i="34" s="1"/>
  <c r="M7" i="34"/>
  <c r="M47" i="34"/>
  <c r="Q47" i="34" s="1"/>
  <c r="U47" i="34" s="1"/>
  <c r="R47" i="34"/>
  <c r="T47" i="34" s="1"/>
  <c r="S47" i="34"/>
  <c r="V47" i="34" s="1"/>
  <c r="M25" i="34"/>
  <c r="Q25" i="34" s="1"/>
  <c r="U25" i="34" s="1"/>
  <c r="S25" i="34"/>
  <c r="V25" i="34" s="1"/>
  <c r="R25" i="34"/>
  <c r="T25" i="34" s="1"/>
  <c r="M8" i="32"/>
  <c r="M20" i="34"/>
  <c r="Q20" i="34" s="1"/>
  <c r="U20" i="34" s="1"/>
  <c r="S20" i="34"/>
  <c r="V20" i="34" s="1"/>
  <c r="R20" i="34"/>
  <c r="T20" i="34" s="1"/>
  <c r="M11" i="33"/>
  <c r="M57" i="34"/>
  <c r="Q57" i="34" s="1"/>
  <c r="U57" i="34" s="1"/>
  <c r="S57" i="34"/>
  <c r="V57" i="34" s="1"/>
  <c r="R57" i="34"/>
  <c r="T57" i="34" s="1"/>
  <c r="M28" i="32"/>
  <c r="Q28" i="32" s="1"/>
  <c r="U28" i="32" s="1"/>
  <c r="R28" i="32"/>
  <c r="T28" i="32" s="1"/>
  <c r="S28" i="32"/>
  <c r="V28" i="32" s="1"/>
  <c r="M63" i="33"/>
  <c r="Q63" i="33" s="1"/>
  <c r="U63" i="33" s="1"/>
  <c r="R63" i="33"/>
  <c r="T63" i="33" s="1"/>
  <c r="S63" i="33"/>
  <c r="V63" i="33" s="1"/>
  <c r="M49" i="32"/>
  <c r="Q49" i="32" s="1"/>
  <c r="U49" i="32" s="1"/>
  <c r="S49" i="32"/>
  <c r="V49" i="32" s="1"/>
  <c r="R49" i="32"/>
  <c r="T49" i="32" s="1"/>
  <c r="M45" i="33"/>
  <c r="Q45" i="33" s="1"/>
  <c r="U45" i="33" s="1"/>
  <c r="R45" i="33"/>
  <c r="T45" i="33" s="1"/>
  <c r="S45" i="33"/>
  <c r="V45" i="33" s="1"/>
  <c r="M43" i="33"/>
  <c r="Q43" i="33" s="1"/>
  <c r="U43" i="33" s="1"/>
  <c r="R43" i="33"/>
  <c r="T43" i="33" s="1"/>
  <c r="S43" i="33"/>
  <c r="V43" i="33" s="1"/>
  <c r="M54" i="32"/>
  <c r="Q54" i="32" s="1"/>
  <c r="U54" i="32" s="1"/>
  <c r="R54" i="32"/>
  <c r="T54" i="32" s="1"/>
  <c r="S54" i="32"/>
  <c r="V54" i="32" s="1"/>
  <c r="M16" i="32"/>
  <c r="Q16" i="32" s="1"/>
  <c r="U16" i="32" s="1"/>
  <c r="S16" i="32"/>
  <c r="V16" i="32" s="1"/>
  <c r="R16" i="32"/>
  <c r="T16" i="32" s="1"/>
  <c r="M9" i="33"/>
  <c r="M29" i="33"/>
  <c r="Q29" i="33" s="1"/>
  <c r="U29" i="33" s="1"/>
  <c r="S29" i="33"/>
  <c r="V29" i="33" s="1"/>
  <c r="R29" i="33"/>
  <c r="T29" i="33" s="1"/>
  <c r="BE19" i="19"/>
  <c r="BI19" i="19" s="1"/>
  <c r="E19" i="10"/>
  <c r="M61" i="34"/>
  <c r="Q61" i="34" s="1"/>
  <c r="U61" i="34" s="1"/>
  <c r="S61" i="34"/>
  <c r="V61" i="34" s="1"/>
  <c r="R61" i="34"/>
  <c r="T61" i="34" s="1"/>
  <c r="R58" i="34"/>
  <c r="T58" i="34" s="1"/>
  <c r="M58" i="34"/>
  <c r="Q58" i="34" s="1"/>
  <c r="U58" i="34" s="1"/>
  <c r="S58" i="34"/>
  <c r="V58" i="34" s="1"/>
  <c r="M35" i="34"/>
  <c r="Q35" i="34" s="1"/>
  <c r="U35" i="34" s="1"/>
  <c r="R35" i="34"/>
  <c r="T35" i="34" s="1"/>
  <c r="S35" i="34"/>
  <c r="V35" i="34" s="1"/>
  <c r="M34" i="32"/>
  <c r="Q34" i="32" s="1"/>
  <c r="U34" i="32" s="1"/>
  <c r="S34" i="32"/>
  <c r="V34" i="32" s="1"/>
  <c r="R34" i="32"/>
  <c r="T34" i="32" s="1"/>
  <c r="M12" i="33"/>
  <c r="M23" i="32"/>
  <c r="Q23" i="32" s="1"/>
  <c r="U23" i="32" s="1"/>
  <c r="S23" i="32"/>
  <c r="V23" i="32" s="1"/>
  <c r="R23" i="32"/>
  <c r="T23" i="32" s="1"/>
  <c r="M17" i="34"/>
  <c r="Q17" i="34" s="1"/>
  <c r="U17" i="34" s="1"/>
  <c r="S17" i="34"/>
  <c r="V17" i="34" s="1"/>
  <c r="R17" i="34"/>
  <c r="T17" i="34" s="1"/>
  <c r="N88" i="10"/>
  <c r="O88" i="10" s="1"/>
  <c r="V88" i="27"/>
  <c r="BK88" i="19"/>
  <c r="M87" i="34"/>
  <c r="Q87" i="34" s="1"/>
  <c r="U87" i="34" s="1"/>
  <c r="R87" i="34"/>
  <c r="T87" i="34" s="1"/>
  <c r="S87" i="34"/>
  <c r="V87" i="34" s="1"/>
  <c r="S87" i="32"/>
  <c r="V87" i="32" s="1"/>
  <c r="M87" i="32"/>
  <c r="Q87" i="32" s="1"/>
  <c r="U87" i="32" s="1"/>
  <c r="R87" i="32"/>
  <c r="T87" i="32" s="1"/>
  <c r="M87" i="33"/>
  <c r="Q87" i="33" s="1"/>
  <c r="U87" i="33" s="1"/>
  <c r="R87" i="33"/>
  <c r="T87" i="33" s="1"/>
  <c r="S87" i="33"/>
  <c r="V87" i="33" s="1"/>
  <c r="M84" i="32"/>
  <c r="Q84" i="32" s="1"/>
  <c r="U84" i="32" s="1"/>
  <c r="R84" i="32"/>
  <c r="T84" i="32" s="1"/>
  <c r="S84" i="32"/>
  <c r="V84" i="32" s="1"/>
  <c r="BE83" i="19"/>
  <c r="E83" i="10"/>
  <c r="M84" i="34"/>
  <c r="Q84" i="34" s="1"/>
  <c r="U84" i="34" s="1"/>
  <c r="S84" i="34"/>
  <c r="V84" i="34" s="1"/>
  <c r="R84" i="34"/>
  <c r="T84" i="34" s="1"/>
  <c r="S84" i="33"/>
  <c r="V84" i="33" s="1"/>
  <c r="R84" i="33"/>
  <c r="T84" i="33" s="1"/>
  <c r="M84" i="33"/>
  <c r="Q84" i="33" s="1"/>
  <c r="U84" i="33" s="1"/>
  <c r="BE81" i="19"/>
  <c r="E81" i="10"/>
  <c r="M82" i="33"/>
  <c r="Q82" i="33" s="1"/>
  <c r="U82" i="33" s="1"/>
  <c r="S82" i="33"/>
  <c r="V82" i="33" s="1"/>
  <c r="R82" i="33"/>
  <c r="T82" i="33" s="1"/>
  <c r="M82" i="32"/>
  <c r="Q82" i="32" s="1"/>
  <c r="U82" i="32" s="1"/>
  <c r="R82" i="32"/>
  <c r="T82" i="32" s="1"/>
  <c r="S82" i="32"/>
  <c r="V82" i="32" s="1"/>
  <c r="M82" i="34"/>
  <c r="Q82" i="34" s="1"/>
  <c r="U82" i="34" s="1"/>
  <c r="R82" i="34"/>
  <c r="T82" i="34" s="1"/>
  <c r="S82" i="34"/>
  <c r="V82" i="34" s="1"/>
  <c r="S81" i="32"/>
  <c r="V81" i="32" s="1"/>
  <c r="M81" i="32"/>
  <c r="Q81" i="32" s="1"/>
  <c r="U81" i="32" s="1"/>
  <c r="R81" i="32"/>
  <c r="T81" i="32" s="1"/>
  <c r="BE80" i="19"/>
  <c r="E80" i="10"/>
  <c r="M81" i="34"/>
  <c r="Q81" i="34" s="1"/>
  <c r="U81" i="34" s="1"/>
  <c r="R81" i="34"/>
  <c r="T81" i="34" s="1"/>
  <c r="S81" i="34"/>
  <c r="V81" i="34" s="1"/>
  <c r="M81" i="33"/>
  <c r="Q81" i="33" s="1"/>
  <c r="U81" i="33" s="1"/>
  <c r="R81" i="33"/>
  <c r="T81" i="33" s="1"/>
  <c r="S81" i="33"/>
  <c r="V81" i="33" s="1"/>
  <c r="BE77" i="19"/>
  <c r="E77" i="10"/>
  <c r="BE76" i="19"/>
  <c r="E76" i="10"/>
  <c r="BE69" i="19"/>
  <c r="E69" i="10"/>
  <c r="BE67" i="19"/>
  <c r="E67" i="10"/>
  <c r="M66" i="32"/>
  <c r="Q66" i="32" s="1"/>
  <c r="U66" i="32" s="1"/>
  <c r="R66" i="32"/>
  <c r="T66" i="32" s="1"/>
  <c r="S66" i="32"/>
  <c r="V66" i="32" s="1"/>
  <c r="M66" i="34"/>
  <c r="Q66" i="34" s="1"/>
  <c r="U66" i="34" s="1"/>
  <c r="S66" i="34"/>
  <c r="V66" i="34" s="1"/>
  <c r="R66" i="34"/>
  <c r="T66" i="34" s="1"/>
  <c r="BE65" i="19"/>
  <c r="E65" i="10"/>
  <c r="M66" i="33"/>
  <c r="Q66" i="33" s="1"/>
  <c r="U66" i="33" s="1"/>
  <c r="R66" i="33"/>
  <c r="T66" i="33" s="1"/>
  <c r="S66" i="33"/>
  <c r="V66" i="33" s="1"/>
  <c r="M65" i="34"/>
  <c r="Q65" i="34" s="1"/>
  <c r="U65" i="34" s="1"/>
  <c r="S65" i="34"/>
  <c r="V65" i="34" s="1"/>
  <c r="R65" i="34"/>
  <c r="T65" i="34" s="1"/>
  <c r="BE64" i="19"/>
  <c r="E64" i="10"/>
  <c r="M65" i="32"/>
  <c r="Q65" i="32" s="1"/>
  <c r="U65" i="32" s="1"/>
  <c r="R65" i="32"/>
  <c r="T65" i="32" s="1"/>
  <c r="S65" i="32"/>
  <c r="V65" i="32" s="1"/>
  <c r="M65" i="33"/>
  <c r="Q65" i="33" s="1"/>
  <c r="U65" i="33" s="1"/>
  <c r="R65" i="33"/>
  <c r="T65" i="33" s="1"/>
  <c r="S65" i="33"/>
  <c r="V65" i="33" s="1"/>
  <c r="M64" i="34"/>
  <c r="Q64" i="34" s="1"/>
  <c r="U64" i="34" s="1"/>
  <c r="S64" i="34"/>
  <c r="V64" i="34" s="1"/>
  <c r="R64" i="34"/>
  <c r="T64" i="34" s="1"/>
  <c r="BE63" i="19"/>
  <c r="E63" i="10"/>
  <c r="M64" i="33"/>
  <c r="Q64" i="33" s="1"/>
  <c r="U64" i="33" s="1"/>
  <c r="S64" i="33"/>
  <c r="V64" i="33" s="1"/>
  <c r="R64" i="33"/>
  <c r="T64" i="33" s="1"/>
  <c r="M64" i="32"/>
  <c r="Q64" i="32" s="1"/>
  <c r="U64" i="32" s="1"/>
  <c r="S64" i="32"/>
  <c r="V64" i="32" s="1"/>
  <c r="R64" i="32"/>
  <c r="T64" i="32" s="1"/>
  <c r="BE61" i="19"/>
  <c r="E61" i="10"/>
  <c r="M62" i="32"/>
  <c r="Q62" i="32" s="1"/>
  <c r="U62" i="32" s="1"/>
  <c r="R62" i="32"/>
  <c r="T62" i="32" s="1"/>
  <c r="S62" i="32"/>
  <c r="V62" i="32" s="1"/>
  <c r="M62" i="34"/>
  <c r="Q62" i="34" s="1"/>
  <c r="U62" i="34" s="1"/>
  <c r="R62" i="34"/>
  <c r="T62" i="34" s="1"/>
  <c r="S62" i="34"/>
  <c r="V62" i="34" s="1"/>
  <c r="M62" i="33"/>
  <c r="Q62" i="33" s="1"/>
  <c r="U62" i="33" s="1"/>
  <c r="S62" i="33"/>
  <c r="V62" i="33" s="1"/>
  <c r="R62" i="33"/>
  <c r="T62" i="33" s="1"/>
  <c r="M60" i="32"/>
  <c r="Q60" i="32" s="1"/>
  <c r="U60" i="32" s="1"/>
  <c r="S60" i="32"/>
  <c r="V60" i="32" s="1"/>
  <c r="R60" i="32"/>
  <c r="T60" i="32" s="1"/>
  <c r="R60" i="34"/>
  <c r="T60" i="34" s="1"/>
  <c r="M60" i="34"/>
  <c r="Q60" i="34" s="1"/>
  <c r="U60" i="34" s="1"/>
  <c r="S60" i="34"/>
  <c r="V60" i="34" s="1"/>
  <c r="BE59" i="19"/>
  <c r="E59" i="10"/>
  <c r="M60" i="33"/>
  <c r="Q60" i="33" s="1"/>
  <c r="U60" i="33" s="1"/>
  <c r="R60" i="33"/>
  <c r="T60" i="33" s="1"/>
  <c r="S60" i="33"/>
  <c r="V60" i="33" s="1"/>
  <c r="BE58" i="19"/>
  <c r="E58" i="10"/>
  <c r="R59" i="32"/>
  <c r="T59" i="32" s="1"/>
  <c r="M59" i="32"/>
  <c r="Q59" i="32" s="1"/>
  <c r="U59" i="32" s="1"/>
  <c r="S59" i="32"/>
  <c r="V59" i="32" s="1"/>
  <c r="M59" i="33"/>
  <c r="Q59" i="33" s="1"/>
  <c r="U59" i="33" s="1"/>
  <c r="S59" i="33"/>
  <c r="V59" i="33" s="1"/>
  <c r="R59" i="33"/>
  <c r="T59" i="33" s="1"/>
  <c r="M59" i="34"/>
  <c r="Q59" i="34" s="1"/>
  <c r="U59" i="34" s="1"/>
  <c r="R59" i="34"/>
  <c r="T59" i="34" s="1"/>
  <c r="S59" i="34"/>
  <c r="V59" i="34" s="1"/>
  <c r="S56" i="34"/>
  <c r="V56" i="34" s="1"/>
  <c r="M56" i="34"/>
  <c r="Q56" i="34" s="1"/>
  <c r="U56" i="34" s="1"/>
  <c r="R56" i="34"/>
  <c r="T56" i="34" s="1"/>
  <c r="M56" i="32"/>
  <c r="Q56" i="32" s="1"/>
  <c r="U56" i="32" s="1"/>
  <c r="R56" i="32"/>
  <c r="T56" i="32" s="1"/>
  <c r="S56" i="32"/>
  <c r="V56" i="32" s="1"/>
  <c r="BE55" i="19"/>
  <c r="E55" i="10"/>
  <c r="M56" i="33"/>
  <c r="Q56" i="33" s="1"/>
  <c r="U56" i="33" s="1"/>
  <c r="S56" i="33"/>
  <c r="V56" i="33" s="1"/>
  <c r="R56" i="33"/>
  <c r="T56" i="33" s="1"/>
  <c r="M55" i="32"/>
  <c r="Q55" i="32" s="1"/>
  <c r="U55" i="32" s="1"/>
  <c r="R55" i="32"/>
  <c r="T55" i="32" s="1"/>
  <c r="S55" i="32"/>
  <c r="V55" i="32" s="1"/>
  <c r="BE54" i="19"/>
  <c r="E54" i="10"/>
  <c r="M55" i="34"/>
  <c r="Q55" i="34" s="1"/>
  <c r="U55" i="34" s="1"/>
  <c r="S55" i="34"/>
  <c r="V55" i="34" s="1"/>
  <c r="R55" i="34"/>
  <c r="T55" i="34" s="1"/>
  <c r="M55" i="33"/>
  <c r="Q55" i="33" s="1"/>
  <c r="U55" i="33" s="1"/>
  <c r="S55" i="33"/>
  <c r="V55" i="33" s="1"/>
  <c r="R55" i="33"/>
  <c r="T55" i="33" s="1"/>
  <c r="M52" i="33"/>
  <c r="Q52" i="33" s="1"/>
  <c r="U52" i="33" s="1"/>
  <c r="R52" i="33"/>
  <c r="T52" i="33" s="1"/>
  <c r="S52" i="33"/>
  <c r="V52" i="33" s="1"/>
  <c r="M52" i="32"/>
  <c r="Q52" i="32" s="1"/>
  <c r="U52" i="32" s="1"/>
  <c r="S52" i="32"/>
  <c r="V52" i="32" s="1"/>
  <c r="R52" i="32"/>
  <c r="T52" i="32" s="1"/>
  <c r="BE51" i="19"/>
  <c r="BI51" i="19" s="1"/>
  <c r="E51" i="10"/>
  <c r="M52" i="34"/>
  <c r="Q52" i="34" s="1"/>
  <c r="U52" i="34" s="1"/>
  <c r="S52" i="34"/>
  <c r="V52" i="34" s="1"/>
  <c r="R52" i="34"/>
  <c r="T52" i="34" s="1"/>
  <c r="BE50" i="19"/>
  <c r="E50" i="10"/>
  <c r="M51" i="32"/>
  <c r="Q51" i="32" s="1"/>
  <c r="U51" i="32" s="1"/>
  <c r="R51" i="32"/>
  <c r="T51" i="32" s="1"/>
  <c r="S51" i="32"/>
  <c r="V51" i="32" s="1"/>
  <c r="M51" i="34"/>
  <c r="Q51" i="34" s="1"/>
  <c r="U51" i="34" s="1"/>
  <c r="S51" i="34"/>
  <c r="V51" i="34" s="1"/>
  <c r="R51" i="34"/>
  <c r="T51" i="34" s="1"/>
  <c r="M51" i="33"/>
  <c r="Q51" i="33" s="1"/>
  <c r="U51" i="33" s="1"/>
  <c r="R51" i="33"/>
  <c r="T51" i="33" s="1"/>
  <c r="S51" i="33"/>
  <c r="V51" i="33" s="1"/>
  <c r="BE45" i="19"/>
  <c r="E45" i="10"/>
  <c r="M46" i="34"/>
  <c r="Q46" i="34" s="1"/>
  <c r="U46" i="34" s="1"/>
  <c r="R46" i="34"/>
  <c r="T46" i="34" s="1"/>
  <c r="S46" i="34"/>
  <c r="V46" i="34" s="1"/>
  <c r="M46" i="33"/>
  <c r="Q46" i="33" s="1"/>
  <c r="U46" i="33" s="1"/>
  <c r="R46" i="33"/>
  <c r="T46" i="33" s="1"/>
  <c r="S46" i="33"/>
  <c r="V46" i="33" s="1"/>
  <c r="M46" i="32"/>
  <c r="Q46" i="32" s="1"/>
  <c r="U46" i="32" s="1"/>
  <c r="R46" i="32"/>
  <c r="T46" i="32" s="1"/>
  <c r="S46" i="32"/>
  <c r="V46" i="32" s="1"/>
  <c r="BE41" i="19"/>
  <c r="E41" i="10"/>
  <c r="M42" i="32"/>
  <c r="Q42" i="32" s="1"/>
  <c r="U42" i="32" s="1"/>
  <c r="R42" i="32"/>
  <c r="T42" i="32" s="1"/>
  <c r="S42" i="32"/>
  <c r="V42" i="32" s="1"/>
  <c r="M42" i="34"/>
  <c r="Q42" i="34" s="1"/>
  <c r="U42" i="34" s="1"/>
  <c r="S42" i="34"/>
  <c r="V42" i="34" s="1"/>
  <c r="R42" i="34"/>
  <c r="T42" i="34" s="1"/>
  <c r="M42" i="33"/>
  <c r="Q42" i="33" s="1"/>
  <c r="U42" i="33" s="1"/>
  <c r="S42" i="33"/>
  <c r="V42" i="33" s="1"/>
  <c r="R42" i="33"/>
  <c r="T42" i="33" s="1"/>
  <c r="BE37" i="19"/>
  <c r="E37" i="10"/>
  <c r="M38" i="32"/>
  <c r="Q38" i="32" s="1"/>
  <c r="U38" i="32" s="1"/>
  <c r="S38" i="32"/>
  <c r="V38" i="32" s="1"/>
  <c r="R38" i="32"/>
  <c r="T38" i="32" s="1"/>
  <c r="M38" i="34"/>
  <c r="Q38" i="34" s="1"/>
  <c r="U38" i="34" s="1"/>
  <c r="S38" i="34"/>
  <c r="V38" i="34" s="1"/>
  <c r="R38" i="34"/>
  <c r="T38" i="34" s="1"/>
  <c r="M38" i="33"/>
  <c r="Q38" i="33" s="1"/>
  <c r="U38" i="33" s="1"/>
  <c r="R38" i="33"/>
  <c r="T38" i="33" s="1"/>
  <c r="S38" i="33"/>
  <c r="V38" i="33" s="1"/>
  <c r="M37" i="33"/>
  <c r="Q37" i="33" s="1"/>
  <c r="U37" i="33" s="1"/>
  <c r="S37" i="33"/>
  <c r="V37" i="33" s="1"/>
  <c r="R37" i="33"/>
  <c r="T37" i="33" s="1"/>
  <c r="M37" i="32"/>
  <c r="Q37" i="32" s="1"/>
  <c r="U37" i="32" s="1"/>
  <c r="R37" i="32"/>
  <c r="T37" i="32" s="1"/>
  <c r="S37" i="32"/>
  <c r="V37" i="32" s="1"/>
  <c r="BE36" i="19"/>
  <c r="E36" i="10"/>
  <c r="M37" i="34"/>
  <c r="Q37" i="34" s="1"/>
  <c r="U37" i="34" s="1"/>
  <c r="R37" i="34"/>
  <c r="T37" i="34" s="1"/>
  <c r="S37" i="34"/>
  <c r="V37" i="34" s="1"/>
  <c r="BE35" i="19"/>
  <c r="E35" i="10"/>
  <c r="M36" i="33"/>
  <c r="Q36" i="33" s="1"/>
  <c r="U36" i="33" s="1"/>
  <c r="R36" i="33"/>
  <c r="T36" i="33" s="1"/>
  <c r="S36" i="33"/>
  <c r="V36" i="33" s="1"/>
  <c r="M36" i="34"/>
  <c r="Q36" i="34" s="1"/>
  <c r="U36" i="34" s="1"/>
  <c r="S36" i="34"/>
  <c r="V36" i="34" s="1"/>
  <c r="R36" i="34"/>
  <c r="T36" i="34" s="1"/>
  <c r="M36" i="32"/>
  <c r="Q36" i="32" s="1"/>
  <c r="U36" i="32" s="1"/>
  <c r="R36" i="32"/>
  <c r="T36" i="32" s="1"/>
  <c r="S36" i="32"/>
  <c r="V36" i="32" s="1"/>
  <c r="M33" i="34"/>
  <c r="Q33" i="34" s="1"/>
  <c r="U33" i="34" s="1"/>
  <c r="R33" i="34"/>
  <c r="T33" i="34" s="1"/>
  <c r="S33" i="34"/>
  <c r="V33" i="34" s="1"/>
  <c r="BE32" i="19"/>
  <c r="E32" i="10"/>
  <c r="M33" i="33"/>
  <c r="Q33" i="33" s="1"/>
  <c r="U33" i="33" s="1"/>
  <c r="R33" i="33"/>
  <c r="T33" i="33" s="1"/>
  <c r="S33" i="33"/>
  <c r="V33" i="33" s="1"/>
  <c r="M33" i="32"/>
  <c r="Q33" i="32" s="1"/>
  <c r="U33" i="32" s="1"/>
  <c r="R33" i="32"/>
  <c r="T33" i="32" s="1"/>
  <c r="S33" i="32"/>
  <c r="V33" i="32" s="1"/>
  <c r="M32" i="34"/>
  <c r="Q32" i="34" s="1"/>
  <c r="U32" i="34" s="1"/>
  <c r="S32" i="34"/>
  <c r="V32" i="34" s="1"/>
  <c r="R32" i="34"/>
  <c r="T32" i="34" s="1"/>
  <c r="M32" i="32"/>
  <c r="Q32" i="32" s="1"/>
  <c r="U32" i="32" s="1"/>
  <c r="S32" i="32"/>
  <c r="V32" i="32" s="1"/>
  <c r="R32" i="32"/>
  <c r="T32" i="32" s="1"/>
  <c r="BE31" i="19"/>
  <c r="BI31" i="19" s="1"/>
  <c r="BA31" i="19" s="1"/>
  <c r="E31" i="10"/>
  <c r="M32" i="33"/>
  <c r="Q32" i="33" s="1"/>
  <c r="U32" i="33" s="1"/>
  <c r="R32" i="33"/>
  <c r="T32" i="33" s="1"/>
  <c r="S32" i="33"/>
  <c r="V32" i="33" s="1"/>
  <c r="M31" i="32"/>
  <c r="Q31" i="32" s="1"/>
  <c r="U31" i="32" s="1"/>
  <c r="R31" i="32"/>
  <c r="T31" i="32" s="1"/>
  <c r="S31" i="32"/>
  <c r="V31" i="32" s="1"/>
  <c r="BE30" i="19"/>
  <c r="E30" i="10"/>
  <c r="M31" i="34"/>
  <c r="Q31" i="34" s="1"/>
  <c r="U31" i="34" s="1"/>
  <c r="R31" i="34"/>
  <c r="T31" i="34" s="1"/>
  <c r="S31" i="34"/>
  <c r="V31" i="34" s="1"/>
  <c r="M31" i="33"/>
  <c r="Q31" i="33" s="1"/>
  <c r="U31" i="33" s="1"/>
  <c r="R31" i="33"/>
  <c r="T31" i="33" s="1"/>
  <c r="S31" i="33"/>
  <c r="V31" i="33" s="1"/>
  <c r="M30" i="32"/>
  <c r="Q30" i="32" s="1"/>
  <c r="U30" i="32" s="1"/>
  <c r="R30" i="32"/>
  <c r="T30" i="32" s="1"/>
  <c r="S30" i="32"/>
  <c r="V30" i="32" s="1"/>
  <c r="M30" i="33"/>
  <c r="Q30" i="33" s="1"/>
  <c r="U30" i="33" s="1"/>
  <c r="R30" i="33"/>
  <c r="T30" i="33" s="1"/>
  <c r="S30" i="33"/>
  <c r="V30" i="33" s="1"/>
  <c r="BE29" i="19"/>
  <c r="E29" i="10"/>
  <c r="M30" i="34"/>
  <c r="Q30" i="34" s="1"/>
  <c r="U30" i="34" s="1"/>
  <c r="S30" i="34"/>
  <c r="V30" i="34" s="1"/>
  <c r="R30" i="34"/>
  <c r="T30" i="34" s="1"/>
  <c r="BE26" i="19"/>
  <c r="E26" i="10"/>
  <c r="M27" i="33"/>
  <c r="Q27" i="33" s="1"/>
  <c r="U27" i="33" s="1"/>
  <c r="R27" i="33"/>
  <c r="T27" i="33" s="1"/>
  <c r="S27" i="33"/>
  <c r="V27" i="33" s="1"/>
  <c r="M27" i="34"/>
  <c r="Q27" i="34" s="1"/>
  <c r="U27" i="34" s="1"/>
  <c r="S27" i="34"/>
  <c r="V27" i="34" s="1"/>
  <c r="R27" i="34"/>
  <c r="T27" i="34" s="1"/>
  <c r="M27" i="32"/>
  <c r="Q27" i="32" s="1"/>
  <c r="U27" i="32" s="1"/>
  <c r="R27" i="32"/>
  <c r="T27" i="32" s="1"/>
  <c r="S27" i="32"/>
  <c r="V27" i="32" s="1"/>
  <c r="M24" i="34"/>
  <c r="Q24" i="34" s="1"/>
  <c r="U24" i="34" s="1"/>
  <c r="S24" i="34"/>
  <c r="V24" i="34" s="1"/>
  <c r="R24" i="34"/>
  <c r="T24" i="34" s="1"/>
  <c r="M24" i="32"/>
  <c r="Q24" i="32" s="1"/>
  <c r="U24" i="32" s="1"/>
  <c r="S24" i="32"/>
  <c r="V24" i="32" s="1"/>
  <c r="R24" i="32"/>
  <c r="T24" i="32" s="1"/>
  <c r="M24" i="33"/>
  <c r="Q24" i="33" s="1"/>
  <c r="U24" i="33" s="1"/>
  <c r="R24" i="33"/>
  <c r="T24" i="33" s="1"/>
  <c r="S24" i="33"/>
  <c r="V24" i="33" s="1"/>
  <c r="M19" i="32"/>
  <c r="Q19" i="32" s="1"/>
  <c r="U19" i="32" s="1"/>
  <c r="R19" i="32"/>
  <c r="T19" i="32" s="1"/>
  <c r="S19" i="32"/>
  <c r="V19" i="32" s="1"/>
  <c r="M19" i="34"/>
  <c r="Q19" i="34" s="1"/>
  <c r="U19" i="34" s="1"/>
  <c r="S19" i="34"/>
  <c r="V19" i="34" s="1"/>
  <c r="R19" i="34"/>
  <c r="T19" i="34" s="1"/>
  <c r="BE18" i="19"/>
  <c r="E18" i="10"/>
  <c r="M19" i="33"/>
  <c r="Q19" i="33" s="1"/>
  <c r="U19" i="33" s="1"/>
  <c r="R19" i="33"/>
  <c r="T19" i="33" s="1"/>
  <c r="S19" i="33"/>
  <c r="V19" i="33" s="1"/>
  <c r="Q86" i="29"/>
  <c r="U86" i="29" s="1"/>
  <c r="Q22" i="29"/>
  <c r="U22" i="29" s="1"/>
  <c r="Q74" i="29"/>
  <c r="U74" i="29" s="1"/>
  <c r="BG17" i="19"/>
  <c r="G17" i="10"/>
  <c r="O18" i="32"/>
  <c r="Q18" i="32" s="1"/>
  <c r="U18" i="32" s="1"/>
  <c r="S18" i="32"/>
  <c r="V18" i="32" s="1"/>
  <c r="R18" i="32"/>
  <c r="T18" i="32" s="1"/>
  <c r="R18" i="34"/>
  <c r="T18" i="34" s="1"/>
  <c r="O18" i="34"/>
  <c r="Q18" i="34" s="1"/>
  <c r="U18" i="34" s="1"/>
  <c r="S18" i="34"/>
  <c r="V18" i="34" s="1"/>
  <c r="O18" i="33"/>
  <c r="Q18" i="33" s="1"/>
  <c r="U18" i="33" s="1"/>
  <c r="R18" i="33"/>
  <c r="T18" i="33" s="1"/>
  <c r="S18" i="33"/>
  <c r="V18" i="33" s="1"/>
  <c r="R48" i="32"/>
  <c r="T48" i="32" s="1"/>
  <c r="K48" i="32"/>
  <c r="Q48" i="32" s="1"/>
  <c r="U48" i="32" s="1"/>
  <c r="S48" i="32"/>
  <c r="V48" i="32" s="1"/>
  <c r="K48" i="33"/>
  <c r="Q48" i="33" s="1"/>
  <c r="U48" i="33" s="1"/>
  <c r="R48" i="33"/>
  <c r="T48" i="33" s="1"/>
  <c r="S48" i="33"/>
  <c r="V48" i="33" s="1"/>
  <c r="S48" i="34"/>
  <c r="V48" i="34" s="1"/>
  <c r="K48" i="34"/>
  <c r="Q48" i="34" s="1"/>
  <c r="U48" i="34" s="1"/>
  <c r="R48" i="34"/>
  <c r="T48" i="34" s="1"/>
  <c r="BC47" i="19"/>
  <c r="C47" i="10"/>
  <c r="K40" i="34"/>
  <c r="Q40" i="34" s="1"/>
  <c r="U40" i="34" s="1"/>
  <c r="S40" i="34"/>
  <c r="V40" i="34" s="1"/>
  <c r="R40" i="34"/>
  <c r="T40" i="34" s="1"/>
  <c r="K40" i="32"/>
  <c r="Q40" i="32" s="1"/>
  <c r="U40" i="32" s="1"/>
  <c r="S40" i="32"/>
  <c r="V40" i="32" s="1"/>
  <c r="R40" i="32"/>
  <c r="T40" i="32" s="1"/>
  <c r="S40" i="33"/>
  <c r="V40" i="33" s="1"/>
  <c r="R40" i="33"/>
  <c r="T40" i="33" s="1"/>
  <c r="K40" i="33"/>
  <c r="Q40" i="33" s="1"/>
  <c r="U40" i="33" s="1"/>
  <c r="BC39" i="19"/>
  <c r="C39" i="10"/>
  <c r="S22" i="31"/>
  <c r="V22" i="31" s="1"/>
  <c r="S22" i="32"/>
  <c r="V22" i="32" s="1"/>
  <c r="K22" i="32"/>
  <c r="Q22" i="32" s="1"/>
  <c r="U22" i="32" s="1"/>
  <c r="R22" i="32"/>
  <c r="T22" i="32" s="1"/>
  <c r="BC21" i="19"/>
  <c r="BI21" i="19" s="1"/>
  <c r="C21" i="10"/>
  <c r="Q22" i="31"/>
  <c r="U22" i="31" s="1"/>
  <c r="Q21" i="27"/>
  <c r="U21" i="27" s="1"/>
  <c r="K22" i="34"/>
  <c r="Q22" i="34" s="1"/>
  <c r="U22" i="34" s="1"/>
  <c r="S22" i="34"/>
  <c r="V22" i="34" s="1"/>
  <c r="R22" i="34"/>
  <c r="T22" i="34" s="1"/>
  <c r="R22" i="33"/>
  <c r="T22" i="33" s="1"/>
  <c r="S22" i="33"/>
  <c r="V22" i="33" s="1"/>
  <c r="K22" i="33"/>
  <c r="Q22" i="33" s="1"/>
  <c r="U22" i="33" s="1"/>
  <c r="Q86" i="31"/>
  <c r="U86" i="31" s="1"/>
  <c r="K86" i="34"/>
  <c r="Q86" i="34" s="1"/>
  <c r="U86" i="34" s="1"/>
  <c r="S86" i="34"/>
  <c r="V86" i="34" s="1"/>
  <c r="R86" i="34"/>
  <c r="T86" i="34" s="1"/>
  <c r="S86" i="33"/>
  <c r="V86" i="33" s="1"/>
  <c r="K86" i="33"/>
  <c r="Q86" i="33" s="1"/>
  <c r="U86" i="33" s="1"/>
  <c r="R86" i="33"/>
  <c r="T86" i="33" s="1"/>
  <c r="BC85" i="19"/>
  <c r="C85" i="10"/>
  <c r="R86" i="31"/>
  <c r="T86" i="31" s="1"/>
  <c r="K86" i="32"/>
  <c r="Q86" i="32" s="1"/>
  <c r="U86" i="32" s="1"/>
  <c r="S86" i="32"/>
  <c r="V86" i="32" s="1"/>
  <c r="R86" i="32"/>
  <c r="T86" i="32" s="1"/>
  <c r="BC77" i="19"/>
  <c r="C77" i="10"/>
  <c r="K78" i="32"/>
  <c r="Q78" i="32" s="1"/>
  <c r="U78" i="32" s="1"/>
  <c r="S78" i="32"/>
  <c r="V78" i="32" s="1"/>
  <c r="R78" i="32"/>
  <c r="T78" i="32" s="1"/>
  <c r="K78" i="33"/>
  <c r="Q78" i="33" s="1"/>
  <c r="U78" i="33" s="1"/>
  <c r="S78" i="33"/>
  <c r="V78" i="33" s="1"/>
  <c r="R78" i="33"/>
  <c r="T78" i="33" s="1"/>
  <c r="K78" i="34"/>
  <c r="Q78" i="34" s="1"/>
  <c r="U78" i="34" s="1"/>
  <c r="S78" i="34"/>
  <c r="V78" i="34" s="1"/>
  <c r="R78" i="34"/>
  <c r="T78" i="34" s="1"/>
  <c r="S77" i="33"/>
  <c r="V77" i="33" s="1"/>
  <c r="R77" i="33"/>
  <c r="T77" i="33" s="1"/>
  <c r="K77" i="33"/>
  <c r="Q77" i="33" s="1"/>
  <c r="U77" i="33" s="1"/>
  <c r="K77" i="34"/>
  <c r="Q77" i="34" s="1"/>
  <c r="U77" i="34" s="1"/>
  <c r="S77" i="34"/>
  <c r="V77" i="34" s="1"/>
  <c r="R77" i="34"/>
  <c r="T77" i="34" s="1"/>
  <c r="K77" i="32"/>
  <c r="Q77" i="32" s="1"/>
  <c r="U77" i="32" s="1"/>
  <c r="R77" i="32"/>
  <c r="T77" i="32" s="1"/>
  <c r="S77" i="32"/>
  <c r="V77" i="32" s="1"/>
  <c r="BC76" i="19"/>
  <c r="C76" i="10"/>
  <c r="K75" i="33"/>
  <c r="Q75" i="33" s="1"/>
  <c r="U75" i="33" s="1"/>
  <c r="S75" i="33"/>
  <c r="V75" i="33" s="1"/>
  <c r="R75" i="33"/>
  <c r="T75" i="33" s="1"/>
  <c r="R75" i="32"/>
  <c r="T75" i="32" s="1"/>
  <c r="S75" i="32"/>
  <c r="V75" i="32" s="1"/>
  <c r="K75" i="32"/>
  <c r="Q75" i="32" s="1"/>
  <c r="U75" i="32" s="1"/>
  <c r="S75" i="34"/>
  <c r="V75" i="34" s="1"/>
  <c r="K75" i="34"/>
  <c r="Q75" i="34" s="1"/>
  <c r="U75" i="34" s="1"/>
  <c r="R75" i="34"/>
  <c r="T75" i="34" s="1"/>
  <c r="BC74" i="19"/>
  <c r="BI74" i="19" s="1"/>
  <c r="C74" i="10"/>
  <c r="K74" i="34"/>
  <c r="Q74" i="34" s="1"/>
  <c r="U74" i="34" s="1"/>
  <c r="S74" i="34"/>
  <c r="V74" i="34" s="1"/>
  <c r="R74" i="34"/>
  <c r="T74" i="34" s="1"/>
  <c r="BC73" i="19"/>
  <c r="C73" i="10"/>
  <c r="S74" i="31"/>
  <c r="V74" i="31" s="1"/>
  <c r="Q74" i="31"/>
  <c r="U74" i="31" s="1"/>
  <c r="R74" i="32"/>
  <c r="T74" i="32" s="1"/>
  <c r="K74" i="32"/>
  <c r="Q74" i="32" s="1"/>
  <c r="U74" i="32" s="1"/>
  <c r="S74" i="32"/>
  <c r="V74" i="32" s="1"/>
  <c r="K74" i="33"/>
  <c r="Q74" i="33" s="1"/>
  <c r="U74" i="33" s="1"/>
  <c r="R74" i="33"/>
  <c r="T74" i="33" s="1"/>
  <c r="S74" i="33"/>
  <c r="V74" i="33" s="1"/>
  <c r="R72" i="32"/>
  <c r="T72" i="32" s="1"/>
  <c r="K72" i="32"/>
  <c r="Q72" i="32" s="1"/>
  <c r="U72" i="32" s="1"/>
  <c r="S72" i="32"/>
  <c r="V72" i="32" s="1"/>
  <c r="BI71" i="19"/>
  <c r="BA71" i="19" s="1"/>
  <c r="Q72" i="29"/>
  <c r="U72" i="29" s="1"/>
  <c r="S72" i="33"/>
  <c r="V72" i="33" s="1"/>
  <c r="K72" i="33"/>
  <c r="Q72" i="33" s="1"/>
  <c r="U72" i="33" s="1"/>
  <c r="R72" i="33"/>
  <c r="T72" i="33" s="1"/>
  <c r="R72" i="34"/>
  <c r="T72" i="34" s="1"/>
  <c r="S72" i="34"/>
  <c r="V72" i="34" s="1"/>
  <c r="K72" i="34"/>
  <c r="Q72" i="34" s="1"/>
  <c r="U72" i="34" s="1"/>
  <c r="R72" i="29"/>
  <c r="T72" i="29" s="1"/>
  <c r="BC71" i="19"/>
  <c r="C71" i="10"/>
  <c r="R70" i="32"/>
  <c r="T70" i="32" s="1"/>
  <c r="K70" i="32"/>
  <c r="Q70" i="32" s="1"/>
  <c r="U70" i="32" s="1"/>
  <c r="S70" i="32"/>
  <c r="V70" i="32" s="1"/>
  <c r="BC69" i="19"/>
  <c r="C69" i="10"/>
  <c r="K70" i="34"/>
  <c r="Q70" i="34" s="1"/>
  <c r="U70" i="34" s="1"/>
  <c r="S70" i="34"/>
  <c r="V70" i="34" s="1"/>
  <c r="R70" i="34"/>
  <c r="T70" i="34" s="1"/>
  <c r="K70" i="33"/>
  <c r="Q70" i="33" s="1"/>
  <c r="U70" i="33" s="1"/>
  <c r="S70" i="33"/>
  <c r="V70" i="33" s="1"/>
  <c r="R70" i="33"/>
  <c r="T70" i="33" s="1"/>
  <c r="S68" i="33"/>
  <c r="V68" i="33" s="1"/>
  <c r="K68" i="33"/>
  <c r="Q68" i="33" s="1"/>
  <c r="U68" i="33" s="1"/>
  <c r="R68" i="33"/>
  <c r="T68" i="33" s="1"/>
  <c r="R68" i="32"/>
  <c r="T68" i="32" s="1"/>
  <c r="K68" i="32"/>
  <c r="Q68" i="32" s="1"/>
  <c r="U68" i="32" s="1"/>
  <c r="S68" i="32"/>
  <c r="V68" i="32" s="1"/>
  <c r="R68" i="34"/>
  <c r="T68" i="34" s="1"/>
  <c r="S68" i="34"/>
  <c r="V68" i="34" s="1"/>
  <c r="K68" i="34"/>
  <c r="Q68" i="34" s="1"/>
  <c r="U68" i="34" s="1"/>
  <c r="BC67" i="19"/>
  <c r="C67" i="10"/>
  <c r="O15" i="32"/>
  <c r="Q15" i="32" s="1"/>
  <c r="U15" i="32" s="1"/>
  <c r="R15" i="32"/>
  <c r="T15" i="32" s="1"/>
  <c r="S15" i="32"/>
  <c r="V15" i="32" s="1"/>
  <c r="O15" i="33"/>
  <c r="Q15" i="33" s="1"/>
  <c r="U15" i="33" s="1"/>
  <c r="S15" i="33"/>
  <c r="V15" i="33" s="1"/>
  <c r="R15" i="33"/>
  <c r="T15" i="33" s="1"/>
  <c r="BG14" i="19"/>
  <c r="G14" i="10"/>
  <c r="O15" i="34"/>
  <c r="Q15" i="34" s="1"/>
  <c r="U15" i="34" s="1"/>
  <c r="R15" i="34"/>
  <c r="T15" i="34" s="1"/>
  <c r="S15" i="34"/>
  <c r="V15" i="34" s="1"/>
  <c r="M61" i="27"/>
  <c r="Q61" i="27" s="1"/>
  <c r="U61" i="27" s="1"/>
  <c r="R61" i="27"/>
  <c r="T61" i="27" s="1"/>
  <c r="S61" i="27"/>
  <c r="M82" i="29"/>
  <c r="Q82" i="29" s="1"/>
  <c r="U82" i="29" s="1"/>
  <c r="S82" i="29"/>
  <c r="V82" i="29" s="1"/>
  <c r="R82" i="29"/>
  <c r="T82" i="29" s="1"/>
  <c r="M70" i="28"/>
  <c r="Q70" i="28" s="1"/>
  <c r="U70" i="28" s="1"/>
  <c r="S70" i="28"/>
  <c r="V70" i="28" s="1"/>
  <c r="R70" i="28"/>
  <c r="T70" i="28" s="1"/>
  <c r="M56" i="29"/>
  <c r="Q56" i="29" s="1"/>
  <c r="U56" i="29" s="1"/>
  <c r="S56" i="29"/>
  <c r="V56" i="29" s="1"/>
  <c r="R56" i="29"/>
  <c r="T56" i="29" s="1"/>
  <c r="M44" i="27"/>
  <c r="Q44" i="27" s="1"/>
  <c r="U44" i="27" s="1"/>
  <c r="R44" i="27"/>
  <c r="T44" i="27" s="1"/>
  <c r="S44" i="27"/>
  <c r="M75" i="28"/>
  <c r="Q75" i="28" s="1"/>
  <c r="U75" i="28" s="1"/>
  <c r="S75" i="28"/>
  <c r="V75" i="28" s="1"/>
  <c r="R75" i="28"/>
  <c r="T75" i="28" s="1"/>
  <c r="M55" i="29"/>
  <c r="Q55" i="29" s="1"/>
  <c r="U55" i="29" s="1"/>
  <c r="R55" i="29"/>
  <c r="T55" i="29" s="1"/>
  <c r="S55" i="29"/>
  <c r="V55" i="29" s="1"/>
  <c r="M47" i="28"/>
  <c r="Q47" i="28" s="1"/>
  <c r="U47" i="28" s="1"/>
  <c r="R47" i="28"/>
  <c r="T47" i="28" s="1"/>
  <c r="S47" i="28"/>
  <c r="V47" i="28" s="1"/>
  <c r="R41" i="29"/>
  <c r="T41" i="29" s="1"/>
  <c r="S41" i="29"/>
  <c r="V41" i="29" s="1"/>
  <c r="M41" i="29"/>
  <c r="Q41" i="29" s="1"/>
  <c r="U41" i="29" s="1"/>
  <c r="M35" i="27"/>
  <c r="Q35" i="27" s="1"/>
  <c r="U35" i="27" s="1"/>
  <c r="R35" i="27"/>
  <c r="T35" i="27" s="1"/>
  <c r="S35" i="27"/>
  <c r="M51" i="27"/>
  <c r="Q51" i="27" s="1"/>
  <c r="U51" i="27" s="1"/>
  <c r="R51" i="27"/>
  <c r="T51" i="27" s="1"/>
  <c r="S51" i="27"/>
  <c r="M86" i="27"/>
  <c r="Q86" i="27" s="1"/>
  <c r="U86" i="27" s="1"/>
  <c r="R86" i="27"/>
  <c r="T86" i="27" s="1"/>
  <c r="S86" i="27"/>
  <c r="M81" i="31"/>
  <c r="Q81" i="31" s="1"/>
  <c r="U81" i="31" s="1"/>
  <c r="S81" i="31"/>
  <c r="V81" i="31" s="1"/>
  <c r="R81" i="31"/>
  <c r="T81" i="31" s="1"/>
  <c r="M59" i="31"/>
  <c r="Q59" i="31" s="1"/>
  <c r="U59" i="31" s="1"/>
  <c r="R59" i="31"/>
  <c r="T59" i="31" s="1"/>
  <c r="S59" i="31"/>
  <c r="V59" i="31" s="1"/>
  <c r="M34" i="28"/>
  <c r="Q34" i="28" s="1"/>
  <c r="U34" i="28" s="1"/>
  <c r="R34" i="28"/>
  <c r="T34" i="28" s="1"/>
  <c r="S34" i="28"/>
  <c r="V34" i="28" s="1"/>
  <c r="M78" i="29"/>
  <c r="Q78" i="29" s="1"/>
  <c r="U78" i="29" s="1"/>
  <c r="S78" i="29"/>
  <c r="V78" i="29" s="1"/>
  <c r="R78" i="29"/>
  <c r="T78" i="29" s="1"/>
  <c r="M42" i="27"/>
  <c r="Q42" i="27" s="1"/>
  <c r="U42" i="27" s="1"/>
  <c r="S42" i="27"/>
  <c r="R42" i="27"/>
  <c r="T42" i="27" s="1"/>
  <c r="M65" i="27"/>
  <c r="Q65" i="27" s="1"/>
  <c r="U65" i="27" s="1"/>
  <c r="R65" i="27"/>
  <c r="T65" i="27" s="1"/>
  <c r="S65" i="27"/>
  <c r="M60" i="28"/>
  <c r="Q60" i="28" s="1"/>
  <c r="U60" i="28" s="1"/>
  <c r="S60" i="28"/>
  <c r="V60" i="28" s="1"/>
  <c r="R60" i="28"/>
  <c r="T60" i="28" s="1"/>
  <c r="M21" i="28"/>
  <c r="Q21" i="28" s="1"/>
  <c r="U21" i="28" s="1"/>
  <c r="R21" i="28"/>
  <c r="T21" i="28" s="1"/>
  <c r="S21" i="28"/>
  <c r="V21" i="28" s="1"/>
  <c r="M62" i="28"/>
  <c r="Q62" i="28" s="1"/>
  <c r="U62" i="28" s="1"/>
  <c r="R62" i="28"/>
  <c r="T62" i="28" s="1"/>
  <c r="S62" i="28"/>
  <c r="V62" i="28" s="1"/>
  <c r="M19" i="31"/>
  <c r="Q19" i="31" s="1"/>
  <c r="U19" i="31" s="1"/>
  <c r="R19" i="31"/>
  <c r="T19" i="31" s="1"/>
  <c r="S19" i="31"/>
  <c r="V19" i="31" s="1"/>
  <c r="M81" i="27"/>
  <c r="Q81" i="27" s="1"/>
  <c r="U81" i="27" s="1"/>
  <c r="R81" i="27"/>
  <c r="T81" i="27" s="1"/>
  <c r="S81" i="27"/>
  <c r="S77" i="29"/>
  <c r="V77" i="29" s="1"/>
  <c r="R77" i="29"/>
  <c r="T77" i="29" s="1"/>
  <c r="M77" i="29"/>
  <c r="Q77" i="29" s="1"/>
  <c r="U77" i="29" s="1"/>
  <c r="M69" i="27"/>
  <c r="Q69" i="27" s="1"/>
  <c r="U69" i="27" s="1"/>
  <c r="R69" i="27"/>
  <c r="T69" i="27" s="1"/>
  <c r="S69" i="27"/>
  <c r="M64" i="27"/>
  <c r="Q64" i="27" s="1"/>
  <c r="U64" i="27" s="1"/>
  <c r="R64" i="27"/>
  <c r="T64" i="27" s="1"/>
  <c r="S64" i="27"/>
  <c r="M56" i="28"/>
  <c r="Q56" i="28" s="1"/>
  <c r="U56" i="28" s="1"/>
  <c r="S56" i="28"/>
  <c r="V56" i="28" s="1"/>
  <c r="R56" i="28"/>
  <c r="T56" i="28" s="1"/>
  <c r="M45" i="28"/>
  <c r="Q45" i="28" s="1"/>
  <c r="U45" i="28" s="1"/>
  <c r="S45" i="28"/>
  <c r="V45" i="28" s="1"/>
  <c r="R45" i="28"/>
  <c r="T45" i="28" s="1"/>
  <c r="M58" i="31"/>
  <c r="Q58" i="31" s="1"/>
  <c r="U58" i="31" s="1"/>
  <c r="S58" i="31"/>
  <c r="V58" i="31" s="1"/>
  <c r="R58" i="31"/>
  <c r="T58" i="31" s="1"/>
  <c r="M48" i="31"/>
  <c r="Q48" i="31" s="1"/>
  <c r="U48" i="31" s="1"/>
  <c r="S48" i="31"/>
  <c r="V48" i="31" s="1"/>
  <c r="R48" i="31"/>
  <c r="T48" i="31" s="1"/>
  <c r="M37" i="31"/>
  <c r="Q37" i="31" s="1"/>
  <c r="U37" i="31" s="1"/>
  <c r="S37" i="31"/>
  <c r="V37" i="31" s="1"/>
  <c r="R37" i="31"/>
  <c r="T37" i="31" s="1"/>
  <c r="M30" i="31"/>
  <c r="Q30" i="31" s="1"/>
  <c r="U30" i="31" s="1"/>
  <c r="S30" i="31"/>
  <c r="V30" i="31" s="1"/>
  <c r="R30" i="31"/>
  <c r="T30" i="31" s="1"/>
  <c r="M15" i="31"/>
  <c r="Q15" i="31" s="1"/>
  <c r="U15" i="31" s="1"/>
  <c r="R15" i="31"/>
  <c r="T15" i="31" s="1"/>
  <c r="S15" i="31"/>
  <c r="V15" i="31" s="1"/>
  <c r="M75" i="31"/>
  <c r="Q75" i="31" s="1"/>
  <c r="U75" i="31" s="1"/>
  <c r="R75" i="31"/>
  <c r="T75" i="31" s="1"/>
  <c r="S75" i="31"/>
  <c r="V75" i="31" s="1"/>
  <c r="M28" i="27"/>
  <c r="Q28" i="27" s="1"/>
  <c r="U28" i="27" s="1"/>
  <c r="R28" i="27"/>
  <c r="T28" i="27" s="1"/>
  <c r="S28" i="27"/>
  <c r="M55" i="31"/>
  <c r="Q55" i="31" s="1"/>
  <c r="U55" i="31" s="1"/>
  <c r="R55" i="31"/>
  <c r="T55" i="31" s="1"/>
  <c r="S55" i="31"/>
  <c r="V55" i="31" s="1"/>
  <c r="M49" i="31"/>
  <c r="Q49" i="31" s="1"/>
  <c r="U49" i="31" s="1"/>
  <c r="S49" i="31"/>
  <c r="V49" i="31" s="1"/>
  <c r="R49" i="31"/>
  <c r="T49" i="31" s="1"/>
  <c r="M47" i="31"/>
  <c r="Q47" i="31" s="1"/>
  <c r="U47" i="31" s="1"/>
  <c r="S47" i="31"/>
  <c r="V47" i="31" s="1"/>
  <c r="R47" i="31"/>
  <c r="T47" i="31" s="1"/>
  <c r="M43" i="29"/>
  <c r="Q43" i="29" s="1"/>
  <c r="U43" i="29" s="1"/>
  <c r="R43" i="29"/>
  <c r="T43" i="29" s="1"/>
  <c r="S43" i="29"/>
  <c r="V43" i="29" s="1"/>
  <c r="M40" i="27"/>
  <c r="Q40" i="27" s="1"/>
  <c r="U40" i="27" s="1"/>
  <c r="R40" i="27"/>
  <c r="T40" i="27" s="1"/>
  <c r="S40" i="27"/>
  <c r="M38" i="28"/>
  <c r="Q38" i="28" s="1"/>
  <c r="U38" i="28" s="1"/>
  <c r="S38" i="28"/>
  <c r="V38" i="28" s="1"/>
  <c r="R38" i="28"/>
  <c r="T38" i="28" s="1"/>
  <c r="M36" i="29"/>
  <c r="Q36" i="29" s="1"/>
  <c r="U36" i="29" s="1"/>
  <c r="S36" i="29"/>
  <c r="V36" i="29" s="1"/>
  <c r="R36" i="29"/>
  <c r="T36" i="29" s="1"/>
  <c r="M32" i="28"/>
  <c r="Q32" i="28" s="1"/>
  <c r="U32" i="28" s="1"/>
  <c r="R32" i="28"/>
  <c r="T32" i="28" s="1"/>
  <c r="S32" i="28"/>
  <c r="V32" i="28" s="1"/>
  <c r="S29" i="29"/>
  <c r="V29" i="29" s="1"/>
  <c r="R29" i="29"/>
  <c r="T29" i="29" s="1"/>
  <c r="M29" i="29"/>
  <c r="Q29" i="29" s="1"/>
  <c r="U29" i="29" s="1"/>
  <c r="M14" i="29"/>
  <c r="Q14" i="29" s="1"/>
  <c r="U14" i="29" s="1"/>
  <c r="S14" i="29"/>
  <c r="V14" i="29" s="1"/>
  <c r="R14" i="29"/>
  <c r="T14" i="29" s="1"/>
  <c r="M42" i="29"/>
  <c r="Q42" i="29" s="1"/>
  <c r="U42" i="29" s="1"/>
  <c r="S42" i="29"/>
  <c r="V42" i="29" s="1"/>
  <c r="R42" i="29"/>
  <c r="T42" i="29" s="1"/>
  <c r="M35" i="29"/>
  <c r="Q35" i="29" s="1"/>
  <c r="U35" i="29" s="1"/>
  <c r="R35" i="29"/>
  <c r="T35" i="29" s="1"/>
  <c r="S35" i="29"/>
  <c r="V35" i="29" s="1"/>
  <c r="M2" i="27"/>
  <c r="Q2" i="27" s="1"/>
  <c r="U2" i="27" s="1"/>
  <c r="S2" i="27"/>
  <c r="R2" i="27"/>
  <c r="T2" i="27" s="1"/>
  <c r="M17" i="28"/>
  <c r="Q17" i="28" s="1"/>
  <c r="U17" i="28" s="1"/>
  <c r="S17" i="28"/>
  <c r="V17" i="28" s="1"/>
  <c r="R17" i="28"/>
  <c r="T17" i="28" s="1"/>
  <c r="M52" i="28"/>
  <c r="Q52" i="28" s="1"/>
  <c r="U52" i="28" s="1"/>
  <c r="S52" i="28"/>
  <c r="V52" i="28" s="1"/>
  <c r="R52" i="28"/>
  <c r="T52" i="28" s="1"/>
  <c r="M87" i="28"/>
  <c r="Q87" i="28" s="1"/>
  <c r="U87" i="28" s="1"/>
  <c r="R87" i="28"/>
  <c r="T87" i="28" s="1"/>
  <c r="S87" i="28"/>
  <c r="V87" i="28" s="1"/>
  <c r="M84" i="28"/>
  <c r="Q84" i="28" s="1"/>
  <c r="U84" i="28" s="1"/>
  <c r="R84" i="28"/>
  <c r="T84" i="28" s="1"/>
  <c r="S84" i="28"/>
  <c r="V84" i="28" s="1"/>
  <c r="M81" i="28"/>
  <c r="Q81" i="28" s="1"/>
  <c r="U81" i="28" s="1"/>
  <c r="S81" i="28"/>
  <c r="V81" i="28" s="1"/>
  <c r="R81" i="28"/>
  <c r="T81" i="28" s="1"/>
  <c r="M63" i="27"/>
  <c r="Q63" i="27" s="1"/>
  <c r="U63" i="27" s="1"/>
  <c r="R63" i="27"/>
  <c r="T63" i="27" s="1"/>
  <c r="S63" i="27"/>
  <c r="M61" i="28"/>
  <c r="Q61" i="28" s="1"/>
  <c r="U61" i="28" s="1"/>
  <c r="S61" i="28"/>
  <c r="V61" i="28" s="1"/>
  <c r="R61" i="28"/>
  <c r="T61" i="28" s="1"/>
  <c r="M58" i="27"/>
  <c r="Q58" i="27" s="1"/>
  <c r="U58" i="27" s="1"/>
  <c r="S58" i="27"/>
  <c r="R58" i="27"/>
  <c r="T58" i="27" s="1"/>
  <c r="M50" i="27"/>
  <c r="Q50" i="27" s="1"/>
  <c r="U50" i="27" s="1"/>
  <c r="R50" i="27"/>
  <c r="T50" i="27" s="1"/>
  <c r="S50" i="27"/>
  <c r="M46" i="29"/>
  <c r="Q46" i="29" s="1"/>
  <c r="U46" i="29" s="1"/>
  <c r="R46" i="29"/>
  <c r="T46" i="29" s="1"/>
  <c r="S46" i="29"/>
  <c r="V46" i="29" s="1"/>
  <c r="M39" i="27"/>
  <c r="Q39" i="27" s="1"/>
  <c r="U39" i="27" s="1"/>
  <c r="S39" i="27"/>
  <c r="R39" i="27"/>
  <c r="T39" i="27" s="1"/>
  <c r="M31" i="31"/>
  <c r="Q31" i="31" s="1"/>
  <c r="U31" i="31" s="1"/>
  <c r="R31" i="31"/>
  <c r="T31" i="31" s="1"/>
  <c r="S31" i="31"/>
  <c r="V31" i="31" s="1"/>
  <c r="M27" i="31"/>
  <c r="Q27" i="31" s="1"/>
  <c r="U27" i="31" s="1"/>
  <c r="R27" i="31"/>
  <c r="T27" i="31" s="1"/>
  <c r="S27" i="31"/>
  <c r="V27" i="31" s="1"/>
  <c r="M18" i="28"/>
  <c r="Q18" i="28" s="1"/>
  <c r="U18" i="28" s="1"/>
  <c r="S18" i="28"/>
  <c r="V18" i="28" s="1"/>
  <c r="R18" i="28"/>
  <c r="T18" i="28" s="1"/>
  <c r="M16" i="28"/>
  <c r="Q16" i="28" s="1"/>
  <c r="U16" i="28" s="1"/>
  <c r="R16" i="28"/>
  <c r="T16" i="28" s="1"/>
  <c r="S16" i="28"/>
  <c r="V16" i="28" s="1"/>
  <c r="M33" i="27"/>
  <c r="Q33" i="27" s="1"/>
  <c r="U33" i="27" s="1"/>
  <c r="S33" i="27"/>
  <c r="R33" i="27"/>
  <c r="T33" i="27" s="1"/>
  <c r="M77" i="27"/>
  <c r="Q77" i="27" s="1"/>
  <c r="U77" i="27" s="1"/>
  <c r="S77" i="27"/>
  <c r="R77" i="27"/>
  <c r="T77" i="27" s="1"/>
  <c r="M68" i="29"/>
  <c r="Q68" i="29" s="1"/>
  <c r="U68" i="29" s="1"/>
  <c r="R68" i="29"/>
  <c r="T68" i="29" s="1"/>
  <c r="S68" i="29"/>
  <c r="V68" i="29" s="1"/>
  <c r="M66" i="29"/>
  <c r="Q66" i="29" s="1"/>
  <c r="U66" i="29" s="1"/>
  <c r="S66" i="29"/>
  <c r="V66" i="29" s="1"/>
  <c r="R66" i="29"/>
  <c r="T66" i="29" s="1"/>
  <c r="M60" i="29"/>
  <c r="Q60" i="29" s="1"/>
  <c r="U60" i="29" s="1"/>
  <c r="R60" i="29"/>
  <c r="T60" i="29" s="1"/>
  <c r="S60" i="29"/>
  <c r="V60" i="29" s="1"/>
  <c r="M32" i="27"/>
  <c r="Q32" i="27" s="1"/>
  <c r="U32" i="27" s="1"/>
  <c r="S32" i="27"/>
  <c r="R32" i="27"/>
  <c r="T32" i="27" s="1"/>
  <c r="M20" i="27"/>
  <c r="Q20" i="27" s="1"/>
  <c r="U20" i="27" s="1"/>
  <c r="S20" i="27"/>
  <c r="R20" i="27"/>
  <c r="T20" i="27" s="1"/>
  <c r="S19" i="29"/>
  <c r="V19" i="29" s="1"/>
  <c r="M19" i="29"/>
  <c r="Q19" i="29" s="1"/>
  <c r="U19" i="29" s="1"/>
  <c r="R19" i="29"/>
  <c r="T19" i="29" s="1"/>
  <c r="M77" i="28"/>
  <c r="Q77" i="28" s="1"/>
  <c r="U77" i="28" s="1"/>
  <c r="S77" i="28"/>
  <c r="V77" i="28" s="1"/>
  <c r="R77" i="28"/>
  <c r="T77" i="28" s="1"/>
  <c r="M65" i="29"/>
  <c r="Q65" i="29" s="1"/>
  <c r="U65" i="29" s="1"/>
  <c r="S65" i="29"/>
  <c r="V65" i="29" s="1"/>
  <c r="R65" i="29"/>
  <c r="T65" i="29" s="1"/>
  <c r="M57" i="27"/>
  <c r="Q57" i="27" s="1"/>
  <c r="U57" i="27" s="1"/>
  <c r="R57" i="27"/>
  <c r="T57" i="27" s="1"/>
  <c r="S57" i="27"/>
  <c r="M48" i="29"/>
  <c r="Q48" i="29" s="1"/>
  <c r="U48" i="29" s="1"/>
  <c r="S48" i="29"/>
  <c r="V48" i="29" s="1"/>
  <c r="R48" i="29"/>
  <c r="T48" i="29" s="1"/>
  <c r="R37" i="29"/>
  <c r="T37" i="29" s="1"/>
  <c r="S37" i="29"/>
  <c r="V37" i="29" s="1"/>
  <c r="M37" i="29"/>
  <c r="Q37" i="29" s="1"/>
  <c r="U37" i="29" s="1"/>
  <c r="M29" i="27"/>
  <c r="Q29" i="27" s="1"/>
  <c r="U29" i="27" s="1"/>
  <c r="S29" i="27"/>
  <c r="R29" i="27"/>
  <c r="T29" i="27" s="1"/>
  <c r="M15" i="29"/>
  <c r="Q15" i="29" s="1"/>
  <c r="U15" i="29" s="1"/>
  <c r="R15" i="29"/>
  <c r="T15" i="29" s="1"/>
  <c r="S15" i="29"/>
  <c r="V15" i="29" s="1"/>
  <c r="M67" i="31"/>
  <c r="Q67" i="31" s="1"/>
  <c r="U67" i="31" s="1"/>
  <c r="S67" i="31"/>
  <c r="V67" i="31" s="1"/>
  <c r="R67" i="31"/>
  <c r="T67" i="31" s="1"/>
  <c r="M49" i="28"/>
  <c r="Q49" i="28" s="1"/>
  <c r="U49" i="28" s="1"/>
  <c r="S49" i="28"/>
  <c r="V49" i="28" s="1"/>
  <c r="R49" i="28"/>
  <c r="T49" i="28" s="1"/>
  <c r="M43" i="28"/>
  <c r="Q43" i="28" s="1"/>
  <c r="U43" i="28" s="1"/>
  <c r="R43" i="28"/>
  <c r="T43" i="28" s="1"/>
  <c r="S43" i="28"/>
  <c r="V43" i="28" s="1"/>
  <c r="M37" i="27"/>
  <c r="Q37" i="27" s="1"/>
  <c r="U37" i="27" s="1"/>
  <c r="R37" i="27"/>
  <c r="T37" i="27" s="1"/>
  <c r="S37" i="27"/>
  <c r="M32" i="31"/>
  <c r="Q32" i="31" s="1"/>
  <c r="U32" i="31" s="1"/>
  <c r="S32" i="31"/>
  <c r="V32" i="31" s="1"/>
  <c r="R32" i="31"/>
  <c r="T32" i="31" s="1"/>
  <c r="M29" i="31"/>
  <c r="Q29" i="31" s="1"/>
  <c r="U29" i="31" s="1"/>
  <c r="R29" i="31"/>
  <c r="T29" i="31" s="1"/>
  <c r="S29" i="31"/>
  <c r="V29" i="31" s="1"/>
  <c r="M14" i="31"/>
  <c r="Q14" i="31" s="1"/>
  <c r="U14" i="31" s="1"/>
  <c r="R14" i="31"/>
  <c r="T14" i="31" s="1"/>
  <c r="S14" i="31"/>
  <c r="V14" i="31" s="1"/>
  <c r="M42" i="31"/>
  <c r="Q42" i="31" s="1"/>
  <c r="U42" i="31" s="1"/>
  <c r="S42" i="31"/>
  <c r="V42" i="31" s="1"/>
  <c r="R42" i="31"/>
  <c r="T42" i="31" s="1"/>
  <c r="M35" i="31"/>
  <c r="Q35" i="31" s="1"/>
  <c r="U35" i="31" s="1"/>
  <c r="R35" i="31"/>
  <c r="T35" i="31" s="1"/>
  <c r="S35" i="31"/>
  <c r="V35" i="31" s="1"/>
  <c r="M25" i="31"/>
  <c r="Q25" i="31" s="1"/>
  <c r="U25" i="31" s="1"/>
  <c r="S25" i="31"/>
  <c r="V25" i="31" s="1"/>
  <c r="R25" i="31"/>
  <c r="T25" i="31" s="1"/>
  <c r="M17" i="31"/>
  <c r="Q17" i="31" s="1"/>
  <c r="U17" i="31" s="1"/>
  <c r="S17" i="31"/>
  <c r="V17" i="31" s="1"/>
  <c r="R17" i="31"/>
  <c r="T17" i="31" s="1"/>
  <c r="M84" i="31"/>
  <c r="Q84" i="31" s="1"/>
  <c r="U84" i="31" s="1"/>
  <c r="S84" i="31"/>
  <c r="V84" i="31" s="1"/>
  <c r="R84" i="31"/>
  <c r="T84" i="31" s="1"/>
  <c r="M64" i="31"/>
  <c r="Q64" i="31" s="1"/>
  <c r="U64" i="31" s="1"/>
  <c r="S64" i="31"/>
  <c r="V64" i="31" s="1"/>
  <c r="R64" i="31"/>
  <c r="T64" i="31" s="1"/>
  <c r="M61" i="31"/>
  <c r="Q61" i="31" s="1"/>
  <c r="U61" i="31" s="1"/>
  <c r="R61" i="31"/>
  <c r="T61" i="31" s="1"/>
  <c r="S61" i="31"/>
  <c r="V61" i="31" s="1"/>
  <c r="M51" i="31"/>
  <c r="Q51" i="31" s="1"/>
  <c r="U51" i="31" s="1"/>
  <c r="R51" i="31"/>
  <c r="T51" i="31" s="1"/>
  <c r="S51" i="31"/>
  <c r="V51" i="31" s="1"/>
  <c r="M46" i="31"/>
  <c r="Q46" i="31" s="1"/>
  <c r="U46" i="31" s="1"/>
  <c r="S46" i="31"/>
  <c r="V46" i="31" s="1"/>
  <c r="R46" i="31"/>
  <c r="T46" i="31" s="1"/>
  <c r="M40" i="31"/>
  <c r="Q40" i="31" s="1"/>
  <c r="U40" i="31" s="1"/>
  <c r="R40" i="31"/>
  <c r="T40" i="31" s="1"/>
  <c r="S40" i="31"/>
  <c r="V40" i="31" s="1"/>
  <c r="M31" i="28"/>
  <c r="Q31" i="28" s="1"/>
  <c r="U31" i="28" s="1"/>
  <c r="R31" i="28"/>
  <c r="T31" i="28" s="1"/>
  <c r="S31" i="28"/>
  <c r="V31" i="28" s="1"/>
  <c r="R27" i="29"/>
  <c r="T27" i="29" s="1"/>
  <c r="M27" i="29"/>
  <c r="Q27" i="29" s="1"/>
  <c r="U27" i="29" s="1"/>
  <c r="S27" i="29"/>
  <c r="V27" i="29" s="1"/>
  <c r="M17" i="27"/>
  <c r="Q17" i="27" s="1"/>
  <c r="U17" i="27" s="1"/>
  <c r="S17" i="27"/>
  <c r="R17" i="27"/>
  <c r="T17" i="27" s="1"/>
  <c r="M16" i="29"/>
  <c r="Q16" i="29" s="1"/>
  <c r="U16" i="29" s="1"/>
  <c r="S16" i="29"/>
  <c r="V16" i="29" s="1"/>
  <c r="R16" i="29"/>
  <c r="T16" i="29" s="1"/>
  <c r="M33" i="28"/>
  <c r="Q33" i="28" s="1"/>
  <c r="U33" i="28" s="1"/>
  <c r="R33" i="28"/>
  <c r="T33" i="28" s="1"/>
  <c r="S33" i="28"/>
  <c r="V33" i="28" s="1"/>
  <c r="M62" i="31"/>
  <c r="Q62" i="31" s="1"/>
  <c r="U62" i="31" s="1"/>
  <c r="S62" i="31"/>
  <c r="V62" i="31" s="1"/>
  <c r="R62" i="31"/>
  <c r="T62" i="31" s="1"/>
  <c r="M18" i="27"/>
  <c r="Q18" i="27" s="1"/>
  <c r="U18" i="27" s="1"/>
  <c r="S18" i="27"/>
  <c r="R18" i="27"/>
  <c r="T18" i="27" s="1"/>
  <c r="M82" i="31"/>
  <c r="Q82" i="31" s="1"/>
  <c r="U82" i="31" s="1"/>
  <c r="R82" i="31"/>
  <c r="T82" i="31" s="1"/>
  <c r="S82" i="31"/>
  <c r="V82" i="31" s="1"/>
  <c r="M77" i="31"/>
  <c r="Q77" i="31" s="1"/>
  <c r="U77" i="31" s="1"/>
  <c r="S77" i="31"/>
  <c r="V77" i="31" s="1"/>
  <c r="R77" i="31"/>
  <c r="T77" i="31" s="1"/>
  <c r="M70" i="31"/>
  <c r="Q70" i="31" s="1"/>
  <c r="U70" i="31" s="1"/>
  <c r="R70" i="31"/>
  <c r="T70" i="31" s="1"/>
  <c r="S70" i="31"/>
  <c r="V70" i="31" s="1"/>
  <c r="M65" i="31"/>
  <c r="Q65" i="31" s="1"/>
  <c r="U65" i="31" s="1"/>
  <c r="R65" i="31"/>
  <c r="T65" i="31" s="1"/>
  <c r="S65" i="31"/>
  <c r="V65" i="31" s="1"/>
  <c r="M56" i="31"/>
  <c r="Q56" i="31" s="1"/>
  <c r="U56" i="31" s="1"/>
  <c r="R56" i="31"/>
  <c r="T56" i="31" s="1"/>
  <c r="S56" i="31"/>
  <c r="V56" i="31" s="1"/>
  <c r="M45" i="31"/>
  <c r="Q45" i="31" s="1"/>
  <c r="U45" i="31" s="1"/>
  <c r="S45" i="31"/>
  <c r="V45" i="31" s="1"/>
  <c r="R45" i="31"/>
  <c r="T45" i="31" s="1"/>
  <c r="M58" i="29"/>
  <c r="Q58" i="29" s="1"/>
  <c r="U58" i="29" s="1"/>
  <c r="R58" i="29"/>
  <c r="T58" i="29" s="1"/>
  <c r="S58" i="29"/>
  <c r="V58" i="29" s="1"/>
  <c r="M47" i="27"/>
  <c r="Q47" i="27" s="1"/>
  <c r="U47" i="27" s="1"/>
  <c r="R47" i="27"/>
  <c r="T47" i="27" s="1"/>
  <c r="S47" i="27"/>
  <c r="M37" i="28"/>
  <c r="Q37" i="28" s="1"/>
  <c r="U37" i="28" s="1"/>
  <c r="S37" i="28"/>
  <c r="V37" i="28" s="1"/>
  <c r="R37" i="28"/>
  <c r="T37" i="28" s="1"/>
  <c r="M30" i="28"/>
  <c r="Q30" i="28" s="1"/>
  <c r="U30" i="28" s="1"/>
  <c r="S30" i="28"/>
  <c r="V30" i="28" s="1"/>
  <c r="R30" i="28"/>
  <c r="T30" i="28" s="1"/>
  <c r="M15" i="28"/>
  <c r="Q15" i="28" s="1"/>
  <c r="U15" i="28" s="1"/>
  <c r="R15" i="28"/>
  <c r="T15" i="28" s="1"/>
  <c r="S15" i="28"/>
  <c r="V15" i="28" s="1"/>
  <c r="M74" i="27"/>
  <c r="Q74" i="27" s="1"/>
  <c r="U74" i="27" s="1"/>
  <c r="R74" i="27"/>
  <c r="T74" i="27" s="1"/>
  <c r="S74" i="27"/>
  <c r="M67" i="29"/>
  <c r="Q67" i="29" s="1"/>
  <c r="U67" i="29" s="1"/>
  <c r="R67" i="29"/>
  <c r="T67" i="29" s="1"/>
  <c r="S67" i="29"/>
  <c r="V67" i="29" s="1"/>
  <c r="M55" i="28"/>
  <c r="Q55" i="28" s="1"/>
  <c r="U55" i="28" s="1"/>
  <c r="R55" i="28"/>
  <c r="T55" i="28" s="1"/>
  <c r="S55" i="28"/>
  <c r="V55" i="28" s="1"/>
  <c r="M48" i="27"/>
  <c r="Q48" i="27" s="1"/>
  <c r="U48" i="27" s="1"/>
  <c r="R48" i="27"/>
  <c r="T48" i="27" s="1"/>
  <c r="S48" i="27"/>
  <c r="M46" i="27"/>
  <c r="Q46" i="27" s="1"/>
  <c r="U46" i="27" s="1"/>
  <c r="S46" i="27"/>
  <c r="R46" i="27"/>
  <c r="T46" i="27" s="1"/>
  <c r="M43" i="31"/>
  <c r="Q43" i="31" s="1"/>
  <c r="U43" i="31" s="1"/>
  <c r="S43" i="31"/>
  <c r="V43" i="31" s="1"/>
  <c r="R43" i="31"/>
  <c r="T43" i="31" s="1"/>
  <c r="M41" i="28"/>
  <c r="Q41" i="28" s="1"/>
  <c r="U41" i="28" s="1"/>
  <c r="R41" i="28"/>
  <c r="T41" i="28" s="1"/>
  <c r="S41" i="28"/>
  <c r="V41" i="28" s="1"/>
  <c r="M38" i="29"/>
  <c r="Q38" i="29" s="1"/>
  <c r="U38" i="29" s="1"/>
  <c r="R38" i="29"/>
  <c r="T38" i="29" s="1"/>
  <c r="S38" i="29"/>
  <c r="V38" i="29" s="1"/>
  <c r="M36" i="28"/>
  <c r="Q36" i="28" s="1"/>
  <c r="U36" i="28" s="1"/>
  <c r="S36" i="28"/>
  <c r="V36" i="28" s="1"/>
  <c r="R36" i="28"/>
  <c r="T36" i="28" s="1"/>
  <c r="M31" i="27"/>
  <c r="Q31" i="27" s="1"/>
  <c r="U31" i="27" s="1"/>
  <c r="R31" i="27"/>
  <c r="T31" i="27" s="1"/>
  <c r="S31" i="27"/>
  <c r="S68" i="27"/>
  <c r="M68" i="27"/>
  <c r="Q68" i="27" s="1"/>
  <c r="U68" i="27" s="1"/>
  <c r="R68" i="27"/>
  <c r="T68" i="27" s="1"/>
  <c r="M14" i="28"/>
  <c r="Q14" i="28" s="1"/>
  <c r="U14" i="28" s="1"/>
  <c r="R14" i="28"/>
  <c r="T14" i="28" s="1"/>
  <c r="S14" i="28"/>
  <c r="V14" i="28" s="1"/>
  <c r="M42" i="28"/>
  <c r="Q42" i="28" s="1"/>
  <c r="U42" i="28" s="1"/>
  <c r="S42" i="28"/>
  <c r="V42" i="28" s="1"/>
  <c r="R42" i="28"/>
  <c r="T42" i="28" s="1"/>
  <c r="M34" i="27"/>
  <c r="Q34" i="27" s="1"/>
  <c r="U34" i="27" s="1"/>
  <c r="R34" i="27"/>
  <c r="T34" i="27" s="1"/>
  <c r="S34" i="27"/>
  <c r="M25" i="28"/>
  <c r="Q25" i="28" s="1"/>
  <c r="U25" i="28" s="1"/>
  <c r="S25" i="28"/>
  <c r="V25" i="28" s="1"/>
  <c r="R25" i="28"/>
  <c r="T25" i="28" s="1"/>
  <c r="M17" i="29"/>
  <c r="Q17" i="29" s="1"/>
  <c r="U17" i="29" s="1"/>
  <c r="S17" i="29"/>
  <c r="V17" i="29" s="1"/>
  <c r="R17" i="29"/>
  <c r="T17" i="29" s="1"/>
  <c r="M52" i="29"/>
  <c r="Q52" i="29" s="1"/>
  <c r="U52" i="29" s="1"/>
  <c r="S52" i="29"/>
  <c r="V52" i="29" s="1"/>
  <c r="R52" i="29"/>
  <c r="T52" i="29" s="1"/>
  <c r="M87" i="29"/>
  <c r="Q87" i="29" s="1"/>
  <c r="U87" i="29" s="1"/>
  <c r="R87" i="29"/>
  <c r="T87" i="29" s="1"/>
  <c r="S87" i="29"/>
  <c r="V87" i="29" s="1"/>
  <c r="M83" i="27"/>
  <c r="Q83" i="27" s="1"/>
  <c r="U83" i="27" s="1"/>
  <c r="S83" i="27"/>
  <c r="R83" i="27"/>
  <c r="T83" i="27" s="1"/>
  <c r="M80" i="27"/>
  <c r="Q80" i="27" s="1"/>
  <c r="U80" i="27" s="1"/>
  <c r="R80" i="27"/>
  <c r="T80" i="27" s="1"/>
  <c r="S80" i="27"/>
  <c r="M64" i="28"/>
  <c r="Q64" i="28" s="1"/>
  <c r="U64" i="28" s="1"/>
  <c r="R64" i="28"/>
  <c r="T64" i="28" s="1"/>
  <c r="S64" i="28"/>
  <c r="V64" i="28" s="1"/>
  <c r="M14" i="27"/>
  <c r="Q14" i="27" s="1"/>
  <c r="U14" i="27" s="1"/>
  <c r="R14" i="27"/>
  <c r="T14" i="27" s="1"/>
  <c r="S14" i="27"/>
  <c r="M59" i="28"/>
  <c r="Q59" i="28" s="1"/>
  <c r="U59" i="28" s="1"/>
  <c r="S59" i="28"/>
  <c r="V59" i="28" s="1"/>
  <c r="R59" i="28"/>
  <c r="T59" i="28" s="1"/>
  <c r="M51" i="29"/>
  <c r="Q51" i="29" s="1"/>
  <c r="U51" i="29" s="1"/>
  <c r="R51" i="29"/>
  <c r="T51" i="29" s="1"/>
  <c r="S51" i="29"/>
  <c r="V51" i="29" s="1"/>
  <c r="M46" i="28"/>
  <c r="Q46" i="28" s="1"/>
  <c r="U46" i="28" s="1"/>
  <c r="S46" i="28"/>
  <c r="V46" i="28" s="1"/>
  <c r="R46" i="28"/>
  <c r="T46" i="28" s="1"/>
  <c r="M40" i="28"/>
  <c r="Q40" i="28" s="1"/>
  <c r="U40" i="28" s="1"/>
  <c r="S40" i="28"/>
  <c r="V40" i="28" s="1"/>
  <c r="R40" i="28"/>
  <c r="T40" i="28" s="1"/>
  <c r="M31" i="29"/>
  <c r="Q31" i="29" s="1"/>
  <c r="U31" i="29" s="1"/>
  <c r="R31" i="29"/>
  <c r="T31" i="29" s="1"/>
  <c r="S31" i="29"/>
  <c r="V31" i="29" s="1"/>
  <c r="M26" i="27"/>
  <c r="Q26" i="27" s="1"/>
  <c r="U26" i="27" s="1"/>
  <c r="R26" i="27"/>
  <c r="T26" i="27" s="1"/>
  <c r="S26" i="27"/>
  <c r="M18" i="31"/>
  <c r="Q18" i="31" s="1"/>
  <c r="U18" i="31" s="1"/>
  <c r="S18" i="31"/>
  <c r="V18" i="31" s="1"/>
  <c r="R18" i="31"/>
  <c r="T18" i="31" s="1"/>
  <c r="M16" i="31"/>
  <c r="Q16" i="31" s="1"/>
  <c r="U16" i="31" s="1"/>
  <c r="S16" i="31"/>
  <c r="V16" i="31" s="1"/>
  <c r="R16" i="31"/>
  <c r="T16" i="31" s="1"/>
  <c r="M34" i="31"/>
  <c r="Q34" i="31" s="1"/>
  <c r="U34" i="31" s="1"/>
  <c r="R34" i="31"/>
  <c r="T34" i="31" s="1"/>
  <c r="S34" i="31"/>
  <c r="V34" i="31" s="1"/>
  <c r="M78" i="31"/>
  <c r="Q78" i="31" s="1"/>
  <c r="U78" i="31" s="1"/>
  <c r="S78" i="31"/>
  <c r="V78" i="31" s="1"/>
  <c r="R78" i="31"/>
  <c r="T78" i="31" s="1"/>
  <c r="M68" i="31"/>
  <c r="Q68" i="31" s="1"/>
  <c r="U68" i="31" s="1"/>
  <c r="R68" i="31"/>
  <c r="T68" i="31" s="1"/>
  <c r="S68" i="31"/>
  <c r="V68" i="31" s="1"/>
  <c r="M66" i="31"/>
  <c r="Q66" i="31" s="1"/>
  <c r="U66" i="31" s="1"/>
  <c r="S66" i="31"/>
  <c r="V66" i="31" s="1"/>
  <c r="R66" i="31"/>
  <c r="T66" i="31" s="1"/>
  <c r="M60" i="31"/>
  <c r="Q60" i="31" s="1"/>
  <c r="U60" i="31" s="1"/>
  <c r="R60" i="31"/>
  <c r="T60" i="31" s="1"/>
  <c r="S60" i="31"/>
  <c r="V60" i="31" s="1"/>
  <c r="M33" i="31"/>
  <c r="Q33" i="31" s="1"/>
  <c r="U33" i="31" s="1"/>
  <c r="R33" i="31"/>
  <c r="T33" i="31" s="1"/>
  <c r="S33" i="31"/>
  <c r="V33" i="31" s="1"/>
  <c r="M21" i="31"/>
  <c r="Q21" i="31" s="1"/>
  <c r="U21" i="31" s="1"/>
  <c r="R21" i="31"/>
  <c r="T21" i="31" s="1"/>
  <c r="S21" i="31"/>
  <c r="V21" i="31" s="1"/>
  <c r="M62" i="29"/>
  <c r="Q62" i="29" s="1"/>
  <c r="U62" i="29" s="1"/>
  <c r="R62" i="29"/>
  <c r="T62" i="29" s="1"/>
  <c r="S62" i="29"/>
  <c r="V62" i="29" s="1"/>
  <c r="M19" i="28"/>
  <c r="Q19" i="28" s="1"/>
  <c r="U19" i="28" s="1"/>
  <c r="R19" i="28"/>
  <c r="T19" i="28" s="1"/>
  <c r="S19" i="28"/>
  <c r="V19" i="28" s="1"/>
  <c r="M82" i="28"/>
  <c r="Q82" i="28" s="1"/>
  <c r="U82" i="28" s="1"/>
  <c r="R82" i="28"/>
  <c r="T82" i="28" s="1"/>
  <c r="S82" i="28"/>
  <c r="V82" i="28" s="1"/>
  <c r="M76" i="27"/>
  <c r="Q76" i="27" s="1"/>
  <c r="U76" i="27" s="1"/>
  <c r="R76" i="27"/>
  <c r="T76" i="27" s="1"/>
  <c r="S76" i="27"/>
  <c r="M70" i="29"/>
  <c r="Q70" i="29" s="1"/>
  <c r="U70" i="29" s="1"/>
  <c r="R70" i="29"/>
  <c r="T70" i="29" s="1"/>
  <c r="S70" i="29"/>
  <c r="V70" i="29" s="1"/>
  <c r="M65" i="28"/>
  <c r="Q65" i="28" s="1"/>
  <c r="U65" i="28" s="1"/>
  <c r="R65" i="28"/>
  <c r="T65" i="28" s="1"/>
  <c r="S65" i="28"/>
  <c r="V65" i="28" s="1"/>
  <c r="M55" i="27"/>
  <c r="Q55" i="27" s="1"/>
  <c r="U55" i="27" s="1"/>
  <c r="R55" i="27"/>
  <c r="T55" i="27" s="1"/>
  <c r="S55" i="27"/>
  <c r="M45" i="29"/>
  <c r="Q45" i="29" s="1"/>
  <c r="U45" i="29" s="1"/>
  <c r="S45" i="29"/>
  <c r="V45" i="29" s="1"/>
  <c r="R45" i="29"/>
  <c r="T45" i="29" s="1"/>
  <c r="M58" i="28"/>
  <c r="Q58" i="28" s="1"/>
  <c r="U58" i="28" s="1"/>
  <c r="R58" i="28"/>
  <c r="T58" i="28" s="1"/>
  <c r="S58" i="28"/>
  <c r="V58" i="28" s="1"/>
  <c r="M48" i="28"/>
  <c r="Q48" i="28" s="1"/>
  <c r="U48" i="28" s="1"/>
  <c r="R48" i="28"/>
  <c r="T48" i="28" s="1"/>
  <c r="S48" i="28"/>
  <c r="V48" i="28" s="1"/>
  <c r="M36" i="27"/>
  <c r="Q36" i="27" s="1"/>
  <c r="U36" i="27" s="1"/>
  <c r="R36" i="27"/>
  <c r="T36" i="27" s="1"/>
  <c r="S36" i="27"/>
  <c r="M30" i="29"/>
  <c r="Q30" i="29" s="1"/>
  <c r="U30" i="29" s="1"/>
  <c r="R30" i="29"/>
  <c r="T30" i="29" s="1"/>
  <c r="S30" i="29"/>
  <c r="V30" i="29" s="1"/>
  <c r="M67" i="27"/>
  <c r="Q67" i="27" s="1"/>
  <c r="U67" i="27" s="1"/>
  <c r="S67" i="27"/>
  <c r="R67" i="27"/>
  <c r="T67" i="27" s="1"/>
  <c r="M75" i="29"/>
  <c r="Q75" i="29" s="1"/>
  <c r="U75" i="29" s="1"/>
  <c r="R75" i="29"/>
  <c r="T75" i="29" s="1"/>
  <c r="S75" i="29"/>
  <c r="V75" i="29" s="1"/>
  <c r="M67" i="28"/>
  <c r="Q67" i="28" s="1"/>
  <c r="U67" i="28" s="1"/>
  <c r="S67" i="28"/>
  <c r="V67" i="28" s="1"/>
  <c r="R67" i="28"/>
  <c r="T67" i="28" s="1"/>
  <c r="M54" i="27"/>
  <c r="Q54" i="27" s="1"/>
  <c r="U54" i="27" s="1"/>
  <c r="S54" i="27"/>
  <c r="R54" i="27"/>
  <c r="T54" i="27" s="1"/>
  <c r="M49" i="29"/>
  <c r="Q49" i="29" s="1"/>
  <c r="U49" i="29" s="1"/>
  <c r="R49" i="29"/>
  <c r="T49" i="29" s="1"/>
  <c r="S49" i="29"/>
  <c r="V49" i="29" s="1"/>
  <c r="M47" i="29"/>
  <c r="Q47" i="29" s="1"/>
  <c r="U47" i="29" s="1"/>
  <c r="R47" i="29"/>
  <c r="T47" i="29" s="1"/>
  <c r="S47" i="29"/>
  <c r="V47" i="29" s="1"/>
  <c r="M66" i="27"/>
  <c r="Q66" i="27" s="1"/>
  <c r="U66" i="27" s="1"/>
  <c r="R66" i="27"/>
  <c r="T66" i="27" s="1"/>
  <c r="S66" i="27"/>
  <c r="M41" i="31"/>
  <c r="Q41" i="31" s="1"/>
  <c r="U41" i="31" s="1"/>
  <c r="S41" i="31"/>
  <c r="V41" i="31" s="1"/>
  <c r="R41" i="31"/>
  <c r="T41" i="31" s="1"/>
  <c r="M38" i="31"/>
  <c r="Q38" i="31" s="1"/>
  <c r="U38" i="31" s="1"/>
  <c r="S38" i="31"/>
  <c r="V38" i="31" s="1"/>
  <c r="R38" i="31"/>
  <c r="T38" i="31" s="1"/>
  <c r="M36" i="31"/>
  <c r="Q36" i="31" s="1"/>
  <c r="U36" i="31" s="1"/>
  <c r="R36" i="31"/>
  <c r="T36" i="31" s="1"/>
  <c r="S36" i="31"/>
  <c r="V36" i="31" s="1"/>
  <c r="M32" i="29"/>
  <c r="Q32" i="29" s="1"/>
  <c r="U32" i="29" s="1"/>
  <c r="R32" i="29"/>
  <c r="T32" i="29" s="1"/>
  <c r="S32" i="29"/>
  <c r="V32" i="29" s="1"/>
  <c r="M29" i="28"/>
  <c r="Q29" i="28" s="1"/>
  <c r="U29" i="28" s="1"/>
  <c r="S29" i="28"/>
  <c r="V29" i="28" s="1"/>
  <c r="R29" i="28"/>
  <c r="T29" i="28" s="1"/>
  <c r="M13" i="27"/>
  <c r="Q13" i="27" s="1"/>
  <c r="U13" i="27" s="1"/>
  <c r="S13" i="27"/>
  <c r="R13" i="27"/>
  <c r="T13" i="27" s="1"/>
  <c r="M41" i="27"/>
  <c r="Q41" i="27" s="1"/>
  <c r="U41" i="27" s="1"/>
  <c r="S41" i="27"/>
  <c r="R41" i="27"/>
  <c r="T41" i="27" s="1"/>
  <c r="M35" i="28"/>
  <c r="Q35" i="28" s="1"/>
  <c r="U35" i="28" s="1"/>
  <c r="R35" i="28"/>
  <c r="T35" i="28" s="1"/>
  <c r="S35" i="28"/>
  <c r="V35" i="28" s="1"/>
  <c r="R25" i="29"/>
  <c r="T25" i="29" s="1"/>
  <c r="S25" i="29"/>
  <c r="V25" i="29" s="1"/>
  <c r="M25" i="29"/>
  <c r="Q25" i="29" s="1"/>
  <c r="U25" i="29" s="1"/>
  <c r="M16" i="27"/>
  <c r="Q16" i="27" s="1"/>
  <c r="U16" i="27" s="1"/>
  <c r="R16" i="27"/>
  <c r="T16" i="27" s="1"/>
  <c r="S16" i="27"/>
  <c r="M52" i="31"/>
  <c r="Q52" i="31" s="1"/>
  <c r="U52" i="31" s="1"/>
  <c r="R52" i="31"/>
  <c r="T52" i="31" s="1"/>
  <c r="S52" i="31"/>
  <c r="V52" i="31" s="1"/>
  <c r="M87" i="31"/>
  <c r="Q87" i="31" s="1"/>
  <c r="U87" i="31" s="1"/>
  <c r="R87" i="31"/>
  <c r="T87" i="31" s="1"/>
  <c r="S87" i="31"/>
  <c r="V87" i="31" s="1"/>
  <c r="M84" i="29"/>
  <c r="Q84" i="29" s="1"/>
  <c r="U84" i="29" s="1"/>
  <c r="S84" i="29"/>
  <c r="V84" i="29" s="1"/>
  <c r="R84" i="29"/>
  <c r="T84" i="29" s="1"/>
  <c r="R81" i="29"/>
  <c r="T81" i="29" s="1"/>
  <c r="S81" i="29"/>
  <c r="V81" i="29" s="1"/>
  <c r="M81" i="29"/>
  <c r="Q81" i="29" s="1"/>
  <c r="U81" i="29" s="1"/>
  <c r="M64" i="29"/>
  <c r="Q64" i="29" s="1"/>
  <c r="U64" i="29" s="1"/>
  <c r="S64" i="29"/>
  <c r="V64" i="29" s="1"/>
  <c r="R64" i="29"/>
  <c r="T64" i="29" s="1"/>
  <c r="R61" i="29"/>
  <c r="T61" i="29" s="1"/>
  <c r="S61" i="29"/>
  <c r="V61" i="29" s="1"/>
  <c r="M61" i="29"/>
  <c r="Q61" i="29" s="1"/>
  <c r="U61" i="29" s="1"/>
  <c r="R59" i="29"/>
  <c r="T59" i="29" s="1"/>
  <c r="M59" i="29"/>
  <c r="Q59" i="29" s="1"/>
  <c r="U59" i="29" s="1"/>
  <c r="S59" i="29"/>
  <c r="V59" i="29" s="1"/>
  <c r="M51" i="28"/>
  <c r="Q51" i="28" s="1"/>
  <c r="U51" i="28" s="1"/>
  <c r="S51" i="28"/>
  <c r="V51" i="28" s="1"/>
  <c r="R51" i="28"/>
  <c r="T51" i="28" s="1"/>
  <c r="M45" i="27"/>
  <c r="Q45" i="27" s="1"/>
  <c r="U45" i="27" s="1"/>
  <c r="R45" i="27"/>
  <c r="T45" i="27" s="1"/>
  <c r="S45" i="27"/>
  <c r="M40" i="29"/>
  <c r="Q40" i="29" s="1"/>
  <c r="U40" i="29" s="1"/>
  <c r="R40" i="29"/>
  <c r="T40" i="29" s="1"/>
  <c r="S40" i="29"/>
  <c r="V40" i="29" s="1"/>
  <c r="M30" i="27"/>
  <c r="Q30" i="27" s="1"/>
  <c r="U30" i="27" s="1"/>
  <c r="S30" i="27"/>
  <c r="R30" i="27"/>
  <c r="T30" i="27" s="1"/>
  <c r="M27" i="28"/>
  <c r="Q27" i="28" s="1"/>
  <c r="U27" i="28" s="1"/>
  <c r="S27" i="28"/>
  <c r="V27" i="28" s="1"/>
  <c r="R27" i="28"/>
  <c r="T27" i="28" s="1"/>
  <c r="M18" i="29"/>
  <c r="Q18" i="29" s="1"/>
  <c r="U18" i="29" s="1"/>
  <c r="R18" i="29"/>
  <c r="T18" i="29" s="1"/>
  <c r="S18" i="29"/>
  <c r="V18" i="29" s="1"/>
  <c r="M60" i="27"/>
  <c r="Q60" i="27" s="1"/>
  <c r="U60" i="27" s="1"/>
  <c r="S60" i="27"/>
  <c r="R60" i="27"/>
  <c r="T60" i="27" s="1"/>
  <c r="M34" i="29"/>
  <c r="Q34" i="29" s="1"/>
  <c r="U34" i="29" s="1"/>
  <c r="S34" i="29"/>
  <c r="V34" i="29" s="1"/>
  <c r="R34" i="29"/>
  <c r="T34" i="29" s="1"/>
  <c r="M78" i="28"/>
  <c r="Q78" i="28" s="1"/>
  <c r="U78" i="28" s="1"/>
  <c r="R78" i="28"/>
  <c r="T78" i="28" s="1"/>
  <c r="S78" i="28"/>
  <c r="V78" i="28" s="1"/>
  <c r="M68" i="28"/>
  <c r="Q68" i="28" s="1"/>
  <c r="U68" i="28" s="1"/>
  <c r="S68" i="28"/>
  <c r="V68" i="28" s="1"/>
  <c r="R68" i="28"/>
  <c r="T68" i="28" s="1"/>
  <c r="M66" i="28"/>
  <c r="Q66" i="28" s="1"/>
  <c r="U66" i="28" s="1"/>
  <c r="R66" i="28"/>
  <c r="T66" i="28" s="1"/>
  <c r="S66" i="28"/>
  <c r="V66" i="28" s="1"/>
  <c r="M59" i="27"/>
  <c r="Q59" i="27" s="1"/>
  <c r="U59" i="27" s="1"/>
  <c r="R59" i="27"/>
  <c r="T59" i="27" s="1"/>
  <c r="S59" i="27"/>
  <c r="R33" i="29"/>
  <c r="T33" i="29" s="1"/>
  <c r="M33" i="29"/>
  <c r="Q33" i="29" s="1"/>
  <c r="U33" i="29" s="1"/>
  <c r="S33" i="29"/>
  <c r="V33" i="29" s="1"/>
  <c r="S21" i="29"/>
  <c r="V21" i="29" s="1"/>
  <c r="M21" i="29"/>
  <c r="Q21" i="29" s="1"/>
  <c r="U21" i="29" s="1"/>
  <c r="R21" i="29"/>
  <c r="T21" i="29" s="1"/>
  <c r="BF12" i="19"/>
  <c r="BI12" i="19" s="1"/>
  <c r="BJ12" i="19" s="1"/>
  <c r="M12" i="10" s="1"/>
  <c r="BF27" i="19"/>
  <c r="BE39" i="19"/>
  <c r="BI39" i="19" s="1"/>
  <c r="AX78" i="19"/>
  <c r="AY78" i="19" s="1"/>
  <c r="K78" i="10" s="1"/>
  <c r="AX82" i="19"/>
  <c r="AY82" i="19" s="1"/>
  <c r="K82" i="10" s="1"/>
  <c r="AZ82" i="19"/>
  <c r="L82" i="10" s="1"/>
  <c r="E5" i="24"/>
  <c r="E6" i="24"/>
  <c r="E8" i="24"/>
  <c r="E9" i="24"/>
  <c r="E10" i="24"/>
  <c r="E3" i="24"/>
  <c r="E4" i="24"/>
  <c r="E7" i="24"/>
  <c r="E11" i="24"/>
  <c r="E2" i="24"/>
  <c r="V2" i="35"/>
  <c r="E8" i="23"/>
  <c r="V8" i="35" s="1"/>
  <c r="E10" i="23"/>
  <c r="V10" i="35" s="1"/>
  <c r="E11" i="23"/>
  <c r="V11" i="35" s="1"/>
  <c r="E7" i="23"/>
  <c r="V7" i="35" s="1"/>
  <c r="E5" i="23"/>
  <c r="V5" i="35" s="1"/>
  <c r="E3" i="23"/>
  <c r="E2" i="22"/>
  <c r="R9" i="19"/>
  <c r="E2" i="3"/>
  <c r="D4" i="4"/>
  <c r="D3" i="4"/>
  <c r="D5" i="4"/>
  <c r="D6" i="4"/>
  <c r="D7" i="4"/>
  <c r="D8" i="4"/>
  <c r="D9" i="4"/>
  <c r="D10" i="4"/>
  <c r="D11" i="4"/>
  <c r="E11" i="35" s="1"/>
  <c r="D2" i="4"/>
  <c r="AV43" i="35" l="1"/>
  <c r="BG43" i="35" s="1"/>
  <c r="AS25" i="35"/>
  <c r="AT25" i="35" s="1"/>
  <c r="BG71" i="35"/>
  <c r="BE51" i="35"/>
  <c r="AU78" i="35"/>
  <c r="AS61" i="35"/>
  <c r="AT61" i="35" s="1"/>
  <c r="AU82" i="35"/>
  <c r="AS71" i="35"/>
  <c r="AT71" i="35" s="1"/>
  <c r="AU71" i="35"/>
  <c r="BI25" i="19"/>
  <c r="AZ25" i="19" s="1"/>
  <c r="L25" i="10" s="1"/>
  <c r="BE53" i="35"/>
  <c r="AT12" i="35"/>
  <c r="AS62" i="35"/>
  <c r="AT62" i="35" s="1"/>
  <c r="BG78" i="35"/>
  <c r="BA82" i="19"/>
  <c r="AZ70" i="19"/>
  <c r="L70" i="10" s="1"/>
  <c r="AS19" i="35"/>
  <c r="AT19" i="35" s="1"/>
  <c r="BE82" i="35"/>
  <c r="AV27" i="35"/>
  <c r="BG27" i="35" s="1"/>
  <c r="AS79" i="35"/>
  <c r="AT79" i="35" s="1"/>
  <c r="AS78" i="35"/>
  <c r="AT78" i="35" s="1"/>
  <c r="AV82" i="35"/>
  <c r="BG82" i="35" s="1"/>
  <c r="BE79" i="35"/>
  <c r="BJ84" i="19"/>
  <c r="M84" i="10" s="1"/>
  <c r="BE14" i="35"/>
  <c r="BI79" i="19"/>
  <c r="AZ79" i="19" s="1"/>
  <c r="L79" i="10" s="1"/>
  <c r="AS27" i="35"/>
  <c r="AT27" i="35" s="1"/>
  <c r="AV79" i="35"/>
  <c r="BG79" i="35" s="1"/>
  <c r="BE60" i="35"/>
  <c r="AV53" i="35"/>
  <c r="BF53" i="35" s="1"/>
  <c r="BE62" i="35"/>
  <c r="AS53" i="35"/>
  <c r="AT53" i="35" s="1"/>
  <c r="AS16" i="35"/>
  <c r="AT16" i="35" s="1"/>
  <c r="AU44" i="35"/>
  <c r="BJ43" i="19"/>
  <c r="M43" i="10" s="1"/>
  <c r="BA43" i="19"/>
  <c r="BL43" i="19" s="1"/>
  <c r="BE43" i="35"/>
  <c r="AV13" i="35"/>
  <c r="BG13" i="35" s="1"/>
  <c r="AS43" i="35"/>
  <c r="AT43" i="35" s="1"/>
  <c r="AS36" i="35"/>
  <c r="AT36" i="35" s="1"/>
  <c r="AX43" i="19"/>
  <c r="AY43" i="19" s="1"/>
  <c r="K43" i="10" s="1"/>
  <c r="BI76" i="19"/>
  <c r="AX76" i="19" s="1"/>
  <c r="AY76" i="19" s="1"/>
  <c r="K76" i="10" s="1"/>
  <c r="BE49" i="35"/>
  <c r="BE19" i="35"/>
  <c r="AV19" i="35"/>
  <c r="BG19" i="35" s="1"/>
  <c r="AV21" i="35"/>
  <c r="BG21" i="35" s="1"/>
  <c r="BI27" i="19"/>
  <c r="AZ27" i="19" s="1"/>
  <c r="L27" i="10" s="1"/>
  <c r="AV16" i="35"/>
  <c r="BF16" i="35" s="1"/>
  <c r="BE44" i="35"/>
  <c r="E68" i="18"/>
  <c r="O68" i="19"/>
  <c r="BB68" i="19" s="1"/>
  <c r="J68" i="35"/>
  <c r="AW68" i="35" s="1"/>
  <c r="BG55" i="35"/>
  <c r="BE21" i="35"/>
  <c r="AU55" i="35"/>
  <c r="AV86" i="35"/>
  <c r="BG86" i="35" s="1"/>
  <c r="BE78" i="35"/>
  <c r="AS21" i="35"/>
  <c r="BE55" i="35"/>
  <c r="AS55" i="35"/>
  <c r="AT55" i="35" s="1"/>
  <c r="AV46" i="35"/>
  <c r="BF46" i="35" s="1"/>
  <c r="BI46" i="19"/>
  <c r="BJ46" i="19" s="1"/>
  <c r="M46" i="10" s="1"/>
  <c r="BF43" i="35"/>
  <c r="AU51" i="35"/>
  <c r="AV25" i="35"/>
  <c r="BG25" i="35" s="1"/>
  <c r="BE16" i="35"/>
  <c r="AV36" i="35"/>
  <c r="BF36" i="35" s="1"/>
  <c r="AS51" i="35"/>
  <c r="AT51" i="35" s="1"/>
  <c r="AV49" i="35"/>
  <c r="BF49" i="35" s="1"/>
  <c r="AV44" i="35"/>
  <c r="BG44" i="35" s="1"/>
  <c r="BE50" i="35"/>
  <c r="AV85" i="35"/>
  <c r="BF85" i="35" s="1"/>
  <c r="AU25" i="35"/>
  <c r="AV62" i="35"/>
  <c r="BG62" i="35" s="1"/>
  <c r="AT22" i="35"/>
  <c r="AT56" i="35"/>
  <c r="AT52" i="35"/>
  <c r="AY84" i="19"/>
  <c r="K84" i="10" s="1"/>
  <c r="AT82" i="35"/>
  <c r="AR30" i="35"/>
  <c r="AW30" i="19"/>
  <c r="J30" i="10" s="1"/>
  <c r="AR21" i="35"/>
  <c r="AW21" i="19"/>
  <c r="J21" i="10" s="1"/>
  <c r="I7" i="18"/>
  <c r="F7" i="24"/>
  <c r="AT65" i="35"/>
  <c r="I4" i="18"/>
  <c r="F4" i="24"/>
  <c r="I8" i="18"/>
  <c r="F8" i="24"/>
  <c r="AT15" i="35"/>
  <c r="AU15" i="35" s="1"/>
  <c r="I9" i="18"/>
  <c r="F9" i="24"/>
  <c r="Z2" i="35"/>
  <c r="F2" i="24"/>
  <c r="I3" i="18"/>
  <c r="F3" i="24"/>
  <c r="I6" i="18"/>
  <c r="F6" i="24"/>
  <c r="I11" i="18"/>
  <c r="F11" i="24"/>
  <c r="I10" i="18"/>
  <c r="F10" i="24"/>
  <c r="I5" i="18"/>
  <c r="F5" i="24"/>
  <c r="BG12" i="35"/>
  <c r="AS86" i="35"/>
  <c r="AT86" i="35" s="1"/>
  <c r="AU86" i="35"/>
  <c r="J2" i="35"/>
  <c r="O5" i="19"/>
  <c r="E5" i="18"/>
  <c r="J5" i="35"/>
  <c r="AS74" i="35"/>
  <c r="AT74" i="35" s="1"/>
  <c r="BE67" i="35"/>
  <c r="BE33" i="35"/>
  <c r="AU81" i="35"/>
  <c r="AS17" i="35"/>
  <c r="AT17" i="35" s="1"/>
  <c r="BI77" i="19"/>
  <c r="AZ77" i="19" s="1"/>
  <c r="L77" i="10" s="1"/>
  <c r="BI69" i="19"/>
  <c r="BA69" i="19" s="1"/>
  <c r="N69" i="10" s="1"/>
  <c r="O69" i="10" s="1"/>
  <c r="BI60" i="19"/>
  <c r="AX60" i="19" s="1"/>
  <c r="AY60" i="19" s="1"/>
  <c r="K60" i="10" s="1"/>
  <c r="BI59" i="19"/>
  <c r="BA59" i="19" s="1"/>
  <c r="BM59" i="19" s="1"/>
  <c r="Y59" i="27" s="1"/>
  <c r="AU46" i="35"/>
  <c r="BI44" i="19"/>
  <c r="BJ44" i="19" s="1"/>
  <c r="M44" i="10" s="1"/>
  <c r="BI40" i="19"/>
  <c r="BA40" i="19" s="1"/>
  <c r="BN40" i="19" s="1"/>
  <c r="W40" i="27" s="1"/>
  <c r="BI37" i="19"/>
  <c r="BA37" i="19" s="1"/>
  <c r="BN37" i="19" s="1"/>
  <c r="W37" i="27" s="1"/>
  <c r="BI36" i="19"/>
  <c r="BJ36" i="19" s="1"/>
  <c r="M36" i="10" s="1"/>
  <c r="BE38" i="35"/>
  <c r="BG34" i="35"/>
  <c r="BI34" i="19"/>
  <c r="AZ34" i="19" s="1"/>
  <c r="L34" i="10" s="1"/>
  <c r="AS34" i="35"/>
  <c r="AT34" i="35" s="1"/>
  <c r="BE34" i="35"/>
  <c r="AU34" i="35"/>
  <c r="AS31" i="35"/>
  <c r="AT31" i="35" s="1"/>
  <c r="AU13" i="35"/>
  <c r="AS13" i="35"/>
  <c r="AT13" i="35" s="1"/>
  <c r="BI81" i="19"/>
  <c r="AX81" i="19" s="1"/>
  <c r="AY81" i="19" s="1"/>
  <c r="K81" i="10" s="1"/>
  <c r="AU75" i="35"/>
  <c r="BI72" i="19"/>
  <c r="BJ72" i="19" s="1"/>
  <c r="M72" i="10" s="1"/>
  <c r="BE65" i="35"/>
  <c r="AS47" i="35"/>
  <c r="AT47" i="35" s="1"/>
  <c r="BI42" i="19"/>
  <c r="AX42" i="19" s="1"/>
  <c r="AY42" i="19" s="1"/>
  <c r="AT42" i="35"/>
  <c r="AU42" i="35" s="1"/>
  <c r="BE42" i="35"/>
  <c r="AV31" i="35"/>
  <c r="BG31" i="35" s="1"/>
  <c r="BE31" i="35"/>
  <c r="BE26" i="35"/>
  <c r="BI17" i="19"/>
  <c r="BA17" i="19" s="1"/>
  <c r="BI15" i="19"/>
  <c r="BJ15" i="19" s="1"/>
  <c r="M15" i="10" s="1"/>
  <c r="AV42" i="35"/>
  <c r="BG42" i="35" s="1"/>
  <c r="AU35" i="35"/>
  <c r="BA78" i="19"/>
  <c r="BM78" i="19" s="1"/>
  <c r="Y78" i="27" s="1"/>
  <c r="AV29" i="35"/>
  <c r="BF29" i="35" s="1"/>
  <c r="AS18" i="35"/>
  <c r="AT18" i="35" s="1"/>
  <c r="BE74" i="35"/>
  <c r="AU17" i="35"/>
  <c r="AV81" i="35"/>
  <c r="BG81" i="35" s="1"/>
  <c r="BJ78" i="19"/>
  <c r="M78" i="10" s="1"/>
  <c r="BE29" i="35"/>
  <c r="AV38" i="35"/>
  <c r="BG38" i="35" s="1"/>
  <c r="BI14" i="19"/>
  <c r="BJ14" i="19" s="1"/>
  <c r="M14" i="10" s="1"/>
  <c r="AU38" i="35"/>
  <c r="BF70" i="35"/>
  <c r="BE17" i="35"/>
  <c r="BG22" i="35"/>
  <c r="BE15" i="35"/>
  <c r="AS23" i="35"/>
  <c r="AT23" i="35" s="1"/>
  <c r="AV50" i="35"/>
  <c r="BG50" i="35" s="1"/>
  <c r="AS41" i="35"/>
  <c r="AT41" i="35" s="1"/>
  <c r="AU32" i="35"/>
  <c r="AU50" i="35"/>
  <c r="BE73" i="35"/>
  <c r="AU83" i="35"/>
  <c r="BE81" i="35"/>
  <c r="BJ70" i="19"/>
  <c r="M70" i="10" s="1"/>
  <c r="BA70" i="19"/>
  <c r="BL70" i="19" s="1"/>
  <c r="AV58" i="35"/>
  <c r="BG58" i="35" s="1"/>
  <c r="BE58" i="35"/>
  <c r="AS57" i="35"/>
  <c r="AT57" i="35" s="1"/>
  <c r="BI54" i="19"/>
  <c r="BA54" i="19" s="1"/>
  <c r="BN54" i="19" s="1"/>
  <c r="W54" i="27" s="1"/>
  <c r="BE54" i="35"/>
  <c r="AT50" i="35"/>
  <c r="BE47" i="35"/>
  <c r="AV47" i="35"/>
  <c r="BF47" i="35" s="1"/>
  <c r="AU45" i="35"/>
  <c r="AV33" i="35"/>
  <c r="BG33" i="35" s="1"/>
  <c r="AS33" i="35"/>
  <c r="AT33" i="35" s="1"/>
  <c r="AV30" i="35"/>
  <c r="BG30" i="35" s="1"/>
  <c r="AS29" i="35"/>
  <c r="AT29" i="35" s="1"/>
  <c r="AS75" i="35"/>
  <c r="AT75" i="35" s="1"/>
  <c r="AV75" i="35"/>
  <c r="BF75" i="35" s="1"/>
  <c r="AU74" i="35"/>
  <c r="AU73" i="35"/>
  <c r="BE66" i="35"/>
  <c r="AU65" i="35"/>
  <c r="AV65" i="35"/>
  <c r="BF65" i="35" s="1"/>
  <c r="AS63" i="35"/>
  <c r="AT63" i="35" s="1"/>
  <c r="AV61" i="35"/>
  <c r="BG61" i="35" s="1"/>
  <c r="BE61" i="35"/>
  <c r="AT60" i="35"/>
  <c r="AV60" i="35" s="1"/>
  <c r="BG60" i="35" s="1"/>
  <c r="BE59" i="35"/>
  <c r="AU58" i="35"/>
  <c r="BI58" i="19"/>
  <c r="AX58" i="19" s="1"/>
  <c r="AY58" i="19" s="1"/>
  <c r="K58" i="10" s="1"/>
  <c r="AT49" i="35"/>
  <c r="BE46" i="35"/>
  <c r="AT45" i="35"/>
  <c r="BE41" i="35"/>
  <c r="AV41" i="35"/>
  <c r="BF41" i="35" s="1"/>
  <c r="AU40" i="35"/>
  <c r="AS40" i="35"/>
  <c r="AT40" i="35" s="1"/>
  <c r="BE40" i="35"/>
  <c r="BE32" i="35"/>
  <c r="AS32" i="35"/>
  <c r="AT32" i="35" s="1"/>
  <c r="AT24" i="35"/>
  <c r="AU24" i="35" s="1"/>
  <c r="BE24" i="35"/>
  <c r="AU20" i="35"/>
  <c r="AT14" i="35"/>
  <c r="BI13" i="19"/>
  <c r="AX13" i="19" s="1"/>
  <c r="AY13" i="19" s="1"/>
  <c r="K13" i="10" s="1"/>
  <c r="AT87" i="35"/>
  <c r="AV83" i="35"/>
  <c r="BG83" i="35" s="1"/>
  <c r="AS83" i="35"/>
  <c r="AT83" i="35" s="1"/>
  <c r="BF77" i="35"/>
  <c r="AS73" i="35"/>
  <c r="AT73" i="35" s="1"/>
  <c r="AT67" i="35"/>
  <c r="AV67" i="35" s="1"/>
  <c r="AS64" i="35"/>
  <c r="AT64" i="35" s="1"/>
  <c r="AU63" i="35"/>
  <c r="BI62" i="19"/>
  <c r="AZ62" i="19" s="1"/>
  <c r="L62" i="10" s="1"/>
  <c r="BI61" i="19"/>
  <c r="BA61" i="19" s="1"/>
  <c r="V61" i="27" s="1"/>
  <c r="AT59" i="35"/>
  <c r="AT58" i="35"/>
  <c r="BI55" i="19"/>
  <c r="BA55" i="19" s="1"/>
  <c r="BL55" i="19" s="1"/>
  <c r="AS54" i="35"/>
  <c r="AT54" i="35" s="1"/>
  <c r="AU54" i="35"/>
  <c r="AS48" i="35"/>
  <c r="AT48" i="35" s="1"/>
  <c r="AU48" i="35"/>
  <c r="AV48" i="35"/>
  <c r="BG48" i="35" s="1"/>
  <c r="BE45" i="35"/>
  <c r="AV45" i="35"/>
  <c r="BG45" i="35" s="1"/>
  <c r="AS39" i="35"/>
  <c r="AT39" i="35" s="1"/>
  <c r="BE39" i="35"/>
  <c r="BI35" i="19"/>
  <c r="AX35" i="19" s="1"/>
  <c r="AY35" i="19" s="1"/>
  <c r="K35" i="10" s="1"/>
  <c r="BI32" i="19"/>
  <c r="AX32" i="19" s="1"/>
  <c r="AY32" i="19" s="1"/>
  <c r="K32" i="10" s="1"/>
  <c r="AS30" i="35"/>
  <c r="AT30" i="35" s="1"/>
  <c r="AU30" i="35"/>
  <c r="AV20" i="35"/>
  <c r="BG20" i="35" s="1"/>
  <c r="BG74" i="35"/>
  <c r="BF74" i="35"/>
  <c r="BE63" i="35"/>
  <c r="AU59" i="35"/>
  <c r="AV59" i="35"/>
  <c r="BG59" i="35" s="1"/>
  <c r="AU57" i="35"/>
  <c r="AV57" i="35"/>
  <c r="BG57" i="35" s="1"/>
  <c r="BI48" i="19"/>
  <c r="AX48" i="19" s="1"/>
  <c r="AY48" i="19" s="1"/>
  <c r="K48" i="10" s="1"/>
  <c r="BI47" i="19"/>
  <c r="BA47" i="19" s="1"/>
  <c r="BN47" i="19" s="1"/>
  <c r="W47" i="27" s="1"/>
  <c r="BG40" i="35"/>
  <c r="BF40" i="35"/>
  <c r="AT38" i="35"/>
  <c r="BI30" i="19"/>
  <c r="AX30" i="19" s="1"/>
  <c r="AY30" i="19" s="1"/>
  <c r="K30" i="10" s="1"/>
  <c r="BI29" i="19"/>
  <c r="AX29" i="19" s="1"/>
  <c r="AY29" i="19" s="1"/>
  <c r="K29" i="10" s="1"/>
  <c r="AS28" i="35"/>
  <c r="AT28" i="35" s="1"/>
  <c r="AV28" i="35" s="1"/>
  <c r="BG28" i="35" s="1"/>
  <c r="BE18" i="35"/>
  <c r="AU18" i="35"/>
  <c r="AU80" i="35"/>
  <c r="AS80" i="35"/>
  <c r="AT80" i="35" s="1"/>
  <c r="AV80" i="35"/>
  <c r="AV69" i="35"/>
  <c r="BF69" i="35" s="1"/>
  <c r="AU64" i="35"/>
  <c r="AV64" i="35"/>
  <c r="BG64" i="35" s="1"/>
  <c r="BI57" i="19"/>
  <c r="BA57" i="19" s="1"/>
  <c r="BL57" i="19" s="1"/>
  <c r="BF54" i="35"/>
  <c r="BI50" i="19"/>
  <c r="BA50" i="19" s="1"/>
  <c r="N50" i="10" s="1"/>
  <c r="O50" i="10" s="1"/>
  <c r="BI49" i="19"/>
  <c r="BA49" i="19" s="1"/>
  <c r="AV37" i="35"/>
  <c r="BG37" i="35" s="1"/>
  <c r="AS35" i="35"/>
  <c r="AT35" i="35" s="1"/>
  <c r="BE35" i="35"/>
  <c r="BI28" i="19"/>
  <c r="BJ28" i="19" s="1"/>
  <c r="M28" i="10" s="1"/>
  <c r="AS20" i="35"/>
  <c r="AT20" i="35" s="1"/>
  <c r="AS85" i="35"/>
  <c r="AT85" i="35" s="1"/>
  <c r="AU85" i="35"/>
  <c r="BI65" i="19"/>
  <c r="BJ65" i="19" s="1"/>
  <c r="M65" i="10" s="1"/>
  <c r="BI64" i="19"/>
  <c r="BA64" i="19" s="1"/>
  <c r="N64" i="10" s="1"/>
  <c r="O64" i="10" s="1"/>
  <c r="BF63" i="35"/>
  <c r="BF39" i="35"/>
  <c r="BG39" i="35"/>
  <c r="AU39" i="35"/>
  <c r="BE37" i="35"/>
  <c r="AS37" i="35"/>
  <c r="AT37" i="35" s="1"/>
  <c r="AV26" i="35"/>
  <c r="BF26" i="35" s="1"/>
  <c r="AU26" i="35"/>
  <c r="BI18" i="19"/>
  <c r="BA18" i="19" s="1"/>
  <c r="N18" i="10" s="1"/>
  <c r="O18" i="10" s="1"/>
  <c r="R2" i="35"/>
  <c r="AT81" i="35"/>
  <c r="BI85" i="19"/>
  <c r="BA85" i="19" s="1"/>
  <c r="BN85" i="19" s="1"/>
  <c r="W85" i="27" s="1"/>
  <c r="BF84" i="35"/>
  <c r="AZ84" i="19"/>
  <c r="L84" i="10" s="1"/>
  <c r="BA84" i="19"/>
  <c r="N84" i="10" s="1"/>
  <c r="O84" i="10" s="1"/>
  <c r="BF76" i="35"/>
  <c r="BG73" i="35"/>
  <c r="BF73" i="35"/>
  <c r="BE69" i="35"/>
  <c r="AU69" i="35"/>
  <c r="AS66" i="35"/>
  <c r="AT66" i="35" s="1"/>
  <c r="AV66" i="35" s="1"/>
  <c r="BJ52" i="19"/>
  <c r="M52" i="10" s="1"/>
  <c r="AV23" i="35"/>
  <c r="BF23" i="35" s="1"/>
  <c r="BE23" i="35"/>
  <c r="BG17" i="35"/>
  <c r="BI80" i="19"/>
  <c r="AX80" i="19" s="1"/>
  <c r="AY80" i="19" s="1"/>
  <c r="K80" i="10" s="1"/>
  <c r="BI73" i="19"/>
  <c r="BA73" i="19" s="1"/>
  <c r="BM73" i="19" s="1"/>
  <c r="Y73" i="27" s="1"/>
  <c r="AZ56" i="19"/>
  <c r="L56" i="10" s="1"/>
  <c r="AX52" i="19"/>
  <c r="AY52" i="19" s="1"/>
  <c r="K52" i="10" s="1"/>
  <c r="BI41" i="19"/>
  <c r="BJ41" i="19" s="1"/>
  <c r="M41" i="10" s="1"/>
  <c r="AX71" i="19"/>
  <c r="AY71" i="19" s="1"/>
  <c r="K71" i="10" s="1"/>
  <c r="BI66" i="19"/>
  <c r="AX66" i="19" s="1"/>
  <c r="AY66" i="19" s="1"/>
  <c r="K66" i="10" s="1"/>
  <c r="BJ56" i="19"/>
  <c r="M56" i="10" s="1"/>
  <c r="AX56" i="19"/>
  <c r="AY56" i="19" s="1"/>
  <c r="K56" i="10" s="1"/>
  <c r="BI33" i="19"/>
  <c r="BA33" i="19" s="1"/>
  <c r="BN33" i="19" s="1"/>
  <c r="W33" i="27" s="1"/>
  <c r="AX25" i="19"/>
  <c r="AY25" i="19" s="1"/>
  <c r="K25" i="10" s="1"/>
  <c r="BI23" i="19"/>
  <c r="AX23" i="19" s="1"/>
  <c r="AY23" i="19" s="1"/>
  <c r="K23" i="10" s="1"/>
  <c r="BI20" i="19"/>
  <c r="BA20" i="19" s="1"/>
  <c r="N20" i="10" s="1"/>
  <c r="O20" i="10" s="1"/>
  <c r="E2" i="35"/>
  <c r="E2" i="4"/>
  <c r="BA52" i="19"/>
  <c r="BM52" i="19" s="1"/>
  <c r="Y52" i="27" s="1"/>
  <c r="BF52" i="35"/>
  <c r="BG52" i="35"/>
  <c r="BI45" i="19"/>
  <c r="BA45" i="19" s="1"/>
  <c r="BN45" i="19" s="1"/>
  <c r="W45" i="27" s="1"/>
  <c r="BG72" i="35"/>
  <c r="BF72" i="35"/>
  <c r="BI26" i="19"/>
  <c r="AZ26" i="19" s="1"/>
  <c r="L26" i="10" s="1"/>
  <c r="BI63" i="19"/>
  <c r="BA63" i="19" s="1"/>
  <c r="N63" i="10" s="1"/>
  <c r="O63" i="10" s="1"/>
  <c r="BI38" i="19"/>
  <c r="BI83" i="19"/>
  <c r="AX83" i="19" s="1"/>
  <c r="AY83" i="19" s="1"/>
  <c r="K83" i="10" s="1"/>
  <c r="BI24" i="19"/>
  <c r="BJ24" i="19" s="1"/>
  <c r="M24" i="10" s="1"/>
  <c r="AX21" i="19"/>
  <c r="AY21" i="19" s="1"/>
  <c r="K21" i="10" s="1"/>
  <c r="BA21" i="19"/>
  <c r="BK21" i="19" s="1"/>
  <c r="BG32" i="35"/>
  <c r="BF32" i="35"/>
  <c r="E5" i="35"/>
  <c r="E5" i="4"/>
  <c r="N56" i="10"/>
  <c r="O56" i="10" s="1"/>
  <c r="BN56" i="19"/>
  <c r="W56" i="27" s="1"/>
  <c r="BM56" i="19"/>
  <c r="Y56" i="27" s="1"/>
  <c r="BL56" i="19"/>
  <c r="E8" i="35"/>
  <c r="E8" i="4"/>
  <c r="E3" i="35"/>
  <c r="E3" i="4"/>
  <c r="N31" i="10"/>
  <c r="O31" i="10" s="1"/>
  <c r="BN31" i="19"/>
  <c r="W31" i="27" s="1"/>
  <c r="BM31" i="19"/>
  <c r="Y31" i="27" s="1"/>
  <c r="BL31" i="19"/>
  <c r="BI67" i="19"/>
  <c r="AX67" i="19" s="1"/>
  <c r="AY67" i="19" s="1"/>
  <c r="K67" i="10" s="1"/>
  <c r="BF51" i="35"/>
  <c r="BG51" i="35"/>
  <c r="BG87" i="35"/>
  <c r="BF87" i="35"/>
  <c r="N71" i="10"/>
  <c r="O71" i="10" s="1"/>
  <c r="BN71" i="19"/>
  <c r="W71" i="27" s="1"/>
  <c r="BM71" i="19"/>
  <c r="Y71" i="27" s="1"/>
  <c r="BL71" i="19"/>
  <c r="BG35" i="35"/>
  <c r="BF35" i="35"/>
  <c r="E9" i="35"/>
  <c r="E9" i="4"/>
  <c r="E7" i="35"/>
  <c r="E7" i="4"/>
  <c r="E4" i="35"/>
  <c r="E4" i="4"/>
  <c r="BA87" i="19"/>
  <c r="BK87" i="19" s="1"/>
  <c r="E10" i="35"/>
  <c r="E10" i="4"/>
  <c r="E6" i="35"/>
  <c r="E6" i="4"/>
  <c r="N82" i="10"/>
  <c r="O82" i="10" s="1"/>
  <c r="BM82" i="19"/>
  <c r="Y82" i="27" s="1"/>
  <c r="BN82" i="19"/>
  <c r="W82" i="27" s="1"/>
  <c r="BL82" i="19"/>
  <c r="BF13" i="35"/>
  <c r="BG18" i="35"/>
  <c r="BF18" i="35"/>
  <c r="BG56" i="35"/>
  <c r="BF56" i="35"/>
  <c r="BJ22" i="19"/>
  <c r="M22" i="10" s="1"/>
  <c r="AX22" i="19"/>
  <c r="AY22" i="19" s="1"/>
  <c r="K22" i="10" s="1"/>
  <c r="BA22" i="19"/>
  <c r="V22" i="27" s="1"/>
  <c r="AZ22" i="19"/>
  <c r="L22" i="10" s="1"/>
  <c r="BJ19" i="19"/>
  <c r="M19" i="10" s="1"/>
  <c r="AZ19" i="19"/>
  <c r="L19" i="10" s="1"/>
  <c r="BA19" i="19"/>
  <c r="BK19" i="19" s="1"/>
  <c r="AX19" i="19"/>
  <c r="AY19" i="19" s="1"/>
  <c r="K19" i="10" s="1"/>
  <c r="AZ53" i="19"/>
  <c r="L53" i="10" s="1"/>
  <c r="AX53" i="19"/>
  <c r="AY53" i="19" s="1"/>
  <c r="K53" i="10" s="1"/>
  <c r="BJ53" i="19"/>
  <c r="M53" i="10" s="1"/>
  <c r="BA53" i="19"/>
  <c r="V53" i="27" s="1"/>
  <c r="AZ43" i="19"/>
  <c r="L43" i="10" s="1"/>
  <c r="AZ12" i="19"/>
  <c r="L12" i="10" s="1"/>
  <c r="W89" i="32"/>
  <c r="X88" i="27"/>
  <c r="W89" i="33"/>
  <c r="W89" i="29"/>
  <c r="W89" i="31"/>
  <c r="P88" i="10"/>
  <c r="W89" i="28"/>
  <c r="W89" i="34"/>
  <c r="BJ51" i="19"/>
  <c r="M51" i="10" s="1"/>
  <c r="BA51" i="19"/>
  <c r="V51" i="27" s="1"/>
  <c r="AX31" i="19"/>
  <c r="AY31" i="19" s="1"/>
  <c r="K31" i="10" s="1"/>
  <c r="AZ21" i="19"/>
  <c r="L21" i="10" s="1"/>
  <c r="BJ21" i="19"/>
  <c r="M21" i="10" s="1"/>
  <c r="AX74" i="19"/>
  <c r="AY74" i="19" s="1"/>
  <c r="K74" i="10" s="1"/>
  <c r="AZ74" i="19"/>
  <c r="L74" i="10" s="1"/>
  <c r="BA74" i="19"/>
  <c r="BK74" i="19" s="1"/>
  <c r="BJ74" i="19"/>
  <c r="M74" i="10" s="1"/>
  <c r="AZ71" i="19"/>
  <c r="L71" i="10" s="1"/>
  <c r="BJ71" i="19"/>
  <c r="M71" i="10" s="1"/>
  <c r="AZ31" i="19"/>
  <c r="L31" i="10" s="1"/>
  <c r="BK56" i="19"/>
  <c r="V56" i="27"/>
  <c r="BK82" i="19"/>
  <c r="V82" i="27"/>
  <c r="BJ87" i="19"/>
  <c r="M87" i="10" s="1"/>
  <c r="BK71" i="19"/>
  <c r="V71" i="27"/>
  <c r="BK31" i="19"/>
  <c r="V31" i="27"/>
  <c r="BA12" i="19"/>
  <c r="BA27" i="19"/>
  <c r="AX12" i="19"/>
  <c r="AY12" i="19" s="1"/>
  <c r="K12" i="10" s="1"/>
  <c r="AX39" i="19"/>
  <c r="AY39" i="19" s="1"/>
  <c r="K39" i="10" s="1"/>
  <c r="AZ39" i="19"/>
  <c r="L39" i="10" s="1"/>
  <c r="BA39" i="19"/>
  <c r="BJ39" i="19"/>
  <c r="M39" i="10" s="1"/>
  <c r="BJ31" i="19"/>
  <c r="M31" i="10" s="1"/>
  <c r="AZ87" i="19"/>
  <c r="L87" i="10" s="1"/>
  <c r="AX27" i="19"/>
  <c r="AY27" i="19" s="1"/>
  <c r="K27" i="10" s="1"/>
  <c r="AX16" i="19"/>
  <c r="AY16" i="19" s="1"/>
  <c r="K16" i="10" s="1"/>
  <c r="BJ16" i="19"/>
  <c r="M16" i="10" s="1"/>
  <c r="AX51" i="19"/>
  <c r="AY51" i="19" s="1"/>
  <c r="K51" i="10" s="1"/>
  <c r="AZ51" i="19"/>
  <c r="L51" i="10" s="1"/>
  <c r="AX75" i="19"/>
  <c r="AY75" i="19" s="1"/>
  <c r="K75" i="10" s="1"/>
  <c r="AZ16" i="19"/>
  <c r="L16" i="10" s="1"/>
  <c r="BA75" i="19"/>
  <c r="AZ75" i="19"/>
  <c r="L75" i="10" s="1"/>
  <c r="AZ86" i="19"/>
  <c r="L86" i="10" s="1"/>
  <c r="BA16" i="19"/>
  <c r="BA76" i="19"/>
  <c r="BJ34" i="19"/>
  <c r="M34" i="10" s="1"/>
  <c r="BA86" i="19"/>
  <c r="AX86" i="19"/>
  <c r="AY86" i="19" s="1"/>
  <c r="K86" i="10" s="1"/>
  <c r="R11" i="19"/>
  <c r="E11" i="21"/>
  <c r="N11" i="35" s="1"/>
  <c r="AZ37" i="19"/>
  <c r="L37" i="10" s="1"/>
  <c r="E11" i="4"/>
  <c r="C11" i="18"/>
  <c r="J11" i="19"/>
  <c r="I2" i="18"/>
  <c r="AE2" i="19"/>
  <c r="H7" i="18"/>
  <c r="AA7" i="19"/>
  <c r="H2" i="18"/>
  <c r="AA2" i="19"/>
  <c r="H11" i="18"/>
  <c r="AA11" i="19"/>
  <c r="H3" i="18"/>
  <c r="AA3" i="19"/>
  <c r="H10" i="18"/>
  <c r="AA10" i="19"/>
  <c r="H5" i="18"/>
  <c r="AA5" i="19"/>
  <c r="H8" i="18"/>
  <c r="AA8" i="19"/>
  <c r="G2" i="18"/>
  <c r="W2" i="19"/>
  <c r="C6" i="18"/>
  <c r="J6" i="19"/>
  <c r="C9" i="18"/>
  <c r="J9" i="19"/>
  <c r="C5" i="18"/>
  <c r="J5" i="19"/>
  <c r="C10" i="18"/>
  <c r="J10" i="19"/>
  <c r="J2" i="19"/>
  <c r="C2" i="18"/>
  <c r="C8" i="18"/>
  <c r="J8" i="19"/>
  <c r="C3" i="18"/>
  <c r="J3" i="19"/>
  <c r="C7" i="18"/>
  <c r="J7" i="19"/>
  <c r="C4" i="18"/>
  <c r="J4" i="19"/>
  <c r="E2" i="18"/>
  <c r="O2" i="19"/>
  <c r="E10" i="21"/>
  <c r="R10" i="19"/>
  <c r="E6" i="21"/>
  <c r="R6" i="19"/>
  <c r="E5" i="21"/>
  <c r="R5" i="19"/>
  <c r="E4" i="21"/>
  <c r="F4" i="18" s="1"/>
  <c r="R4" i="19"/>
  <c r="E3" i="21"/>
  <c r="F3" i="18" s="1"/>
  <c r="R3" i="19"/>
  <c r="R8" i="19"/>
  <c r="E8" i="21"/>
  <c r="E2" i="21"/>
  <c r="R2" i="19"/>
  <c r="E7" i="21"/>
  <c r="R7" i="19"/>
  <c r="E9" i="23"/>
  <c r="V9" i="35" s="1"/>
  <c r="E6" i="23"/>
  <c r="V6" i="35" s="1"/>
  <c r="E4" i="23"/>
  <c r="AV24" i="35" l="1"/>
  <c r="BF27" i="35"/>
  <c r="BF25" i="35"/>
  <c r="N78" i="10"/>
  <c r="O78" i="10" s="1"/>
  <c r="BJ69" i="19"/>
  <c r="M69" i="10" s="1"/>
  <c r="BG46" i="35"/>
  <c r="AX79" i="19"/>
  <c r="AY79" i="19" s="1"/>
  <c r="K79" i="10" s="1"/>
  <c r="BL69" i="19"/>
  <c r="BA44" i="19"/>
  <c r="N44" i="10" s="1"/>
  <c r="O44" i="10" s="1"/>
  <c r="BJ25" i="19"/>
  <c r="M25" i="10" s="1"/>
  <c r="BF21" i="35"/>
  <c r="BA72" i="19"/>
  <c r="N72" i="10" s="1"/>
  <c r="O72" i="10" s="1"/>
  <c r="AZ76" i="19"/>
  <c r="L76" i="10" s="1"/>
  <c r="AX72" i="19"/>
  <c r="AY72" i="19" s="1"/>
  <c r="K72" i="10" s="1"/>
  <c r="AZ72" i="19"/>
  <c r="L72" i="10" s="1"/>
  <c r="BG53" i="35"/>
  <c r="BA25" i="19"/>
  <c r="BM25" i="19" s="1"/>
  <c r="Y25" i="27" s="1"/>
  <c r="BJ79" i="19"/>
  <c r="M79" i="10" s="1"/>
  <c r="BJ76" i="19"/>
  <c r="M76" i="10" s="1"/>
  <c r="AX36" i="19"/>
  <c r="AY36" i="19" s="1"/>
  <c r="K36" i="10" s="1"/>
  <c r="BF82" i="35"/>
  <c r="BG49" i="35"/>
  <c r="BJ59" i="19"/>
  <c r="M59" i="10" s="1"/>
  <c r="V59" i="27"/>
  <c r="BJ42" i="19"/>
  <c r="M42" i="10" s="1"/>
  <c r="BJ37" i="19"/>
  <c r="M37" i="10" s="1"/>
  <c r="BA42" i="19"/>
  <c r="BF86" i="35"/>
  <c r="BA34" i="19"/>
  <c r="BM34" i="19" s="1"/>
  <c r="Y34" i="27" s="1"/>
  <c r="AX34" i="19"/>
  <c r="AY34" i="19" s="1"/>
  <c r="K34" i="10" s="1"/>
  <c r="AX59" i="19"/>
  <c r="AY59" i="19" s="1"/>
  <c r="K59" i="10" s="1"/>
  <c r="BN43" i="19"/>
  <c r="W43" i="27" s="1"/>
  <c r="BG85" i="35"/>
  <c r="BA79" i="19"/>
  <c r="BN79" i="19" s="1"/>
  <c r="W79" i="27" s="1"/>
  <c r="BF19" i="35"/>
  <c r="BM43" i="19"/>
  <c r="Y43" i="27" s="1"/>
  <c r="V43" i="27"/>
  <c r="BK43" i="19"/>
  <c r="W44" i="32" s="1"/>
  <c r="N43" i="10"/>
  <c r="O43" i="10" s="1"/>
  <c r="BF79" i="35"/>
  <c r="AX69" i="19"/>
  <c r="AY69" i="19" s="1"/>
  <c r="K69" i="10" s="1"/>
  <c r="BJ17" i="19"/>
  <c r="M17" i="10" s="1"/>
  <c r="V78" i="27"/>
  <c r="BM69" i="19"/>
  <c r="Y69" i="27" s="1"/>
  <c r="AT21" i="35"/>
  <c r="AZ32" i="19"/>
  <c r="L32" i="10" s="1"/>
  <c r="BJ27" i="19"/>
  <c r="M27" i="10" s="1"/>
  <c r="V69" i="27"/>
  <c r="BF44" i="35"/>
  <c r="BF38" i="35"/>
  <c r="BL78" i="19"/>
  <c r="BN70" i="19"/>
  <c r="W70" i="27" s="1"/>
  <c r="N40" i="10"/>
  <c r="O40" i="10" s="1"/>
  <c r="BG16" i="35"/>
  <c r="BG36" i="35"/>
  <c r="K68" i="18"/>
  <c r="J68" i="18"/>
  <c r="AX46" i="19"/>
  <c r="AY46" i="19" s="1"/>
  <c r="K46" i="10" s="1"/>
  <c r="BA46" i="19"/>
  <c r="BK46" i="19" s="1"/>
  <c r="AV15" i="35"/>
  <c r="BG15" i="35" s="1"/>
  <c r="BF62" i="35"/>
  <c r="BK59" i="19"/>
  <c r="W60" i="31" s="1"/>
  <c r="BM54" i="19"/>
  <c r="Y54" i="27" s="1"/>
  <c r="BL59" i="19"/>
  <c r="BM70" i="19"/>
  <c r="Y70" i="27" s="1"/>
  <c r="BK37" i="19"/>
  <c r="W38" i="31" s="1"/>
  <c r="BL37" i="19"/>
  <c r="BN59" i="19"/>
  <c r="W59" i="27" s="1"/>
  <c r="BG65" i="35"/>
  <c r="N70" i="10"/>
  <c r="O70" i="10" s="1"/>
  <c r="BM37" i="19"/>
  <c r="Y37" i="27" s="1"/>
  <c r="N59" i="10"/>
  <c r="O59" i="10" s="1"/>
  <c r="BA58" i="19"/>
  <c r="BL58" i="19" s="1"/>
  <c r="V55" i="27"/>
  <c r="BA60" i="19"/>
  <c r="BM60" i="19" s="1"/>
  <c r="Y14" i="27" s="1"/>
  <c r="AZ55" i="19"/>
  <c r="L55" i="10" s="1"/>
  <c r="AX37" i="19"/>
  <c r="AY37" i="19" s="1"/>
  <c r="K37" i="10" s="1"/>
  <c r="N37" i="10"/>
  <c r="O37" i="10" s="1"/>
  <c r="V37" i="27"/>
  <c r="AZ69" i="19"/>
  <c r="L69" i="10" s="1"/>
  <c r="AX15" i="19"/>
  <c r="AY15" i="19" s="1"/>
  <c r="K15" i="10" s="1"/>
  <c r="BK69" i="19"/>
  <c r="W70" i="33" s="1"/>
  <c r="BK78" i="19"/>
  <c r="W79" i="31" s="1"/>
  <c r="BN69" i="19"/>
  <c r="W69" i="27" s="1"/>
  <c r="BN78" i="19"/>
  <c r="W78" i="27" s="1"/>
  <c r="AZ44" i="19"/>
  <c r="L44" i="10" s="1"/>
  <c r="BG29" i="35"/>
  <c r="BF50" i="35"/>
  <c r="AZ40" i="19"/>
  <c r="L40" i="10" s="1"/>
  <c r="AZ48" i="19"/>
  <c r="L48" i="10" s="1"/>
  <c r="AX40" i="19"/>
  <c r="AY40" i="19" s="1"/>
  <c r="K40" i="10" s="1"/>
  <c r="V40" i="27"/>
  <c r="BM40" i="19"/>
  <c r="Y40" i="27" s="1"/>
  <c r="AX44" i="19"/>
  <c r="AY44" i="19" s="1"/>
  <c r="K44" i="10" s="1"/>
  <c r="AU28" i="35"/>
  <c r="AZ81" i="19"/>
  <c r="L81" i="10" s="1"/>
  <c r="BA81" i="19"/>
  <c r="BN81" i="19" s="1"/>
  <c r="W81" i="27" s="1"/>
  <c r="BJ81" i="19"/>
  <c r="M81" i="10" s="1"/>
  <c r="BG67" i="35"/>
  <c r="AU67" i="35"/>
  <c r="AU66" i="35"/>
  <c r="AZ61" i="19"/>
  <c r="L61" i="10" s="1"/>
  <c r="BJ61" i="19"/>
  <c r="M61" i="10" s="1"/>
  <c r="AU60" i="35"/>
  <c r="AZ49" i="19"/>
  <c r="L49" i="10" s="1"/>
  <c r="BL40" i="19"/>
  <c r="BJ40" i="19"/>
  <c r="M40" i="10" s="1"/>
  <c r="BK40" i="19"/>
  <c r="W41" i="34" s="1"/>
  <c r="BA36" i="19"/>
  <c r="BL36" i="19" s="1"/>
  <c r="AZ36" i="19"/>
  <c r="L36" i="10" s="1"/>
  <c r="AZ17" i="19"/>
  <c r="L17" i="10" s="1"/>
  <c r="AX17" i="19"/>
  <c r="AY17" i="19" s="1"/>
  <c r="K17" i="10" s="1"/>
  <c r="AV14" i="35"/>
  <c r="AU14" i="35"/>
  <c r="BF81" i="35"/>
  <c r="AX77" i="19"/>
  <c r="AY77" i="19" s="1"/>
  <c r="K77" i="10" s="1"/>
  <c r="BA77" i="19"/>
  <c r="BM77" i="19" s="1"/>
  <c r="Y77" i="27" s="1"/>
  <c r="BJ77" i="19"/>
  <c r="M77" i="10" s="1"/>
  <c r="AZ60" i="19"/>
  <c r="L60" i="10" s="1"/>
  <c r="BJ60" i="19"/>
  <c r="M60" i="10" s="1"/>
  <c r="BL44" i="19"/>
  <c r="BF37" i="35"/>
  <c r="BA30" i="19"/>
  <c r="BM30" i="19" s="1"/>
  <c r="Y30" i="27" s="1"/>
  <c r="BF83" i="35"/>
  <c r="AZ59" i="19"/>
  <c r="L59" i="10" s="1"/>
  <c r="BJ54" i="19"/>
  <c r="M54" i="10" s="1"/>
  <c r="BK54" i="19"/>
  <c r="W55" i="34" s="1"/>
  <c r="BF45" i="35"/>
  <c r="BK44" i="19"/>
  <c r="W45" i="34" s="1"/>
  <c r="BJ35" i="19"/>
  <c r="M35" i="10" s="1"/>
  <c r="AZ35" i="19"/>
  <c r="L35" i="10" s="1"/>
  <c r="BF31" i="35"/>
  <c r="BF30" i="35"/>
  <c r="BG24" i="35"/>
  <c r="BF20" i="35"/>
  <c r="AX14" i="19"/>
  <c r="AY14" i="19" s="1"/>
  <c r="BF61" i="35"/>
  <c r="BJ58" i="19"/>
  <c r="M58" i="10" s="1"/>
  <c r="AZ58" i="19"/>
  <c r="L58" i="10" s="1"/>
  <c r="BM57" i="19"/>
  <c r="Y57" i="27" s="1"/>
  <c r="BJ55" i="19"/>
  <c r="M55" i="10" s="1"/>
  <c r="AX55" i="19"/>
  <c r="AY55" i="19" s="1"/>
  <c r="K55" i="10" s="1"/>
  <c r="BM55" i="19"/>
  <c r="Y55" i="27" s="1"/>
  <c r="BL54" i="19"/>
  <c r="AZ54" i="19"/>
  <c r="L54" i="10" s="1"/>
  <c r="N54" i="10"/>
  <c r="O54" i="10" s="1"/>
  <c r="AX54" i="19"/>
  <c r="AY54" i="19" s="1"/>
  <c r="K54" i="10" s="1"/>
  <c r="V54" i="27"/>
  <c r="BN52" i="19"/>
  <c r="W52" i="27" s="1"/>
  <c r="BG47" i="35"/>
  <c r="BF42" i="35"/>
  <c r="BA29" i="19"/>
  <c r="N29" i="10" s="1"/>
  <c r="O29" i="10" s="1"/>
  <c r="BJ29" i="19"/>
  <c r="M29" i="10" s="1"/>
  <c r="BG26" i="35"/>
  <c r="BK18" i="19"/>
  <c r="W19" i="31" s="1"/>
  <c r="BG75" i="35"/>
  <c r="BA13" i="19"/>
  <c r="BL13" i="19" s="1"/>
  <c r="BJ13" i="19"/>
  <c r="M13" i="10" s="1"/>
  <c r="BK57" i="19"/>
  <c r="W58" i="33" s="1"/>
  <c r="BF33" i="35"/>
  <c r="BL18" i="19"/>
  <c r="AZ13" i="19"/>
  <c r="L13" i="10" s="1"/>
  <c r="AX18" i="19"/>
  <c r="AY18" i="19" s="1"/>
  <c r="K18" i="10" s="1"/>
  <c r="BN18" i="19"/>
  <c r="W18" i="27" s="1"/>
  <c r="V19" i="27"/>
  <c r="V18" i="27"/>
  <c r="BJ18" i="19"/>
  <c r="M18" i="10" s="1"/>
  <c r="AZ65" i="19"/>
  <c r="L65" i="10" s="1"/>
  <c r="BA65" i="19"/>
  <c r="BL65" i="19" s="1"/>
  <c r="AZ73" i="19"/>
  <c r="L73" i="10" s="1"/>
  <c r="V47" i="27"/>
  <c r="N55" i="10"/>
  <c r="O55" i="10" s="1"/>
  <c r="BN73" i="19"/>
  <c r="W73" i="27" s="1"/>
  <c r="BG23" i="35"/>
  <c r="N47" i="10"/>
  <c r="O47" i="10" s="1"/>
  <c r="AX47" i="19"/>
  <c r="AY47" i="19" s="1"/>
  <c r="K47" i="10" s="1"/>
  <c r="BK47" i="19"/>
  <c r="W48" i="32" s="1"/>
  <c r="BK22" i="19"/>
  <c r="W23" i="34" s="1"/>
  <c r="AX61" i="19"/>
  <c r="AY61" i="19" s="1"/>
  <c r="K61" i="10" s="1"/>
  <c r="BM84" i="19"/>
  <c r="Y84" i="27" s="1"/>
  <c r="V85" i="27"/>
  <c r="N85" i="10"/>
  <c r="O85" i="10" s="1"/>
  <c r="BJ85" i="19"/>
  <c r="M85" i="10" s="1"/>
  <c r="AX85" i="19"/>
  <c r="AY85" i="19" s="1"/>
  <c r="K85" i="10" s="1"/>
  <c r="BK70" i="19"/>
  <c r="V70" i="27"/>
  <c r="BA62" i="19"/>
  <c r="N62" i="10" s="1"/>
  <c r="O62" i="10" s="1"/>
  <c r="BJ62" i="19"/>
  <c r="M62" i="10" s="1"/>
  <c r="AX62" i="19"/>
  <c r="AY62" i="19" s="1"/>
  <c r="K62" i="10" s="1"/>
  <c r="BF58" i="35"/>
  <c r="BN55" i="19"/>
  <c r="W55" i="27" s="1"/>
  <c r="BJ48" i="19"/>
  <c r="M48" i="10" s="1"/>
  <c r="BA48" i="19"/>
  <c r="BM48" i="19" s="1"/>
  <c r="Y48" i="27" s="1"/>
  <c r="BF48" i="35"/>
  <c r="BM47" i="19"/>
  <c r="Y47" i="27" s="1"/>
  <c r="BG41" i="35"/>
  <c r="BA41" i="19"/>
  <c r="N41" i="10" s="1"/>
  <c r="O41" i="10" s="1"/>
  <c r="V33" i="27"/>
  <c r="BJ32" i="19"/>
  <c r="M32" i="10" s="1"/>
  <c r="BA32" i="19"/>
  <c r="N32" i="10" s="1"/>
  <c r="O32" i="10" s="1"/>
  <c r="AZ85" i="19"/>
  <c r="L85" i="10" s="1"/>
  <c r="BM85" i="19"/>
  <c r="Y85" i="27" s="1"/>
  <c r="AZ66" i="19"/>
  <c r="L66" i="10" s="1"/>
  <c r="AX65" i="19"/>
  <c r="AY65" i="19" s="1"/>
  <c r="K65" i="10" s="1"/>
  <c r="BF59" i="35"/>
  <c r="BK55" i="19"/>
  <c r="W56" i="31" s="1"/>
  <c r="BA35" i="19"/>
  <c r="BL35" i="19" s="1"/>
  <c r="AX28" i="19"/>
  <c r="AY28" i="19" s="1"/>
  <c r="K28" i="10" s="1"/>
  <c r="BA26" i="19"/>
  <c r="N26" i="10" s="1"/>
  <c r="O26" i="10" s="1"/>
  <c r="AZ23" i="19"/>
  <c r="L23" i="10" s="1"/>
  <c r="BA23" i="19"/>
  <c r="N23" i="10" s="1"/>
  <c r="O23" i="10" s="1"/>
  <c r="BJ23" i="19"/>
  <c r="M23" i="10" s="1"/>
  <c r="BK85" i="19"/>
  <c r="W86" i="31" s="1"/>
  <c r="BL85" i="19"/>
  <c r="AZ64" i="19"/>
  <c r="L64" i="10" s="1"/>
  <c r="V64" i="27"/>
  <c r="BF57" i="35"/>
  <c r="V52" i="27"/>
  <c r="AZ47" i="19"/>
  <c r="L47" i="10" s="1"/>
  <c r="BJ47" i="19"/>
  <c r="M47" i="10" s="1"/>
  <c r="BL47" i="19"/>
  <c r="BJ30" i="19"/>
  <c r="M30" i="10" s="1"/>
  <c r="AZ29" i="19"/>
  <c r="L29" i="10" s="1"/>
  <c r="BA80" i="19"/>
  <c r="BN80" i="19" s="1"/>
  <c r="W80" i="27" s="1"/>
  <c r="N73" i="10"/>
  <c r="O73" i="10" s="1"/>
  <c r="BL73" i="19"/>
  <c r="V73" i="27"/>
  <c r="BJ73" i="19"/>
  <c r="M73" i="10" s="1"/>
  <c r="BK73" i="19"/>
  <c r="W74" i="32" s="1"/>
  <c r="AX73" i="19"/>
  <c r="AY73" i="19" s="1"/>
  <c r="K73" i="10" s="1"/>
  <c r="BG69" i="35"/>
  <c r="BA66" i="19"/>
  <c r="N66" i="10" s="1"/>
  <c r="O66" i="10" s="1"/>
  <c r="BF64" i="35"/>
  <c r="BN57" i="19"/>
  <c r="W57" i="27" s="1"/>
  <c r="AX57" i="19"/>
  <c r="AY57" i="19" s="1"/>
  <c r="K57" i="10" s="1"/>
  <c r="N57" i="10"/>
  <c r="O57" i="10" s="1"/>
  <c r="BJ57" i="19"/>
  <c r="M57" i="10" s="1"/>
  <c r="AZ57" i="19"/>
  <c r="L57" i="10" s="1"/>
  <c r="V57" i="27"/>
  <c r="BK50" i="19"/>
  <c r="W51" i="31" s="1"/>
  <c r="BL50" i="19"/>
  <c r="BN50" i="19"/>
  <c r="W50" i="27" s="1"/>
  <c r="BM50" i="19"/>
  <c r="Y50" i="27" s="1"/>
  <c r="AZ50" i="19"/>
  <c r="L50" i="10" s="1"/>
  <c r="BJ50" i="19"/>
  <c r="M50" i="10" s="1"/>
  <c r="AX50" i="19"/>
  <c r="AY50" i="19" s="1"/>
  <c r="K50" i="10" s="1"/>
  <c r="BM33" i="19"/>
  <c r="Y33" i="27" s="1"/>
  <c r="AX33" i="19"/>
  <c r="AY33" i="19" s="1"/>
  <c r="K33" i="10" s="1"/>
  <c r="AZ30" i="19"/>
  <c r="L30" i="10" s="1"/>
  <c r="BL20" i="19"/>
  <c r="BF80" i="35"/>
  <c r="BG80" i="35"/>
  <c r="BM64" i="19"/>
  <c r="Y64" i="27" s="1"/>
  <c r="BL64" i="19"/>
  <c r="AX64" i="19"/>
  <c r="AY64" i="19" s="1"/>
  <c r="K64" i="10" s="1"/>
  <c r="BN64" i="19"/>
  <c r="W64" i="27" s="1"/>
  <c r="BJ64" i="19"/>
  <c r="M64" i="10" s="1"/>
  <c r="BK64" i="19"/>
  <c r="W65" i="31" s="1"/>
  <c r="V50" i="27"/>
  <c r="AX49" i="19"/>
  <c r="AY49" i="19" s="1"/>
  <c r="K49" i="10" s="1"/>
  <c r="BJ49" i="19"/>
  <c r="M49" i="10" s="1"/>
  <c r="BJ20" i="19"/>
  <c r="M20" i="10" s="1"/>
  <c r="BN20" i="19"/>
  <c r="W20" i="27" s="1"/>
  <c r="V20" i="27"/>
  <c r="AX20" i="19"/>
  <c r="AY20" i="19" s="1"/>
  <c r="K20" i="10" s="1"/>
  <c r="AZ20" i="19"/>
  <c r="L20" i="10" s="1"/>
  <c r="BK20" i="19"/>
  <c r="W21" i="34" s="1"/>
  <c r="AZ18" i="19"/>
  <c r="L18" i="10" s="1"/>
  <c r="BM18" i="19"/>
  <c r="Y18" i="27" s="1"/>
  <c r="V87" i="27"/>
  <c r="BJ83" i="19"/>
  <c r="M83" i="10" s="1"/>
  <c r="AZ83" i="19"/>
  <c r="L83" i="10" s="1"/>
  <c r="AZ33" i="19"/>
  <c r="L33" i="10" s="1"/>
  <c r="N33" i="10"/>
  <c r="O33" i="10" s="1"/>
  <c r="BJ33" i="19"/>
  <c r="M33" i="10" s="1"/>
  <c r="BK33" i="19"/>
  <c r="W34" i="33" s="1"/>
  <c r="BL33" i="19"/>
  <c r="AX24" i="19"/>
  <c r="AY24" i="19" s="1"/>
  <c r="K24" i="10" s="1"/>
  <c r="BM20" i="19"/>
  <c r="Y20" i="27" s="1"/>
  <c r="BL84" i="19"/>
  <c r="V84" i="27"/>
  <c r="BN84" i="19"/>
  <c r="W84" i="27" s="1"/>
  <c r="BK84" i="19"/>
  <c r="W85" i="31" s="1"/>
  <c r="AZ80" i="19"/>
  <c r="L80" i="10" s="1"/>
  <c r="BJ80" i="19"/>
  <c r="M80" i="10" s="1"/>
  <c r="BG66" i="35"/>
  <c r="BK52" i="19"/>
  <c r="W53" i="34" s="1"/>
  <c r="N52" i="10"/>
  <c r="O52" i="10" s="1"/>
  <c r="V45" i="27"/>
  <c r="AZ45" i="19"/>
  <c r="L45" i="10" s="1"/>
  <c r="BJ45" i="19"/>
  <c r="M45" i="10" s="1"/>
  <c r="BL45" i="19"/>
  <c r="BK45" i="19"/>
  <c r="W46" i="33" s="1"/>
  <c r="BM44" i="19"/>
  <c r="Y44" i="27" s="1"/>
  <c r="BN44" i="19"/>
  <c r="W44" i="27" s="1"/>
  <c r="V44" i="27"/>
  <c r="AZ41" i="19"/>
  <c r="L41" i="10" s="1"/>
  <c r="AX41" i="19"/>
  <c r="AY41" i="19" s="1"/>
  <c r="K41" i="10" s="1"/>
  <c r="F2" i="21"/>
  <c r="N2" i="35"/>
  <c r="BA83" i="19"/>
  <c r="BM83" i="19" s="1"/>
  <c r="Y83" i="27" s="1"/>
  <c r="BA67" i="19"/>
  <c r="N67" i="10" s="1"/>
  <c r="O67" i="10" s="1"/>
  <c r="BJ66" i="19"/>
  <c r="M66" i="10" s="1"/>
  <c r="BJ26" i="19"/>
  <c r="M26" i="10" s="1"/>
  <c r="BL63" i="19"/>
  <c r="AX45" i="19"/>
  <c r="AY45" i="19" s="1"/>
  <c r="K45" i="10" s="1"/>
  <c r="N45" i="10"/>
  <c r="O45" i="10" s="1"/>
  <c r="BK51" i="19"/>
  <c r="W52" i="31" s="1"/>
  <c r="BM45" i="19"/>
  <c r="Y45" i="27" s="1"/>
  <c r="BL52" i="19"/>
  <c r="AX63" i="19"/>
  <c r="AY63" i="19" s="1"/>
  <c r="K63" i="10" s="1"/>
  <c r="V21" i="27"/>
  <c r="V63" i="27"/>
  <c r="BN63" i="19"/>
  <c r="W63" i="27" s="1"/>
  <c r="BK63" i="19"/>
  <c r="W64" i="34" s="1"/>
  <c r="BM63" i="19"/>
  <c r="Y63" i="27" s="1"/>
  <c r="BJ63" i="19"/>
  <c r="M63" i="10" s="1"/>
  <c r="AZ63" i="19"/>
  <c r="L63" i="10" s="1"/>
  <c r="F8" i="18"/>
  <c r="N8" i="35"/>
  <c r="F7" i="18"/>
  <c r="N7" i="35"/>
  <c r="F6" i="18"/>
  <c r="N6" i="35"/>
  <c r="F5" i="18"/>
  <c r="N5" i="35"/>
  <c r="F10" i="18"/>
  <c r="N10" i="35"/>
  <c r="AX26" i="19"/>
  <c r="AY26" i="19" s="1"/>
  <c r="K26" i="10" s="1"/>
  <c r="AZ67" i="19"/>
  <c r="L67" i="10" s="1"/>
  <c r="BJ67" i="19"/>
  <c r="M67" i="10" s="1"/>
  <c r="BA38" i="19"/>
  <c r="AX38" i="19"/>
  <c r="AY38" i="19" s="1"/>
  <c r="K38" i="10" s="1"/>
  <c r="AZ38" i="19"/>
  <c r="L38" i="10" s="1"/>
  <c r="BJ38" i="19"/>
  <c r="M38" i="10" s="1"/>
  <c r="N39" i="10"/>
  <c r="O39" i="10" s="1"/>
  <c r="BN39" i="19"/>
  <c r="W39" i="27" s="1"/>
  <c r="BM39" i="19"/>
  <c r="Y39" i="27" s="1"/>
  <c r="BL39" i="19"/>
  <c r="N27" i="10"/>
  <c r="O27" i="10" s="1"/>
  <c r="BM27" i="19"/>
  <c r="Y27" i="27" s="1"/>
  <c r="BN27" i="19"/>
  <c r="W27" i="27" s="1"/>
  <c r="BL27" i="19"/>
  <c r="N53" i="10"/>
  <c r="O53" i="10" s="1"/>
  <c r="BN53" i="19"/>
  <c r="W53" i="27" s="1"/>
  <c r="BM53" i="19"/>
  <c r="Y53" i="27" s="1"/>
  <c r="BL53" i="19"/>
  <c r="N61" i="10"/>
  <c r="O61" i="10" s="1"/>
  <c r="BN61" i="19"/>
  <c r="W61" i="27" s="1"/>
  <c r="BM61" i="19"/>
  <c r="Y61" i="27" s="1"/>
  <c r="BL61" i="19"/>
  <c r="N49" i="10"/>
  <c r="O49" i="10" s="1"/>
  <c r="BN49" i="19"/>
  <c r="W49" i="27" s="1"/>
  <c r="BM49" i="19"/>
  <c r="Y49" i="27" s="1"/>
  <c r="BL49" i="19"/>
  <c r="N86" i="10"/>
  <c r="O86" i="10" s="1"/>
  <c r="BM86" i="19"/>
  <c r="Y86" i="27" s="1"/>
  <c r="BN86" i="19"/>
  <c r="W86" i="27" s="1"/>
  <c r="BL86" i="19"/>
  <c r="N76" i="10"/>
  <c r="O76" i="10" s="1"/>
  <c r="BN76" i="19"/>
  <c r="W76" i="27" s="1"/>
  <c r="BM76" i="19"/>
  <c r="Y76" i="27" s="1"/>
  <c r="BL76" i="19"/>
  <c r="N16" i="10"/>
  <c r="O16" i="10" s="1"/>
  <c r="BN16" i="19"/>
  <c r="W16" i="27" s="1"/>
  <c r="BM16" i="19"/>
  <c r="Y16" i="27" s="1"/>
  <c r="BL16" i="19"/>
  <c r="BN77" i="19"/>
  <c r="W77" i="27" s="1"/>
  <c r="N17" i="10"/>
  <c r="O17" i="10" s="1"/>
  <c r="BN17" i="19"/>
  <c r="W17" i="27" s="1"/>
  <c r="BM17" i="19"/>
  <c r="Y17" i="27" s="1"/>
  <c r="BL17" i="19"/>
  <c r="N12" i="10"/>
  <c r="O12" i="10" s="1"/>
  <c r="BN12" i="19"/>
  <c r="W12" i="27" s="1"/>
  <c r="BM12" i="19"/>
  <c r="Y12" i="27" s="1"/>
  <c r="BL12" i="19"/>
  <c r="N74" i="10"/>
  <c r="O74" i="10" s="1"/>
  <c r="BM74" i="19"/>
  <c r="Y74" i="27" s="1"/>
  <c r="BN74" i="19"/>
  <c r="W74" i="27" s="1"/>
  <c r="BL74" i="19"/>
  <c r="N22" i="10"/>
  <c r="O22" i="10" s="1"/>
  <c r="BM22" i="19"/>
  <c r="Y22" i="27" s="1"/>
  <c r="BN22" i="19"/>
  <c r="W22" i="27" s="1"/>
  <c r="BL22" i="19"/>
  <c r="N87" i="10"/>
  <c r="O87" i="10" s="1"/>
  <c r="BN87" i="19"/>
  <c r="W87" i="27" s="1"/>
  <c r="BM87" i="19"/>
  <c r="Y87" i="27" s="1"/>
  <c r="BL87" i="19"/>
  <c r="N75" i="10"/>
  <c r="O75" i="10" s="1"/>
  <c r="BM75" i="19"/>
  <c r="Y75" i="27" s="1"/>
  <c r="BN75" i="19"/>
  <c r="W75" i="27" s="1"/>
  <c r="BL75" i="19"/>
  <c r="BL72" i="19"/>
  <c r="N21" i="10"/>
  <c r="O21" i="10" s="1"/>
  <c r="BN21" i="19"/>
  <c r="W21" i="27" s="1"/>
  <c r="BM21" i="19"/>
  <c r="Y21" i="27" s="1"/>
  <c r="BL21" i="19"/>
  <c r="N36" i="10"/>
  <c r="O36" i="10" s="1"/>
  <c r="N30" i="10"/>
  <c r="O30" i="10" s="1"/>
  <c r="N58" i="10"/>
  <c r="O58" i="10" s="1"/>
  <c r="N42" i="10"/>
  <c r="O42" i="10" s="1"/>
  <c r="BM42" i="19"/>
  <c r="Y66" i="27" s="1"/>
  <c r="BN42" i="19"/>
  <c r="W66" i="27" s="1"/>
  <c r="BL42" i="19"/>
  <c r="N51" i="10"/>
  <c r="O51" i="10" s="1"/>
  <c r="BM51" i="19"/>
  <c r="Y51" i="27" s="1"/>
  <c r="BN51" i="19"/>
  <c r="W51" i="27" s="1"/>
  <c r="BL51" i="19"/>
  <c r="N19" i="10"/>
  <c r="O19" i="10" s="1"/>
  <c r="BM19" i="19"/>
  <c r="Y19" i="27" s="1"/>
  <c r="BN19" i="19"/>
  <c r="W19" i="27" s="1"/>
  <c r="BL19" i="19"/>
  <c r="AZ42" i="19"/>
  <c r="L42" i="10" s="1"/>
  <c r="K42" i="10"/>
  <c r="BK53" i="19"/>
  <c r="W54" i="33" s="1"/>
  <c r="BK61" i="19"/>
  <c r="W62" i="34" s="1"/>
  <c r="V74" i="27"/>
  <c r="W32" i="31"/>
  <c r="W32" i="34"/>
  <c r="W32" i="32"/>
  <c r="W32" i="33"/>
  <c r="P31" i="10"/>
  <c r="W75" i="31"/>
  <c r="W75" i="34"/>
  <c r="W75" i="33"/>
  <c r="W75" i="32"/>
  <c r="P74" i="10"/>
  <c r="W20" i="31"/>
  <c r="W20" i="33"/>
  <c r="W20" i="32"/>
  <c r="W20" i="34"/>
  <c r="P19" i="10"/>
  <c r="W88" i="31"/>
  <c r="W88" i="32"/>
  <c r="W88" i="33"/>
  <c r="W88" i="34"/>
  <c r="P87" i="10"/>
  <c r="W22" i="31"/>
  <c r="W22" i="34"/>
  <c r="W22" i="33"/>
  <c r="W22" i="32"/>
  <c r="P21" i="10"/>
  <c r="W57" i="31"/>
  <c r="W57" i="34"/>
  <c r="W57" i="32"/>
  <c r="W57" i="33"/>
  <c r="P56" i="10"/>
  <c r="W44" i="34"/>
  <c r="W44" i="33"/>
  <c r="W72" i="31"/>
  <c r="W72" i="33"/>
  <c r="W72" i="34"/>
  <c r="W72" i="32"/>
  <c r="P71" i="10"/>
  <c r="W83" i="31"/>
  <c r="W83" i="32"/>
  <c r="W83" i="33"/>
  <c r="W83" i="34"/>
  <c r="P82" i="10"/>
  <c r="W22" i="29"/>
  <c r="X21" i="27"/>
  <c r="X43" i="27"/>
  <c r="W22" i="28"/>
  <c r="W44" i="28"/>
  <c r="W32" i="28"/>
  <c r="W44" i="29"/>
  <c r="W83" i="28"/>
  <c r="W57" i="29"/>
  <c r="W72" i="29"/>
  <c r="X87" i="27"/>
  <c r="W20" i="28"/>
  <c r="X71" i="27"/>
  <c r="X56" i="27"/>
  <c r="W88" i="28"/>
  <c r="X82" i="27"/>
  <c r="W72" i="28"/>
  <c r="W57" i="28"/>
  <c r="W83" i="29"/>
  <c r="W88" i="29"/>
  <c r="W32" i="29"/>
  <c r="W75" i="29"/>
  <c r="X31" i="27"/>
  <c r="W75" i="28"/>
  <c r="X19" i="27"/>
  <c r="X74" i="27"/>
  <c r="W20" i="29"/>
  <c r="BK49" i="19"/>
  <c r="V49" i="27"/>
  <c r="BK75" i="19"/>
  <c r="V75" i="27"/>
  <c r="BK86" i="19"/>
  <c r="V86" i="27"/>
  <c r="BK76" i="19"/>
  <c r="V76" i="27"/>
  <c r="BK16" i="19"/>
  <c r="V16" i="27"/>
  <c r="BK17" i="19"/>
  <c r="V17" i="27"/>
  <c r="BK39" i="19"/>
  <c r="V39" i="27"/>
  <c r="BK27" i="19"/>
  <c r="V27" i="27"/>
  <c r="V66" i="27"/>
  <c r="BK72" i="19"/>
  <c r="BK12" i="19"/>
  <c r="V12" i="27"/>
  <c r="F11" i="21"/>
  <c r="G11" i="21" s="1"/>
  <c r="F11" i="18"/>
  <c r="K11" i="18" s="1"/>
  <c r="S11" i="19"/>
  <c r="H4" i="18"/>
  <c r="AA4" i="19"/>
  <c r="H6" i="18"/>
  <c r="AA6" i="19"/>
  <c r="H9" i="18"/>
  <c r="J9" i="18" s="1"/>
  <c r="AA9" i="19"/>
  <c r="J11" i="18"/>
  <c r="S2" i="19"/>
  <c r="F2" i="18"/>
  <c r="K8" i="18"/>
  <c r="J8" i="18"/>
  <c r="K5" i="18"/>
  <c r="J5" i="18"/>
  <c r="K4" i="18"/>
  <c r="J4" i="18"/>
  <c r="K3" i="18"/>
  <c r="J3" i="18"/>
  <c r="K10" i="18"/>
  <c r="J10" i="18"/>
  <c r="K7" i="18"/>
  <c r="J7" i="18"/>
  <c r="J6" i="18"/>
  <c r="K6" i="18"/>
  <c r="F7" i="21"/>
  <c r="S7" i="19"/>
  <c r="S6" i="19"/>
  <c r="F6" i="21"/>
  <c r="S4" i="19"/>
  <c r="F4" i="21"/>
  <c r="F8" i="21"/>
  <c r="S8" i="19"/>
  <c r="F3" i="21"/>
  <c r="S3" i="19"/>
  <c r="F5" i="21"/>
  <c r="S5" i="19"/>
  <c r="S10" i="19"/>
  <c r="F10" i="21"/>
  <c r="C4" i="19"/>
  <c r="C6" i="19"/>
  <c r="C7" i="19"/>
  <c r="C8" i="19"/>
  <c r="C9" i="19"/>
  <c r="C10" i="19"/>
  <c r="C11" i="19"/>
  <c r="BM72" i="19" l="1"/>
  <c r="Y72" i="27" s="1"/>
  <c r="BN72" i="19"/>
  <c r="W72" i="27" s="1"/>
  <c r="V72" i="27"/>
  <c r="W41" i="31"/>
  <c r="V32" i="27"/>
  <c r="P43" i="10"/>
  <c r="W44" i="31"/>
  <c r="X37" i="27"/>
  <c r="W60" i="34"/>
  <c r="W38" i="34"/>
  <c r="V81" i="27"/>
  <c r="BK77" i="19"/>
  <c r="W78" i="33" s="1"/>
  <c r="BM13" i="19"/>
  <c r="Y13" i="27" s="1"/>
  <c r="BL34" i="19"/>
  <c r="BL81" i="19"/>
  <c r="N77" i="10"/>
  <c r="O77" i="10" s="1"/>
  <c r="V13" i="27"/>
  <c r="V77" i="27"/>
  <c r="N34" i="10"/>
  <c r="O34" i="10" s="1"/>
  <c r="N81" i="10"/>
  <c r="O81" i="10" s="1"/>
  <c r="N79" i="10"/>
  <c r="O79" i="10" s="1"/>
  <c r="BL79" i="19"/>
  <c r="BK80" i="19"/>
  <c r="W81" i="31" s="1"/>
  <c r="V34" i="27"/>
  <c r="BL62" i="19"/>
  <c r="BN34" i="19"/>
  <c r="W34" i="27" s="1"/>
  <c r="N25" i="10"/>
  <c r="O25" i="10" s="1"/>
  <c r="BL25" i="19"/>
  <c r="BK25" i="19"/>
  <c r="W26" i="32" s="1"/>
  <c r="BK34" i="19"/>
  <c r="BK58" i="19"/>
  <c r="W59" i="31" s="1"/>
  <c r="BN58" i="19"/>
  <c r="W58" i="27" s="1"/>
  <c r="V25" i="27"/>
  <c r="BN25" i="19"/>
  <c r="W25" i="27" s="1"/>
  <c r="BK81" i="19"/>
  <c r="W82" i="32" s="1"/>
  <c r="BK13" i="19"/>
  <c r="W14" i="33" s="1"/>
  <c r="V36" i="27"/>
  <c r="BM36" i="19"/>
  <c r="Y36" i="27" s="1"/>
  <c r="BM81" i="19"/>
  <c r="Y81" i="27" s="1"/>
  <c r="BL77" i="19"/>
  <c r="BK36" i="19"/>
  <c r="W37" i="33" s="1"/>
  <c r="BN36" i="19"/>
  <c r="W36" i="27" s="1"/>
  <c r="V79" i="27"/>
  <c r="BM79" i="19"/>
  <c r="Y79" i="27" s="1"/>
  <c r="BK79" i="19"/>
  <c r="W80" i="34" s="1"/>
  <c r="V14" i="27"/>
  <c r="BN60" i="19"/>
  <c r="W14" i="27" s="1"/>
  <c r="N60" i="10"/>
  <c r="O60" i="10" s="1"/>
  <c r="BL60" i="19"/>
  <c r="W47" i="34"/>
  <c r="W47" i="31"/>
  <c r="P46" i="10"/>
  <c r="AZ46" i="19"/>
  <c r="L46" i="10" s="1"/>
  <c r="X59" i="27"/>
  <c r="W47" i="28"/>
  <c r="W60" i="29"/>
  <c r="W60" i="32"/>
  <c r="W38" i="32"/>
  <c r="W47" i="32"/>
  <c r="W47" i="29"/>
  <c r="X46" i="27"/>
  <c r="W60" i="28"/>
  <c r="W60" i="33"/>
  <c r="W38" i="33"/>
  <c r="W47" i="33"/>
  <c r="W38" i="29"/>
  <c r="W38" i="28"/>
  <c r="P59" i="10"/>
  <c r="P37" i="10"/>
  <c r="BN46" i="19"/>
  <c r="W46" i="27" s="1"/>
  <c r="BL46" i="19"/>
  <c r="N46" i="10"/>
  <c r="O46" i="10" s="1"/>
  <c r="V46" i="27"/>
  <c r="BM46" i="19"/>
  <c r="Y46" i="27" s="1"/>
  <c r="V58" i="27"/>
  <c r="BM58" i="19"/>
  <c r="Y58" i="27" s="1"/>
  <c r="BK41" i="19"/>
  <c r="W42" i="32" s="1"/>
  <c r="BL41" i="19"/>
  <c r="W70" i="31"/>
  <c r="W70" i="29"/>
  <c r="W70" i="32"/>
  <c r="P69" i="10"/>
  <c r="W79" i="33"/>
  <c r="X78" i="27"/>
  <c r="W79" i="28"/>
  <c r="W79" i="32"/>
  <c r="W70" i="34"/>
  <c r="W79" i="34"/>
  <c r="W70" i="28"/>
  <c r="X69" i="27"/>
  <c r="W79" i="29"/>
  <c r="P78" i="10"/>
  <c r="AZ15" i="19"/>
  <c r="L15" i="10" s="1"/>
  <c r="V30" i="27"/>
  <c r="BN30" i="19"/>
  <c r="W30" i="27" s="1"/>
  <c r="BA15" i="19"/>
  <c r="BL30" i="19"/>
  <c r="BK30" i="19"/>
  <c r="W31" i="34" s="1"/>
  <c r="BL48" i="19"/>
  <c r="AZ24" i="19"/>
  <c r="L24" i="10" s="1"/>
  <c r="W41" i="28"/>
  <c r="P40" i="10"/>
  <c r="W41" i="33"/>
  <c r="X40" i="27"/>
  <c r="W41" i="32"/>
  <c r="W41" i="29"/>
  <c r="BN35" i="19"/>
  <c r="W35" i="27" s="1"/>
  <c r="V29" i="27"/>
  <c r="BL29" i="19"/>
  <c r="AZ28" i="19"/>
  <c r="L28" i="10" s="1"/>
  <c r="BA28" i="19"/>
  <c r="BL28" i="19" s="1"/>
  <c r="BA24" i="19"/>
  <c r="V2" i="27" s="1"/>
  <c r="BG14" i="35"/>
  <c r="BN13" i="19"/>
  <c r="W13" i="27" s="1"/>
  <c r="N13" i="10"/>
  <c r="O13" i="10" s="1"/>
  <c r="V83" i="27"/>
  <c r="BM65" i="19"/>
  <c r="Y65" i="27" s="1"/>
  <c r="V62" i="27"/>
  <c r="BN62" i="19"/>
  <c r="W62" i="27" s="1"/>
  <c r="BK62" i="19"/>
  <c r="W63" i="34" s="1"/>
  <c r="BM62" i="19"/>
  <c r="Y62" i="27" s="1"/>
  <c r="V48" i="27"/>
  <c r="BN48" i="19"/>
  <c r="W48" i="27" s="1"/>
  <c r="BK48" i="19"/>
  <c r="W49" i="31" s="1"/>
  <c r="N48" i="10"/>
  <c r="O48" i="10" s="1"/>
  <c r="V35" i="27"/>
  <c r="BM35" i="19"/>
  <c r="Y35" i="27" s="1"/>
  <c r="BK35" i="19"/>
  <c r="W36" i="33" s="1"/>
  <c r="N35" i="10"/>
  <c r="O35" i="10" s="1"/>
  <c r="X44" i="27"/>
  <c r="W55" i="28"/>
  <c r="W55" i="32"/>
  <c r="W55" i="31"/>
  <c r="X54" i="27"/>
  <c r="P54" i="10"/>
  <c r="V65" i="27"/>
  <c r="BN65" i="19"/>
  <c r="W65" i="27" s="1"/>
  <c r="BK65" i="19"/>
  <c r="W66" i="32" s="1"/>
  <c r="N65" i="10"/>
  <c r="O65" i="10" s="1"/>
  <c r="W55" i="29"/>
  <c r="W55" i="33"/>
  <c r="W45" i="33"/>
  <c r="W45" i="29"/>
  <c r="W45" i="31"/>
  <c r="W45" i="28"/>
  <c r="P44" i="10"/>
  <c r="W45" i="32"/>
  <c r="BL32" i="19"/>
  <c r="BN32" i="19"/>
  <c r="W32" i="27" s="1"/>
  <c r="BK29" i="19"/>
  <c r="W30" i="31" s="1"/>
  <c r="BM29" i="19"/>
  <c r="Y29" i="27" s="1"/>
  <c r="BN29" i="19"/>
  <c r="W29" i="27" s="1"/>
  <c r="BL26" i="19"/>
  <c r="BM26" i="19"/>
  <c r="Y26" i="27" s="1"/>
  <c r="BK26" i="19"/>
  <c r="W27" i="31" s="1"/>
  <c r="BM41" i="19"/>
  <c r="Y41" i="27" s="1"/>
  <c r="BN41" i="19"/>
  <c r="W41" i="27" s="1"/>
  <c r="V41" i="27"/>
  <c r="X18" i="27"/>
  <c r="W19" i="33"/>
  <c r="W19" i="32"/>
  <c r="W19" i="28"/>
  <c r="W19" i="29"/>
  <c r="W19" i="34"/>
  <c r="BL23" i="19"/>
  <c r="BN23" i="19"/>
  <c r="W23" i="27" s="1"/>
  <c r="V23" i="27"/>
  <c r="P18" i="10"/>
  <c r="P57" i="10"/>
  <c r="W58" i="29"/>
  <c r="W58" i="28"/>
  <c r="X47" i="27"/>
  <c r="W58" i="34"/>
  <c r="P47" i="10"/>
  <c r="W58" i="31"/>
  <c r="W48" i="34"/>
  <c r="X57" i="27"/>
  <c r="W58" i="32"/>
  <c r="W48" i="31"/>
  <c r="W48" i="28"/>
  <c r="W48" i="29"/>
  <c r="V80" i="27"/>
  <c r="BK83" i="19"/>
  <c r="W84" i="31" s="1"/>
  <c r="W48" i="33"/>
  <c r="BN26" i="19"/>
  <c r="W26" i="27" s="1"/>
  <c r="BM23" i="19"/>
  <c r="Y23" i="27" s="1"/>
  <c r="BM32" i="19"/>
  <c r="Y32" i="27" s="1"/>
  <c r="BK23" i="19"/>
  <c r="W24" i="32" s="1"/>
  <c r="BK32" i="19"/>
  <c r="W33" i="33" s="1"/>
  <c r="V26" i="27"/>
  <c r="BL80" i="19"/>
  <c r="W23" i="33"/>
  <c r="P22" i="10"/>
  <c r="W23" i="31"/>
  <c r="X22" i="27"/>
  <c r="W23" i="29"/>
  <c r="W23" i="32"/>
  <c r="W23" i="28"/>
  <c r="N80" i="10"/>
  <c r="O80" i="10" s="1"/>
  <c r="W71" i="32"/>
  <c r="W71" i="29"/>
  <c r="W71" i="31"/>
  <c r="P70" i="10"/>
  <c r="W71" i="33"/>
  <c r="W71" i="28"/>
  <c r="W71" i="34"/>
  <c r="X70" i="27"/>
  <c r="BL66" i="19"/>
  <c r="W26" i="33"/>
  <c r="W26" i="28"/>
  <c r="W26" i="34"/>
  <c r="P25" i="10"/>
  <c r="W26" i="29"/>
  <c r="X25" i="27"/>
  <c r="W26" i="31"/>
  <c r="BM80" i="19"/>
  <c r="Y80" i="27" s="1"/>
  <c r="W56" i="32"/>
  <c r="W56" i="33"/>
  <c r="W56" i="28"/>
  <c r="W56" i="29"/>
  <c r="W56" i="34"/>
  <c r="X55" i="27"/>
  <c r="P55" i="10"/>
  <c r="W86" i="28"/>
  <c r="X85" i="27"/>
  <c r="W86" i="29"/>
  <c r="W86" i="32"/>
  <c r="W86" i="33"/>
  <c r="W86" i="34"/>
  <c r="P85" i="10"/>
  <c r="BL67" i="19"/>
  <c r="BN67" i="19"/>
  <c r="W42" i="27" s="1"/>
  <c r="V42" i="27"/>
  <c r="X73" i="27"/>
  <c r="W74" i="28"/>
  <c r="W74" i="34"/>
  <c r="W74" i="31"/>
  <c r="W74" i="29"/>
  <c r="W74" i="33"/>
  <c r="P73" i="10"/>
  <c r="V28" i="27"/>
  <c r="BN66" i="19"/>
  <c r="W28" i="27" s="1"/>
  <c r="BM66" i="19"/>
  <c r="Y28" i="27" s="1"/>
  <c r="W51" i="34"/>
  <c r="W51" i="28"/>
  <c r="W51" i="29"/>
  <c r="X50" i="27"/>
  <c r="W51" i="33"/>
  <c r="W51" i="32"/>
  <c r="P50" i="10"/>
  <c r="W65" i="29"/>
  <c r="X64" i="27"/>
  <c r="W65" i="28"/>
  <c r="W65" i="33"/>
  <c r="W65" i="32"/>
  <c r="W65" i="34"/>
  <c r="P64" i="10"/>
  <c r="P20" i="10"/>
  <c r="W21" i="28"/>
  <c r="X20" i="27"/>
  <c r="W21" i="32"/>
  <c r="W21" i="31"/>
  <c r="W21" i="33"/>
  <c r="W21" i="29"/>
  <c r="BN83" i="19"/>
  <c r="W83" i="27" s="1"/>
  <c r="N83" i="10"/>
  <c r="O83" i="10" s="1"/>
  <c r="W34" i="31"/>
  <c r="BM67" i="19"/>
  <c r="Y42" i="27" s="1"/>
  <c r="W34" i="28"/>
  <c r="P33" i="10"/>
  <c r="W34" i="29"/>
  <c r="W34" i="32"/>
  <c r="X33" i="27"/>
  <c r="W34" i="34"/>
  <c r="W85" i="34"/>
  <c r="W85" i="32"/>
  <c r="X84" i="27"/>
  <c r="W85" i="29"/>
  <c r="W85" i="28"/>
  <c r="W85" i="33"/>
  <c r="P84" i="10"/>
  <c r="W53" i="31"/>
  <c r="BL83" i="19"/>
  <c r="W53" i="29"/>
  <c r="P52" i="10"/>
  <c r="P45" i="10"/>
  <c r="X52" i="27"/>
  <c r="W53" i="32"/>
  <c r="W53" i="28"/>
  <c r="W53" i="33"/>
  <c r="W46" i="28"/>
  <c r="W46" i="34"/>
  <c r="W46" i="29"/>
  <c r="W46" i="31"/>
  <c r="X45" i="27"/>
  <c r="W46" i="32"/>
  <c r="X51" i="27"/>
  <c r="W62" i="29"/>
  <c r="W52" i="32"/>
  <c r="X61" i="27"/>
  <c r="W62" i="28"/>
  <c r="W64" i="31"/>
  <c r="W52" i="33"/>
  <c r="W52" i="28"/>
  <c r="W52" i="29"/>
  <c r="P61" i="10"/>
  <c r="W52" i="34"/>
  <c r="P51" i="10"/>
  <c r="W64" i="29"/>
  <c r="X63" i="27"/>
  <c r="P63" i="10"/>
  <c r="W64" i="32"/>
  <c r="W64" i="28"/>
  <c r="W64" i="33"/>
  <c r="W62" i="32"/>
  <c r="W62" i="31"/>
  <c r="W62" i="33"/>
  <c r="H11" i="21"/>
  <c r="AF11" i="35"/>
  <c r="N38" i="10"/>
  <c r="O38" i="10" s="1"/>
  <c r="BM38" i="19"/>
  <c r="Y38" i="27" s="1"/>
  <c r="BL38" i="19"/>
  <c r="BN38" i="19"/>
  <c r="W38" i="27" s="1"/>
  <c r="BK38" i="19"/>
  <c r="V38" i="27"/>
  <c r="W54" i="34"/>
  <c r="W54" i="31"/>
  <c r="X53" i="27"/>
  <c r="W54" i="29"/>
  <c r="W54" i="32"/>
  <c r="W54" i="28"/>
  <c r="P53" i="10"/>
  <c r="W35" i="31"/>
  <c r="W35" i="34"/>
  <c r="W35" i="32"/>
  <c r="W35" i="33"/>
  <c r="P34" i="10"/>
  <c r="W81" i="33"/>
  <c r="W18" i="31"/>
  <c r="W18" i="33"/>
  <c r="W18" i="34"/>
  <c r="W18" i="32"/>
  <c r="P17" i="10"/>
  <c r="W17" i="31"/>
  <c r="W17" i="34"/>
  <c r="W17" i="33"/>
  <c r="W17" i="32"/>
  <c r="P16" i="10"/>
  <c r="W50" i="31"/>
  <c r="W50" i="32"/>
  <c r="W50" i="34"/>
  <c r="W50" i="33"/>
  <c r="P49" i="10"/>
  <c r="W13" i="34"/>
  <c r="W13" i="33"/>
  <c r="W13" i="32"/>
  <c r="P12" i="10"/>
  <c r="AZ14" i="19"/>
  <c r="L14" i="10" s="1"/>
  <c r="K14" i="10"/>
  <c r="W73" i="31"/>
  <c r="W73" i="34"/>
  <c r="W73" i="32"/>
  <c r="W73" i="33"/>
  <c r="P72" i="10"/>
  <c r="W40" i="31"/>
  <c r="W40" i="34"/>
  <c r="W40" i="33"/>
  <c r="W40" i="32"/>
  <c r="P39" i="10"/>
  <c r="W28" i="32"/>
  <c r="W28" i="34"/>
  <c r="W28" i="33"/>
  <c r="P27" i="10"/>
  <c r="W77" i="31"/>
  <c r="W77" i="34"/>
  <c r="W77" i="32"/>
  <c r="W77" i="33"/>
  <c r="P76" i="10"/>
  <c r="W87" i="31"/>
  <c r="W87" i="33"/>
  <c r="W87" i="34"/>
  <c r="W87" i="32"/>
  <c r="P86" i="10"/>
  <c r="W76" i="31"/>
  <c r="W76" i="34"/>
  <c r="W76" i="32"/>
  <c r="W76" i="33"/>
  <c r="P75" i="10"/>
  <c r="W37" i="32"/>
  <c r="W37" i="34"/>
  <c r="W50" i="29"/>
  <c r="W76" i="29"/>
  <c r="W76" i="28"/>
  <c r="W87" i="28"/>
  <c r="W77" i="28"/>
  <c r="X49" i="27"/>
  <c r="W50" i="28"/>
  <c r="X72" i="27"/>
  <c r="W73" i="28"/>
  <c r="X76" i="27"/>
  <c r="W17" i="28"/>
  <c r="W18" i="29"/>
  <c r="W77" i="29"/>
  <c r="X86" i="27"/>
  <c r="W35" i="29"/>
  <c r="W40" i="29"/>
  <c r="W73" i="29"/>
  <c r="W40" i="28"/>
  <c r="W17" i="29"/>
  <c r="W35" i="28"/>
  <c r="W18" i="28"/>
  <c r="X75" i="27"/>
  <c r="X36" i="27"/>
  <c r="X34" i="27"/>
  <c r="X39" i="27"/>
  <c r="X17" i="27"/>
  <c r="X16" i="27"/>
  <c r="W87" i="29"/>
  <c r="W28" i="31"/>
  <c r="W28" i="29"/>
  <c r="X27" i="27"/>
  <c r="W28" i="28"/>
  <c r="W13" i="31"/>
  <c r="W13" i="29"/>
  <c r="W13" i="28"/>
  <c r="X12" i="27"/>
  <c r="BA14" i="19"/>
  <c r="K9" i="18"/>
  <c r="B3" i="19"/>
  <c r="B4" i="19"/>
  <c r="B5" i="19"/>
  <c r="B6" i="19"/>
  <c r="B7" i="19"/>
  <c r="B8" i="19"/>
  <c r="B9" i="19"/>
  <c r="B10" i="19"/>
  <c r="B11" i="19"/>
  <c r="B2" i="19"/>
  <c r="C3" i="19"/>
  <c r="C2" i="19"/>
  <c r="A7" i="19"/>
  <c r="A8" i="19"/>
  <c r="A9" i="19"/>
  <c r="A10" i="19"/>
  <c r="A11" i="19"/>
  <c r="A3" i="19"/>
  <c r="A4" i="19"/>
  <c r="A5" i="19"/>
  <c r="A6" i="19"/>
  <c r="A2" i="19"/>
  <c r="P77" i="10" l="1"/>
  <c r="W78" i="29"/>
  <c r="W78" i="31"/>
  <c r="W14" i="34"/>
  <c r="W78" i="32"/>
  <c r="P13" i="10"/>
  <c r="X77" i="27"/>
  <c r="W14" i="31"/>
  <c r="W14" i="28"/>
  <c r="W78" i="28"/>
  <c r="W78" i="34"/>
  <c r="W14" i="32"/>
  <c r="W80" i="29"/>
  <c r="W14" i="29"/>
  <c r="X13" i="27"/>
  <c r="W80" i="31"/>
  <c r="X79" i="27"/>
  <c r="W81" i="29"/>
  <c r="W59" i="33"/>
  <c r="W81" i="32"/>
  <c r="W81" i="28"/>
  <c r="W81" i="34"/>
  <c r="X80" i="27"/>
  <c r="W82" i="33"/>
  <c r="P80" i="10"/>
  <c r="W59" i="28"/>
  <c r="W82" i="34"/>
  <c r="W59" i="34"/>
  <c r="W59" i="29"/>
  <c r="W82" i="29"/>
  <c r="X81" i="27"/>
  <c r="P81" i="10"/>
  <c r="W82" i="31"/>
  <c r="W59" i="32"/>
  <c r="X58" i="27"/>
  <c r="W82" i="28"/>
  <c r="P58" i="10"/>
  <c r="W37" i="29"/>
  <c r="P36" i="10"/>
  <c r="W37" i="31"/>
  <c r="P79" i="10"/>
  <c r="W80" i="28"/>
  <c r="W37" i="28"/>
  <c r="W80" i="33"/>
  <c r="W80" i="32"/>
  <c r="BL24" i="19"/>
  <c r="BM24" i="19"/>
  <c r="Y2" i="27" s="1"/>
  <c r="BN24" i="19"/>
  <c r="W2" i="27" s="1"/>
  <c r="N24" i="10"/>
  <c r="O24" i="10" s="1"/>
  <c r="W42" i="34"/>
  <c r="W42" i="28"/>
  <c r="X41" i="27"/>
  <c r="W31" i="31"/>
  <c r="W42" i="33"/>
  <c r="P30" i="10"/>
  <c r="P41" i="10"/>
  <c r="W42" i="31"/>
  <c r="W31" i="28"/>
  <c r="W42" i="29"/>
  <c r="X30" i="27"/>
  <c r="W31" i="29"/>
  <c r="W31" i="32"/>
  <c r="W31" i="33"/>
  <c r="N15" i="10"/>
  <c r="O15" i="10" s="1"/>
  <c r="V60" i="27"/>
  <c r="BM15" i="19"/>
  <c r="Y60" i="27" s="1"/>
  <c r="BN15" i="19"/>
  <c r="W60" i="27" s="1"/>
  <c r="BL15" i="19"/>
  <c r="N28" i="10"/>
  <c r="O28" i="10" s="1"/>
  <c r="BN28" i="19"/>
  <c r="W68" i="27" s="1"/>
  <c r="V68" i="27"/>
  <c r="BM28" i="19"/>
  <c r="Y68" i="27" s="1"/>
  <c r="W63" i="32"/>
  <c r="W63" i="28"/>
  <c r="X62" i="27"/>
  <c r="W63" i="33"/>
  <c r="W63" i="29"/>
  <c r="P62" i="10"/>
  <c r="W63" i="31"/>
  <c r="W66" i="31"/>
  <c r="X48" i="27"/>
  <c r="W49" i="32"/>
  <c r="W49" i="29"/>
  <c r="W49" i="33"/>
  <c r="W49" i="28"/>
  <c r="W49" i="34"/>
  <c r="P48" i="10"/>
  <c r="W36" i="31"/>
  <c r="P35" i="10"/>
  <c r="X35" i="27"/>
  <c r="W36" i="34"/>
  <c r="W36" i="28"/>
  <c r="W36" i="32"/>
  <c r="W36" i="29"/>
  <c r="X65" i="27"/>
  <c r="W66" i="33"/>
  <c r="W30" i="33"/>
  <c r="P65" i="10"/>
  <c r="W66" i="29"/>
  <c r="W66" i="28"/>
  <c r="W66" i="34"/>
  <c r="W30" i="34"/>
  <c r="W30" i="29"/>
  <c r="X29" i="27"/>
  <c r="W30" i="32"/>
  <c r="W27" i="32"/>
  <c r="W27" i="33"/>
  <c r="X26" i="27"/>
  <c r="W30" i="28"/>
  <c r="W27" i="28"/>
  <c r="P29" i="10"/>
  <c r="W27" i="29"/>
  <c r="W27" i="34"/>
  <c r="P26" i="10"/>
  <c r="X32" i="27"/>
  <c r="W24" i="31"/>
  <c r="W33" i="28"/>
  <c r="W33" i="34"/>
  <c r="P23" i="10"/>
  <c r="W24" i="34"/>
  <c r="W24" i="28"/>
  <c r="W24" i="29"/>
  <c r="W24" i="33"/>
  <c r="X23" i="27"/>
  <c r="W33" i="32"/>
  <c r="W84" i="32"/>
  <c r="W84" i="29"/>
  <c r="W84" i="34"/>
  <c r="X83" i="27"/>
  <c r="W84" i="33"/>
  <c r="W84" i="28"/>
  <c r="P83" i="10"/>
  <c r="W33" i="29"/>
  <c r="P32" i="10"/>
  <c r="W33" i="31"/>
  <c r="AM11" i="35"/>
  <c r="BA11" i="35" s="1"/>
  <c r="G12" i="34"/>
  <c r="N12" i="34" s="1"/>
  <c r="G12" i="33"/>
  <c r="N12" i="33" s="1"/>
  <c r="G12" i="32"/>
  <c r="N12" i="32" s="1"/>
  <c r="G12" i="31"/>
  <c r="N12" i="31" s="1"/>
  <c r="G12" i="28"/>
  <c r="N12" i="28" s="1"/>
  <c r="G12" i="29"/>
  <c r="N12" i="29" s="1"/>
  <c r="G11" i="27"/>
  <c r="N11" i="27" s="1"/>
  <c r="W39" i="31"/>
  <c r="P38" i="10"/>
  <c r="W39" i="32"/>
  <c r="W39" i="33"/>
  <c r="X38" i="27"/>
  <c r="W39" i="29"/>
  <c r="W39" i="34"/>
  <c r="W39" i="28"/>
  <c r="BM14" i="19"/>
  <c r="Y67" i="27" s="1"/>
  <c r="BN14" i="19"/>
  <c r="W67" i="27" s="1"/>
  <c r="BL14" i="19"/>
  <c r="N14" i="10"/>
  <c r="O14" i="10" s="1"/>
  <c r="V67" i="27"/>
  <c r="B3" i="25"/>
  <c r="C3" i="25" s="1"/>
  <c r="B4" i="25"/>
  <c r="C4" i="25" s="1"/>
  <c r="B5" i="25"/>
  <c r="C5" i="25" s="1"/>
  <c r="B6" i="25"/>
  <c r="C6" i="25" s="1"/>
  <c r="B7" i="25"/>
  <c r="C7" i="25" s="1"/>
  <c r="B8" i="25"/>
  <c r="C8" i="25" s="1"/>
  <c r="B9" i="25"/>
  <c r="C9" i="25" s="1"/>
  <c r="B10" i="25"/>
  <c r="C10" i="25" s="1"/>
  <c r="B11" i="25"/>
  <c r="C11" i="25" s="1"/>
  <c r="B2" i="25"/>
  <c r="D6" i="25" l="1"/>
  <c r="E6" i="25"/>
  <c r="F6" i="25"/>
  <c r="Z6" i="35" s="1"/>
  <c r="AW6" i="35" s="1"/>
  <c r="E9" i="25"/>
  <c r="F9" i="25"/>
  <c r="D9" i="25"/>
  <c r="E5" i="25"/>
  <c r="F5" i="25"/>
  <c r="D5" i="25"/>
  <c r="F10" i="25"/>
  <c r="E10" i="25"/>
  <c r="D10" i="25"/>
  <c r="F2" i="25"/>
  <c r="D2" i="25"/>
  <c r="E2" i="25"/>
  <c r="C2" i="25"/>
  <c r="E8" i="25"/>
  <c r="F8" i="25"/>
  <c r="D8" i="25"/>
  <c r="F4" i="25"/>
  <c r="D4" i="25"/>
  <c r="E4" i="25"/>
  <c r="F11" i="25"/>
  <c r="D11" i="25"/>
  <c r="E11" i="25"/>
  <c r="F7" i="25"/>
  <c r="D7" i="25"/>
  <c r="E7" i="25"/>
  <c r="F3" i="25"/>
  <c r="D3" i="25"/>
  <c r="E3" i="25"/>
  <c r="H6" i="24"/>
  <c r="G5" i="24"/>
  <c r="G9" i="24"/>
  <c r="G11" i="24"/>
  <c r="G10" i="23"/>
  <c r="G7" i="23"/>
  <c r="G6" i="21"/>
  <c r="AL5" i="19"/>
  <c r="AL9" i="19"/>
  <c r="G8" i="21"/>
  <c r="G4" i="21"/>
  <c r="AK4" i="19" s="1"/>
  <c r="G5" i="21"/>
  <c r="G7" i="21"/>
  <c r="G6" i="24"/>
  <c r="G8" i="24"/>
  <c r="G7" i="24"/>
  <c r="H8" i="24"/>
  <c r="G6" i="23"/>
  <c r="G4" i="23"/>
  <c r="H7" i="23"/>
  <c r="H8" i="23"/>
  <c r="G8" i="23"/>
  <c r="AL11" i="19"/>
  <c r="AE4" i="19" l="1"/>
  <c r="BB4" i="19" s="1"/>
  <c r="Z4" i="35"/>
  <c r="AW4" i="35" s="1"/>
  <c r="AD3" i="19"/>
  <c r="Y3" i="35"/>
  <c r="AC3" i="19"/>
  <c r="X3" i="35"/>
  <c r="AD4" i="19"/>
  <c r="Y4" i="35"/>
  <c r="AE3" i="19"/>
  <c r="BB3" i="19" s="1"/>
  <c r="Z3" i="35"/>
  <c r="AW3" i="35" s="1"/>
  <c r="AC4" i="19"/>
  <c r="X4" i="35"/>
  <c r="AH4" i="35"/>
  <c r="AM4" i="19"/>
  <c r="AI7" i="35"/>
  <c r="AN7" i="19"/>
  <c r="AI11" i="35"/>
  <c r="AN11" i="19"/>
  <c r="AI6" i="35"/>
  <c r="AN6" i="19"/>
  <c r="AI9" i="35"/>
  <c r="AN9" i="19"/>
  <c r="AU6" i="19"/>
  <c r="AP6" i="35"/>
  <c r="J7" i="33"/>
  <c r="J7" i="34"/>
  <c r="J7" i="32"/>
  <c r="J7" i="31"/>
  <c r="J7" i="29"/>
  <c r="J6" i="27"/>
  <c r="J7" i="28"/>
  <c r="AU8" i="19"/>
  <c r="AP8" i="35"/>
  <c r="J9" i="34"/>
  <c r="J9" i="32"/>
  <c r="J9" i="33"/>
  <c r="J9" i="31"/>
  <c r="J9" i="28"/>
  <c r="J9" i="29"/>
  <c r="J8" i="27"/>
  <c r="AI8" i="35"/>
  <c r="AN8" i="19"/>
  <c r="AI5" i="35"/>
  <c r="AN5" i="19"/>
  <c r="AE11" i="19"/>
  <c r="BB11" i="19" s="1"/>
  <c r="Z11" i="35"/>
  <c r="AW11" i="35" s="1"/>
  <c r="AC8" i="19"/>
  <c r="X8" i="35"/>
  <c r="AD5" i="19"/>
  <c r="Y5" i="35"/>
  <c r="AE8" i="19"/>
  <c r="BB8" i="19" s="1"/>
  <c r="Z8" i="35"/>
  <c r="AW8" i="35" s="1"/>
  <c r="AT8" i="19"/>
  <c r="AO8" i="35"/>
  <c r="BC8" i="35" s="1"/>
  <c r="I9" i="34"/>
  <c r="P9" i="34" s="1"/>
  <c r="I9" i="32"/>
  <c r="P9" i="32" s="1"/>
  <c r="I9" i="33"/>
  <c r="P9" i="33" s="1"/>
  <c r="I9" i="31"/>
  <c r="P9" i="31" s="1"/>
  <c r="I9" i="29"/>
  <c r="P9" i="29" s="1"/>
  <c r="I8" i="27"/>
  <c r="P8" i="27" s="1"/>
  <c r="I9" i="28"/>
  <c r="P9" i="28" s="1"/>
  <c r="AH10" i="35"/>
  <c r="AM10" i="19"/>
  <c r="AD7" i="19"/>
  <c r="Y7" i="35"/>
  <c r="AC11" i="19"/>
  <c r="X11" i="35"/>
  <c r="AC10" i="19"/>
  <c r="X10" i="35"/>
  <c r="AE5" i="19"/>
  <c r="BB5" i="19" s="1"/>
  <c r="Z5" i="35"/>
  <c r="AW5" i="35" s="1"/>
  <c r="AD9" i="19"/>
  <c r="Y9" i="35"/>
  <c r="AD10" i="19"/>
  <c r="Y10" i="35"/>
  <c r="AC7" i="19"/>
  <c r="X7" i="35"/>
  <c r="AT7" i="19"/>
  <c r="AO7" i="35"/>
  <c r="BC7" i="35" s="1"/>
  <c r="I8" i="34"/>
  <c r="P8" i="34" s="1"/>
  <c r="I8" i="33"/>
  <c r="P8" i="33" s="1"/>
  <c r="I8" i="32"/>
  <c r="P8" i="32" s="1"/>
  <c r="I8" i="31"/>
  <c r="P8" i="31" s="1"/>
  <c r="I8" i="29"/>
  <c r="P8" i="29" s="1"/>
  <c r="I7" i="27"/>
  <c r="P7" i="27" s="1"/>
  <c r="I8" i="28"/>
  <c r="P8" i="28" s="1"/>
  <c r="AH7" i="35"/>
  <c r="AM7" i="19"/>
  <c r="AE7" i="19"/>
  <c r="BB7" i="19" s="1"/>
  <c r="Z7" i="35"/>
  <c r="AW7" i="35" s="1"/>
  <c r="AE10" i="19"/>
  <c r="BB10" i="19" s="1"/>
  <c r="Z10" i="35"/>
  <c r="AW10" i="35" s="1"/>
  <c r="AC9" i="19"/>
  <c r="X9" i="35"/>
  <c r="AD6" i="19"/>
  <c r="Y6" i="35"/>
  <c r="AH8" i="35"/>
  <c r="AM8" i="19"/>
  <c r="AH6" i="35"/>
  <c r="AM6" i="19"/>
  <c r="AD11" i="19"/>
  <c r="Y11" i="35"/>
  <c r="AD8" i="19"/>
  <c r="Y8" i="35"/>
  <c r="AC5" i="19"/>
  <c r="X5" i="35"/>
  <c r="AE9" i="19"/>
  <c r="BB9" i="19" s="1"/>
  <c r="Z9" i="35"/>
  <c r="AW9" i="35" s="1"/>
  <c r="AC6" i="19"/>
  <c r="X6" i="35"/>
  <c r="AK7" i="19"/>
  <c r="AF7" i="35"/>
  <c r="AK6" i="19"/>
  <c r="AF6" i="35"/>
  <c r="AK8" i="19"/>
  <c r="AF8" i="35"/>
  <c r="AK5" i="19"/>
  <c r="AF5" i="35"/>
  <c r="G6" i="25"/>
  <c r="H6" i="25" s="1"/>
  <c r="I6" i="25" s="1"/>
  <c r="AQ6" i="35" s="1"/>
  <c r="AE6" i="19"/>
  <c r="BB6" i="19" s="1"/>
  <c r="J6" i="25"/>
  <c r="AL8" i="19"/>
  <c r="H6" i="23"/>
  <c r="AL6" i="19"/>
  <c r="AL4" i="19"/>
  <c r="H8" i="21"/>
  <c r="H6" i="21"/>
  <c r="H4" i="21"/>
  <c r="H7" i="24"/>
  <c r="H11" i="24"/>
  <c r="H9" i="24"/>
  <c r="G3" i="24"/>
  <c r="H5" i="24"/>
  <c r="G10" i="24"/>
  <c r="G4" i="24"/>
  <c r="G2" i="24"/>
  <c r="G11" i="23"/>
  <c r="H4" i="23"/>
  <c r="G5" i="23"/>
  <c r="G9" i="23"/>
  <c r="H10" i="23"/>
  <c r="G3" i="23"/>
  <c r="AL7" i="19"/>
  <c r="H5" i="22"/>
  <c r="AL10" i="19"/>
  <c r="AL3" i="19"/>
  <c r="H9" i="22"/>
  <c r="G2" i="22"/>
  <c r="G2" i="21"/>
  <c r="G3" i="21"/>
  <c r="AK3" i="19" s="1"/>
  <c r="H5" i="21"/>
  <c r="G9" i="21"/>
  <c r="AK11" i="19"/>
  <c r="H7" i="21"/>
  <c r="G10" i="21"/>
  <c r="G2" i="23"/>
  <c r="AI3" i="35" l="1"/>
  <c r="AN3" i="19"/>
  <c r="AI4" i="35"/>
  <c r="AN4" i="19"/>
  <c r="AH3" i="35"/>
  <c r="AM3" i="19"/>
  <c r="AT4" i="19"/>
  <c r="AO4" i="35"/>
  <c r="BC4" i="35" s="1"/>
  <c r="I5" i="34"/>
  <c r="P5" i="34" s="1"/>
  <c r="I5" i="33"/>
  <c r="P5" i="33" s="1"/>
  <c r="I5" i="32"/>
  <c r="P5" i="32" s="1"/>
  <c r="I5" i="31"/>
  <c r="P5" i="31" s="1"/>
  <c r="I5" i="29"/>
  <c r="P5" i="29" s="1"/>
  <c r="I4" i="27"/>
  <c r="P4" i="27" s="1"/>
  <c r="I5" i="28"/>
  <c r="P5" i="28" s="1"/>
  <c r="AI2" i="35"/>
  <c r="AN2" i="19"/>
  <c r="AH2" i="35"/>
  <c r="AM2" i="19"/>
  <c r="AL2" i="19"/>
  <c r="AG2" i="35"/>
  <c r="AK2" i="19"/>
  <c r="AF2" i="35"/>
  <c r="AU11" i="19"/>
  <c r="AP11" i="35"/>
  <c r="J12" i="33"/>
  <c r="J12" i="34"/>
  <c r="J12" i="32"/>
  <c r="J12" i="31"/>
  <c r="J12" i="29"/>
  <c r="J11" i="27"/>
  <c r="J12" i="28"/>
  <c r="AU9" i="19"/>
  <c r="AP9" i="35"/>
  <c r="J10" i="33"/>
  <c r="J10" i="34"/>
  <c r="J10" i="32"/>
  <c r="J10" i="31"/>
  <c r="J10" i="29"/>
  <c r="J10" i="28"/>
  <c r="J9" i="27"/>
  <c r="AI10" i="35"/>
  <c r="AN10" i="19"/>
  <c r="AU5" i="19"/>
  <c r="AP5" i="35"/>
  <c r="J6" i="33"/>
  <c r="J6" i="34"/>
  <c r="J6" i="32"/>
  <c r="J6" i="31"/>
  <c r="J6" i="29"/>
  <c r="J6" i="28"/>
  <c r="J5" i="27"/>
  <c r="AP7" i="35"/>
  <c r="J8" i="34"/>
  <c r="J8" i="32"/>
  <c r="J8" i="33"/>
  <c r="J8" i="31"/>
  <c r="J8" i="29"/>
  <c r="J7" i="27"/>
  <c r="J8" i="28"/>
  <c r="AH5" i="35"/>
  <c r="AM5" i="19"/>
  <c r="AO6" i="35"/>
  <c r="BC6" i="35" s="1"/>
  <c r="I7" i="34"/>
  <c r="P7" i="34" s="1"/>
  <c r="I7" i="33"/>
  <c r="P7" i="33" s="1"/>
  <c r="I7" i="32"/>
  <c r="P7" i="32" s="1"/>
  <c r="I7" i="31"/>
  <c r="P7" i="31" s="1"/>
  <c r="I7" i="29"/>
  <c r="P7" i="29" s="1"/>
  <c r="I6" i="27"/>
  <c r="P6" i="27" s="1"/>
  <c r="I7" i="28"/>
  <c r="P7" i="28" s="1"/>
  <c r="AT10" i="19"/>
  <c r="AO10" i="35"/>
  <c r="BC10" i="35" s="1"/>
  <c r="I11" i="33"/>
  <c r="P11" i="33" s="1"/>
  <c r="I11" i="34"/>
  <c r="P11" i="34" s="1"/>
  <c r="I11" i="32"/>
  <c r="P11" i="32" s="1"/>
  <c r="I11" i="31"/>
  <c r="P11" i="31" s="1"/>
  <c r="I10" i="27"/>
  <c r="P10" i="27" s="1"/>
  <c r="I11" i="28"/>
  <c r="P11" i="28" s="1"/>
  <c r="I11" i="29"/>
  <c r="P11" i="29" s="1"/>
  <c r="AH11" i="35"/>
  <c r="AM11" i="19"/>
  <c r="AV6" i="19"/>
  <c r="I6" i="10" s="1"/>
  <c r="BH7" i="19"/>
  <c r="H7" i="10"/>
  <c r="AH9" i="35"/>
  <c r="AM9" i="19"/>
  <c r="AW6" i="19"/>
  <c r="J6" i="10" s="1"/>
  <c r="AR6" i="35"/>
  <c r="BH8" i="19"/>
  <c r="H8" i="10"/>
  <c r="AS9" i="19"/>
  <c r="AN9" i="35"/>
  <c r="BB9" i="35" s="1"/>
  <c r="H10" i="33"/>
  <c r="O10" i="33" s="1"/>
  <c r="H10" i="34"/>
  <c r="O10" i="34" s="1"/>
  <c r="H10" i="32"/>
  <c r="O10" i="32" s="1"/>
  <c r="H10" i="31"/>
  <c r="O10" i="31" s="1"/>
  <c r="H10" i="29"/>
  <c r="O10" i="29" s="1"/>
  <c r="H10" i="28"/>
  <c r="O10" i="28" s="1"/>
  <c r="H9" i="27"/>
  <c r="O9" i="27" s="1"/>
  <c r="AS5" i="19"/>
  <c r="AN5" i="35"/>
  <c r="BB5" i="35" s="1"/>
  <c r="H6" i="34"/>
  <c r="O6" i="34" s="1"/>
  <c r="H6" i="33"/>
  <c r="O6" i="33" s="1"/>
  <c r="H6" i="32"/>
  <c r="O6" i="32" s="1"/>
  <c r="H6" i="31"/>
  <c r="O6" i="31" s="1"/>
  <c r="H6" i="29"/>
  <c r="O6" i="29" s="1"/>
  <c r="H6" i="28"/>
  <c r="O6" i="28" s="1"/>
  <c r="H5" i="27"/>
  <c r="O5" i="27" s="1"/>
  <c r="AR5" i="19"/>
  <c r="AM5" i="35"/>
  <c r="BA5" i="35" s="1"/>
  <c r="G6" i="33"/>
  <c r="N6" i="33" s="1"/>
  <c r="G6" i="34"/>
  <c r="N6" i="34" s="1"/>
  <c r="G6" i="32"/>
  <c r="N6" i="32" s="1"/>
  <c r="G6" i="31"/>
  <c r="N6" i="31" s="1"/>
  <c r="G6" i="28"/>
  <c r="N6" i="28" s="1"/>
  <c r="G5" i="27"/>
  <c r="N5" i="27" s="1"/>
  <c r="G6" i="29"/>
  <c r="N6" i="29" s="1"/>
  <c r="AR7" i="19"/>
  <c r="AM7" i="35"/>
  <c r="BA7" i="35" s="1"/>
  <c r="G8" i="33"/>
  <c r="N8" i="33" s="1"/>
  <c r="G8" i="34"/>
  <c r="N8" i="34" s="1"/>
  <c r="G8" i="32"/>
  <c r="N8" i="32" s="1"/>
  <c r="G8" i="31"/>
  <c r="N8" i="31" s="1"/>
  <c r="G8" i="28"/>
  <c r="N8" i="28" s="1"/>
  <c r="G8" i="29"/>
  <c r="N8" i="29" s="1"/>
  <c r="G7" i="27"/>
  <c r="N7" i="27" s="1"/>
  <c r="AK10" i="19"/>
  <c r="AF10" i="35"/>
  <c r="AR6" i="19"/>
  <c r="AM6" i="35"/>
  <c r="BA6" i="35" s="1"/>
  <c r="G7" i="33"/>
  <c r="N7" i="33" s="1"/>
  <c r="G7" i="34"/>
  <c r="N7" i="34" s="1"/>
  <c r="G7" i="32"/>
  <c r="N7" i="32" s="1"/>
  <c r="G7" i="31"/>
  <c r="N7" i="31" s="1"/>
  <c r="G7" i="29"/>
  <c r="N7" i="29" s="1"/>
  <c r="G7" i="28"/>
  <c r="N7" i="28" s="1"/>
  <c r="G6" i="27"/>
  <c r="N6" i="27" s="1"/>
  <c r="AK9" i="19"/>
  <c r="AF9" i="35"/>
  <c r="AR8" i="19"/>
  <c r="AM8" i="35"/>
  <c r="BA8" i="35" s="1"/>
  <c r="G9" i="34"/>
  <c r="N9" i="34" s="1"/>
  <c r="G9" i="33"/>
  <c r="N9" i="33" s="1"/>
  <c r="G9" i="32"/>
  <c r="N9" i="32" s="1"/>
  <c r="G9" i="31"/>
  <c r="N9" i="31" s="1"/>
  <c r="G9" i="29"/>
  <c r="N9" i="29" s="1"/>
  <c r="G9" i="28"/>
  <c r="N9" i="28" s="1"/>
  <c r="G8" i="27"/>
  <c r="N8" i="27" s="1"/>
  <c r="AU7" i="19"/>
  <c r="AT6" i="19"/>
  <c r="AS11" i="19"/>
  <c r="H8" i="22"/>
  <c r="AR4" i="19"/>
  <c r="BF4" i="19" s="1"/>
  <c r="H6" i="22"/>
  <c r="H4" i="22"/>
  <c r="AS4" i="19" s="1"/>
  <c r="BG4" i="19" s="1"/>
  <c r="G10" i="25"/>
  <c r="H10" i="25" s="1"/>
  <c r="I10" i="25" s="1"/>
  <c r="H3" i="24"/>
  <c r="H4" i="24"/>
  <c r="H10" i="24"/>
  <c r="H2" i="24"/>
  <c r="H11" i="23"/>
  <c r="H3" i="23"/>
  <c r="H9" i="23"/>
  <c r="H5" i="23"/>
  <c r="H3" i="22"/>
  <c r="AS3" i="19" s="1"/>
  <c r="BG3" i="19" s="1"/>
  <c r="H7" i="22"/>
  <c r="H10" i="22"/>
  <c r="H2" i="22"/>
  <c r="H3" i="21"/>
  <c r="AR3" i="19" s="1"/>
  <c r="BF3" i="19" s="1"/>
  <c r="H2" i="21"/>
  <c r="H10" i="21"/>
  <c r="AR11" i="19"/>
  <c r="H9" i="21"/>
  <c r="AJ4" i="19"/>
  <c r="G9" i="25"/>
  <c r="H9" i="25" s="1"/>
  <c r="I9" i="25" s="1"/>
  <c r="H2" i="23"/>
  <c r="AJ7" i="19"/>
  <c r="AJ8" i="19"/>
  <c r="AJ6" i="19"/>
  <c r="C2" i="5"/>
  <c r="F2" i="35" s="1"/>
  <c r="AW2" i="35" s="1"/>
  <c r="AU4" i="19" l="1"/>
  <c r="AP4" i="35"/>
  <c r="J5" i="32"/>
  <c r="J5" i="34"/>
  <c r="J5" i="33"/>
  <c r="J5" i="31"/>
  <c r="J5" i="28"/>
  <c r="J5" i="29"/>
  <c r="J4" i="27"/>
  <c r="AU3" i="19"/>
  <c r="AP3" i="35"/>
  <c r="J4" i="34"/>
  <c r="J4" i="33"/>
  <c r="J4" i="32"/>
  <c r="J4" i="31"/>
  <c r="J4" i="28"/>
  <c r="J4" i="29"/>
  <c r="J3" i="27"/>
  <c r="BH4" i="19"/>
  <c r="H4" i="10"/>
  <c r="AT3" i="19"/>
  <c r="AO3" i="35"/>
  <c r="BC3" i="35" s="1"/>
  <c r="I4" i="33"/>
  <c r="P4" i="33" s="1"/>
  <c r="I4" i="34"/>
  <c r="P4" i="34" s="1"/>
  <c r="I4" i="32"/>
  <c r="P4" i="32" s="1"/>
  <c r="I4" i="31"/>
  <c r="P4" i="31" s="1"/>
  <c r="I4" i="29"/>
  <c r="P4" i="29" s="1"/>
  <c r="I4" i="28"/>
  <c r="P4" i="28" s="1"/>
  <c r="I3" i="27"/>
  <c r="P3" i="27" s="1"/>
  <c r="AP2" i="35"/>
  <c r="AU2" i="19"/>
  <c r="J3" i="33"/>
  <c r="J3" i="34"/>
  <c r="J3" i="32"/>
  <c r="J3" i="31"/>
  <c r="J3" i="29"/>
  <c r="J3" i="28"/>
  <c r="J15" i="27"/>
  <c r="AT2" i="19"/>
  <c r="AO2" i="35"/>
  <c r="BC2" i="35" s="1"/>
  <c r="I3" i="34"/>
  <c r="P3" i="34" s="1"/>
  <c r="I3" i="33"/>
  <c r="P3" i="33" s="1"/>
  <c r="I3" i="32"/>
  <c r="P3" i="32" s="1"/>
  <c r="I3" i="31"/>
  <c r="P3" i="31" s="1"/>
  <c r="I3" i="29"/>
  <c r="P3" i="29" s="1"/>
  <c r="I15" i="27"/>
  <c r="P15" i="27" s="1"/>
  <c r="I3" i="28"/>
  <c r="P3" i="28" s="1"/>
  <c r="AS2" i="19"/>
  <c r="AN2" i="35"/>
  <c r="BB2" i="35" s="1"/>
  <c r="H3" i="33"/>
  <c r="O3" i="33" s="1"/>
  <c r="H3" i="34"/>
  <c r="O3" i="34" s="1"/>
  <c r="H3" i="32"/>
  <c r="O3" i="32" s="1"/>
  <c r="H3" i="31"/>
  <c r="O3" i="31" s="1"/>
  <c r="H3" i="28"/>
  <c r="O3" i="28" s="1"/>
  <c r="H3" i="29"/>
  <c r="O3" i="29" s="1"/>
  <c r="H15" i="27"/>
  <c r="O15" i="27" s="1"/>
  <c r="AR2" i="19"/>
  <c r="AM2" i="35"/>
  <c r="BA2" i="35" s="1"/>
  <c r="G3" i="34"/>
  <c r="N3" i="34" s="1"/>
  <c r="G3" i="32"/>
  <c r="N3" i="32" s="1"/>
  <c r="G3" i="33"/>
  <c r="N3" i="33" s="1"/>
  <c r="G3" i="31"/>
  <c r="N3" i="31" s="1"/>
  <c r="G3" i="29"/>
  <c r="N3" i="29" s="1"/>
  <c r="G3" i="28"/>
  <c r="N3" i="28" s="1"/>
  <c r="G15" i="27"/>
  <c r="N15" i="27" s="1"/>
  <c r="AU10" i="19"/>
  <c r="AP10" i="35"/>
  <c r="J11" i="33"/>
  <c r="J11" i="34"/>
  <c r="J11" i="32"/>
  <c r="J11" i="31"/>
  <c r="J11" i="28"/>
  <c r="J11" i="29"/>
  <c r="J10" i="27"/>
  <c r="AT9" i="19"/>
  <c r="AO9" i="35"/>
  <c r="BC9" i="35" s="1"/>
  <c r="I10" i="34"/>
  <c r="P10" i="34" s="1"/>
  <c r="I10" i="32"/>
  <c r="P10" i="32" s="1"/>
  <c r="I10" i="33"/>
  <c r="P10" i="33" s="1"/>
  <c r="I10" i="31"/>
  <c r="P10" i="31" s="1"/>
  <c r="I10" i="29"/>
  <c r="P10" i="29" s="1"/>
  <c r="I9" i="27"/>
  <c r="P9" i="27" s="1"/>
  <c r="I10" i="28"/>
  <c r="P10" i="28" s="1"/>
  <c r="AT5" i="19"/>
  <c r="AO5" i="35"/>
  <c r="BC5" i="35" s="1"/>
  <c r="I6" i="33"/>
  <c r="P6" i="33" s="1"/>
  <c r="I6" i="32"/>
  <c r="P6" i="32" s="1"/>
  <c r="I6" i="34"/>
  <c r="P6" i="34" s="1"/>
  <c r="I6" i="31"/>
  <c r="P6" i="31" s="1"/>
  <c r="I6" i="29"/>
  <c r="P6" i="29" s="1"/>
  <c r="I5" i="27"/>
  <c r="P5" i="27" s="1"/>
  <c r="I6" i="28"/>
  <c r="P6" i="28" s="1"/>
  <c r="AV10" i="19"/>
  <c r="I10" i="10" s="1"/>
  <c r="AQ10" i="35"/>
  <c r="BH10" i="19"/>
  <c r="H10" i="10"/>
  <c r="AV9" i="19"/>
  <c r="I9" i="10" s="1"/>
  <c r="AQ9" i="35"/>
  <c r="BH6" i="19"/>
  <c r="H6" i="10"/>
  <c r="AT11" i="19"/>
  <c r="AO11" i="35"/>
  <c r="BC11" i="35" s="1"/>
  <c r="I12" i="33"/>
  <c r="P12" i="33" s="1"/>
  <c r="I12" i="34"/>
  <c r="P12" i="34" s="1"/>
  <c r="I12" i="32"/>
  <c r="P12" i="32" s="1"/>
  <c r="I12" i="31"/>
  <c r="P12" i="31" s="1"/>
  <c r="I11" i="27"/>
  <c r="P11" i="27" s="1"/>
  <c r="I12" i="28"/>
  <c r="P12" i="28" s="1"/>
  <c r="I12" i="29"/>
  <c r="P12" i="29" s="1"/>
  <c r="BG11" i="19"/>
  <c r="G11" i="10"/>
  <c r="BG9" i="19"/>
  <c r="G9" i="10"/>
  <c r="AS7" i="19"/>
  <c r="AN7" i="35"/>
  <c r="BB7" i="35" s="1"/>
  <c r="H8" i="33"/>
  <c r="O8" i="33" s="1"/>
  <c r="H8" i="34"/>
  <c r="O8" i="34" s="1"/>
  <c r="H8" i="32"/>
  <c r="O8" i="32" s="1"/>
  <c r="H8" i="31"/>
  <c r="O8" i="31" s="1"/>
  <c r="H8" i="28"/>
  <c r="O8" i="28" s="1"/>
  <c r="H8" i="29"/>
  <c r="O8" i="29" s="1"/>
  <c r="H7" i="27"/>
  <c r="O7" i="27" s="1"/>
  <c r="AS6" i="19"/>
  <c r="AN6" i="35"/>
  <c r="BB6" i="35" s="1"/>
  <c r="H7" i="34"/>
  <c r="O7" i="34" s="1"/>
  <c r="H7" i="33"/>
  <c r="O7" i="33" s="1"/>
  <c r="H7" i="32"/>
  <c r="O7" i="32" s="1"/>
  <c r="H7" i="31"/>
  <c r="O7" i="31" s="1"/>
  <c r="H7" i="29"/>
  <c r="O7" i="29" s="1"/>
  <c r="H7" i="28"/>
  <c r="O7" i="28" s="1"/>
  <c r="H6" i="27"/>
  <c r="O6" i="27" s="1"/>
  <c r="AS10" i="19"/>
  <c r="AN10" i="35"/>
  <c r="BB10" i="35" s="1"/>
  <c r="H11" i="34"/>
  <c r="O11" i="34" s="1"/>
  <c r="H11" i="33"/>
  <c r="O11" i="33" s="1"/>
  <c r="H11" i="32"/>
  <c r="O11" i="32" s="1"/>
  <c r="H11" i="31"/>
  <c r="O11" i="31" s="1"/>
  <c r="H11" i="28"/>
  <c r="O11" i="28" s="1"/>
  <c r="H10" i="27"/>
  <c r="O10" i="27" s="1"/>
  <c r="H11" i="29"/>
  <c r="O11" i="29" s="1"/>
  <c r="AN8" i="35"/>
  <c r="BB8" i="35" s="1"/>
  <c r="H9" i="34"/>
  <c r="O9" i="34" s="1"/>
  <c r="H9" i="33"/>
  <c r="O9" i="33" s="1"/>
  <c r="H9" i="32"/>
  <c r="O9" i="32" s="1"/>
  <c r="H9" i="31"/>
  <c r="O9" i="31" s="1"/>
  <c r="H9" i="29"/>
  <c r="O9" i="29" s="1"/>
  <c r="H9" i="28"/>
  <c r="O9" i="28" s="1"/>
  <c r="H8" i="27"/>
  <c r="O8" i="27" s="1"/>
  <c r="BG5" i="19"/>
  <c r="G5" i="10"/>
  <c r="BF7" i="19"/>
  <c r="F7" i="10"/>
  <c r="BF6" i="19"/>
  <c r="F6" i="10"/>
  <c r="BF5" i="19"/>
  <c r="F5" i="10"/>
  <c r="BF11" i="19"/>
  <c r="F11" i="10"/>
  <c r="BF8" i="19"/>
  <c r="F8" i="10"/>
  <c r="AR9" i="19"/>
  <c r="AM9" i="35"/>
  <c r="BA9" i="35" s="1"/>
  <c r="G10" i="33"/>
  <c r="N10" i="33" s="1"/>
  <c r="G10" i="34"/>
  <c r="N10" i="34" s="1"/>
  <c r="G10" i="32"/>
  <c r="N10" i="32" s="1"/>
  <c r="G10" i="31"/>
  <c r="N10" i="31" s="1"/>
  <c r="G10" i="28"/>
  <c r="N10" i="28" s="1"/>
  <c r="G10" i="29"/>
  <c r="N10" i="29" s="1"/>
  <c r="G9" i="27"/>
  <c r="N9" i="27" s="1"/>
  <c r="AR10" i="19"/>
  <c r="AM10" i="35"/>
  <c r="BA10" i="35" s="1"/>
  <c r="G11" i="34"/>
  <c r="N11" i="34" s="1"/>
  <c r="G11" i="33"/>
  <c r="N11" i="33" s="1"/>
  <c r="G11" i="32"/>
  <c r="N11" i="32" s="1"/>
  <c r="G11" i="31"/>
  <c r="N11" i="31" s="1"/>
  <c r="G11" i="29"/>
  <c r="N11" i="29" s="1"/>
  <c r="G11" i="28"/>
  <c r="N11" i="28" s="1"/>
  <c r="G10" i="27"/>
  <c r="N10" i="27" s="1"/>
  <c r="K2" i="19"/>
  <c r="BB2" i="19" s="1"/>
  <c r="D2" i="18"/>
  <c r="AS8" i="19"/>
  <c r="J10" i="25"/>
  <c r="AJ11" i="19"/>
  <c r="J9" i="25"/>
  <c r="AQ8" i="19"/>
  <c r="AQ6" i="19"/>
  <c r="AQ4" i="19"/>
  <c r="D2" i="5"/>
  <c r="AJ9" i="19"/>
  <c r="AQ7" i="19"/>
  <c r="AJ3" i="19"/>
  <c r="G3" i="25"/>
  <c r="H3" i="25" s="1"/>
  <c r="I3" i="25" s="1"/>
  <c r="G4" i="25"/>
  <c r="H4" i="25" s="1"/>
  <c r="I4" i="25" s="1"/>
  <c r="G11" i="25"/>
  <c r="H11" i="25" s="1"/>
  <c r="I11" i="25" s="1"/>
  <c r="J8" i="25"/>
  <c r="H8" i="25"/>
  <c r="I8" i="25"/>
  <c r="G8" i="25"/>
  <c r="G5" i="25"/>
  <c r="H5" i="25" s="1"/>
  <c r="I5" i="25" s="1"/>
  <c r="G7" i="25"/>
  <c r="H7" i="25" s="1"/>
  <c r="I7" i="25" s="1"/>
  <c r="AI7" i="19"/>
  <c r="AI8" i="19"/>
  <c r="AI6" i="19"/>
  <c r="AP6" i="19"/>
  <c r="AP8" i="19"/>
  <c r="AP7" i="19"/>
  <c r="AV3" i="19" l="1"/>
  <c r="I3" i="10" s="1"/>
  <c r="AQ3" i="35"/>
  <c r="AV4" i="19"/>
  <c r="I4" i="10" s="1"/>
  <c r="AQ4" i="35"/>
  <c r="BH3" i="19"/>
  <c r="H3" i="10"/>
  <c r="BH2" i="19"/>
  <c r="H2" i="10"/>
  <c r="BG2" i="19"/>
  <c r="G2" i="10"/>
  <c r="BF2" i="19"/>
  <c r="F2" i="10"/>
  <c r="AV7" i="19"/>
  <c r="I7" i="10" s="1"/>
  <c r="AQ7" i="35"/>
  <c r="AV8" i="19"/>
  <c r="I8" i="10" s="1"/>
  <c r="AQ8" i="35"/>
  <c r="AW10" i="19"/>
  <c r="J10" i="10" s="1"/>
  <c r="AR10" i="35"/>
  <c r="BH11" i="19"/>
  <c r="H11" i="10"/>
  <c r="AV5" i="19"/>
  <c r="I5" i="10" s="1"/>
  <c r="AQ5" i="35"/>
  <c r="AW8" i="19"/>
  <c r="J8" i="10" s="1"/>
  <c r="AR8" i="35"/>
  <c r="AW9" i="19"/>
  <c r="J9" i="10" s="1"/>
  <c r="AR9" i="35"/>
  <c r="BH5" i="19"/>
  <c r="H5" i="10"/>
  <c r="AV11" i="19"/>
  <c r="I11" i="10" s="1"/>
  <c r="AQ11" i="35"/>
  <c r="BH9" i="19"/>
  <c r="H9" i="10"/>
  <c r="BG7" i="19"/>
  <c r="G7" i="10"/>
  <c r="BG8" i="19"/>
  <c r="G8" i="10"/>
  <c r="BG10" i="19"/>
  <c r="G10" i="10"/>
  <c r="BG6" i="19"/>
  <c r="G6" i="10"/>
  <c r="BF10" i="19"/>
  <c r="F10" i="10"/>
  <c r="BF9" i="19"/>
  <c r="F9" i="10"/>
  <c r="BD8" i="19"/>
  <c r="D8" i="10"/>
  <c r="BD6" i="19"/>
  <c r="D6" i="10"/>
  <c r="BD7" i="19"/>
  <c r="D7" i="10"/>
  <c r="BE8" i="19"/>
  <c r="E8" i="10"/>
  <c r="BE6" i="19"/>
  <c r="E6" i="10"/>
  <c r="BE7" i="19"/>
  <c r="E7" i="10"/>
  <c r="BE4" i="19"/>
  <c r="E4" i="10"/>
  <c r="AQ11" i="19"/>
  <c r="AQ10" i="19"/>
  <c r="AJ10" i="19"/>
  <c r="AQ9" i="19"/>
  <c r="AI10" i="19"/>
  <c r="AI9" i="19"/>
  <c r="AI11" i="19"/>
  <c r="AI4" i="19"/>
  <c r="AP4" i="19"/>
  <c r="AI3" i="19"/>
  <c r="E2" i="5"/>
  <c r="F2" i="3"/>
  <c r="AQ3" i="19"/>
  <c r="J5" i="25"/>
  <c r="J7" i="25"/>
  <c r="J11" i="25"/>
  <c r="J4" i="25"/>
  <c r="J3" i="25"/>
  <c r="C10" i="13"/>
  <c r="C18" i="13"/>
  <c r="AW4" i="19" l="1"/>
  <c r="J4" i="10" s="1"/>
  <c r="AR4" i="35"/>
  <c r="AW3" i="19"/>
  <c r="J3" i="10" s="1"/>
  <c r="AR3" i="35"/>
  <c r="AI2" i="19"/>
  <c r="AD2" i="35"/>
  <c r="AW7" i="19"/>
  <c r="J7" i="10" s="1"/>
  <c r="AR7" i="35"/>
  <c r="AW11" i="19"/>
  <c r="J11" i="10" s="1"/>
  <c r="AR11" i="35"/>
  <c r="AW5" i="19"/>
  <c r="J5" i="10" s="1"/>
  <c r="AR5" i="35"/>
  <c r="BD4" i="19"/>
  <c r="D4" i="10"/>
  <c r="BE10" i="19"/>
  <c r="E10" i="10"/>
  <c r="BE3" i="19"/>
  <c r="E3" i="10"/>
  <c r="BE11" i="19"/>
  <c r="E11" i="10"/>
  <c r="BE9" i="19"/>
  <c r="E9" i="10"/>
  <c r="AP5" i="19"/>
  <c r="AI5" i="19"/>
  <c r="AP9" i="19"/>
  <c r="AP11" i="19"/>
  <c r="AP10" i="19"/>
  <c r="AP3" i="19"/>
  <c r="BD3" i="19" s="1"/>
  <c r="F2" i="5"/>
  <c r="G2" i="3"/>
  <c r="AE68" i="35" l="1"/>
  <c r="AJ68" i="19"/>
  <c r="AE5" i="35"/>
  <c r="AJ5" i="19"/>
  <c r="AJ2" i="19"/>
  <c r="AE2" i="35"/>
  <c r="AP2" i="19"/>
  <c r="AK2" i="35"/>
  <c r="AY2" i="35" s="1"/>
  <c r="E3" i="32"/>
  <c r="L3" i="32" s="1"/>
  <c r="E3" i="33"/>
  <c r="L3" i="33" s="1"/>
  <c r="E3" i="34"/>
  <c r="L3" i="34" s="1"/>
  <c r="E3" i="31"/>
  <c r="L3" i="31" s="1"/>
  <c r="E3" i="29"/>
  <c r="L3" i="29" s="1"/>
  <c r="E3" i="28"/>
  <c r="L3" i="28" s="1"/>
  <c r="E15" i="27"/>
  <c r="L15" i="27" s="1"/>
  <c r="BD11" i="19"/>
  <c r="D11" i="10"/>
  <c r="BD9" i="19"/>
  <c r="D9" i="10"/>
  <c r="BD10" i="19"/>
  <c r="D10" i="10"/>
  <c r="BD5" i="19"/>
  <c r="D5" i="10"/>
  <c r="H2" i="3"/>
  <c r="F69" i="33" l="1"/>
  <c r="F69" i="29"/>
  <c r="F69" i="31"/>
  <c r="F24" i="27"/>
  <c r="AL68" i="35"/>
  <c r="AZ68" i="35" s="1"/>
  <c r="BD68" i="35" s="1"/>
  <c r="F69" i="32"/>
  <c r="F69" i="28"/>
  <c r="AQ68" i="19"/>
  <c r="F69" i="34"/>
  <c r="AL2" i="35"/>
  <c r="AZ2" i="35" s="1"/>
  <c r="F6" i="31"/>
  <c r="M6" i="31" s="1"/>
  <c r="F6" i="33"/>
  <c r="M6" i="33" s="1"/>
  <c r="F5" i="27"/>
  <c r="M5" i="27" s="1"/>
  <c r="F6" i="28"/>
  <c r="M6" i="28" s="1"/>
  <c r="AL5" i="35"/>
  <c r="AZ5" i="35" s="1"/>
  <c r="F6" i="34"/>
  <c r="M6" i="34" s="1"/>
  <c r="F6" i="29"/>
  <c r="M6" i="29" s="1"/>
  <c r="F6" i="32"/>
  <c r="M6" i="32" s="1"/>
  <c r="AQ5" i="19"/>
  <c r="BD2" i="19"/>
  <c r="D2" i="10"/>
  <c r="F3" i="34"/>
  <c r="F3" i="32"/>
  <c r="F3" i="33"/>
  <c r="AQ2" i="19"/>
  <c r="F3" i="31"/>
  <c r="F3" i="28"/>
  <c r="F3" i="29"/>
  <c r="F15" i="27"/>
  <c r="F8" i="4"/>
  <c r="AC8" i="35" s="1"/>
  <c r="F6" i="4"/>
  <c r="AC6" i="35" s="1"/>
  <c r="F10" i="4"/>
  <c r="AC10" i="35" s="1"/>
  <c r="F7" i="4"/>
  <c r="AC7" i="35" s="1"/>
  <c r="F11" i="4"/>
  <c r="AC11" i="35" s="1"/>
  <c r="F9" i="4"/>
  <c r="AC9" i="35" s="1"/>
  <c r="F5" i="4"/>
  <c r="AC5" i="35" s="1"/>
  <c r="F3" i="4"/>
  <c r="AC3" i="35" s="1"/>
  <c r="F4" i="4"/>
  <c r="AC4" i="35" s="1"/>
  <c r="F2" i="4"/>
  <c r="M69" i="34" l="1"/>
  <c r="Q69" i="34" s="1"/>
  <c r="U69" i="34" s="1"/>
  <c r="S69" i="34"/>
  <c r="V69" i="34" s="1"/>
  <c r="R69" i="34"/>
  <c r="T69" i="34" s="1"/>
  <c r="M69" i="33"/>
  <c r="Q69" i="33" s="1"/>
  <c r="U69" i="33" s="1"/>
  <c r="S69" i="33"/>
  <c r="V69" i="33" s="1"/>
  <c r="R69" i="33"/>
  <c r="T69" i="33" s="1"/>
  <c r="E68" i="10"/>
  <c r="BE68" i="19"/>
  <c r="BI68" i="19" s="1"/>
  <c r="M24" i="27"/>
  <c r="Q24" i="27" s="1"/>
  <c r="U24" i="27" s="1"/>
  <c r="R24" i="27"/>
  <c r="T24" i="27" s="1"/>
  <c r="S24" i="27"/>
  <c r="M69" i="32"/>
  <c r="Q69" i="32" s="1"/>
  <c r="U69" i="32" s="1"/>
  <c r="R69" i="32"/>
  <c r="T69" i="32" s="1"/>
  <c r="S69" i="32"/>
  <c r="V69" i="32" s="1"/>
  <c r="BE68" i="35"/>
  <c r="AS68" i="35"/>
  <c r="AT68" i="35" s="1"/>
  <c r="AU68" i="35" s="1"/>
  <c r="R69" i="28"/>
  <c r="T69" i="28" s="1"/>
  <c r="M69" i="28"/>
  <c r="Q69" i="28" s="1"/>
  <c r="U69" i="28" s="1"/>
  <c r="S69" i="28"/>
  <c r="V69" i="28" s="1"/>
  <c r="R69" i="31"/>
  <c r="T69" i="31" s="1"/>
  <c r="M69" i="31"/>
  <c r="Q69" i="31" s="1"/>
  <c r="U69" i="31" s="1"/>
  <c r="S69" i="31"/>
  <c r="V69" i="31" s="1"/>
  <c r="R69" i="29"/>
  <c r="T69" i="29" s="1"/>
  <c r="M69" i="29"/>
  <c r="Q69" i="29" s="1"/>
  <c r="U69" i="29" s="1"/>
  <c r="S69" i="29"/>
  <c r="V69" i="29" s="1"/>
  <c r="BE5" i="19"/>
  <c r="E5" i="10"/>
  <c r="AH2" i="19"/>
  <c r="AC2" i="35"/>
  <c r="M3" i="32"/>
  <c r="M3" i="34"/>
  <c r="BE2" i="19"/>
  <c r="E2" i="10"/>
  <c r="M3" i="33"/>
  <c r="M3" i="29"/>
  <c r="M3" i="31"/>
  <c r="M3" i="28"/>
  <c r="M15" i="27"/>
  <c r="AH11" i="19"/>
  <c r="G11" i="4"/>
  <c r="AH9" i="19"/>
  <c r="G9" i="4"/>
  <c r="AH7" i="19"/>
  <c r="G7" i="4"/>
  <c r="AH5" i="19"/>
  <c r="G5" i="4"/>
  <c r="AH10" i="19"/>
  <c r="AH6" i="19"/>
  <c r="G6" i="4"/>
  <c r="AH3" i="19"/>
  <c r="G3" i="4"/>
  <c r="AH4" i="19"/>
  <c r="G4" i="4"/>
  <c r="AH8" i="19"/>
  <c r="G8" i="4"/>
  <c r="G2" i="4"/>
  <c r="AV68" i="35" l="1"/>
  <c r="BG68" i="35" s="1"/>
  <c r="BJ68" i="19"/>
  <c r="M68" i="10" s="1"/>
  <c r="AX68" i="19"/>
  <c r="AY68" i="19" s="1"/>
  <c r="K68" i="10" s="1"/>
  <c r="AJ2" i="35"/>
  <c r="AX2" i="35" s="1"/>
  <c r="BD2" i="35" s="1"/>
  <c r="D3" i="32"/>
  <c r="D3" i="34"/>
  <c r="D3" i="33"/>
  <c r="D3" i="31"/>
  <c r="D3" i="29"/>
  <c r="D15" i="27"/>
  <c r="D3" i="28"/>
  <c r="AJ8" i="35"/>
  <c r="AX8" i="35" s="1"/>
  <c r="BD8" i="35" s="1"/>
  <c r="D9" i="34"/>
  <c r="D9" i="33"/>
  <c r="D9" i="32"/>
  <c r="D9" i="31"/>
  <c r="D9" i="29"/>
  <c r="D9" i="28"/>
  <c r="D8" i="27"/>
  <c r="AJ4" i="35"/>
  <c r="AX4" i="35" s="1"/>
  <c r="BD4" i="35" s="1"/>
  <c r="D5" i="34"/>
  <c r="D5" i="33"/>
  <c r="D5" i="32"/>
  <c r="AO4" i="19"/>
  <c r="C4" i="10" s="1"/>
  <c r="D5" i="31"/>
  <c r="D5" i="29"/>
  <c r="D4" i="27"/>
  <c r="D5" i="28"/>
  <c r="AJ6" i="35"/>
  <c r="AX6" i="35" s="1"/>
  <c r="BD6" i="35" s="1"/>
  <c r="D7" i="33"/>
  <c r="D7" i="34"/>
  <c r="D7" i="32"/>
  <c r="D7" i="31"/>
  <c r="D6" i="27"/>
  <c r="D7" i="28"/>
  <c r="D7" i="29"/>
  <c r="AJ5" i="35"/>
  <c r="AX5" i="35" s="1"/>
  <c r="BD5" i="35" s="1"/>
  <c r="D6" i="34"/>
  <c r="D6" i="33"/>
  <c r="D6" i="32"/>
  <c r="D6" i="31"/>
  <c r="D6" i="28"/>
  <c r="D6" i="29"/>
  <c r="D5" i="27"/>
  <c r="AJ9" i="35"/>
  <c r="AX9" i="35" s="1"/>
  <c r="BD9" i="35" s="1"/>
  <c r="D10" i="32"/>
  <c r="D10" i="34"/>
  <c r="D10" i="33"/>
  <c r="D10" i="31"/>
  <c r="D9" i="27"/>
  <c r="D10" i="28"/>
  <c r="D10" i="29"/>
  <c r="AJ3" i="35"/>
  <c r="AX3" i="35" s="1"/>
  <c r="BD3" i="35" s="1"/>
  <c r="D4" i="33"/>
  <c r="D4" i="34"/>
  <c r="D4" i="32"/>
  <c r="AO3" i="19"/>
  <c r="C3" i="10" s="1"/>
  <c r="D4" i="31"/>
  <c r="D4" i="29"/>
  <c r="D4" i="28"/>
  <c r="D3" i="27"/>
  <c r="AJ10" i="35"/>
  <c r="AX10" i="35" s="1"/>
  <c r="BD10" i="35" s="1"/>
  <c r="D11" i="33"/>
  <c r="D11" i="32"/>
  <c r="D11" i="34"/>
  <c r="D11" i="31"/>
  <c r="D11" i="28"/>
  <c r="D11" i="29"/>
  <c r="D10" i="27"/>
  <c r="AJ7" i="35"/>
  <c r="AX7" i="35" s="1"/>
  <c r="BD7" i="35" s="1"/>
  <c r="D8" i="32"/>
  <c r="D8" i="33"/>
  <c r="D8" i="34"/>
  <c r="D8" i="31"/>
  <c r="D8" i="28"/>
  <c r="D8" i="29"/>
  <c r="D7" i="27"/>
  <c r="AJ11" i="35"/>
  <c r="AX11" i="35" s="1"/>
  <c r="BD11" i="35" s="1"/>
  <c r="D12" i="34"/>
  <c r="D12" i="33"/>
  <c r="D12" i="32"/>
  <c r="D12" i="31"/>
  <c r="D12" i="28"/>
  <c r="D12" i="29"/>
  <c r="D11" i="27"/>
  <c r="AO11" i="19"/>
  <c r="C11" i="10" s="1"/>
  <c r="AO9" i="19"/>
  <c r="C9" i="10" s="1"/>
  <c r="AO5" i="19"/>
  <c r="C5" i="10" s="1"/>
  <c r="AO8" i="19"/>
  <c r="C8" i="10" s="1"/>
  <c r="AO10" i="19"/>
  <c r="C10" i="10" s="1"/>
  <c r="AO7" i="19"/>
  <c r="C7" i="10" s="1"/>
  <c r="AO6" i="19"/>
  <c r="C6" i="10" s="1"/>
  <c r="AO2" i="19"/>
  <c r="K2" i="18"/>
  <c r="J2" i="18"/>
  <c r="AZ68" i="19" l="1"/>
  <c r="L68" i="10" s="1"/>
  <c r="BA68" i="19"/>
  <c r="K3" i="31"/>
  <c r="Q3" i="31" s="1"/>
  <c r="U3" i="31" s="1"/>
  <c r="S3" i="31"/>
  <c r="V3" i="31" s="1"/>
  <c r="R3" i="31"/>
  <c r="T3" i="31" s="1"/>
  <c r="BE2" i="35"/>
  <c r="AS2" i="35"/>
  <c r="K3" i="29"/>
  <c r="Q3" i="29" s="1"/>
  <c r="U3" i="29" s="1"/>
  <c r="R3" i="29"/>
  <c r="T3" i="29" s="1"/>
  <c r="S3" i="29"/>
  <c r="V3" i="29" s="1"/>
  <c r="K3" i="32"/>
  <c r="Q3" i="32" s="1"/>
  <c r="U3" i="32" s="1"/>
  <c r="R3" i="32"/>
  <c r="T3" i="32" s="1"/>
  <c r="S3" i="32"/>
  <c r="V3" i="32" s="1"/>
  <c r="K3" i="28"/>
  <c r="Q3" i="28" s="1"/>
  <c r="U3" i="28" s="1"/>
  <c r="R3" i="28"/>
  <c r="T3" i="28" s="1"/>
  <c r="S3" i="28"/>
  <c r="V3" i="28" s="1"/>
  <c r="K3" i="33"/>
  <c r="Q3" i="33" s="1"/>
  <c r="U3" i="33" s="1"/>
  <c r="S3" i="33"/>
  <c r="V3" i="33" s="1"/>
  <c r="R3" i="33"/>
  <c r="T3" i="33" s="1"/>
  <c r="BC2" i="19"/>
  <c r="BI2" i="19" s="1"/>
  <c r="AX2" i="19" s="1"/>
  <c r="C2" i="10"/>
  <c r="K15" i="27"/>
  <c r="Q15" i="27" s="1"/>
  <c r="U15" i="27" s="1"/>
  <c r="R15" i="27"/>
  <c r="T15" i="27" s="1"/>
  <c r="S15" i="27"/>
  <c r="K3" i="34"/>
  <c r="Q3" i="34" s="1"/>
  <c r="U3" i="34" s="1"/>
  <c r="R3" i="34"/>
  <c r="T3" i="34" s="1"/>
  <c r="S3" i="34"/>
  <c r="V3" i="34" s="1"/>
  <c r="K12" i="33"/>
  <c r="Q12" i="33" s="1"/>
  <c r="U12" i="33" s="1"/>
  <c r="S12" i="33"/>
  <c r="V12" i="33" s="1"/>
  <c r="R12" i="33"/>
  <c r="T12" i="33" s="1"/>
  <c r="K8" i="29"/>
  <c r="Q8" i="29" s="1"/>
  <c r="U8" i="29" s="1"/>
  <c r="S8" i="29"/>
  <c r="V8" i="29" s="1"/>
  <c r="R8" i="29"/>
  <c r="T8" i="29" s="1"/>
  <c r="K8" i="33"/>
  <c r="Q8" i="33" s="1"/>
  <c r="U8" i="33" s="1"/>
  <c r="S8" i="33"/>
  <c r="V8" i="33" s="1"/>
  <c r="R8" i="33"/>
  <c r="T8" i="33" s="1"/>
  <c r="K11" i="29"/>
  <c r="Q11" i="29" s="1"/>
  <c r="U11" i="29" s="1"/>
  <c r="R11" i="29"/>
  <c r="T11" i="29" s="1"/>
  <c r="S11" i="29"/>
  <c r="V11" i="29" s="1"/>
  <c r="K11" i="32"/>
  <c r="Q11" i="32" s="1"/>
  <c r="U11" i="32" s="1"/>
  <c r="S11" i="32"/>
  <c r="V11" i="32" s="1"/>
  <c r="R11" i="32"/>
  <c r="T11" i="32" s="1"/>
  <c r="K4" i="28"/>
  <c r="Q4" i="28" s="1"/>
  <c r="U4" i="28" s="1"/>
  <c r="R4" i="28"/>
  <c r="T4" i="28" s="1"/>
  <c r="S4" i="28"/>
  <c r="V4" i="28" s="1"/>
  <c r="K4" i="32"/>
  <c r="Q4" i="32" s="1"/>
  <c r="U4" i="32" s="1"/>
  <c r="R4" i="32"/>
  <c r="T4" i="32" s="1"/>
  <c r="S4" i="32"/>
  <c r="V4" i="32" s="1"/>
  <c r="R10" i="29"/>
  <c r="T10" i="29" s="1"/>
  <c r="S10" i="29"/>
  <c r="V10" i="29" s="1"/>
  <c r="K10" i="29"/>
  <c r="Q10" i="29" s="1"/>
  <c r="U10" i="29" s="1"/>
  <c r="K5" i="27"/>
  <c r="Q5" i="27" s="1"/>
  <c r="U5" i="27" s="1"/>
  <c r="R5" i="27"/>
  <c r="T5" i="27" s="1"/>
  <c r="S5" i="27"/>
  <c r="K6" i="32"/>
  <c r="Q6" i="32" s="1"/>
  <c r="U6" i="32" s="1"/>
  <c r="R6" i="32"/>
  <c r="T6" i="32" s="1"/>
  <c r="S6" i="32"/>
  <c r="V6" i="32" s="1"/>
  <c r="K7" i="29"/>
  <c r="Q7" i="29" s="1"/>
  <c r="U7" i="29" s="1"/>
  <c r="S7" i="29"/>
  <c r="V7" i="29" s="1"/>
  <c r="R7" i="29"/>
  <c r="T7" i="29" s="1"/>
  <c r="K7" i="32"/>
  <c r="Q7" i="32" s="1"/>
  <c r="U7" i="32" s="1"/>
  <c r="S7" i="32"/>
  <c r="V7" i="32" s="1"/>
  <c r="R7" i="32"/>
  <c r="T7" i="32" s="1"/>
  <c r="K5" i="28"/>
  <c r="Q5" i="28" s="1"/>
  <c r="U5" i="28" s="1"/>
  <c r="S5" i="28"/>
  <c r="V5" i="28" s="1"/>
  <c r="R5" i="28"/>
  <c r="T5" i="28" s="1"/>
  <c r="AV4" i="35"/>
  <c r="BE4" i="35"/>
  <c r="AS4" i="35"/>
  <c r="AT4" i="35" s="1"/>
  <c r="AU4" i="35"/>
  <c r="K9" i="31"/>
  <c r="Q9" i="31" s="1"/>
  <c r="U9" i="31" s="1"/>
  <c r="R9" i="31"/>
  <c r="T9" i="31" s="1"/>
  <c r="S9" i="31"/>
  <c r="V9" i="31" s="1"/>
  <c r="BE8" i="35"/>
  <c r="AV8" i="35"/>
  <c r="AS8" i="35"/>
  <c r="AT8" i="35" s="1"/>
  <c r="AU8" i="35"/>
  <c r="K12" i="28"/>
  <c r="Q12" i="28" s="1"/>
  <c r="U12" i="28" s="1"/>
  <c r="S12" i="28"/>
  <c r="V12" i="28" s="1"/>
  <c r="R12" i="28"/>
  <c r="T12" i="28" s="1"/>
  <c r="K12" i="34"/>
  <c r="Q12" i="34" s="1"/>
  <c r="U12" i="34" s="1"/>
  <c r="R12" i="34"/>
  <c r="T12" i="34" s="1"/>
  <c r="S12" i="34"/>
  <c r="V12" i="34" s="1"/>
  <c r="K8" i="28"/>
  <c r="Q8" i="28" s="1"/>
  <c r="U8" i="28" s="1"/>
  <c r="S8" i="28"/>
  <c r="V8" i="28" s="1"/>
  <c r="R8" i="28"/>
  <c r="T8" i="28" s="1"/>
  <c r="K8" i="32"/>
  <c r="Q8" i="32" s="1"/>
  <c r="U8" i="32" s="1"/>
  <c r="R8" i="32"/>
  <c r="T8" i="32" s="1"/>
  <c r="S8" i="32"/>
  <c r="V8" i="32" s="1"/>
  <c r="K11" i="28"/>
  <c r="Q11" i="28" s="1"/>
  <c r="U11" i="28" s="1"/>
  <c r="S11" i="28"/>
  <c r="V11" i="28" s="1"/>
  <c r="R11" i="28"/>
  <c r="T11" i="28" s="1"/>
  <c r="K11" i="33"/>
  <c r="Q11" i="33" s="1"/>
  <c r="U11" i="33" s="1"/>
  <c r="S11" i="33"/>
  <c r="V11" i="33" s="1"/>
  <c r="R11" i="33"/>
  <c r="T11" i="33" s="1"/>
  <c r="K4" i="29"/>
  <c r="Q4" i="29" s="1"/>
  <c r="U4" i="29" s="1"/>
  <c r="R4" i="29"/>
  <c r="T4" i="29" s="1"/>
  <c r="S4" i="29"/>
  <c r="V4" i="29" s="1"/>
  <c r="K4" i="34"/>
  <c r="Q4" i="34" s="1"/>
  <c r="U4" i="34" s="1"/>
  <c r="R4" i="34"/>
  <c r="T4" i="34" s="1"/>
  <c r="S4" i="34"/>
  <c r="V4" i="34" s="1"/>
  <c r="S10" i="28"/>
  <c r="V10" i="28" s="1"/>
  <c r="R10" i="28"/>
  <c r="T10" i="28" s="1"/>
  <c r="K10" i="28"/>
  <c r="Q10" i="28" s="1"/>
  <c r="U10" i="28" s="1"/>
  <c r="S10" i="34"/>
  <c r="V10" i="34" s="1"/>
  <c r="K10" i="34"/>
  <c r="Q10" i="34" s="1"/>
  <c r="U10" i="34" s="1"/>
  <c r="R10" i="34"/>
  <c r="T10" i="34" s="1"/>
  <c r="K6" i="29"/>
  <c r="Q6" i="29" s="1"/>
  <c r="U6" i="29" s="1"/>
  <c r="R6" i="29"/>
  <c r="T6" i="29" s="1"/>
  <c r="S6" i="29"/>
  <c r="V6" i="29" s="1"/>
  <c r="K6" i="33"/>
  <c r="Q6" i="33" s="1"/>
  <c r="U6" i="33" s="1"/>
  <c r="S6" i="33"/>
  <c r="V6" i="33" s="1"/>
  <c r="R6" i="33"/>
  <c r="T6" i="33" s="1"/>
  <c r="K7" i="28"/>
  <c r="Q7" i="28" s="1"/>
  <c r="U7" i="28" s="1"/>
  <c r="S7" i="28"/>
  <c r="V7" i="28" s="1"/>
  <c r="R7" i="28"/>
  <c r="T7" i="28" s="1"/>
  <c r="K7" i="34"/>
  <c r="Q7" i="34" s="1"/>
  <c r="U7" i="34" s="1"/>
  <c r="R7" i="34"/>
  <c r="T7" i="34" s="1"/>
  <c r="S7" i="34"/>
  <c r="V7" i="34" s="1"/>
  <c r="K4" i="27"/>
  <c r="Q4" i="27" s="1"/>
  <c r="U4" i="27" s="1"/>
  <c r="R4" i="27"/>
  <c r="T4" i="27" s="1"/>
  <c r="S4" i="27"/>
  <c r="K5" i="32"/>
  <c r="Q5" i="32" s="1"/>
  <c r="U5" i="32" s="1"/>
  <c r="S5" i="32"/>
  <c r="V5" i="32" s="1"/>
  <c r="R5" i="32"/>
  <c r="T5" i="32" s="1"/>
  <c r="K8" i="27"/>
  <c r="Q8" i="27" s="1"/>
  <c r="U8" i="27" s="1"/>
  <c r="S8" i="27"/>
  <c r="R8" i="27"/>
  <c r="T8" i="27" s="1"/>
  <c r="K9" i="32"/>
  <c r="Q9" i="32" s="1"/>
  <c r="U9" i="32" s="1"/>
  <c r="S9" i="32"/>
  <c r="V9" i="32" s="1"/>
  <c r="R9" i="32"/>
  <c r="T9" i="32" s="1"/>
  <c r="BE7" i="35"/>
  <c r="AV7" i="35"/>
  <c r="AS7" i="35"/>
  <c r="AT7" i="35" s="1"/>
  <c r="AU7" i="35"/>
  <c r="K6" i="34"/>
  <c r="Q6" i="34" s="1"/>
  <c r="U6" i="34" s="1"/>
  <c r="S6" i="34"/>
  <c r="V6" i="34" s="1"/>
  <c r="R6" i="34"/>
  <c r="T6" i="34" s="1"/>
  <c r="BE11" i="35"/>
  <c r="AS11" i="35"/>
  <c r="AT11" i="35" s="1"/>
  <c r="AV11" i="35"/>
  <c r="AU11" i="35"/>
  <c r="K8" i="31"/>
  <c r="Q8" i="31" s="1"/>
  <c r="U8" i="31" s="1"/>
  <c r="S8" i="31"/>
  <c r="V8" i="31" s="1"/>
  <c r="R8" i="31"/>
  <c r="T8" i="31" s="1"/>
  <c r="K11" i="31"/>
  <c r="Q11" i="31" s="1"/>
  <c r="U11" i="31" s="1"/>
  <c r="S11" i="31"/>
  <c r="V11" i="31" s="1"/>
  <c r="R11" i="31"/>
  <c r="T11" i="31" s="1"/>
  <c r="BE10" i="35"/>
  <c r="AV10" i="35"/>
  <c r="AU10" i="35"/>
  <c r="AS10" i="35"/>
  <c r="AT10" i="35" s="1"/>
  <c r="K4" i="31"/>
  <c r="Q4" i="31" s="1"/>
  <c r="U4" i="31" s="1"/>
  <c r="R4" i="31"/>
  <c r="T4" i="31" s="1"/>
  <c r="S4" i="31"/>
  <c r="V4" i="31" s="1"/>
  <c r="K4" i="33"/>
  <c r="Q4" i="33" s="1"/>
  <c r="U4" i="33" s="1"/>
  <c r="R4" i="33"/>
  <c r="T4" i="33" s="1"/>
  <c r="S4" i="33"/>
  <c r="V4" i="33" s="1"/>
  <c r="S9" i="27"/>
  <c r="K9" i="27"/>
  <c r="Q9" i="27" s="1"/>
  <c r="U9" i="27" s="1"/>
  <c r="R9" i="27"/>
  <c r="T9" i="27" s="1"/>
  <c r="S10" i="32"/>
  <c r="V10" i="32" s="1"/>
  <c r="K10" i="32"/>
  <c r="Q10" i="32" s="1"/>
  <c r="U10" i="32" s="1"/>
  <c r="R10" i="32"/>
  <c r="T10" i="32" s="1"/>
  <c r="K6" i="28"/>
  <c r="Q6" i="28" s="1"/>
  <c r="U6" i="28" s="1"/>
  <c r="S6" i="28"/>
  <c r="V6" i="28" s="1"/>
  <c r="R6" i="28"/>
  <c r="T6" i="28" s="1"/>
  <c r="K6" i="27"/>
  <c r="Q6" i="27" s="1"/>
  <c r="U6" i="27" s="1"/>
  <c r="S6" i="27"/>
  <c r="R6" i="27"/>
  <c r="T6" i="27" s="1"/>
  <c r="K7" i="33"/>
  <c r="Q7" i="33" s="1"/>
  <c r="U7" i="33" s="1"/>
  <c r="R7" i="33"/>
  <c r="T7" i="33" s="1"/>
  <c r="S7" i="33"/>
  <c r="V7" i="33" s="1"/>
  <c r="K5" i="29"/>
  <c r="Q5" i="29" s="1"/>
  <c r="U5" i="29" s="1"/>
  <c r="R5" i="29"/>
  <c r="T5" i="29" s="1"/>
  <c r="S5" i="29"/>
  <c r="V5" i="29" s="1"/>
  <c r="K5" i="33"/>
  <c r="Q5" i="33" s="1"/>
  <c r="U5" i="33" s="1"/>
  <c r="S5" i="33"/>
  <c r="V5" i="33" s="1"/>
  <c r="R5" i="33"/>
  <c r="T5" i="33" s="1"/>
  <c r="K9" i="28"/>
  <c r="Q9" i="28" s="1"/>
  <c r="U9" i="28" s="1"/>
  <c r="S9" i="28"/>
  <c r="V9" i="28" s="1"/>
  <c r="R9" i="28"/>
  <c r="T9" i="28" s="1"/>
  <c r="K9" i="33"/>
  <c r="Q9" i="33" s="1"/>
  <c r="U9" i="33" s="1"/>
  <c r="S9" i="33"/>
  <c r="V9" i="33" s="1"/>
  <c r="R9" i="33"/>
  <c r="T9" i="33" s="1"/>
  <c r="K11" i="27"/>
  <c r="Q11" i="27" s="1"/>
  <c r="U11" i="27" s="1"/>
  <c r="S11" i="27"/>
  <c r="R11" i="27"/>
  <c r="T11" i="27" s="1"/>
  <c r="K12" i="32"/>
  <c r="Q12" i="32" s="1"/>
  <c r="U12" i="32" s="1"/>
  <c r="S12" i="32"/>
  <c r="V12" i="32" s="1"/>
  <c r="R12" i="32"/>
  <c r="T12" i="32" s="1"/>
  <c r="K7" i="27"/>
  <c r="Q7" i="27" s="1"/>
  <c r="U7" i="27" s="1"/>
  <c r="S7" i="27"/>
  <c r="R7" i="27"/>
  <c r="T7" i="27" s="1"/>
  <c r="K8" i="34"/>
  <c r="Q8" i="34" s="1"/>
  <c r="U8" i="34" s="1"/>
  <c r="R8" i="34"/>
  <c r="T8" i="34" s="1"/>
  <c r="S8" i="34"/>
  <c r="V8" i="34" s="1"/>
  <c r="K10" i="27"/>
  <c r="Q10" i="27" s="1"/>
  <c r="U10" i="27" s="1"/>
  <c r="S10" i="27"/>
  <c r="R10" i="27"/>
  <c r="T10" i="27" s="1"/>
  <c r="K11" i="34"/>
  <c r="Q11" i="34" s="1"/>
  <c r="U11" i="34" s="1"/>
  <c r="R11" i="34"/>
  <c r="T11" i="34" s="1"/>
  <c r="S11" i="34"/>
  <c r="V11" i="34" s="1"/>
  <c r="K3" i="27"/>
  <c r="Q3" i="27" s="1"/>
  <c r="U3" i="27" s="1"/>
  <c r="R3" i="27"/>
  <c r="T3" i="27" s="1"/>
  <c r="S3" i="27"/>
  <c r="BE3" i="35"/>
  <c r="AU3" i="35"/>
  <c r="AS3" i="35"/>
  <c r="AT3" i="35" s="1"/>
  <c r="AV3" i="35"/>
  <c r="K10" i="31"/>
  <c r="Q10" i="31" s="1"/>
  <c r="U10" i="31" s="1"/>
  <c r="R10" i="31"/>
  <c r="T10" i="31" s="1"/>
  <c r="S10" i="31"/>
  <c r="V10" i="31" s="1"/>
  <c r="BE9" i="35"/>
  <c r="AV9" i="35"/>
  <c r="AS9" i="35"/>
  <c r="AT9" i="35" s="1"/>
  <c r="AU9" i="35"/>
  <c r="K6" i="31"/>
  <c r="Q6" i="31" s="1"/>
  <c r="U6" i="31" s="1"/>
  <c r="S6" i="31"/>
  <c r="V6" i="31" s="1"/>
  <c r="R6" i="31"/>
  <c r="T6" i="31" s="1"/>
  <c r="BE5" i="35"/>
  <c r="AV5" i="35"/>
  <c r="AS5" i="35"/>
  <c r="AT5" i="35" s="1"/>
  <c r="AU5" i="35"/>
  <c r="K7" i="31"/>
  <c r="Q7" i="31" s="1"/>
  <c r="U7" i="31" s="1"/>
  <c r="R7" i="31"/>
  <c r="T7" i="31" s="1"/>
  <c r="S7" i="31"/>
  <c r="V7" i="31" s="1"/>
  <c r="BE6" i="35"/>
  <c r="AS6" i="35"/>
  <c r="AT6" i="35" s="1"/>
  <c r="AV6" i="35"/>
  <c r="AU6" i="35"/>
  <c r="K5" i="31"/>
  <c r="Q5" i="31" s="1"/>
  <c r="U5" i="31" s="1"/>
  <c r="S5" i="31"/>
  <c r="V5" i="31" s="1"/>
  <c r="R5" i="31"/>
  <c r="T5" i="31" s="1"/>
  <c r="K5" i="34"/>
  <c r="Q5" i="34" s="1"/>
  <c r="U5" i="34" s="1"/>
  <c r="R5" i="34"/>
  <c r="T5" i="34" s="1"/>
  <c r="S5" i="34"/>
  <c r="V5" i="34" s="1"/>
  <c r="K9" i="29"/>
  <c r="Q9" i="29" s="1"/>
  <c r="U9" i="29" s="1"/>
  <c r="R9" i="29"/>
  <c r="T9" i="29" s="1"/>
  <c r="S9" i="29"/>
  <c r="V9" i="29" s="1"/>
  <c r="K9" i="34"/>
  <c r="Q9" i="34" s="1"/>
  <c r="U9" i="34" s="1"/>
  <c r="S9" i="34"/>
  <c r="V9" i="34" s="1"/>
  <c r="R9" i="34"/>
  <c r="T9" i="34" s="1"/>
  <c r="K12" i="31"/>
  <c r="Q12" i="31" s="1"/>
  <c r="U12" i="31" s="1"/>
  <c r="R12" i="31"/>
  <c r="T12" i="31" s="1"/>
  <c r="S12" i="31"/>
  <c r="V12" i="31" s="1"/>
  <c r="K12" i="29"/>
  <c r="Q12" i="29" s="1"/>
  <c r="U12" i="29" s="1"/>
  <c r="R12" i="29"/>
  <c r="T12" i="29" s="1"/>
  <c r="S12" i="29"/>
  <c r="V12" i="29" s="1"/>
  <c r="R10" i="33"/>
  <c r="T10" i="33" s="1"/>
  <c r="K10" i="33"/>
  <c r="Q10" i="33" s="1"/>
  <c r="U10" i="33" s="1"/>
  <c r="S10" i="33"/>
  <c r="V10" i="33" s="1"/>
  <c r="BC6" i="19"/>
  <c r="BI6" i="19" s="1"/>
  <c r="BJ6" i="19" s="1"/>
  <c r="M6" i="10" s="1"/>
  <c r="BC4" i="19"/>
  <c r="BI4" i="19" s="1"/>
  <c r="BJ4" i="19" s="1"/>
  <c r="M4" i="10" s="1"/>
  <c r="BC10" i="19"/>
  <c r="BI10" i="19" s="1"/>
  <c r="BJ10" i="19" s="1"/>
  <c r="M10" i="10" s="1"/>
  <c r="BC8" i="19"/>
  <c r="BI8" i="19" s="1"/>
  <c r="AZ8" i="19" s="1"/>
  <c r="L8" i="10" s="1"/>
  <c r="BC11" i="19"/>
  <c r="BI11" i="19" s="1"/>
  <c r="BJ11" i="19" s="1"/>
  <c r="M11" i="10" s="1"/>
  <c r="BC3" i="19"/>
  <c r="BI3" i="19" s="1"/>
  <c r="AZ3" i="19" s="1"/>
  <c r="L3" i="10" s="1"/>
  <c r="BC5" i="19"/>
  <c r="BI5" i="19" s="1"/>
  <c r="BJ5" i="19" s="1"/>
  <c r="M5" i="10" s="1"/>
  <c r="BC7" i="19"/>
  <c r="BI7" i="19" s="1"/>
  <c r="AX7" i="19" s="1"/>
  <c r="AY7" i="19" s="1"/>
  <c r="K7" i="10" s="1"/>
  <c r="BC9" i="19"/>
  <c r="BI9" i="19" s="1"/>
  <c r="BJ9" i="19" s="1"/>
  <c r="M9" i="10" s="1"/>
  <c r="BN68" i="19" l="1"/>
  <c r="W24" i="27" s="1"/>
  <c r="V24" i="27"/>
  <c r="BM68" i="19"/>
  <c r="Y24" i="27" s="1"/>
  <c r="BL68" i="19"/>
  <c r="N68" i="10"/>
  <c r="O68" i="10" s="1"/>
  <c r="BJ2" i="19"/>
  <c r="M2" i="10" s="1"/>
  <c r="AX10" i="19"/>
  <c r="AY10" i="19" s="1"/>
  <c r="K10" i="10" s="1"/>
  <c r="BA9" i="19"/>
  <c r="BN9" i="19" s="1"/>
  <c r="W9" i="27" s="1"/>
  <c r="BF9" i="35"/>
  <c r="BG9" i="35"/>
  <c r="BF8" i="35"/>
  <c r="BG8" i="35"/>
  <c r="BG4" i="35"/>
  <c r="BF4" i="35"/>
  <c r="BG6" i="35"/>
  <c r="BF6" i="35"/>
  <c r="BF5" i="35"/>
  <c r="BG5" i="35"/>
  <c r="BG3" i="35"/>
  <c r="BF3" i="35"/>
  <c r="BG10" i="35"/>
  <c r="BF10" i="35"/>
  <c r="BF11" i="35"/>
  <c r="BG11" i="35"/>
  <c r="BG7" i="35"/>
  <c r="BF7" i="35"/>
  <c r="AZ6" i="19"/>
  <c r="L6" i="10" s="1"/>
  <c r="AZ11" i="19"/>
  <c r="L11" i="10" s="1"/>
  <c r="BA10" i="19"/>
  <c r="AX9" i="19"/>
  <c r="AY9" i="19" s="1"/>
  <c r="K9" i="10" s="1"/>
  <c r="AZ10" i="19"/>
  <c r="L10" i="10" s="1"/>
  <c r="AX5" i="19"/>
  <c r="AY5" i="19" s="1"/>
  <c r="K5" i="10" s="1"/>
  <c r="AZ5" i="19"/>
  <c r="L5" i="10" s="1"/>
  <c r="AX6" i="19"/>
  <c r="AY6" i="19" s="1"/>
  <c r="K6" i="10" s="1"/>
  <c r="AZ9" i="19"/>
  <c r="L9" i="10" s="1"/>
  <c r="BA4" i="19"/>
  <c r="BA6" i="19"/>
  <c r="AX11" i="19"/>
  <c r="AY11" i="19" s="1"/>
  <c r="K11" i="10" s="1"/>
  <c r="BA8" i="19"/>
  <c r="AZ7" i="19"/>
  <c r="L7" i="10" s="1"/>
  <c r="AX8" i="19"/>
  <c r="AY8" i="19" s="1"/>
  <c r="K8" i="10" s="1"/>
  <c r="BJ3" i="19"/>
  <c r="M3" i="10" s="1"/>
  <c r="AZ4" i="19"/>
  <c r="L4" i="10" s="1"/>
  <c r="AX3" i="19"/>
  <c r="AY3" i="19" s="1"/>
  <c r="K3" i="10" s="1"/>
  <c r="AX4" i="19"/>
  <c r="AY4" i="19" s="1"/>
  <c r="K4" i="10" s="1"/>
  <c r="BA7" i="19"/>
  <c r="BA3" i="19"/>
  <c r="BJ7" i="19"/>
  <c r="M7" i="10" s="1"/>
  <c r="BJ8" i="19"/>
  <c r="M8" i="10" s="1"/>
  <c r="BA5" i="19"/>
  <c r="BA11" i="19"/>
  <c r="BL9" i="19" l="1"/>
  <c r="V9" i="27"/>
  <c r="N9" i="10"/>
  <c r="O9" i="10" s="1"/>
  <c r="BK9" i="19"/>
  <c r="W10" i="32" s="1"/>
  <c r="BM9" i="19"/>
  <c r="Y9" i="27" s="1"/>
  <c r="N6" i="10"/>
  <c r="O6" i="10" s="1"/>
  <c r="BM6" i="19"/>
  <c r="Y6" i="27" s="1"/>
  <c r="BN6" i="19"/>
  <c r="W6" i="27" s="1"/>
  <c r="BL6" i="19"/>
  <c r="N11" i="10"/>
  <c r="O11" i="10" s="1"/>
  <c r="BM11" i="19"/>
  <c r="Y11" i="27" s="1"/>
  <c r="BN11" i="19"/>
  <c r="W11" i="27" s="1"/>
  <c r="BL11" i="19"/>
  <c r="N3" i="10"/>
  <c r="O3" i="10" s="1"/>
  <c r="BM3" i="19"/>
  <c r="Y3" i="27" s="1"/>
  <c r="BN3" i="19"/>
  <c r="W3" i="27" s="1"/>
  <c r="BL3" i="19"/>
  <c r="N8" i="10"/>
  <c r="O8" i="10" s="1"/>
  <c r="BN8" i="19"/>
  <c r="W8" i="27" s="1"/>
  <c r="BM8" i="19"/>
  <c r="Y8" i="27" s="1"/>
  <c r="BL8" i="19"/>
  <c r="N10" i="10"/>
  <c r="O10" i="10" s="1"/>
  <c r="BM10" i="19"/>
  <c r="Y10" i="27" s="1"/>
  <c r="BN10" i="19"/>
  <c r="W10" i="27" s="1"/>
  <c r="BL10" i="19"/>
  <c r="N5" i="10"/>
  <c r="O5" i="10" s="1"/>
  <c r="BN5" i="19"/>
  <c r="W5" i="27" s="1"/>
  <c r="BM5" i="19"/>
  <c r="Y5" i="27" s="1"/>
  <c r="BL5" i="19"/>
  <c r="N7" i="10"/>
  <c r="O7" i="10" s="1"/>
  <c r="BM7" i="19"/>
  <c r="Y7" i="27" s="1"/>
  <c r="BN7" i="19"/>
  <c r="W7" i="27" s="1"/>
  <c r="BL7" i="19"/>
  <c r="N4" i="10"/>
  <c r="O4" i="10" s="1"/>
  <c r="BN4" i="19"/>
  <c r="W4" i="27" s="1"/>
  <c r="BM4" i="19"/>
  <c r="Y4" i="27" s="1"/>
  <c r="BL4" i="19"/>
  <c r="BK10" i="19"/>
  <c r="W11" i="34" s="1"/>
  <c r="V10" i="27"/>
  <c r="BK3" i="19"/>
  <c r="V3" i="27"/>
  <c r="BK6" i="19"/>
  <c r="V6" i="27"/>
  <c r="BK5" i="19"/>
  <c r="V5" i="27"/>
  <c r="BK8" i="19"/>
  <c r="V8" i="27"/>
  <c r="BK4" i="19"/>
  <c r="V4" i="27"/>
  <c r="BK7" i="19"/>
  <c r="V7" i="27"/>
  <c r="BK11" i="19"/>
  <c r="V11" i="27"/>
  <c r="P9" i="10" l="1"/>
  <c r="W10" i="33"/>
  <c r="W10" i="28"/>
  <c r="W10" i="34"/>
  <c r="X9" i="27"/>
  <c r="W10" i="31"/>
  <c r="W10" i="29"/>
  <c r="W11" i="29"/>
  <c r="W11" i="33"/>
  <c r="W11" i="32"/>
  <c r="W11" i="28"/>
  <c r="X10" i="27"/>
  <c r="P10" i="10"/>
  <c r="W11" i="31"/>
  <c r="W6" i="31"/>
  <c r="W6" i="32"/>
  <c r="W6" i="34"/>
  <c r="W6" i="33"/>
  <c r="P5" i="10"/>
  <c r="W4" i="31"/>
  <c r="W4" i="34"/>
  <c r="W4" i="32"/>
  <c r="W4" i="33"/>
  <c r="P3" i="10"/>
  <c r="W8" i="31"/>
  <c r="W8" i="34"/>
  <c r="W8" i="33"/>
  <c r="W8" i="32"/>
  <c r="P7" i="10"/>
  <c r="W9" i="28"/>
  <c r="W9" i="33"/>
  <c r="W9" i="34"/>
  <c r="W9" i="32"/>
  <c r="P8" i="10"/>
  <c r="W5" i="34"/>
  <c r="W5" i="33"/>
  <c r="W5" i="32"/>
  <c r="P4" i="10"/>
  <c r="W12" i="31"/>
  <c r="W12" i="32"/>
  <c r="W12" i="34"/>
  <c r="W12" i="33"/>
  <c r="P11" i="10"/>
  <c r="W7" i="32"/>
  <c r="W7" i="33"/>
  <c r="W7" i="34"/>
  <c r="P6" i="10"/>
  <c r="X11" i="27"/>
  <c r="W4" i="29"/>
  <c r="W12" i="29"/>
  <c r="X7" i="27"/>
  <c r="X5" i="27"/>
  <c r="W6" i="28"/>
  <c r="X3" i="27"/>
  <c r="W12" i="28"/>
  <c r="W6" i="29"/>
  <c r="W8" i="29"/>
  <c r="W4" i="28"/>
  <c r="W8" i="28"/>
  <c r="W7" i="31"/>
  <c r="W7" i="29"/>
  <c r="X6" i="27"/>
  <c r="W7" i="28"/>
  <c r="W9" i="31"/>
  <c r="W9" i="29"/>
  <c r="X8" i="27"/>
  <c r="W5" i="31"/>
  <c r="X4" i="27"/>
  <c r="W5" i="29"/>
  <c r="W5" i="28"/>
  <c r="G2" i="25" l="1"/>
  <c r="H2" i="25" s="1"/>
  <c r="I2" i="25" s="1"/>
  <c r="AV2" i="19" l="1"/>
  <c r="I2" i="10" s="1"/>
  <c r="AQ2" i="35"/>
  <c r="J2" i="25"/>
  <c r="AW2" i="19" l="1"/>
  <c r="AR2" i="35"/>
  <c r="AT2" i="35" s="1"/>
  <c r="AU2" i="35" l="1"/>
  <c r="AV2" i="35"/>
  <c r="AY2" i="19"/>
  <c r="J2" i="10"/>
  <c r="BK42" i="19"/>
  <c r="BF68" i="35" l="1"/>
  <c r="BF24" i="35"/>
  <c r="BF60" i="35"/>
  <c r="BF66" i="35"/>
  <c r="BF67" i="35"/>
  <c r="BF28" i="35"/>
  <c r="BF15" i="35"/>
  <c r="BF14" i="35"/>
  <c r="K2" i="10"/>
  <c r="BA2" i="19"/>
  <c r="AZ2" i="19"/>
  <c r="L2" i="10" s="1"/>
  <c r="BG2" i="35"/>
  <c r="BF2" i="35"/>
  <c r="W43" i="31"/>
  <c r="W43" i="33"/>
  <c r="W43" i="34"/>
  <c r="W43" i="32"/>
  <c r="P42" i="10"/>
  <c r="W43" i="29"/>
  <c r="W43" i="28"/>
  <c r="X66" i="27"/>
  <c r="BK67" i="19" l="1"/>
  <c r="BK28" i="19"/>
  <c r="BK68" i="19"/>
  <c r="BK24" i="19"/>
  <c r="BK60" i="19"/>
  <c r="BK66" i="19"/>
  <c r="BK15" i="19"/>
  <c r="BK14" i="19"/>
  <c r="BM2" i="19"/>
  <c r="Y15" i="27" s="1"/>
  <c r="BK2" i="19"/>
  <c r="BN2" i="19"/>
  <c r="W15" i="27" s="1"/>
  <c r="V15" i="27"/>
  <c r="N2" i="10"/>
  <c r="O2" i="10" s="1"/>
  <c r="BL2" i="19"/>
  <c r="W25" i="32" l="1"/>
  <c r="X2" i="27"/>
  <c r="W25" i="31"/>
  <c r="P24" i="10"/>
  <c r="W25" i="34"/>
  <c r="W25" i="29"/>
  <c r="W25" i="33"/>
  <c r="W25" i="28"/>
  <c r="W69" i="34"/>
  <c r="X24" i="27"/>
  <c r="W69" i="31"/>
  <c r="W69" i="28"/>
  <c r="P68" i="10"/>
  <c r="W69" i="29"/>
  <c r="W69" i="33"/>
  <c r="W69" i="32"/>
  <c r="W67" i="31"/>
  <c r="P66" i="10"/>
  <c r="X28" i="27"/>
  <c r="W67" i="32"/>
  <c r="W67" i="28"/>
  <c r="W67" i="33"/>
  <c r="W67" i="34"/>
  <c r="W67" i="29"/>
  <c r="W29" i="34"/>
  <c r="P28" i="10"/>
  <c r="W29" i="28"/>
  <c r="W29" i="32"/>
  <c r="W29" i="29"/>
  <c r="W29" i="33"/>
  <c r="W29" i="31"/>
  <c r="X68" i="27"/>
  <c r="W61" i="34"/>
  <c r="W61" i="28"/>
  <c r="W61" i="33"/>
  <c r="W61" i="29"/>
  <c r="W61" i="32"/>
  <c r="X14" i="27"/>
  <c r="W61" i="31"/>
  <c r="P60" i="10"/>
  <c r="W68" i="32"/>
  <c r="W68" i="31"/>
  <c r="W68" i="28"/>
  <c r="W68" i="34"/>
  <c r="P67" i="10"/>
  <c r="W68" i="29"/>
  <c r="W68" i="33"/>
  <c r="X42" i="27"/>
  <c r="W15" i="32"/>
  <c r="W15" i="29"/>
  <c r="W15" i="34"/>
  <c r="W15" i="33"/>
  <c r="W15" i="31"/>
  <c r="P14" i="10"/>
  <c r="W15" i="28"/>
  <c r="X67" i="27"/>
  <c r="W16" i="31"/>
  <c r="W16" i="28"/>
  <c r="W16" i="34"/>
  <c r="X60" i="27"/>
  <c r="W16" i="33"/>
  <c r="W16" i="29"/>
  <c r="P15" i="10"/>
  <c r="W16" i="32"/>
  <c r="W3" i="31"/>
  <c r="P2" i="10"/>
  <c r="W3" i="32"/>
  <c r="W3" i="28"/>
  <c r="W3" i="34"/>
  <c r="W3" i="29"/>
  <c r="W3" i="33"/>
  <c r="X15" i="27"/>
</calcChain>
</file>

<file path=xl/sharedStrings.xml><?xml version="1.0" encoding="utf-8"?>
<sst xmlns="http://schemas.openxmlformats.org/spreadsheetml/2006/main" count="2196" uniqueCount="497">
  <si>
    <t>Roll</t>
  </si>
  <si>
    <t>Group</t>
  </si>
  <si>
    <t>Science</t>
  </si>
  <si>
    <t>Commerce</t>
  </si>
  <si>
    <t>Marks MCQ</t>
  </si>
  <si>
    <t>Marks CQ</t>
  </si>
  <si>
    <t>Total Marks</t>
  </si>
  <si>
    <t>Result</t>
  </si>
  <si>
    <t>Grade</t>
  </si>
  <si>
    <t>GPA</t>
  </si>
  <si>
    <t xml:space="preserve"> </t>
  </si>
  <si>
    <t>Arts</t>
  </si>
  <si>
    <t>Bangla</t>
  </si>
  <si>
    <t>English</t>
  </si>
  <si>
    <t>ICT</t>
  </si>
  <si>
    <t>GPA after minus 2</t>
  </si>
  <si>
    <t>W. 4th</t>
  </si>
  <si>
    <t xml:space="preserve">GPA W 4th </t>
  </si>
  <si>
    <t>T. Point</t>
  </si>
  <si>
    <t>Subject1</t>
  </si>
  <si>
    <t>Subject2</t>
  </si>
  <si>
    <t>Subject3</t>
  </si>
  <si>
    <t>Subject4</t>
  </si>
  <si>
    <t>BSc. in Computer Science &amp; Enginnering, University of Chittagong</t>
  </si>
  <si>
    <t>Number of Science Students</t>
  </si>
  <si>
    <t>Number of Commerce Students</t>
  </si>
  <si>
    <t>Number of Arts Students</t>
  </si>
  <si>
    <t>Total Number of Students</t>
  </si>
  <si>
    <t>CQ Mark</t>
  </si>
  <si>
    <t>Practical Mark</t>
  </si>
  <si>
    <t>MCQ Mark</t>
  </si>
  <si>
    <t>Title of Exam</t>
  </si>
  <si>
    <t>First Year - Term Exam 2024</t>
  </si>
  <si>
    <r>
      <rPr>
        <sz val="28"/>
        <color rgb="FFFF0000"/>
        <rFont val="Calibri"/>
        <family val="2"/>
        <scheme val="minor"/>
      </rPr>
      <t>RESULT PROCESSING SYSTEM</t>
    </r>
    <r>
      <rPr>
        <sz val="18"/>
        <color rgb="FF00B050"/>
        <rFont val="Calibri"/>
        <family val="2"/>
        <scheme val="minor"/>
      </rPr>
      <t xml:space="preserve">
</t>
    </r>
    <r>
      <rPr>
        <sz val="18"/>
        <color theme="4" tint="-0.249977111117893"/>
        <rFont val="Calibri"/>
        <family val="2"/>
        <scheme val="minor"/>
      </rPr>
      <t xml:space="preserve">Developed by </t>
    </r>
    <r>
      <rPr>
        <sz val="18"/>
        <color rgb="FFC00000"/>
        <rFont val="Calibri"/>
        <family val="2"/>
        <scheme val="minor"/>
      </rPr>
      <t>ALI HOSSAIN</t>
    </r>
  </si>
  <si>
    <t>ID</t>
  </si>
  <si>
    <t>Father</t>
  </si>
  <si>
    <t>Name</t>
  </si>
  <si>
    <t>Mother</t>
  </si>
  <si>
    <t>Session</t>
  </si>
  <si>
    <t>Contact</t>
  </si>
  <si>
    <t>Address</t>
  </si>
  <si>
    <t>Rokeya Begum</t>
  </si>
  <si>
    <t xml:space="preserve">ID </t>
  </si>
  <si>
    <t xml:space="preserve">Optioinal </t>
  </si>
  <si>
    <t>Bamni High School</t>
  </si>
  <si>
    <t>Institution Name</t>
  </si>
  <si>
    <t>Physics</t>
  </si>
  <si>
    <t>Chemistry</t>
  </si>
  <si>
    <t>Biology</t>
  </si>
  <si>
    <t>Math</t>
  </si>
  <si>
    <t>Compulsory1</t>
  </si>
  <si>
    <t>Compulsory2</t>
  </si>
  <si>
    <t xml:space="preserve">Subject1 </t>
  </si>
  <si>
    <t>Remarks</t>
  </si>
  <si>
    <t>Reg No</t>
  </si>
  <si>
    <t>Board Name</t>
  </si>
  <si>
    <t>Cumilla</t>
  </si>
  <si>
    <t>Practical</t>
  </si>
  <si>
    <t>Total Mark</t>
  </si>
  <si>
    <t>Bangla MCQ</t>
  </si>
  <si>
    <t>Bangla CQ</t>
  </si>
  <si>
    <t>ICT CQ</t>
  </si>
  <si>
    <t>ICT MCQ</t>
  </si>
  <si>
    <t>ICT Practical</t>
  </si>
  <si>
    <t>ICT Total</t>
  </si>
  <si>
    <t>Bangla Total</t>
  </si>
  <si>
    <t>Subject</t>
  </si>
  <si>
    <t>English Total</t>
  </si>
  <si>
    <t>Physics MCQ</t>
  </si>
  <si>
    <t>Physics Practical</t>
  </si>
  <si>
    <t>Physics CQ</t>
  </si>
  <si>
    <t>Physics Total</t>
  </si>
  <si>
    <t>Chemistry MCQ</t>
  </si>
  <si>
    <t>Chemistry CQ</t>
  </si>
  <si>
    <t>Chemistry Practical</t>
  </si>
  <si>
    <t>Chemistry Total</t>
  </si>
  <si>
    <t>Bangla Grade</t>
  </si>
  <si>
    <t>English Grade</t>
  </si>
  <si>
    <t>ICT Grade</t>
  </si>
  <si>
    <t>Physics Grade</t>
  </si>
  <si>
    <t>Chemistry Grade</t>
  </si>
  <si>
    <t>Bangla Point</t>
  </si>
  <si>
    <t>English Point</t>
  </si>
  <si>
    <t>ICT Point</t>
  </si>
  <si>
    <t>Physics Point</t>
  </si>
  <si>
    <t>Chemistry Point</t>
  </si>
  <si>
    <t>Optional Point</t>
  </si>
  <si>
    <t>Optional after - 2</t>
  </si>
  <si>
    <t>GPA without 4th</t>
  </si>
  <si>
    <t>Total Point</t>
  </si>
  <si>
    <t>Total w.o 4th</t>
  </si>
  <si>
    <t>Third Subject</t>
  </si>
  <si>
    <t>Optional Subject</t>
  </si>
  <si>
    <t>B_Flag</t>
  </si>
  <si>
    <t>E_Flag</t>
  </si>
  <si>
    <t>I_Flag</t>
  </si>
  <si>
    <t>Total_Flag</t>
  </si>
  <si>
    <t>Status</t>
  </si>
  <si>
    <t>S1_Flag</t>
  </si>
  <si>
    <t>S2_Flag</t>
  </si>
  <si>
    <t>S3_Flag</t>
  </si>
  <si>
    <t>Subject3 MCQ</t>
  </si>
  <si>
    <t>Subject3 CQ</t>
  </si>
  <si>
    <t>Subject3 Practical</t>
  </si>
  <si>
    <t>Subject3 Total</t>
  </si>
  <si>
    <t>Subject4 MCQ</t>
  </si>
  <si>
    <t>Subject4 CQ</t>
  </si>
  <si>
    <t>Subject4 Practical</t>
  </si>
  <si>
    <t>Subject4 Total</t>
  </si>
  <si>
    <t>Subject3 Grade</t>
  </si>
  <si>
    <t>Subject4 Grade</t>
  </si>
  <si>
    <t>Subject3 Point</t>
  </si>
  <si>
    <t>Subject4 Point</t>
  </si>
  <si>
    <t>Gender</t>
  </si>
  <si>
    <t>Male</t>
  </si>
  <si>
    <t>Female</t>
  </si>
  <si>
    <t>Lecturer in Information &amp; Communication Technology, Bamni Degree College, Companiganj, Noakhali</t>
  </si>
  <si>
    <t>Name in Bengali</t>
  </si>
  <si>
    <t>Father in Bengali</t>
  </si>
  <si>
    <t>Mother in Bengali</t>
  </si>
  <si>
    <t>Mobile</t>
  </si>
  <si>
    <t>Religion</t>
  </si>
  <si>
    <t>Islam</t>
  </si>
  <si>
    <t>Rank</t>
  </si>
  <si>
    <t>Combined Total Marks</t>
  </si>
  <si>
    <t>Nur Islam</t>
  </si>
  <si>
    <t>Bibi kulsum</t>
  </si>
  <si>
    <t>Abdul Alim Shawon</t>
  </si>
  <si>
    <t>Abdul Hadith</t>
  </si>
  <si>
    <t>Rowshona Ara Begum</t>
  </si>
  <si>
    <t>Sharmin Aktar</t>
  </si>
  <si>
    <t>Zakar Hosain Faruk</t>
  </si>
  <si>
    <t>Nur Nahar Nayon</t>
  </si>
  <si>
    <t>Nafisa Aktar Prova</t>
  </si>
  <si>
    <t>Nur Uddin</t>
  </si>
  <si>
    <t>Bibi Fatema Aktar</t>
  </si>
  <si>
    <t>Nafisa Anjum Prena</t>
  </si>
  <si>
    <t>Bibi Fatema Akter</t>
  </si>
  <si>
    <t>Umme Tabassum Maisha</t>
  </si>
  <si>
    <t>Md. Shelim Ullah</t>
  </si>
  <si>
    <t>Shahanaj Aktar</t>
  </si>
  <si>
    <t>Rakhi Ahasan</t>
  </si>
  <si>
    <t>Asan Ullah</t>
  </si>
  <si>
    <t>Amena Begum</t>
  </si>
  <si>
    <t>Nadiyatul Nayem</t>
  </si>
  <si>
    <t>Kamal Uddin</t>
  </si>
  <si>
    <t>Kohinur Aktar</t>
  </si>
  <si>
    <t>Zannatul Ferdaus Fariha</t>
  </si>
  <si>
    <t>Muhammad Sofi Ullah</t>
  </si>
  <si>
    <t>Zoynob Aktar</t>
  </si>
  <si>
    <t>Khadijatul Kubra</t>
  </si>
  <si>
    <t>Golam Sorwar</t>
  </si>
  <si>
    <t>Bibi Kulsum</t>
  </si>
  <si>
    <t>Tanjila Islam</t>
  </si>
  <si>
    <t>Zannatul Ferdaus</t>
  </si>
  <si>
    <t>Nazmun Nahar Rikha</t>
  </si>
  <si>
    <t>Md. Alamgir Hosain</t>
  </si>
  <si>
    <t>Shamsun Nahar</t>
  </si>
  <si>
    <t xml:space="preserve">Umme Rojina </t>
  </si>
  <si>
    <t>Nozrul Islam</t>
  </si>
  <si>
    <t>Rahela Aktar</t>
  </si>
  <si>
    <t>Shahab Uddin</t>
  </si>
  <si>
    <t>Marjahan</t>
  </si>
  <si>
    <t>Shazeda Amin Shuchi</t>
  </si>
  <si>
    <t>Amir Hosain</t>
  </si>
  <si>
    <t>Fatema Aktar</t>
  </si>
  <si>
    <t>Farzana Aktar</t>
  </si>
  <si>
    <t>Atik Ullah</t>
  </si>
  <si>
    <t>Nazman Nahar</t>
  </si>
  <si>
    <t>Nowrin Faiza Niduwa</t>
  </si>
  <si>
    <t>Zashim Uddin</t>
  </si>
  <si>
    <t>Sultana Razia</t>
  </si>
  <si>
    <t>Mahmudau Rahman Munna</t>
  </si>
  <si>
    <t>Msotafizur Rahman</t>
  </si>
  <si>
    <t>Ferdaus Ara</t>
  </si>
  <si>
    <t>Shamsuzzaman</t>
  </si>
  <si>
    <t>Ruhal Amin</t>
  </si>
  <si>
    <t>Dipto Chandra Das</t>
  </si>
  <si>
    <t>Nirmon Chandra Das</t>
  </si>
  <si>
    <t>Anjona Bala Das</t>
  </si>
  <si>
    <t>Hindu</t>
  </si>
  <si>
    <t>Shorfuddin Nayem</t>
  </si>
  <si>
    <t>Dalowar Hosain</t>
  </si>
  <si>
    <t>Razia Sultana</t>
  </si>
  <si>
    <t>Mosaddek Ali</t>
  </si>
  <si>
    <t>Korban Ali</t>
  </si>
  <si>
    <t>Fahmida Sultana</t>
  </si>
  <si>
    <t>Md. Zajam Hosain</t>
  </si>
  <si>
    <t>Bibi Fatema Khatun</t>
  </si>
  <si>
    <t>Aditya Chandra Das (Akash)</t>
  </si>
  <si>
    <t>Dilip Chandra Das</t>
  </si>
  <si>
    <t>Archana Bala Das</t>
  </si>
  <si>
    <t>Golam Kibriya</t>
  </si>
  <si>
    <t>Zakir Hosain</t>
  </si>
  <si>
    <t>Late Rabeya Bosri</t>
  </si>
  <si>
    <t>Fahmidul Alam Abhi</t>
  </si>
  <si>
    <t>Zahangir Alam</t>
  </si>
  <si>
    <t>Lurpur Nahar</t>
  </si>
  <si>
    <t>Abdul Hai Dulal</t>
  </si>
  <si>
    <t>Zhorna Begum</t>
  </si>
  <si>
    <t>Shezanul Bahar Alvi</t>
  </si>
  <si>
    <t>Md. Ali</t>
  </si>
  <si>
    <t>Shetara Bagum</t>
  </si>
  <si>
    <t>Shadiya Bahar</t>
  </si>
  <si>
    <t>Mohammad Ali</t>
  </si>
  <si>
    <t>Shetara Begum</t>
  </si>
  <si>
    <t>Shayed Hasan</t>
  </si>
  <si>
    <t>Fatema Khatun</t>
  </si>
  <si>
    <t>Sumaiya Zahan Tarin</t>
  </si>
  <si>
    <t>Shekh Bahar</t>
  </si>
  <si>
    <t>Toiyober Nesa</t>
  </si>
  <si>
    <t>Late Golam Mowla</t>
  </si>
  <si>
    <t>Nazmun Nahar Begum</t>
  </si>
  <si>
    <t>Nusrat Zahan</t>
  </si>
  <si>
    <t>Abdul Mannan</t>
  </si>
  <si>
    <t>Nur Nahar Begum</t>
  </si>
  <si>
    <t>Arpita Rani Bhoumik</t>
  </si>
  <si>
    <t>Kiriti Kumar Nath</t>
  </si>
  <si>
    <t>Rani Bhowmil</t>
  </si>
  <si>
    <t xml:space="preserve">Israt Zahan Shrabonti </t>
  </si>
  <si>
    <t>Abul Hosain</t>
  </si>
  <si>
    <t>Shaleha Begum</t>
  </si>
  <si>
    <t>Fatema Zannat</t>
  </si>
  <si>
    <t>Motahar Hossain</t>
  </si>
  <si>
    <t>Saleha Begum</t>
  </si>
  <si>
    <t>Rezmin Aktar</t>
  </si>
  <si>
    <t>Bibi Zulekha</t>
  </si>
  <si>
    <t>Md. Shohrab Hosain</t>
  </si>
  <si>
    <t>Feroz Alom</t>
  </si>
  <si>
    <t>Umme Habiba</t>
  </si>
  <si>
    <t>Md. Nur Nobi</t>
  </si>
  <si>
    <t>Fatema Begum</t>
  </si>
  <si>
    <t>Tarek Rahman Tamin</t>
  </si>
  <si>
    <t>Mozubur Rahman</t>
  </si>
  <si>
    <t>Kawsar Khanom Alo</t>
  </si>
  <si>
    <t>Nabiha Nusrat</t>
  </si>
  <si>
    <t>Md. Moin Uddin</t>
  </si>
  <si>
    <t>Nasima Aktar</t>
  </si>
  <si>
    <t>Sharika Mahzabin</t>
  </si>
  <si>
    <t>Md. Nurul Amin</t>
  </si>
  <si>
    <t>Sufiya Khatun</t>
  </si>
  <si>
    <t>Jahedul Islam</t>
  </si>
  <si>
    <t>Md. Shohidul Islam</t>
  </si>
  <si>
    <t>Merina Parshi</t>
  </si>
  <si>
    <t>Abdur Rahman</t>
  </si>
  <si>
    <t>Nur Nahar Bizli</t>
  </si>
  <si>
    <t>Shekh Shohrab Hosain</t>
  </si>
  <si>
    <t>Md. Haris Ahmmed</t>
  </si>
  <si>
    <t>Ferdousra Begum</t>
  </si>
  <si>
    <t>Purnima Aktar</t>
  </si>
  <si>
    <t>Md. Humayon Kabir</t>
  </si>
  <si>
    <t>Momtaz Begum</t>
  </si>
  <si>
    <t>Hridwal  Al Mahmul</t>
  </si>
  <si>
    <t>Mofasser Hosain</t>
  </si>
  <si>
    <t>Sabbir Hosain</t>
  </si>
  <si>
    <t>Mizanaur Rahman</t>
  </si>
  <si>
    <t>Ayesha Aktar</t>
  </si>
  <si>
    <t>Shohidul Islam</t>
  </si>
  <si>
    <t>Rafiq Ullah</t>
  </si>
  <si>
    <t>Setara Begum</t>
  </si>
  <si>
    <t>Shahriyar Nafiz</t>
  </si>
  <si>
    <t xml:space="preserve"> Akramul Haque</t>
  </si>
  <si>
    <t>Fakhrun Nahar</t>
  </si>
  <si>
    <t xml:space="preserve">Md. Ibrahim </t>
  </si>
  <si>
    <t>Shakhawat Ullah</t>
  </si>
  <si>
    <t>Kohinur Begum</t>
  </si>
  <si>
    <t>Fahmida Tabassum</t>
  </si>
  <si>
    <t>Mohammad Mohin Uddin</t>
  </si>
  <si>
    <t>Bibi Hajera</t>
  </si>
  <si>
    <t>Meheraj Uddin</t>
  </si>
  <si>
    <t>Zamal Uddin</t>
  </si>
  <si>
    <t>Aklima Begum</t>
  </si>
  <si>
    <t>Naimur Rahman</t>
  </si>
  <si>
    <t>Lutfur Rahman</t>
  </si>
  <si>
    <t>Tahmina Aktar</t>
  </si>
  <si>
    <t>Amzad Hosain</t>
  </si>
  <si>
    <t xml:space="preserve">Mominul Haque </t>
  </si>
  <si>
    <t>Hasina Aktar</t>
  </si>
  <si>
    <t>Imdadul Haque Zidan</t>
  </si>
  <si>
    <t>Rezaul Haque</t>
  </si>
  <si>
    <t>Parul Aktar</t>
  </si>
  <si>
    <t>Nazmul Haque Sayem</t>
  </si>
  <si>
    <t>Fokhruddin</t>
  </si>
  <si>
    <t>Nur Zahan Begum</t>
  </si>
  <si>
    <t>Sadbin Hasan Shourov</t>
  </si>
  <si>
    <t>Md. Yousuf</t>
  </si>
  <si>
    <t>Rasheda Begum</t>
  </si>
  <si>
    <t>Sujayet Hosain</t>
  </si>
  <si>
    <t>Md. Shakhawat Hosain</t>
  </si>
  <si>
    <t>Kishor Chandra Nath</t>
  </si>
  <si>
    <t>Sunil Chandra Debnath</t>
  </si>
  <si>
    <t>Sobina Rani Devi</t>
  </si>
  <si>
    <t>Apurbo Shorma Apu</t>
  </si>
  <si>
    <t>Nupur Chandra Shel</t>
  </si>
  <si>
    <t>Beauty  Rani Shel</t>
  </si>
  <si>
    <t xml:space="preserve">Md. Ibrahim Khalil </t>
  </si>
  <si>
    <t>Rajaber Nesa</t>
  </si>
  <si>
    <t>Ayman Mahmud Tawsif</t>
  </si>
  <si>
    <t>Md. Nur Uddin</t>
  </si>
  <si>
    <t>Azima Khatun</t>
  </si>
  <si>
    <t>Tanvir Hosain</t>
  </si>
  <si>
    <t>Shakhawat Hosain</t>
  </si>
  <si>
    <t>Kamrun Nahar</t>
  </si>
  <si>
    <t>Abdullah Al Noman</t>
  </si>
  <si>
    <t>Abdul Khalek</t>
  </si>
  <si>
    <t>Gol Nahar</t>
  </si>
  <si>
    <t>Ashraf Uddal</t>
  </si>
  <si>
    <t>Abul Kashem</t>
  </si>
  <si>
    <t>parvin Aktar</t>
  </si>
  <si>
    <t>Mesfar Uddin Ripti</t>
  </si>
  <si>
    <t>Zia Uddin</t>
  </si>
  <si>
    <t>Sumaiya Parvin</t>
  </si>
  <si>
    <t>Shoikot Chandra Shil</t>
  </si>
  <si>
    <t>Bikron Chandra Shil</t>
  </si>
  <si>
    <t xml:space="preserve"> Shema Rani Shil</t>
  </si>
  <si>
    <t>Shourov Chandra Shil</t>
  </si>
  <si>
    <t xml:space="preserve">Bibin Chandra Shil </t>
  </si>
  <si>
    <t>Rekha Rani Shil</t>
  </si>
  <si>
    <t>Nur Nobi</t>
  </si>
  <si>
    <t>Kamrul Nahar</t>
  </si>
  <si>
    <t>Nur Mohammad Rimon</t>
  </si>
  <si>
    <t>Din Mohammad Liton</t>
  </si>
  <si>
    <t xml:space="preserve">Chandhani </t>
  </si>
  <si>
    <t>Saifullah Mansur</t>
  </si>
  <si>
    <t>Abu Bokor Siddique</t>
  </si>
  <si>
    <t>Zunayed Al Mamun</t>
  </si>
  <si>
    <t>Mozammel Haque</t>
  </si>
  <si>
    <t>Bibi Rahima</t>
  </si>
  <si>
    <t>Al Hosain</t>
  </si>
  <si>
    <t>Oli Ullah</t>
  </si>
  <si>
    <t>Feroza Aktar</t>
  </si>
  <si>
    <t>Azizul Haque</t>
  </si>
  <si>
    <t>Moninul Haque</t>
  </si>
  <si>
    <t>Parvin Aktar</t>
  </si>
  <si>
    <t>Farjana Aktar</t>
  </si>
  <si>
    <t>Md. Shahab Uddin</t>
  </si>
  <si>
    <t>Reshma Khatun</t>
  </si>
  <si>
    <t>Imam Hosain</t>
  </si>
  <si>
    <t>Asiya Aktar Hira</t>
  </si>
  <si>
    <t>Moriyam</t>
  </si>
  <si>
    <t>Abu Rayhan</t>
  </si>
  <si>
    <t>Anisul Haqur</t>
  </si>
  <si>
    <t>Rozina Begum</t>
  </si>
  <si>
    <t xml:space="preserve">Azizul Islam </t>
  </si>
  <si>
    <t>Nasir Uddin</t>
  </si>
  <si>
    <t>Sayoda Fatema</t>
  </si>
  <si>
    <t>Muktaddi Al Saber</t>
  </si>
  <si>
    <t>Md. Mizanaur Rahman</t>
  </si>
  <si>
    <t>Golnahar</t>
  </si>
  <si>
    <t xml:space="preserve">Mosharef Hosain </t>
  </si>
  <si>
    <t>Toiyeber Nesa</t>
  </si>
  <si>
    <t>Tanjila Mostafa Tasnim</t>
  </si>
  <si>
    <t>Golam Mostafa</t>
  </si>
  <si>
    <t>Farjana Mostafa</t>
  </si>
  <si>
    <t>Foyez Ahmed</t>
  </si>
  <si>
    <t>Hafim Ahmed</t>
  </si>
  <si>
    <t>Amena Aktar</t>
  </si>
  <si>
    <t>Zannatul Nayem</t>
  </si>
  <si>
    <t>Neyamot Ullah Chowdhury</t>
  </si>
  <si>
    <t>Khaleda Akter</t>
  </si>
  <si>
    <t>Ruhul Amin</t>
  </si>
  <si>
    <t>Fahima Akter</t>
  </si>
  <si>
    <t>01884-168997</t>
  </si>
  <si>
    <t>01821-044223</t>
  </si>
  <si>
    <t>01826-008578</t>
  </si>
  <si>
    <t>01827-220450</t>
  </si>
  <si>
    <t>01811-284099</t>
  </si>
  <si>
    <t>01715-913980</t>
  </si>
  <si>
    <t>01854-017519</t>
  </si>
  <si>
    <t>01815-960966</t>
  </si>
  <si>
    <t>01318-816818</t>
  </si>
  <si>
    <t>01817-412851</t>
  </si>
  <si>
    <t>01815-536524</t>
  </si>
  <si>
    <t>01601-365237</t>
  </si>
  <si>
    <t>01824-105005</t>
  </si>
  <si>
    <t>01875-096313</t>
  </si>
  <si>
    <t>01820-942992</t>
  </si>
  <si>
    <t>01881-334735</t>
  </si>
  <si>
    <t>01818-383576</t>
  </si>
  <si>
    <t>0185-9460020</t>
  </si>
  <si>
    <t>01609-756268</t>
  </si>
  <si>
    <t>01840-637020</t>
  </si>
  <si>
    <t>01885-048969</t>
  </si>
  <si>
    <t>01787-254740</t>
  </si>
  <si>
    <t>01823-710538</t>
  </si>
  <si>
    <t>01818-887179</t>
  </si>
  <si>
    <t>01867-810051</t>
  </si>
  <si>
    <t>01855-701714</t>
  </si>
  <si>
    <t>01881-967699</t>
  </si>
  <si>
    <t>01826-660475</t>
  </si>
  <si>
    <t>01890-789543</t>
  </si>
  <si>
    <t>01824-940969</t>
  </si>
  <si>
    <t>01731-632874</t>
  </si>
  <si>
    <t>01877-996387</t>
  </si>
  <si>
    <t>01824-248710</t>
  </si>
  <si>
    <t>01763-826298</t>
  </si>
  <si>
    <t>01861-661157</t>
  </si>
  <si>
    <t>01825-278479</t>
  </si>
  <si>
    <t>01815-425492</t>
  </si>
  <si>
    <t>01860-644620</t>
  </si>
  <si>
    <t>01828-777699</t>
  </si>
  <si>
    <t>01821-993838</t>
  </si>
  <si>
    <t>01894-009841</t>
  </si>
  <si>
    <t>01881-335502</t>
  </si>
  <si>
    <t>01810-617584</t>
  </si>
  <si>
    <t>01837-895748</t>
  </si>
  <si>
    <t>01861-122989</t>
  </si>
  <si>
    <t>01846-119530</t>
  </si>
  <si>
    <t>01829-679633</t>
  </si>
  <si>
    <t>01812-875122</t>
  </si>
  <si>
    <t>01890-789917</t>
  </si>
  <si>
    <t>01819-475421</t>
  </si>
  <si>
    <t>01822-121872</t>
  </si>
  <si>
    <t>0188-8667149</t>
  </si>
  <si>
    <t>01815-936573</t>
  </si>
  <si>
    <t>01720-980597</t>
  </si>
  <si>
    <t>01810-859088</t>
  </si>
  <si>
    <t>01858-794128</t>
  </si>
  <si>
    <t>01819-723708</t>
  </si>
  <si>
    <t>01863-148786</t>
  </si>
  <si>
    <t>01881-632660</t>
  </si>
  <si>
    <t>01646-296973</t>
  </si>
  <si>
    <t>01834-383535</t>
  </si>
  <si>
    <t>01313-673452</t>
  </si>
  <si>
    <t>01731-980672</t>
  </si>
  <si>
    <t>01819-160428</t>
  </si>
  <si>
    <t>01854-021044</t>
  </si>
  <si>
    <t>01882-441669</t>
  </si>
  <si>
    <t>01829-975984</t>
  </si>
  <si>
    <t>01841-306381</t>
  </si>
  <si>
    <t>01871-086767</t>
  </si>
  <si>
    <t>01896-173490</t>
  </si>
  <si>
    <t>01814-206185</t>
  </si>
  <si>
    <t>01309-719536</t>
  </si>
  <si>
    <t>01871-103506</t>
  </si>
  <si>
    <t>01890-654129</t>
  </si>
  <si>
    <t>01870-298921</t>
  </si>
  <si>
    <t>016124-39957</t>
  </si>
  <si>
    <t>01890-147240</t>
  </si>
  <si>
    <t>01815502619 / 01892028139</t>
  </si>
  <si>
    <t>2023-2024</t>
  </si>
  <si>
    <t>Rampur, Companiganj, Noakhali</t>
  </si>
  <si>
    <t>2021-22</t>
  </si>
  <si>
    <t>Jannatul Mawa Parvin</t>
  </si>
  <si>
    <t>2022-2023</t>
  </si>
  <si>
    <t>2021-23</t>
  </si>
  <si>
    <t>\</t>
  </si>
  <si>
    <t>Merit Position</t>
  </si>
  <si>
    <t>SL</t>
  </si>
  <si>
    <t>Merit</t>
  </si>
  <si>
    <t>-</t>
  </si>
  <si>
    <t>After -2</t>
  </si>
  <si>
    <t>s</t>
  </si>
  <si>
    <r>
      <rPr>
        <sz val="2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>Result (Fail in One Subject)</t>
    </r>
    <r>
      <rPr>
        <sz val="14"/>
        <color theme="1"/>
        <rFont val="Calibri"/>
        <family val="2"/>
        <scheme val="minor"/>
      </rPr>
      <t xml:space="preserve">
</t>
    </r>
  </si>
  <si>
    <r>
      <rPr>
        <b/>
        <sz val="2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4"/>
        <rFont val="Calibri"/>
        <family val="2"/>
        <scheme val="minor"/>
      </rPr>
      <t>Result (Fail in Two Subjects)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</si>
  <si>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2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 xml:space="preserve">Result (Fail in Three Subjects)
</t>
    </r>
  </si>
  <si>
    <r>
      <t xml:space="preserve">
</t>
    </r>
    <r>
      <rPr>
        <u/>
        <sz val="14"/>
        <color theme="1"/>
        <rFont val="Calibri"/>
        <family val="2"/>
        <scheme val="minor"/>
      </rPr>
      <t xml:space="preserve">Result (Fail in Four Subjects)
</t>
    </r>
  </si>
  <si>
    <r>
      <rPr>
        <sz val="2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 xml:space="preserve">Result (Fail in Five Subjects)
</t>
    </r>
  </si>
  <si>
    <r>
      <rPr>
        <sz val="2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4"/>
        <color theme="1"/>
        <rFont val="Calibri"/>
        <family val="2"/>
        <scheme val="minor"/>
      </rPr>
      <t xml:space="preserve">Result (Fail in Six Subjects)
</t>
    </r>
  </si>
  <si>
    <t>Comment</t>
  </si>
  <si>
    <t>Comment2</t>
  </si>
  <si>
    <t>Final Grade</t>
  </si>
  <si>
    <t>BAN</t>
  </si>
  <si>
    <t>ENG</t>
  </si>
  <si>
    <t>I-M</t>
  </si>
  <si>
    <t>I-C</t>
  </si>
  <si>
    <t>I-Pr</t>
  </si>
  <si>
    <t>P-M</t>
  </si>
  <si>
    <t>P-C</t>
  </si>
  <si>
    <t>P-Pr</t>
  </si>
  <si>
    <t>PHY</t>
  </si>
  <si>
    <t>C-M</t>
  </si>
  <si>
    <t>C-C</t>
  </si>
  <si>
    <t>C-Pr</t>
  </si>
  <si>
    <t>CHE</t>
  </si>
  <si>
    <t>S3-M</t>
  </si>
  <si>
    <t>S3-C</t>
  </si>
  <si>
    <t>S3-Pr</t>
  </si>
  <si>
    <t>SUB3</t>
  </si>
  <si>
    <t>S4-M</t>
  </si>
  <si>
    <t>S4-C</t>
  </si>
  <si>
    <t>S4-Pr</t>
  </si>
  <si>
    <t>SUB4</t>
  </si>
  <si>
    <t>S3-Name</t>
  </si>
  <si>
    <t>S4-Name</t>
  </si>
  <si>
    <t>B-CQ</t>
  </si>
  <si>
    <t>B-P</t>
  </si>
  <si>
    <t>E-P</t>
  </si>
  <si>
    <t>I-P</t>
  </si>
  <si>
    <t>P-P</t>
  </si>
  <si>
    <t>C-P</t>
  </si>
  <si>
    <t>S3-P</t>
  </si>
  <si>
    <t>S4-P</t>
  </si>
  <si>
    <t>TOT-P</t>
  </si>
  <si>
    <t>W4</t>
  </si>
  <si>
    <t>ST</t>
  </si>
  <si>
    <t>Farmana Nusrat Chowdhury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</si>
</sst>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C00000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sz val="18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28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NikoshBAN"/>
    </font>
    <font>
      <sz val="11"/>
      <color rgb="FFFF0000"/>
      <name val="Calibri"/>
      <family val="2"/>
      <scheme val="minor"/>
    </font>
    <font>
      <sz val="10"/>
      <color theme="1"/>
      <name val="SutonnyMJ"/>
    </font>
    <font>
      <b/>
      <sz val="10"/>
      <color theme="1"/>
      <name val="SutonnyMJ"/>
    </font>
    <font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Arial Unicode MS"/>
      <family val="2"/>
    </font>
    <font>
      <b/>
      <sz val="8"/>
      <name val="Calibri"/>
      <family val="2"/>
      <scheme val="minor"/>
    </font>
    <font>
      <sz val="8"/>
      <color rgb="FF00B0F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1" fillId="0" borderId="0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4" borderId="0" xfId="0" applyFill="1"/>
    <xf numFmtId="0" fontId="10" fillId="4" borderId="0" xfId="0" applyFont="1" applyFill="1" applyProtection="1"/>
    <xf numFmtId="0" fontId="0" fillId="4" borderId="0" xfId="0" applyFill="1" applyProtection="1"/>
    <xf numFmtId="0" fontId="4" fillId="5" borderId="0" xfId="0" applyFont="1" applyFill="1" applyProtection="1"/>
    <xf numFmtId="0" fontId="4" fillId="4" borderId="0" xfId="0" applyFont="1" applyFill="1" applyProtection="1"/>
    <xf numFmtId="0" fontId="11" fillId="5" borderId="0" xfId="0" applyFont="1" applyFill="1" applyAlignment="1" applyProtection="1">
      <alignment horizontal="center"/>
    </xf>
    <xf numFmtId="0" fontId="4" fillId="5" borderId="0" xfId="0" applyFont="1" applyFill="1" applyAlignment="1" applyProtection="1">
      <alignment horizontal="center"/>
    </xf>
    <xf numFmtId="0" fontId="12" fillId="6" borderId="0" xfId="0" applyFont="1" applyFill="1" applyAlignment="1">
      <alignment horizontal="center"/>
    </xf>
    <xf numFmtId="49" fontId="12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2" fillId="7" borderId="1" xfId="0" applyFont="1" applyFill="1" applyBorder="1" applyAlignment="1">
      <alignment horizontal="center"/>
    </xf>
    <xf numFmtId="2" fontId="0" fillId="2" borderId="1" xfId="0" applyNumberFormat="1" applyFill="1" applyBorder="1" applyAlignment="1" applyProtection="1">
      <alignment horizontal="center"/>
    </xf>
    <xf numFmtId="1" fontId="0" fillId="0" borderId="2" xfId="0" applyNumberFormat="1" applyBorder="1"/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/>
    <xf numFmtId="0" fontId="3" fillId="4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9" fillId="4" borderId="0" xfId="0" applyFont="1" applyFill="1" applyAlignment="1"/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/>
    <xf numFmtId="0" fontId="2" fillId="0" borderId="4" xfId="0" applyFont="1" applyBorder="1" applyAlignment="1"/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2" fontId="17" fillId="0" borderId="0" xfId="0" applyNumberFormat="1" applyFont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49" fontId="0" fillId="0" borderId="1" xfId="0" applyNumberFormat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0" fontId="0" fillId="14" borderId="0" xfId="0" applyFill="1" applyBorder="1"/>
    <xf numFmtId="0" fontId="1" fillId="4" borderId="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0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2" fillId="4" borderId="10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/>
    <xf numFmtId="2" fontId="24" fillId="0" borderId="1" xfId="0" applyNumberFormat="1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2" fontId="0" fillId="0" borderId="2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0" fillId="0" borderId="1" xfId="0" applyFont="1" applyBorder="1"/>
    <xf numFmtId="2" fontId="0" fillId="0" borderId="1" xfId="0" applyNumberFormat="1" applyBorder="1"/>
    <xf numFmtId="1" fontId="0" fillId="0" borderId="1" xfId="0" applyNumberFormat="1" applyBorder="1"/>
    <xf numFmtId="0" fontId="31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32" fillId="4" borderId="10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1" fontId="28" fillId="0" borderId="1" xfId="0" applyNumberFormat="1" applyFont="1" applyFill="1" applyBorder="1" applyAlignment="1">
      <alignment horizontal="center"/>
    </xf>
    <xf numFmtId="0" fontId="28" fillId="0" borderId="1" xfId="0" applyFont="1" applyFill="1" applyBorder="1" applyAlignment="1">
      <alignment horizontal="left"/>
    </xf>
    <xf numFmtId="2" fontId="28" fillId="0" borderId="1" xfId="0" applyNumberFormat="1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 vertical="center"/>
    </xf>
    <xf numFmtId="0" fontId="28" fillId="0" borderId="0" xfId="0" applyFont="1" applyFill="1"/>
    <xf numFmtId="0" fontId="28" fillId="0" borderId="0" xfId="0" applyFont="1" applyFill="1" applyBorder="1"/>
    <xf numFmtId="0" fontId="28" fillId="0" borderId="0" xfId="0" applyFont="1" applyFill="1" applyBorder="1" applyAlignment="1">
      <alignment horizontal="left"/>
    </xf>
    <xf numFmtId="0" fontId="28" fillId="0" borderId="0" xfId="0" applyFont="1" applyFill="1" applyAlignment="1">
      <alignment horizontal="center"/>
    </xf>
    <xf numFmtId="0" fontId="34" fillId="4" borderId="1" xfId="0" applyFont="1" applyFill="1" applyBorder="1" applyAlignment="1">
      <alignment horizontal="center"/>
    </xf>
    <xf numFmtId="1" fontId="35" fillId="0" borderId="1" xfId="0" applyNumberFormat="1" applyFont="1" applyFill="1" applyBorder="1" applyAlignment="1">
      <alignment horizontal="center"/>
    </xf>
    <xf numFmtId="0" fontId="35" fillId="0" borderId="0" xfId="0" applyFont="1" applyFill="1"/>
    <xf numFmtId="0" fontId="35" fillId="0" borderId="1" xfId="0" applyFont="1" applyFill="1" applyBorder="1" applyAlignment="1">
      <alignment horizontal="center"/>
    </xf>
    <xf numFmtId="0" fontId="35" fillId="0" borderId="0" xfId="0" applyFont="1" applyFill="1" applyBorder="1"/>
    <xf numFmtId="0" fontId="34" fillId="4" borderId="1" xfId="0" applyFont="1" applyFill="1" applyBorder="1" applyAlignment="1">
      <alignment horizontal="left"/>
    </xf>
    <xf numFmtId="164" fontId="28" fillId="0" borderId="1" xfId="0" applyNumberFormat="1" applyFont="1" applyFill="1" applyBorder="1" applyAlignment="1">
      <alignment horizontal="center"/>
    </xf>
    <xf numFmtId="0" fontId="28" fillId="0" borderId="1" xfId="0" applyFont="1" applyFill="1" applyBorder="1"/>
    <xf numFmtId="0" fontId="0" fillId="16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2" fillId="7" borderId="1" xfId="0" applyNumberFormat="1" applyFont="1" applyFill="1" applyBorder="1" applyAlignment="1">
      <alignment horizontal="center"/>
    </xf>
    <xf numFmtId="1" fontId="2" fillId="16" borderId="1" xfId="0" applyNumberFormat="1" applyFont="1" applyFill="1" applyBorder="1" applyAlignment="1">
      <alignment horizontal="center"/>
    </xf>
    <xf numFmtId="2" fontId="0" fillId="2" borderId="0" xfId="0" applyNumberForma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5" fillId="5" borderId="0" xfId="0" applyFont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19" fillId="0" borderId="8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336550</xdr:colOff>
      <xdr:row>0</xdr:row>
      <xdr:rowOff>247650</xdr:rowOff>
    </xdr:from>
    <xdr:to>
      <xdr:col>22</xdr:col>
      <xdr:colOff>108135</xdr:colOff>
      <xdr:row>0</xdr:row>
      <xdr:rowOff>1352607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0" y="247650"/>
          <a:ext cx="3600635" cy="1104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22</xdr:col>
      <xdr:colOff>95435</xdr:colOff>
      <xdr:row>0</xdr:row>
      <xdr:rowOff>1289107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0" y="184150"/>
          <a:ext cx="3600635" cy="1104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349250</xdr:colOff>
      <xdr:row>0</xdr:row>
      <xdr:rowOff>133350</xdr:rowOff>
    </xdr:from>
    <xdr:to>
      <xdr:col>22</xdr:col>
      <xdr:colOff>95435</xdr:colOff>
      <xdr:row>0</xdr:row>
      <xdr:rowOff>1238307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" y="133350"/>
          <a:ext cx="3600635" cy="11049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0</xdr:row>
      <xdr:rowOff>165100</xdr:rowOff>
    </xdr:from>
    <xdr:to>
      <xdr:col>22</xdr:col>
      <xdr:colOff>63685</xdr:colOff>
      <xdr:row>0</xdr:row>
      <xdr:rowOff>1270057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65100"/>
          <a:ext cx="3600635" cy="11049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222250</xdr:rowOff>
    </xdr:from>
    <xdr:to>
      <xdr:col>22</xdr:col>
      <xdr:colOff>165285</xdr:colOff>
      <xdr:row>0</xdr:row>
      <xdr:rowOff>1327207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350" y="222250"/>
          <a:ext cx="3600635" cy="11049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355600</xdr:colOff>
      <xdr:row>0</xdr:row>
      <xdr:rowOff>146050</xdr:rowOff>
    </xdr:from>
    <xdr:to>
      <xdr:col>22</xdr:col>
      <xdr:colOff>101785</xdr:colOff>
      <xdr:row>0</xdr:row>
      <xdr:rowOff>1251007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46050"/>
          <a:ext cx="3600635" cy="1104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R11"/>
  <sheetViews>
    <sheetView workbookViewId="0">
      <selection activeCell="G1" sqref="G1"/>
    </sheetView>
  </sheetViews>
  <sheetFormatPr defaultRowHeight="14.5" x14ac:dyDescent="0.35"/>
  <cols>
    <col min="1" max="16384" width="8.7265625" style="18"/>
  </cols>
  <sheetData>
    <row r="8" spans="3:18" ht="55" customHeight="1" x14ac:dyDescent="0.55000000000000004">
      <c r="D8" s="152" t="s">
        <v>33</v>
      </c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</row>
    <row r="10" spans="3:18" ht="23.5" x14ac:dyDescent="0.55000000000000004">
      <c r="C10" s="47" t="s">
        <v>116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spans="3:18" ht="23.5" x14ac:dyDescent="0.55000000000000004">
      <c r="D11" s="153" t="s">
        <v>23</v>
      </c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</row>
  </sheetData>
  <sheetProtection algorithmName="SHA-512" hashValue="/suj4CjJ4n6CGArwDv1wjIc8hwet1B0sCyZG6IbO464IvErYIP+gvcoqlChW6D1svQYfrRkxQ4K2nOCd6oFw4g==" saltValue="iB+8EWKiSrzGtlZCOdEyOA==" spinCount="100000" sheet="1" objects="1" scenarios="1" formatCells="0" formatColumns="0" formatRows="0" insertColumns="0" insertRows="0" insertHyperlinks="0" deleteColumns="0" deleteRows="0" sort="0" autoFilter="0" pivotTables="0"/>
  <mergeCells count="2">
    <mergeCell ref="D8:O8"/>
    <mergeCell ref="D11:O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zoomScale="85" zoomScaleNormal="85" workbookViewId="0">
      <selection activeCell="E1" sqref="E1"/>
    </sheetView>
  </sheetViews>
  <sheetFormatPr defaultRowHeight="14.5" x14ac:dyDescent="0.35"/>
  <cols>
    <col min="1" max="1" width="44.26953125" style="20" bestFit="1" customWidth="1"/>
    <col min="2" max="2" width="6.36328125" style="20" customWidth="1"/>
    <col min="3" max="3" width="13.08984375" style="20" customWidth="1"/>
    <col min="4" max="4" width="17.26953125" style="20" customWidth="1"/>
    <col min="5" max="5" width="15.26953125" style="20" customWidth="1"/>
    <col min="6" max="16384" width="8.7265625" style="20"/>
  </cols>
  <sheetData>
    <row r="2" spans="1:5" ht="23.5" x14ac:dyDescent="0.55000000000000004">
      <c r="A2" s="19" t="s">
        <v>31</v>
      </c>
      <c r="C2" s="154" t="s">
        <v>32</v>
      </c>
      <c r="D2" s="155"/>
      <c r="E2" s="155"/>
    </row>
    <row r="4" spans="1:5" ht="21" x14ac:dyDescent="0.5">
      <c r="A4" s="19" t="s">
        <v>24</v>
      </c>
      <c r="B4" s="19"/>
      <c r="C4" s="21"/>
      <c r="E4" s="21"/>
    </row>
    <row r="5" spans="1:5" ht="21" x14ac:dyDescent="0.5">
      <c r="A5" s="22"/>
      <c r="B5" s="22"/>
      <c r="C5" s="22"/>
    </row>
    <row r="6" spans="1:5" ht="21" x14ac:dyDescent="0.5">
      <c r="A6" s="19" t="s">
        <v>25</v>
      </c>
      <c r="B6" s="19"/>
      <c r="C6" s="21"/>
    </row>
    <row r="7" spans="1:5" ht="21" x14ac:dyDescent="0.5">
      <c r="A7" s="22"/>
      <c r="B7" s="22"/>
      <c r="C7" s="22"/>
    </row>
    <row r="8" spans="1:5" ht="21" x14ac:dyDescent="0.5">
      <c r="A8" s="19" t="s">
        <v>26</v>
      </c>
      <c r="B8" s="19"/>
      <c r="C8" s="21"/>
    </row>
    <row r="9" spans="1:5" ht="21" x14ac:dyDescent="0.5">
      <c r="A9" s="22"/>
      <c r="B9" s="22"/>
      <c r="C9" s="22"/>
    </row>
    <row r="10" spans="1:5" ht="21" x14ac:dyDescent="0.5">
      <c r="A10" s="19" t="s">
        <v>27</v>
      </c>
      <c r="B10" s="19"/>
      <c r="C10" s="23">
        <f>C4+C6+C8</f>
        <v>0</v>
      </c>
    </row>
    <row r="11" spans="1:5" ht="21" x14ac:dyDescent="0.5">
      <c r="A11" s="22"/>
      <c r="B11" s="22"/>
      <c r="C11" s="22"/>
    </row>
    <row r="12" spans="1:5" ht="21" x14ac:dyDescent="0.5">
      <c r="A12" s="19" t="s">
        <v>30</v>
      </c>
      <c r="B12" s="19"/>
      <c r="C12" s="24">
        <v>25</v>
      </c>
    </row>
    <row r="13" spans="1:5" ht="21" x14ac:dyDescent="0.5">
      <c r="A13" s="22"/>
      <c r="B13" s="22"/>
      <c r="C13" s="22"/>
    </row>
    <row r="14" spans="1:5" ht="21" x14ac:dyDescent="0.5">
      <c r="A14" s="19" t="s">
        <v>28</v>
      </c>
      <c r="B14" s="19"/>
      <c r="C14" s="24">
        <v>50</v>
      </c>
    </row>
    <row r="15" spans="1:5" ht="21" x14ac:dyDescent="0.5">
      <c r="A15" s="22"/>
      <c r="B15" s="22"/>
      <c r="C15" s="22"/>
    </row>
    <row r="16" spans="1:5" ht="21" x14ac:dyDescent="0.5">
      <c r="A16" s="19" t="s">
        <v>29</v>
      </c>
      <c r="B16" s="19"/>
      <c r="C16" s="24">
        <v>25</v>
      </c>
    </row>
    <row r="17" spans="1:3" ht="21" x14ac:dyDescent="0.5">
      <c r="A17" s="22"/>
      <c r="B17" s="22"/>
      <c r="C17" s="22"/>
    </row>
    <row r="18" spans="1:3" ht="21" x14ac:dyDescent="0.5">
      <c r="A18" s="19" t="s">
        <v>6</v>
      </c>
      <c r="B18" s="19"/>
      <c r="C18" s="23">
        <f>C12+C14+C16</f>
        <v>100</v>
      </c>
    </row>
  </sheetData>
  <mergeCells count="1"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0" sqref="F20"/>
    </sheetView>
  </sheetViews>
  <sheetFormatPr defaultRowHeight="14.5" x14ac:dyDescent="0.35"/>
  <cols>
    <col min="1" max="1" width="9.81640625" style="1" bestFit="1" customWidth="1"/>
    <col min="2" max="6" width="8.7265625" style="1"/>
  </cols>
  <sheetData>
    <row r="1" spans="1:6" x14ac:dyDescent="0.35">
      <c r="A1" s="17" t="s">
        <v>1</v>
      </c>
      <c r="B1" s="17" t="s">
        <v>0</v>
      </c>
      <c r="C1" s="17" t="s">
        <v>19</v>
      </c>
      <c r="D1" s="17" t="s">
        <v>20</v>
      </c>
      <c r="E1" s="17" t="s">
        <v>21</v>
      </c>
      <c r="F1" s="17" t="s">
        <v>22</v>
      </c>
    </row>
    <row r="2" spans="1:6" x14ac:dyDescent="0.35">
      <c r="A2" s="1" t="s">
        <v>2</v>
      </c>
      <c r="B2" s="1">
        <v>701</v>
      </c>
    </row>
    <row r="3" spans="1:6" x14ac:dyDescent="0.35">
      <c r="A3" s="1" t="s">
        <v>2</v>
      </c>
      <c r="B3" s="1">
        <v>702</v>
      </c>
    </row>
    <row r="4" spans="1:6" x14ac:dyDescent="0.35">
      <c r="A4" s="1" t="s">
        <v>2</v>
      </c>
      <c r="B4" s="1">
        <v>703</v>
      </c>
    </row>
    <row r="5" spans="1:6" x14ac:dyDescent="0.35">
      <c r="A5" s="1" t="s">
        <v>2</v>
      </c>
      <c r="B5" s="1">
        <v>704</v>
      </c>
    </row>
    <row r="6" spans="1:6" x14ac:dyDescent="0.35">
      <c r="A6" s="1" t="s">
        <v>2</v>
      </c>
      <c r="B6" s="1">
        <v>705</v>
      </c>
    </row>
    <row r="7" spans="1:6" x14ac:dyDescent="0.35">
      <c r="A7" s="1" t="s">
        <v>2</v>
      </c>
      <c r="B7" s="1">
        <v>706</v>
      </c>
    </row>
    <row r="8" spans="1:6" x14ac:dyDescent="0.35">
      <c r="A8" s="1" t="s">
        <v>2</v>
      </c>
      <c r="B8" s="1">
        <v>707</v>
      </c>
    </row>
    <row r="9" spans="1:6" x14ac:dyDescent="0.35">
      <c r="A9" s="1" t="s">
        <v>2</v>
      </c>
      <c r="B9" s="1">
        <v>708</v>
      </c>
    </row>
    <row r="10" spans="1:6" x14ac:dyDescent="0.35">
      <c r="A10" s="1" t="s">
        <v>2</v>
      </c>
      <c r="B10" s="1">
        <v>709</v>
      </c>
    </row>
    <row r="11" spans="1:6" x14ac:dyDescent="0.35">
      <c r="A11" s="1" t="s">
        <v>2</v>
      </c>
      <c r="B11" s="1">
        <v>710</v>
      </c>
    </row>
    <row r="12" spans="1:6" x14ac:dyDescent="0.35">
      <c r="A12" s="1" t="s">
        <v>3</v>
      </c>
    </row>
    <row r="13" spans="1:6" x14ac:dyDescent="0.35">
      <c r="A13" s="1" t="s">
        <v>3</v>
      </c>
    </row>
    <row r="14" spans="1:6" x14ac:dyDescent="0.35">
      <c r="A14" s="1" t="s">
        <v>3</v>
      </c>
    </row>
    <row r="15" spans="1:6" x14ac:dyDescent="0.35">
      <c r="A15" s="1" t="s">
        <v>3</v>
      </c>
    </row>
    <row r="16" spans="1:6" x14ac:dyDescent="0.35">
      <c r="A16" s="1" t="s">
        <v>3</v>
      </c>
    </row>
    <row r="17" spans="1:4" x14ac:dyDescent="0.35">
      <c r="A17" s="1" t="s">
        <v>11</v>
      </c>
    </row>
    <row r="18" spans="1:4" x14ac:dyDescent="0.35">
      <c r="A18" s="1" t="s">
        <v>11</v>
      </c>
      <c r="D18" s="1" t="s">
        <v>10</v>
      </c>
    </row>
    <row r="19" spans="1:4" x14ac:dyDescent="0.35">
      <c r="A19" s="1" t="s">
        <v>11</v>
      </c>
    </row>
    <row r="20" spans="1:4" x14ac:dyDescent="0.35">
      <c r="A20" s="1" t="s">
        <v>11</v>
      </c>
    </row>
    <row r="21" spans="1:4" x14ac:dyDescent="0.35">
      <c r="A21" s="1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2"/>
  <sheetViews>
    <sheetView workbookViewId="0">
      <selection activeCell="G14" sqref="G14"/>
    </sheetView>
  </sheetViews>
  <sheetFormatPr defaultRowHeight="14.5" x14ac:dyDescent="0.35"/>
  <cols>
    <col min="1" max="1" width="5" style="1" customWidth="1"/>
    <col min="2" max="2" width="7.54296875" style="1" customWidth="1"/>
    <col min="3" max="3" width="15.7265625" style="1" bestFit="1" customWidth="1"/>
    <col min="4" max="4" width="27.453125" style="1" bestFit="1" customWidth="1"/>
    <col min="5" max="5" width="14.36328125" style="1" bestFit="1" customWidth="1"/>
    <col min="6" max="7" width="14.36328125" style="1" customWidth="1"/>
    <col min="8" max="8" width="35.90625" style="1" bestFit="1" customWidth="1"/>
    <col min="9" max="9" width="12.36328125" style="27" customWidth="1"/>
    <col min="10" max="10" width="9.453125" style="1" bestFit="1" customWidth="1"/>
    <col min="11" max="11" width="15.36328125" style="1" bestFit="1" customWidth="1"/>
    <col min="12" max="12" width="14.81640625" style="1" bestFit="1" customWidth="1"/>
    <col min="13" max="13" width="15.7265625" style="1" bestFit="1" customWidth="1"/>
  </cols>
  <sheetData>
    <row r="1" spans="1:14" ht="15" thickBot="1" x14ac:dyDescent="0.4">
      <c r="A1" s="25" t="s">
        <v>34</v>
      </c>
      <c r="B1" s="25" t="s">
        <v>1</v>
      </c>
      <c r="C1" s="25" t="s">
        <v>36</v>
      </c>
      <c r="D1" s="25" t="s">
        <v>35</v>
      </c>
      <c r="E1" s="25" t="s">
        <v>37</v>
      </c>
      <c r="F1" s="25" t="s">
        <v>113</v>
      </c>
      <c r="G1" s="25" t="s">
        <v>121</v>
      </c>
      <c r="H1" s="25" t="s">
        <v>40</v>
      </c>
      <c r="I1" s="26" t="s">
        <v>39</v>
      </c>
      <c r="J1" s="25" t="s">
        <v>38</v>
      </c>
      <c r="K1" s="25" t="s">
        <v>117</v>
      </c>
      <c r="L1" s="25" t="s">
        <v>118</v>
      </c>
      <c r="M1" s="25" t="s">
        <v>119</v>
      </c>
      <c r="N1" s="25" t="s">
        <v>53</v>
      </c>
    </row>
    <row r="2" spans="1:14" ht="14.5" customHeight="1" thickBot="1" x14ac:dyDescent="0.4">
      <c r="A2" s="28">
        <v>701</v>
      </c>
      <c r="B2" s="3" t="s">
        <v>2</v>
      </c>
      <c r="C2" s="52" t="s">
        <v>351</v>
      </c>
      <c r="D2" s="53" t="s">
        <v>352</v>
      </c>
      <c r="E2" s="52" t="s">
        <v>353</v>
      </c>
      <c r="F2" s="54" t="s">
        <v>115</v>
      </c>
      <c r="G2" s="54" t="s">
        <v>122</v>
      </c>
      <c r="H2" s="3" t="s">
        <v>441</v>
      </c>
      <c r="I2" s="58" t="s">
        <v>362</v>
      </c>
      <c r="J2" s="3" t="s">
        <v>440</v>
      </c>
      <c r="K2" s="49"/>
      <c r="L2" s="49"/>
      <c r="M2" s="49"/>
      <c r="N2" s="50"/>
    </row>
    <row r="3" spans="1:14" ht="14.5" customHeight="1" thickBot="1" x14ac:dyDescent="0.4">
      <c r="A3" s="28">
        <v>702</v>
      </c>
      <c r="B3" s="3" t="s">
        <v>2</v>
      </c>
      <c r="C3" s="52" t="s">
        <v>354</v>
      </c>
      <c r="D3" s="53" t="s">
        <v>355</v>
      </c>
      <c r="E3" s="52" t="s">
        <v>356</v>
      </c>
      <c r="F3" s="54" t="s">
        <v>114</v>
      </c>
      <c r="G3" s="54" t="s">
        <v>122</v>
      </c>
      <c r="H3" s="3" t="s">
        <v>441</v>
      </c>
      <c r="I3" s="59" t="s">
        <v>363</v>
      </c>
      <c r="J3" s="3" t="s">
        <v>440</v>
      </c>
      <c r="K3" s="3"/>
      <c r="L3" s="3"/>
      <c r="M3" s="3"/>
      <c r="N3" s="2"/>
    </row>
    <row r="4" spans="1:14" ht="15" customHeight="1" thickBot="1" x14ac:dyDescent="0.4">
      <c r="A4" s="28">
        <v>703</v>
      </c>
      <c r="B4" s="3" t="s">
        <v>2</v>
      </c>
      <c r="C4" s="52" t="s">
        <v>357</v>
      </c>
      <c r="D4" s="53" t="s">
        <v>125</v>
      </c>
      <c r="E4" s="52" t="s">
        <v>126</v>
      </c>
      <c r="F4" s="54" t="s">
        <v>115</v>
      </c>
      <c r="G4" s="54" t="s">
        <v>122</v>
      </c>
      <c r="H4" s="3" t="s">
        <v>441</v>
      </c>
      <c r="I4" s="60" t="s">
        <v>364</v>
      </c>
      <c r="J4" s="3" t="s">
        <v>440</v>
      </c>
      <c r="K4" s="3"/>
      <c r="L4" s="3"/>
      <c r="M4" s="3"/>
      <c r="N4" s="2"/>
    </row>
    <row r="5" spans="1:14" ht="14.5" customHeight="1" thickBot="1" x14ac:dyDescent="0.4">
      <c r="A5" s="28">
        <v>704</v>
      </c>
      <c r="B5" s="3" t="s">
        <v>2</v>
      </c>
      <c r="C5" s="52" t="s">
        <v>496</v>
      </c>
      <c r="D5" s="53" t="s">
        <v>358</v>
      </c>
      <c r="E5" s="52" t="s">
        <v>359</v>
      </c>
      <c r="F5" s="54" t="s">
        <v>115</v>
      </c>
      <c r="G5" s="54" t="s">
        <v>122</v>
      </c>
      <c r="H5" s="3" t="s">
        <v>441</v>
      </c>
      <c r="I5" s="60">
        <v>1824826416</v>
      </c>
      <c r="J5" s="3" t="s">
        <v>440</v>
      </c>
      <c r="K5" s="3"/>
      <c r="L5" s="3"/>
      <c r="M5" s="3"/>
      <c r="N5" s="2"/>
    </row>
    <row r="6" spans="1:14" ht="14.5" customHeight="1" x14ac:dyDescent="0.35">
      <c r="A6" s="28">
        <v>705</v>
      </c>
      <c r="B6" s="3" t="s">
        <v>2</v>
      </c>
      <c r="C6" s="52" t="s">
        <v>154</v>
      </c>
      <c r="D6" s="53" t="s">
        <v>360</v>
      </c>
      <c r="E6" s="52" t="s">
        <v>361</v>
      </c>
      <c r="F6" s="54" t="s">
        <v>115</v>
      </c>
      <c r="G6" s="54" t="s">
        <v>122</v>
      </c>
      <c r="H6" s="3" t="s">
        <v>441</v>
      </c>
      <c r="I6" s="61" t="s">
        <v>439</v>
      </c>
      <c r="J6" s="3" t="s">
        <v>440</v>
      </c>
      <c r="K6" s="3"/>
      <c r="L6" s="3"/>
      <c r="M6" s="3"/>
      <c r="N6" s="2"/>
    </row>
    <row r="7" spans="1:14" ht="15" customHeight="1" thickBot="1" x14ac:dyDescent="0.4">
      <c r="A7" s="28">
        <v>706</v>
      </c>
      <c r="B7" s="3" t="s">
        <v>2</v>
      </c>
      <c r="C7" s="52" t="s">
        <v>127</v>
      </c>
      <c r="D7" s="53" t="s">
        <v>128</v>
      </c>
      <c r="E7" s="52" t="s">
        <v>129</v>
      </c>
      <c r="F7" s="54" t="s">
        <v>114</v>
      </c>
      <c r="G7" s="54" t="s">
        <v>122</v>
      </c>
      <c r="H7" s="3" t="s">
        <v>441</v>
      </c>
      <c r="I7" s="60" t="s">
        <v>365</v>
      </c>
      <c r="J7" s="3" t="s">
        <v>440</v>
      </c>
      <c r="K7" s="3"/>
      <c r="L7" s="3"/>
      <c r="M7" s="3"/>
      <c r="N7" s="2"/>
    </row>
    <row r="8" spans="1:14" ht="14.5" customHeight="1" thickBot="1" x14ac:dyDescent="0.4">
      <c r="A8" s="28">
        <v>707</v>
      </c>
      <c r="B8" s="3" t="s">
        <v>2</v>
      </c>
      <c r="C8" s="52" t="s">
        <v>130</v>
      </c>
      <c r="D8" s="53" t="s">
        <v>131</v>
      </c>
      <c r="E8" s="52" t="s">
        <v>132</v>
      </c>
      <c r="F8" s="54" t="s">
        <v>115</v>
      </c>
      <c r="G8" s="54" t="s">
        <v>122</v>
      </c>
      <c r="H8" s="3" t="s">
        <v>441</v>
      </c>
      <c r="I8" s="60" t="s">
        <v>366</v>
      </c>
      <c r="J8" s="3" t="s">
        <v>440</v>
      </c>
      <c r="K8" s="3"/>
      <c r="L8" s="3"/>
      <c r="M8" s="3"/>
      <c r="N8" s="2"/>
    </row>
    <row r="9" spans="1:14" ht="14.5" customHeight="1" thickBot="1" x14ac:dyDescent="0.4">
      <c r="A9" s="28">
        <v>708</v>
      </c>
      <c r="B9" s="3" t="s">
        <v>2</v>
      </c>
      <c r="C9" s="52" t="s">
        <v>133</v>
      </c>
      <c r="D9" s="53" t="s">
        <v>134</v>
      </c>
      <c r="E9" s="52" t="s">
        <v>135</v>
      </c>
      <c r="F9" s="54" t="s">
        <v>115</v>
      </c>
      <c r="G9" s="54" t="s">
        <v>122</v>
      </c>
      <c r="H9" s="3" t="s">
        <v>441</v>
      </c>
      <c r="I9" s="60" t="s">
        <v>367</v>
      </c>
      <c r="J9" s="3" t="s">
        <v>440</v>
      </c>
      <c r="K9" s="3"/>
      <c r="L9" s="3"/>
      <c r="M9" s="3"/>
      <c r="N9" s="2"/>
    </row>
    <row r="10" spans="1:14" ht="15" customHeight="1" thickBot="1" x14ac:dyDescent="0.4">
      <c r="A10" s="28">
        <v>709</v>
      </c>
      <c r="B10" s="3" t="s">
        <v>2</v>
      </c>
      <c r="C10" s="52" t="s">
        <v>136</v>
      </c>
      <c r="D10" s="53" t="s">
        <v>134</v>
      </c>
      <c r="E10" s="52" t="s">
        <v>137</v>
      </c>
      <c r="F10" s="54" t="s">
        <v>115</v>
      </c>
      <c r="G10" s="54" t="s">
        <v>122</v>
      </c>
      <c r="H10" s="3" t="s">
        <v>441</v>
      </c>
      <c r="I10" s="60" t="s">
        <v>368</v>
      </c>
      <c r="J10" s="3" t="s">
        <v>440</v>
      </c>
      <c r="K10" s="3"/>
      <c r="L10" s="3"/>
      <c r="M10" s="3"/>
      <c r="N10" s="2"/>
    </row>
    <row r="11" spans="1:14" ht="14.5" customHeight="1" thickBot="1" x14ac:dyDescent="0.4">
      <c r="A11" s="28">
        <v>710</v>
      </c>
      <c r="B11" s="51" t="s">
        <v>2</v>
      </c>
      <c r="C11" s="52" t="s">
        <v>138</v>
      </c>
      <c r="D11" s="57" t="s">
        <v>139</v>
      </c>
      <c r="E11" s="52" t="s">
        <v>140</v>
      </c>
      <c r="F11" s="54" t="s">
        <v>115</v>
      </c>
      <c r="G11" s="54" t="s">
        <v>122</v>
      </c>
      <c r="H11" s="3" t="s">
        <v>441</v>
      </c>
      <c r="I11" s="60"/>
      <c r="J11" s="3" t="s">
        <v>440</v>
      </c>
      <c r="K11" s="3"/>
      <c r="L11" s="3"/>
      <c r="M11" s="3"/>
      <c r="N11" s="2"/>
    </row>
    <row r="12" spans="1:14" ht="14.5" customHeight="1" thickBot="1" x14ac:dyDescent="0.4">
      <c r="A12" s="28">
        <v>711</v>
      </c>
      <c r="B12" s="51" t="s">
        <v>2</v>
      </c>
      <c r="C12" s="48" t="s">
        <v>141</v>
      </c>
      <c r="D12" s="56" t="s">
        <v>142</v>
      </c>
      <c r="E12" s="48" t="s">
        <v>143</v>
      </c>
      <c r="F12" s="3" t="s">
        <v>115</v>
      </c>
      <c r="G12" s="3" t="s">
        <v>122</v>
      </c>
      <c r="H12" s="3" t="s">
        <v>441</v>
      </c>
      <c r="I12" s="60" t="s">
        <v>369</v>
      </c>
      <c r="J12" s="3" t="s">
        <v>440</v>
      </c>
      <c r="K12" s="2"/>
      <c r="L12" s="2"/>
      <c r="M12" s="2"/>
      <c r="N12" s="2"/>
    </row>
    <row r="13" spans="1:14" ht="15" customHeight="1" thickBot="1" x14ac:dyDescent="0.4">
      <c r="A13" s="28">
        <v>712</v>
      </c>
      <c r="B13" s="3" t="s">
        <v>2</v>
      </c>
      <c r="C13" s="48" t="s">
        <v>144</v>
      </c>
      <c r="D13" s="56" t="s">
        <v>145</v>
      </c>
      <c r="E13" s="48" t="s">
        <v>146</v>
      </c>
      <c r="F13" s="3" t="s">
        <v>115</v>
      </c>
      <c r="G13" s="3" t="s">
        <v>122</v>
      </c>
      <c r="H13" s="3" t="s">
        <v>441</v>
      </c>
      <c r="I13" s="58" t="s">
        <v>370</v>
      </c>
      <c r="J13" s="3" t="s">
        <v>440</v>
      </c>
      <c r="K13" s="2"/>
      <c r="L13" s="2"/>
      <c r="M13" s="2"/>
      <c r="N13" s="2"/>
    </row>
    <row r="14" spans="1:14" ht="14.5" customHeight="1" thickBot="1" x14ac:dyDescent="0.4">
      <c r="A14" s="28">
        <v>713</v>
      </c>
      <c r="B14" s="3" t="s">
        <v>2</v>
      </c>
      <c r="C14" s="48" t="s">
        <v>147</v>
      </c>
      <c r="D14" s="56" t="s">
        <v>148</v>
      </c>
      <c r="E14" s="48" t="s">
        <v>149</v>
      </c>
      <c r="F14" s="3" t="s">
        <v>115</v>
      </c>
      <c r="G14" s="3" t="s">
        <v>122</v>
      </c>
      <c r="H14" s="3" t="s">
        <v>441</v>
      </c>
      <c r="I14" s="59" t="s">
        <v>371</v>
      </c>
      <c r="J14" s="3" t="s">
        <v>440</v>
      </c>
      <c r="K14" s="2"/>
      <c r="L14" s="2"/>
      <c r="M14" s="2"/>
      <c r="N14" s="2"/>
    </row>
    <row r="15" spans="1:14" ht="14.5" customHeight="1" thickBot="1" x14ac:dyDescent="0.4">
      <c r="A15" s="28">
        <v>714</v>
      </c>
      <c r="B15" s="3" t="s">
        <v>2</v>
      </c>
      <c r="C15" s="48" t="s">
        <v>150</v>
      </c>
      <c r="D15" s="56" t="s">
        <v>151</v>
      </c>
      <c r="E15" s="48" t="s">
        <v>152</v>
      </c>
      <c r="F15" s="3" t="s">
        <v>115</v>
      </c>
      <c r="G15" s="3" t="s">
        <v>122</v>
      </c>
      <c r="H15" s="3" t="s">
        <v>441</v>
      </c>
      <c r="I15" s="60" t="s">
        <v>372</v>
      </c>
      <c r="J15" s="3" t="s">
        <v>440</v>
      </c>
      <c r="K15" s="2"/>
      <c r="L15" s="2"/>
      <c r="M15" s="2"/>
      <c r="N15" s="2"/>
    </row>
    <row r="16" spans="1:14" ht="15" customHeight="1" thickBot="1" x14ac:dyDescent="0.4">
      <c r="A16" s="28">
        <v>715</v>
      </c>
      <c r="B16" s="3" t="s">
        <v>2</v>
      </c>
      <c r="C16" s="48" t="s">
        <v>153</v>
      </c>
      <c r="D16" s="56" t="s">
        <v>125</v>
      </c>
      <c r="E16" s="48" t="s">
        <v>154</v>
      </c>
      <c r="F16" s="3" t="s">
        <v>115</v>
      </c>
      <c r="G16" s="3" t="s">
        <v>122</v>
      </c>
      <c r="H16" s="3" t="s">
        <v>441</v>
      </c>
      <c r="I16" s="60" t="s">
        <v>373</v>
      </c>
      <c r="J16" s="3" t="s">
        <v>440</v>
      </c>
      <c r="K16" s="2"/>
      <c r="L16" s="2"/>
      <c r="M16" s="2"/>
      <c r="N16" s="2"/>
    </row>
    <row r="17" spans="1:14" ht="14.5" customHeight="1" thickBot="1" x14ac:dyDescent="0.4">
      <c r="A17" s="28">
        <v>716</v>
      </c>
      <c r="B17" s="3" t="s">
        <v>2</v>
      </c>
      <c r="C17" s="48" t="s">
        <v>155</v>
      </c>
      <c r="D17" s="56" t="s">
        <v>156</v>
      </c>
      <c r="E17" s="48" t="s">
        <v>157</v>
      </c>
      <c r="F17" s="3" t="s">
        <v>115</v>
      </c>
      <c r="G17" s="3" t="s">
        <v>122</v>
      </c>
      <c r="H17" s="3" t="s">
        <v>441</v>
      </c>
      <c r="I17" s="60" t="s">
        <v>374</v>
      </c>
      <c r="J17" s="3" t="s">
        <v>440</v>
      </c>
      <c r="K17" s="2"/>
      <c r="L17" s="2"/>
      <c r="M17" s="2"/>
      <c r="N17" s="2"/>
    </row>
    <row r="18" spans="1:14" ht="14.5" customHeight="1" thickBot="1" x14ac:dyDescent="0.4">
      <c r="A18" s="28">
        <v>717</v>
      </c>
      <c r="B18" s="3" t="s">
        <v>2</v>
      </c>
      <c r="C18" s="48" t="s">
        <v>158</v>
      </c>
      <c r="D18" s="56" t="s">
        <v>159</v>
      </c>
      <c r="E18" s="48" t="s">
        <v>160</v>
      </c>
      <c r="F18" s="3" t="s">
        <v>115</v>
      </c>
      <c r="G18" s="3" t="s">
        <v>122</v>
      </c>
      <c r="H18" s="3" t="s">
        <v>441</v>
      </c>
      <c r="I18" s="60">
        <v>1715829255</v>
      </c>
      <c r="J18" s="3" t="s">
        <v>440</v>
      </c>
      <c r="K18" s="2"/>
      <c r="L18" s="2"/>
      <c r="M18" s="2"/>
      <c r="N18" s="2"/>
    </row>
    <row r="19" spans="1:14" ht="15" customHeight="1" thickBot="1" x14ac:dyDescent="0.4">
      <c r="A19" s="28">
        <v>718</v>
      </c>
      <c r="B19" s="3" t="s">
        <v>2</v>
      </c>
      <c r="C19" s="48" t="s">
        <v>154</v>
      </c>
      <c r="D19" s="56" t="s">
        <v>161</v>
      </c>
      <c r="E19" s="48" t="s">
        <v>162</v>
      </c>
      <c r="F19" s="3" t="s">
        <v>115</v>
      </c>
      <c r="G19" s="3" t="s">
        <v>122</v>
      </c>
      <c r="H19" s="3" t="s">
        <v>441</v>
      </c>
      <c r="I19" s="60" t="s">
        <v>375</v>
      </c>
      <c r="J19" s="3" t="s">
        <v>440</v>
      </c>
      <c r="K19" s="2"/>
      <c r="L19" s="2"/>
      <c r="M19" s="2"/>
      <c r="N19" s="2"/>
    </row>
    <row r="20" spans="1:14" ht="14.5" customHeight="1" thickBot="1" x14ac:dyDescent="0.4">
      <c r="A20" s="28">
        <v>719</v>
      </c>
      <c r="B20" s="3" t="s">
        <v>2</v>
      </c>
      <c r="C20" s="48" t="s">
        <v>163</v>
      </c>
      <c r="D20" s="56" t="s">
        <v>164</v>
      </c>
      <c r="E20" s="48" t="s">
        <v>165</v>
      </c>
      <c r="F20" s="3" t="s">
        <v>115</v>
      </c>
      <c r="G20" s="3" t="s">
        <v>122</v>
      </c>
      <c r="H20" s="3" t="s">
        <v>441</v>
      </c>
      <c r="I20" s="60" t="s">
        <v>376</v>
      </c>
      <c r="J20" s="3" t="s">
        <v>440</v>
      </c>
      <c r="K20" s="2"/>
      <c r="L20" s="2"/>
      <c r="M20" s="2"/>
      <c r="N20" s="2"/>
    </row>
    <row r="21" spans="1:14" ht="14.5" customHeight="1" thickBot="1" x14ac:dyDescent="0.4">
      <c r="A21" s="28">
        <v>720</v>
      </c>
      <c r="B21" s="3" t="s">
        <v>2</v>
      </c>
      <c r="C21" s="48" t="s">
        <v>166</v>
      </c>
      <c r="D21" s="56" t="s">
        <v>167</v>
      </c>
      <c r="E21" s="48" t="s">
        <v>168</v>
      </c>
      <c r="F21" s="3" t="s">
        <v>115</v>
      </c>
      <c r="G21" s="3" t="s">
        <v>122</v>
      </c>
      <c r="H21" s="3" t="s">
        <v>441</v>
      </c>
      <c r="I21" s="60" t="s">
        <v>377</v>
      </c>
      <c r="J21" s="3" t="s">
        <v>440</v>
      </c>
      <c r="K21" s="2"/>
      <c r="L21" s="2"/>
      <c r="M21" s="2"/>
      <c r="N21" s="2"/>
    </row>
    <row r="22" spans="1:14" ht="15" customHeight="1" thickBot="1" x14ac:dyDescent="0.4">
      <c r="A22" s="28">
        <v>721</v>
      </c>
      <c r="B22" s="3" t="s">
        <v>2</v>
      </c>
      <c r="C22" s="48" t="s">
        <v>169</v>
      </c>
      <c r="D22" s="56" t="s">
        <v>170</v>
      </c>
      <c r="E22" s="48" t="s">
        <v>171</v>
      </c>
      <c r="F22" s="3" t="s">
        <v>115</v>
      </c>
      <c r="G22" s="3" t="s">
        <v>122</v>
      </c>
      <c r="H22" s="3" t="s">
        <v>441</v>
      </c>
      <c r="I22" s="60" t="s">
        <v>378</v>
      </c>
      <c r="J22" s="3" t="s">
        <v>440</v>
      </c>
      <c r="K22" s="2"/>
      <c r="L22" s="2"/>
      <c r="M22" s="2"/>
      <c r="N22" s="2"/>
    </row>
    <row r="23" spans="1:14" ht="14.5" customHeight="1" thickBot="1" x14ac:dyDescent="0.4">
      <c r="A23" s="28">
        <v>722</v>
      </c>
      <c r="B23" s="3" t="s">
        <v>2</v>
      </c>
      <c r="C23" s="48" t="s">
        <v>172</v>
      </c>
      <c r="D23" s="56" t="s">
        <v>173</v>
      </c>
      <c r="E23" s="48" t="s">
        <v>174</v>
      </c>
      <c r="F23" s="3" t="s">
        <v>114</v>
      </c>
      <c r="G23" s="3" t="s">
        <v>122</v>
      </c>
      <c r="H23" s="3" t="s">
        <v>441</v>
      </c>
      <c r="I23" s="60" t="s">
        <v>379</v>
      </c>
      <c r="J23" s="3" t="s">
        <v>440</v>
      </c>
      <c r="K23" s="2"/>
      <c r="L23" s="2"/>
      <c r="M23" s="2"/>
      <c r="N23" s="2"/>
    </row>
    <row r="24" spans="1:14" ht="14.5" customHeight="1" thickBot="1" x14ac:dyDescent="0.4">
      <c r="A24" s="28">
        <v>723</v>
      </c>
      <c r="B24" s="3" t="s">
        <v>2</v>
      </c>
      <c r="C24" s="48" t="s">
        <v>175</v>
      </c>
      <c r="D24" s="56" t="s">
        <v>176</v>
      </c>
      <c r="E24" s="48" t="s">
        <v>157</v>
      </c>
      <c r="F24" s="3" t="s">
        <v>114</v>
      </c>
      <c r="G24" s="3" t="s">
        <v>122</v>
      </c>
      <c r="H24" s="3" t="s">
        <v>441</v>
      </c>
      <c r="I24" s="58" t="s">
        <v>380</v>
      </c>
      <c r="J24" s="3" t="s">
        <v>440</v>
      </c>
      <c r="K24" s="2"/>
      <c r="L24" s="2"/>
      <c r="M24" s="2"/>
      <c r="N24" s="2"/>
    </row>
    <row r="25" spans="1:14" ht="15" customHeight="1" thickBot="1" x14ac:dyDescent="0.4">
      <c r="A25" s="28">
        <v>724</v>
      </c>
      <c r="B25" s="3" t="s">
        <v>2</v>
      </c>
      <c r="C25" s="48" t="s">
        <v>177</v>
      </c>
      <c r="D25" s="56" t="s">
        <v>178</v>
      </c>
      <c r="E25" s="48" t="s">
        <v>179</v>
      </c>
      <c r="F25" s="3" t="s">
        <v>114</v>
      </c>
      <c r="G25" s="3" t="s">
        <v>180</v>
      </c>
      <c r="H25" s="3" t="s">
        <v>441</v>
      </c>
      <c r="I25" s="59" t="s">
        <v>381</v>
      </c>
      <c r="J25" s="3" t="s">
        <v>440</v>
      </c>
      <c r="K25" s="2"/>
      <c r="L25" s="2"/>
      <c r="M25" s="2"/>
      <c r="N25" s="2"/>
    </row>
    <row r="26" spans="1:14" ht="14.5" customHeight="1" thickBot="1" x14ac:dyDescent="0.4">
      <c r="A26" s="28">
        <v>725</v>
      </c>
      <c r="B26" s="3" t="s">
        <v>2</v>
      </c>
      <c r="C26" s="48" t="s">
        <v>181</v>
      </c>
      <c r="D26" s="56" t="s">
        <v>182</v>
      </c>
      <c r="E26" s="48" t="s">
        <v>183</v>
      </c>
      <c r="F26" s="3" t="s">
        <v>114</v>
      </c>
      <c r="G26" s="3" t="s">
        <v>122</v>
      </c>
      <c r="H26" s="3" t="s">
        <v>441</v>
      </c>
      <c r="I26" s="60" t="s">
        <v>382</v>
      </c>
      <c r="J26" s="3" t="s">
        <v>440</v>
      </c>
      <c r="K26" s="2"/>
      <c r="L26" s="2"/>
      <c r="M26" s="2"/>
      <c r="N26" s="2"/>
    </row>
    <row r="27" spans="1:14" ht="14.5" customHeight="1" thickBot="1" x14ac:dyDescent="0.4">
      <c r="A27" s="28">
        <v>726</v>
      </c>
      <c r="B27" s="3" t="s">
        <v>2</v>
      </c>
      <c r="C27" s="48" t="s">
        <v>184</v>
      </c>
      <c r="D27" s="56" t="s">
        <v>185</v>
      </c>
      <c r="E27" s="48" t="s">
        <v>152</v>
      </c>
      <c r="F27" s="3" t="s">
        <v>114</v>
      </c>
      <c r="G27" s="3" t="s">
        <v>122</v>
      </c>
      <c r="H27" s="3" t="s">
        <v>441</v>
      </c>
      <c r="I27" s="60" t="s">
        <v>383</v>
      </c>
      <c r="J27" s="3" t="s">
        <v>440</v>
      </c>
      <c r="K27" s="2"/>
      <c r="L27" s="2"/>
      <c r="M27" s="2"/>
      <c r="N27" s="2"/>
    </row>
    <row r="28" spans="1:14" ht="15" customHeight="1" thickBot="1" x14ac:dyDescent="0.4">
      <c r="A28" s="28">
        <v>727</v>
      </c>
      <c r="B28" s="3" t="s">
        <v>2</v>
      </c>
      <c r="C28" s="48" t="s">
        <v>186</v>
      </c>
      <c r="D28" s="56" t="s">
        <v>187</v>
      </c>
      <c r="E28" s="48" t="s">
        <v>188</v>
      </c>
      <c r="F28" s="3" t="s">
        <v>115</v>
      </c>
      <c r="G28" s="3" t="s">
        <v>122</v>
      </c>
      <c r="H28" s="3" t="s">
        <v>441</v>
      </c>
      <c r="I28" s="60" t="s">
        <v>384</v>
      </c>
      <c r="J28" s="3" t="s">
        <v>440</v>
      </c>
      <c r="K28" s="2"/>
      <c r="L28" s="2"/>
      <c r="M28" s="2"/>
      <c r="N28" s="2"/>
    </row>
    <row r="29" spans="1:14" ht="14.5" customHeight="1" thickBot="1" x14ac:dyDescent="0.4">
      <c r="A29" s="28">
        <v>728</v>
      </c>
      <c r="B29" s="3" t="s">
        <v>2</v>
      </c>
      <c r="C29" s="48" t="s">
        <v>189</v>
      </c>
      <c r="D29" s="56" t="s">
        <v>190</v>
      </c>
      <c r="E29" s="48" t="s">
        <v>191</v>
      </c>
      <c r="F29" s="3" t="s">
        <v>114</v>
      </c>
      <c r="G29" s="3" t="s">
        <v>180</v>
      </c>
      <c r="H29" s="3" t="s">
        <v>441</v>
      </c>
      <c r="I29" s="60" t="s">
        <v>385</v>
      </c>
      <c r="J29" s="3" t="s">
        <v>440</v>
      </c>
      <c r="K29" s="2"/>
      <c r="L29" s="2"/>
      <c r="M29" s="2"/>
      <c r="N29" s="2"/>
    </row>
    <row r="30" spans="1:14" ht="14.5" customHeight="1" thickBot="1" x14ac:dyDescent="0.4">
      <c r="A30" s="28">
        <v>729</v>
      </c>
      <c r="B30" s="3" t="s">
        <v>2</v>
      </c>
      <c r="C30" s="48" t="s">
        <v>192</v>
      </c>
      <c r="D30" s="56" t="s">
        <v>193</v>
      </c>
      <c r="E30" s="48" t="s">
        <v>194</v>
      </c>
      <c r="F30" s="3" t="s">
        <v>114</v>
      </c>
      <c r="G30" s="3" t="s">
        <v>122</v>
      </c>
      <c r="H30" s="3" t="s">
        <v>441</v>
      </c>
      <c r="I30" s="60" t="s">
        <v>386</v>
      </c>
      <c r="J30" s="3" t="s">
        <v>440</v>
      </c>
      <c r="K30" s="2"/>
      <c r="L30" s="2"/>
      <c r="M30" s="2"/>
      <c r="N30" s="2"/>
    </row>
    <row r="31" spans="1:14" ht="15" customHeight="1" thickBot="1" x14ac:dyDescent="0.4">
      <c r="A31" s="28">
        <v>730</v>
      </c>
      <c r="B31" s="3" t="s">
        <v>2</v>
      </c>
      <c r="C31" s="48" t="s">
        <v>195</v>
      </c>
      <c r="D31" s="56" t="s">
        <v>196</v>
      </c>
      <c r="E31" s="48" t="s">
        <v>165</v>
      </c>
      <c r="F31" s="3" t="s">
        <v>114</v>
      </c>
      <c r="G31" s="3" t="s">
        <v>122</v>
      </c>
      <c r="H31" s="3" t="s">
        <v>441</v>
      </c>
      <c r="I31" s="60" t="s">
        <v>387</v>
      </c>
      <c r="J31" s="3" t="s">
        <v>440</v>
      </c>
      <c r="K31" s="2"/>
      <c r="L31" s="2"/>
      <c r="M31" s="2"/>
      <c r="N31" s="2"/>
    </row>
    <row r="32" spans="1:14" ht="14.5" customHeight="1" thickBot="1" x14ac:dyDescent="0.4">
      <c r="A32" s="28">
        <v>731</v>
      </c>
      <c r="B32" s="3" t="s">
        <v>2</v>
      </c>
      <c r="C32" s="48" t="s">
        <v>197</v>
      </c>
      <c r="D32" s="56" t="s">
        <v>198</v>
      </c>
      <c r="E32" s="48" t="s">
        <v>199</v>
      </c>
      <c r="F32" s="3" t="s">
        <v>115</v>
      </c>
      <c r="G32" s="3" t="s">
        <v>122</v>
      </c>
      <c r="H32" s="3" t="s">
        <v>441</v>
      </c>
      <c r="I32" s="60" t="s">
        <v>388</v>
      </c>
      <c r="J32" s="3" t="s">
        <v>440</v>
      </c>
      <c r="K32" s="2"/>
      <c r="L32" s="2"/>
      <c r="M32" s="2"/>
      <c r="N32" s="2"/>
    </row>
    <row r="33" spans="1:14" ht="14.5" customHeight="1" thickBot="1" x14ac:dyDescent="0.4">
      <c r="A33" s="28">
        <v>732</v>
      </c>
      <c r="B33" s="3" t="s">
        <v>2</v>
      </c>
      <c r="C33" s="48" t="s">
        <v>200</v>
      </c>
      <c r="D33" s="56" t="s">
        <v>201</v>
      </c>
      <c r="E33" s="48" t="s">
        <v>202</v>
      </c>
      <c r="F33" s="3" t="s">
        <v>114</v>
      </c>
      <c r="G33" s="3" t="s">
        <v>122</v>
      </c>
      <c r="H33" s="3" t="s">
        <v>441</v>
      </c>
      <c r="I33" s="60" t="s">
        <v>389</v>
      </c>
      <c r="J33" s="3" t="s">
        <v>440</v>
      </c>
      <c r="K33" s="2"/>
      <c r="L33" s="2"/>
      <c r="M33" s="2"/>
      <c r="N33" s="2"/>
    </row>
    <row r="34" spans="1:14" ht="15" customHeight="1" thickBot="1" x14ac:dyDescent="0.4">
      <c r="A34" s="28">
        <v>733</v>
      </c>
      <c r="B34" s="3" t="s">
        <v>2</v>
      </c>
      <c r="C34" s="48" t="s">
        <v>203</v>
      </c>
      <c r="D34" s="56" t="s">
        <v>204</v>
      </c>
      <c r="E34" s="48" t="s">
        <v>205</v>
      </c>
      <c r="F34" s="3" t="s">
        <v>115</v>
      </c>
      <c r="G34" s="3" t="s">
        <v>122</v>
      </c>
      <c r="H34" s="3" t="s">
        <v>441</v>
      </c>
      <c r="I34" s="60" t="s">
        <v>390</v>
      </c>
      <c r="J34" s="3" t="s">
        <v>440</v>
      </c>
      <c r="K34" s="2"/>
      <c r="L34" s="2"/>
      <c r="M34" s="2"/>
      <c r="N34" s="2"/>
    </row>
    <row r="35" spans="1:14" ht="15" thickBot="1" x14ac:dyDescent="0.4">
      <c r="A35" s="28">
        <v>734</v>
      </c>
      <c r="B35" s="3" t="s">
        <v>2</v>
      </c>
      <c r="C35" s="48" t="s">
        <v>206</v>
      </c>
      <c r="D35" s="56" t="s">
        <v>170</v>
      </c>
      <c r="E35" s="48" t="s">
        <v>207</v>
      </c>
      <c r="F35" s="3" t="s">
        <v>114</v>
      </c>
      <c r="G35" s="3" t="s">
        <v>122</v>
      </c>
      <c r="H35" s="3" t="s">
        <v>441</v>
      </c>
      <c r="I35" s="58" t="s">
        <v>391</v>
      </c>
      <c r="J35" s="3" t="s">
        <v>440</v>
      </c>
      <c r="K35" s="2"/>
      <c r="L35" s="2"/>
      <c r="M35" s="2"/>
      <c r="N35" s="2"/>
    </row>
    <row r="36" spans="1:14" ht="15" thickBot="1" x14ac:dyDescent="0.4">
      <c r="A36" s="28">
        <v>735</v>
      </c>
      <c r="B36" s="3" t="s">
        <v>2</v>
      </c>
      <c r="C36" s="48" t="s">
        <v>208</v>
      </c>
      <c r="D36" s="56" t="s">
        <v>209</v>
      </c>
      <c r="E36" s="48" t="s">
        <v>210</v>
      </c>
      <c r="F36" s="3" t="s">
        <v>115</v>
      </c>
      <c r="G36" s="3" t="s">
        <v>122</v>
      </c>
      <c r="H36" s="3" t="s">
        <v>441</v>
      </c>
      <c r="I36" s="59" t="s">
        <v>392</v>
      </c>
      <c r="J36" s="3" t="s">
        <v>440</v>
      </c>
      <c r="K36" s="2"/>
      <c r="L36" s="2"/>
      <c r="M36" s="2"/>
      <c r="N36" s="2"/>
    </row>
    <row r="37" spans="1:14" ht="15" thickBot="1" x14ac:dyDescent="0.4">
      <c r="A37" s="28">
        <v>736</v>
      </c>
      <c r="B37" s="3" t="s">
        <v>2</v>
      </c>
      <c r="C37" s="48" t="s">
        <v>125</v>
      </c>
      <c r="D37" s="56" t="s">
        <v>211</v>
      </c>
      <c r="E37" s="48" t="s">
        <v>212</v>
      </c>
      <c r="F37" s="3" t="s">
        <v>114</v>
      </c>
      <c r="G37" s="3" t="s">
        <v>122</v>
      </c>
      <c r="H37" s="3" t="s">
        <v>441</v>
      </c>
      <c r="I37" s="60" t="s">
        <v>393</v>
      </c>
      <c r="J37" s="3" t="s">
        <v>440</v>
      </c>
      <c r="K37" s="2"/>
      <c r="L37" s="2"/>
      <c r="M37" s="2"/>
      <c r="N37" s="2"/>
    </row>
    <row r="38" spans="1:14" ht="15" thickBot="1" x14ac:dyDescent="0.4">
      <c r="A38" s="28">
        <v>737</v>
      </c>
      <c r="B38" s="3" t="s">
        <v>2</v>
      </c>
      <c r="C38" s="48" t="s">
        <v>213</v>
      </c>
      <c r="D38" s="56" t="s">
        <v>214</v>
      </c>
      <c r="E38" s="48" t="s">
        <v>215</v>
      </c>
      <c r="F38" s="3" t="s">
        <v>115</v>
      </c>
      <c r="G38" s="3" t="s">
        <v>122</v>
      </c>
      <c r="H38" s="3" t="s">
        <v>441</v>
      </c>
      <c r="I38" s="60" t="s">
        <v>394</v>
      </c>
      <c r="J38" s="3" t="s">
        <v>440</v>
      </c>
      <c r="K38" s="2"/>
      <c r="L38" s="2"/>
      <c r="M38" s="2"/>
      <c r="N38" s="2"/>
    </row>
    <row r="39" spans="1:14" ht="15" thickBot="1" x14ac:dyDescent="0.4">
      <c r="A39" s="28">
        <v>738</v>
      </c>
      <c r="B39" s="3" t="s">
        <v>2</v>
      </c>
      <c r="C39" s="48" t="s">
        <v>216</v>
      </c>
      <c r="D39" s="56" t="s">
        <v>217</v>
      </c>
      <c r="E39" s="48" t="s">
        <v>218</v>
      </c>
      <c r="F39" s="3" t="s">
        <v>115</v>
      </c>
      <c r="G39" s="3" t="s">
        <v>180</v>
      </c>
      <c r="H39" s="3" t="s">
        <v>441</v>
      </c>
      <c r="I39" s="60" t="s">
        <v>395</v>
      </c>
      <c r="J39" s="3" t="s">
        <v>440</v>
      </c>
      <c r="K39" s="2"/>
      <c r="L39" s="2"/>
      <c r="M39" s="2"/>
      <c r="N39" s="2"/>
    </row>
    <row r="40" spans="1:14" ht="15" thickBot="1" x14ac:dyDescent="0.4">
      <c r="A40" s="28">
        <v>739</v>
      </c>
      <c r="B40" s="3" t="s">
        <v>2</v>
      </c>
      <c r="C40" s="48" t="s">
        <v>219</v>
      </c>
      <c r="D40" s="56" t="s">
        <v>220</v>
      </c>
      <c r="E40" s="48" t="s">
        <v>221</v>
      </c>
      <c r="F40" s="3" t="s">
        <v>115</v>
      </c>
      <c r="G40" s="3" t="s">
        <v>122</v>
      </c>
      <c r="H40" s="3" t="s">
        <v>441</v>
      </c>
      <c r="I40" s="60"/>
      <c r="J40" s="3" t="s">
        <v>440</v>
      </c>
      <c r="K40" s="2"/>
      <c r="L40" s="2"/>
      <c r="M40" s="2"/>
      <c r="N40" s="2"/>
    </row>
    <row r="41" spans="1:14" ht="15" thickBot="1" x14ac:dyDescent="0.4">
      <c r="A41" s="28">
        <v>740</v>
      </c>
      <c r="B41" s="3" t="s">
        <v>2</v>
      </c>
      <c r="C41" s="48" t="s">
        <v>222</v>
      </c>
      <c r="D41" s="56" t="s">
        <v>223</v>
      </c>
      <c r="E41" s="48" t="s">
        <v>224</v>
      </c>
      <c r="F41" s="3" t="s">
        <v>115</v>
      </c>
      <c r="G41" s="3" t="s">
        <v>122</v>
      </c>
      <c r="H41" s="3" t="s">
        <v>441</v>
      </c>
      <c r="I41" s="60" t="s">
        <v>396</v>
      </c>
      <c r="J41" s="3" t="s">
        <v>440</v>
      </c>
      <c r="K41" s="2"/>
      <c r="L41" s="2"/>
      <c r="M41" s="2"/>
      <c r="N41" s="2"/>
    </row>
    <row r="42" spans="1:14" ht="15" thickBot="1" x14ac:dyDescent="0.4">
      <c r="A42" s="28">
        <v>741</v>
      </c>
      <c r="B42" s="3" t="s">
        <v>2</v>
      </c>
      <c r="C42" s="48" t="s">
        <v>225</v>
      </c>
      <c r="D42" s="56" t="s">
        <v>145</v>
      </c>
      <c r="E42" s="48" t="s">
        <v>226</v>
      </c>
      <c r="F42" s="3" t="s">
        <v>115</v>
      </c>
      <c r="G42" s="3" t="s">
        <v>122</v>
      </c>
      <c r="H42" s="3" t="s">
        <v>441</v>
      </c>
      <c r="I42" s="60"/>
      <c r="J42" s="3" t="s">
        <v>440</v>
      </c>
      <c r="K42" s="2"/>
      <c r="L42" s="2"/>
      <c r="M42" s="2"/>
      <c r="N42" s="2"/>
    </row>
    <row r="43" spans="1:14" ht="15" thickBot="1" x14ac:dyDescent="0.4">
      <c r="A43" s="28">
        <v>742</v>
      </c>
      <c r="B43" s="3" t="s">
        <v>2</v>
      </c>
      <c r="C43" s="48" t="s">
        <v>227</v>
      </c>
      <c r="D43" s="56" t="s">
        <v>228</v>
      </c>
      <c r="E43" s="48" t="s">
        <v>41</v>
      </c>
      <c r="F43" s="3" t="s">
        <v>114</v>
      </c>
      <c r="G43" s="3" t="s">
        <v>122</v>
      </c>
      <c r="H43" s="3" t="s">
        <v>441</v>
      </c>
      <c r="I43" s="60" t="s">
        <v>397</v>
      </c>
      <c r="J43" s="3" t="s">
        <v>440</v>
      </c>
      <c r="K43" s="2"/>
      <c r="L43" s="2"/>
      <c r="M43" s="2"/>
      <c r="N43" s="2"/>
    </row>
    <row r="44" spans="1:14" ht="15" thickBot="1" x14ac:dyDescent="0.4">
      <c r="A44" s="28">
        <v>743</v>
      </c>
      <c r="B44" s="3" t="s">
        <v>2</v>
      </c>
      <c r="C44" s="48" t="s">
        <v>229</v>
      </c>
      <c r="D44" s="56" t="s">
        <v>230</v>
      </c>
      <c r="E44" s="48" t="s">
        <v>231</v>
      </c>
      <c r="F44" s="3" t="s">
        <v>115</v>
      </c>
      <c r="G44" s="3" t="s">
        <v>122</v>
      </c>
      <c r="H44" s="3" t="s">
        <v>441</v>
      </c>
      <c r="I44" s="60" t="s">
        <v>398</v>
      </c>
      <c r="J44" s="3" t="s">
        <v>440</v>
      </c>
      <c r="K44" s="2"/>
      <c r="L44" s="2"/>
      <c r="M44" s="2"/>
      <c r="N44" s="2"/>
    </row>
    <row r="45" spans="1:14" ht="15" thickBot="1" x14ac:dyDescent="0.4">
      <c r="A45" s="28">
        <v>744</v>
      </c>
      <c r="B45" s="3" t="s">
        <v>2</v>
      </c>
      <c r="C45" s="48" t="s">
        <v>232</v>
      </c>
      <c r="D45" s="56" t="s">
        <v>233</v>
      </c>
      <c r="E45" s="48" t="s">
        <v>234</v>
      </c>
      <c r="F45" s="3" t="s">
        <v>114</v>
      </c>
      <c r="G45" s="3" t="s">
        <v>122</v>
      </c>
      <c r="H45" s="3" t="s">
        <v>441</v>
      </c>
      <c r="I45" s="60" t="s">
        <v>399</v>
      </c>
      <c r="J45" s="3" t="s">
        <v>440</v>
      </c>
      <c r="K45" s="2"/>
      <c r="L45" s="2"/>
      <c r="M45" s="2"/>
      <c r="N45" s="2"/>
    </row>
    <row r="46" spans="1:14" ht="15" thickBot="1" x14ac:dyDescent="0.4">
      <c r="A46" s="28">
        <v>745</v>
      </c>
      <c r="B46" s="3" t="s">
        <v>2</v>
      </c>
      <c r="C46" s="48" t="s">
        <v>235</v>
      </c>
      <c r="D46" s="56" t="s">
        <v>236</v>
      </c>
      <c r="E46" s="48" t="s">
        <v>237</v>
      </c>
      <c r="F46" s="3" t="s">
        <v>115</v>
      </c>
      <c r="G46" s="3" t="s">
        <v>122</v>
      </c>
      <c r="H46" s="3" t="s">
        <v>441</v>
      </c>
      <c r="I46" s="58" t="s">
        <v>400</v>
      </c>
      <c r="J46" s="3" t="s">
        <v>440</v>
      </c>
      <c r="K46" s="2"/>
      <c r="L46" s="2"/>
      <c r="M46" s="2"/>
      <c r="N46" s="2"/>
    </row>
    <row r="47" spans="1:14" ht="15" thickBot="1" x14ac:dyDescent="0.4">
      <c r="A47" s="28">
        <v>746</v>
      </c>
      <c r="B47" s="3" t="s">
        <v>2</v>
      </c>
      <c r="C47" s="48" t="s">
        <v>238</v>
      </c>
      <c r="D47" s="56" t="s">
        <v>239</v>
      </c>
      <c r="E47" s="48" t="s">
        <v>240</v>
      </c>
      <c r="F47" s="3" t="s">
        <v>115</v>
      </c>
      <c r="G47" s="3" t="s">
        <v>122</v>
      </c>
      <c r="H47" s="3" t="s">
        <v>441</v>
      </c>
      <c r="I47" s="59" t="s">
        <v>401</v>
      </c>
      <c r="J47" s="3" t="s">
        <v>440</v>
      </c>
      <c r="K47" s="2"/>
      <c r="L47" s="2"/>
      <c r="M47" s="2"/>
      <c r="N47" s="2"/>
    </row>
    <row r="48" spans="1:14" ht="15" thickBot="1" x14ac:dyDescent="0.4">
      <c r="A48" s="28">
        <v>747</v>
      </c>
      <c r="B48" s="3" t="s">
        <v>2</v>
      </c>
      <c r="C48" s="48" t="s">
        <v>241</v>
      </c>
      <c r="D48" s="56" t="s">
        <v>242</v>
      </c>
      <c r="E48" s="48" t="s">
        <v>207</v>
      </c>
      <c r="F48" s="3" t="s">
        <v>114</v>
      </c>
      <c r="G48" s="3" t="s">
        <v>122</v>
      </c>
      <c r="H48" s="3" t="s">
        <v>441</v>
      </c>
      <c r="I48" s="60" t="s">
        <v>402</v>
      </c>
      <c r="J48" s="3" t="s">
        <v>440</v>
      </c>
      <c r="K48" s="2"/>
      <c r="L48" s="2"/>
      <c r="M48" s="2"/>
      <c r="N48" s="2"/>
    </row>
    <row r="49" spans="1:14" ht="15" thickBot="1" x14ac:dyDescent="0.4">
      <c r="A49" s="28">
        <v>748</v>
      </c>
      <c r="B49" s="3" t="s">
        <v>2</v>
      </c>
      <c r="C49" s="48" t="s">
        <v>243</v>
      </c>
      <c r="D49" s="56" t="s">
        <v>244</v>
      </c>
      <c r="E49" s="48" t="s">
        <v>245</v>
      </c>
      <c r="F49" s="3" t="s">
        <v>115</v>
      </c>
      <c r="G49" s="3" t="s">
        <v>122</v>
      </c>
      <c r="H49" s="3" t="s">
        <v>441</v>
      </c>
      <c r="I49" s="60" t="s">
        <v>403</v>
      </c>
      <c r="J49" s="3" t="s">
        <v>440</v>
      </c>
      <c r="K49" s="2"/>
      <c r="L49" s="2"/>
      <c r="M49" s="2"/>
      <c r="N49" s="2"/>
    </row>
    <row r="50" spans="1:14" ht="15" thickBot="1" x14ac:dyDescent="0.4">
      <c r="A50" s="28">
        <v>749</v>
      </c>
      <c r="B50" s="3" t="s">
        <v>2</v>
      </c>
      <c r="C50" s="48" t="s">
        <v>246</v>
      </c>
      <c r="D50" s="56" t="s">
        <v>247</v>
      </c>
      <c r="E50" s="48" t="s">
        <v>248</v>
      </c>
      <c r="F50" s="3" t="s">
        <v>114</v>
      </c>
      <c r="G50" s="3" t="s">
        <v>122</v>
      </c>
      <c r="H50" s="3" t="s">
        <v>441</v>
      </c>
      <c r="I50" s="60" t="s">
        <v>404</v>
      </c>
      <c r="J50" s="3" t="s">
        <v>440</v>
      </c>
      <c r="K50" s="2"/>
      <c r="L50" s="2"/>
      <c r="M50" s="2"/>
      <c r="N50" s="2"/>
    </row>
    <row r="51" spans="1:14" ht="15" thickBot="1" x14ac:dyDescent="0.4">
      <c r="A51" s="28">
        <v>750</v>
      </c>
      <c r="B51" s="3" t="s">
        <v>2</v>
      </c>
      <c r="C51" s="48" t="s">
        <v>249</v>
      </c>
      <c r="D51" s="56" t="s">
        <v>250</v>
      </c>
      <c r="E51" s="48" t="s">
        <v>251</v>
      </c>
      <c r="F51" s="3" t="s">
        <v>115</v>
      </c>
      <c r="G51" s="3" t="s">
        <v>122</v>
      </c>
      <c r="H51" s="3" t="s">
        <v>441</v>
      </c>
      <c r="I51" s="60" t="s">
        <v>405</v>
      </c>
      <c r="J51" s="3" t="s">
        <v>440</v>
      </c>
      <c r="K51" s="2"/>
      <c r="L51" s="2"/>
      <c r="M51" s="2"/>
      <c r="N51" s="2"/>
    </row>
    <row r="52" spans="1:14" ht="15" thickBot="1" x14ac:dyDescent="0.4">
      <c r="A52" s="28">
        <v>751</v>
      </c>
      <c r="B52" s="3" t="s">
        <v>2</v>
      </c>
      <c r="C52" s="48" t="s">
        <v>252</v>
      </c>
      <c r="D52" s="56" t="s">
        <v>253</v>
      </c>
      <c r="E52" s="48" t="s">
        <v>154</v>
      </c>
      <c r="F52" s="3" t="s">
        <v>114</v>
      </c>
      <c r="G52" s="3" t="s">
        <v>122</v>
      </c>
      <c r="H52" s="3" t="s">
        <v>441</v>
      </c>
      <c r="I52" s="60" t="s">
        <v>406</v>
      </c>
      <c r="J52" s="3" t="s">
        <v>440</v>
      </c>
      <c r="K52" s="2"/>
      <c r="L52" s="2"/>
      <c r="M52" s="2"/>
      <c r="N52" s="2"/>
    </row>
    <row r="53" spans="1:14" ht="15" thickBot="1" x14ac:dyDescent="0.4">
      <c r="A53" s="28">
        <v>752</v>
      </c>
      <c r="B53" s="3" t="s">
        <v>2</v>
      </c>
      <c r="C53" s="48" t="s">
        <v>254</v>
      </c>
      <c r="D53" s="56" t="s">
        <v>255</v>
      </c>
      <c r="E53" s="48" t="s">
        <v>256</v>
      </c>
      <c r="F53" s="3" t="s">
        <v>114</v>
      </c>
      <c r="G53" s="3" t="s">
        <v>122</v>
      </c>
      <c r="H53" s="3" t="s">
        <v>441</v>
      </c>
      <c r="I53" s="60">
        <v>1839156837</v>
      </c>
      <c r="J53" s="3" t="s">
        <v>440</v>
      </c>
      <c r="K53" s="2"/>
      <c r="L53" s="2"/>
      <c r="M53" s="2"/>
      <c r="N53" s="2"/>
    </row>
    <row r="54" spans="1:14" ht="15" thickBot="1" x14ac:dyDescent="0.4">
      <c r="A54" s="28">
        <v>753</v>
      </c>
      <c r="B54" s="3" t="s">
        <v>2</v>
      </c>
      <c r="C54" s="48" t="s">
        <v>257</v>
      </c>
      <c r="D54" s="56" t="s">
        <v>258</v>
      </c>
      <c r="E54" s="48" t="s">
        <v>259</v>
      </c>
      <c r="F54" s="3" t="s">
        <v>114</v>
      </c>
      <c r="G54" s="3" t="s">
        <v>122</v>
      </c>
      <c r="H54" s="3" t="s">
        <v>441</v>
      </c>
      <c r="I54" s="60" t="s">
        <v>407</v>
      </c>
      <c r="J54" s="3" t="s">
        <v>440</v>
      </c>
      <c r="K54" s="2"/>
      <c r="L54" s="2"/>
      <c r="M54" s="2"/>
      <c r="N54" s="2"/>
    </row>
    <row r="55" spans="1:14" ht="15" thickBot="1" x14ac:dyDescent="0.4">
      <c r="A55" s="28">
        <v>754</v>
      </c>
      <c r="B55" s="3" t="s">
        <v>2</v>
      </c>
      <c r="C55" s="48" t="s">
        <v>260</v>
      </c>
      <c r="D55" s="56" t="s">
        <v>261</v>
      </c>
      <c r="E55" s="48" t="s">
        <v>262</v>
      </c>
      <c r="F55" s="3" t="s">
        <v>114</v>
      </c>
      <c r="G55" s="3" t="s">
        <v>122</v>
      </c>
      <c r="H55" s="3" t="s">
        <v>441</v>
      </c>
      <c r="I55" s="60" t="s">
        <v>408</v>
      </c>
      <c r="J55" s="3" t="s">
        <v>440</v>
      </c>
      <c r="K55" s="2"/>
      <c r="L55" s="2"/>
      <c r="M55" s="2"/>
      <c r="N55" s="2"/>
    </row>
    <row r="56" spans="1:14" ht="15" thickBot="1" x14ac:dyDescent="0.4">
      <c r="A56" s="28">
        <v>755</v>
      </c>
      <c r="B56" s="3" t="s">
        <v>2</v>
      </c>
      <c r="C56" s="48" t="s">
        <v>263</v>
      </c>
      <c r="D56" s="56" t="s">
        <v>264</v>
      </c>
      <c r="E56" s="48" t="s">
        <v>265</v>
      </c>
      <c r="F56" s="3" t="s">
        <v>114</v>
      </c>
      <c r="G56" s="3" t="s">
        <v>122</v>
      </c>
      <c r="H56" s="3" t="s">
        <v>441</v>
      </c>
      <c r="I56" s="60" t="s">
        <v>409</v>
      </c>
      <c r="J56" s="3" t="s">
        <v>440</v>
      </c>
      <c r="K56" s="2"/>
      <c r="L56" s="2"/>
      <c r="M56" s="2"/>
      <c r="N56" s="2"/>
    </row>
    <row r="57" spans="1:14" ht="15" thickBot="1" x14ac:dyDescent="0.4">
      <c r="A57" s="28">
        <v>756</v>
      </c>
      <c r="B57" s="3" t="s">
        <v>2</v>
      </c>
      <c r="C57" s="48" t="s">
        <v>266</v>
      </c>
      <c r="D57" s="56" t="s">
        <v>267</v>
      </c>
      <c r="E57" s="48" t="s">
        <v>268</v>
      </c>
      <c r="F57" s="3" t="s">
        <v>115</v>
      </c>
      <c r="G57" s="3" t="s">
        <v>122</v>
      </c>
      <c r="H57" s="3" t="s">
        <v>441</v>
      </c>
      <c r="I57" s="58" t="s">
        <v>410</v>
      </c>
      <c r="J57" s="3" t="s">
        <v>440</v>
      </c>
      <c r="K57" s="2"/>
      <c r="L57" s="2"/>
      <c r="M57" s="2"/>
      <c r="N57" s="2"/>
    </row>
    <row r="58" spans="1:14" ht="15" thickBot="1" x14ac:dyDescent="0.4">
      <c r="A58" s="28">
        <v>757</v>
      </c>
      <c r="B58" s="3" t="s">
        <v>2</v>
      </c>
      <c r="C58" s="48" t="s">
        <v>269</v>
      </c>
      <c r="D58" s="56" t="s">
        <v>270</v>
      </c>
      <c r="E58" s="48" t="s">
        <v>271</v>
      </c>
      <c r="F58" s="3" t="s">
        <v>114</v>
      </c>
      <c r="G58" s="3" t="s">
        <v>122</v>
      </c>
      <c r="H58" s="3" t="s">
        <v>441</v>
      </c>
      <c r="I58" s="59">
        <v>1856919196</v>
      </c>
      <c r="J58" s="3" t="s">
        <v>440</v>
      </c>
      <c r="K58" s="2"/>
      <c r="L58" s="2"/>
      <c r="M58" s="2"/>
      <c r="N58" s="2"/>
    </row>
    <row r="59" spans="1:14" ht="15" thickBot="1" x14ac:dyDescent="0.4">
      <c r="A59" s="28">
        <v>758</v>
      </c>
      <c r="B59" s="3" t="s">
        <v>2</v>
      </c>
      <c r="C59" s="48" t="s">
        <v>272</v>
      </c>
      <c r="D59" s="56" t="s">
        <v>273</v>
      </c>
      <c r="E59" s="48" t="s">
        <v>274</v>
      </c>
      <c r="F59" s="3" t="s">
        <v>114</v>
      </c>
      <c r="G59" s="3" t="s">
        <v>122</v>
      </c>
      <c r="H59" s="3" t="s">
        <v>441</v>
      </c>
      <c r="I59" s="60" t="s">
        <v>411</v>
      </c>
      <c r="J59" s="3" t="s">
        <v>440</v>
      </c>
      <c r="K59" s="2"/>
      <c r="L59" s="2"/>
      <c r="M59" s="2"/>
      <c r="N59" s="2"/>
    </row>
    <row r="60" spans="1:14" x14ac:dyDescent="0.35">
      <c r="A60" s="28">
        <v>759</v>
      </c>
      <c r="B60" s="3" t="s">
        <v>2</v>
      </c>
      <c r="C60" s="48" t="s">
        <v>275</v>
      </c>
      <c r="D60" s="56" t="s">
        <v>276</v>
      </c>
      <c r="E60" s="48" t="s">
        <v>277</v>
      </c>
      <c r="F60" s="3" t="s">
        <v>114</v>
      </c>
      <c r="G60" s="3" t="s">
        <v>122</v>
      </c>
      <c r="H60" s="3" t="s">
        <v>441</v>
      </c>
      <c r="I60" s="156" t="s">
        <v>412</v>
      </c>
      <c r="J60" s="3" t="s">
        <v>440</v>
      </c>
      <c r="K60" s="2"/>
      <c r="L60" s="2"/>
      <c r="M60" s="2"/>
      <c r="N60" s="2"/>
    </row>
    <row r="61" spans="1:14" ht="15" thickBot="1" x14ac:dyDescent="0.4">
      <c r="A61" s="28">
        <v>760</v>
      </c>
      <c r="B61" s="3" t="s">
        <v>2</v>
      </c>
      <c r="C61" s="48" t="s">
        <v>278</v>
      </c>
      <c r="D61" s="56" t="s">
        <v>279</v>
      </c>
      <c r="E61" s="48" t="s">
        <v>280</v>
      </c>
      <c r="F61" s="3" t="s">
        <v>114</v>
      </c>
      <c r="G61" s="3" t="s">
        <v>122</v>
      </c>
      <c r="H61" s="3" t="s">
        <v>441</v>
      </c>
      <c r="I61" s="157"/>
      <c r="J61" s="3" t="s">
        <v>440</v>
      </c>
      <c r="K61" s="2"/>
      <c r="L61" s="2"/>
      <c r="M61" s="2"/>
      <c r="N61" s="2"/>
    </row>
    <row r="62" spans="1:14" ht="15" thickBot="1" x14ac:dyDescent="0.4">
      <c r="A62" s="28">
        <v>761</v>
      </c>
      <c r="B62" s="3" t="s">
        <v>2</v>
      </c>
      <c r="C62" s="48" t="s">
        <v>281</v>
      </c>
      <c r="D62" s="56" t="s">
        <v>282</v>
      </c>
      <c r="E62" s="48" t="s">
        <v>283</v>
      </c>
      <c r="F62" s="3" t="s">
        <v>114</v>
      </c>
      <c r="G62" s="3" t="s">
        <v>122</v>
      </c>
      <c r="H62" s="3" t="s">
        <v>441</v>
      </c>
      <c r="I62" s="62" t="s">
        <v>413</v>
      </c>
      <c r="J62" s="3" t="s">
        <v>440</v>
      </c>
      <c r="K62" s="2"/>
      <c r="L62" s="2"/>
      <c r="M62" s="2"/>
      <c r="N62" s="2"/>
    </row>
    <row r="63" spans="1:14" ht="15" thickBot="1" x14ac:dyDescent="0.4">
      <c r="A63" s="28">
        <v>762</v>
      </c>
      <c r="B63" s="3" t="s">
        <v>2</v>
      </c>
      <c r="C63" s="48" t="s">
        <v>284</v>
      </c>
      <c r="D63" s="56" t="s">
        <v>285</v>
      </c>
      <c r="E63" s="48" t="s">
        <v>286</v>
      </c>
      <c r="F63" s="3" t="s">
        <v>114</v>
      </c>
      <c r="G63" s="3" t="s">
        <v>122</v>
      </c>
      <c r="H63" s="3" t="s">
        <v>441</v>
      </c>
      <c r="I63" s="60" t="s">
        <v>414</v>
      </c>
      <c r="J63" s="3" t="s">
        <v>440</v>
      </c>
      <c r="K63" s="2"/>
      <c r="L63" s="2"/>
      <c r="M63" s="2"/>
      <c r="N63" s="2"/>
    </row>
    <row r="64" spans="1:14" ht="15" thickBot="1" x14ac:dyDescent="0.4">
      <c r="A64" s="28">
        <v>763</v>
      </c>
      <c r="B64" s="3" t="s">
        <v>2</v>
      </c>
      <c r="C64" s="48" t="s">
        <v>287</v>
      </c>
      <c r="D64" s="56" t="s">
        <v>288</v>
      </c>
      <c r="E64" s="48" t="s">
        <v>152</v>
      </c>
      <c r="F64" s="3" t="s">
        <v>114</v>
      </c>
      <c r="G64" s="3" t="s">
        <v>122</v>
      </c>
      <c r="H64" s="3" t="s">
        <v>441</v>
      </c>
      <c r="I64" s="60" t="s">
        <v>415</v>
      </c>
      <c r="J64" s="3" t="s">
        <v>440</v>
      </c>
      <c r="K64" s="2"/>
      <c r="L64" s="2"/>
      <c r="M64" s="2"/>
      <c r="N64" s="2"/>
    </row>
    <row r="65" spans="1:14" ht="15" thickBot="1" x14ac:dyDescent="0.4">
      <c r="A65" s="28">
        <v>764</v>
      </c>
      <c r="B65" s="3" t="s">
        <v>2</v>
      </c>
      <c r="C65" s="48" t="s">
        <v>289</v>
      </c>
      <c r="D65" s="56" t="s">
        <v>290</v>
      </c>
      <c r="E65" s="48" t="s">
        <v>291</v>
      </c>
      <c r="F65" s="3" t="s">
        <v>114</v>
      </c>
      <c r="G65" s="3" t="s">
        <v>180</v>
      </c>
      <c r="H65" s="3" t="s">
        <v>441</v>
      </c>
      <c r="I65" s="60" t="s">
        <v>416</v>
      </c>
      <c r="J65" s="3" t="s">
        <v>440</v>
      </c>
      <c r="K65" s="2"/>
      <c r="L65" s="2"/>
      <c r="M65" s="2"/>
      <c r="N65" s="2"/>
    </row>
    <row r="66" spans="1:14" ht="15" thickBot="1" x14ac:dyDescent="0.4">
      <c r="A66" s="28">
        <v>765</v>
      </c>
      <c r="B66" s="3" t="s">
        <v>2</v>
      </c>
      <c r="C66" s="48" t="s">
        <v>292</v>
      </c>
      <c r="D66" s="56" t="s">
        <v>293</v>
      </c>
      <c r="E66" s="48" t="s">
        <v>294</v>
      </c>
      <c r="F66" s="3" t="s">
        <v>114</v>
      </c>
      <c r="G66" s="3" t="s">
        <v>180</v>
      </c>
      <c r="H66" s="3" t="s">
        <v>441</v>
      </c>
      <c r="I66" s="60" t="s">
        <v>417</v>
      </c>
      <c r="J66" s="3" t="s">
        <v>440</v>
      </c>
      <c r="K66" s="2"/>
      <c r="L66" s="2"/>
      <c r="M66" s="2"/>
      <c r="N66" s="2"/>
    </row>
    <row r="67" spans="1:14" ht="15" thickBot="1" x14ac:dyDescent="0.4">
      <c r="A67" s="28">
        <v>766</v>
      </c>
      <c r="B67" s="3" t="s">
        <v>2</v>
      </c>
      <c r="C67" s="48" t="s">
        <v>295</v>
      </c>
      <c r="D67" s="56" t="s">
        <v>196</v>
      </c>
      <c r="E67" s="48" t="s">
        <v>296</v>
      </c>
      <c r="F67" s="3" t="s">
        <v>114</v>
      </c>
      <c r="G67" s="3" t="s">
        <v>122</v>
      </c>
      <c r="H67" s="3" t="s">
        <v>441</v>
      </c>
      <c r="I67" s="60" t="s">
        <v>418</v>
      </c>
      <c r="J67" s="3" t="s">
        <v>440</v>
      </c>
      <c r="K67" s="2"/>
      <c r="L67" s="2"/>
      <c r="M67" s="2"/>
      <c r="N67" s="2"/>
    </row>
    <row r="68" spans="1:14" ht="15" thickBot="1" x14ac:dyDescent="0.4">
      <c r="A68" s="28">
        <v>767</v>
      </c>
      <c r="B68" s="3" t="s">
        <v>2</v>
      </c>
      <c r="C68" s="48" t="s">
        <v>297</v>
      </c>
      <c r="D68" s="56" t="s">
        <v>298</v>
      </c>
      <c r="E68" s="48" t="s">
        <v>299</v>
      </c>
      <c r="F68" s="3" t="s">
        <v>114</v>
      </c>
      <c r="G68" s="3" t="s">
        <v>122</v>
      </c>
      <c r="H68" s="3" t="s">
        <v>441</v>
      </c>
      <c r="I68" s="60" t="s">
        <v>419</v>
      </c>
      <c r="J68" s="3" t="s">
        <v>440</v>
      </c>
      <c r="K68" s="2"/>
      <c r="L68" s="2"/>
      <c r="M68" s="2"/>
      <c r="N68" s="2"/>
    </row>
    <row r="69" spans="1:14" ht="15" thickBot="1" x14ac:dyDescent="0.4">
      <c r="A69" s="28">
        <v>768</v>
      </c>
      <c r="B69" s="3" t="s">
        <v>2</v>
      </c>
      <c r="C69" s="48" t="s">
        <v>300</v>
      </c>
      <c r="D69" s="56" t="s">
        <v>301</v>
      </c>
      <c r="E69" s="48" t="s">
        <v>302</v>
      </c>
      <c r="F69" s="3" t="s">
        <v>114</v>
      </c>
      <c r="G69" s="3" t="s">
        <v>122</v>
      </c>
      <c r="H69" s="3" t="s">
        <v>441</v>
      </c>
      <c r="I69" s="58" t="s">
        <v>420</v>
      </c>
      <c r="J69" s="3" t="s">
        <v>440</v>
      </c>
      <c r="K69" s="2"/>
      <c r="L69" s="2"/>
      <c r="M69" s="2"/>
      <c r="N69" s="2"/>
    </row>
    <row r="70" spans="1:14" ht="15" thickBot="1" x14ac:dyDescent="0.4">
      <c r="A70" s="28">
        <v>769</v>
      </c>
      <c r="B70" s="3" t="s">
        <v>2</v>
      </c>
      <c r="C70" s="48" t="s">
        <v>303</v>
      </c>
      <c r="D70" s="56" t="s">
        <v>304</v>
      </c>
      <c r="E70" s="48" t="s">
        <v>305</v>
      </c>
      <c r="F70" s="3" t="s">
        <v>114</v>
      </c>
      <c r="G70" s="3" t="s">
        <v>122</v>
      </c>
      <c r="H70" s="3" t="s">
        <v>441</v>
      </c>
      <c r="I70" s="60" t="s">
        <v>421</v>
      </c>
      <c r="J70" s="3" t="s">
        <v>440</v>
      </c>
      <c r="K70" s="2"/>
      <c r="L70" s="2"/>
      <c r="M70" s="2"/>
      <c r="N70" s="2"/>
    </row>
    <row r="71" spans="1:14" ht="15" thickBot="1" x14ac:dyDescent="0.4">
      <c r="A71" s="28">
        <v>770</v>
      </c>
      <c r="B71" s="3" t="s">
        <v>2</v>
      </c>
      <c r="C71" s="48" t="s">
        <v>306</v>
      </c>
      <c r="D71" s="56" t="s">
        <v>307</v>
      </c>
      <c r="E71" s="48" t="s">
        <v>308</v>
      </c>
      <c r="F71" s="3" t="s">
        <v>114</v>
      </c>
      <c r="G71" s="3" t="s">
        <v>122</v>
      </c>
      <c r="H71" s="3" t="s">
        <v>441</v>
      </c>
      <c r="I71" s="60" t="s">
        <v>422</v>
      </c>
      <c r="J71" s="3" t="s">
        <v>440</v>
      </c>
      <c r="K71" s="2"/>
      <c r="L71" s="2"/>
      <c r="M71" s="2"/>
      <c r="N71" s="2"/>
    </row>
    <row r="72" spans="1:14" ht="15" thickBot="1" x14ac:dyDescent="0.4">
      <c r="A72" s="28">
        <v>771</v>
      </c>
      <c r="B72" s="3" t="s">
        <v>2</v>
      </c>
      <c r="C72" s="48" t="s">
        <v>309</v>
      </c>
      <c r="D72" s="56" t="s">
        <v>310</v>
      </c>
      <c r="E72" s="48" t="s">
        <v>311</v>
      </c>
      <c r="F72" s="3" t="s">
        <v>115</v>
      </c>
      <c r="G72" s="3" t="s">
        <v>122</v>
      </c>
      <c r="H72" s="3" t="s">
        <v>441</v>
      </c>
      <c r="I72" s="60" t="s">
        <v>423</v>
      </c>
      <c r="J72" s="3" t="s">
        <v>440</v>
      </c>
      <c r="K72" s="2"/>
      <c r="L72" s="2"/>
      <c r="M72" s="2"/>
      <c r="N72" s="2"/>
    </row>
    <row r="73" spans="1:14" ht="15" thickBot="1" x14ac:dyDescent="0.4">
      <c r="A73" s="28">
        <v>772</v>
      </c>
      <c r="B73" s="3" t="s">
        <v>2</v>
      </c>
      <c r="C73" s="48" t="s">
        <v>312</v>
      </c>
      <c r="D73" s="56" t="s">
        <v>313</v>
      </c>
      <c r="E73" s="48" t="s">
        <v>314</v>
      </c>
      <c r="F73" s="3" t="s">
        <v>114</v>
      </c>
      <c r="G73" s="3" t="s">
        <v>122</v>
      </c>
      <c r="H73" s="3" t="s">
        <v>441</v>
      </c>
      <c r="I73" s="60" t="s">
        <v>424</v>
      </c>
      <c r="J73" s="3" t="s">
        <v>440</v>
      </c>
      <c r="K73" s="2"/>
      <c r="L73" s="2"/>
      <c r="M73" s="2"/>
      <c r="N73" s="2"/>
    </row>
    <row r="74" spans="1:14" ht="15" thickBot="1" x14ac:dyDescent="0.4">
      <c r="A74" s="28">
        <v>773</v>
      </c>
      <c r="B74" s="3" t="s">
        <v>2</v>
      </c>
      <c r="C74" s="48" t="s">
        <v>315</v>
      </c>
      <c r="D74" s="56" t="s">
        <v>316</v>
      </c>
      <c r="E74" s="48" t="s">
        <v>317</v>
      </c>
      <c r="F74" s="3" t="s">
        <v>114</v>
      </c>
      <c r="G74" s="3" t="s">
        <v>122</v>
      </c>
      <c r="H74" s="3" t="s">
        <v>441</v>
      </c>
      <c r="I74" s="60" t="s">
        <v>425</v>
      </c>
      <c r="J74" s="3" t="s">
        <v>440</v>
      </c>
      <c r="K74" s="2"/>
      <c r="L74" s="2"/>
      <c r="M74" s="2"/>
      <c r="N74" s="2"/>
    </row>
    <row r="75" spans="1:14" ht="15" thickBot="1" x14ac:dyDescent="0.4">
      <c r="A75" s="28">
        <v>774</v>
      </c>
      <c r="B75" s="3" t="s">
        <v>2</v>
      </c>
      <c r="C75" s="48" t="s">
        <v>125</v>
      </c>
      <c r="D75" s="56" t="s">
        <v>318</v>
      </c>
      <c r="E75" s="48" t="s">
        <v>319</v>
      </c>
      <c r="F75" s="3" t="s">
        <v>114</v>
      </c>
      <c r="G75" s="3" t="s">
        <v>122</v>
      </c>
      <c r="H75" s="3" t="s">
        <v>441</v>
      </c>
      <c r="I75" s="60" t="s">
        <v>426</v>
      </c>
      <c r="J75" s="3" t="s">
        <v>440</v>
      </c>
      <c r="K75" s="2"/>
      <c r="L75" s="2"/>
      <c r="M75" s="2"/>
      <c r="N75" s="2"/>
    </row>
    <row r="76" spans="1:14" ht="15" thickBot="1" x14ac:dyDescent="0.4">
      <c r="A76" s="28">
        <v>775</v>
      </c>
      <c r="B76" s="3" t="s">
        <v>2</v>
      </c>
      <c r="C76" s="48" t="s">
        <v>320</v>
      </c>
      <c r="D76" s="56" t="s">
        <v>321</v>
      </c>
      <c r="E76" s="48" t="s">
        <v>322</v>
      </c>
      <c r="F76" s="3" t="s">
        <v>114</v>
      </c>
      <c r="G76" s="3" t="s">
        <v>122</v>
      </c>
      <c r="H76" s="3" t="s">
        <v>441</v>
      </c>
      <c r="I76" s="60" t="s">
        <v>427</v>
      </c>
      <c r="J76" s="3" t="s">
        <v>440</v>
      </c>
      <c r="K76" s="2"/>
      <c r="L76" s="2"/>
      <c r="M76" s="2"/>
      <c r="N76" s="2"/>
    </row>
    <row r="77" spans="1:14" ht="15" thickBot="1" x14ac:dyDescent="0.4">
      <c r="A77" s="28">
        <v>776</v>
      </c>
      <c r="B77" s="3" t="s">
        <v>2</v>
      </c>
      <c r="C77" s="48" t="s">
        <v>323</v>
      </c>
      <c r="D77" s="56" t="s">
        <v>324</v>
      </c>
      <c r="E77" s="48" t="s">
        <v>256</v>
      </c>
      <c r="F77" s="3" t="s">
        <v>114</v>
      </c>
      <c r="G77" s="3" t="s">
        <v>122</v>
      </c>
      <c r="H77" s="3" t="s">
        <v>441</v>
      </c>
      <c r="I77" s="60" t="s">
        <v>428</v>
      </c>
      <c r="J77" s="3" t="s">
        <v>440</v>
      </c>
      <c r="K77" s="2"/>
      <c r="L77" s="2"/>
      <c r="M77" s="2"/>
      <c r="N77" s="2"/>
    </row>
    <row r="78" spans="1:14" ht="15" thickBot="1" x14ac:dyDescent="0.4">
      <c r="A78" s="28">
        <v>777</v>
      </c>
      <c r="B78" s="3" t="s">
        <v>2</v>
      </c>
      <c r="C78" s="48" t="s">
        <v>325</v>
      </c>
      <c r="D78" s="56" t="s">
        <v>326</v>
      </c>
      <c r="E78" s="48" t="s">
        <v>327</v>
      </c>
      <c r="F78" s="3" t="s">
        <v>114</v>
      </c>
      <c r="G78" s="3" t="s">
        <v>122</v>
      </c>
      <c r="H78" s="3" t="s">
        <v>441</v>
      </c>
      <c r="I78" s="60" t="s">
        <v>429</v>
      </c>
      <c r="J78" s="3" t="s">
        <v>440</v>
      </c>
      <c r="K78" s="2"/>
      <c r="L78" s="2"/>
      <c r="M78" s="2"/>
      <c r="N78" s="2"/>
    </row>
    <row r="79" spans="1:14" ht="15" thickBot="1" x14ac:dyDescent="0.4">
      <c r="A79" s="28">
        <v>778</v>
      </c>
      <c r="B79" s="3" t="s">
        <v>2</v>
      </c>
      <c r="C79" s="48" t="s">
        <v>328</v>
      </c>
      <c r="D79" s="56" t="s">
        <v>329</v>
      </c>
      <c r="E79" s="48" t="s">
        <v>330</v>
      </c>
      <c r="F79" s="3" t="s">
        <v>114</v>
      </c>
      <c r="G79" s="3" t="s">
        <v>122</v>
      </c>
      <c r="H79" s="3" t="s">
        <v>441</v>
      </c>
      <c r="I79" s="58" t="s">
        <v>430</v>
      </c>
      <c r="J79" s="3" t="s">
        <v>440</v>
      </c>
      <c r="K79" s="2"/>
      <c r="L79" s="2"/>
      <c r="M79" s="2"/>
      <c r="N79" s="2"/>
    </row>
    <row r="80" spans="1:14" ht="15" thickBot="1" x14ac:dyDescent="0.4">
      <c r="A80" s="28">
        <v>779</v>
      </c>
      <c r="B80" s="3" t="s">
        <v>2</v>
      </c>
      <c r="C80" s="48" t="s">
        <v>331</v>
      </c>
      <c r="D80" s="56" t="s">
        <v>332</v>
      </c>
      <c r="E80" s="48" t="s">
        <v>333</v>
      </c>
      <c r="F80" s="3" t="s">
        <v>114</v>
      </c>
      <c r="G80" s="3" t="s">
        <v>122</v>
      </c>
      <c r="H80" s="3" t="s">
        <v>441</v>
      </c>
      <c r="I80" s="59" t="s">
        <v>431</v>
      </c>
      <c r="J80" s="3" t="s">
        <v>440</v>
      </c>
      <c r="K80" s="2"/>
      <c r="L80" s="2"/>
      <c r="M80" s="2"/>
      <c r="N80" s="2"/>
    </row>
    <row r="81" spans="1:14" ht="15" thickBot="1" x14ac:dyDescent="0.4">
      <c r="A81" s="28">
        <v>780</v>
      </c>
      <c r="B81" s="3" t="s">
        <v>2</v>
      </c>
      <c r="C81" s="48" t="s">
        <v>334</v>
      </c>
      <c r="D81" s="56" t="s">
        <v>335</v>
      </c>
      <c r="E81" s="48" t="s">
        <v>336</v>
      </c>
      <c r="F81" s="3" t="s">
        <v>115</v>
      </c>
      <c r="G81" s="3" t="s">
        <v>122</v>
      </c>
      <c r="H81" s="3" t="s">
        <v>441</v>
      </c>
      <c r="I81" s="60" t="s">
        <v>432</v>
      </c>
      <c r="J81" s="3" t="s">
        <v>440</v>
      </c>
      <c r="K81" s="2"/>
      <c r="L81" s="2"/>
      <c r="M81" s="2"/>
      <c r="N81" s="2"/>
    </row>
    <row r="82" spans="1:14" ht="15" thickBot="1" x14ac:dyDescent="0.4">
      <c r="A82" s="28">
        <v>781</v>
      </c>
      <c r="B82" s="3" t="s">
        <v>2</v>
      </c>
      <c r="C82" s="48" t="s">
        <v>337</v>
      </c>
      <c r="D82" s="56" t="s">
        <v>318</v>
      </c>
      <c r="E82" s="48" t="s">
        <v>268</v>
      </c>
      <c r="F82" s="3" t="s">
        <v>114</v>
      </c>
      <c r="G82" s="3" t="s">
        <v>122</v>
      </c>
      <c r="H82" s="3" t="s">
        <v>441</v>
      </c>
      <c r="I82" s="60" t="s">
        <v>433</v>
      </c>
      <c r="J82" s="3" t="s">
        <v>440</v>
      </c>
      <c r="K82" s="2"/>
      <c r="L82" s="2"/>
      <c r="M82" s="2"/>
      <c r="N82" s="2"/>
    </row>
    <row r="83" spans="1:14" ht="15" thickBot="1" x14ac:dyDescent="0.4">
      <c r="A83" s="28">
        <v>782</v>
      </c>
      <c r="B83" s="3" t="s">
        <v>2</v>
      </c>
      <c r="C83" s="48" t="s">
        <v>338</v>
      </c>
      <c r="D83" s="56" t="s">
        <v>239</v>
      </c>
      <c r="E83" s="48" t="s">
        <v>339</v>
      </c>
      <c r="F83" s="3" t="s">
        <v>115</v>
      </c>
      <c r="G83" s="3" t="s">
        <v>122</v>
      </c>
      <c r="H83" s="3" t="s">
        <v>441</v>
      </c>
      <c r="I83" s="60" t="s">
        <v>434</v>
      </c>
      <c r="J83" s="3" t="s">
        <v>440</v>
      </c>
      <c r="K83" s="2"/>
      <c r="L83" s="2"/>
      <c r="M83" s="2"/>
      <c r="N83" s="2"/>
    </row>
    <row r="84" spans="1:14" ht="15" thickBot="1" x14ac:dyDescent="0.4">
      <c r="A84" s="28">
        <v>783</v>
      </c>
      <c r="B84" s="3" t="s">
        <v>2</v>
      </c>
      <c r="C84" s="48" t="s">
        <v>340</v>
      </c>
      <c r="D84" s="56" t="s">
        <v>341</v>
      </c>
      <c r="E84" s="48" t="s">
        <v>342</v>
      </c>
      <c r="F84" s="3" t="s">
        <v>114</v>
      </c>
      <c r="G84" s="3" t="s">
        <v>122</v>
      </c>
      <c r="H84" s="3" t="s">
        <v>441</v>
      </c>
      <c r="I84" s="60" t="s">
        <v>435</v>
      </c>
      <c r="J84" s="3" t="s">
        <v>440</v>
      </c>
      <c r="K84" s="2"/>
      <c r="L84" s="2"/>
      <c r="M84" s="2"/>
      <c r="N84" s="2"/>
    </row>
    <row r="85" spans="1:14" ht="15" thickBot="1" x14ac:dyDescent="0.4">
      <c r="A85" s="28">
        <v>784</v>
      </c>
      <c r="B85" s="3" t="s">
        <v>2</v>
      </c>
      <c r="C85" s="48" t="s">
        <v>343</v>
      </c>
      <c r="D85" s="56" t="s">
        <v>344</v>
      </c>
      <c r="E85" s="48" t="s">
        <v>345</v>
      </c>
      <c r="F85" s="3" t="s">
        <v>114</v>
      </c>
      <c r="G85" s="3" t="s">
        <v>122</v>
      </c>
      <c r="H85" s="3" t="s">
        <v>441</v>
      </c>
      <c r="I85" s="60" t="s">
        <v>436</v>
      </c>
      <c r="J85" s="3" t="s">
        <v>440</v>
      </c>
      <c r="K85" s="2"/>
      <c r="L85" s="2"/>
      <c r="M85" s="2"/>
      <c r="N85" s="2"/>
    </row>
    <row r="86" spans="1:14" ht="15" thickBot="1" x14ac:dyDescent="0.4">
      <c r="A86" s="28">
        <v>785</v>
      </c>
      <c r="B86" s="3" t="s">
        <v>2</v>
      </c>
      <c r="C86" s="48" t="s">
        <v>346</v>
      </c>
      <c r="D86" s="56" t="s">
        <v>347</v>
      </c>
      <c r="E86" s="48" t="s">
        <v>348</v>
      </c>
      <c r="F86" s="3" t="s">
        <v>114</v>
      </c>
      <c r="G86" s="3" t="s">
        <v>122</v>
      </c>
      <c r="H86" s="3" t="s">
        <v>441</v>
      </c>
      <c r="I86" s="60" t="s">
        <v>437</v>
      </c>
      <c r="J86" s="3" t="s">
        <v>440</v>
      </c>
      <c r="K86" s="2"/>
      <c r="L86" s="2"/>
      <c r="M86" s="2"/>
      <c r="N86" s="2"/>
    </row>
    <row r="87" spans="1:14" x14ac:dyDescent="0.35">
      <c r="A87" s="77">
        <v>786</v>
      </c>
      <c r="B87" s="78" t="s">
        <v>2</v>
      </c>
      <c r="C87" s="79" t="s">
        <v>166</v>
      </c>
      <c r="D87" s="80" t="s">
        <v>349</v>
      </c>
      <c r="E87" s="79" t="s">
        <v>350</v>
      </c>
      <c r="F87" s="78" t="s">
        <v>115</v>
      </c>
      <c r="G87" s="3" t="s">
        <v>122</v>
      </c>
      <c r="H87" s="78" t="s">
        <v>441</v>
      </c>
      <c r="I87" s="61" t="s">
        <v>438</v>
      </c>
      <c r="J87" s="78" t="s">
        <v>440</v>
      </c>
      <c r="K87" s="2"/>
      <c r="L87" s="2"/>
      <c r="M87" s="2"/>
      <c r="N87" s="2"/>
    </row>
    <row r="88" spans="1:14" x14ac:dyDescent="0.35">
      <c r="A88" s="28">
        <v>6812</v>
      </c>
      <c r="B88" s="81" t="s">
        <v>2</v>
      </c>
      <c r="C88" s="82" t="s">
        <v>443</v>
      </c>
      <c r="D88" s="3" t="s">
        <v>450</v>
      </c>
      <c r="E88" s="3" t="s">
        <v>450</v>
      </c>
      <c r="F88" s="3" t="s">
        <v>115</v>
      </c>
      <c r="G88" s="3" t="s">
        <v>122</v>
      </c>
      <c r="H88" s="3" t="s">
        <v>441</v>
      </c>
      <c r="I88" s="2" t="s">
        <v>450</v>
      </c>
      <c r="J88" s="2" t="s">
        <v>444</v>
      </c>
      <c r="K88"/>
      <c r="L88"/>
      <c r="M88"/>
    </row>
    <row r="89" spans="1:14" x14ac:dyDescent="0.35">
      <c r="A89"/>
      <c r="B89"/>
      <c r="C89"/>
      <c r="E89"/>
      <c r="F89"/>
      <c r="G89"/>
      <c r="H89"/>
      <c r="I89"/>
      <c r="J89"/>
      <c r="K89"/>
      <c r="L89"/>
      <c r="M89"/>
    </row>
    <row r="90" spans="1:14" x14ac:dyDescent="0.35">
      <c r="A90"/>
      <c r="B90"/>
      <c r="C90"/>
      <c r="E90"/>
      <c r="F90"/>
      <c r="G90"/>
      <c r="H90"/>
      <c r="I90"/>
      <c r="J90"/>
      <c r="K90"/>
      <c r="L90"/>
      <c r="M90"/>
    </row>
    <row r="91" spans="1:14" x14ac:dyDescent="0.35">
      <c r="A91"/>
      <c r="B91"/>
      <c r="C91"/>
      <c r="E91"/>
      <c r="F91"/>
      <c r="G91"/>
      <c r="H91"/>
      <c r="I91"/>
      <c r="J91"/>
      <c r="K91"/>
      <c r="L91"/>
      <c r="M91"/>
    </row>
    <row r="92" spans="1:14" x14ac:dyDescent="0.35">
      <c r="A92"/>
      <c r="B92"/>
      <c r="C92"/>
      <c r="E92"/>
      <c r="F92"/>
      <c r="G92"/>
      <c r="H92"/>
      <c r="I92"/>
      <c r="J92"/>
      <c r="K92"/>
      <c r="L92"/>
      <c r="M92"/>
    </row>
    <row r="93" spans="1:14" x14ac:dyDescent="0.35">
      <c r="A93"/>
      <c r="B93"/>
      <c r="C93"/>
      <c r="E93"/>
      <c r="F93"/>
      <c r="G93"/>
      <c r="H93"/>
      <c r="I93"/>
      <c r="J93"/>
      <c r="K93"/>
      <c r="L93"/>
      <c r="M93"/>
    </row>
    <row r="94" spans="1:14" x14ac:dyDescent="0.35">
      <c r="A94"/>
      <c r="B94"/>
      <c r="C94"/>
      <c r="E94"/>
      <c r="F94"/>
      <c r="G94"/>
      <c r="H94"/>
      <c r="I94"/>
      <c r="J94"/>
      <c r="K94"/>
      <c r="L94"/>
      <c r="M94"/>
    </row>
    <row r="95" spans="1:14" x14ac:dyDescent="0.35">
      <c r="A95"/>
      <c r="B95"/>
      <c r="C95"/>
      <c r="E95"/>
      <c r="F95"/>
      <c r="G95"/>
      <c r="H95"/>
      <c r="I95"/>
      <c r="J95"/>
      <c r="K95"/>
      <c r="L95"/>
      <c r="M95"/>
    </row>
    <row r="96" spans="1:14" x14ac:dyDescent="0.35">
      <c r="A96"/>
      <c r="B96"/>
      <c r="C96"/>
      <c r="E96"/>
      <c r="F96"/>
      <c r="G96"/>
      <c r="H96"/>
      <c r="I96"/>
      <c r="J96"/>
      <c r="K96"/>
      <c r="L96"/>
      <c r="M96"/>
    </row>
    <row r="97" spans="1:13" x14ac:dyDescent="0.35">
      <c r="A97"/>
      <c r="B97"/>
      <c r="C97"/>
      <c r="E97"/>
      <c r="F97"/>
      <c r="G97"/>
      <c r="H97"/>
      <c r="I97"/>
      <c r="J97"/>
      <c r="K97"/>
      <c r="L97"/>
      <c r="M97"/>
    </row>
    <row r="98" spans="1:13" x14ac:dyDescent="0.35">
      <c r="A98"/>
      <c r="B98"/>
      <c r="C98"/>
      <c r="E98"/>
      <c r="F98"/>
      <c r="G98"/>
      <c r="H98"/>
      <c r="I98"/>
      <c r="J98"/>
      <c r="K98"/>
      <c r="L98"/>
      <c r="M98"/>
    </row>
    <row r="99" spans="1:13" x14ac:dyDescent="0.35">
      <c r="A99"/>
      <c r="B99"/>
      <c r="C99"/>
      <c r="E99"/>
      <c r="F99"/>
      <c r="G99"/>
      <c r="H99"/>
      <c r="I99"/>
      <c r="J99"/>
      <c r="K99"/>
      <c r="L99"/>
      <c r="M99"/>
    </row>
    <row r="100" spans="1:13" x14ac:dyDescent="0.35">
      <c r="A100"/>
      <c r="B100"/>
      <c r="C100"/>
      <c r="E100"/>
      <c r="F100"/>
      <c r="G100"/>
      <c r="H100"/>
      <c r="I100"/>
      <c r="J100"/>
      <c r="K100"/>
      <c r="L100"/>
      <c r="M100"/>
    </row>
    <row r="101" spans="1:13" x14ac:dyDescent="0.35">
      <c r="A101"/>
      <c r="B101"/>
      <c r="C101"/>
      <c r="E101"/>
      <c r="F101"/>
      <c r="G101"/>
      <c r="H101"/>
      <c r="I101"/>
      <c r="J101"/>
      <c r="K101"/>
      <c r="L101"/>
      <c r="M101"/>
    </row>
    <row r="102" spans="1:13" x14ac:dyDescent="0.35">
      <c r="A102"/>
      <c r="B102"/>
      <c r="C102"/>
      <c r="E102"/>
      <c r="F102"/>
      <c r="G102"/>
      <c r="H102"/>
      <c r="I102"/>
      <c r="J102"/>
      <c r="K102"/>
      <c r="L102"/>
      <c r="M102"/>
    </row>
    <row r="103" spans="1:13" x14ac:dyDescent="0.35">
      <c r="A103"/>
      <c r="B103"/>
      <c r="C103"/>
      <c r="E103"/>
      <c r="F103"/>
      <c r="G103"/>
      <c r="H103"/>
      <c r="I103"/>
      <c r="J103"/>
      <c r="K103"/>
      <c r="L103"/>
      <c r="M103"/>
    </row>
    <row r="104" spans="1:13" x14ac:dyDescent="0.35">
      <c r="A104"/>
      <c r="B104"/>
      <c r="C104"/>
      <c r="E104"/>
      <c r="F104"/>
      <c r="G104"/>
      <c r="H104"/>
      <c r="I104"/>
      <c r="J104"/>
      <c r="K104"/>
      <c r="L104"/>
      <c r="M104"/>
    </row>
    <row r="105" spans="1:13" x14ac:dyDescent="0.35">
      <c r="A105"/>
      <c r="B105"/>
      <c r="C105"/>
      <c r="E105"/>
      <c r="F105"/>
      <c r="G105"/>
      <c r="H105"/>
      <c r="I105"/>
      <c r="J105"/>
      <c r="K105"/>
      <c r="L105"/>
      <c r="M105"/>
    </row>
    <row r="106" spans="1:13" x14ac:dyDescent="0.35">
      <c r="A106"/>
      <c r="B106"/>
      <c r="C106"/>
      <c r="E106"/>
      <c r="F106"/>
      <c r="G106"/>
      <c r="H106"/>
      <c r="I106"/>
      <c r="J106"/>
      <c r="K106"/>
      <c r="L106"/>
      <c r="M106"/>
    </row>
    <row r="107" spans="1:13" x14ac:dyDescent="0.35">
      <c r="A107"/>
      <c r="B107"/>
      <c r="C107"/>
      <c r="E107"/>
      <c r="F107"/>
      <c r="G107"/>
      <c r="H107"/>
      <c r="I107"/>
      <c r="J107"/>
      <c r="K107"/>
      <c r="L107"/>
      <c r="M107"/>
    </row>
    <row r="108" spans="1:13" x14ac:dyDescent="0.35">
      <c r="A108"/>
      <c r="B108"/>
      <c r="C108"/>
      <c r="E108"/>
      <c r="F108"/>
      <c r="G108"/>
      <c r="H108"/>
      <c r="I108"/>
      <c r="J108"/>
      <c r="K108"/>
      <c r="L108"/>
      <c r="M108"/>
    </row>
    <row r="109" spans="1:13" x14ac:dyDescent="0.35">
      <c r="A109"/>
      <c r="B109"/>
      <c r="C109"/>
      <c r="E109"/>
      <c r="F109"/>
      <c r="G109"/>
      <c r="H109"/>
      <c r="I109"/>
      <c r="J109"/>
      <c r="K109"/>
      <c r="L109"/>
      <c r="M109"/>
    </row>
    <row r="110" spans="1:13" x14ac:dyDescent="0.35">
      <c r="A110"/>
      <c r="B110"/>
      <c r="C110"/>
      <c r="E110"/>
      <c r="F110"/>
      <c r="G110"/>
      <c r="H110"/>
      <c r="I110"/>
      <c r="J110"/>
      <c r="K110"/>
      <c r="L110"/>
      <c r="M110"/>
    </row>
    <row r="111" spans="1:13" x14ac:dyDescent="0.35">
      <c r="A111"/>
      <c r="B111"/>
      <c r="C111"/>
      <c r="E111"/>
      <c r="F111"/>
      <c r="G111"/>
      <c r="H111"/>
      <c r="I111"/>
      <c r="J111"/>
      <c r="K111"/>
      <c r="L111"/>
      <c r="M111"/>
    </row>
    <row r="112" spans="1:13" x14ac:dyDescent="0.35">
      <c r="A112"/>
      <c r="B112"/>
      <c r="C112"/>
      <c r="E112"/>
      <c r="F112"/>
      <c r="G112"/>
      <c r="H112"/>
      <c r="I112"/>
      <c r="J112"/>
      <c r="K112"/>
      <c r="L112"/>
      <c r="M112"/>
    </row>
    <row r="113" spans="1:13" x14ac:dyDescent="0.35">
      <c r="A113"/>
      <c r="B113"/>
      <c r="C113"/>
      <c r="E113"/>
      <c r="F113"/>
      <c r="G113"/>
      <c r="H113"/>
      <c r="I113"/>
      <c r="J113"/>
      <c r="K113"/>
      <c r="L113"/>
      <c r="M113"/>
    </row>
    <row r="114" spans="1:13" x14ac:dyDescent="0.35">
      <c r="A114"/>
      <c r="B114"/>
      <c r="C114"/>
      <c r="E114"/>
      <c r="F114"/>
      <c r="G114"/>
      <c r="H114"/>
      <c r="I114"/>
      <c r="J114"/>
      <c r="K114"/>
      <c r="L114"/>
      <c r="M114"/>
    </row>
    <row r="115" spans="1:13" x14ac:dyDescent="0.35">
      <c r="A115"/>
      <c r="B115"/>
      <c r="C115"/>
      <c r="E115"/>
      <c r="F115"/>
      <c r="G115"/>
      <c r="H115"/>
      <c r="I115"/>
      <c r="J115"/>
      <c r="K115"/>
      <c r="L115"/>
      <c r="M115"/>
    </row>
    <row r="116" spans="1:13" x14ac:dyDescent="0.35">
      <c r="A116"/>
      <c r="B116"/>
      <c r="C116"/>
      <c r="E116"/>
      <c r="F116"/>
      <c r="G116"/>
      <c r="H116"/>
      <c r="I116"/>
      <c r="J116"/>
      <c r="K116"/>
      <c r="L116"/>
      <c r="M116"/>
    </row>
    <row r="117" spans="1:13" x14ac:dyDescent="0.35">
      <c r="A117"/>
      <c r="B117"/>
      <c r="C117"/>
      <c r="E117"/>
      <c r="F117"/>
      <c r="G117"/>
      <c r="H117"/>
      <c r="I117"/>
      <c r="J117"/>
      <c r="K117"/>
      <c r="L117"/>
      <c r="M117"/>
    </row>
    <row r="118" spans="1:13" x14ac:dyDescent="0.35">
      <c r="A118"/>
      <c r="B118"/>
      <c r="C118"/>
      <c r="E118"/>
      <c r="F118"/>
      <c r="G118"/>
      <c r="H118"/>
      <c r="I118"/>
      <c r="J118"/>
      <c r="K118"/>
      <c r="L118"/>
      <c r="M118"/>
    </row>
    <row r="119" spans="1:13" x14ac:dyDescent="0.35">
      <c r="A119"/>
      <c r="B119"/>
      <c r="C119"/>
      <c r="E119"/>
      <c r="F119"/>
      <c r="G119"/>
      <c r="H119"/>
      <c r="I119"/>
      <c r="J119"/>
      <c r="K119"/>
      <c r="L119"/>
      <c r="M119"/>
    </row>
    <row r="120" spans="1:13" x14ac:dyDescent="0.35">
      <c r="A120"/>
      <c r="B120"/>
      <c r="C120"/>
      <c r="E120"/>
      <c r="F120"/>
      <c r="G120"/>
      <c r="H120"/>
      <c r="I120"/>
      <c r="J120"/>
      <c r="K120"/>
      <c r="L120"/>
      <c r="M120"/>
    </row>
    <row r="121" spans="1:13" x14ac:dyDescent="0.35">
      <c r="A121"/>
      <c r="B121"/>
      <c r="C121"/>
      <c r="E121"/>
      <c r="F121"/>
      <c r="G121"/>
      <c r="H121"/>
      <c r="I121"/>
      <c r="J121"/>
      <c r="K121"/>
      <c r="L121"/>
      <c r="M121"/>
    </row>
    <row r="122" spans="1:13" x14ac:dyDescent="0.35">
      <c r="A122"/>
      <c r="B122"/>
      <c r="C122"/>
      <c r="E122"/>
      <c r="F122"/>
      <c r="G122"/>
      <c r="H122"/>
      <c r="I122"/>
      <c r="J122"/>
      <c r="K122"/>
      <c r="L122"/>
      <c r="M122"/>
    </row>
    <row r="123" spans="1:13" x14ac:dyDescent="0.35">
      <c r="A123"/>
      <c r="B123"/>
      <c r="C123"/>
      <c r="E123"/>
      <c r="F123"/>
      <c r="G123"/>
      <c r="H123"/>
      <c r="I123"/>
      <c r="J123"/>
      <c r="K123"/>
      <c r="L123"/>
      <c r="M123"/>
    </row>
    <row r="124" spans="1:13" x14ac:dyDescent="0.35">
      <c r="A124"/>
      <c r="B124"/>
      <c r="C124"/>
      <c r="E124"/>
      <c r="F124"/>
      <c r="G124"/>
      <c r="H124"/>
      <c r="I124"/>
      <c r="J124"/>
      <c r="K124"/>
      <c r="L124"/>
      <c r="M124"/>
    </row>
    <row r="125" spans="1:13" x14ac:dyDescent="0.35">
      <c r="A125"/>
      <c r="B125"/>
      <c r="C125"/>
      <c r="E125"/>
      <c r="F125"/>
      <c r="G125"/>
      <c r="H125"/>
      <c r="I125"/>
      <c r="J125"/>
      <c r="K125"/>
      <c r="L125"/>
      <c r="M125"/>
    </row>
    <row r="126" spans="1:13" x14ac:dyDescent="0.35">
      <c r="A126"/>
      <c r="B126"/>
      <c r="C126"/>
      <c r="E126"/>
      <c r="F126"/>
      <c r="G126"/>
      <c r="H126"/>
      <c r="I126"/>
      <c r="J126"/>
      <c r="K126"/>
      <c r="L126"/>
      <c r="M126"/>
    </row>
    <row r="127" spans="1:13" x14ac:dyDescent="0.35">
      <c r="A127"/>
      <c r="B127"/>
      <c r="C127"/>
      <c r="E127"/>
      <c r="F127"/>
      <c r="G127"/>
      <c r="H127"/>
      <c r="I127"/>
      <c r="J127"/>
      <c r="K127"/>
      <c r="L127"/>
      <c r="M127"/>
    </row>
    <row r="128" spans="1:13" x14ac:dyDescent="0.35">
      <c r="A128"/>
      <c r="B128"/>
      <c r="C128"/>
      <c r="E128"/>
      <c r="F128"/>
      <c r="G128"/>
      <c r="H128"/>
      <c r="I128"/>
      <c r="J128"/>
      <c r="K128"/>
      <c r="L128"/>
      <c r="M128"/>
    </row>
    <row r="129" spans="1:13" x14ac:dyDescent="0.35">
      <c r="A129"/>
      <c r="B129"/>
      <c r="C129"/>
      <c r="E129"/>
      <c r="F129"/>
      <c r="G129"/>
      <c r="H129"/>
      <c r="I129"/>
      <c r="J129"/>
      <c r="K129"/>
      <c r="L129"/>
      <c r="M129"/>
    </row>
    <row r="130" spans="1:13" x14ac:dyDescent="0.35">
      <c r="A130"/>
      <c r="B130"/>
      <c r="C130"/>
      <c r="E130"/>
      <c r="F130"/>
      <c r="G130"/>
      <c r="H130"/>
      <c r="I130"/>
      <c r="J130"/>
      <c r="K130"/>
      <c r="L130"/>
      <c r="M130"/>
    </row>
    <row r="131" spans="1:13" x14ac:dyDescent="0.35">
      <c r="A131"/>
      <c r="B131"/>
      <c r="C131"/>
      <c r="E131"/>
      <c r="F131"/>
      <c r="G131"/>
      <c r="H131"/>
      <c r="I131"/>
      <c r="J131"/>
      <c r="K131"/>
      <c r="L131"/>
      <c r="M131"/>
    </row>
    <row r="132" spans="1:13" x14ac:dyDescent="0.35">
      <c r="A132"/>
      <c r="B132"/>
      <c r="C132"/>
      <c r="E132"/>
      <c r="F132"/>
      <c r="G132"/>
      <c r="H132"/>
      <c r="I132"/>
      <c r="J132"/>
      <c r="K132"/>
      <c r="L132"/>
      <c r="M132"/>
    </row>
    <row r="133" spans="1:13" x14ac:dyDescent="0.35">
      <c r="A133"/>
      <c r="B133"/>
      <c r="C133"/>
      <c r="E133"/>
      <c r="F133"/>
      <c r="G133"/>
      <c r="H133"/>
      <c r="I133"/>
      <c r="J133"/>
      <c r="K133"/>
      <c r="L133"/>
      <c r="M133"/>
    </row>
    <row r="134" spans="1:13" x14ac:dyDescent="0.35">
      <c r="A134"/>
      <c r="B134"/>
      <c r="C134"/>
      <c r="E134"/>
      <c r="F134"/>
      <c r="G134"/>
      <c r="H134"/>
      <c r="I134"/>
      <c r="J134"/>
      <c r="K134"/>
      <c r="L134"/>
      <c r="M134"/>
    </row>
    <row r="135" spans="1:13" x14ac:dyDescent="0.35">
      <c r="A135"/>
      <c r="B135"/>
      <c r="C135"/>
      <c r="E135"/>
      <c r="F135"/>
      <c r="G135"/>
      <c r="H135"/>
      <c r="I135"/>
      <c r="J135"/>
      <c r="K135"/>
      <c r="L135"/>
      <c r="M135"/>
    </row>
    <row r="136" spans="1:13" x14ac:dyDescent="0.35">
      <c r="A136"/>
      <c r="B136"/>
      <c r="C136"/>
      <c r="E136"/>
      <c r="F136"/>
      <c r="G136"/>
      <c r="H136"/>
      <c r="I136"/>
      <c r="J136"/>
      <c r="K136"/>
      <c r="L136"/>
      <c r="M136"/>
    </row>
    <row r="137" spans="1:13" x14ac:dyDescent="0.35">
      <c r="A137"/>
      <c r="B137"/>
      <c r="C137"/>
      <c r="E137"/>
      <c r="F137"/>
      <c r="G137"/>
      <c r="H137"/>
      <c r="I137"/>
      <c r="J137"/>
      <c r="K137"/>
      <c r="L137"/>
      <c r="M137"/>
    </row>
    <row r="138" spans="1:13" x14ac:dyDescent="0.35">
      <c r="A138"/>
      <c r="B138"/>
      <c r="C138"/>
      <c r="E138"/>
      <c r="F138"/>
      <c r="G138"/>
      <c r="H138"/>
      <c r="I138"/>
      <c r="J138"/>
      <c r="K138"/>
      <c r="L138"/>
      <c r="M138"/>
    </row>
    <row r="139" spans="1:13" x14ac:dyDescent="0.35">
      <c r="A139"/>
      <c r="B139"/>
      <c r="C139"/>
      <c r="E139"/>
      <c r="F139"/>
      <c r="G139"/>
      <c r="H139"/>
      <c r="I139"/>
      <c r="J139"/>
      <c r="K139"/>
      <c r="L139"/>
      <c r="M139"/>
    </row>
    <row r="140" spans="1:13" x14ac:dyDescent="0.35">
      <c r="A140"/>
      <c r="B140"/>
      <c r="C140"/>
      <c r="E140"/>
      <c r="F140"/>
      <c r="G140"/>
      <c r="H140"/>
      <c r="I140"/>
      <c r="J140"/>
      <c r="K140"/>
      <c r="L140"/>
      <c r="M140"/>
    </row>
    <row r="141" spans="1:13" x14ac:dyDescent="0.35">
      <c r="A141"/>
      <c r="B141"/>
      <c r="C141"/>
      <c r="E141"/>
      <c r="F141"/>
      <c r="G141"/>
      <c r="H141"/>
      <c r="I141"/>
      <c r="J141"/>
      <c r="K141"/>
      <c r="L141"/>
      <c r="M141"/>
    </row>
    <row r="142" spans="1:13" x14ac:dyDescent="0.35">
      <c r="A142"/>
      <c r="B142"/>
      <c r="C142"/>
      <c r="E142"/>
      <c r="F142"/>
      <c r="G142"/>
      <c r="H142"/>
      <c r="I142"/>
      <c r="J142"/>
      <c r="K142"/>
      <c r="L142"/>
      <c r="M142"/>
    </row>
    <row r="143" spans="1:13" x14ac:dyDescent="0.35">
      <c r="A143"/>
      <c r="B143"/>
      <c r="C143"/>
      <c r="E143"/>
      <c r="F143"/>
      <c r="G143"/>
      <c r="H143"/>
      <c r="I143"/>
      <c r="J143"/>
      <c r="K143"/>
      <c r="L143"/>
      <c r="M143"/>
    </row>
    <row r="144" spans="1:13" x14ac:dyDescent="0.35">
      <c r="A144"/>
      <c r="B144"/>
      <c r="C144"/>
      <c r="E144"/>
      <c r="F144"/>
      <c r="G144"/>
      <c r="H144"/>
      <c r="I144"/>
      <c r="J144"/>
      <c r="K144"/>
      <c r="L144"/>
      <c r="M144"/>
    </row>
    <row r="145" spans="1:13" x14ac:dyDescent="0.35">
      <c r="A145"/>
      <c r="B145"/>
      <c r="C145"/>
      <c r="E145"/>
      <c r="F145"/>
      <c r="G145"/>
      <c r="H145"/>
      <c r="I145"/>
      <c r="J145"/>
      <c r="K145"/>
      <c r="L145"/>
      <c r="M145"/>
    </row>
    <row r="146" spans="1:13" x14ac:dyDescent="0.35">
      <c r="A146"/>
      <c r="B146"/>
      <c r="C146"/>
      <c r="E146"/>
      <c r="F146"/>
      <c r="G146"/>
      <c r="H146"/>
      <c r="I146"/>
      <c r="J146"/>
      <c r="K146"/>
      <c r="L146"/>
      <c r="M146"/>
    </row>
    <row r="147" spans="1:13" x14ac:dyDescent="0.35">
      <c r="A147"/>
      <c r="B147"/>
      <c r="C147"/>
      <c r="E147"/>
      <c r="F147"/>
      <c r="G147"/>
      <c r="H147"/>
      <c r="I147"/>
      <c r="J147"/>
      <c r="K147"/>
      <c r="L147"/>
      <c r="M147"/>
    </row>
    <row r="148" spans="1:13" x14ac:dyDescent="0.35">
      <c r="A148"/>
      <c r="B148"/>
      <c r="C148"/>
      <c r="E148"/>
      <c r="F148"/>
      <c r="G148"/>
      <c r="H148"/>
      <c r="I148"/>
      <c r="J148"/>
      <c r="K148"/>
      <c r="L148"/>
      <c r="M148"/>
    </row>
    <row r="149" spans="1:13" x14ac:dyDescent="0.35">
      <c r="A149"/>
      <c r="B149"/>
      <c r="C149"/>
      <c r="E149"/>
      <c r="F149"/>
      <c r="G149"/>
      <c r="H149"/>
      <c r="I149"/>
      <c r="J149"/>
      <c r="K149"/>
      <c r="L149"/>
      <c r="M149"/>
    </row>
    <row r="150" spans="1:13" x14ac:dyDescent="0.35">
      <c r="A150"/>
      <c r="B150"/>
      <c r="C150"/>
      <c r="E150"/>
      <c r="F150"/>
      <c r="G150"/>
      <c r="H150"/>
      <c r="I150"/>
      <c r="J150"/>
      <c r="K150"/>
      <c r="L150"/>
      <c r="M150"/>
    </row>
    <row r="151" spans="1:13" x14ac:dyDescent="0.35">
      <c r="A151"/>
      <c r="B151"/>
      <c r="C151"/>
      <c r="E151"/>
      <c r="F151"/>
      <c r="G151"/>
      <c r="H151"/>
      <c r="I151"/>
      <c r="J151"/>
      <c r="K151"/>
      <c r="L151"/>
      <c r="M151"/>
    </row>
    <row r="152" spans="1:13" x14ac:dyDescent="0.35">
      <c r="A152"/>
      <c r="B152"/>
      <c r="C152"/>
      <c r="E152"/>
      <c r="F152"/>
      <c r="G152"/>
      <c r="H152"/>
      <c r="I152"/>
      <c r="J152"/>
      <c r="K152"/>
      <c r="L152"/>
      <c r="M152"/>
    </row>
    <row r="153" spans="1:13" x14ac:dyDescent="0.35">
      <c r="A153"/>
      <c r="B153"/>
      <c r="C153"/>
      <c r="E153"/>
      <c r="F153"/>
      <c r="G153"/>
      <c r="H153"/>
      <c r="I153"/>
      <c r="J153"/>
      <c r="K153"/>
      <c r="L153"/>
      <c r="M153"/>
    </row>
    <row r="154" spans="1:13" x14ac:dyDescent="0.35">
      <c r="A154"/>
      <c r="B154"/>
      <c r="C154"/>
      <c r="E154"/>
      <c r="F154"/>
      <c r="G154"/>
      <c r="H154"/>
      <c r="I154"/>
      <c r="J154"/>
      <c r="K154"/>
      <c r="L154"/>
      <c r="M154"/>
    </row>
    <row r="155" spans="1:13" x14ac:dyDescent="0.35">
      <c r="A155"/>
      <c r="B155"/>
      <c r="C155"/>
      <c r="E155"/>
      <c r="F155"/>
      <c r="G155"/>
      <c r="H155"/>
      <c r="I155"/>
      <c r="J155"/>
      <c r="K155"/>
      <c r="L155"/>
      <c r="M155"/>
    </row>
    <row r="156" spans="1:13" x14ac:dyDescent="0.35">
      <c r="A156"/>
      <c r="B156"/>
      <c r="C156"/>
      <c r="E156"/>
      <c r="F156"/>
      <c r="G156"/>
      <c r="H156"/>
      <c r="I156"/>
      <c r="J156"/>
      <c r="K156"/>
      <c r="L156"/>
      <c r="M156"/>
    </row>
    <row r="157" spans="1:13" x14ac:dyDescent="0.35">
      <c r="A157"/>
      <c r="B157"/>
      <c r="C157"/>
      <c r="E157"/>
      <c r="F157"/>
      <c r="G157"/>
      <c r="H157"/>
      <c r="I157"/>
      <c r="J157"/>
      <c r="K157"/>
      <c r="L157"/>
      <c r="M157"/>
    </row>
    <row r="158" spans="1:13" x14ac:dyDescent="0.35">
      <c r="A158"/>
      <c r="B158"/>
      <c r="C158"/>
      <c r="E158"/>
      <c r="F158"/>
      <c r="G158"/>
      <c r="H158"/>
      <c r="I158"/>
      <c r="J158"/>
      <c r="K158"/>
      <c r="L158"/>
      <c r="M158"/>
    </row>
    <row r="159" spans="1:13" x14ac:dyDescent="0.35">
      <c r="A159"/>
      <c r="B159"/>
      <c r="C159"/>
      <c r="E159"/>
      <c r="F159"/>
      <c r="G159"/>
      <c r="H159"/>
      <c r="I159"/>
      <c r="J159"/>
      <c r="K159"/>
      <c r="L159"/>
      <c r="M159"/>
    </row>
    <row r="160" spans="1:13" x14ac:dyDescent="0.35">
      <c r="A160"/>
      <c r="B160"/>
      <c r="C160"/>
      <c r="E160"/>
      <c r="F160"/>
      <c r="G160"/>
      <c r="H160"/>
      <c r="I160"/>
      <c r="J160"/>
      <c r="K160"/>
      <c r="L160"/>
      <c r="M160"/>
    </row>
    <row r="161" spans="1:13" x14ac:dyDescent="0.35">
      <c r="A161"/>
      <c r="B161"/>
      <c r="C161"/>
      <c r="E161"/>
      <c r="F161"/>
      <c r="G161"/>
      <c r="H161"/>
      <c r="I161"/>
      <c r="J161"/>
      <c r="K161"/>
      <c r="L161"/>
      <c r="M161"/>
    </row>
    <row r="162" spans="1:13" x14ac:dyDescent="0.35">
      <c r="A162"/>
      <c r="B162"/>
      <c r="C162"/>
      <c r="E162"/>
      <c r="F162"/>
      <c r="G162"/>
      <c r="H162"/>
      <c r="I162"/>
      <c r="J162"/>
      <c r="K162"/>
      <c r="L162"/>
      <c r="M162"/>
    </row>
    <row r="163" spans="1:13" x14ac:dyDescent="0.35">
      <c r="A163"/>
      <c r="B163"/>
      <c r="C163"/>
      <c r="E163"/>
      <c r="F163"/>
      <c r="G163"/>
      <c r="H163"/>
      <c r="I163"/>
      <c r="J163"/>
      <c r="K163"/>
      <c r="L163"/>
      <c r="M163"/>
    </row>
    <row r="164" spans="1:13" x14ac:dyDescent="0.35">
      <c r="A164"/>
      <c r="B164"/>
      <c r="C164"/>
      <c r="E164"/>
      <c r="F164"/>
      <c r="G164"/>
      <c r="H164"/>
      <c r="I164"/>
      <c r="J164"/>
      <c r="K164"/>
      <c r="L164"/>
      <c r="M164"/>
    </row>
    <row r="165" spans="1:13" x14ac:dyDescent="0.35">
      <c r="A165"/>
      <c r="B165"/>
      <c r="C165"/>
      <c r="E165"/>
      <c r="F165"/>
      <c r="G165"/>
      <c r="H165"/>
      <c r="I165"/>
      <c r="J165"/>
      <c r="K165"/>
      <c r="L165"/>
      <c r="M165"/>
    </row>
    <row r="166" spans="1:13" x14ac:dyDescent="0.35">
      <c r="A166"/>
      <c r="B166"/>
      <c r="C166"/>
      <c r="E166"/>
      <c r="F166"/>
      <c r="G166"/>
      <c r="H166"/>
      <c r="I166"/>
      <c r="J166"/>
      <c r="K166"/>
      <c r="L166"/>
      <c r="M166"/>
    </row>
    <row r="167" spans="1:13" x14ac:dyDescent="0.35">
      <c r="A167"/>
      <c r="B167"/>
      <c r="C167"/>
      <c r="E167"/>
      <c r="F167"/>
      <c r="G167"/>
      <c r="H167"/>
      <c r="I167"/>
      <c r="J167"/>
      <c r="K167"/>
      <c r="L167"/>
      <c r="M167"/>
    </row>
    <row r="168" spans="1:13" x14ac:dyDescent="0.35">
      <c r="A168"/>
      <c r="B168"/>
      <c r="C168"/>
      <c r="E168"/>
      <c r="F168"/>
      <c r="G168"/>
      <c r="H168"/>
      <c r="I168"/>
      <c r="J168"/>
      <c r="K168"/>
      <c r="L168"/>
      <c r="M168"/>
    </row>
    <row r="169" spans="1:13" x14ac:dyDescent="0.35">
      <c r="A169"/>
      <c r="B169"/>
      <c r="C169"/>
      <c r="E169"/>
      <c r="F169"/>
      <c r="G169"/>
      <c r="H169"/>
      <c r="I169"/>
      <c r="J169"/>
      <c r="K169"/>
      <c r="L169"/>
      <c r="M169"/>
    </row>
    <row r="170" spans="1:13" x14ac:dyDescent="0.35">
      <c r="A170"/>
      <c r="B170"/>
      <c r="C170"/>
      <c r="E170"/>
      <c r="F170"/>
      <c r="G170"/>
      <c r="H170"/>
      <c r="I170"/>
      <c r="J170"/>
      <c r="K170"/>
      <c r="L170"/>
      <c r="M170"/>
    </row>
    <row r="171" spans="1:13" x14ac:dyDescent="0.35">
      <c r="A171"/>
      <c r="B171"/>
      <c r="C171"/>
      <c r="E171"/>
      <c r="F171"/>
      <c r="G171"/>
      <c r="H171"/>
      <c r="I171"/>
      <c r="J171"/>
      <c r="K171"/>
      <c r="L171"/>
      <c r="M171"/>
    </row>
    <row r="172" spans="1:13" x14ac:dyDescent="0.35">
      <c r="A172"/>
      <c r="B172"/>
      <c r="C172"/>
      <c r="E172"/>
      <c r="F172"/>
      <c r="G172"/>
      <c r="H172"/>
      <c r="I172"/>
      <c r="J172"/>
      <c r="K172"/>
      <c r="L172"/>
      <c r="M172"/>
    </row>
    <row r="173" spans="1:13" x14ac:dyDescent="0.35">
      <c r="A173"/>
      <c r="B173"/>
      <c r="C173"/>
      <c r="E173"/>
      <c r="F173"/>
      <c r="G173"/>
      <c r="H173"/>
      <c r="I173"/>
      <c r="J173"/>
      <c r="K173"/>
      <c r="L173"/>
      <c r="M173"/>
    </row>
    <row r="174" spans="1:13" x14ac:dyDescent="0.35">
      <c r="A174"/>
      <c r="B174"/>
      <c r="C174"/>
      <c r="E174"/>
      <c r="F174"/>
      <c r="G174"/>
      <c r="H174"/>
      <c r="I174"/>
      <c r="J174"/>
      <c r="K174"/>
      <c r="L174"/>
      <c r="M174"/>
    </row>
    <row r="175" spans="1:13" x14ac:dyDescent="0.35">
      <c r="A175"/>
      <c r="B175"/>
      <c r="C175"/>
      <c r="E175"/>
      <c r="F175"/>
      <c r="G175"/>
      <c r="H175"/>
      <c r="I175"/>
      <c r="J175"/>
      <c r="K175"/>
      <c r="L175"/>
      <c r="M175"/>
    </row>
    <row r="176" spans="1:13" x14ac:dyDescent="0.35">
      <c r="A176"/>
      <c r="B176"/>
      <c r="C176"/>
      <c r="E176"/>
      <c r="F176"/>
      <c r="G176"/>
      <c r="H176"/>
      <c r="I176"/>
      <c r="J176"/>
      <c r="K176"/>
      <c r="L176"/>
      <c r="M176"/>
    </row>
    <row r="177" spans="1:13" x14ac:dyDescent="0.35">
      <c r="A177"/>
      <c r="B177"/>
      <c r="C177"/>
      <c r="E177"/>
      <c r="F177"/>
      <c r="G177"/>
      <c r="H177"/>
      <c r="I177"/>
      <c r="J177"/>
      <c r="K177"/>
      <c r="L177"/>
      <c r="M177"/>
    </row>
    <row r="178" spans="1:13" x14ac:dyDescent="0.35">
      <c r="A178"/>
      <c r="B178"/>
      <c r="C178"/>
      <c r="E178"/>
      <c r="F178"/>
      <c r="G178"/>
      <c r="H178"/>
      <c r="I178"/>
      <c r="J178"/>
      <c r="K178"/>
      <c r="L178"/>
      <c r="M178"/>
    </row>
    <row r="179" spans="1:13" x14ac:dyDescent="0.35">
      <c r="A179"/>
      <c r="B179"/>
      <c r="C179"/>
      <c r="E179"/>
      <c r="F179"/>
      <c r="G179"/>
      <c r="H179"/>
      <c r="I179"/>
      <c r="J179"/>
      <c r="K179"/>
      <c r="L179"/>
      <c r="M179"/>
    </row>
    <row r="180" spans="1:13" x14ac:dyDescent="0.35">
      <c r="A180"/>
      <c r="B180"/>
      <c r="C180"/>
      <c r="E180"/>
      <c r="F180"/>
      <c r="G180"/>
      <c r="H180"/>
      <c r="I180"/>
      <c r="J180"/>
      <c r="K180"/>
      <c r="L180"/>
      <c r="M180"/>
    </row>
    <row r="181" spans="1:13" x14ac:dyDescent="0.35">
      <c r="A181"/>
      <c r="B181"/>
      <c r="C181"/>
      <c r="E181"/>
      <c r="F181"/>
      <c r="G181"/>
      <c r="H181"/>
      <c r="I181"/>
      <c r="J181"/>
      <c r="K181"/>
      <c r="L181"/>
      <c r="M181"/>
    </row>
    <row r="182" spans="1:13" x14ac:dyDescent="0.35">
      <c r="A182"/>
      <c r="B182"/>
      <c r="C182"/>
      <c r="E182"/>
      <c r="F182"/>
      <c r="G182"/>
      <c r="H182"/>
      <c r="I182"/>
      <c r="J182"/>
      <c r="K182"/>
      <c r="L182"/>
      <c r="M182"/>
    </row>
    <row r="183" spans="1:13" x14ac:dyDescent="0.35">
      <c r="A183"/>
      <c r="B183"/>
      <c r="C183"/>
      <c r="E183"/>
      <c r="F183"/>
      <c r="G183"/>
      <c r="H183"/>
      <c r="I183"/>
      <c r="J183"/>
      <c r="K183"/>
      <c r="L183"/>
      <c r="M183"/>
    </row>
    <row r="184" spans="1:13" x14ac:dyDescent="0.35">
      <c r="A184"/>
      <c r="B184"/>
      <c r="C184"/>
      <c r="E184"/>
      <c r="F184"/>
      <c r="G184"/>
      <c r="H184"/>
      <c r="I184"/>
      <c r="J184"/>
      <c r="K184"/>
      <c r="L184"/>
      <c r="M184"/>
    </row>
    <row r="185" spans="1:13" x14ac:dyDescent="0.35">
      <c r="A185"/>
      <c r="B185"/>
      <c r="C185"/>
      <c r="E185"/>
      <c r="F185"/>
      <c r="G185"/>
      <c r="H185"/>
      <c r="I185"/>
      <c r="J185"/>
      <c r="K185"/>
      <c r="L185"/>
      <c r="M185"/>
    </row>
    <row r="186" spans="1:13" x14ac:dyDescent="0.35">
      <c r="A186"/>
      <c r="B186"/>
      <c r="C186"/>
      <c r="E186"/>
      <c r="F186"/>
      <c r="G186"/>
      <c r="H186"/>
      <c r="I186"/>
      <c r="J186"/>
      <c r="K186"/>
      <c r="L186"/>
      <c r="M186"/>
    </row>
    <row r="187" spans="1:13" x14ac:dyDescent="0.35">
      <c r="A187"/>
      <c r="B187"/>
      <c r="C187"/>
      <c r="E187"/>
      <c r="F187"/>
      <c r="G187"/>
      <c r="H187"/>
      <c r="I187"/>
      <c r="J187"/>
      <c r="K187"/>
      <c r="L187"/>
      <c r="M187"/>
    </row>
    <row r="188" spans="1:13" x14ac:dyDescent="0.35">
      <c r="A188"/>
      <c r="B188"/>
      <c r="C188"/>
      <c r="E188"/>
      <c r="F188"/>
      <c r="G188"/>
      <c r="H188"/>
      <c r="I188"/>
      <c r="J188"/>
      <c r="K188"/>
      <c r="L188"/>
      <c r="M188"/>
    </row>
    <row r="189" spans="1:13" x14ac:dyDescent="0.35">
      <c r="A189"/>
      <c r="B189"/>
      <c r="C189"/>
      <c r="E189"/>
      <c r="F189"/>
      <c r="G189"/>
      <c r="H189"/>
      <c r="I189"/>
      <c r="J189"/>
      <c r="K189"/>
      <c r="L189"/>
      <c r="M189"/>
    </row>
    <row r="190" spans="1:13" x14ac:dyDescent="0.35">
      <c r="A190"/>
      <c r="B190"/>
      <c r="C190"/>
      <c r="E190"/>
      <c r="F190"/>
      <c r="G190"/>
      <c r="H190"/>
      <c r="I190"/>
      <c r="J190"/>
      <c r="K190"/>
      <c r="L190"/>
      <c r="M190"/>
    </row>
    <row r="191" spans="1:13" x14ac:dyDescent="0.35">
      <c r="A191"/>
      <c r="B191"/>
      <c r="C191"/>
      <c r="E191"/>
      <c r="F191"/>
      <c r="G191"/>
      <c r="H191"/>
      <c r="I191"/>
      <c r="J191"/>
      <c r="K191"/>
      <c r="L191"/>
      <c r="M191"/>
    </row>
    <row r="192" spans="1:13" x14ac:dyDescent="0.35">
      <c r="A192"/>
      <c r="B192"/>
      <c r="C192"/>
      <c r="E192"/>
      <c r="F192"/>
      <c r="G192"/>
      <c r="H192"/>
      <c r="I192"/>
      <c r="J192"/>
      <c r="K192"/>
      <c r="L192"/>
      <c r="M192"/>
    </row>
    <row r="193" spans="1:13" x14ac:dyDescent="0.35">
      <c r="A193"/>
      <c r="B193"/>
      <c r="C193"/>
      <c r="E193"/>
      <c r="F193"/>
      <c r="G193"/>
      <c r="H193"/>
      <c r="I193"/>
      <c r="J193"/>
      <c r="K193"/>
      <c r="L193"/>
      <c r="M193"/>
    </row>
    <row r="194" spans="1:13" x14ac:dyDescent="0.35">
      <c r="A194"/>
      <c r="B194"/>
      <c r="C194"/>
      <c r="E194"/>
      <c r="F194"/>
      <c r="G194"/>
      <c r="H194"/>
      <c r="I194"/>
      <c r="J194"/>
      <c r="K194"/>
      <c r="L194"/>
      <c r="M194"/>
    </row>
    <row r="195" spans="1:13" x14ac:dyDescent="0.35">
      <c r="A195"/>
      <c r="B195"/>
      <c r="C195"/>
      <c r="E195"/>
      <c r="F195"/>
      <c r="G195"/>
      <c r="H195"/>
      <c r="I195"/>
      <c r="J195"/>
      <c r="K195"/>
      <c r="L195"/>
      <c r="M195"/>
    </row>
    <row r="196" spans="1:13" x14ac:dyDescent="0.35">
      <c r="A196"/>
      <c r="B196"/>
      <c r="C196"/>
      <c r="E196"/>
      <c r="F196"/>
      <c r="G196"/>
      <c r="H196"/>
      <c r="I196"/>
      <c r="J196"/>
      <c r="K196"/>
      <c r="L196"/>
      <c r="M196"/>
    </row>
    <row r="197" spans="1:13" x14ac:dyDescent="0.35">
      <c r="A197"/>
      <c r="B197"/>
      <c r="C197"/>
      <c r="E197"/>
      <c r="F197"/>
      <c r="G197"/>
      <c r="H197"/>
      <c r="I197"/>
      <c r="J197"/>
      <c r="K197"/>
      <c r="L197"/>
      <c r="M197"/>
    </row>
    <row r="198" spans="1:13" x14ac:dyDescent="0.35">
      <c r="A198"/>
      <c r="B198"/>
      <c r="C198"/>
      <c r="E198"/>
      <c r="F198"/>
      <c r="G198"/>
      <c r="H198"/>
      <c r="I198"/>
      <c r="J198"/>
      <c r="K198"/>
      <c r="L198"/>
      <c r="M198"/>
    </row>
    <row r="199" spans="1:13" x14ac:dyDescent="0.35">
      <c r="A199"/>
      <c r="B199"/>
      <c r="C199"/>
      <c r="E199"/>
      <c r="F199"/>
      <c r="G199"/>
      <c r="H199"/>
      <c r="I199"/>
      <c r="J199"/>
      <c r="K199"/>
      <c r="L199"/>
      <c r="M199"/>
    </row>
    <row r="200" spans="1:13" x14ac:dyDescent="0.35">
      <c r="A200"/>
      <c r="B200"/>
      <c r="C200"/>
      <c r="E200"/>
      <c r="F200"/>
      <c r="G200"/>
      <c r="H200"/>
      <c r="I200"/>
      <c r="J200"/>
      <c r="K200"/>
      <c r="L200"/>
      <c r="M200"/>
    </row>
    <row r="201" spans="1:13" x14ac:dyDescent="0.35">
      <c r="A201"/>
      <c r="B201"/>
      <c r="C201"/>
      <c r="E201"/>
      <c r="F201"/>
      <c r="G201"/>
      <c r="H201"/>
      <c r="I201"/>
      <c r="J201"/>
      <c r="K201"/>
      <c r="L201"/>
      <c r="M201"/>
    </row>
    <row r="202" spans="1:13" x14ac:dyDescent="0.35">
      <c r="A202"/>
      <c r="B202"/>
      <c r="C202"/>
      <c r="E202"/>
      <c r="F202"/>
      <c r="G202"/>
      <c r="H202"/>
      <c r="I202"/>
      <c r="J202"/>
      <c r="K202"/>
      <c r="L202"/>
      <c r="M202"/>
    </row>
    <row r="203" spans="1:13" x14ac:dyDescent="0.35">
      <c r="A203"/>
      <c r="B203"/>
      <c r="C203"/>
      <c r="E203"/>
      <c r="F203"/>
      <c r="G203"/>
      <c r="H203"/>
      <c r="I203"/>
      <c r="J203"/>
      <c r="K203"/>
      <c r="L203"/>
      <c r="M203"/>
    </row>
    <row r="204" spans="1:13" x14ac:dyDescent="0.35">
      <c r="A204"/>
      <c r="B204"/>
      <c r="C204"/>
      <c r="E204"/>
      <c r="F204"/>
      <c r="G204"/>
      <c r="H204"/>
      <c r="I204"/>
      <c r="J204"/>
      <c r="K204"/>
      <c r="L204"/>
      <c r="M204"/>
    </row>
    <row r="205" spans="1:13" x14ac:dyDescent="0.35">
      <c r="A205"/>
      <c r="B205"/>
      <c r="C205"/>
      <c r="E205"/>
      <c r="F205"/>
      <c r="G205"/>
      <c r="H205"/>
      <c r="I205"/>
      <c r="J205"/>
      <c r="K205"/>
      <c r="L205"/>
      <c r="M205"/>
    </row>
    <row r="206" spans="1:13" x14ac:dyDescent="0.35">
      <c r="A206"/>
      <c r="B206"/>
      <c r="C206"/>
      <c r="E206"/>
      <c r="F206"/>
      <c r="G206"/>
      <c r="H206"/>
      <c r="I206"/>
      <c r="J206"/>
      <c r="K206"/>
      <c r="L206"/>
      <c r="M206"/>
    </row>
    <row r="207" spans="1:13" x14ac:dyDescent="0.35">
      <c r="A207"/>
      <c r="B207"/>
      <c r="C207"/>
      <c r="E207"/>
      <c r="F207"/>
      <c r="G207"/>
      <c r="H207"/>
      <c r="I207"/>
      <c r="J207"/>
      <c r="K207"/>
      <c r="L207"/>
      <c r="M207"/>
    </row>
    <row r="208" spans="1:13" x14ac:dyDescent="0.35">
      <c r="A208"/>
      <c r="B208"/>
      <c r="C208"/>
      <c r="E208"/>
      <c r="F208"/>
      <c r="G208"/>
      <c r="H208"/>
      <c r="I208"/>
      <c r="J208"/>
      <c r="K208"/>
      <c r="L208"/>
      <c r="M208"/>
    </row>
    <row r="209" spans="1:13" x14ac:dyDescent="0.35">
      <c r="A209"/>
      <c r="B209"/>
      <c r="C209"/>
      <c r="E209"/>
      <c r="F209"/>
      <c r="G209"/>
      <c r="H209"/>
      <c r="I209"/>
      <c r="J209"/>
      <c r="K209"/>
      <c r="L209"/>
      <c r="M209"/>
    </row>
    <row r="210" spans="1:13" x14ac:dyDescent="0.35">
      <c r="A210"/>
      <c r="B210"/>
      <c r="C210"/>
      <c r="E210"/>
      <c r="F210"/>
      <c r="G210"/>
      <c r="H210"/>
      <c r="I210"/>
      <c r="J210"/>
      <c r="K210"/>
      <c r="L210"/>
      <c r="M210"/>
    </row>
    <row r="211" spans="1:13" x14ac:dyDescent="0.35">
      <c r="A211"/>
      <c r="B211"/>
      <c r="C211"/>
      <c r="E211"/>
      <c r="F211"/>
      <c r="G211"/>
      <c r="H211"/>
      <c r="I211"/>
      <c r="J211"/>
      <c r="K211"/>
      <c r="L211"/>
      <c r="M211"/>
    </row>
    <row r="212" spans="1:13" x14ac:dyDescent="0.35">
      <c r="A212"/>
      <c r="B212"/>
      <c r="C212"/>
      <c r="E212"/>
      <c r="F212"/>
      <c r="G212"/>
      <c r="H212"/>
      <c r="I212"/>
      <c r="J212"/>
      <c r="K212"/>
      <c r="L212"/>
      <c r="M212"/>
    </row>
    <row r="213" spans="1:13" x14ac:dyDescent="0.35">
      <c r="A213"/>
      <c r="B213"/>
      <c r="C213"/>
      <c r="E213"/>
      <c r="F213"/>
      <c r="G213"/>
      <c r="H213"/>
      <c r="I213"/>
      <c r="J213"/>
      <c r="K213"/>
      <c r="L213"/>
      <c r="M213"/>
    </row>
    <row r="214" spans="1:13" x14ac:dyDescent="0.35">
      <c r="A214"/>
      <c r="B214"/>
      <c r="C214"/>
      <c r="E214"/>
      <c r="F214"/>
      <c r="G214"/>
      <c r="H214"/>
      <c r="I214"/>
      <c r="J214"/>
      <c r="K214"/>
      <c r="L214"/>
      <c r="M214"/>
    </row>
    <row r="215" spans="1:13" x14ac:dyDescent="0.35">
      <c r="A215"/>
      <c r="B215"/>
      <c r="C215"/>
      <c r="E215"/>
      <c r="F215"/>
      <c r="G215"/>
      <c r="H215"/>
      <c r="I215"/>
      <c r="J215"/>
      <c r="K215"/>
      <c r="L215"/>
      <c r="M215"/>
    </row>
    <row r="216" spans="1:13" x14ac:dyDescent="0.35">
      <c r="A216"/>
      <c r="B216"/>
      <c r="C216"/>
      <c r="E216"/>
      <c r="F216"/>
      <c r="G216"/>
      <c r="H216"/>
      <c r="I216"/>
      <c r="J216"/>
      <c r="K216"/>
      <c r="L216"/>
      <c r="M216"/>
    </row>
    <row r="217" spans="1:13" x14ac:dyDescent="0.35">
      <c r="A217"/>
      <c r="B217"/>
      <c r="C217"/>
      <c r="E217"/>
      <c r="F217"/>
      <c r="G217"/>
      <c r="H217"/>
      <c r="I217"/>
      <c r="J217"/>
      <c r="K217"/>
      <c r="L217"/>
      <c r="M217"/>
    </row>
    <row r="218" spans="1:13" x14ac:dyDescent="0.35">
      <c r="A218"/>
      <c r="B218"/>
      <c r="C218"/>
      <c r="E218"/>
      <c r="F218"/>
      <c r="G218"/>
      <c r="H218"/>
      <c r="I218"/>
      <c r="J218"/>
      <c r="K218"/>
      <c r="L218"/>
      <c r="M218"/>
    </row>
    <row r="219" spans="1:13" x14ac:dyDescent="0.35">
      <c r="A219"/>
      <c r="B219"/>
      <c r="C219"/>
      <c r="E219"/>
      <c r="F219"/>
      <c r="G219"/>
      <c r="H219"/>
      <c r="I219"/>
      <c r="J219"/>
      <c r="K219"/>
      <c r="L219"/>
      <c r="M219"/>
    </row>
    <row r="220" spans="1:13" x14ac:dyDescent="0.35">
      <c r="A220"/>
      <c r="B220"/>
      <c r="C220"/>
      <c r="E220"/>
      <c r="F220"/>
      <c r="G220"/>
      <c r="H220"/>
      <c r="I220"/>
      <c r="J220"/>
      <c r="K220"/>
      <c r="L220"/>
      <c r="M220"/>
    </row>
    <row r="221" spans="1:13" x14ac:dyDescent="0.35">
      <c r="A221"/>
      <c r="B221"/>
      <c r="C221"/>
      <c r="E221"/>
      <c r="F221"/>
      <c r="G221"/>
      <c r="H221"/>
      <c r="I221"/>
      <c r="J221"/>
      <c r="K221"/>
      <c r="L221"/>
      <c r="M221"/>
    </row>
    <row r="222" spans="1:13" x14ac:dyDescent="0.35">
      <c r="A222"/>
      <c r="B222"/>
      <c r="C222"/>
      <c r="E222"/>
      <c r="F222"/>
      <c r="G222"/>
      <c r="H222"/>
      <c r="I222"/>
      <c r="J222"/>
      <c r="K222"/>
      <c r="L222"/>
      <c r="M222"/>
    </row>
    <row r="223" spans="1:13" x14ac:dyDescent="0.35">
      <c r="A223"/>
      <c r="B223"/>
      <c r="C223"/>
      <c r="E223"/>
      <c r="F223"/>
      <c r="G223"/>
      <c r="H223"/>
      <c r="I223"/>
      <c r="J223"/>
      <c r="K223"/>
      <c r="L223"/>
      <c r="M223"/>
    </row>
    <row r="224" spans="1:13" x14ac:dyDescent="0.35">
      <c r="A224"/>
      <c r="B224"/>
      <c r="C224"/>
      <c r="E224"/>
      <c r="F224"/>
      <c r="G224"/>
      <c r="H224"/>
      <c r="I224"/>
      <c r="J224"/>
      <c r="K224"/>
      <c r="L224"/>
      <c r="M224"/>
    </row>
    <row r="225" spans="1:13" x14ac:dyDescent="0.35">
      <c r="A225"/>
      <c r="B225"/>
      <c r="C225"/>
      <c r="E225"/>
      <c r="F225"/>
      <c r="G225"/>
      <c r="H225"/>
      <c r="I225"/>
      <c r="J225"/>
      <c r="K225"/>
      <c r="L225"/>
      <c r="M225"/>
    </row>
    <row r="226" spans="1:13" x14ac:dyDescent="0.35">
      <c r="A226"/>
      <c r="B226"/>
      <c r="C226"/>
      <c r="E226"/>
      <c r="F226"/>
      <c r="G226"/>
      <c r="H226"/>
      <c r="I226"/>
      <c r="J226"/>
      <c r="K226"/>
      <c r="L226"/>
      <c r="M226"/>
    </row>
    <row r="227" spans="1:13" x14ac:dyDescent="0.35">
      <c r="A227"/>
      <c r="B227"/>
      <c r="C227"/>
      <c r="E227"/>
      <c r="F227"/>
      <c r="G227"/>
      <c r="H227"/>
      <c r="I227"/>
      <c r="J227"/>
      <c r="K227"/>
      <c r="L227"/>
      <c r="M227"/>
    </row>
    <row r="228" spans="1:13" x14ac:dyDescent="0.35">
      <c r="A228"/>
      <c r="B228"/>
      <c r="C228"/>
      <c r="E228"/>
      <c r="F228"/>
      <c r="G228"/>
      <c r="H228"/>
      <c r="I228"/>
      <c r="J228"/>
      <c r="K228"/>
      <c r="L228"/>
      <c r="M228"/>
    </row>
    <row r="229" spans="1:13" x14ac:dyDescent="0.35">
      <c r="A229"/>
      <c r="B229"/>
      <c r="C229"/>
      <c r="E229"/>
      <c r="F229"/>
      <c r="G229"/>
      <c r="H229"/>
      <c r="I229"/>
      <c r="J229"/>
      <c r="K229"/>
      <c r="L229"/>
      <c r="M229"/>
    </row>
    <row r="230" spans="1:13" x14ac:dyDescent="0.35">
      <c r="A230"/>
      <c r="B230"/>
      <c r="C230"/>
      <c r="E230"/>
      <c r="F230"/>
      <c r="G230"/>
      <c r="H230"/>
      <c r="I230"/>
      <c r="J230"/>
      <c r="K230"/>
      <c r="L230"/>
      <c r="M230"/>
    </row>
    <row r="231" spans="1:13" x14ac:dyDescent="0.35">
      <c r="A231"/>
      <c r="B231"/>
      <c r="C231"/>
      <c r="E231"/>
      <c r="F231"/>
      <c r="G231"/>
      <c r="H231"/>
      <c r="I231"/>
      <c r="J231"/>
      <c r="K231"/>
      <c r="L231"/>
      <c r="M231"/>
    </row>
    <row r="232" spans="1:13" x14ac:dyDescent="0.35">
      <c r="A232"/>
      <c r="B232"/>
      <c r="C232"/>
      <c r="E232"/>
      <c r="F232"/>
      <c r="G232"/>
      <c r="H232"/>
      <c r="I232"/>
      <c r="J232"/>
      <c r="K232"/>
      <c r="L232"/>
      <c r="M232"/>
    </row>
    <row r="233" spans="1:13" x14ac:dyDescent="0.35">
      <c r="A233"/>
      <c r="B233"/>
      <c r="C233"/>
      <c r="E233"/>
      <c r="F233"/>
      <c r="G233"/>
      <c r="H233"/>
      <c r="I233"/>
      <c r="J233"/>
      <c r="K233"/>
      <c r="L233"/>
      <c r="M233"/>
    </row>
    <row r="234" spans="1:13" x14ac:dyDescent="0.35">
      <c r="A234"/>
      <c r="B234"/>
      <c r="C234"/>
      <c r="E234"/>
      <c r="F234"/>
      <c r="G234"/>
      <c r="H234"/>
      <c r="I234"/>
      <c r="J234"/>
      <c r="K234"/>
      <c r="L234"/>
      <c r="M234"/>
    </row>
    <row r="235" spans="1:13" x14ac:dyDescent="0.35">
      <c r="A235"/>
      <c r="B235"/>
      <c r="C235"/>
      <c r="E235"/>
      <c r="F235"/>
      <c r="G235"/>
      <c r="H235"/>
      <c r="I235"/>
      <c r="J235"/>
      <c r="K235"/>
      <c r="L235"/>
      <c r="M235"/>
    </row>
    <row r="236" spans="1:13" x14ac:dyDescent="0.35">
      <c r="A236"/>
      <c r="B236"/>
      <c r="C236"/>
      <c r="E236"/>
      <c r="F236"/>
      <c r="G236"/>
      <c r="H236"/>
      <c r="I236"/>
      <c r="J236"/>
      <c r="K236"/>
      <c r="L236"/>
      <c r="M236"/>
    </row>
    <row r="237" spans="1:13" x14ac:dyDescent="0.35">
      <c r="A237"/>
      <c r="B237"/>
      <c r="C237"/>
      <c r="E237"/>
      <c r="F237"/>
      <c r="G237"/>
      <c r="H237"/>
      <c r="I237"/>
      <c r="J237"/>
      <c r="K237"/>
      <c r="L237"/>
      <c r="M237"/>
    </row>
    <row r="238" spans="1:13" x14ac:dyDescent="0.35">
      <c r="A238"/>
      <c r="B238"/>
      <c r="C238"/>
      <c r="E238"/>
      <c r="F238"/>
      <c r="G238"/>
      <c r="H238"/>
      <c r="I238"/>
      <c r="J238"/>
      <c r="K238"/>
      <c r="L238"/>
      <c r="M238"/>
    </row>
    <row r="239" spans="1:13" x14ac:dyDescent="0.35">
      <c r="A239"/>
      <c r="B239"/>
      <c r="C239"/>
      <c r="E239"/>
      <c r="F239"/>
      <c r="G239"/>
      <c r="H239"/>
      <c r="I239"/>
      <c r="J239"/>
      <c r="K239"/>
      <c r="L239"/>
      <c r="M239"/>
    </row>
    <row r="240" spans="1:13" x14ac:dyDescent="0.35">
      <c r="A240"/>
      <c r="B240"/>
      <c r="C240"/>
      <c r="E240"/>
      <c r="F240"/>
      <c r="G240"/>
      <c r="H240"/>
      <c r="I240"/>
      <c r="J240"/>
      <c r="K240"/>
      <c r="L240"/>
      <c r="M240"/>
    </row>
    <row r="241" spans="1:13" x14ac:dyDescent="0.35">
      <c r="A241"/>
      <c r="B241"/>
      <c r="C241"/>
      <c r="E241"/>
      <c r="F241"/>
      <c r="G241"/>
      <c r="H241"/>
      <c r="I241"/>
      <c r="J241"/>
      <c r="K241"/>
      <c r="L241"/>
      <c r="M241"/>
    </row>
    <row r="242" spans="1:13" x14ac:dyDescent="0.35">
      <c r="A242"/>
      <c r="B242"/>
      <c r="C242"/>
      <c r="E242"/>
      <c r="F242"/>
      <c r="G242"/>
      <c r="H242"/>
      <c r="I242"/>
      <c r="J242"/>
      <c r="K242"/>
      <c r="L242"/>
      <c r="M242"/>
    </row>
    <row r="243" spans="1:13" x14ac:dyDescent="0.35">
      <c r="A243"/>
      <c r="B243"/>
      <c r="C243"/>
      <c r="E243"/>
      <c r="F243"/>
      <c r="G243"/>
      <c r="H243"/>
      <c r="I243"/>
      <c r="J243"/>
      <c r="K243"/>
      <c r="L243"/>
      <c r="M243"/>
    </row>
    <row r="244" spans="1:13" x14ac:dyDescent="0.35">
      <c r="A244"/>
      <c r="B244"/>
      <c r="C244"/>
      <c r="E244"/>
      <c r="F244"/>
      <c r="G244"/>
      <c r="H244"/>
      <c r="I244"/>
      <c r="J244"/>
      <c r="K244"/>
      <c r="L244"/>
      <c r="M244"/>
    </row>
    <row r="245" spans="1:13" x14ac:dyDescent="0.35">
      <c r="A245"/>
      <c r="B245"/>
      <c r="C245"/>
      <c r="E245"/>
      <c r="F245"/>
      <c r="G245"/>
      <c r="H245"/>
      <c r="I245"/>
      <c r="J245"/>
      <c r="K245"/>
      <c r="L245"/>
      <c r="M245"/>
    </row>
    <row r="246" spans="1:13" x14ac:dyDescent="0.35">
      <c r="A246"/>
      <c r="B246"/>
      <c r="C246"/>
      <c r="E246"/>
      <c r="F246"/>
      <c r="G246"/>
      <c r="H246"/>
      <c r="I246"/>
      <c r="J246"/>
      <c r="K246"/>
      <c r="L246"/>
      <c r="M246"/>
    </row>
    <row r="247" spans="1:13" x14ac:dyDescent="0.35">
      <c r="A247"/>
      <c r="B247"/>
      <c r="C247"/>
      <c r="E247"/>
      <c r="F247"/>
      <c r="G247"/>
      <c r="H247"/>
      <c r="I247"/>
      <c r="J247"/>
      <c r="K247"/>
      <c r="L247"/>
      <c r="M247"/>
    </row>
    <row r="248" spans="1:13" x14ac:dyDescent="0.35">
      <c r="A248"/>
      <c r="B248"/>
      <c r="C248"/>
      <c r="E248"/>
      <c r="F248"/>
      <c r="G248"/>
      <c r="H248"/>
      <c r="I248"/>
      <c r="J248"/>
      <c r="K248"/>
      <c r="L248"/>
      <c r="M248"/>
    </row>
    <row r="249" spans="1:13" x14ac:dyDescent="0.35">
      <c r="A249"/>
      <c r="B249"/>
      <c r="C249"/>
      <c r="E249"/>
      <c r="F249"/>
      <c r="G249"/>
      <c r="H249"/>
      <c r="I249"/>
      <c r="J249"/>
      <c r="K249"/>
      <c r="L249"/>
      <c r="M249"/>
    </row>
    <row r="250" spans="1:13" x14ac:dyDescent="0.35">
      <c r="A250"/>
      <c r="B250"/>
      <c r="C250"/>
      <c r="E250"/>
      <c r="F250"/>
      <c r="G250"/>
      <c r="H250"/>
      <c r="I250"/>
      <c r="J250"/>
      <c r="K250"/>
      <c r="L250"/>
      <c r="M250"/>
    </row>
    <row r="251" spans="1:13" x14ac:dyDescent="0.35">
      <c r="A251"/>
      <c r="B251"/>
      <c r="C251"/>
      <c r="E251"/>
      <c r="F251"/>
      <c r="G251"/>
      <c r="H251"/>
      <c r="I251"/>
      <c r="J251"/>
      <c r="K251"/>
      <c r="L251"/>
      <c r="M251"/>
    </row>
    <row r="252" spans="1:13" x14ac:dyDescent="0.35">
      <c r="A252"/>
      <c r="B252"/>
      <c r="C252"/>
      <c r="E252"/>
      <c r="F252"/>
      <c r="G252"/>
      <c r="H252"/>
      <c r="I252"/>
      <c r="J252"/>
      <c r="K252"/>
      <c r="L252"/>
      <c r="M252"/>
    </row>
    <row r="253" spans="1:13" x14ac:dyDescent="0.35">
      <c r="A253"/>
      <c r="B253"/>
      <c r="C253"/>
      <c r="E253"/>
      <c r="F253"/>
      <c r="G253"/>
      <c r="H253"/>
      <c r="I253"/>
      <c r="J253"/>
      <c r="K253"/>
      <c r="L253"/>
      <c r="M253"/>
    </row>
    <row r="254" spans="1:13" x14ac:dyDescent="0.35">
      <c r="A254"/>
      <c r="B254"/>
      <c r="C254"/>
      <c r="E254"/>
      <c r="F254"/>
      <c r="G254"/>
      <c r="H254"/>
      <c r="I254"/>
      <c r="J254"/>
      <c r="K254"/>
      <c r="L254"/>
      <c r="M254"/>
    </row>
    <row r="255" spans="1:13" x14ac:dyDescent="0.35">
      <c r="A255"/>
      <c r="B255"/>
      <c r="C255"/>
      <c r="E255"/>
      <c r="F255"/>
      <c r="G255"/>
      <c r="H255"/>
      <c r="I255"/>
      <c r="J255"/>
      <c r="K255"/>
      <c r="L255"/>
      <c r="M255"/>
    </row>
    <row r="256" spans="1:13" x14ac:dyDescent="0.35">
      <c r="A256"/>
      <c r="B256"/>
      <c r="C256"/>
      <c r="E256"/>
      <c r="F256"/>
      <c r="G256"/>
      <c r="H256"/>
      <c r="I256"/>
      <c r="J256"/>
      <c r="K256"/>
      <c r="L256"/>
      <c r="M256"/>
    </row>
    <row r="257" spans="1:13" x14ac:dyDescent="0.35">
      <c r="A257"/>
      <c r="B257"/>
      <c r="C257"/>
      <c r="E257"/>
      <c r="F257"/>
      <c r="G257"/>
      <c r="H257"/>
      <c r="I257"/>
      <c r="J257"/>
      <c r="K257"/>
      <c r="L257"/>
      <c r="M257"/>
    </row>
    <row r="258" spans="1:13" x14ac:dyDescent="0.35">
      <c r="A258"/>
      <c r="B258"/>
      <c r="C258"/>
      <c r="E258"/>
      <c r="F258"/>
      <c r="G258"/>
      <c r="H258"/>
      <c r="I258"/>
      <c r="J258"/>
      <c r="K258"/>
      <c r="L258"/>
      <c r="M258"/>
    </row>
    <row r="259" spans="1:13" x14ac:dyDescent="0.35">
      <c r="A259"/>
      <c r="B259"/>
      <c r="C259"/>
      <c r="E259"/>
      <c r="F259"/>
      <c r="G259"/>
      <c r="H259"/>
      <c r="I259"/>
      <c r="J259"/>
      <c r="K259"/>
      <c r="L259"/>
      <c r="M259"/>
    </row>
    <row r="260" spans="1:13" x14ac:dyDescent="0.35">
      <c r="A260"/>
      <c r="B260"/>
      <c r="C260"/>
      <c r="E260"/>
      <c r="F260"/>
      <c r="G260"/>
      <c r="H260"/>
      <c r="I260"/>
      <c r="J260"/>
      <c r="K260"/>
      <c r="L260"/>
      <c r="M260"/>
    </row>
    <row r="261" spans="1:13" x14ac:dyDescent="0.35">
      <c r="A261"/>
      <c r="B261"/>
      <c r="C261"/>
      <c r="E261"/>
      <c r="F261"/>
      <c r="G261"/>
      <c r="H261"/>
      <c r="I261"/>
      <c r="J261"/>
      <c r="K261"/>
      <c r="L261"/>
      <c r="M261"/>
    </row>
    <row r="262" spans="1:13" x14ac:dyDescent="0.35">
      <c r="A262"/>
      <c r="B262"/>
      <c r="C262"/>
      <c r="E262"/>
      <c r="F262"/>
      <c r="G262"/>
      <c r="H262"/>
      <c r="I262"/>
      <c r="J262"/>
      <c r="K262"/>
      <c r="L262"/>
      <c r="M262"/>
    </row>
    <row r="263" spans="1:13" x14ac:dyDescent="0.35">
      <c r="A263"/>
      <c r="B263"/>
      <c r="C263"/>
      <c r="E263"/>
      <c r="F263"/>
      <c r="G263"/>
      <c r="H263"/>
      <c r="I263"/>
      <c r="J263"/>
      <c r="K263"/>
      <c r="L263"/>
      <c r="M263"/>
    </row>
    <row r="264" spans="1:13" x14ac:dyDescent="0.35">
      <c r="A264"/>
      <c r="B264"/>
      <c r="C264"/>
      <c r="E264"/>
      <c r="F264"/>
      <c r="G264"/>
      <c r="H264"/>
      <c r="I264"/>
      <c r="J264"/>
      <c r="K264"/>
      <c r="L264"/>
      <c r="M264"/>
    </row>
    <row r="265" spans="1:13" x14ac:dyDescent="0.35">
      <c r="A265"/>
      <c r="B265"/>
      <c r="C265"/>
      <c r="E265"/>
      <c r="F265"/>
      <c r="G265"/>
      <c r="H265"/>
      <c r="I265"/>
      <c r="J265"/>
      <c r="K265"/>
      <c r="L265"/>
      <c r="M265"/>
    </row>
    <row r="266" spans="1:13" x14ac:dyDescent="0.35">
      <c r="A266"/>
      <c r="B266"/>
      <c r="C266"/>
      <c r="E266"/>
      <c r="F266"/>
      <c r="G266"/>
      <c r="H266"/>
      <c r="I266"/>
      <c r="J266"/>
      <c r="K266"/>
      <c r="L266"/>
      <c r="M266"/>
    </row>
    <row r="267" spans="1:13" x14ac:dyDescent="0.35">
      <c r="A267"/>
      <c r="B267"/>
      <c r="C267"/>
      <c r="E267"/>
      <c r="F267"/>
      <c r="G267"/>
      <c r="H267"/>
      <c r="I267"/>
      <c r="J267"/>
      <c r="K267"/>
      <c r="L267"/>
      <c r="M267"/>
    </row>
    <row r="268" spans="1:13" x14ac:dyDescent="0.35">
      <c r="A268"/>
      <c r="B268"/>
      <c r="C268"/>
      <c r="E268"/>
      <c r="F268"/>
      <c r="G268"/>
      <c r="H268"/>
      <c r="I268"/>
      <c r="J268"/>
      <c r="K268"/>
      <c r="L268"/>
      <c r="M268"/>
    </row>
    <row r="269" spans="1:13" x14ac:dyDescent="0.35">
      <c r="A269"/>
      <c r="B269"/>
      <c r="C269"/>
      <c r="E269"/>
      <c r="F269"/>
      <c r="G269"/>
      <c r="H269"/>
      <c r="I269"/>
      <c r="J269"/>
      <c r="K269"/>
      <c r="L269"/>
      <c r="M269"/>
    </row>
    <row r="270" spans="1:13" x14ac:dyDescent="0.35">
      <c r="A270"/>
      <c r="B270"/>
      <c r="C270"/>
      <c r="E270"/>
      <c r="F270"/>
      <c r="G270"/>
      <c r="H270"/>
      <c r="I270"/>
      <c r="J270"/>
      <c r="K270"/>
      <c r="L270"/>
      <c r="M270"/>
    </row>
    <row r="271" spans="1:13" x14ac:dyDescent="0.35">
      <c r="A271"/>
      <c r="B271"/>
      <c r="C271"/>
      <c r="E271"/>
      <c r="F271"/>
      <c r="G271"/>
      <c r="H271"/>
      <c r="I271"/>
      <c r="J271"/>
      <c r="K271"/>
      <c r="L271"/>
      <c r="M271"/>
    </row>
    <row r="272" spans="1:13" x14ac:dyDescent="0.35">
      <c r="A272"/>
      <c r="B272"/>
      <c r="C272"/>
      <c r="E272"/>
      <c r="F272"/>
      <c r="G272"/>
      <c r="H272"/>
      <c r="I272"/>
      <c r="J272"/>
      <c r="K272"/>
      <c r="L272"/>
      <c r="M272"/>
    </row>
    <row r="273" spans="1:13" x14ac:dyDescent="0.35">
      <c r="A273"/>
      <c r="B273"/>
      <c r="C273"/>
      <c r="E273"/>
      <c r="F273"/>
      <c r="G273"/>
      <c r="H273"/>
      <c r="I273"/>
      <c r="J273"/>
      <c r="K273"/>
      <c r="L273"/>
      <c r="M273"/>
    </row>
    <row r="274" spans="1:13" x14ac:dyDescent="0.35">
      <c r="A274"/>
      <c r="B274"/>
      <c r="C274"/>
      <c r="E274"/>
      <c r="F274"/>
      <c r="G274"/>
      <c r="H274"/>
      <c r="I274"/>
      <c r="J274"/>
      <c r="K274"/>
      <c r="L274"/>
      <c r="M274"/>
    </row>
    <row r="275" spans="1:13" x14ac:dyDescent="0.35">
      <c r="A275"/>
      <c r="B275"/>
      <c r="C275"/>
      <c r="E275"/>
      <c r="F275"/>
      <c r="G275"/>
      <c r="H275"/>
      <c r="I275"/>
      <c r="J275"/>
      <c r="K275"/>
      <c r="L275"/>
      <c r="M275"/>
    </row>
    <row r="276" spans="1:13" x14ac:dyDescent="0.35">
      <c r="A276"/>
      <c r="B276"/>
      <c r="C276"/>
      <c r="E276"/>
      <c r="F276"/>
      <c r="G276"/>
      <c r="H276"/>
      <c r="I276"/>
      <c r="J276"/>
      <c r="K276"/>
      <c r="L276"/>
      <c r="M276"/>
    </row>
    <row r="277" spans="1:13" x14ac:dyDescent="0.35">
      <c r="A277"/>
      <c r="B277"/>
      <c r="C277"/>
      <c r="E277"/>
      <c r="F277"/>
      <c r="G277"/>
      <c r="H277"/>
      <c r="I277"/>
      <c r="J277"/>
      <c r="K277"/>
      <c r="L277"/>
      <c r="M277"/>
    </row>
    <row r="278" spans="1:13" x14ac:dyDescent="0.35">
      <c r="A278"/>
      <c r="B278"/>
      <c r="C278"/>
      <c r="E278"/>
      <c r="F278"/>
      <c r="G278"/>
      <c r="H278"/>
      <c r="I278"/>
      <c r="J278"/>
      <c r="K278"/>
      <c r="L278"/>
      <c r="M278"/>
    </row>
    <row r="279" spans="1:13" x14ac:dyDescent="0.35">
      <c r="A279"/>
      <c r="B279"/>
      <c r="C279"/>
      <c r="E279"/>
      <c r="F279"/>
      <c r="G279"/>
      <c r="H279"/>
      <c r="I279"/>
      <c r="J279"/>
      <c r="K279"/>
      <c r="L279"/>
      <c r="M279"/>
    </row>
    <row r="280" spans="1:13" x14ac:dyDescent="0.35">
      <c r="A280"/>
      <c r="B280"/>
      <c r="C280"/>
      <c r="E280"/>
      <c r="F280"/>
      <c r="G280"/>
      <c r="H280"/>
      <c r="I280"/>
      <c r="J280"/>
      <c r="K280"/>
      <c r="L280"/>
      <c r="M280"/>
    </row>
    <row r="281" spans="1:13" x14ac:dyDescent="0.35">
      <c r="A281"/>
      <c r="B281"/>
      <c r="C281"/>
      <c r="E281"/>
      <c r="F281"/>
      <c r="G281"/>
      <c r="H281"/>
      <c r="I281"/>
      <c r="J281"/>
      <c r="K281"/>
      <c r="L281"/>
      <c r="M281"/>
    </row>
    <row r="282" spans="1:13" x14ac:dyDescent="0.35">
      <c r="A282"/>
      <c r="B282"/>
      <c r="C282"/>
      <c r="E282"/>
      <c r="F282"/>
      <c r="G282"/>
      <c r="H282"/>
      <c r="I282"/>
      <c r="J282"/>
      <c r="K282"/>
      <c r="L282"/>
      <c r="M282"/>
    </row>
    <row r="283" spans="1:13" x14ac:dyDescent="0.35">
      <c r="A283"/>
      <c r="B283"/>
      <c r="C283"/>
      <c r="E283"/>
      <c r="F283"/>
      <c r="G283"/>
      <c r="H283"/>
      <c r="I283"/>
      <c r="J283"/>
      <c r="K283"/>
      <c r="L283"/>
      <c r="M283"/>
    </row>
    <row r="284" spans="1:13" x14ac:dyDescent="0.35">
      <c r="A284"/>
      <c r="B284"/>
      <c r="C284"/>
      <c r="E284"/>
      <c r="F284"/>
      <c r="G284"/>
      <c r="H284"/>
      <c r="I284"/>
      <c r="J284"/>
      <c r="K284"/>
      <c r="L284"/>
      <c r="M284"/>
    </row>
    <row r="285" spans="1:13" x14ac:dyDescent="0.35">
      <c r="A285"/>
      <c r="B285"/>
      <c r="C285"/>
      <c r="E285"/>
      <c r="F285"/>
      <c r="G285"/>
      <c r="H285"/>
      <c r="I285"/>
      <c r="J285"/>
      <c r="K285"/>
      <c r="L285"/>
      <c r="M285"/>
    </row>
    <row r="286" spans="1:13" x14ac:dyDescent="0.35">
      <c r="A286"/>
      <c r="B286"/>
      <c r="C286"/>
      <c r="E286"/>
      <c r="F286"/>
      <c r="G286"/>
      <c r="H286"/>
      <c r="I286"/>
      <c r="J286"/>
      <c r="K286"/>
      <c r="L286"/>
      <c r="M286"/>
    </row>
    <row r="287" spans="1:13" x14ac:dyDescent="0.35">
      <c r="A287"/>
      <c r="B287"/>
      <c r="C287"/>
      <c r="E287"/>
      <c r="F287"/>
      <c r="G287"/>
      <c r="H287"/>
      <c r="I287"/>
      <c r="J287"/>
      <c r="K287"/>
      <c r="L287"/>
      <c r="M287"/>
    </row>
    <row r="288" spans="1:13" x14ac:dyDescent="0.35">
      <c r="A288"/>
      <c r="B288"/>
      <c r="C288"/>
      <c r="E288"/>
      <c r="F288"/>
      <c r="G288"/>
      <c r="H288"/>
      <c r="I288"/>
      <c r="J288"/>
      <c r="K288"/>
      <c r="L288"/>
      <c r="M288"/>
    </row>
    <row r="289" spans="1:13" x14ac:dyDescent="0.35">
      <c r="A289"/>
      <c r="B289"/>
      <c r="C289"/>
      <c r="E289"/>
      <c r="F289"/>
      <c r="G289"/>
      <c r="H289"/>
      <c r="I289"/>
      <c r="J289"/>
      <c r="K289"/>
      <c r="L289"/>
      <c r="M289"/>
    </row>
    <row r="290" spans="1:13" x14ac:dyDescent="0.35">
      <c r="A290"/>
      <c r="B290"/>
      <c r="C290"/>
      <c r="E290"/>
      <c r="F290"/>
      <c r="G290"/>
      <c r="H290"/>
      <c r="I290"/>
      <c r="J290"/>
      <c r="K290"/>
      <c r="L290"/>
      <c r="M290"/>
    </row>
    <row r="291" spans="1:13" x14ac:dyDescent="0.35">
      <c r="A291"/>
      <c r="B291"/>
      <c r="C291"/>
      <c r="E291"/>
      <c r="F291"/>
      <c r="G291"/>
      <c r="H291"/>
      <c r="I291"/>
      <c r="J291"/>
      <c r="K291"/>
      <c r="L291"/>
      <c r="M291"/>
    </row>
    <row r="292" spans="1:13" x14ac:dyDescent="0.35">
      <c r="A292"/>
      <c r="B292"/>
      <c r="C292"/>
      <c r="E292"/>
      <c r="F292"/>
      <c r="G292"/>
      <c r="H292"/>
      <c r="I292"/>
      <c r="J292"/>
      <c r="K292"/>
      <c r="L292"/>
      <c r="M292"/>
    </row>
    <row r="293" spans="1:13" x14ac:dyDescent="0.35">
      <c r="A293"/>
      <c r="B293"/>
      <c r="C293"/>
      <c r="E293"/>
      <c r="F293"/>
      <c r="G293"/>
      <c r="H293"/>
      <c r="I293"/>
      <c r="J293"/>
      <c r="K293"/>
      <c r="L293"/>
      <c r="M293"/>
    </row>
    <row r="294" spans="1:13" x14ac:dyDescent="0.35">
      <c r="A294"/>
      <c r="B294"/>
      <c r="C294"/>
      <c r="E294"/>
      <c r="F294"/>
      <c r="G294"/>
      <c r="H294"/>
      <c r="I294"/>
      <c r="J294"/>
      <c r="K294"/>
      <c r="L294"/>
      <c r="M294"/>
    </row>
    <row r="295" spans="1:13" x14ac:dyDescent="0.35">
      <c r="A295"/>
      <c r="B295"/>
      <c r="C295"/>
      <c r="E295"/>
      <c r="F295"/>
      <c r="G295"/>
      <c r="H295"/>
      <c r="I295"/>
      <c r="J295"/>
      <c r="K295"/>
      <c r="L295"/>
      <c r="M295"/>
    </row>
    <row r="296" spans="1:13" x14ac:dyDescent="0.35">
      <c r="A296"/>
      <c r="B296"/>
      <c r="C296"/>
      <c r="E296"/>
      <c r="F296"/>
      <c r="G296"/>
      <c r="H296"/>
      <c r="I296"/>
      <c r="J296"/>
      <c r="K296"/>
      <c r="L296"/>
      <c r="M296"/>
    </row>
    <row r="297" spans="1:13" x14ac:dyDescent="0.35">
      <c r="A297"/>
      <c r="B297"/>
      <c r="C297"/>
      <c r="E297"/>
      <c r="F297"/>
      <c r="G297"/>
      <c r="H297"/>
      <c r="I297"/>
      <c r="J297"/>
      <c r="K297"/>
      <c r="L297"/>
      <c r="M297"/>
    </row>
    <row r="298" spans="1:13" x14ac:dyDescent="0.35">
      <c r="A298"/>
      <c r="B298"/>
      <c r="C298"/>
      <c r="E298"/>
      <c r="F298"/>
      <c r="G298"/>
      <c r="H298"/>
      <c r="I298"/>
      <c r="J298"/>
      <c r="K298"/>
      <c r="L298"/>
      <c r="M298"/>
    </row>
    <row r="299" spans="1:13" x14ac:dyDescent="0.35">
      <c r="A299"/>
      <c r="B299"/>
      <c r="C299"/>
      <c r="E299"/>
      <c r="F299"/>
      <c r="G299"/>
      <c r="H299"/>
      <c r="I299"/>
      <c r="J299"/>
      <c r="K299"/>
      <c r="L299"/>
      <c r="M299"/>
    </row>
    <row r="300" spans="1:13" x14ac:dyDescent="0.35">
      <c r="A300"/>
      <c r="B300"/>
      <c r="C300"/>
      <c r="E300"/>
      <c r="F300"/>
      <c r="G300"/>
      <c r="H300"/>
      <c r="I300"/>
      <c r="J300"/>
      <c r="K300"/>
      <c r="L300"/>
      <c r="M300"/>
    </row>
    <row r="301" spans="1:13" x14ac:dyDescent="0.35">
      <c r="A301"/>
      <c r="B301"/>
      <c r="C301"/>
      <c r="E301"/>
      <c r="F301"/>
      <c r="G301"/>
      <c r="H301"/>
      <c r="I301"/>
      <c r="J301"/>
      <c r="K301"/>
      <c r="L301"/>
      <c r="M301"/>
    </row>
    <row r="302" spans="1:13" x14ac:dyDescent="0.35">
      <c r="A302"/>
      <c r="B302"/>
      <c r="C302"/>
      <c r="E302"/>
      <c r="F302"/>
      <c r="G302"/>
      <c r="H302"/>
      <c r="I302"/>
      <c r="J302"/>
      <c r="K302"/>
      <c r="L302"/>
      <c r="M302"/>
    </row>
    <row r="303" spans="1:13" x14ac:dyDescent="0.35">
      <c r="A303"/>
      <c r="B303"/>
      <c r="C303"/>
      <c r="E303"/>
      <c r="F303"/>
      <c r="G303"/>
      <c r="H303"/>
      <c r="I303"/>
      <c r="J303"/>
      <c r="K303"/>
      <c r="L303"/>
      <c r="M303"/>
    </row>
    <row r="304" spans="1:13" x14ac:dyDescent="0.35">
      <c r="A304"/>
      <c r="B304"/>
      <c r="C304"/>
      <c r="E304"/>
      <c r="F304"/>
      <c r="G304"/>
      <c r="H304"/>
      <c r="I304"/>
      <c r="J304"/>
      <c r="K304"/>
      <c r="L304"/>
      <c r="M304"/>
    </row>
    <row r="305" spans="1:13" x14ac:dyDescent="0.35">
      <c r="A305"/>
      <c r="B305"/>
      <c r="C305"/>
      <c r="E305"/>
      <c r="F305"/>
      <c r="G305"/>
      <c r="H305"/>
      <c r="I305"/>
      <c r="J305"/>
      <c r="K305"/>
      <c r="L305"/>
      <c r="M305"/>
    </row>
    <row r="306" spans="1:13" x14ac:dyDescent="0.35">
      <c r="A306"/>
      <c r="B306"/>
      <c r="C306"/>
      <c r="E306"/>
      <c r="F306"/>
      <c r="G306"/>
      <c r="H306"/>
      <c r="I306"/>
      <c r="J306"/>
      <c r="K306"/>
      <c r="L306"/>
      <c r="M306"/>
    </row>
    <row r="307" spans="1:13" x14ac:dyDescent="0.35">
      <c r="A307"/>
      <c r="B307"/>
      <c r="C307"/>
      <c r="E307"/>
      <c r="F307"/>
      <c r="G307"/>
      <c r="H307"/>
      <c r="I307"/>
      <c r="J307"/>
      <c r="K307"/>
      <c r="L307"/>
      <c r="M307"/>
    </row>
    <row r="308" spans="1:13" x14ac:dyDescent="0.35">
      <c r="A308"/>
      <c r="B308"/>
      <c r="C308"/>
      <c r="E308"/>
      <c r="F308"/>
      <c r="G308"/>
      <c r="H308"/>
      <c r="I308"/>
      <c r="J308"/>
      <c r="K308"/>
      <c r="L308"/>
      <c r="M308"/>
    </row>
    <row r="309" spans="1:13" x14ac:dyDescent="0.35">
      <c r="A309"/>
      <c r="B309"/>
      <c r="C309"/>
      <c r="E309"/>
      <c r="F309"/>
      <c r="G309"/>
      <c r="H309"/>
      <c r="I309"/>
      <c r="J309"/>
      <c r="K309"/>
      <c r="L309"/>
      <c r="M309"/>
    </row>
    <row r="310" spans="1:13" x14ac:dyDescent="0.35">
      <c r="A310"/>
      <c r="B310"/>
      <c r="C310"/>
      <c r="E310"/>
      <c r="F310"/>
      <c r="G310"/>
      <c r="H310"/>
      <c r="I310"/>
      <c r="J310"/>
      <c r="K310"/>
      <c r="L310"/>
      <c r="M310"/>
    </row>
    <row r="311" spans="1:13" x14ac:dyDescent="0.35">
      <c r="A311"/>
      <c r="B311"/>
      <c r="C311"/>
      <c r="E311"/>
      <c r="F311"/>
      <c r="G311"/>
      <c r="H311"/>
      <c r="I311"/>
      <c r="J311"/>
      <c r="K311"/>
      <c r="L311"/>
      <c r="M311"/>
    </row>
    <row r="312" spans="1:13" x14ac:dyDescent="0.35">
      <c r="A312"/>
      <c r="B312"/>
      <c r="C312"/>
      <c r="E312"/>
      <c r="F312"/>
      <c r="G312"/>
      <c r="H312"/>
      <c r="I312"/>
      <c r="J312"/>
      <c r="K312"/>
      <c r="L312"/>
      <c r="M312"/>
    </row>
    <row r="313" spans="1:13" x14ac:dyDescent="0.35">
      <c r="A313"/>
      <c r="B313"/>
      <c r="C313"/>
      <c r="E313"/>
      <c r="F313"/>
      <c r="G313"/>
      <c r="H313"/>
      <c r="I313"/>
      <c r="J313"/>
      <c r="K313"/>
      <c r="L313"/>
      <c r="M313"/>
    </row>
    <row r="314" spans="1:13" x14ac:dyDescent="0.35">
      <c r="A314"/>
      <c r="B314"/>
      <c r="C314"/>
      <c r="E314"/>
      <c r="F314"/>
      <c r="G314"/>
      <c r="H314"/>
      <c r="I314"/>
      <c r="J314"/>
      <c r="K314"/>
      <c r="L314"/>
      <c r="M314"/>
    </row>
    <row r="315" spans="1:13" x14ac:dyDescent="0.35">
      <c r="A315"/>
      <c r="B315"/>
      <c r="C315"/>
      <c r="E315"/>
      <c r="F315"/>
      <c r="G315"/>
      <c r="H315"/>
      <c r="I315"/>
      <c r="J315"/>
      <c r="K315"/>
      <c r="L315"/>
      <c r="M315"/>
    </row>
    <row r="316" spans="1:13" x14ac:dyDescent="0.35">
      <c r="A316"/>
      <c r="B316"/>
      <c r="C316"/>
      <c r="E316"/>
      <c r="F316"/>
      <c r="G316"/>
      <c r="H316"/>
      <c r="I316"/>
      <c r="J316"/>
      <c r="K316"/>
      <c r="L316"/>
      <c r="M316"/>
    </row>
    <row r="317" spans="1:13" x14ac:dyDescent="0.35">
      <c r="A317"/>
      <c r="B317"/>
      <c r="C317"/>
      <c r="E317"/>
      <c r="F317"/>
      <c r="G317"/>
      <c r="H317"/>
      <c r="I317"/>
      <c r="J317"/>
      <c r="K317"/>
      <c r="L317"/>
      <c r="M317"/>
    </row>
    <row r="318" spans="1:13" x14ac:dyDescent="0.35">
      <c r="A318"/>
      <c r="B318"/>
      <c r="C318"/>
      <c r="E318"/>
      <c r="F318"/>
      <c r="G318"/>
      <c r="H318"/>
      <c r="I318"/>
      <c r="J318"/>
      <c r="K318"/>
      <c r="L318"/>
      <c r="M318"/>
    </row>
    <row r="319" spans="1:13" x14ac:dyDescent="0.35">
      <c r="A319"/>
      <c r="B319"/>
      <c r="C319"/>
      <c r="E319"/>
      <c r="F319"/>
      <c r="G319"/>
      <c r="H319"/>
      <c r="I319"/>
      <c r="J319"/>
      <c r="K319"/>
      <c r="L319"/>
      <c r="M319"/>
    </row>
    <row r="320" spans="1:13" x14ac:dyDescent="0.35">
      <c r="A320"/>
      <c r="B320"/>
      <c r="C320"/>
      <c r="E320"/>
      <c r="F320"/>
      <c r="G320"/>
      <c r="H320"/>
      <c r="I320"/>
      <c r="J320"/>
      <c r="K320"/>
      <c r="L320"/>
      <c r="M320"/>
    </row>
    <row r="321" spans="1:13" x14ac:dyDescent="0.35">
      <c r="A321"/>
      <c r="B321"/>
      <c r="C321"/>
      <c r="E321"/>
      <c r="F321"/>
      <c r="G321"/>
      <c r="H321"/>
      <c r="I321"/>
      <c r="J321"/>
      <c r="K321"/>
      <c r="L321"/>
      <c r="M321"/>
    </row>
    <row r="322" spans="1:13" x14ac:dyDescent="0.35">
      <c r="A322"/>
      <c r="B322"/>
      <c r="C322"/>
      <c r="E322"/>
      <c r="F322"/>
      <c r="G322"/>
      <c r="H322"/>
      <c r="I322"/>
      <c r="J322"/>
      <c r="K322"/>
      <c r="L322"/>
      <c r="M322"/>
    </row>
    <row r="323" spans="1:13" x14ac:dyDescent="0.35">
      <c r="A323"/>
      <c r="B323"/>
      <c r="C323"/>
      <c r="E323"/>
      <c r="F323"/>
      <c r="G323"/>
      <c r="H323"/>
      <c r="I323"/>
      <c r="J323"/>
      <c r="K323"/>
      <c r="L323"/>
      <c r="M323"/>
    </row>
    <row r="324" spans="1:13" x14ac:dyDescent="0.35">
      <c r="A324"/>
      <c r="B324"/>
      <c r="C324"/>
      <c r="E324"/>
      <c r="F324"/>
      <c r="G324"/>
      <c r="H324"/>
      <c r="I324"/>
      <c r="J324"/>
      <c r="K324"/>
      <c r="L324"/>
      <c r="M324"/>
    </row>
    <row r="325" spans="1:13" x14ac:dyDescent="0.35">
      <c r="A325"/>
      <c r="B325"/>
      <c r="C325"/>
      <c r="E325"/>
      <c r="F325"/>
      <c r="G325"/>
      <c r="H325"/>
      <c r="I325"/>
      <c r="J325"/>
      <c r="K325"/>
      <c r="L325"/>
      <c r="M325"/>
    </row>
    <row r="326" spans="1:13" x14ac:dyDescent="0.35">
      <c r="A326"/>
      <c r="B326"/>
      <c r="C326"/>
      <c r="E326"/>
      <c r="F326"/>
      <c r="G326"/>
      <c r="H326"/>
      <c r="I326"/>
      <c r="J326"/>
      <c r="K326"/>
      <c r="L326"/>
      <c r="M326"/>
    </row>
    <row r="327" spans="1:13" x14ac:dyDescent="0.35">
      <c r="A327"/>
      <c r="B327"/>
      <c r="C327"/>
      <c r="E327"/>
      <c r="F327"/>
      <c r="G327"/>
      <c r="H327"/>
      <c r="I327"/>
      <c r="J327"/>
      <c r="K327"/>
      <c r="L327"/>
      <c r="M327"/>
    </row>
    <row r="328" spans="1:13" x14ac:dyDescent="0.35">
      <c r="A328"/>
      <c r="B328"/>
      <c r="C328"/>
      <c r="E328"/>
      <c r="F328"/>
      <c r="G328"/>
      <c r="H328"/>
      <c r="I328"/>
      <c r="J328"/>
      <c r="K328"/>
      <c r="L328"/>
      <c r="M328"/>
    </row>
    <row r="329" spans="1:13" x14ac:dyDescent="0.35">
      <c r="A329"/>
      <c r="B329"/>
      <c r="C329"/>
      <c r="E329"/>
      <c r="F329"/>
      <c r="G329"/>
      <c r="H329"/>
      <c r="I329"/>
      <c r="J329"/>
      <c r="K329"/>
      <c r="L329"/>
      <c r="M329"/>
    </row>
    <row r="330" spans="1:13" x14ac:dyDescent="0.35">
      <c r="A330"/>
      <c r="B330"/>
      <c r="C330"/>
      <c r="E330"/>
      <c r="F330"/>
      <c r="G330"/>
      <c r="H330"/>
      <c r="I330"/>
      <c r="J330"/>
      <c r="K330"/>
      <c r="L330"/>
      <c r="M330"/>
    </row>
    <row r="331" spans="1:13" x14ac:dyDescent="0.35">
      <c r="A331"/>
      <c r="B331"/>
      <c r="C331"/>
      <c r="E331"/>
      <c r="F331"/>
      <c r="G331"/>
      <c r="H331"/>
      <c r="I331"/>
      <c r="J331"/>
      <c r="K331"/>
      <c r="L331"/>
      <c r="M331"/>
    </row>
    <row r="332" spans="1:13" x14ac:dyDescent="0.35">
      <c r="A332"/>
      <c r="B332"/>
      <c r="C332"/>
      <c r="E332"/>
      <c r="F332"/>
      <c r="G332"/>
      <c r="H332"/>
      <c r="I332"/>
      <c r="J332"/>
      <c r="K332"/>
      <c r="L332"/>
      <c r="M332"/>
    </row>
    <row r="333" spans="1:13" x14ac:dyDescent="0.35">
      <c r="A333"/>
      <c r="B333"/>
      <c r="C333"/>
      <c r="E333"/>
      <c r="F333"/>
      <c r="G333"/>
      <c r="H333"/>
      <c r="I333"/>
      <c r="J333"/>
      <c r="K333"/>
      <c r="L333"/>
      <c r="M333"/>
    </row>
    <row r="334" spans="1:13" x14ac:dyDescent="0.35">
      <c r="A334"/>
      <c r="B334"/>
      <c r="C334"/>
      <c r="E334"/>
      <c r="F334"/>
      <c r="G334"/>
      <c r="H334"/>
      <c r="I334"/>
      <c r="J334"/>
      <c r="K334"/>
      <c r="L334"/>
      <c r="M334"/>
    </row>
    <row r="335" spans="1:13" x14ac:dyDescent="0.35">
      <c r="A335"/>
      <c r="B335"/>
      <c r="C335"/>
      <c r="E335"/>
      <c r="F335"/>
      <c r="G335"/>
      <c r="H335"/>
      <c r="I335"/>
      <c r="J335"/>
      <c r="K335"/>
      <c r="L335"/>
      <c r="M335"/>
    </row>
    <row r="336" spans="1:13" x14ac:dyDescent="0.35">
      <c r="A336"/>
      <c r="B336"/>
      <c r="C336"/>
      <c r="E336"/>
      <c r="F336"/>
      <c r="G336"/>
      <c r="H336"/>
      <c r="I336"/>
      <c r="J336"/>
      <c r="K336"/>
      <c r="L336"/>
      <c r="M336"/>
    </row>
    <row r="337" spans="1:13" x14ac:dyDescent="0.35">
      <c r="A337"/>
      <c r="B337"/>
      <c r="C337"/>
      <c r="E337"/>
      <c r="F337"/>
      <c r="G337"/>
      <c r="H337"/>
      <c r="I337"/>
      <c r="J337"/>
      <c r="K337"/>
      <c r="L337"/>
      <c r="M337"/>
    </row>
    <row r="338" spans="1:13" x14ac:dyDescent="0.35">
      <c r="A338"/>
      <c r="B338"/>
      <c r="C338"/>
      <c r="E338"/>
      <c r="F338"/>
      <c r="G338"/>
      <c r="H338"/>
      <c r="I338"/>
      <c r="J338"/>
      <c r="K338"/>
      <c r="L338"/>
      <c r="M338"/>
    </row>
    <row r="339" spans="1:13" x14ac:dyDescent="0.35">
      <c r="A339"/>
      <c r="B339"/>
      <c r="C339"/>
      <c r="E339"/>
      <c r="F339"/>
      <c r="G339"/>
      <c r="H339"/>
      <c r="I339"/>
      <c r="J339"/>
      <c r="K339"/>
      <c r="L339"/>
      <c r="M339"/>
    </row>
    <row r="340" spans="1:13" x14ac:dyDescent="0.35">
      <c r="A340"/>
      <c r="B340"/>
      <c r="C340"/>
      <c r="E340"/>
      <c r="F340"/>
      <c r="G340"/>
      <c r="H340"/>
      <c r="I340"/>
      <c r="J340"/>
      <c r="K340"/>
      <c r="L340"/>
      <c r="M340"/>
    </row>
    <row r="341" spans="1:13" x14ac:dyDescent="0.35">
      <c r="A341"/>
      <c r="B341"/>
      <c r="C341"/>
      <c r="E341"/>
      <c r="F341"/>
      <c r="G341"/>
      <c r="H341"/>
      <c r="I341"/>
      <c r="J341"/>
      <c r="K341"/>
      <c r="L341"/>
      <c r="M341"/>
    </row>
    <row r="342" spans="1:13" x14ac:dyDescent="0.35">
      <c r="A342"/>
      <c r="B342"/>
      <c r="C342"/>
      <c r="E342"/>
      <c r="F342"/>
      <c r="G342"/>
      <c r="H342"/>
      <c r="I342"/>
      <c r="J342"/>
      <c r="K342"/>
      <c r="L342"/>
      <c r="M342"/>
    </row>
    <row r="343" spans="1:13" x14ac:dyDescent="0.35">
      <c r="A343"/>
      <c r="B343"/>
      <c r="C343"/>
      <c r="E343"/>
      <c r="F343"/>
      <c r="G343"/>
      <c r="H343"/>
      <c r="I343"/>
      <c r="J343"/>
      <c r="K343"/>
      <c r="L343"/>
      <c r="M343"/>
    </row>
    <row r="344" spans="1:13" x14ac:dyDescent="0.35">
      <c r="A344"/>
      <c r="B344"/>
      <c r="C344"/>
      <c r="E344"/>
      <c r="F344"/>
      <c r="G344"/>
      <c r="H344"/>
      <c r="I344"/>
      <c r="J344"/>
      <c r="K344"/>
      <c r="L344"/>
      <c r="M344"/>
    </row>
    <row r="345" spans="1:13" x14ac:dyDescent="0.35">
      <c r="A345"/>
      <c r="B345"/>
      <c r="C345"/>
      <c r="E345"/>
      <c r="F345"/>
      <c r="G345"/>
      <c r="H345"/>
      <c r="I345"/>
      <c r="J345"/>
      <c r="K345"/>
      <c r="L345"/>
      <c r="M345"/>
    </row>
    <row r="346" spans="1:13" x14ac:dyDescent="0.35">
      <c r="A346"/>
      <c r="B346"/>
      <c r="C346"/>
      <c r="E346"/>
      <c r="F346"/>
      <c r="G346"/>
      <c r="H346"/>
      <c r="I346"/>
      <c r="J346"/>
      <c r="K346"/>
      <c r="L346"/>
      <c r="M346"/>
    </row>
    <row r="347" spans="1:13" x14ac:dyDescent="0.35">
      <c r="A347"/>
      <c r="B347"/>
      <c r="C347"/>
      <c r="E347"/>
      <c r="F347"/>
      <c r="G347"/>
      <c r="H347"/>
      <c r="I347"/>
      <c r="J347"/>
      <c r="K347"/>
      <c r="L347"/>
      <c r="M347"/>
    </row>
    <row r="348" spans="1:13" x14ac:dyDescent="0.35">
      <c r="A348"/>
      <c r="B348"/>
      <c r="C348"/>
      <c r="E348"/>
      <c r="F348"/>
      <c r="G348"/>
      <c r="H348"/>
      <c r="I348"/>
      <c r="J348"/>
      <c r="K348"/>
      <c r="L348"/>
      <c r="M348"/>
    </row>
    <row r="349" spans="1:13" x14ac:dyDescent="0.35">
      <c r="A349"/>
      <c r="B349"/>
      <c r="C349"/>
      <c r="E349"/>
      <c r="F349"/>
      <c r="G349"/>
      <c r="H349"/>
      <c r="I349"/>
      <c r="J349"/>
      <c r="K349"/>
      <c r="L349"/>
      <c r="M349"/>
    </row>
    <row r="350" spans="1:13" x14ac:dyDescent="0.35">
      <c r="A350"/>
      <c r="B350"/>
      <c r="C350"/>
      <c r="E350"/>
      <c r="F350"/>
      <c r="G350"/>
      <c r="H350"/>
      <c r="I350"/>
      <c r="J350"/>
      <c r="K350"/>
      <c r="L350"/>
      <c r="M350"/>
    </row>
    <row r="351" spans="1:13" x14ac:dyDescent="0.35">
      <c r="A351"/>
      <c r="B351"/>
      <c r="C351"/>
      <c r="E351"/>
      <c r="F351"/>
      <c r="G351"/>
      <c r="H351"/>
      <c r="I351"/>
      <c r="J351"/>
      <c r="K351"/>
      <c r="L351"/>
      <c r="M351"/>
    </row>
    <row r="352" spans="1:13" x14ac:dyDescent="0.35">
      <c r="A352"/>
      <c r="B352"/>
      <c r="C352"/>
      <c r="E352"/>
      <c r="F352"/>
      <c r="G352"/>
      <c r="H352"/>
      <c r="I352"/>
      <c r="J352"/>
      <c r="K352"/>
      <c r="L352"/>
      <c r="M352"/>
    </row>
    <row r="353" spans="1:13" x14ac:dyDescent="0.35">
      <c r="A353"/>
      <c r="B353"/>
      <c r="C353"/>
      <c r="E353"/>
      <c r="F353"/>
      <c r="G353"/>
      <c r="H353"/>
      <c r="I353"/>
      <c r="J353"/>
      <c r="K353"/>
      <c r="L353"/>
      <c r="M353"/>
    </row>
    <row r="354" spans="1:13" x14ac:dyDescent="0.35">
      <c r="A354"/>
      <c r="B354"/>
      <c r="C354"/>
      <c r="E354"/>
      <c r="F354"/>
      <c r="G354"/>
      <c r="H354"/>
      <c r="I354"/>
      <c r="J354"/>
      <c r="K354"/>
      <c r="L354"/>
      <c r="M354"/>
    </row>
    <row r="355" spans="1:13" x14ac:dyDescent="0.35">
      <c r="A355"/>
      <c r="B355"/>
      <c r="C355"/>
      <c r="E355"/>
      <c r="F355"/>
      <c r="G355"/>
      <c r="H355"/>
      <c r="I355"/>
      <c r="J355"/>
      <c r="K355"/>
      <c r="L355"/>
      <c r="M355"/>
    </row>
    <row r="356" spans="1:13" x14ac:dyDescent="0.35">
      <c r="A356"/>
      <c r="B356"/>
      <c r="C356"/>
      <c r="E356"/>
      <c r="F356"/>
      <c r="G356"/>
      <c r="H356"/>
      <c r="I356"/>
      <c r="J356"/>
      <c r="K356"/>
      <c r="L356"/>
      <c r="M356"/>
    </row>
    <row r="357" spans="1:13" x14ac:dyDescent="0.35">
      <c r="A357"/>
      <c r="B357"/>
      <c r="C357"/>
      <c r="E357"/>
      <c r="F357"/>
      <c r="G357"/>
      <c r="H357"/>
      <c r="I357"/>
      <c r="J357"/>
      <c r="K357"/>
      <c r="L357"/>
      <c r="M357"/>
    </row>
    <row r="358" spans="1:13" x14ac:dyDescent="0.35">
      <c r="A358"/>
      <c r="B358"/>
      <c r="C358"/>
      <c r="E358"/>
      <c r="F358"/>
      <c r="G358"/>
      <c r="H358"/>
      <c r="I358"/>
      <c r="J358"/>
      <c r="K358"/>
      <c r="L358"/>
      <c r="M358"/>
    </row>
    <row r="359" spans="1:13" x14ac:dyDescent="0.35">
      <c r="A359"/>
      <c r="B359"/>
      <c r="C359"/>
      <c r="E359"/>
      <c r="F359"/>
      <c r="G359"/>
      <c r="H359"/>
      <c r="I359"/>
      <c r="J359"/>
      <c r="K359"/>
      <c r="L359"/>
      <c r="M359"/>
    </row>
    <row r="360" spans="1:13" x14ac:dyDescent="0.35">
      <c r="A360"/>
      <c r="B360"/>
      <c r="C360"/>
      <c r="E360"/>
      <c r="F360"/>
      <c r="G360"/>
      <c r="H360"/>
      <c r="I360"/>
      <c r="J360"/>
      <c r="K360"/>
      <c r="L360"/>
      <c r="M360"/>
    </row>
    <row r="361" spans="1:13" x14ac:dyDescent="0.35">
      <c r="A361"/>
      <c r="B361"/>
      <c r="C361"/>
      <c r="E361"/>
      <c r="F361"/>
      <c r="G361"/>
      <c r="H361"/>
      <c r="I361"/>
      <c r="J361"/>
      <c r="K361"/>
      <c r="L361"/>
      <c r="M361"/>
    </row>
    <row r="362" spans="1:13" x14ac:dyDescent="0.35">
      <c r="A362"/>
      <c r="B362"/>
      <c r="C362"/>
      <c r="E362"/>
      <c r="F362"/>
      <c r="G362"/>
      <c r="H362"/>
      <c r="I362"/>
      <c r="J362"/>
      <c r="K362"/>
      <c r="L362"/>
      <c r="M362"/>
    </row>
    <row r="363" spans="1:13" x14ac:dyDescent="0.35">
      <c r="A363"/>
      <c r="B363"/>
      <c r="C363"/>
      <c r="E363"/>
      <c r="F363"/>
      <c r="G363"/>
      <c r="H363"/>
      <c r="I363"/>
      <c r="J363"/>
      <c r="K363"/>
      <c r="L363"/>
      <c r="M363"/>
    </row>
    <row r="364" spans="1:13" x14ac:dyDescent="0.35">
      <c r="A364"/>
      <c r="B364"/>
      <c r="C364"/>
      <c r="E364"/>
      <c r="F364"/>
      <c r="G364"/>
      <c r="H364"/>
      <c r="I364"/>
      <c r="J364"/>
      <c r="K364"/>
      <c r="L364"/>
      <c r="M364"/>
    </row>
    <row r="365" spans="1:13" x14ac:dyDescent="0.35">
      <c r="A365"/>
      <c r="B365"/>
      <c r="C365"/>
      <c r="E365"/>
      <c r="F365"/>
      <c r="G365"/>
      <c r="H365"/>
      <c r="I365"/>
      <c r="J365"/>
      <c r="K365"/>
      <c r="L365"/>
      <c r="M365"/>
    </row>
    <row r="366" spans="1:13" x14ac:dyDescent="0.35">
      <c r="A366"/>
      <c r="B366"/>
      <c r="C366"/>
      <c r="E366"/>
      <c r="F366"/>
      <c r="G366"/>
      <c r="H366"/>
      <c r="I366"/>
      <c r="J366"/>
      <c r="K366"/>
      <c r="L366"/>
      <c r="M366"/>
    </row>
    <row r="367" spans="1:13" x14ac:dyDescent="0.35">
      <c r="A367"/>
      <c r="B367"/>
      <c r="C367"/>
      <c r="E367"/>
      <c r="F367"/>
      <c r="G367"/>
      <c r="H367"/>
      <c r="I367"/>
      <c r="J367"/>
      <c r="K367"/>
      <c r="L367"/>
      <c r="M367"/>
    </row>
    <row r="368" spans="1:13" x14ac:dyDescent="0.35">
      <c r="A368"/>
      <c r="B368"/>
      <c r="C368"/>
      <c r="E368"/>
      <c r="F368"/>
      <c r="G368"/>
      <c r="H368"/>
      <c r="I368"/>
      <c r="J368"/>
      <c r="K368"/>
      <c r="L368"/>
      <c r="M368"/>
    </row>
    <row r="369" spans="1:13" x14ac:dyDescent="0.35">
      <c r="A369"/>
      <c r="B369"/>
      <c r="C369"/>
      <c r="E369"/>
      <c r="F369"/>
      <c r="G369"/>
      <c r="H369"/>
      <c r="I369"/>
      <c r="J369"/>
      <c r="K369"/>
      <c r="L369"/>
      <c r="M369"/>
    </row>
    <row r="370" spans="1:13" x14ac:dyDescent="0.35">
      <c r="A370"/>
      <c r="B370"/>
      <c r="C370"/>
      <c r="E370"/>
      <c r="F370"/>
      <c r="G370"/>
      <c r="H370"/>
      <c r="I370"/>
      <c r="J370"/>
      <c r="K370"/>
      <c r="L370"/>
      <c r="M370"/>
    </row>
    <row r="371" spans="1:13" x14ac:dyDescent="0.35">
      <c r="A371"/>
      <c r="B371"/>
      <c r="C371"/>
      <c r="E371"/>
      <c r="F371"/>
      <c r="G371"/>
      <c r="H371"/>
      <c r="I371"/>
      <c r="J371"/>
      <c r="K371"/>
      <c r="L371"/>
      <c r="M371"/>
    </row>
    <row r="372" spans="1:13" x14ac:dyDescent="0.35">
      <c r="A372"/>
      <c r="B372"/>
      <c r="C372"/>
      <c r="E372"/>
      <c r="F372"/>
      <c r="G372"/>
      <c r="H372"/>
      <c r="I372"/>
      <c r="J372"/>
      <c r="K372"/>
      <c r="L372"/>
      <c r="M372"/>
    </row>
    <row r="373" spans="1:13" x14ac:dyDescent="0.35">
      <c r="A373"/>
      <c r="B373"/>
      <c r="C373"/>
      <c r="E373"/>
      <c r="F373"/>
      <c r="G373"/>
      <c r="H373"/>
      <c r="I373"/>
      <c r="J373"/>
      <c r="K373"/>
      <c r="L373"/>
      <c r="M373"/>
    </row>
    <row r="374" spans="1:13" x14ac:dyDescent="0.35">
      <c r="A374"/>
      <c r="B374"/>
      <c r="C374"/>
      <c r="E374"/>
      <c r="F374"/>
      <c r="G374"/>
      <c r="H374"/>
      <c r="I374"/>
      <c r="J374"/>
      <c r="K374"/>
      <c r="L374"/>
      <c r="M374"/>
    </row>
    <row r="375" spans="1:13" x14ac:dyDescent="0.35">
      <c r="A375"/>
      <c r="B375"/>
      <c r="C375"/>
      <c r="E375"/>
      <c r="F375"/>
      <c r="G375"/>
      <c r="H375"/>
      <c r="I375"/>
      <c r="J375"/>
      <c r="K375"/>
      <c r="L375"/>
      <c r="M375"/>
    </row>
    <row r="376" spans="1:13" x14ac:dyDescent="0.35">
      <c r="A376"/>
      <c r="B376"/>
      <c r="C376"/>
      <c r="E376"/>
      <c r="F376"/>
      <c r="G376"/>
      <c r="H376"/>
      <c r="I376"/>
      <c r="J376"/>
      <c r="K376"/>
      <c r="L376"/>
      <c r="M376"/>
    </row>
    <row r="377" spans="1:13" x14ac:dyDescent="0.35">
      <c r="A377"/>
      <c r="B377"/>
      <c r="C377"/>
      <c r="E377"/>
      <c r="F377"/>
      <c r="G377"/>
      <c r="H377"/>
      <c r="I377"/>
      <c r="J377"/>
      <c r="K377"/>
      <c r="L377"/>
      <c r="M377"/>
    </row>
    <row r="378" spans="1:13" x14ac:dyDescent="0.35">
      <c r="A378"/>
      <c r="B378"/>
      <c r="C378"/>
      <c r="E378"/>
      <c r="F378"/>
      <c r="G378"/>
      <c r="H378"/>
      <c r="I378"/>
      <c r="J378"/>
      <c r="K378"/>
      <c r="L378"/>
      <c r="M378"/>
    </row>
    <row r="379" spans="1:13" x14ac:dyDescent="0.35">
      <c r="A379"/>
      <c r="B379"/>
      <c r="C379"/>
      <c r="E379"/>
      <c r="F379"/>
      <c r="G379"/>
      <c r="H379"/>
      <c r="I379"/>
      <c r="J379"/>
      <c r="K379"/>
      <c r="L379"/>
      <c r="M379"/>
    </row>
    <row r="380" spans="1:13" x14ac:dyDescent="0.35">
      <c r="A380"/>
      <c r="B380"/>
      <c r="C380"/>
      <c r="E380"/>
      <c r="F380"/>
      <c r="G380"/>
      <c r="H380"/>
      <c r="I380"/>
      <c r="J380"/>
      <c r="K380"/>
      <c r="L380"/>
      <c r="M380"/>
    </row>
    <row r="381" spans="1:13" x14ac:dyDescent="0.35">
      <c r="A381"/>
      <c r="B381"/>
      <c r="C381"/>
      <c r="E381"/>
      <c r="F381"/>
      <c r="G381"/>
      <c r="H381"/>
      <c r="I381"/>
      <c r="J381"/>
      <c r="K381"/>
      <c r="L381"/>
      <c r="M381"/>
    </row>
    <row r="382" spans="1:13" x14ac:dyDescent="0.35">
      <c r="A382"/>
      <c r="B382"/>
      <c r="C382"/>
      <c r="E382"/>
      <c r="F382"/>
      <c r="G382"/>
      <c r="H382"/>
      <c r="I382"/>
      <c r="J382"/>
      <c r="K382"/>
      <c r="L382"/>
      <c r="M382"/>
    </row>
    <row r="383" spans="1:13" x14ac:dyDescent="0.35">
      <c r="A383"/>
      <c r="B383"/>
      <c r="C383"/>
      <c r="E383"/>
      <c r="F383"/>
      <c r="G383"/>
      <c r="H383"/>
      <c r="I383"/>
      <c r="J383"/>
      <c r="K383"/>
      <c r="L383"/>
      <c r="M383"/>
    </row>
    <row r="384" spans="1:13" x14ac:dyDescent="0.35">
      <c r="A384"/>
      <c r="B384"/>
      <c r="C384"/>
      <c r="E384"/>
      <c r="F384"/>
      <c r="G384"/>
      <c r="H384"/>
      <c r="I384"/>
      <c r="J384"/>
      <c r="K384"/>
      <c r="L384"/>
      <c r="M384"/>
    </row>
    <row r="385" spans="1:13" x14ac:dyDescent="0.35">
      <c r="A385"/>
      <c r="B385"/>
      <c r="C385"/>
      <c r="E385"/>
      <c r="F385"/>
      <c r="G385"/>
      <c r="H385"/>
      <c r="I385"/>
      <c r="J385"/>
      <c r="K385"/>
      <c r="L385"/>
      <c r="M385"/>
    </row>
    <row r="386" spans="1:13" x14ac:dyDescent="0.35">
      <c r="A386"/>
      <c r="B386"/>
      <c r="C386"/>
      <c r="E386"/>
      <c r="F386"/>
      <c r="G386"/>
      <c r="H386"/>
      <c r="I386"/>
      <c r="J386"/>
      <c r="K386"/>
      <c r="L386"/>
      <c r="M386"/>
    </row>
    <row r="387" spans="1:13" x14ac:dyDescent="0.35">
      <c r="A387"/>
      <c r="B387"/>
      <c r="C387"/>
      <c r="E387"/>
      <c r="F387"/>
      <c r="G387"/>
      <c r="H387"/>
      <c r="I387"/>
      <c r="J387"/>
      <c r="K387"/>
      <c r="L387"/>
      <c r="M387"/>
    </row>
    <row r="388" spans="1:13" x14ac:dyDescent="0.35">
      <c r="A388"/>
      <c r="B388"/>
      <c r="C388"/>
      <c r="E388"/>
      <c r="F388"/>
      <c r="G388"/>
      <c r="H388"/>
      <c r="I388"/>
      <c r="J388"/>
      <c r="K388"/>
      <c r="L388"/>
      <c r="M388"/>
    </row>
    <row r="389" spans="1:13" x14ac:dyDescent="0.35">
      <c r="A389"/>
      <c r="B389"/>
      <c r="C389"/>
      <c r="E389"/>
      <c r="F389"/>
      <c r="G389"/>
      <c r="H389"/>
      <c r="I389"/>
      <c r="J389"/>
      <c r="K389"/>
      <c r="L389"/>
      <c r="M389"/>
    </row>
    <row r="390" spans="1:13" x14ac:dyDescent="0.35">
      <c r="A390"/>
      <c r="B390"/>
      <c r="C390"/>
      <c r="E390"/>
      <c r="F390"/>
      <c r="G390"/>
      <c r="H390"/>
      <c r="I390"/>
      <c r="J390"/>
      <c r="K390"/>
      <c r="L390"/>
      <c r="M390"/>
    </row>
    <row r="391" spans="1:13" x14ac:dyDescent="0.35">
      <c r="A391"/>
      <c r="B391"/>
      <c r="C391"/>
      <c r="E391"/>
      <c r="F391"/>
      <c r="G391"/>
      <c r="H391"/>
      <c r="I391"/>
      <c r="J391"/>
      <c r="K391"/>
      <c r="L391"/>
      <c r="M391"/>
    </row>
    <row r="392" spans="1:13" x14ac:dyDescent="0.35">
      <c r="A392"/>
      <c r="B392"/>
      <c r="C392"/>
      <c r="E392"/>
      <c r="F392"/>
      <c r="G392"/>
      <c r="H392"/>
      <c r="I392"/>
      <c r="J392"/>
      <c r="K392"/>
      <c r="L392"/>
      <c r="M392"/>
    </row>
    <row r="393" spans="1:13" x14ac:dyDescent="0.35">
      <c r="A393"/>
      <c r="B393"/>
      <c r="C393"/>
      <c r="E393"/>
      <c r="F393"/>
      <c r="G393"/>
      <c r="H393"/>
      <c r="I393"/>
      <c r="J393"/>
      <c r="K393"/>
      <c r="L393"/>
      <c r="M393"/>
    </row>
    <row r="394" spans="1:13" x14ac:dyDescent="0.35">
      <c r="A394"/>
      <c r="B394"/>
      <c r="C394"/>
      <c r="E394"/>
      <c r="F394"/>
      <c r="G394"/>
      <c r="H394"/>
      <c r="I394"/>
      <c r="J394"/>
      <c r="K394"/>
      <c r="L394"/>
      <c r="M394"/>
    </row>
    <row r="395" spans="1:13" x14ac:dyDescent="0.35">
      <c r="A395"/>
      <c r="B395"/>
      <c r="C395"/>
      <c r="E395"/>
      <c r="F395"/>
      <c r="G395"/>
      <c r="H395"/>
      <c r="I395"/>
      <c r="J395"/>
      <c r="K395"/>
      <c r="L395"/>
      <c r="M395"/>
    </row>
    <row r="396" spans="1:13" x14ac:dyDescent="0.35">
      <c r="A396"/>
      <c r="B396"/>
      <c r="C396"/>
      <c r="E396"/>
      <c r="F396"/>
      <c r="G396"/>
      <c r="H396"/>
      <c r="I396"/>
      <c r="J396"/>
      <c r="K396"/>
      <c r="L396"/>
      <c r="M396"/>
    </row>
    <row r="397" spans="1:13" x14ac:dyDescent="0.35">
      <c r="A397"/>
      <c r="B397"/>
      <c r="C397"/>
      <c r="E397"/>
      <c r="F397"/>
      <c r="G397"/>
      <c r="H397"/>
      <c r="I397"/>
      <c r="J397"/>
      <c r="K397"/>
      <c r="L397"/>
      <c r="M397"/>
    </row>
    <row r="398" spans="1:13" x14ac:dyDescent="0.35">
      <c r="A398"/>
      <c r="B398"/>
      <c r="C398"/>
      <c r="E398"/>
      <c r="F398"/>
      <c r="G398"/>
      <c r="H398"/>
      <c r="I398"/>
      <c r="J398"/>
      <c r="K398"/>
      <c r="L398"/>
      <c r="M398"/>
    </row>
    <row r="399" spans="1:13" x14ac:dyDescent="0.35">
      <c r="A399"/>
      <c r="B399"/>
      <c r="C399"/>
      <c r="E399"/>
      <c r="F399"/>
      <c r="G399"/>
      <c r="H399"/>
      <c r="I399"/>
      <c r="J399"/>
      <c r="K399"/>
      <c r="L399"/>
      <c r="M399"/>
    </row>
    <row r="400" spans="1:13" x14ac:dyDescent="0.35">
      <c r="A400"/>
      <c r="B400"/>
      <c r="C400"/>
      <c r="E400"/>
      <c r="F400"/>
      <c r="G400"/>
      <c r="H400"/>
      <c r="I400"/>
      <c r="J400"/>
      <c r="K400"/>
      <c r="L400"/>
      <c r="M400"/>
    </row>
    <row r="401" spans="1:13" x14ac:dyDescent="0.35">
      <c r="A401"/>
      <c r="B401"/>
      <c r="C401"/>
      <c r="E401"/>
      <c r="F401"/>
      <c r="G401"/>
      <c r="H401"/>
      <c r="I401"/>
      <c r="J401"/>
      <c r="K401"/>
      <c r="L401"/>
      <c r="M401"/>
    </row>
    <row r="402" spans="1:13" x14ac:dyDescent="0.35">
      <c r="A402"/>
      <c r="B402"/>
      <c r="C402"/>
      <c r="E402"/>
      <c r="F402"/>
      <c r="G402"/>
      <c r="H402"/>
      <c r="I402"/>
      <c r="J402"/>
      <c r="K402"/>
      <c r="L402"/>
      <c r="M402"/>
    </row>
    <row r="403" spans="1:13" x14ac:dyDescent="0.35">
      <c r="A403"/>
      <c r="B403"/>
      <c r="C403"/>
      <c r="E403"/>
      <c r="F403"/>
      <c r="G403"/>
      <c r="H403"/>
      <c r="I403"/>
      <c r="J403"/>
      <c r="K403"/>
      <c r="L403"/>
      <c r="M403"/>
    </row>
    <row r="404" spans="1:13" x14ac:dyDescent="0.35">
      <c r="A404"/>
      <c r="B404"/>
      <c r="C404"/>
      <c r="E404"/>
      <c r="F404"/>
      <c r="G404"/>
      <c r="H404"/>
      <c r="I404"/>
      <c r="J404"/>
      <c r="K404"/>
      <c r="L404"/>
      <c r="M404"/>
    </row>
    <row r="405" spans="1:13" x14ac:dyDescent="0.35">
      <c r="A405"/>
      <c r="B405"/>
      <c r="C405"/>
      <c r="E405"/>
      <c r="F405"/>
      <c r="G405"/>
      <c r="H405"/>
      <c r="I405"/>
      <c r="J405"/>
      <c r="K405"/>
      <c r="L405"/>
      <c r="M405"/>
    </row>
    <row r="406" spans="1:13" x14ac:dyDescent="0.35">
      <c r="A406"/>
      <c r="B406"/>
      <c r="C406"/>
      <c r="E406"/>
      <c r="F406"/>
      <c r="G406"/>
      <c r="H406"/>
      <c r="I406"/>
      <c r="J406"/>
      <c r="K406"/>
      <c r="L406"/>
      <c r="M406"/>
    </row>
    <row r="407" spans="1:13" x14ac:dyDescent="0.35">
      <c r="A407"/>
      <c r="B407"/>
      <c r="C407"/>
      <c r="E407"/>
      <c r="F407"/>
      <c r="G407"/>
      <c r="H407"/>
      <c r="I407"/>
      <c r="J407"/>
      <c r="K407"/>
      <c r="L407"/>
      <c r="M407"/>
    </row>
    <row r="408" spans="1:13" x14ac:dyDescent="0.35">
      <c r="A408"/>
      <c r="B408"/>
      <c r="C408"/>
      <c r="E408"/>
      <c r="F408"/>
      <c r="G408"/>
      <c r="H408"/>
      <c r="I408"/>
      <c r="J408"/>
      <c r="K408"/>
      <c r="L408"/>
      <c r="M408"/>
    </row>
    <row r="409" spans="1:13" x14ac:dyDescent="0.35">
      <c r="A409"/>
      <c r="B409"/>
      <c r="C409"/>
      <c r="E409"/>
      <c r="F409"/>
      <c r="G409"/>
      <c r="H409"/>
      <c r="I409"/>
      <c r="J409"/>
      <c r="K409"/>
      <c r="L409"/>
      <c r="M409"/>
    </row>
    <row r="410" spans="1:13" x14ac:dyDescent="0.35">
      <c r="A410"/>
      <c r="B410"/>
      <c r="C410"/>
      <c r="E410"/>
      <c r="F410"/>
      <c r="G410"/>
      <c r="H410"/>
      <c r="I410"/>
      <c r="J410"/>
      <c r="K410"/>
      <c r="L410"/>
      <c r="M410"/>
    </row>
    <row r="411" spans="1:13" x14ac:dyDescent="0.35">
      <c r="A411"/>
      <c r="B411"/>
      <c r="C411"/>
      <c r="E411"/>
      <c r="F411"/>
      <c r="G411"/>
      <c r="H411"/>
      <c r="I411"/>
      <c r="J411"/>
      <c r="K411"/>
      <c r="L411"/>
      <c r="M411"/>
    </row>
    <row r="412" spans="1:13" x14ac:dyDescent="0.35">
      <c r="A412"/>
      <c r="B412"/>
      <c r="C412"/>
      <c r="E412"/>
      <c r="F412"/>
      <c r="G412"/>
      <c r="H412"/>
      <c r="I412"/>
      <c r="J412"/>
      <c r="K412"/>
      <c r="L412"/>
      <c r="M412"/>
    </row>
    <row r="413" spans="1:13" x14ac:dyDescent="0.35">
      <c r="A413"/>
      <c r="B413"/>
      <c r="C413"/>
      <c r="E413"/>
      <c r="F413"/>
      <c r="G413"/>
      <c r="H413"/>
      <c r="I413"/>
      <c r="J413"/>
      <c r="K413"/>
      <c r="L413"/>
      <c r="M413"/>
    </row>
    <row r="414" spans="1:13" x14ac:dyDescent="0.35">
      <c r="A414"/>
      <c r="B414"/>
      <c r="C414"/>
      <c r="E414"/>
      <c r="F414"/>
      <c r="G414"/>
      <c r="H414"/>
      <c r="I414"/>
      <c r="J414"/>
      <c r="K414"/>
      <c r="L414"/>
      <c r="M414"/>
    </row>
    <row r="415" spans="1:13" x14ac:dyDescent="0.35">
      <c r="A415"/>
      <c r="B415"/>
      <c r="C415"/>
      <c r="E415"/>
      <c r="F415"/>
      <c r="G415"/>
      <c r="H415"/>
      <c r="I415"/>
      <c r="J415"/>
      <c r="K415"/>
      <c r="L415"/>
      <c r="M415"/>
    </row>
    <row r="416" spans="1:13" x14ac:dyDescent="0.35">
      <c r="A416"/>
      <c r="B416"/>
      <c r="C416"/>
      <c r="E416"/>
      <c r="F416"/>
      <c r="G416"/>
      <c r="H416"/>
      <c r="I416"/>
      <c r="J416"/>
      <c r="K416"/>
      <c r="L416"/>
      <c r="M416"/>
    </row>
    <row r="417" spans="1:13" x14ac:dyDescent="0.35">
      <c r="A417"/>
      <c r="B417"/>
      <c r="C417"/>
      <c r="E417"/>
      <c r="F417"/>
      <c r="G417"/>
      <c r="H417"/>
      <c r="I417"/>
      <c r="J417"/>
      <c r="K417"/>
      <c r="L417"/>
      <c r="M417"/>
    </row>
    <row r="418" spans="1:13" x14ac:dyDescent="0.35">
      <c r="A418"/>
      <c r="B418"/>
      <c r="C418"/>
      <c r="E418"/>
      <c r="F418"/>
      <c r="G418"/>
      <c r="H418"/>
      <c r="I418"/>
      <c r="J418"/>
      <c r="K418"/>
      <c r="L418"/>
      <c r="M418"/>
    </row>
    <row r="419" spans="1:13" x14ac:dyDescent="0.35">
      <c r="A419"/>
      <c r="B419"/>
      <c r="C419"/>
      <c r="E419"/>
      <c r="F419"/>
      <c r="G419"/>
      <c r="H419"/>
      <c r="I419"/>
      <c r="J419"/>
      <c r="K419"/>
      <c r="L419"/>
      <c r="M419"/>
    </row>
    <row r="420" spans="1:13" x14ac:dyDescent="0.35">
      <c r="A420"/>
      <c r="B420"/>
      <c r="C420"/>
      <c r="E420"/>
      <c r="F420"/>
      <c r="G420"/>
      <c r="H420"/>
      <c r="I420"/>
      <c r="J420"/>
      <c r="K420"/>
      <c r="L420"/>
      <c r="M420"/>
    </row>
    <row r="421" spans="1:13" x14ac:dyDescent="0.35">
      <c r="A421"/>
      <c r="B421"/>
      <c r="C421"/>
      <c r="E421"/>
      <c r="F421"/>
      <c r="G421"/>
      <c r="H421"/>
      <c r="I421"/>
      <c r="J421"/>
      <c r="K421"/>
      <c r="L421"/>
      <c r="M421"/>
    </row>
    <row r="422" spans="1:13" x14ac:dyDescent="0.35">
      <c r="A422"/>
      <c r="B422"/>
      <c r="C422"/>
      <c r="E422"/>
      <c r="F422"/>
      <c r="G422"/>
      <c r="H422"/>
      <c r="I422"/>
      <c r="J422"/>
      <c r="K422"/>
      <c r="L422"/>
      <c r="M422"/>
    </row>
    <row r="423" spans="1:13" x14ac:dyDescent="0.35">
      <c r="A423"/>
      <c r="B423"/>
      <c r="C423"/>
      <c r="E423"/>
      <c r="F423"/>
      <c r="G423"/>
      <c r="H423"/>
      <c r="I423"/>
      <c r="J423"/>
      <c r="K423"/>
      <c r="L423"/>
      <c r="M423"/>
    </row>
    <row r="424" spans="1:13" x14ac:dyDescent="0.35">
      <c r="A424"/>
      <c r="B424"/>
      <c r="C424"/>
      <c r="E424"/>
      <c r="F424"/>
      <c r="G424"/>
      <c r="H424"/>
      <c r="I424"/>
      <c r="J424"/>
      <c r="K424"/>
      <c r="L424"/>
      <c r="M424"/>
    </row>
    <row r="425" spans="1:13" x14ac:dyDescent="0.35">
      <c r="A425"/>
      <c r="B425"/>
      <c r="C425"/>
      <c r="E425"/>
      <c r="F425"/>
      <c r="G425"/>
      <c r="H425"/>
      <c r="I425"/>
      <c r="J425"/>
      <c r="K425"/>
      <c r="L425"/>
      <c r="M425"/>
    </row>
    <row r="426" spans="1:13" x14ac:dyDescent="0.35">
      <c r="A426"/>
      <c r="B426"/>
      <c r="C426"/>
      <c r="E426"/>
      <c r="F426"/>
      <c r="G426"/>
      <c r="H426"/>
      <c r="I426"/>
      <c r="J426"/>
      <c r="K426"/>
      <c r="L426"/>
      <c r="M426"/>
    </row>
    <row r="427" spans="1:13" x14ac:dyDescent="0.35">
      <c r="A427"/>
      <c r="B427"/>
      <c r="C427"/>
      <c r="E427"/>
      <c r="F427"/>
      <c r="G427"/>
      <c r="H427"/>
      <c r="I427"/>
      <c r="J427"/>
      <c r="K427"/>
      <c r="L427"/>
      <c r="M427"/>
    </row>
    <row r="428" spans="1:13" x14ac:dyDescent="0.35">
      <c r="A428"/>
      <c r="B428"/>
      <c r="C428"/>
      <c r="E428"/>
      <c r="F428"/>
      <c r="G428"/>
      <c r="H428"/>
      <c r="I428"/>
      <c r="J428"/>
      <c r="K428"/>
      <c r="L428"/>
      <c r="M428"/>
    </row>
    <row r="429" spans="1:13" x14ac:dyDescent="0.35">
      <c r="A429"/>
      <c r="B429"/>
      <c r="C429"/>
      <c r="E429"/>
      <c r="F429"/>
      <c r="G429"/>
      <c r="H429"/>
      <c r="I429"/>
      <c r="J429"/>
      <c r="K429"/>
      <c r="L429"/>
      <c r="M429"/>
    </row>
    <row r="430" spans="1:13" x14ac:dyDescent="0.35">
      <c r="A430"/>
      <c r="B430"/>
      <c r="C430"/>
      <c r="E430"/>
      <c r="F430"/>
      <c r="G430"/>
      <c r="H430"/>
      <c r="I430"/>
      <c r="J430"/>
      <c r="K430"/>
      <c r="L430"/>
      <c r="M430"/>
    </row>
    <row r="431" spans="1:13" x14ac:dyDescent="0.35">
      <c r="A431"/>
      <c r="B431"/>
      <c r="C431"/>
      <c r="E431"/>
      <c r="F431"/>
      <c r="G431"/>
      <c r="H431"/>
      <c r="I431"/>
      <c r="J431"/>
      <c r="K431"/>
      <c r="L431"/>
      <c r="M431"/>
    </row>
    <row r="432" spans="1:13" x14ac:dyDescent="0.35">
      <c r="A432"/>
      <c r="B432"/>
      <c r="C432"/>
      <c r="E432"/>
      <c r="F432"/>
      <c r="G432"/>
      <c r="H432"/>
      <c r="I432"/>
      <c r="J432"/>
      <c r="K432"/>
      <c r="L432"/>
      <c r="M432"/>
    </row>
    <row r="433" spans="1:13" x14ac:dyDescent="0.35">
      <c r="A433"/>
      <c r="B433"/>
      <c r="C433"/>
      <c r="E433"/>
      <c r="F433"/>
      <c r="G433"/>
      <c r="H433"/>
      <c r="I433"/>
      <c r="J433"/>
      <c r="K433"/>
      <c r="L433"/>
      <c r="M433"/>
    </row>
    <row r="434" spans="1:13" x14ac:dyDescent="0.35">
      <c r="A434"/>
      <c r="B434"/>
      <c r="C434"/>
      <c r="E434"/>
      <c r="F434"/>
      <c r="G434"/>
      <c r="H434"/>
      <c r="I434"/>
      <c r="J434"/>
      <c r="K434"/>
      <c r="L434"/>
      <c r="M434"/>
    </row>
    <row r="435" spans="1:13" x14ac:dyDescent="0.35">
      <c r="A435"/>
      <c r="B435"/>
      <c r="C435"/>
      <c r="E435"/>
      <c r="F435"/>
      <c r="G435"/>
      <c r="H435"/>
      <c r="I435"/>
      <c r="J435"/>
      <c r="K435"/>
      <c r="L435"/>
      <c r="M435"/>
    </row>
    <row r="436" spans="1:13" x14ac:dyDescent="0.35">
      <c r="A436"/>
      <c r="B436"/>
      <c r="C436"/>
      <c r="E436"/>
      <c r="F436"/>
      <c r="G436"/>
      <c r="H436"/>
      <c r="I436"/>
      <c r="J436"/>
      <c r="K436"/>
      <c r="L436"/>
      <c r="M436"/>
    </row>
    <row r="437" spans="1:13" x14ac:dyDescent="0.35">
      <c r="A437"/>
      <c r="B437"/>
      <c r="C437"/>
      <c r="E437"/>
      <c r="F437"/>
      <c r="G437"/>
      <c r="H437"/>
      <c r="I437"/>
      <c r="J437"/>
      <c r="K437"/>
      <c r="L437"/>
      <c r="M437"/>
    </row>
    <row r="438" spans="1:13" x14ac:dyDescent="0.35">
      <c r="A438"/>
      <c r="B438"/>
      <c r="C438"/>
      <c r="E438"/>
      <c r="F438"/>
      <c r="G438"/>
      <c r="H438"/>
      <c r="I438"/>
      <c r="J438"/>
      <c r="K438"/>
      <c r="L438"/>
      <c r="M438"/>
    </row>
    <row r="439" spans="1:13" x14ac:dyDescent="0.35">
      <c r="A439"/>
      <c r="B439"/>
      <c r="C439"/>
      <c r="E439"/>
      <c r="F439"/>
      <c r="G439"/>
      <c r="H439"/>
      <c r="I439"/>
      <c r="J439"/>
      <c r="K439"/>
      <c r="L439"/>
      <c r="M439"/>
    </row>
    <row r="440" spans="1:13" x14ac:dyDescent="0.35">
      <c r="A440"/>
      <c r="B440"/>
      <c r="C440"/>
      <c r="E440"/>
      <c r="F440"/>
      <c r="G440"/>
      <c r="H440"/>
      <c r="I440"/>
      <c r="J440"/>
      <c r="K440"/>
      <c r="L440"/>
      <c r="M440"/>
    </row>
    <row r="441" spans="1:13" x14ac:dyDescent="0.35">
      <c r="A441"/>
      <c r="B441"/>
      <c r="C441"/>
      <c r="E441"/>
      <c r="F441"/>
      <c r="G441"/>
      <c r="H441"/>
      <c r="I441"/>
      <c r="J441"/>
      <c r="K441"/>
      <c r="L441"/>
      <c r="M441"/>
    </row>
    <row r="442" spans="1:13" x14ac:dyDescent="0.35">
      <c r="A442"/>
      <c r="B442"/>
      <c r="C442"/>
      <c r="E442"/>
      <c r="F442"/>
      <c r="G442"/>
      <c r="H442"/>
      <c r="I442"/>
      <c r="J442"/>
      <c r="K442"/>
      <c r="L442"/>
      <c r="M442"/>
    </row>
    <row r="443" spans="1:13" x14ac:dyDescent="0.35">
      <c r="A443"/>
      <c r="B443"/>
      <c r="C443"/>
      <c r="E443"/>
      <c r="F443"/>
      <c r="G443"/>
      <c r="H443"/>
      <c r="I443"/>
      <c r="J443"/>
      <c r="K443"/>
      <c r="L443"/>
      <c r="M443"/>
    </row>
    <row r="444" spans="1:13" x14ac:dyDescent="0.35">
      <c r="A444"/>
      <c r="B444"/>
      <c r="C444"/>
      <c r="E444"/>
      <c r="F444"/>
      <c r="G444"/>
      <c r="H444"/>
      <c r="I444"/>
      <c r="J444"/>
      <c r="K444"/>
      <c r="L444"/>
      <c r="M444"/>
    </row>
    <row r="445" spans="1:13" x14ac:dyDescent="0.35">
      <c r="A445"/>
      <c r="B445"/>
      <c r="C445"/>
      <c r="E445"/>
      <c r="F445"/>
      <c r="G445"/>
      <c r="H445"/>
      <c r="I445"/>
      <c r="J445"/>
      <c r="K445"/>
      <c r="L445"/>
      <c r="M445"/>
    </row>
    <row r="446" spans="1:13" x14ac:dyDescent="0.35">
      <c r="A446"/>
      <c r="B446"/>
      <c r="C446"/>
      <c r="E446"/>
      <c r="F446"/>
      <c r="G446"/>
      <c r="H446"/>
      <c r="I446"/>
      <c r="J446"/>
      <c r="K446"/>
      <c r="L446"/>
      <c r="M446"/>
    </row>
    <row r="447" spans="1:13" x14ac:dyDescent="0.35">
      <c r="A447"/>
      <c r="B447"/>
      <c r="C447"/>
      <c r="E447"/>
      <c r="F447"/>
      <c r="G447"/>
      <c r="H447"/>
      <c r="I447"/>
      <c r="J447"/>
      <c r="K447"/>
      <c r="L447"/>
      <c r="M447"/>
    </row>
    <row r="448" spans="1:13" x14ac:dyDescent="0.35">
      <c r="A448"/>
      <c r="B448"/>
      <c r="C448"/>
      <c r="E448"/>
      <c r="F448"/>
      <c r="G448"/>
      <c r="H448"/>
      <c r="I448"/>
      <c r="J448"/>
      <c r="K448"/>
      <c r="L448"/>
      <c r="M448"/>
    </row>
    <row r="449" spans="1:13" x14ac:dyDescent="0.35">
      <c r="A449"/>
      <c r="B449"/>
      <c r="C449"/>
      <c r="E449"/>
      <c r="F449"/>
      <c r="G449"/>
      <c r="H449"/>
      <c r="I449"/>
      <c r="J449"/>
      <c r="K449"/>
      <c r="L449"/>
      <c r="M449"/>
    </row>
    <row r="450" spans="1:13" x14ac:dyDescent="0.35">
      <c r="A450"/>
      <c r="B450"/>
      <c r="C450"/>
      <c r="E450"/>
      <c r="F450"/>
      <c r="G450"/>
      <c r="H450"/>
      <c r="I450"/>
      <c r="J450"/>
      <c r="K450"/>
      <c r="L450"/>
      <c r="M450"/>
    </row>
    <row r="451" spans="1:13" x14ac:dyDescent="0.35">
      <c r="A451"/>
      <c r="B451"/>
      <c r="C451"/>
      <c r="E451"/>
      <c r="F451"/>
      <c r="G451"/>
      <c r="H451"/>
      <c r="I451"/>
      <c r="J451"/>
      <c r="K451"/>
      <c r="L451"/>
      <c r="M451"/>
    </row>
    <row r="452" spans="1:13" x14ac:dyDescent="0.35">
      <c r="A452"/>
      <c r="B452"/>
      <c r="C452"/>
      <c r="E452"/>
      <c r="F452"/>
      <c r="G452"/>
      <c r="H452"/>
      <c r="I452"/>
      <c r="J452"/>
      <c r="K452"/>
      <c r="L452"/>
      <c r="M452"/>
    </row>
    <row r="453" spans="1:13" x14ac:dyDescent="0.35">
      <c r="A453"/>
      <c r="B453"/>
      <c r="C453"/>
      <c r="E453"/>
      <c r="F453"/>
      <c r="G453"/>
      <c r="H453"/>
      <c r="I453"/>
      <c r="J453"/>
      <c r="K453"/>
      <c r="L453"/>
      <c r="M453"/>
    </row>
    <row r="454" spans="1:13" x14ac:dyDescent="0.35">
      <c r="A454"/>
      <c r="B454"/>
      <c r="C454"/>
      <c r="E454"/>
      <c r="F454"/>
      <c r="G454"/>
      <c r="H454"/>
      <c r="I454"/>
      <c r="J454"/>
      <c r="K454"/>
      <c r="L454"/>
      <c r="M454"/>
    </row>
    <row r="455" spans="1:13" x14ac:dyDescent="0.35">
      <c r="A455"/>
      <c r="B455"/>
      <c r="C455"/>
      <c r="E455"/>
      <c r="F455"/>
      <c r="G455"/>
      <c r="H455"/>
      <c r="I455"/>
      <c r="J455"/>
      <c r="K455"/>
      <c r="L455"/>
      <c r="M455"/>
    </row>
    <row r="456" spans="1:13" x14ac:dyDescent="0.35">
      <c r="A456"/>
      <c r="B456"/>
      <c r="C456"/>
      <c r="E456"/>
      <c r="F456"/>
      <c r="G456"/>
      <c r="H456"/>
      <c r="I456"/>
      <c r="J456"/>
      <c r="K456"/>
      <c r="L456"/>
      <c r="M456"/>
    </row>
    <row r="457" spans="1:13" x14ac:dyDescent="0.35">
      <c r="A457"/>
      <c r="B457"/>
      <c r="C457"/>
      <c r="E457"/>
      <c r="F457"/>
      <c r="G457"/>
      <c r="H457"/>
      <c r="I457"/>
      <c r="J457"/>
      <c r="K457"/>
      <c r="L457"/>
      <c r="M457"/>
    </row>
    <row r="458" spans="1:13" x14ac:dyDescent="0.35">
      <c r="A458"/>
      <c r="B458"/>
      <c r="C458"/>
      <c r="E458"/>
      <c r="F458"/>
      <c r="G458"/>
      <c r="H458"/>
      <c r="I458"/>
      <c r="J458"/>
      <c r="K458"/>
      <c r="L458"/>
      <c r="M458"/>
    </row>
    <row r="459" spans="1:13" x14ac:dyDescent="0.35">
      <c r="A459"/>
      <c r="B459"/>
      <c r="C459"/>
      <c r="E459"/>
      <c r="F459"/>
      <c r="G459"/>
      <c r="H459"/>
      <c r="I459"/>
      <c r="J459"/>
      <c r="K459"/>
      <c r="L459"/>
      <c r="M459"/>
    </row>
    <row r="460" spans="1:13" x14ac:dyDescent="0.35">
      <c r="A460"/>
      <c r="B460"/>
      <c r="C460"/>
      <c r="E460"/>
      <c r="F460"/>
      <c r="G460"/>
      <c r="H460"/>
      <c r="I460"/>
      <c r="J460"/>
      <c r="K460"/>
      <c r="L460"/>
      <c r="M460"/>
    </row>
    <row r="461" spans="1:13" x14ac:dyDescent="0.35">
      <c r="A461"/>
      <c r="B461"/>
      <c r="C461"/>
      <c r="E461"/>
      <c r="F461"/>
      <c r="G461"/>
      <c r="H461"/>
      <c r="I461"/>
      <c r="J461"/>
      <c r="K461"/>
      <c r="L461"/>
      <c r="M461"/>
    </row>
    <row r="462" spans="1:13" x14ac:dyDescent="0.35">
      <c r="A462"/>
      <c r="B462"/>
      <c r="C462"/>
      <c r="E462"/>
      <c r="F462"/>
      <c r="G462"/>
      <c r="H462"/>
      <c r="I462"/>
      <c r="J462"/>
      <c r="K462"/>
      <c r="L462"/>
      <c r="M462"/>
    </row>
    <row r="463" spans="1:13" x14ac:dyDescent="0.35">
      <c r="A463"/>
      <c r="B463"/>
      <c r="C463"/>
      <c r="E463"/>
      <c r="F463"/>
      <c r="G463"/>
      <c r="H463"/>
      <c r="I463"/>
      <c r="J463"/>
      <c r="K463"/>
      <c r="L463"/>
      <c r="M463"/>
    </row>
    <row r="464" spans="1:13" x14ac:dyDescent="0.35">
      <c r="A464"/>
      <c r="B464"/>
      <c r="C464"/>
      <c r="E464"/>
      <c r="F464"/>
      <c r="G464"/>
      <c r="H464"/>
      <c r="I464"/>
      <c r="J464"/>
      <c r="K464"/>
      <c r="L464"/>
      <c r="M464"/>
    </row>
    <row r="465" spans="1:13" x14ac:dyDescent="0.35">
      <c r="A465"/>
      <c r="B465"/>
      <c r="C465"/>
      <c r="E465"/>
      <c r="F465"/>
      <c r="G465"/>
      <c r="H465"/>
      <c r="I465"/>
      <c r="J465"/>
      <c r="K465"/>
      <c r="L465"/>
      <c r="M465"/>
    </row>
    <row r="466" spans="1:13" x14ac:dyDescent="0.35">
      <c r="A466"/>
      <c r="B466"/>
      <c r="C466"/>
      <c r="E466"/>
      <c r="F466"/>
      <c r="G466"/>
      <c r="H466"/>
      <c r="I466"/>
      <c r="J466"/>
      <c r="K466"/>
      <c r="L466"/>
      <c r="M466"/>
    </row>
    <row r="467" spans="1:13" x14ac:dyDescent="0.35">
      <c r="A467"/>
      <c r="B467"/>
      <c r="C467"/>
      <c r="E467"/>
      <c r="F467"/>
      <c r="G467"/>
      <c r="H467"/>
      <c r="I467"/>
      <c r="J467"/>
      <c r="K467"/>
      <c r="L467"/>
      <c r="M467"/>
    </row>
    <row r="468" spans="1:13" x14ac:dyDescent="0.35">
      <c r="A468"/>
      <c r="B468"/>
      <c r="C468"/>
      <c r="E468"/>
      <c r="F468"/>
      <c r="G468"/>
      <c r="H468"/>
      <c r="I468"/>
      <c r="J468"/>
      <c r="K468"/>
      <c r="L468"/>
      <c r="M468"/>
    </row>
    <row r="469" spans="1:13" x14ac:dyDescent="0.35">
      <c r="A469"/>
      <c r="B469"/>
      <c r="C469"/>
      <c r="E469"/>
      <c r="F469"/>
      <c r="G469"/>
      <c r="H469"/>
      <c r="I469"/>
      <c r="J469"/>
      <c r="K469"/>
      <c r="L469"/>
      <c r="M469"/>
    </row>
    <row r="470" spans="1:13" x14ac:dyDescent="0.35">
      <c r="A470"/>
      <c r="B470"/>
      <c r="C470"/>
      <c r="E470"/>
      <c r="F470"/>
      <c r="G470"/>
      <c r="H470"/>
      <c r="I470"/>
      <c r="J470"/>
      <c r="K470"/>
      <c r="L470"/>
      <c r="M470"/>
    </row>
    <row r="471" spans="1:13" x14ac:dyDescent="0.35">
      <c r="A471"/>
      <c r="B471"/>
      <c r="C471"/>
      <c r="E471"/>
      <c r="F471"/>
      <c r="G471"/>
      <c r="H471"/>
      <c r="I471"/>
      <c r="J471"/>
      <c r="K471"/>
      <c r="L471"/>
      <c r="M471"/>
    </row>
    <row r="472" spans="1:13" x14ac:dyDescent="0.35">
      <c r="A472"/>
      <c r="B472"/>
      <c r="C472"/>
      <c r="E472"/>
      <c r="F472"/>
      <c r="G472"/>
      <c r="H472"/>
      <c r="I472"/>
      <c r="J472"/>
      <c r="K472"/>
      <c r="L472"/>
      <c r="M472"/>
    </row>
    <row r="473" spans="1:13" x14ac:dyDescent="0.35">
      <c r="A473"/>
      <c r="B473"/>
      <c r="C473"/>
      <c r="E473"/>
      <c r="F473"/>
      <c r="G473"/>
      <c r="H473"/>
      <c r="I473"/>
      <c r="J473"/>
      <c r="K473"/>
      <c r="L473"/>
      <c r="M473"/>
    </row>
    <row r="474" spans="1:13" x14ac:dyDescent="0.35">
      <c r="A474"/>
      <c r="B474"/>
      <c r="C474"/>
      <c r="E474"/>
      <c r="F474"/>
      <c r="G474"/>
      <c r="H474"/>
      <c r="I474"/>
      <c r="J474"/>
      <c r="K474"/>
      <c r="L474"/>
      <c r="M474"/>
    </row>
    <row r="475" spans="1:13" x14ac:dyDescent="0.35">
      <c r="A475"/>
      <c r="B475"/>
      <c r="C475"/>
      <c r="E475"/>
      <c r="F475"/>
      <c r="G475"/>
      <c r="H475"/>
      <c r="I475"/>
      <c r="J475"/>
      <c r="K475"/>
      <c r="L475"/>
      <c r="M475"/>
    </row>
    <row r="476" spans="1:13" x14ac:dyDescent="0.35">
      <c r="A476"/>
      <c r="B476"/>
      <c r="C476"/>
      <c r="E476"/>
      <c r="F476"/>
      <c r="G476"/>
      <c r="H476"/>
      <c r="I476"/>
      <c r="J476"/>
      <c r="K476"/>
      <c r="L476"/>
      <c r="M476"/>
    </row>
    <row r="477" spans="1:13" x14ac:dyDescent="0.35">
      <c r="A477"/>
      <c r="B477"/>
      <c r="C477"/>
      <c r="E477"/>
      <c r="F477"/>
      <c r="G477"/>
      <c r="H477"/>
      <c r="I477"/>
      <c r="J477"/>
      <c r="K477"/>
      <c r="L477"/>
      <c r="M477"/>
    </row>
    <row r="478" spans="1:13" x14ac:dyDescent="0.35">
      <c r="A478"/>
      <c r="B478"/>
      <c r="C478"/>
      <c r="E478"/>
      <c r="F478"/>
      <c r="G478"/>
      <c r="H478"/>
      <c r="I478"/>
      <c r="J478"/>
      <c r="K478"/>
      <c r="L478"/>
      <c r="M478"/>
    </row>
    <row r="479" spans="1:13" x14ac:dyDescent="0.35">
      <c r="A479"/>
      <c r="B479"/>
      <c r="C479"/>
      <c r="E479"/>
      <c r="F479"/>
      <c r="G479"/>
      <c r="H479"/>
      <c r="I479"/>
      <c r="J479"/>
      <c r="K479"/>
      <c r="L479"/>
      <c r="M479"/>
    </row>
    <row r="480" spans="1:13" x14ac:dyDescent="0.35">
      <c r="A480"/>
      <c r="B480"/>
      <c r="C480"/>
      <c r="E480"/>
      <c r="F480"/>
      <c r="G480"/>
      <c r="H480"/>
      <c r="I480"/>
      <c r="J480"/>
      <c r="K480"/>
      <c r="L480"/>
      <c r="M480"/>
    </row>
    <row r="481" spans="1:13" x14ac:dyDescent="0.35">
      <c r="A481"/>
      <c r="B481"/>
      <c r="C481"/>
      <c r="E481"/>
      <c r="F481"/>
      <c r="G481"/>
      <c r="H481"/>
      <c r="I481"/>
      <c r="J481"/>
      <c r="K481"/>
      <c r="L481"/>
      <c r="M481"/>
    </row>
    <row r="482" spans="1:13" x14ac:dyDescent="0.35">
      <c r="A482"/>
      <c r="B482"/>
      <c r="C482"/>
      <c r="E482"/>
      <c r="F482"/>
      <c r="G482"/>
      <c r="H482"/>
      <c r="I482"/>
      <c r="J482"/>
      <c r="K482"/>
      <c r="L482"/>
      <c r="M482"/>
    </row>
    <row r="483" spans="1:13" x14ac:dyDescent="0.35">
      <c r="A483"/>
      <c r="B483"/>
      <c r="C483"/>
      <c r="E483"/>
      <c r="F483"/>
      <c r="G483"/>
      <c r="H483"/>
      <c r="I483"/>
      <c r="J483"/>
      <c r="K483"/>
      <c r="L483"/>
      <c r="M483"/>
    </row>
    <row r="484" spans="1:13" x14ac:dyDescent="0.35">
      <c r="A484"/>
      <c r="B484"/>
      <c r="C484"/>
      <c r="E484"/>
      <c r="F484"/>
      <c r="G484"/>
      <c r="H484"/>
      <c r="I484"/>
      <c r="J484"/>
      <c r="K484"/>
      <c r="L484"/>
      <c r="M484"/>
    </row>
    <row r="485" spans="1:13" x14ac:dyDescent="0.35">
      <c r="A485"/>
      <c r="B485"/>
      <c r="C485"/>
      <c r="E485"/>
      <c r="F485"/>
      <c r="G485"/>
      <c r="H485"/>
      <c r="I485"/>
      <c r="J485"/>
      <c r="K485"/>
      <c r="L485"/>
      <c r="M485"/>
    </row>
    <row r="486" spans="1:13" x14ac:dyDescent="0.35">
      <c r="A486"/>
      <c r="B486"/>
      <c r="C486"/>
      <c r="E486"/>
      <c r="F486"/>
      <c r="G486"/>
      <c r="H486"/>
      <c r="I486"/>
      <c r="J486"/>
      <c r="K486"/>
      <c r="L486"/>
      <c r="M486"/>
    </row>
    <row r="487" spans="1:13" x14ac:dyDescent="0.35">
      <c r="A487"/>
      <c r="B487"/>
      <c r="C487"/>
      <c r="E487"/>
      <c r="F487"/>
      <c r="G487"/>
      <c r="H487"/>
      <c r="I487"/>
      <c r="J487"/>
      <c r="K487"/>
      <c r="L487"/>
      <c r="M487"/>
    </row>
    <row r="488" spans="1:13" x14ac:dyDescent="0.35">
      <c r="A488"/>
      <c r="B488"/>
      <c r="C488"/>
      <c r="E488"/>
      <c r="F488"/>
      <c r="G488"/>
      <c r="H488"/>
      <c r="I488"/>
      <c r="J488"/>
      <c r="K488"/>
      <c r="L488"/>
      <c r="M488"/>
    </row>
    <row r="489" spans="1:13" x14ac:dyDescent="0.35">
      <c r="A489"/>
      <c r="B489"/>
      <c r="C489"/>
      <c r="E489"/>
      <c r="F489"/>
      <c r="G489"/>
      <c r="H489"/>
      <c r="I489"/>
      <c r="J489"/>
      <c r="K489"/>
      <c r="L489"/>
      <c r="M489"/>
    </row>
    <row r="490" spans="1:13" x14ac:dyDescent="0.35">
      <c r="A490"/>
      <c r="B490"/>
      <c r="C490"/>
      <c r="E490"/>
      <c r="F490"/>
      <c r="G490"/>
      <c r="H490"/>
      <c r="I490"/>
      <c r="J490"/>
      <c r="K490"/>
      <c r="L490"/>
      <c r="M490"/>
    </row>
    <row r="491" spans="1:13" x14ac:dyDescent="0.35">
      <c r="A491"/>
      <c r="B491"/>
      <c r="C491"/>
      <c r="E491"/>
      <c r="F491"/>
      <c r="G491"/>
      <c r="H491"/>
      <c r="I491"/>
      <c r="J491"/>
      <c r="K491"/>
      <c r="L491"/>
      <c r="M491"/>
    </row>
    <row r="492" spans="1:13" x14ac:dyDescent="0.35">
      <c r="A492"/>
      <c r="B492"/>
      <c r="C492"/>
      <c r="E492"/>
      <c r="F492"/>
      <c r="G492"/>
      <c r="H492"/>
      <c r="I492"/>
      <c r="J492"/>
      <c r="K492"/>
      <c r="L492"/>
      <c r="M492"/>
    </row>
    <row r="493" spans="1:13" x14ac:dyDescent="0.35">
      <c r="A493"/>
      <c r="B493"/>
      <c r="C493"/>
      <c r="E493"/>
      <c r="F493"/>
      <c r="G493"/>
      <c r="H493"/>
      <c r="I493"/>
      <c r="J493"/>
      <c r="K493"/>
      <c r="L493"/>
      <c r="M493"/>
    </row>
    <row r="494" spans="1:13" x14ac:dyDescent="0.35">
      <c r="A494"/>
      <c r="B494"/>
      <c r="C494"/>
      <c r="E494"/>
      <c r="F494"/>
      <c r="G494"/>
      <c r="H494"/>
      <c r="I494"/>
      <c r="J494"/>
      <c r="K494"/>
      <c r="L494"/>
      <c r="M494"/>
    </row>
    <row r="495" spans="1:13" x14ac:dyDescent="0.35">
      <c r="A495"/>
      <c r="B495"/>
      <c r="C495"/>
      <c r="E495"/>
      <c r="F495"/>
      <c r="G495"/>
      <c r="H495"/>
      <c r="I495"/>
      <c r="J495"/>
      <c r="K495"/>
      <c r="L495"/>
      <c r="M495"/>
    </row>
    <row r="496" spans="1:13" x14ac:dyDescent="0.35">
      <c r="A496"/>
      <c r="B496"/>
      <c r="C496"/>
      <c r="E496"/>
      <c r="F496"/>
      <c r="G496"/>
      <c r="H496"/>
      <c r="I496"/>
      <c r="J496"/>
      <c r="K496"/>
      <c r="L496"/>
      <c r="M496"/>
    </row>
    <row r="497" spans="1:13" x14ac:dyDescent="0.35">
      <c r="A497"/>
      <c r="B497"/>
      <c r="C497"/>
      <c r="E497"/>
      <c r="F497"/>
      <c r="G497"/>
      <c r="H497"/>
      <c r="I497"/>
      <c r="J497"/>
      <c r="K497"/>
      <c r="L497"/>
      <c r="M497"/>
    </row>
    <row r="498" spans="1:13" x14ac:dyDescent="0.35">
      <c r="A498"/>
      <c r="B498"/>
      <c r="C498"/>
      <c r="E498"/>
      <c r="F498"/>
      <c r="G498"/>
      <c r="H498"/>
      <c r="I498"/>
      <c r="J498"/>
      <c r="K498"/>
      <c r="L498"/>
      <c r="M498"/>
    </row>
    <row r="499" spans="1:13" x14ac:dyDescent="0.35">
      <c r="A499"/>
      <c r="B499"/>
      <c r="C499"/>
      <c r="E499"/>
      <c r="F499"/>
      <c r="G499"/>
      <c r="H499"/>
      <c r="I499"/>
      <c r="J499"/>
      <c r="K499"/>
      <c r="L499"/>
      <c r="M499"/>
    </row>
    <row r="500" spans="1:13" x14ac:dyDescent="0.35">
      <c r="A500"/>
      <c r="B500"/>
      <c r="C500"/>
      <c r="E500"/>
      <c r="F500"/>
      <c r="G500"/>
      <c r="H500"/>
      <c r="I500"/>
      <c r="J500"/>
      <c r="K500"/>
      <c r="L500"/>
      <c r="M500"/>
    </row>
    <row r="501" spans="1:13" x14ac:dyDescent="0.35">
      <c r="A501"/>
      <c r="B501"/>
      <c r="C501"/>
      <c r="E501"/>
      <c r="F501"/>
      <c r="G501"/>
      <c r="H501"/>
      <c r="I501"/>
      <c r="J501"/>
      <c r="K501"/>
      <c r="L501"/>
      <c r="M501"/>
    </row>
    <row r="502" spans="1:13" x14ac:dyDescent="0.35">
      <c r="A502"/>
      <c r="B502"/>
      <c r="C502"/>
      <c r="E502"/>
      <c r="F502"/>
      <c r="G502"/>
      <c r="H502"/>
      <c r="I502"/>
      <c r="J502"/>
      <c r="K502"/>
      <c r="L502"/>
      <c r="M502"/>
    </row>
    <row r="503" spans="1:13" x14ac:dyDescent="0.35">
      <c r="A503"/>
      <c r="B503"/>
      <c r="C503"/>
      <c r="E503"/>
      <c r="F503"/>
      <c r="G503"/>
      <c r="H503"/>
      <c r="I503"/>
      <c r="J503"/>
      <c r="K503"/>
      <c r="L503"/>
      <c r="M503"/>
    </row>
    <row r="504" spans="1:13" x14ac:dyDescent="0.35">
      <c r="A504"/>
      <c r="B504"/>
      <c r="C504"/>
      <c r="E504"/>
      <c r="F504"/>
      <c r="G504"/>
      <c r="H504"/>
      <c r="I504"/>
      <c r="J504"/>
      <c r="K504"/>
      <c r="L504"/>
      <c r="M504"/>
    </row>
    <row r="505" spans="1:13" x14ac:dyDescent="0.35">
      <c r="A505"/>
      <c r="B505"/>
      <c r="C505"/>
      <c r="E505"/>
      <c r="F505"/>
      <c r="G505"/>
      <c r="H505"/>
      <c r="I505"/>
      <c r="J505"/>
      <c r="K505"/>
      <c r="L505"/>
      <c r="M505"/>
    </row>
    <row r="506" spans="1:13" x14ac:dyDescent="0.35">
      <c r="A506"/>
      <c r="B506"/>
      <c r="C506"/>
      <c r="E506"/>
      <c r="F506"/>
      <c r="G506"/>
      <c r="H506"/>
      <c r="I506"/>
      <c r="J506"/>
      <c r="K506"/>
      <c r="L506"/>
      <c r="M506"/>
    </row>
    <row r="507" spans="1:13" x14ac:dyDescent="0.35">
      <c r="A507"/>
      <c r="B507"/>
      <c r="C507"/>
      <c r="E507"/>
      <c r="F507"/>
      <c r="G507"/>
      <c r="H507"/>
      <c r="I507"/>
      <c r="J507"/>
      <c r="K507"/>
      <c r="L507"/>
      <c r="M507"/>
    </row>
    <row r="508" spans="1:13" x14ac:dyDescent="0.35">
      <c r="A508"/>
      <c r="B508"/>
      <c r="C508"/>
      <c r="E508"/>
      <c r="F508"/>
      <c r="G508"/>
      <c r="H508"/>
      <c r="I508"/>
      <c r="J508"/>
      <c r="K508"/>
      <c r="L508"/>
      <c r="M508"/>
    </row>
    <row r="509" spans="1:13" x14ac:dyDescent="0.35">
      <c r="A509"/>
      <c r="B509"/>
      <c r="C509"/>
      <c r="E509"/>
      <c r="F509"/>
      <c r="G509"/>
      <c r="H509"/>
      <c r="I509"/>
      <c r="J509"/>
      <c r="K509"/>
      <c r="L509"/>
      <c r="M509"/>
    </row>
    <row r="510" spans="1:13" x14ac:dyDescent="0.35">
      <c r="A510"/>
      <c r="B510"/>
      <c r="C510"/>
      <c r="E510"/>
      <c r="F510"/>
      <c r="G510"/>
      <c r="H510"/>
      <c r="I510"/>
      <c r="J510"/>
      <c r="K510"/>
      <c r="L510"/>
      <c r="M510"/>
    </row>
    <row r="511" spans="1:13" x14ac:dyDescent="0.35">
      <c r="A511"/>
      <c r="B511"/>
      <c r="C511"/>
      <c r="E511"/>
      <c r="F511"/>
      <c r="G511"/>
      <c r="H511"/>
      <c r="I511"/>
      <c r="J511"/>
      <c r="K511"/>
      <c r="L511"/>
      <c r="M511"/>
    </row>
    <row r="512" spans="1:13" x14ac:dyDescent="0.35">
      <c r="A512"/>
      <c r="B512"/>
      <c r="C512"/>
      <c r="E512"/>
      <c r="F512"/>
      <c r="G512"/>
      <c r="H512"/>
      <c r="I512"/>
      <c r="J512"/>
      <c r="K512"/>
      <c r="L512"/>
      <c r="M512"/>
    </row>
    <row r="513" spans="1:13" x14ac:dyDescent="0.35">
      <c r="A513"/>
      <c r="B513"/>
      <c r="C513"/>
      <c r="E513"/>
      <c r="F513"/>
      <c r="G513"/>
      <c r="H513"/>
      <c r="I513"/>
      <c r="J513"/>
      <c r="K513"/>
      <c r="L513"/>
      <c r="M513"/>
    </row>
    <row r="514" spans="1:13" x14ac:dyDescent="0.35">
      <c r="A514"/>
      <c r="B514"/>
      <c r="C514"/>
      <c r="E514"/>
      <c r="F514"/>
      <c r="G514"/>
      <c r="H514"/>
      <c r="I514"/>
      <c r="J514"/>
      <c r="K514"/>
      <c r="L514"/>
      <c r="M514"/>
    </row>
    <row r="515" spans="1:13" x14ac:dyDescent="0.35">
      <c r="A515"/>
      <c r="B515"/>
      <c r="C515"/>
      <c r="E515"/>
      <c r="F515"/>
      <c r="G515"/>
      <c r="H515"/>
      <c r="I515"/>
      <c r="J515"/>
      <c r="K515"/>
      <c r="L515"/>
      <c r="M515"/>
    </row>
    <row r="516" spans="1:13" x14ac:dyDescent="0.35">
      <c r="A516"/>
      <c r="B516"/>
      <c r="C516"/>
      <c r="E516"/>
      <c r="F516"/>
      <c r="G516"/>
      <c r="H516"/>
      <c r="I516"/>
      <c r="J516"/>
      <c r="K516"/>
      <c r="L516"/>
      <c r="M516"/>
    </row>
    <row r="517" spans="1:13" x14ac:dyDescent="0.35">
      <c r="A517"/>
      <c r="B517"/>
      <c r="C517"/>
      <c r="E517"/>
      <c r="F517"/>
      <c r="G517"/>
      <c r="H517"/>
      <c r="I517"/>
      <c r="J517"/>
      <c r="K517"/>
      <c r="L517"/>
      <c r="M517"/>
    </row>
    <row r="518" spans="1:13" x14ac:dyDescent="0.35">
      <c r="A518"/>
      <c r="B518"/>
      <c r="C518"/>
      <c r="E518"/>
      <c r="F518"/>
      <c r="G518"/>
      <c r="H518"/>
      <c r="I518"/>
      <c r="J518"/>
      <c r="K518"/>
      <c r="L518"/>
      <c r="M518"/>
    </row>
    <row r="519" spans="1:13" x14ac:dyDescent="0.35">
      <c r="A519"/>
      <c r="B519"/>
      <c r="C519"/>
      <c r="E519"/>
      <c r="F519"/>
      <c r="G519"/>
      <c r="H519"/>
      <c r="I519"/>
      <c r="J519"/>
      <c r="K519"/>
      <c r="L519"/>
      <c r="M519"/>
    </row>
    <row r="520" spans="1:13" x14ac:dyDescent="0.35">
      <c r="A520"/>
      <c r="B520"/>
      <c r="C520"/>
      <c r="E520"/>
      <c r="F520"/>
      <c r="G520"/>
      <c r="H520"/>
      <c r="I520"/>
      <c r="J520"/>
      <c r="K520"/>
      <c r="L520"/>
      <c r="M520"/>
    </row>
    <row r="521" spans="1:13" x14ac:dyDescent="0.35">
      <c r="A521"/>
      <c r="B521"/>
      <c r="C521"/>
      <c r="E521"/>
      <c r="F521"/>
      <c r="G521"/>
      <c r="H521"/>
      <c r="I521"/>
      <c r="J521"/>
      <c r="K521"/>
      <c r="L521"/>
      <c r="M521"/>
    </row>
    <row r="522" spans="1:13" x14ac:dyDescent="0.35">
      <c r="A522"/>
      <c r="B522"/>
      <c r="C522"/>
      <c r="E522"/>
      <c r="F522"/>
      <c r="G522"/>
      <c r="H522"/>
      <c r="I522"/>
      <c r="J522"/>
      <c r="K522"/>
      <c r="L522"/>
      <c r="M522"/>
    </row>
    <row r="523" spans="1:13" x14ac:dyDescent="0.35">
      <c r="A523"/>
      <c r="B523"/>
      <c r="C523"/>
      <c r="E523"/>
      <c r="F523"/>
      <c r="G523"/>
      <c r="H523"/>
      <c r="I523"/>
      <c r="J523"/>
      <c r="K523"/>
      <c r="L523"/>
      <c r="M523"/>
    </row>
    <row r="524" spans="1:13" x14ac:dyDescent="0.35">
      <c r="A524"/>
      <c r="B524"/>
      <c r="C524"/>
      <c r="E524"/>
      <c r="F524"/>
      <c r="G524"/>
      <c r="H524"/>
      <c r="I524"/>
      <c r="J524"/>
      <c r="K524"/>
      <c r="L524"/>
      <c r="M524"/>
    </row>
    <row r="525" spans="1:13" x14ac:dyDescent="0.35">
      <c r="A525"/>
      <c r="B525"/>
      <c r="C525"/>
      <c r="E525"/>
      <c r="F525"/>
      <c r="G525"/>
      <c r="H525"/>
      <c r="I525"/>
      <c r="J525"/>
      <c r="K525"/>
      <c r="L525"/>
      <c r="M525"/>
    </row>
    <row r="526" spans="1:13" x14ac:dyDescent="0.35">
      <c r="A526"/>
      <c r="B526"/>
      <c r="C526"/>
      <c r="E526"/>
      <c r="F526"/>
      <c r="G526"/>
      <c r="H526"/>
      <c r="I526"/>
      <c r="J526"/>
      <c r="K526"/>
      <c r="L526"/>
      <c r="M526"/>
    </row>
    <row r="527" spans="1:13" x14ac:dyDescent="0.35">
      <c r="A527"/>
      <c r="B527"/>
      <c r="C527"/>
      <c r="E527"/>
      <c r="F527"/>
      <c r="G527"/>
      <c r="H527"/>
      <c r="I527"/>
      <c r="J527"/>
      <c r="K527"/>
      <c r="L527"/>
      <c r="M527"/>
    </row>
    <row r="528" spans="1:13" x14ac:dyDescent="0.35">
      <c r="A528"/>
      <c r="B528"/>
      <c r="C528"/>
      <c r="E528"/>
      <c r="F528"/>
      <c r="G528"/>
      <c r="H528"/>
      <c r="I528"/>
      <c r="J528"/>
      <c r="K528"/>
      <c r="L528"/>
      <c r="M528"/>
    </row>
    <row r="529" spans="1:13" x14ac:dyDescent="0.35">
      <c r="A529"/>
      <c r="B529"/>
      <c r="C529"/>
      <c r="E529"/>
      <c r="F529"/>
      <c r="G529"/>
      <c r="H529"/>
      <c r="I529"/>
      <c r="J529"/>
      <c r="K529"/>
      <c r="L529"/>
      <c r="M529"/>
    </row>
    <row r="530" spans="1:13" x14ac:dyDescent="0.35">
      <c r="A530"/>
      <c r="B530"/>
      <c r="C530"/>
      <c r="E530"/>
      <c r="F530"/>
      <c r="G530"/>
      <c r="H530"/>
      <c r="I530"/>
      <c r="J530"/>
      <c r="K530"/>
      <c r="L530"/>
      <c r="M530"/>
    </row>
    <row r="531" spans="1:13" x14ac:dyDescent="0.35">
      <c r="A531"/>
      <c r="B531"/>
      <c r="C531"/>
      <c r="E531"/>
      <c r="F531"/>
      <c r="G531"/>
      <c r="H531"/>
      <c r="I531"/>
      <c r="J531"/>
      <c r="K531"/>
      <c r="L531"/>
      <c r="M531"/>
    </row>
    <row r="532" spans="1:13" x14ac:dyDescent="0.35">
      <c r="A532"/>
      <c r="B532"/>
      <c r="C532"/>
      <c r="E532"/>
      <c r="F532"/>
      <c r="G532"/>
      <c r="H532"/>
      <c r="I532"/>
      <c r="J532"/>
      <c r="K532"/>
      <c r="L532"/>
      <c r="M532"/>
    </row>
    <row r="533" spans="1:13" x14ac:dyDescent="0.35">
      <c r="A533"/>
      <c r="B533"/>
      <c r="C533"/>
      <c r="E533"/>
      <c r="F533"/>
      <c r="G533"/>
      <c r="H533"/>
      <c r="I533"/>
      <c r="J533"/>
      <c r="K533"/>
      <c r="L533"/>
      <c r="M533"/>
    </row>
    <row r="534" spans="1:13" x14ac:dyDescent="0.35">
      <c r="A534"/>
      <c r="B534"/>
      <c r="C534"/>
      <c r="E534"/>
      <c r="F534"/>
      <c r="G534"/>
      <c r="H534"/>
      <c r="I534"/>
      <c r="J534"/>
      <c r="K534"/>
      <c r="L534"/>
      <c r="M534"/>
    </row>
    <row r="535" spans="1:13" x14ac:dyDescent="0.35">
      <c r="A535"/>
      <c r="B535"/>
      <c r="C535"/>
      <c r="E535"/>
      <c r="F535"/>
      <c r="G535"/>
      <c r="H535"/>
      <c r="I535"/>
      <c r="J535"/>
      <c r="K535"/>
      <c r="L535"/>
      <c r="M535"/>
    </row>
    <row r="536" spans="1:13" x14ac:dyDescent="0.35">
      <c r="A536"/>
      <c r="B536"/>
      <c r="C536"/>
      <c r="E536"/>
      <c r="F536"/>
      <c r="G536"/>
      <c r="H536"/>
      <c r="I536"/>
      <c r="J536"/>
      <c r="K536"/>
      <c r="L536"/>
      <c r="M536"/>
    </row>
    <row r="537" spans="1:13" x14ac:dyDescent="0.35">
      <c r="A537"/>
      <c r="B537"/>
      <c r="C537"/>
      <c r="E537"/>
      <c r="F537"/>
      <c r="G537"/>
      <c r="H537"/>
      <c r="I537"/>
      <c r="J537"/>
      <c r="K537"/>
      <c r="L537"/>
      <c r="M537"/>
    </row>
    <row r="538" spans="1:13" x14ac:dyDescent="0.35">
      <c r="A538"/>
      <c r="B538"/>
      <c r="C538"/>
      <c r="E538"/>
      <c r="F538"/>
      <c r="G538"/>
      <c r="H538"/>
      <c r="I538"/>
      <c r="J538"/>
      <c r="K538"/>
      <c r="L538"/>
      <c r="M538"/>
    </row>
    <row r="539" spans="1:13" x14ac:dyDescent="0.35">
      <c r="A539"/>
      <c r="B539"/>
      <c r="C539"/>
      <c r="E539"/>
      <c r="F539"/>
      <c r="G539"/>
      <c r="H539"/>
      <c r="I539"/>
      <c r="J539"/>
      <c r="K539"/>
      <c r="L539"/>
      <c r="M539"/>
    </row>
    <row r="540" spans="1:13" x14ac:dyDescent="0.35">
      <c r="A540"/>
      <c r="B540"/>
      <c r="C540"/>
      <c r="E540"/>
      <c r="F540"/>
      <c r="G540"/>
      <c r="H540"/>
      <c r="I540"/>
      <c r="J540"/>
      <c r="K540"/>
      <c r="L540"/>
      <c r="M540"/>
    </row>
    <row r="541" spans="1:13" x14ac:dyDescent="0.35">
      <c r="A541"/>
      <c r="B541"/>
      <c r="C541"/>
      <c r="E541"/>
      <c r="F541"/>
      <c r="G541"/>
      <c r="H541"/>
      <c r="I541"/>
      <c r="J541"/>
      <c r="K541"/>
      <c r="L541"/>
      <c r="M541"/>
    </row>
    <row r="542" spans="1:13" x14ac:dyDescent="0.35">
      <c r="A542"/>
      <c r="B542"/>
      <c r="C542"/>
      <c r="E542"/>
      <c r="F542"/>
      <c r="G542"/>
      <c r="H542"/>
      <c r="I542"/>
      <c r="J542"/>
      <c r="K542"/>
      <c r="L542"/>
      <c r="M542"/>
    </row>
    <row r="543" spans="1:13" x14ac:dyDescent="0.35">
      <c r="A543"/>
      <c r="B543"/>
      <c r="C543"/>
      <c r="E543"/>
      <c r="F543"/>
      <c r="G543"/>
      <c r="H543"/>
      <c r="I543"/>
      <c r="J543"/>
      <c r="K543"/>
      <c r="L543"/>
      <c r="M543"/>
    </row>
    <row r="544" spans="1:13" x14ac:dyDescent="0.35">
      <c r="A544"/>
      <c r="B544"/>
      <c r="C544"/>
      <c r="E544"/>
      <c r="F544"/>
      <c r="G544"/>
      <c r="H544"/>
      <c r="I544"/>
      <c r="J544"/>
      <c r="K544"/>
      <c r="L544"/>
      <c r="M544"/>
    </row>
    <row r="545" spans="1:13" x14ac:dyDescent="0.35">
      <c r="A545"/>
      <c r="B545"/>
      <c r="C545"/>
      <c r="E545"/>
      <c r="F545"/>
      <c r="G545"/>
      <c r="H545"/>
      <c r="I545"/>
      <c r="J545"/>
      <c r="K545"/>
      <c r="L545"/>
      <c r="M545"/>
    </row>
    <row r="546" spans="1:13" x14ac:dyDescent="0.35">
      <c r="A546"/>
      <c r="B546"/>
      <c r="C546"/>
      <c r="E546"/>
      <c r="F546"/>
      <c r="G546"/>
      <c r="H546"/>
      <c r="I546"/>
      <c r="J546"/>
      <c r="K546"/>
      <c r="L546"/>
      <c r="M546"/>
    </row>
    <row r="547" spans="1:13" x14ac:dyDescent="0.35">
      <c r="A547"/>
      <c r="B547"/>
      <c r="C547"/>
      <c r="E547"/>
      <c r="F547"/>
      <c r="G547"/>
      <c r="H547"/>
      <c r="I547"/>
      <c r="J547"/>
      <c r="K547"/>
      <c r="L547"/>
      <c r="M547"/>
    </row>
    <row r="548" spans="1:13" x14ac:dyDescent="0.35">
      <c r="A548"/>
      <c r="B548"/>
      <c r="C548"/>
      <c r="E548"/>
      <c r="F548"/>
      <c r="G548"/>
      <c r="H548"/>
      <c r="I548"/>
      <c r="J548"/>
      <c r="K548"/>
      <c r="L548"/>
      <c r="M548"/>
    </row>
    <row r="549" spans="1:13" x14ac:dyDescent="0.35">
      <c r="A549"/>
      <c r="B549"/>
      <c r="C549"/>
      <c r="E549"/>
      <c r="F549"/>
      <c r="G549"/>
      <c r="H549"/>
      <c r="I549"/>
      <c r="J549"/>
      <c r="K549"/>
      <c r="L549"/>
      <c r="M549"/>
    </row>
    <row r="550" spans="1:13" x14ac:dyDescent="0.35">
      <c r="A550"/>
      <c r="B550"/>
      <c r="C550"/>
      <c r="E550"/>
      <c r="F550"/>
      <c r="G550"/>
      <c r="H550"/>
      <c r="I550"/>
      <c r="J550"/>
      <c r="K550"/>
      <c r="L550"/>
      <c r="M550"/>
    </row>
    <row r="551" spans="1:13" x14ac:dyDescent="0.35">
      <c r="A551"/>
      <c r="B551"/>
      <c r="C551"/>
      <c r="E551"/>
      <c r="F551"/>
      <c r="G551"/>
      <c r="H551"/>
      <c r="I551"/>
      <c r="J551"/>
      <c r="K551"/>
      <c r="L551"/>
      <c r="M551"/>
    </row>
    <row r="552" spans="1:13" x14ac:dyDescent="0.35">
      <c r="A552"/>
      <c r="B552"/>
      <c r="C552"/>
      <c r="E552"/>
      <c r="F552"/>
      <c r="G552"/>
      <c r="H552"/>
      <c r="I552"/>
      <c r="J552"/>
      <c r="K552"/>
      <c r="L552"/>
      <c r="M552"/>
    </row>
    <row r="553" spans="1:13" x14ac:dyDescent="0.35">
      <c r="A553"/>
      <c r="B553"/>
      <c r="C553"/>
      <c r="E553"/>
      <c r="F553"/>
      <c r="G553"/>
      <c r="H553"/>
      <c r="I553"/>
      <c r="J553"/>
      <c r="K553"/>
      <c r="L553"/>
      <c r="M553"/>
    </row>
    <row r="554" spans="1:13" x14ac:dyDescent="0.35">
      <c r="A554"/>
      <c r="B554"/>
      <c r="C554"/>
      <c r="E554"/>
      <c r="F554"/>
      <c r="G554"/>
      <c r="H554"/>
      <c r="I554"/>
      <c r="J554"/>
      <c r="K554"/>
      <c r="L554"/>
      <c r="M554"/>
    </row>
    <row r="555" spans="1:13" x14ac:dyDescent="0.35">
      <c r="A555"/>
      <c r="B555"/>
      <c r="C555"/>
      <c r="E555"/>
      <c r="F555"/>
      <c r="G555"/>
      <c r="H555"/>
      <c r="I555"/>
      <c r="J555"/>
      <c r="K555"/>
      <c r="L555"/>
      <c r="M555"/>
    </row>
    <row r="556" spans="1:13" x14ac:dyDescent="0.35">
      <c r="A556"/>
      <c r="B556"/>
      <c r="C556"/>
      <c r="E556"/>
      <c r="F556"/>
      <c r="G556"/>
      <c r="H556"/>
      <c r="I556"/>
      <c r="J556"/>
      <c r="K556"/>
      <c r="L556"/>
      <c r="M556"/>
    </row>
    <row r="557" spans="1:13" x14ac:dyDescent="0.35">
      <c r="A557"/>
      <c r="B557"/>
      <c r="C557"/>
      <c r="E557"/>
      <c r="F557"/>
      <c r="G557"/>
      <c r="H557"/>
      <c r="I557"/>
      <c r="J557"/>
      <c r="K557"/>
      <c r="L557"/>
      <c r="M557"/>
    </row>
    <row r="558" spans="1:13" x14ac:dyDescent="0.35">
      <c r="A558"/>
      <c r="B558"/>
      <c r="C558"/>
      <c r="E558"/>
      <c r="F558"/>
      <c r="G558"/>
      <c r="H558"/>
      <c r="I558"/>
      <c r="J558"/>
      <c r="K558"/>
      <c r="L558"/>
      <c r="M558"/>
    </row>
    <row r="559" spans="1:13" x14ac:dyDescent="0.35">
      <c r="A559"/>
      <c r="B559"/>
      <c r="C559"/>
      <c r="E559"/>
      <c r="F559"/>
      <c r="G559"/>
      <c r="H559"/>
      <c r="I559"/>
      <c r="J559"/>
      <c r="K559"/>
      <c r="L559"/>
      <c r="M559"/>
    </row>
    <row r="560" spans="1:13" x14ac:dyDescent="0.35">
      <c r="A560"/>
      <c r="B560"/>
      <c r="C560"/>
      <c r="E560"/>
      <c r="F560"/>
      <c r="G560"/>
      <c r="H560"/>
      <c r="I560"/>
      <c r="J560"/>
      <c r="K560"/>
      <c r="L560"/>
      <c r="M560"/>
    </row>
    <row r="561" spans="1:13" x14ac:dyDescent="0.35">
      <c r="A561"/>
      <c r="B561"/>
      <c r="C561"/>
      <c r="E561"/>
      <c r="F561"/>
      <c r="G561"/>
      <c r="H561"/>
      <c r="I561"/>
      <c r="J561"/>
      <c r="K561"/>
      <c r="L561"/>
      <c r="M561"/>
    </row>
    <row r="562" spans="1:13" x14ac:dyDescent="0.35">
      <c r="A562"/>
      <c r="B562"/>
      <c r="C562"/>
      <c r="E562"/>
      <c r="F562"/>
      <c r="G562"/>
      <c r="H562"/>
      <c r="I562"/>
      <c r="J562"/>
      <c r="K562"/>
      <c r="L562"/>
      <c r="M562"/>
    </row>
    <row r="563" spans="1:13" x14ac:dyDescent="0.35">
      <c r="A563"/>
      <c r="B563"/>
      <c r="C563"/>
      <c r="E563"/>
      <c r="F563"/>
      <c r="G563"/>
      <c r="H563"/>
      <c r="I563"/>
      <c r="J563"/>
      <c r="K563"/>
      <c r="L563"/>
      <c r="M563"/>
    </row>
    <row r="564" spans="1:13" x14ac:dyDescent="0.35">
      <c r="A564"/>
      <c r="B564"/>
      <c r="C564"/>
      <c r="E564"/>
      <c r="F564"/>
      <c r="G564"/>
      <c r="H564"/>
      <c r="I564"/>
      <c r="J564"/>
      <c r="K564"/>
      <c r="L564"/>
      <c r="M564"/>
    </row>
    <row r="565" spans="1:13" x14ac:dyDescent="0.35">
      <c r="A565"/>
      <c r="B565"/>
      <c r="C565"/>
      <c r="E565"/>
      <c r="F565"/>
      <c r="G565"/>
      <c r="H565"/>
      <c r="I565"/>
      <c r="J565"/>
      <c r="K565"/>
      <c r="L565"/>
      <c r="M565"/>
    </row>
    <row r="566" spans="1:13" x14ac:dyDescent="0.35">
      <c r="A566"/>
      <c r="B566"/>
      <c r="C566"/>
      <c r="E566"/>
      <c r="F566"/>
      <c r="G566"/>
      <c r="H566"/>
      <c r="I566"/>
      <c r="J566"/>
      <c r="K566"/>
      <c r="L566"/>
      <c r="M566"/>
    </row>
    <row r="567" spans="1:13" x14ac:dyDescent="0.35">
      <c r="A567"/>
      <c r="B567"/>
      <c r="C567"/>
      <c r="E567"/>
      <c r="F567"/>
      <c r="G567"/>
      <c r="H567"/>
      <c r="I567"/>
      <c r="J567"/>
      <c r="K567"/>
      <c r="L567"/>
      <c r="M567"/>
    </row>
    <row r="568" spans="1:13" x14ac:dyDescent="0.35">
      <c r="A568"/>
      <c r="B568"/>
      <c r="C568"/>
      <c r="E568"/>
      <c r="F568"/>
      <c r="G568"/>
      <c r="H568"/>
      <c r="I568"/>
      <c r="J568"/>
      <c r="K568"/>
      <c r="L568"/>
      <c r="M568"/>
    </row>
    <row r="569" spans="1:13" x14ac:dyDescent="0.35">
      <c r="A569"/>
      <c r="B569"/>
      <c r="C569"/>
      <c r="E569"/>
      <c r="F569"/>
      <c r="G569"/>
      <c r="H569"/>
      <c r="I569"/>
      <c r="J569"/>
      <c r="K569"/>
      <c r="L569"/>
      <c r="M569"/>
    </row>
    <row r="570" spans="1:13" x14ac:dyDescent="0.35">
      <c r="A570"/>
      <c r="B570"/>
      <c r="C570"/>
      <c r="E570"/>
      <c r="F570"/>
      <c r="G570"/>
      <c r="H570"/>
      <c r="I570"/>
      <c r="J570"/>
      <c r="K570"/>
      <c r="L570"/>
      <c r="M570"/>
    </row>
    <row r="571" spans="1:13" x14ac:dyDescent="0.35">
      <c r="A571"/>
      <c r="B571"/>
      <c r="C571"/>
      <c r="E571"/>
      <c r="F571"/>
      <c r="G571"/>
      <c r="H571"/>
      <c r="I571"/>
      <c r="J571"/>
      <c r="K571"/>
      <c r="L571"/>
      <c r="M571"/>
    </row>
    <row r="572" spans="1:13" x14ac:dyDescent="0.35">
      <c r="A572"/>
      <c r="B572"/>
      <c r="C572"/>
      <c r="E572"/>
      <c r="F572"/>
      <c r="G572"/>
      <c r="H572"/>
      <c r="I572"/>
      <c r="J572"/>
      <c r="K572"/>
      <c r="L572"/>
      <c r="M572"/>
    </row>
    <row r="573" spans="1:13" x14ac:dyDescent="0.35">
      <c r="A573"/>
      <c r="B573"/>
      <c r="C573"/>
      <c r="E573"/>
      <c r="F573"/>
      <c r="G573"/>
      <c r="H573"/>
      <c r="I573"/>
      <c r="J573"/>
      <c r="K573"/>
      <c r="L573"/>
      <c r="M573"/>
    </row>
    <row r="574" spans="1:13" x14ac:dyDescent="0.35">
      <c r="A574"/>
      <c r="B574"/>
      <c r="C574"/>
      <c r="E574"/>
      <c r="F574"/>
      <c r="G574"/>
      <c r="H574"/>
      <c r="I574"/>
      <c r="J574"/>
      <c r="K574"/>
      <c r="L574"/>
      <c r="M574"/>
    </row>
    <row r="575" spans="1:13" x14ac:dyDescent="0.35">
      <c r="A575"/>
      <c r="B575"/>
      <c r="C575"/>
      <c r="E575"/>
      <c r="F575"/>
      <c r="G575"/>
      <c r="H575"/>
      <c r="I575"/>
      <c r="J575"/>
      <c r="K575"/>
      <c r="L575"/>
      <c r="M575"/>
    </row>
    <row r="576" spans="1:13" x14ac:dyDescent="0.35">
      <c r="A576"/>
      <c r="B576"/>
      <c r="C576"/>
      <c r="E576"/>
      <c r="F576"/>
      <c r="G576"/>
      <c r="H576"/>
      <c r="I576"/>
      <c r="J576"/>
      <c r="K576"/>
      <c r="L576"/>
      <c r="M576"/>
    </row>
    <row r="577" spans="1:13" x14ac:dyDescent="0.35">
      <c r="A577"/>
      <c r="B577"/>
      <c r="C577"/>
      <c r="E577"/>
      <c r="F577"/>
      <c r="G577"/>
      <c r="H577"/>
      <c r="I577"/>
      <c r="J577"/>
      <c r="K577"/>
      <c r="L577"/>
      <c r="M577"/>
    </row>
    <row r="578" spans="1:13" x14ac:dyDescent="0.35">
      <c r="A578"/>
      <c r="B578"/>
      <c r="C578"/>
      <c r="E578"/>
      <c r="F578"/>
      <c r="G578"/>
      <c r="H578"/>
      <c r="I578"/>
      <c r="J578"/>
      <c r="K578"/>
      <c r="L578"/>
      <c r="M578"/>
    </row>
    <row r="579" spans="1:13" x14ac:dyDescent="0.35">
      <c r="A579"/>
      <c r="B579"/>
      <c r="C579"/>
      <c r="E579"/>
      <c r="F579"/>
      <c r="G579"/>
      <c r="H579"/>
      <c r="I579"/>
      <c r="J579"/>
      <c r="K579"/>
      <c r="L579"/>
      <c r="M579"/>
    </row>
    <row r="580" spans="1:13" x14ac:dyDescent="0.35">
      <c r="A580"/>
      <c r="B580"/>
      <c r="C580"/>
      <c r="E580"/>
      <c r="F580"/>
      <c r="G580"/>
      <c r="H580"/>
      <c r="I580"/>
      <c r="J580"/>
      <c r="K580"/>
      <c r="L580"/>
      <c r="M580"/>
    </row>
    <row r="581" spans="1:13" x14ac:dyDescent="0.35">
      <c r="A581"/>
      <c r="B581"/>
      <c r="C581"/>
      <c r="E581"/>
      <c r="F581"/>
      <c r="G581"/>
      <c r="H581"/>
      <c r="I581"/>
      <c r="J581"/>
      <c r="K581"/>
      <c r="L581"/>
      <c r="M581"/>
    </row>
    <row r="582" spans="1:13" x14ac:dyDescent="0.35">
      <c r="A582"/>
      <c r="B582"/>
      <c r="C582"/>
      <c r="E582"/>
      <c r="F582"/>
      <c r="G582"/>
      <c r="H582"/>
      <c r="I582"/>
      <c r="J582"/>
      <c r="K582"/>
      <c r="L582"/>
      <c r="M582"/>
    </row>
    <row r="583" spans="1:13" x14ac:dyDescent="0.35">
      <c r="A583"/>
      <c r="B583"/>
      <c r="C583"/>
      <c r="E583"/>
      <c r="F583"/>
      <c r="G583"/>
      <c r="H583"/>
      <c r="I583"/>
      <c r="J583"/>
      <c r="K583"/>
      <c r="L583"/>
      <c r="M583"/>
    </row>
    <row r="584" spans="1:13" x14ac:dyDescent="0.35">
      <c r="A584"/>
      <c r="B584"/>
      <c r="C584"/>
      <c r="E584"/>
      <c r="F584"/>
      <c r="G584"/>
      <c r="H584"/>
      <c r="I584"/>
      <c r="J584"/>
      <c r="K584"/>
      <c r="L584"/>
      <c r="M584"/>
    </row>
    <row r="585" spans="1:13" x14ac:dyDescent="0.35">
      <c r="A585"/>
      <c r="B585"/>
      <c r="C585"/>
      <c r="E585"/>
      <c r="F585"/>
      <c r="G585"/>
      <c r="H585"/>
      <c r="I585"/>
      <c r="J585"/>
      <c r="K585"/>
      <c r="L585"/>
      <c r="M585"/>
    </row>
    <row r="586" spans="1:13" x14ac:dyDescent="0.35">
      <c r="A586"/>
      <c r="B586"/>
      <c r="C586"/>
      <c r="E586"/>
      <c r="F586"/>
      <c r="G586"/>
      <c r="H586"/>
      <c r="I586"/>
      <c r="J586"/>
      <c r="K586"/>
      <c r="L586"/>
      <c r="M586"/>
    </row>
    <row r="587" spans="1:13" x14ac:dyDescent="0.35">
      <c r="A587"/>
      <c r="B587"/>
      <c r="C587"/>
      <c r="E587"/>
      <c r="F587"/>
      <c r="G587"/>
      <c r="H587"/>
      <c r="I587"/>
      <c r="J587"/>
      <c r="K587"/>
      <c r="L587"/>
      <c r="M587"/>
    </row>
    <row r="588" spans="1:13" x14ac:dyDescent="0.35">
      <c r="A588"/>
      <c r="B588"/>
      <c r="C588"/>
      <c r="E588"/>
      <c r="F588"/>
      <c r="G588"/>
      <c r="H588"/>
      <c r="I588"/>
      <c r="J588"/>
      <c r="K588"/>
      <c r="L588"/>
      <c r="M588"/>
    </row>
    <row r="589" spans="1:13" x14ac:dyDescent="0.35">
      <c r="A589"/>
      <c r="B589"/>
      <c r="C589"/>
      <c r="E589"/>
      <c r="F589"/>
      <c r="G589"/>
      <c r="H589"/>
      <c r="I589"/>
      <c r="J589"/>
      <c r="K589"/>
      <c r="L589"/>
      <c r="M589"/>
    </row>
    <row r="590" spans="1:13" x14ac:dyDescent="0.35">
      <c r="A590"/>
      <c r="B590"/>
      <c r="C590"/>
      <c r="E590"/>
      <c r="F590"/>
      <c r="G590"/>
      <c r="H590"/>
      <c r="I590"/>
      <c r="J590"/>
      <c r="K590"/>
      <c r="L590"/>
      <c r="M590"/>
    </row>
    <row r="591" spans="1:13" x14ac:dyDescent="0.35">
      <c r="A591"/>
      <c r="B591"/>
      <c r="C591"/>
      <c r="E591"/>
      <c r="F591"/>
      <c r="G591"/>
      <c r="H591"/>
      <c r="I591"/>
      <c r="J591"/>
      <c r="K591"/>
      <c r="L591"/>
      <c r="M591"/>
    </row>
    <row r="592" spans="1:13" x14ac:dyDescent="0.35">
      <c r="A592"/>
      <c r="B592"/>
      <c r="C592"/>
      <c r="E592"/>
      <c r="F592"/>
      <c r="G592"/>
      <c r="H592"/>
      <c r="I592"/>
      <c r="J592"/>
      <c r="K592"/>
      <c r="L592"/>
      <c r="M592"/>
    </row>
    <row r="593" spans="1:13" x14ac:dyDescent="0.35">
      <c r="A593"/>
      <c r="B593"/>
      <c r="C593"/>
      <c r="E593"/>
      <c r="F593"/>
      <c r="G593"/>
      <c r="H593"/>
      <c r="I593"/>
      <c r="J593"/>
      <c r="K593"/>
      <c r="L593"/>
      <c r="M593"/>
    </row>
    <row r="594" spans="1:13" x14ac:dyDescent="0.35">
      <c r="A594"/>
      <c r="B594"/>
      <c r="C594"/>
      <c r="E594"/>
      <c r="F594"/>
      <c r="G594"/>
      <c r="H594"/>
      <c r="I594"/>
      <c r="J594"/>
      <c r="K594"/>
      <c r="L594"/>
      <c r="M594"/>
    </row>
    <row r="595" spans="1:13" x14ac:dyDescent="0.35">
      <c r="A595"/>
      <c r="B595"/>
      <c r="C595"/>
      <c r="E595"/>
      <c r="F595"/>
      <c r="G595"/>
      <c r="H595"/>
      <c r="I595"/>
      <c r="J595"/>
      <c r="K595"/>
      <c r="L595"/>
      <c r="M595"/>
    </row>
    <row r="596" spans="1:13" x14ac:dyDescent="0.35">
      <c r="A596"/>
      <c r="B596"/>
      <c r="C596"/>
      <c r="E596"/>
      <c r="F596"/>
      <c r="G596"/>
      <c r="H596"/>
      <c r="I596"/>
      <c r="J596"/>
      <c r="K596"/>
      <c r="L596"/>
      <c r="M596"/>
    </row>
    <row r="597" spans="1:13" x14ac:dyDescent="0.35">
      <c r="A597"/>
      <c r="B597"/>
      <c r="C597"/>
      <c r="E597"/>
      <c r="F597"/>
      <c r="G597"/>
      <c r="H597"/>
      <c r="I597"/>
      <c r="J597"/>
      <c r="K597"/>
      <c r="L597"/>
      <c r="M597"/>
    </row>
    <row r="598" spans="1:13" x14ac:dyDescent="0.35">
      <c r="A598"/>
      <c r="B598"/>
      <c r="C598"/>
      <c r="E598"/>
      <c r="F598"/>
      <c r="G598"/>
      <c r="H598"/>
      <c r="I598"/>
      <c r="J598"/>
      <c r="K598"/>
      <c r="L598"/>
      <c r="M598"/>
    </row>
    <row r="599" spans="1:13" x14ac:dyDescent="0.35">
      <c r="A599"/>
      <c r="B599"/>
      <c r="C599"/>
      <c r="E599"/>
      <c r="F599"/>
      <c r="G599"/>
      <c r="H599"/>
      <c r="I599"/>
      <c r="J599"/>
      <c r="K599"/>
      <c r="L599"/>
      <c r="M599"/>
    </row>
    <row r="600" spans="1:13" x14ac:dyDescent="0.35">
      <c r="A600"/>
      <c r="B600"/>
      <c r="C600"/>
      <c r="E600"/>
      <c r="F600"/>
      <c r="G600"/>
      <c r="H600"/>
      <c r="I600"/>
      <c r="J600"/>
      <c r="K600"/>
      <c r="L600"/>
      <c r="M600"/>
    </row>
    <row r="601" spans="1:13" x14ac:dyDescent="0.35">
      <c r="A601"/>
      <c r="B601"/>
      <c r="C601"/>
      <c r="E601"/>
      <c r="F601"/>
      <c r="G601"/>
      <c r="H601"/>
      <c r="I601"/>
      <c r="J601"/>
      <c r="K601"/>
      <c r="L601"/>
      <c r="M601"/>
    </row>
    <row r="602" spans="1:13" x14ac:dyDescent="0.35">
      <c r="A602"/>
      <c r="B602"/>
      <c r="C602"/>
      <c r="E602"/>
      <c r="F602"/>
      <c r="G602"/>
      <c r="H602"/>
      <c r="I602"/>
      <c r="J602"/>
      <c r="K602"/>
      <c r="L602"/>
      <c r="M602"/>
    </row>
    <row r="603" spans="1:13" x14ac:dyDescent="0.35">
      <c r="A603"/>
      <c r="B603"/>
      <c r="C603"/>
      <c r="E603"/>
      <c r="F603"/>
      <c r="G603"/>
      <c r="H603"/>
      <c r="I603"/>
      <c r="J603"/>
      <c r="K603"/>
      <c r="L603"/>
      <c r="M603"/>
    </row>
    <row r="604" spans="1:13" x14ac:dyDescent="0.35">
      <c r="A604"/>
      <c r="B604"/>
      <c r="C604"/>
      <c r="E604"/>
      <c r="F604"/>
      <c r="G604"/>
      <c r="H604"/>
      <c r="I604"/>
      <c r="J604"/>
      <c r="K604"/>
      <c r="L604"/>
      <c r="M604"/>
    </row>
    <row r="605" spans="1:13" x14ac:dyDescent="0.35">
      <c r="A605"/>
      <c r="B605"/>
      <c r="C605"/>
      <c r="E605"/>
      <c r="F605"/>
      <c r="G605"/>
      <c r="H605"/>
      <c r="I605"/>
      <c r="J605"/>
      <c r="K605"/>
      <c r="L605"/>
      <c r="M605"/>
    </row>
    <row r="606" spans="1:13" x14ac:dyDescent="0.35">
      <c r="A606"/>
      <c r="B606"/>
      <c r="C606"/>
      <c r="E606"/>
      <c r="F606"/>
      <c r="G606"/>
      <c r="H606"/>
      <c r="I606"/>
      <c r="J606"/>
      <c r="K606"/>
      <c r="L606"/>
      <c r="M606"/>
    </row>
    <row r="607" spans="1:13" x14ac:dyDescent="0.35">
      <c r="A607"/>
      <c r="B607"/>
      <c r="C607"/>
      <c r="E607"/>
      <c r="F607"/>
      <c r="G607"/>
      <c r="H607"/>
      <c r="I607"/>
      <c r="J607"/>
      <c r="K607"/>
      <c r="L607"/>
      <c r="M607"/>
    </row>
    <row r="608" spans="1:13" x14ac:dyDescent="0.35">
      <c r="A608"/>
      <c r="B608"/>
      <c r="C608"/>
      <c r="E608"/>
      <c r="F608"/>
      <c r="G608"/>
      <c r="H608"/>
      <c r="I608"/>
      <c r="J608"/>
      <c r="K608"/>
      <c r="L608"/>
      <c r="M608"/>
    </row>
    <row r="609" spans="1:13" x14ac:dyDescent="0.35">
      <c r="A609"/>
      <c r="B609"/>
      <c r="C609"/>
      <c r="E609"/>
      <c r="F609"/>
      <c r="G609"/>
      <c r="H609"/>
      <c r="I609"/>
      <c r="J609"/>
      <c r="K609"/>
      <c r="L609"/>
      <c r="M609"/>
    </row>
    <row r="610" spans="1:13" x14ac:dyDescent="0.35">
      <c r="A610"/>
      <c r="B610"/>
      <c r="C610"/>
      <c r="E610"/>
      <c r="F610"/>
      <c r="G610"/>
      <c r="H610"/>
      <c r="I610"/>
      <c r="J610"/>
      <c r="K610"/>
      <c r="L610"/>
      <c r="M610"/>
    </row>
    <row r="611" spans="1:13" x14ac:dyDescent="0.35">
      <c r="A611"/>
      <c r="B611"/>
      <c r="C611"/>
      <c r="E611"/>
      <c r="F611"/>
      <c r="G611"/>
      <c r="H611"/>
      <c r="I611"/>
      <c r="J611"/>
      <c r="K611"/>
      <c r="L611"/>
      <c r="M611"/>
    </row>
    <row r="612" spans="1:13" x14ac:dyDescent="0.35">
      <c r="A612"/>
      <c r="B612"/>
      <c r="C612"/>
      <c r="E612"/>
      <c r="F612"/>
      <c r="G612"/>
      <c r="H612"/>
      <c r="I612"/>
      <c r="J612"/>
      <c r="K612"/>
      <c r="L612"/>
      <c r="M612"/>
    </row>
    <row r="613" spans="1:13" x14ac:dyDescent="0.35">
      <c r="A613"/>
      <c r="B613"/>
      <c r="C613"/>
      <c r="E613"/>
      <c r="F613"/>
      <c r="G613"/>
      <c r="H613"/>
      <c r="I613"/>
      <c r="J613"/>
      <c r="K613"/>
      <c r="L613"/>
      <c r="M613"/>
    </row>
    <row r="614" spans="1:13" x14ac:dyDescent="0.35">
      <c r="A614"/>
      <c r="B614"/>
      <c r="C614"/>
      <c r="E614"/>
      <c r="F614"/>
      <c r="G614"/>
      <c r="H614"/>
      <c r="I614"/>
      <c r="J614"/>
      <c r="K614"/>
      <c r="L614"/>
      <c r="M614"/>
    </row>
    <row r="615" spans="1:13" x14ac:dyDescent="0.35">
      <c r="A615"/>
      <c r="B615"/>
      <c r="C615"/>
      <c r="E615"/>
      <c r="F615"/>
      <c r="G615"/>
      <c r="H615"/>
      <c r="I615"/>
      <c r="J615"/>
      <c r="K615"/>
      <c r="L615"/>
      <c r="M615"/>
    </row>
    <row r="616" spans="1:13" x14ac:dyDescent="0.35">
      <c r="A616"/>
      <c r="B616"/>
      <c r="C616"/>
      <c r="E616"/>
      <c r="F616"/>
      <c r="G616"/>
      <c r="H616"/>
      <c r="I616"/>
      <c r="J616"/>
      <c r="K616"/>
      <c r="L616"/>
      <c r="M616"/>
    </row>
    <row r="617" spans="1:13" x14ac:dyDescent="0.35">
      <c r="A617"/>
      <c r="B617"/>
      <c r="C617"/>
      <c r="E617"/>
      <c r="F617"/>
      <c r="G617"/>
      <c r="H617"/>
      <c r="I617"/>
      <c r="J617"/>
      <c r="K617"/>
      <c r="L617"/>
      <c r="M617"/>
    </row>
    <row r="618" spans="1:13" x14ac:dyDescent="0.35">
      <c r="A618"/>
      <c r="B618"/>
      <c r="C618"/>
      <c r="E618"/>
      <c r="F618"/>
      <c r="G618"/>
      <c r="H618"/>
      <c r="I618"/>
      <c r="J618"/>
      <c r="K618"/>
      <c r="L618"/>
      <c r="M618"/>
    </row>
    <row r="619" spans="1:13" x14ac:dyDescent="0.35">
      <c r="A619"/>
      <c r="B619"/>
      <c r="C619"/>
      <c r="E619"/>
      <c r="F619"/>
      <c r="G619"/>
      <c r="H619"/>
      <c r="I619"/>
      <c r="J619"/>
      <c r="K619"/>
      <c r="L619"/>
      <c r="M619"/>
    </row>
    <row r="620" spans="1:13" x14ac:dyDescent="0.35">
      <c r="A620"/>
      <c r="B620"/>
      <c r="C620"/>
      <c r="E620"/>
      <c r="F620"/>
      <c r="G620"/>
      <c r="H620"/>
      <c r="I620"/>
      <c r="J620"/>
      <c r="K620"/>
      <c r="L620"/>
      <c r="M620"/>
    </row>
    <row r="621" spans="1:13" x14ac:dyDescent="0.35">
      <c r="A621"/>
      <c r="B621"/>
      <c r="C621"/>
      <c r="E621"/>
      <c r="F621"/>
      <c r="G621"/>
      <c r="H621"/>
      <c r="I621"/>
      <c r="J621"/>
      <c r="K621"/>
      <c r="L621"/>
      <c r="M621"/>
    </row>
    <row r="622" spans="1:13" x14ac:dyDescent="0.35">
      <c r="A622"/>
      <c r="B622"/>
      <c r="C622"/>
      <c r="E622"/>
      <c r="F622"/>
      <c r="G622"/>
      <c r="H622"/>
      <c r="I622"/>
      <c r="J622"/>
      <c r="K622"/>
      <c r="L622"/>
      <c r="M622"/>
    </row>
    <row r="623" spans="1:13" x14ac:dyDescent="0.35">
      <c r="A623"/>
      <c r="B623"/>
      <c r="C623"/>
      <c r="E623"/>
      <c r="F623"/>
      <c r="G623"/>
      <c r="H623"/>
      <c r="I623"/>
      <c r="J623"/>
      <c r="K623"/>
      <c r="L623"/>
      <c r="M623"/>
    </row>
    <row r="624" spans="1:13" x14ac:dyDescent="0.35">
      <c r="A624"/>
      <c r="B624"/>
      <c r="C624"/>
      <c r="E624"/>
      <c r="F624"/>
      <c r="G624"/>
      <c r="H624"/>
      <c r="I624"/>
      <c r="J624"/>
      <c r="K624"/>
      <c r="L624"/>
      <c r="M624"/>
    </row>
    <row r="625" spans="1:13" x14ac:dyDescent="0.35">
      <c r="A625"/>
      <c r="B625"/>
      <c r="C625"/>
      <c r="E625"/>
      <c r="F625"/>
      <c r="G625"/>
      <c r="H625"/>
      <c r="I625"/>
      <c r="J625"/>
      <c r="K625"/>
      <c r="L625"/>
      <c r="M625"/>
    </row>
    <row r="626" spans="1:13" x14ac:dyDescent="0.35">
      <c r="A626"/>
      <c r="B626"/>
      <c r="C626"/>
      <c r="E626"/>
      <c r="F626"/>
      <c r="G626"/>
      <c r="H626"/>
      <c r="I626"/>
      <c r="J626"/>
      <c r="K626"/>
      <c r="L626"/>
      <c r="M626"/>
    </row>
    <row r="627" spans="1:13" x14ac:dyDescent="0.35">
      <c r="A627"/>
      <c r="B627"/>
      <c r="C627"/>
      <c r="E627"/>
      <c r="F627"/>
      <c r="G627"/>
      <c r="H627"/>
      <c r="I627"/>
      <c r="J627"/>
      <c r="K627"/>
      <c r="L627"/>
      <c r="M627"/>
    </row>
    <row r="628" spans="1:13" x14ac:dyDescent="0.35">
      <c r="A628"/>
      <c r="B628"/>
      <c r="C628"/>
      <c r="E628"/>
      <c r="F628"/>
      <c r="G628"/>
      <c r="H628"/>
      <c r="I628"/>
      <c r="J628"/>
      <c r="K628"/>
      <c r="L628"/>
      <c r="M628"/>
    </row>
    <row r="629" spans="1:13" x14ac:dyDescent="0.35">
      <c r="A629"/>
      <c r="B629"/>
      <c r="C629"/>
      <c r="E629"/>
      <c r="F629"/>
      <c r="G629"/>
      <c r="H629"/>
      <c r="I629"/>
      <c r="J629"/>
      <c r="K629"/>
      <c r="L629"/>
      <c r="M629"/>
    </row>
    <row r="630" spans="1:13" x14ac:dyDescent="0.35">
      <c r="A630"/>
      <c r="B630"/>
      <c r="C630"/>
      <c r="E630"/>
      <c r="F630"/>
      <c r="G630"/>
      <c r="H630"/>
      <c r="I630"/>
      <c r="J630"/>
      <c r="K630"/>
      <c r="L630"/>
      <c r="M630"/>
    </row>
    <row r="631" spans="1:13" x14ac:dyDescent="0.35">
      <c r="A631"/>
      <c r="B631"/>
      <c r="C631"/>
      <c r="E631"/>
      <c r="F631"/>
      <c r="G631"/>
      <c r="H631"/>
      <c r="I631"/>
      <c r="J631"/>
      <c r="K631"/>
      <c r="L631"/>
      <c r="M631"/>
    </row>
    <row r="632" spans="1:13" x14ac:dyDescent="0.35">
      <c r="A632"/>
      <c r="B632"/>
      <c r="C632"/>
      <c r="E632"/>
      <c r="F632"/>
      <c r="G632"/>
      <c r="H632"/>
      <c r="I632"/>
      <c r="J632"/>
      <c r="K632"/>
      <c r="L632"/>
      <c r="M632"/>
    </row>
    <row r="633" spans="1:13" x14ac:dyDescent="0.35">
      <c r="A633"/>
      <c r="B633"/>
      <c r="C633"/>
      <c r="E633"/>
      <c r="F633"/>
      <c r="G633"/>
      <c r="H633"/>
      <c r="I633"/>
      <c r="J633"/>
      <c r="K633"/>
      <c r="L633"/>
      <c r="M633"/>
    </row>
    <row r="634" spans="1:13" x14ac:dyDescent="0.35">
      <c r="A634"/>
      <c r="B634"/>
      <c r="C634"/>
      <c r="E634"/>
      <c r="F634"/>
      <c r="G634"/>
      <c r="H634"/>
      <c r="I634"/>
      <c r="J634"/>
      <c r="K634"/>
      <c r="L634"/>
      <c r="M634"/>
    </row>
    <row r="635" spans="1:13" x14ac:dyDescent="0.35">
      <c r="A635"/>
      <c r="B635"/>
      <c r="C635"/>
      <c r="E635"/>
      <c r="F635"/>
      <c r="G635"/>
      <c r="H635"/>
      <c r="I635"/>
      <c r="J635"/>
      <c r="K635"/>
      <c r="L635"/>
      <c r="M635"/>
    </row>
    <row r="636" spans="1:13" x14ac:dyDescent="0.35">
      <c r="A636"/>
      <c r="B636"/>
      <c r="C636"/>
      <c r="E636"/>
      <c r="F636"/>
      <c r="G636"/>
      <c r="H636"/>
      <c r="I636"/>
      <c r="J636"/>
      <c r="K636"/>
      <c r="L636"/>
      <c r="M636"/>
    </row>
    <row r="637" spans="1:13" x14ac:dyDescent="0.35">
      <c r="A637"/>
      <c r="B637"/>
      <c r="C637"/>
      <c r="E637"/>
      <c r="F637"/>
      <c r="G637"/>
      <c r="H637"/>
      <c r="I637"/>
      <c r="J637"/>
      <c r="K637"/>
      <c r="L637"/>
      <c r="M637"/>
    </row>
    <row r="638" spans="1:13" x14ac:dyDescent="0.35">
      <c r="A638"/>
      <c r="B638"/>
      <c r="C638"/>
      <c r="E638"/>
      <c r="F638"/>
      <c r="G638"/>
      <c r="H638"/>
      <c r="I638"/>
      <c r="J638"/>
      <c r="K638"/>
      <c r="L638"/>
      <c r="M638"/>
    </row>
    <row r="639" spans="1:13" x14ac:dyDescent="0.35">
      <c r="A639"/>
      <c r="B639"/>
      <c r="C639"/>
      <c r="E639"/>
      <c r="F639"/>
      <c r="G639"/>
      <c r="H639"/>
      <c r="I639"/>
      <c r="J639"/>
      <c r="K639"/>
      <c r="L639"/>
      <c r="M639"/>
    </row>
    <row r="640" spans="1:13" x14ac:dyDescent="0.35">
      <c r="A640"/>
      <c r="B640"/>
      <c r="C640"/>
      <c r="E640"/>
      <c r="F640"/>
      <c r="G640"/>
      <c r="H640"/>
      <c r="I640"/>
      <c r="J640"/>
      <c r="K640"/>
      <c r="L640"/>
      <c r="M640"/>
    </row>
    <row r="641" spans="1:13" x14ac:dyDescent="0.35">
      <c r="A641"/>
      <c r="B641"/>
      <c r="C641"/>
      <c r="E641"/>
      <c r="F641"/>
      <c r="G641"/>
      <c r="H641"/>
      <c r="I641"/>
      <c r="J641"/>
      <c r="K641"/>
      <c r="L641"/>
      <c r="M641"/>
    </row>
    <row r="642" spans="1:13" x14ac:dyDescent="0.35">
      <c r="A642"/>
      <c r="B642"/>
      <c r="C642"/>
      <c r="E642"/>
      <c r="F642"/>
      <c r="G642"/>
      <c r="H642"/>
      <c r="I642"/>
      <c r="J642"/>
      <c r="K642"/>
      <c r="L642"/>
      <c r="M642"/>
    </row>
    <row r="643" spans="1:13" x14ac:dyDescent="0.35">
      <c r="A643"/>
      <c r="B643"/>
      <c r="C643"/>
      <c r="E643"/>
      <c r="F643"/>
      <c r="G643"/>
      <c r="H643"/>
      <c r="I643"/>
      <c r="J643"/>
      <c r="K643"/>
      <c r="L643"/>
      <c r="M643"/>
    </row>
    <row r="644" spans="1:13" x14ac:dyDescent="0.35">
      <c r="A644"/>
      <c r="B644"/>
      <c r="C644"/>
      <c r="E644"/>
      <c r="F644"/>
      <c r="G644"/>
      <c r="H644"/>
      <c r="I644"/>
      <c r="J644"/>
      <c r="K644"/>
      <c r="L644"/>
      <c r="M644"/>
    </row>
    <row r="645" spans="1:13" x14ac:dyDescent="0.35">
      <c r="A645"/>
      <c r="B645"/>
      <c r="C645"/>
      <c r="E645"/>
      <c r="F645"/>
      <c r="G645"/>
      <c r="H645"/>
      <c r="I645"/>
      <c r="J645"/>
      <c r="K645"/>
      <c r="L645"/>
      <c r="M645"/>
    </row>
    <row r="646" spans="1:13" x14ac:dyDescent="0.35">
      <c r="A646"/>
      <c r="B646"/>
      <c r="C646"/>
      <c r="E646"/>
      <c r="F646"/>
      <c r="G646"/>
      <c r="H646"/>
      <c r="I646"/>
      <c r="J646"/>
      <c r="K646"/>
      <c r="L646"/>
      <c r="M646"/>
    </row>
    <row r="647" spans="1:13" x14ac:dyDescent="0.35">
      <c r="A647"/>
      <c r="B647"/>
      <c r="C647"/>
      <c r="E647"/>
      <c r="F647"/>
      <c r="G647"/>
      <c r="H647"/>
      <c r="I647"/>
      <c r="J647"/>
      <c r="K647"/>
      <c r="L647"/>
      <c r="M647"/>
    </row>
    <row r="648" spans="1:13" x14ac:dyDescent="0.35">
      <c r="A648"/>
      <c r="B648"/>
      <c r="C648"/>
      <c r="E648"/>
      <c r="F648"/>
      <c r="G648"/>
      <c r="H648"/>
      <c r="I648"/>
      <c r="J648"/>
      <c r="K648"/>
      <c r="L648"/>
      <c r="M648"/>
    </row>
    <row r="649" spans="1:13" x14ac:dyDescent="0.35">
      <c r="A649"/>
      <c r="B649"/>
      <c r="C649"/>
      <c r="E649"/>
      <c r="F649"/>
      <c r="G649"/>
      <c r="H649"/>
      <c r="I649"/>
      <c r="J649"/>
      <c r="K649"/>
      <c r="L649"/>
      <c r="M649"/>
    </row>
    <row r="650" spans="1:13" x14ac:dyDescent="0.35">
      <c r="A650"/>
      <c r="B650"/>
      <c r="C650"/>
      <c r="E650"/>
      <c r="F650"/>
      <c r="G650"/>
      <c r="H650"/>
      <c r="I650"/>
      <c r="J650"/>
      <c r="K650"/>
      <c r="L650"/>
      <c r="M650"/>
    </row>
    <row r="651" spans="1:13" x14ac:dyDescent="0.35">
      <c r="A651"/>
      <c r="B651"/>
      <c r="C651"/>
      <c r="E651"/>
      <c r="F651"/>
      <c r="G651"/>
      <c r="H651"/>
      <c r="I651"/>
      <c r="J651"/>
      <c r="K651"/>
      <c r="L651"/>
      <c r="M651"/>
    </row>
    <row r="652" spans="1:13" x14ac:dyDescent="0.35">
      <c r="A652"/>
      <c r="B652"/>
      <c r="C652"/>
      <c r="E652"/>
      <c r="F652"/>
      <c r="G652"/>
      <c r="H652"/>
      <c r="I652"/>
      <c r="J652"/>
      <c r="K652"/>
      <c r="L652"/>
      <c r="M652"/>
    </row>
    <row r="653" spans="1:13" x14ac:dyDescent="0.35">
      <c r="A653"/>
      <c r="B653"/>
      <c r="C653"/>
      <c r="E653"/>
      <c r="F653"/>
      <c r="G653"/>
      <c r="H653"/>
      <c r="I653"/>
      <c r="J653"/>
      <c r="K653"/>
      <c r="L653"/>
      <c r="M653"/>
    </row>
    <row r="654" spans="1:13" x14ac:dyDescent="0.35">
      <c r="A654"/>
      <c r="B654"/>
      <c r="C654"/>
      <c r="E654"/>
      <c r="F654"/>
      <c r="G654"/>
      <c r="H654"/>
      <c r="I654"/>
      <c r="J654"/>
      <c r="K654"/>
      <c r="L654"/>
      <c r="M654"/>
    </row>
    <row r="655" spans="1:13" x14ac:dyDescent="0.35">
      <c r="A655"/>
      <c r="B655"/>
      <c r="C655"/>
      <c r="E655"/>
      <c r="F655"/>
      <c r="G655"/>
      <c r="H655"/>
      <c r="I655"/>
      <c r="J655"/>
      <c r="K655"/>
      <c r="L655"/>
      <c r="M655"/>
    </row>
    <row r="656" spans="1:13" x14ac:dyDescent="0.35">
      <c r="A656"/>
      <c r="B656"/>
      <c r="C656"/>
      <c r="E656"/>
      <c r="F656"/>
      <c r="G656"/>
      <c r="H656"/>
      <c r="I656"/>
      <c r="J656"/>
      <c r="K656"/>
      <c r="L656"/>
      <c r="M656"/>
    </row>
    <row r="657" spans="1:13" x14ac:dyDescent="0.35">
      <c r="A657"/>
      <c r="B657"/>
      <c r="C657"/>
      <c r="E657"/>
      <c r="F657"/>
      <c r="G657"/>
      <c r="H657"/>
      <c r="I657"/>
      <c r="J657"/>
      <c r="K657"/>
      <c r="L657"/>
      <c r="M657"/>
    </row>
    <row r="658" spans="1:13" x14ac:dyDescent="0.35">
      <c r="A658"/>
      <c r="B658"/>
      <c r="C658"/>
      <c r="E658"/>
      <c r="F658"/>
      <c r="G658"/>
      <c r="H658"/>
      <c r="I658"/>
      <c r="J658"/>
      <c r="K658"/>
      <c r="L658"/>
      <c r="M658"/>
    </row>
    <row r="659" spans="1:13" x14ac:dyDescent="0.35">
      <c r="A659"/>
      <c r="B659"/>
      <c r="C659"/>
      <c r="E659"/>
      <c r="F659"/>
      <c r="G659"/>
      <c r="H659"/>
      <c r="I659"/>
      <c r="J659"/>
      <c r="K659"/>
      <c r="L659"/>
      <c r="M659"/>
    </row>
    <row r="660" spans="1:13" x14ac:dyDescent="0.35">
      <c r="A660"/>
      <c r="B660"/>
      <c r="C660"/>
      <c r="E660"/>
      <c r="F660"/>
      <c r="G660"/>
      <c r="H660"/>
      <c r="I660"/>
      <c r="J660"/>
      <c r="K660"/>
      <c r="L660"/>
      <c r="M660"/>
    </row>
    <row r="661" spans="1:13" x14ac:dyDescent="0.35">
      <c r="A661"/>
      <c r="B661"/>
      <c r="C661"/>
      <c r="E661"/>
      <c r="F661"/>
      <c r="G661"/>
      <c r="H661"/>
      <c r="I661"/>
      <c r="J661"/>
      <c r="K661"/>
      <c r="L661"/>
      <c r="M661"/>
    </row>
    <row r="662" spans="1:13" x14ac:dyDescent="0.35">
      <c r="A662"/>
      <c r="B662"/>
      <c r="C662"/>
      <c r="E662"/>
      <c r="F662"/>
      <c r="G662"/>
      <c r="H662"/>
      <c r="I662"/>
      <c r="J662"/>
      <c r="K662"/>
      <c r="L662"/>
      <c r="M662"/>
    </row>
    <row r="663" spans="1:13" x14ac:dyDescent="0.35">
      <c r="A663"/>
      <c r="B663"/>
      <c r="C663"/>
      <c r="E663"/>
      <c r="F663"/>
      <c r="G663"/>
      <c r="H663"/>
      <c r="I663"/>
      <c r="J663"/>
      <c r="K663"/>
      <c r="L663"/>
      <c r="M663"/>
    </row>
    <row r="664" spans="1:13" x14ac:dyDescent="0.35">
      <c r="A664"/>
      <c r="B664"/>
      <c r="C664"/>
      <c r="E664"/>
      <c r="F664"/>
      <c r="G664"/>
      <c r="H664"/>
      <c r="I664"/>
      <c r="J664"/>
      <c r="K664"/>
      <c r="L664"/>
      <c r="M664"/>
    </row>
    <row r="665" spans="1:13" x14ac:dyDescent="0.35">
      <c r="A665"/>
      <c r="B665"/>
      <c r="C665"/>
      <c r="E665"/>
      <c r="F665"/>
      <c r="G665"/>
      <c r="H665"/>
      <c r="I665"/>
      <c r="J665"/>
      <c r="K665"/>
      <c r="L665"/>
      <c r="M665"/>
    </row>
    <row r="666" spans="1:13" x14ac:dyDescent="0.35">
      <c r="A666"/>
      <c r="B666"/>
      <c r="C666"/>
      <c r="E666"/>
      <c r="F666"/>
      <c r="G666"/>
      <c r="H666"/>
      <c r="I666"/>
      <c r="J666"/>
      <c r="K666"/>
      <c r="L666"/>
      <c r="M666"/>
    </row>
    <row r="667" spans="1:13" x14ac:dyDescent="0.35">
      <c r="A667"/>
      <c r="B667"/>
      <c r="C667"/>
      <c r="E667"/>
      <c r="F667"/>
      <c r="G667"/>
      <c r="H667"/>
      <c r="I667"/>
      <c r="J667"/>
      <c r="K667"/>
      <c r="L667"/>
      <c r="M667"/>
    </row>
    <row r="668" spans="1:13" x14ac:dyDescent="0.35">
      <c r="A668"/>
      <c r="B668"/>
      <c r="C668"/>
      <c r="E668"/>
      <c r="F668"/>
      <c r="G668"/>
      <c r="H668"/>
      <c r="I668"/>
      <c r="J668"/>
      <c r="K668"/>
      <c r="L668"/>
      <c r="M668"/>
    </row>
    <row r="669" spans="1:13" x14ac:dyDescent="0.35">
      <c r="A669"/>
      <c r="B669"/>
      <c r="C669"/>
      <c r="E669"/>
      <c r="F669"/>
      <c r="G669"/>
      <c r="H669"/>
      <c r="I669"/>
      <c r="J669"/>
      <c r="K669"/>
      <c r="L669"/>
      <c r="M669"/>
    </row>
    <row r="670" spans="1:13" x14ac:dyDescent="0.35">
      <c r="A670"/>
      <c r="B670"/>
      <c r="C670"/>
      <c r="E670"/>
      <c r="F670"/>
      <c r="G670"/>
      <c r="H670"/>
      <c r="I670"/>
      <c r="J670"/>
      <c r="K670"/>
      <c r="L670"/>
      <c r="M670"/>
    </row>
    <row r="671" spans="1:13" x14ac:dyDescent="0.35">
      <c r="A671"/>
      <c r="B671"/>
      <c r="C671"/>
      <c r="E671"/>
      <c r="F671"/>
      <c r="G671"/>
      <c r="H671"/>
      <c r="I671"/>
      <c r="J671"/>
      <c r="K671"/>
      <c r="L671"/>
      <c r="M671"/>
    </row>
    <row r="672" spans="1:13" x14ac:dyDescent="0.35">
      <c r="A672"/>
      <c r="B672"/>
      <c r="C672"/>
      <c r="E672"/>
      <c r="F672"/>
      <c r="G672"/>
      <c r="H672"/>
      <c r="I672"/>
      <c r="J672"/>
      <c r="K672"/>
      <c r="L672"/>
      <c r="M672"/>
    </row>
    <row r="673" spans="1:13" x14ac:dyDescent="0.35">
      <c r="A673"/>
      <c r="B673"/>
      <c r="C673"/>
      <c r="E673"/>
      <c r="F673"/>
      <c r="G673"/>
      <c r="H673"/>
      <c r="I673"/>
      <c r="J673"/>
      <c r="K673"/>
      <c r="L673"/>
      <c r="M673"/>
    </row>
    <row r="674" spans="1:13" x14ac:dyDescent="0.35">
      <c r="A674"/>
      <c r="B674"/>
      <c r="C674"/>
      <c r="E674"/>
      <c r="F674"/>
      <c r="G674"/>
      <c r="H674"/>
      <c r="I674"/>
      <c r="J674"/>
      <c r="K674"/>
      <c r="L674"/>
      <c r="M674"/>
    </row>
    <row r="675" spans="1:13" x14ac:dyDescent="0.35">
      <c r="A675"/>
      <c r="B675"/>
      <c r="C675"/>
      <c r="E675"/>
      <c r="F675"/>
      <c r="G675"/>
      <c r="H675"/>
      <c r="I675"/>
      <c r="J675"/>
      <c r="K675"/>
      <c r="L675"/>
      <c r="M675"/>
    </row>
    <row r="676" spans="1:13" x14ac:dyDescent="0.35">
      <c r="A676"/>
      <c r="B676"/>
      <c r="C676"/>
      <c r="E676"/>
      <c r="F676"/>
      <c r="G676"/>
      <c r="H676"/>
      <c r="I676"/>
      <c r="J676"/>
      <c r="K676"/>
      <c r="L676"/>
      <c r="M676"/>
    </row>
    <row r="677" spans="1:13" x14ac:dyDescent="0.35">
      <c r="A677"/>
      <c r="B677"/>
      <c r="C677"/>
      <c r="E677"/>
      <c r="F677"/>
      <c r="G677"/>
      <c r="H677"/>
      <c r="I677"/>
      <c r="J677"/>
      <c r="K677"/>
      <c r="L677"/>
      <c r="M677"/>
    </row>
    <row r="678" spans="1:13" x14ac:dyDescent="0.35">
      <c r="A678"/>
      <c r="B678"/>
      <c r="C678"/>
      <c r="E678"/>
      <c r="F678"/>
      <c r="G678"/>
      <c r="H678"/>
      <c r="I678"/>
      <c r="J678"/>
      <c r="K678"/>
      <c r="L678"/>
      <c r="M678"/>
    </row>
    <row r="679" spans="1:13" x14ac:dyDescent="0.35">
      <c r="A679"/>
      <c r="B679"/>
      <c r="C679"/>
      <c r="E679"/>
      <c r="F679"/>
      <c r="G679"/>
      <c r="H679"/>
      <c r="I679"/>
      <c r="J679"/>
      <c r="K679"/>
      <c r="L679"/>
      <c r="M679"/>
    </row>
    <row r="680" spans="1:13" x14ac:dyDescent="0.35">
      <c r="A680"/>
      <c r="B680"/>
      <c r="C680"/>
      <c r="E680"/>
      <c r="F680"/>
      <c r="G680"/>
      <c r="H680"/>
      <c r="I680"/>
      <c r="J680"/>
      <c r="K680"/>
      <c r="L680"/>
      <c r="M680"/>
    </row>
    <row r="681" spans="1:13" x14ac:dyDescent="0.35">
      <c r="A681"/>
      <c r="B681"/>
      <c r="C681"/>
      <c r="E681"/>
      <c r="F681"/>
      <c r="G681"/>
      <c r="H681"/>
      <c r="I681"/>
      <c r="J681"/>
      <c r="K681"/>
      <c r="L681"/>
      <c r="M681"/>
    </row>
    <row r="682" spans="1:13" x14ac:dyDescent="0.35">
      <c r="A682"/>
      <c r="B682"/>
      <c r="C682"/>
      <c r="E682"/>
      <c r="F682"/>
      <c r="G682"/>
      <c r="H682"/>
      <c r="I682"/>
      <c r="J682"/>
      <c r="K682"/>
      <c r="L682"/>
      <c r="M682"/>
    </row>
    <row r="683" spans="1:13" x14ac:dyDescent="0.35">
      <c r="A683"/>
      <c r="B683"/>
      <c r="C683"/>
      <c r="E683"/>
      <c r="F683"/>
      <c r="G683"/>
      <c r="H683"/>
      <c r="I683"/>
      <c r="J683"/>
      <c r="K683"/>
      <c r="L683"/>
      <c r="M683"/>
    </row>
    <row r="684" spans="1:13" x14ac:dyDescent="0.35">
      <c r="A684"/>
      <c r="B684"/>
      <c r="C684"/>
      <c r="E684"/>
      <c r="F684"/>
      <c r="G684"/>
      <c r="H684"/>
      <c r="I684"/>
      <c r="J684"/>
      <c r="K684"/>
      <c r="L684"/>
      <c r="M684"/>
    </row>
    <row r="685" spans="1:13" x14ac:dyDescent="0.35">
      <c r="A685"/>
      <c r="B685"/>
      <c r="C685"/>
      <c r="E685"/>
      <c r="F685"/>
      <c r="G685"/>
      <c r="H685"/>
      <c r="I685"/>
      <c r="J685"/>
      <c r="K685"/>
      <c r="L685"/>
      <c r="M685"/>
    </row>
    <row r="686" spans="1:13" x14ac:dyDescent="0.35">
      <c r="A686"/>
      <c r="B686"/>
      <c r="C686"/>
      <c r="E686"/>
      <c r="F686"/>
      <c r="G686"/>
      <c r="H686"/>
      <c r="I686"/>
      <c r="J686"/>
      <c r="K686"/>
      <c r="L686"/>
      <c r="M686"/>
    </row>
    <row r="687" spans="1:13" x14ac:dyDescent="0.35">
      <c r="A687"/>
      <c r="B687"/>
      <c r="C687"/>
      <c r="E687"/>
      <c r="F687"/>
      <c r="G687"/>
      <c r="H687"/>
      <c r="I687"/>
      <c r="J687"/>
      <c r="K687"/>
      <c r="L687"/>
      <c r="M687"/>
    </row>
    <row r="688" spans="1:13" x14ac:dyDescent="0.35">
      <c r="A688"/>
      <c r="B688"/>
      <c r="C688"/>
      <c r="E688"/>
      <c r="F688"/>
      <c r="G688"/>
      <c r="H688"/>
      <c r="I688"/>
      <c r="J688"/>
      <c r="K688"/>
      <c r="L688"/>
      <c r="M688"/>
    </row>
    <row r="689" spans="1:13" x14ac:dyDescent="0.35">
      <c r="A689"/>
      <c r="B689"/>
      <c r="C689"/>
      <c r="E689"/>
      <c r="F689"/>
      <c r="G689"/>
      <c r="H689"/>
      <c r="I689"/>
      <c r="J689"/>
      <c r="K689"/>
      <c r="L689"/>
      <c r="M689"/>
    </row>
    <row r="690" spans="1:13" x14ac:dyDescent="0.35">
      <c r="A690"/>
      <c r="B690"/>
      <c r="C690"/>
      <c r="E690"/>
      <c r="F690"/>
      <c r="G690"/>
      <c r="H690"/>
      <c r="I690"/>
      <c r="J690"/>
      <c r="K690"/>
      <c r="L690"/>
      <c r="M690"/>
    </row>
    <row r="691" spans="1:13" x14ac:dyDescent="0.35">
      <c r="A691"/>
      <c r="B691"/>
      <c r="C691"/>
      <c r="E691"/>
      <c r="F691"/>
      <c r="G691"/>
      <c r="H691"/>
      <c r="I691"/>
      <c r="J691"/>
      <c r="K691"/>
      <c r="L691"/>
      <c r="M691"/>
    </row>
    <row r="692" spans="1:13" x14ac:dyDescent="0.35">
      <c r="A692"/>
      <c r="B692"/>
      <c r="C692"/>
      <c r="E692"/>
      <c r="F692"/>
      <c r="G692"/>
      <c r="H692"/>
      <c r="I692"/>
      <c r="J692"/>
      <c r="K692"/>
      <c r="L692"/>
      <c r="M692"/>
    </row>
    <row r="693" spans="1:13" x14ac:dyDescent="0.35">
      <c r="A693"/>
      <c r="B693"/>
      <c r="C693"/>
      <c r="E693"/>
      <c r="F693"/>
      <c r="G693"/>
      <c r="H693"/>
      <c r="I693"/>
      <c r="J693"/>
      <c r="K693"/>
      <c r="L693"/>
      <c r="M693"/>
    </row>
    <row r="694" spans="1:13" x14ac:dyDescent="0.35">
      <c r="A694"/>
      <c r="B694"/>
      <c r="C694"/>
      <c r="E694"/>
      <c r="F694"/>
      <c r="G694"/>
      <c r="H694"/>
      <c r="I694"/>
      <c r="J694"/>
      <c r="K694"/>
      <c r="L694"/>
      <c r="M694"/>
    </row>
    <row r="695" spans="1:13" x14ac:dyDescent="0.35">
      <c r="A695"/>
      <c r="B695"/>
      <c r="C695"/>
      <c r="E695"/>
      <c r="F695"/>
      <c r="G695"/>
      <c r="H695"/>
      <c r="I695"/>
      <c r="J695"/>
      <c r="K695"/>
      <c r="L695"/>
      <c r="M695"/>
    </row>
    <row r="696" spans="1:13" x14ac:dyDescent="0.35">
      <c r="A696"/>
      <c r="B696"/>
      <c r="C696"/>
      <c r="E696"/>
      <c r="F696"/>
      <c r="G696"/>
      <c r="H696"/>
      <c r="I696"/>
      <c r="J696"/>
      <c r="K696"/>
      <c r="L696"/>
      <c r="M696"/>
    </row>
    <row r="697" spans="1:13" x14ac:dyDescent="0.35">
      <c r="A697"/>
      <c r="B697"/>
      <c r="C697"/>
      <c r="E697"/>
      <c r="F697"/>
      <c r="G697"/>
      <c r="H697"/>
      <c r="I697"/>
      <c r="J697"/>
      <c r="K697"/>
      <c r="L697"/>
      <c r="M697"/>
    </row>
    <row r="698" spans="1:13" x14ac:dyDescent="0.35">
      <c r="A698"/>
      <c r="B698"/>
      <c r="C698"/>
      <c r="E698"/>
      <c r="F698"/>
      <c r="G698"/>
      <c r="H698"/>
      <c r="I698"/>
      <c r="J698"/>
      <c r="K698"/>
      <c r="L698"/>
      <c r="M698"/>
    </row>
    <row r="699" spans="1:13" x14ac:dyDescent="0.35">
      <c r="A699"/>
      <c r="B699"/>
      <c r="C699"/>
      <c r="E699"/>
      <c r="F699"/>
      <c r="G699"/>
      <c r="H699"/>
      <c r="I699"/>
      <c r="J699"/>
      <c r="K699"/>
      <c r="L699"/>
      <c r="M699"/>
    </row>
    <row r="700" spans="1:13" x14ac:dyDescent="0.35">
      <c r="A700"/>
      <c r="B700"/>
      <c r="C700"/>
      <c r="E700"/>
      <c r="F700"/>
      <c r="G700"/>
      <c r="H700"/>
      <c r="I700"/>
      <c r="J700"/>
      <c r="K700"/>
      <c r="L700"/>
      <c r="M700"/>
    </row>
    <row r="701" spans="1:13" x14ac:dyDescent="0.35">
      <c r="A701"/>
      <c r="B701"/>
      <c r="C701"/>
      <c r="E701"/>
      <c r="F701"/>
      <c r="G701"/>
      <c r="H701"/>
      <c r="I701"/>
      <c r="J701"/>
      <c r="K701"/>
      <c r="L701"/>
      <c r="M701"/>
    </row>
    <row r="702" spans="1:13" x14ac:dyDescent="0.35">
      <c r="A702"/>
      <c r="B702"/>
      <c r="C702"/>
      <c r="E702"/>
      <c r="F702"/>
      <c r="G702"/>
      <c r="H702"/>
      <c r="I702"/>
      <c r="J702"/>
      <c r="K702"/>
      <c r="L702"/>
      <c r="M702"/>
    </row>
    <row r="703" spans="1:13" x14ac:dyDescent="0.35">
      <c r="A703"/>
      <c r="B703"/>
      <c r="C703"/>
      <c r="E703"/>
      <c r="F703"/>
      <c r="G703"/>
      <c r="H703"/>
      <c r="I703"/>
      <c r="J703"/>
      <c r="K703"/>
      <c r="L703"/>
      <c r="M703"/>
    </row>
    <row r="704" spans="1:13" x14ac:dyDescent="0.35">
      <c r="A704"/>
      <c r="B704"/>
      <c r="C704"/>
      <c r="E704"/>
      <c r="F704"/>
      <c r="G704"/>
      <c r="H704"/>
      <c r="I704"/>
      <c r="J704"/>
      <c r="K704"/>
      <c r="L704"/>
      <c r="M704"/>
    </row>
    <row r="705" spans="1:13" x14ac:dyDescent="0.35">
      <c r="A705"/>
      <c r="B705"/>
      <c r="C705"/>
      <c r="E705"/>
      <c r="F705"/>
      <c r="G705"/>
      <c r="H705"/>
      <c r="I705"/>
      <c r="J705"/>
      <c r="K705"/>
      <c r="L705"/>
      <c r="M705"/>
    </row>
    <row r="706" spans="1:13" x14ac:dyDescent="0.35">
      <c r="A706"/>
      <c r="B706"/>
      <c r="C706"/>
      <c r="E706"/>
      <c r="F706"/>
      <c r="G706"/>
      <c r="H706"/>
      <c r="I706"/>
      <c r="J706"/>
      <c r="K706"/>
      <c r="L706"/>
      <c r="M706"/>
    </row>
    <row r="707" spans="1:13" x14ac:dyDescent="0.35">
      <c r="A707"/>
      <c r="B707"/>
      <c r="C707"/>
      <c r="E707"/>
      <c r="F707"/>
      <c r="G707"/>
      <c r="H707"/>
      <c r="I707"/>
      <c r="J707"/>
      <c r="K707"/>
      <c r="L707"/>
      <c r="M707"/>
    </row>
    <row r="708" spans="1:13" x14ac:dyDescent="0.35">
      <c r="A708"/>
      <c r="B708"/>
      <c r="C708"/>
      <c r="E708"/>
      <c r="F708"/>
      <c r="G708"/>
      <c r="H708"/>
      <c r="I708"/>
      <c r="J708"/>
      <c r="K708"/>
      <c r="L708"/>
      <c r="M708"/>
    </row>
    <row r="709" spans="1:13" x14ac:dyDescent="0.35">
      <c r="A709"/>
      <c r="B709"/>
      <c r="C709"/>
      <c r="E709"/>
      <c r="F709"/>
      <c r="G709"/>
      <c r="H709"/>
      <c r="I709"/>
      <c r="J709"/>
      <c r="K709"/>
      <c r="L709"/>
      <c r="M709"/>
    </row>
    <row r="710" spans="1:13" x14ac:dyDescent="0.35">
      <c r="A710"/>
      <c r="B710"/>
      <c r="C710"/>
      <c r="E710"/>
      <c r="F710"/>
      <c r="G710"/>
      <c r="H710"/>
      <c r="I710"/>
      <c r="J710"/>
      <c r="K710"/>
      <c r="L710"/>
      <c r="M710"/>
    </row>
    <row r="711" spans="1:13" x14ac:dyDescent="0.35">
      <c r="A711"/>
      <c r="B711"/>
      <c r="C711"/>
      <c r="E711"/>
      <c r="F711"/>
      <c r="G711"/>
      <c r="H711"/>
      <c r="I711"/>
      <c r="J711"/>
      <c r="K711"/>
      <c r="L711"/>
      <c r="M711"/>
    </row>
    <row r="712" spans="1:13" x14ac:dyDescent="0.35">
      <c r="A712"/>
      <c r="B712"/>
      <c r="C712"/>
      <c r="E712"/>
      <c r="F712"/>
      <c r="G712"/>
      <c r="H712"/>
      <c r="I712"/>
      <c r="J712"/>
      <c r="K712"/>
      <c r="L712"/>
      <c r="M712"/>
    </row>
    <row r="713" spans="1:13" x14ac:dyDescent="0.35">
      <c r="A713"/>
      <c r="B713"/>
      <c r="C713"/>
      <c r="E713"/>
      <c r="F713"/>
      <c r="G713"/>
      <c r="H713"/>
      <c r="I713"/>
      <c r="J713"/>
      <c r="K713"/>
      <c r="L713"/>
      <c r="M713"/>
    </row>
    <row r="714" spans="1:13" x14ac:dyDescent="0.35">
      <c r="A714"/>
      <c r="B714"/>
      <c r="C714"/>
      <c r="E714"/>
      <c r="F714"/>
      <c r="G714"/>
      <c r="H714"/>
      <c r="I714"/>
      <c r="J714"/>
      <c r="K714"/>
      <c r="L714"/>
      <c r="M714"/>
    </row>
    <row r="715" spans="1:13" x14ac:dyDescent="0.35">
      <c r="A715"/>
      <c r="B715"/>
      <c r="C715"/>
      <c r="E715"/>
      <c r="F715"/>
      <c r="G715"/>
      <c r="H715"/>
      <c r="I715"/>
      <c r="J715"/>
      <c r="K715"/>
      <c r="L715"/>
      <c r="M715"/>
    </row>
    <row r="716" spans="1:13" x14ac:dyDescent="0.35">
      <c r="A716"/>
      <c r="B716"/>
      <c r="C716"/>
      <c r="E716"/>
      <c r="F716"/>
      <c r="G716"/>
      <c r="H716"/>
      <c r="I716"/>
      <c r="J716"/>
      <c r="K716"/>
      <c r="L716"/>
      <c r="M716"/>
    </row>
    <row r="717" spans="1:13" x14ac:dyDescent="0.35">
      <c r="A717"/>
      <c r="B717"/>
      <c r="C717"/>
      <c r="E717"/>
      <c r="F717"/>
      <c r="G717"/>
      <c r="H717"/>
      <c r="I717"/>
      <c r="J717"/>
      <c r="K717"/>
      <c r="L717"/>
      <c r="M717"/>
    </row>
    <row r="718" spans="1:13" x14ac:dyDescent="0.35">
      <c r="A718"/>
      <c r="B718"/>
      <c r="C718"/>
      <c r="E718"/>
      <c r="F718"/>
      <c r="G718"/>
      <c r="H718"/>
      <c r="I718"/>
      <c r="J718"/>
      <c r="K718"/>
      <c r="L718"/>
      <c r="M718"/>
    </row>
    <row r="719" spans="1:13" x14ac:dyDescent="0.35">
      <c r="A719"/>
      <c r="B719"/>
      <c r="C719"/>
      <c r="E719"/>
      <c r="F719"/>
      <c r="G719"/>
      <c r="H719"/>
      <c r="I719"/>
      <c r="J719"/>
      <c r="K719"/>
      <c r="L719"/>
      <c r="M719"/>
    </row>
    <row r="720" spans="1:13" x14ac:dyDescent="0.35">
      <c r="A720"/>
      <c r="B720"/>
      <c r="C720"/>
      <c r="E720"/>
      <c r="F720"/>
      <c r="G720"/>
      <c r="H720"/>
      <c r="I720"/>
      <c r="J720"/>
      <c r="K720"/>
      <c r="L720"/>
      <c r="M720"/>
    </row>
    <row r="721" spans="1:13" x14ac:dyDescent="0.35">
      <c r="A721"/>
      <c r="B721"/>
      <c r="C721"/>
      <c r="E721"/>
      <c r="F721"/>
      <c r="G721"/>
      <c r="H721"/>
      <c r="I721"/>
      <c r="J721"/>
      <c r="K721"/>
      <c r="L721"/>
      <c r="M721"/>
    </row>
    <row r="722" spans="1:13" x14ac:dyDescent="0.35">
      <c r="A722"/>
      <c r="B722"/>
      <c r="C722"/>
      <c r="E722"/>
      <c r="F722"/>
      <c r="G722"/>
      <c r="H722"/>
      <c r="I722"/>
      <c r="J722"/>
      <c r="K722"/>
      <c r="L722"/>
      <c r="M722"/>
    </row>
    <row r="723" spans="1:13" x14ac:dyDescent="0.35">
      <c r="A723"/>
      <c r="B723"/>
      <c r="C723"/>
      <c r="E723"/>
      <c r="F723"/>
      <c r="G723"/>
      <c r="H723"/>
      <c r="I723"/>
      <c r="J723"/>
      <c r="K723"/>
      <c r="L723"/>
      <c r="M723"/>
    </row>
    <row r="724" spans="1:13" x14ac:dyDescent="0.35">
      <c r="A724"/>
      <c r="B724"/>
      <c r="C724"/>
      <c r="E724"/>
      <c r="F724"/>
      <c r="G724"/>
      <c r="H724"/>
      <c r="I724"/>
      <c r="J724"/>
      <c r="K724"/>
      <c r="L724"/>
      <c r="M724"/>
    </row>
    <row r="725" spans="1:13" x14ac:dyDescent="0.35">
      <c r="A725"/>
      <c r="B725"/>
      <c r="C725"/>
      <c r="E725"/>
      <c r="F725"/>
      <c r="G725"/>
      <c r="H725"/>
      <c r="I725"/>
      <c r="J725"/>
      <c r="K725"/>
      <c r="L725"/>
      <c r="M725"/>
    </row>
    <row r="726" spans="1:13" x14ac:dyDescent="0.35">
      <c r="A726"/>
      <c r="B726"/>
      <c r="C726"/>
      <c r="E726"/>
      <c r="F726"/>
      <c r="G726"/>
      <c r="H726"/>
      <c r="I726"/>
      <c r="J726"/>
      <c r="K726"/>
      <c r="L726"/>
      <c r="M726"/>
    </row>
    <row r="727" spans="1:13" x14ac:dyDescent="0.35">
      <c r="A727"/>
      <c r="B727"/>
      <c r="C727"/>
      <c r="E727"/>
      <c r="F727"/>
      <c r="G727"/>
      <c r="H727"/>
      <c r="I727"/>
      <c r="J727"/>
      <c r="K727"/>
      <c r="L727"/>
      <c r="M727"/>
    </row>
    <row r="728" spans="1:13" x14ac:dyDescent="0.35">
      <c r="A728"/>
      <c r="B728"/>
      <c r="C728"/>
      <c r="E728"/>
      <c r="F728"/>
      <c r="G728"/>
      <c r="H728"/>
      <c r="I728"/>
      <c r="J728"/>
      <c r="K728"/>
      <c r="L728"/>
      <c r="M728"/>
    </row>
    <row r="729" spans="1:13" x14ac:dyDescent="0.35">
      <c r="A729"/>
      <c r="B729"/>
      <c r="C729"/>
      <c r="E729"/>
      <c r="F729"/>
      <c r="G729"/>
      <c r="H729"/>
      <c r="I729"/>
      <c r="J729"/>
      <c r="K729"/>
      <c r="L729"/>
      <c r="M729"/>
    </row>
    <row r="730" spans="1:13" x14ac:dyDescent="0.35">
      <c r="A730"/>
      <c r="B730"/>
      <c r="C730"/>
      <c r="E730"/>
      <c r="F730"/>
      <c r="G730"/>
      <c r="H730"/>
      <c r="I730"/>
      <c r="J730"/>
      <c r="K730"/>
      <c r="L730"/>
      <c r="M730"/>
    </row>
    <row r="731" spans="1:13" x14ac:dyDescent="0.35">
      <c r="A731"/>
      <c r="B731"/>
      <c r="C731"/>
      <c r="E731"/>
      <c r="F731"/>
      <c r="G731"/>
      <c r="H731"/>
      <c r="I731"/>
      <c r="J731"/>
      <c r="K731"/>
      <c r="L731"/>
      <c r="M731"/>
    </row>
    <row r="732" spans="1:13" x14ac:dyDescent="0.35">
      <c r="A732"/>
      <c r="B732"/>
      <c r="C732"/>
      <c r="E732"/>
      <c r="F732"/>
      <c r="G732"/>
      <c r="H732"/>
      <c r="I732"/>
      <c r="J732"/>
      <c r="K732"/>
      <c r="L732"/>
      <c r="M732"/>
    </row>
    <row r="733" spans="1:13" x14ac:dyDescent="0.35">
      <c r="A733"/>
      <c r="B733"/>
      <c r="C733"/>
      <c r="E733"/>
      <c r="F733"/>
      <c r="G733"/>
      <c r="H733"/>
      <c r="I733"/>
      <c r="J733"/>
      <c r="K733"/>
      <c r="L733"/>
      <c r="M733"/>
    </row>
    <row r="734" spans="1:13" x14ac:dyDescent="0.35">
      <c r="A734"/>
      <c r="B734"/>
      <c r="C734"/>
      <c r="E734"/>
      <c r="F734"/>
      <c r="G734"/>
      <c r="H734"/>
      <c r="I734"/>
      <c r="J734"/>
      <c r="K734"/>
      <c r="L734"/>
      <c r="M734"/>
    </row>
    <row r="735" spans="1:13" x14ac:dyDescent="0.35">
      <c r="A735"/>
      <c r="B735"/>
      <c r="C735"/>
      <c r="E735"/>
      <c r="F735"/>
      <c r="G735"/>
      <c r="H735"/>
      <c r="I735"/>
      <c r="J735"/>
      <c r="K735"/>
      <c r="L735"/>
      <c r="M735"/>
    </row>
    <row r="736" spans="1:13" x14ac:dyDescent="0.35">
      <c r="A736"/>
      <c r="B736"/>
      <c r="C736"/>
      <c r="E736"/>
      <c r="F736"/>
      <c r="G736"/>
      <c r="H736"/>
      <c r="I736"/>
      <c r="J736"/>
      <c r="K736"/>
      <c r="L736"/>
      <c r="M736"/>
    </row>
    <row r="737" spans="1:13" x14ac:dyDescent="0.35">
      <c r="A737"/>
      <c r="B737"/>
      <c r="C737"/>
      <c r="E737"/>
      <c r="F737"/>
      <c r="G737"/>
      <c r="H737"/>
      <c r="I737"/>
      <c r="J737"/>
      <c r="K737"/>
      <c r="L737"/>
      <c r="M737"/>
    </row>
    <row r="738" spans="1:13" x14ac:dyDescent="0.35">
      <c r="A738"/>
      <c r="B738"/>
      <c r="C738"/>
      <c r="E738"/>
      <c r="F738"/>
      <c r="G738"/>
      <c r="H738"/>
      <c r="I738"/>
      <c r="J738"/>
      <c r="K738"/>
      <c r="L738"/>
      <c r="M738"/>
    </row>
    <row r="739" spans="1:13" x14ac:dyDescent="0.35">
      <c r="A739"/>
      <c r="B739"/>
      <c r="C739"/>
      <c r="E739"/>
      <c r="F739"/>
      <c r="G739"/>
      <c r="H739"/>
      <c r="I739"/>
      <c r="J739"/>
      <c r="K739"/>
      <c r="L739"/>
      <c r="M739"/>
    </row>
    <row r="740" spans="1:13" x14ac:dyDescent="0.35">
      <c r="A740"/>
      <c r="B740"/>
      <c r="C740"/>
      <c r="E740"/>
      <c r="F740"/>
      <c r="G740"/>
      <c r="H740"/>
      <c r="I740"/>
      <c r="J740"/>
      <c r="K740"/>
      <c r="L740"/>
      <c r="M740"/>
    </row>
    <row r="741" spans="1:13" x14ac:dyDescent="0.35">
      <c r="A741"/>
      <c r="B741"/>
      <c r="C741"/>
      <c r="E741"/>
      <c r="F741"/>
      <c r="G741"/>
      <c r="H741"/>
      <c r="I741"/>
      <c r="J741"/>
      <c r="K741"/>
      <c r="L741"/>
      <c r="M741"/>
    </row>
    <row r="742" spans="1:13" x14ac:dyDescent="0.35">
      <c r="A742"/>
      <c r="B742"/>
      <c r="C742"/>
      <c r="E742"/>
      <c r="F742"/>
      <c r="G742"/>
      <c r="H742"/>
      <c r="I742"/>
      <c r="J742"/>
      <c r="K742"/>
      <c r="L742"/>
      <c r="M742"/>
    </row>
    <row r="743" spans="1:13" x14ac:dyDescent="0.35">
      <c r="A743"/>
      <c r="B743"/>
      <c r="C743"/>
      <c r="E743"/>
      <c r="F743"/>
      <c r="G743"/>
      <c r="H743"/>
      <c r="I743"/>
      <c r="J743"/>
      <c r="K743"/>
      <c r="L743"/>
      <c r="M743"/>
    </row>
    <row r="744" spans="1:13" x14ac:dyDescent="0.35">
      <c r="A744"/>
      <c r="B744"/>
      <c r="C744"/>
      <c r="E744"/>
      <c r="F744"/>
      <c r="G744"/>
      <c r="H744"/>
      <c r="I744"/>
      <c r="J744"/>
      <c r="K744"/>
      <c r="L744"/>
      <c r="M744"/>
    </row>
    <row r="745" spans="1:13" x14ac:dyDescent="0.35">
      <c r="A745"/>
      <c r="B745"/>
      <c r="C745"/>
      <c r="E745"/>
      <c r="F745"/>
      <c r="G745"/>
      <c r="H745"/>
      <c r="I745"/>
      <c r="J745"/>
      <c r="K745"/>
      <c r="L745"/>
      <c r="M745"/>
    </row>
    <row r="746" spans="1:13" x14ac:dyDescent="0.35">
      <c r="A746"/>
      <c r="B746"/>
      <c r="C746"/>
      <c r="E746"/>
      <c r="F746"/>
      <c r="G746"/>
      <c r="H746"/>
      <c r="I746"/>
      <c r="J746"/>
      <c r="K746"/>
      <c r="L746"/>
      <c r="M746"/>
    </row>
    <row r="747" spans="1:13" x14ac:dyDescent="0.35">
      <c r="A747"/>
      <c r="B747"/>
      <c r="C747"/>
      <c r="E747"/>
      <c r="F747"/>
      <c r="G747"/>
      <c r="H747"/>
      <c r="I747"/>
      <c r="J747"/>
      <c r="K747"/>
      <c r="L747"/>
      <c r="M747"/>
    </row>
    <row r="748" spans="1:13" x14ac:dyDescent="0.35">
      <c r="A748"/>
      <c r="B748"/>
      <c r="C748"/>
      <c r="E748"/>
      <c r="F748"/>
      <c r="G748"/>
      <c r="H748"/>
      <c r="I748"/>
      <c r="J748"/>
      <c r="K748"/>
      <c r="L748"/>
      <c r="M748"/>
    </row>
    <row r="749" spans="1:13" x14ac:dyDescent="0.35">
      <c r="A749"/>
      <c r="B749"/>
      <c r="C749"/>
      <c r="E749"/>
      <c r="F749"/>
      <c r="G749"/>
      <c r="H749"/>
      <c r="I749"/>
      <c r="J749"/>
      <c r="K749"/>
      <c r="L749"/>
      <c r="M749"/>
    </row>
    <row r="750" spans="1:13" x14ac:dyDescent="0.35">
      <c r="A750"/>
      <c r="B750"/>
      <c r="C750"/>
      <c r="E750"/>
      <c r="F750"/>
      <c r="G750"/>
      <c r="H750"/>
      <c r="I750"/>
      <c r="J750"/>
      <c r="K750"/>
      <c r="L750"/>
      <c r="M750"/>
    </row>
    <row r="751" spans="1:13" x14ac:dyDescent="0.35">
      <c r="A751"/>
      <c r="B751"/>
      <c r="C751"/>
      <c r="E751"/>
      <c r="F751"/>
      <c r="G751"/>
      <c r="H751"/>
      <c r="I751"/>
      <c r="J751"/>
      <c r="K751"/>
      <c r="L751"/>
      <c r="M751"/>
    </row>
    <row r="752" spans="1:13" x14ac:dyDescent="0.35">
      <c r="A752"/>
      <c r="B752"/>
      <c r="C752"/>
      <c r="E752"/>
      <c r="F752"/>
      <c r="G752"/>
      <c r="H752"/>
      <c r="I752"/>
      <c r="J752"/>
      <c r="K752"/>
      <c r="L752"/>
      <c r="M752"/>
    </row>
    <row r="753" spans="1:13" x14ac:dyDescent="0.35">
      <c r="A753"/>
      <c r="B753"/>
      <c r="C753"/>
      <c r="E753"/>
      <c r="F753"/>
      <c r="G753"/>
      <c r="H753"/>
      <c r="I753"/>
      <c r="J753"/>
      <c r="K753"/>
      <c r="L753"/>
      <c r="M753"/>
    </row>
    <row r="754" spans="1:13" x14ac:dyDescent="0.35">
      <c r="A754"/>
      <c r="B754"/>
      <c r="C754"/>
      <c r="E754"/>
      <c r="F754"/>
      <c r="G754"/>
      <c r="H754"/>
      <c r="I754"/>
      <c r="J754"/>
      <c r="K754"/>
      <c r="L754"/>
      <c r="M754"/>
    </row>
    <row r="755" spans="1:13" x14ac:dyDescent="0.35">
      <c r="A755"/>
      <c r="B755"/>
      <c r="C755"/>
      <c r="E755"/>
      <c r="F755"/>
      <c r="G755"/>
      <c r="H755"/>
      <c r="I755"/>
      <c r="J755"/>
      <c r="K755"/>
      <c r="L755"/>
      <c r="M755"/>
    </row>
    <row r="756" spans="1:13" x14ac:dyDescent="0.35">
      <c r="A756"/>
      <c r="B756"/>
      <c r="C756"/>
      <c r="E756"/>
      <c r="F756"/>
      <c r="G756"/>
      <c r="H756"/>
      <c r="I756"/>
      <c r="J756"/>
      <c r="K756"/>
      <c r="L756"/>
      <c r="M756"/>
    </row>
    <row r="757" spans="1:13" x14ac:dyDescent="0.35">
      <c r="A757"/>
      <c r="B757"/>
      <c r="C757"/>
      <c r="E757"/>
      <c r="F757"/>
      <c r="G757"/>
      <c r="H757"/>
      <c r="I757"/>
      <c r="J757"/>
      <c r="K757"/>
      <c r="L757"/>
      <c r="M757"/>
    </row>
    <row r="758" spans="1:13" x14ac:dyDescent="0.35">
      <c r="A758"/>
      <c r="B758"/>
      <c r="C758"/>
      <c r="E758"/>
      <c r="F758"/>
      <c r="G758"/>
      <c r="H758"/>
      <c r="I758"/>
      <c r="J758"/>
      <c r="K758"/>
      <c r="L758"/>
      <c r="M758"/>
    </row>
    <row r="759" spans="1:13" x14ac:dyDescent="0.35">
      <c r="A759"/>
      <c r="B759"/>
      <c r="C759"/>
      <c r="E759"/>
      <c r="F759"/>
      <c r="G759"/>
      <c r="H759"/>
      <c r="I759"/>
      <c r="J759"/>
      <c r="K759"/>
      <c r="L759"/>
      <c r="M759"/>
    </row>
    <row r="760" spans="1:13" x14ac:dyDescent="0.35">
      <c r="A760"/>
      <c r="B760"/>
      <c r="C760"/>
      <c r="E760"/>
      <c r="F760"/>
      <c r="G760"/>
      <c r="H760"/>
      <c r="I760"/>
      <c r="J760"/>
      <c r="K760"/>
      <c r="L760"/>
      <c r="M760"/>
    </row>
    <row r="761" spans="1:13" x14ac:dyDescent="0.35">
      <c r="A761"/>
      <c r="B761"/>
      <c r="C761"/>
      <c r="E761"/>
      <c r="F761"/>
      <c r="G761"/>
      <c r="H761"/>
      <c r="I761"/>
      <c r="J761"/>
      <c r="K761"/>
      <c r="L761"/>
      <c r="M761"/>
    </row>
    <row r="762" spans="1:13" x14ac:dyDescent="0.35">
      <c r="A762"/>
      <c r="B762"/>
      <c r="C762"/>
      <c r="E762"/>
      <c r="F762"/>
      <c r="G762"/>
      <c r="H762"/>
      <c r="I762"/>
      <c r="J762"/>
      <c r="K762"/>
      <c r="L762"/>
      <c r="M762"/>
    </row>
    <row r="763" spans="1:13" x14ac:dyDescent="0.35">
      <c r="A763"/>
      <c r="B763"/>
      <c r="C763"/>
      <c r="E763"/>
      <c r="F763"/>
      <c r="G763"/>
      <c r="H763"/>
      <c r="I763"/>
      <c r="J763"/>
      <c r="K763"/>
      <c r="L763"/>
      <c r="M763"/>
    </row>
    <row r="764" spans="1:13" x14ac:dyDescent="0.35">
      <c r="A764"/>
      <c r="B764"/>
      <c r="C764"/>
      <c r="E764"/>
      <c r="F764"/>
      <c r="G764"/>
      <c r="H764"/>
      <c r="I764"/>
      <c r="J764"/>
      <c r="K764"/>
      <c r="L764"/>
      <c r="M764"/>
    </row>
    <row r="765" spans="1:13" x14ac:dyDescent="0.35">
      <c r="A765"/>
      <c r="B765"/>
      <c r="C765"/>
      <c r="E765"/>
      <c r="F765"/>
      <c r="G765"/>
      <c r="H765"/>
      <c r="I765"/>
      <c r="J765"/>
      <c r="K765"/>
      <c r="L765"/>
      <c r="M765"/>
    </row>
    <row r="766" spans="1:13" x14ac:dyDescent="0.35">
      <c r="A766"/>
      <c r="B766"/>
      <c r="C766"/>
      <c r="E766"/>
      <c r="F766"/>
      <c r="G766"/>
      <c r="H766"/>
      <c r="I766"/>
      <c r="J766"/>
      <c r="K766"/>
      <c r="L766"/>
      <c r="M766"/>
    </row>
    <row r="767" spans="1:13" x14ac:dyDescent="0.35">
      <c r="A767"/>
      <c r="B767"/>
      <c r="C767"/>
      <c r="E767"/>
      <c r="F767"/>
      <c r="G767"/>
      <c r="H767"/>
      <c r="I767"/>
      <c r="J767"/>
      <c r="K767"/>
      <c r="L767"/>
      <c r="M767"/>
    </row>
    <row r="768" spans="1:13" x14ac:dyDescent="0.35">
      <c r="A768"/>
      <c r="B768"/>
      <c r="C768"/>
      <c r="E768"/>
      <c r="F768"/>
      <c r="G768"/>
      <c r="H768"/>
      <c r="I768"/>
      <c r="J768"/>
      <c r="K768"/>
      <c r="L768"/>
      <c r="M768"/>
    </row>
    <row r="769" spans="1:13" x14ac:dyDescent="0.35">
      <c r="A769"/>
      <c r="B769"/>
      <c r="C769"/>
      <c r="E769"/>
      <c r="F769"/>
      <c r="G769"/>
      <c r="H769"/>
      <c r="I769"/>
      <c r="J769"/>
      <c r="K769"/>
      <c r="L769"/>
      <c r="M769"/>
    </row>
    <row r="770" spans="1:13" x14ac:dyDescent="0.35">
      <c r="A770"/>
      <c r="B770"/>
      <c r="C770"/>
      <c r="E770"/>
      <c r="F770"/>
      <c r="G770"/>
      <c r="H770"/>
      <c r="I770"/>
      <c r="J770"/>
      <c r="K770"/>
      <c r="L770"/>
      <c r="M770"/>
    </row>
    <row r="771" spans="1:13" x14ac:dyDescent="0.35">
      <c r="A771"/>
      <c r="B771"/>
      <c r="C771"/>
      <c r="E771"/>
      <c r="F771"/>
      <c r="G771"/>
      <c r="H771"/>
      <c r="I771"/>
      <c r="J771"/>
      <c r="K771"/>
      <c r="L771"/>
      <c r="M771"/>
    </row>
    <row r="772" spans="1:13" x14ac:dyDescent="0.35">
      <c r="A772"/>
      <c r="B772"/>
      <c r="C772"/>
      <c r="E772"/>
      <c r="F772"/>
      <c r="G772"/>
      <c r="H772"/>
      <c r="I772"/>
      <c r="J772"/>
      <c r="K772"/>
      <c r="L772"/>
      <c r="M772"/>
    </row>
    <row r="773" spans="1:13" x14ac:dyDescent="0.35">
      <c r="A773"/>
      <c r="B773"/>
      <c r="C773"/>
      <c r="E773"/>
      <c r="F773"/>
      <c r="G773"/>
      <c r="H773"/>
      <c r="I773"/>
      <c r="J773"/>
      <c r="K773"/>
      <c r="L773"/>
      <c r="M773"/>
    </row>
    <row r="774" spans="1:13" x14ac:dyDescent="0.35">
      <c r="A774"/>
      <c r="B774"/>
      <c r="C774"/>
      <c r="E774"/>
      <c r="F774"/>
      <c r="G774"/>
      <c r="H774"/>
      <c r="I774"/>
      <c r="J774"/>
      <c r="K774"/>
      <c r="L774"/>
      <c r="M774"/>
    </row>
    <row r="775" spans="1:13" x14ac:dyDescent="0.35">
      <c r="A775"/>
      <c r="B775"/>
      <c r="C775"/>
      <c r="E775"/>
      <c r="F775"/>
      <c r="G775"/>
      <c r="H775"/>
      <c r="I775"/>
      <c r="J775"/>
      <c r="K775"/>
      <c r="L775"/>
      <c r="M775"/>
    </row>
    <row r="776" spans="1:13" x14ac:dyDescent="0.35">
      <c r="A776"/>
      <c r="B776"/>
      <c r="C776"/>
      <c r="E776"/>
      <c r="F776"/>
      <c r="G776"/>
      <c r="H776"/>
      <c r="I776"/>
      <c r="J776"/>
      <c r="K776"/>
      <c r="L776"/>
      <c r="M776"/>
    </row>
    <row r="777" spans="1:13" x14ac:dyDescent="0.35">
      <c r="A777"/>
      <c r="B777"/>
      <c r="C777"/>
      <c r="E777"/>
      <c r="F777"/>
      <c r="G777"/>
      <c r="H777"/>
      <c r="I777"/>
      <c r="J777"/>
      <c r="K777"/>
      <c r="L777"/>
      <c r="M777"/>
    </row>
    <row r="778" spans="1:13" x14ac:dyDescent="0.35">
      <c r="A778"/>
      <c r="B778"/>
      <c r="C778"/>
      <c r="E778"/>
      <c r="F778"/>
      <c r="G778"/>
      <c r="H778"/>
      <c r="I778"/>
      <c r="J778"/>
      <c r="K778"/>
      <c r="L778"/>
      <c r="M778"/>
    </row>
    <row r="779" spans="1:13" x14ac:dyDescent="0.35">
      <c r="A779"/>
      <c r="B779"/>
      <c r="C779"/>
      <c r="E779"/>
      <c r="F779"/>
      <c r="G779"/>
      <c r="H779"/>
      <c r="I779"/>
      <c r="J779"/>
      <c r="K779"/>
      <c r="L779"/>
      <c r="M779"/>
    </row>
    <row r="780" spans="1:13" x14ac:dyDescent="0.35">
      <c r="A780"/>
      <c r="B780"/>
      <c r="C780"/>
      <c r="E780"/>
      <c r="F780"/>
      <c r="G780"/>
      <c r="H780"/>
      <c r="I780"/>
      <c r="J780"/>
      <c r="K780"/>
      <c r="L780"/>
      <c r="M780"/>
    </row>
    <row r="781" spans="1:13" x14ac:dyDescent="0.35">
      <c r="A781"/>
      <c r="B781"/>
      <c r="C781"/>
      <c r="E781"/>
      <c r="F781"/>
      <c r="G781"/>
      <c r="H781"/>
      <c r="I781"/>
      <c r="J781"/>
      <c r="K781"/>
      <c r="L781"/>
      <c r="M781"/>
    </row>
    <row r="782" spans="1:13" x14ac:dyDescent="0.35">
      <c r="A782"/>
      <c r="B782"/>
      <c r="C782"/>
      <c r="E782"/>
      <c r="F782"/>
      <c r="G782"/>
      <c r="H782"/>
      <c r="I782"/>
      <c r="J782"/>
      <c r="K782"/>
      <c r="L782"/>
      <c r="M782"/>
    </row>
    <row r="783" spans="1:13" x14ac:dyDescent="0.35">
      <c r="A783"/>
      <c r="B783"/>
      <c r="C783"/>
      <c r="E783"/>
      <c r="F783"/>
      <c r="G783"/>
      <c r="H783"/>
      <c r="I783"/>
      <c r="J783"/>
      <c r="K783"/>
      <c r="L783"/>
      <c r="M783"/>
    </row>
    <row r="784" spans="1:13" x14ac:dyDescent="0.35">
      <c r="A784"/>
      <c r="B784"/>
      <c r="C784"/>
      <c r="E784"/>
      <c r="F784"/>
      <c r="G784"/>
      <c r="H784"/>
      <c r="I784"/>
      <c r="J784"/>
      <c r="K784"/>
      <c r="L784"/>
      <c r="M784"/>
    </row>
    <row r="785" spans="1:13" x14ac:dyDescent="0.35">
      <c r="A785"/>
      <c r="B785"/>
      <c r="C785"/>
      <c r="E785"/>
      <c r="F785"/>
      <c r="G785"/>
      <c r="H785"/>
      <c r="I785"/>
      <c r="J785"/>
      <c r="K785"/>
      <c r="L785"/>
      <c r="M785"/>
    </row>
    <row r="786" spans="1:13" x14ac:dyDescent="0.35">
      <c r="A786"/>
      <c r="B786"/>
      <c r="C786"/>
      <c r="E786"/>
      <c r="F786"/>
      <c r="G786"/>
      <c r="H786"/>
      <c r="I786"/>
      <c r="J786"/>
      <c r="K786"/>
      <c r="L786"/>
      <c r="M786"/>
    </row>
    <row r="787" spans="1:13" x14ac:dyDescent="0.35">
      <c r="A787"/>
      <c r="B787"/>
      <c r="C787"/>
      <c r="E787"/>
      <c r="F787"/>
      <c r="G787"/>
      <c r="H787"/>
      <c r="I787"/>
      <c r="J787"/>
      <c r="K787"/>
      <c r="L787"/>
      <c r="M787"/>
    </row>
    <row r="788" spans="1:13" x14ac:dyDescent="0.35">
      <c r="A788"/>
      <c r="B788"/>
      <c r="C788"/>
      <c r="E788"/>
      <c r="F788"/>
      <c r="G788"/>
      <c r="H788"/>
      <c r="I788"/>
      <c r="J788"/>
      <c r="K788"/>
      <c r="L788"/>
      <c r="M788"/>
    </row>
    <row r="789" spans="1:13" x14ac:dyDescent="0.35">
      <c r="A789"/>
      <c r="B789"/>
      <c r="C789"/>
      <c r="E789"/>
      <c r="F789"/>
      <c r="G789"/>
      <c r="H789"/>
      <c r="I789"/>
      <c r="J789"/>
      <c r="K789"/>
      <c r="L789"/>
      <c r="M789"/>
    </row>
    <row r="790" spans="1:13" x14ac:dyDescent="0.35">
      <c r="A790"/>
      <c r="B790"/>
      <c r="C790"/>
      <c r="E790"/>
      <c r="F790"/>
      <c r="G790"/>
      <c r="H790"/>
      <c r="I790"/>
      <c r="J790"/>
      <c r="K790"/>
      <c r="L790"/>
      <c r="M790"/>
    </row>
    <row r="791" spans="1:13" x14ac:dyDescent="0.35">
      <c r="A791"/>
      <c r="B791"/>
      <c r="C791"/>
      <c r="E791"/>
      <c r="F791"/>
      <c r="G791"/>
      <c r="H791"/>
      <c r="I791"/>
      <c r="J791"/>
      <c r="K791"/>
      <c r="L791"/>
      <c r="M791"/>
    </row>
    <row r="792" spans="1:13" x14ac:dyDescent="0.35">
      <c r="A792"/>
      <c r="B792"/>
      <c r="C792"/>
      <c r="E792"/>
      <c r="F792"/>
      <c r="G792"/>
      <c r="H792"/>
      <c r="I792"/>
      <c r="J792"/>
      <c r="K792"/>
      <c r="L792"/>
      <c r="M792"/>
    </row>
    <row r="793" spans="1:13" x14ac:dyDescent="0.35">
      <c r="A793"/>
      <c r="B793"/>
      <c r="C793"/>
      <c r="E793"/>
      <c r="F793"/>
      <c r="G793"/>
      <c r="H793"/>
      <c r="I793"/>
      <c r="J793"/>
      <c r="K793"/>
      <c r="L793"/>
      <c r="M793"/>
    </row>
    <row r="794" spans="1:13" x14ac:dyDescent="0.35">
      <c r="A794"/>
      <c r="B794"/>
      <c r="C794"/>
      <c r="E794"/>
      <c r="F794"/>
      <c r="G794"/>
      <c r="H794"/>
      <c r="I794"/>
      <c r="J794"/>
      <c r="K794"/>
      <c r="L794"/>
      <c r="M794"/>
    </row>
    <row r="795" spans="1:13" x14ac:dyDescent="0.35">
      <c r="A795"/>
      <c r="B795"/>
      <c r="C795"/>
      <c r="E795"/>
      <c r="F795"/>
      <c r="G795"/>
      <c r="H795"/>
      <c r="I795"/>
      <c r="J795"/>
      <c r="K795"/>
      <c r="L795"/>
      <c r="M795"/>
    </row>
    <row r="796" spans="1:13" x14ac:dyDescent="0.35">
      <c r="A796"/>
      <c r="B796"/>
      <c r="C796"/>
      <c r="E796"/>
      <c r="F796"/>
      <c r="G796"/>
      <c r="H796"/>
      <c r="I796"/>
      <c r="J796"/>
      <c r="K796"/>
      <c r="L796"/>
      <c r="M796"/>
    </row>
    <row r="797" spans="1:13" x14ac:dyDescent="0.35">
      <c r="A797"/>
      <c r="B797"/>
      <c r="C797"/>
      <c r="E797"/>
      <c r="F797"/>
      <c r="G797"/>
      <c r="H797"/>
      <c r="I797"/>
      <c r="J797"/>
      <c r="K797"/>
      <c r="L797"/>
      <c r="M797"/>
    </row>
    <row r="798" spans="1:13" x14ac:dyDescent="0.35">
      <c r="A798"/>
      <c r="B798"/>
      <c r="C798"/>
      <c r="E798"/>
      <c r="F798"/>
      <c r="G798"/>
      <c r="H798"/>
      <c r="I798"/>
      <c r="J798"/>
      <c r="K798"/>
      <c r="L798"/>
      <c r="M798"/>
    </row>
    <row r="799" spans="1:13" x14ac:dyDescent="0.35">
      <c r="A799"/>
      <c r="B799"/>
      <c r="C799"/>
      <c r="E799"/>
      <c r="F799"/>
      <c r="G799"/>
      <c r="H799"/>
      <c r="I799"/>
      <c r="J799"/>
      <c r="K799"/>
      <c r="L799"/>
      <c r="M799"/>
    </row>
    <row r="800" spans="1:13" x14ac:dyDescent="0.35">
      <c r="A800"/>
      <c r="B800"/>
      <c r="C800"/>
      <c r="E800"/>
      <c r="F800"/>
      <c r="G800"/>
      <c r="H800"/>
      <c r="I800"/>
      <c r="J800"/>
      <c r="K800"/>
      <c r="L800"/>
      <c r="M800"/>
    </row>
    <row r="801" spans="1:13" x14ac:dyDescent="0.35">
      <c r="A801"/>
      <c r="B801"/>
      <c r="C801"/>
      <c r="E801"/>
      <c r="F801"/>
      <c r="G801"/>
      <c r="H801"/>
      <c r="I801"/>
      <c r="J801"/>
      <c r="K801"/>
      <c r="L801"/>
      <c r="M801"/>
    </row>
    <row r="802" spans="1:13" x14ac:dyDescent="0.35">
      <c r="A802"/>
      <c r="B802"/>
      <c r="C802"/>
      <c r="E802"/>
      <c r="F802"/>
      <c r="G802"/>
      <c r="H802"/>
      <c r="I802"/>
      <c r="J802"/>
      <c r="K802"/>
      <c r="L802"/>
      <c r="M802"/>
    </row>
    <row r="803" spans="1:13" x14ac:dyDescent="0.35">
      <c r="A803"/>
      <c r="B803"/>
      <c r="C803"/>
      <c r="E803"/>
      <c r="F803"/>
      <c r="G803"/>
      <c r="H803"/>
      <c r="I803"/>
      <c r="J803"/>
      <c r="K803"/>
      <c r="L803"/>
      <c r="M803"/>
    </row>
    <row r="804" spans="1:13" x14ac:dyDescent="0.35">
      <c r="A804"/>
      <c r="B804"/>
      <c r="C804"/>
      <c r="E804"/>
      <c r="F804"/>
      <c r="G804"/>
      <c r="H804"/>
      <c r="I804"/>
      <c r="J804"/>
      <c r="K804"/>
      <c r="L804"/>
      <c r="M804"/>
    </row>
    <row r="805" spans="1:13" x14ac:dyDescent="0.35">
      <c r="A805"/>
      <c r="B805"/>
      <c r="C805"/>
      <c r="E805"/>
      <c r="F805"/>
      <c r="G805"/>
      <c r="H805"/>
      <c r="I805"/>
      <c r="J805"/>
      <c r="K805"/>
      <c r="L805"/>
      <c r="M805"/>
    </row>
    <row r="806" spans="1:13" x14ac:dyDescent="0.35">
      <c r="A806"/>
      <c r="B806"/>
      <c r="C806"/>
      <c r="E806"/>
      <c r="F806"/>
      <c r="G806"/>
      <c r="H806"/>
      <c r="I806"/>
      <c r="J806"/>
      <c r="K806"/>
      <c r="L806"/>
      <c r="M806"/>
    </row>
    <row r="807" spans="1:13" x14ac:dyDescent="0.35">
      <c r="A807"/>
      <c r="B807"/>
      <c r="C807"/>
      <c r="E807"/>
      <c r="F807"/>
      <c r="G807"/>
      <c r="H807"/>
      <c r="I807"/>
      <c r="J807"/>
      <c r="K807"/>
      <c r="L807"/>
      <c r="M807"/>
    </row>
    <row r="808" spans="1:13" x14ac:dyDescent="0.35">
      <c r="A808"/>
      <c r="B808"/>
      <c r="C808"/>
      <c r="E808"/>
      <c r="F808"/>
      <c r="G808"/>
      <c r="H808"/>
      <c r="I808"/>
      <c r="J808"/>
      <c r="K808"/>
      <c r="L808"/>
      <c r="M808"/>
    </row>
    <row r="809" spans="1:13" x14ac:dyDescent="0.35">
      <c r="A809"/>
      <c r="B809"/>
      <c r="C809"/>
      <c r="E809"/>
      <c r="F809"/>
      <c r="G809"/>
      <c r="H809"/>
      <c r="I809"/>
      <c r="J809"/>
      <c r="K809"/>
      <c r="L809"/>
      <c r="M809"/>
    </row>
    <row r="810" spans="1:13" x14ac:dyDescent="0.35">
      <c r="A810"/>
      <c r="B810"/>
      <c r="C810"/>
      <c r="E810"/>
      <c r="F810"/>
      <c r="G810"/>
      <c r="H810"/>
      <c r="I810"/>
      <c r="J810"/>
      <c r="K810"/>
      <c r="L810"/>
      <c r="M810"/>
    </row>
    <row r="811" spans="1:13" x14ac:dyDescent="0.35">
      <c r="A811"/>
      <c r="B811"/>
      <c r="C811"/>
      <c r="E811"/>
      <c r="F811"/>
      <c r="G811"/>
      <c r="H811"/>
      <c r="I811"/>
      <c r="J811"/>
      <c r="K811"/>
      <c r="L811"/>
      <c r="M811"/>
    </row>
    <row r="812" spans="1:13" x14ac:dyDescent="0.35">
      <c r="A812"/>
      <c r="B812"/>
      <c r="C812"/>
      <c r="E812"/>
      <c r="F812"/>
      <c r="G812"/>
      <c r="H812"/>
      <c r="I812"/>
      <c r="J812"/>
      <c r="K812"/>
      <c r="L812"/>
      <c r="M812"/>
    </row>
    <row r="813" spans="1:13" x14ac:dyDescent="0.35">
      <c r="A813"/>
      <c r="B813"/>
      <c r="C813"/>
      <c r="E813"/>
      <c r="F813"/>
      <c r="G813"/>
      <c r="H813"/>
      <c r="I813"/>
      <c r="J813"/>
      <c r="K813"/>
      <c r="L813"/>
      <c r="M813"/>
    </row>
    <row r="814" spans="1:13" x14ac:dyDescent="0.35">
      <c r="A814"/>
      <c r="B814"/>
      <c r="C814"/>
      <c r="E814"/>
      <c r="F814"/>
      <c r="G814"/>
      <c r="H814"/>
      <c r="I814"/>
      <c r="J814"/>
      <c r="K814"/>
      <c r="L814"/>
      <c r="M814"/>
    </row>
    <row r="815" spans="1:13" x14ac:dyDescent="0.35">
      <c r="A815"/>
      <c r="B815"/>
      <c r="C815"/>
      <c r="E815"/>
      <c r="F815"/>
      <c r="G815"/>
      <c r="H815"/>
      <c r="I815"/>
      <c r="J815"/>
      <c r="K815"/>
      <c r="L815"/>
      <c r="M815"/>
    </row>
    <row r="816" spans="1:13" x14ac:dyDescent="0.35">
      <c r="A816"/>
      <c r="B816"/>
      <c r="C816"/>
      <c r="E816"/>
      <c r="F816"/>
      <c r="G816"/>
      <c r="H816"/>
      <c r="I816"/>
      <c r="J816"/>
      <c r="K816"/>
      <c r="L816"/>
      <c r="M816"/>
    </row>
    <row r="817" spans="1:13" x14ac:dyDescent="0.35">
      <c r="A817"/>
      <c r="B817"/>
      <c r="C817"/>
      <c r="E817"/>
      <c r="F817"/>
      <c r="G817"/>
      <c r="H817"/>
      <c r="I817"/>
      <c r="J817"/>
      <c r="K817"/>
      <c r="L817"/>
      <c r="M817"/>
    </row>
    <row r="818" spans="1:13" x14ac:dyDescent="0.35">
      <c r="A818"/>
      <c r="B818"/>
      <c r="C818"/>
      <c r="E818"/>
      <c r="F818"/>
      <c r="G818"/>
      <c r="H818"/>
      <c r="I818"/>
      <c r="J818"/>
      <c r="K818"/>
      <c r="L818"/>
      <c r="M818"/>
    </row>
    <row r="819" spans="1:13" x14ac:dyDescent="0.35">
      <c r="A819"/>
      <c r="B819"/>
      <c r="C819"/>
      <c r="E819"/>
      <c r="F819"/>
      <c r="G819"/>
      <c r="H819"/>
      <c r="I819"/>
      <c r="J819"/>
      <c r="K819"/>
      <c r="L819"/>
      <c r="M819"/>
    </row>
    <row r="820" spans="1:13" x14ac:dyDescent="0.35">
      <c r="A820"/>
      <c r="B820"/>
      <c r="C820"/>
      <c r="E820"/>
      <c r="F820"/>
      <c r="G820"/>
      <c r="H820"/>
      <c r="I820"/>
      <c r="J820"/>
      <c r="K820"/>
      <c r="L820"/>
      <c r="M820"/>
    </row>
    <row r="821" spans="1:13" x14ac:dyDescent="0.35">
      <c r="A821"/>
      <c r="B821"/>
      <c r="C821"/>
      <c r="E821"/>
      <c r="F821"/>
      <c r="G821"/>
      <c r="H821"/>
      <c r="I821"/>
      <c r="J821"/>
      <c r="K821"/>
      <c r="L821"/>
      <c r="M821"/>
    </row>
    <row r="822" spans="1:13" x14ac:dyDescent="0.35">
      <c r="A822"/>
      <c r="B822"/>
      <c r="C822"/>
      <c r="E822"/>
      <c r="F822"/>
      <c r="G822"/>
      <c r="H822"/>
      <c r="I822"/>
      <c r="J822"/>
      <c r="K822"/>
      <c r="L822"/>
      <c r="M822"/>
    </row>
    <row r="823" spans="1:13" x14ac:dyDescent="0.35">
      <c r="A823"/>
      <c r="B823"/>
      <c r="C823"/>
      <c r="E823"/>
      <c r="F823"/>
      <c r="G823"/>
      <c r="H823"/>
      <c r="I823"/>
      <c r="J823"/>
      <c r="K823"/>
      <c r="L823"/>
      <c r="M823"/>
    </row>
    <row r="824" spans="1:13" x14ac:dyDescent="0.35">
      <c r="A824"/>
      <c r="B824"/>
      <c r="C824"/>
      <c r="E824"/>
      <c r="F824"/>
      <c r="G824"/>
      <c r="H824"/>
      <c r="I824"/>
      <c r="J824"/>
      <c r="K824"/>
      <c r="L824"/>
      <c r="M824"/>
    </row>
    <row r="825" spans="1:13" x14ac:dyDescent="0.35">
      <c r="A825"/>
      <c r="B825"/>
      <c r="C825"/>
      <c r="E825"/>
      <c r="F825"/>
      <c r="G825"/>
      <c r="H825"/>
      <c r="I825"/>
      <c r="J825"/>
      <c r="K825"/>
      <c r="L825"/>
      <c r="M825"/>
    </row>
    <row r="826" spans="1:13" x14ac:dyDescent="0.35">
      <c r="A826"/>
      <c r="B826"/>
      <c r="C826"/>
      <c r="E826"/>
      <c r="F826"/>
      <c r="G826"/>
      <c r="H826"/>
      <c r="I826"/>
      <c r="J826"/>
      <c r="K826"/>
      <c r="L826"/>
      <c r="M826"/>
    </row>
    <row r="827" spans="1:13" x14ac:dyDescent="0.35">
      <c r="A827"/>
      <c r="B827"/>
      <c r="C827"/>
      <c r="E827"/>
      <c r="F827"/>
      <c r="G827"/>
      <c r="H827"/>
      <c r="I827"/>
      <c r="J827"/>
      <c r="K827"/>
      <c r="L827"/>
      <c r="M827"/>
    </row>
    <row r="828" spans="1:13" x14ac:dyDescent="0.35">
      <c r="A828"/>
      <c r="B828"/>
      <c r="C828"/>
      <c r="E828"/>
      <c r="F828"/>
      <c r="G828"/>
      <c r="H828"/>
      <c r="I828"/>
      <c r="J828"/>
      <c r="K828"/>
      <c r="L828"/>
      <c r="M828"/>
    </row>
    <row r="829" spans="1:13" x14ac:dyDescent="0.35">
      <c r="A829"/>
      <c r="B829"/>
      <c r="C829"/>
      <c r="E829"/>
      <c r="F829"/>
      <c r="G829"/>
      <c r="H829"/>
      <c r="I829"/>
      <c r="J829"/>
      <c r="K829"/>
      <c r="L829"/>
      <c r="M829"/>
    </row>
    <row r="830" spans="1:13" x14ac:dyDescent="0.35">
      <c r="A830"/>
      <c r="B830"/>
      <c r="C830"/>
      <c r="E830"/>
      <c r="F830"/>
      <c r="G830"/>
      <c r="H830"/>
      <c r="I830"/>
      <c r="J830"/>
      <c r="K830"/>
      <c r="L830"/>
      <c r="M830"/>
    </row>
    <row r="831" spans="1:13" x14ac:dyDescent="0.35">
      <c r="A831"/>
      <c r="B831"/>
      <c r="C831"/>
      <c r="E831"/>
      <c r="F831"/>
      <c r="G831"/>
      <c r="H831"/>
      <c r="I831"/>
      <c r="J831"/>
      <c r="K831"/>
      <c r="L831"/>
      <c r="M831"/>
    </row>
    <row r="832" spans="1:13" x14ac:dyDescent="0.35">
      <c r="A832"/>
      <c r="B832"/>
      <c r="C832"/>
      <c r="E832"/>
      <c r="F832"/>
      <c r="G832"/>
      <c r="H832"/>
      <c r="I832"/>
      <c r="J832"/>
      <c r="K832"/>
      <c r="L832"/>
      <c r="M832"/>
    </row>
    <row r="833" spans="1:13" x14ac:dyDescent="0.35">
      <c r="A833"/>
      <c r="B833"/>
      <c r="C833"/>
      <c r="E833"/>
      <c r="F833"/>
      <c r="G833"/>
      <c r="H833"/>
      <c r="I833"/>
      <c r="J833"/>
      <c r="K833"/>
      <c r="L833"/>
      <c r="M833"/>
    </row>
    <row r="834" spans="1:13" x14ac:dyDescent="0.35">
      <c r="A834"/>
      <c r="B834"/>
      <c r="C834"/>
      <c r="E834"/>
      <c r="F834"/>
      <c r="G834"/>
      <c r="H834"/>
      <c r="I834"/>
      <c r="J834"/>
      <c r="K834"/>
      <c r="L834"/>
      <c r="M834"/>
    </row>
    <row r="835" spans="1:13" x14ac:dyDescent="0.35">
      <c r="A835"/>
      <c r="B835"/>
      <c r="C835"/>
      <c r="E835"/>
      <c r="F835"/>
      <c r="G835"/>
      <c r="H835"/>
      <c r="I835"/>
      <c r="J835"/>
      <c r="K835"/>
      <c r="L835"/>
      <c r="M835"/>
    </row>
    <row r="836" spans="1:13" x14ac:dyDescent="0.35">
      <c r="A836"/>
      <c r="B836"/>
      <c r="C836"/>
      <c r="E836"/>
      <c r="F836"/>
      <c r="G836"/>
      <c r="H836"/>
      <c r="I836"/>
      <c r="J836"/>
      <c r="K836"/>
      <c r="L836"/>
      <c r="M836"/>
    </row>
    <row r="837" spans="1:13" x14ac:dyDescent="0.35">
      <c r="A837"/>
      <c r="B837"/>
      <c r="C837"/>
      <c r="E837"/>
      <c r="F837"/>
      <c r="G837"/>
      <c r="H837"/>
      <c r="I837"/>
      <c r="J837"/>
      <c r="K837"/>
      <c r="L837"/>
      <c r="M837"/>
    </row>
    <row r="838" spans="1:13" x14ac:dyDescent="0.35">
      <c r="A838"/>
      <c r="B838"/>
      <c r="C838"/>
      <c r="E838"/>
      <c r="F838"/>
      <c r="G838"/>
      <c r="H838"/>
      <c r="I838"/>
      <c r="J838"/>
      <c r="K838"/>
      <c r="L838"/>
      <c r="M838"/>
    </row>
    <row r="839" spans="1:13" x14ac:dyDescent="0.35">
      <c r="A839"/>
      <c r="B839"/>
      <c r="C839"/>
      <c r="E839"/>
      <c r="F839"/>
      <c r="G839"/>
      <c r="H839"/>
      <c r="I839"/>
      <c r="J839"/>
      <c r="K839"/>
      <c r="L839"/>
      <c r="M839"/>
    </row>
    <row r="840" spans="1:13" x14ac:dyDescent="0.35">
      <c r="A840"/>
      <c r="B840"/>
      <c r="C840"/>
      <c r="E840"/>
      <c r="F840"/>
      <c r="G840"/>
      <c r="H840"/>
      <c r="I840"/>
      <c r="J840"/>
      <c r="K840"/>
      <c r="L840"/>
      <c r="M840"/>
    </row>
    <row r="841" spans="1:13" x14ac:dyDescent="0.35">
      <c r="A841"/>
      <c r="B841"/>
      <c r="C841"/>
      <c r="E841"/>
      <c r="F841"/>
      <c r="G841"/>
      <c r="H841"/>
      <c r="I841"/>
      <c r="J841"/>
      <c r="K841"/>
      <c r="L841"/>
      <c r="M841"/>
    </row>
    <row r="842" spans="1:13" x14ac:dyDescent="0.35">
      <c r="A842"/>
      <c r="B842"/>
      <c r="C842"/>
      <c r="E842"/>
      <c r="F842"/>
      <c r="G842"/>
      <c r="H842"/>
      <c r="I842"/>
      <c r="J842"/>
      <c r="K842"/>
      <c r="L842"/>
      <c r="M842"/>
    </row>
    <row r="843" spans="1:13" x14ac:dyDescent="0.35">
      <c r="A843"/>
      <c r="B843"/>
      <c r="C843"/>
      <c r="E843"/>
      <c r="F843"/>
      <c r="G843"/>
      <c r="H843"/>
      <c r="I843"/>
      <c r="J843"/>
      <c r="K843"/>
      <c r="L843"/>
      <c r="M843"/>
    </row>
    <row r="844" spans="1:13" x14ac:dyDescent="0.35">
      <c r="A844"/>
      <c r="B844"/>
      <c r="C844"/>
      <c r="E844"/>
      <c r="F844"/>
      <c r="G844"/>
      <c r="H844"/>
      <c r="I844"/>
      <c r="J844"/>
      <c r="K844"/>
      <c r="L844"/>
      <c r="M844"/>
    </row>
    <row r="845" spans="1:13" x14ac:dyDescent="0.35">
      <c r="A845"/>
      <c r="B845"/>
      <c r="C845"/>
      <c r="E845"/>
      <c r="F845"/>
      <c r="G845"/>
      <c r="H845"/>
      <c r="I845"/>
      <c r="J845"/>
      <c r="K845"/>
      <c r="L845"/>
      <c r="M845"/>
    </row>
    <row r="846" spans="1:13" x14ac:dyDescent="0.35">
      <c r="A846"/>
      <c r="B846"/>
      <c r="C846"/>
      <c r="E846"/>
      <c r="F846"/>
      <c r="G846"/>
      <c r="H846"/>
      <c r="I846"/>
      <c r="J846"/>
      <c r="K846"/>
      <c r="L846"/>
      <c r="M846"/>
    </row>
    <row r="847" spans="1:13" x14ac:dyDescent="0.35">
      <c r="A847"/>
      <c r="B847"/>
      <c r="C847"/>
      <c r="E847"/>
      <c r="F847"/>
      <c r="G847"/>
      <c r="H847"/>
      <c r="I847"/>
      <c r="J847"/>
      <c r="K847"/>
      <c r="L847"/>
      <c r="M847"/>
    </row>
    <row r="848" spans="1:13" x14ac:dyDescent="0.35">
      <c r="A848"/>
      <c r="B848"/>
      <c r="C848"/>
      <c r="E848"/>
      <c r="F848"/>
      <c r="G848"/>
      <c r="H848"/>
      <c r="I848"/>
      <c r="J848"/>
      <c r="K848"/>
      <c r="L848"/>
      <c r="M848"/>
    </row>
    <row r="849" spans="1:13" x14ac:dyDescent="0.35">
      <c r="A849"/>
      <c r="B849"/>
      <c r="C849"/>
      <c r="E849"/>
      <c r="F849"/>
      <c r="G849"/>
      <c r="H849"/>
      <c r="I849"/>
      <c r="J849"/>
      <c r="K849"/>
      <c r="L849"/>
      <c r="M849"/>
    </row>
    <row r="850" spans="1:13" x14ac:dyDescent="0.35">
      <c r="A850"/>
      <c r="B850"/>
      <c r="C850"/>
      <c r="E850"/>
      <c r="F850"/>
      <c r="G850"/>
      <c r="H850"/>
      <c r="I850"/>
      <c r="J850"/>
      <c r="K850"/>
      <c r="L850"/>
      <c r="M850"/>
    </row>
    <row r="851" spans="1:13" x14ac:dyDescent="0.35">
      <c r="A851"/>
      <c r="B851"/>
      <c r="C851"/>
      <c r="E851"/>
      <c r="F851"/>
      <c r="G851"/>
      <c r="H851"/>
      <c r="I851"/>
      <c r="J851"/>
      <c r="K851"/>
      <c r="L851"/>
      <c r="M851"/>
    </row>
    <row r="852" spans="1:13" x14ac:dyDescent="0.35">
      <c r="A852"/>
      <c r="B852"/>
      <c r="C852"/>
      <c r="E852"/>
      <c r="F852"/>
      <c r="G852"/>
      <c r="H852"/>
      <c r="I852"/>
      <c r="J852"/>
      <c r="K852"/>
      <c r="L852"/>
      <c r="M852"/>
    </row>
    <row r="853" spans="1:13" x14ac:dyDescent="0.35">
      <c r="A853"/>
      <c r="B853"/>
      <c r="C853"/>
      <c r="E853"/>
      <c r="F853"/>
      <c r="G853"/>
      <c r="H853"/>
      <c r="I853"/>
      <c r="J853"/>
      <c r="K853"/>
      <c r="L853"/>
      <c r="M853"/>
    </row>
    <row r="854" spans="1:13" x14ac:dyDescent="0.35">
      <c r="A854"/>
      <c r="B854"/>
      <c r="C854"/>
      <c r="E854"/>
      <c r="F854"/>
      <c r="G854"/>
      <c r="H854"/>
      <c r="I854"/>
      <c r="J854"/>
      <c r="K854"/>
      <c r="L854"/>
      <c r="M854"/>
    </row>
    <row r="855" spans="1:13" x14ac:dyDescent="0.35">
      <c r="A855"/>
      <c r="B855"/>
      <c r="C855"/>
      <c r="E855"/>
      <c r="F855"/>
      <c r="G855"/>
      <c r="H855"/>
      <c r="I855"/>
      <c r="J855"/>
      <c r="K855"/>
      <c r="L855"/>
      <c r="M855"/>
    </row>
    <row r="856" spans="1:13" x14ac:dyDescent="0.35">
      <c r="A856"/>
      <c r="B856"/>
      <c r="C856"/>
      <c r="E856"/>
      <c r="F856"/>
      <c r="G856"/>
      <c r="H856"/>
      <c r="I856"/>
      <c r="J856"/>
      <c r="K856"/>
      <c r="L856"/>
      <c r="M856"/>
    </row>
    <row r="857" spans="1:13" x14ac:dyDescent="0.35">
      <c r="A857"/>
      <c r="B857"/>
      <c r="C857"/>
      <c r="E857"/>
      <c r="F857"/>
      <c r="G857"/>
      <c r="H857"/>
      <c r="I857"/>
      <c r="J857"/>
      <c r="K857"/>
      <c r="L857"/>
      <c r="M857"/>
    </row>
    <row r="858" spans="1:13" x14ac:dyDescent="0.35">
      <c r="A858"/>
      <c r="B858"/>
      <c r="C858"/>
      <c r="E858"/>
      <c r="F858"/>
      <c r="G858"/>
      <c r="H858"/>
      <c r="I858"/>
      <c r="J858"/>
      <c r="K858"/>
      <c r="L858"/>
      <c r="M858"/>
    </row>
    <row r="859" spans="1:13" x14ac:dyDescent="0.35">
      <c r="A859"/>
      <c r="B859"/>
      <c r="C859"/>
      <c r="E859"/>
      <c r="F859"/>
      <c r="G859"/>
      <c r="H859"/>
      <c r="I859"/>
      <c r="J859"/>
      <c r="K859"/>
      <c r="L859"/>
      <c r="M859"/>
    </row>
    <row r="860" spans="1:13" x14ac:dyDescent="0.35">
      <c r="A860"/>
      <c r="B860"/>
      <c r="C860"/>
      <c r="E860"/>
      <c r="F860"/>
      <c r="G860"/>
      <c r="H860"/>
      <c r="I860"/>
      <c r="J860"/>
      <c r="K860"/>
      <c r="L860"/>
      <c r="M860"/>
    </row>
    <row r="861" spans="1:13" x14ac:dyDescent="0.35">
      <c r="A861"/>
      <c r="B861"/>
      <c r="C861"/>
      <c r="E861"/>
      <c r="F861"/>
      <c r="G861"/>
      <c r="H861"/>
      <c r="I861"/>
      <c r="J861"/>
      <c r="K861"/>
      <c r="L861"/>
      <c r="M861"/>
    </row>
    <row r="862" spans="1:13" x14ac:dyDescent="0.35">
      <c r="A862"/>
      <c r="B862"/>
      <c r="C862"/>
      <c r="E862"/>
      <c r="F862"/>
      <c r="G862"/>
      <c r="H862"/>
      <c r="I862"/>
      <c r="J862"/>
      <c r="K862"/>
      <c r="L862"/>
      <c r="M862"/>
    </row>
    <row r="863" spans="1:13" x14ac:dyDescent="0.35">
      <c r="A863"/>
      <c r="B863"/>
      <c r="C863"/>
      <c r="E863"/>
      <c r="F863"/>
      <c r="G863"/>
      <c r="H863"/>
      <c r="I863"/>
      <c r="J863"/>
      <c r="K863"/>
      <c r="L863"/>
      <c r="M863"/>
    </row>
    <row r="864" spans="1:13" x14ac:dyDescent="0.35">
      <c r="A864"/>
      <c r="B864"/>
      <c r="C864"/>
      <c r="E864"/>
      <c r="F864"/>
      <c r="G864"/>
      <c r="H864"/>
      <c r="I864"/>
      <c r="J864"/>
      <c r="K864"/>
      <c r="L864"/>
      <c r="M864"/>
    </row>
    <row r="865" spans="1:13" x14ac:dyDescent="0.35">
      <c r="A865"/>
      <c r="B865"/>
      <c r="C865"/>
      <c r="E865"/>
      <c r="F865"/>
      <c r="G865"/>
      <c r="H865"/>
      <c r="I865"/>
      <c r="J865"/>
      <c r="K865"/>
      <c r="L865"/>
      <c r="M865"/>
    </row>
    <row r="866" spans="1:13" x14ac:dyDescent="0.35">
      <c r="A866"/>
      <c r="B866"/>
      <c r="C866"/>
      <c r="E866"/>
      <c r="F866"/>
      <c r="G866"/>
      <c r="H866"/>
      <c r="I866"/>
      <c r="J866"/>
      <c r="K866"/>
      <c r="L866"/>
      <c r="M866"/>
    </row>
    <row r="867" spans="1:13" x14ac:dyDescent="0.35">
      <c r="A867"/>
      <c r="B867"/>
      <c r="C867"/>
      <c r="E867"/>
      <c r="F867"/>
      <c r="G867"/>
      <c r="H867"/>
      <c r="I867"/>
      <c r="J867"/>
      <c r="K867"/>
      <c r="L867"/>
      <c r="M867"/>
    </row>
    <row r="868" spans="1:13" x14ac:dyDescent="0.35">
      <c r="A868"/>
      <c r="B868"/>
      <c r="C868"/>
      <c r="E868"/>
      <c r="F868"/>
      <c r="G868"/>
      <c r="H868"/>
      <c r="I868"/>
      <c r="J868"/>
      <c r="K868"/>
      <c r="L868"/>
      <c r="M868"/>
    </row>
    <row r="869" spans="1:13" x14ac:dyDescent="0.35">
      <c r="A869"/>
      <c r="B869"/>
      <c r="C869"/>
      <c r="E869"/>
      <c r="F869"/>
      <c r="G869"/>
      <c r="H869"/>
      <c r="I869"/>
      <c r="J869"/>
      <c r="K869"/>
      <c r="L869"/>
      <c r="M869"/>
    </row>
    <row r="870" spans="1:13" x14ac:dyDescent="0.35">
      <c r="A870"/>
      <c r="B870"/>
      <c r="C870"/>
      <c r="E870"/>
      <c r="F870"/>
      <c r="G870"/>
      <c r="H870"/>
      <c r="I870"/>
      <c r="J870"/>
      <c r="K870"/>
      <c r="L870"/>
      <c r="M870"/>
    </row>
    <row r="871" spans="1:13" x14ac:dyDescent="0.35">
      <c r="A871"/>
      <c r="B871"/>
      <c r="C871"/>
      <c r="E871"/>
      <c r="F871"/>
      <c r="G871"/>
      <c r="H871"/>
      <c r="I871"/>
      <c r="J871"/>
      <c r="K871"/>
      <c r="L871"/>
      <c r="M871"/>
    </row>
    <row r="872" spans="1:13" x14ac:dyDescent="0.35">
      <c r="A872"/>
      <c r="B872"/>
      <c r="C872"/>
      <c r="E872"/>
      <c r="F872"/>
      <c r="G872"/>
      <c r="H872"/>
      <c r="I872"/>
      <c r="J872"/>
      <c r="K872"/>
      <c r="L872"/>
      <c r="M872"/>
    </row>
    <row r="873" spans="1:13" x14ac:dyDescent="0.35">
      <c r="A873"/>
      <c r="B873"/>
      <c r="C873"/>
      <c r="E873"/>
      <c r="F873"/>
      <c r="G873"/>
      <c r="H873"/>
      <c r="I873"/>
      <c r="J873"/>
      <c r="K873"/>
      <c r="L873"/>
      <c r="M873"/>
    </row>
    <row r="874" spans="1:13" x14ac:dyDescent="0.35">
      <c r="A874"/>
      <c r="B874"/>
      <c r="C874"/>
      <c r="E874"/>
      <c r="F874"/>
      <c r="G874"/>
      <c r="H874"/>
      <c r="I874"/>
      <c r="J874"/>
      <c r="K874"/>
      <c r="L874"/>
      <c r="M874"/>
    </row>
    <row r="875" spans="1:13" x14ac:dyDescent="0.35">
      <c r="A875"/>
      <c r="B875"/>
      <c r="C875"/>
      <c r="E875"/>
      <c r="F875"/>
      <c r="G875"/>
      <c r="H875"/>
      <c r="I875"/>
      <c r="J875"/>
      <c r="K875"/>
      <c r="L875"/>
      <c r="M875"/>
    </row>
    <row r="876" spans="1:13" x14ac:dyDescent="0.35">
      <c r="A876"/>
      <c r="B876"/>
      <c r="C876"/>
      <c r="E876"/>
      <c r="F876"/>
      <c r="G876"/>
      <c r="H876"/>
      <c r="I876"/>
      <c r="J876"/>
      <c r="K876"/>
      <c r="L876"/>
      <c r="M876"/>
    </row>
    <row r="877" spans="1:13" x14ac:dyDescent="0.35">
      <c r="A877"/>
      <c r="B877"/>
      <c r="C877"/>
      <c r="E877"/>
      <c r="F877"/>
      <c r="G877"/>
      <c r="H877"/>
      <c r="I877"/>
      <c r="J877"/>
      <c r="K877"/>
      <c r="L877"/>
      <c r="M877"/>
    </row>
    <row r="878" spans="1:13" x14ac:dyDescent="0.35">
      <c r="A878"/>
      <c r="B878"/>
      <c r="C878"/>
      <c r="E878"/>
      <c r="F878"/>
      <c r="G878"/>
      <c r="H878"/>
      <c r="I878"/>
      <c r="J878"/>
      <c r="K878"/>
      <c r="L878"/>
      <c r="M878"/>
    </row>
    <row r="879" spans="1:13" x14ac:dyDescent="0.35">
      <c r="A879"/>
      <c r="B879"/>
      <c r="C879"/>
      <c r="E879"/>
      <c r="F879"/>
      <c r="G879"/>
      <c r="H879"/>
      <c r="I879"/>
      <c r="J879"/>
      <c r="K879"/>
      <c r="L879"/>
      <c r="M879"/>
    </row>
    <row r="880" spans="1:13" x14ac:dyDescent="0.35">
      <c r="A880"/>
      <c r="B880"/>
      <c r="C880"/>
      <c r="E880"/>
      <c r="F880"/>
      <c r="G880"/>
      <c r="H880"/>
      <c r="I880"/>
      <c r="J880"/>
      <c r="K880"/>
      <c r="L880"/>
      <c r="M880"/>
    </row>
    <row r="881" spans="1:13" x14ac:dyDescent="0.35">
      <c r="A881"/>
      <c r="B881"/>
      <c r="C881"/>
      <c r="E881"/>
      <c r="F881"/>
      <c r="G881"/>
      <c r="H881"/>
      <c r="I881"/>
      <c r="J881"/>
      <c r="K881"/>
      <c r="L881"/>
      <c r="M881"/>
    </row>
    <row r="882" spans="1:13" x14ac:dyDescent="0.35">
      <c r="A882"/>
      <c r="B882"/>
      <c r="C882"/>
      <c r="E882"/>
      <c r="F882"/>
      <c r="G882"/>
      <c r="H882"/>
      <c r="I882"/>
      <c r="J882"/>
      <c r="K882"/>
      <c r="L882"/>
      <c r="M882"/>
    </row>
    <row r="883" spans="1:13" x14ac:dyDescent="0.35">
      <c r="A883"/>
      <c r="B883"/>
      <c r="C883"/>
      <c r="E883"/>
      <c r="F883"/>
      <c r="G883"/>
      <c r="H883"/>
      <c r="I883"/>
      <c r="J883"/>
      <c r="K883"/>
      <c r="L883"/>
      <c r="M883"/>
    </row>
    <row r="884" spans="1:13" x14ac:dyDescent="0.35">
      <c r="A884"/>
      <c r="B884"/>
      <c r="C884"/>
      <c r="E884"/>
      <c r="F884"/>
      <c r="G884"/>
      <c r="H884"/>
      <c r="I884"/>
      <c r="J884"/>
      <c r="K884"/>
      <c r="L884"/>
      <c r="M884"/>
    </row>
    <row r="885" spans="1:13" x14ac:dyDescent="0.35">
      <c r="A885"/>
      <c r="B885"/>
      <c r="C885"/>
      <c r="E885"/>
      <c r="F885"/>
      <c r="G885"/>
      <c r="H885"/>
      <c r="I885"/>
      <c r="J885"/>
      <c r="K885"/>
      <c r="L885"/>
      <c r="M885"/>
    </row>
    <row r="886" spans="1:13" x14ac:dyDescent="0.35">
      <c r="A886"/>
      <c r="B886"/>
      <c r="C886"/>
      <c r="E886"/>
      <c r="F886"/>
      <c r="G886"/>
      <c r="H886"/>
      <c r="I886"/>
      <c r="J886"/>
      <c r="K886"/>
      <c r="L886"/>
      <c r="M886"/>
    </row>
    <row r="887" spans="1:13" x14ac:dyDescent="0.35">
      <c r="A887"/>
      <c r="B887"/>
      <c r="C887"/>
      <c r="E887"/>
      <c r="F887"/>
      <c r="G887"/>
      <c r="H887"/>
      <c r="I887"/>
      <c r="J887"/>
      <c r="K887"/>
      <c r="L887"/>
      <c r="M887"/>
    </row>
    <row r="888" spans="1:13" x14ac:dyDescent="0.35">
      <c r="A888"/>
      <c r="B888"/>
      <c r="C888"/>
      <c r="E888"/>
      <c r="F888"/>
      <c r="G888"/>
      <c r="H888"/>
      <c r="I888"/>
      <c r="J888"/>
      <c r="K888"/>
      <c r="L888"/>
      <c r="M888"/>
    </row>
    <row r="889" spans="1:13" x14ac:dyDescent="0.35">
      <c r="A889"/>
      <c r="B889"/>
      <c r="C889"/>
      <c r="E889"/>
      <c r="F889"/>
      <c r="G889"/>
      <c r="H889"/>
      <c r="I889"/>
      <c r="J889"/>
      <c r="K889"/>
      <c r="L889"/>
      <c r="M889"/>
    </row>
    <row r="890" spans="1:13" x14ac:dyDescent="0.35">
      <c r="A890"/>
      <c r="B890"/>
      <c r="C890"/>
      <c r="E890"/>
      <c r="F890"/>
      <c r="G890"/>
      <c r="H890"/>
      <c r="I890"/>
      <c r="J890"/>
      <c r="K890"/>
      <c r="L890"/>
      <c r="M890"/>
    </row>
    <row r="891" spans="1:13" x14ac:dyDescent="0.35">
      <c r="A891"/>
      <c r="B891"/>
      <c r="C891"/>
      <c r="E891"/>
      <c r="F891"/>
      <c r="G891"/>
      <c r="H891"/>
      <c r="I891"/>
      <c r="J891"/>
      <c r="K891"/>
      <c r="L891"/>
      <c r="M891"/>
    </row>
    <row r="892" spans="1:13" x14ac:dyDescent="0.35">
      <c r="A892"/>
      <c r="B892"/>
      <c r="C892"/>
      <c r="E892"/>
      <c r="F892"/>
      <c r="G892"/>
      <c r="H892"/>
      <c r="I892"/>
      <c r="J892"/>
      <c r="K892"/>
      <c r="L892"/>
      <c r="M892"/>
    </row>
    <row r="893" spans="1:13" x14ac:dyDescent="0.35">
      <c r="A893"/>
      <c r="B893"/>
      <c r="C893"/>
      <c r="E893"/>
      <c r="F893"/>
      <c r="G893"/>
      <c r="H893"/>
      <c r="I893"/>
      <c r="J893"/>
      <c r="K893"/>
      <c r="L893"/>
      <c r="M893"/>
    </row>
    <row r="894" spans="1:13" x14ac:dyDescent="0.35">
      <c r="A894"/>
      <c r="B894"/>
      <c r="C894"/>
      <c r="E894"/>
      <c r="F894"/>
      <c r="G894"/>
      <c r="H894"/>
      <c r="I894"/>
      <c r="J894"/>
      <c r="K894"/>
      <c r="L894"/>
      <c r="M894"/>
    </row>
    <row r="895" spans="1:13" x14ac:dyDescent="0.35">
      <c r="A895"/>
      <c r="B895"/>
      <c r="C895"/>
      <c r="E895"/>
      <c r="F895"/>
      <c r="G895"/>
      <c r="H895"/>
      <c r="I895"/>
      <c r="J895"/>
      <c r="K895"/>
      <c r="L895"/>
      <c r="M895"/>
    </row>
    <row r="896" spans="1:13" x14ac:dyDescent="0.35">
      <c r="A896"/>
      <c r="B896"/>
      <c r="C896"/>
      <c r="E896"/>
      <c r="F896"/>
      <c r="G896"/>
      <c r="H896"/>
      <c r="I896"/>
      <c r="J896"/>
      <c r="K896"/>
      <c r="L896"/>
      <c r="M896"/>
    </row>
    <row r="897" spans="1:13" x14ac:dyDescent="0.35">
      <c r="A897"/>
      <c r="B897"/>
      <c r="C897"/>
      <c r="E897"/>
      <c r="F897"/>
      <c r="G897"/>
      <c r="H897"/>
      <c r="I897"/>
      <c r="J897"/>
      <c r="K897"/>
      <c r="L897"/>
      <c r="M897"/>
    </row>
    <row r="898" spans="1:13" x14ac:dyDescent="0.35">
      <c r="A898"/>
      <c r="B898"/>
      <c r="C898"/>
      <c r="E898"/>
      <c r="F898"/>
      <c r="G898"/>
      <c r="H898"/>
      <c r="I898"/>
      <c r="J898"/>
      <c r="K898"/>
      <c r="L898"/>
      <c r="M898"/>
    </row>
    <row r="899" spans="1:13" x14ac:dyDescent="0.35">
      <c r="A899"/>
      <c r="B899"/>
      <c r="C899"/>
      <c r="E899"/>
      <c r="F899"/>
      <c r="G899"/>
      <c r="H899"/>
      <c r="I899"/>
      <c r="J899"/>
      <c r="K899"/>
      <c r="L899"/>
      <c r="M899"/>
    </row>
    <row r="900" spans="1:13" x14ac:dyDescent="0.35">
      <c r="A900"/>
      <c r="B900"/>
      <c r="C900"/>
      <c r="E900"/>
      <c r="F900"/>
      <c r="G900"/>
      <c r="H900"/>
      <c r="I900"/>
      <c r="J900"/>
      <c r="K900"/>
      <c r="L900"/>
      <c r="M900"/>
    </row>
    <row r="901" spans="1:13" x14ac:dyDescent="0.35">
      <c r="A901"/>
      <c r="B901"/>
      <c r="C901"/>
      <c r="E901"/>
      <c r="F901"/>
      <c r="G901"/>
      <c r="H901"/>
      <c r="I901"/>
      <c r="J901"/>
      <c r="K901"/>
      <c r="L901"/>
      <c r="M901"/>
    </row>
    <row r="902" spans="1:13" x14ac:dyDescent="0.35">
      <c r="A902"/>
      <c r="B902"/>
      <c r="C902"/>
      <c r="E902"/>
      <c r="F902"/>
      <c r="G902"/>
      <c r="H902"/>
      <c r="I902"/>
      <c r="J902"/>
      <c r="K902"/>
      <c r="L902"/>
      <c r="M902"/>
    </row>
    <row r="903" spans="1:13" x14ac:dyDescent="0.35">
      <c r="A903"/>
      <c r="B903"/>
      <c r="C903"/>
      <c r="E903"/>
      <c r="F903"/>
      <c r="G903"/>
      <c r="H903"/>
      <c r="I903"/>
      <c r="J903"/>
      <c r="K903"/>
      <c r="L903"/>
      <c r="M903"/>
    </row>
    <row r="904" spans="1:13" x14ac:dyDescent="0.35">
      <c r="A904"/>
      <c r="B904"/>
      <c r="C904"/>
      <c r="E904"/>
      <c r="F904"/>
      <c r="G904"/>
      <c r="H904"/>
      <c r="I904"/>
      <c r="J904"/>
      <c r="K904"/>
      <c r="L904"/>
      <c r="M904"/>
    </row>
    <row r="905" spans="1:13" x14ac:dyDescent="0.35">
      <c r="A905"/>
      <c r="B905"/>
      <c r="C905"/>
      <c r="E905"/>
      <c r="F905"/>
      <c r="G905"/>
      <c r="H905"/>
      <c r="I905"/>
      <c r="J905"/>
      <c r="K905"/>
      <c r="L905"/>
      <c r="M905"/>
    </row>
    <row r="906" spans="1:13" x14ac:dyDescent="0.35">
      <c r="A906"/>
      <c r="B906"/>
      <c r="C906"/>
      <c r="E906"/>
      <c r="F906"/>
      <c r="G906"/>
      <c r="H906"/>
      <c r="I906"/>
      <c r="J906"/>
      <c r="K906"/>
      <c r="L906"/>
      <c r="M906"/>
    </row>
    <row r="907" spans="1:13" x14ac:dyDescent="0.35">
      <c r="A907"/>
      <c r="B907"/>
      <c r="C907"/>
      <c r="E907"/>
      <c r="F907"/>
      <c r="G907"/>
      <c r="H907"/>
      <c r="I907"/>
      <c r="J907"/>
      <c r="K907"/>
      <c r="L907"/>
      <c r="M907"/>
    </row>
    <row r="908" spans="1:13" x14ac:dyDescent="0.35">
      <c r="A908"/>
      <c r="B908"/>
      <c r="C908"/>
      <c r="E908"/>
      <c r="F908"/>
      <c r="G908"/>
      <c r="H908"/>
      <c r="I908"/>
      <c r="J908"/>
      <c r="K908"/>
      <c r="L908"/>
      <c r="M908"/>
    </row>
    <row r="909" spans="1:13" x14ac:dyDescent="0.35">
      <c r="A909"/>
      <c r="B909"/>
      <c r="C909"/>
      <c r="E909"/>
      <c r="F909"/>
      <c r="G909"/>
      <c r="H909"/>
      <c r="I909"/>
      <c r="J909"/>
      <c r="K909"/>
      <c r="L909"/>
      <c r="M909"/>
    </row>
    <row r="910" spans="1:13" x14ac:dyDescent="0.35">
      <c r="A910"/>
      <c r="B910"/>
      <c r="C910"/>
      <c r="E910"/>
      <c r="F910"/>
      <c r="G910"/>
      <c r="H910"/>
      <c r="I910"/>
      <c r="J910"/>
      <c r="K910"/>
      <c r="L910"/>
      <c r="M910"/>
    </row>
    <row r="911" spans="1:13" x14ac:dyDescent="0.35">
      <c r="A911"/>
      <c r="B911"/>
      <c r="C911"/>
      <c r="E911"/>
      <c r="F911"/>
      <c r="G911"/>
      <c r="H911"/>
      <c r="I911"/>
      <c r="J911"/>
      <c r="K911"/>
      <c r="L911"/>
      <c r="M911"/>
    </row>
    <row r="912" spans="1:13" x14ac:dyDescent="0.35">
      <c r="A912"/>
      <c r="B912"/>
      <c r="C912"/>
      <c r="E912"/>
      <c r="F912"/>
      <c r="G912"/>
      <c r="H912"/>
      <c r="I912"/>
      <c r="J912"/>
      <c r="K912"/>
      <c r="L912"/>
      <c r="M912"/>
    </row>
    <row r="913" spans="1:13" x14ac:dyDescent="0.35">
      <c r="A913"/>
      <c r="B913"/>
      <c r="C913"/>
      <c r="E913"/>
      <c r="F913"/>
      <c r="G913"/>
      <c r="H913"/>
      <c r="I913"/>
      <c r="J913"/>
      <c r="K913"/>
      <c r="L913"/>
      <c r="M913"/>
    </row>
    <row r="914" spans="1:13" x14ac:dyDescent="0.35">
      <c r="A914"/>
      <c r="B914"/>
      <c r="C914"/>
      <c r="E914"/>
      <c r="F914"/>
      <c r="G914"/>
      <c r="H914"/>
      <c r="I914"/>
      <c r="J914"/>
      <c r="K914"/>
      <c r="L914"/>
      <c r="M914"/>
    </row>
    <row r="915" spans="1:13" x14ac:dyDescent="0.35">
      <c r="A915"/>
      <c r="B915"/>
      <c r="C915"/>
      <c r="E915"/>
      <c r="F915"/>
      <c r="G915"/>
      <c r="H915"/>
      <c r="I915"/>
      <c r="J915"/>
      <c r="K915"/>
      <c r="L915"/>
      <c r="M915"/>
    </row>
    <row r="916" spans="1:13" x14ac:dyDescent="0.35">
      <c r="A916"/>
      <c r="B916"/>
      <c r="C916"/>
      <c r="E916"/>
      <c r="F916"/>
      <c r="G916"/>
      <c r="H916"/>
      <c r="I916"/>
      <c r="J916"/>
      <c r="K916"/>
      <c r="L916"/>
      <c r="M916"/>
    </row>
    <row r="917" spans="1:13" x14ac:dyDescent="0.35">
      <c r="A917"/>
      <c r="B917"/>
      <c r="C917"/>
      <c r="E917"/>
      <c r="F917"/>
      <c r="G917"/>
      <c r="H917"/>
      <c r="I917"/>
      <c r="J917"/>
      <c r="K917"/>
      <c r="L917"/>
      <c r="M917"/>
    </row>
    <row r="918" spans="1:13" x14ac:dyDescent="0.35">
      <c r="A918"/>
      <c r="B918"/>
      <c r="C918"/>
      <c r="E918"/>
      <c r="F918"/>
      <c r="G918"/>
      <c r="H918"/>
      <c r="I918"/>
      <c r="J918"/>
      <c r="K918"/>
      <c r="L918"/>
      <c r="M918"/>
    </row>
    <row r="919" spans="1:13" x14ac:dyDescent="0.35">
      <c r="A919"/>
      <c r="B919"/>
      <c r="C919"/>
      <c r="E919"/>
      <c r="F919"/>
      <c r="G919"/>
      <c r="H919"/>
      <c r="I919"/>
      <c r="J919"/>
      <c r="K919"/>
      <c r="L919"/>
      <c r="M919"/>
    </row>
    <row r="920" spans="1:13" x14ac:dyDescent="0.35">
      <c r="A920"/>
      <c r="B920"/>
      <c r="C920"/>
      <c r="E920"/>
      <c r="F920"/>
      <c r="G920"/>
      <c r="H920"/>
      <c r="I920"/>
      <c r="J920"/>
      <c r="K920"/>
      <c r="L920"/>
      <c r="M920"/>
    </row>
    <row r="921" spans="1:13" x14ac:dyDescent="0.35">
      <c r="A921"/>
      <c r="B921"/>
      <c r="C921"/>
      <c r="E921"/>
      <c r="F921"/>
      <c r="G921"/>
      <c r="H921"/>
      <c r="I921"/>
      <c r="J921"/>
      <c r="K921"/>
      <c r="L921"/>
      <c r="M921"/>
    </row>
    <row r="922" spans="1:13" x14ac:dyDescent="0.35">
      <c r="A922"/>
      <c r="B922"/>
      <c r="C922"/>
      <c r="E922"/>
      <c r="F922"/>
      <c r="G922"/>
      <c r="H922"/>
      <c r="I922"/>
      <c r="J922"/>
      <c r="K922"/>
      <c r="L922"/>
      <c r="M922"/>
    </row>
  </sheetData>
  <mergeCells count="1">
    <mergeCell ref="I60:I6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selection activeCell="F93" sqref="F93"/>
    </sheetView>
  </sheetViews>
  <sheetFormatPr defaultRowHeight="14.5" x14ac:dyDescent="0.35"/>
  <cols>
    <col min="1" max="1" width="5.7265625" style="1" customWidth="1"/>
    <col min="2" max="2" width="16.90625" style="1" customWidth="1"/>
    <col min="3" max="3" width="9" style="1" customWidth="1"/>
    <col min="4" max="4" width="8.453125" style="1" customWidth="1"/>
    <col min="5" max="5" width="7.453125" style="1" customWidth="1"/>
    <col min="6" max="6" width="11.1796875" bestFit="1" customWidth="1"/>
  </cols>
  <sheetData>
    <row r="1" spans="1:8" x14ac:dyDescent="0.35">
      <c r="A1" s="25" t="s">
        <v>34</v>
      </c>
      <c r="B1" s="25" t="s">
        <v>45</v>
      </c>
      <c r="C1" s="25" t="s">
        <v>1</v>
      </c>
      <c r="D1" s="25" t="s">
        <v>38</v>
      </c>
      <c r="E1" s="25" t="s">
        <v>9</v>
      </c>
      <c r="F1" s="25" t="s">
        <v>55</v>
      </c>
      <c r="G1" s="25" t="s">
        <v>0</v>
      </c>
      <c r="H1" s="25" t="s">
        <v>54</v>
      </c>
    </row>
    <row r="2" spans="1:8" x14ac:dyDescent="0.35">
      <c r="A2" s="1">
        <f>'Student Basic Info'!A2</f>
        <v>701</v>
      </c>
      <c r="B2" s="66" t="s">
        <v>44</v>
      </c>
      <c r="C2" s="1" t="s">
        <v>2</v>
      </c>
      <c r="D2" s="1" t="s">
        <v>442</v>
      </c>
      <c r="E2" s="68">
        <v>5</v>
      </c>
      <c r="F2" s="1" t="s">
        <v>56</v>
      </c>
      <c r="G2" s="67">
        <v>197409</v>
      </c>
      <c r="H2" s="66">
        <v>197409</v>
      </c>
    </row>
    <row r="3" spans="1:8" x14ac:dyDescent="0.35">
      <c r="A3" s="1">
        <f>'Student Basic Info'!A3</f>
        <v>702</v>
      </c>
      <c r="B3" s="66" t="s">
        <v>44</v>
      </c>
      <c r="C3" s="1" t="s">
        <v>2</v>
      </c>
      <c r="D3" s="1" t="s">
        <v>442</v>
      </c>
      <c r="E3" s="68">
        <v>5</v>
      </c>
      <c r="F3" s="1" t="s">
        <v>56</v>
      </c>
      <c r="G3" s="67">
        <v>197409</v>
      </c>
      <c r="H3" s="66">
        <v>197409</v>
      </c>
    </row>
    <row r="4" spans="1:8" x14ac:dyDescent="0.35">
      <c r="A4" s="1">
        <f>'Student Basic Info'!A4</f>
        <v>703</v>
      </c>
      <c r="B4" s="66" t="s">
        <v>44</v>
      </c>
      <c r="C4" s="1" t="s">
        <v>2</v>
      </c>
      <c r="D4" s="1" t="s">
        <v>442</v>
      </c>
      <c r="E4" s="68">
        <v>5</v>
      </c>
      <c r="F4" s="1" t="s">
        <v>56</v>
      </c>
      <c r="G4" s="67">
        <v>197409</v>
      </c>
      <c r="H4" s="66">
        <v>197409</v>
      </c>
    </row>
    <row r="5" spans="1:8" x14ac:dyDescent="0.35">
      <c r="A5" s="1">
        <f>'Student Basic Info'!A5</f>
        <v>704</v>
      </c>
      <c r="B5" s="66" t="s">
        <v>44</v>
      </c>
      <c r="C5" s="1" t="s">
        <v>2</v>
      </c>
      <c r="D5" s="1" t="s">
        <v>442</v>
      </c>
      <c r="E5" s="68">
        <v>5</v>
      </c>
      <c r="F5" s="1" t="s">
        <v>56</v>
      </c>
      <c r="G5" s="67">
        <v>197409</v>
      </c>
      <c r="H5" s="66">
        <v>197409</v>
      </c>
    </row>
    <row r="6" spans="1:8" x14ac:dyDescent="0.35">
      <c r="A6" s="1">
        <f>'Student Basic Info'!A6</f>
        <v>705</v>
      </c>
      <c r="B6" s="66" t="s">
        <v>44</v>
      </c>
      <c r="C6" s="1" t="s">
        <v>2</v>
      </c>
      <c r="D6" s="1" t="s">
        <v>442</v>
      </c>
      <c r="E6" s="68">
        <v>5</v>
      </c>
      <c r="F6" s="1" t="s">
        <v>56</v>
      </c>
      <c r="G6" s="67">
        <v>197409</v>
      </c>
      <c r="H6" s="66">
        <v>197409</v>
      </c>
    </row>
    <row r="7" spans="1:8" x14ac:dyDescent="0.35">
      <c r="A7" s="1">
        <f>'Student Basic Info'!A7</f>
        <v>706</v>
      </c>
      <c r="B7" s="66" t="s">
        <v>44</v>
      </c>
      <c r="C7" s="1" t="s">
        <v>2</v>
      </c>
      <c r="D7" s="1" t="s">
        <v>442</v>
      </c>
      <c r="E7" s="68">
        <v>5</v>
      </c>
      <c r="F7" s="1" t="s">
        <v>56</v>
      </c>
      <c r="G7" s="67">
        <v>197409</v>
      </c>
      <c r="H7" s="66">
        <v>197409</v>
      </c>
    </row>
    <row r="8" spans="1:8" x14ac:dyDescent="0.35">
      <c r="A8" s="1">
        <f>'Student Basic Info'!A8</f>
        <v>707</v>
      </c>
      <c r="B8" s="66" t="s">
        <v>44</v>
      </c>
      <c r="C8" s="1" t="s">
        <v>2</v>
      </c>
      <c r="D8" s="1" t="s">
        <v>442</v>
      </c>
      <c r="E8" s="68">
        <v>5</v>
      </c>
      <c r="F8" s="1" t="s">
        <v>56</v>
      </c>
      <c r="G8" s="67">
        <v>197409</v>
      </c>
      <c r="H8" s="66">
        <v>197409</v>
      </c>
    </row>
    <row r="9" spans="1:8" x14ac:dyDescent="0.35">
      <c r="A9" s="1">
        <f>'Student Basic Info'!A9</f>
        <v>708</v>
      </c>
      <c r="B9" s="66" t="s">
        <v>44</v>
      </c>
      <c r="C9" s="1" t="s">
        <v>2</v>
      </c>
      <c r="D9" s="1" t="s">
        <v>442</v>
      </c>
      <c r="E9" s="68">
        <v>5</v>
      </c>
      <c r="F9" s="1" t="s">
        <v>56</v>
      </c>
      <c r="G9" s="67">
        <v>197409</v>
      </c>
      <c r="H9" s="66">
        <v>197409</v>
      </c>
    </row>
    <row r="10" spans="1:8" x14ac:dyDescent="0.35">
      <c r="A10" s="1">
        <f>'Student Basic Info'!A10</f>
        <v>709</v>
      </c>
      <c r="B10" s="66" t="s">
        <v>44</v>
      </c>
      <c r="C10" s="1" t="s">
        <v>2</v>
      </c>
      <c r="D10" s="1" t="s">
        <v>442</v>
      </c>
      <c r="E10" s="68">
        <v>5</v>
      </c>
      <c r="F10" s="1" t="s">
        <v>56</v>
      </c>
      <c r="G10" s="67">
        <v>197409</v>
      </c>
      <c r="H10" s="66">
        <v>197409</v>
      </c>
    </row>
    <row r="11" spans="1:8" x14ac:dyDescent="0.35">
      <c r="A11" s="1">
        <f>'Student Basic Info'!A11</f>
        <v>710</v>
      </c>
      <c r="B11" s="66" t="s">
        <v>44</v>
      </c>
      <c r="C11" s="1" t="s">
        <v>2</v>
      </c>
      <c r="D11" s="1" t="s">
        <v>442</v>
      </c>
      <c r="E11" s="68">
        <v>5</v>
      </c>
      <c r="F11" s="1" t="s">
        <v>56</v>
      </c>
      <c r="G11" s="67">
        <v>197409</v>
      </c>
      <c r="H11" s="66">
        <v>197409</v>
      </c>
    </row>
    <row r="12" spans="1:8" x14ac:dyDescent="0.35">
      <c r="A12" s="1">
        <f>'Student Basic Info'!A12</f>
        <v>711</v>
      </c>
      <c r="B12" s="66" t="s">
        <v>44</v>
      </c>
      <c r="C12" s="1" t="s">
        <v>2</v>
      </c>
      <c r="D12" s="1" t="s">
        <v>442</v>
      </c>
      <c r="E12" s="68">
        <v>5</v>
      </c>
      <c r="F12" s="1" t="s">
        <v>56</v>
      </c>
      <c r="G12" s="67">
        <v>197409</v>
      </c>
      <c r="H12" s="66">
        <v>197409</v>
      </c>
    </row>
    <row r="13" spans="1:8" x14ac:dyDescent="0.35">
      <c r="A13" s="1">
        <f>'Student Basic Info'!A13</f>
        <v>712</v>
      </c>
      <c r="B13" s="66" t="s">
        <v>44</v>
      </c>
      <c r="C13" s="1" t="s">
        <v>2</v>
      </c>
      <c r="D13" s="1" t="s">
        <v>442</v>
      </c>
      <c r="E13" s="68">
        <v>5</v>
      </c>
      <c r="F13" s="1" t="s">
        <v>56</v>
      </c>
      <c r="G13" s="67">
        <v>197409</v>
      </c>
      <c r="H13" s="66">
        <v>197409</v>
      </c>
    </row>
    <row r="14" spans="1:8" x14ac:dyDescent="0.35">
      <c r="A14" s="1">
        <f>'Student Basic Info'!A14</f>
        <v>713</v>
      </c>
      <c r="B14" s="66" t="s">
        <v>44</v>
      </c>
      <c r="C14" s="1" t="s">
        <v>2</v>
      </c>
      <c r="D14" s="1" t="s">
        <v>442</v>
      </c>
      <c r="E14" s="68">
        <v>5</v>
      </c>
      <c r="F14" s="1" t="s">
        <v>56</v>
      </c>
      <c r="G14" s="67">
        <v>197409</v>
      </c>
      <c r="H14" s="66">
        <v>197409</v>
      </c>
    </row>
    <row r="15" spans="1:8" x14ac:dyDescent="0.35">
      <c r="A15" s="1">
        <f>'Student Basic Info'!A15</f>
        <v>714</v>
      </c>
      <c r="B15" s="66" t="s">
        <v>44</v>
      </c>
      <c r="C15" s="1" t="s">
        <v>2</v>
      </c>
      <c r="D15" s="1" t="s">
        <v>442</v>
      </c>
      <c r="E15" s="68">
        <v>5</v>
      </c>
      <c r="F15" s="1" t="s">
        <v>56</v>
      </c>
      <c r="G15" s="67">
        <v>197409</v>
      </c>
      <c r="H15" s="66">
        <v>197409</v>
      </c>
    </row>
    <row r="16" spans="1:8" x14ac:dyDescent="0.35">
      <c r="A16" s="1">
        <f>'Student Basic Info'!A16</f>
        <v>715</v>
      </c>
      <c r="B16" s="66" t="s">
        <v>44</v>
      </c>
      <c r="C16" s="1" t="s">
        <v>2</v>
      </c>
      <c r="D16" s="1" t="s">
        <v>442</v>
      </c>
      <c r="E16" s="68">
        <v>5</v>
      </c>
      <c r="F16" s="1" t="s">
        <v>56</v>
      </c>
      <c r="G16" s="67">
        <v>197409</v>
      </c>
      <c r="H16" s="66">
        <v>197409</v>
      </c>
    </row>
    <row r="17" spans="1:8" x14ac:dyDescent="0.35">
      <c r="A17" s="1">
        <f>'Student Basic Info'!A17</f>
        <v>716</v>
      </c>
      <c r="B17" s="66" t="s">
        <v>44</v>
      </c>
      <c r="C17" s="1" t="s">
        <v>2</v>
      </c>
      <c r="D17" s="1" t="s">
        <v>442</v>
      </c>
      <c r="E17" s="68">
        <v>5</v>
      </c>
      <c r="F17" s="1" t="s">
        <v>56</v>
      </c>
      <c r="G17" s="67">
        <v>197409</v>
      </c>
      <c r="H17" s="66">
        <v>197409</v>
      </c>
    </row>
    <row r="18" spans="1:8" x14ac:dyDescent="0.35">
      <c r="A18" s="1">
        <f>'Student Basic Info'!A18</f>
        <v>717</v>
      </c>
      <c r="B18" s="66" t="s">
        <v>44</v>
      </c>
      <c r="C18" s="1" t="s">
        <v>2</v>
      </c>
      <c r="D18" s="1" t="s">
        <v>442</v>
      </c>
      <c r="E18" s="68">
        <v>5</v>
      </c>
      <c r="F18" s="1" t="s">
        <v>56</v>
      </c>
      <c r="G18" s="67">
        <v>197409</v>
      </c>
      <c r="H18" s="66">
        <v>197409</v>
      </c>
    </row>
    <row r="19" spans="1:8" x14ac:dyDescent="0.35">
      <c r="A19" s="1">
        <f>'Student Basic Info'!A19</f>
        <v>718</v>
      </c>
      <c r="B19" s="66" t="s">
        <v>44</v>
      </c>
      <c r="C19" s="1" t="s">
        <v>2</v>
      </c>
      <c r="D19" s="1" t="s">
        <v>442</v>
      </c>
      <c r="E19" s="68">
        <v>5</v>
      </c>
      <c r="F19" s="1" t="s">
        <v>56</v>
      </c>
      <c r="G19" s="67">
        <v>197409</v>
      </c>
      <c r="H19" s="66">
        <v>197409</v>
      </c>
    </row>
    <row r="20" spans="1:8" x14ac:dyDescent="0.35">
      <c r="A20" s="1">
        <f>'Student Basic Info'!A20</f>
        <v>719</v>
      </c>
      <c r="B20" s="66" t="s">
        <v>44</v>
      </c>
      <c r="C20" s="1" t="s">
        <v>2</v>
      </c>
      <c r="D20" s="1" t="s">
        <v>442</v>
      </c>
      <c r="E20" s="68">
        <v>5</v>
      </c>
      <c r="F20" s="1" t="s">
        <v>56</v>
      </c>
      <c r="G20" s="67">
        <v>197409</v>
      </c>
      <c r="H20" s="66">
        <v>197409</v>
      </c>
    </row>
    <row r="21" spans="1:8" x14ac:dyDescent="0.35">
      <c r="A21" s="1">
        <f>'Student Basic Info'!A21</f>
        <v>720</v>
      </c>
      <c r="B21" s="66" t="s">
        <v>44</v>
      </c>
      <c r="C21" s="1" t="s">
        <v>2</v>
      </c>
      <c r="D21" s="1" t="s">
        <v>442</v>
      </c>
      <c r="E21" s="68">
        <v>5</v>
      </c>
      <c r="F21" s="1" t="s">
        <v>56</v>
      </c>
      <c r="G21" s="67">
        <v>197409</v>
      </c>
      <c r="H21" s="66">
        <v>197409</v>
      </c>
    </row>
    <row r="22" spans="1:8" x14ac:dyDescent="0.35">
      <c r="A22" s="1">
        <f>'Student Basic Info'!A22</f>
        <v>721</v>
      </c>
      <c r="B22" s="66" t="s">
        <v>44</v>
      </c>
      <c r="C22" s="1" t="s">
        <v>2</v>
      </c>
      <c r="D22" s="1" t="s">
        <v>442</v>
      </c>
      <c r="E22" s="68">
        <v>5</v>
      </c>
      <c r="F22" s="1" t="s">
        <v>56</v>
      </c>
      <c r="G22" s="67">
        <v>197409</v>
      </c>
      <c r="H22" s="66">
        <v>197409</v>
      </c>
    </row>
    <row r="23" spans="1:8" x14ac:dyDescent="0.35">
      <c r="A23" s="1">
        <f>'Student Basic Info'!A23</f>
        <v>722</v>
      </c>
      <c r="B23" s="66" t="s">
        <v>44</v>
      </c>
      <c r="C23" s="1" t="s">
        <v>2</v>
      </c>
      <c r="D23" s="1" t="s">
        <v>442</v>
      </c>
      <c r="E23" s="68">
        <v>5</v>
      </c>
      <c r="F23" s="1" t="s">
        <v>56</v>
      </c>
      <c r="G23" s="67">
        <v>197409</v>
      </c>
      <c r="H23" s="66">
        <v>197409</v>
      </c>
    </row>
    <row r="24" spans="1:8" x14ac:dyDescent="0.35">
      <c r="A24" s="1">
        <f>'Student Basic Info'!A24</f>
        <v>723</v>
      </c>
      <c r="B24" s="66" t="s">
        <v>44</v>
      </c>
      <c r="C24" s="1" t="s">
        <v>2</v>
      </c>
      <c r="D24" s="1" t="s">
        <v>442</v>
      </c>
      <c r="E24" s="68">
        <v>5</v>
      </c>
      <c r="F24" s="1" t="s">
        <v>56</v>
      </c>
      <c r="G24" s="67">
        <v>197409</v>
      </c>
      <c r="H24" s="66">
        <v>197409</v>
      </c>
    </row>
    <row r="25" spans="1:8" x14ac:dyDescent="0.35">
      <c r="A25" s="1">
        <f>'Student Basic Info'!A25</f>
        <v>724</v>
      </c>
      <c r="B25" s="66" t="s">
        <v>44</v>
      </c>
      <c r="C25" s="1" t="s">
        <v>2</v>
      </c>
      <c r="D25" s="1" t="s">
        <v>442</v>
      </c>
      <c r="E25" s="68">
        <v>5</v>
      </c>
      <c r="F25" s="1" t="s">
        <v>56</v>
      </c>
      <c r="G25" s="67">
        <v>197409</v>
      </c>
      <c r="H25" s="66">
        <v>197409</v>
      </c>
    </row>
    <row r="26" spans="1:8" x14ac:dyDescent="0.35">
      <c r="A26" s="1">
        <f>'Student Basic Info'!A26</f>
        <v>725</v>
      </c>
      <c r="B26" s="66" t="s">
        <v>44</v>
      </c>
      <c r="C26" s="1" t="s">
        <v>2</v>
      </c>
      <c r="D26" s="1" t="s">
        <v>442</v>
      </c>
      <c r="E26" s="68">
        <v>5</v>
      </c>
      <c r="F26" s="1" t="s">
        <v>56</v>
      </c>
      <c r="G26" s="67">
        <v>197409</v>
      </c>
      <c r="H26" s="66">
        <v>197409</v>
      </c>
    </row>
    <row r="27" spans="1:8" x14ac:dyDescent="0.35">
      <c r="A27" s="1">
        <f>'Student Basic Info'!A27</f>
        <v>726</v>
      </c>
      <c r="B27" s="66" t="s">
        <v>44</v>
      </c>
      <c r="C27" s="1" t="s">
        <v>2</v>
      </c>
      <c r="D27" s="1" t="s">
        <v>442</v>
      </c>
      <c r="E27" s="68">
        <v>5</v>
      </c>
      <c r="F27" s="1" t="s">
        <v>56</v>
      </c>
      <c r="G27" s="67">
        <v>197409</v>
      </c>
      <c r="H27" s="66">
        <v>197409</v>
      </c>
    </row>
    <row r="28" spans="1:8" x14ac:dyDescent="0.35">
      <c r="A28" s="1">
        <f>'Student Basic Info'!A28</f>
        <v>727</v>
      </c>
      <c r="B28" s="66" t="s">
        <v>44</v>
      </c>
      <c r="C28" s="1" t="s">
        <v>2</v>
      </c>
      <c r="D28" s="1" t="s">
        <v>442</v>
      </c>
      <c r="E28" s="68">
        <v>5</v>
      </c>
      <c r="F28" s="1" t="s">
        <v>56</v>
      </c>
      <c r="G28" s="67">
        <v>197409</v>
      </c>
      <c r="H28" s="66">
        <v>197409</v>
      </c>
    </row>
    <row r="29" spans="1:8" x14ac:dyDescent="0.35">
      <c r="A29" s="1">
        <f>'Student Basic Info'!A29</f>
        <v>728</v>
      </c>
      <c r="B29" s="66" t="s">
        <v>44</v>
      </c>
      <c r="C29" s="1" t="s">
        <v>2</v>
      </c>
      <c r="D29" s="1" t="s">
        <v>442</v>
      </c>
      <c r="E29" s="68">
        <v>5</v>
      </c>
      <c r="F29" s="1" t="s">
        <v>56</v>
      </c>
      <c r="G29" s="67">
        <v>197409</v>
      </c>
      <c r="H29" s="66">
        <v>197409</v>
      </c>
    </row>
    <row r="30" spans="1:8" x14ac:dyDescent="0.35">
      <c r="A30" s="1">
        <f>'Student Basic Info'!A30</f>
        <v>729</v>
      </c>
      <c r="B30" s="66" t="s">
        <v>44</v>
      </c>
      <c r="C30" s="1" t="s">
        <v>2</v>
      </c>
      <c r="D30" s="1" t="s">
        <v>442</v>
      </c>
      <c r="E30" s="68">
        <v>5</v>
      </c>
      <c r="F30" s="1" t="s">
        <v>56</v>
      </c>
      <c r="G30" s="67">
        <v>197409</v>
      </c>
      <c r="H30" s="66">
        <v>197409</v>
      </c>
    </row>
    <row r="31" spans="1:8" x14ac:dyDescent="0.35">
      <c r="A31" s="1">
        <f>'Student Basic Info'!A31</f>
        <v>730</v>
      </c>
      <c r="B31" s="66" t="s">
        <v>44</v>
      </c>
      <c r="C31" s="1" t="s">
        <v>2</v>
      </c>
      <c r="D31" s="1" t="s">
        <v>442</v>
      </c>
      <c r="E31" s="68">
        <v>5</v>
      </c>
      <c r="F31" s="1" t="s">
        <v>56</v>
      </c>
      <c r="G31" s="67">
        <v>197409</v>
      </c>
      <c r="H31" s="66">
        <v>197409</v>
      </c>
    </row>
    <row r="32" spans="1:8" x14ac:dyDescent="0.35">
      <c r="A32" s="1">
        <f>'Student Basic Info'!A32</f>
        <v>731</v>
      </c>
      <c r="B32" s="66" t="s">
        <v>44</v>
      </c>
      <c r="C32" s="1" t="s">
        <v>2</v>
      </c>
      <c r="D32" s="1" t="s">
        <v>442</v>
      </c>
      <c r="E32" s="68">
        <v>5</v>
      </c>
      <c r="F32" s="1" t="s">
        <v>56</v>
      </c>
      <c r="G32" s="67">
        <v>197409</v>
      </c>
      <c r="H32" s="66">
        <v>197409</v>
      </c>
    </row>
    <row r="33" spans="1:8" x14ac:dyDescent="0.35">
      <c r="A33" s="1">
        <f>'Student Basic Info'!A33</f>
        <v>732</v>
      </c>
      <c r="B33" s="66" t="s">
        <v>44</v>
      </c>
      <c r="C33" s="1" t="s">
        <v>2</v>
      </c>
      <c r="D33" s="1" t="s">
        <v>442</v>
      </c>
      <c r="E33" s="68">
        <v>5</v>
      </c>
      <c r="F33" s="1" t="s">
        <v>56</v>
      </c>
      <c r="G33" s="67">
        <v>197409</v>
      </c>
      <c r="H33" s="66">
        <v>197409</v>
      </c>
    </row>
    <row r="34" spans="1:8" x14ac:dyDescent="0.35">
      <c r="A34" s="1">
        <f>'Student Basic Info'!A34</f>
        <v>733</v>
      </c>
      <c r="B34" s="66" t="s">
        <v>44</v>
      </c>
      <c r="C34" s="1" t="s">
        <v>2</v>
      </c>
      <c r="D34" s="1" t="s">
        <v>442</v>
      </c>
      <c r="E34" s="68">
        <v>5</v>
      </c>
      <c r="F34" s="1" t="s">
        <v>56</v>
      </c>
      <c r="G34" s="67">
        <v>197409</v>
      </c>
      <c r="H34" s="66">
        <v>197409</v>
      </c>
    </row>
    <row r="35" spans="1:8" x14ac:dyDescent="0.35">
      <c r="A35" s="1">
        <f>'Student Basic Info'!A35</f>
        <v>734</v>
      </c>
      <c r="B35" s="66" t="s">
        <v>44</v>
      </c>
      <c r="C35" s="1" t="s">
        <v>2</v>
      </c>
      <c r="D35" s="1" t="s">
        <v>442</v>
      </c>
      <c r="E35" s="68">
        <v>5</v>
      </c>
      <c r="F35" s="1" t="s">
        <v>56</v>
      </c>
      <c r="G35" s="67">
        <v>197409</v>
      </c>
      <c r="H35" s="66">
        <v>197409</v>
      </c>
    </row>
    <row r="36" spans="1:8" x14ac:dyDescent="0.35">
      <c r="A36" s="1">
        <f>'Student Basic Info'!A36</f>
        <v>735</v>
      </c>
      <c r="B36" s="66" t="s">
        <v>44</v>
      </c>
      <c r="C36" s="1" t="s">
        <v>2</v>
      </c>
      <c r="D36" s="1" t="s">
        <v>442</v>
      </c>
      <c r="E36" s="68">
        <v>5</v>
      </c>
      <c r="F36" s="1" t="s">
        <v>56</v>
      </c>
      <c r="G36" s="67">
        <v>197409</v>
      </c>
      <c r="H36" s="66">
        <v>197409</v>
      </c>
    </row>
    <row r="37" spans="1:8" x14ac:dyDescent="0.35">
      <c r="A37" s="1">
        <f>'Student Basic Info'!A37</f>
        <v>736</v>
      </c>
      <c r="B37" s="66" t="s">
        <v>44</v>
      </c>
      <c r="C37" s="1" t="s">
        <v>2</v>
      </c>
      <c r="D37" s="1" t="s">
        <v>442</v>
      </c>
      <c r="E37" s="68">
        <v>5</v>
      </c>
      <c r="F37" s="1" t="s">
        <v>56</v>
      </c>
      <c r="G37" s="67">
        <v>197409</v>
      </c>
      <c r="H37" s="66">
        <v>197409</v>
      </c>
    </row>
    <row r="38" spans="1:8" x14ac:dyDescent="0.35">
      <c r="A38" s="1">
        <f>'Student Basic Info'!A38</f>
        <v>737</v>
      </c>
      <c r="B38" s="66" t="s">
        <v>44</v>
      </c>
      <c r="C38" s="1" t="s">
        <v>2</v>
      </c>
      <c r="D38" s="1" t="s">
        <v>442</v>
      </c>
      <c r="E38" s="68">
        <v>5</v>
      </c>
      <c r="F38" s="1" t="s">
        <v>56</v>
      </c>
      <c r="G38" s="67">
        <v>197409</v>
      </c>
      <c r="H38" s="66">
        <v>197409</v>
      </c>
    </row>
    <row r="39" spans="1:8" x14ac:dyDescent="0.35">
      <c r="A39" s="1">
        <f>'Student Basic Info'!A39</f>
        <v>738</v>
      </c>
      <c r="B39" s="66" t="s">
        <v>44</v>
      </c>
      <c r="C39" s="1" t="s">
        <v>2</v>
      </c>
      <c r="D39" s="1" t="s">
        <v>442</v>
      </c>
      <c r="E39" s="68">
        <v>5</v>
      </c>
      <c r="F39" s="1" t="s">
        <v>56</v>
      </c>
      <c r="G39" s="67">
        <v>197409</v>
      </c>
      <c r="H39" s="66">
        <v>197409</v>
      </c>
    </row>
    <row r="40" spans="1:8" x14ac:dyDescent="0.35">
      <c r="A40" s="1">
        <f>'Student Basic Info'!A40</f>
        <v>739</v>
      </c>
      <c r="B40" s="66" t="s">
        <v>44</v>
      </c>
      <c r="C40" s="1" t="s">
        <v>2</v>
      </c>
      <c r="D40" s="1" t="s">
        <v>442</v>
      </c>
      <c r="E40" s="68">
        <v>5</v>
      </c>
      <c r="F40" s="1" t="s">
        <v>56</v>
      </c>
      <c r="G40" s="67">
        <v>197409</v>
      </c>
      <c r="H40" s="66">
        <v>197409</v>
      </c>
    </row>
    <row r="41" spans="1:8" x14ac:dyDescent="0.35">
      <c r="A41" s="1">
        <f>'Student Basic Info'!A41</f>
        <v>740</v>
      </c>
      <c r="B41" s="66" t="s">
        <v>44</v>
      </c>
      <c r="C41" s="1" t="s">
        <v>2</v>
      </c>
      <c r="D41" s="1" t="s">
        <v>442</v>
      </c>
      <c r="E41" s="68">
        <v>5</v>
      </c>
      <c r="F41" s="1" t="s">
        <v>56</v>
      </c>
      <c r="G41" s="67">
        <v>197409</v>
      </c>
      <c r="H41" s="66">
        <v>197409</v>
      </c>
    </row>
    <row r="42" spans="1:8" x14ac:dyDescent="0.35">
      <c r="A42" s="1">
        <f>'Student Basic Info'!A42</f>
        <v>741</v>
      </c>
      <c r="B42" s="66" t="s">
        <v>44</v>
      </c>
      <c r="C42" s="1" t="s">
        <v>2</v>
      </c>
      <c r="D42" s="1" t="s">
        <v>442</v>
      </c>
      <c r="E42" s="68">
        <v>5</v>
      </c>
      <c r="F42" s="1" t="s">
        <v>56</v>
      </c>
      <c r="G42" s="67">
        <v>197409</v>
      </c>
      <c r="H42" s="66">
        <v>197409</v>
      </c>
    </row>
    <row r="43" spans="1:8" x14ac:dyDescent="0.35">
      <c r="A43" s="1">
        <f>'Student Basic Info'!A43</f>
        <v>742</v>
      </c>
      <c r="B43" s="66" t="s">
        <v>44</v>
      </c>
      <c r="C43" s="1" t="s">
        <v>2</v>
      </c>
      <c r="D43" s="1" t="s">
        <v>442</v>
      </c>
      <c r="E43" s="68">
        <v>5</v>
      </c>
      <c r="F43" s="1" t="s">
        <v>56</v>
      </c>
      <c r="G43" s="67">
        <v>197409</v>
      </c>
      <c r="H43" s="66">
        <v>197409</v>
      </c>
    </row>
    <row r="44" spans="1:8" x14ac:dyDescent="0.35">
      <c r="A44" s="1">
        <f>'Student Basic Info'!A44</f>
        <v>743</v>
      </c>
      <c r="B44" s="66" t="s">
        <v>44</v>
      </c>
      <c r="C44" s="1" t="s">
        <v>2</v>
      </c>
      <c r="D44" s="1" t="s">
        <v>442</v>
      </c>
      <c r="E44" s="68">
        <v>5</v>
      </c>
      <c r="F44" s="1" t="s">
        <v>56</v>
      </c>
      <c r="G44" s="67">
        <v>197409</v>
      </c>
      <c r="H44" s="66">
        <v>197409</v>
      </c>
    </row>
    <row r="45" spans="1:8" x14ac:dyDescent="0.35">
      <c r="A45" s="1">
        <f>'Student Basic Info'!A45</f>
        <v>744</v>
      </c>
      <c r="B45" s="66" t="s">
        <v>44</v>
      </c>
      <c r="C45" s="1" t="s">
        <v>2</v>
      </c>
      <c r="D45" s="1" t="s">
        <v>442</v>
      </c>
      <c r="E45" s="68">
        <v>5</v>
      </c>
      <c r="F45" s="1" t="s">
        <v>56</v>
      </c>
      <c r="G45" s="67">
        <v>197409</v>
      </c>
      <c r="H45" s="66">
        <v>197409</v>
      </c>
    </row>
    <row r="46" spans="1:8" x14ac:dyDescent="0.35">
      <c r="A46" s="1">
        <f>'Student Basic Info'!A46</f>
        <v>745</v>
      </c>
      <c r="B46" s="66" t="s">
        <v>44</v>
      </c>
      <c r="C46" s="1" t="s">
        <v>2</v>
      </c>
      <c r="D46" s="1" t="s">
        <v>442</v>
      </c>
      <c r="E46" s="68">
        <v>5</v>
      </c>
      <c r="F46" s="1" t="s">
        <v>56</v>
      </c>
      <c r="G46" s="67">
        <v>197409</v>
      </c>
      <c r="H46" s="66">
        <v>197409</v>
      </c>
    </row>
    <row r="47" spans="1:8" x14ac:dyDescent="0.35">
      <c r="A47" s="1">
        <f>'Student Basic Info'!A47</f>
        <v>746</v>
      </c>
      <c r="B47" s="66" t="s">
        <v>44</v>
      </c>
      <c r="C47" s="1" t="s">
        <v>2</v>
      </c>
      <c r="D47" s="1" t="s">
        <v>442</v>
      </c>
      <c r="E47" s="68">
        <v>5</v>
      </c>
      <c r="F47" s="1" t="s">
        <v>56</v>
      </c>
      <c r="G47" s="67">
        <v>197409</v>
      </c>
      <c r="H47" s="66">
        <v>197409</v>
      </c>
    </row>
    <row r="48" spans="1:8" x14ac:dyDescent="0.35">
      <c r="A48" s="1">
        <f>'Student Basic Info'!A48</f>
        <v>747</v>
      </c>
      <c r="B48" s="66" t="s">
        <v>44</v>
      </c>
      <c r="C48" s="1" t="s">
        <v>2</v>
      </c>
      <c r="D48" s="1" t="s">
        <v>442</v>
      </c>
      <c r="E48" s="68">
        <v>5</v>
      </c>
      <c r="F48" s="1" t="s">
        <v>56</v>
      </c>
      <c r="G48" s="67">
        <v>197409</v>
      </c>
      <c r="H48" s="66">
        <v>197409</v>
      </c>
    </row>
    <row r="49" spans="1:8" x14ac:dyDescent="0.35">
      <c r="A49" s="1">
        <f>'Student Basic Info'!A49</f>
        <v>748</v>
      </c>
      <c r="B49" s="66" t="s">
        <v>44</v>
      </c>
      <c r="C49" s="1" t="s">
        <v>2</v>
      </c>
      <c r="D49" s="1" t="s">
        <v>442</v>
      </c>
      <c r="E49" s="68">
        <v>5</v>
      </c>
      <c r="F49" s="1" t="s">
        <v>56</v>
      </c>
      <c r="G49" s="67">
        <v>197409</v>
      </c>
      <c r="H49" s="66">
        <v>197409</v>
      </c>
    </row>
    <row r="50" spans="1:8" x14ac:dyDescent="0.35">
      <c r="A50" s="1">
        <f>'Student Basic Info'!A50</f>
        <v>749</v>
      </c>
      <c r="B50" s="66" t="s">
        <v>44</v>
      </c>
      <c r="C50" s="1" t="s">
        <v>2</v>
      </c>
      <c r="D50" s="1" t="s">
        <v>442</v>
      </c>
      <c r="E50" s="68">
        <v>5</v>
      </c>
      <c r="F50" s="1" t="s">
        <v>56</v>
      </c>
      <c r="G50" s="67">
        <v>197409</v>
      </c>
      <c r="H50" s="66">
        <v>197409</v>
      </c>
    </row>
    <row r="51" spans="1:8" x14ac:dyDescent="0.35">
      <c r="A51" s="1">
        <f>'Student Basic Info'!A51</f>
        <v>750</v>
      </c>
      <c r="B51" s="66" t="s">
        <v>44</v>
      </c>
      <c r="C51" s="1" t="s">
        <v>2</v>
      </c>
      <c r="D51" s="1" t="s">
        <v>442</v>
      </c>
      <c r="E51" s="68">
        <v>5</v>
      </c>
      <c r="F51" s="1" t="s">
        <v>56</v>
      </c>
      <c r="G51" s="67">
        <v>197409</v>
      </c>
      <c r="H51" s="66">
        <v>197409</v>
      </c>
    </row>
    <row r="52" spans="1:8" x14ac:dyDescent="0.35">
      <c r="A52" s="1">
        <f>'Student Basic Info'!A52</f>
        <v>751</v>
      </c>
      <c r="B52" s="66" t="s">
        <v>44</v>
      </c>
      <c r="C52" s="1" t="s">
        <v>2</v>
      </c>
      <c r="D52" s="1" t="s">
        <v>442</v>
      </c>
      <c r="E52" s="68">
        <v>5</v>
      </c>
      <c r="F52" s="1" t="s">
        <v>56</v>
      </c>
      <c r="G52" s="67">
        <v>197409</v>
      </c>
      <c r="H52" s="66">
        <v>197409</v>
      </c>
    </row>
    <row r="53" spans="1:8" x14ac:dyDescent="0.35">
      <c r="A53" s="1">
        <f>'Student Basic Info'!A53</f>
        <v>752</v>
      </c>
      <c r="B53" s="66" t="s">
        <v>44</v>
      </c>
      <c r="C53" s="1" t="s">
        <v>2</v>
      </c>
      <c r="D53" s="1" t="s">
        <v>442</v>
      </c>
      <c r="E53" s="68">
        <v>5</v>
      </c>
      <c r="F53" s="1" t="s">
        <v>56</v>
      </c>
      <c r="G53" s="67">
        <v>197409</v>
      </c>
      <c r="H53" s="66">
        <v>197409</v>
      </c>
    </row>
    <row r="54" spans="1:8" x14ac:dyDescent="0.35">
      <c r="A54" s="1">
        <f>'Student Basic Info'!A54</f>
        <v>753</v>
      </c>
      <c r="B54" s="66" t="s">
        <v>44</v>
      </c>
      <c r="C54" s="1" t="s">
        <v>2</v>
      </c>
      <c r="D54" s="1" t="s">
        <v>442</v>
      </c>
      <c r="E54" s="68">
        <v>5</v>
      </c>
      <c r="F54" s="1" t="s">
        <v>56</v>
      </c>
      <c r="G54" s="67">
        <v>197409</v>
      </c>
      <c r="H54" s="66">
        <v>197409</v>
      </c>
    </row>
    <row r="55" spans="1:8" x14ac:dyDescent="0.35">
      <c r="A55" s="1">
        <f>'Student Basic Info'!A55</f>
        <v>754</v>
      </c>
      <c r="B55" s="66" t="s">
        <v>44</v>
      </c>
      <c r="C55" s="1" t="s">
        <v>2</v>
      </c>
      <c r="D55" s="1" t="s">
        <v>442</v>
      </c>
      <c r="E55" s="68">
        <v>5</v>
      </c>
      <c r="F55" s="1" t="s">
        <v>56</v>
      </c>
      <c r="G55" s="67">
        <v>197409</v>
      </c>
      <c r="H55" s="66">
        <v>197409</v>
      </c>
    </row>
    <row r="56" spans="1:8" x14ac:dyDescent="0.35">
      <c r="A56" s="1">
        <f>'Student Basic Info'!A56</f>
        <v>755</v>
      </c>
      <c r="B56" s="66" t="s">
        <v>44</v>
      </c>
      <c r="C56" s="1" t="s">
        <v>2</v>
      </c>
      <c r="D56" s="1" t="s">
        <v>442</v>
      </c>
      <c r="E56" s="68">
        <v>5</v>
      </c>
      <c r="F56" s="1" t="s">
        <v>56</v>
      </c>
      <c r="G56" s="67">
        <v>197409</v>
      </c>
      <c r="H56" s="66">
        <v>197409</v>
      </c>
    </row>
    <row r="57" spans="1:8" x14ac:dyDescent="0.35">
      <c r="A57" s="1">
        <f>'Student Basic Info'!A57</f>
        <v>756</v>
      </c>
      <c r="B57" s="66" t="s">
        <v>44</v>
      </c>
      <c r="C57" s="1" t="s">
        <v>2</v>
      </c>
      <c r="D57" s="1" t="s">
        <v>442</v>
      </c>
      <c r="E57" s="68">
        <v>5</v>
      </c>
      <c r="F57" s="1" t="s">
        <v>56</v>
      </c>
      <c r="G57" s="67">
        <v>197409</v>
      </c>
      <c r="H57" s="66">
        <v>197409</v>
      </c>
    </row>
    <row r="58" spans="1:8" x14ac:dyDescent="0.35">
      <c r="A58" s="1">
        <f>'Student Basic Info'!A58</f>
        <v>757</v>
      </c>
      <c r="B58" s="66" t="s">
        <v>44</v>
      </c>
      <c r="C58" s="1" t="s">
        <v>2</v>
      </c>
      <c r="D58" s="1" t="s">
        <v>442</v>
      </c>
      <c r="E58" s="68">
        <v>5</v>
      </c>
      <c r="F58" s="1" t="s">
        <v>56</v>
      </c>
      <c r="G58" s="67">
        <v>197409</v>
      </c>
      <c r="H58" s="66">
        <v>197409</v>
      </c>
    </row>
    <row r="59" spans="1:8" x14ac:dyDescent="0.35">
      <c r="A59" s="1">
        <f>'Student Basic Info'!A59</f>
        <v>758</v>
      </c>
      <c r="B59" s="66" t="s">
        <v>44</v>
      </c>
      <c r="C59" s="1" t="s">
        <v>2</v>
      </c>
      <c r="D59" s="1" t="s">
        <v>442</v>
      </c>
      <c r="E59" s="68">
        <v>5</v>
      </c>
      <c r="F59" s="1" t="s">
        <v>56</v>
      </c>
      <c r="G59" s="67">
        <v>197409</v>
      </c>
      <c r="H59" s="66">
        <v>197409</v>
      </c>
    </row>
    <row r="60" spans="1:8" x14ac:dyDescent="0.35">
      <c r="A60" s="1">
        <f>'Student Basic Info'!A60</f>
        <v>759</v>
      </c>
      <c r="B60" s="66" t="s">
        <v>44</v>
      </c>
      <c r="C60" s="1" t="s">
        <v>2</v>
      </c>
      <c r="D60" s="1" t="s">
        <v>442</v>
      </c>
      <c r="E60" s="68">
        <v>5</v>
      </c>
      <c r="F60" s="1" t="s">
        <v>56</v>
      </c>
      <c r="G60" s="67">
        <v>197409</v>
      </c>
      <c r="H60" s="66">
        <v>197409</v>
      </c>
    </row>
    <row r="61" spans="1:8" x14ac:dyDescent="0.35">
      <c r="A61" s="1">
        <f>'Student Basic Info'!A61</f>
        <v>760</v>
      </c>
      <c r="B61" s="66" t="s">
        <v>44</v>
      </c>
      <c r="C61" s="1" t="s">
        <v>2</v>
      </c>
      <c r="D61" s="1" t="s">
        <v>442</v>
      </c>
      <c r="E61" s="68">
        <v>5</v>
      </c>
      <c r="F61" s="1" t="s">
        <v>56</v>
      </c>
      <c r="G61" s="67">
        <v>197409</v>
      </c>
      <c r="H61" s="66">
        <v>197409</v>
      </c>
    </row>
    <row r="62" spans="1:8" x14ac:dyDescent="0.35">
      <c r="A62" s="1">
        <f>'Student Basic Info'!A62</f>
        <v>761</v>
      </c>
      <c r="B62" s="66" t="s">
        <v>44</v>
      </c>
      <c r="C62" s="1" t="s">
        <v>2</v>
      </c>
      <c r="D62" s="1" t="s">
        <v>442</v>
      </c>
      <c r="E62" s="68">
        <v>5</v>
      </c>
      <c r="F62" s="1" t="s">
        <v>56</v>
      </c>
      <c r="G62" s="67">
        <v>197409</v>
      </c>
      <c r="H62" s="66">
        <v>197409</v>
      </c>
    </row>
    <row r="63" spans="1:8" x14ac:dyDescent="0.35">
      <c r="A63" s="1">
        <f>'Student Basic Info'!A63</f>
        <v>762</v>
      </c>
      <c r="B63" s="66" t="s">
        <v>44</v>
      </c>
      <c r="C63" s="1" t="s">
        <v>2</v>
      </c>
      <c r="D63" s="1" t="s">
        <v>442</v>
      </c>
      <c r="E63" s="68">
        <v>5</v>
      </c>
      <c r="F63" s="1" t="s">
        <v>56</v>
      </c>
      <c r="G63" s="67">
        <v>197409</v>
      </c>
      <c r="H63" s="66">
        <v>197409</v>
      </c>
    </row>
    <row r="64" spans="1:8" x14ac:dyDescent="0.35">
      <c r="A64" s="1">
        <f>'Student Basic Info'!A64</f>
        <v>763</v>
      </c>
      <c r="B64" s="66" t="s">
        <v>44</v>
      </c>
      <c r="C64" s="1" t="s">
        <v>2</v>
      </c>
      <c r="D64" s="1" t="s">
        <v>442</v>
      </c>
      <c r="E64" s="68">
        <v>5</v>
      </c>
      <c r="F64" s="1" t="s">
        <v>56</v>
      </c>
      <c r="G64" s="67">
        <v>197409</v>
      </c>
      <c r="H64" s="66">
        <v>197409</v>
      </c>
    </row>
    <row r="65" spans="1:8" x14ac:dyDescent="0.35">
      <c r="A65" s="1">
        <f>'Student Basic Info'!A65</f>
        <v>764</v>
      </c>
      <c r="B65" s="66" t="s">
        <v>44</v>
      </c>
      <c r="C65" s="1" t="s">
        <v>2</v>
      </c>
      <c r="D65" s="1" t="s">
        <v>442</v>
      </c>
      <c r="E65" s="68">
        <v>5</v>
      </c>
      <c r="F65" s="1" t="s">
        <v>56</v>
      </c>
      <c r="G65" s="67">
        <v>197409</v>
      </c>
      <c r="H65" s="66">
        <v>197409</v>
      </c>
    </row>
    <row r="66" spans="1:8" x14ac:dyDescent="0.35">
      <c r="A66" s="1">
        <f>'Student Basic Info'!A66</f>
        <v>765</v>
      </c>
      <c r="B66" s="66" t="s">
        <v>44</v>
      </c>
      <c r="C66" s="1" t="s">
        <v>2</v>
      </c>
      <c r="D66" s="1" t="s">
        <v>442</v>
      </c>
      <c r="E66" s="68">
        <v>5</v>
      </c>
      <c r="F66" s="1" t="s">
        <v>56</v>
      </c>
      <c r="G66" s="67">
        <v>197409</v>
      </c>
      <c r="H66" s="66">
        <v>197409</v>
      </c>
    </row>
    <row r="67" spans="1:8" x14ac:dyDescent="0.35">
      <c r="A67" s="1">
        <f>'Student Basic Info'!A67</f>
        <v>766</v>
      </c>
      <c r="B67" s="66" t="s">
        <v>44</v>
      </c>
      <c r="C67" s="1" t="s">
        <v>2</v>
      </c>
      <c r="D67" s="1" t="s">
        <v>442</v>
      </c>
      <c r="E67" s="68">
        <v>5</v>
      </c>
      <c r="F67" s="1" t="s">
        <v>56</v>
      </c>
      <c r="G67" s="67">
        <v>197409</v>
      </c>
      <c r="H67" s="66">
        <v>197409</v>
      </c>
    </row>
    <row r="68" spans="1:8" x14ac:dyDescent="0.35">
      <c r="A68" s="1">
        <f>'Student Basic Info'!A68</f>
        <v>767</v>
      </c>
      <c r="B68" s="66" t="s">
        <v>44</v>
      </c>
      <c r="C68" s="1" t="s">
        <v>2</v>
      </c>
      <c r="D68" s="1" t="s">
        <v>442</v>
      </c>
      <c r="E68" s="68">
        <v>5</v>
      </c>
      <c r="F68" s="1" t="s">
        <v>56</v>
      </c>
      <c r="G68" s="67">
        <v>197409</v>
      </c>
      <c r="H68" s="66">
        <v>197409</v>
      </c>
    </row>
    <row r="69" spans="1:8" x14ac:dyDescent="0.35">
      <c r="A69" s="1">
        <f>'Student Basic Info'!A69</f>
        <v>768</v>
      </c>
      <c r="B69" s="66" t="s">
        <v>44</v>
      </c>
      <c r="C69" s="1" t="s">
        <v>2</v>
      </c>
      <c r="D69" s="1" t="s">
        <v>442</v>
      </c>
      <c r="E69" s="68">
        <v>5</v>
      </c>
      <c r="F69" s="1" t="s">
        <v>56</v>
      </c>
      <c r="G69" s="67">
        <v>197409</v>
      </c>
      <c r="H69" s="66">
        <v>197409</v>
      </c>
    </row>
    <row r="70" spans="1:8" x14ac:dyDescent="0.35">
      <c r="A70" s="1">
        <f>'Student Basic Info'!A70</f>
        <v>769</v>
      </c>
      <c r="B70" s="66" t="s">
        <v>44</v>
      </c>
      <c r="C70" s="1" t="s">
        <v>2</v>
      </c>
      <c r="D70" s="1" t="s">
        <v>442</v>
      </c>
      <c r="E70" s="68">
        <v>5</v>
      </c>
      <c r="F70" s="1" t="s">
        <v>56</v>
      </c>
      <c r="G70" s="67">
        <v>197409</v>
      </c>
      <c r="H70" s="66">
        <v>197409</v>
      </c>
    </row>
    <row r="71" spans="1:8" x14ac:dyDescent="0.35">
      <c r="A71" s="1">
        <f>'Student Basic Info'!A71</f>
        <v>770</v>
      </c>
      <c r="B71" s="66" t="s">
        <v>44</v>
      </c>
      <c r="C71" s="1" t="s">
        <v>2</v>
      </c>
      <c r="D71" s="1" t="s">
        <v>442</v>
      </c>
      <c r="E71" s="68">
        <v>5</v>
      </c>
      <c r="F71" s="1" t="s">
        <v>56</v>
      </c>
      <c r="G71" s="67">
        <v>197409</v>
      </c>
      <c r="H71" s="66">
        <v>197409</v>
      </c>
    </row>
    <row r="72" spans="1:8" x14ac:dyDescent="0.35">
      <c r="A72" s="1">
        <f>'Student Basic Info'!A72</f>
        <v>771</v>
      </c>
      <c r="B72" s="66" t="s">
        <v>44</v>
      </c>
      <c r="C72" s="1" t="s">
        <v>2</v>
      </c>
      <c r="D72" s="1" t="s">
        <v>442</v>
      </c>
      <c r="E72" s="68">
        <v>5</v>
      </c>
      <c r="F72" s="1" t="s">
        <v>56</v>
      </c>
      <c r="G72" s="67">
        <v>197409</v>
      </c>
      <c r="H72" s="66">
        <v>197409</v>
      </c>
    </row>
    <row r="73" spans="1:8" x14ac:dyDescent="0.35">
      <c r="A73" s="1">
        <f>'Student Basic Info'!A73</f>
        <v>772</v>
      </c>
      <c r="B73" s="66" t="s">
        <v>44</v>
      </c>
      <c r="C73" s="1" t="s">
        <v>2</v>
      </c>
      <c r="D73" s="1" t="s">
        <v>442</v>
      </c>
      <c r="E73" s="68">
        <v>5</v>
      </c>
      <c r="F73" s="1" t="s">
        <v>56</v>
      </c>
      <c r="G73" s="67">
        <v>197409</v>
      </c>
      <c r="H73" s="66">
        <v>197409</v>
      </c>
    </row>
    <row r="74" spans="1:8" x14ac:dyDescent="0.35">
      <c r="A74" s="1">
        <f>'Student Basic Info'!A74</f>
        <v>773</v>
      </c>
      <c r="B74" s="66" t="s">
        <v>44</v>
      </c>
      <c r="C74" s="1" t="s">
        <v>2</v>
      </c>
      <c r="D74" s="1" t="s">
        <v>442</v>
      </c>
      <c r="E74" s="68">
        <v>5</v>
      </c>
      <c r="F74" s="1" t="s">
        <v>56</v>
      </c>
      <c r="G74" s="67">
        <v>197409</v>
      </c>
      <c r="H74" s="66">
        <v>197409</v>
      </c>
    </row>
    <row r="75" spans="1:8" x14ac:dyDescent="0.35">
      <c r="A75" s="1">
        <f>'Student Basic Info'!A75</f>
        <v>774</v>
      </c>
      <c r="B75" s="66" t="s">
        <v>44</v>
      </c>
      <c r="C75" s="1" t="s">
        <v>2</v>
      </c>
      <c r="D75" s="1" t="s">
        <v>442</v>
      </c>
      <c r="E75" s="68">
        <v>5</v>
      </c>
      <c r="F75" s="1" t="s">
        <v>56</v>
      </c>
      <c r="G75" s="67">
        <v>197409</v>
      </c>
      <c r="H75" s="66">
        <v>197409</v>
      </c>
    </row>
    <row r="76" spans="1:8" x14ac:dyDescent="0.35">
      <c r="A76" s="1">
        <f>'Student Basic Info'!A76</f>
        <v>775</v>
      </c>
      <c r="B76" s="66" t="s">
        <v>44</v>
      </c>
      <c r="C76" s="1" t="s">
        <v>2</v>
      </c>
      <c r="D76" s="1" t="s">
        <v>442</v>
      </c>
      <c r="E76" s="68">
        <v>5</v>
      </c>
      <c r="F76" s="1" t="s">
        <v>56</v>
      </c>
      <c r="G76" s="67">
        <v>197409</v>
      </c>
      <c r="H76" s="66">
        <v>197409</v>
      </c>
    </row>
    <row r="77" spans="1:8" x14ac:dyDescent="0.35">
      <c r="A77" s="1">
        <f>'Student Basic Info'!A77</f>
        <v>776</v>
      </c>
      <c r="B77" s="66" t="s">
        <v>44</v>
      </c>
      <c r="C77" s="1" t="s">
        <v>2</v>
      </c>
      <c r="D77" s="1" t="s">
        <v>442</v>
      </c>
      <c r="E77" s="68">
        <v>5</v>
      </c>
      <c r="F77" s="1" t="s">
        <v>56</v>
      </c>
      <c r="G77" s="67">
        <v>197409</v>
      </c>
      <c r="H77" s="66">
        <v>197409</v>
      </c>
    </row>
    <row r="78" spans="1:8" x14ac:dyDescent="0.35">
      <c r="A78" s="1">
        <f>'Student Basic Info'!A78</f>
        <v>777</v>
      </c>
      <c r="B78" s="66" t="s">
        <v>44</v>
      </c>
      <c r="C78" s="1" t="s">
        <v>2</v>
      </c>
      <c r="D78" s="1" t="s">
        <v>442</v>
      </c>
      <c r="E78" s="68">
        <v>5</v>
      </c>
      <c r="F78" s="1" t="s">
        <v>56</v>
      </c>
      <c r="G78" s="67">
        <v>197409</v>
      </c>
      <c r="H78" s="66">
        <v>197409</v>
      </c>
    </row>
    <row r="79" spans="1:8" x14ac:dyDescent="0.35">
      <c r="A79" s="1">
        <f>'Student Basic Info'!A79</f>
        <v>778</v>
      </c>
      <c r="B79" s="66" t="s">
        <v>44</v>
      </c>
      <c r="C79" s="1" t="s">
        <v>2</v>
      </c>
      <c r="D79" s="1" t="s">
        <v>442</v>
      </c>
      <c r="E79" s="68">
        <v>5</v>
      </c>
      <c r="F79" s="1" t="s">
        <v>56</v>
      </c>
      <c r="G79" s="67">
        <v>197409</v>
      </c>
      <c r="H79" s="66">
        <v>197409</v>
      </c>
    </row>
    <row r="80" spans="1:8" x14ac:dyDescent="0.35">
      <c r="A80" s="1">
        <f>'Student Basic Info'!A80</f>
        <v>779</v>
      </c>
      <c r="B80" s="66" t="s">
        <v>44</v>
      </c>
      <c r="C80" s="1" t="s">
        <v>2</v>
      </c>
      <c r="D80" s="1" t="s">
        <v>442</v>
      </c>
      <c r="E80" s="68">
        <v>5</v>
      </c>
      <c r="F80" s="1" t="s">
        <v>56</v>
      </c>
      <c r="G80" s="67">
        <v>197409</v>
      </c>
      <c r="H80" s="66">
        <v>197409</v>
      </c>
    </row>
    <row r="81" spans="1:8" x14ac:dyDescent="0.35">
      <c r="A81" s="1">
        <f>'Student Basic Info'!A81</f>
        <v>780</v>
      </c>
      <c r="B81" s="66" t="s">
        <v>44</v>
      </c>
      <c r="C81" s="1" t="s">
        <v>2</v>
      </c>
      <c r="D81" s="1" t="s">
        <v>442</v>
      </c>
      <c r="E81" s="68">
        <v>5</v>
      </c>
      <c r="F81" s="1" t="s">
        <v>56</v>
      </c>
      <c r="G81" s="67">
        <v>197409</v>
      </c>
      <c r="H81" s="66">
        <v>197409</v>
      </c>
    </row>
    <row r="82" spans="1:8" x14ac:dyDescent="0.35">
      <c r="A82" s="1">
        <f>'Student Basic Info'!A82</f>
        <v>781</v>
      </c>
      <c r="B82" s="66" t="s">
        <v>44</v>
      </c>
      <c r="C82" s="1" t="s">
        <v>2</v>
      </c>
      <c r="D82" s="1" t="s">
        <v>442</v>
      </c>
      <c r="E82" s="68">
        <v>5</v>
      </c>
      <c r="F82" s="1" t="s">
        <v>56</v>
      </c>
      <c r="G82" s="67">
        <v>197409</v>
      </c>
      <c r="H82" s="66">
        <v>197409</v>
      </c>
    </row>
    <row r="83" spans="1:8" x14ac:dyDescent="0.35">
      <c r="A83" s="1">
        <f>'Student Basic Info'!A83</f>
        <v>782</v>
      </c>
      <c r="B83" s="66" t="s">
        <v>44</v>
      </c>
      <c r="C83" s="1" t="s">
        <v>2</v>
      </c>
      <c r="D83" s="1" t="s">
        <v>442</v>
      </c>
      <c r="E83" s="68">
        <v>5</v>
      </c>
      <c r="F83" s="1" t="s">
        <v>56</v>
      </c>
      <c r="G83" s="67">
        <v>197409</v>
      </c>
      <c r="H83" s="66">
        <v>197409</v>
      </c>
    </row>
    <row r="84" spans="1:8" x14ac:dyDescent="0.35">
      <c r="A84" s="1">
        <f>'Student Basic Info'!A84</f>
        <v>783</v>
      </c>
      <c r="B84" s="66" t="s">
        <v>44</v>
      </c>
      <c r="C84" s="1" t="s">
        <v>2</v>
      </c>
      <c r="D84" s="1" t="s">
        <v>442</v>
      </c>
      <c r="E84" s="68">
        <v>5</v>
      </c>
      <c r="F84" s="1" t="s">
        <v>56</v>
      </c>
      <c r="G84" s="67">
        <v>197409</v>
      </c>
      <c r="H84" s="66">
        <v>197409</v>
      </c>
    </row>
    <row r="85" spans="1:8" x14ac:dyDescent="0.35">
      <c r="A85" s="1">
        <f>'Student Basic Info'!A85</f>
        <v>784</v>
      </c>
      <c r="B85" s="66" t="s">
        <v>44</v>
      </c>
      <c r="C85" s="1" t="s">
        <v>2</v>
      </c>
      <c r="D85" s="1" t="s">
        <v>442</v>
      </c>
      <c r="E85" s="68">
        <v>5</v>
      </c>
      <c r="F85" s="1" t="s">
        <v>56</v>
      </c>
      <c r="G85" s="67">
        <v>197409</v>
      </c>
      <c r="H85" s="66">
        <v>197409</v>
      </c>
    </row>
    <row r="86" spans="1:8" x14ac:dyDescent="0.35">
      <c r="A86" s="1">
        <f>'Student Basic Info'!A86</f>
        <v>785</v>
      </c>
      <c r="B86" s="66" t="s">
        <v>44</v>
      </c>
      <c r="C86" s="1" t="s">
        <v>2</v>
      </c>
      <c r="D86" s="1" t="s">
        <v>442</v>
      </c>
      <c r="E86" s="68">
        <v>5</v>
      </c>
      <c r="F86" s="1" t="s">
        <v>56</v>
      </c>
      <c r="G86" s="67">
        <v>197409</v>
      </c>
      <c r="H86" s="66">
        <v>197409</v>
      </c>
    </row>
    <row r="87" spans="1:8" x14ac:dyDescent="0.35">
      <c r="A87" s="1">
        <f>'Student Basic Info'!A87</f>
        <v>786</v>
      </c>
      <c r="B87" s="66" t="s">
        <v>44</v>
      </c>
      <c r="C87" s="1" t="s">
        <v>2</v>
      </c>
      <c r="D87" s="1" t="s">
        <v>442</v>
      </c>
      <c r="E87" s="68">
        <v>5</v>
      </c>
      <c r="F87" s="1" t="s">
        <v>56</v>
      </c>
      <c r="G87" s="67">
        <v>197409</v>
      </c>
      <c r="H87" s="66">
        <v>197409</v>
      </c>
    </row>
    <row r="88" spans="1:8" x14ac:dyDescent="0.35">
      <c r="A88" s="1">
        <f>'Student Basic Info'!A88</f>
        <v>6812</v>
      </c>
      <c r="B88" s="66" t="s">
        <v>44</v>
      </c>
      <c r="C88" s="1" t="s">
        <v>2</v>
      </c>
      <c r="D88" s="1" t="s">
        <v>445</v>
      </c>
      <c r="E88" s="68">
        <v>6</v>
      </c>
      <c r="F88" s="1" t="s">
        <v>56</v>
      </c>
      <c r="G88" s="67">
        <v>197409</v>
      </c>
      <c r="H88" s="66">
        <v>197409</v>
      </c>
    </row>
    <row r="89" spans="1:8" x14ac:dyDescent="0.35">
      <c r="A89"/>
      <c r="B89"/>
      <c r="C89"/>
      <c r="D89"/>
      <c r="E89"/>
    </row>
    <row r="90" spans="1:8" x14ac:dyDescent="0.35">
      <c r="A90"/>
      <c r="B90"/>
      <c r="C90"/>
      <c r="D90"/>
      <c r="E9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>
      <selection activeCell="H7" sqref="H7"/>
    </sheetView>
  </sheetViews>
  <sheetFormatPr defaultRowHeight="14.5" x14ac:dyDescent="0.35"/>
  <cols>
    <col min="1" max="1" width="8.7265625" style="1"/>
    <col min="2" max="4" width="12.26953125" style="1" bestFit="1" customWidth="1"/>
    <col min="5" max="8" width="8.7265625" style="1"/>
    <col min="9" max="9" width="8.90625" style="1" bestFit="1" customWidth="1"/>
  </cols>
  <sheetData>
    <row r="1" spans="1:9" x14ac:dyDescent="0.35">
      <c r="A1" s="65" t="s">
        <v>42</v>
      </c>
      <c r="B1" s="65" t="s">
        <v>50</v>
      </c>
      <c r="C1" s="65" t="s">
        <v>51</v>
      </c>
      <c r="D1" s="65" t="s">
        <v>50</v>
      </c>
      <c r="E1" s="65" t="s">
        <v>52</v>
      </c>
      <c r="F1" s="65" t="s">
        <v>20</v>
      </c>
      <c r="G1" s="65" t="s">
        <v>21</v>
      </c>
      <c r="H1" s="65" t="s">
        <v>22</v>
      </c>
      <c r="I1" s="65" t="s">
        <v>43</v>
      </c>
    </row>
    <row r="2" spans="1:9" x14ac:dyDescent="0.35">
      <c r="A2" s="3">
        <f>'Student Basic Info'!A2</f>
        <v>701</v>
      </c>
      <c r="B2" s="83" t="s">
        <v>12</v>
      </c>
      <c r="C2" s="3" t="s">
        <v>13</v>
      </c>
      <c r="D2" s="3" t="s">
        <v>14</v>
      </c>
      <c r="E2" s="3" t="s">
        <v>46</v>
      </c>
      <c r="F2" s="3" t="s">
        <v>47</v>
      </c>
      <c r="G2" s="54" t="s">
        <v>48</v>
      </c>
      <c r="H2" s="63" t="s">
        <v>49</v>
      </c>
      <c r="I2" s="3" t="str">
        <f>H2</f>
        <v>Math</v>
      </c>
    </row>
    <row r="3" spans="1:9" x14ac:dyDescent="0.35">
      <c r="A3" s="3">
        <f>'Student Basic Info'!A3</f>
        <v>702</v>
      </c>
      <c r="B3" s="83" t="s">
        <v>12</v>
      </c>
      <c r="C3" s="3" t="s">
        <v>13</v>
      </c>
      <c r="D3" s="3" t="s">
        <v>14</v>
      </c>
      <c r="E3" s="3" t="s">
        <v>46</v>
      </c>
      <c r="F3" s="3" t="s">
        <v>47</v>
      </c>
      <c r="G3" s="54" t="s">
        <v>48</v>
      </c>
      <c r="H3" s="63" t="s">
        <v>49</v>
      </c>
      <c r="I3" s="3" t="str">
        <f t="shared" ref="I3:I66" si="0">H3</f>
        <v>Math</v>
      </c>
    </row>
    <row r="4" spans="1:9" x14ac:dyDescent="0.35">
      <c r="A4" s="3">
        <f>'Student Basic Info'!A4</f>
        <v>703</v>
      </c>
      <c r="B4" s="83" t="s">
        <v>12</v>
      </c>
      <c r="C4" s="3" t="s">
        <v>13</v>
      </c>
      <c r="D4" s="3" t="s">
        <v>14</v>
      </c>
      <c r="E4" s="3" t="s">
        <v>46</v>
      </c>
      <c r="F4" s="3" t="s">
        <v>47</v>
      </c>
      <c r="G4" s="54" t="s">
        <v>48</v>
      </c>
      <c r="H4" s="63" t="s">
        <v>49</v>
      </c>
      <c r="I4" s="3" t="str">
        <f t="shared" si="0"/>
        <v>Math</v>
      </c>
    </row>
    <row r="5" spans="1:9" x14ac:dyDescent="0.35">
      <c r="A5" s="3">
        <f>'Student Basic Info'!A5</f>
        <v>704</v>
      </c>
      <c r="B5" s="83" t="s">
        <v>12</v>
      </c>
      <c r="C5" s="3" t="s">
        <v>13</v>
      </c>
      <c r="D5" s="3" t="s">
        <v>14</v>
      </c>
      <c r="E5" s="3" t="s">
        <v>46</v>
      </c>
      <c r="F5" s="3" t="s">
        <v>47</v>
      </c>
      <c r="G5" s="54" t="s">
        <v>48</v>
      </c>
      <c r="H5" s="63" t="s">
        <v>49</v>
      </c>
      <c r="I5" s="3" t="str">
        <f t="shared" si="0"/>
        <v>Math</v>
      </c>
    </row>
    <row r="6" spans="1:9" x14ac:dyDescent="0.35">
      <c r="A6" s="3">
        <f>'Student Basic Info'!A6</f>
        <v>705</v>
      </c>
      <c r="B6" s="83" t="s">
        <v>12</v>
      </c>
      <c r="C6" s="3" t="s">
        <v>13</v>
      </c>
      <c r="D6" s="3" t="s">
        <v>14</v>
      </c>
      <c r="E6" s="3" t="s">
        <v>46</v>
      </c>
      <c r="F6" s="3" t="s">
        <v>47</v>
      </c>
      <c r="G6" s="54" t="s">
        <v>48</v>
      </c>
      <c r="H6" s="63" t="s">
        <v>49</v>
      </c>
      <c r="I6" s="3" t="str">
        <f t="shared" si="0"/>
        <v>Math</v>
      </c>
    </row>
    <row r="7" spans="1:9" x14ac:dyDescent="0.35">
      <c r="A7" s="3">
        <f>'Student Basic Info'!A7</f>
        <v>706</v>
      </c>
      <c r="B7" s="84" t="s">
        <v>12</v>
      </c>
      <c r="C7" s="55" t="s">
        <v>13</v>
      </c>
      <c r="D7" s="55" t="s">
        <v>14</v>
      </c>
      <c r="E7" s="55" t="s">
        <v>46</v>
      </c>
      <c r="F7" s="55" t="s">
        <v>47</v>
      </c>
      <c r="G7" s="55" t="s">
        <v>48</v>
      </c>
      <c r="H7" s="64" t="s">
        <v>49</v>
      </c>
      <c r="I7" s="3" t="str">
        <f t="shared" si="0"/>
        <v>Math</v>
      </c>
    </row>
    <row r="8" spans="1:9" x14ac:dyDescent="0.35">
      <c r="A8" s="3">
        <f>'Student Basic Info'!A8</f>
        <v>707</v>
      </c>
      <c r="B8" s="83" t="s">
        <v>12</v>
      </c>
      <c r="C8" s="3" t="s">
        <v>13</v>
      </c>
      <c r="D8" s="3" t="s">
        <v>14</v>
      </c>
      <c r="E8" s="3" t="s">
        <v>46</v>
      </c>
      <c r="F8" s="3" t="s">
        <v>47</v>
      </c>
      <c r="G8" s="54" t="s">
        <v>48</v>
      </c>
      <c r="H8" s="63" t="s">
        <v>49</v>
      </c>
      <c r="I8" s="3" t="str">
        <f t="shared" si="0"/>
        <v>Math</v>
      </c>
    </row>
    <row r="9" spans="1:9" x14ac:dyDescent="0.35">
      <c r="A9" s="3">
        <f>'Student Basic Info'!A9</f>
        <v>708</v>
      </c>
      <c r="B9" s="83" t="s">
        <v>12</v>
      </c>
      <c r="C9" s="3" t="s">
        <v>13</v>
      </c>
      <c r="D9" s="3" t="s">
        <v>14</v>
      </c>
      <c r="E9" s="3" t="s">
        <v>46</v>
      </c>
      <c r="F9" s="3" t="s">
        <v>47</v>
      </c>
      <c r="G9" s="54" t="s">
        <v>48</v>
      </c>
      <c r="H9" s="63" t="s">
        <v>49</v>
      </c>
      <c r="I9" s="3" t="str">
        <f t="shared" si="0"/>
        <v>Math</v>
      </c>
    </row>
    <row r="10" spans="1:9" x14ac:dyDescent="0.35">
      <c r="A10" s="3">
        <f>'Student Basic Info'!A10</f>
        <v>709</v>
      </c>
      <c r="B10" s="83" t="s">
        <v>12</v>
      </c>
      <c r="C10" s="3" t="s">
        <v>13</v>
      </c>
      <c r="D10" s="3" t="s">
        <v>14</v>
      </c>
      <c r="E10" s="3" t="s">
        <v>46</v>
      </c>
      <c r="F10" s="3" t="s">
        <v>47</v>
      </c>
      <c r="G10" s="54" t="s">
        <v>48</v>
      </c>
      <c r="H10" s="63" t="s">
        <v>49</v>
      </c>
      <c r="I10" s="3" t="str">
        <f t="shared" si="0"/>
        <v>Math</v>
      </c>
    </row>
    <row r="11" spans="1:9" x14ac:dyDescent="0.35">
      <c r="A11" s="3">
        <f>'Student Basic Info'!A11</f>
        <v>710</v>
      </c>
      <c r="B11" s="83" t="s">
        <v>12</v>
      </c>
      <c r="C11" s="3" t="s">
        <v>13</v>
      </c>
      <c r="D11" s="3" t="s">
        <v>14</v>
      </c>
      <c r="E11" s="3" t="s">
        <v>46</v>
      </c>
      <c r="F11" s="3" t="s">
        <v>47</v>
      </c>
      <c r="G11" s="54" t="s">
        <v>48</v>
      </c>
      <c r="H11" s="63" t="s">
        <v>49</v>
      </c>
      <c r="I11" s="3" t="str">
        <f t="shared" si="0"/>
        <v>Math</v>
      </c>
    </row>
    <row r="12" spans="1:9" x14ac:dyDescent="0.35">
      <c r="A12" s="3">
        <f>'Student Basic Info'!A12</f>
        <v>711</v>
      </c>
      <c r="B12" s="83" t="s">
        <v>12</v>
      </c>
      <c r="C12" s="3" t="s">
        <v>13</v>
      </c>
      <c r="D12" s="3" t="s">
        <v>14</v>
      </c>
      <c r="E12" s="3" t="s">
        <v>46</v>
      </c>
      <c r="F12" s="3" t="s">
        <v>47</v>
      </c>
      <c r="G12" s="54" t="s">
        <v>48</v>
      </c>
      <c r="H12" s="63" t="s">
        <v>49</v>
      </c>
      <c r="I12" s="3" t="str">
        <f t="shared" si="0"/>
        <v>Math</v>
      </c>
    </row>
    <row r="13" spans="1:9" x14ac:dyDescent="0.35">
      <c r="A13" s="3">
        <f>'Student Basic Info'!A13</f>
        <v>712</v>
      </c>
      <c r="B13" s="83" t="s">
        <v>12</v>
      </c>
      <c r="C13" s="3" t="s">
        <v>13</v>
      </c>
      <c r="D13" s="3" t="s">
        <v>14</v>
      </c>
      <c r="E13" s="3" t="s">
        <v>46</v>
      </c>
      <c r="F13" s="3" t="s">
        <v>47</v>
      </c>
      <c r="G13" s="54" t="s">
        <v>48</v>
      </c>
      <c r="H13" s="63" t="s">
        <v>49</v>
      </c>
      <c r="I13" s="3" t="str">
        <f t="shared" si="0"/>
        <v>Math</v>
      </c>
    </row>
    <row r="14" spans="1:9" x14ac:dyDescent="0.35">
      <c r="A14" s="3">
        <f>'Student Basic Info'!A14</f>
        <v>713</v>
      </c>
      <c r="B14" s="83" t="s">
        <v>12</v>
      </c>
      <c r="C14" s="3" t="s">
        <v>13</v>
      </c>
      <c r="D14" s="3" t="s">
        <v>14</v>
      </c>
      <c r="E14" s="3" t="s">
        <v>46</v>
      </c>
      <c r="F14" s="3" t="s">
        <v>47</v>
      </c>
      <c r="G14" s="54" t="s">
        <v>48</v>
      </c>
      <c r="H14" s="63" t="s">
        <v>49</v>
      </c>
      <c r="I14" s="3" t="str">
        <f t="shared" si="0"/>
        <v>Math</v>
      </c>
    </row>
    <row r="15" spans="1:9" x14ac:dyDescent="0.35">
      <c r="A15" s="3">
        <f>'Student Basic Info'!A15</f>
        <v>714</v>
      </c>
      <c r="B15" s="83" t="s">
        <v>12</v>
      </c>
      <c r="C15" s="3" t="s">
        <v>13</v>
      </c>
      <c r="D15" s="3" t="s">
        <v>14</v>
      </c>
      <c r="E15" s="3" t="s">
        <v>46</v>
      </c>
      <c r="F15" s="3" t="s">
        <v>47</v>
      </c>
      <c r="G15" s="54" t="s">
        <v>48</v>
      </c>
      <c r="H15" s="63" t="s">
        <v>49</v>
      </c>
      <c r="I15" s="3" t="str">
        <f t="shared" si="0"/>
        <v>Math</v>
      </c>
    </row>
    <row r="16" spans="1:9" x14ac:dyDescent="0.35">
      <c r="A16" s="3">
        <f>'Student Basic Info'!A16</f>
        <v>715</v>
      </c>
      <c r="B16" s="83" t="s">
        <v>12</v>
      </c>
      <c r="C16" s="3" t="s">
        <v>13</v>
      </c>
      <c r="D16" s="3" t="s">
        <v>14</v>
      </c>
      <c r="E16" s="3" t="s">
        <v>46</v>
      </c>
      <c r="F16" s="3" t="s">
        <v>47</v>
      </c>
      <c r="G16" s="54" t="s">
        <v>48</v>
      </c>
      <c r="H16" s="63" t="s">
        <v>49</v>
      </c>
      <c r="I16" s="3" t="str">
        <f t="shared" si="0"/>
        <v>Math</v>
      </c>
    </row>
    <row r="17" spans="1:9" x14ac:dyDescent="0.35">
      <c r="A17" s="3">
        <f>'Student Basic Info'!A17</f>
        <v>716</v>
      </c>
      <c r="B17" s="83" t="s">
        <v>12</v>
      </c>
      <c r="C17" s="3" t="s">
        <v>13</v>
      </c>
      <c r="D17" s="3" t="s">
        <v>14</v>
      </c>
      <c r="E17" s="3" t="s">
        <v>46</v>
      </c>
      <c r="F17" s="3" t="s">
        <v>47</v>
      </c>
      <c r="G17" s="54" t="s">
        <v>48</v>
      </c>
      <c r="H17" s="63" t="s">
        <v>49</v>
      </c>
      <c r="I17" s="3" t="str">
        <f t="shared" si="0"/>
        <v>Math</v>
      </c>
    </row>
    <row r="18" spans="1:9" x14ac:dyDescent="0.35">
      <c r="A18" s="3">
        <f>'Student Basic Info'!A18</f>
        <v>717</v>
      </c>
      <c r="B18" s="83" t="s">
        <v>12</v>
      </c>
      <c r="C18" s="3" t="s">
        <v>13</v>
      </c>
      <c r="D18" s="3" t="s">
        <v>14</v>
      </c>
      <c r="E18" s="3" t="s">
        <v>46</v>
      </c>
      <c r="F18" s="3" t="s">
        <v>47</v>
      </c>
      <c r="G18" s="54" t="s">
        <v>48</v>
      </c>
      <c r="H18" s="63" t="s">
        <v>49</v>
      </c>
      <c r="I18" s="3" t="str">
        <f t="shared" si="0"/>
        <v>Math</v>
      </c>
    </row>
    <row r="19" spans="1:9" x14ac:dyDescent="0.35">
      <c r="A19" s="3">
        <f>'Student Basic Info'!A19</f>
        <v>718</v>
      </c>
      <c r="B19" s="83" t="s">
        <v>12</v>
      </c>
      <c r="C19" s="3" t="s">
        <v>13</v>
      </c>
      <c r="D19" s="3" t="s">
        <v>14</v>
      </c>
      <c r="E19" s="3" t="s">
        <v>46</v>
      </c>
      <c r="F19" s="3" t="s">
        <v>47</v>
      </c>
      <c r="G19" s="54" t="s">
        <v>48</v>
      </c>
      <c r="H19" s="63" t="s">
        <v>49</v>
      </c>
      <c r="I19" s="3" t="str">
        <f t="shared" si="0"/>
        <v>Math</v>
      </c>
    </row>
    <row r="20" spans="1:9" x14ac:dyDescent="0.35">
      <c r="A20" s="3">
        <f>'Student Basic Info'!A20</f>
        <v>719</v>
      </c>
      <c r="B20" s="83" t="s">
        <v>12</v>
      </c>
      <c r="C20" s="3" t="s">
        <v>13</v>
      </c>
      <c r="D20" s="3" t="s">
        <v>14</v>
      </c>
      <c r="E20" s="3" t="s">
        <v>46</v>
      </c>
      <c r="F20" s="3" t="s">
        <v>47</v>
      </c>
      <c r="G20" s="54" t="s">
        <v>48</v>
      </c>
      <c r="H20" s="63" t="s">
        <v>49</v>
      </c>
      <c r="I20" s="3" t="str">
        <f t="shared" si="0"/>
        <v>Math</v>
      </c>
    </row>
    <row r="21" spans="1:9" x14ac:dyDescent="0.35">
      <c r="A21" s="3">
        <f>'Student Basic Info'!A21</f>
        <v>720</v>
      </c>
      <c r="B21" s="83" t="s">
        <v>12</v>
      </c>
      <c r="C21" s="3" t="s">
        <v>13</v>
      </c>
      <c r="D21" s="3" t="s">
        <v>14</v>
      </c>
      <c r="E21" s="3" t="s">
        <v>46</v>
      </c>
      <c r="F21" s="3" t="s">
        <v>47</v>
      </c>
      <c r="G21" s="54" t="s">
        <v>48</v>
      </c>
      <c r="H21" s="63" t="s">
        <v>49</v>
      </c>
      <c r="I21" s="3" t="str">
        <f t="shared" si="0"/>
        <v>Math</v>
      </c>
    </row>
    <row r="22" spans="1:9" x14ac:dyDescent="0.35">
      <c r="A22" s="3">
        <f>'Student Basic Info'!A22</f>
        <v>721</v>
      </c>
      <c r="B22" s="83" t="s">
        <v>12</v>
      </c>
      <c r="C22" s="3" t="s">
        <v>13</v>
      </c>
      <c r="D22" s="3" t="s">
        <v>14</v>
      </c>
      <c r="E22" s="3" t="s">
        <v>46</v>
      </c>
      <c r="F22" s="3" t="s">
        <v>47</v>
      </c>
      <c r="G22" s="54" t="s">
        <v>48</v>
      </c>
      <c r="H22" s="63" t="s">
        <v>49</v>
      </c>
      <c r="I22" s="3" t="str">
        <f t="shared" si="0"/>
        <v>Math</v>
      </c>
    </row>
    <row r="23" spans="1:9" x14ac:dyDescent="0.35">
      <c r="A23" s="3">
        <f>'Student Basic Info'!A23</f>
        <v>722</v>
      </c>
      <c r="B23" s="83" t="s">
        <v>12</v>
      </c>
      <c r="C23" s="3" t="s">
        <v>13</v>
      </c>
      <c r="D23" s="3" t="s">
        <v>14</v>
      </c>
      <c r="E23" s="3" t="s">
        <v>46</v>
      </c>
      <c r="F23" s="3" t="s">
        <v>47</v>
      </c>
      <c r="G23" s="54" t="s">
        <v>48</v>
      </c>
      <c r="H23" s="63" t="s">
        <v>49</v>
      </c>
      <c r="I23" s="3" t="str">
        <f t="shared" si="0"/>
        <v>Math</v>
      </c>
    </row>
    <row r="24" spans="1:9" x14ac:dyDescent="0.35">
      <c r="A24" s="3">
        <f>'Student Basic Info'!A24</f>
        <v>723</v>
      </c>
      <c r="B24" s="83" t="s">
        <v>12</v>
      </c>
      <c r="C24" s="3" t="s">
        <v>13</v>
      </c>
      <c r="D24" s="3" t="s">
        <v>14</v>
      </c>
      <c r="E24" s="3" t="s">
        <v>46</v>
      </c>
      <c r="F24" s="3" t="s">
        <v>47</v>
      </c>
      <c r="G24" s="54" t="s">
        <v>48</v>
      </c>
      <c r="H24" s="63" t="s">
        <v>49</v>
      </c>
      <c r="I24" s="3" t="str">
        <f t="shared" si="0"/>
        <v>Math</v>
      </c>
    </row>
    <row r="25" spans="1:9" x14ac:dyDescent="0.35">
      <c r="A25" s="3">
        <f>'Student Basic Info'!A25</f>
        <v>724</v>
      </c>
      <c r="B25" s="83" t="s">
        <v>12</v>
      </c>
      <c r="C25" s="3" t="s">
        <v>13</v>
      </c>
      <c r="D25" s="3" t="s">
        <v>14</v>
      </c>
      <c r="E25" s="3" t="s">
        <v>46</v>
      </c>
      <c r="F25" s="3" t="s">
        <v>47</v>
      </c>
      <c r="G25" s="54" t="s">
        <v>48</v>
      </c>
      <c r="H25" s="63" t="s">
        <v>49</v>
      </c>
      <c r="I25" s="3" t="str">
        <f t="shared" si="0"/>
        <v>Math</v>
      </c>
    </row>
    <row r="26" spans="1:9" x14ac:dyDescent="0.35">
      <c r="A26" s="3">
        <f>'Student Basic Info'!A26</f>
        <v>725</v>
      </c>
      <c r="B26" s="83" t="s">
        <v>12</v>
      </c>
      <c r="C26" s="3" t="s">
        <v>13</v>
      </c>
      <c r="D26" s="3" t="s">
        <v>14</v>
      </c>
      <c r="E26" s="3" t="s">
        <v>46</v>
      </c>
      <c r="F26" s="3" t="s">
        <v>47</v>
      </c>
      <c r="G26" s="54" t="s">
        <v>48</v>
      </c>
      <c r="H26" s="63" t="s">
        <v>49</v>
      </c>
      <c r="I26" s="3" t="str">
        <f t="shared" si="0"/>
        <v>Math</v>
      </c>
    </row>
    <row r="27" spans="1:9" x14ac:dyDescent="0.35">
      <c r="A27" s="3">
        <f>'Student Basic Info'!A27</f>
        <v>726</v>
      </c>
      <c r="B27" s="83" t="s">
        <v>12</v>
      </c>
      <c r="C27" s="3" t="s">
        <v>13</v>
      </c>
      <c r="D27" s="3" t="s">
        <v>14</v>
      </c>
      <c r="E27" s="3" t="s">
        <v>46</v>
      </c>
      <c r="F27" s="3" t="s">
        <v>47</v>
      </c>
      <c r="G27" s="54" t="s">
        <v>48</v>
      </c>
      <c r="H27" s="63" t="s">
        <v>49</v>
      </c>
      <c r="I27" s="3" t="str">
        <f t="shared" si="0"/>
        <v>Math</v>
      </c>
    </row>
    <row r="28" spans="1:9" x14ac:dyDescent="0.35">
      <c r="A28" s="3">
        <f>'Student Basic Info'!A28</f>
        <v>727</v>
      </c>
      <c r="B28" s="83" t="s">
        <v>12</v>
      </c>
      <c r="C28" s="3" t="s">
        <v>13</v>
      </c>
      <c r="D28" s="3" t="s">
        <v>14</v>
      </c>
      <c r="E28" s="3" t="s">
        <v>46</v>
      </c>
      <c r="F28" s="3" t="s">
        <v>47</v>
      </c>
      <c r="G28" s="54" t="s">
        <v>48</v>
      </c>
      <c r="H28" s="63" t="s">
        <v>49</v>
      </c>
      <c r="I28" s="3" t="str">
        <f t="shared" si="0"/>
        <v>Math</v>
      </c>
    </row>
    <row r="29" spans="1:9" x14ac:dyDescent="0.35">
      <c r="A29" s="3">
        <f>'Student Basic Info'!A29</f>
        <v>728</v>
      </c>
      <c r="B29" s="83" t="s">
        <v>12</v>
      </c>
      <c r="C29" s="3" t="s">
        <v>13</v>
      </c>
      <c r="D29" s="3" t="s">
        <v>14</v>
      </c>
      <c r="E29" s="3" t="s">
        <v>46</v>
      </c>
      <c r="F29" s="3" t="s">
        <v>47</v>
      </c>
      <c r="G29" s="54" t="s">
        <v>48</v>
      </c>
      <c r="H29" s="63" t="s">
        <v>49</v>
      </c>
      <c r="I29" s="3" t="str">
        <f t="shared" si="0"/>
        <v>Math</v>
      </c>
    </row>
    <row r="30" spans="1:9" x14ac:dyDescent="0.35">
      <c r="A30" s="3">
        <f>'Student Basic Info'!A30</f>
        <v>729</v>
      </c>
      <c r="B30" s="83" t="s">
        <v>12</v>
      </c>
      <c r="C30" s="3" t="s">
        <v>13</v>
      </c>
      <c r="D30" s="3" t="s">
        <v>14</v>
      </c>
      <c r="E30" s="3" t="s">
        <v>46</v>
      </c>
      <c r="F30" s="3" t="s">
        <v>47</v>
      </c>
      <c r="G30" s="54" t="s">
        <v>48</v>
      </c>
      <c r="H30" s="63" t="s">
        <v>49</v>
      </c>
      <c r="I30" s="3" t="str">
        <f t="shared" si="0"/>
        <v>Math</v>
      </c>
    </row>
    <row r="31" spans="1:9" x14ac:dyDescent="0.35">
      <c r="A31" s="3">
        <f>'Student Basic Info'!A31</f>
        <v>730</v>
      </c>
      <c r="B31" s="83" t="s">
        <v>12</v>
      </c>
      <c r="C31" s="3" t="s">
        <v>13</v>
      </c>
      <c r="D31" s="3" t="s">
        <v>14</v>
      </c>
      <c r="E31" s="3" t="s">
        <v>46</v>
      </c>
      <c r="F31" s="3" t="s">
        <v>47</v>
      </c>
      <c r="G31" s="54" t="s">
        <v>48</v>
      </c>
      <c r="H31" s="63" t="s">
        <v>49</v>
      </c>
      <c r="I31" s="3" t="str">
        <f t="shared" si="0"/>
        <v>Math</v>
      </c>
    </row>
    <row r="32" spans="1:9" x14ac:dyDescent="0.35">
      <c r="A32" s="3">
        <f>'Student Basic Info'!A32</f>
        <v>731</v>
      </c>
      <c r="B32" s="83" t="s">
        <v>12</v>
      </c>
      <c r="C32" s="3" t="s">
        <v>13</v>
      </c>
      <c r="D32" s="3" t="s">
        <v>14</v>
      </c>
      <c r="E32" s="3" t="s">
        <v>46</v>
      </c>
      <c r="F32" s="3" t="s">
        <v>47</v>
      </c>
      <c r="G32" s="54" t="s">
        <v>48</v>
      </c>
      <c r="H32" s="63" t="s">
        <v>49</v>
      </c>
      <c r="I32" s="3" t="str">
        <f t="shared" si="0"/>
        <v>Math</v>
      </c>
    </row>
    <row r="33" spans="1:9" x14ac:dyDescent="0.35">
      <c r="A33" s="3">
        <f>'Student Basic Info'!A33</f>
        <v>732</v>
      </c>
      <c r="B33" s="83" t="s">
        <v>12</v>
      </c>
      <c r="C33" s="3" t="s">
        <v>13</v>
      </c>
      <c r="D33" s="3" t="s">
        <v>14</v>
      </c>
      <c r="E33" s="3" t="s">
        <v>46</v>
      </c>
      <c r="F33" s="3" t="s">
        <v>47</v>
      </c>
      <c r="G33" s="54" t="s">
        <v>48</v>
      </c>
      <c r="H33" s="63" t="s">
        <v>49</v>
      </c>
      <c r="I33" s="3" t="str">
        <f t="shared" si="0"/>
        <v>Math</v>
      </c>
    </row>
    <row r="34" spans="1:9" x14ac:dyDescent="0.35">
      <c r="A34" s="3">
        <f>'Student Basic Info'!A34</f>
        <v>733</v>
      </c>
      <c r="B34" s="83" t="s">
        <v>12</v>
      </c>
      <c r="C34" s="3" t="s">
        <v>13</v>
      </c>
      <c r="D34" s="3" t="s">
        <v>14</v>
      </c>
      <c r="E34" s="3" t="s">
        <v>46</v>
      </c>
      <c r="F34" s="3" t="s">
        <v>47</v>
      </c>
      <c r="G34" s="54" t="s">
        <v>48</v>
      </c>
      <c r="H34" s="63" t="s">
        <v>49</v>
      </c>
      <c r="I34" s="3" t="str">
        <f t="shared" si="0"/>
        <v>Math</v>
      </c>
    </row>
    <row r="35" spans="1:9" x14ac:dyDescent="0.35">
      <c r="A35" s="3">
        <f>'Student Basic Info'!A35</f>
        <v>734</v>
      </c>
      <c r="B35" s="83" t="s">
        <v>12</v>
      </c>
      <c r="C35" s="3" t="s">
        <v>13</v>
      </c>
      <c r="D35" s="3" t="s">
        <v>14</v>
      </c>
      <c r="E35" s="3" t="s">
        <v>46</v>
      </c>
      <c r="F35" s="3" t="s">
        <v>47</v>
      </c>
      <c r="G35" s="54" t="s">
        <v>48</v>
      </c>
      <c r="H35" s="63" t="s">
        <v>49</v>
      </c>
      <c r="I35" s="3" t="str">
        <f t="shared" si="0"/>
        <v>Math</v>
      </c>
    </row>
    <row r="36" spans="1:9" x14ac:dyDescent="0.35">
      <c r="A36" s="3">
        <f>'Student Basic Info'!A36</f>
        <v>735</v>
      </c>
      <c r="B36" s="83" t="s">
        <v>12</v>
      </c>
      <c r="C36" s="3" t="s">
        <v>13</v>
      </c>
      <c r="D36" s="3" t="s">
        <v>14</v>
      </c>
      <c r="E36" s="3" t="s">
        <v>46</v>
      </c>
      <c r="F36" s="3" t="s">
        <v>47</v>
      </c>
      <c r="G36" s="54" t="s">
        <v>48</v>
      </c>
      <c r="H36" s="63" t="s">
        <v>49</v>
      </c>
      <c r="I36" s="3" t="str">
        <f t="shared" si="0"/>
        <v>Math</v>
      </c>
    </row>
    <row r="37" spans="1:9" x14ac:dyDescent="0.35">
      <c r="A37" s="3">
        <f>'Student Basic Info'!A37</f>
        <v>736</v>
      </c>
      <c r="B37" s="83" t="s">
        <v>12</v>
      </c>
      <c r="C37" s="3" t="s">
        <v>13</v>
      </c>
      <c r="D37" s="3" t="s">
        <v>14</v>
      </c>
      <c r="E37" s="3" t="s">
        <v>46</v>
      </c>
      <c r="F37" s="3" t="s">
        <v>47</v>
      </c>
      <c r="G37" s="54" t="s">
        <v>48</v>
      </c>
      <c r="H37" s="63" t="s">
        <v>49</v>
      </c>
      <c r="I37" s="3" t="str">
        <f t="shared" si="0"/>
        <v>Math</v>
      </c>
    </row>
    <row r="38" spans="1:9" x14ac:dyDescent="0.35">
      <c r="A38" s="3">
        <f>'Student Basic Info'!A38</f>
        <v>737</v>
      </c>
      <c r="B38" s="83" t="s">
        <v>12</v>
      </c>
      <c r="C38" s="3" t="s">
        <v>13</v>
      </c>
      <c r="D38" s="3" t="s">
        <v>14</v>
      </c>
      <c r="E38" s="3" t="s">
        <v>46</v>
      </c>
      <c r="F38" s="3" t="s">
        <v>47</v>
      </c>
      <c r="G38" s="54" t="s">
        <v>48</v>
      </c>
      <c r="H38" s="63" t="s">
        <v>49</v>
      </c>
      <c r="I38" s="3" t="str">
        <f t="shared" si="0"/>
        <v>Math</v>
      </c>
    </row>
    <row r="39" spans="1:9" x14ac:dyDescent="0.35">
      <c r="A39" s="3">
        <f>'Student Basic Info'!A39</f>
        <v>738</v>
      </c>
      <c r="B39" s="83" t="s">
        <v>12</v>
      </c>
      <c r="C39" s="3" t="s">
        <v>13</v>
      </c>
      <c r="D39" s="3" t="s">
        <v>14</v>
      </c>
      <c r="E39" s="3" t="s">
        <v>46</v>
      </c>
      <c r="F39" s="3" t="s">
        <v>47</v>
      </c>
      <c r="G39" s="54" t="s">
        <v>48</v>
      </c>
      <c r="H39" s="63" t="s">
        <v>49</v>
      </c>
      <c r="I39" s="3" t="str">
        <f t="shared" si="0"/>
        <v>Math</v>
      </c>
    </row>
    <row r="40" spans="1:9" x14ac:dyDescent="0.35">
      <c r="A40" s="3">
        <f>'Student Basic Info'!A40</f>
        <v>739</v>
      </c>
      <c r="B40" s="83" t="s">
        <v>12</v>
      </c>
      <c r="C40" s="3" t="s">
        <v>13</v>
      </c>
      <c r="D40" s="3" t="s">
        <v>14</v>
      </c>
      <c r="E40" s="3" t="s">
        <v>46</v>
      </c>
      <c r="F40" s="3" t="s">
        <v>47</v>
      </c>
      <c r="G40" s="54" t="s">
        <v>48</v>
      </c>
      <c r="H40" s="63" t="s">
        <v>49</v>
      </c>
      <c r="I40" s="3" t="str">
        <f t="shared" si="0"/>
        <v>Math</v>
      </c>
    </row>
    <row r="41" spans="1:9" x14ac:dyDescent="0.35">
      <c r="A41" s="3">
        <f>'Student Basic Info'!A41</f>
        <v>740</v>
      </c>
      <c r="B41" s="83" t="s">
        <v>12</v>
      </c>
      <c r="C41" s="3" t="s">
        <v>13</v>
      </c>
      <c r="D41" s="3" t="s">
        <v>14</v>
      </c>
      <c r="E41" s="3" t="s">
        <v>46</v>
      </c>
      <c r="F41" s="3" t="s">
        <v>47</v>
      </c>
      <c r="G41" s="54" t="s">
        <v>48</v>
      </c>
      <c r="H41" s="63" t="s">
        <v>49</v>
      </c>
      <c r="I41" s="3" t="str">
        <f t="shared" si="0"/>
        <v>Math</v>
      </c>
    </row>
    <row r="42" spans="1:9" x14ac:dyDescent="0.35">
      <c r="A42" s="3">
        <f>'Student Basic Info'!A42</f>
        <v>741</v>
      </c>
      <c r="B42" s="83" t="s">
        <v>12</v>
      </c>
      <c r="C42" s="3" t="s">
        <v>13</v>
      </c>
      <c r="D42" s="3" t="s">
        <v>14</v>
      </c>
      <c r="E42" s="3" t="s">
        <v>46</v>
      </c>
      <c r="F42" s="3" t="s">
        <v>47</v>
      </c>
      <c r="G42" s="54" t="s">
        <v>48</v>
      </c>
      <c r="H42" s="63" t="s">
        <v>49</v>
      </c>
      <c r="I42" s="3" t="str">
        <f t="shared" si="0"/>
        <v>Math</v>
      </c>
    </row>
    <row r="43" spans="1:9" x14ac:dyDescent="0.35">
      <c r="A43" s="3">
        <f>'Student Basic Info'!A43</f>
        <v>742</v>
      </c>
      <c r="B43" s="84" t="s">
        <v>12</v>
      </c>
      <c r="C43" s="55" t="s">
        <v>13</v>
      </c>
      <c r="D43" s="55" t="s">
        <v>14</v>
      </c>
      <c r="E43" s="55" t="s">
        <v>46</v>
      </c>
      <c r="F43" s="55" t="s">
        <v>47</v>
      </c>
      <c r="G43" s="55" t="s">
        <v>48</v>
      </c>
      <c r="H43" s="64" t="s">
        <v>49</v>
      </c>
      <c r="I43" s="3" t="str">
        <f t="shared" si="0"/>
        <v>Math</v>
      </c>
    </row>
    <row r="44" spans="1:9" x14ac:dyDescent="0.35">
      <c r="A44" s="3">
        <f>'Student Basic Info'!A44</f>
        <v>743</v>
      </c>
      <c r="B44" s="83" t="s">
        <v>12</v>
      </c>
      <c r="C44" s="3" t="s">
        <v>13</v>
      </c>
      <c r="D44" s="3" t="s">
        <v>14</v>
      </c>
      <c r="E44" s="3" t="s">
        <v>46</v>
      </c>
      <c r="F44" s="3" t="s">
        <v>47</v>
      </c>
      <c r="G44" s="54" t="s">
        <v>48</v>
      </c>
      <c r="H44" s="63" t="s">
        <v>49</v>
      </c>
      <c r="I44" s="3" t="str">
        <f t="shared" si="0"/>
        <v>Math</v>
      </c>
    </row>
    <row r="45" spans="1:9" x14ac:dyDescent="0.35">
      <c r="A45" s="3">
        <f>'Student Basic Info'!A45</f>
        <v>744</v>
      </c>
      <c r="B45" s="83" t="s">
        <v>12</v>
      </c>
      <c r="C45" s="3" t="s">
        <v>13</v>
      </c>
      <c r="D45" s="3" t="s">
        <v>14</v>
      </c>
      <c r="E45" s="3" t="s">
        <v>46</v>
      </c>
      <c r="F45" s="3" t="s">
        <v>47</v>
      </c>
      <c r="G45" s="54" t="s">
        <v>48</v>
      </c>
      <c r="H45" s="63" t="s">
        <v>49</v>
      </c>
      <c r="I45" s="3" t="str">
        <f t="shared" si="0"/>
        <v>Math</v>
      </c>
    </row>
    <row r="46" spans="1:9" x14ac:dyDescent="0.35">
      <c r="A46" s="3">
        <f>'Student Basic Info'!A46</f>
        <v>745</v>
      </c>
      <c r="B46" s="83" t="s">
        <v>12</v>
      </c>
      <c r="C46" s="3" t="s">
        <v>13</v>
      </c>
      <c r="D46" s="3" t="s">
        <v>14</v>
      </c>
      <c r="E46" s="3" t="s">
        <v>46</v>
      </c>
      <c r="F46" s="3" t="s">
        <v>47</v>
      </c>
      <c r="G46" s="54" t="s">
        <v>49</v>
      </c>
      <c r="H46" s="63" t="s">
        <v>48</v>
      </c>
      <c r="I46" s="3" t="str">
        <f t="shared" si="0"/>
        <v>Biology</v>
      </c>
    </row>
    <row r="47" spans="1:9" x14ac:dyDescent="0.35">
      <c r="A47" s="3">
        <f>'Student Basic Info'!A47</f>
        <v>746</v>
      </c>
      <c r="B47" s="83" t="s">
        <v>12</v>
      </c>
      <c r="C47" s="3" t="s">
        <v>13</v>
      </c>
      <c r="D47" s="3" t="s">
        <v>14</v>
      </c>
      <c r="E47" s="3" t="s">
        <v>46</v>
      </c>
      <c r="F47" s="3" t="s">
        <v>47</v>
      </c>
      <c r="G47" s="54" t="s">
        <v>48</v>
      </c>
      <c r="H47" s="63" t="s">
        <v>49</v>
      </c>
      <c r="I47" s="3" t="str">
        <f t="shared" si="0"/>
        <v>Math</v>
      </c>
    </row>
    <row r="48" spans="1:9" x14ac:dyDescent="0.35">
      <c r="A48" s="3">
        <f>'Student Basic Info'!A48</f>
        <v>747</v>
      </c>
      <c r="B48" s="83" t="s">
        <v>12</v>
      </c>
      <c r="C48" s="3" t="s">
        <v>13</v>
      </c>
      <c r="D48" s="3" t="s">
        <v>14</v>
      </c>
      <c r="E48" s="3" t="s">
        <v>46</v>
      </c>
      <c r="F48" s="3" t="s">
        <v>47</v>
      </c>
      <c r="G48" s="54" t="s">
        <v>48</v>
      </c>
      <c r="H48" s="63" t="s">
        <v>49</v>
      </c>
      <c r="I48" s="3" t="str">
        <f t="shared" si="0"/>
        <v>Math</v>
      </c>
    </row>
    <row r="49" spans="1:9" x14ac:dyDescent="0.35">
      <c r="A49" s="3">
        <f>'Student Basic Info'!A49</f>
        <v>748</v>
      </c>
      <c r="B49" s="83" t="s">
        <v>12</v>
      </c>
      <c r="C49" s="3" t="s">
        <v>13</v>
      </c>
      <c r="D49" s="3" t="s">
        <v>14</v>
      </c>
      <c r="E49" s="3" t="s">
        <v>46</v>
      </c>
      <c r="F49" s="3" t="s">
        <v>47</v>
      </c>
      <c r="G49" s="54" t="s">
        <v>48</v>
      </c>
      <c r="H49" s="63" t="s">
        <v>49</v>
      </c>
      <c r="I49" s="3" t="str">
        <f t="shared" si="0"/>
        <v>Math</v>
      </c>
    </row>
    <row r="50" spans="1:9" x14ac:dyDescent="0.35">
      <c r="A50" s="3">
        <f>'Student Basic Info'!A50</f>
        <v>749</v>
      </c>
      <c r="B50" s="83" t="s">
        <v>12</v>
      </c>
      <c r="C50" s="3" t="s">
        <v>13</v>
      </c>
      <c r="D50" s="3" t="s">
        <v>14</v>
      </c>
      <c r="E50" s="3" t="s">
        <v>46</v>
      </c>
      <c r="F50" s="3" t="s">
        <v>47</v>
      </c>
      <c r="G50" s="54" t="s">
        <v>48</v>
      </c>
      <c r="H50" s="63" t="s">
        <v>49</v>
      </c>
      <c r="I50" s="3" t="str">
        <f t="shared" si="0"/>
        <v>Math</v>
      </c>
    </row>
    <row r="51" spans="1:9" x14ac:dyDescent="0.35">
      <c r="A51" s="3">
        <f>'Student Basic Info'!A51</f>
        <v>750</v>
      </c>
      <c r="B51" s="83" t="s">
        <v>12</v>
      </c>
      <c r="C51" s="3" t="s">
        <v>13</v>
      </c>
      <c r="D51" s="3" t="s">
        <v>14</v>
      </c>
      <c r="E51" s="3" t="s">
        <v>46</v>
      </c>
      <c r="F51" s="3" t="s">
        <v>47</v>
      </c>
      <c r="G51" s="54" t="s">
        <v>49</v>
      </c>
      <c r="H51" s="63" t="s">
        <v>48</v>
      </c>
      <c r="I51" s="3" t="str">
        <f t="shared" si="0"/>
        <v>Biology</v>
      </c>
    </row>
    <row r="52" spans="1:9" x14ac:dyDescent="0.35">
      <c r="A52" s="3">
        <f>'Student Basic Info'!A52</f>
        <v>751</v>
      </c>
      <c r="B52" s="83" t="s">
        <v>12</v>
      </c>
      <c r="C52" s="3" t="s">
        <v>13</v>
      </c>
      <c r="D52" s="3" t="s">
        <v>14</v>
      </c>
      <c r="E52" s="3" t="s">
        <v>46</v>
      </c>
      <c r="F52" s="3" t="s">
        <v>47</v>
      </c>
      <c r="G52" s="54" t="s">
        <v>48</v>
      </c>
      <c r="H52" s="63" t="s">
        <v>49</v>
      </c>
      <c r="I52" s="3" t="str">
        <f t="shared" si="0"/>
        <v>Math</v>
      </c>
    </row>
    <row r="53" spans="1:9" x14ac:dyDescent="0.35">
      <c r="A53" s="3">
        <f>'Student Basic Info'!A53</f>
        <v>752</v>
      </c>
      <c r="B53" s="83" t="s">
        <v>12</v>
      </c>
      <c r="C53" s="3" t="s">
        <v>13</v>
      </c>
      <c r="D53" s="3" t="s">
        <v>14</v>
      </c>
      <c r="E53" s="3" t="s">
        <v>46</v>
      </c>
      <c r="F53" s="3" t="s">
        <v>47</v>
      </c>
      <c r="G53" s="54" t="s">
        <v>48</v>
      </c>
      <c r="H53" s="63" t="s">
        <v>49</v>
      </c>
      <c r="I53" s="3" t="str">
        <f t="shared" si="0"/>
        <v>Math</v>
      </c>
    </row>
    <row r="54" spans="1:9" x14ac:dyDescent="0.35">
      <c r="A54" s="3">
        <f>'Student Basic Info'!A54</f>
        <v>753</v>
      </c>
      <c r="B54" s="83" t="s">
        <v>12</v>
      </c>
      <c r="C54" s="3" t="s">
        <v>13</v>
      </c>
      <c r="D54" s="3" t="s">
        <v>14</v>
      </c>
      <c r="E54" s="3" t="s">
        <v>46</v>
      </c>
      <c r="F54" s="3" t="s">
        <v>47</v>
      </c>
      <c r="G54" s="54" t="s">
        <v>48</v>
      </c>
      <c r="H54" s="63" t="s">
        <v>49</v>
      </c>
      <c r="I54" s="3" t="str">
        <f t="shared" si="0"/>
        <v>Math</v>
      </c>
    </row>
    <row r="55" spans="1:9" x14ac:dyDescent="0.35">
      <c r="A55" s="3">
        <f>'Student Basic Info'!A55</f>
        <v>754</v>
      </c>
      <c r="B55" s="83" t="s">
        <v>12</v>
      </c>
      <c r="C55" s="3" t="s">
        <v>13</v>
      </c>
      <c r="D55" s="3" t="s">
        <v>14</v>
      </c>
      <c r="E55" s="3" t="s">
        <v>46</v>
      </c>
      <c r="F55" s="3" t="s">
        <v>47</v>
      </c>
      <c r="G55" s="54" t="s">
        <v>48</v>
      </c>
      <c r="H55" s="63" t="s">
        <v>49</v>
      </c>
      <c r="I55" s="3" t="str">
        <f t="shared" si="0"/>
        <v>Math</v>
      </c>
    </row>
    <row r="56" spans="1:9" x14ac:dyDescent="0.35">
      <c r="A56" s="3">
        <f>'Student Basic Info'!A56</f>
        <v>755</v>
      </c>
      <c r="B56" s="83" t="s">
        <v>12</v>
      </c>
      <c r="C56" s="3" t="s">
        <v>13</v>
      </c>
      <c r="D56" s="3" t="s">
        <v>14</v>
      </c>
      <c r="E56" s="3" t="s">
        <v>46</v>
      </c>
      <c r="F56" s="3" t="s">
        <v>47</v>
      </c>
      <c r="G56" s="54" t="s">
        <v>48</v>
      </c>
      <c r="H56" s="63" t="s">
        <v>49</v>
      </c>
      <c r="I56" s="3" t="str">
        <f t="shared" si="0"/>
        <v>Math</v>
      </c>
    </row>
    <row r="57" spans="1:9" x14ac:dyDescent="0.35">
      <c r="A57" s="3">
        <f>'Student Basic Info'!A57</f>
        <v>756</v>
      </c>
      <c r="B57" s="83" t="s">
        <v>12</v>
      </c>
      <c r="C57" s="3" t="s">
        <v>13</v>
      </c>
      <c r="D57" s="3" t="s">
        <v>14</v>
      </c>
      <c r="E57" s="3" t="s">
        <v>46</v>
      </c>
      <c r="F57" s="3" t="s">
        <v>47</v>
      </c>
      <c r="G57" s="54" t="s">
        <v>48</v>
      </c>
      <c r="H57" s="63" t="s">
        <v>49</v>
      </c>
      <c r="I57" s="3" t="str">
        <f t="shared" si="0"/>
        <v>Math</v>
      </c>
    </row>
    <row r="58" spans="1:9" x14ac:dyDescent="0.35">
      <c r="A58" s="3">
        <f>'Student Basic Info'!A58</f>
        <v>757</v>
      </c>
      <c r="B58" s="83" t="s">
        <v>12</v>
      </c>
      <c r="C58" s="3" t="s">
        <v>13</v>
      </c>
      <c r="D58" s="3" t="s">
        <v>14</v>
      </c>
      <c r="E58" s="3" t="s">
        <v>46</v>
      </c>
      <c r="F58" s="3" t="s">
        <v>47</v>
      </c>
      <c r="G58" s="54" t="s">
        <v>48</v>
      </c>
      <c r="H58" s="63" t="s">
        <v>49</v>
      </c>
      <c r="I58" s="3" t="str">
        <f t="shared" si="0"/>
        <v>Math</v>
      </c>
    </row>
    <row r="59" spans="1:9" x14ac:dyDescent="0.35">
      <c r="A59" s="3">
        <f>'Student Basic Info'!A59</f>
        <v>758</v>
      </c>
      <c r="B59" s="83" t="s">
        <v>12</v>
      </c>
      <c r="C59" s="3" t="s">
        <v>13</v>
      </c>
      <c r="D59" s="3" t="s">
        <v>14</v>
      </c>
      <c r="E59" s="3" t="s">
        <v>46</v>
      </c>
      <c r="F59" s="3" t="s">
        <v>47</v>
      </c>
      <c r="G59" s="54" t="s">
        <v>48</v>
      </c>
      <c r="H59" s="63" t="s">
        <v>49</v>
      </c>
      <c r="I59" s="3" t="str">
        <f t="shared" si="0"/>
        <v>Math</v>
      </c>
    </row>
    <row r="60" spans="1:9" x14ac:dyDescent="0.35">
      <c r="A60" s="3">
        <f>'Student Basic Info'!A60</f>
        <v>759</v>
      </c>
      <c r="B60" s="83" t="s">
        <v>12</v>
      </c>
      <c r="C60" s="3" t="s">
        <v>13</v>
      </c>
      <c r="D60" s="3" t="s">
        <v>14</v>
      </c>
      <c r="E60" s="3" t="s">
        <v>46</v>
      </c>
      <c r="F60" s="3" t="s">
        <v>47</v>
      </c>
      <c r="G60" s="54" t="s">
        <v>48</v>
      </c>
      <c r="H60" s="63" t="s">
        <v>49</v>
      </c>
      <c r="I60" s="3" t="str">
        <f t="shared" si="0"/>
        <v>Math</v>
      </c>
    </row>
    <row r="61" spans="1:9" x14ac:dyDescent="0.35">
      <c r="A61" s="3">
        <f>'Student Basic Info'!A61</f>
        <v>760</v>
      </c>
      <c r="B61" s="83" t="s">
        <v>12</v>
      </c>
      <c r="C61" s="3" t="s">
        <v>13</v>
      </c>
      <c r="D61" s="3" t="s">
        <v>14</v>
      </c>
      <c r="E61" s="3" t="s">
        <v>46</v>
      </c>
      <c r="F61" s="3" t="s">
        <v>47</v>
      </c>
      <c r="G61" s="54" t="s">
        <v>48</v>
      </c>
      <c r="H61" s="63" t="s">
        <v>49</v>
      </c>
      <c r="I61" s="3" t="str">
        <f t="shared" si="0"/>
        <v>Math</v>
      </c>
    </row>
    <row r="62" spans="1:9" x14ac:dyDescent="0.35">
      <c r="A62" s="3">
        <f>'Student Basic Info'!A62</f>
        <v>761</v>
      </c>
      <c r="B62" s="83" t="s">
        <v>12</v>
      </c>
      <c r="C62" s="3" t="s">
        <v>13</v>
      </c>
      <c r="D62" s="3" t="s">
        <v>14</v>
      </c>
      <c r="E62" s="3" t="s">
        <v>46</v>
      </c>
      <c r="F62" s="3" t="s">
        <v>47</v>
      </c>
      <c r="G62" s="54" t="s">
        <v>48</v>
      </c>
      <c r="H62" s="63" t="s">
        <v>49</v>
      </c>
      <c r="I62" s="3" t="str">
        <f t="shared" si="0"/>
        <v>Math</v>
      </c>
    </row>
    <row r="63" spans="1:9" x14ac:dyDescent="0.35">
      <c r="A63" s="3">
        <f>'Student Basic Info'!A63</f>
        <v>762</v>
      </c>
      <c r="B63" s="83" t="s">
        <v>12</v>
      </c>
      <c r="C63" s="3" t="s">
        <v>13</v>
      </c>
      <c r="D63" s="3" t="s">
        <v>14</v>
      </c>
      <c r="E63" s="3" t="s">
        <v>46</v>
      </c>
      <c r="F63" s="3" t="s">
        <v>47</v>
      </c>
      <c r="G63" s="54" t="s">
        <v>48</v>
      </c>
      <c r="H63" s="63" t="s">
        <v>49</v>
      </c>
      <c r="I63" s="3" t="str">
        <f t="shared" si="0"/>
        <v>Math</v>
      </c>
    </row>
    <row r="64" spans="1:9" x14ac:dyDescent="0.35">
      <c r="A64" s="3">
        <f>'Student Basic Info'!A64</f>
        <v>763</v>
      </c>
      <c r="B64" s="83" t="s">
        <v>12</v>
      </c>
      <c r="C64" s="3" t="s">
        <v>13</v>
      </c>
      <c r="D64" s="3" t="s">
        <v>14</v>
      </c>
      <c r="E64" s="3" t="s">
        <v>46</v>
      </c>
      <c r="F64" s="3" t="s">
        <v>47</v>
      </c>
      <c r="G64" s="54" t="s">
        <v>48</v>
      </c>
      <c r="H64" s="63" t="s">
        <v>49</v>
      </c>
      <c r="I64" s="3" t="str">
        <f t="shared" si="0"/>
        <v>Math</v>
      </c>
    </row>
    <row r="65" spans="1:9" x14ac:dyDescent="0.35">
      <c r="A65" s="3">
        <f>'Student Basic Info'!A65</f>
        <v>764</v>
      </c>
      <c r="B65" s="83" t="s">
        <v>12</v>
      </c>
      <c r="C65" s="3" t="s">
        <v>13</v>
      </c>
      <c r="D65" s="3" t="s">
        <v>14</v>
      </c>
      <c r="E65" s="3" t="s">
        <v>46</v>
      </c>
      <c r="F65" s="3" t="s">
        <v>47</v>
      </c>
      <c r="G65" s="54" t="s">
        <v>48</v>
      </c>
      <c r="H65" s="63" t="s">
        <v>49</v>
      </c>
      <c r="I65" s="3" t="str">
        <f t="shared" si="0"/>
        <v>Math</v>
      </c>
    </row>
    <row r="66" spans="1:9" x14ac:dyDescent="0.35">
      <c r="A66" s="3">
        <f>'Student Basic Info'!A66</f>
        <v>765</v>
      </c>
      <c r="B66" s="83" t="s">
        <v>12</v>
      </c>
      <c r="C66" s="3" t="s">
        <v>13</v>
      </c>
      <c r="D66" s="3" t="s">
        <v>14</v>
      </c>
      <c r="E66" s="3" t="s">
        <v>46</v>
      </c>
      <c r="F66" s="3" t="s">
        <v>47</v>
      </c>
      <c r="G66" s="54" t="s">
        <v>48</v>
      </c>
      <c r="H66" s="63" t="s">
        <v>49</v>
      </c>
      <c r="I66" s="3" t="str">
        <f t="shared" si="0"/>
        <v>Math</v>
      </c>
    </row>
    <row r="67" spans="1:9" x14ac:dyDescent="0.35">
      <c r="A67" s="3">
        <f>'Student Basic Info'!A67</f>
        <v>766</v>
      </c>
      <c r="B67" s="83" t="s">
        <v>12</v>
      </c>
      <c r="C67" s="3" t="s">
        <v>13</v>
      </c>
      <c r="D67" s="3" t="s">
        <v>14</v>
      </c>
      <c r="E67" s="3" t="s">
        <v>46</v>
      </c>
      <c r="F67" s="3" t="s">
        <v>47</v>
      </c>
      <c r="G67" s="54" t="s">
        <v>48</v>
      </c>
      <c r="H67" s="63" t="s">
        <v>49</v>
      </c>
      <c r="I67" s="3" t="str">
        <f t="shared" ref="I67:I87" si="1">H67</f>
        <v>Math</v>
      </c>
    </row>
    <row r="68" spans="1:9" x14ac:dyDescent="0.35">
      <c r="A68" s="3">
        <f>'Student Basic Info'!A68</f>
        <v>767</v>
      </c>
      <c r="B68" s="83" t="s">
        <v>12</v>
      </c>
      <c r="C68" s="3" t="s">
        <v>13</v>
      </c>
      <c r="D68" s="3" t="s">
        <v>14</v>
      </c>
      <c r="E68" s="3" t="s">
        <v>46</v>
      </c>
      <c r="F68" s="3" t="s">
        <v>47</v>
      </c>
      <c r="G68" s="54" t="s">
        <v>48</v>
      </c>
      <c r="H68" s="63" t="s">
        <v>49</v>
      </c>
      <c r="I68" s="3" t="str">
        <f t="shared" si="1"/>
        <v>Math</v>
      </c>
    </row>
    <row r="69" spans="1:9" x14ac:dyDescent="0.35">
      <c r="A69" s="3">
        <f>'Student Basic Info'!A69</f>
        <v>768</v>
      </c>
      <c r="B69" s="83" t="s">
        <v>12</v>
      </c>
      <c r="C69" s="3" t="s">
        <v>13</v>
      </c>
      <c r="D69" s="3" t="s">
        <v>14</v>
      </c>
      <c r="E69" s="3" t="s">
        <v>46</v>
      </c>
      <c r="F69" s="3" t="s">
        <v>47</v>
      </c>
      <c r="G69" s="54" t="s">
        <v>48</v>
      </c>
      <c r="H69" s="63" t="s">
        <v>49</v>
      </c>
      <c r="I69" s="3" t="str">
        <f t="shared" si="1"/>
        <v>Math</v>
      </c>
    </row>
    <row r="70" spans="1:9" x14ac:dyDescent="0.35">
      <c r="A70" s="3">
        <f>'Student Basic Info'!A70</f>
        <v>769</v>
      </c>
      <c r="B70" s="83" t="s">
        <v>12</v>
      </c>
      <c r="C70" s="3" t="s">
        <v>13</v>
      </c>
      <c r="D70" s="3" t="s">
        <v>14</v>
      </c>
      <c r="E70" s="3" t="s">
        <v>46</v>
      </c>
      <c r="F70" s="3" t="s">
        <v>47</v>
      </c>
      <c r="G70" s="54" t="s">
        <v>48</v>
      </c>
      <c r="H70" s="63" t="s">
        <v>49</v>
      </c>
      <c r="I70" s="3" t="str">
        <f t="shared" si="1"/>
        <v>Math</v>
      </c>
    </row>
    <row r="71" spans="1:9" x14ac:dyDescent="0.35">
      <c r="A71" s="3">
        <f>'Student Basic Info'!A71</f>
        <v>770</v>
      </c>
      <c r="B71" s="83" t="s">
        <v>12</v>
      </c>
      <c r="C71" s="3" t="s">
        <v>13</v>
      </c>
      <c r="D71" s="3" t="s">
        <v>14</v>
      </c>
      <c r="E71" s="3" t="s">
        <v>46</v>
      </c>
      <c r="F71" s="3" t="s">
        <v>47</v>
      </c>
      <c r="G71" s="54" t="s">
        <v>48</v>
      </c>
      <c r="H71" s="63" t="s">
        <v>49</v>
      </c>
      <c r="I71" s="3" t="str">
        <f t="shared" si="1"/>
        <v>Math</v>
      </c>
    </row>
    <row r="72" spans="1:9" x14ac:dyDescent="0.35">
      <c r="A72" s="3">
        <f>'Student Basic Info'!A72</f>
        <v>771</v>
      </c>
      <c r="B72" s="83" t="s">
        <v>12</v>
      </c>
      <c r="C72" s="3" t="s">
        <v>13</v>
      </c>
      <c r="D72" s="3" t="s">
        <v>14</v>
      </c>
      <c r="E72" s="3" t="s">
        <v>46</v>
      </c>
      <c r="F72" s="3" t="s">
        <v>47</v>
      </c>
      <c r="G72" s="54" t="s">
        <v>48</v>
      </c>
      <c r="H72" s="63" t="s">
        <v>49</v>
      </c>
      <c r="I72" s="3" t="str">
        <f t="shared" si="1"/>
        <v>Math</v>
      </c>
    </row>
    <row r="73" spans="1:9" x14ac:dyDescent="0.35">
      <c r="A73" s="3">
        <f>'Student Basic Info'!A73</f>
        <v>772</v>
      </c>
      <c r="B73" s="83" t="s">
        <v>12</v>
      </c>
      <c r="C73" s="3" t="s">
        <v>13</v>
      </c>
      <c r="D73" s="3" t="s">
        <v>14</v>
      </c>
      <c r="E73" s="3" t="s">
        <v>46</v>
      </c>
      <c r="F73" s="3" t="s">
        <v>47</v>
      </c>
      <c r="G73" s="54" t="s">
        <v>48</v>
      </c>
      <c r="H73" s="63" t="s">
        <v>49</v>
      </c>
      <c r="I73" s="3" t="str">
        <f t="shared" si="1"/>
        <v>Math</v>
      </c>
    </row>
    <row r="74" spans="1:9" x14ac:dyDescent="0.35">
      <c r="A74" s="3">
        <f>'Student Basic Info'!A74</f>
        <v>773</v>
      </c>
      <c r="B74" s="83" t="s">
        <v>12</v>
      </c>
      <c r="C74" s="3" t="s">
        <v>13</v>
      </c>
      <c r="D74" s="3" t="s">
        <v>14</v>
      </c>
      <c r="E74" s="3" t="s">
        <v>46</v>
      </c>
      <c r="F74" s="3" t="s">
        <v>47</v>
      </c>
      <c r="G74" s="54" t="s">
        <v>48</v>
      </c>
      <c r="H74" s="63" t="s">
        <v>49</v>
      </c>
      <c r="I74" s="3" t="str">
        <f t="shared" si="1"/>
        <v>Math</v>
      </c>
    </row>
    <row r="75" spans="1:9" x14ac:dyDescent="0.35">
      <c r="A75" s="3">
        <f>'Student Basic Info'!A75</f>
        <v>774</v>
      </c>
      <c r="B75" s="83" t="s">
        <v>12</v>
      </c>
      <c r="C75" s="3" t="s">
        <v>13</v>
      </c>
      <c r="D75" s="3" t="s">
        <v>14</v>
      </c>
      <c r="E75" s="3" t="s">
        <v>46</v>
      </c>
      <c r="F75" s="3" t="s">
        <v>47</v>
      </c>
      <c r="G75" s="54" t="s">
        <v>48</v>
      </c>
      <c r="H75" s="63" t="s">
        <v>49</v>
      </c>
      <c r="I75" s="3" t="str">
        <f t="shared" si="1"/>
        <v>Math</v>
      </c>
    </row>
    <row r="76" spans="1:9" x14ac:dyDescent="0.35">
      <c r="A76" s="3">
        <f>'Student Basic Info'!A76</f>
        <v>775</v>
      </c>
      <c r="B76" s="83" t="s">
        <v>12</v>
      </c>
      <c r="C76" s="3" t="s">
        <v>13</v>
      </c>
      <c r="D76" s="3" t="s">
        <v>14</v>
      </c>
      <c r="E76" s="3" t="s">
        <v>46</v>
      </c>
      <c r="F76" s="3" t="s">
        <v>47</v>
      </c>
      <c r="G76" s="54" t="s">
        <v>48</v>
      </c>
      <c r="H76" s="63" t="s">
        <v>49</v>
      </c>
      <c r="I76" s="3" t="str">
        <f t="shared" si="1"/>
        <v>Math</v>
      </c>
    </row>
    <row r="77" spans="1:9" x14ac:dyDescent="0.35">
      <c r="A77" s="3">
        <f>'Student Basic Info'!A77</f>
        <v>776</v>
      </c>
      <c r="B77" s="83" t="s">
        <v>12</v>
      </c>
      <c r="C77" s="3" t="s">
        <v>13</v>
      </c>
      <c r="D77" s="3" t="s">
        <v>14</v>
      </c>
      <c r="E77" s="3" t="s">
        <v>46</v>
      </c>
      <c r="F77" s="3" t="s">
        <v>47</v>
      </c>
      <c r="G77" s="54" t="s">
        <v>48</v>
      </c>
      <c r="H77" s="63" t="s">
        <v>49</v>
      </c>
      <c r="I77" s="3" t="str">
        <f t="shared" si="1"/>
        <v>Math</v>
      </c>
    </row>
    <row r="78" spans="1:9" x14ac:dyDescent="0.35">
      <c r="A78" s="3">
        <f>'Student Basic Info'!A78</f>
        <v>777</v>
      </c>
      <c r="B78" s="83" t="s">
        <v>12</v>
      </c>
      <c r="C78" s="3" t="s">
        <v>13</v>
      </c>
      <c r="D78" s="3" t="s">
        <v>14</v>
      </c>
      <c r="E78" s="3" t="s">
        <v>46</v>
      </c>
      <c r="F78" s="3" t="s">
        <v>47</v>
      </c>
      <c r="G78" s="54" t="s">
        <v>48</v>
      </c>
      <c r="H78" s="63" t="s">
        <v>49</v>
      </c>
      <c r="I78" s="3" t="str">
        <f t="shared" si="1"/>
        <v>Math</v>
      </c>
    </row>
    <row r="79" spans="1:9" x14ac:dyDescent="0.35">
      <c r="A79" s="3">
        <f>'Student Basic Info'!A79</f>
        <v>778</v>
      </c>
      <c r="B79" s="83" t="s">
        <v>12</v>
      </c>
      <c r="C79" s="3" t="s">
        <v>13</v>
      </c>
      <c r="D79" s="3" t="s">
        <v>14</v>
      </c>
      <c r="E79" s="3" t="s">
        <v>46</v>
      </c>
      <c r="F79" s="3" t="s">
        <v>47</v>
      </c>
      <c r="G79" s="54" t="s">
        <v>48</v>
      </c>
      <c r="H79" s="63" t="s">
        <v>49</v>
      </c>
      <c r="I79" s="3" t="str">
        <f t="shared" si="1"/>
        <v>Math</v>
      </c>
    </row>
    <row r="80" spans="1:9" x14ac:dyDescent="0.35">
      <c r="A80" s="3">
        <f>'Student Basic Info'!A80</f>
        <v>779</v>
      </c>
      <c r="B80" s="83" t="s">
        <v>12</v>
      </c>
      <c r="C80" s="3" t="s">
        <v>13</v>
      </c>
      <c r="D80" s="3" t="s">
        <v>14</v>
      </c>
      <c r="E80" s="3" t="s">
        <v>46</v>
      </c>
      <c r="F80" s="3" t="s">
        <v>47</v>
      </c>
      <c r="G80" s="54" t="s">
        <v>48</v>
      </c>
      <c r="H80" s="63" t="s">
        <v>49</v>
      </c>
      <c r="I80" s="3" t="str">
        <f t="shared" si="1"/>
        <v>Math</v>
      </c>
    </row>
    <row r="81" spans="1:9" x14ac:dyDescent="0.35">
      <c r="A81" s="3">
        <f>'Student Basic Info'!A81</f>
        <v>780</v>
      </c>
      <c r="B81" s="83" t="s">
        <v>12</v>
      </c>
      <c r="C81" s="3" t="s">
        <v>13</v>
      </c>
      <c r="D81" s="3" t="s">
        <v>14</v>
      </c>
      <c r="E81" s="3" t="s">
        <v>46</v>
      </c>
      <c r="F81" s="3" t="s">
        <v>47</v>
      </c>
      <c r="G81" s="54" t="s">
        <v>48</v>
      </c>
      <c r="H81" s="63" t="s">
        <v>49</v>
      </c>
      <c r="I81" s="3" t="str">
        <f t="shared" si="1"/>
        <v>Math</v>
      </c>
    </row>
    <row r="82" spans="1:9" x14ac:dyDescent="0.35">
      <c r="A82" s="3">
        <f>'Student Basic Info'!A82</f>
        <v>781</v>
      </c>
      <c r="B82" s="83" t="s">
        <v>12</v>
      </c>
      <c r="C82" s="3" t="s">
        <v>13</v>
      </c>
      <c r="D82" s="3" t="s">
        <v>14</v>
      </c>
      <c r="E82" s="3" t="s">
        <v>46</v>
      </c>
      <c r="F82" s="3" t="s">
        <v>47</v>
      </c>
      <c r="G82" s="54" t="s">
        <v>48</v>
      </c>
      <c r="H82" s="63" t="s">
        <v>49</v>
      </c>
      <c r="I82" s="3" t="str">
        <f t="shared" si="1"/>
        <v>Math</v>
      </c>
    </row>
    <row r="83" spans="1:9" x14ac:dyDescent="0.35">
      <c r="A83" s="3">
        <f>'Student Basic Info'!A83</f>
        <v>782</v>
      </c>
      <c r="B83" s="83" t="s">
        <v>12</v>
      </c>
      <c r="C83" s="3" t="s">
        <v>13</v>
      </c>
      <c r="D83" s="3" t="s">
        <v>14</v>
      </c>
      <c r="E83" s="3" t="s">
        <v>46</v>
      </c>
      <c r="F83" s="3" t="s">
        <v>47</v>
      </c>
      <c r="G83" s="54" t="s">
        <v>48</v>
      </c>
      <c r="H83" s="63" t="s">
        <v>49</v>
      </c>
      <c r="I83" s="3" t="str">
        <f t="shared" si="1"/>
        <v>Math</v>
      </c>
    </row>
    <row r="84" spans="1:9" x14ac:dyDescent="0.35">
      <c r="A84" s="3">
        <f>'Student Basic Info'!A84</f>
        <v>783</v>
      </c>
      <c r="B84" s="83" t="s">
        <v>12</v>
      </c>
      <c r="C84" s="3" t="s">
        <v>13</v>
      </c>
      <c r="D84" s="3" t="s">
        <v>14</v>
      </c>
      <c r="E84" s="3" t="s">
        <v>46</v>
      </c>
      <c r="F84" s="3" t="s">
        <v>47</v>
      </c>
      <c r="G84" s="54" t="s">
        <v>48</v>
      </c>
      <c r="H84" s="63" t="s">
        <v>49</v>
      </c>
      <c r="I84" s="3" t="str">
        <f t="shared" si="1"/>
        <v>Math</v>
      </c>
    </row>
    <row r="85" spans="1:9" x14ac:dyDescent="0.35">
      <c r="A85" s="3">
        <f>'Student Basic Info'!A85</f>
        <v>784</v>
      </c>
      <c r="B85" s="83" t="s">
        <v>12</v>
      </c>
      <c r="C85" s="3" t="s">
        <v>13</v>
      </c>
      <c r="D85" s="3" t="s">
        <v>14</v>
      </c>
      <c r="E85" s="3" t="s">
        <v>46</v>
      </c>
      <c r="F85" s="3" t="s">
        <v>47</v>
      </c>
      <c r="G85" s="54" t="s">
        <v>48</v>
      </c>
      <c r="H85" s="63" t="s">
        <v>49</v>
      </c>
      <c r="I85" s="3" t="str">
        <f t="shared" si="1"/>
        <v>Math</v>
      </c>
    </row>
    <row r="86" spans="1:9" x14ac:dyDescent="0.35">
      <c r="A86" s="3">
        <f>'Student Basic Info'!A86</f>
        <v>785</v>
      </c>
      <c r="B86" s="83" t="s">
        <v>12</v>
      </c>
      <c r="C86" s="3" t="s">
        <v>13</v>
      </c>
      <c r="D86" s="3" t="s">
        <v>14</v>
      </c>
      <c r="E86" s="3" t="s">
        <v>46</v>
      </c>
      <c r="F86" s="3" t="s">
        <v>47</v>
      </c>
      <c r="G86" s="54" t="s">
        <v>48</v>
      </c>
      <c r="H86" s="63" t="s">
        <v>49</v>
      </c>
      <c r="I86" s="3" t="str">
        <f t="shared" si="1"/>
        <v>Math</v>
      </c>
    </row>
    <row r="87" spans="1:9" x14ac:dyDescent="0.35">
      <c r="A87" s="3">
        <f>'Student Basic Info'!A87</f>
        <v>786</v>
      </c>
      <c r="B87" s="83" t="s">
        <v>12</v>
      </c>
      <c r="C87" s="3" t="s">
        <v>13</v>
      </c>
      <c r="D87" s="3" t="s">
        <v>14</v>
      </c>
      <c r="E87" s="3" t="s">
        <v>46</v>
      </c>
      <c r="F87" s="3" t="s">
        <v>47</v>
      </c>
      <c r="G87" s="54" t="s">
        <v>49</v>
      </c>
      <c r="H87" s="63" t="s">
        <v>48</v>
      </c>
      <c r="I87" s="3" t="str">
        <f t="shared" si="1"/>
        <v>Biology</v>
      </c>
    </row>
    <row r="88" spans="1:9" x14ac:dyDescent="0.35">
      <c r="A88" s="3">
        <f>'Student Basic Info'!A88</f>
        <v>6812</v>
      </c>
      <c r="B88" s="83" t="s">
        <v>12</v>
      </c>
      <c r="C88" s="3" t="s">
        <v>13</v>
      </c>
      <c r="D88" s="3" t="s">
        <v>14</v>
      </c>
      <c r="E88" s="3" t="s">
        <v>46</v>
      </c>
      <c r="F88" s="3" t="s">
        <v>47</v>
      </c>
      <c r="G88" s="55" t="s">
        <v>48</v>
      </c>
      <c r="H88" s="64" t="s">
        <v>49</v>
      </c>
      <c r="I88" s="3" t="str">
        <f t="shared" ref="I88" si="2">H88</f>
        <v>Math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60"/>
  <sheetViews>
    <sheetView workbookViewId="0">
      <selection activeCell="I11" sqref="I11"/>
    </sheetView>
  </sheetViews>
  <sheetFormatPr defaultRowHeight="14.5" x14ac:dyDescent="0.35"/>
  <cols>
    <col min="1" max="1" width="8.7265625" style="15"/>
    <col min="2" max="2" width="10.7265625" style="1" hidden="1" customWidth="1"/>
    <col min="3" max="3" width="9" style="1" bestFit="1" customWidth="1"/>
    <col min="4" max="4" width="10.81640625" style="15" bestFit="1" customWidth="1"/>
    <col min="5" max="5" width="8.7265625" style="15"/>
    <col min="6" max="6" width="8.7265625" style="16"/>
    <col min="7" max="7" width="8.7265625" style="15"/>
  </cols>
  <sheetData>
    <row r="1" spans="1:8" x14ac:dyDescent="0.3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10">
        <f>'Student Basic Info'!A2</f>
        <v>701</v>
      </c>
      <c r="B2" s="54"/>
      <c r="C2" s="54">
        <v>60</v>
      </c>
      <c r="D2" s="69">
        <f t="shared" ref="D2:D65" si="0">IF(B2+C2=0, "", B2+C2)</f>
        <v>60</v>
      </c>
      <c r="E2" s="10" t="str">
        <f>IF(D2="","", IF(C2&gt;=33,"Pass","Fail"))</f>
        <v>Pass</v>
      </c>
      <c r="F2" s="10" t="str">
        <f>(IF(D2="","",IF(E2="Fail","F",IF(D2&gt;=80,"A+",IF(D2&gt;=70,"A",IF(D2&gt;=60,"A-",IF(D2&gt;=50,"B",IF(D2&gt;=40,"C",IF(D2&gt;=33,"D","F")))))))))</f>
        <v>A-</v>
      </c>
      <c r="G2" s="11">
        <f>(IF(D2="","",IF(F2="F",0,IF(D2&gt;=80,5,IF(D2&gt;=70,4,IF(D2&gt;=60,3.5,IF(D2&gt;=50,3,IF(D2&gt;=40,2,IF(D2&gt;=33,1,0)))))))))</f>
        <v>3.5</v>
      </c>
    </row>
    <row r="3" spans="1:8" x14ac:dyDescent="0.35">
      <c r="A3" s="10">
        <f>'Student Basic Info'!A3</f>
        <v>702</v>
      </c>
      <c r="B3" s="54"/>
      <c r="C3" s="54"/>
      <c r="D3" s="69" t="str">
        <f t="shared" si="0"/>
        <v/>
      </c>
      <c r="E3" s="10" t="str">
        <f t="shared" ref="E3:E66" si="1">IF(D3="","", IF(C3&gt;=33,"Pass","Fail"))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10">
        <f>'Student Basic Info'!A4</f>
        <v>703</v>
      </c>
      <c r="B4" s="54"/>
      <c r="C4" s="54"/>
      <c r="D4" s="69" t="str">
        <f t="shared" si="0"/>
        <v/>
      </c>
      <c r="E4" s="10" t="str">
        <f t="shared" si="1"/>
        <v/>
      </c>
      <c r="F4" s="10" t="str">
        <f t="shared" si="2"/>
        <v/>
      </c>
      <c r="G4" s="11" t="str">
        <f t="shared" si="3"/>
        <v/>
      </c>
    </row>
    <row r="5" spans="1:8" x14ac:dyDescent="0.35">
      <c r="A5" s="10">
        <f>'Student Basic Info'!A5</f>
        <v>704</v>
      </c>
      <c r="B5" s="54"/>
      <c r="C5" s="54">
        <v>62</v>
      </c>
      <c r="D5" s="69">
        <f t="shared" si="0"/>
        <v>62</v>
      </c>
      <c r="E5" s="10" t="str">
        <f t="shared" si="1"/>
        <v>Pass</v>
      </c>
      <c r="F5" s="10" t="str">
        <f t="shared" si="2"/>
        <v>A-</v>
      </c>
      <c r="G5" s="11">
        <f t="shared" si="3"/>
        <v>3.5</v>
      </c>
    </row>
    <row r="6" spans="1:8" x14ac:dyDescent="0.35">
      <c r="A6" s="10">
        <f>'Student Basic Info'!A6</f>
        <v>705</v>
      </c>
      <c r="B6" s="54"/>
      <c r="C6" s="54"/>
      <c r="D6" s="69" t="str">
        <f t="shared" si="0"/>
        <v/>
      </c>
      <c r="E6" s="10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10">
        <f>'Student Basic Info'!A7</f>
        <v>706</v>
      </c>
      <c r="B7" s="54"/>
      <c r="C7" s="54"/>
      <c r="D7" s="69" t="str">
        <f t="shared" si="0"/>
        <v/>
      </c>
      <c r="E7" s="10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10">
        <f>'Student Basic Info'!A8</f>
        <v>707</v>
      </c>
      <c r="B8" s="54"/>
      <c r="C8" s="54"/>
      <c r="D8" s="69" t="str">
        <f t="shared" si="0"/>
        <v/>
      </c>
      <c r="E8" s="10" t="str">
        <f t="shared" si="1"/>
        <v/>
      </c>
      <c r="F8" s="10" t="str">
        <f t="shared" si="2"/>
        <v/>
      </c>
      <c r="G8" s="11" t="str">
        <f t="shared" si="3"/>
        <v/>
      </c>
    </row>
    <row r="9" spans="1:8" x14ac:dyDescent="0.35">
      <c r="A9" s="10">
        <f>'Student Basic Info'!A9</f>
        <v>708</v>
      </c>
      <c r="B9" s="54"/>
      <c r="C9" s="54">
        <v>62</v>
      </c>
      <c r="D9" s="69">
        <f t="shared" si="0"/>
        <v>62</v>
      </c>
      <c r="E9" s="10" t="str">
        <f t="shared" si="1"/>
        <v>Pass</v>
      </c>
      <c r="F9" s="10" t="str">
        <f t="shared" si="2"/>
        <v>A-</v>
      </c>
      <c r="G9" s="11">
        <f t="shared" si="3"/>
        <v>3.5</v>
      </c>
    </row>
    <row r="10" spans="1:8" x14ac:dyDescent="0.35">
      <c r="A10" s="10">
        <f>'Student Basic Info'!A10</f>
        <v>709</v>
      </c>
      <c r="B10" s="54"/>
      <c r="C10" s="54">
        <v>63</v>
      </c>
      <c r="D10" s="69">
        <f t="shared" si="0"/>
        <v>63</v>
      </c>
      <c r="E10" s="10" t="str">
        <f t="shared" si="1"/>
        <v>Pass</v>
      </c>
      <c r="F10" s="10" t="str">
        <f t="shared" si="2"/>
        <v>A-</v>
      </c>
      <c r="G10" s="11">
        <f t="shared" si="3"/>
        <v>3.5</v>
      </c>
    </row>
    <row r="11" spans="1:8" x14ac:dyDescent="0.35">
      <c r="A11" s="10">
        <f>'Student Basic Info'!A11</f>
        <v>710</v>
      </c>
      <c r="B11" s="3"/>
      <c r="C11" s="3">
        <v>56</v>
      </c>
      <c r="D11" s="69">
        <f t="shared" si="0"/>
        <v>56</v>
      </c>
      <c r="E11" s="10" t="str">
        <f t="shared" si="1"/>
        <v>Pass</v>
      </c>
      <c r="F11" s="10" t="str">
        <f t="shared" si="2"/>
        <v>B</v>
      </c>
      <c r="G11" s="11">
        <f t="shared" si="3"/>
        <v>3</v>
      </c>
    </row>
    <row r="12" spans="1:8" x14ac:dyDescent="0.35">
      <c r="A12" s="10">
        <f>'Student Basic Info'!A12</f>
        <v>711</v>
      </c>
      <c r="B12" s="3"/>
      <c r="C12" s="3"/>
      <c r="D12" s="69" t="str">
        <f t="shared" si="0"/>
        <v/>
      </c>
      <c r="E12" s="10" t="str">
        <f t="shared" si="1"/>
        <v/>
      </c>
      <c r="F12" s="10" t="str">
        <f t="shared" si="2"/>
        <v/>
      </c>
      <c r="G12" s="11" t="str">
        <f t="shared" si="3"/>
        <v/>
      </c>
    </row>
    <row r="13" spans="1:8" x14ac:dyDescent="0.35">
      <c r="A13" s="10">
        <f>'Student Basic Info'!A13</f>
        <v>712</v>
      </c>
      <c r="B13" s="3"/>
      <c r="C13" s="3">
        <v>50</v>
      </c>
      <c r="D13" s="69">
        <f t="shared" si="0"/>
        <v>50</v>
      </c>
      <c r="E13" s="10" t="str">
        <f t="shared" si="1"/>
        <v>Pass</v>
      </c>
      <c r="F13" s="10" t="str">
        <f t="shared" si="2"/>
        <v>B</v>
      </c>
      <c r="G13" s="11">
        <f t="shared" si="3"/>
        <v>3</v>
      </c>
    </row>
    <row r="14" spans="1:8" x14ac:dyDescent="0.35">
      <c r="A14" s="10">
        <f>'Student Basic Info'!A14</f>
        <v>713</v>
      </c>
      <c r="B14" s="3"/>
      <c r="C14" s="3">
        <v>57</v>
      </c>
      <c r="D14" s="69">
        <f t="shared" si="0"/>
        <v>57</v>
      </c>
      <c r="E14" s="10" t="str">
        <f t="shared" si="1"/>
        <v>Pass</v>
      </c>
      <c r="F14" s="10" t="str">
        <f t="shared" si="2"/>
        <v>B</v>
      </c>
      <c r="G14" s="11">
        <f t="shared" si="3"/>
        <v>3</v>
      </c>
    </row>
    <row r="15" spans="1:8" x14ac:dyDescent="0.35">
      <c r="A15" s="10">
        <f>'Student Basic Info'!A15</f>
        <v>714</v>
      </c>
      <c r="B15" s="3"/>
      <c r="C15" s="3">
        <v>64</v>
      </c>
      <c r="D15" s="69">
        <f t="shared" si="0"/>
        <v>64</v>
      </c>
      <c r="E15" s="10" t="str">
        <f t="shared" si="1"/>
        <v>Pass</v>
      </c>
      <c r="F15" s="10" t="str">
        <f t="shared" si="2"/>
        <v>A-</v>
      </c>
      <c r="G15" s="11">
        <f t="shared" si="3"/>
        <v>3.5</v>
      </c>
    </row>
    <row r="16" spans="1:8" x14ac:dyDescent="0.35">
      <c r="A16" s="10">
        <f>'Student Basic Info'!A16</f>
        <v>715</v>
      </c>
      <c r="B16" s="3"/>
      <c r="C16" s="3">
        <v>41</v>
      </c>
      <c r="D16" s="69">
        <f t="shared" si="0"/>
        <v>41</v>
      </c>
      <c r="E16" s="10" t="str">
        <f t="shared" si="1"/>
        <v>Pass</v>
      </c>
      <c r="F16" s="10" t="str">
        <f t="shared" si="2"/>
        <v>C</v>
      </c>
      <c r="G16" s="11">
        <f t="shared" si="3"/>
        <v>2</v>
      </c>
    </row>
    <row r="17" spans="1:7" x14ac:dyDescent="0.35">
      <c r="A17" s="10">
        <f>'Student Basic Info'!A17</f>
        <v>716</v>
      </c>
      <c r="B17" s="3"/>
      <c r="C17" s="3">
        <v>40</v>
      </c>
      <c r="D17" s="69">
        <f t="shared" si="0"/>
        <v>40</v>
      </c>
      <c r="E17" s="10" t="str">
        <f t="shared" si="1"/>
        <v>Pass</v>
      </c>
      <c r="F17" s="10" t="str">
        <f t="shared" si="2"/>
        <v>C</v>
      </c>
      <c r="G17" s="11">
        <f t="shared" si="3"/>
        <v>2</v>
      </c>
    </row>
    <row r="18" spans="1:7" x14ac:dyDescent="0.35">
      <c r="A18" s="10">
        <f>'Student Basic Info'!A18</f>
        <v>717</v>
      </c>
      <c r="B18" s="3"/>
      <c r="C18" s="3">
        <v>50</v>
      </c>
      <c r="D18" s="69">
        <f t="shared" si="0"/>
        <v>50</v>
      </c>
      <c r="E18" s="10" t="str">
        <f t="shared" si="1"/>
        <v>Pass</v>
      </c>
      <c r="F18" s="10" t="str">
        <f t="shared" si="2"/>
        <v>B</v>
      </c>
      <c r="G18" s="11">
        <f t="shared" si="3"/>
        <v>3</v>
      </c>
    </row>
    <row r="19" spans="1:7" x14ac:dyDescent="0.35">
      <c r="A19" s="10">
        <f>'Student Basic Info'!A19</f>
        <v>718</v>
      </c>
      <c r="B19" s="3"/>
      <c r="C19" s="3"/>
      <c r="D19" s="69" t="str">
        <f t="shared" si="0"/>
        <v/>
      </c>
      <c r="E19" s="10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10">
        <f>'Student Basic Info'!A20</f>
        <v>719</v>
      </c>
      <c r="B20" s="3"/>
      <c r="C20" s="3">
        <v>55</v>
      </c>
      <c r="D20" s="69">
        <f t="shared" si="0"/>
        <v>55</v>
      </c>
      <c r="E20" s="10" t="str">
        <f t="shared" si="1"/>
        <v>Pass</v>
      </c>
      <c r="F20" s="10" t="str">
        <f t="shared" si="2"/>
        <v>B</v>
      </c>
      <c r="G20" s="11">
        <f t="shared" si="3"/>
        <v>3</v>
      </c>
    </row>
    <row r="21" spans="1:7" x14ac:dyDescent="0.35">
      <c r="A21" s="10">
        <f>'Student Basic Info'!A21</f>
        <v>720</v>
      </c>
      <c r="B21" s="3"/>
      <c r="C21" s="3">
        <v>50</v>
      </c>
      <c r="D21" s="69">
        <f t="shared" si="0"/>
        <v>50</v>
      </c>
      <c r="E21" s="10" t="str">
        <f t="shared" si="1"/>
        <v>Pass</v>
      </c>
      <c r="F21" s="10" t="str">
        <f t="shared" si="2"/>
        <v>B</v>
      </c>
      <c r="G21" s="11">
        <f t="shared" si="3"/>
        <v>3</v>
      </c>
    </row>
    <row r="22" spans="1:7" x14ac:dyDescent="0.35">
      <c r="A22" s="10">
        <f>'Student Basic Info'!A22</f>
        <v>721</v>
      </c>
      <c r="B22" s="3"/>
      <c r="C22" s="3"/>
      <c r="D22" s="69" t="str">
        <f t="shared" si="0"/>
        <v/>
      </c>
      <c r="E22" s="10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10">
        <f>'Student Basic Info'!A23</f>
        <v>722</v>
      </c>
      <c r="B23" s="3"/>
      <c r="C23" s="3">
        <v>57</v>
      </c>
      <c r="D23" s="69">
        <f t="shared" si="0"/>
        <v>57</v>
      </c>
      <c r="E23" s="10" t="str">
        <f t="shared" si="1"/>
        <v>Pass</v>
      </c>
      <c r="F23" s="10" t="str">
        <f t="shared" si="2"/>
        <v>B</v>
      </c>
      <c r="G23" s="11">
        <f t="shared" si="3"/>
        <v>3</v>
      </c>
    </row>
    <row r="24" spans="1:7" x14ac:dyDescent="0.35">
      <c r="A24" s="10">
        <f>'Student Basic Info'!A24</f>
        <v>723</v>
      </c>
      <c r="B24" s="3"/>
      <c r="C24" s="3">
        <v>72</v>
      </c>
      <c r="D24" s="69">
        <f t="shared" si="0"/>
        <v>72</v>
      </c>
      <c r="E24" s="10" t="str">
        <f t="shared" si="1"/>
        <v>Pass</v>
      </c>
      <c r="F24" s="10" t="str">
        <f t="shared" si="2"/>
        <v>A</v>
      </c>
      <c r="G24" s="11">
        <f t="shared" si="3"/>
        <v>4</v>
      </c>
    </row>
    <row r="25" spans="1:7" x14ac:dyDescent="0.35">
      <c r="A25" s="10">
        <f>'Student Basic Info'!A25</f>
        <v>724</v>
      </c>
      <c r="B25" s="3"/>
      <c r="C25" s="3">
        <v>46</v>
      </c>
      <c r="D25" s="69">
        <f t="shared" si="0"/>
        <v>46</v>
      </c>
      <c r="E25" s="10" t="str">
        <f t="shared" si="1"/>
        <v>Pass</v>
      </c>
      <c r="F25" s="10" t="str">
        <f t="shared" si="2"/>
        <v>C</v>
      </c>
      <c r="G25" s="11">
        <f t="shared" si="3"/>
        <v>2</v>
      </c>
    </row>
    <row r="26" spans="1:7" x14ac:dyDescent="0.35">
      <c r="A26" s="10">
        <f>'Student Basic Info'!A26</f>
        <v>725</v>
      </c>
      <c r="B26" s="3"/>
      <c r="C26" s="3">
        <v>41</v>
      </c>
      <c r="D26" s="69">
        <f t="shared" si="0"/>
        <v>41</v>
      </c>
      <c r="E26" s="10" t="str">
        <f t="shared" si="1"/>
        <v>Pass</v>
      </c>
      <c r="F26" s="10" t="str">
        <f t="shared" si="2"/>
        <v>C</v>
      </c>
      <c r="G26" s="11">
        <f t="shared" si="3"/>
        <v>2</v>
      </c>
    </row>
    <row r="27" spans="1:7" x14ac:dyDescent="0.35">
      <c r="A27" s="10">
        <f>'Student Basic Info'!A27</f>
        <v>726</v>
      </c>
      <c r="B27" s="3"/>
      <c r="C27" s="3"/>
      <c r="D27" s="69" t="str">
        <f t="shared" si="0"/>
        <v/>
      </c>
      <c r="E27" s="10" t="str">
        <f t="shared" si="1"/>
        <v/>
      </c>
      <c r="F27" s="10" t="str">
        <f t="shared" si="2"/>
        <v/>
      </c>
      <c r="G27" s="11" t="str">
        <f t="shared" si="3"/>
        <v/>
      </c>
    </row>
    <row r="28" spans="1:7" x14ac:dyDescent="0.35">
      <c r="A28" s="10">
        <f>'Student Basic Info'!A28</f>
        <v>727</v>
      </c>
      <c r="B28" s="3"/>
      <c r="C28" s="3">
        <v>62</v>
      </c>
      <c r="D28" s="69">
        <f t="shared" si="0"/>
        <v>62</v>
      </c>
      <c r="E28" s="10" t="str">
        <f t="shared" si="1"/>
        <v>Pass</v>
      </c>
      <c r="F28" s="10" t="str">
        <f t="shared" si="2"/>
        <v>A-</v>
      </c>
      <c r="G28" s="11">
        <f t="shared" si="3"/>
        <v>3.5</v>
      </c>
    </row>
    <row r="29" spans="1:7" x14ac:dyDescent="0.35">
      <c r="A29" s="10">
        <f>'Student Basic Info'!A29</f>
        <v>728</v>
      </c>
      <c r="B29" s="3"/>
      <c r="C29" s="3">
        <v>40</v>
      </c>
      <c r="D29" s="69">
        <f t="shared" si="0"/>
        <v>40</v>
      </c>
      <c r="E29" s="10" t="str">
        <f t="shared" si="1"/>
        <v>Pass</v>
      </c>
      <c r="F29" s="10" t="str">
        <f t="shared" si="2"/>
        <v>C</v>
      </c>
      <c r="G29" s="11">
        <f t="shared" si="3"/>
        <v>2</v>
      </c>
    </row>
    <row r="30" spans="1:7" x14ac:dyDescent="0.35">
      <c r="A30" s="10">
        <f>'Student Basic Info'!A30</f>
        <v>729</v>
      </c>
      <c r="B30" s="3"/>
      <c r="C30" s="3">
        <v>35</v>
      </c>
      <c r="D30" s="69">
        <f t="shared" si="0"/>
        <v>35</v>
      </c>
      <c r="E30" s="10" t="str">
        <f t="shared" si="1"/>
        <v>Pass</v>
      </c>
      <c r="F30" s="10" t="str">
        <f t="shared" si="2"/>
        <v>D</v>
      </c>
      <c r="G30" s="11">
        <f t="shared" si="3"/>
        <v>1</v>
      </c>
    </row>
    <row r="31" spans="1:7" x14ac:dyDescent="0.35">
      <c r="A31" s="10">
        <f>'Student Basic Info'!A31</f>
        <v>730</v>
      </c>
      <c r="B31" s="3"/>
      <c r="C31" s="3">
        <v>36</v>
      </c>
      <c r="D31" s="69">
        <f t="shared" si="0"/>
        <v>36</v>
      </c>
      <c r="E31" s="10" t="str">
        <f t="shared" si="1"/>
        <v>Pass</v>
      </c>
      <c r="F31" s="10" t="str">
        <f t="shared" si="2"/>
        <v>D</v>
      </c>
      <c r="G31" s="11">
        <f t="shared" si="3"/>
        <v>1</v>
      </c>
    </row>
    <row r="32" spans="1:7" x14ac:dyDescent="0.35">
      <c r="A32" s="10">
        <f>'Student Basic Info'!A32</f>
        <v>731</v>
      </c>
      <c r="B32" s="3"/>
      <c r="C32" s="3">
        <v>51</v>
      </c>
      <c r="D32" s="69">
        <f t="shared" si="0"/>
        <v>51</v>
      </c>
      <c r="E32" s="10" t="str">
        <f t="shared" si="1"/>
        <v>Pass</v>
      </c>
      <c r="F32" s="10" t="str">
        <f t="shared" si="2"/>
        <v>B</v>
      </c>
      <c r="G32" s="11">
        <f t="shared" si="3"/>
        <v>3</v>
      </c>
    </row>
    <row r="33" spans="1:7" x14ac:dyDescent="0.35">
      <c r="A33" s="10">
        <f>'Student Basic Info'!A33</f>
        <v>732</v>
      </c>
      <c r="B33" s="3"/>
      <c r="C33" s="3">
        <v>33</v>
      </c>
      <c r="D33" s="69">
        <f t="shared" si="0"/>
        <v>33</v>
      </c>
      <c r="E33" s="10" t="str">
        <f t="shared" si="1"/>
        <v>Pass</v>
      </c>
      <c r="F33" s="10" t="str">
        <f t="shared" si="2"/>
        <v>D</v>
      </c>
      <c r="G33" s="11">
        <f t="shared" si="3"/>
        <v>1</v>
      </c>
    </row>
    <row r="34" spans="1:7" x14ac:dyDescent="0.35">
      <c r="A34" s="10">
        <f>'Student Basic Info'!A34</f>
        <v>733</v>
      </c>
      <c r="B34" s="3"/>
      <c r="C34" s="3">
        <v>45</v>
      </c>
      <c r="D34" s="69">
        <f t="shared" si="0"/>
        <v>45</v>
      </c>
      <c r="E34" s="10" t="str">
        <f t="shared" si="1"/>
        <v>Pass</v>
      </c>
      <c r="F34" s="10" t="str">
        <f t="shared" si="2"/>
        <v>C</v>
      </c>
      <c r="G34" s="11">
        <f t="shared" si="3"/>
        <v>2</v>
      </c>
    </row>
    <row r="35" spans="1:7" x14ac:dyDescent="0.35">
      <c r="A35" s="10">
        <f>'Student Basic Info'!A35</f>
        <v>734</v>
      </c>
      <c r="B35" s="3"/>
      <c r="C35" s="3">
        <v>52</v>
      </c>
      <c r="D35" s="69">
        <f t="shared" si="0"/>
        <v>52</v>
      </c>
      <c r="E35" s="10" t="str">
        <f t="shared" si="1"/>
        <v>Pass</v>
      </c>
      <c r="F35" s="10" t="str">
        <f t="shared" si="2"/>
        <v>B</v>
      </c>
      <c r="G35" s="11">
        <f t="shared" si="3"/>
        <v>3</v>
      </c>
    </row>
    <row r="36" spans="1:7" x14ac:dyDescent="0.35">
      <c r="A36" s="10">
        <f>'Student Basic Info'!A36</f>
        <v>735</v>
      </c>
      <c r="B36" s="3"/>
      <c r="C36" s="3">
        <v>50</v>
      </c>
      <c r="D36" s="69">
        <f t="shared" si="0"/>
        <v>50</v>
      </c>
      <c r="E36" s="10" t="str">
        <f t="shared" si="1"/>
        <v>Pass</v>
      </c>
      <c r="F36" s="10" t="str">
        <f t="shared" si="2"/>
        <v>B</v>
      </c>
      <c r="G36" s="11">
        <f t="shared" si="3"/>
        <v>3</v>
      </c>
    </row>
    <row r="37" spans="1:7" x14ac:dyDescent="0.35">
      <c r="A37" s="10">
        <f>'Student Basic Info'!A37</f>
        <v>736</v>
      </c>
      <c r="B37" s="3"/>
      <c r="C37" s="3">
        <v>40</v>
      </c>
      <c r="D37" s="69">
        <f t="shared" si="0"/>
        <v>40</v>
      </c>
      <c r="E37" s="10" t="str">
        <f t="shared" si="1"/>
        <v>Pass</v>
      </c>
      <c r="F37" s="10" t="str">
        <f t="shared" si="2"/>
        <v>C</v>
      </c>
      <c r="G37" s="11">
        <f t="shared" si="3"/>
        <v>2</v>
      </c>
    </row>
    <row r="38" spans="1:7" x14ac:dyDescent="0.35">
      <c r="A38" s="10">
        <f>'Student Basic Info'!A38</f>
        <v>737</v>
      </c>
      <c r="B38" s="3"/>
      <c r="C38" s="3">
        <v>57</v>
      </c>
      <c r="D38" s="69">
        <f t="shared" si="0"/>
        <v>57</v>
      </c>
      <c r="E38" s="10" t="str">
        <f t="shared" si="1"/>
        <v>Pass</v>
      </c>
      <c r="F38" s="10" t="str">
        <f t="shared" si="2"/>
        <v>B</v>
      </c>
      <c r="G38" s="11">
        <f t="shared" si="3"/>
        <v>3</v>
      </c>
    </row>
    <row r="39" spans="1:7" x14ac:dyDescent="0.35">
      <c r="A39" s="10">
        <f>'Student Basic Info'!A39</f>
        <v>738</v>
      </c>
      <c r="B39" s="3"/>
      <c r="C39" s="3">
        <v>54</v>
      </c>
      <c r="D39" s="69">
        <f t="shared" si="0"/>
        <v>54</v>
      </c>
      <c r="E39" s="10" t="str">
        <f t="shared" si="1"/>
        <v>Pass</v>
      </c>
      <c r="F39" s="10" t="str">
        <f t="shared" si="2"/>
        <v>B</v>
      </c>
      <c r="G39" s="11">
        <f t="shared" si="3"/>
        <v>3</v>
      </c>
    </row>
    <row r="40" spans="1:7" x14ac:dyDescent="0.35">
      <c r="A40" s="10">
        <f>'Student Basic Info'!A40</f>
        <v>739</v>
      </c>
      <c r="B40" s="3"/>
      <c r="C40" s="3">
        <v>52</v>
      </c>
      <c r="D40" s="69">
        <f t="shared" si="0"/>
        <v>52</v>
      </c>
      <c r="E40" s="10" t="str">
        <f t="shared" si="1"/>
        <v>Pass</v>
      </c>
      <c r="F40" s="10" t="str">
        <f t="shared" si="2"/>
        <v>B</v>
      </c>
      <c r="G40" s="11">
        <f t="shared" si="3"/>
        <v>3</v>
      </c>
    </row>
    <row r="41" spans="1:7" x14ac:dyDescent="0.35">
      <c r="A41" s="10">
        <f>'Student Basic Info'!A41</f>
        <v>740</v>
      </c>
      <c r="B41" s="3"/>
      <c r="C41" s="3">
        <v>60</v>
      </c>
      <c r="D41" s="69">
        <f t="shared" si="0"/>
        <v>60</v>
      </c>
      <c r="E41" s="10" t="str">
        <f t="shared" si="1"/>
        <v>Pass</v>
      </c>
      <c r="F41" s="10" t="str">
        <f t="shared" si="2"/>
        <v>A-</v>
      </c>
      <c r="G41" s="11">
        <f t="shared" si="3"/>
        <v>3.5</v>
      </c>
    </row>
    <row r="42" spans="1:7" x14ac:dyDescent="0.35">
      <c r="A42" s="10">
        <f>'Student Basic Info'!A42</f>
        <v>741</v>
      </c>
      <c r="B42" s="3"/>
      <c r="C42" s="3">
        <v>60</v>
      </c>
      <c r="D42" s="69">
        <f t="shared" si="0"/>
        <v>60</v>
      </c>
      <c r="E42" s="10" t="str">
        <f t="shared" si="1"/>
        <v>Pass</v>
      </c>
      <c r="F42" s="10" t="str">
        <f t="shared" si="2"/>
        <v>A-</v>
      </c>
      <c r="G42" s="11">
        <f t="shared" si="3"/>
        <v>3.5</v>
      </c>
    </row>
    <row r="43" spans="1:7" x14ac:dyDescent="0.35">
      <c r="A43" s="10">
        <f>'Student Basic Info'!A43</f>
        <v>742</v>
      </c>
      <c r="B43" s="3"/>
      <c r="C43" s="3"/>
      <c r="D43" s="69" t="str">
        <f t="shared" si="0"/>
        <v/>
      </c>
      <c r="E43" s="10" t="str">
        <f t="shared" si="1"/>
        <v/>
      </c>
      <c r="F43" s="10" t="str">
        <f t="shared" si="2"/>
        <v/>
      </c>
      <c r="G43" s="11" t="str">
        <f t="shared" si="3"/>
        <v/>
      </c>
    </row>
    <row r="44" spans="1:7" x14ac:dyDescent="0.35">
      <c r="A44" s="10">
        <f>'Student Basic Info'!A44</f>
        <v>743</v>
      </c>
      <c r="B44" s="3"/>
      <c r="C44" s="3">
        <v>21</v>
      </c>
      <c r="D44" s="69">
        <f t="shared" si="0"/>
        <v>21</v>
      </c>
      <c r="E44" s="10" t="str">
        <f t="shared" si="1"/>
        <v>Fail</v>
      </c>
      <c r="F44" s="10" t="str">
        <f t="shared" si="2"/>
        <v>F</v>
      </c>
      <c r="G44" s="11">
        <f t="shared" si="3"/>
        <v>0</v>
      </c>
    </row>
    <row r="45" spans="1:7" x14ac:dyDescent="0.35">
      <c r="A45" s="10">
        <f>'Student Basic Info'!A45</f>
        <v>744</v>
      </c>
      <c r="B45" s="3"/>
      <c r="C45" s="3">
        <v>25</v>
      </c>
      <c r="D45" s="69">
        <f t="shared" si="0"/>
        <v>25</v>
      </c>
      <c r="E45" s="10" t="str">
        <f t="shared" si="1"/>
        <v>Fail</v>
      </c>
      <c r="F45" s="10" t="str">
        <f t="shared" si="2"/>
        <v>F</v>
      </c>
      <c r="G45" s="11">
        <f t="shared" si="3"/>
        <v>0</v>
      </c>
    </row>
    <row r="46" spans="1:7" x14ac:dyDescent="0.35">
      <c r="A46" s="10">
        <f>'Student Basic Info'!A46</f>
        <v>745</v>
      </c>
      <c r="B46" s="3"/>
      <c r="C46" s="3">
        <v>75</v>
      </c>
      <c r="D46" s="69">
        <f t="shared" si="0"/>
        <v>75</v>
      </c>
      <c r="E46" s="10" t="str">
        <f t="shared" si="1"/>
        <v>Pass</v>
      </c>
      <c r="F46" s="10" t="str">
        <f t="shared" si="2"/>
        <v>A</v>
      </c>
      <c r="G46" s="11">
        <f t="shared" si="3"/>
        <v>4</v>
      </c>
    </row>
    <row r="47" spans="1:7" x14ac:dyDescent="0.35">
      <c r="A47" s="10">
        <f>'Student Basic Info'!A47</f>
        <v>746</v>
      </c>
      <c r="B47" s="3"/>
      <c r="C47" s="3">
        <v>60</v>
      </c>
      <c r="D47" s="69">
        <f t="shared" si="0"/>
        <v>60</v>
      </c>
      <c r="E47" s="10" t="str">
        <f t="shared" si="1"/>
        <v>Pass</v>
      </c>
      <c r="F47" s="10" t="str">
        <f t="shared" si="2"/>
        <v>A-</v>
      </c>
      <c r="G47" s="11">
        <f t="shared" si="3"/>
        <v>3.5</v>
      </c>
    </row>
    <row r="48" spans="1:7" x14ac:dyDescent="0.35">
      <c r="A48" s="10">
        <f>'Student Basic Info'!A48</f>
        <v>747</v>
      </c>
      <c r="B48" s="3"/>
      <c r="C48" s="3">
        <v>40</v>
      </c>
      <c r="D48" s="69">
        <f t="shared" si="0"/>
        <v>40</v>
      </c>
      <c r="E48" s="10" t="str">
        <f t="shared" si="1"/>
        <v>Pass</v>
      </c>
      <c r="F48" s="10" t="str">
        <f t="shared" si="2"/>
        <v>C</v>
      </c>
      <c r="G48" s="11">
        <f t="shared" si="3"/>
        <v>2</v>
      </c>
    </row>
    <row r="49" spans="1:7" x14ac:dyDescent="0.35">
      <c r="A49" s="10">
        <f>'Student Basic Info'!A49</f>
        <v>748</v>
      </c>
      <c r="B49" s="3"/>
      <c r="C49" s="3">
        <v>40</v>
      </c>
      <c r="D49" s="69">
        <f t="shared" si="0"/>
        <v>40</v>
      </c>
      <c r="E49" s="10" t="str">
        <f t="shared" si="1"/>
        <v>Pass</v>
      </c>
      <c r="F49" s="10" t="str">
        <f t="shared" si="2"/>
        <v>C</v>
      </c>
      <c r="G49" s="11">
        <f t="shared" si="3"/>
        <v>2</v>
      </c>
    </row>
    <row r="50" spans="1:7" x14ac:dyDescent="0.35">
      <c r="A50" s="10">
        <f>'Student Basic Info'!A50</f>
        <v>749</v>
      </c>
      <c r="B50" s="3"/>
      <c r="C50" s="3">
        <v>35</v>
      </c>
      <c r="D50" s="69">
        <f t="shared" si="0"/>
        <v>35</v>
      </c>
      <c r="E50" s="10" t="str">
        <f t="shared" si="1"/>
        <v>Pass</v>
      </c>
      <c r="F50" s="10" t="str">
        <f t="shared" si="2"/>
        <v>D</v>
      </c>
      <c r="G50" s="11">
        <f t="shared" si="3"/>
        <v>1</v>
      </c>
    </row>
    <row r="51" spans="1:7" x14ac:dyDescent="0.35">
      <c r="A51" s="10">
        <f>'Student Basic Info'!A51</f>
        <v>750</v>
      </c>
      <c r="B51" s="3"/>
      <c r="C51" s="3"/>
      <c r="D51" s="69" t="str">
        <f t="shared" si="0"/>
        <v/>
      </c>
      <c r="E51" s="10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10">
        <f>'Student Basic Info'!A52</f>
        <v>751</v>
      </c>
      <c r="B52" s="3"/>
      <c r="C52" s="3">
        <v>40</v>
      </c>
      <c r="D52" s="69">
        <f t="shared" si="0"/>
        <v>40</v>
      </c>
      <c r="E52" s="10" t="str">
        <f t="shared" si="1"/>
        <v>Pass</v>
      </c>
      <c r="F52" s="10" t="str">
        <f t="shared" si="2"/>
        <v>C</v>
      </c>
      <c r="G52" s="11">
        <f t="shared" si="3"/>
        <v>2</v>
      </c>
    </row>
    <row r="53" spans="1:7" x14ac:dyDescent="0.35">
      <c r="A53" s="10">
        <f>'Student Basic Info'!A53</f>
        <v>752</v>
      </c>
      <c r="B53" s="3"/>
      <c r="C53" s="3"/>
      <c r="D53" s="69" t="str">
        <f t="shared" si="0"/>
        <v/>
      </c>
      <c r="E53" s="10" t="str">
        <f t="shared" si="1"/>
        <v/>
      </c>
      <c r="F53" s="10" t="str">
        <f t="shared" si="2"/>
        <v/>
      </c>
      <c r="G53" s="11" t="str">
        <f t="shared" si="3"/>
        <v/>
      </c>
    </row>
    <row r="54" spans="1:7" x14ac:dyDescent="0.35">
      <c r="A54" s="10">
        <f>'Student Basic Info'!A54</f>
        <v>753</v>
      </c>
      <c r="B54" s="3"/>
      <c r="C54" s="3">
        <v>19</v>
      </c>
      <c r="D54" s="69">
        <f t="shared" si="0"/>
        <v>19</v>
      </c>
      <c r="E54" s="10" t="str">
        <f t="shared" si="1"/>
        <v>Fail</v>
      </c>
      <c r="F54" s="10" t="str">
        <f t="shared" si="2"/>
        <v>F</v>
      </c>
      <c r="G54" s="11">
        <f t="shared" si="3"/>
        <v>0</v>
      </c>
    </row>
    <row r="55" spans="1:7" x14ac:dyDescent="0.35">
      <c r="A55" s="10">
        <f>'Student Basic Info'!A55</f>
        <v>754</v>
      </c>
      <c r="B55" s="3"/>
      <c r="C55" s="3">
        <v>53</v>
      </c>
      <c r="D55" s="69">
        <f t="shared" si="0"/>
        <v>53</v>
      </c>
      <c r="E55" s="10" t="str">
        <f t="shared" si="1"/>
        <v>Pass</v>
      </c>
      <c r="F55" s="10" t="str">
        <f t="shared" si="2"/>
        <v>B</v>
      </c>
      <c r="G55" s="11">
        <f t="shared" si="3"/>
        <v>3</v>
      </c>
    </row>
    <row r="56" spans="1:7" x14ac:dyDescent="0.35">
      <c r="A56" s="10">
        <f>'Student Basic Info'!A56</f>
        <v>755</v>
      </c>
      <c r="B56" s="3"/>
      <c r="C56" s="3">
        <v>16</v>
      </c>
      <c r="D56" s="69">
        <f t="shared" si="0"/>
        <v>16</v>
      </c>
      <c r="E56" s="10" t="str">
        <f t="shared" si="1"/>
        <v>Fail</v>
      </c>
      <c r="F56" s="10" t="str">
        <f t="shared" si="2"/>
        <v>F</v>
      </c>
      <c r="G56" s="11">
        <f t="shared" si="3"/>
        <v>0</v>
      </c>
    </row>
    <row r="57" spans="1:7" x14ac:dyDescent="0.35">
      <c r="A57" s="10">
        <f>'Student Basic Info'!A57</f>
        <v>756</v>
      </c>
      <c r="B57" s="3"/>
      <c r="C57" s="3">
        <v>50</v>
      </c>
      <c r="D57" s="69">
        <f t="shared" si="0"/>
        <v>50</v>
      </c>
      <c r="E57" s="10" t="str">
        <f t="shared" si="1"/>
        <v>Pass</v>
      </c>
      <c r="F57" s="10" t="str">
        <f t="shared" si="2"/>
        <v>B</v>
      </c>
      <c r="G57" s="11">
        <f t="shared" si="3"/>
        <v>3</v>
      </c>
    </row>
    <row r="58" spans="1:7" x14ac:dyDescent="0.35">
      <c r="A58" s="10">
        <f>'Student Basic Info'!A58</f>
        <v>757</v>
      </c>
      <c r="B58" s="3"/>
      <c r="C58" s="142">
        <v>17</v>
      </c>
      <c r="D58" s="69">
        <f t="shared" si="0"/>
        <v>17</v>
      </c>
      <c r="E58" s="10" t="str">
        <f t="shared" si="1"/>
        <v>Fail</v>
      </c>
      <c r="F58" s="10" t="str">
        <f t="shared" si="2"/>
        <v>F</v>
      </c>
      <c r="G58" s="11">
        <f t="shared" si="3"/>
        <v>0</v>
      </c>
    </row>
    <row r="59" spans="1:7" x14ac:dyDescent="0.35">
      <c r="A59" s="10">
        <f>'Student Basic Info'!A59</f>
        <v>758</v>
      </c>
      <c r="B59" s="3"/>
      <c r="C59" s="3">
        <v>33</v>
      </c>
      <c r="D59" s="69">
        <f t="shared" si="0"/>
        <v>33</v>
      </c>
      <c r="E59" s="10" t="str">
        <f t="shared" si="1"/>
        <v>Pass</v>
      </c>
      <c r="F59" s="10" t="str">
        <f t="shared" si="2"/>
        <v>D</v>
      </c>
      <c r="G59" s="11">
        <f t="shared" si="3"/>
        <v>1</v>
      </c>
    </row>
    <row r="60" spans="1:7" x14ac:dyDescent="0.35">
      <c r="A60" s="10">
        <f>'Student Basic Info'!A60</f>
        <v>759</v>
      </c>
      <c r="B60" s="3"/>
      <c r="C60" s="3">
        <v>63</v>
      </c>
      <c r="D60" s="69">
        <f t="shared" si="0"/>
        <v>63</v>
      </c>
      <c r="E60" s="10" t="str">
        <f t="shared" si="1"/>
        <v>Pass</v>
      </c>
      <c r="F60" s="10" t="str">
        <f t="shared" si="2"/>
        <v>A-</v>
      </c>
      <c r="G60" s="11">
        <f t="shared" si="3"/>
        <v>3.5</v>
      </c>
    </row>
    <row r="61" spans="1:7" x14ac:dyDescent="0.35">
      <c r="A61" s="10">
        <f>'Student Basic Info'!A61</f>
        <v>760</v>
      </c>
      <c r="B61" s="3"/>
      <c r="C61" s="3">
        <v>37</v>
      </c>
      <c r="D61" s="69">
        <f t="shared" si="0"/>
        <v>37</v>
      </c>
      <c r="E61" s="10" t="str">
        <f t="shared" si="1"/>
        <v>Pass</v>
      </c>
      <c r="F61" s="10" t="str">
        <f t="shared" si="2"/>
        <v>D</v>
      </c>
      <c r="G61" s="11">
        <f t="shared" si="3"/>
        <v>1</v>
      </c>
    </row>
    <row r="62" spans="1:7" x14ac:dyDescent="0.35">
      <c r="A62" s="10">
        <f>'Student Basic Info'!A62</f>
        <v>761</v>
      </c>
      <c r="B62" s="3"/>
      <c r="C62" s="3">
        <v>33</v>
      </c>
      <c r="D62" s="69">
        <f t="shared" si="0"/>
        <v>33</v>
      </c>
      <c r="E62" s="10" t="str">
        <f t="shared" si="1"/>
        <v>Pass</v>
      </c>
      <c r="F62" s="10" t="str">
        <f t="shared" si="2"/>
        <v>D</v>
      </c>
      <c r="G62" s="11">
        <f t="shared" si="3"/>
        <v>1</v>
      </c>
    </row>
    <row r="63" spans="1:7" x14ac:dyDescent="0.35">
      <c r="A63" s="10">
        <f>'Student Basic Info'!A63</f>
        <v>762</v>
      </c>
      <c r="B63" s="3"/>
      <c r="C63" s="3">
        <v>35</v>
      </c>
      <c r="D63" s="69">
        <f t="shared" si="0"/>
        <v>35</v>
      </c>
      <c r="E63" s="10" t="str">
        <f t="shared" si="1"/>
        <v>Pass</v>
      </c>
      <c r="F63" s="10" t="str">
        <f t="shared" si="2"/>
        <v>D</v>
      </c>
      <c r="G63" s="11">
        <f t="shared" si="3"/>
        <v>1</v>
      </c>
    </row>
    <row r="64" spans="1:7" x14ac:dyDescent="0.35">
      <c r="A64" s="10">
        <f>'Student Basic Info'!A64</f>
        <v>763</v>
      </c>
      <c r="B64" s="3"/>
      <c r="C64" s="3">
        <v>50</v>
      </c>
      <c r="D64" s="69">
        <f t="shared" si="0"/>
        <v>50</v>
      </c>
      <c r="E64" s="10" t="str">
        <f t="shared" si="1"/>
        <v>Pass</v>
      </c>
      <c r="F64" s="10" t="str">
        <f t="shared" si="2"/>
        <v>B</v>
      </c>
      <c r="G64" s="11">
        <f t="shared" si="3"/>
        <v>3</v>
      </c>
    </row>
    <row r="65" spans="1:7" x14ac:dyDescent="0.35">
      <c r="A65" s="10">
        <f>'Student Basic Info'!A65</f>
        <v>764</v>
      </c>
      <c r="B65" s="3"/>
      <c r="C65" s="3">
        <v>27</v>
      </c>
      <c r="D65" s="69">
        <f t="shared" si="0"/>
        <v>27</v>
      </c>
      <c r="E65" s="10" t="str">
        <f t="shared" si="1"/>
        <v>Fail</v>
      </c>
      <c r="F65" s="10" t="str">
        <f t="shared" si="2"/>
        <v>F</v>
      </c>
      <c r="G65" s="11">
        <f t="shared" si="3"/>
        <v>0</v>
      </c>
    </row>
    <row r="66" spans="1:7" x14ac:dyDescent="0.35">
      <c r="A66" s="10">
        <f>'Student Basic Info'!A66</f>
        <v>765</v>
      </c>
      <c r="B66" s="3"/>
      <c r="C66" s="3">
        <v>56</v>
      </c>
      <c r="D66" s="69">
        <f t="shared" ref="D66:D88" si="4">IF(B66+C66=0, "", B66+C66)</f>
        <v>56</v>
      </c>
      <c r="E66" s="10" t="str">
        <f t="shared" si="1"/>
        <v>Pass</v>
      </c>
      <c r="F66" s="10" t="str">
        <f t="shared" si="2"/>
        <v>B</v>
      </c>
      <c r="G66" s="11">
        <f t="shared" si="3"/>
        <v>3</v>
      </c>
    </row>
    <row r="67" spans="1:7" x14ac:dyDescent="0.35">
      <c r="A67" s="10">
        <f>'Student Basic Info'!A67</f>
        <v>766</v>
      </c>
      <c r="B67" s="3"/>
      <c r="C67" s="3">
        <v>56</v>
      </c>
      <c r="D67" s="69">
        <f t="shared" si="4"/>
        <v>56</v>
      </c>
      <c r="E67" s="10" t="str">
        <f t="shared" ref="E67:E88" si="5">IF(D67="","", IF(C67&gt;=33,"Pass","Fail"))</f>
        <v>Pass</v>
      </c>
      <c r="F67" s="10" t="str">
        <f t="shared" ref="F67:F88" si="6">(IF(D67="","",IF(E67="Fail","F",IF(D67&gt;=80,"A+",IF(D67&gt;=70,"A",IF(D67&gt;=60,"A-",IF(D67&gt;=50,"B",IF(D67&gt;=40,"C",IF(D67&gt;=33,"D","F")))))))))</f>
        <v>B</v>
      </c>
      <c r="G67" s="11">
        <f t="shared" ref="G67:G88" si="7">(IF(D67="","",IF(F67="F",0,IF(D67&gt;=80,5,IF(D67&gt;=70,4,IF(D67&gt;=60,3.5,IF(D67&gt;=50,3,IF(D67&gt;=40,2,IF(D67&gt;=33,1,0)))))))))</f>
        <v>3</v>
      </c>
    </row>
    <row r="68" spans="1:7" x14ac:dyDescent="0.35">
      <c r="A68" s="10">
        <f>'Student Basic Info'!A68</f>
        <v>767</v>
      </c>
      <c r="B68" s="3"/>
      <c r="C68" s="3">
        <v>61</v>
      </c>
      <c r="D68" s="69">
        <f t="shared" si="4"/>
        <v>61</v>
      </c>
      <c r="E68" s="10" t="str">
        <f t="shared" si="5"/>
        <v>Pass</v>
      </c>
      <c r="F68" s="10" t="str">
        <f t="shared" si="6"/>
        <v>A-</v>
      </c>
      <c r="G68" s="11">
        <f t="shared" si="7"/>
        <v>3.5</v>
      </c>
    </row>
    <row r="69" spans="1:7" x14ac:dyDescent="0.35">
      <c r="A69" s="10">
        <f>'Student Basic Info'!A69</f>
        <v>768</v>
      </c>
      <c r="B69" s="3"/>
      <c r="C69" s="3">
        <v>46</v>
      </c>
      <c r="D69" s="69">
        <f t="shared" si="4"/>
        <v>46</v>
      </c>
      <c r="E69" s="10" t="str">
        <f t="shared" si="5"/>
        <v>Pass</v>
      </c>
      <c r="F69" s="10" t="str">
        <f t="shared" si="6"/>
        <v>C</v>
      </c>
      <c r="G69" s="11">
        <f t="shared" si="7"/>
        <v>2</v>
      </c>
    </row>
    <row r="70" spans="1:7" x14ac:dyDescent="0.35">
      <c r="A70" s="10">
        <f>'Student Basic Info'!A70</f>
        <v>769</v>
      </c>
      <c r="B70" s="3"/>
      <c r="C70" s="3"/>
      <c r="D70" s="69" t="str">
        <f t="shared" si="4"/>
        <v/>
      </c>
      <c r="E70" s="10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10">
        <f>'Student Basic Info'!A71</f>
        <v>770</v>
      </c>
      <c r="B71" s="3"/>
      <c r="C71" s="3">
        <v>22</v>
      </c>
      <c r="D71" s="69">
        <f t="shared" si="4"/>
        <v>22</v>
      </c>
      <c r="E71" s="10" t="str">
        <f t="shared" si="5"/>
        <v>Fail</v>
      </c>
      <c r="F71" s="10" t="str">
        <f t="shared" si="6"/>
        <v>F</v>
      </c>
      <c r="G71" s="11">
        <f t="shared" si="7"/>
        <v>0</v>
      </c>
    </row>
    <row r="72" spans="1:7" x14ac:dyDescent="0.35">
      <c r="A72" s="10">
        <f>'Student Basic Info'!A72</f>
        <v>771</v>
      </c>
      <c r="B72" s="3"/>
      <c r="C72" s="3"/>
      <c r="D72" s="69" t="str">
        <f t="shared" si="4"/>
        <v/>
      </c>
      <c r="E72" s="10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10">
        <f>'Student Basic Info'!A73</f>
        <v>772</v>
      </c>
      <c r="B73" s="3"/>
      <c r="C73" s="3">
        <v>23</v>
      </c>
      <c r="D73" s="69">
        <f t="shared" si="4"/>
        <v>23</v>
      </c>
      <c r="E73" s="10" t="str">
        <f t="shared" si="5"/>
        <v>Fail</v>
      </c>
      <c r="F73" s="10" t="str">
        <f t="shared" si="6"/>
        <v>F</v>
      </c>
      <c r="G73" s="11">
        <f t="shared" si="7"/>
        <v>0</v>
      </c>
    </row>
    <row r="74" spans="1:7" x14ac:dyDescent="0.35">
      <c r="A74" s="10">
        <f>'Student Basic Info'!A74</f>
        <v>773</v>
      </c>
      <c r="B74" s="3"/>
      <c r="C74" s="3">
        <v>20</v>
      </c>
      <c r="D74" s="69">
        <f t="shared" si="4"/>
        <v>20</v>
      </c>
      <c r="E74" s="10" t="str">
        <f t="shared" si="5"/>
        <v>Fail</v>
      </c>
      <c r="F74" s="10" t="str">
        <f t="shared" si="6"/>
        <v>F</v>
      </c>
      <c r="G74" s="11">
        <f t="shared" si="7"/>
        <v>0</v>
      </c>
    </row>
    <row r="75" spans="1:7" x14ac:dyDescent="0.35">
      <c r="A75" s="10">
        <f>'Student Basic Info'!A75</f>
        <v>774</v>
      </c>
      <c r="B75" s="3"/>
      <c r="C75" s="3">
        <v>67</v>
      </c>
      <c r="D75" s="69">
        <f t="shared" si="4"/>
        <v>67</v>
      </c>
      <c r="E75" s="10" t="str">
        <f t="shared" si="5"/>
        <v>Pass</v>
      </c>
      <c r="F75" s="10" t="str">
        <f t="shared" si="6"/>
        <v>A-</v>
      </c>
      <c r="G75" s="11">
        <f t="shared" si="7"/>
        <v>3.5</v>
      </c>
    </row>
    <row r="76" spans="1:7" x14ac:dyDescent="0.35">
      <c r="A76" s="10">
        <f>'Student Basic Info'!A76</f>
        <v>775</v>
      </c>
      <c r="B76" s="3"/>
      <c r="C76" s="3">
        <v>26</v>
      </c>
      <c r="D76" s="69">
        <f t="shared" si="4"/>
        <v>26</v>
      </c>
      <c r="E76" s="10" t="str">
        <f t="shared" si="5"/>
        <v>Fail</v>
      </c>
      <c r="F76" s="10" t="str">
        <f t="shared" si="6"/>
        <v>F</v>
      </c>
      <c r="G76" s="11">
        <f t="shared" si="7"/>
        <v>0</v>
      </c>
    </row>
    <row r="77" spans="1:7" x14ac:dyDescent="0.35">
      <c r="A77" s="10">
        <f>'Student Basic Info'!A77</f>
        <v>776</v>
      </c>
      <c r="B77" s="3"/>
      <c r="C77" s="3">
        <v>17</v>
      </c>
      <c r="D77" s="69">
        <f t="shared" si="4"/>
        <v>17</v>
      </c>
      <c r="E77" s="10" t="str">
        <f t="shared" si="5"/>
        <v>Fail</v>
      </c>
      <c r="F77" s="10" t="str">
        <f t="shared" si="6"/>
        <v>F</v>
      </c>
      <c r="G77" s="11">
        <f t="shared" si="7"/>
        <v>0</v>
      </c>
    </row>
    <row r="78" spans="1:7" x14ac:dyDescent="0.35">
      <c r="A78" s="10">
        <f>'Student Basic Info'!A78</f>
        <v>777</v>
      </c>
      <c r="B78" s="3"/>
      <c r="C78" s="3"/>
      <c r="D78" s="69" t="str">
        <f t="shared" si="4"/>
        <v/>
      </c>
      <c r="E78" s="10" t="str">
        <f t="shared" si="5"/>
        <v/>
      </c>
      <c r="F78" s="10" t="str">
        <f t="shared" si="6"/>
        <v/>
      </c>
      <c r="G78" s="11" t="str">
        <f t="shared" si="7"/>
        <v/>
      </c>
    </row>
    <row r="79" spans="1:7" x14ac:dyDescent="0.35">
      <c r="A79" s="10">
        <f>'Student Basic Info'!A79</f>
        <v>778</v>
      </c>
      <c r="B79" s="3"/>
      <c r="C79" s="3"/>
      <c r="D79" s="69" t="str">
        <f t="shared" si="4"/>
        <v/>
      </c>
      <c r="E79" s="10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10">
        <f>'Student Basic Info'!A80</f>
        <v>779</v>
      </c>
      <c r="B80" s="3"/>
      <c r="C80" s="3">
        <v>26</v>
      </c>
      <c r="D80" s="69">
        <f t="shared" si="4"/>
        <v>26</v>
      </c>
      <c r="E80" s="10" t="str">
        <f t="shared" si="5"/>
        <v>Fail</v>
      </c>
      <c r="F80" s="10" t="str">
        <f t="shared" si="6"/>
        <v>F</v>
      </c>
      <c r="G80" s="11">
        <f t="shared" si="7"/>
        <v>0</v>
      </c>
    </row>
    <row r="81" spans="1:7" x14ac:dyDescent="0.35">
      <c r="A81" s="10">
        <f>'Student Basic Info'!A81</f>
        <v>780</v>
      </c>
      <c r="B81" s="3"/>
      <c r="C81" s="3">
        <v>41</v>
      </c>
      <c r="D81" s="69">
        <f t="shared" si="4"/>
        <v>41</v>
      </c>
      <c r="E81" s="10" t="str">
        <f t="shared" si="5"/>
        <v>Pass</v>
      </c>
      <c r="F81" s="10" t="str">
        <f t="shared" si="6"/>
        <v>C</v>
      </c>
      <c r="G81" s="11">
        <f t="shared" si="7"/>
        <v>2</v>
      </c>
    </row>
    <row r="82" spans="1:7" x14ac:dyDescent="0.35">
      <c r="A82" s="10">
        <f>'Student Basic Info'!A82</f>
        <v>781</v>
      </c>
      <c r="B82" s="3"/>
      <c r="C82" s="3"/>
      <c r="D82" s="69" t="str">
        <f t="shared" si="4"/>
        <v/>
      </c>
      <c r="E82" s="10" t="str">
        <f t="shared" si="5"/>
        <v/>
      </c>
      <c r="F82" s="10" t="str">
        <f t="shared" si="6"/>
        <v/>
      </c>
      <c r="G82" s="11" t="str">
        <f t="shared" si="7"/>
        <v/>
      </c>
    </row>
    <row r="83" spans="1:7" x14ac:dyDescent="0.35">
      <c r="A83" s="10">
        <f>'Student Basic Info'!A83</f>
        <v>782</v>
      </c>
      <c r="B83" s="3"/>
      <c r="C83" s="3">
        <v>53</v>
      </c>
      <c r="D83" s="69">
        <f t="shared" si="4"/>
        <v>53</v>
      </c>
      <c r="E83" s="10" t="str">
        <f t="shared" si="5"/>
        <v>Pass</v>
      </c>
      <c r="F83" s="10" t="str">
        <f t="shared" si="6"/>
        <v>B</v>
      </c>
      <c r="G83" s="11">
        <f t="shared" si="7"/>
        <v>3</v>
      </c>
    </row>
    <row r="84" spans="1:7" x14ac:dyDescent="0.35">
      <c r="A84" s="10">
        <f>'Student Basic Info'!A84</f>
        <v>783</v>
      </c>
      <c r="B84" s="3"/>
      <c r="C84" s="3"/>
      <c r="D84" s="69" t="str">
        <f t="shared" si="4"/>
        <v/>
      </c>
      <c r="E84" s="10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10">
        <f>'Student Basic Info'!A85</f>
        <v>784</v>
      </c>
      <c r="B85" s="3"/>
      <c r="C85" s="3">
        <v>15</v>
      </c>
      <c r="D85" s="69">
        <f t="shared" si="4"/>
        <v>15</v>
      </c>
      <c r="E85" s="10" t="str">
        <f t="shared" si="5"/>
        <v>Fail</v>
      </c>
      <c r="F85" s="10" t="str">
        <f t="shared" si="6"/>
        <v>F</v>
      </c>
      <c r="G85" s="11">
        <f t="shared" si="7"/>
        <v>0</v>
      </c>
    </row>
    <row r="86" spans="1:7" x14ac:dyDescent="0.35">
      <c r="A86" s="10">
        <f>'Student Basic Info'!A86</f>
        <v>785</v>
      </c>
      <c r="B86" s="3"/>
      <c r="C86" s="3">
        <v>18</v>
      </c>
      <c r="D86" s="69">
        <f t="shared" si="4"/>
        <v>18</v>
      </c>
      <c r="E86" s="10" t="str">
        <f t="shared" si="5"/>
        <v>Fail</v>
      </c>
      <c r="F86" s="10" t="str">
        <f t="shared" si="6"/>
        <v>F</v>
      </c>
      <c r="G86" s="11">
        <f t="shared" si="7"/>
        <v>0</v>
      </c>
    </row>
    <row r="87" spans="1:7" x14ac:dyDescent="0.35">
      <c r="A87" s="10">
        <f>'Student Basic Info'!A87</f>
        <v>786</v>
      </c>
      <c r="B87" s="3"/>
      <c r="C87" s="3"/>
      <c r="D87" s="69" t="str">
        <f t="shared" si="4"/>
        <v/>
      </c>
      <c r="E87" s="10" t="str">
        <f t="shared" si="5"/>
        <v/>
      </c>
      <c r="F87" s="10" t="str">
        <f t="shared" si="6"/>
        <v/>
      </c>
      <c r="G87" s="11" t="str">
        <f t="shared" si="7"/>
        <v/>
      </c>
    </row>
    <row r="88" spans="1:7" x14ac:dyDescent="0.35">
      <c r="A88" s="10">
        <f>'Student Basic Info'!A88</f>
        <v>6812</v>
      </c>
      <c r="B88" s="3"/>
      <c r="C88" s="3">
        <v>47</v>
      </c>
      <c r="D88" s="69">
        <f t="shared" si="4"/>
        <v>47</v>
      </c>
      <c r="E88" s="10" t="str">
        <f t="shared" si="5"/>
        <v>Pass</v>
      </c>
      <c r="F88" s="10" t="str">
        <f t="shared" si="6"/>
        <v>C</v>
      </c>
      <c r="G88" s="11">
        <f t="shared" si="7"/>
        <v>2</v>
      </c>
    </row>
    <row r="89" spans="1:7" x14ac:dyDescent="0.35">
      <c r="A89"/>
      <c r="B89"/>
      <c r="C89"/>
      <c r="D89"/>
      <c r="E89"/>
      <c r="F89"/>
      <c r="G89"/>
    </row>
    <row r="90" spans="1:7" x14ac:dyDescent="0.35">
      <c r="A90"/>
      <c r="B90"/>
      <c r="C90"/>
      <c r="D90"/>
      <c r="E90"/>
      <c r="F90"/>
      <c r="G90"/>
    </row>
    <row r="91" spans="1:7" x14ac:dyDescent="0.35">
      <c r="A91"/>
      <c r="B91"/>
      <c r="C91"/>
      <c r="D91"/>
      <c r="E91"/>
      <c r="F91"/>
      <c r="G91"/>
    </row>
    <row r="92" spans="1:7" x14ac:dyDescent="0.35">
      <c r="A92"/>
      <c r="B92"/>
      <c r="C92"/>
      <c r="D92"/>
      <c r="E92"/>
      <c r="F92"/>
      <c r="G92"/>
    </row>
    <row r="93" spans="1:7" x14ac:dyDescent="0.35">
      <c r="A93"/>
      <c r="B93"/>
      <c r="C93"/>
      <c r="D93"/>
      <c r="E93"/>
      <c r="F93"/>
      <c r="G93"/>
    </row>
    <row r="94" spans="1:7" x14ac:dyDescent="0.35">
      <c r="A94"/>
      <c r="B94"/>
      <c r="C94"/>
      <c r="D94"/>
      <c r="E94"/>
      <c r="F94"/>
      <c r="G94"/>
    </row>
    <row r="95" spans="1:7" x14ac:dyDescent="0.35">
      <c r="A95"/>
      <c r="B95"/>
      <c r="C95"/>
      <c r="D95"/>
      <c r="E95"/>
      <c r="F95"/>
      <c r="G95"/>
    </row>
    <row r="96" spans="1:7" x14ac:dyDescent="0.35">
      <c r="A96"/>
      <c r="B96"/>
      <c r="C96"/>
      <c r="D96"/>
      <c r="E96"/>
      <c r="F96"/>
      <c r="G96"/>
    </row>
    <row r="97" spans="1:7" x14ac:dyDescent="0.35">
      <c r="A97"/>
      <c r="B97"/>
      <c r="C97"/>
      <c r="D97"/>
      <c r="E97"/>
      <c r="F97"/>
      <c r="G97"/>
    </row>
    <row r="98" spans="1:7" x14ac:dyDescent="0.35">
      <c r="A98"/>
      <c r="B98"/>
      <c r="C98"/>
      <c r="D98"/>
      <c r="E98"/>
      <c r="F98"/>
      <c r="G98"/>
    </row>
    <row r="99" spans="1:7" x14ac:dyDescent="0.35">
      <c r="A99"/>
      <c r="B99"/>
      <c r="C99"/>
      <c r="D99"/>
      <c r="E99"/>
      <c r="F99"/>
      <c r="G99"/>
    </row>
    <row r="100" spans="1:7" x14ac:dyDescent="0.35">
      <c r="A100"/>
      <c r="B100"/>
      <c r="C100"/>
      <c r="D100"/>
      <c r="E100"/>
      <c r="F100"/>
      <c r="G100"/>
    </row>
    <row r="101" spans="1:7" x14ac:dyDescent="0.35">
      <c r="A101"/>
      <c r="B101"/>
      <c r="C101"/>
      <c r="D101"/>
      <c r="E101"/>
      <c r="F101"/>
      <c r="G101"/>
    </row>
    <row r="102" spans="1:7" x14ac:dyDescent="0.35">
      <c r="A102"/>
      <c r="B102"/>
      <c r="C102"/>
      <c r="D102"/>
      <c r="E102"/>
      <c r="F102"/>
      <c r="G102"/>
    </row>
    <row r="103" spans="1:7" x14ac:dyDescent="0.35">
      <c r="A103"/>
      <c r="B103"/>
      <c r="C103"/>
      <c r="D103"/>
      <c r="E103"/>
      <c r="F103"/>
      <c r="G103"/>
    </row>
    <row r="104" spans="1:7" x14ac:dyDescent="0.35">
      <c r="A104"/>
      <c r="B104"/>
      <c r="C104"/>
      <c r="D104"/>
      <c r="E104"/>
      <c r="F104"/>
      <c r="G104"/>
    </row>
    <row r="105" spans="1:7" x14ac:dyDescent="0.35">
      <c r="A105"/>
      <c r="B105"/>
      <c r="C105"/>
      <c r="D105"/>
      <c r="E105"/>
      <c r="F105"/>
      <c r="G105"/>
    </row>
    <row r="106" spans="1:7" x14ac:dyDescent="0.35">
      <c r="A106"/>
      <c r="B106"/>
      <c r="C106"/>
      <c r="D106"/>
      <c r="E106"/>
      <c r="F106"/>
      <c r="G106"/>
    </row>
    <row r="107" spans="1:7" x14ac:dyDescent="0.35">
      <c r="A107"/>
      <c r="B107"/>
      <c r="C107"/>
      <c r="D107"/>
      <c r="E107"/>
      <c r="F107"/>
      <c r="G107"/>
    </row>
    <row r="108" spans="1:7" x14ac:dyDescent="0.35">
      <c r="A108"/>
      <c r="B108"/>
      <c r="C108"/>
      <c r="D108"/>
      <c r="E108"/>
      <c r="F108"/>
      <c r="G108"/>
    </row>
    <row r="109" spans="1:7" x14ac:dyDescent="0.35">
      <c r="A109"/>
      <c r="B109"/>
      <c r="C109"/>
      <c r="D109"/>
      <c r="E109"/>
      <c r="F109"/>
      <c r="G109"/>
    </row>
    <row r="110" spans="1:7" x14ac:dyDescent="0.35">
      <c r="A110"/>
      <c r="B110"/>
      <c r="C110"/>
      <c r="D110"/>
      <c r="E110"/>
      <c r="F110"/>
      <c r="G110"/>
    </row>
    <row r="111" spans="1:7" x14ac:dyDescent="0.35">
      <c r="A111"/>
      <c r="B111"/>
      <c r="C111"/>
      <c r="D111"/>
      <c r="E111"/>
      <c r="F111"/>
      <c r="G111"/>
    </row>
    <row r="112" spans="1:7" x14ac:dyDescent="0.35">
      <c r="A112"/>
      <c r="B112"/>
      <c r="C112"/>
      <c r="D112"/>
      <c r="E112"/>
      <c r="F112"/>
      <c r="G112"/>
    </row>
    <row r="113" spans="1:7" x14ac:dyDescent="0.35">
      <c r="A113"/>
      <c r="B113"/>
      <c r="C113"/>
      <c r="D113"/>
      <c r="E113"/>
      <c r="F113"/>
      <c r="G113"/>
    </row>
    <row r="114" spans="1:7" x14ac:dyDescent="0.35">
      <c r="A114"/>
      <c r="B114"/>
      <c r="C114"/>
      <c r="D114"/>
      <c r="E114"/>
      <c r="F114"/>
      <c r="G114"/>
    </row>
    <row r="115" spans="1:7" x14ac:dyDescent="0.35">
      <c r="A115"/>
      <c r="B115"/>
      <c r="C115"/>
      <c r="D115"/>
      <c r="E115"/>
      <c r="F115"/>
      <c r="G115"/>
    </row>
    <row r="116" spans="1:7" x14ac:dyDescent="0.35">
      <c r="A116"/>
      <c r="B116"/>
      <c r="C116"/>
      <c r="D116"/>
      <c r="E116"/>
      <c r="F116"/>
      <c r="G116"/>
    </row>
    <row r="117" spans="1:7" hidden="1" x14ac:dyDescent="0.35">
      <c r="A117"/>
      <c r="B117"/>
      <c r="C117"/>
      <c r="D117"/>
      <c r="E117"/>
      <c r="F117"/>
      <c r="G117"/>
    </row>
    <row r="118" spans="1:7" hidden="1" x14ac:dyDescent="0.35">
      <c r="A118"/>
      <c r="B118"/>
      <c r="C118"/>
      <c r="D118"/>
      <c r="E118"/>
      <c r="F118"/>
      <c r="G118"/>
    </row>
    <row r="119" spans="1:7" hidden="1" x14ac:dyDescent="0.35">
      <c r="A119"/>
      <c r="B119"/>
      <c r="C119"/>
      <c r="D119"/>
      <c r="E119"/>
      <c r="F119"/>
      <c r="G119"/>
    </row>
    <row r="120" spans="1:7" hidden="1" x14ac:dyDescent="0.35">
      <c r="A120"/>
      <c r="B120"/>
      <c r="C120"/>
      <c r="D120"/>
      <c r="E120"/>
      <c r="F120"/>
      <c r="G120"/>
    </row>
    <row r="121" spans="1:7" hidden="1" x14ac:dyDescent="0.35">
      <c r="A121"/>
      <c r="B121"/>
      <c r="C121"/>
      <c r="D121"/>
      <c r="E121"/>
      <c r="F121"/>
      <c r="G121"/>
    </row>
    <row r="122" spans="1:7" x14ac:dyDescent="0.35">
      <c r="A122"/>
      <c r="B122"/>
      <c r="C122"/>
      <c r="D122"/>
      <c r="E122"/>
      <c r="F122"/>
      <c r="G122"/>
    </row>
    <row r="123" spans="1:7" x14ac:dyDescent="0.35">
      <c r="A123"/>
      <c r="B123"/>
      <c r="C123"/>
      <c r="D123"/>
      <c r="E123"/>
      <c r="F123"/>
      <c r="G123"/>
    </row>
    <row r="124" spans="1:7" x14ac:dyDescent="0.35">
      <c r="A124"/>
      <c r="B124"/>
      <c r="C124"/>
      <c r="D124"/>
      <c r="E124"/>
      <c r="F124"/>
      <c r="G124"/>
    </row>
    <row r="125" spans="1:7" x14ac:dyDescent="0.35">
      <c r="A125"/>
      <c r="B125"/>
      <c r="C125"/>
      <c r="D125"/>
      <c r="E125"/>
      <c r="F125"/>
      <c r="G125"/>
    </row>
    <row r="126" spans="1:7" x14ac:dyDescent="0.35">
      <c r="A126"/>
      <c r="B126"/>
      <c r="C126"/>
      <c r="D126"/>
      <c r="E126"/>
      <c r="F126"/>
      <c r="G126"/>
    </row>
    <row r="127" spans="1:7" x14ac:dyDescent="0.35">
      <c r="A127"/>
      <c r="B127"/>
      <c r="C127"/>
      <c r="D127"/>
      <c r="E127"/>
      <c r="F127"/>
      <c r="G127"/>
    </row>
    <row r="128" spans="1:7" x14ac:dyDescent="0.35">
      <c r="A128"/>
      <c r="B128"/>
      <c r="C128"/>
      <c r="D128"/>
      <c r="E128"/>
      <c r="F128"/>
      <c r="G128"/>
    </row>
    <row r="129" spans="1:7" hidden="1" x14ac:dyDescent="0.35">
      <c r="A129"/>
      <c r="B129"/>
      <c r="C129"/>
      <c r="D129"/>
      <c r="E129"/>
      <c r="F129"/>
      <c r="G129"/>
    </row>
    <row r="130" spans="1:7" hidden="1" x14ac:dyDescent="0.35">
      <c r="A130"/>
      <c r="B130"/>
      <c r="C130"/>
      <c r="D130"/>
      <c r="E130"/>
      <c r="F130"/>
      <c r="G130"/>
    </row>
    <row r="131" spans="1:7" hidden="1" x14ac:dyDescent="0.35">
      <c r="A131"/>
      <c r="B131"/>
      <c r="C131"/>
      <c r="D131"/>
      <c r="E131"/>
      <c r="F131"/>
      <c r="G131"/>
    </row>
    <row r="132" spans="1:7" hidden="1" x14ac:dyDescent="0.35">
      <c r="A132"/>
      <c r="B132"/>
      <c r="C132"/>
      <c r="D132"/>
      <c r="E132"/>
      <c r="F132"/>
      <c r="G132"/>
    </row>
    <row r="133" spans="1:7" hidden="1" x14ac:dyDescent="0.35">
      <c r="A133"/>
      <c r="B133"/>
      <c r="C133"/>
      <c r="D133"/>
      <c r="E133"/>
      <c r="F133"/>
      <c r="G133"/>
    </row>
    <row r="134" spans="1:7" x14ac:dyDescent="0.35">
      <c r="A134"/>
      <c r="B134"/>
      <c r="C134"/>
      <c r="D134"/>
      <c r="E134"/>
      <c r="F134"/>
      <c r="G134"/>
    </row>
    <row r="135" spans="1:7" x14ac:dyDescent="0.35">
      <c r="A135"/>
      <c r="B135"/>
      <c r="C135"/>
      <c r="D135"/>
      <c r="E135"/>
      <c r="F135"/>
      <c r="G135"/>
    </row>
    <row r="136" spans="1:7" x14ac:dyDescent="0.35">
      <c r="A136"/>
      <c r="B136"/>
      <c r="C136"/>
      <c r="D136"/>
      <c r="E136"/>
      <c r="F136"/>
      <c r="G136"/>
    </row>
    <row r="137" spans="1:7" x14ac:dyDescent="0.35">
      <c r="A137"/>
      <c r="B137"/>
      <c r="C137"/>
      <c r="D137"/>
      <c r="E137"/>
      <c r="F137"/>
      <c r="G137"/>
    </row>
    <row r="138" spans="1:7" x14ac:dyDescent="0.35">
      <c r="A138"/>
      <c r="B138"/>
      <c r="C138"/>
      <c r="D138"/>
      <c r="E138"/>
      <c r="F138"/>
      <c r="G138"/>
    </row>
    <row r="139" spans="1:7" x14ac:dyDescent="0.35">
      <c r="A139"/>
      <c r="B139"/>
      <c r="C139"/>
      <c r="D139"/>
      <c r="E139"/>
      <c r="F139"/>
      <c r="G139"/>
    </row>
    <row r="140" spans="1:7" x14ac:dyDescent="0.35">
      <c r="A140"/>
      <c r="B140"/>
      <c r="C140"/>
      <c r="D140"/>
      <c r="E140"/>
      <c r="F140"/>
      <c r="G140"/>
    </row>
    <row r="141" spans="1:7" x14ac:dyDescent="0.35">
      <c r="A141"/>
      <c r="B141"/>
      <c r="C141"/>
      <c r="D141"/>
      <c r="E141"/>
      <c r="F141"/>
      <c r="G141"/>
    </row>
    <row r="142" spans="1:7" x14ac:dyDescent="0.35">
      <c r="A142"/>
      <c r="B142"/>
      <c r="C142"/>
      <c r="D142"/>
      <c r="E142"/>
      <c r="F142"/>
      <c r="G142"/>
    </row>
    <row r="143" spans="1:7" x14ac:dyDescent="0.35">
      <c r="A143"/>
      <c r="B143"/>
      <c r="C143"/>
      <c r="D143"/>
      <c r="E143"/>
      <c r="F143"/>
      <c r="G143"/>
    </row>
    <row r="144" spans="1:7" x14ac:dyDescent="0.35">
      <c r="A144"/>
      <c r="B144"/>
      <c r="C144"/>
      <c r="D144"/>
      <c r="E144"/>
      <c r="F144"/>
      <c r="G144"/>
    </row>
    <row r="145" spans="1:7" x14ac:dyDescent="0.35">
      <c r="A145"/>
      <c r="B145"/>
      <c r="C145"/>
      <c r="D145"/>
      <c r="E145"/>
      <c r="F145"/>
      <c r="G145"/>
    </row>
    <row r="146" spans="1:7" x14ac:dyDescent="0.35">
      <c r="A146"/>
      <c r="B146"/>
      <c r="C146"/>
      <c r="D146"/>
      <c r="E146"/>
      <c r="F146"/>
      <c r="G146"/>
    </row>
    <row r="147" spans="1:7" x14ac:dyDescent="0.35">
      <c r="A147"/>
      <c r="B147"/>
      <c r="C147"/>
      <c r="D147"/>
      <c r="E147"/>
      <c r="F147"/>
      <c r="G147"/>
    </row>
    <row r="148" spans="1:7" x14ac:dyDescent="0.35">
      <c r="A148"/>
      <c r="B148"/>
      <c r="C148"/>
      <c r="D148"/>
      <c r="E148"/>
      <c r="F148"/>
      <c r="G148"/>
    </row>
    <row r="149" spans="1:7" x14ac:dyDescent="0.35">
      <c r="A149"/>
      <c r="B149"/>
      <c r="C149"/>
      <c r="D149"/>
      <c r="E149"/>
      <c r="F149"/>
      <c r="G149"/>
    </row>
    <row r="150" spans="1:7" x14ac:dyDescent="0.35">
      <c r="A150"/>
      <c r="B150"/>
      <c r="C150"/>
      <c r="D150"/>
      <c r="E150"/>
      <c r="F150"/>
      <c r="G150"/>
    </row>
    <row r="151" spans="1:7" x14ac:dyDescent="0.35">
      <c r="A151"/>
      <c r="B151"/>
      <c r="C151"/>
      <c r="D151"/>
      <c r="E151"/>
      <c r="F151"/>
      <c r="G151"/>
    </row>
    <row r="152" spans="1:7" x14ac:dyDescent="0.35">
      <c r="A152"/>
      <c r="B152"/>
      <c r="C152"/>
      <c r="D152"/>
      <c r="E152"/>
      <c r="F152"/>
      <c r="G152"/>
    </row>
    <row r="153" spans="1:7" x14ac:dyDescent="0.35">
      <c r="A153"/>
      <c r="B153"/>
      <c r="C153"/>
      <c r="D153"/>
      <c r="E153"/>
      <c r="F153"/>
      <c r="G153"/>
    </row>
    <row r="154" spans="1:7" x14ac:dyDescent="0.35">
      <c r="A154"/>
      <c r="B154"/>
      <c r="C154"/>
      <c r="D154"/>
      <c r="E154"/>
      <c r="F154"/>
      <c r="G154"/>
    </row>
    <row r="155" spans="1:7" x14ac:dyDescent="0.35">
      <c r="A155"/>
      <c r="B155"/>
      <c r="C155"/>
      <c r="D155"/>
      <c r="E155"/>
      <c r="F155"/>
      <c r="G155"/>
    </row>
    <row r="156" spans="1:7" x14ac:dyDescent="0.35">
      <c r="A156"/>
      <c r="B156"/>
      <c r="C156"/>
      <c r="D156"/>
      <c r="E156"/>
      <c r="F156"/>
      <c r="G156"/>
    </row>
    <row r="157" spans="1:7" x14ac:dyDescent="0.35">
      <c r="A157"/>
      <c r="B157"/>
      <c r="C157"/>
      <c r="D157"/>
      <c r="E157"/>
      <c r="F157"/>
      <c r="G157"/>
    </row>
    <row r="158" spans="1:7" x14ac:dyDescent="0.35">
      <c r="A158"/>
      <c r="B158"/>
      <c r="C158"/>
      <c r="D158"/>
      <c r="E158"/>
      <c r="F158"/>
      <c r="G158"/>
    </row>
    <row r="159" spans="1:7" x14ac:dyDescent="0.35">
      <c r="A159"/>
      <c r="B159"/>
      <c r="C159"/>
      <c r="D159"/>
      <c r="E159"/>
      <c r="F159"/>
      <c r="G159"/>
    </row>
    <row r="160" spans="1:7" x14ac:dyDescent="0.35">
      <c r="A160"/>
      <c r="B160"/>
      <c r="C160"/>
      <c r="D160"/>
      <c r="E160"/>
      <c r="F160"/>
      <c r="G160"/>
    </row>
  </sheetData>
  <conditionalFormatting sqref="E2:E88">
    <cfRule type="containsText" dxfId="26" priority="1" operator="containsText" text="Fail">
      <formula>NOT(ISERROR(SEARCH("Fail",E2)))</formula>
    </cfRule>
    <cfRule type="containsText" dxfId="25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14"/>
  <sheetViews>
    <sheetView workbookViewId="0">
      <selection activeCell="J85" sqref="J85"/>
    </sheetView>
  </sheetViews>
  <sheetFormatPr defaultRowHeight="14.5" x14ac:dyDescent="0.35"/>
  <cols>
    <col min="1" max="1" width="8.7265625" style="15"/>
    <col min="2" max="2" width="9" style="1" bestFit="1" customWidth="1"/>
    <col min="3" max="3" width="10.81640625" style="15" bestFit="1" customWidth="1"/>
    <col min="4" max="6" width="8.7265625" style="15"/>
  </cols>
  <sheetData>
    <row r="1" spans="1:9" x14ac:dyDescent="0.35">
      <c r="A1" s="12" t="s">
        <v>0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9</v>
      </c>
    </row>
    <row r="2" spans="1:9" x14ac:dyDescent="0.35">
      <c r="A2" s="10">
        <f>'Student Basic Info'!A2</f>
        <v>701</v>
      </c>
      <c r="B2" s="105">
        <v>45</v>
      </c>
      <c r="C2" s="69">
        <f>IF(B2=0, "",B2)</f>
        <v>45</v>
      </c>
      <c r="D2" s="10" t="str">
        <f>IF(C2="","", IF(C2&gt;=33,"Pass","Fail"))</f>
        <v>Pass</v>
      </c>
      <c r="E2" s="10" t="str">
        <f>(IF(C2="","",IF(D2="Fail","F",IF(C2&gt;=80,"A+",IF(C2&gt;=70,"A",IF(C2&gt;=60,"A-",IF(C2&gt;=50,"B",IF(C2&gt;=40,"C",IF(C2&gt;=33,"D","F")))))))))</f>
        <v>C</v>
      </c>
      <c r="F2" s="11">
        <f>(IF(C2="","",IF(E2="F",0,IF(C2&gt;=80,5,IF(C2&gt;=70,4,IF(C2&gt;=60,3.5,IF(C2&gt;=50,3,IF(C2&gt;=40,2,IF(C2&gt;=33,1,0)))))))))</f>
        <v>2</v>
      </c>
    </row>
    <row r="3" spans="1:9" x14ac:dyDescent="0.35">
      <c r="A3" s="10">
        <f>'Student Basic Info'!A3</f>
        <v>702</v>
      </c>
      <c r="B3" s="8"/>
      <c r="C3" s="69" t="str">
        <f t="shared" ref="C3:C66" si="0">IF(B3=0, "",B3)</f>
        <v/>
      </c>
      <c r="D3" s="10" t="str">
        <f t="shared" ref="D3:D66" si="1">IF(C3="","", IF(C3&gt;=33,"Pass","Fail"))</f>
        <v/>
      </c>
      <c r="E3" s="10" t="str">
        <f t="shared" ref="E3:E66" si="2">(IF(C3="","",IF(D3="Fail","F",IF(C3&gt;=80,"A+",IF(C3&gt;=70,"A",IF(C3&gt;=60,"A-",IF(C3&gt;=50,"B",IF(C3&gt;=40,"C",IF(C3&gt;=33,"D","F")))))))))</f>
        <v/>
      </c>
      <c r="F3" s="11" t="str">
        <f t="shared" ref="F3:F66" si="3">(IF(C3="","",IF(E3="F",0,IF(C3&gt;=80,5,IF(C3&gt;=70,4,IF(C3&gt;=60,3.5,IF(C3&gt;=50,3,IF(C3&gt;=40,2,IF(C3&gt;=33,1,0)))))))))</f>
        <v/>
      </c>
    </row>
    <row r="4" spans="1:9" x14ac:dyDescent="0.35">
      <c r="A4" s="10">
        <f>'Student Basic Info'!A4</f>
        <v>703</v>
      </c>
      <c r="B4" s="8"/>
      <c r="C4" s="69" t="str">
        <f t="shared" si="0"/>
        <v/>
      </c>
      <c r="D4" s="10" t="str">
        <f t="shared" si="1"/>
        <v/>
      </c>
      <c r="E4" s="10" t="str">
        <f t="shared" si="2"/>
        <v/>
      </c>
      <c r="F4" s="11" t="str">
        <f t="shared" si="3"/>
        <v/>
      </c>
    </row>
    <row r="5" spans="1:9" x14ac:dyDescent="0.35">
      <c r="A5" s="10">
        <f>'Student Basic Info'!A5</f>
        <v>704</v>
      </c>
      <c r="B5" s="8">
        <v>38</v>
      </c>
      <c r="C5" s="69">
        <f t="shared" si="0"/>
        <v>38</v>
      </c>
      <c r="D5" s="10" t="str">
        <f t="shared" si="1"/>
        <v>Pass</v>
      </c>
      <c r="E5" s="10" t="str">
        <f t="shared" si="2"/>
        <v>D</v>
      </c>
      <c r="F5" s="11">
        <f t="shared" si="3"/>
        <v>1</v>
      </c>
    </row>
    <row r="6" spans="1:9" x14ac:dyDescent="0.35">
      <c r="A6" s="10">
        <f>'Student Basic Info'!A6</f>
        <v>705</v>
      </c>
      <c r="B6" s="8"/>
      <c r="C6" s="69" t="str">
        <f t="shared" si="0"/>
        <v/>
      </c>
      <c r="D6" s="10" t="str">
        <f t="shared" si="1"/>
        <v/>
      </c>
      <c r="E6" s="10" t="str">
        <f t="shared" si="2"/>
        <v/>
      </c>
      <c r="F6" s="11" t="str">
        <f t="shared" si="3"/>
        <v/>
      </c>
      <c r="G6" t="s">
        <v>10</v>
      </c>
    </row>
    <row r="7" spans="1:9" x14ac:dyDescent="0.35">
      <c r="A7" s="10">
        <f>'Student Basic Info'!A7</f>
        <v>706</v>
      </c>
      <c r="B7" s="8"/>
      <c r="C7" s="69" t="str">
        <f t="shared" si="0"/>
        <v/>
      </c>
      <c r="D7" s="10" t="str">
        <f t="shared" si="1"/>
        <v/>
      </c>
      <c r="E7" s="10" t="str">
        <f t="shared" si="2"/>
        <v/>
      </c>
      <c r="F7" s="11" t="str">
        <f t="shared" si="3"/>
        <v/>
      </c>
    </row>
    <row r="8" spans="1:9" x14ac:dyDescent="0.35">
      <c r="A8" s="10">
        <f>'Student Basic Info'!A8</f>
        <v>707</v>
      </c>
      <c r="B8" s="8"/>
      <c r="C8" s="69" t="str">
        <f t="shared" si="0"/>
        <v/>
      </c>
      <c r="D8" s="10" t="str">
        <f t="shared" si="1"/>
        <v/>
      </c>
      <c r="E8" s="10" t="str">
        <f t="shared" si="2"/>
        <v/>
      </c>
      <c r="F8" s="11" t="str">
        <f t="shared" si="3"/>
        <v/>
      </c>
    </row>
    <row r="9" spans="1:9" x14ac:dyDescent="0.35">
      <c r="A9" s="10">
        <f>'Student Basic Info'!A9</f>
        <v>708</v>
      </c>
      <c r="B9" s="8">
        <v>33</v>
      </c>
      <c r="C9" s="69">
        <f t="shared" si="0"/>
        <v>33</v>
      </c>
      <c r="D9" s="10" t="str">
        <f t="shared" si="1"/>
        <v>Pass</v>
      </c>
      <c r="E9" s="10" t="str">
        <f t="shared" si="2"/>
        <v>D</v>
      </c>
      <c r="F9" s="11">
        <f t="shared" si="3"/>
        <v>1</v>
      </c>
    </row>
    <row r="10" spans="1:9" x14ac:dyDescent="0.35">
      <c r="A10" s="10">
        <f>'Student Basic Info'!A10</f>
        <v>709</v>
      </c>
      <c r="B10" s="8">
        <v>33</v>
      </c>
      <c r="C10" s="69">
        <f t="shared" si="0"/>
        <v>33</v>
      </c>
      <c r="D10" s="10" t="str">
        <f t="shared" si="1"/>
        <v>Pass</v>
      </c>
      <c r="E10" s="10" t="str">
        <f t="shared" si="2"/>
        <v>D</v>
      </c>
      <c r="F10" s="11">
        <f t="shared" si="3"/>
        <v>1</v>
      </c>
    </row>
    <row r="11" spans="1:9" x14ac:dyDescent="0.35">
      <c r="A11" s="10">
        <f>'Student Basic Info'!A11</f>
        <v>710</v>
      </c>
      <c r="B11" s="8">
        <v>27</v>
      </c>
      <c r="C11" s="69">
        <f t="shared" si="0"/>
        <v>27</v>
      </c>
      <c r="D11" s="10" t="str">
        <f t="shared" si="1"/>
        <v>Fail</v>
      </c>
      <c r="E11" s="10" t="str">
        <f t="shared" si="2"/>
        <v>F</v>
      </c>
      <c r="F11" s="11">
        <f t="shared" si="3"/>
        <v>0</v>
      </c>
    </row>
    <row r="12" spans="1:9" x14ac:dyDescent="0.35">
      <c r="A12" s="10">
        <f>'Student Basic Info'!A12</f>
        <v>711</v>
      </c>
      <c r="B12" s="3"/>
      <c r="C12" s="69" t="str">
        <f t="shared" si="0"/>
        <v/>
      </c>
      <c r="D12" s="10" t="str">
        <f t="shared" si="1"/>
        <v/>
      </c>
      <c r="E12" s="10" t="str">
        <f t="shared" si="2"/>
        <v/>
      </c>
      <c r="F12" s="11" t="str">
        <f t="shared" si="3"/>
        <v/>
      </c>
    </row>
    <row r="13" spans="1:9" x14ac:dyDescent="0.35">
      <c r="A13" s="10">
        <f>'Student Basic Info'!A13</f>
        <v>712</v>
      </c>
      <c r="B13" s="3">
        <v>33</v>
      </c>
      <c r="C13" s="69">
        <f t="shared" si="0"/>
        <v>33</v>
      </c>
      <c r="D13" s="10" t="str">
        <f t="shared" si="1"/>
        <v>Pass</v>
      </c>
      <c r="E13" s="10" t="str">
        <f t="shared" si="2"/>
        <v>D</v>
      </c>
      <c r="F13" s="11">
        <f t="shared" si="3"/>
        <v>1</v>
      </c>
    </row>
    <row r="14" spans="1:9" x14ac:dyDescent="0.35">
      <c r="A14" s="10">
        <f>'Student Basic Info'!A14</f>
        <v>713</v>
      </c>
      <c r="B14" s="3">
        <v>44</v>
      </c>
      <c r="C14" s="69">
        <f t="shared" si="0"/>
        <v>44</v>
      </c>
      <c r="D14" s="10" t="str">
        <f t="shared" si="1"/>
        <v>Pass</v>
      </c>
      <c r="E14" s="10" t="str">
        <f t="shared" si="2"/>
        <v>C</v>
      </c>
      <c r="F14" s="11">
        <f t="shared" si="3"/>
        <v>2</v>
      </c>
    </row>
    <row r="15" spans="1:9" x14ac:dyDescent="0.35">
      <c r="A15" s="10">
        <f>'Student Basic Info'!A15</f>
        <v>714</v>
      </c>
      <c r="B15" s="3">
        <v>47</v>
      </c>
      <c r="C15" s="69">
        <f t="shared" si="0"/>
        <v>47</v>
      </c>
      <c r="D15" s="10" t="str">
        <f t="shared" si="1"/>
        <v>Pass</v>
      </c>
      <c r="E15" s="10" t="str">
        <f t="shared" si="2"/>
        <v>C</v>
      </c>
      <c r="F15" s="11">
        <f t="shared" si="3"/>
        <v>2</v>
      </c>
    </row>
    <row r="16" spans="1:9" x14ac:dyDescent="0.35">
      <c r="A16" s="10">
        <f>'Student Basic Info'!A16</f>
        <v>715</v>
      </c>
      <c r="B16" s="3">
        <v>17</v>
      </c>
      <c r="C16" s="69">
        <f t="shared" si="0"/>
        <v>17</v>
      </c>
      <c r="D16" s="10" t="str">
        <f t="shared" si="1"/>
        <v>Fail</v>
      </c>
      <c r="E16" s="10" t="str">
        <f t="shared" si="2"/>
        <v>F</v>
      </c>
      <c r="F16" s="11">
        <f t="shared" si="3"/>
        <v>0</v>
      </c>
      <c r="I16" t="s">
        <v>446</v>
      </c>
    </row>
    <row r="17" spans="1:6" x14ac:dyDescent="0.35">
      <c r="A17" s="10">
        <f>'Student Basic Info'!A17</f>
        <v>716</v>
      </c>
      <c r="B17" s="3">
        <v>23</v>
      </c>
      <c r="C17" s="69">
        <f t="shared" si="0"/>
        <v>23</v>
      </c>
      <c r="D17" s="10" t="str">
        <f t="shared" si="1"/>
        <v>Fail</v>
      </c>
      <c r="E17" s="10" t="str">
        <f t="shared" si="2"/>
        <v>F</v>
      </c>
      <c r="F17" s="11">
        <f t="shared" si="3"/>
        <v>0</v>
      </c>
    </row>
    <row r="18" spans="1:6" x14ac:dyDescent="0.35">
      <c r="A18" s="10">
        <f>'Student Basic Info'!A18</f>
        <v>717</v>
      </c>
      <c r="B18" s="3">
        <v>24</v>
      </c>
      <c r="C18" s="69">
        <f t="shared" si="0"/>
        <v>24</v>
      </c>
      <c r="D18" s="10" t="str">
        <f t="shared" si="1"/>
        <v>Fail</v>
      </c>
      <c r="E18" s="10" t="str">
        <f t="shared" si="2"/>
        <v>F</v>
      </c>
      <c r="F18" s="11">
        <f t="shared" si="3"/>
        <v>0</v>
      </c>
    </row>
    <row r="19" spans="1:6" x14ac:dyDescent="0.35">
      <c r="A19" s="10">
        <f>'Student Basic Info'!A19</f>
        <v>718</v>
      </c>
      <c r="B19" s="3"/>
      <c r="C19" s="69" t="str">
        <f t="shared" si="0"/>
        <v/>
      </c>
      <c r="D19" s="10" t="str">
        <f t="shared" si="1"/>
        <v/>
      </c>
      <c r="E19" s="10" t="str">
        <f t="shared" si="2"/>
        <v/>
      </c>
      <c r="F19" s="11" t="str">
        <f t="shared" si="3"/>
        <v/>
      </c>
    </row>
    <row r="20" spans="1:6" x14ac:dyDescent="0.35">
      <c r="A20" s="10">
        <f>'Student Basic Info'!A20</f>
        <v>719</v>
      </c>
      <c r="B20" s="3">
        <v>25</v>
      </c>
      <c r="C20" s="69">
        <f t="shared" si="0"/>
        <v>25</v>
      </c>
      <c r="D20" s="10" t="str">
        <f t="shared" si="1"/>
        <v>Fail</v>
      </c>
      <c r="E20" s="10" t="str">
        <f t="shared" si="2"/>
        <v>F</v>
      </c>
      <c r="F20" s="11">
        <f t="shared" si="3"/>
        <v>0</v>
      </c>
    </row>
    <row r="21" spans="1:6" x14ac:dyDescent="0.35">
      <c r="A21" s="10">
        <f>'Student Basic Info'!A21</f>
        <v>720</v>
      </c>
      <c r="B21" s="3">
        <v>29</v>
      </c>
      <c r="C21" s="69">
        <f t="shared" si="0"/>
        <v>29</v>
      </c>
      <c r="D21" s="10" t="str">
        <f t="shared" si="1"/>
        <v>Fail</v>
      </c>
      <c r="E21" s="10" t="str">
        <f t="shared" si="2"/>
        <v>F</v>
      </c>
      <c r="F21" s="11">
        <f t="shared" si="3"/>
        <v>0</v>
      </c>
    </row>
    <row r="22" spans="1:6" x14ac:dyDescent="0.35">
      <c r="A22" s="10">
        <f>'Student Basic Info'!A22</f>
        <v>721</v>
      </c>
      <c r="B22" s="3"/>
      <c r="C22" s="69" t="str">
        <f t="shared" si="0"/>
        <v/>
      </c>
      <c r="D22" s="10" t="str">
        <f t="shared" si="1"/>
        <v/>
      </c>
      <c r="E22" s="10" t="str">
        <f t="shared" si="2"/>
        <v/>
      </c>
      <c r="F22" s="11" t="str">
        <f t="shared" si="3"/>
        <v/>
      </c>
    </row>
    <row r="23" spans="1:6" x14ac:dyDescent="0.35">
      <c r="A23" s="10">
        <f>'Student Basic Info'!A23</f>
        <v>722</v>
      </c>
      <c r="B23" s="3">
        <v>41</v>
      </c>
      <c r="C23" s="69">
        <f t="shared" si="0"/>
        <v>41</v>
      </c>
      <c r="D23" s="10" t="str">
        <f t="shared" si="1"/>
        <v>Pass</v>
      </c>
      <c r="E23" s="10" t="str">
        <f t="shared" si="2"/>
        <v>C</v>
      </c>
      <c r="F23" s="11">
        <f t="shared" si="3"/>
        <v>2</v>
      </c>
    </row>
    <row r="24" spans="1:6" x14ac:dyDescent="0.35">
      <c r="A24" s="10">
        <f>'Student Basic Info'!A24</f>
        <v>723</v>
      </c>
      <c r="B24" s="3">
        <v>64</v>
      </c>
      <c r="C24" s="69">
        <f t="shared" si="0"/>
        <v>64</v>
      </c>
      <c r="D24" s="10" t="str">
        <f t="shared" si="1"/>
        <v>Pass</v>
      </c>
      <c r="E24" s="10" t="str">
        <f t="shared" si="2"/>
        <v>A-</v>
      </c>
      <c r="F24" s="11">
        <f t="shared" si="3"/>
        <v>3.5</v>
      </c>
    </row>
    <row r="25" spans="1:6" x14ac:dyDescent="0.35">
      <c r="A25" s="10">
        <f>'Student Basic Info'!A25</f>
        <v>724</v>
      </c>
      <c r="B25" s="3">
        <v>34</v>
      </c>
      <c r="C25" s="69">
        <f t="shared" si="0"/>
        <v>34</v>
      </c>
      <c r="D25" s="10" t="str">
        <f t="shared" si="1"/>
        <v>Pass</v>
      </c>
      <c r="E25" s="10" t="str">
        <f t="shared" si="2"/>
        <v>D</v>
      </c>
      <c r="F25" s="11">
        <f t="shared" si="3"/>
        <v>1</v>
      </c>
    </row>
    <row r="26" spans="1:6" x14ac:dyDescent="0.35">
      <c r="A26" s="10">
        <f>'Student Basic Info'!A26</f>
        <v>725</v>
      </c>
      <c r="B26" s="3">
        <v>34</v>
      </c>
      <c r="C26" s="69">
        <f t="shared" si="0"/>
        <v>34</v>
      </c>
      <c r="D26" s="10" t="str">
        <f t="shared" si="1"/>
        <v>Pass</v>
      </c>
      <c r="E26" s="10" t="str">
        <f t="shared" si="2"/>
        <v>D</v>
      </c>
      <c r="F26" s="11">
        <f t="shared" si="3"/>
        <v>1</v>
      </c>
    </row>
    <row r="27" spans="1:6" x14ac:dyDescent="0.35">
      <c r="A27" s="10">
        <f>'Student Basic Info'!A27</f>
        <v>726</v>
      </c>
      <c r="B27" s="3"/>
      <c r="C27" s="69" t="str">
        <f t="shared" si="0"/>
        <v/>
      </c>
      <c r="D27" s="10" t="str">
        <f t="shared" si="1"/>
        <v/>
      </c>
      <c r="E27" s="10" t="str">
        <f t="shared" si="2"/>
        <v/>
      </c>
      <c r="F27" s="11" t="str">
        <f t="shared" si="3"/>
        <v/>
      </c>
    </row>
    <row r="28" spans="1:6" x14ac:dyDescent="0.35">
      <c r="A28" s="10">
        <f>'Student Basic Info'!A28</f>
        <v>727</v>
      </c>
      <c r="B28" s="3">
        <v>37</v>
      </c>
      <c r="C28" s="69">
        <f t="shared" si="0"/>
        <v>37</v>
      </c>
      <c r="D28" s="10" t="str">
        <f t="shared" si="1"/>
        <v>Pass</v>
      </c>
      <c r="E28" s="10" t="str">
        <f t="shared" si="2"/>
        <v>D</v>
      </c>
      <c r="F28" s="11">
        <f t="shared" si="3"/>
        <v>1</v>
      </c>
    </row>
    <row r="29" spans="1:6" x14ac:dyDescent="0.35">
      <c r="A29" s="10">
        <f>'Student Basic Info'!A29</f>
        <v>728</v>
      </c>
      <c r="B29" s="3">
        <v>29</v>
      </c>
      <c r="C29" s="69">
        <f t="shared" si="0"/>
        <v>29</v>
      </c>
      <c r="D29" s="10" t="str">
        <f t="shared" si="1"/>
        <v>Fail</v>
      </c>
      <c r="E29" s="10" t="str">
        <f t="shared" si="2"/>
        <v>F</v>
      </c>
      <c r="F29" s="11">
        <f t="shared" si="3"/>
        <v>0</v>
      </c>
    </row>
    <row r="30" spans="1:6" x14ac:dyDescent="0.35">
      <c r="A30" s="10">
        <f>'Student Basic Info'!A30</f>
        <v>729</v>
      </c>
      <c r="B30" s="3">
        <v>18</v>
      </c>
      <c r="C30" s="69">
        <f t="shared" si="0"/>
        <v>18</v>
      </c>
      <c r="D30" s="10" t="str">
        <f t="shared" si="1"/>
        <v>Fail</v>
      </c>
      <c r="E30" s="10" t="str">
        <f t="shared" si="2"/>
        <v>F</v>
      </c>
      <c r="F30" s="11">
        <f t="shared" si="3"/>
        <v>0</v>
      </c>
    </row>
    <row r="31" spans="1:6" x14ac:dyDescent="0.35">
      <c r="A31" s="10">
        <f>'Student Basic Info'!A31</f>
        <v>730</v>
      </c>
      <c r="B31" s="3">
        <v>23</v>
      </c>
      <c r="C31" s="69">
        <f t="shared" si="0"/>
        <v>23</v>
      </c>
      <c r="D31" s="10" t="str">
        <f t="shared" si="1"/>
        <v>Fail</v>
      </c>
      <c r="E31" s="10" t="str">
        <f t="shared" si="2"/>
        <v>F</v>
      </c>
      <c r="F31" s="11">
        <f t="shared" si="3"/>
        <v>0</v>
      </c>
    </row>
    <row r="32" spans="1:6" x14ac:dyDescent="0.35">
      <c r="A32" s="10">
        <f>'Student Basic Info'!A32</f>
        <v>731</v>
      </c>
      <c r="B32" s="3">
        <v>24</v>
      </c>
      <c r="C32" s="69">
        <f t="shared" si="0"/>
        <v>24</v>
      </c>
      <c r="D32" s="10" t="str">
        <f t="shared" si="1"/>
        <v>Fail</v>
      </c>
      <c r="E32" s="10" t="str">
        <f t="shared" si="2"/>
        <v>F</v>
      </c>
      <c r="F32" s="11">
        <f t="shared" si="3"/>
        <v>0</v>
      </c>
    </row>
    <row r="33" spans="1:6" x14ac:dyDescent="0.35">
      <c r="A33" s="10">
        <f>'Student Basic Info'!A33</f>
        <v>732</v>
      </c>
      <c r="B33" s="3">
        <v>17</v>
      </c>
      <c r="C33" s="69">
        <f t="shared" si="0"/>
        <v>17</v>
      </c>
      <c r="D33" s="10" t="str">
        <f t="shared" si="1"/>
        <v>Fail</v>
      </c>
      <c r="E33" s="10" t="str">
        <f t="shared" si="2"/>
        <v>F</v>
      </c>
      <c r="F33" s="11">
        <f t="shared" si="3"/>
        <v>0</v>
      </c>
    </row>
    <row r="34" spans="1:6" x14ac:dyDescent="0.35">
      <c r="A34" s="10">
        <f>'Student Basic Info'!A34</f>
        <v>733</v>
      </c>
      <c r="B34" s="3">
        <v>34</v>
      </c>
      <c r="C34" s="69">
        <f t="shared" si="0"/>
        <v>34</v>
      </c>
      <c r="D34" s="10" t="str">
        <f t="shared" si="1"/>
        <v>Pass</v>
      </c>
      <c r="E34" s="10" t="str">
        <f t="shared" si="2"/>
        <v>D</v>
      </c>
      <c r="F34" s="11">
        <f t="shared" si="3"/>
        <v>1</v>
      </c>
    </row>
    <row r="35" spans="1:6" x14ac:dyDescent="0.35">
      <c r="A35" s="10">
        <f>'Student Basic Info'!A35</f>
        <v>734</v>
      </c>
      <c r="B35" s="3">
        <v>33</v>
      </c>
      <c r="C35" s="69">
        <f t="shared" si="0"/>
        <v>33</v>
      </c>
      <c r="D35" s="10" t="str">
        <f t="shared" si="1"/>
        <v>Pass</v>
      </c>
      <c r="E35" s="10" t="str">
        <f t="shared" si="2"/>
        <v>D</v>
      </c>
      <c r="F35" s="11">
        <f t="shared" si="3"/>
        <v>1</v>
      </c>
    </row>
    <row r="36" spans="1:6" x14ac:dyDescent="0.35">
      <c r="A36" s="10">
        <f>'Student Basic Info'!A36</f>
        <v>735</v>
      </c>
      <c r="B36" s="3">
        <v>44</v>
      </c>
      <c r="C36" s="69">
        <f t="shared" si="0"/>
        <v>44</v>
      </c>
      <c r="D36" s="10" t="str">
        <f t="shared" si="1"/>
        <v>Pass</v>
      </c>
      <c r="E36" s="10" t="str">
        <f t="shared" si="2"/>
        <v>C</v>
      </c>
      <c r="F36" s="11">
        <f t="shared" si="3"/>
        <v>2</v>
      </c>
    </row>
    <row r="37" spans="1:6" x14ac:dyDescent="0.35">
      <c r="A37" s="10">
        <f>'Student Basic Info'!A37</f>
        <v>736</v>
      </c>
      <c r="B37" s="3">
        <v>16</v>
      </c>
      <c r="C37" s="69">
        <f t="shared" si="0"/>
        <v>16</v>
      </c>
      <c r="D37" s="10" t="str">
        <f t="shared" si="1"/>
        <v>Fail</v>
      </c>
      <c r="E37" s="10" t="str">
        <f t="shared" si="2"/>
        <v>F</v>
      </c>
      <c r="F37" s="11">
        <f t="shared" si="3"/>
        <v>0</v>
      </c>
    </row>
    <row r="38" spans="1:6" x14ac:dyDescent="0.35">
      <c r="A38" s="10">
        <f>'Student Basic Info'!A38</f>
        <v>737</v>
      </c>
      <c r="B38" s="3">
        <v>47</v>
      </c>
      <c r="C38" s="69">
        <f t="shared" si="0"/>
        <v>47</v>
      </c>
      <c r="D38" s="10" t="str">
        <f t="shared" si="1"/>
        <v>Pass</v>
      </c>
      <c r="E38" s="10" t="str">
        <f t="shared" si="2"/>
        <v>C</v>
      </c>
      <c r="F38" s="11">
        <f t="shared" si="3"/>
        <v>2</v>
      </c>
    </row>
    <row r="39" spans="1:6" x14ac:dyDescent="0.35">
      <c r="A39" s="10">
        <f>'Student Basic Info'!A39</f>
        <v>738</v>
      </c>
      <c r="B39" s="3">
        <v>44</v>
      </c>
      <c r="C39" s="69">
        <f t="shared" si="0"/>
        <v>44</v>
      </c>
      <c r="D39" s="10" t="str">
        <f t="shared" si="1"/>
        <v>Pass</v>
      </c>
      <c r="E39" s="10" t="str">
        <f t="shared" si="2"/>
        <v>C</v>
      </c>
      <c r="F39" s="11">
        <f t="shared" si="3"/>
        <v>2</v>
      </c>
    </row>
    <row r="40" spans="1:6" x14ac:dyDescent="0.35">
      <c r="A40" s="10">
        <f>'Student Basic Info'!A40</f>
        <v>739</v>
      </c>
      <c r="B40" s="3">
        <v>35</v>
      </c>
      <c r="C40" s="69">
        <f t="shared" si="0"/>
        <v>35</v>
      </c>
      <c r="D40" s="10" t="str">
        <f t="shared" si="1"/>
        <v>Pass</v>
      </c>
      <c r="E40" s="10" t="str">
        <f t="shared" si="2"/>
        <v>D</v>
      </c>
      <c r="F40" s="11">
        <f t="shared" si="3"/>
        <v>1</v>
      </c>
    </row>
    <row r="41" spans="1:6" x14ac:dyDescent="0.35">
      <c r="A41" s="10">
        <f>'Student Basic Info'!A41</f>
        <v>740</v>
      </c>
      <c r="B41" s="3">
        <v>41</v>
      </c>
      <c r="C41" s="69">
        <f t="shared" si="0"/>
        <v>41</v>
      </c>
      <c r="D41" s="10" t="str">
        <f t="shared" si="1"/>
        <v>Pass</v>
      </c>
      <c r="E41" s="10" t="str">
        <f t="shared" si="2"/>
        <v>C</v>
      </c>
      <c r="F41" s="11">
        <f t="shared" si="3"/>
        <v>2</v>
      </c>
    </row>
    <row r="42" spans="1:6" x14ac:dyDescent="0.35">
      <c r="A42" s="10">
        <f>'Student Basic Info'!A42</f>
        <v>741</v>
      </c>
      <c r="B42" s="3">
        <v>54</v>
      </c>
      <c r="C42" s="69">
        <f t="shared" si="0"/>
        <v>54</v>
      </c>
      <c r="D42" s="10" t="str">
        <f t="shared" si="1"/>
        <v>Pass</v>
      </c>
      <c r="E42" s="10" t="str">
        <f t="shared" si="2"/>
        <v>B</v>
      </c>
      <c r="F42" s="11">
        <f t="shared" si="3"/>
        <v>3</v>
      </c>
    </row>
    <row r="43" spans="1:6" x14ac:dyDescent="0.35">
      <c r="A43" s="10">
        <f>'Student Basic Info'!A43</f>
        <v>742</v>
      </c>
      <c r="B43" s="3"/>
      <c r="C43" s="69" t="str">
        <f t="shared" si="0"/>
        <v/>
      </c>
      <c r="D43" s="10" t="str">
        <f t="shared" si="1"/>
        <v/>
      </c>
      <c r="E43" s="10" t="str">
        <f t="shared" si="2"/>
        <v/>
      </c>
      <c r="F43" s="11" t="str">
        <f t="shared" si="3"/>
        <v/>
      </c>
    </row>
    <row r="44" spans="1:6" x14ac:dyDescent="0.35">
      <c r="A44" s="10">
        <f>'Student Basic Info'!A44</f>
        <v>743</v>
      </c>
      <c r="B44" s="3">
        <v>11</v>
      </c>
      <c r="C44" s="69">
        <f t="shared" si="0"/>
        <v>11</v>
      </c>
      <c r="D44" s="10" t="str">
        <f t="shared" si="1"/>
        <v>Fail</v>
      </c>
      <c r="E44" s="10" t="str">
        <f t="shared" si="2"/>
        <v>F</v>
      </c>
      <c r="F44" s="11">
        <f t="shared" si="3"/>
        <v>0</v>
      </c>
    </row>
    <row r="45" spans="1:6" x14ac:dyDescent="0.35">
      <c r="A45" s="10">
        <f>'Student Basic Info'!A45</f>
        <v>744</v>
      </c>
      <c r="B45" s="3">
        <v>25</v>
      </c>
      <c r="C45" s="69">
        <f t="shared" si="0"/>
        <v>25</v>
      </c>
      <c r="D45" s="10" t="str">
        <f t="shared" si="1"/>
        <v>Fail</v>
      </c>
      <c r="E45" s="10" t="str">
        <f t="shared" si="2"/>
        <v>F</v>
      </c>
      <c r="F45" s="11">
        <f t="shared" si="3"/>
        <v>0</v>
      </c>
    </row>
    <row r="46" spans="1:6" x14ac:dyDescent="0.35">
      <c r="A46" s="10">
        <f>'Student Basic Info'!A46</f>
        <v>745</v>
      </c>
      <c r="B46" s="3">
        <v>66</v>
      </c>
      <c r="C46" s="69">
        <f t="shared" si="0"/>
        <v>66</v>
      </c>
      <c r="D46" s="10" t="str">
        <f t="shared" si="1"/>
        <v>Pass</v>
      </c>
      <c r="E46" s="10" t="str">
        <f t="shared" si="2"/>
        <v>A-</v>
      </c>
      <c r="F46" s="11">
        <f t="shared" si="3"/>
        <v>3.5</v>
      </c>
    </row>
    <row r="47" spans="1:6" x14ac:dyDescent="0.35">
      <c r="A47" s="10">
        <f>'Student Basic Info'!A47</f>
        <v>746</v>
      </c>
      <c r="B47" s="3">
        <v>66</v>
      </c>
      <c r="C47" s="69">
        <f t="shared" si="0"/>
        <v>66</v>
      </c>
      <c r="D47" s="10" t="str">
        <f t="shared" si="1"/>
        <v>Pass</v>
      </c>
      <c r="E47" s="10" t="str">
        <f t="shared" si="2"/>
        <v>A-</v>
      </c>
      <c r="F47" s="11">
        <f t="shared" si="3"/>
        <v>3.5</v>
      </c>
    </row>
    <row r="48" spans="1:6" x14ac:dyDescent="0.35">
      <c r="A48" s="10">
        <f>'Student Basic Info'!A48</f>
        <v>747</v>
      </c>
      <c r="B48" s="3">
        <v>19</v>
      </c>
      <c r="C48" s="69">
        <f t="shared" si="0"/>
        <v>19</v>
      </c>
      <c r="D48" s="10" t="str">
        <f t="shared" si="1"/>
        <v>Fail</v>
      </c>
      <c r="E48" s="10" t="str">
        <f t="shared" si="2"/>
        <v>F</v>
      </c>
      <c r="F48" s="11">
        <f t="shared" si="3"/>
        <v>0</v>
      </c>
    </row>
    <row r="49" spans="1:6" x14ac:dyDescent="0.35">
      <c r="A49" s="10">
        <f>'Student Basic Info'!A49</f>
        <v>748</v>
      </c>
      <c r="B49" s="3">
        <v>15</v>
      </c>
      <c r="C49" s="69">
        <f t="shared" si="0"/>
        <v>15</v>
      </c>
      <c r="D49" s="10" t="str">
        <f t="shared" si="1"/>
        <v>Fail</v>
      </c>
      <c r="E49" s="10" t="str">
        <f t="shared" si="2"/>
        <v>F</v>
      </c>
      <c r="F49" s="11">
        <f t="shared" si="3"/>
        <v>0</v>
      </c>
    </row>
    <row r="50" spans="1:6" x14ac:dyDescent="0.35">
      <c r="A50" s="10">
        <f>'Student Basic Info'!A50</f>
        <v>749</v>
      </c>
      <c r="B50" s="3">
        <v>20</v>
      </c>
      <c r="C50" s="69">
        <f t="shared" si="0"/>
        <v>20</v>
      </c>
      <c r="D50" s="10" t="str">
        <f t="shared" si="1"/>
        <v>Fail</v>
      </c>
      <c r="E50" s="10" t="str">
        <f t="shared" si="2"/>
        <v>F</v>
      </c>
      <c r="F50" s="11">
        <f t="shared" si="3"/>
        <v>0</v>
      </c>
    </row>
    <row r="51" spans="1:6" x14ac:dyDescent="0.35">
      <c r="A51" s="10">
        <f>'Student Basic Info'!A51</f>
        <v>750</v>
      </c>
      <c r="B51" s="3"/>
      <c r="C51" s="69" t="str">
        <f t="shared" si="0"/>
        <v/>
      </c>
      <c r="D51" s="10" t="str">
        <f t="shared" si="1"/>
        <v/>
      </c>
      <c r="E51" s="10" t="str">
        <f t="shared" si="2"/>
        <v/>
      </c>
      <c r="F51" s="11" t="str">
        <f t="shared" si="3"/>
        <v/>
      </c>
    </row>
    <row r="52" spans="1:6" x14ac:dyDescent="0.35">
      <c r="A52" s="10">
        <f>'Student Basic Info'!A52</f>
        <v>751</v>
      </c>
      <c r="B52" s="3">
        <v>27</v>
      </c>
      <c r="C52" s="69">
        <f t="shared" si="0"/>
        <v>27</v>
      </c>
      <c r="D52" s="10" t="str">
        <f t="shared" si="1"/>
        <v>Fail</v>
      </c>
      <c r="E52" s="10" t="str">
        <f t="shared" si="2"/>
        <v>F</v>
      </c>
      <c r="F52" s="11">
        <f t="shared" si="3"/>
        <v>0</v>
      </c>
    </row>
    <row r="53" spans="1:6" x14ac:dyDescent="0.35">
      <c r="A53" s="10">
        <f>'Student Basic Info'!A53</f>
        <v>752</v>
      </c>
      <c r="B53" s="3"/>
      <c r="C53" s="69" t="str">
        <f t="shared" si="0"/>
        <v/>
      </c>
      <c r="D53" s="10" t="str">
        <f t="shared" si="1"/>
        <v/>
      </c>
      <c r="E53" s="10" t="str">
        <f t="shared" si="2"/>
        <v/>
      </c>
      <c r="F53" s="11" t="str">
        <f t="shared" si="3"/>
        <v/>
      </c>
    </row>
    <row r="54" spans="1:6" x14ac:dyDescent="0.35">
      <c r="A54" s="10">
        <f>'Student Basic Info'!A54</f>
        <v>753</v>
      </c>
      <c r="B54" s="3">
        <v>33</v>
      </c>
      <c r="C54" s="69">
        <f t="shared" si="0"/>
        <v>33</v>
      </c>
      <c r="D54" s="10" t="str">
        <f t="shared" si="1"/>
        <v>Pass</v>
      </c>
      <c r="E54" s="10" t="str">
        <f t="shared" si="2"/>
        <v>D</v>
      </c>
      <c r="F54" s="11">
        <f t="shared" si="3"/>
        <v>1</v>
      </c>
    </row>
    <row r="55" spans="1:6" x14ac:dyDescent="0.35">
      <c r="A55" s="10">
        <f>'Student Basic Info'!A55</f>
        <v>754</v>
      </c>
      <c r="B55" s="3">
        <v>23</v>
      </c>
      <c r="C55" s="69">
        <f t="shared" si="0"/>
        <v>23</v>
      </c>
      <c r="D55" s="10" t="str">
        <f t="shared" si="1"/>
        <v>Fail</v>
      </c>
      <c r="E55" s="10" t="str">
        <f t="shared" si="2"/>
        <v>F</v>
      </c>
      <c r="F55" s="11">
        <f t="shared" si="3"/>
        <v>0</v>
      </c>
    </row>
    <row r="56" spans="1:6" x14ac:dyDescent="0.35">
      <c r="A56" s="10">
        <f>'Student Basic Info'!A56</f>
        <v>755</v>
      </c>
      <c r="B56" s="3">
        <v>19</v>
      </c>
      <c r="C56" s="69">
        <f t="shared" si="0"/>
        <v>19</v>
      </c>
      <c r="D56" s="10" t="str">
        <f t="shared" si="1"/>
        <v>Fail</v>
      </c>
      <c r="E56" s="10" t="str">
        <f t="shared" si="2"/>
        <v>F</v>
      </c>
      <c r="F56" s="11">
        <f t="shared" si="3"/>
        <v>0</v>
      </c>
    </row>
    <row r="57" spans="1:6" x14ac:dyDescent="0.35">
      <c r="A57" s="10">
        <f>'Student Basic Info'!A57</f>
        <v>756</v>
      </c>
      <c r="B57" s="3">
        <v>33</v>
      </c>
      <c r="C57" s="69">
        <f t="shared" si="0"/>
        <v>33</v>
      </c>
      <c r="D57" s="10" t="str">
        <f t="shared" si="1"/>
        <v>Pass</v>
      </c>
      <c r="E57" s="10" t="str">
        <f t="shared" si="2"/>
        <v>D</v>
      </c>
      <c r="F57" s="11">
        <f t="shared" si="3"/>
        <v>1</v>
      </c>
    </row>
    <row r="58" spans="1:6" x14ac:dyDescent="0.35">
      <c r="A58" s="10">
        <f>'Student Basic Info'!A58</f>
        <v>757</v>
      </c>
      <c r="B58" s="3">
        <v>11</v>
      </c>
      <c r="C58" s="69">
        <f t="shared" si="0"/>
        <v>11</v>
      </c>
      <c r="D58" s="10" t="str">
        <f t="shared" si="1"/>
        <v>Fail</v>
      </c>
      <c r="E58" s="10" t="str">
        <f t="shared" si="2"/>
        <v>F</v>
      </c>
      <c r="F58" s="11">
        <f t="shared" si="3"/>
        <v>0</v>
      </c>
    </row>
    <row r="59" spans="1:6" x14ac:dyDescent="0.35">
      <c r="A59" s="10">
        <f>'Student Basic Info'!A59</f>
        <v>758</v>
      </c>
      <c r="B59" s="3">
        <v>44</v>
      </c>
      <c r="C59" s="69">
        <f t="shared" si="0"/>
        <v>44</v>
      </c>
      <c r="D59" s="10" t="str">
        <f t="shared" si="1"/>
        <v>Pass</v>
      </c>
      <c r="E59" s="10" t="str">
        <f t="shared" si="2"/>
        <v>C</v>
      </c>
      <c r="F59" s="11">
        <f t="shared" si="3"/>
        <v>2</v>
      </c>
    </row>
    <row r="60" spans="1:6" x14ac:dyDescent="0.35">
      <c r="A60" s="10">
        <f>'Student Basic Info'!A60</f>
        <v>759</v>
      </c>
      <c r="B60" s="3">
        <v>33</v>
      </c>
      <c r="C60" s="69">
        <f t="shared" si="0"/>
        <v>33</v>
      </c>
      <c r="D60" s="10" t="str">
        <f t="shared" si="1"/>
        <v>Pass</v>
      </c>
      <c r="E60" s="10" t="str">
        <f t="shared" si="2"/>
        <v>D</v>
      </c>
      <c r="F60" s="11">
        <f t="shared" si="3"/>
        <v>1</v>
      </c>
    </row>
    <row r="61" spans="1:6" x14ac:dyDescent="0.35">
      <c r="A61" s="10">
        <f>'Student Basic Info'!A61</f>
        <v>760</v>
      </c>
      <c r="B61" s="3">
        <v>38</v>
      </c>
      <c r="C61" s="69">
        <f t="shared" si="0"/>
        <v>38</v>
      </c>
      <c r="D61" s="10" t="str">
        <f t="shared" si="1"/>
        <v>Pass</v>
      </c>
      <c r="E61" s="10" t="str">
        <f t="shared" si="2"/>
        <v>D</v>
      </c>
      <c r="F61" s="11">
        <f t="shared" si="3"/>
        <v>1</v>
      </c>
    </row>
    <row r="62" spans="1:6" x14ac:dyDescent="0.35">
      <c r="A62" s="10">
        <f>'Student Basic Info'!A62</f>
        <v>761</v>
      </c>
      <c r="B62" s="3">
        <v>34</v>
      </c>
      <c r="C62" s="69">
        <f t="shared" si="0"/>
        <v>34</v>
      </c>
      <c r="D62" s="10" t="str">
        <f t="shared" si="1"/>
        <v>Pass</v>
      </c>
      <c r="E62" s="10" t="str">
        <f t="shared" si="2"/>
        <v>D</v>
      </c>
      <c r="F62" s="11">
        <f t="shared" si="3"/>
        <v>1</v>
      </c>
    </row>
    <row r="63" spans="1:6" x14ac:dyDescent="0.35">
      <c r="A63" s="10">
        <f>'Student Basic Info'!A63</f>
        <v>762</v>
      </c>
      <c r="B63" s="3">
        <v>48</v>
      </c>
      <c r="C63" s="69">
        <f t="shared" si="0"/>
        <v>48</v>
      </c>
      <c r="D63" s="10" t="str">
        <f t="shared" si="1"/>
        <v>Pass</v>
      </c>
      <c r="E63" s="10" t="str">
        <f t="shared" si="2"/>
        <v>C</v>
      </c>
      <c r="F63" s="11">
        <f t="shared" si="3"/>
        <v>2</v>
      </c>
    </row>
    <row r="64" spans="1:6" x14ac:dyDescent="0.35">
      <c r="A64" s="10">
        <f>'Student Basic Info'!A64</f>
        <v>763</v>
      </c>
      <c r="B64" s="3">
        <v>36</v>
      </c>
      <c r="C64" s="69">
        <f t="shared" si="0"/>
        <v>36</v>
      </c>
      <c r="D64" s="10" t="str">
        <f t="shared" si="1"/>
        <v>Pass</v>
      </c>
      <c r="E64" s="10" t="str">
        <f t="shared" si="2"/>
        <v>D</v>
      </c>
      <c r="F64" s="11">
        <f t="shared" si="3"/>
        <v>1</v>
      </c>
    </row>
    <row r="65" spans="1:6" x14ac:dyDescent="0.35">
      <c r="A65" s="10">
        <f>'Student Basic Info'!A65</f>
        <v>764</v>
      </c>
      <c r="B65" s="3">
        <v>17</v>
      </c>
      <c r="C65" s="69">
        <f t="shared" si="0"/>
        <v>17</v>
      </c>
      <c r="D65" s="10" t="str">
        <f t="shared" si="1"/>
        <v>Fail</v>
      </c>
      <c r="E65" s="10" t="str">
        <f t="shared" si="2"/>
        <v>F</v>
      </c>
      <c r="F65" s="11">
        <f t="shared" si="3"/>
        <v>0</v>
      </c>
    </row>
    <row r="66" spans="1:6" x14ac:dyDescent="0.35">
      <c r="A66" s="10">
        <f>'Student Basic Info'!A66</f>
        <v>765</v>
      </c>
      <c r="B66" s="3">
        <v>50</v>
      </c>
      <c r="C66" s="69">
        <f t="shared" si="0"/>
        <v>50</v>
      </c>
      <c r="D66" s="10" t="str">
        <f t="shared" si="1"/>
        <v>Pass</v>
      </c>
      <c r="E66" s="10" t="str">
        <f t="shared" si="2"/>
        <v>B</v>
      </c>
      <c r="F66" s="11">
        <f t="shared" si="3"/>
        <v>3</v>
      </c>
    </row>
    <row r="67" spans="1:6" x14ac:dyDescent="0.35">
      <c r="A67" s="10">
        <f>'Student Basic Info'!A67</f>
        <v>766</v>
      </c>
      <c r="B67" s="3">
        <v>49</v>
      </c>
      <c r="C67" s="69">
        <f t="shared" ref="C67:C88" si="4">IF(B67=0, "",B67)</f>
        <v>49</v>
      </c>
      <c r="D67" s="10" t="str">
        <f t="shared" ref="D67:D88" si="5">IF(C67="","", IF(C67&gt;=33,"Pass","Fail"))</f>
        <v>Pass</v>
      </c>
      <c r="E67" s="10" t="str">
        <f t="shared" ref="E67:E88" si="6">(IF(C67="","",IF(D67="Fail","F",IF(C67&gt;=80,"A+",IF(C67&gt;=70,"A",IF(C67&gt;=60,"A-",IF(C67&gt;=50,"B",IF(C67&gt;=40,"C",IF(C67&gt;=33,"D","F")))))))))</f>
        <v>C</v>
      </c>
      <c r="F67" s="11">
        <f t="shared" ref="F67:F88" si="7">(IF(C67="","",IF(E67="F",0,IF(C67&gt;=80,5,IF(C67&gt;=70,4,IF(C67&gt;=60,3.5,IF(C67&gt;=50,3,IF(C67&gt;=40,2,IF(C67&gt;=33,1,0)))))))))</f>
        <v>2</v>
      </c>
    </row>
    <row r="68" spans="1:6" x14ac:dyDescent="0.35">
      <c r="A68" s="10">
        <f>'Student Basic Info'!A68</f>
        <v>767</v>
      </c>
      <c r="B68" s="3">
        <v>50</v>
      </c>
      <c r="C68" s="69">
        <f t="shared" si="4"/>
        <v>50</v>
      </c>
      <c r="D68" s="10" t="str">
        <f t="shared" si="5"/>
        <v>Pass</v>
      </c>
      <c r="E68" s="10" t="str">
        <f t="shared" si="6"/>
        <v>B</v>
      </c>
      <c r="F68" s="11">
        <f t="shared" si="7"/>
        <v>3</v>
      </c>
    </row>
    <row r="69" spans="1:6" x14ac:dyDescent="0.35">
      <c r="A69" s="10">
        <f>'Student Basic Info'!A69</f>
        <v>768</v>
      </c>
      <c r="B69" s="3">
        <v>25</v>
      </c>
      <c r="C69" s="69">
        <f t="shared" si="4"/>
        <v>25</v>
      </c>
      <c r="D69" s="10" t="str">
        <f t="shared" si="5"/>
        <v>Fail</v>
      </c>
      <c r="E69" s="10" t="str">
        <f t="shared" si="6"/>
        <v>F</v>
      </c>
      <c r="F69" s="11">
        <f t="shared" si="7"/>
        <v>0</v>
      </c>
    </row>
    <row r="70" spans="1:6" x14ac:dyDescent="0.35">
      <c r="A70" s="10">
        <f>'Student Basic Info'!A70</f>
        <v>769</v>
      </c>
      <c r="B70" s="3"/>
      <c r="C70" s="69" t="str">
        <f t="shared" si="4"/>
        <v/>
      </c>
      <c r="D70" s="10" t="str">
        <f t="shared" si="5"/>
        <v/>
      </c>
      <c r="E70" s="10" t="str">
        <f t="shared" si="6"/>
        <v/>
      </c>
      <c r="F70" s="11" t="str">
        <f t="shared" si="7"/>
        <v/>
      </c>
    </row>
    <row r="71" spans="1:6" x14ac:dyDescent="0.35">
      <c r="A71" s="10">
        <f>'Student Basic Info'!A71</f>
        <v>770</v>
      </c>
      <c r="B71" s="3">
        <v>17</v>
      </c>
      <c r="C71" s="69">
        <f t="shared" si="4"/>
        <v>17</v>
      </c>
      <c r="D71" s="10" t="str">
        <f t="shared" si="5"/>
        <v>Fail</v>
      </c>
      <c r="E71" s="10" t="str">
        <f t="shared" si="6"/>
        <v>F</v>
      </c>
      <c r="F71" s="11">
        <f t="shared" si="7"/>
        <v>0</v>
      </c>
    </row>
    <row r="72" spans="1:6" x14ac:dyDescent="0.35">
      <c r="A72" s="10">
        <f>'Student Basic Info'!A72</f>
        <v>771</v>
      </c>
      <c r="B72" s="3"/>
      <c r="C72" s="69" t="str">
        <f t="shared" si="4"/>
        <v/>
      </c>
      <c r="D72" s="10" t="str">
        <f t="shared" si="5"/>
        <v/>
      </c>
      <c r="E72" s="10" t="str">
        <f t="shared" si="6"/>
        <v/>
      </c>
      <c r="F72" s="11" t="str">
        <f t="shared" si="7"/>
        <v/>
      </c>
    </row>
    <row r="73" spans="1:6" x14ac:dyDescent="0.35">
      <c r="A73" s="10">
        <f>'Student Basic Info'!A73</f>
        <v>772</v>
      </c>
      <c r="B73" s="142">
        <v>9</v>
      </c>
      <c r="C73" s="69">
        <f t="shared" si="4"/>
        <v>9</v>
      </c>
      <c r="D73" s="10" t="str">
        <f t="shared" si="5"/>
        <v>Fail</v>
      </c>
      <c r="E73" s="10" t="str">
        <f t="shared" si="6"/>
        <v>F</v>
      </c>
      <c r="F73" s="11">
        <f t="shared" si="7"/>
        <v>0</v>
      </c>
    </row>
    <row r="74" spans="1:6" x14ac:dyDescent="0.35">
      <c r="A74" s="10">
        <f>'Student Basic Info'!A74</f>
        <v>773</v>
      </c>
      <c r="B74" s="3">
        <v>24</v>
      </c>
      <c r="C74" s="69">
        <f t="shared" si="4"/>
        <v>24</v>
      </c>
      <c r="D74" s="10" t="str">
        <f t="shared" si="5"/>
        <v>Fail</v>
      </c>
      <c r="E74" s="10" t="str">
        <f t="shared" si="6"/>
        <v>F</v>
      </c>
      <c r="F74" s="11">
        <f t="shared" si="7"/>
        <v>0</v>
      </c>
    </row>
    <row r="75" spans="1:6" x14ac:dyDescent="0.35">
      <c r="A75" s="10">
        <f>'Student Basic Info'!A75</f>
        <v>774</v>
      </c>
      <c r="B75" s="3">
        <v>27</v>
      </c>
      <c r="C75" s="69">
        <f t="shared" si="4"/>
        <v>27</v>
      </c>
      <c r="D75" s="10" t="str">
        <f t="shared" si="5"/>
        <v>Fail</v>
      </c>
      <c r="E75" s="10" t="str">
        <f t="shared" si="6"/>
        <v>F</v>
      </c>
      <c r="F75" s="11">
        <f t="shared" si="7"/>
        <v>0</v>
      </c>
    </row>
    <row r="76" spans="1:6" x14ac:dyDescent="0.35">
      <c r="A76" s="10">
        <f>'Student Basic Info'!A76</f>
        <v>775</v>
      </c>
      <c r="B76" s="3">
        <v>28</v>
      </c>
      <c r="C76" s="69">
        <f t="shared" si="4"/>
        <v>28</v>
      </c>
      <c r="D76" s="10" t="str">
        <f t="shared" si="5"/>
        <v>Fail</v>
      </c>
      <c r="E76" s="10" t="str">
        <f t="shared" si="6"/>
        <v>F</v>
      </c>
      <c r="F76" s="11">
        <f t="shared" si="7"/>
        <v>0</v>
      </c>
    </row>
    <row r="77" spans="1:6" x14ac:dyDescent="0.35">
      <c r="A77" s="10">
        <f>'Student Basic Info'!A77</f>
        <v>776</v>
      </c>
      <c r="B77" s="3">
        <v>12</v>
      </c>
      <c r="C77" s="69">
        <f t="shared" si="4"/>
        <v>12</v>
      </c>
      <c r="D77" s="10" t="str">
        <f t="shared" si="5"/>
        <v>Fail</v>
      </c>
      <c r="E77" s="10" t="str">
        <f t="shared" si="6"/>
        <v>F</v>
      </c>
      <c r="F77" s="11">
        <f t="shared" si="7"/>
        <v>0</v>
      </c>
    </row>
    <row r="78" spans="1:6" x14ac:dyDescent="0.35">
      <c r="A78" s="10">
        <f>'Student Basic Info'!A78</f>
        <v>777</v>
      </c>
      <c r="B78" s="3"/>
      <c r="C78" s="69" t="str">
        <f t="shared" si="4"/>
        <v/>
      </c>
      <c r="D78" s="10" t="str">
        <f t="shared" si="5"/>
        <v/>
      </c>
      <c r="E78" s="10" t="str">
        <f t="shared" si="6"/>
        <v/>
      </c>
      <c r="F78" s="11" t="str">
        <f t="shared" si="7"/>
        <v/>
      </c>
    </row>
    <row r="79" spans="1:6" x14ac:dyDescent="0.35">
      <c r="A79" s="10">
        <f>'Student Basic Info'!A79</f>
        <v>778</v>
      </c>
      <c r="B79" s="3"/>
      <c r="C79" s="69" t="str">
        <f t="shared" si="4"/>
        <v/>
      </c>
      <c r="D79" s="10" t="str">
        <f t="shared" si="5"/>
        <v/>
      </c>
      <c r="E79" s="10" t="str">
        <f t="shared" si="6"/>
        <v/>
      </c>
      <c r="F79" s="11" t="str">
        <f t="shared" si="7"/>
        <v/>
      </c>
    </row>
    <row r="80" spans="1:6" x14ac:dyDescent="0.35">
      <c r="A80" s="10">
        <f>'Student Basic Info'!A80</f>
        <v>779</v>
      </c>
      <c r="B80" s="3">
        <v>19</v>
      </c>
      <c r="C80" s="69">
        <f t="shared" si="4"/>
        <v>19</v>
      </c>
      <c r="D80" s="10" t="str">
        <f t="shared" si="5"/>
        <v>Fail</v>
      </c>
      <c r="E80" s="10" t="str">
        <f t="shared" si="6"/>
        <v>F</v>
      </c>
      <c r="F80" s="11">
        <f t="shared" si="7"/>
        <v>0</v>
      </c>
    </row>
    <row r="81" spans="1:6" x14ac:dyDescent="0.35">
      <c r="A81" s="10">
        <f>'Student Basic Info'!A81</f>
        <v>780</v>
      </c>
      <c r="B81" s="3">
        <v>20</v>
      </c>
      <c r="C81" s="69">
        <f t="shared" si="4"/>
        <v>20</v>
      </c>
      <c r="D81" s="10" t="str">
        <f t="shared" si="5"/>
        <v>Fail</v>
      </c>
      <c r="E81" s="10" t="str">
        <f t="shared" si="6"/>
        <v>F</v>
      </c>
      <c r="F81" s="11">
        <f t="shared" si="7"/>
        <v>0</v>
      </c>
    </row>
    <row r="82" spans="1:6" x14ac:dyDescent="0.35">
      <c r="A82" s="10">
        <f>'Student Basic Info'!A82</f>
        <v>781</v>
      </c>
      <c r="B82" s="3"/>
      <c r="C82" s="69" t="str">
        <f t="shared" si="4"/>
        <v/>
      </c>
      <c r="D82" s="10" t="str">
        <f t="shared" si="5"/>
        <v/>
      </c>
      <c r="E82" s="10" t="str">
        <f t="shared" si="6"/>
        <v/>
      </c>
      <c r="F82" s="11" t="str">
        <f t="shared" si="7"/>
        <v/>
      </c>
    </row>
    <row r="83" spans="1:6" x14ac:dyDescent="0.35">
      <c r="A83" s="10">
        <f>'Student Basic Info'!A83</f>
        <v>782</v>
      </c>
      <c r="B83" s="3">
        <v>42</v>
      </c>
      <c r="C83" s="69">
        <f t="shared" si="4"/>
        <v>42</v>
      </c>
      <c r="D83" s="10" t="str">
        <f t="shared" si="5"/>
        <v>Pass</v>
      </c>
      <c r="E83" s="10" t="str">
        <f t="shared" si="6"/>
        <v>C</v>
      </c>
      <c r="F83" s="11">
        <f t="shared" si="7"/>
        <v>2</v>
      </c>
    </row>
    <row r="84" spans="1:6" x14ac:dyDescent="0.35">
      <c r="A84" s="10">
        <f>'Student Basic Info'!A84</f>
        <v>783</v>
      </c>
      <c r="B84" s="3"/>
      <c r="C84" s="69" t="str">
        <f t="shared" si="4"/>
        <v/>
      </c>
      <c r="D84" s="10" t="str">
        <f t="shared" si="5"/>
        <v/>
      </c>
      <c r="E84" s="10" t="str">
        <f t="shared" si="6"/>
        <v/>
      </c>
      <c r="F84" s="11" t="str">
        <f t="shared" si="7"/>
        <v/>
      </c>
    </row>
    <row r="85" spans="1:6" x14ac:dyDescent="0.35">
      <c r="A85" s="10">
        <f>'Student Basic Info'!A85</f>
        <v>784</v>
      </c>
      <c r="B85" s="3">
        <v>6</v>
      </c>
      <c r="C85" s="69">
        <f t="shared" si="4"/>
        <v>6</v>
      </c>
      <c r="D85" s="10" t="str">
        <f t="shared" si="5"/>
        <v>Fail</v>
      </c>
      <c r="E85" s="10" t="str">
        <f t="shared" si="6"/>
        <v>F</v>
      </c>
      <c r="F85" s="11">
        <f t="shared" si="7"/>
        <v>0</v>
      </c>
    </row>
    <row r="86" spans="1:6" x14ac:dyDescent="0.35">
      <c r="A86" s="10">
        <f>'Student Basic Info'!A86</f>
        <v>785</v>
      </c>
      <c r="B86" s="3">
        <v>3</v>
      </c>
      <c r="C86" s="69">
        <f t="shared" si="4"/>
        <v>3</v>
      </c>
      <c r="D86" s="10" t="str">
        <f t="shared" si="5"/>
        <v>Fail</v>
      </c>
      <c r="E86" s="10" t="str">
        <f t="shared" si="6"/>
        <v>F</v>
      </c>
      <c r="F86" s="11">
        <f t="shared" si="7"/>
        <v>0</v>
      </c>
    </row>
    <row r="87" spans="1:6" x14ac:dyDescent="0.35">
      <c r="A87" s="10">
        <f>'Student Basic Info'!A87</f>
        <v>786</v>
      </c>
      <c r="B87" s="3">
        <v>14</v>
      </c>
      <c r="C87" s="69">
        <f t="shared" si="4"/>
        <v>14</v>
      </c>
      <c r="D87" s="10" t="str">
        <f t="shared" si="5"/>
        <v>Fail</v>
      </c>
      <c r="E87" s="10" t="str">
        <f t="shared" si="6"/>
        <v>F</v>
      </c>
      <c r="F87" s="11">
        <f t="shared" si="7"/>
        <v>0</v>
      </c>
    </row>
    <row r="88" spans="1:6" x14ac:dyDescent="0.35">
      <c r="A88" s="10">
        <f>'Student Basic Info'!A88</f>
        <v>6812</v>
      </c>
      <c r="B88" s="3">
        <v>28</v>
      </c>
      <c r="C88" s="69">
        <f t="shared" si="4"/>
        <v>28</v>
      </c>
      <c r="D88" s="10" t="str">
        <f t="shared" si="5"/>
        <v>Fail</v>
      </c>
      <c r="E88" s="10" t="str">
        <f t="shared" si="6"/>
        <v>F</v>
      </c>
      <c r="F88" s="11">
        <f t="shared" si="7"/>
        <v>0</v>
      </c>
    </row>
    <row r="89" spans="1:6" x14ac:dyDescent="0.35">
      <c r="A89"/>
      <c r="B89"/>
      <c r="C89"/>
      <c r="D89"/>
      <c r="E89"/>
      <c r="F89"/>
    </row>
    <row r="90" spans="1:6" x14ac:dyDescent="0.35">
      <c r="A90"/>
      <c r="B90"/>
      <c r="C90"/>
      <c r="D90"/>
      <c r="E90"/>
      <c r="F90"/>
    </row>
    <row r="91" spans="1:6" x14ac:dyDescent="0.35">
      <c r="A91"/>
      <c r="B91"/>
      <c r="C91"/>
      <c r="D91"/>
      <c r="E91"/>
      <c r="F91"/>
    </row>
    <row r="92" spans="1:6" x14ac:dyDescent="0.35">
      <c r="A92"/>
      <c r="B92"/>
      <c r="C92"/>
      <c r="D92"/>
      <c r="E92"/>
      <c r="F92"/>
    </row>
    <row r="93" spans="1:6" x14ac:dyDescent="0.35">
      <c r="A93"/>
      <c r="B93"/>
      <c r="C93"/>
      <c r="D93"/>
      <c r="E93"/>
      <c r="F93"/>
    </row>
    <row r="94" spans="1:6" x14ac:dyDescent="0.35">
      <c r="A94"/>
      <c r="B94"/>
      <c r="C94"/>
      <c r="D94"/>
      <c r="E94"/>
      <c r="F94"/>
    </row>
    <row r="95" spans="1:6" x14ac:dyDescent="0.35">
      <c r="A95"/>
      <c r="B95"/>
      <c r="C95"/>
      <c r="D95"/>
      <c r="E95"/>
      <c r="F95"/>
    </row>
    <row r="96" spans="1:6" x14ac:dyDescent="0.35">
      <c r="A96"/>
      <c r="B96"/>
      <c r="C96"/>
      <c r="D96"/>
      <c r="E96"/>
      <c r="F96"/>
    </row>
    <row r="97" spans="1:6" x14ac:dyDescent="0.35">
      <c r="A97"/>
      <c r="B97"/>
      <c r="C97"/>
      <c r="D97"/>
      <c r="E97"/>
      <c r="F97"/>
    </row>
    <row r="98" spans="1:6" x14ac:dyDescent="0.35">
      <c r="A98"/>
      <c r="B98"/>
      <c r="C98"/>
      <c r="D98"/>
      <c r="E98"/>
      <c r="F98"/>
    </row>
    <row r="99" spans="1:6" x14ac:dyDescent="0.35">
      <c r="A99"/>
      <c r="B99"/>
      <c r="C99"/>
      <c r="D99"/>
      <c r="E99"/>
      <c r="F99"/>
    </row>
    <row r="100" spans="1:6" x14ac:dyDescent="0.35">
      <c r="A100"/>
      <c r="B100"/>
      <c r="C100"/>
      <c r="D100"/>
      <c r="E100"/>
      <c r="F100"/>
    </row>
    <row r="101" spans="1:6" x14ac:dyDescent="0.35">
      <c r="A101"/>
      <c r="B101"/>
      <c r="C101"/>
      <c r="D101"/>
      <c r="E101"/>
      <c r="F101"/>
    </row>
    <row r="102" spans="1:6" x14ac:dyDescent="0.35">
      <c r="A102"/>
      <c r="B102"/>
      <c r="C102"/>
      <c r="D102"/>
      <c r="E102"/>
      <c r="F102"/>
    </row>
    <row r="103" spans="1:6" x14ac:dyDescent="0.35">
      <c r="A103"/>
      <c r="B103"/>
      <c r="C103"/>
      <c r="D103"/>
      <c r="E103"/>
      <c r="F103"/>
    </row>
    <row r="104" spans="1:6" x14ac:dyDescent="0.35">
      <c r="A104"/>
      <c r="B104"/>
      <c r="C104"/>
      <c r="D104"/>
      <c r="E104"/>
      <c r="F104"/>
    </row>
    <row r="105" spans="1:6" x14ac:dyDescent="0.35">
      <c r="A105"/>
      <c r="B105"/>
      <c r="C105"/>
      <c r="D105"/>
      <c r="E105"/>
      <c r="F105"/>
    </row>
    <row r="106" spans="1:6" x14ac:dyDescent="0.35">
      <c r="A106"/>
      <c r="B106"/>
      <c r="C106"/>
      <c r="D106"/>
      <c r="E106"/>
      <c r="F106"/>
    </row>
    <row r="107" spans="1:6" x14ac:dyDescent="0.35">
      <c r="A107"/>
      <c r="B107"/>
      <c r="C107"/>
      <c r="D107"/>
      <c r="E107"/>
      <c r="F107"/>
    </row>
    <row r="108" spans="1:6" x14ac:dyDescent="0.35">
      <c r="A108"/>
      <c r="B108"/>
      <c r="C108"/>
      <c r="D108"/>
      <c r="E108"/>
      <c r="F108"/>
    </row>
    <row r="109" spans="1:6" x14ac:dyDescent="0.35">
      <c r="A109"/>
      <c r="B109"/>
      <c r="C109"/>
      <c r="D109"/>
      <c r="E109"/>
      <c r="F109"/>
    </row>
    <row r="110" spans="1:6" x14ac:dyDescent="0.35">
      <c r="A110"/>
      <c r="B110"/>
      <c r="C110"/>
      <c r="D110"/>
      <c r="E110"/>
      <c r="F110"/>
    </row>
    <row r="111" spans="1:6" x14ac:dyDescent="0.35">
      <c r="A111"/>
      <c r="B111"/>
      <c r="C111"/>
      <c r="D111"/>
      <c r="E111"/>
      <c r="F111"/>
    </row>
    <row r="112" spans="1:6" x14ac:dyDescent="0.35">
      <c r="A112"/>
      <c r="B112"/>
      <c r="C112"/>
      <c r="D112"/>
      <c r="E112"/>
      <c r="F112"/>
    </row>
    <row r="113" spans="1:6" x14ac:dyDescent="0.35">
      <c r="A113"/>
      <c r="B113"/>
      <c r="C113"/>
      <c r="D113"/>
      <c r="E113"/>
      <c r="F113"/>
    </row>
    <row r="114" spans="1:6" x14ac:dyDescent="0.35">
      <c r="A114"/>
      <c r="B114"/>
      <c r="C114"/>
      <c r="D114"/>
      <c r="E114"/>
      <c r="F114"/>
    </row>
    <row r="115" spans="1:6" x14ac:dyDescent="0.35">
      <c r="A115"/>
      <c r="B115"/>
      <c r="C115"/>
      <c r="D115"/>
      <c r="E115"/>
      <c r="F115"/>
    </row>
    <row r="116" spans="1:6" x14ac:dyDescent="0.35">
      <c r="A116"/>
      <c r="B116"/>
      <c r="C116"/>
      <c r="D116"/>
      <c r="E116"/>
      <c r="F116"/>
    </row>
    <row r="117" spans="1:6" x14ac:dyDescent="0.35">
      <c r="A117"/>
      <c r="B117"/>
      <c r="C117"/>
      <c r="D117"/>
      <c r="E117"/>
      <c r="F117"/>
    </row>
    <row r="118" spans="1:6" x14ac:dyDescent="0.35">
      <c r="A118"/>
      <c r="B118"/>
      <c r="C118"/>
      <c r="D118"/>
      <c r="E118"/>
      <c r="F118"/>
    </row>
    <row r="119" spans="1:6" x14ac:dyDescent="0.35">
      <c r="A119"/>
      <c r="B119"/>
      <c r="C119"/>
      <c r="D119"/>
      <c r="E119"/>
      <c r="F119"/>
    </row>
    <row r="120" spans="1:6" x14ac:dyDescent="0.35">
      <c r="A120"/>
      <c r="B120"/>
      <c r="C120"/>
      <c r="D120"/>
      <c r="E120"/>
      <c r="F120"/>
    </row>
    <row r="121" spans="1:6" x14ac:dyDescent="0.35">
      <c r="A121"/>
      <c r="B121"/>
      <c r="C121"/>
      <c r="D121"/>
      <c r="E121"/>
      <c r="F121"/>
    </row>
    <row r="122" spans="1:6" x14ac:dyDescent="0.35">
      <c r="A122"/>
      <c r="B122"/>
      <c r="C122"/>
      <c r="D122"/>
      <c r="E122"/>
      <c r="F122"/>
    </row>
    <row r="123" spans="1:6" x14ac:dyDescent="0.35">
      <c r="A123"/>
      <c r="B123"/>
      <c r="C123"/>
      <c r="D123"/>
      <c r="E123"/>
      <c r="F123"/>
    </row>
    <row r="124" spans="1:6" x14ac:dyDescent="0.35">
      <c r="A124"/>
      <c r="B124"/>
      <c r="C124"/>
      <c r="D124"/>
      <c r="E124"/>
      <c r="F124"/>
    </row>
    <row r="125" spans="1:6" x14ac:dyDescent="0.35">
      <c r="A125"/>
      <c r="B125"/>
      <c r="C125"/>
      <c r="D125"/>
      <c r="E125"/>
      <c r="F125"/>
    </row>
    <row r="126" spans="1:6" x14ac:dyDescent="0.35">
      <c r="A126"/>
      <c r="B126"/>
      <c r="C126"/>
      <c r="D126"/>
      <c r="E126"/>
      <c r="F126"/>
    </row>
    <row r="127" spans="1:6" x14ac:dyDescent="0.35">
      <c r="A127"/>
      <c r="B127"/>
      <c r="C127"/>
      <c r="D127"/>
      <c r="E127"/>
      <c r="F127"/>
    </row>
    <row r="128" spans="1:6" x14ac:dyDescent="0.35">
      <c r="A128"/>
      <c r="B128"/>
      <c r="C128"/>
      <c r="D128"/>
      <c r="E128"/>
      <c r="F128"/>
    </row>
    <row r="129" spans="1:6" x14ac:dyDescent="0.35">
      <c r="A129"/>
      <c r="B129"/>
      <c r="C129"/>
      <c r="D129"/>
      <c r="E129"/>
      <c r="F129"/>
    </row>
    <row r="130" spans="1:6" x14ac:dyDescent="0.35">
      <c r="A130"/>
      <c r="B130"/>
      <c r="C130"/>
      <c r="D130"/>
      <c r="E130"/>
      <c r="F130"/>
    </row>
    <row r="131" spans="1:6" x14ac:dyDescent="0.35">
      <c r="A131"/>
      <c r="B131"/>
      <c r="C131"/>
      <c r="D131"/>
      <c r="E131"/>
      <c r="F131"/>
    </row>
    <row r="132" spans="1:6" x14ac:dyDescent="0.35">
      <c r="A132"/>
      <c r="B132"/>
      <c r="C132"/>
      <c r="D132"/>
      <c r="E132"/>
      <c r="F132"/>
    </row>
    <row r="133" spans="1:6" x14ac:dyDescent="0.35">
      <c r="A133"/>
      <c r="B133"/>
      <c r="C133"/>
      <c r="D133"/>
      <c r="E133"/>
      <c r="F133"/>
    </row>
    <row r="134" spans="1:6" x14ac:dyDescent="0.35">
      <c r="A134"/>
      <c r="B134"/>
      <c r="C134"/>
      <c r="D134"/>
      <c r="E134"/>
      <c r="F134"/>
    </row>
    <row r="135" spans="1:6" x14ac:dyDescent="0.35">
      <c r="A135"/>
      <c r="B135"/>
      <c r="C135"/>
      <c r="D135"/>
      <c r="E135"/>
      <c r="F135"/>
    </row>
    <row r="136" spans="1:6" x14ac:dyDescent="0.35">
      <c r="A136"/>
      <c r="B136"/>
      <c r="C136"/>
      <c r="D136"/>
      <c r="E136"/>
      <c r="F136"/>
    </row>
    <row r="137" spans="1:6" x14ac:dyDescent="0.35">
      <c r="A137"/>
      <c r="B137"/>
      <c r="C137"/>
      <c r="D137"/>
      <c r="E137"/>
      <c r="F137"/>
    </row>
    <row r="138" spans="1:6" x14ac:dyDescent="0.35">
      <c r="A138"/>
      <c r="B138"/>
      <c r="C138"/>
      <c r="D138"/>
      <c r="E138"/>
      <c r="F138"/>
    </row>
    <row r="139" spans="1:6" x14ac:dyDescent="0.35">
      <c r="A139"/>
      <c r="B139"/>
      <c r="C139"/>
      <c r="D139"/>
      <c r="E139"/>
      <c r="F139"/>
    </row>
    <row r="140" spans="1:6" x14ac:dyDescent="0.35">
      <c r="A140"/>
      <c r="B140"/>
      <c r="C140"/>
      <c r="D140"/>
      <c r="E140"/>
      <c r="F140"/>
    </row>
    <row r="141" spans="1:6" x14ac:dyDescent="0.35">
      <c r="A141"/>
      <c r="B141"/>
      <c r="C141"/>
      <c r="D141"/>
      <c r="E141"/>
      <c r="F141"/>
    </row>
    <row r="142" spans="1:6" x14ac:dyDescent="0.35">
      <c r="A142"/>
      <c r="B142"/>
      <c r="C142"/>
      <c r="D142"/>
      <c r="E142"/>
      <c r="F142"/>
    </row>
    <row r="143" spans="1:6" x14ac:dyDescent="0.35">
      <c r="A143"/>
      <c r="B143"/>
      <c r="C143"/>
      <c r="D143"/>
      <c r="E143"/>
      <c r="F143"/>
    </row>
    <row r="144" spans="1:6" x14ac:dyDescent="0.35">
      <c r="A144"/>
      <c r="B144"/>
      <c r="C144"/>
      <c r="D144"/>
      <c r="E144"/>
      <c r="F144"/>
    </row>
    <row r="145" spans="1:6" x14ac:dyDescent="0.35">
      <c r="A145"/>
      <c r="B145"/>
      <c r="C145"/>
      <c r="D145"/>
      <c r="E145"/>
      <c r="F145"/>
    </row>
    <row r="146" spans="1:6" x14ac:dyDescent="0.35">
      <c r="A146"/>
      <c r="B146"/>
      <c r="C146"/>
      <c r="D146"/>
      <c r="E146"/>
      <c r="F146"/>
    </row>
    <row r="147" spans="1:6" x14ac:dyDescent="0.35">
      <c r="A147"/>
      <c r="B147"/>
      <c r="C147"/>
      <c r="D147"/>
      <c r="E147"/>
      <c r="F147"/>
    </row>
    <row r="148" spans="1:6" x14ac:dyDescent="0.35">
      <c r="A148"/>
      <c r="B148"/>
      <c r="C148"/>
      <c r="D148"/>
      <c r="E148"/>
      <c r="F148"/>
    </row>
    <row r="149" spans="1:6" x14ac:dyDescent="0.35">
      <c r="A149"/>
      <c r="B149"/>
      <c r="C149"/>
      <c r="D149"/>
      <c r="E149"/>
      <c r="F149"/>
    </row>
    <row r="150" spans="1:6" x14ac:dyDescent="0.35">
      <c r="A150"/>
      <c r="B150"/>
      <c r="C150"/>
      <c r="D150"/>
      <c r="E150"/>
      <c r="F150"/>
    </row>
    <row r="151" spans="1:6" x14ac:dyDescent="0.35">
      <c r="A151"/>
      <c r="B151"/>
      <c r="C151"/>
      <c r="D151"/>
      <c r="E151"/>
      <c r="F151"/>
    </row>
    <row r="152" spans="1:6" x14ac:dyDescent="0.35">
      <c r="A152"/>
      <c r="B152"/>
      <c r="C152"/>
      <c r="D152"/>
      <c r="E152"/>
      <c r="F152"/>
    </row>
    <row r="153" spans="1:6" x14ac:dyDescent="0.35">
      <c r="A153"/>
      <c r="B153"/>
      <c r="C153"/>
      <c r="D153"/>
      <c r="E153"/>
      <c r="F153"/>
    </row>
    <row r="154" spans="1:6" x14ac:dyDescent="0.35">
      <c r="A154"/>
      <c r="B154"/>
      <c r="C154"/>
      <c r="D154"/>
      <c r="E154"/>
      <c r="F154"/>
    </row>
    <row r="155" spans="1:6" x14ac:dyDescent="0.35">
      <c r="A155"/>
      <c r="B155"/>
      <c r="C155"/>
      <c r="D155"/>
      <c r="E155"/>
      <c r="F155"/>
    </row>
    <row r="156" spans="1:6" x14ac:dyDescent="0.35">
      <c r="A156"/>
      <c r="B156"/>
      <c r="C156"/>
      <c r="D156"/>
      <c r="E156"/>
      <c r="F156"/>
    </row>
    <row r="157" spans="1:6" x14ac:dyDescent="0.35">
      <c r="A157"/>
      <c r="B157"/>
      <c r="C157"/>
      <c r="D157"/>
      <c r="E157"/>
      <c r="F157"/>
    </row>
    <row r="158" spans="1:6" x14ac:dyDescent="0.35">
      <c r="A158"/>
      <c r="B158"/>
      <c r="C158"/>
      <c r="D158"/>
      <c r="E158"/>
      <c r="F158"/>
    </row>
    <row r="159" spans="1:6" x14ac:dyDescent="0.35">
      <c r="A159"/>
      <c r="B159"/>
      <c r="C159"/>
      <c r="D159"/>
      <c r="E159"/>
      <c r="F159"/>
    </row>
    <row r="160" spans="1:6" x14ac:dyDescent="0.35">
      <c r="A160"/>
      <c r="B160"/>
      <c r="C160"/>
      <c r="D160"/>
      <c r="E160"/>
      <c r="F160"/>
    </row>
    <row r="161" spans="1:6" x14ac:dyDescent="0.35">
      <c r="A161"/>
      <c r="B161"/>
      <c r="C161"/>
      <c r="D161"/>
      <c r="E161"/>
      <c r="F161"/>
    </row>
    <row r="162" spans="1:6" x14ac:dyDescent="0.35">
      <c r="A162"/>
      <c r="B162"/>
      <c r="C162"/>
      <c r="D162"/>
      <c r="E162"/>
      <c r="F162"/>
    </row>
    <row r="163" spans="1:6" x14ac:dyDescent="0.35">
      <c r="A163"/>
      <c r="B163"/>
      <c r="C163"/>
      <c r="D163"/>
      <c r="E163"/>
      <c r="F163"/>
    </row>
    <row r="164" spans="1:6" x14ac:dyDescent="0.35">
      <c r="A164"/>
      <c r="B164"/>
      <c r="C164"/>
      <c r="D164"/>
      <c r="E164"/>
      <c r="F164"/>
    </row>
    <row r="165" spans="1:6" x14ac:dyDescent="0.35">
      <c r="A165"/>
      <c r="B165"/>
      <c r="C165"/>
      <c r="D165"/>
      <c r="E165"/>
      <c r="F165"/>
    </row>
    <row r="166" spans="1:6" x14ac:dyDescent="0.35">
      <c r="A166"/>
      <c r="B166"/>
      <c r="C166"/>
      <c r="D166"/>
      <c r="E166"/>
      <c r="F166"/>
    </row>
    <row r="167" spans="1:6" x14ac:dyDescent="0.35">
      <c r="A167"/>
      <c r="B167"/>
      <c r="C167"/>
      <c r="D167"/>
      <c r="E167"/>
      <c r="F167"/>
    </row>
    <row r="168" spans="1:6" x14ac:dyDescent="0.35">
      <c r="A168"/>
      <c r="B168"/>
      <c r="C168"/>
      <c r="D168"/>
      <c r="E168"/>
      <c r="F168"/>
    </row>
    <row r="169" spans="1:6" x14ac:dyDescent="0.35">
      <c r="A169"/>
      <c r="B169"/>
      <c r="C169"/>
      <c r="D169"/>
      <c r="E169"/>
      <c r="F169"/>
    </row>
    <row r="170" spans="1:6" x14ac:dyDescent="0.35">
      <c r="A170"/>
      <c r="B170"/>
      <c r="C170"/>
      <c r="D170"/>
      <c r="E170"/>
      <c r="F170"/>
    </row>
    <row r="171" spans="1:6" x14ac:dyDescent="0.35">
      <c r="A171"/>
      <c r="B171"/>
      <c r="C171"/>
      <c r="D171"/>
      <c r="E171"/>
      <c r="F171"/>
    </row>
    <row r="172" spans="1:6" x14ac:dyDescent="0.35">
      <c r="A172"/>
      <c r="B172"/>
      <c r="C172"/>
      <c r="D172"/>
      <c r="E172"/>
      <c r="F172"/>
    </row>
    <row r="173" spans="1:6" x14ac:dyDescent="0.35">
      <c r="A173"/>
      <c r="B173"/>
      <c r="C173"/>
      <c r="D173"/>
      <c r="E173"/>
      <c r="F173"/>
    </row>
    <row r="174" spans="1:6" x14ac:dyDescent="0.35">
      <c r="A174"/>
      <c r="B174"/>
      <c r="C174"/>
      <c r="D174"/>
      <c r="E174"/>
      <c r="F174"/>
    </row>
    <row r="175" spans="1:6" x14ac:dyDescent="0.35">
      <c r="A175"/>
      <c r="B175"/>
      <c r="C175"/>
      <c r="D175"/>
      <c r="E175"/>
      <c r="F175"/>
    </row>
    <row r="176" spans="1:6" x14ac:dyDescent="0.35">
      <c r="A176"/>
      <c r="B176"/>
      <c r="C176"/>
      <c r="D176"/>
      <c r="E176"/>
      <c r="F176"/>
    </row>
    <row r="177" spans="1:6" x14ac:dyDescent="0.35">
      <c r="A177"/>
      <c r="B177"/>
      <c r="C177"/>
      <c r="D177"/>
      <c r="E177"/>
      <c r="F177"/>
    </row>
    <row r="178" spans="1:6" x14ac:dyDescent="0.35">
      <c r="A178"/>
      <c r="B178"/>
      <c r="C178"/>
      <c r="D178"/>
      <c r="E178"/>
      <c r="F178"/>
    </row>
    <row r="179" spans="1:6" x14ac:dyDescent="0.35">
      <c r="A179"/>
      <c r="B179"/>
      <c r="C179"/>
      <c r="D179"/>
      <c r="E179"/>
      <c r="F179"/>
    </row>
    <row r="180" spans="1:6" x14ac:dyDescent="0.35">
      <c r="A180"/>
      <c r="B180"/>
      <c r="C180"/>
      <c r="D180"/>
      <c r="E180"/>
      <c r="F180"/>
    </row>
    <row r="181" spans="1:6" x14ac:dyDescent="0.35">
      <c r="A181"/>
      <c r="B181"/>
      <c r="C181"/>
      <c r="D181"/>
      <c r="E181"/>
      <c r="F181"/>
    </row>
    <row r="182" spans="1:6" x14ac:dyDescent="0.35">
      <c r="A182"/>
      <c r="B182"/>
      <c r="C182"/>
      <c r="D182"/>
      <c r="E182"/>
      <c r="F182"/>
    </row>
    <row r="183" spans="1:6" x14ac:dyDescent="0.35">
      <c r="A183"/>
      <c r="B183"/>
      <c r="C183"/>
      <c r="D183"/>
      <c r="E183"/>
      <c r="F183"/>
    </row>
    <row r="184" spans="1:6" x14ac:dyDescent="0.35">
      <c r="A184"/>
      <c r="B184"/>
      <c r="C184"/>
      <c r="D184"/>
      <c r="E184"/>
      <c r="F184"/>
    </row>
    <row r="185" spans="1:6" x14ac:dyDescent="0.35">
      <c r="A185"/>
      <c r="B185"/>
      <c r="C185"/>
      <c r="D185"/>
      <c r="E185"/>
      <c r="F185"/>
    </row>
    <row r="186" spans="1:6" x14ac:dyDescent="0.35">
      <c r="A186"/>
      <c r="B186"/>
      <c r="C186"/>
      <c r="D186"/>
      <c r="E186"/>
      <c r="F186"/>
    </row>
    <row r="187" spans="1:6" x14ac:dyDescent="0.35">
      <c r="A187"/>
      <c r="B187"/>
      <c r="C187"/>
      <c r="D187"/>
      <c r="E187"/>
      <c r="F187"/>
    </row>
    <row r="188" spans="1:6" x14ac:dyDescent="0.35">
      <c r="A188"/>
      <c r="B188"/>
      <c r="C188"/>
      <c r="D188"/>
      <c r="E188"/>
      <c r="F188"/>
    </row>
    <row r="189" spans="1:6" x14ac:dyDescent="0.35">
      <c r="A189"/>
      <c r="B189"/>
      <c r="C189"/>
      <c r="D189"/>
      <c r="E189"/>
      <c r="F189"/>
    </row>
    <row r="190" spans="1:6" x14ac:dyDescent="0.35">
      <c r="A190"/>
      <c r="B190"/>
      <c r="C190"/>
      <c r="D190"/>
      <c r="E190"/>
      <c r="F190"/>
    </row>
    <row r="191" spans="1:6" x14ac:dyDescent="0.35">
      <c r="A191"/>
      <c r="B191"/>
      <c r="C191"/>
      <c r="D191"/>
      <c r="E191"/>
      <c r="F191"/>
    </row>
    <row r="192" spans="1:6" x14ac:dyDescent="0.35">
      <c r="A192"/>
      <c r="B192"/>
      <c r="C192"/>
      <c r="D192"/>
      <c r="E192"/>
      <c r="F192"/>
    </row>
    <row r="193" spans="1:6" x14ac:dyDescent="0.35">
      <c r="A193"/>
      <c r="B193"/>
      <c r="C193"/>
      <c r="D193"/>
      <c r="E193"/>
      <c r="F193"/>
    </row>
    <row r="194" spans="1:6" x14ac:dyDescent="0.35">
      <c r="A194"/>
      <c r="B194"/>
      <c r="C194"/>
      <c r="D194"/>
      <c r="E194"/>
      <c r="F194"/>
    </row>
    <row r="195" spans="1:6" x14ac:dyDescent="0.35">
      <c r="A195"/>
      <c r="B195"/>
      <c r="C195"/>
      <c r="D195"/>
      <c r="E195"/>
      <c r="F195"/>
    </row>
    <row r="196" spans="1:6" x14ac:dyDescent="0.35">
      <c r="A196"/>
      <c r="B196"/>
      <c r="C196"/>
      <c r="D196"/>
      <c r="E196"/>
      <c r="F196"/>
    </row>
    <row r="197" spans="1:6" x14ac:dyDescent="0.35">
      <c r="A197"/>
      <c r="B197"/>
      <c r="C197"/>
      <c r="D197"/>
      <c r="E197"/>
      <c r="F197"/>
    </row>
    <row r="198" spans="1:6" x14ac:dyDescent="0.35">
      <c r="A198"/>
      <c r="B198"/>
      <c r="C198"/>
      <c r="D198"/>
      <c r="E198"/>
      <c r="F198"/>
    </row>
    <row r="199" spans="1:6" x14ac:dyDescent="0.35">
      <c r="A199"/>
      <c r="B199"/>
      <c r="C199"/>
      <c r="D199"/>
      <c r="E199"/>
      <c r="F199"/>
    </row>
    <row r="200" spans="1:6" x14ac:dyDescent="0.35">
      <c r="A200"/>
      <c r="B200"/>
      <c r="C200"/>
      <c r="D200"/>
      <c r="E200"/>
      <c r="F200"/>
    </row>
    <row r="201" spans="1:6" x14ac:dyDescent="0.35">
      <c r="A201"/>
      <c r="B201"/>
      <c r="C201"/>
      <c r="D201"/>
      <c r="E201"/>
      <c r="F201"/>
    </row>
    <row r="202" spans="1:6" x14ac:dyDescent="0.35">
      <c r="A202"/>
      <c r="B202"/>
      <c r="C202"/>
      <c r="D202"/>
      <c r="E202"/>
      <c r="F202"/>
    </row>
    <row r="203" spans="1:6" x14ac:dyDescent="0.35">
      <c r="A203"/>
      <c r="B203"/>
      <c r="C203"/>
      <c r="D203"/>
      <c r="E203"/>
      <c r="F203"/>
    </row>
    <row r="204" spans="1:6" x14ac:dyDescent="0.35">
      <c r="A204"/>
      <c r="B204"/>
      <c r="C204"/>
      <c r="D204"/>
      <c r="E204"/>
      <c r="F204"/>
    </row>
    <row r="205" spans="1:6" x14ac:dyDescent="0.35">
      <c r="A205"/>
      <c r="B205"/>
      <c r="C205"/>
      <c r="D205"/>
      <c r="E205"/>
      <c r="F205"/>
    </row>
    <row r="206" spans="1:6" x14ac:dyDescent="0.35">
      <c r="A206"/>
      <c r="B206"/>
      <c r="C206"/>
      <c r="D206"/>
      <c r="E206"/>
      <c r="F206"/>
    </row>
    <row r="207" spans="1:6" x14ac:dyDescent="0.35">
      <c r="A207"/>
      <c r="B207"/>
      <c r="C207"/>
      <c r="D207"/>
      <c r="E207"/>
      <c r="F207"/>
    </row>
    <row r="208" spans="1:6" x14ac:dyDescent="0.35">
      <c r="A208"/>
      <c r="B208"/>
      <c r="C208"/>
      <c r="D208"/>
      <c r="E208"/>
      <c r="F208"/>
    </row>
    <row r="209" spans="1:6" x14ac:dyDescent="0.35">
      <c r="A209"/>
      <c r="B209"/>
      <c r="C209"/>
      <c r="D209"/>
      <c r="E209"/>
      <c r="F209"/>
    </row>
    <row r="210" spans="1:6" x14ac:dyDescent="0.35">
      <c r="A210"/>
      <c r="B210"/>
      <c r="C210"/>
      <c r="D210"/>
      <c r="E210"/>
      <c r="F210"/>
    </row>
    <row r="211" spans="1:6" x14ac:dyDescent="0.35">
      <c r="A211"/>
      <c r="B211"/>
      <c r="C211"/>
      <c r="D211"/>
      <c r="E211"/>
      <c r="F211"/>
    </row>
    <row r="212" spans="1:6" x14ac:dyDescent="0.35">
      <c r="A212"/>
      <c r="B212"/>
      <c r="C212"/>
      <c r="D212"/>
      <c r="E212"/>
      <c r="F212"/>
    </row>
    <row r="213" spans="1:6" x14ac:dyDescent="0.35">
      <c r="A213"/>
      <c r="B213"/>
      <c r="C213"/>
      <c r="D213"/>
      <c r="E213"/>
      <c r="F213"/>
    </row>
    <row r="214" spans="1:6" x14ac:dyDescent="0.35">
      <c r="A214"/>
      <c r="B214"/>
      <c r="C214"/>
      <c r="D214"/>
      <c r="E214"/>
      <c r="F214"/>
    </row>
  </sheetData>
  <conditionalFormatting sqref="D2:D88">
    <cfRule type="containsText" dxfId="24" priority="1" operator="containsText" text="Fail">
      <formula>NOT(ISERROR(SEARCH("Fail",D2)))</formula>
    </cfRule>
    <cfRule type="containsText" dxfId="23" priority="2" operator="containsText" text="Pass">
      <formula>NOT(ISERROR(SEARCH("Pass",D2)))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28"/>
  <sheetViews>
    <sheetView tabSelected="1" workbookViewId="0">
      <selection activeCell="B1" sqref="B1:B1048576"/>
    </sheetView>
  </sheetViews>
  <sheetFormatPr defaultRowHeight="14.5" x14ac:dyDescent="0.35"/>
  <cols>
    <col min="1" max="1" width="8.7265625" style="15"/>
    <col min="2" max="2" width="10.7265625" style="1" bestFit="1" customWidth="1"/>
    <col min="3" max="3" width="9" style="1" bestFit="1" customWidth="1"/>
    <col min="4" max="4" width="9" style="106" customWidth="1"/>
    <col min="5" max="5" width="10.81640625" style="15" bestFit="1" customWidth="1"/>
    <col min="6" max="8" width="8.7265625" style="15"/>
  </cols>
  <sheetData>
    <row r="1" spans="1:9" x14ac:dyDescent="0.35">
      <c r="A1" s="12" t="s">
        <v>0</v>
      </c>
      <c r="B1" s="12" t="s">
        <v>4</v>
      </c>
      <c r="C1" s="12" t="s">
        <v>5</v>
      </c>
      <c r="D1" s="104" t="s">
        <v>57</v>
      </c>
      <c r="E1" s="12" t="s">
        <v>6</v>
      </c>
      <c r="F1" s="12" t="s">
        <v>7</v>
      </c>
      <c r="G1" s="12" t="s">
        <v>8</v>
      </c>
      <c r="H1" s="12" t="s">
        <v>9</v>
      </c>
    </row>
    <row r="2" spans="1:9" x14ac:dyDescent="0.35">
      <c r="A2" s="10">
        <f>'Student Basic Info'!A2</f>
        <v>701</v>
      </c>
      <c r="B2" s="54">
        <v>17</v>
      </c>
      <c r="C2" s="54">
        <v>40</v>
      </c>
      <c r="D2" s="145">
        <v>25</v>
      </c>
      <c r="E2" s="69">
        <f>IF(B2+C2=0, "", B2+C2+D2)</f>
        <v>82</v>
      </c>
      <c r="F2" s="10" t="str">
        <f>IF(E2="","", IF(AND(B2 &gt;=8,C2&gt;=17,D2&gt;=8),"Pass","Fail"))</f>
        <v>Pass</v>
      </c>
      <c r="G2" s="10" t="str">
        <f>(IF(E2="","",IF(F2="Fail","F",IF(E2&gt;=80,"A+",IF(E2&gt;=70,"A",IF(E2&gt;=60,"A-",IF(E2&gt;=50,"B",IF(E2&gt;=40,"C",IF(E2&gt;=33,"D","F")))))))))</f>
        <v>A+</v>
      </c>
      <c r="H2" s="11">
        <f>(IF(E2="","",IF(G2="F",0,IF(E2&gt;=80,5,IF(E2&gt;=70,4,IF(E2&gt;=60,3.5,IF(E2&gt;=50,3,IF(E2&gt;=40,2,IF(E2&gt;=33,1,0)))))))))</f>
        <v>5</v>
      </c>
    </row>
    <row r="3" spans="1:9" x14ac:dyDescent="0.35">
      <c r="A3" s="10">
        <f>'Student Basic Info'!A3</f>
        <v>702</v>
      </c>
      <c r="B3" s="54"/>
      <c r="C3" s="54"/>
      <c r="D3" s="145"/>
      <c r="E3" s="69" t="str">
        <f>IF(B3+C3=0, "", B3+C3+D3)</f>
        <v/>
      </c>
      <c r="F3" s="10" t="str">
        <f>IF(E3="","", IF(AND(B3 &gt;=8,C3&gt;=17,D3&gt;=8),"Pass","Fail"))</f>
        <v/>
      </c>
      <c r="G3" s="10" t="str">
        <f>(IF(E3="","",IF(F3="Fail","F",IF(E3&gt;=80,"A+",IF(E3&gt;=70,"A",IF(E3&gt;=60,"A-",IF(E3&gt;=50,"B",IF(E3&gt;=40,"C",IF(E3&gt;=33,"D","F")))))))))</f>
        <v/>
      </c>
      <c r="H3" s="11" t="str">
        <f>(IF(E3="","",IF(G3="F",0,IF(E3&gt;=80,5,IF(E3&gt;=70,4,IF(E3&gt;=60,3.5,IF(E3&gt;=50,3,IF(E3&gt;=40,2,IF(E3&gt;=33,1,0)))))))))</f>
        <v/>
      </c>
    </row>
    <row r="4" spans="1:9" x14ac:dyDescent="0.35">
      <c r="A4" s="10">
        <f>'Student Basic Info'!A4</f>
        <v>703</v>
      </c>
      <c r="B4" s="54"/>
      <c r="C4" s="54"/>
      <c r="D4" s="145"/>
      <c r="E4" s="69" t="str">
        <f>IF(B4+C4=0, "", B4+C4+D4)</f>
        <v/>
      </c>
      <c r="F4" s="10" t="str">
        <f>IF(E4="","", IF(AND(B4 &gt;=8,C4&gt;=17,D4&gt;=8),"Pass","Fail"))</f>
        <v/>
      </c>
      <c r="G4" s="10" t="str">
        <f>(IF(E4="","",IF(F4="Fail","F",IF(E4&gt;=80,"A+",IF(E4&gt;=70,"A",IF(E4&gt;=60,"A-",IF(E4&gt;=50,"B",IF(E4&gt;=40,"C",IF(E4&gt;=33,"D","F")))))))))</f>
        <v/>
      </c>
      <c r="H4" s="11" t="str">
        <f>(IF(E4="","",IF(G4="F",0,IF(E4&gt;=80,5,IF(E4&gt;=70,4,IF(E4&gt;=60,3.5,IF(E4&gt;=50,3,IF(E4&gt;=40,2,IF(E4&gt;=33,1,0)))))))))</f>
        <v/>
      </c>
    </row>
    <row r="5" spans="1:9" x14ac:dyDescent="0.35">
      <c r="A5" s="10">
        <f>'Student Basic Info'!A5</f>
        <v>704</v>
      </c>
      <c r="B5" s="54">
        <v>14</v>
      </c>
      <c r="C5" s="54">
        <v>12</v>
      </c>
      <c r="D5" s="145">
        <v>22</v>
      </c>
      <c r="E5" s="69">
        <f>IF(B5+C5=0, "", B5+C5+D5)</f>
        <v>48</v>
      </c>
      <c r="F5" s="10" t="str">
        <f>IF(E5="","", IF(AND(B5 &gt;=8,C5&gt;=17,D5&gt;=8),"Pass","Fail"))</f>
        <v>Fail</v>
      </c>
      <c r="G5" s="10" t="str">
        <f>(IF(E5="","",IF(F5="Fail","F",IF(E5&gt;=80,"A+",IF(E5&gt;=70,"A",IF(E5&gt;=60,"A-",IF(E5&gt;=50,"B",IF(E5&gt;=40,"C",IF(E5&gt;=33,"D","F")))))))))</f>
        <v>F</v>
      </c>
      <c r="H5" s="11">
        <f>(IF(E5="","",IF(G5="F",0,IF(E5&gt;=80,5,IF(E5&gt;=70,4,IF(E5&gt;=60,3.5,IF(E5&gt;=50,3,IF(E5&gt;=40,2,IF(E5&gt;=33,1,0)))))))))</f>
        <v>0</v>
      </c>
    </row>
    <row r="6" spans="1:9" x14ac:dyDescent="0.35">
      <c r="A6" s="10">
        <f>'Student Basic Info'!A6</f>
        <v>705</v>
      </c>
      <c r="B6" s="55">
        <v>7</v>
      </c>
      <c r="C6" s="55">
        <v>12</v>
      </c>
      <c r="D6" s="145">
        <v>8</v>
      </c>
      <c r="E6" s="69">
        <f>IF(B6+C6=0, "", B6+C6+D6)</f>
        <v>27</v>
      </c>
      <c r="F6" s="10" t="str">
        <f>IF(E6="","", IF(AND(B6 &gt;=8,C6&gt;=17,D6&gt;=8),"Pass","Fail"))</f>
        <v>Fail</v>
      </c>
      <c r="G6" s="10" t="str">
        <f>(IF(E6="","",IF(F6="Fail","F",IF(E6&gt;=80,"A+",IF(E6&gt;=70,"A",IF(E6&gt;=60,"A-",IF(E6&gt;=50,"B",IF(E6&gt;=40,"C",IF(E6&gt;=33,"D","F")))))))))</f>
        <v>F</v>
      </c>
      <c r="H6" s="11">
        <f>(IF(E6="","",IF(G6="F",0,IF(E6&gt;=80,5,IF(E6&gt;=70,4,IF(E6&gt;=60,3.5,IF(E6&gt;=50,3,IF(E6&gt;=40,2,IF(E6&gt;=33,1,0)))))))))</f>
        <v>0</v>
      </c>
      <c r="I6" t="s">
        <v>10</v>
      </c>
    </row>
    <row r="7" spans="1:9" x14ac:dyDescent="0.35">
      <c r="A7" s="10">
        <f>'Student Basic Info'!A7</f>
        <v>706</v>
      </c>
      <c r="B7" s="54"/>
      <c r="C7" s="54"/>
      <c r="D7" s="145"/>
      <c r="E7" s="69" t="str">
        <f>IF(B7+C7=0, "", B7+C7+D7)</f>
        <v/>
      </c>
      <c r="F7" s="10" t="str">
        <f>IF(E7="","", IF(AND(B7 &gt;=8,C7&gt;=17,D7&gt;=8),"Pass","Fail"))</f>
        <v/>
      </c>
      <c r="G7" s="10" t="str">
        <f>(IF(E7="","",IF(F7="Fail","F",IF(E7&gt;=80,"A+",IF(E7&gt;=70,"A",IF(E7&gt;=60,"A-",IF(E7&gt;=50,"B",IF(E7&gt;=40,"C",IF(E7&gt;=33,"D","F")))))))))</f>
        <v/>
      </c>
      <c r="H7" s="11" t="str">
        <f>(IF(E7="","",IF(G7="F",0,IF(E7&gt;=80,5,IF(E7&gt;=70,4,IF(E7&gt;=60,3.5,IF(E7&gt;=50,3,IF(E7&gt;=40,2,IF(E7&gt;=33,1,0)))))))))</f>
        <v/>
      </c>
    </row>
    <row r="8" spans="1:9" x14ac:dyDescent="0.35">
      <c r="A8" s="10">
        <f>'Student Basic Info'!A8</f>
        <v>707</v>
      </c>
      <c r="B8" s="54"/>
      <c r="C8" s="54"/>
      <c r="D8" s="145"/>
      <c r="E8" s="69" t="str">
        <f>IF(B8+C8=0, "", B8+C8+D8)</f>
        <v/>
      </c>
      <c r="F8" s="10" t="str">
        <f>IF(E8="","", IF(AND(B8 &gt;=8,C8&gt;=17,D8&gt;=8),"Pass","Fail"))</f>
        <v/>
      </c>
      <c r="G8" s="10" t="str">
        <f>(IF(E8="","",IF(F8="Fail","F",IF(E8&gt;=80,"A+",IF(E8&gt;=70,"A",IF(E8&gt;=60,"A-",IF(E8&gt;=50,"B",IF(E8&gt;=40,"C",IF(E8&gt;=33,"D","F")))))))))</f>
        <v/>
      </c>
      <c r="H8" s="11" t="str">
        <f>(IF(E8="","",IF(G8="F",0,IF(E8&gt;=80,5,IF(E8&gt;=70,4,IF(E8&gt;=60,3.5,IF(E8&gt;=50,3,IF(E8&gt;=40,2,IF(E8&gt;=33,1,0)))))))))</f>
        <v/>
      </c>
    </row>
    <row r="9" spans="1:9" x14ac:dyDescent="0.35">
      <c r="A9" s="10">
        <f>'Student Basic Info'!A9</f>
        <v>708</v>
      </c>
      <c r="B9" s="54">
        <v>15</v>
      </c>
      <c r="C9" s="54">
        <v>8</v>
      </c>
      <c r="D9" s="145">
        <v>20</v>
      </c>
      <c r="E9" s="69">
        <f>IF(B9+C9=0, "", B9+C9+D9)</f>
        <v>43</v>
      </c>
      <c r="F9" s="10" t="str">
        <f>IF(E9="","", IF(AND(B9 &gt;=8,C9&gt;=17,D9&gt;=8),"Pass","Fail"))</f>
        <v>Fail</v>
      </c>
      <c r="G9" s="10" t="str">
        <f>(IF(E9="","",IF(F9="Fail","F",IF(E9&gt;=80,"A+",IF(E9&gt;=70,"A",IF(E9&gt;=60,"A-",IF(E9&gt;=50,"B",IF(E9&gt;=40,"C",IF(E9&gt;=33,"D","F")))))))))</f>
        <v>F</v>
      </c>
      <c r="H9" s="11">
        <f>(IF(E9="","",IF(G9="F",0,IF(E9&gt;=80,5,IF(E9&gt;=70,4,IF(E9&gt;=60,3.5,IF(E9&gt;=50,3,IF(E9&gt;=40,2,IF(E9&gt;=33,1,0)))))))))</f>
        <v>0</v>
      </c>
    </row>
    <row r="10" spans="1:9" x14ac:dyDescent="0.35">
      <c r="A10" s="10">
        <f>'Student Basic Info'!A10</f>
        <v>709</v>
      </c>
      <c r="B10" s="54">
        <v>12</v>
      </c>
      <c r="C10" s="54">
        <v>7</v>
      </c>
      <c r="D10" s="145">
        <v>18</v>
      </c>
      <c r="E10" s="69">
        <f>IF(B10+C10=0, "", B10+C10+D10)</f>
        <v>37</v>
      </c>
      <c r="F10" s="10" t="str">
        <f>IF(E10="","", IF(AND(B10 &gt;=8,C10&gt;=17,D10&gt;=8),"Pass","Fail"))</f>
        <v>Fail</v>
      </c>
      <c r="G10" s="10" t="str">
        <f>(IF(E10="","",IF(F10="Fail","F",IF(E10&gt;=80,"A+",IF(E10&gt;=70,"A",IF(E10&gt;=60,"A-",IF(E10&gt;=50,"B",IF(E10&gt;=40,"C",IF(E10&gt;=33,"D","F")))))))))</f>
        <v>F</v>
      </c>
      <c r="H10" s="11">
        <f>(IF(E10="","",IF(G10="F",0,IF(E10&gt;=80,5,IF(E10&gt;=70,4,IF(E10&gt;=60,3.5,IF(E10&gt;=50,3,IF(E10&gt;=40,2,IF(E10&gt;=33,1,0)))))))))</f>
        <v>0</v>
      </c>
    </row>
    <row r="11" spans="1:9" x14ac:dyDescent="0.35">
      <c r="A11" s="10">
        <f>'Student Basic Info'!A11</f>
        <v>710</v>
      </c>
      <c r="B11" s="54">
        <v>9</v>
      </c>
      <c r="C11" s="54">
        <v>17</v>
      </c>
      <c r="D11" s="145">
        <v>24</v>
      </c>
      <c r="E11" s="69">
        <f>IF(B11+C11=0, "", B11+C11+D11)</f>
        <v>50</v>
      </c>
      <c r="F11" s="10" t="str">
        <f>IF(E11="","", IF(AND(B11 &gt;=8,C11&gt;=17,D11&gt;=8),"Pass","Fail"))</f>
        <v>Pass</v>
      </c>
      <c r="G11" s="10" t="str">
        <f>(IF(E11="","",IF(F11="Fail","F",IF(E11&gt;=80,"A+",IF(E11&gt;=70,"A",IF(E11&gt;=60,"A-",IF(E11&gt;=50,"B",IF(E11&gt;=40,"C",IF(E11&gt;=33,"D","F")))))))))</f>
        <v>B</v>
      </c>
      <c r="H11" s="11">
        <f>(IF(E11="","",IF(G11="F",0,IF(E11&gt;=80,5,IF(E11&gt;=70,4,IF(E11&gt;=60,3.5,IF(E11&gt;=50,3,IF(E11&gt;=40,2,IF(E11&gt;=33,1,0)))))))))</f>
        <v>3</v>
      </c>
    </row>
    <row r="12" spans="1:9" x14ac:dyDescent="0.35">
      <c r="A12" s="10">
        <f>'Student Basic Info'!A12</f>
        <v>711</v>
      </c>
      <c r="B12" s="54"/>
      <c r="C12" s="54"/>
      <c r="D12" s="145"/>
      <c r="E12" s="69" t="str">
        <f>IF(B12+C12=0, "", B12+C12+D12)</f>
        <v/>
      </c>
      <c r="F12" s="10" t="str">
        <f>IF(E12="","", IF(AND(B12 &gt;=8,C12&gt;=17,D12&gt;=8),"Pass","Fail"))</f>
        <v/>
      </c>
      <c r="G12" s="10" t="str">
        <f>(IF(E12="","",IF(F12="Fail","F",IF(E12&gt;=80,"A+",IF(E12&gt;=70,"A",IF(E12&gt;=60,"A-",IF(E12&gt;=50,"B",IF(E12&gt;=40,"C",IF(E12&gt;=33,"D","F")))))))))</f>
        <v/>
      </c>
      <c r="H12" s="11" t="str">
        <f>(IF(E12="","",IF(G12="F",0,IF(E12&gt;=80,5,IF(E12&gt;=70,4,IF(E12&gt;=60,3.5,IF(E12&gt;=50,3,IF(E12&gt;=40,2,IF(E12&gt;=33,1,0)))))))))</f>
        <v/>
      </c>
    </row>
    <row r="13" spans="1:9" x14ac:dyDescent="0.35">
      <c r="A13" s="10">
        <f>'Student Basic Info'!A13</f>
        <v>712</v>
      </c>
      <c r="B13" s="54">
        <v>10</v>
      </c>
      <c r="C13" s="54">
        <v>17</v>
      </c>
      <c r="D13" s="145">
        <v>20</v>
      </c>
      <c r="E13" s="69">
        <f>IF(B13+C13=0, "", B13+C13+D13)</f>
        <v>47</v>
      </c>
      <c r="F13" s="10" t="str">
        <f>IF(E13="","", IF(AND(B13 &gt;=8,C13&gt;=17,D13&gt;=8),"Pass","Fail"))</f>
        <v>Pass</v>
      </c>
      <c r="G13" s="10" t="str">
        <f>(IF(E13="","",IF(F13="Fail","F",IF(E13&gt;=80,"A+",IF(E13&gt;=70,"A",IF(E13&gt;=60,"A-",IF(E13&gt;=50,"B",IF(E13&gt;=40,"C",IF(E13&gt;=33,"D","F")))))))))</f>
        <v>C</v>
      </c>
      <c r="H13" s="11">
        <f>(IF(E13="","",IF(G13="F",0,IF(E13&gt;=80,5,IF(E13&gt;=70,4,IF(E13&gt;=60,3.5,IF(E13&gt;=50,3,IF(E13&gt;=40,2,IF(E13&gt;=33,1,0)))))))))</f>
        <v>2</v>
      </c>
    </row>
    <row r="14" spans="1:9" x14ac:dyDescent="0.35">
      <c r="A14" s="10">
        <f>'Student Basic Info'!A14</f>
        <v>713</v>
      </c>
      <c r="B14" s="54">
        <v>16</v>
      </c>
      <c r="C14" s="54">
        <v>21</v>
      </c>
      <c r="D14" s="145">
        <v>25</v>
      </c>
      <c r="E14" s="69">
        <f>IF(B14+C14=0, "", B14+C14+D14)</f>
        <v>62</v>
      </c>
      <c r="F14" s="10" t="str">
        <f>IF(E14="","", IF(AND(B14 &gt;=8,C14&gt;=17,D14&gt;=8),"Pass","Fail"))</f>
        <v>Pass</v>
      </c>
      <c r="G14" s="10" t="str">
        <f>(IF(E14="","",IF(F14="Fail","F",IF(E14&gt;=80,"A+",IF(E14&gt;=70,"A",IF(E14&gt;=60,"A-",IF(E14&gt;=50,"B",IF(E14&gt;=40,"C",IF(E14&gt;=33,"D","F")))))))))</f>
        <v>A-</v>
      </c>
      <c r="H14" s="11">
        <f>(IF(E14="","",IF(G14="F",0,IF(E14&gt;=80,5,IF(E14&gt;=70,4,IF(E14&gt;=60,3.5,IF(E14&gt;=50,3,IF(E14&gt;=40,2,IF(E14&gt;=33,1,0)))))))))</f>
        <v>3.5</v>
      </c>
    </row>
    <row r="15" spans="1:9" x14ac:dyDescent="0.35">
      <c r="A15" s="10">
        <f>'Student Basic Info'!A15</f>
        <v>714</v>
      </c>
      <c r="B15" s="54">
        <v>19</v>
      </c>
      <c r="C15" s="54">
        <v>31</v>
      </c>
      <c r="D15" s="146">
        <v>22</v>
      </c>
      <c r="E15" s="69">
        <f>IF(B15+C15=0, "", B15+C15+D15)</f>
        <v>72</v>
      </c>
      <c r="F15" s="10" t="str">
        <f>IF(E15="","", IF(AND(B15 &gt;=8,C15&gt;=17,D15&gt;=8),"Pass","Fail"))</f>
        <v>Pass</v>
      </c>
      <c r="G15" s="10" t="str">
        <f>(IF(E15="","",IF(F15="Fail","F",IF(E15&gt;=80,"A+",IF(E15&gt;=70,"A",IF(E15&gt;=60,"A-",IF(E15&gt;=50,"B",IF(E15&gt;=40,"C",IF(E15&gt;=33,"D","F")))))))))</f>
        <v>A</v>
      </c>
      <c r="H15" s="11">
        <f>(IF(E15="","",IF(G15="F",0,IF(E15&gt;=80,5,IF(E15&gt;=70,4,IF(E15&gt;=60,3.5,IF(E15&gt;=50,3,IF(E15&gt;=40,2,IF(E15&gt;=33,1,0)))))))))</f>
        <v>4</v>
      </c>
    </row>
    <row r="16" spans="1:9" x14ac:dyDescent="0.35">
      <c r="A16" s="10">
        <f>'Student Basic Info'!A16</f>
        <v>715</v>
      </c>
      <c r="B16" s="54">
        <v>13</v>
      </c>
      <c r="C16" s="54">
        <v>8</v>
      </c>
      <c r="D16" s="145">
        <v>18</v>
      </c>
      <c r="E16" s="69">
        <f>IF(B16+C16=0, "", B16+C16+D16)</f>
        <v>39</v>
      </c>
      <c r="F16" s="10" t="str">
        <f>IF(E16="","", IF(AND(B16 &gt;=8,C16&gt;=17,D16&gt;=8),"Pass","Fail"))</f>
        <v>Fail</v>
      </c>
      <c r="G16" s="10" t="str">
        <f>(IF(E16="","",IF(F16="Fail","F",IF(E16&gt;=80,"A+",IF(E16&gt;=70,"A",IF(E16&gt;=60,"A-",IF(E16&gt;=50,"B",IF(E16&gt;=40,"C",IF(E16&gt;=33,"D","F")))))))))</f>
        <v>F</v>
      </c>
      <c r="H16" s="11">
        <f>(IF(E16="","",IF(G16="F",0,IF(E16&gt;=80,5,IF(E16&gt;=70,4,IF(E16&gt;=60,3.5,IF(E16&gt;=50,3,IF(E16&gt;=40,2,IF(E16&gt;=33,1,0)))))))))</f>
        <v>0</v>
      </c>
    </row>
    <row r="17" spans="1:8" x14ac:dyDescent="0.35">
      <c r="A17" s="10">
        <f>'Student Basic Info'!A17</f>
        <v>716</v>
      </c>
      <c r="B17" s="54">
        <v>9</v>
      </c>
      <c r="C17" s="54">
        <v>10</v>
      </c>
      <c r="D17" s="145">
        <v>20</v>
      </c>
      <c r="E17" s="69">
        <f>IF(B17+C17=0, "", B17+C17+D17)</f>
        <v>39</v>
      </c>
      <c r="F17" s="10" t="str">
        <f>IF(E17="","", IF(AND(B17 &gt;=8,C17&gt;=17,D17&gt;=8),"Pass","Fail"))</f>
        <v>Fail</v>
      </c>
      <c r="G17" s="10" t="str">
        <f>(IF(E17="","",IF(F17="Fail","F",IF(E17&gt;=80,"A+",IF(E17&gt;=70,"A",IF(E17&gt;=60,"A-",IF(E17&gt;=50,"B",IF(E17&gt;=40,"C",IF(E17&gt;=33,"D","F")))))))))</f>
        <v>F</v>
      </c>
      <c r="H17" s="11">
        <f>(IF(E17="","",IF(G17="F",0,IF(E17&gt;=80,5,IF(E17&gt;=70,4,IF(E17&gt;=60,3.5,IF(E17&gt;=50,3,IF(E17&gt;=40,2,IF(E17&gt;=33,1,0)))))))))</f>
        <v>0</v>
      </c>
    </row>
    <row r="18" spans="1:8" x14ac:dyDescent="0.35">
      <c r="A18" s="10">
        <f>'Student Basic Info'!A18</f>
        <v>717</v>
      </c>
      <c r="B18" s="54">
        <v>10</v>
      </c>
      <c r="C18" s="54">
        <v>9</v>
      </c>
      <c r="D18" s="145">
        <v>8</v>
      </c>
      <c r="E18" s="69">
        <f>IF(B18+C18=0, "", B18+C18+D18)</f>
        <v>27</v>
      </c>
      <c r="F18" s="10" t="str">
        <f>IF(E18="","", IF(AND(B18 &gt;=8,C18&gt;=17,D18&gt;=8),"Pass","Fail"))</f>
        <v>Fail</v>
      </c>
      <c r="G18" s="10" t="str">
        <f>(IF(E18="","",IF(F18="Fail","F",IF(E18&gt;=80,"A+",IF(E18&gt;=70,"A",IF(E18&gt;=60,"A-",IF(E18&gt;=50,"B",IF(E18&gt;=40,"C",IF(E18&gt;=33,"D","F")))))))))</f>
        <v>F</v>
      </c>
      <c r="H18" s="11">
        <f>(IF(E18="","",IF(G18="F",0,IF(E18&gt;=80,5,IF(E18&gt;=70,4,IF(E18&gt;=60,3.5,IF(E18&gt;=50,3,IF(E18&gt;=40,2,IF(E18&gt;=33,1,0)))))))))</f>
        <v>0</v>
      </c>
    </row>
    <row r="19" spans="1:8" x14ac:dyDescent="0.35">
      <c r="A19" s="10">
        <f>'Student Basic Info'!A19</f>
        <v>718</v>
      </c>
      <c r="B19" s="54"/>
      <c r="C19" s="54"/>
      <c r="D19" s="145"/>
      <c r="E19" s="69" t="str">
        <f>IF(B19+C19=0, "", B19+C19+D19)</f>
        <v/>
      </c>
      <c r="F19" s="10" t="str">
        <f>IF(E19="","", IF(AND(B19 &gt;=8,C19&gt;=17,D19&gt;=8),"Pass","Fail"))</f>
        <v/>
      </c>
      <c r="G19" s="10" t="str">
        <f>(IF(E19="","",IF(F19="Fail","F",IF(E19&gt;=80,"A+",IF(E19&gt;=70,"A",IF(E19&gt;=60,"A-",IF(E19&gt;=50,"B",IF(E19&gt;=40,"C",IF(E19&gt;=33,"D","F")))))))))</f>
        <v/>
      </c>
      <c r="H19" s="11" t="str">
        <f>(IF(E19="","",IF(G19="F",0,IF(E19&gt;=80,5,IF(E19&gt;=70,4,IF(E19&gt;=60,3.5,IF(E19&gt;=50,3,IF(E19&gt;=40,2,IF(E19&gt;=33,1,0)))))))))</f>
        <v/>
      </c>
    </row>
    <row r="20" spans="1:8" x14ac:dyDescent="0.35">
      <c r="A20" s="10">
        <f>'Student Basic Info'!A20</f>
        <v>719</v>
      </c>
      <c r="B20" s="54">
        <v>12</v>
      </c>
      <c r="C20" s="54">
        <v>11</v>
      </c>
      <c r="D20" s="145">
        <v>18</v>
      </c>
      <c r="E20" s="69">
        <f>IF(B20+C20=0, "", B20+C20+D20)</f>
        <v>41</v>
      </c>
      <c r="F20" s="10" t="str">
        <f>IF(E20="","", IF(AND(B20 &gt;=8,C20&gt;=17,D20&gt;=8),"Pass","Fail"))</f>
        <v>Fail</v>
      </c>
      <c r="G20" s="10" t="str">
        <f>(IF(E20="","",IF(F20="Fail","F",IF(E20&gt;=80,"A+",IF(E20&gt;=70,"A",IF(E20&gt;=60,"A-",IF(E20&gt;=50,"B",IF(E20&gt;=40,"C",IF(E20&gt;=33,"D","F")))))))))</f>
        <v>F</v>
      </c>
      <c r="H20" s="11">
        <f>(IF(E20="","",IF(G20="F",0,IF(E20&gt;=80,5,IF(E20&gt;=70,4,IF(E20&gt;=60,3.5,IF(E20&gt;=50,3,IF(E20&gt;=40,2,IF(E20&gt;=33,1,0)))))))))</f>
        <v>0</v>
      </c>
    </row>
    <row r="21" spans="1:8" x14ac:dyDescent="0.35">
      <c r="A21" s="10">
        <f>'Student Basic Info'!A21</f>
        <v>720</v>
      </c>
      <c r="B21" s="54">
        <v>9</v>
      </c>
      <c r="C21" s="54">
        <v>8</v>
      </c>
      <c r="D21" s="145">
        <v>20</v>
      </c>
      <c r="E21" s="69">
        <f>IF(B21+C21=0, "", B21+C21+D21)</f>
        <v>37</v>
      </c>
      <c r="F21" s="10" t="str">
        <f>IF(E21="","", IF(AND(B21 &gt;=8,C21&gt;=17,D21&gt;=8),"Pass","Fail"))</f>
        <v>Fail</v>
      </c>
      <c r="G21" s="10" t="str">
        <f>(IF(E21="","",IF(F21="Fail","F",IF(E21&gt;=80,"A+",IF(E21&gt;=70,"A",IF(E21&gt;=60,"A-",IF(E21&gt;=50,"B",IF(E21&gt;=40,"C",IF(E21&gt;=33,"D","F")))))))))</f>
        <v>F</v>
      </c>
      <c r="H21" s="11">
        <f>(IF(E21="","",IF(G21="F",0,IF(E21&gt;=80,5,IF(E21&gt;=70,4,IF(E21&gt;=60,3.5,IF(E21&gt;=50,3,IF(E21&gt;=40,2,IF(E21&gt;=33,1,0)))))))))</f>
        <v>0</v>
      </c>
    </row>
    <row r="22" spans="1:8" x14ac:dyDescent="0.35">
      <c r="A22" s="10">
        <f>'Student Basic Info'!A22</f>
        <v>721</v>
      </c>
      <c r="B22" s="54"/>
      <c r="C22" s="54"/>
      <c r="D22" s="145"/>
      <c r="E22" s="69" t="str">
        <f>IF(B22+C22=0, "", B22+C22+D22)</f>
        <v/>
      </c>
      <c r="F22" s="10" t="str">
        <f>IF(E22="","", IF(AND(B22 &gt;=8,C22&gt;=17,D22&gt;=8),"Pass","Fail"))</f>
        <v/>
      </c>
      <c r="G22" s="10" t="str">
        <f>(IF(E22="","",IF(F22="Fail","F",IF(E22&gt;=80,"A+",IF(E22&gt;=70,"A",IF(E22&gt;=60,"A-",IF(E22&gt;=50,"B",IF(E22&gt;=40,"C",IF(E22&gt;=33,"D","F")))))))))</f>
        <v/>
      </c>
      <c r="H22" s="11" t="str">
        <f>(IF(E22="","",IF(G22="F",0,IF(E22&gt;=80,5,IF(E22&gt;=70,4,IF(E22&gt;=60,3.5,IF(E22&gt;=50,3,IF(E22&gt;=40,2,IF(E22&gt;=33,1,0)))))))))</f>
        <v/>
      </c>
    </row>
    <row r="23" spans="1:8" x14ac:dyDescent="0.35">
      <c r="A23" s="10">
        <f>'Student Basic Info'!A23</f>
        <v>722</v>
      </c>
      <c r="B23" s="3">
        <v>12</v>
      </c>
      <c r="C23" s="3">
        <v>2</v>
      </c>
      <c r="D23" s="145">
        <v>22</v>
      </c>
      <c r="E23" s="69">
        <f>IF(B23+C23=0, "", B23+C23+D23)</f>
        <v>36</v>
      </c>
      <c r="F23" s="10" t="str">
        <f>IF(E23="","", IF(AND(B23 &gt;=8,C23&gt;=17,D23&gt;=8),"Pass","Fail"))</f>
        <v>Fail</v>
      </c>
      <c r="G23" s="10" t="str">
        <f>(IF(E23="","",IF(F23="Fail","F",IF(E23&gt;=80,"A+",IF(E23&gt;=70,"A",IF(E23&gt;=60,"A-",IF(E23&gt;=50,"B",IF(E23&gt;=40,"C",IF(E23&gt;=33,"D","F")))))))))</f>
        <v>F</v>
      </c>
      <c r="H23" s="11">
        <f>(IF(E23="","",IF(G23="F",0,IF(E23&gt;=80,5,IF(E23&gt;=70,4,IF(E23&gt;=60,3.5,IF(E23&gt;=50,3,IF(E23&gt;=40,2,IF(E23&gt;=33,1,0)))))))))</f>
        <v>0</v>
      </c>
    </row>
    <row r="24" spans="1:8" x14ac:dyDescent="0.35">
      <c r="A24" s="10">
        <f>'Student Basic Info'!A24</f>
        <v>723</v>
      </c>
      <c r="B24" s="3">
        <v>23</v>
      </c>
      <c r="C24" s="3">
        <v>43</v>
      </c>
      <c r="D24" s="146">
        <v>25</v>
      </c>
      <c r="E24" s="69">
        <f>IF(B24+C24=0, "", B24+C24+D24)</f>
        <v>91</v>
      </c>
      <c r="F24" s="10" t="str">
        <f>IF(E24="","", IF(AND(B24 &gt;=8,C24&gt;=17,D24&gt;=8),"Pass","Fail"))</f>
        <v>Pass</v>
      </c>
      <c r="G24" s="10" t="str">
        <f>(IF(E24="","",IF(F24="Fail","F",IF(E24&gt;=80,"A+",IF(E24&gt;=70,"A",IF(E24&gt;=60,"A-",IF(E24&gt;=50,"B",IF(E24&gt;=40,"C",IF(E24&gt;=33,"D","F")))))))))</f>
        <v>A+</v>
      </c>
      <c r="H24" s="11">
        <f>(IF(E24="","",IF(G24="F",0,IF(E24&gt;=80,5,IF(E24&gt;=70,4,IF(E24&gt;=60,3.5,IF(E24&gt;=50,3,IF(E24&gt;=40,2,IF(E24&gt;=33,1,0)))))))))</f>
        <v>5</v>
      </c>
    </row>
    <row r="25" spans="1:8" x14ac:dyDescent="0.35">
      <c r="A25" s="10">
        <f>'Student Basic Info'!A25</f>
        <v>724</v>
      </c>
      <c r="B25" s="3">
        <v>22</v>
      </c>
      <c r="C25" s="3">
        <v>9</v>
      </c>
      <c r="D25" s="145">
        <v>25</v>
      </c>
      <c r="E25" s="69">
        <f>IF(B25+C25=0, "", B25+C25+D25)</f>
        <v>56</v>
      </c>
      <c r="F25" s="10" t="str">
        <f>IF(E25="","", IF(AND(B25 &gt;=8,C25&gt;=17,D25&gt;=8),"Pass","Fail"))</f>
        <v>Fail</v>
      </c>
      <c r="G25" s="10" t="str">
        <f>(IF(E25="","",IF(F25="Fail","F",IF(E25&gt;=80,"A+",IF(E25&gt;=70,"A",IF(E25&gt;=60,"A-",IF(E25&gt;=50,"B",IF(E25&gt;=40,"C",IF(E25&gt;=33,"D","F")))))))))</f>
        <v>F</v>
      </c>
      <c r="H25" s="11">
        <f>(IF(E25="","",IF(G25="F",0,IF(E25&gt;=80,5,IF(E25&gt;=70,4,IF(E25&gt;=60,3.5,IF(E25&gt;=50,3,IF(E25&gt;=40,2,IF(E25&gt;=33,1,0)))))))))</f>
        <v>0</v>
      </c>
    </row>
    <row r="26" spans="1:8" x14ac:dyDescent="0.35">
      <c r="A26" s="10">
        <f>'Student Basic Info'!A26</f>
        <v>725</v>
      </c>
      <c r="B26" s="3">
        <v>11</v>
      </c>
      <c r="C26" s="3">
        <v>8</v>
      </c>
      <c r="D26" s="145">
        <v>8</v>
      </c>
      <c r="E26" s="69">
        <f>IF(B26+C26=0, "", B26+C26+D26)</f>
        <v>27</v>
      </c>
      <c r="F26" s="10" t="str">
        <f>IF(E26="","", IF(AND(B26 &gt;=8,C26&gt;=17,D26&gt;=8),"Pass","Fail"))</f>
        <v>Fail</v>
      </c>
      <c r="G26" s="10" t="str">
        <f>(IF(E26="","",IF(F26="Fail","F",IF(E26&gt;=80,"A+",IF(E26&gt;=70,"A",IF(E26&gt;=60,"A-",IF(E26&gt;=50,"B",IF(E26&gt;=40,"C",IF(E26&gt;=33,"D","F")))))))))</f>
        <v>F</v>
      </c>
      <c r="H26" s="11">
        <f>(IF(E26="","",IF(G26="F",0,IF(E26&gt;=80,5,IF(E26&gt;=70,4,IF(E26&gt;=60,3.5,IF(E26&gt;=50,3,IF(E26&gt;=40,2,IF(E26&gt;=33,1,0)))))))))</f>
        <v>0</v>
      </c>
    </row>
    <row r="27" spans="1:8" x14ac:dyDescent="0.35">
      <c r="A27" s="10">
        <f>'Student Basic Info'!A27</f>
        <v>726</v>
      </c>
      <c r="B27" s="3"/>
      <c r="C27" s="3"/>
      <c r="D27" s="145"/>
      <c r="E27" s="69" t="str">
        <f>IF(B27+C27=0, "", B27+C27+D27)</f>
        <v/>
      </c>
      <c r="F27" s="10" t="str">
        <f>IF(E27="","", IF(AND(B27 &gt;=8,C27&gt;=17,D27&gt;=8),"Pass","Fail"))</f>
        <v/>
      </c>
      <c r="G27" s="10" t="str">
        <f>(IF(E27="","",IF(F27="Fail","F",IF(E27&gt;=80,"A+",IF(E27&gt;=70,"A",IF(E27&gt;=60,"A-",IF(E27&gt;=50,"B",IF(E27&gt;=40,"C",IF(E27&gt;=33,"D","F")))))))))</f>
        <v/>
      </c>
      <c r="H27" s="11" t="str">
        <f>(IF(E27="","",IF(G27="F",0,IF(E27&gt;=80,5,IF(E27&gt;=70,4,IF(E27&gt;=60,3.5,IF(E27&gt;=50,3,IF(E27&gt;=40,2,IF(E27&gt;=33,1,0)))))))))</f>
        <v/>
      </c>
    </row>
    <row r="28" spans="1:8" x14ac:dyDescent="0.35">
      <c r="A28" s="10">
        <f>'Student Basic Info'!A28</f>
        <v>727</v>
      </c>
      <c r="B28" s="3">
        <v>21</v>
      </c>
      <c r="C28" s="3">
        <v>38</v>
      </c>
      <c r="D28" s="145">
        <v>25</v>
      </c>
      <c r="E28" s="69">
        <f>IF(B28+C28=0, "", B28+C28+D28)</f>
        <v>84</v>
      </c>
      <c r="F28" s="10" t="str">
        <f>IF(E28="","", IF(AND(B28 &gt;=8,C28&gt;=17,D28&gt;=8),"Pass","Fail"))</f>
        <v>Pass</v>
      </c>
      <c r="G28" s="10" t="str">
        <f>(IF(E28="","",IF(F28="Fail","F",IF(E28&gt;=80,"A+",IF(E28&gt;=70,"A",IF(E28&gt;=60,"A-",IF(E28&gt;=50,"B",IF(E28&gt;=40,"C",IF(E28&gt;=33,"D","F")))))))))</f>
        <v>A+</v>
      </c>
      <c r="H28" s="11">
        <f>(IF(E28="","",IF(G28="F",0,IF(E28&gt;=80,5,IF(E28&gt;=70,4,IF(E28&gt;=60,3.5,IF(E28&gt;=50,3,IF(E28&gt;=40,2,IF(E28&gt;=33,1,0)))))))))</f>
        <v>5</v>
      </c>
    </row>
    <row r="29" spans="1:8" x14ac:dyDescent="0.35">
      <c r="A29" s="10">
        <f>'Student Basic Info'!A29</f>
        <v>728</v>
      </c>
      <c r="B29" s="3">
        <v>13</v>
      </c>
      <c r="C29" s="3">
        <v>6</v>
      </c>
      <c r="D29" s="145">
        <v>24</v>
      </c>
      <c r="E29" s="69">
        <f>IF(B29+C29=0, "", B29+C29+D29)</f>
        <v>43</v>
      </c>
      <c r="F29" s="10" t="str">
        <f>IF(E29="","", IF(AND(B29 &gt;=8,C29&gt;=17,D29&gt;=8),"Pass","Fail"))</f>
        <v>Fail</v>
      </c>
      <c r="G29" s="10" t="str">
        <f>(IF(E29="","",IF(F29="Fail","F",IF(E29&gt;=80,"A+",IF(E29&gt;=70,"A",IF(E29&gt;=60,"A-",IF(E29&gt;=50,"B",IF(E29&gt;=40,"C",IF(E29&gt;=33,"D","F")))))))))</f>
        <v>F</v>
      </c>
      <c r="H29" s="11">
        <f>(IF(E29="","",IF(G29="F",0,IF(E29&gt;=80,5,IF(E29&gt;=70,4,IF(E29&gt;=60,3.5,IF(E29&gt;=50,3,IF(E29&gt;=40,2,IF(E29&gt;=33,1,0)))))))))</f>
        <v>0</v>
      </c>
    </row>
    <row r="30" spans="1:8" x14ac:dyDescent="0.35">
      <c r="A30" s="10">
        <f>'Student Basic Info'!A30</f>
        <v>729</v>
      </c>
      <c r="B30" s="3">
        <v>13</v>
      </c>
      <c r="C30" s="3">
        <v>8</v>
      </c>
      <c r="D30" s="145">
        <v>24</v>
      </c>
      <c r="E30" s="69">
        <f>IF(B30+C30=0, "", B30+C30+D30)</f>
        <v>45</v>
      </c>
      <c r="F30" s="10" t="str">
        <f>IF(E30="","", IF(AND(B30 &gt;=8,C30&gt;=17,D30&gt;=8),"Pass","Fail"))</f>
        <v>Fail</v>
      </c>
      <c r="G30" s="10" t="str">
        <f>(IF(E30="","",IF(F30="Fail","F",IF(E30&gt;=80,"A+",IF(E30&gt;=70,"A",IF(E30&gt;=60,"A-",IF(E30&gt;=50,"B",IF(E30&gt;=40,"C",IF(E30&gt;=33,"D","F")))))))))</f>
        <v>F</v>
      </c>
      <c r="H30" s="11">
        <f>(IF(E30="","",IF(G30="F",0,IF(E30&gt;=80,5,IF(E30&gt;=70,4,IF(E30&gt;=60,3.5,IF(E30&gt;=50,3,IF(E30&gt;=40,2,IF(E30&gt;=33,1,0)))))))))</f>
        <v>0</v>
      </c>
    </row>
    <row r="31" spans="1:8" x14ac:dyDescent="0.35">
      <c r="A31" s="10">
        <f>'Student Basic Info'!A31</f>
        <v>730</v>
      </c>
      <c r="B31" s="3">
        <v>8</v>
      </c>
      <c r="C31" s="3">
        <v>1</v>
      </c>
      <c r="D31" s="145">
        <v>24</v>
      </c>
      <c r="E31" s="69">
        <f>IF(B31+C31=0, "", B31+C31+D31)</f>
        <v>33</v>
      </c>
      <c r="F31" s="10" t="str">
        <f>IF(E31="","", IF(AND(B31 &gt;=8,C31&gt;=17,D31&gt;=8),"Pass","Fail"))</f>
        <v>Fail</v>
      </c>
      <c r="G31" s="10" t="str">
        <f>(IF(E31="","",IF(F31="Fail","F",IF(E31&gt;=80,"A+",IF(E31&gt;=70,"A",IF(E31&gt;=60,"A-",IF(E31&gt;=50,"B",IF(E31&gt;=40,"C",IF(E31&gt;=33,"D","F")))))))))</f>
        <v>F</v>
      </c>
      <c r="H31" s="11">
        <f>(IF(E31="","",IF(G31="F",0,IF(E31&gt;=80,5,IF(E31&gt;=70,4,IF(E31&gt;=60,3.5,IF(E31&gt;=50,3,IF(E31&gt;=40,2,IF(E31&gt;=33,1,0)))))))))</f>
        <v>0</v>
      </c>
    </row>
    <row r="32" spans="1:8" x14ac:dyDescent="0.35">
      <c r="A32" s="10">
        <f>'Student Basic Info'!A32</f>
        <v>731</v>
      </c>
      <c r="B32" s="3">
        <v>8</v>
      </c>
      <c r="C32" s="3">
        <v>8</v>
      </c>
      <c r="D32" s="145">
        <v>20</v>
      </c>
      <c r="E32" s="69">
        <f>IF(B32+C32=0, "", B32+C32+D32)</f>
        <v>36</v>
      </c>
      <c r="F32" s="10" t="str">
        <f>IF(E32="","", IF(AND(B32 &gt;=8,C32&gt;=17,D32&gt;=8),"Pass","Fail"))</f>
        <v>Fail</v>
      </c>
      <c r="G32" s="10" t="str">
        <f>(IF(E32="","",IF(F32="Fail","F",IF(E32&gt;=80,"A+",IF(E32&gt;=70,"A",IF(E32&gt;=60,"A-",IF(E32&gt;=50,"B",IF(E32&gt;=40,"C",IF(E32&gt;=33,"D","F")))))))))</f>
        <v>F</v>
      </c>
      <c r="H32" s="11">
        <f>(IF(E32="","",IF(G32="F",0,IF(E32&gt;=80,5,IF(E32&gt;=70,4,IF(E32&gt;=60,3.5,IF(E32&gt;=50,3,IF(E32&gt;=40,2,IF(E32&gt;=33,1,0)))))))))</f>
        <v>0</v>
      </c>
    </row>
    <row r="33" spans="1:8" x14ac:dyDescent="0.35">
      <c r="A33" s="10">
        <f>'Student Basic Info'!A33</f>
        <v>732</v>
      </c>
      <c r="B33" s="3">
        <v>12</v>
      </c>
      <c r="C33" s="3">
        <v>12</v>
      </c>
      <c r="D33" s="145">
        <v>22</v>
      </c>
      <c r="E33" s="69">
        <f>IF(B33+C33=0, "", B33+C33+D33)</f>
        <v>46</v>
      </c>
      <c r="F33" s="10" t="str">
        <f>IF(E33="","", IF(AND(B33 &gt;=8,C33&gt;=17,D33&gt;=8),"Pass","Fail"))</f>
        <v>Fail</v>
      </c>
      <c r="G33" s="10" t="str">
        <f>(IF(E33="","",IF(F33="Fail","F",IF(E33&gt;=80,"A+",IF(E33&gt;=70,"A",IF(E33&gt;=60,"A-",IF(E33&gt;=50,"B",IF(E33&gt;=40,"C",IF(E33&gt;=33,"D","F")))))))))</f>
        <v>F</v>
      </c>
      <c r="H33" s="11">
        <f>(IF(E33="","",IF(G33="F",0,IF(E33&gt;=80,5,IF(E33&gt;=70,4,IF(E33&gt;=60,3.5,IF(E33&gt;=50,3,IF(E33&gt;=40,2,IF(E33&gt;=33,1,0)))))))))</f>
        <v>0</v>
      </c>
    </row>
    <row r="34" spans="1:8" x14ac:dyDescent="0.35">
      <c r="A34" s="10">
        <f>'Student Basic Info'!A34</f>
        <v>733</v>
      </c>
      <c r="B34" s="3">
        <v>7</v>
      </c>
      <c r="C34" s="3">
        <v>8</v>
      </c>
      <c r="D34" s="145">
        <v>20</v>
      </c>
      <c r="E34" s="69">
        <f>IF(B34+C34=0, "", B34+C34+D34)</f>
        <v>35</v>
      </c>
      <c r="F34" s="10" t="str">
        <f>IF(E34="","", IF(AND(B34 &gt;=8,C34&gt;=17,D34&gt;=8),"Pass","Fail"))</f>
        <v>Fail</v>
      </c>
      <c r="G34" s="10" t="str">
        <f>(IF(E34="","",IF(F34="Fail","F",IF(E34&gt;=80,"A+",IF(E34&gt;=70,"A",IF(E34&gt;=60,"A-",IF(E34&gt;=50,"B",IF(E34&gt;=40,"C",IF(E34&gt;=33,"D","F")))))))))</f>
        <v>F</v>
      </c>
      <c r="H34" s="11">
        <f>(IF(E34="","",IF(G34="F",0,IF(E34&gt;=80,5,IF(E34&gt;=70,4,IF(E34&gt;=60,3.5,IF(E34&gt;=50,3,IF(E34&gt;=40,2,IF(E34&gt;=33,1,0)))))))))</f>
        <v>0</v>
      </c>
    </row>
    <row r="35" spans="1:8" x14ac:dyDescent="0.35">
      <c r="A35" s="10">
        <f>'Student Basic Info'!A35</f>
        <v>734</v>
      </c>
      <c r="B35" s="3">
        <v>12</v>
      </c>
      <c r="C35" s="3">
        <v>10</v>
      </c>
      <c r="D35" s="145">
        <v>20</v>
      </c>
      <c r="E35" s="69">
        <f>IF(B35+C35=0, "", B35+C35+D35)</f>
        <v>42</v>
      </c>
      <c r="F35" s="10" t="str">
        <f>IF(E35="","", IF(AND(B35 &gt;=8,C35&gt;=17,D35&gt;=8),"Pass","Fail"))</f>
        <v>Fail</v>
      </c>
      <c r="G35" s="10" t="str">
        <f>(IF(E35="","",IF(F35="Fail","F",IF(E35&gt;=80,"A+",IF(E35&gt;=70,"A",IF(E35&gt;=60,"A-",IF(E35&gt;=50,"B",IF(E35&gt;=40,"C",IF(E35&gt;=33,"D","F")))))))))</f>
        <v>F</v>
      </c>
      <c r="H35" s="11">
        <f>(IF(E35="","",IF(G35="F",0,IF(E35&gt;=80,5,IF(E35&gt;=70,4,IF(E35&gt;=60,3.5,IF(E35&gt;=50,3,IF(E35&gt;=40,2,IF(E35&gt;=33,1,0)))))))))</f>
        <v>0</v>
      </c>
    </row>
    <row r="36" spans="1:8" x14ac:dyDescent="0.35">
      <c r="A36" s="10">
        <f>'Student Basic Info'!A36</f>
        <v>735</v>
      </c>
      <c r="B36" s="3">
        <v>6</v>
      </c>
      <c r="C36" s="142"/>
      <c r="D36" s="145">
        <v>25</v>
      </c>
      <c r="E36" s="69">
        <f>IF(B36+C36=0, "", B36+C36+D36)</f>
        <v>31</v>
      </c>
      <c r="F36" s="10" t="str">
        <f>IF(E36="","", IF(AND(B36 &gt;=8,C36&gt;=17,D36&gt;=8),"Pass","Fail"))</f>
        <v>Fail</v>
      </c>
      <c r="G36" s="10" t="str">
        <f>(IF(E36="","",IF(F36="Fail","F",IF(E36&gt;=80,"A+",IF(E36&gt;=70,"A",IF(E36&gt;=60,"A-",IF(E36&gt;=50,"B",IF(E36&gt;=40,"C",IF(E36&gt;=33,"D","F")))))))))</f>
        <v>F</v>
      </c>
      <c r="H36" s="11">
        <f>(IF(E36="","",IF(G36="F",0,IF(E36&gt;=80,5,IF(E36&gt;=70,4,IF(E36&gt;=60,3.5,IF(E36&gt;=50,3,IF(E36&gt;=40,2,IF(E36&gt;=33,1,0)))))))))</f>
        <v>0</v>
      </c>
    </row>
    <row r="37" spans="1:8" x14ac:dyDescent="0.35">
      <c r="A37" s="10">
        <f>'Student Basic Info'!A37</f>
        <v>736</v>
      </c>
      <c r="B37" s="3">
        <v>10</v>
      </c>
      <c r="C37" s="3">
        <v>5</v>
      </c>
      <c r="D37" s="145">
        <v>8</v>
      </c>
      <c r="E37" s="69">
        <f>IF(B37+C37=0, "", B37+C37+D37)</f>
        <v>23</v>
      </c>
      <c r="F37" s="10" t="str">
        <f>IF(E37="","", IF(AND(B37 &gt;=8,C37&gt;=17,D37&gt;=8),"Pass","Fail"))</f>
        <v>Fail</v>
      </c>
      <c r="G37" s="10" t="str">
        <f>(IF(E37="","",IF(F37="Fail","F",IF(E37&gt;=80,"A+",IF(E37&gt;=70,"A",IF(E37&gt;=60,"A-",IF(E37&gt;=50,"B",IF(E37&gt;=40,"C",IF(E37&gt;=33,"D","F")))))))))</f>
        <v>F</v>
      </c>
      <c r="H37" s="11">
        <f>(IF(E37="","",IF(G37="F",0,IF(E37&gt;=80,5,IF(E37&gt;=70,4,IF(E37&gt;=60,3.5,IF(E37&gt;=50,3,IF(E37&gt;=40,2,IF(E37&gt;=33,1,0)))))))))</f>
        <v>0</v>
      </c>
    </row>
    <row r="38" spans="1:8" x14ac:dyDescent="0.35">
      <c r="A38" s="10">
        <f>'Student Basic Info'!A38</f>
        <v>737</v>
      </c>
      <c r="B38" s="3">
        <v>14</v>
      </c>
      <c r="C38" s="3">
        <v>12</v>
      </c>
      <c r="D38" s="145">
        <v>22</v>
      </c>
      <c r="E38" s="69">
        <f>IF(B38+C38=0, "", B38+C38+D38)</f>
        <v>48</v>
      </c>
      <c r="F38" s="10" t="str">
        <f>IF(E38="","", IF(AND(B38 &gt;=8,C38&gt;=17,D38&gt;=8),"Pass","Fail"))</f>
        <v>Fail</v>
      </c>
      <c r="G38" s="10" t="str">
        <f>(IF(E38="","",IF(F38="Fail","F",IF(E38&gt;=80,"A+",IF(E38&gt;=70,"A",IF(E38&gt;=60,"A-",IF(E38&gt;=50,"B",IF(E38&gt;=40,"C",IF(E38&gt;=33,"D","F")))))))))</f>
        <v>F</v>
      </c>
      <c r="H38" s="11">
        <f>(IF(E38="","",IF(G38="F",0,IF(E38&gt;=80,5,IF(E38&gt;=70,4,IF(E38&gt;=60,3.5,IF(E38&gt;=50,3,IF(E38&gt;=40,2,IF(E38&gt;=33,1,0)))))))))</f>
        <v>0</v>
      </c>
    </row>
    <row r="39" spans="1:8" x14ac:dyDescent="0.35">
      <c r="A39" s="10">
        <f>'Student Basic Info'!A39</f>
        <v>738</v>
      </c>
      <c r="B39" s="3">
        <v>13</v>
      </c>
      <c r="C39" s="3">
        <v>17</v>
      </c>
      <c r="D39" s="145">
        <v>24</v>
      </c>
      <c r="E39" s="69">
        <f>IF(B39+C39=0, "", B39+C39+D39)</f>
        <v>54</v>
      </c>
      <c r="F39" s="10" t="str">
        <f>IF(E39="","", IF(AND(B39 &gt;=8,C39&gt;=17,D39&gt;=8),"Pass","Fail"))</f>
        <v>Pass</v>
      </c>
      <c r="G39" s="10" t="str">
        <f>(IF(E39="","",IF(F39="Fail","F",IF(E39&gt;=80,"A+",IF(E39&gt;=70,"A",IF(E39&gt;=60,"A-",IF(E39&gt;=50,"B",IF(E39&gt;=40,"C",IF(E39&gt;=33,"D","F")))))))))</f>
        <v>B</v>
      </c>
      <c r="H39" s="11">
        <f>(IF(E39="","",IF(G39="F",0,IF(E39&gt;=80,5,IF(E39&gt;=70,4,IF(E39&gt;=60,3.5,IF(E39&gt;=50,3,IF(E39&gt;=40,2,IF(E39&gt;=33,1,0)))))))))</f>
        <v>3</v>
      </c>
    </row>
    <row r="40" spans="1:8" x14ac:dyDescent="0.35">
      <c r="A40" s="10">
        <f>'Student Basic Info'!A40</f>
        <v>739</v>
      </c>
      <c r="B40" s="3">
        <v>13</v>
      </c>
      <c r="C40" s="3">
        <v>17</v>
      </c>
      <c r="D40" s="145">
        <v>18</v>
      </c>
      <c r="E40" s="69">
        <f>IF(B40+C40=0, "", B40+C40+D40)</f>
        <v>48</v>
      </c>
      <c r="F40" s="10" t="str">
        <f>IF(E40="","", IF(AND(B40 &gt;=8,C40&gt;=17,D40&gt;=8),"Pass","Fail"))</f>
        <v>Pass</v>
      </c>
      <c r="G40" s="10" t="str">
        <f>(IF(E40="","",IF(F40="Fail","F",IF(E40&gt;=80,"A+",IF(E40&gt;=70,"A",IF(E40&gt;=60,"A-",IF(E40&gt;=50,"B",IF(E40&gt;=40,"C",IF(E40&gt;=33,"D","F")))))))))</f>
        <v>C</v>
      </c>
      <c r="H40" s="11">
        <f>(IF(E40="","",IF(G40="F",0,IF(E40&gt;=80,5,IF(E40&gt;=70,4,IF(E40&gt;=60,3.5,IF(E40&gt;=50,3,IF(E40&gt;=40,2,IF(E40&gt;=33,1,0)))))))))</f>
        <v>2</v>
      </c>
    </row>
    <row r="41" spans="1:8" x14ac:dyDescent="0.35">
      <c r="A41" s="10">
        <f>'Student Basic Info'!A41</f>
        <v>740</v>
      </c>
      <c r="B41" s="3">
        <v>11</v>
      </c>
      <c r="C41" s="3">
        <v>13</v>
      </c>
      <c r="D41" s="145">
        <v>24</v>
      </c>
      <c r="E41" s="69">
        <f>IF(B41+C41=0, "", B41+C41+D41)</f>
        <v>48</v>
      </c>
      <c r="F41" s="10" t="str">
        <f>IF(E41="","", IF(AND(B41 &gt;=8,C41&gt;=17,D41&gt;=8),"Pass","Fail"))</f>
        <v>Fail</v>
      </c>
      <c r="G41" s="10" t="str">
        <f>(IF(E41="","",IF(F41="Fail","F",IF(E41&gt;=80,"A+",IF(E41&gt;=70,"A",IF(E41&gt;=60,"A-",IF(E41&gt;=50,"B",IF(E41&gt;=40,"C",IF(E41&gt;=33,"D","F")))))))))</f>
        <v>F</v>
      </c>
      <c r="H41" s="11">
        <f>(IF(E41="","",IF(G41="F",0,IF(E41&gt;=80,5,IF(E41&gt;=70,4,IF(E41&gt;=60,3.5,IF(E41&gt;=50,3,IF(E41&gt;=40,2,IF(E41&gt;=33,1,0)))))))))</f>
        <v>0</v>
      </c>
    </row>
    <row r="42" spans="1:8" x14ac:dyDescent="0.35">
      <c r="A42" s="10">
        <f>'Student Basic Info'!A42</f>
        <v>741</v>
      </c>
      <c r="B42" s="3">
        <v>19</v>
      </c>
      <c r="C42" s="3">
        <v>22</v>
      </c>
      <c r="D42" s="145">
        <v>25</v>
      </c>
      <c r="E42" s="69">
        <f>IF(B42+C42=0, "", B42+C42+D42)</f>
        <v>66</v>
      </c>
      <c r="F42" s="10" t="str">
        <f>IF(E42="","", IF(AND(B42 &gt;=8,C42&gt;=17,D42&gt;=8),"Pass","Fail"))</f>
        <v>Pass</v>
      </c>
      <c r="G42" s="10" t="str">
        <f>(IF(E42="","",IF(F42="Fail","F",IF(E42&gt;=80,"A+",IF(E42&gt;=70,"A",IF(E42&gt;=60,"A-",IF(E42&gt;=50,"B",IF(E42&gt;=40,"C",IF(E42&gt;=33,"D","F")))))))))</f>
        <v>A-</v>
      </c>
      <c r="H42" s="11">
        <f>(IF(E42="","",IF(G42="F",0,IF(E42&gt;=80,5,IF(E42&gt;=70,4,IF(E42&gt;=60,3.5,IF(E42&gt;=50,3,IF(E42&gt;=40,2,IF(E42&gt;=33,1,0)))))))))</f>
        <v>3.5</v>
      </c>
    </row>
    <row r="43" spans="1:8" x14ac:dyDescent="0.35">
      <c r="A43" s="10">
        <f>'Student Basic Info'!A43</f>
        <v>742</v>
      </c>
      <c r="B43" s="3"/>
      <c r="C43" s="3"/>
      <c r="D43" s="145"/>
      <c r="E43" s="69" t="str">
        <f>IF(B43+C43=0, "", B43+C43+D43)</f>
        <v/>
      </c>
      <c r="F43" s="10" t="str">
        <f>IF(E43="","", IF(AND(B43 &gt;=8,C43&gt;=17,D43&gt;=8),"Pass","Fail"))</f>
        <v/>
      </c>
      <c r="G43" s="10" t="str">
        <f>(IF(E43="","",IF(F43="Fail","F",IF(E43&gt;=80,"A+",IF(E43&gt;=70,"A",IF(E43&gt;=60,"A-",IF(E43&gt;=50,"B",IF(E43&gt;=40,"C",IF(E43&gt;=33,"D","F")))))))))</f>
        <v/>
      </c>
      <c r="H43" s="11" t="str">
        <f>(IF(E43="","",IF(G43="F",0,IF(E43&gt;=80,5,IF(E43&gt;=70,4,IF(E43&gt;=60,3.5,IF(E43&gt;=50,3,IF(E43&gt;=40,2,IF(E43&gt;=33,1,0)))))))))</f>
        <v/>
      </c>
    </row>
    <row r="44" spans="1:8" x14ac:dyDescent="0.35">
      <c r="A44" s="10">
        <f>'Student Basic Info'!A44</f>
        <v>743</v>
      </c>
      <c r="B44" s="3">
        <v>7</v>
      </c>
      <c r="C44" s="3">
        <v>9</v>
      </c>
      <c r="D44" s="145">
        <v>22</v>
      </c>
      <c r="E44" s="69">
        <f>IF(B44+C44=0, "", B44+C44+D44)</f>
        <v>38</v>
      </c>
      <c r="F44" s="10" t="str">
        <f>IF(E44="","", IF(AND(B44 &gt;=8,C44&gt;=17,D44&gt;=8),"Pass","Fail"))</f>
        <v>Fail</v>
      </c>
      <c r="G44" s="10" t="str">
        <f>(IF(E44="","",IF(F44="Fail","F",IF(E44&gt;=80,"A+",IF(E44&gt;=70,"A",IF(E44&gt;=60,"A-",IF(E44&gt;=50,"B",IF(E44&gt;=40,"C",IF(E44&gt;=33,"D","F")))))))))</f>
        <v>F</v>
      </c>
      <c r="H44" s="11">
        <f>(IF(E44="","",IF(G44="F",0,IF(E44&gt;=80,5,IF(E44&gt;=70,4,IF(E44&gt;=60,3.5,IF(E44&gt;=50,3,IF(E44&gt;=40,2,IF(E44&gt;=33,1,0)))))))))</f>
        <v>0</v>
      </c>
    </row>
    <row r="45" spans="1:8" x14ac:dyDescent="0.35">
      <c r="A45" s="10">
        <f>'Student Basic Info'!A45</f>
        <v>744</v>
      </c>
      <c r="B45" s="3">
        <v>13</v>
      </c>
      <c r="C45" s="3">
        <v>1</v>
      </c>
      <c r="D45" s="145">
        <v>8</v>
      </c>
      <c r="E45" s="69">
        <f>IF(B45+C45=0, "", B45+C45+D45)</f>
        <v>22</v>
      </c>
      <c r="F45" s="10" t="str">
        <f>IF(E45="","", IF(AND(B45 &gt;=8,C45&gt;=17,D45&gt;=8),"Pass","Fail"))</f>
        <v>Fail</v>
      </c>
      <c r="G45" s="10" t="str">
        <f>(IF(E45="","",IF(F45="Fail","F",IF(E45&gt;=80,"A+",IF(E45&gt;=70,"A",IF(E45&gt;=60,"A-",IF(E45&gt;=50,"B",IF(E45&gt;=40,"C",IF(E45&gt;=33,"D","F")))))))))</f>
        <v>F</v>
      </c>
      <c r="H45" s="11">
        <f>(IF(E45="","",IF(G45="F",0,IF(E45&gt;=80,5,IF(E45&gt;=70,4,IF(E45&gt;=60,3.5,IF(E45&gt;=50,3,IF(E45&gt;=40,2,IF(E45&gt;=33,1,0)))))))))</f>
        <v>0</v>
      </c>
    </row>
    <row r="46" spans="1:8" x14ac:dyDescent="0.35">
      <c r="A46" s="10">
        <f>'Student Basic Info'!A46</f>
        <v>745</v>
      </c>
      <c r="B46" s="3">
        <v>22</v>
      </c>
      <c r="C46" s="3">
        <v>41</v>
      </c>
      <c r="D46" s="145">
        <v>22</v>
      </c>
      <c r="E46" s="69">
        <f>IF(B46+C46=0, "", B46+C46+D46)</f>
        <v>85</v>
      </c>
      <c r="F46" s="10" t="str">
        <f>IF(E46="","", IF(AND(B46 &gt;=8,C46&gt;=17,D46&gt;=8),"Pass","Fail"))</f>
        <v>Pass</v>
      </c>
      <c r="G46" s="10" t="str">
        <f>(IF(E46="","",IF(F46="Fail","F",IF(E46&gt;=80,"A+",IF(E46&gt;=70,"A",IF(E46&gt;=60,"A-",IF(E46&gt;=50,"B",IF(E46&gt;=40,"C",IF(E46&gt;=33,"D","F")))))))))</f>
        <v>A+</v>
      </c>
      <c r="H46" s="11">
        <f>(IF(E46="","",IF(G46="F",0,IF(E46&gt;=80,5,IF(E46&gt;=70,4,IF(E46&gt;=60,3.5,IF(E46&gt;=50,3,IF(E46&gt;=40,2,IF(E46&gt;=33,1,0)))))))))</f>
        <v>5</v>
      </c>
    </row>
    <row r="47" spans="1:8" x14ac:dyDescent="0.35">
      <c r="A47" s="10">
        <f>'Student Basic Info'!A47</f>
        <v>746</v>
      </c>
      <c r="B47" s="3">
        <v>19</v>
      </c>
      <c r="C47" s="3">
        <v>28</v>
      </c>
      <c r="D47" s="145">
        <v>20</v>
      </c>
      <c r="E47" s="69">
        <f>IF(B47+C47=0, "", B47+C47+D47)</f>
        <v>67</v>
      </c>
      <c r="F47" s="10" t="str">
        <f>IF(E47="","", IF(AND(B47 &gt;=8,C47&gt;=17,D47&gt;=8),"Pass","Fail"))</f>
        <v>Pass</v>
      </c>
      <c r="G47" s="10" t="str">
        <f>(IF(E47="","",IF(F47="Fail","F",IF(E47&gt;=80,"A+",IF(E47&gt;=70,"A",IF(E47&gt;=60,"A-",IF(E47&gt;=50,"B",IF(E47&gt;=40,"C",IF(E47&gt;=33,"D","F")))))))))</f>
        <v>A-</v>
      </c>
      <c r="H47" s="11">
        <f>(IF(E47="","",IF(G47="F",0,IF(E47&gt;=80,5,IF(E47&gt;=70,4,IF(E47&gt;=60,3.5,IF(E47&gt;=50,3,IF(E47&gt;=40,2,IF(E47&gt;=33,1,0)))))))))</f>
        <v>3.5</v>
      </c>
    </row>
    <row r="48" spans="1:8" x14ac:dyDescent="0.35">
      <c r="A48" s="10">
        <f>'Student Basic Info'!A48</f>
        <v>747</v>
      </c>
      <c r="B48" s="3">
        <v>9</v>
      </c>
      <c r="C48" s="3">
        <v>2</v>
      </c>
      <c r="D48" s="145">
        <v>18</v>
      </c>
      <c r="E48" s="69">
        <f>IF(B48+C48=0, "", B48+C48+D48)</f>
        <v>29</v>
      </c>
      <c r="F48" s="10" t="str">
        <f>IF(E48="","", IF(AND(B48 &gt;=8,C48&gt;=17,D48&gt;=8),"Pass","Fail"))</f>
        <v>Fail</v>
      </c>
      <c r="G48" s="10" t="str">
        <f>(IF(E48="","",IF(F48="Fail","F",IF(E48&gt;=80,"A+",IF(E48&gt;=70,"A",IF(E48&gt;=60,"A-",IF(E48&gt;=50,"B",IF(E48&gt;=40,"C",IF(E48&gt;=33,"D","F")))))))))</f>
        <v>F</v>
      </c>
      <c r="H48" s="11">
        <f>(IF(E48="","",IF(G48="F",0,IF(E48&gt;=80,5,IF(E48&gt;=70,4,IF(E48&gt;=60,3.5,IF(E48&gt;=50,3,IF(E48&gt;=40,2,IF(E48&gt;=33,1,0)))))))))</f>
        <v>0</v>
      </c>
    </row>
    <row r="49" spans="1:8" x14ac:dyDescent="0.35">
      <c r="A49" s="10">
        <f>'Student Basic Info'!A49</f>
        <v>748</v>
      </c>
      <c r="B49" s="3">
        <v>7</v>
      </c>
      <c r="C49" s="3">
        <v>3</v>
      </c>
      <c r="D49" s="145">
        <v>18</v>
      </c>
      <c r="E49" s="69">
        <f>IF(B49+C49=0, "", B49+C49+D49)</f>
        <v>28</v>
      </c>
      <c r="F49" s="10" t="str">
        <f>IF(E49="","", IF(AND(B49 &gt;=8,C49&gt;=17,D49&gt;=8),"Pass","Fail"))</f>
        <v>Fail</v>
      </c>
      <c r="G49" s="10" t="str">
        <f>(IF(E49="","",IF(F49="Fail","F",IF(E49&gt;=80,"A+",IF(E49&gt;=70,"A",IF(E49&gt;=60,"A-",IF(E49&gt;=50,"B",IF(E49&gt;=40,"C",IF(E49&gt;=33,"D","F")))))))))</f>
        <v>F</v>
      </c>
      <c r="H49" s="11">
        <f>(IF(E49="","",IF(G49="F",0,IF(E49&gt;=80,5,IF(E49&gt;=70,4,IF(E49&gt;=60,3.5,IF(E49&gt;=50,3,IF(E49&gt;=40,2,IF(E49&gt;=33,1,0)))))))))</f>
        <v>0</v>
      </c>
    </row>
    <row r="50" spans="1:8" x14ac:dyDescent="0.35">
      <c r="A50" s="10">
        <f>'Student Basic Info'!A50</f>
        <v>749</v>
      </c>
      <c r="B50" s="3">
        <v>7</v>
      </c>
      <c r="C50" s="3">
        <v>1</v>
      </c>
      <c r="D50" s="145">
        <v>8</v>
      </c>
      <c r="E50" s="69">
        <f>IF(B50+C50=0, "", B50+C50+D50)</f>
        <v>16</v>
      </c>
      <c r="F50" s="10" t="str">
        <f>IF(E50="","", IF(AND(B50 &gt;=8,C50&gt;=17,D50&gt;=8),"Pass","Fail"))</f>
        <v>Fail</v>
      </c>
      <c r="G50" s="10" t="str">
        <f>(IF(E50="","",IF(F50="Fail","F",IF(E50&gt;=80,"A+",IF(E50&gt;=70,"A",IF(E50&gt;=60,"A-",IF(E50&gt;=50,"B",IF(E50&gt;=40,"C",IF(E50&gt;=33,"D","F")))))))))</f>
        <v>F</v>
      </c>
      <c r="H50" s="11">
        <f>(IF(E50="","",IF(G50="F",0,IF(E50&gt;=80,5,IF(E50&gt;=70,4,IF(E50&gt;=60,3.5,IF(E50&gt;=50,3,IF(E50&gt;=40,2,IF(E50&gt;=33,1,0)))))))))</f>
        <v>0</v>
      </c>
    </row>
    <row r="51" spans="1:8" x14ac:dyDescent="0.35">
      <c r="A51" s="10">
        <f>'Student Basic Info'!A51</f>
        <v>750</v>
      </c>
      <c r="B51" s="3"/>
      <c r="C51" s="3"/>
      <c r="D51" s="145"/>
      <c r="E51" s="69" t="str">
        <f>IF(B51+C51=0, "", B51+C51+D51)</f>
        <v/>
      </c>
      <c r="F51" s="10" t="str">
        <f>IF(E51="","", IF(AND(B51 &gt;=8,C51&gt;=17,D51&gt;=8),"Pass","Fail"))</f>
        <v/>
      </c>
      <c r="G51" s="10" t="str">
        <f>(IF(E51="","",IF(F51="Fail","F",IF(E51&gt;=80,"A+",IF(E51&gt;=70,"A",IF(E51&gt;=60,"A-",IF(E51&gt;=50,"B",IF(E51&gt;=40,"C",IF(E51&gt;=33,"D","F")))))))))</f>
        <v/>
      </c>
      <c r="H51" s="11" t="str">
        <f>(IF(E51="","",IF(G51="F",0,IF(E51&gt;=80,5,IF(E51&gt;=70,4,IF(E51&gt;=60,3.5,IF(E51&gt;=50,3,IF(E51&gt;=40,2,IF(E51&gt;=33,1,0)))))))))</f>
        <v/>
      </c>
    </row>
    <row r="52" spans="1:8" x14ac:dyDescent="0.35">
      <c r="A52" s="10">
        <f>'Student Basic Info'!A52</f>
        <v>751</v>
      </c>
      <c r="B52" s="3">
        <v>13</v>
      </c>
      <c r="C52" s="3">
        <v>5</v>
      </c>
      <c r="D52" s="145">
        <v>8</v>
      </c>
      <c r="E52" s="69">
        <f>IF(B52+C52=0, "", B52+C52+D52)</f>
        <v>26</v>
      </c>
      <c r="F52" s="10" t="str">
        <f>IF(E52="","", IF(AND(B52 &gt;=8,C52&gt;=17,D52&gt;=8),"Pass","Fail"))</f>
        <v>Fail</v>
      </c>
      <c r="G52" s="10" t="str">
        <f>(IF(E52="","",IF(F52="Fail","F",IF(E52&gt;=80,"A+",IF(E52&gt;=70,"A",IF(E52&gt;=60,"A-",IF(E52&gt;=50,"B",IF(E52&gt;=40,"C",IF(E52&gt;=33,"D","F")))))))))</f>
        <v>F</v>
      </c>
      <c r="H52" s="11">
        <f>(IF(E52="","",IF(G52="F",0,IF(E52&gt;=80,5,IF(E52&gt;=70,4,IF(E52&gt;=60,3.5,IF(E52&gt;=50,3,IF(E52&gt;=40,2,IF(E52&gt;=33,1,0)))))))))</f>
        <v>0</v>
      </c>
    </row>
    <row r="53" spans="1:8" x14ac:dyDescent="0.35">
      <c r="A53" s="10">
        <f>'Student Basic Info'!A53</f>
        <v>752</v>
      </c>
      <c r="B53" s="3"/>
      <c r="C53" s="3"/>
      <c r="D53" s="145"/>
      <c r="E53" s="69" t="str">
        <f>IF(B53+C53=0, "", B53+C53+D53)</f>
        <v/>
      </c>
      <c r="F53" s="10" t="str">
        <f>IF(E53="","", IF(AND(B53 &gt;=8,C53&gt;=17,D53&gt;=8),"Pass","Fail"))</f>
        <v/>
      </c>
      <c r="G53" s="10" t="str">
        <f>(IF(E53="","",IF(F53="Fail","F",IF(E53&gt;=80,"A+",IF(E53&gt;=70,"A",IF(E53&gt;=60,"A-",IF(E53&gt;=50,"B",IF(E53&gt;=40,"C",IF(E53&gt;=33,"D","F")))))))))</f>
        <v/>
      </c>
      <c r="H53" s="11" t="str">
        <f>(IF(E53="","",IF(G53="F",0,IF(E53&gt;=80,5,IF(E53&gt;=70,4,IF(E53&gt;=60,3.5,IF(E53&gt;=50,3,IF(E53&gt;=40,2,IF(E53&gt;=33,1,0)))))))))</f>
        <v/>
      </c>
    </row>
    <row r="54" spans="1:8" x14ac:dyDescent="0.35">
      <c r="A54" s="10">
        <f>'Student Basic Info'!A54</f>
        <v>753</v>
      </c>
      <c r="B54" s="3">
        <v>7</v>
      </c>
      <c r="C54" s="3">
        <v>2</v>
      </c>
      <c r="D54" s="145">
        <v>8</v>
      </c>
      <c r="E54" s="69">
        <f>IF(B54+C54=0, "", B54+C54+D54)</f>
        <v>17</v>
      </c>
      <c r="F54" s="10" t="str">
        <f>IF(E54="","", IF(AND(B54 &gt;=8,C54&gt;=17,D54&gt;=8),"Pass","Fail"))</f>
        <v>Fail</v>
      </c>
      <c r="G54" s="10" t="str">
        <f>(IF(E54="","",IF(F54="Fail","F",IF(E54&gt;=80,"A+",IF(E54&gt;=70,"A",IF(E54&gt;=60,"A-",IF(E54&gt;=50,"B",IF(E54&gt;=40,"C",IF(E54&gt;=33,"D","F")))))))))</f>
        <v>F</v>
      </c>
      <c r="H54" s="11">
        <f>(IF(E54="","",IF(G54="F",0,IF(E54&gt;=80,5,IF(E54&gt;=70,4,IF(E54&gt;=60,3.5,IF(E54&gt;=50,3,IF(E54&gt;=40,2,IF(E54&gt;=33,1,0)))))))))</f>
        <v>0</v>
      </c>
    </row>
    <row r="55" spans="1:8" x14ac:dyDescent="0.35">
      <c r="A55" s="10">
        <f>'Student Basic Info'!A55</f>
        <v>754</v>
      </c>
      <c r="B55" s="3">
        <v>15</v>
      </c>
      <c r="C55" s="3">
        <v>2</v>
      </c>
      <c r="D55" s="145">
        <v>24</v>
      </c>
      <c r="E55" s="69">
        <f>IF(B55+C55=0, "", B55+C55+D55)</f>
        <v>41</v>
      </c>
      <c r="F55" s="10" t="str">
        <f>IF(E55="","", IF(AND(B55 &gt;=8,C55&gt;=17,D55&gt;=8),"Pass","Fail"))</f>
        <v>Fail</v>
      </c>
      <c r="G55" s="10" t="str">
        <f>(IF(E55="","",IF(F55="Fail","F",IF(E55&gt;=80,"A+",IF(E55&gt;=70,"A",IF(E55&gt;=60,"A-",IF(E55&gt;=50,"B",IF(E55&gt;=40,"C",IF(E55&gt;=33,"D","F")))))))))</f>
        <v>F</v>
      </c>
      <c r="H55" s="11">
        <f>(IF(E55="","",IF(G55="F",0,IF(E55&gt;=80,5,IF(E55&gt;=70,4,IF(E55&gt;=60,3.5,IF(E55&gt;=50,3,IF(E55&gt;=40,2,IF(E55&gt;=33,1,0)))))))))</f>
        <v>0</v>
      </c>
    </row>
    <row r="56" spans="1:8" x14ac:dyDescent="0.35">
      <c r="A56" s="10">
        <f>'Student Basic Info'!A56</f>
        <v>755</v>
      </c>
      <c r="B56" s="3">
        <v>9</v>
      </c>
      <c r="C56" s="3">
        <v>0</v>
      </c>
      <c r="D56" s="145">
        <v>8</v>
      </c>
      <c r="E56" s="69">
        <f>IF(B56+C56=0, "", B56+C56+D56)</f>
        <v>17</v>
      </c>
      <c r="F56" s="10" t="str">
        <f>IF(E56="","", IF(AND(B56 &gt;=8,C56&gt;=17,D56&gt;=8),"Pass","Fail"))</f>
        <v>Fail</v>
      </c>
      <c r="G56" s="10" t="str">
        <f>(IF(E56="","",IF(F56="Fail","F",IF(E56&gt;=80,"A+",IF(E56&gt;=70,"A",IF(E56&gt;=60,"A-",IF(E56&gt;=50,"B",IF(E56&gt;=40,"C",IF(E56&gt;=33,"D","F")))))))))</f>
        <v>F</v>
      </c>
      <c r="H56" s="11">
        <f>(IF(E56="","",IF(G56="F",0,IF(E56&gt;=80,5,IF(E56&gt;=70,4,IF(E56&gt;=60,3.5,IF(E56&gt;=50,3,IF(E56&gt;=40,2,IF(E56&gt;=33,1,0)))))))))</f>
        <v>0</v>
      </c>
    </row>
    <row r="57" spans="1:8" x14ac:dyDescent="0.35">
      <c r="A57" s="10">
        <f>'Student Basic Info'!A57</f>
        <v>756</v>
      </c>
      <c r="B57" s="3">
        <v>9</v>
      </c>
      <c r="C57" s="3">
        <v>9</v>
      </c>
      <c r="D57" s="145">
        <v>25</v>
      </c>
      <c r="E57" s="69">
        <f>IF(B57+C57=0, "", B57+C57+D57)</f>
        <v>43</v>
      </c>
      <c r="F57" s="10" t="str">
        <f>IF(E57="","", IF(AND(B57 &gt;=8,C57&gt;=17,D57&gt;=8),"Pass","Fail"))</f>
        <v>Fail</v>
      </c>
      <c r="G57" s="10" t="str">
        <f>(IF(E57="","",IF(F57="Fail","F",IF(E57&gt;=80,"A+",IF(E57&gt;=70,"A",IF(E57&gt;=60,"A-",IF(E57&gt;=50,"B",IF(E57&gt;=40,"C",IF(E57&gt;=33,"D","F")))))))))</f>
        <v>F</v>
      </c>
      <c r="H57" s="11">
        <f>(IF(E57="","",IF(G57="F",0,IF(E57&gt;=80,5,IF(E57&gt;=70,4,IF(E57&gt;=60,3.5,IF(E57&gt;=50,3,IF(E57&gt;=40,2,IF(E57&gt;=33,1,0)))))))))</f>
        <v>0</v>
      </c>
    </row>
    <row r="58" spans="1:8" x14ac:dyDescent="0.35">
      <c r="A58" s="10">
        <f>'Student Basic Info'!A58</f>
        <v>757</v>
      </c>
      <c r="B58" s="3">
        <v>8</v>
      </c>
      <c r="C58" s="3">
        <v>1</v>
      </c>
      <c r="D58" s="145">
        <v>8</v>
      </c>
      <c r="E58" s="69">
        <f>IF(B58+C58=0, "", B58+C58+D58)</f>
        <v>17</v>
      </c>
      <c r="F58" s="10" t="str">
        <f>IF(E58="","", IF(AND(B58 &gt;=8,C58&gt;=17,D58&gt;=8),"Pass","Fail"))</f>
        <v>Fail</v>
      </c>
      <c r="G58" s="10" t="str">
        <f>(IF(E58="","",IF(F58="Fail","F",IF(E58&gt;=80,"A+",IF(E58&gt;=70,"A",IF(E58&gt;=60,"A-",IF(E58&gt;=50,"B",IF(E58&gt;=40,"C",IF(E58&gt;=33,"D","F")))))))))</f>
        <v>F</v>
      </c>
      <c r="H58" s="11">
        <f>(IF(E58="","",IF(G58="F",0,IF(E58&gt;=80,5,IF(E58&gt;=70,4,IF(E58&gt;=60,3.5,IF(E58&gt;=50,3,IF(E58&gt;=40,2,IF(E58&gt;=33,1,0)))))))))</f>
        <v>0</v>
      </c>
    </row>
    <row r="59" spans="1:8" x14ac:dyDescent="0.35">
      <c r="A59" s="10">
        <f>'Student Basic Info'!A59</f>
        <v>758</v>
      </c>
      <c r="B59" s="3">
        <v>12</v>
      </c>
      <c r="C59" s="3">
        <v>8</v>
      </c>
      <c r="D59" s="145">
        <v>25</v>
      </c>
      <c r="E59" s="69">
        <f>IF(B59+C59=0, "", B59+C59+D59)</f>
        <v>45</v>
      </c>
      <c r="F59" s="10" t="str">
        <f>IF(E59="","", IF(AND(B59 &gt;=8,C59&gt;=17,D59&gt;=8),"Pass","Fail"))</f>
        <v>Fail</v>
      </c>
      <c r="G59" s="10" t="str">
        <f>(IF(E59="","",IF(F59="Fail","F",IF(E59&gt;=80,"A+",IF(E59&gt;=70,"A",IF(E59&gt;=60,"A-",IF(E59&gt;=50,"B",IF(E59&gt;=40,"C",IF(E59&gt;=33,"D","F")))))))))</f>
        <v>F</v>
      </c>
      <c r="H59" s="11">
        <f>(IF(E59="","",IF(G59="F",0,IF(E59&gt;=80,5,IF(E59&gt;=70,4,IF(E59&gt;=60,3.5,IF(E59&gt;=50,3,IF(E59&gt;=40,2,IF(E59&gt;=33,1,0)))))))))</f>
        <v>0</v>
      </c>
    </row>
    <row r="60" spans="1:8" x14ac:dyDescent="0.35">
      <c r="A60" s="10">
        <f>'Student Basic Info'!A60</f>
        <v>759</v>
      </c>
      <c r="B60" s="3">
        <v>24</v>
      </c>
      <c r="C60" s="3">
        <v>42</v>
      </c>
      <c r="D60" s="145">
        <v>25</v>
      </c>
      <c r="E60" s="69">
        <f>IF(B60+C60=0, "", B60+C60+D60)</f>
        <v>91</v>
      </c>
      <c r="F60" s="10" t="str">
        <f>IF(E60="","", IF(AND(B60 &gt;=8,C60&gt;=17,D60&gt;=8),"Pass","Fail"))</f>
        <v>Pass</v>
      </c>
      <c r="G60" s="10" t="str">
        <f>(IF(E60="","",IF(F60="Fail","F",IF(E60&gt;=80,"A+",IF(E60&gt;=70,"A",IF(E60&gt;=60,"A-",IF(E60&gt;=50,"B",IF(E60&gt;=40,"C",IF(E60&gt;=33,"D","F")))))))))</f>
        <v>A+</v>
      </c>
      <c r="H60" s="11">
        <f>(IF(E60="","",IF(G60="F",0,IF(E60&gt;=80,5,IF(E60&gt;=70,4,IF(E60&gt;=60,3.5,IF(E60&gt;=50,3,IF(E60&gt;=40,2,IF(E60&gt;=33,1,0)))))))))</f>
        <v>5</v>
      </c>
    </row>
    <row r="61" spans="1:8" x14ac:dyDescent="0.35">
      <c r="A61" s="10">
        <f>'Student Basic Info'!A61</f>
        <v>760</v>
      </c>
      <c r="B61" s="3"/>
      <c r="C61" s="3"/>
      <c r="D61" s="146">
        <v>24</v>
      </c>
      <c r="E61" s="69" t="str">
        <f>IF(B61+C61=0, "", B61+C61+D61)</f>
        <v/>
      </c>
      <c r="F61" s="10" t="str">
        <f>IF(E61="","", IF(AND(B61 &gt;=8,C61&gt;=17,D61&gt;=8),"Pass","Fail"))</f>
        <v/>
      </c>
      <c r="G61" s="10" t="str">
        <f>(IF(E61="","",IF(F61="Fail","F",IF(E61&gt;=80,"A+",IF(E61&gt;=70,"A",IF(E61&gt;=60,"A-",IF(E61&gt;=50,"B",IF(E61&gt;=40,"C",IF(E61&gt;=33,"D","F")))))))))</f>
        <v/>
      </c>
      <c r="H61" s="11" t="str">
        <f>(IF(E61="","",IF(G61="F",0,IF(E61&gt;=80,5,IF(E61&gt;=70,4,IF(E61&gt;=60,3.5,IF(E61&gt;=50,3,IF(E61&gt;=40,2,IF(E61&gt;=33,1,0)))))))))</f>
        <v/>
      </c>
    </row>
    <row r="62" spans="1:8" x14ac:dyDescent="0.35">
      <c r="A62" s="10">
        <f>'Student Basic Info'!A62</f>
        <v>761</v>
      </c>
      <c r="B62" s="3">
        <v>14</v>
      </c>
      <c r="C62" s="3">
        <v>21</v>
      </c>
      <c r="D62" s="145">
        <v>25</v>
      </c>
      <c r="E62" s="69">
        <f>IF(B62+C62=0, "", B62+C62+D62)</f>
        <v>60</v>
      </c>
      <c r="F62" s="10" t="str">
        <f>IF(E62="","", IF(AND(B62 &gt;=8,C62&gt;=17,D62&gt;=8),"Pass","Fail"))</f>
        <v>Pass</v>
      </c>
      <c r="G62" s="10" t="str">
        <f>(IF(E62="","",IF(F62="Fail","F",IF(E62&gt;=80,"A+",IF(E62&gt;=70,"A",IF(E62&gt;=60,"A-",IF(E62&gt;=50,"B",IF(E62&gt;=40,"C",IF(E62&gt;=33,"D","F")))))))))</f>
        <v>A-</v>
      </c>
      <c r="H62" s="11">
        <f>(IF(E62="","",IF(G62="F",0,IF(E62&gt;=80,5,IF(E62&gt;=70,4,IF(E62&gt;=60,3.5,IF(E62&gt;=50,3,IF(E62&gt;=40,2,IF(E62&gt;=33,1,0)))))))))</f>
        <v>3.5</v>
      </c>
    </row>
    <row r="63" spans="1:8" x14ac:dyDescent="0.35">
      <c r="A63" s="10">
        <f>'Student Basic Info'!A63</f>
        <v>762</v>
      </c>
      <c r="B63" s="3">
        <v>11</v>
      </c>
      <c r="C63" s="3">
        <v>27</v>
      </c>
      <c r="D63" s="145">
        <v>25</v>
      </c>
      <c r="E63" s="69">
        <f>IF(B63+C63=0, "", B63+C63+D63)</f>
        <v>63</v>
      </c>
      <c r="F63" s="10" t="str">
        <f>IF(E63="","", IF(AND(B63 &gt;=8,C63&gt;=17,D63&gt;=8),"Pass","Fail"))</f>
        <v>Pass</v>
      </c>
      <c r="G63" s="10" t="str">
        <f>(IF(E63="","",IF(F63="Fail","F",IF(E63&gt;=80,"A+",IF(E63&gt;=70,"A",IF(E63&gt;=60,"A-",IF(E63&gt;=50,"B",IF(E63&gt;=40,"C",IF(E63&gt;=33,"D","F")))))))))</f>
        <v>A-</v>
      </c>
      <c r="H63" s="11">
        <f>(IF(E63="","",IF(G63="F",0,IF(E63&gt;=80,5,IF(E63&gt;=70,4,IF(E63&gt;=60,3.5,IF(E63&gt;=50,3,IF(E63&gt;=40,2,IF(E63&gt;=33,1,0)))))))))</f>
        <v>3.5</v>
      </c>
    </row>
    <row r="64" spans="1:8" x14ac:dyDescent="0.35">
      <c r="A64" s="10">
        <f>'Student Basic Info'!A64</f>
        <v>763</v>
      </c>
      <c r="B64" s="3">
        <v>10</v>
      </c>
      <c r="C64" s="3">
        <v>2</v>
      </c>
      <c r="D64" s="145">
        <v>20</v>
      </c>
      <c r="E64" s="69">
        <f>IF(B64+C64=0, "", B64+C64+D64)</f>
        <v>32</v>
      </c>
      <c r="F64" s="10" t="str">
        <f>IF(E64="","", IF(AND(B64 &gt;=8,C64&gt;=17,D64&gt;=8),"Pass","Fail"))</f>
        <v>Fail</v>
      </c>
      <c r="G64" s="10" t="str">
        <f>(IF(E64="","",IF(F64="Fail","F",IF(E64&gt;=80,"A+",IF(E64&gt;=70,"A",IF(E64&gt;=60,"A-",IF(E64&gt;=50,"B",IF(E64&gt;=40,"C",IF(E64&gt;=33,"D","F")))))))))</f>
        <v>F</v>
      </c>
      <c r="H64" s="11">
        <f>(IF(E64="","",IF(G64="F",0,IF(E64&gt;=80,5,IF(E64&gt;=70,4,IF(E64&gt;=60,3.5,IF(E64&gt;=50,3,IF(E64&gt;=40,2,IF(E64&gt;=33,1,0)))))))))</f>
        <v>0</v>
      </c>
    </row>
    <row r="65" spans="1:8" x14ac:dyDescent="0.35">
      <c r="A65" s="10">
        <f>'Student Basic Info'!A65</f>
        <v>764</v>
      </c>
      <c r="B65" s="3">
        <v>10</v>
      </c>
      <c r="C65" s="3">
        <v>5</v>
      </c>
      <c r="D65" s="145">
        <v>20</v>
      </c>
      <c r="E65" s="69">
        <f>IF(B65+C65=0, "", B65+C65+D65)</f>
        <v>35</v>
      </c>
      <c r="F65" s="10" t="str">
        <f>IF(E65="","", IF(AND(B65 &gt;=8,C65&gt;=17,D65&gt;=8),"Pass","Fail"))</f>
        <v>Fail</v>
      </c>
      <c r="G65" s="10" t="str">
        <f>(IF(E65="","",IF(F65="Fail","F",IF(E65&gt;=80,"A+",IF(E65&gt;=70,"A",IF(E65&gt;=60,"A-",IF(E65&gt;=50,"B",IF(E65&gt;=40,"C",IF(E65&gt;=33,"D","F")))))))))</f>
        <v>F</v>
      </c>
      <c r="H65" s="11">
        <f>(IF(E65="","",IF(G65="F",0,IF(E65&gt;=80,5,IF(E65&gt;=70,4,IF(E65&gt;=60,3.5,IF(E65&gt;=50,3,IF(E65&gt;=40,2,IF(E65&gt;=33,1,0)))))))))</f>
        <v>0</v>
      </c>
    </row>
    <row r="66" spans="1:8" x14ac:dyDescent="0.35">
      <c r="A66" s="10">
        <f>'Student Basic Info'!A66</f>
        <v>765</v>
      </c>
      <c r="B66" s="3">
        <v>17</v>
      </c>
      <c r="C66" s="3">
        <v>35</v>
      </c>
      <c r="D66" s="145">
        <v>18</v>
      </c>
      <c r="E66" s="69">
        <f>IF(B66+C66=0, "", B66+C66+D66)</f>
        <v>70</v>
      </c>
      <c r="F66" s="10" t="str">
        <f>IF(E66="","", IF(AND(B66 &gt;=8,C66&gt;=17,D66&gt;=8),"Pass","Fail"))</f>
        <v>Pass</v>
      </c>
      <c r="G66" s="10" t="str">
        <f>(IF(E66="","",IF(F66="Fail","F",IF(E66&gt;=80,"A+",IF(E66&gt;=70,"A",IF(E66&gt;=60,"A-",IF(E66&gt;=50,"B",IF(E66&gt;=40,"C",IF(E66&gt;=33,"D","F")))))))))</f>
        <v>A</v>
      </c>
      <c r="H66" s="11">
        <f>(IF(E66="","",IF(G66="F",0,IF(E66&gt;=80,5,IF(E66&gt;=70,4,IF(E66&gt;=60,3.5,IF(E66&gt;=50,3,IF(E66&gt;=40,2,IF(E66&gt;=33,1,0)))))))))</f>
        <v>4</v>
      </c>
    </row>
    <row r="67" spans="1:8" x14ac:dyDescent="0.35">
      <c r="A67" s="10">
        <f>'Student Basic Info'!A67</f>
        <v>766</v>
      </c>
      <c r="B67" s="3">
        <v>15</v>
      </c>
      <c r="C67" s="3">
        <v>31</v>
      </c>
      <c r="D67" s="145">
        <v>20</v>
      </c>
      <c r="E67" s="69">
        <f>IF(B67+C67=0, "", B67+C67+D67)</f>
        <v>66</v>
      </c>
      <c r="F67" s="10" t="str">
        <f>IF(E67="","", IF(AND(B67 &gt;=8,C67&gt;=17,D67&gt;=8),"Pass","Fail"))</f>
        <v>Pass</v>
      </c>
      <c r="G67" s="10" t="str">
        <f>(IF(E67="","",IF(F67="Fail","F",IF(E67&gt;=80,"A+",IF(E67&gt;=70,"A",IF(E67&gt;=60,"A-",IF(E67&gt;=50,"B",IF(E67&gt;=40,"C",IF(E67&gt;=33,"D","F")))))))))</f>
        <v>A-</v>
      </c>
      <c r="H67" s="11">
        <f>(IF(E67="","",IF(G67="F",0,IF(E67&gt;=80,5,IF(E67&gt;=70,4,IF(E67&gt;=60,3.5,IF(E67&gt;=50,3,IF(E67&gt;=40,2,IF(E67&gt;=33,1,0)))))))))</f>
        <v>3.5</v>
      </c>
    </row>
    <row r="68" spans="1:8" x14ac:dyDescent="0.35">
      <c r="A68" s="10">
        <f>'Student Basic Info'!A68</f>
        <v>767</v>
      </c>
      <c r="B68" s="3">
        <v>17</v>
      </c>
      <c r="C68" s="3">
        <v>33</v>
      </c>
      <c r="D68" s="145">
        <v>20</v>
      </c>
      <c r="E68" s="69">
        <f>IF(B68+C68=0, "", B68+C68+D68)</f>
        <v>70</v>
      </c>
      <c r="F68" s="10" t="str">
        <f>IF(E68="","", IF(AND(B68 &gt;=8,C68&gt;=17,D68&gt;=8),"Pass","Fail"))</f>
        <v>Pass</v>
      </c>
      <c r="G68" s="10" t="str">
        <f>(IF(E68="","",IF(F68="Fail","F",IF(E68&gt;=80,"A+",IF(E68&gt;=70,"A",IF(E68&gt;=60,"A-",IF(E68&gt;=50,"B",IF(E68&gt;=40,"C",IF(E68&gt;=33,"D","F")))))))))</f>
        <v>A</v>
      </c>
      <c r="H68" s="11">
        <f>(IF(E68="","",IF(G68="F",0,IF(E68&gt;=80,5,IF(E68&gt;=70,4,IF(E68&gt;=60,3.5,IF(E68&gt;=50,3,IF(E68&gt;=40,2,IF(E68&gt;=33,1,0)))))))))</f>
        <v>4</v>
      </c>
    </row>
    <row r="69" spans="1:8" x14ac:dyDescent="0.35">
      <c r="A69" s="10">
        <f>'Student Basic Info'!A69</f>
        <v>768</v>
      </c>
      <c r="B69" s="3">
        <v>17</v>
      </c>
      <c r="C69" s="3">
        <v>23</v>
      </c>
      <c r="D69" s="145">
        <v>18</v>
      </c>
      <c r="E69" s="69">
        <f>IF(B69+C69=0, "", B69+C69+D69)</f>
        <v>58</v>
      </c>
      <c r="F69" s="10" t="str">
        <f>IF(E69="","", IF(AND(B69 &gt;=8,C69&gt;=17,D69&gt;=8),"Pass","Fail"))</f>
        <v>Pass</v>
      </c>
      <c r="G69" s="10" t="str">
        <f>(IF(E69="","",IF(F69="Fail","F",IF(E69&gt;=80,"A+",IF(E69&gt;=70,"A",IF(E69&gt;=60,"A-",IF(E69&gt;=50,"B",IF(E69&gt;=40,"C",IF(E69&gt;=33,"D","F")))))))))</f>
        <v>B</v>
      </c>
      <c r="H69" s="11">
        <f>(IF(E69="","",IF(G69="F",0,IF(E69&gt;=80,5,IF(E69&gt;=70,4,IF(E69&gt;=60,3.5,IF(E69&gt;=50,3,IF(E69&gt;=40,2,IF(E69&gt;=33,1,0)))))))))</f>
        <v>3</v>
      </c>
    </row>
    <row r="70" spans="1:8" x14ac:dyDescent="0.35">
      <c r="A70" s="10">
        <f>'Student Basic Info'!A70</f>
        <v>769</v>
      </c>
      <c r="B70" s="3"/>
      <c r="C70" s="3"/>
      <c r="D70" s="145"/>
      <c r="E70" s="69" t="str">
        <f>IF(B70+C70=0, "", B70+C70+D70)</f>
        <v/>
      </c>
      <c r="F70" s="10" t="str">
        <f>IF(E70="","", IF(AND(B70 &gt;=8,C70&gt;=17,D70&gt;=8),"Pass","Fail"))</f>
        <v/>
      </c>
      <c r="G70" s="10" t="str">
        <f>(IF(E70="","",IF(F70="Fail","F",IF(E70&gt;=80,"A+",IF(E70&gt;=70,"A",IF(E70&gt;=60,"A-",IF(E70&gt;=50,"B",IF(E70&gt;=40,"C",IF(E70&gt;=33,"D","F")))))))))</f>
        <v/>
      </c>
      <c r="H70" s="11" t="str">
        <f>(IF(E70="","",IF(G70="F",0,IF(E70&gt;=80,5,IF(E70&gt;=70,4,IF(E70&gt;=60,3.5,IF(E70&gt;=50,3,IF(E70&gt;=40,2,IF(E70&gt;=33,1,0)))))))))</f>
        <v/>
      </c>
    </row>
    <row r="71" spans="1:8" x14ac:dyDescent="0.35">
      <c r="A71" s="10">
        <f>'Student Basic Info'!A71</f>
        <v>770</v>
      </c>
      <c r="B71" s="3">
        <v>8</v>
      </c>
      <c r="C71" s="3">
        <v>9</v>
      </c>
      <c r="D71" s="145">
        <v>20</v>
      </c>
      <c r="E71" s="69">
        <f>IF(B71+C71=0, "", B71+C71+D71)</f>
        <v>37</v>
      </c>
      <c r="F71" s="10" t="str">
        <f>IF(E71="","", IF(AND(B71 &gt;=8,C71&gt;=17,D71&gt;=8),"Pass","Fail"))</f>
        <v>Fail</v>
      </c>
      <c r="G71" s="10" t="str">
        <f>(IF(E71="","",IF(F71="Fail","F",IF(E71&gt;=80,"A+",IF(E71&gt;=70,"A",IF(E71&gt;=60,"A-",IF(E71&gt;=50,"B",IF(E71&gt;=40,"C",IF(E71&gt;=33,"D","F")))))))))</f>
        <v>F</v>
      </c>
      <c r="H71" s="11">
        <f>(IF(E71="","",IF(G71="F",0,IF(E71&gt;=80,5,IF(E71&gt;=70,4,IF(E71&gt;=60,3.5,IF(E71&gt;=50,3,IF(E71&gt;=40,2,IF(E71&gt;=33,1,0)))))))))</f>
        <v>0</v>
      </c>
    </row>
    <row r="72" spans="1:8" x14ac:dyDescent="0.35">
      <c r="A72" s="10">
        <f>'Student Basic Info'!A72</f>
        <v>771</v>
      </c>
      <c r="B72" s="3"/>
      <c r="C72" s="3"/>
      <c r="D72" s="145"/>
      <c r="E72" s="69" t="str">
        <f>IF(B72+C72=0, "", B72+C72+D72)</f>
        <v/>
      </c>
      <c r="F72" s="10" t="str">
        <f>IF(E72="","", IF(AND(B72 &gt;=8,C72&gt;=17,D72&gt;=8),"Pass","Fail"))</f>
        <v/>
      </c>
      <c r="G72" s="10" t="str">
        <f>(IF(E72="","",IF(F72="Fail","F",IF(E72&gt;=80,"A+",IF(E72&gt;=70,"A",IF(E72&gt;=60,"A-",IF(E72&gt;=50,"B",IF(E72&gt;=40,"C",IF(E72&gt;=33,"D","F")))))))))</f>
        <v/>
      </c>
      <c r="H72" s="11" t="str">
        <f>(IF(E72="","",IF(G72="F",0,IF(E72&gt;=80,5,IF(E72&gt;=70,4,IF(E72&gt;=60,3.5,IF(E72&gt;=50,3,IF(E72&gt;=40,2,IF(E72&gt;=33,1,0)))))))))</f>
        <v/>
      </c>
    </row>
    <row r="73" spans="1:8" x14ac:dyDescent="0.35">
      <c r="A73" s="10">
        <f>'Student Basic Info'!A73</f>
        <v>772</v>
      </c>
      <c r="B73" s="3">
        <v>6</v>
      </c>
      <c r="C73" s="3">
        <v>8</v>
      </c>
      <c r="D73" s="145">
        <v>20</v>
      </c>
      <c r="E73" s="69">
        <f>IF(B73+C73=0, "", B73+C73+D73)</f>
        <v>34</v>
      </c>
      <c r="F73" s="10" t="str">
        <f>IF(E73="","", IF(AND(B73 &gt;=8,C73&gt;=17,D73&gt;=8),"Pass","Fail"))</f>
        <v>Fail</v>
      </c>
      <c r="G73" s="10" t="str">
        <f>(IF(E73="","",IF(F73="Fail","F",IF(E73&gt;=80,"A+",IF(E73&gt;=70,"A",IF(E73&gt;=60,"A-",IF(E73&gt;=50,"B",IF(E73&gt;=40,"C",IF(E73&gt;=33,"D","F")))))))))</f>
        <v>F</v>
      </c>
      <c r="H73" s="11">
        <f>(IF(E73="","",IF(G73="F",0,IF(E73&gt;=80,5,IF(E73&gt;=70,4,IF(E73&gt;=60,3.5,IF(E73&gt;=50,3,IF(E73&gt;=40,2,IF(E73&gt;=33,1,0)))))))))</f>
        <v>0</v>
      </c>
    </row>
    <row r="74" spans="1:8" x14ac:dyDescent="0.35">
      <c r="A74" s="10">
        <f>'Student Basic Info'!A74</f>
        <v>773</v>
      </c>
      <c r="B74" s="3">
        <v>13</v>
      </c>
      <c r="C74" s="3">
        <v>7</v>
      </c>
      <c r="D74" s="145">
        <v>24</v>
      </c>
      <c r="E74" s="69">
        <f>IF(B74+C74=0, "", B74+C74+D74)</f>
        <v>44</v>
      </c>
      <c r="F74" s="10" t="str">
        <f>IF(E74="","", IF(AND(B74 &gt;=8,C74&gt;=17,D74&gt;=8),"Pass","Fail"))</f>
        <v>Fail</v>
      </c>
      <c r="G74" s="10" t="str">
        <f>(IF(E74="","",IF(F74="Fail","F",IF(E74&gt;=80,"A+",IF(E74&gt;=70,"A",IF(E74&gt;=60,"A-",IF(E74&gt;=50,"B",IF(E74&gt;=40,"C",IF(E74&gt;=33,"D","F")))))))))</f>
        <v>F</v>
      </c>
      <c r="H74" s="11">
        <f>(IF(E74="","",IF(G74="F",0,IF(E74&gt;=80,5,IF(E74&gt;=70,4,IF(E74&gt;=60,3.5,IF(E74&gt;=50,3,IF(E74&gt;=40,2,IF(E74&gt;=33,1,0)))))))))</f>
        <v>0</v>
      </c>
    </row>
    <row r="75" spans="1:8" x14ac:dyDescent="0.35">
      <c r="A75" s="10">
        <f>'Student Basic Info'!A75</f>
        <v>774</v>
      </c>
      <c r="B75" s="142">
        <v>8</v>
      </c>
      <c r="C75" s="3">
        <v>19</v>
      </c>
      <c r="D75" s="145">
        <v>24</v>
      </c>
      <c r="E75" s="69">
        <f>IF(B75+C75=0, "", B75+C75+D75)</f>
        <v>51</v>
      </c>
      <c r="F75" s="10" t="str">
        <f>IF(E75="","", IF(AND(B75 &gt;=8,C75&gt;=17,D75&gt;=8),"Pass","Fail"))</f>
        <v>Pass</v>
      </c>
      <c r="G75" s="10" t="str">
        <f>(IF(E75="","",IF(F75="Fail","F",IF(E75&gt;=80,"A+",IF(E75&gt;=70,"A",IF(E75&gt;=60,"A-",IF(E75&gt;=50,"B",IF(E75&gt;=40,"C",IF(E75&gt;=33,"D","F")))))))))</f>
        <v>B</v>
      </c>
      <c r="H75" s="11">
        <f>(IF(E75="","",IF(G75="F",0,IF(E75&gt;=80,5,IF(E75&gt;=70,4,IF(E75&gt;=60,3.5,IF(E75&gt;=50,3,IF(E75&gt;=40,2,IF(E75&gt;=33,1,0)))))))))</f>
        <v>3</v>
      </c>
    </row>
    <row r="76" spans="1:8" x14ac:dyDescent="0.35">
      <c r="A76" s="10">
        <f>'Student Basic Info'!A76</f>
        <v>775</v>
      </c>
      <c r="B76" s="3">
        <v>9</v>
      </c>
      <c r="C76" s="3">
        <v>10</v>
      </c>
      <c r="D76" s="145">
        <v>8</v>
      </c>
      <c r="E76" s="69">
        <f>IF(B76+C76=0, "", B76+C76+D76)</f>
        <v>27</v>
      </c>
      <c r="F76" s="10" t="str">
        <f>IF(E76="","", IF(AND(B76 &gt;=8,C76&gt;=17,D76&gt;=8),"Pass","Fail"))</f>
        <v>Fail</v>
      </c>
      <c r="G76" s="10" t="str">
        <f>(IF(E76="","",IF(F76="Fail","F",IF(E76&gt;=80,"A+",IF(E76&gt;=70,"A",IF(E76&gt;=60,"A-",IF(E76&gt;=50,"B",IF(E76&gt;=40,"C",IF(E76&gt;=33,"D","F")))))))))</f>
        <v>F</v>
      </c>
      <c r="H76" s="11">
        <f>(IF(E76="","",IF(G76="F",0,IF(E76&gt;=80,5,IF(E76&gt;=70,4,IF(E76&gt;=60,3.5,IF(E76&gt;=50,3,IF(E76&gt;=40,2,IF(E76&gt;=33,1,0)))))))))</f>
        <v>0</v>
      </c>
    </row>
    <row r="77" spans="1:8" x14ac:dyDescent="0.35">
      <c r="A77" s="10">
        <f>'Student Basic Info'!A77</f>
        <v>776</v>
      </c>
      <c r="B77" s="3">
        <v>6</v>
      </c>
      <c r="C77" s="3">
        <v>6</v>
      </c>
      <c r="D77" s="145">
        <v>8</v>
      </c>
      <c r="E77" s="69">
        <f>IF(B77+C77=0, "", B77+C77+D77)</f>
        <v>20</v>
      </c>
      <c r="F77" s="10" t="str">
        <f>IF(E77="","", IF(AND(B77 &gt;=8,C77&gt;=17,D77&gt;=8),"Pass","Fail"))</f>
        <v>Fail</v>
      </c>
      <c r="G77" s="10" t="str">
        <f>(IF(E77="","",IF(F77="Fail","F",IF(E77&gt;=80,"A+",IF(E77&gt;=70,"A",IF(E77&gt;=60,"A-",IF(E77&gt;=50,"B",IF(E77&gt;=40,"C",IF(E77&gt;=33,"D","F")))))))))</f>
        <v>F</v>
      </c>
      <c r="H77" s="11">
        <f>(IF(E77="","",IF(G77="F",0,IF(E77&gt;=80,5,IF(E77&gt;=70,4,IF(E77&gt;=60,3.5,IF(E77&gt;=50,3,IF(E77&gt;=40,2,IF(E77&gt;=33,1,0)))))))))</f>
        <v>0</v>
      </c>
    </row>
    <row r="78" spans="1:8" x14ac:dyDescent="0.35">
      <c r="A78" s="10">
        <f>'Student Basic Info'!A78</f>
        <v>777</v>
      </c>
      <c r="B78" s="3"/>
      <c r="C78" s="3"/>
      <c r="D78" s="145"/>
      <c r="E78" s="69" t="str">
        <f>IF(B78+C78=0, "", B78+C78+D78)</f>
        <v/>
      </c>
      <c r="F78" s="10" t="str">
        <f>IF(E78="","", IF(AND(B78 &gt;=8,C78&gt;=17,D78&gt;=8),"Pass","Fail"))</f>
        <v/>
      </c>
      <c r="G78" s="10" t="str">
        <f>(IF(E78="","",IF(F78="Fail","F",IF(E78&gt;=80,"A+",IF(E78&gt;=70,"A",IF(E78&gt;=60,"A-",IF(E78&gt;=50,"B",IF(E78&gt;=40,"C",IF(E78&gt;=33,"D","F")))))))))</f>
        <v/>
      </c>
      <c r="H78" s="11" t="str">
        <f>(IF(E78="","",IF(G78="F",0,IF(E78&gt;=80,5,IF(E78&gt;=70,4,IF(E78&gt;=60,3.5,IF(E78&gt;=50,3,IF(E78&gt;=40,2,IF(E78&gt;=33,1,0)))))))))</f>
        <v/>
      </c>
    </row>
    <row r="79" spans="1:8" x14ac:dyDescent="0.35">
      <c r="A79" s="10">
        <f>'Student Basic Info'!A79</f>
        <v>778</v>
      </c>
      <c r="B79" s="3"/>
      <c r="C79" s="3"/>
      <c r="D79" s="145"/>
      <c r="E79" s="69" t="str">
        <f>IF(B79+C79=0, "", B79+C79+D79)</f>
        <v/>
      </c>
      <c r="F79" s="10" t="str">
        <f>IF(E79="","", IF(AND(B79 &gt;=8,C79&gt;=17,D79&gt;=8),"Pass","Fail"))</f>
        <v/>
      </c>
      <c r="G79" s="10" t="str">
        <f>(IF(E79="","",IF(F79="Fail","F",IF(E79&gt;=80,"A+",IF(E79&gt;=70,"A",IF(E79&gt;=60,"A-",IF(E79&gt;=50,"B",IF(E79&gt;=40,"C",IF(E79&gt;=33,"D","F")))))))))</f>
        <v/>
      </c>
      <c r="H79" s="11" t="str">
        <f>(IF(E79="","",IF(G79="F",0,IF(E79&gt;=80,5,IF(E79&gt;=70,4,IF(E79&gt;=60,3.5,IF(E79&gt;=50,3,IF(E79&gt;=40,2,IF(E79&gt;=33,1,0)))))))))</f>
        <v/>
      </c>
    </row>
    <row r="80" spans="1:8" x14ac:dyDescent="0.35">
      <c r="A80" s="10">
        <f>'Student Basic Info'!A80</f>
        <v>779</v>
      </c>
      <c r="B80" s="3">
        <v>10</v>
      </c>
      <c r="C80" s="142"/>
      <c r="D80" s="145">
        <v>24</v>
      </c>
      <c r="E80" s="69">
        <f>IF(B80+C80=0, "", B80+C80+D80)</f>
        <v>34</v>
      </c>
      <c r="F80" s="10" t="str">
        <f>IF(E80="","", IF(AND(B80 &gt;=8,C80&gt;=17,D80&gt;=8),"Pass","Fail"))</f>
        <v>Fail</v>
      </c>
      <c r="G80" s="10" t="str">
        <f>(IF(E80="","",IF(F80="Fail","F",IF(E80&gt;=80,"A+",IF(E80&gt;=70,"A",IF(E80&gt;=60,"A-",IF(E80&gt;=50,"B",IF(E80&gt;=40,"C",IF(E80&gt;=33,"D","F")))))))))</f>
        <v>F</v>
      </c>
      <c r="H80" s="11">
        <f>(IF(E80="","",IF(G80="F",0,IF(E80&gt;=80,5,IF(E80&gt;=70,4,IF(E80&gt;=60,3.5,IF(E80&gt;=50,3,IF(E80&gt;=40,2,IF(E80&gt;=33,1,0)))))))))</f>
        <v>0</v>
      </c>
    </row>
    <row r="81" spans="1:8" x14ac:dyDescent="0.35">
      <c r="A81" s="10">
        <f>'Student Basic Info'!A81</f>
        <v>780</v>
      </c>
      <c r="B81" s="3">
        <v>11</v>
      </c>
      <c r="C81" s="3">
        <v>1</v>
      </c>
      <c r="D81" s="145">
        <v>18</v>
      </c>
      <c r="E81" s="69">
        <f>IF(B81+C81=0, "", B81+C81+D81)</f>
        <v>30</v>
      </c>
      <c r="F81" s="10" t="str">
        <f>IF(E81="","", IF(AND(B81 &gt;=8,C81&gt;=17,D81&gt;=8),"Pass","Fail"))</f>
        <v>Fail</v>
      </c>
      <c r="G81" s="10" t="str">
        <f>(IF(E81="","",IF(F81="Fail","F",IF(E81&gt;=80,"A+",IF(E81&gt;=70,"A",IF(E81&gt;=60,"A-",IF(E81&gt;=50,"B",IF(E81&gt;=40,"C",IF(E81&gt;=33,"D","F")))))))))</f>
        <v>F</v>
      </c>
      <c r="H81" s="11">
        <f>(IF(E81="","",IF(G81="F",0,IF(E81&gt;=80,5,IF(E81&gt;=70,4,IF(E81&gt;=60,3.5,IF(E81&gt;=50,3,IF(E81&gt;=40,2,IF(E81&gt;=33,1,0)))))))))</f>
        <v>0</v>
      </c>
    </row>
    <row r="82" spans="1:8" x14ac:dyDescent="0.35">
      <c r="A82" s="10">
        <f>'Student Basic Info'!A82</f>
        <v>781</v>
      </c>
      <c r="B82" s="3"/>
      <c r="C82" s="3"/>
      <c r="D82" s="145"/>
      <c r="E82" s="69" t="str">
        <f>IF(B82+C82=0, "", B82+C82+D82)</f>
        <v/>
      </c>
      <c r="F82" s="10" t="str">
        <f>IF(E82="","", IF(AND(B82 &gt;=8,C82&gt;=17,D82&gt;=8),"Pass","Fail"))</f>
        <v/>
      </c>
      <c r="G82" s="10" t="str">
        <f>(IF(E82="","",IF(F82="Fail","F",IF(E82&gt;=80,"A+",IF(E82&gt;=70,"A",IF(E82&gt;=60,"A-",IF(E82&gt;=50,"B",IF(E82&gt;=40,"C",IF(E82&gt;=33,"D","F")))))))))</f>
        <v/>
      </c>
      <c r="H82" s="11" t="str">
        <f>(IF(E82="","",IF(G82="F",0,IF(E82&gt;=80,5,IF(E82&gt;=70,4,IF(E82&gt;=60,3.5,IF(E82&gt;=50,3,IF(E82&gt;=40,2,IF(E82&gt;=33,1,0)))))))))</f>
        <v/>
      </c>
    </row>
    <row r="83" spans="1:8" x14ac:dyDescent="0.35">
      <c r="A83" s="10">
        <f>'Student Basic Info'!A83</f>
        <v>782</v>
      </c>
      <c r="B83" s="3">
        <v>4</v>
      </c>
      <c r="C83" s="3">
        <v>8</v>
      </c>
      <c r="D83" s="145">
        <v>24</v>
      </c>
      <c r="E83" s="69">
        <f>IF(B83+C83=0, "", B83+C83+D83)</f>
        <v>36</v>
      </c>
      <c r="F83" s="10" t="str">
        <f>IF(E83="","", IF(AND(B83 &gt;=8,C83&gt;=17,D83&gt;=8),"Pass","Fail"))</f>
        <v>Fail</v>
      </c>
      <c r="G83" s="10" t="str">
        <f>(IF(E83="","",IF(F83="Fail","F",IF(E83&gt;=80,"A+",IF(E83&gt;=70,"A",IF(E83&gt;=60,"A-",IF(E83&gt;=50,"B",IF(E83&gt;=40,"C",IF(E83&gt;=33,"D","F")))))))))</f>
        <v>F</v>
      </c>
      <c r="H83" s="11">
        <f>(IF(E83="","",IF(G83="F",0,IF(E83&gt;=80,5,IF(E83&gt;=70,4,IF(E83&gt;=60,3.5,IF(E83&gt;=50,3,IF(E83&gt;=40,2,IF(E83&gt;=33,1,0)))))))))</f>
        <v>0</v>
      </c>
    </row>
    <row r="84" spans="1:8" x14ac:dyDescent="0.35">
      <c r="A84" s="10">
        <f>'Student Basic Info'!A84</f>
        <v>783</v>
      </c>
      <c r="B84" s="3"/>
      <c r="C84" s="3"/>
      <c r="D84" s="145"/>
      <c r="E84" s="69" t="str">
        <f>IF(B84+C84=0, "", B84+C84+D84)</f>
        <v/>
      </c>
      <c r="F84" s="10" t="str">
        <f>IF(E84="","", IF(AND(B84 &gt;=8,C84&gt;=17,D84&gt;=8),"Pass","Fail"))</f>
        <v/>
      </c>
      <c r="G84" s="10" t="str">
        <f>(IF(E84="","",IF(F84="Fail","F",IF(E84&gt;=80,"A+",IF(E84&gt;=70,"A",IF(E84&gt;=60,"A-",IF(E84&gt;=50,"B",IF(E84&gt;=40,"C",IF(E84&gt;=33,"D","F")))))))))</f>
        <v/>
      </c>
      <c r="H84" s="11" t="str">
        <f>(IF(E84="","",IF(G84="F",0,IF(E84&gt;=80,5,IF(E84&gt;=70,4,IF(E84&gt;=60,3.5,IF(E84&gt;=50,3,IF(E84&gt;=40,2,IF(E84&gt;=33,1,0)))))))))</f>
        <v/>
      </c>
    </row>
    <row r="85" spans="1:8" x14ac:dyDescent="0.35">
      <c r="A85" s="10">
        <f>'Student Basic Info'!A85</f>
        <v>784</v>
      </c>
      <c r="B85" s="3">
        <v>10</v>
      </c>
      <c r="C85" s="3">
        <v>9</v>
      </c>
      <c r="D85" s="145">
        <v>24</v>
      </c>
      <c r="E85" s="69">
        <f>IF(B85+C85=0, "", B85+C85+D85)</f>
        <v>43</v>
      </c>
      <c r="F85" s="10" t="str">
        <f>IF(E85="","", IF(AND(B85 &gt;=8,C85&gt;=17,D85&gt;=8),"Pass","Fail"))</f>
        <v>Fail</v>
      </c>
      <c r="G85" s="10" t="str">
        <f>(IF(E85="","",IF(F85="Fail","F",IF(E85&gt;=80,"A+",IF(E85&gt;=70,"A",IF(E85&gt;=60,"A-",IF(E85&gt;=50,"B",IF(E85&gt;=40,"C",IF(E85&gt;=33,"D","F")))))))))</f>
        <v>F</v>
      </c>
      <c r="H85" s="11">
        <f>(IF(E85="","",IF(G85="F",0,IF(E85&gt;=80,5,IF(E85&gt;=70,4,IF(E85&gt;=60,3.5,IF(E85&gt;=50,3,IF(E85&gt;=40,2,IF(E85&gt;=33,1,0)))))))))</f>
        <v>0</v>
      </c>
    </row>
    <row r="86" spans="1:8" x14ac:dyDescent="0.35">
      <c r="A86" s="10">
        <f>'Student Basic Info'!A86</f>
        <v>785</v>
      </c>
      <c r="B86" s="3">
        <v>3</v>
      </c>
      <c r="C86" s="3">
        <v>3</v>
      </c>
      <c r="D86" s="145">
        <v>20</v>
      </c>
      <c r="E86" s="69">
        <f>IF(B86+C86=0, "", B86+C86+D86)</f>
        <v>26</v>
      </c>
      <c r="F86" s="10" t="str">
        <f>IF(E86="","", IF(AND(B86 &gt;=8,C86&gt;=17,D86&gt;=8),"Pass","Fail"))</f>
        <v>Fail</v>
      </c>
      <c r="G86" s="10" t="str">
        <f>(IF(E86="","",IF(F86="Fail","F",IF(E86&gt;=80,"A+",IF(E86&gt;=70,"A",IF(E86&gt;=60,"A-",IF(E86&gt;=50,"B",IF(E86&gt;=40,"C",IF(E86&gt;=33,"D","F")))))))))</f>
        <v>F</v>
      </c>
      <c r="H86" s="11">
        <f>(IF(E86="","",IF(G86="F",0,IF(E86&gt;=80,5,IF(E86&gt;=70,4,IF(E86&gt;=60,3.5,IF(E86&gt;=50,3,IF(E86&gt;=40,2,IF(E86&gt;=33,1,0)))))))))</f>
        <v>0</v>
      </c>
    </row>
    <row r="87" spans="1:8" x14ac:dyDescent="0.35">
      <c r="A87" s="10">
        <f>'Student Basic Info'!A87</f>
        <v>786</v>
      </c>
      <c r="B87" s="3">
        <v>7</v>
      </c>
      <c r="C87" s="3">
        <v>1</v>
      </c>
      <c r="D87" s="145">
        <v>8</v>
      </c>
      <c r="E87" s="69">
        <f>IF(B87+C87=0, "", B87+C87+D87)</f>
        <v>16</v>
      </c>
      <c r="F87" s="10" t="str">
        <f>IF(E87="","", IF(AND(B87 &gt;=8,C87&gt;=17,D87&gt;=8),"Pass","Fail"))</f>
        <v>Fail</v>
      </c>
      <c r="G87" s="10" t="str">
        <f>(IF(E87="","",IF(F87="Fail","F",IF(E87&gt;=80,"A+",IF(E87&gt;=70,"A",IF(E87&gt;=60,"A-",IF(E87&gt;=50,"B",IF(E87&gt;=40,"C",IF(E87&gt;=33,"D","F")))))))))</f>
        <v>F</v>
      </c>
      <c r="H87" s="11">
        <f>(IF(E87="","",IF(G87="F",0,IF(E87&gt;=80,5,IF(E87&gt;=70,4,IF(E87&gt;=60,3.5,IF(E87&gt;=50,3,IF(E87&gt;=40,2,IF(E87&gt;=33,1,0)))))))))</f>
        <v>0</v>
      </c>
    </row>
    <row r="88" spans="1:8" x14ac:dyDescent="0.35">
      <c r="A88" s="10">
        <f>'Student Basic Info'!A88</f>
        <v>6812</v>
      </c>
      <c r="B88" s="3">
        <v>9</v>
      </c>
      <c r="C88" s="3">
        <v>17</v>
      </c>
      <c r="D88" s="145">
        <v>24</v>
      </c>
      <c r="E88" s="69">
        <f>IF(B88+C88=0, "", B88+C88+D88)</f>
        <v>50</v>
      </c>
      <c r="F88" s="10" t="str">
        <f>IF(E88="","", IF(AND(B88 &gt;=8,C88&gt;=17,D88&gt;=8),"Pass","Fail"))</f>
        <v>Pass</v>
      </c>
      <c r="G88" s="10" t="str">
        <f>(IF(E88="","",IF(F88="Fail","F",IF(E88&gt;=80,"A+",IF(E88&gt;=70,"A",IF(E88&gt;=60,"A-",IF(E88&gt;=50,"B",IF(E88&gt;=40,"C",IF(E88&gt;=33,"D","F")))))))))</f>
        <v>B</v>
      </c>
      <c r="H88" s="11">
        <f>(IF(E88="","",IF(G88="F",0,IF(E88&gt;=80,5,IF(E88&gt;=70,4,IF(E88&gt;=60,3.5,IF(E88&gt;=50,3,IF(E88&gt;=40,2,IF(E88&gt;=33,1,0)))))))))</f>
        <v>3</v>
      </c>
    </row>
    <row r="89" spans="1:8" x14ac:dyDescent="0.35">
      <c r="A89"/>
      <c r="B89"/>
      <c r="C89"/>
      <c r="D89" s="5"/>
      <c r="E89"/>
      <c r="F89"/>
      <c r="G89"/>
      <c r="H89"/>
    </row>
    <row r="90" spans="1:8" x14ac:dyDescent="0.35">
      <c r="A90"/>
      <c r="B90"/>
      <c r="C90"/>
      <c r="D90" s="5"/>
      <c r="E90"/>
      <c r="F90"/>
      <c r="G90"/>
      <c r="H90"/>
    </row>
    <row r="91" spans="1:8" x14ac:dyDescent="0.35">
      <c r="A91"/>
      <c r="B91"/>
      <c r="C91"/>
      <c r="D91" s="5"/>
      <c r="E91"/>
      <c r="F91"/>
      <c r="G91"/>
      <c r="H91"/>
    </row>
    <row r="92" spans="1:8" x14ac:dyDescent="0.35">
      <c r="A92"/>
      <c r="B92"/>
      <c r="C92"/>
      <c r="D92" s="5"/>
      <c r="E92"/>
      <c r="F92"/>
      <c r="G92"/>
      <c r="H92"/>
    </row>
    <row r="93" spans="1:8" x14ac:dyDescent="0.35">
      <c r="A93"/>
      <c r="B93"/>
      <c r="C93"/>
      <c r="D93" s="5"/>
      <c r="E93"/>
      <c r="F93"/>
      <c r="G93"/>
      <c r="H93"/>
    </row>
    <row r="94" spans="1:8" x14ac:dyDescent="0.35">
      <c r="A94"/>
      <c r="B94"/>
      <c r="C94"/>
      <c r="D94" s="5"/>
      <c r="E94"/>
      <c r="F94"/>
      <c r="G94"/>
      <c r="H94"/>
    </row>
    <row r="95" spans="1:8" x14ac:dyDescent="0.35">
      <c r="A95"/>
      <c r="B95"/>
      <c r="C95"/>
      <c r="D95" s="5"/>
      <c r="E95"/>
      <c r="F95"/>
      <c r="G95"/>
      <c r="H95"/>
    </row>
    <row r="96" spans="1:8" x14ac:dyDescent="0.35">
      <c r="A96"/>
      <c r="B96"/>
      <c r="C96"/>
      <c r="D96" s="5"/>
      <c r="E96"/>
      <c r="F96"/>
      <c r="G96"/>
      <c r="H96"/>
    </row>
    <row r="97" spans="1:8" x14ac:dyDescent="0.35">
      <c r="A97"/>
      <c r="B97"/>
      <c r="C97"/>
      <c r="D97" s="5"/>
      <c r="E97"/>
      <c r="F97"/>
      <c r="G97"/>
      <c r="H97"/>
    </row>
    <row r="98" spans="1:8" x14ac:dyDescent="0.35">
      <c r="A98"/>
      <c r="B98"/>
      <c r="C98"/>
      <c r="D98" s="5"/>
      <c r="E98"/>
      <c r="F98"/>
      <c r="G98"/>
      <c r="H98"/>
    </row>
    <row r="99" spans="1:8" x14ac:dyDescent="0.35">
      <c r="A99"/>
      <c r="B99"/>
      <c r="C99"/>
      <c r="D99" s="5"/>
      <c r="E99"/>
      <c r="F99"/>
      <c r="G99"/>
      <c r="H99"/>
    </row>
    <row r="100" spans="1:8" x14ac:dyDescent="0.35">
      <c r="A100"/>
      <c r="B100"/>
      <c r="C100"/>
      <c r="D100" s="5"/>
      <c r="E100"/>
      <c r="F100"/>
      <c r="G100"/>
      <c r="H100"/>
    </row>
    <row r="101" spans="1:8" x14ac:dyDescent="0.35">
      <c r="A101"/>
      <c r="B101"/>
      <c r="C101"/>
      <c r="D101" s="5"/>
      <c r="E101"/>
      <c r="F101"/>
      <c r="G101"/>
      <c r="H101"/>
    </row>
    <row r="102" spans="1:8" x14ac:dyDescent="0.35">
      <c r="A102"/>
      <c r="B102"/>
      <c r="C102"/>
      <c r="D102" s="5"/>
      <c r="E102"/>
      <c r="F102"/>
      <c r="G102"/>
      <c r="H102"/>
    </row>
    <row r="103" spans="1:8" x14ac:dyDescent="0.35">
      <c r="A103"/>
      <c r="B103"/>
      <c r="C103"/>
      <c r="D103" s="5"/>
      <c r="E103"/>
      <c r="F103"/>
      <c r="G103"/>
      <c r="H103"/>
    </row>
    <row r="104" spans="1:8" x14ac:dyDescent="0.35">
      <c r="A104"/>
      <c r="B104"/>
      <c r="C104"/>
      <c r="D104" s="5"/>
      <c r="E104"/>
      <c r="F104"/>
      <c r="G104"/>
      <c r="H104"/>
    </row>
    <row r="105" spans="1:8" x14ac:dyDescent="0.35">
      <c r="A105"/>
      <c r="B105"/>
      <c r="C105"/>
      <c r="D105" s="5"/>
      <c r="E105"/>
      <c r="F105"/>
      <c r="G105"/>
      <c r="H105"/>
    </row>
    <row r="106" spans="1:8" x14ac:dyDescent="0.35">
      <c r="A106"/>
      <c r="B106"/>
      <c r="C106"/>
      <c r="D106" s="5"/>
      <c r="E106"/>
      <c r="F106"/>
      <c r="G106"/>
      <c r="H106"/>
    </row>
    <row r="107" spans="1:8" x14ac:dyDescent="0.35">
      <c r="A107"/>
      <c r="B107"/>
      <c r="C107"/>
      <c r="D107" s="5"/>
      <c r="E107"/>
      <c r="F107"/>
      <c r="G107"/>
      <c r="H107"/>
    </row>
    <row r="108" spans="1:8" x14ac:dyDescent="0.35">
      <c r="A108"/>
      <c r="B108"/>
      <c r="C108"/>
      <c r="D108" s="5"/>
      <c r="E108"/>
      <c r="F108"/>
      <c r="G108"/>
      <c r="H108"/>
    </row>
    <row r="109" spans="1:8" x14ac:dyDescent="0.35">
      <c r="A109"/>
      <c r="B109"/>
      <c r="C109"/>
      <c r="D109" s="5"/>
      <c r="E109"/>
      <c r="F109"/>
      <c r="G109"/>
      <c r="H109"/>
    </row>
    <row r="110" spans="1:8" x14ac:dyDescent="0.35">
      <c r="A110"/>
      <c r="B110"/>
      <c r="C110"/>
      <c r="D110" s="5"/>
      <c r="E110"/>
      <c r="F110"/>
      <c r="G110"/>
      <c r="H110"/>
    </row>
    <row r="111" spans="1:8" x14ac:dyDescent="0.35">
      <c r="A111"/>
      <c r="B111"/>
      <c r="C111"/>
      <c r="D111" s="5"/>
      <c r="E111"/>
      <c r="F111"/>
      <c r="G111"/>
      <c r="H111"/>
    </row>
    <row r="112" spans="1:8" x14ac:dyDescent="0.35">
      <c r="A112"/>
      <c r="B112"/>
      <c r="C112"/>
      <c r="D112" s="5"/>
      <c r="E112"/>
      <c r="F112"/>
      <c r="G112"/>
      <c r="H112"/>
    </row>
    <row r="113" spans="1:8" x14ac:dyDescent="0.35">
      <c r="A113"/>
      <c r="B113"/>
      <c r="C113"/>
      <c r="D113" s="5"/>
      <c r="E113"/>
      <c r="F113"/>
      <c r="G113"/>
      <c r="H113"/>
    </row>
    <row r="114" spans="1:8" x14ac:dyDescent="0.35">
      <c r="A114"/>
      <c r="B114"/>
      <c r="C114"/>
      <c r="D114" s="5"/>
      <c r="E114"/>
      <c r="F114"/>
      <c r="G114"/>
      <c r="H114"/>
    </row>
    <row r="115" spans="1:8" x14ac:dyDescent="0.35">
      <c r="A115"/>
      <c r="B115"/>
      <c r="C115"/>
      <c r="D115" s="5"/>
      <c r="E115"/>
      <c r="F115"/>
      <c r="G115"/>
      <c r="H115"/>
    </row>
    <row r="116" spans="1:8" x14ac:dyDescent="0.35">
      <c r="A116"/>
      <c r="B116"/>
      <c r="C116"/>
      <c r="D116" s="5"/>
      <c r="E116"/>
      <c r="F116"/>
      <c r="G116"/>
      <c r="H116"/>
    </row>
    <row r="117" spans="1:8" x14ac:dyDescent="0.35">
      <c r="A117"/>
      <c r="B117"/>
      <c r="C117"/>
      <c r="D117" s="5"/>
      <c r="E117"/>
      <c r="F117"/>
      <c r="G117"/>
      <c r="H117"/>
    </row>
    <row r="118" spans="1:8" x14ac:dyDescent="0.35">
      <c r="A118"/>
      <c r="B118"/>
      <c r="C118"/>
      <c r="D118" s="5"/>
      <c r="E118"/>
      <c r="F118"/>
      <c r="G118"/>
      <c r="H118"/>
    </row>
    <row r="119" spans="1:8" x14ac:dyDescent="0.35">
      <c r="A119"/>
      <c r="B119"/>
      <c r="C119"/>
      <c r="D119" s="5"/>
      <c r="E119"/>
      <c r="F119"/>
      <c r="G119"/>
      <c r="H119"/>
    </row>
    <row r="120" spans="1:8" x14ac:dyDescent="0.35">
      <c r="A120"/>
      <c r="B120"/>
      <c r="C120"/>
      <c r="D120" s="5"/>
      <c r="E120"/>
      <c r="F120"/>
      <c r="G120"/>
      <c r="H120"/>
    </row>
    <row r="121" spans="1:8" x14ac:dyDescent="0.35">
      <c r="A121"/>
      <c r="B121"/>
      <c r="C121"/>
      <c r="D121" s="5"/>
      <c r="E121"/>
      <c r="F121"/>
      <c r="G121"/>
      <c r="H121"/>
    </row>
    <row r="122" spans="1:8" x14ac:dyDescent="0.35">
      <c r="A122"/>
      <c r="B122"/>
      <c r="C122"/>
      <c r="D122" s="5"/>
      <c r="E122"/>
      <c r="F122"/>
      <c r="G122"/>
      <c r="H122"/>
    </row>
    <row r="123" spans="1:8" x14ac:dyDescent="0.35">
      <c r="A123"/>
      <c r="B123"/>
      <c r="C123"/>
      <c r="D123" s="5"/>
      <c r="E123"/>
      <c r="F123"/>
      <c r="G123"/>
      <c r="H123"/>
    </row>
    <row r="124" spans="1:8" x14ac:dyDescent="0.35">
      <c r="A124"/>
      <c r="B124"/>
      <c r="C124"/>
      <c r="D124" s="5"/>
      <c r="E124"/>
      <c r="F124"/>
      <c r="G124"/>
      <c r="H124"/>
    </row>
    <row r="125" spans="1:8" x14ac:dyDescent="0.35">
      <c r="A125"/>
      <c r="B125"/>
      <c r="C125"/>
      <c r="D125" s="5"/>
      <c r="E125"/>
      <c r="F125"/>
      <c r="G125"/>
      <c r="H125"/>
    </row>
    <row r="126" spans="1:8" x14ac:dyDescent="0.35">
      <c r="A126"/>
      <c r="B126"/>
      <c r="C126"/>
      <c r="D126" s="5"/>
      <c r="E126"/>
      <c r="F126"/>
      <c r="G126"/>
      <c r="H126"/>
    </row>
    <row r="127" spans="1:8" x14ac:dyDescent="0.35">
      <c r="A127"/>
      <c r="B127"/>
      <c r="C127"/>
      <c r="D127" s="5"/>
      <c r="E127"/>
      <c r="F127"/>
      <c r="G127"/>
      <c r="H127"/>
    </row>
    <row r="128" spans="1:8" x14ac:dyDescent="0.35">
      <c r="A128"/>
      <c r="B128"/>
      <c r="C128"/>
      <c r="D128" s="5"/>
      <c r="E128"/>
      <c r="F128"/>
      <c r="G128"/>
      <c r="H128"/>
    </row>
  </sheetData>
  <conditionalFormatting sqref="F2:F88">
    <cfRule type="containsText" dxfId="22" priority="1" operator="containsText" text="Fail">
      <formula>NOT(ISERROR(SEARCH("Fail",F2)))</formula>
    </cfRule>
    <cfRule type="containsText" dxfId="21" priority="2" operator="containsText" text="Pass">
      <formula>NOT(ISERROR(SEARCH("Pass",F2)))</formula>
    </cfRule>
  </conditionalFormatting>
  <pageMargins left="0.7" right="0.7" top="0.98" bottom="0.75" header="0.3" footer="0.3"/>
  <pageSetup orientation="portrait" r:id="rId1"/>
  <headerFooter>
    <oddHeader>&amp;C&amp;16&amp;KFFC000BAMNI DEGREE COLLEGE&amp;11&amp;K01+000
&amp;14TEST EXAM 2025 - ICT MARKS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opLeftCell="A37" zoomScaleNormal="100" workbookViewId="0">
      <selection activeCell="L9" sqref="L9"/>
    </sheetView>
  </sheetViews>
  <sheetFormatPr defaultRowHeight="14.5" x14ac:dyDescent="0.35"/>
  <cols>
    <col min="1" max="1" width="8.7265625" style="72"/>
    <col min="2" max="2" width="10.7265625" style="1" bestFit="1" customWidth="1"/>
    <col min="3" max="3" width="9" style="1" bestFit="1" customWidth="1"/>
    <col min="4" max="4" width="9" style="106" customWidth="1"/>
    <col min="5" max="5" width="10.81640625" style="15" bestFit="1" customWidth="1"/>
    <col min="6" max="8" width="8.7265625" style="15"/>
  </cols>
  <sheetData>
    <row r="1" spans="1:9" x14ac:dyDescent="0.35">
      <c r="A1" s="13" t="s">
        <v>0</v>
      </c>
      <c r="B1" s="12" t="s">
        <v>4</v>
      </c>
      <c r="C1" s="12" t="s">
        <v>5</v>
      </c>
      <c r="D1" s="104" t="s">
        <v>57</v>
      </c>
      <c r="E1" s="12" t="s">
        <v>6</v>
      </c>
      <c r="F1" s="12" t="s">
        <v>7</v>
      </c>
      <c r="G1" s="12" t="s">
        <v>8</v>
      </c>
      <c r="H1" s="12" t="s">
        <v>9</v>
      </c>
    </row>
    <row r="2" spans="1:9" x14ac:dyDescent="0.35">
      <c r="A2" s="71">
        <f>'Student Basic Info'!A2</f>
        <v>701</v>
      </c>
      <c r="B2" s="54">
        <v>14</v>
      </c>
      <c r="C2" s="54">
        <v>23</v>
      </c>
      <c r="D2" s="105">
        <v>16</v>
      </c>
      <c r="E2" s="69">
        <f t="shared" ref="E2:E65" si="0">IF(B2+C2=0, "", B2+C2+D2)</f>
        <v>53</v>
      </c>
      <c r="F2" s="10" t="str">
        <f>IF(E2="","", IF(AND(B2 &gt;=8,C2&gt;=17,D2&gt;=8),"Pass","Fail"))</f>
        <v>Pass</v>
      </c>
      <c r="G2" s="10" t="str">
        <f>(IF(E2="","",IF(F2="Fail","F",IF(E2&gt;=80,"A+",IF(E2&gt;=70,"A",IF(E2&gt;=60,"A-",IF(E2&gt;=50,"B",IF(E2&gt;=40,"C",IF(E2&gt;=33,"D","F")))))))))</f>
        <v>B</v>
      </c>
      <c r="H2" s="11">
        <f>(IF(E2="","",IF(G2="F",0,IF(E2&gt;=80,5,IF(E2&gt;=70,4,IF(E2&gt;=60,3.5,IF(E2&gt;=50,3,IF(E2&gt;=40,2,IF(E2&gt;=33,1,0)))))))))</f>
        <v>3</v>
      </c>
    </row>
    <row r="3" spans="1:9" x14ac:dyDescent="0.35">
      <c r="A3" s="71">
        <f>'Student Basic Info'!A3</f>
        <v>702</v>
      </c>
      <c r="B3" s="54"/>
      <c r="C3" s="54"/>
      <c r="D3" s="105"/>
      <c r="E3" s="69" t="str">
        <f t="shared" si="0"/>
        <v/>
      </c>
      <c r="F3" s="10" t="str">
        <f t="shared" ref="F3:F66" si="1">IF(E3="","", IF(AND(B3 &gt;=8,C3&gt;=17,D3&gt;=8),"Pass","Fail"))</f>
        <v/>
      </c>
      <c r="G3" s="10" t="str">
        <f t="shared" ref="G3:G66" si="2">(IF(E3="","",IF(F3="Fail","F",IF(E3&gt;=80,"A+",IF(E3&gt;=70,"A",IF(E3&gt;=60,"A-",IF(E3&gt;=50,"B",IF(E3&gt;=40,"C",IF(E3&gt;=33,"D","F")))))))))</f>
        <v/>
      </c>
      <c r="H3" s="11" t="str">
        <f t="shared" ref="H3:H66" si="3">(IF(E3="","",IF(G3="F",0,IF(E3&gt;=80,5,IF(E3&gt;=70,4,IF(E3&gt;=60,3.5,IF(E3&gt;=50,3,IF(E3&gt;=40,2,IF(E3&gt;=33,1,0)))))))))</f>
        <v/>
      </c>
    </row>
    <row r="4" spans="1:9" x14ac:dyDescent="0.35">
      <c r="A4" s="71">
        <f>'Student Basic Info'!A4</f>
        <v>703</v>
      </c>
      <c r="B4" s="54"/>
      <c r="C4" s="54"/>
      <c r="D4" s="105"/>
      <c r="E4" s="69" t="str">
        <f t="shared" si="0"/>
        <v/>
      </c>
      <c r="F4" s="10" t="str">
        <f t="shared" si="1"/>
        <v/>
      </c>
      <c r="G4" s="10" t="str">
        <f t="shared" si="2"/>
        <v/>
      </c>
      <c r="H4" s="11" t="str">
        <f t="shared" si="3"/>
        <v/>
      </c>
    </row>
    <row r="5" spans="1:9" x14ac:dyDescent="0.35">
      <c r="A5" s="71">
        <f>'Student Basic Info'!A5</f>
        <v>704</v>
      </c>
      <c r="B5" s="54">
        <v>8</v>
      </c>
      <c r="C5" s="54">
        <v>4</v>
      </c>
      <c r="D5" s="105">
        <v>10</v>
      </c>
      <c r="E5" s="69">
        <f t="shared" si="0"/>
        <v>22</v>
      </c>
      <c r="F5" s="10" t="str">
        <f t="shared" si="1"/>
        <v>Fail</v>
      </c>
      <c r="G5" s="10" t="str">
        <f t="shared" si="2"/>
        <v>F</v>
      </c>
      <c r="H5" s="11">
        <f t="shared" si="3"/>
        <v>0</v>
      </c>
    </row>
    <row r="6" spans="1:9" x14ac:dyDescent="0.35">
      <c r="A6" s="71">
        <f>'Student Basic Info'!A6</f>
        <v>705</v>
      </c>
      <c r="B6" s="54"/>
      <c r="C6" s="54"/>
      <c r="D6" s="105"/>
      <c r="E6" s="69" t="str">
        <f t="shared" si="0"/>
        <v/>
      </c>
      <c r="F6" s="10" t="str">
        <f t="shared" si="1"/>
        <v/>
      </c>
      <c r="G6" s="10" t="str">
        <f t="shared" si="2"/>
        <v/>
      </c>
      <c r="H6" s="11" t="str">
        <f t="shared" si="3"/>
        <v/>
      </c>
      <c r="I6" t="s">
        <v>10</v>
      </c>
    </row>
    <row r="7" spans="1:9" x14ac:dyDescent="0.35">
      <c r="A7" s="71">
        <f>'Student Basic Info'!A7</f>
        <v>706</v>
      </c>
      <c r="B7" s="54"/>
      <c r="C7" s="54"/>
      <c r="D7" s="105"/>
      <c r="E7" s="69" t="str">
        <f t="shared" si="0"/>
        <v/>
      </c>
      <c r="F7" s="10" t="str">
        <f t="shared" si="1"/>
        <v/>
      </c>
      <c r="G7" s="10" t="str">
        <f t="shared" si="2"/>
        <v/>
      </c>
      <c r="H7" s="11" t="str">
        <f t="shared" si="3"/>
        <v/>
      </c>
    </row>
    <row r="8" spans="1:9" x14ac:dyDescent="0.35">
      <c r="A8" s="71">
        <f>'Student Basic Info'!A8</f>
        <v>707</v>
      </c>
      <c r="B8" s="54"/>
      <c r="C8" s="54"/>
      <c r="D8" s="105"/>
      <c r="E8" s="69" t="str">
        <f t="shared" si="0"/>
        <v/>
      </c>
      <c r="F8" s="10" t="str">
        <f t="shared" si="1"/>
        <v/>
      </c>
      <c r="G8" s="10" t="str">
        <f t="shared" si="2"/>
        <v/>
      </c>
      <c r="H8" s="11" t="str">
        <f t="shared" si="3"/>
        <v/>
      </c>
    </row>
    <row r="9" spans="1:9" x14ac:dyDescent="0.35">
      <c r="A9" s="71">
        <f>'Student Basic Info'!A9</f>
        <v>708</v>
      </c>
      <c r="B9" s="54">
        <v>7</v>
      </c>
      <c r="C9" s="54">
        <v>11</v>
      </c>
      <c r="D9" s="105">
        <v>10</v>
      </c>
      <c r="E9" s="69">
        <f t="shared" si="0"/>
        <v>28</v>
      </c>
      <c r="F9" s="10" t="str">
        <f t="shared" si="1"/>
        <v>Fail</v>
      </c>
      <c r="G9" s="10" t="str">
        <f t="shared" si="2"/>
        <v>F</v>
      </c>
      <c r="H9" s="11">
        <f t="shared" si="3"/>
        <v>0</v>
      </c>
    </row>
    <row r="10" spans="1:9" x14ac:dyDescent="0.35">
      <c r="A10" s="71">
        <f>'Student Basic Info'!A10</f>
        <v>709</v>
      </c>
      <c r="B10" s="54">
        <v>9</v>
      </c>
      <c r="C10" s="54">
        <v>18</v>
      </c>
      <c r="D10" s="105">
        <v>13</v>
      </c>
      <c r="E10" s="69">
        <f t="shared" si="0"/>
        <v>40</v>
      </c>
      <c r="F10" s="10" t="str">
        <f t="shared" si="1"/>
        <v>Pass</v>
      </c>
      <c r="G10" s="10" t="str">
        <f t="shared" si="2"/>
        <v>C</v>
      </c>
      <c r="H10" s="11">
        <f t="shared" si="3"/>
        <v>2</v>
      </c>
    </row>
    <row r="11" spans="1:9" x14ac:dyDescent="0.35">
      <c r="A11" s="71">
        <f>'Student Basic Info'!A11</f>
        <v>710</v>
      </c>
      <c r="B11" s="54">
        <v>13</v>
      </c>
      <c r="C11" s="54">
        <v>17</v>
      </c>
      <c r="D11" s="105">
        <v>13</v>
      </c>
      <c r="E11" s="69">
        <f t="shared" si="0"/>
        <v>43</v>
      </c>
      <c r="F11" s="10" t="str">
        <f t="shared" si="1"/>
        <v>Pass</v>
      </c>
      <c r="G11" s="10" t="str">
        <f t="shared" si="2"/>
        <v>C</v>
      </c>
      <c r="H11" s="11">
        <f t="shared" si="3"/>
        <v>2</v>
      </c>
    </row>
    <row r="12" spans="1:9" x14ac:dyDescent="0.35">
      <c r="A12" s="71">
        <f>'Student Basic Info'!A12</f>
        <v>711</v>
      </c>
      <c r="B12" s="3"/>
      <c r="C12" s="3"/>
      <c r="D12" s="105"/>
      <c r="E12" s="69" t="str">
        <f t="shared" si="0"/>
        <v/>
      </c>
      <c r="F12" s="10" t="str">
        <f t="shared" si="1"/>
        <v/>
      </c>
      <c r="G12" s="10" t="str">
        <f t="shared" si="2"/>
        <v/>
      </c>
      <c r="H12" s="11" t="str">
        <f t="shared" si="3"/>
        <v/>
      </c>
    </row>
    <row r="13" spans="1:9" x14ac:dyDescent="0.35">
      <c r="A13" s="71">
        <f>'Student Basic Info'!A13</f>
        <v>712</v>
      </c>
      <c r="B13" s="3">
        <v>9</v>
      </c>
      <c r="C13" s="3">
        <v>27</v>
      </c>
      <c r="D13" s="105">
        <v>16</v>
      </c>
      <c r="E13" s="69">
        <f t="shared" si="0"/>
        <v>52</v>
      </c>
      <c r="F13" s="10" t="str">
        <f t="shared" si="1"/>
        <v>Pass</v>
      </c>
      <c r="G13" s="10" t="str">
        <f t="shared" si="2"/>
        <v>B</v>
      </c>
      <c r="H13" s="11">
        <f t="shared" si="3"/>
        <v>3</v>
      </c>
    </row>
    <row r="14" spans="1:9" x14ac:dyDescent="0.35">
      <c r="A14" s="71">
        <f>'Student Basic Info'!A14</f>
        <v>713</v>
      </c>
      <c r="B14" s="3">
        <v>11</v>
      </c>
      <c r="C14" s="3">
        <v>32</v>
      </c>
      <c r="D14" s="105">
        <v>18</v>
      </c>
      <c r="E14" s="69">
        <f t="shared" si="0"/>
        <v>61</v>
      </c>
      <c r="F14" s="10" t="str">
        <f t="shared" si="1"/>
        <v>Pass</v>
      </c>
      <c r="G14" s="10" t="str">
        <f t="shared" si="2"/>
        <v>A-</v>
      </c>
      <c r="H14" s="11">
        <f t="shared" si="3"/>
        <v>3.5</v>
      </c>
    </row>
    <row r="15" spans="1:9" x14ac:dyDescent="0.35">
      <c r="A15" s="71">
        <f>'Student Basic Info'!A15</f>
        <v>714</v>
      </c>
      <c r="B15" s="3">
        <v>10</v>
      </c>
      <c r="C15" s="3">
        <v>23</v>
      </c>
      <c r="D15" s="105">
        <v>17</v>
      </c>
      <c r="E15" s="69">
        <f t="shared" si="0"/>
        <v>50</v>
      </c>
      <c r="F15" s="10" t="str">
        <f t="shared" si="1"/>
        <v>Pass</v>
      </c>
      <c r="G15" s="10" t="str">
        <f t="shared" si="2"/>
        <v>B</v>
      </c>
      <c r="H15" s="11">
        <f t="shared" si="3"/>
        <v>3</v>
      </c>
    </row>
    <row r="16" spans="1:9" x14ac:dyDescent="0.35">
      <c r="A16" s="71">
        <f>'Student Basic Info'!A16</f>
        <v>715</v>
      </c>
      <c r="B16" s="3">
        <v>11</v>
      </c>
      <c r="C16" s="3">
        <v>23</v>
      </c>
      <c r="D16" s="105">
        <v>17</v>
      </c>
      <c r="E16" s="69">
        <f t="shared" si="0"/>
        <v>51</v>
      </c>
      <c r="F16" s="10" t="str">
        <f t="shared" si="1"/>
        <v>Pass</v>
      </c>
      <c r="G16" s="10" t="str">
        <f t="shared" si="2"/>
        <v>B</v>
      </c>
      <c r="H16" s="11">
        <f t="shared" si="3"/>
        <v>3</v>
      </c>
    </row>
    <row r="17" spans="1:8" x14ac:dyDescent="0.35">
      <c r="A17" s="71">
        <f>'Student Basic Info'!A17</f>
        <v>716</v>
      </c>
      <c r="B17" s="3">
        <v>12</v>
      </c>
      <c r="C17" s="3">
        <v>21</v>
      </c>
      <c r="D17" s="105">
        <v>17</v>
      </c>
      <c r="E17" s="69">
        <f t="shared" si="0"/>
        <v>50</v>
      </c>
      <c r="F17" s="10" t="str">
        <f t="shared" si="1"/>
        <v>Pass</v>
      </c>
      <c r="G17" s="10" t="str">
        <f t="shared" si="2"/>
        <v>B</v>
      </c>
      <c r="H17" s="11">
        <f t="shared" si="3"/>
        <v>3</v>
      </c>
    </row>
    <row r="18" spans="1:8" x14ac:dyDescent="0.35">
      <c r="A18" s="71">
        <f>'Student Basic Info'!A18</f>
        <v>717</v>
      </c>
      <c r="B18" s="3">
        <v>13</v>
      </c>
      <c r="C18" s="3">
        <v>26</v>
      </c>
      <c r="D18" s="105">
        <v>21</v>
      </c>
      <c r="E18" s="69">
        <f t="shared" si="0"/>
        <v>60</v>
      </c>
      <c r="F18" s="10" t="str">
        <f t="shared" si="1"/>
        <v>Pass</v>
      </c>
      <c r="G18" s="10" t="str">
        <f t="shared" si="2"/>
        <v>A-</v>
      </c>
      <c r="H18" s="11">
        <f t="shared" si="3"/>
        <v>3.5</v>
      </c>
    </row>
    <row r="19" spans="1:8" x14ac:dyDescent="0.35">
      <c r="A19" s="71">
        <f>'Student Basic Info'!A19</f>
        <v>718</v>
      </c>
      <c r="B19" s="3"/>
      <c r="C19" s="3"/>
      <c r="D19" s="105"/>
      <c r="E19" s="69" t="str">
        <f t="shared" si="0"/>
        <v/>
      </c>
      <c r="F19" s="10" t="str">
        <f t="shared" si="1"/>
        <v/>
      </c>
      <c r="G19" s="10" t="str">
        <f t="shared" si="2"/>
        <v/>
      </c>
      <c r="H19" s="11" t="str">
        <f t="shared" si="3"/>
        <v/>
      </c>
    </row>
    <row r="20" spans="1:8" x14ac:dyDescent="0.35">
      <c r="A20" s="71">
        <f>'Student Basic Info'!A20</f>
        <v>719</v>
      </c>
      <c r="B20" s="3">
        <v>8</v>
      </c>
      <c r="C20" s="3">
        <v>32</v>
      </c>
      <c r="D20" s="105">
        <v>21</v>
      </c>
      <c r="E20" s="69">
        <f t="shared" si="0"/>
        <v>61</v>
      </c>
      <c r="F20" s="10" t="str">
        <f t="shared" si="1"/>
        <v>Pass</v>
      </c>
      <c r="G20" s="10" t="str">
        <f t="shared" si="2"/>
        <v>A-</v>
      </c>
      <c r="H20" s="11">
        <f t="shared" si="3"/>
        <v>3.5</v>
      </c>
    </row>
    <row r="21" spans="1:8" x14ac:dyDescent="0.35">
      <c r="A21" s="71">
        <f>'Student Basic Info'!A21</f>
        <v>720</v>
      </c>
      <c r="B21" s="3">
        <v>10</v>
      </c>
      <c r="C21" s="3">
        <v>23</v>
      </c>
      <c r="D21" s="105">
        <v>17</v>
      </c>
      <c r="E21" s="69">
        <f t="shared" si="0"/>
        <v>50</v>
      </c>
      <c r="F21" s="10" t="str">
        <f t="shared" si="1"/>
        <v>Pass</v>
      </c>
      <c r="G21" s="10" t="str">
        <f t="shared" si="2"/>
        <v>B</v>
      </c>
      <c r="H21" s="11">
        <f t="shared" si="3"/>
        <v>3</v>
      </c>
    </row>
    <row r="22" spans="1:8" x14ac:dyDescent="0.35">
      <c r="A22" s="71">
        <f>'Student Basic Info'!A22</f>
        <v>721</v>
      </c>
      <c r="B22" s="3"/>
      <c r="C22" s="3"/>
      <c r="D22" s="105"/>
      <c r="E22" s="69" t="str">
        <f t="shared" si="0"/>
        <v/>
      </c>
      <c r="F22" s="10" t="str">
        <f t="shared" si="1"/>
        <v/>
      </c>
      <c r="G22" s="10" t="str">
        <f t="shared" si="2"/>
        <v/>
      </c>
      <c r="H22" s="11" t="str">
        <f t="shared" si="3"/>
        <v/>
      </c>
    </row>
    <row r="23" spans="1:8" x14ac:dyDescent="0.35">
      <c r="A23" s="71">
        <f>'Student Basic Info'!A23</f>
        <v>722</v>
      </c>
      <c r="B23" s="3">
        <v>14</v>
      </c>
      <c r="C23" s="3">
        <v>3</v>
      </c>
      <c r="D23" s="105">
        <v>12</v>
      </c>
      <c r="E23" s="69">
        <f t="shared" si="0"/>
        <v>29</v>
      </c>
      <c r="F23" s="10" t="str">
        <f t="shared" si="1"/>
        <v>Fail</v>
      </c>
      <c r="G23" s="10" t="str">
        <f t="shared" si="2"/>
        <v>F</v>
      </c>
      <c r="H23" s="11">
        <f t="shared" si="3"/>
        <v>0</v>
      </c>
    </row>
    <row r="24" spans="1:8" x14ac:dyDescent="0.35">
      <c r="A24" s="71">
        <f>'Student Basic Info'!A24</f>
        <v>723</v>
      </c>
      <c r="B24" s="3">
        <v>19</v>
      </c>
      <c r="C24" s="3">
        <v>50</v>
      </c>
      <c r="D24" s="105">
        <v>21</v>
      </c>
      <c r="E24" s="69">
        <f t="shared" si="0"/>
        <v>90</v>
      </c>
      <c r="F24" s="10" t="str">
        <f t="shared" si="1"/>
        <v>Pass</v>
      </c>
      <c r="G24" s="10" t="str">
        <f t="shared" si="2"/>
        <v>A+</v>
      </c>
      <c r="H24" s="11">
        <f t="shared" si="3"/>
        <v>5</v>
      </c>
    </row>
    <row r="25" spans="1:8" x14ac:dyDescent="0.35">
      <c r="A25" s="71">
        <f>'Student Basic Info'!A25</f>
        <v>724</v>
      </c>
      <c r="B25" s="3">
        <v>13</v>
      </c>
      <c r="C25" s="3">
        <v>17</v>
      </c>
      <c r="D25" s="105">
        <v>15</v>
      </c>
      <c r="E25" s="69">
        <f t="shared" si="0"/>
        <v>45</v>
      </c>
      <c r="F25" s="10" t="str">
        <f t="shared" si="1"/>
        <v>Pass</v>
      </c>
      <c r="G25" s="10" t="str">
        <f t="shared" si="2"/>
        <v>C</v>
      </c>
      <c r="H25" s="11">
        <f t="shared" si="3"/>
        <v>2</v>
      </c>
    </row>
    <row r="26" spans="1:8" x14ac:dyDescent="0.35">
      <c r="A26" s="71">
        <f>'Student Basic Info'!A26</f>
        <v>725</v>
      </c>
      <c r="B26" s="3">
        <v>8</v>
      </c>
      <c r="C26" s="3">
        <v>20</v>
      </c>
      <c r="D26" s="105">
        <v>14</v>
      </c>
      <c r="E26" s="69">
        <f t="shared" si="0"/>
        <v>42</v>
      </c>
      <c r="F26" s="10" t="str">
        <f t="shared" si="1"/>
        <v>Pass</v>
      </c>
      <c r="G26" s="10" t="str">
        <f t="shared" si="2"/>
        <v>C</v>
      </c>
      <c r="H26" s="11">
        <f t="shared" si="3"/>
        <v>2</v>
      </c>
    </row>
    <row r="27" spans="1:8" x14ac:dyDescent="0.35">
      <c r="A27" s="71">
        <f>'Student Basic Info'!A27</f>
        <v>726</v>
      </c>
      <c r="B27" s="3"/>
      <c r="C27" s="3"/>
      <c r="D27" s="105"/>
      <c r="E27" s="69" t="str">
        <f t="shared" si="0"/>
        <v/>
      </c>
      <c r="F27" s="10" t="str">
        <f t="shared" si="1"/>
        <v/>
      </c>
      <c r="G27" s="10" t="str">
        <f t="shared" si="2"/>
        <v/>
      </c>
      <c r="H27" s="11" t="str">
        <f t="shared" si="3"/>
        <v/>
      </c>
    </row>
    <row r="28" spans="1:8" x14ac:dyDescent="0.35">
      <c r="A28" s="71">
        <f>'Student Basic Info'!A28</f>
        <v>727</v>
      </c>
      <c r="B28" s="3">
        <v>12</v>
      </c>
      <c r="C28" s="3">
        <v>36</v>
      </c>
      <c r="D28" s="105">
        <v>20</v>
      </c>
      <c r="E28" s="69">
        <f t="shared" si="0"/>
        <v>68</v>
      </c>
      <c r="F28" s="10" t="str">
        <f t="shared" si="1"/>
        <v>Pass</v>
      </c>
      <c r="G28" s="10" t="str">
        <f t="shared" si="2"/>
        <v>A-</v>
      </c>
      <c r="H28" s="11">
        <f t="shared" si="3"/>
        <v>3.5</v>
      </c>
    </row>
    <row r="29" spans="1:8" x14ac:dyDescent="0.35">
      <c r="A29" s="71">
        <f>'Student Basic Info'!A29</f>
        <v>728</v>
      </c>
      <c r="B29" s="3">
        <v>10</v>
      </c>
      <c r="C29" s="3">
        <v>19</v>
      </c>
      <c r="D29" s="105">
        <v>15</v>
      </c>
      <c r="E29" s="69">
        <f t="shared" si="0"/>
        <v>44</v>
      </c>
      <c r="F29" s="10" t="str">
        <f t="shared" si="1"/>
        <v>Pass</v>
      </c>
      <c r="G29" s="10" t="str">
        <f t="shared" si="2"/>
        <v>C</v>
      </c>
      <c r="H29" s="11">
        <f t="shared" si="3"/>
        <v>2</v>
      </c>
    </row>
    <row r="30" spans="1:8" x14ac:dyDescent="0.35">
      <c r="A30" s="71">
        <f>'Student Basic Info'!A30</f>
        <v>729</v>
      </c>
      <c r="B30" s="3">
        <v>7</v>
      </c>
      <c r="C30" s="3">
        <v>6</v>
      </c>
      <c r="D30" s="105">
        <v>10</v>
      </c>
      <c r="E30" s="69">
        <f t="shared" si="0"/>
        <v>23</v>
      </c>
      <c r="F30" s="10" t="str">
        <f t="shared" si="1"/>
        <v>Fail</v>
      </c>
      <c r="G30" s="10" t="str">
        <f t="shared" si="2"/>
        <v>F</v>
      </c>
      <c r="H30" s="11">
        <f t="shared" si="3"/>
        <v>0</v>
      </c>
    </row>
    <row r="31" spans="1:8" x14ac:dyDescent="0.35">
      <c r="A31" s="71">
        <f>'Student Basic Info'!A31</f>
        <v>730</v>
      </c>
      <c r="B31" s="3">
        <v>10</v>
      </c>
      <c r="C31" s="3">
        <v>9</v>
      </c>
      <c r="D31" s="105">
        <v>12</v>
      </c>
      <c r="E31" s="69">
        <f t="shared" si="0"/>
        <v>31</v>
      </c>
      <c r="F31" s="10" t="str">
        <f t="shared" si="1"/>
        <v>Fail</v>
      </c>
      <c r="G31" s="10" t="str">
        <f t="shared" si="2"/>
        <v>F</v>
      </c>
      <c r="H31" s="11">
        <f t="shared" si="3"/>
        <v>0</v>
      </c>
    </row>
    <row r="32" spans="1:8" x14ac:dyDescent="0.35">
      <c r="A32" s="71">
        <f>'Student Basic Info'!A32</f>
        <v>731</v>
      </c>
      <c r="B32" s="3">
        <v>10</v>
      </c>
      <c r="C32" s="3">
        <v>23</v>
      </c>
      <c r="D32" s="105">
        <v>17</v>
      </c>
      <c r="E32" s="69">
        <f t="shared" si="0"/>
        <v>50</v>
      </c>
      <c r="F32" s="10" t="str">
        <f t="shared" si="1"/>
        <v>Pass</v>
      </c>
      <c r="G32" s="10" t="str">
        <f t="shared" si="2"/>
        <v>B</v>
      </c>
      <c r="H32" s="11">
        <f t="shared" si="3"/>
        <v>3</v>
      </c>
    </row>
    <row r="33" spans="1:8" x14ac:dyDescent="0.35">
      <c r="A33" s="71">
        <f>'Student Basic Info'!A33</f>
        <v>732</v>
      </c>
      <c r="B33" s="3"/>
      <c r="C33" s="3"/>
      <c r="D33" s="105"/>
      <c r="E33" s="69" t="str">
        <f t="shared" si="0"/>
        <v/>
      </c>
      <c r="F33" s="10" t="str">
        <f t="shared" si="1"/>
        <v/>
      </c>
      <c r="G33" s="10" t="str">
        <f t="shared" si="2"/>
        <v/>
      </c>
      <c r="H33" s="11" t="str">
        <f t="shared" si="3"/>
        <v/>
      </c>
    </row>
    <row r="34" spans="1:8" x14ac:dyDescent="0.35">
      <c r="A34" s="71">
        <f>'Student Basic Info'!A34</f>
        <v>733</v>
      </c>
      <c r="B34" s="3">
        <v>6</v>
      </c>
      <c r="C34" s="3">
        <v>13</v>
      </c>
      <c r="D34" s="105">
        <v>10</v>
      </c>
      <c r="E34" s="69">
        <f t="shared" si="0"/>
        <v>29</v>
      </c>
      <c r="F34" s="10" t="str">
        <f t="shared" si="1"/>
        <v>Fail</v>
      </c>
      <c r="G34" s="10" t="str">
        <f t="shared" si="2"/>
        <v>F</v>
      </c>
      <c r="H34" s="11">
        <f t="shared" si="3"/>
        <v>0</v>
      </c>
    </row>
    <row r="35" spans="1:8" x14ac:dyDescent="0.35">
      <c r="A35" s="71">
        <f>'Student Basic Info'!A35</f>
        <v>734</v>
      </c>
      <c r="B35" s="3">
        <v>8</v>
      </c>
      <c r="C35" s="3">
        <v>27</v>
      </c>
      <c r="D35" s="105">
        <v>17</v>
      </c>
      <c r="E35" s="69">
        <f t="shared" si="0"/>
        <v>52</v>
      </c>
      <c r="F35" s="10" t="str">
        <f t="shared" si="1"/>
        <v>Pass</v>
      </c>
      <c r="G35" s="10" t="str">
        <f t="shared" si="2"/>
        <v>B</v>
      </c>
      <c r="H35" s="11">
        <f t="shared" si="3"/>
        <v>3</v>
      </c>
    </row>
    <row r="36" spans="1:8" x14ac:dyDescent="0.35">
      <c r="A36" s="71">
        <f>'Student Basic Info'!A36</f>
        <v>735</v>
      </c>
      <c r="B36" s="3">
        <v>8</v>
      </c>
      <c r="C36" s="3">
        <v>11</v>
      </c>
      <c r="D36" s="105">
        <v>10</v>
      </c>
      <c r="E36" s="69">
        <f t="shared" si="0"/>
        <v>29</v>
      </c>
      <c r="F36" s="10" t="str">
        <f t="shared" si="1"/>
        <v>Fail</v>
      </c>
      <c r="G36" s="10" t="str">
        <f t="shared" si="2"/>
        <v>F</v>
      </c>
      <c r="H36" s="11">
        <f t="shared" si="3"/>
        <v>0</v>
      </c>
    </row>
    <row r="37" spans="1:8" x14ac:dyDescent="0.35">
      <c r="A37" s="71">
        <f>'Student Basic Info'!A37</f>
        <v>736</v>
      </c>
      <c r="B37" s="3">
        <v>10</v>
      </c>
      <c r="C37" s="3">
        <v>28</v>
      </c>
      <c r="D37" s="105">
        <v>16</v>
      </c>
      <c r="E37" s="69">
        <f t="shared" si="0"/>
        <v>54</v>
      </c>
      <c r="F37" s="10" t="str">
        <f t="shared" si="1"/>
        <v>Pass</v>
      </c>
      <c r="G37" s="10" t="str">
        <f t="shared" si="2"/>
        <v>B</v>
      </c>
      <c r="H37" s="11">
        <f t="shared" si="3"/>
        <v>3</v>
      </c>
    </row>
    <row r="38" spans="1:8" x14ac:dyDescent="0.35">
      <c r="A38" s="71">
        <f>'Student Basic Info'!A38</f>
        <v>737</v>
      </c>
      <c r="B38" s="3">
        <v>8</v>
      </c>
      <c r="C38" s="3">
        <v>33</v>
      </c>
      <c r="D38" s="105">
        <v>19</v>
      </c>
      <c r="E38" s="69">
        <f t="shared" si="0"/>
        <v>60</v>
      </c>
      <c r="F38" s="10" t="str">
        <f t="shared" si="1"/>
        <v>Pass</v>
      </c>
      <c r="G38" s="10" t="str">
        <f t="shared" si="2"/>
        <v>A-</v>
      </c>
      <c r="H38" s="11">
        <f t="shared" si="3"/>
        <v>3.5</v>
      </c>
    </row>
    <row r="39" spans="1:8" x14ac:dyDescent="0.35">
      <c r="A39" s="71">
        <f>'Student Basic Info'!A39</f>
        <v>738</v>
      </c>
      <c r="B39" s="3">
        <v>10</v>
      </c>
      <c r="C39" s="3">
        <v>12</v>
      </c>
      <c r="D39" s="105">
        <v>15</v>
      </c>
      <c r="E39" s="69">
        <f t="shared" si="0"/>
        <v>37</v>
      </c>
      <c r="F39" s="10" t="str">
        <f t="shared" si="1"/>
        <v>Fail</v>
      </c>
      <c r="G39" s="10" t="str">
        <f t="shared" si="2"/>
        <v>F</v>
      </c>
      <c r="H39" s="11">
        <f t="shared" si="3"/>
        <v>0</v>
      </c>
    </row>
    <row r="40" spans="1:8" x14ac:dyDescent="0.35">
      <c r="A40" s="71">
        <f>'Student Basic Info'!A40</f>
        <v>739</v>
      </c>
      <c r="B40" s="3">
        <v>9</v>
      </c>
      <c r="C40" s="3">
        <v>25</v>
      </c>
      <c r="D40" s="105">
        <v>16</v>
      </c>
      <c r="E40" s="69">
        <f t="shared" si="0"/>
        <v>50</v>
      </c>
      <c r="F40" s="10" t="str">
        <f t="shared" si="1"/>
        <v>Pass</v>
      </c>
      <c r="G40" s="10" t="str">
        <f t="shared" si="2"/>
        <v>B</v>
      </c>
      <c r="H40" s="11">
        <f t="shared" si="3"/>
        <v>3</v>
      </c>
    </row>
    <row r="41" spans="1:8" x14ac:dyDescent="0.35">
      <c r="A41" s="71">
        <f>'Student Basic Info'!A41</f>
        <v>740</v>
      </c>
      <c r="B41" s="3">
        <v>10</v>
      </c>
      <c r="C41" s="3">
        <v>15</v>
      </c>
      <c r="D41" s="105">
        <v>15</v>
      </c>
      <c r="E41" s="69">
        <f t="shared" si="0"/>
        <v>40</v>
      </c>
      <c r="F41" s="10" t="str">
        <f t="shared" si="1"/>
        <v>Fail</v>
      </c>
      <c r="G41" s="10" t="str">
        <f t="shared" si="2"/>
        <v>F</v>
      </c>
      <c r="H41" s="11">
        <f t="shared" si="3"/>
        <v>0</v>
      </c>
    </row>
    <row r="42" spans="1:8" x14ac:dyDescent="0.35">
      <c r="A42" s="71">
        <f>'Student Basic Info'!A42</f>
        <v>741</v>
      </c>
      <c r="B42" s="3">
        <v>8</v>
      </c>
      <c r="C42" s="3">
        <v>30</v>
      </c>
      <c r="D42" s="105">
        <v>16</v>
      </c>
      <c r="E42" s="69">
        <f t="shared" si="0"/>
        <v>54</v>
      </c>
      <c r="F42" s="10" t="str">
        <f t="shared" si="1"/>
        <v>Pass</v>
      </c>
      <c r="G42" s="10" t="str">
        <f t="shared" si="2"/>
        <v>B</v>
      </c>
      <c r="H42" s="11">
        <f t="shared" si="3"/>
        <v>3</v>
      </c>
    </row>
    <row r="43" spans="1:8" x14ac:dyDescent="0.35">
      <c r="A43" s="71">
        <f>'Student Basic Info'!A43</f>
        <v>742</v>
      </c>
      <c r="B43" s="3"/>
      <c r="C43" s="3"/>
      <c r="D43" s="105"/>
      <c r="E43" s="69" t="str">
        <f t="shared" si="0"/>
        <v/>
      </c>
      <c r="F43" s="10" t="str">
        <f t="shared" si="1"/>
        <v/>
      </c>
      <c r="G43" s="10" t="str">
        <f t="shared" si="2"/>
        <v/>
      </c>
      <c r="H43" s="11" t="str">
        <f t="shared" si="3"/>
        <v/>
      </c>
    </row>
    <row r="44" spans="1:8" x14ac:dyDescent="0.35">
      <c r="A44" s="71">
        <f>'Student Basic Info'!A44</f>
        <v>743</v>
      </c>
      <c r="B44" s="3">
        <v>9</v>
      </c>
      <c r="C44" s="3">
        <v>0</v>
      </c>
      <c r="D44" s="105">
        <v>8</v>
      </c>
      <c r="E44" s="69">
        <f t="shared" si="0"/>
        <v>17</v>
      </c>
      <c r="F44" s="10" t="str">
        <f t="shared" si="1"/>
        <v>Fail</v>
      </c>
      <c r="G44" s="10" t="str">
        <f t="shared" si="2"/>
        <v>F</v>
      </c>
      <c r="H44" s="11">
        <f t="shared" si="3"/>
        <v>0</v>
      </c>
    </row>
    <row r="45" spans="1:8" x14ac:dyDescent="0.35">
      <c r="A45" s="71">
        <f>'Student Basic Info'!A45</f>
        <v>744</v>
      </c>
      <c r="B45" s="3">
        <v>9</v>
      </c>
      <c r="C45" s="3">
        <v>17</v>
      </c>
      <c r="D45" s="105">
        <v>15</v>
      </c>
      <c r="E45" s="69">
        <f t="shared" si="0"/>
        <v>41</v>
      </c>
      <c r="F45" s="10" t="str">
        <f t="shared" si="1"/>
        <v>Pass</v>
      </c>
      <c r="G45" s="10" t="str">
        <f t="shared" si="2"/>
        <v>C</v>
      </c>
      <c r="H45" s="11">
        <f t="shared" si="3"/>
        <v>2</v>
      </c>
    </row>
    <row r="46" spans="1:8" x14ac:dyDescent="0.35">
      <c r="A46" s="71">
        <f>'Student Basic Info'!A46</f>
        <v>745</v>
      </c>
      <c r="B46" s="3">
        <v>16</v>
      </c>
      <c r="C46" s="3">
        <v>42</v>
      </c>
      <c r="D46" s="105">
        <v>22</v>
      </c>
      <c r="E46" s="69">
        <f t="shared" si="0"/>
        <v>80</v>
      </c>
      <c r="F46" s="10" t="str">
        <f t="shared" si="1"/>
        <v>Pass</v>
      </c>
      <c r="G46" s="10" t="str">
        <f t="shared" si="2"/>
        <v>A+</v>
      </c>
      <c r="H46" s="11">
        <f t="shared" si="3"/>
        <v>5</v>
      </c>
    </row>
    <row r="47" spans="1:8" x14ac:dyDescent="0.35">
      <c r="A47" s="71">
        <f>'Student Basic Info'!A47</f>
        <v>746</v>
      </c>
      <c r="B47" s="3">
        <v>11</v>
      </c>
      <c r="C47" s="3">
        <v>33</v>
      </c>
      <c r="D47" s="105">
        <v>17</v>
      </c>
      <c r="E47" s="69">
        <f t="shared" si="0"/>
        <v>61</v>
      </c>
      <c r="F47" s="10" t="str">
        <f t="shared" si="1"/>
        <v>Pass</v>
      </c>
      <c r="G47" s="10" t="str">
        <f t="shared" si="2"/>
        <v>A-</v>
      </c>
      <c r="H47" s="11">
        <f t="shared" si="3"/>
        <v>3.5</v>
      </c>
    </row>
    <row r="48" spans="1:8" x14ac:dyDescent="0.35">
      <c r="A48" s="71">
        <f>'Student Basic Info'!A48</f>
        <v>747</v>
      </c>
      <c r="B48" s="3">
        <v>13</v>
      </c>
      <c r="C48" s="3">
        <v>6</v>
      </c>
      <c r="D48" s="105">
        <v>12</v>
      </c>
      <c r="E48" s="69">
        <f t="shared" si="0"/>
        <v>31</v>
      </c>
      <c r="F48" s="10" t="str">
        <f t="shared" si="1"/>
        <v>Fail</v>
      </c>
      <c r="G48" s="10" t="str">
        <f t="shared" si="2"/>
        <v>F</v>
      </c>
      <c r="H48" s="11">
        <f t="shared" si="3"/>
        <v>0</v>
      </c>
    </row>
    <row r="49" spans="1:8" x14ac:dyDescent="0.35">
      <c r="A49" s="71">
        <f>'Student Basic Info'!A49</f>
        <v>748</v>
      </c>
      <c r="B49" s="3">
        <v>5</v>
      </c>
      <c r="C49" s="3">
        <v>0</v>
      </c>
      <c r="D49" s="105">
        <v>8</v>
      </c>
      <c r="E49" s="69">
        <f t="shared" si="0"/>
        <v>13</v>
      </c>
      <c r="F49" s="10" t="str">
        <f t="shared" si="1"/>
        <v>Fail</v>
      </c>
      <c r="G49" s="10" t="str">
        <f t="shared" si="2"/>
        <v>F</v>
      </c>
      <c r="H49" s="11">
        <f t="shared" si="3"/>
        <v>0</v>
      </c>
    </row>
    <row r="50" spans="1:8" x14ac:dyDescent="0.35">
      <c r="A50" s="71">
        <f>'Student Basic Info'!A50</f>
        <v>749</v>
      </c>
      <c r="B50" s="3">
        <v>8</v>
      </c>
      <c r="C50" s="3">
        <v>2</v>
      </c>
      <c r="D50" s="105">
        <v>8</v>
      </c>
      <c r="E50" s="69">
        <f t="shared" si="0"/>
        <v>18</v>
      </c>
      <c r="F50" s="10" t="str">
        <f t="shared" si="1"/>
        <v>Fail</v>
      </c>
      <c r="G50" s="10" t="str">
        <f t="shared" si="2"/>
        <v>F</v>
      </c>
      <c r="H50" s="11">
        <f t="shared" si="3"/>
        <v>0</v>
      </c>
    </row>
    <row r="51" spans="1:8" x14ac:dyDescent="0.35">
      <c r="A51" s="71">
        <f>'Student Basic Info'!A51</f>
        <v>750</v>
      </c>
      <c r="B51" s="3"/>
      <c r="C51" s="3"/>
      <c r="D51" s="105"/>
      <c r="E51" s="69" t="str">
        <f t="shared" si="0"/>
        <v/>
      </c>
      <c r="F51" s="10" t="str">
        <f t="shared" si="1"/>
        <v/>
      </c>
      <c r="G51" s="10" t="str">
        <f t="shared" si="2"/>
        <v/>
      </c>
      <c r="H51" s="11" t="str">
        <f t="shared" si="3"/>
        <v/>
      </c>
    </row>
    <row r="52" spans="1:8" x14ac:dyDescent="0.35">
      <c r="A52" s="71">
        <f>'Student Basic Info'!A52</f>
        <v>751</v>
      </c>
      <c r="B52" s="3">
        <v>9</v>
      </c>
      <c r="C52" s="3">
        <v>32</v>
      </c>
      <c r="D52" s="105">
        <v>19</v>
      </c>
      <c r="E52" s="69">
        <f t="shared" si="0"/>
        <v>60</v>
      </c>
      <c r="F52" s="10" t="str">
        <f t="shared" si="1"/>
        <v>Pass</v>
      </c>
      <c r="G52" s="10" t="str">
        <f t="shared" si="2"/>
        <v>A-</v>
      </c>
      <c r="H52" s="11">
        <f t="shared" si="3"/>
        <v>3.5</v>
      </c>
    </row>
    <row r="53" spans="1:8" x14ac:dyDescent="0.35">
      <c r="A53" s="71">
        <f>'Student Basic Info'!A53</f>
        <v>752</v>
      </c>
      <c r="B53" s="3"/>
      <c r="C53" s="3"/>
      <c r="D53" s="105"/>
      <c r="E53" s="69" t="str">
        <f t="shared" si="0"/>
        <v/>
      </c>
      <c r="F53" s="10" t="str">
        <f t="shared" si="1"/>
        <v/>
      </c>
      <c r="G53" s="10" t="str">
        <f t="shared" si="2"/>
        <v/>
      </c>
      <c r="H53" s="11" t="str">
        <f t="shared" si="3"/>
        <v/>
      </c>
    </row>
    <row r="54" spans="1:8" x14ac:dyDescent="0.35">
      <c r="A54" s="71">
        <f>'Student Basic Info'!A54</f>
        <v>753</v>
      </c>
      <c r="B54" s="3">
        <v>11</v>
      </c>
      <c r="C54" s="3">
        <v>4</v>
      </c>
      <c r="D54" s="105">
        <v>10</v>
      </c>
      <c r="E54" s="69">
        <f t="shared" si="0"/>
        <v>25</v>
      </c>
      <c r="F54" s="10" t="str">
        <f t="shared" si="1"/>
        <v>Fail</v>
      </c>
      <c r="G54" s="10" t="str">
        <f t="shared" si="2"/>
        <v>F</v>
      </c>
      <c r="H54" s="11">
        <f t="shared" si="3"/>
        <v>0</v>
      </c>
    </row>
    <row r="55" spans="1:8" x14ac:dyDescent="0.35">
      <c r="A55" s="71">
        <f>'Student Basic Info'!A55</f>
        <v>754</v>
      </c>
      <c r="B55" s="3">
        <v>7</v>
      </c>
      <c r="C55" s="3">
        <v>1</v>
      </c>
      <c r="D55" s="105">
        <v>8</v>
      </c>
      <c r="E55" s="69">
        <f t="shared" si="0"/>
        <v>16</v>
      </c>
      <c r="F55" s="10" t="str">
        <f t="shared" si="1"/>
        <v>Fail</v>
      </c>
      <c r="G55" s="10" t="str">
        <f t="shared" si="2"/>
        <v>F</v>
      </c>
      <c r="H55" s="11">
        <f t="shared" si="3"/>
        <v>0</v>
      </c>
    </row>
    <row r="56" spans="1:8" x14ac:dyDescent="0.35">
      <c r="A56" s="71">
        <f>'Student Basic Info'!A56</f>
        <v>755</v>
      </c>
      <c r="B56" s="3">
        <v>6</v>
      </c>
      <c r="C56" s="3">
        <v>0</v>
      </c>
      <c r="D56" s="105">
        <v>8</v>
      </c>
      <c r="E56" s="69">
        <f t="shared" si="0"/>
        <v>14</v>
      </c>
      <c r="F56" s="10" t="str">
        <f t="shared" si="1"/>
        <v>Fail</v>
      </c>
      <c r="G56" s="10" t="str">
        <f t="shared" si="2"/>
        <v>F</v>
      </c>
      <c r="H56" s="11">
        <f t="shared" si="3"/>
        <v>0</v>
      </c>
    </row>
    <row r="57" spans="1:8" x14ac:dyDescent="0.35">
      <c r="A57" s="71">
        <f>'Student Basic Info'!A57</f>
        <v>756</v>
      </c>
      <c r="B57" s="3">
        <v>8</v>
      </c>
      <c r="C57" s="3">
        <v>29</v>
      </c>
      <c r="D57" s="105">
        <v>16</v>
      </c>
      <c r="E57" s="69">
        <f t="shared" si="0"/>
        <v>53</v>
      </c>
      <c r="F57" s="10" t="str">
        <f t="shared" si="1"/>
        <v>Pass</v>
      </c>
      <c r="G57" s="10" t="str">
        <f t="shared" si="2"/>
        <v>B</v>
      </c>
      <c r="H57" s="11">
        <f t="shared" si="3"/>
        <v>3</v>
      </c>
    </row>
    <row r="58" spans="1:8" x14ac:dyDescent="0.35">
      <c r="A58" s="71">
        <f>'Student Basic Info'!A58</f>
        <v>757</v>
      </c>
      <c r="B58" s="3">
        <v>5</v>
      </c>
      <c r="C58" s="3">
        <v>3</v>
      </c>
      <c r="D58" s="105">
        <v>8</v>
      </c>
      <c r="E58" s="69">
        <f t="shared" si="0"/>
        <v>16</v>
      </c>
      <c r="F58" s="10" t="str">
        <f t="shared" si="1"/>
        <v>Fail</v>
      </c>
      <c r="G58" s="10" t="str">
        <f t="shared" si="2"/>
        <v>F</v>
      </c>
      <c r="H58" s="11">
        <f t="shared" si="3"/>
        <v>0</v>
      </c>
    </row>
    <row r="59" spans="1:8" x14ac:dyDescent="0.35">
      <c r="A59" s="71">
        <f>'Student Basic Info'!A59</f>
        <v>758</v>
      </c>
      <c r="B59" s="3">
        <v>8</v>
      </c>
      <c r="C59" s="3">
        <v>14</v>
      </c>
      <c r="D59" s="105">
        <v>12</v>
      </c>
      <c r="E59" s="69">
        <f t="shared" si="0"/>
        <v>34</v>
      </c>
      <c r="F59" s="10" t="str">
        <f t="shared" si="1"/>
        <v>Fail</v>
      </c>
      <c r="G59" s="10" t="str">
        <f t="shared" si="2"/>
        <v>F</v>
      </c>
      <c r="H59" s="11">
        <f t="shared" si="3"/>
        <v>0</v>
      </c>
    </row>
    <row r="60" spans="1:8" x14ac:dyDescent="0.35">
      <c r="A60" s="71">
        <f>'Student Basic Info'!A60</f>
        <v>759</v>
      </c>
      <c r="B60" s="3">
        <v>14</v>
      </c>
      <c r="C60" s="3">
        <v>34</v>
      </c>
      <c r="D60" s="105">
        <v>18</v>
      </c>
      <c r="E60" s="69">
        <f t="shared" si="0"/>
        <v>66</v>
      </c>
      <c r="F60" s="10" t="str">
        <f t="shared" si="1"/>
        <v>Pass</v>
      </c>
      <c r="G60" s="10" t="str">
        <f t="shared" si="2"/>
        <v>A-</v>
      </c>
      <c r="H60" s="11">
        <f t="shared" si="3"/>
        <v>3.5</v>
      </c>
    </row>
    <row r="61" spans="1:8" x14ac:dyDescent="0.35">
      <c r="A61" s="71">
        <f>'Student Basic Info'!A61</f>
        <v>760</v>
      </c>
      <c r="B61" s="3">
        <v>11</v>
      </c>
      <c r="C61" s="3">
        <v>9</v>
      </c>
      <c r="D61" s="105">
        <v>12</v>
      </c>
      <c r="E61" s="69">
        <f t="shared" si="0"/>
        <v>32</v>
      </c>
      <c r="F61" s="10" t="str">
        <f t="shared" si="1"/>
        <v>Fail</v>
      </c>
      <c r="G61" s="10" t="str">
        <f t="shared" si="2"/>
        <v>F</v>
      </c>
      <c r="H61" s="11">
        <f t="shared" si="3"/>
        <v>0</v>
      </c>
    </row>
    <row r="62" spans="1:8" x14ac:dyDescent="0.35">
      <c r="A62" s="71">
        <f>'Student Basic Info'!A62</f>
        <v>761</v>
      </c>
      <c r="B62" s="3">
        <v>10</v>
      </c>
      <c r="C62" s="3">
        <v>3</v>
      </c>
      <c r="D62" s="105">
        <v>10</v>
      </c>
      <c r="E62" s="69">
        <f t="shared" si="0"/>
        <v>23</v>
      </c>
      <c r="F62" s="10" t="str">
        <f t="shared" si="1"/>
        <v>Fail</v>
      </c>
      <c r="G62" s="10" t="str">
        <f t="shared" si="2"/>
        <v>F</v>
      </c>
      <c r="H62" s="11">
        <f t="shared" si="3"/>
        <v>0</v>
      </c>
    </row>
    <row r="63" spans="1:8" x14ac:dyDescent="0.35">
      <c r="A63" s="71">
        <f>'Student Basic Info'!A63</f>
        <v>762</v>
      </c>
      <c r="B63" s="3">
        <v>10</v>
      </c>
      <c r="C63" s="3">
        <v>5</v>
      </c>
      <c r="D63" s="105">
        <v>11</v>
      </c>
      <c r="E63" s="69">
        <f t="shared" si="0"/>
        <v>26</v>
      </c>
      <c r="F63" s="10" t="str">
        <f t="shared" si="1"/>
        <v>Fail</v>
      </c>
      <c r="G63" s="10" t="str">
        <f t="shared" si="2"/>
        <v>F</v>
      </c>
      <c r="H63" s="11">
        <f t="shared" si="3"/>
        <v>0</v>
      </c>
    </row>
    <row r="64" spans="1:8" x14ac:dyDescent="0.35">
      <c r="A64" s="71">
        <f>'Student Basic Info'!A64</f>
        <v>763</v>
      </c>
      <c r="B64" s="3">
        <v>13</v>
      </c>
      <c r="C64" s="3">
        <v>5</v>
      </c>
      <c r="D64" s="105">
        <v>12</v>
      </c>
      <c r="E64" s="69">
        <f t="shared" si="0"/>
        <v>30</v>
      </c>
      <c r="F64" s="10" t="str">
        <f t="shared" si="1"/>
        <v>Fail</v>
      </c>
      <c r="G64" s="10" t="str">
        <f t="shared" si="2"/>
        <v>F</v>
      </c>
      <c r="H64" s="11">
        <f t="shared" si="3"/>
        <v>0</v>
      </c>
    </row>
    <row r="65" spans="1:8" x14ac:dyDescent="0.35">
      <c r="A65" s="71">
        <f>'Student Basic Info'!A65</f>
        <v>764</v>
      </c>
      <c r="B65" s="3">
        <v>7</v>
      </c>
      <c r="C65" s="3">
        <v>14</v>
      </c>
      <c r="D65" s="105">
        <v>12</v>
      </c>
      <c r="E65" s="69">
        <f t="shared" si="0"/>
        <v>33</v>
      </c>
      <c r="F65" s="10" t="str">
        <f t="shared" si="1"/>
        <v>Fail</v>
      </c>
      <c r="G65" s="10" t="str">
        <f t="shared" si="2"/>
        <v>F</v>
      </c>
      <c r="H65" s="11">
        <f t="shared" si="3"/>
        <v>0</v>
      </c>
    </row>
    <row r="66" spans="1:8" x14ac:dyDescent="0.35">
      <c r="A66" s="71">
        <f>'Student Basic Info'!A66</f>
        <v>765</v>
      </c>
      <c r="B66" s="3">
        <v>12</v>
      </c>
      <c r="C66" s="3">
        <v>27</v>
      </c>
      <c r="D66" s="105">
        <v>16</v>
      </c>
      <c r="E66" s="69">
        <f t="shared" ref="E66:E88" si="4">IF(B66+C66=0, "", B66+C66+D66)</f>
        <v>55</v>
      </c>
      <c r="F66" s="10" t="str">
        <f t="shared" si="1"/>
        <v>Pass</v>
      </c>
      <c r="G66" s="10" t="str">
        <f t="shared" si="2"/>
        <v>B</v>
      </c>
      <c r="H66" s="11">
        <f t="shared" si="3"/>
        <v>3</v>
      </c>
    </row>
    <row r="67" spans="1:8" x14ac:dyDescent="0.35">
      <c r="A67" s="71">
        <f>'Student Basic Info'!A67</f>
        <v>766</v>
      </c>
      <c r="B67" s="3">
        <v>11</v>
      </c>
      <c r="C67" s="3">
        <v>40</v>
      </c>
      <c r="D67" s="105">
        <v>19</v>
      </c>
      <c r="E67" s="69">
        <f t="shared" si="4"/>
        <v>70</v>
      </c>
      <c r="F67" s="10" t="str">
        <f t="shared" ref="F67:F88" si="5">IF(E67="","", IF(AND(B67 &gt;=8,C67&gt;=17,D67&gt;=8),"Pass","Fail"))</f>
        <v>Pass</v>
      </c>
      <c r="G67" s="10" t="str">
        <f t="shared" ref="G67:G88" si="6">(IF(E67="","",IF(F67="Fail","F",IF(E67&gt;=80,"A+",IF(E67&gt;=70,"A",IF(E67&gt;=60,"A-",IF(E67&gt;=50,"B",IF(E67&gt;=40,"C",IF(E67&gt;=33,"D","F")))))))))</f>
        <v>A</v>
      </c>
      <c r="H67" s="11">
        <f t="shared" ref="H67:H88" si="7">(IF(E67="","",IF(G67="F",0,IF(E67&gt;=80,5,IF(E67&gt;=70,4,IF(E67&gt;=60,3.5,IF(E67&gt;=50,3,IF(E67&gt;=40,2,IF(E67&gt;=33,1,0)))))))))</f>
        <v>4</v>
      </c>
    </row>
    <row r="68" spans="1:8" x14ac:dyDescent="0.35">
      <c r="A68" s="71">
        <f>'Student Basic Info'!A68</f>
        <v>767</v>
      </c>
      <c r="B68" s="3">
        <v>14</v>
      </c>
      <c r="C68" s="3">
        <v>42</v>
      </c>
      <c r="D68" s="105">
        <v>20</v>
      </c>
      <c r="E68" s="69">
        <f t="shared" si="4"/>
        <v>76</v>
      </c>
      <c r="F68" s="10" t="str">
        <f t="shared" si="5"/>
        <v>Pass</v>
      </c>
      <c r="G68" s="10" t="str">
        <f t="shared" si="6"/>
        <v>A</v>
      </c>
      <c r="H68" s="11">
        <f t="shared" si="7"/>
        <v>4</v>
      </c>
    </row>
    <row r="69" spans="1:8" x14ac:dyDescent="0.35">
      <c r="A69" s="71">
        <f>'Student Basic Info'!A69</f>
        <v>768</v>
      </c>
      <c r="B69" s="3">
        <v>12</v>
      </c>
      <c r="C69" s="3">
        <v>24</v>
      </c>
      <c r="D69" s="105">
        <v>16</v>
      </c>
      <c r="E69" s="69">
        <f t="shared" si="4"/>
        <v>52</v>
      </c>
      <c r="F69" s="10" t="str">
        <f t="shared" si="5"/>
        <v>Pass</v>
      </c>
      <c r="G69" s="10" t="str">
        <f t="shared" si="6"/>
        <v>B</v>
      </c>
      <c r="H69" s="11">
        <f t="shared" si="7"/>
        <v>3</v>
      </c>
    </row>
    <row r="70" spans="1:8" x14ac:dyDescent="0.35">
      <c r="A70" s="71">
        <f>'Student Basic Info'!A70</f>
        <v>769</v>
      </c>
      <c r="B70" s="3"/>
      <c r="C70" s="3"/>
      <c r="D70" s="105"/>
      <c r="E70" s="69" t="str">
        <f t="shared" si="4"/>
        <v/>
      </c>
      <c r="F70" s="10" t="str">
        <f t="shared" si="5"/>
        <v/>
      </c>
      <c r="G70" s="10" t="str">
        <f t="shared" si="6"/>
        <v/>
      </c>
      <c r="H70" s="11" t="str">
        <f t="shared" si="7"/>
        <v/>
      </c>
    </row>
    <row r="71" spans="1:8" x14ac:dyDescent="0.35">
      <c r="A71" s="71">
        <f>'Student Basic Info'!A71</f>
        <v>770</v>
      </c>
      <c r="B71" s="3">
        <v>10</v>
      </c>
      <c r="C71" s="3">
        <v>15</v>
      </c>
      <c r="D71" s="105">
        <v>15</v>
      </c>
      <c r="E71" s="69">
        <f t="shared" si="4"/>
        <v>40</v>
      </c>
      <c r="F71" s="10" t="str">
        <f t="shared" si="5"/>
        <v>Fail</v>
      </c>
      <c r="G71" s="10" t="str">
        <f t="shared" si="6"/>
        <v>F</v>
      </c>
      <c r="H71" s="11">
        <f t="shared" si="7"/>
        <v>0</v>
      </c>
    </row>
    <row r="72" spans="1:8" x14ac:dyDescent="0.35">
      <c r="A72" s="71">
        <f>'Student Basic Info'!A72</f>
        <v>771</v>
      </c>
      <c r="B72" s="3">
        <v>15</v>
      </c>
      <c r="C72" s="3">
        <v>3</v>
      </c>
      <c r="D72" s="105">
        <v>12</v>
      </c>
      <c r="E72" s="69">
        <f t="shared" si="4"/>
        <v>30</v>
      </c>
      <c r="F72" s="10" t="str">
        <f t="shared" si="5"/>
        <v>Fail</v>
      </c>
      <c r="G72" s="10" t="str">
        <f t="shared" si="6"/>
        <v>F</v>
      </c>
      <c r="H72" s="11">
        <f t="shared" si="7"/>
        <v>0</v>
      </c>
    </row>
    <row r="73" spans="1:8" x14ac:dyDescent="0.35">
      <c r="A73" s="71">
        <f>'Student Basic Info'!A73</f>
        <v>772</v>
      </c>
      <c r="B73" s="3">
        <v>5</v>
      </c>
      <c r="C73" s="3">
        <v>6</v>
      </c>
      <c r="D73" s="105">
        <v>10</v>
      </c>
      <c r="E73" s="69">
        <f t="shared" si="4"/>
        <v>21</v>
      </c>
      <c r="F73" s="10" t="str">
        <f t="shared" si="5"/>
        <v>Fail</v>
      </c>
      <c r="G73" s="10" t="str">
        <f t="shared" si="6"/>
        <v>F</v>
      </c>
      <c r="H73" s="11">
        <f t="shared" si="7"/>
        <v>0</v>
      </c>
    </row>
    <row r="74" spans="1:8" x14ac:dyDescent="0.35">
      <c r="A74" s="71">
        <f>'Student Basic Info'!A74</f>
        <v>773</v>
      </c>
      <c r="B74" s="3">
        <v>9</v>
      </c>
      <c r="C74" s="3">
        <v>8</v>
      </c>
      <c r="D74" s="105">
        <v>12</v>
      </c>
      <c r="E74" s="69">
        <f t="shared" si="4"/>
        <v>29</v>
      </c>
      <c r="F74" s="10" t="str">
        <f t="shared" si="5"/>
        <v>Fail</v>
      </c>
      <c r="G74" s="10" t="str">
        <f t="shared" si="6"/>
        <v>F</v>
      </c>
      <c r="H74" s="11">
        <f t="shared" si="7"/>
        <v>0</v>
      </c>
    </row>
    <row r="75" spans="1:8" x14ac:dyDescent="0.35">
      <c r="A75" s="71">
        <f>'Student Basic Info'!A75</f>
        <v>774</v>
      </c>
      <c r="B75" s="3">
        <v>8</v>
      </c>
      <c r="C75" s="3">
        <v>20</v>
      </c>
      <c r="D75" s="105">
        <v>16</v>
      </c>
      <c r="E75" s="69">
        <f t="shared" si="4"/>
        <v>44</v>
      </c>
      <c r="F75" s="10" t="str">
        <f t="shared" si="5"/>
        <v>Pass</v>
      </c>
      <c r="G75" s="10" t="str">
        <f t="shared" si="6"/>
        <v>C</v>
      </c>
      <c r="H75" s="11">
        <f t="shared" si="7"/>
        <v>2</v>
      </c>
    </row>
    <row r="76" spans="1:8" x14ac:dyDescent="0.35">
      <c r="A76" s="71">
        <f>'Student Basic Info'!A76</f>
        <v>775</v>
      </c>
      <c r="B76" s="3">
        <v>10</v>
      </c>
      <c r="C76" s="3">
        <v>10</v>
      </c>
      <c r="D76" s="105">
        <v>12</v>
      </c>
      <c r="E76" s="69">
        <f t="shared" si="4"/>
        <v>32</v>
      </c>
      <c r="F76" s="10" t="str">
        <f t="shared" si="5"/>
        <v>Fail</v>
      </c>
      <c r="G76" s="10" t="str">
        <f t="shared" si="6"/>
        <v>F</v>
      </c>
      <c r="H76" s="11">
        <f t="shared" si="7"/>
        <v>0</v>
      </c>
    </row>
    <row r="77" spans="1:8" x14ac:dyDescent="0.35">
      <c r="A77" s="71">
        <f>'Student Basic Info'!A77</f>
        <v>776</v>
      </c>
      <c r="B77" s="3">
        <v>3</v>
      </c>
      <c r="C77" s="3">
        <v>3</v>
      </c>
      <c r="D77" s="105">
        <v>8</v>
      </c>
      <c r="E77" s="69">
        <f t="shared" si="4"/>
        <v>14</v>
      </c>
      <c r="F77" s="10" t="str">
        <f t="shared" si="5"/>
        <v>Fail</v>
      </c>
      <c r="G77" s="10" t="str">
        <f t="shared" si="6"/>
        <v>F</v>
      </c>
      <c r="H77" s="11">
        <f t="shared" si="7"/>
        <v>0</v>
      </c>
    </row>
    <row r="78" spans="1:8" x14ac:dyDescent="0.35">
      <c r="A78" s="71">
        <f>'Student Basic Info'!A78</f>
        <v>777</v>
      </c>
      <c r="B78" s="3"/>
      <c r="C78" s="3"/>
      <c r="D78" s="105"/>
      <c r="E78" s="69" t="str">
        <f t="shared" si="4"/>
        <v/>
      </c>
      <c r="F78" s="10" t="str">
        <f t="shared" si="5"/>
        <v/>
      </c>
      <c r="G78" s="10" t="str">
        <f t="shared" si="6"/>
        <v/>
      </c>
      <c r="H78" s="11" t="str">
        <f t="shared" si="7"/>
        <v/>
      </c>
    </row>
    <row r="79" spans="1:8" x14ac:dyDescent="0.35">
      <c r="A79" s="71">
        <f>'Student Basic Info'!A79</f>
        <v>778</v>
      </c>
      <c r="B79" s="3"/>
      <c r="C79" s="3"/>
      <c r="D79" s="105"/>
      <c r="E79" s="69" t="str">
        <f t="shared" si="4"/>
        <v/>
      </c>
      <c r="F79" s="10" t="str">
        <f t="shared" si="5"/>
        <v/>
      </c>
      <c r="G79" s="10" t="str">
        <f t="shared" si="6"/>
        <v/>
      </c>
      <c r="H79" s="11" t="str">
        <f t="shared" si="7"/>
        <v/>
      </c>
    </row>
    <row r="80" spans="1:8" x14ac:dyDescent="0.35">
      <c r="A80" s="71">
        <f>'Student Basic Info'!A80</f>
        <v>779</v>
      </c>
      <c r="B80" s="3">
        <v>2</v>
      </c>
      <c r="C80" s="3">
        <v>10</v>
      </c>
      <c r="D80" s="105">
        <v>8</v>
      </c>
      <c r="E80" s="69">
        <f t="shared" si="4"/>
        <v>20</v>
      </c>
      <c r="F80" s="10" t="str">
        <f t="shared" si="5"/>
        <v>Fail</v>
      </c>
      <c r="G80" s="10" t="str">
        <f t="shared" si="6"/>
        <v>F</v>
      </c>
      <c r="H80" s="11">
        <f t="shared" si="7"/>
        <v>0</v>
      </c>
    </row>
    <row r="81" spans="1:8" x14ac:dyDescent="0.35">
      <c r="A81" s="71">
        <f>'Student Basic Info'!A81</f>
        <v>780</v>
      </c>
      <c r="B81" s="3">
        <v>4</v>
      </c>
      <c r="C81" s="3">
        <v>17</v>
      </c>
      <c r="D81" s="105">
        <v>12</v>
      </c>
      <c r="E81" s="69">
        <f t="shared" si="4"/>
        <v>33</v>
      </c>
      <c r="F81" s="10" t="str">
        <f t="shared" si="5"/>
        <v>Fail</v>
      </c>
      <c r="G81" s="10" t="str">
        <f t="shared" si="6"/>
        <v>F</v>
      </c>
      <c r="H81" s="11">
        <f t="shared" si="7"/>
        <v>0</v>
      </c>
    </row>
    <row r="82" spans="1:8" x14ac:dyDescent="0.35">
      <c r="A82" s="71">
        <f>'Student Basic Info'!A82</f>
        <v>781</v>
      </c>
      <c r="B82" s="3"/>
      <c r="C82" s="3"/>
      <c r="D82" s="105"/>
      <c r="E82" s="69" t="str">
        <f t="shared" si="4"/>
        <v/>
      </c>
      <c r="F82" s="10" t="str">
        <f t="shared" si="5"/>
        <v/>
      </c>
      <c r="G82" s="10" t="str">
        <f t="shared" si="6"/>
        <v/>
      </c>
      <c r="H82" s="11" t="str">
        <f t="shared" si="7"/>
        <v/>
      </c>
    </row>
    <row r="83" spans="1:8" x14ac:dyDescent="0.35">
      <c r="A83" s="71">
        <f>'Student Basic Info'!A83</f>
        <v>782</v>
      </c>
      <c r="B83" s="3">
        <v>6</v>
      </c>
      <c r="C83" s="3">
        <v>4</v>
      </c>
      <c r="D83" s="105">
        <v>8</v>
      </c>
      <c r="E83" s="69">
        <f t="shared" si="4"/>
        <v>18</v>
      </c>
      <c r="F83" s="10" t="str">
        <f t="shared" si="5"/>
        <v>Fail</v>
      </c>
      <c r="G83" s="10" t="str">
        <f t="shared" si="6"/>
        <v>F</v>
      </c>
      <c r="H83" s="11">
        <f t="shared" si="7"/>
        <v>0</v>
      </c>
    </row>
    <row r="84" spans="1:8" x14ac:dyDescent="0.35">
      <c r="A84" s="71">
        <f>'Student Basic Info'!A84</f>
        <v>783</v>
      </c>
      <c r="B84" s="3"/>
      <c r="C84" s="3"/>
      <c r="D84" s="105"/>
      <c r="E84" s="69" t="str">
        <f t="shared" si="4"/>
        <v/>
      </c>
      <c r="F84" s="10" t="str">
        <f t="shared" si="5"/>
        <v/>
      </c>
      <c r="G84" s="10" t="str">
        <f t="shared" si="6"/>
        <v/>
      </c>
      <c r="H84" s="11" t="str">
        <f t="shared" si="7"/>
        <v/>
      </c>
    </row>
    <row r="85" spans="1:8" x14ac:dyDescent="0.35">
      <c r="A85" s="71">
        <f>'Student Basic Info'!A85</f>
        <v>784</v>
      </c>
      <c r="B85" s="3">
        <v>4</v>
      </c>
      <c r="C85" s="3">
        <v>9</v>
      </c>
      <c r="D85" s="105">
        <v>9</v>
      </c>
      <c r="E85" s="69">
        <f t="shared" si="4"/>
        <v>22</v>
      </c>
      <c r="F85" s="10" t="str">
        <f t="shared" si="5"/>
        <v>Fail</v>
      </c>
      <c r="G85" s="10" t="str">
        <f t="shared" si="6"/>
        <v>F</v>
      </c>
      <c r="H85" s="11">
        <f t="shared" si="7"/>
        <v>0</v>
      </c>
    </row>
    <row r="86" spans="1:8" x14ac:dyDescent="0.35">
      <c r="A86" s="71">
        <f>'Student Basic Info'!A86</f>
        <v>785</v>
      </c>
      <c r="B86" s="3">
        <v>9</v>
      </c>
      <c r="C86" s="3">
        <v>3</v>
      </c>
      <c r="D86" s="105">
        <v>8</v>
      </c>
      <c r="E86" s="69">
        <f t="shared" si="4"/>
        <v>20</v>
      </c>
      <c r="F86" s="10" t="str">
        <f t="shared" si="5"/>
        <v>Fail</v>
      </c>
      <c r="G86" s="10" t="str">
        <f t="shared" si="6"/>
        <v>F</v>
      </c>
      <c r="H86" s="11">
        <f t="shared" si="7"/>
        <v>0</v>
      </c>
    </row>
    <row r="87" spans="1:8" x14ac:dyDescent="0.35">
      <c r="A87" s="71">
        <f>'Student Basic Info'!A87</f>
        <v>786</v>
      </c>
      <c r="B87" s="3"/>
      <c r="C87" s="3"/>
      <c r="D87" s="105"/>
      <c r="E87" s="69" t="str">
        <f t="shared" si="4"/>
        <v/>
      </c>
      <c r="F87" s="10" t="str">
        <f t="shared" si="5"/>
        <v/>
      </c>
      <c r="G87" s="10" t="str">
        <f t="shared" si="6"/>
        <v/>
      </c>
      <c r="H87" s="11" t="str">
        <f t="shared" si="7"/>
        <v/>
      </c>
    </row>
    <row r="88" spans="1:8" x14ac:dyDescent="0.35">
      <c r="A88" s="71">
        <f>'Student Basic Info'!A88</f>
        <v>6812</v>
      </c>
      <c r="B88" s="3">
        <v>9</v>
      </c>
      <c r="C88" s="3">
        <v>31</v>
      </c>
      <c r="D88" s="105">
        <v>18</v>
      </c>
      <c r="E88" s="69">
        <f t="shared" si="4"/>
        <v>58</v>
      </c>
      <c r="F88" s="10" t="str">
        <f t="shared" si="5"/>
        <v>Pass</v>
      </c>
      <c r="G88" s="10" t="str">
        <f t="shared" si="6"/>
        <v>B</v>
      </c>
      <c r="H88" s="11">
        <f t="shared" si="7"/>
        <v>3</v>
      </c>
    </row>
  </sheetData>
  <conditionalFormatting sqref="F2:F88">
    <cfRule type="containsText" dxfId="20" priority="1" operator="containsText" text="Fail">
      <formula>NOT(ISERROR(SEARCH("Fail",F2)))</formula>
    </cfRule>
    <cfRule type="containsText" dxfId="19" priority="2" operator="containsText" text="Pass">
      <formula>NOT(ISERROR(SEARCH("Pass",F2)))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topLeftCell="A31" workbookViewId="0">
      <selection activeCell="C47" sqref="C47"/>
    </sheetView>
  </sheetViews>
  <sheetFormatPr defaultRowHeight="14.5" x14ac:dyDescent="0.35"/>
  <cols>
    <col min="1" max="1" width="8.7265625" style="15"/>
    <col min="2" max="2" width="10.7265625" style="1" bestFit="1" customWidth="1"/>
    <col min="3" max="3" width="9" style="1" bestFit="1" customWidth="1"/>
    <col min="4" max="4" width="9" style="1" customWidth="1"/>
    <col min="5" max="5" width="10.81640625" style="15" bestFit="1" customWidth="1"/>
    <col min="6" max="8" width="8.7265625" style="15"/>
  </cols>
  <sheetData>
    <row r="1" spans="1:9" x14ac:dyDescent="0.35">
      <c r="A1" s="12" t="s">
        <v>0</v>
      </c>
      <c r="B1" s="12" t="s">
        <v>4</v>
      </c>
      <c r="C1" s="12" t="s">
        <v>5</v>
      </c>
      <c r="D1" s="12" t="s">
        <v>57</v>
      </c>
      <c r="E1" s="12" t="s">
        <v>6</v>
      </c>
      <c r="F1" s="12" t="s">
        <v>7</v>
      </c>
      <c r="G1" s="12" t="s">
        <v>8</v>
      </c>
      <c r="H1" s="12" t="s">
        <v>9</v>
      </c>
    </row>
    <row r="2" spans="1:9" x14ac:dyDescent="0.35">
      <c r="A2" s="10">
        <f>'Student Basic Info'!A2</f>
        <v>701</v>
      </c>
      <c r="B2" s="3">
        <v>16</v>
      </c>
      <c r="C2" s="3">
        <v>33</v>
      </c>
      <c r="D2" s="8">
        <v>21</v>
      </c>
      <c r="E2" s="69">
        <f>IF(B2+C2=0, "", B2+C2+D2)</f>
        <v>70</v>
      </c>
      <c r="F2" s="10" t="str">
        <f>IF(E2="","", IF(AND(B2 &gt;=8,C2&gt;=17,D2&gt;=8),"Pass","Fail"))</f>
        <v>Pass</v>
      </c>
      <c r="G2" s="10" t="str">
        <f>(IF(E2="","",IF(F2="Fail","F",IF(E2&gt;=80,"A+",IF(E2&gt;=70,"A",IF(E2&gt;=60,"A-",IF(E2&gt;=50,"B",IF(E2&gt;=40,"C",IF(E2&gt;=33,"D","F")))))))))</f>
        <v>A</v>
      </c>
      <c r="H2" s="11">
        <f>(IF(E2="","",IF(G2="F",0,IF(E2&gt;=80,5,IF(E2&gt;=70,4,IF(E2&gt;=60,3.5,IF(E2&gt;=50,3,IF(E2&gt;=40,2,IF(E2&gt;=33,1,0)))))))))</f>
        <v>4</v>
      </c>
    </row>
    <row r="3" spans="1:9" x14ac:dyDescent="0.35">
      <c r="A3" s="10">
        <f>'Student Basic Info'!A3</f>
        <v>702</v>
      </c>
      <c r="B3" s="3"/>
      <c r="C3" s="3"/>
      <c r="D3" s="8"/>
      <c r="E3" s="69" t="str">
        <f t="shared" ref="E3:E66" si="0">IF(B3+C3=0, "", B3+C3+D3)</f>
        <v/>
      </c>
      <c r="F3" s="10" t="str">
        <f t="shared" ref="F3:F66" si="1">IF(E3="","", IF(AND(B3 &gt;=8,C3&gt;=17,D3&gt;=8),"Pass","Fail"))</f>
        <v/>
      </c>
      <c r="G3" s="10" t="str">
        <f t="shared" ref="G3:G66" si="2">(IF(E3="","",IF(F3="Fail","F",IF(E3&gt;=80,"A+",IF(E3&gt;=70,"A",IF(E3&gt;=60,"A-",IF(E3&gt;=50,"B",IF(E3&gt;=40,"C",IF(E3&gt;=33,"D","F")))))))))</f>
        <v/>
      </c>
      <c r="H3" s="11" t="str">
        <f t="shared" ref="H3:H66" si="3">(IF(E3="","",IF(G3="F",0,IF(E3&gt;=80,5,IF(E3&gt;=70,4,IF(E3&gt;=60,3.5,IF(E3&gt;=50,3,IF(E3&gt;=40,2,IF(E3&gt;=33,1,0)))))))))</f>
        <v/>
      </c>
    </row>
    <row r="4" spans="1:9" x14ac:dyDescent="0.35">
      <c r="A4" s="10">
        <f>'Student Basic Info'!A4</f>
        <v>703</v>
      </c>
      <c r="B4" s="3"/>
      <c r="C4" s="3"/>
      <c r="D4" s="8"/>
      <c r="E4" s="69" t="str">
        <f t="shared" si="0"/>
        <v/>
      </c>
      <c r="F4" s="10" t="str">
        <f t="shared" si="1"/>
        <v/>
      </c>
      <c r="G4" s="10" t="str">
        <f t="shared" si="2"/>
        <v/>
      </c>
      <c r="H4" s="11" t="str">
        <f t="shared" si="3"/>
        <v/>
      </c>
    </row>
    <row r="5" spans="1:9" x14ac:dyDescent="0.35">
      <c r="A5" s="10">
        <f>'Student Basic Info'!A5</f>
        <v>704</v>
      </c>
      <c r="B5" s="3">
        <v>15</v>
      </c>
      <c r="C5" s="3">
        <v>14</v>
      </c>
      <c r="D5" s="70">
        <v>10</v>
      </c>
      <c r="E5" s="69">
        <f t="shared" si="0"/>
        <v>39</v>
      </c>
      <c r="F5" s="10" t="str">
        <f t="shared" si="1"/>
        <v>Fail</v>
      </c>
      <c r="G5" s="10" t="str">
        <f t="shared" si="2"/>
        <v>F</v>
      </c>
      <c r="H5" s="11">
        <f t="shared" si="3"/>
        <v>0</v>
      </c>
    </row>
    <row r="6" spans="1:9" x14ac:dyDescent="0.35">
      <c r="A6" s="10">
        <f>'Student Basic Info'!A6</f>
        <v>705</v>
      </c>
      <c r="B6" s="3"/>
      <c r="C6" s="3"/>
      <c r="D6" s="8"/>
      <c r="E6" s="69" t="str">
        <f t="shared" si="0"/>
        <v/>
      </c>
      <c r="F6" s="10" t="str">
        <f t="shared" si="1"/>
        <v/>
      </c>
      <c r="G6" s="10" t="str">
        <f t="shared" si="2"/>
        <v/>
      </c>
      <c r="H6" s="11" t="str">
        <f t="shared" si="3"/>
        <v/>
      </c>
      <c r="I6" t="s">
        <v>10</v>
      </c>
    </row>
    <row r="7" spans="1:9" x14ac:dyDescent="0.35">
      <c r="A7" s="10">
        <f>'Student Basic Info'!A7</f>
        <v>706</v>
      </c>
      <c r="B7" s="3"/>
      <c r="C7" s="3"/>
      <c r="D7" s="8"/>
      <c r="E7" s="69" t="str">
        <f t="shared" si="0"/>
        <v/>
      </c>
      <c r="F7" s="10" t="str">
        <f t="shared" si="1"/>
        <v/>
      </c>
      <c r="G7" s="10" t="str">
        <f t="shared" si="2"/>
        <v/>
      </c>
      <c r="H7" s="11" t="str">
        <f t="shared" si="3"/>
        <v/>
      </c>
    </row>
    <row r="8" spans="1:9" x14ac:dyDescent="0.35">
      <c r="A8" s="10">
        <f>'Student Basic Info'!A8</f>
        <v>707</v>
      </c>
      <c r="B8" s="3"/>
      <c r="C8" s="3"/>
      <c r="D8" s="8"/>
      <c r="E8" s="69" t="str">
        <f t="shared" si="0"/>
        <v/>
      </c>
      <c r="F8" s="10" t="str">
        <f t="shared" si="1"/>
        <v/>
      </c>
      <c r="G8" s="10" t="str">
        <f t="shared" si="2"/>
        <v/>
      </c>
      <c r="H8" s="11" t="str">
        <f t="shared" si="3"/>
        <v/>
      </c>
    </row>
    <row r="9" spans="1:9" x14ac:dyDescent="0.35">
      <c r="A9" s="10">
        <f>'Student Basic Info'!A9</f>
        <v>708</v>
      </c>
      <c r="B9" s="3">
        <v>16</v>
      </c>
      <c r="C9" s="3">
        <v>13</v>
      </c>
      <c r="D9" s="70">
        <v>8</v>
      </c>
      <c r="E9" s="69">
        <f t="shared" si="0"/>
        <v>37</v>
      </c>
      <c r="F9" s="10" t="str">
        <f t="shared" si="1"/>
        <v>Fail</v>
      </c>
      <c r="G9" s="10" t="str">
        <f t="shared" si="2"/>
        <v>F</v>
      </c>
      <c r="H9" s="11">
        <f t="shared" si="3"/>
        <v>0</v>
      </c>
    </row>
    <row r="10" spans="1:9" x14ac:dyDescent="0.35">
      <c r="A10" s="10">
        <f>'Student Basic Info'!A10</f>
        <v>709</v>
      </c>
      <c r="B10" s="3">
        <v>15</v>
      </c>
      <c r="C10" s="3">
        <v>11</v>
      </c>
      <c r="D10" s="8">
        <v>8</v>
      </c>
      <c r="E10" s="69">
        <f t="shared" si="0"/>
        <v>34</v>
      </c>
      <c r="F10" s="10" t="str">
        <f t="shared" si="1"/>
        <v>Fail</v>
      </c>
      <c r="G10" s="10" t="str">
        <f t="shared" si="2"/>
        <v>F</v>
      </c>
      <c r="H10" s="11">
        <f t="shared" si="3"/>
        <v>0</v>
      </c>
    </row>
    <row r="11" spans="1:9" x14ac:dyDescent="0.35">
      <c r="A11" s="10">
        <f>'Student Basic Info'!A11</f>
        <v>710</v>
      </c>
      <c r="B11" s="3">
        <v>8</v>
      </c>
      <c r="C11" s="3">
        <v>12</v>
      </c>
      <c r="D11" s="8">
        <v>9</v>
      </c>
      <c r="E11" s="69">
        <f t="shared" si="0"/>
        <v>29</v>
      </c>
      <c r="F11" s="10" t="str">
        <f t="shared" si="1"/>
        <v>Fail</v>
      </c>
      <c r="G11" s="10" t="str">
        <f t="shared" si="2"/>
        <v>F</v>
      </c>
      <c r="H11" s="11">
        <f t="shared" si="3"/>
        <v>0</v>
      </c>
    </row>
    <row r="12" spans="1:9" x14ac:dyDescent="0.35">
      <c r="A12" s="10">
        <f>'Student Basic Info'!A12</f>
        <v>711</v>
      </c>
      <c r="B12" s="3"/>
      <c r="C12" s="3"/>
      <c r="D12" s="3"/>
      <c r="E12" s="69" t="str">
        <f t="shared" si="0"/>
        <v/>
      </c>
      <c r="F12" s="10" t="str">
        <f t="shared" si="1"/>
        <v/>
      </c>
      <c r="G12" s="10" t="str">
        <f t="shared" si="2"/>
        <v/>
      </c>
      <c r="H12" s="11" t="str">
        <f t="shared" si="3"/>
        <v/>
      </c>
    </row>
    <row r="13" spans="1:9" x14ac:dyDescent="0.35">
      <c r="A13" s="10">
        <f>'Student Basic Info'!A13</f>
        <v>712</v>
      </c>
      <c r="B13" s="3">
        <v>16</v>
      </c>
      <c r="C13" s="3">
        <v>18</v>
      </c>
      <c r="D13" s="3">
        <v>15</v>
      </c>
      <c r="E13" s="69">
        <f t="shared" si="0"/>
        <v>49</v>
      </c>
      <c r="F13" s="10" t="str">
        <f t="shared" si="1"/>
        <v>Pass</v>
      </c>
      <c r="G13" s="10" t="str">
        <f t="shared" si="2"/>
        <v>C</v>
      </c>
      <c r="H13" s="11">
        <f t="shared" si="3"/>
        <v>2</v>
      </c>
    </row>
    <row r="14" spans="1:9" x14ac:dyDescent="0.35">
      <c r="A14" s="10">
        <f>'Student Basic Info'!A14</f>
        <v>713</v>
      </c>
      <c r="B14" s="3">
        <v>16</v>
      </c>
      <c r="C14" s="3">
        <v>24</v>
      </c>
      <c r="D14" s="3">
        <v>20</v>
      </c>
      <c r="E14" s="69">
        <f t="shared" si="0"/>
        <v>60</v>
      </c>
      <c r="F14" s="10" t="str">
        <f t="shared" si="1"/>
        <v>Pass</v>
      </c>
      <c r="G14" s="10" t="str">
        <f t="shared" si="2"/>
        <v>A-</v>
      </c>
      <c r="H14" s="11">
        <f t="shared" si="3"/>
        <v>3.5</v>
      </c>
    </row>
    <row r="15" spans="1:9" x14ac:dyDescent="0.35">
      <c r="A15" s="10">
        <f>'Student Basic Info'!A15</f>
        <v>714</v>
      </c>
      <c r="B15" s="3">
        <v>16</v>
      </c>
      <c r="C15" s="3">
        <v>34</v>
      </c>
      <c r="D15" s="3">
        <v>20</v>
      </c>
      <c r="E15" s="69">
        <f t="shared" si="0"/>
        <v>70</v>
      </c>
      <c r="F15" s="10" t="str">
        <f t="shared" si="1"/>
        <v>Pass</v>
      </c>
      <c r="G15" s="10" t="str">
        <f t="shared" si="2"/>
        <v>A</v>
      </c>
      <c r="H15" s="11">
        <f t="shared" si="3"/>
        <v>4</v>
      </c>
    </row>
    <row r="16" spans="1:9" x14ac:dyDescent="0.35">
      <c r="A16" s="10">
        <f>'Student Basic Info'!A16</f>
        <v>715</v>
      </c>
      <c r="B16" s="3">
        <v>15</v>
      </c>
      <c r="C16" s="3">
        <v>24</v>
      </c>
      <c r="D16" s="3">
        <v>15</v>
      </c>
      <c r="E16" s="69">
        <f t="shared" si="0"/>
        <v>54</v>
      </c>
      <c r="F16" s="10" t="str">
        <f t="shared" si="1"/>
        <v>Pass</v>
      </c>
      <c r="G16" s="10" t="str">
        <f t="shared" si="2"/>
        <v>B</v>
      </c>
      <c r="H16" s="11">
        <f t="shared" si="3"/>
        <v>3</v>
      </c>
    </row>
    <row r="17" spans="1:8" x14ac:dyDescent="0.35">
      <c r="A17" s="10">
        <f>'Student Basic Info'!A17</f>
        <v>716</v>
      </c>
      <c r="B17" s="3">
        <v>18</v>
      </c>
      <c r="C17" s="3">
        <v>24</v>
      </c>
      <c r="D17" s="3">
        <v>15</v>
      </c>
      <c r="E17" s="69">
        <f t="shared" si="0"/>
        <v>57</v>
      </c>
      <c r="F17" s="10" t="str">
        <f t="shared" si="1"/>
        <v>Pass</v>
      </c>
      <c r="G17" s="10" t="str">
        <f t="shared" si="2"/>
        <v>B</v>
      </c>
      <c r="H17" s="11">
        <f t="shared" si="3"/>
        <v>3</v>
      </c>
    </row>
    <row r="18" spans="1:8" x14ac:dyDescent="0.35">
      <c r="A18" s="10">
        <f>'Student Basic Info'!A18</f>
        <v>717</v>
      </c>
      <c r="B18" s="3">
        <v>13</v>
      </c>
      <c r="C18" s="3">
        <v>21</v>
      </c>
      <c r="D18" s="3">
        <v>9</v>
      </c>
      <c r="E18" s="69">
        <f t="shared" si="0"/>
        <v>43</v>
      </c>
      <c r="F18" s="10" t="str">
        <f t="shared" si="1"/>
        <v>Pass</v>
      </c>
      <c r="G18" s="10" t="str">
        <f t="shared" si="2"/>
        <v>C</v>
      </c>
      <c r="H18" s="11">
        <f t="shared" si="3"/>
        <v>2</v>
      </c>
    </row>
    <row r="19" spans="1:8" x14ac:dyDescent="0.35">
      <c r="A19" s="10">
        <f>'Student Basic Info'!A19</f>
        <v>718</v>
      </c>
      <c r="B19" s="3"/>
      <c r="C19" s="3"/>
      <c r="D19" s="3"/>
      <c r="E19" s="69" t="str">
        <f t="shared" si="0"/>
        <v/>
      </c>
      <c r="F19" s="10" t="str">
        <f t="shared" si="1"/>
        <v/>
      </c>
      <c r="G19" s="10" t="str">
        <f t="shared" si="2"/>
        <v/>
      </c>
      <c r="H19" s="11" t="str">
        <f t="shared" si="3"/>
        <v/>
      </c>
    </row>
    <row r="20" spans="1:8" x14ac:dyDescent="0.35">
      <c r="A20" s="10">
        <f>'Student Basic Info'!A20</f>
        <v>719</v>
      </c>
      <c r="B20" s="3">
        <v>15</v>
      </c>
      <c r="C20" s="3">
        <v>21</v>
      </c>
      <c r="D20" s="3">
        <v>15</v>
      </c>
      <c r="E20" s="69">
        <f t="shared" si="0"/>
        <v>51</v>
      </c>
      <c r="F20" s="10" t="str">
        <f t="shared" si="1"/>
        <v>Pass</v>
      </c>
      <c r="G20" s="10" t="str">
        <f t="shared" si="2"/>
        <v>B</v>
      </c>
      <c r="H20" s="11">
        <f t="shared" si="3"/>
        <v>3</v>
      </c>
    </row>
    <row r="21" spans="1:8" x14ac:dyDescent="0.35">
      <c r="A21" s="10">
        <f>'Student Basic Info'!A21</f>
        <v>720</v>
      </c>
      <c r="B21" s="3">
        <v>10</v>
      </c>
      <c r="C21" s="3">
        <v>15</v>
      </c>
      <c r="D21" s="3">
        <v>10</v>
      </c>
      <c r="E21" s="69">
        <f t="shared" si="0"/>
        <v>35</v>
      </c>
      <c r="F21" s="10" t="str">
        <f t="shared" si="1"/>
        <v>Fail</v>
      </c>
      <c r="G21" s="10" t="str">
        <f t="shared" si="2"/>
        <v>F</v>
      </c>
      <c r="H21" s="11">
        <f t="shared" si="3"/>
        <v>0</v>
      </c>
    </row>
    <row r="22" spans="1:8" x14ac:dyDescent="0.35">
      <c r="A22" s="10">
        <f>'Student Basic Info'!A22</f>
        <v>721</v>
      </c>
      <c r="B22" s="3"/>
      <c r="C22" s="3"/>
      <c r="D22" s="3"/>
      <c r="E22" s="69" t="str">
        <f t="shared" si="0"/>
        <v/>
      </c>
      <c r="F22" s="10" t="str">
        <f t="shared" si="1"/>
        <v/>
      </c>
      <c r="G22" s="10" t="str">
        <f t="shared" si="2"/>
        <v/>
      </c>
      <c r="H22" s="11" t="str">
        <f t="shared" si="3"/>
        <v/>
      </c>
    </row>
    <row r="23" spans="1:8" x14ac:dyDescent="0.35">
      <c r="A23" s="10">
        <f>'Student Basic Info'!A23</f>
        <v>722</v>
      </c>
      <c r="B23" s="3">
        <v>14</v>
      </c>
      <c r="C23" s="3">
        <v>12</v>
      </c>
      <c r="D23" s="3">
        <v>8</v>
      </c>
      <c r="E23" s="69">
        <f t="shared" si="0"/>
        <v>34</v>
      </c>
      <c r="F23" s="10" t="str">
        <f t="shared" si="1"/>
        <v>Fail</v>
      </c>
      <c r="G23" s="10" t="str">
        <f t="shared" si="2"/>
        <v>F</v>
      </c>
      <c r="H23" s="11">
        <f t="shared" si="3"/>
        <v>0</v>
      </c>
    </row>
    <row r="24" spans="1:8" x14ac:dyDescent="0.35">
      <c r="A24" s="10">
        <f>'Student Basic Info'!A24</f>
        <v>723</v>
      </c>
      <c r="B24" s="3">
        <v>19</v>
      </c>
      <c r="C24" s="3">
        <v>46</v>
      </c>
      <c r="D24" s="3">
        <v>25</v>
      </c>
      <c r="E24" s="69">
        <f t="shared" si="0"/>
        <v>90</v>
      </c>
      <c r="F24" s="10" t="str">
        <f t="shared" si="1"/>
        <v>Pass</v>
      </c>
      <c r="G24" s="10" t="str">
        <f t="shared" si="2"/>
        <v>A+</v>
      </c>
      <c r="H24" s="11">
        <f t="shared" si="3"/>
        <v>5</v>
      </c>
    </row>
    <row r="25" spans="1:8" x14ac:dyDescent="0.35">
      <c r="A25" s="10">
        <f>'Student Basic Info'!A25</f>
        <v>724</v>
      </c>
      <c r="B25" s="3">
        <v>10</v>
      </c>
      <c r="C25" s="3">
        <v>26</v>
      </c>
      <c r="D25" s="3">
        <v>15</v>
      </c>
      <c r="E25" s="69">
        <f t="shared" si="0"/>
        <v>51</v>
      </c>
      <c r="F25" s="10" t="str">
        <f t="shared" si="1"/>
        <v>Pass</v>
      </c>
      <c r="G25" s="10" t="str">
        <f t="shared" si="2"/>
        <v>B</v>
      </c>
      <c r="H25" s="11">
        <f t="shared" si="3"/>
        <v>3</v>
      </c>
    </row>
    <row r="26" spans="1:8" x14ac:dyDescent="0.35">
      <c r="A26" s="10">
        <f>'Student Basic Info'!A26</f>
        <v>725</v>
      </c>
      <c r="B26" s="3">
        <v>14</v>
      </c>
      <c r="C26" s="3">
        <v>13</v>
      </c>
      <c r="D26" s="3">
        <v>10</v>
      </c>
      <c r="E26" s="69">
        <f t="shared" si="0"/>
        <v>37</v>
      </c>
      <c r="F26" s="10" t="str">
        <f t="shared" si="1"/>
        <v>Fail</v>
      </c>
      <c r="G26" s="10" t="str">
        <f t="shared" si="2"/>
        <v>F</v>
      </c>
      <c r="H26" s="11">
        <f t="shared" si="3"/>
        <v>0</v>
      </c>
    </row>
    <row r="27" spans="1:8" x14ac:dyDescent="0.35">
      <c r="A27" s="10">
        <f>'Student Basic Info'!A27</f>
        <v>726</v>
      </c>
      <c r="B27" s="3"/>
      <c r="C27" s="3"/>
      <c r="D27" s="3"/>
      <c r="E27" s="69" t="str">
        <f t="shared" si="0"/>
        <v/>
      </c>
      <c r="F27" s="10" t="str">
        <f t="shared" si="1"/>
        <v/>
      </c>
      <c r="G27" s="10" t="str">
        <f t="shared" si="2"/>
        <v/>
      </c>
      <c r="H27" s="11" t="str">
        <f t="shared" si="3"/>
        <v/>
      </c>
    </row>
    <row r="28" spans="1:8" x14ac:dyDescent="0.35">
      <c r="A28" s="10">
        <f>'Student Basic Info'!A28</f>
        <v>727</v>
      </c>
      <c r="B28" s="3">
        <v>12</v>
      </c>
      <c r="C28" s="3">
        <v>17</v>
      </c>
      <c r="D28" s="3">
        <v>15</v>
      </c>
      <c r="E28" s="69">
        <f t="shared" si="0"/>
        <v>44</v>
      </c>
      <c r="F28" s="10" t="str">
        <f t="shared" si="1"/>
        <v>Pass</v>
      </c>
      <c r="G28" s="10" t="str">
        <f t="shared" si="2"/>
        <v>C</v>
      </c>
      <c r="H28" s="11">
        <f t="shared" si="3"/>
        <v>2</v>
      </c>
    </row>
    <row r="29" spans="1:8" x14ac:dyDescent="0.35">
      <c r="A29" s="10">
        <f>'Student Basic Info'!A29</f>
        <v>728</v>
      </c>
      <c r="B29" s="3">
        <v>9</v>
      </c>
      <c r="C29" s="3">
        <v>27</v>
      </c>
      <c r="D29" s="3">
        <v>16</v>
      </c>
      <c r="E29" s="69">
        <f t="shared" si="0"/>
        <v>52</v>
      </c>
      <c r="F29" s="10" t="str">
        <f t="shared" si="1"/>
        <v>Pass</v>
      </c>
      <c r="G29" s="10" t="str">
        <f t="shared" si="2"/>
        <v>B</v>
      </c>
      <c r="H29" s="11">
        <f t="shared" si="3"/>
        <v>3</v>
      </c>
    </row>
    <row r="30" spans="1:8" x14ac:dyDescent="0.35">
      <c r="A30" s="10">
        <f>'Student Basic Info'!A30</f>
        <v>729</v>
      </c>
      <c r="B30" s="3">
        <v>8</v>
      </c>
      <c r="C30" s="3">
        <v>11</v>
      </c>
      <c r="D30" s="3">
        <v>8</v>
      </c>
      <c r="E30" s="69">
        <f t="shared" si="0"/>
        <v>27</v>
      </c>
      <c r="F30" s="10" t="str">
        <f t="shared" si="1"/>
        <v>Fail</v>
      </c>
      <c r="G30" s="10" t="str">
        <f t="shared" si="2"/>
        <v>F</v>
      </c>
      <c r="H30" s="11">
        <f t="shared" si="3"/>
        <v>0</v>
      </c>
    </row>
    <row r="31" spans="1:8" x14ac:dyDescent="0.35">
      <c r="A31" s="10">
        <f>'Student Basic Info'!A31</f>
        <v>730</v>
      </c>
      <c r="B31" s="3">
        <v>11</v>
      </c>
      <c r="C31" s="3">
        <v>14</v>
      </c>
      <c r="D31" s="3">
        <v>8</v>
      </c>
      <c r="E31" s="69">
        <f t="shared" si="0"/>
        <v>33</v>
      </c>
      <c r="F31" s="10" t="str">
        <f t="shared" si="1"/>
        <v>Fail</v>
      </c>
      <c r="G31" s="10" t="str">
        <f t="shared" si="2"/>
        <v>F</v>
      </c>
      <c r="H31" s="11">
        <f t="shared" si="3"/>
        <v>0</v>
      </c>
    </row>
    <row r="32" spans="1:8" x14ac:dyDescent="0.35">
      <c r="A32" s="10">
        <f>'Student Basic Info'!A32</f>
        <v>731</v>
      </c>
      <c r="B32" s="3">
        <v>11</v>
      </c>
      <c r="C32" s="3">
        <v>12</v>
      </c>
      <c r="D32" s="3">
        <v>8</v>
      </c>
      <c r="E32" s="69">
        <f t="shared" si="0"/>
        <v>31</v>
      </c>
      <c r="F32" s="10" t="str">
        <f t="shared" si="1"/>
        <v>Fail</v>
      </c>
      <c r="G32" s="10" t="str">
        <f t="shared" si="2"/>
        <v>F</v>
      </c>
      <c r="H32" s="11">
        <f t="shared" si="3"/>
        <v>0</v>
      </c>
    </row>
    <row r="33" spans="1:8" x14ac:dyDescent="0.35">
      <c r="A33" s="10">
        <f>'Student Basic Info'!A33</f>
        <v>732</v>
      </c>
      <c r="B33" s="3">
        <v>9</v>
      </c>
      <c r="C33" s="3">
        <v>17</v>
      </c>
      <c r="D33" s="3">
        <v>12</v>
      </c>
      <c r="E33" s="69">
        <f t="shared" si="0"/>
        <v>38</v>
      </c>
      <c r="F33" s="10" t="str">
        <f t="shared" si="1"/>
        <v>Pass</v>
      </c>
      <c r="G33" s="10" t="str">
        <f t="shared" si="2"/>
        <v>D</v>
      </c>
      <c r="H33" s="11">
        <f t="shared" si="3"/>
        <v>1</v>
      </c>
    </row>
    <row r="34" spans="1:8" x14ac:dyDescent="0.35">
      <c r="A34" s="10">
        <f>'Student Basic Info'!A34</f>
        <v>733</v>
      </c>
      <c r="B34" s="3">
        <v>12</v>
      </c>
      <c r="C34" s="3">
        <v>13</v>
      </c>
      <c r="D34" s="3">
        <v>10</v>
      </c>
      <c r="E34" s="69">
        <f t="shared" si="0"/>
        <v>35</v>
      </c>
      <c r="F34" s="10" t="str">
        <f t="shared" si="1"/>
        <v>Fail</v>
      </c>
      <c r="G34" s="10" t="str">
        <f t="shared" si="2"/>
        <v>F</v>
      </c>
      <c r="H34" s="11">
        <f t="shared" si="3"/>
        <v>0</v>
      </c>
    </row>
    <row r="35" spans="1:8" x14ac:dyDescent="0.35">
      <c r="A35" s="10">
        <f>'Student Basic Info'!A35</f>
        <v>734</v>
      </c>
      <c r="B35" s="3">
        <v>9</v>
      </c>
      <c r="C35" s="3">
        <v>18</v>
      </c>
      <c r="D35" s="3">
        <v>12</v>
      </c>
      <c r="E35" s="69">
        <f t="shared" si="0"/>
        <v>39</v>
      </c>
      <c r="F35" s="10" t="str">
        <f t="shared" si="1"/>
        <v>Pass</v>
      </c>
      <c r="G35" s="10" t="str">
        <f t="shared" si="2"/>
        <v>D</v>
      </c>
      <c r="H35" s="11">
        <f t="shared" si="3"/>
        <v>1</v>
      </c>
    </row>
    <row r="36" spans="1:8" x14ac:dyDescent="0.35">
      <c r="A36" s="10">
        <f>'Student Basic Info'!A36</f>
        <v>735</v>
      </c>
      <c r="B36" s="3"/>
      <c r="C36" s="3"/>
      <c r="D36" s="3"/>
      <c r="E36" s="69" t="str">
        <f t="shared" si="0"/>
        <v/>
      </c>
      <c r="F36" s="10" t="str">
        <f t="shared" si="1"/>
        <v/>
      </c>
      <c r="G36" s="10" t="str">
        <f t="shared" si="2"/>
        <v/>
      </c>
      <c r="H36" s="11" t="str">
        <f t="shared" si="3"/>
        <v/>
      </c>
    </row>
    <row r="37" spans="1:8" x14ac:dyDescent="0.35">
      <c r="A37" s="10">
        <f>'Student Basic Info'!A37</f>
        <v>736</v>
      </c>
      <c r="B37" s="3">
        <v>9</v>
      </c>
      <c r="C37" s="3">
        <v>15</v>
      </c>
      <c r="D37" s="3">
        <v>10</v>
      </c>
      <c r="E37" s="69">
        <f t="shared" si="0"/>
        <v>34</v>
      </c>
      <c r="F37" s="10" t="str">
        <f t="shared" si="1"/>
        <v>Fail</v>
      </c>
      <c r="G37" s="10" t="str">
        <f t="shared" si="2"/>
        <v>F</v>
      </c>
      <c r="H37" s="11">
        <f t="shared" si="3"/>
        <v>0</v>
      </c>
    </row>
    <row r="38" spans="1:8" x14ac:dyDescent="0.35">
      <c r="A38" s="10">
        <f>'Student Basic Info'!A38</f>
        <v>737</v>
      </c>
      <c r="B38" s="3">
        <v>15</v>
      </c>
      <c r="C38" s="3">
        <v>14</v>
      </c>
      <c r="D38" s="3">
        <v>9</v>
      </c>
      <c r="E38" s="69">
        <f t="shared" si="0"/>
        <v>38</v>
      </c>
      <c r="F38" s="10" t="str">
        <f t="shared" si="1"/>
        <v>Fail</v>
      </c>
      <c r="G38" s="10" t="str">
        <f t="shared" si="2"/>
        <v>F</v>
      </c>
      <c r="H38" s="11">
        <f t="shared" si="3"/>
        <v>0</v>
      </c>
    </row>
    <row r="39" spans="1:8" x14ac:dyDescent="0.35">
      <c r="A39" s="10">
        <f>'Student Basic Info'!A39</f>
        <v>738</v>
      </c>
      <c r="B39" s="3">
        <v>12</v>
      </c>
      <c r="C39" s="3">
        <v>13</v>
      </c>
      <c r="D39" s="3">
        <v>9</v>
      </c>
      <c r="E39" s="69">
        <f t="shared" si="0"/>
        <v>34</v>
      </c>
      <c r="F39" s="10" t="str">
        <f t="shared" si="1"/>
        <v>Fail</v>
      </c>
      <c r="G39" s="10" t="str">
        <f t="shared" si="2"/>
        <v>F</v>
      </c>
      <c r="H39" s="11">
        <f t="shared" si="3"/>
        <v>0</v>
      </c>
    </row>
    <row r="40" spans="1:8" x14ac:dyDescent="0.35">
      <c r="A40" s="10">
        <f>'Student Basic Info'!A40</f>
        <v>739</v>
      </c>
      <c r="B40" s="3">
        <v>12</v>
      </c>
      <c r="C40" s="3">
        <v>12</v>
      </c>
      <c r="D40" s="3">
        <v>9</v>
      </c>
      <c r="E40" s="69">
        <f t="shared" si="0"/>
        <v>33</v>
      </c>
      <c r="F40" s="10" t="str">
        <f t="shared" si="1"/>
        <v>Fail</v>
      </c>
      <c r="G40" s="10" t="str">
        <f t="shared" si="2"/>
        <v>F</v>
      </c>
      <c r="H40" s="11">
        <f t="shared" si="3"/>
        <v>0</v>
      </c>
    </row>
    <row r="41" spans="1:8" x14ac:dyDescent="0.35">
      <c r="A41" s="10">
        <f>'Student Basic Info'!A41</f>
        <v>740</v>
      </c>
      <c r="B41" s="3">
        <v>13</v>
      </c>
      <c r="C41" s="3">
        <v>20</v>
      </c>
      <c r="D41" s="3">
        <v>12</v>
      </c>
      <c r="E41" s="69">
        <f t="shared" si="0"/>
        <v>45</v>
      </c>
      <c r="F41" s="10" t="str">
        <f t="shared" si="1"/>
        <v>Pass</v>
      </c>
      <c r="G41" s="10" t="str">
        <f t="shared" si="2"/>
        <v>C</v>
      </c>
      <c r="H41" s="11">
        <f t="shared" si="3"/>
        <v>2</v>
      </c>
    </row>
    <row r="42" spans="1:8" x14ac:dyDescent="0.35">
      <c r="A42" s="10">
        <f>'Student Basic Info'!A42</f>
        <v>741</v>
      </c>
      <c r="B42" s="3">
        <v>20</v>
      </c>
      <c r="C42" s="3">
        <v>12</v>
      </c>
      <c r="D42" s="3">
        <v>20</v>
      </c>
      <c r="E42" s="69">
        <f t="shared" si="0"/>
        <v>52</v>
      </c>
      <c r="F42" s="10" t="str">
        <f t="shared" si="1"/>
        <v>Fail</v>
      </c>
      <c r="G42" s="10" t="str">
        <f t="shared" si="2"/>
        <v>F</v>
      </c>
      <c r="H42" s="11">
        <f t="shared" si="3"/>
        <v>0</v>
      </c>
    </row>
    <row r="43" spans="1:8" x14ac:dyDescent="0.35">
      <c r="A43" s="10">
        <f>'Student Basic Info'!A43</f>
        <v>742</v>
      </c>
      <c r="B43" s="3"/>
      <c r="C43" s="3"/>
      <c r="D43" s="3"/>
      <c r="E43" s="69" t="str">
        <f t="shared" si="0"/>
        <v/>
      </c>
      <c r="F43" s="10" t="str">
        <f t="shared" si="1"/>
        <v/>
      </c>
      <c r="G43" s="10" t="str">
        <f t="shared" si="2"/>
        <v/>
      </c>
      <c r="H43" s="11" t="str">
        <f t="shared" si="3"/>
        <v/>
      </c>
    </row>
    <row r="44" spans="1:8" x14ac:dyDescent="0.35">
      <c r="A44" s="10">
        <f>'Student Basic Info'!A44</f>
        <v>743</v>
      </c>
      <c r="B44" s="3">
        <v>10</v>
      </c>
      <c r="C44" s="3">
        <v>8</v>
      </c>
      <c r="D44" s="3">
        <v>10</v>
      </c>
      <c r="E44" s="69">
        <f t="shared" si="0"/>
        <v>28</v>
      </c>
      <c r="F44" s="10" t="str">
        <f t="shared" si="1"/>
        <v>Fail</v>
      </c>
      <c r="G44" s="10" t="str">
        <f t="shared" si="2"/>
        <v>F</v>
      </c>
      <c r="H44" s="11">
        <f t="shared" si="3"/>
        <v>0</v>
      </c>
    </row>
    <row r="45" spans="1:8" x14ac:dyDescent="0.35">
      <c r="A45" s="10">
        <f>'Student Basic Info'!A45</f>
        <v>744</v>
      </c>
      <c r="B45" s="3">
        <v>8</v>
      </c>
      <c r="C45" s="3">
        <v>9</v>
      </c>
      <c r="D45" s="3">
        <v>8</v>
      </c>
      <c r="E45" s="69">
        <f t="shared" si="0"/>
        <v>25</v>
      </c>
      <c r="F45" s="10" t="str">
        <f t="shared" si="1"/>
        <v>Fail</v>
      </c>
      <c r="G45" s="10" t="str">
        <f t="shared" si="2"/>
        <v>F</v>
      </c>
      <c r="H45" s="11">
        <f t="shared" si="3"/>
        <v>0</v>
      </c>
    </row>
    <row r="46" spans="1:8" x14ac:dyDescent="0.35">
      <c r="A46" s="10">
        <f>'Student Basic Info'!A46</f>
        <v>745</v>
      </c>
      <c r="B46" s="3">
        <v>9</v>
      </c>
      <c r="C46" s="3">
        <v>15</v>
      </c>
      <c r="D46" s="3">
        <v>8</v>
      </c>
      <c r="E46" s="69">
        <f t="shared" si="0"/>
        <v>32</v>
      </c>
      <c r="F46" s="10" t="str">
        <f t="shared" si="1"/>
        <v>Fail</v>
      </c>
      <c r="G46" s="10" t="str">
        <f t="shared" si="2"/>
        <v>F</v>
      </c>
      <c r="H46" s="11">
        <f t="shared" si="3"/>
        <v>0</v>
      </c>
    </row>
    <row r="47" spans="1:8" x14ac:dyDescent="0.35">
      <c r="A47" s="10">
        <f>'Student Basic Info'!A47</f>
        <v>746</v>
      </c>
      <c r="B47" s="3">
        <v>10</v>
      </c>
      <c r="C47" s="3">
        <v>7</v>
      </c>
      <c r="D47" s="3">
        <v>9</v>
      </c>
      <c r="E47" s="69">
        <f t="shared" si="0"/>
        <v>26</v>
      </c>
      <c r="F47" s="10" t="str">
        <f t="shared" si="1"/>
        <v>Fail</v>
      </c>
      <c r="G47" s="10" t="str">
        <f t="shared" si="2"/>
        <v>F</v>
      </c>
      <c r="H47" s="11">
        <f t="shared" si="3"/>
        <v>0</v>
      </c>
    </row>
    <row r="48" spans="1:8" x14ac:dyDescent="0.35">
      <c r="A48" s="10">
        <f>'Student Basic Info'!A48</f>
        <v>747</v>
      </c>
      <c r="B48" s="3">
        <v>9</v>
      </c>
      <c r="C48" s="3">
        <v>11</v>
      </c>
      <c r="D48" s="3">
        <v>9</v>
      </c>
      <c r="E48" s="69">
        <f t="shared" si="0"/>
        <v>29</v>
      </c>
      <c r="F48" s="10" t="str">
        <f t="shared" si="1"/>
        <v>Fail</v>
      </c>
      <c r="G48" s="10" t="str">
        <f t="shared" si="2"/>
        <v>F</v>
      </c>
      <c r="H48" s="11">
        <f t="shared" si="3"/>
        <v>0</v>
      </c>
    </row>
    <row r="49" spans="1:8" x14ac:dyDescent="0.35">
      <c r="A49" s="10">
        <f>'Student Basic Info'!A49</f>
        <v>748</v>
      </c>
      <c r="B49" s="3">
        <v>10</v>
      </c>
      <c r="C49" s="3">
        <v>9</v>
      </c>
      <c r="D49" s="3">
        <v>10</v>
      </c>
      <c r="E49" s="69">
        <f t="shared" si="0"/>
        <v>29</v>
      </c>
      <c r="F49" s="10" t="str">
        <f t="shared" si="1"/>
        <v>Fail</v>
      </c>
      <c r="G49" s="10" t="str">
        <f t="shared" si="2"/>
        <v>F</v>
      </c>
      <c r="H49" s="11">
        <f t="shared" si="3"/>
        <v>0</v>
      </c>
    </row>
    <row r="50" spans="1:8" x14ac:dyDescent="0.35">
      <c r="A50" s="10">
        <f>'Student Basic Info'!A50</f>
        <v>749</v>
      </c>
      <c r="B50" s="3">
        <v>10</v>
      </c>
      <c r="C50" s="3">
        <v>1</v>
      </c>
      <c r="D50" s="3">
        <v>11</v>
      </c>
      <c r="E50" s="69">
        <f t="shared" si="0"/>
        <v>22</v>
      </c>
      <c r="F50" s="10" t="str">
        <f t="shared" si="1"/>
        <v>Fail</v>
      </c>
      <c r="G50" s="10" t="str">
        <f t="shared" si="2"/>
        <v>F</v>
      </c>
      <c r="H50" s="11">
        <f t="shared" si="3"/>
        <v>0</v>
      </c>
    </row>
    <row r="51" spans="1:8" x14ac:dyDescent="0.35">
      <c r="A51" s="10">
        <f>'Student Basic Info'!A51</f>
        <v>750</v>
      </c>
      <c r="B51" s="3"/>
      <c r="C51" s="3"/>
      <c r="D51" s="3"/>
      <c r="E51" s="69" t="str">
        <f t="shared" si="0"/>
        <v/>
      </c>
      <c r="F51" s="10" t="str">
        <f t="shared" si="1"/>
        <v/>
      </c>
      <c r="G51" s="10" t="str">
        <f t="shared" si="2"/>
        <v/>
      </c>
      <c r="H51" s="11" t="str">
        <f t="shared" si="3"/>
        <v/>
      </c>
    </row>
    <row r="52" spans="1:8" x14ac:dyDescent="0.35">
      <c r="A52" s="10">
        <f>'Student Basic Info'!A52</f>
        <v>751</v>
      </c>
      <c r="B52" s="3">
        <v>11</v>
      </c>
      <c r="C52" s="3">
        <v>11</v>
      </c>
      <c r="D52" s="3">
        <v>10</v>
      </c>
      <c r="E52" s="69">
        <f t="shared" si="0"/>
        <v>32</v>
      </c>
      <c r="F52" s="10" t="str">
        <f t="shared" si="1"/>
        <v>Fail</v>
      </c>
      <c r="G52" s="10" t="str">
        <f t="shared" si="2"/>
        <v>F</v>
      </c>
      <c r="H52" s="11">
        <f t="shared" si="3"/>
        <v>0</v>
      </c>
    </row>
    <row r="53" spans="1:8" x14ac:dyDescent="0.35">
      <c r="A53" s="10">
        <f>'Student Basic Info'!A53</f>
        <v>752</v>
      </c>
      <c r="B53" s="3"/>
      <c r="C53" s="3"/>
      <c r="D53" s="3"/>
      <c r="E53" s="69" t="str">
        <f t="shared" si="0"/>
        <v/>
      </c>
      <c r="F53" s="10" t="str">
        <f t="shared" si="1"/>
        <v/>
      </c>
      <c r="G53" s="10" t="str">
        <f t="shared" si="2"/>
        <v/>
      </c>
      <c r="H53" s="11" t="str">
        <f t="shared" si="3"/>
        <v/>
      </c>
    </row>
    <row r="54" spans="1:8" x14ac:dyDescent="0.35">
      <c r="A54" s="10">
        <f>'Student Basic Info'!A54</f>
        <v>753</v>
      </c>
      <c r="B54" s="3">
        <v>16</v>
      </c>
      <c r="C54" s="3">
        <v>11</v>
      </c>
      <c r="D54" s="3">
        <v>8</v>
      </c>
      <c r="E54" s="69">
        <f t="shared" si="0"/>
        <v>35</v>
      </c>
      <c r="F54" s="10" t="str">
        <f t="shared" si="1"/>
        <v>Fail</v>
      </c>
      <c r="G54" s="10" t="str">
        <f t="shared" si="2"/>
        <v>F</v>
      </c>
      <c r="H54" s="11">
        <f t="shared" si="3"/>
        <v>0</v>
      </c>
    </row>
    <row r="55" spans="1:8" x14ac:dyDescent="0.35">
      <c r="A55" s="10">
        <f>'Student Basic Info'!A55</f>
        <v>754</v>
      </c>
      <c r="B55" s="3">
        <v>14</v>
      </c>
      <c r="C55" s="3">
        <v>13</v>
      </c>
      <c r="D55" s="3">
        <v>8</v>
      </c>
      <c r="E55" s="69">
        <f t="shared" si="0"/>
        <v>35</v>
      </c>
      <c r="F55" s="10" t="str">
        <f t="shared" si="1"/>
        <v>Fail</v>
      </c>
      <c r="G55" s="10" t="str">
        <f t="shared" si="2"/>
        <v>F</v>
      </c>
      <c r="H55" s="11">
        <f t="shared" si="3"/>
        <v>0</v>
      </c>
    </row>
    <row r="56" spans="1:8" x14ac:dyDescent="0.35">
      <c r="A56" s="10">
        <f>'Student Basic Info'!A56</f>
        <v>755</v>
      </c>
      <c r="B56" s="3">
        <v>7</v>
      </c>
      <c r="C56" s="3">
        <v>1</v>
      </c>
      <c r="D56" s="3">
        <v>8</v>
      </c>
      <c r="E56" s="69">
        <f t="shared" si="0"/>
        <v>16</v>
      </c>
      <c r="F56" s="10" t="str">
        <f t="shared" si="1"/>
        <v>Fail</v>
      </c>
      <c r="G56" s="10" t="str">
        <f t="shared" si="2"/>
        <v>F</v>
      </c>
      <c r="H56" s="11">
        <f t="shared" si="3"/>
        <v>0</v>
      </c>
    </row>
    <row r="57" spans="1:8" x14ac:dyDescent="0.35">
      <c r="A57" s="10">
        <f>'Student Basic Info'!A57</f>
        <v>756</v>
      </c>
      <c r="B57" s="3">
        <v>16</v>
      </c>
      <c r="C57" s="3">
        <v>11</v>
      </c>
      <c r="D57" s="3">
        <v>10</v>
      </c>
      <c r="E57" s="69">
        <f t="shared" si="0"/>
        <v>37</v>
      </c>
      <c r="F57" s="10" t="str">
        <f t="shared" si="1"/>
        <v>Fail</v>
      </c>
      <c r="G57" s="10" t="str">
        <f t="shared" si="2"/>
        <v>F</v>
      </c>
      <c r="H57" s="11">
        <f t="shared" si="3"/>
        <v>0</v>
      </c>
    </row>
    <row r="58" spans="1:8" x14ac:dyDescent="0.35">
      <c r="A58" s="10">
        <f>'Student Basic Info'!A58</f>
        <v>757</v>
      </c>
      <c r="B58" s="3">
        <v>16</v>
      </c>
      <c r="C58" s="3">
        <v>6</v>
      </c>
      <c r="D58" s="3">
        <v>10</v>
      </c>
      <c r="E58" s="69">
        <f t="shared" si="0"/>
        <v>32</v>
      </c>
      <c r="F58" s="10" t="str">
        <f t="shared" si="1"/>
        <v>Fail</v>
      </c>
      <c r="G58" s="10" t="str">
        <f t="shared" si="2"/>
        <v>F</v>
      </c>
      <c r="H58" s="11">
        <f t="shared" si="3"/>
        <v>0</v>
      </c>
    </row>
    <row r="59" spans="1:8" x14ac:dyDescent="0.35">
      <c r="A59" s="10">
        <f>'Student Basic Info'!A59</f>
        <v>758</v>
      </c>
      <c r="B59" s="3">
        <v>18</v>
      </c>
      <c r="C59" s="3">
        <v>12</v>
      </c>
      <c r="D59" s="3">
        <v>8</v>
      </c>
      <c r="E59" s="69">
        <f t="shared" si="0"/>
        <v>38</v>
      </c>
      <c r="F59" s="10" t="str">
        <f t="shared" si="1"/>
        <v>Fail</v>
      </c>
      <c r="G59" s="10" t="str">
        <f t="shared" si="2"/>
        <v>F</v>
      </c>
      <c r="H59" s="11">
        <f t="shared" si="3"/>
        <v>0</v>
      </c>
    </row>
    <row r="60" spans="1:8" x14ac:dyDescent="0.35">
      <c r="A60" s="10">
        <f>'Student Basic Info'!A60</f>
        <v>759</v>
      </c>
      <c r="B60" s="3">
        <v>18</v>
      </c>
      <c r="C60" s="3">
        <v>41</v>
      </c>
      <c r="D60" s="3">
        <v>25</v>
      </c>
      <c r="E60" s="69">
        <f t="shared" si="0"/>
        <v>84</v>
      </c>
      <c r="F60" s="10" t="str">
        <f t="shared" si="1"/>
        <v>Pass</v>
      </c>
      <c r="G60" s="10" t="str">
        <f t="shared" si="2"/>
        <v>A+</v>
      </c>
      <c r="H60" s="11">
        <f t="shared" si="3"/>
        <v>5</v>
      </c>
    </row>
    <row r="61" spans="1:8" x14ac:dyDescent="0.35">
      <c r="A61" s="10">
        <f>'Student Basic Info'!A61</f>
        <v>760</v>
      </c>
      <c r="B61" s="3">
        <v>16</v>
      </c>
      <c r="C61" s="3">
        <v>21</v>
      </c>
      <c r="D61" s="3">
        <v>15</v>
      </c>
      <c r="E61" s="69">
        <f t="shared" si="0"/>
        <v>52</v>
      </c>
      <c r="F61" s="10" t="str">
        <f t="shared" si="1"/>
        <v>Pass</v>
      </c>
      <c r="G61" s="10" t="str">
        <f t="shared" si="2"/>
        <v>B</v>
      </c>
      <c r="H61" s="11">
        <f t="shared" si="3"/>
        <v>3</v>
      </c>
    </row>
    <row r="62" spans="1:8" x14ac:dyDescent="0.35">
      <c r="A62" s="10">
        <f>'Student Basic Info'!A62</f>
        <v>761</v>
      </c>
      <c r="B62" s="3"/>
      <c r="C62" s="3"/>
      <c r="D62" s="3"/>
      <c r="E62" s="69" t="str">
        <f t="shared" si="0"/>
        <v/>
      </c>
      <c r="F62" s="10" t="str">
        <f t="shared" si="1"/>
        <v/>
      </c>
      <c r="G62" s="10" t="str">
        <f t="shared" si="2"/>
        <v/>
      </c>
      <c r="H62" s="11" t="str">
        <f t="shared" si="3"/>
        <v/>
      </c>
    </row>
    <row r="63" spans="1:8" x14ac:dyDescent="0.35">
      <c r="A63" s="10">
        <f>'Student Basic Info'!A63</f>
        <v>762</v>
      </c>
      <c r="B63" s="3">
        <v>12</v>
      </c>
      <c r="C63" s="3">
        <v>21</v>
      </c>
      <c r="D63" s="3">
        <v>15</v>
      </c>
      <c r="E63" s="69">
        <f t="shared" si="0"/>
        <v>48</v>
      </c>
      <c r="F63" s="10" t="str">
        <f t="shared" si="1"/>
        <v>Pass</v>
      </c>
      <c r="G63" s="10" t="str">
        <f t="shared" si="2"/>
        <v>C</v>
      </c>
      <c r="H63" s="11">
        <f t="shared" si="3"/>
        <v>2</v>
      </c>
    </row>
    <row r="64" spans="1:8" x14ac:dyDescent="0.35">
      <c r="A64" s="10">
        <f>'Student Basic Info'!A64</f>
        <v>763</v>
      </c>
      <c r="B64" s="3">
        <v>17</v>
      </c>
      <c r="C64" s="3">
        <v>20</v>
      </c>
      <c r="D64" s="3">
        <v>15</v>
      </c>
      <c r="E64" s="69">
        <f t="shared" si="0"/>
        <v>52</v>
      </c>
      <c r="F64" s="10" t="str">
        <f t="shared" si="1"/>
        <v>Pass</v>
      </c>
      <c r="G64" s="10" t="str">
        <f t="shared" si="2"/>
        <v>B</v>
      </c>
      <c r="H64" s="11">
        <f t="shared" si="3"/>
        <v>3</v>
      </c>
    </row>
    <row r="65" spans="1:8" x14ac:dyDescent="0.35">
      <c r="A65" s="10">
        <f>'Student Basic Info'!A65</f>
        <v>764</v>
      </c>
      <c r="B65" s="3">
        <v>11</v>
      </c>
      <c r="C65" s="3">
        <v>11</v>
      </c>
      <c r="D65" s="3">
        <v>9</v>
      </c>
      <c r="E65" s="69">
        <f t="shared" si="0"/>
        <v>31</v>
      </c>
      <c r="F65" s="10" t="str">
        <f t="shared" si="1"/>
        <v>Fail</v>
      </c>
      <c r="G65" s="10" t="str">
        <f t="shared" si="2"/>
        <v>F</v>
      </c>
      <c r="H65" s="11">
        <f t="shared" si="3"/>
        <v>0</v>
      </c>
    </row>
    <row r="66" spans="1:8" x14ac:dyDescent="0.35">
      <c r="A66" s="10">
        <f>'Student Basic Info'!A66</f>
        <v>765</v>
      </c>
      <c r="B66" s="3">
        <v>15</v>
      </c>
      <c r="C66" s="3">
        <v>35</v>
      </c>
      <c r="D66" s="3">
        <v>25</v>
      </c>
      <c r="E66" s="69">
        <f t="shared" si="0"/>
        <v>75</v>
      </c>
      <c r="F66" s="10" t="str">
        <f t="shared" si="1"/>
        <v>Pass</v>
      </c>
      <c r="G66" s="10" t="str">
        <f t="shared" si="2"/>
        <v>A</v>
      </c>
      <c r="H66" s="11">
        <f t="shared" si="3"/>
        <v>4</v>
      </c>
    </row>
    <row r="67" spans="1:8" x14ac:dyDescent="0.35">
      <c r="A67" s="10">
        <f>'Student Basic Info'!A67</f>
        <v>766</v>
      </c>
      <c r="B67" s="3">
        <v>9</v>
      </c>
      <c r="C67" s="3">
        <v>31</v>
      </c>
      <c r="D67" s="3">
        <v>20</v>
      </c>
      <c r="E67" s="69">
        <f t="shared" ref="E67:E88" si="4">IF(B67+C67=0, "", B67+C67+D67)</f>
        <v>60</v>
      </c>
      <c r="F67" s="10" t="str">
        <f t="shared" ref="F67:F88" si="5">IF(E67="","", IF(AND(B67 &gt;=8,C67&gt;=17,D67&gt;=8),"Pass","Fail"))</f>
        <v>Pass</v>
      </c>
      <c r="G67" s="10" t="str">
        <f t="shared" ref="G67:G88" si="6">(IF(E67="","",IF(F67="Fail","F",IF(E67&gt;=80,"A+",IF(E67&gt;=70,"A",IF(E67&gt;=60,"A-",IF(E67&gt;=50,"B",IF(E67&gt;=40,"C",IF(E67&gt;=33,"D","F")))))))))</f>
        <v>A-</v>
      </c>
      <c r="H67" s="11">
        <f t="shared" ref="H67:H88" si="7">(IF(E67="","",IF(G67="F",0,IF(E67&gt;=80,5,IF(E67&gt;=70,4,IF(E67&gt;=60,3.5,IF(E67&gt;=50,3,IF(E67&gt;=40,2,IF(E67&gt;=33,1,0)))))))))</f>
        <v>3.5</v>
      </c>
    </row>
    <row r="68" spans="1:8" x14ac:dyDescent="0.35">
      <c r="A68" s="10">
        <f>'Student Basic Info'!A68</f>
        <v>767</v>
      </c>
      <c r="B68" s="3">
        <v>12</v>
      </c>
      <c r="C68" s="3">
        <v>26</v>
      </c>
      <c r="D68" s="3">
        <v>16</v>
      </c>
      <c r="E68" s="69">
        <f t="shared" si="4"/>
        <v>54</v>
      </c>
      <c r="F68" s="10" t="str">
        <f t="shared" si="5"/>
        <v>Pass</v>
      </c>
      <c r="G68" s="10" t="str">
        <f t="shared" si="6"/>
        <v>B</v>
      </c>
      <c r="H68" s="11">
        <f t="shared" si="7"/>
        <v>3</v>
      </c>
    </row>
    <row r="69" spans="1:8" x14ac:dyDescent="0.35">
      <c r="A69" s="10">
        <f>'Student Basic Info'!A69</f>
        <v>768</v>
      </c>
      <c r="B69" s="3">
        <v>5</v>
      </c>
      <c r="C69" s="3">
        <v>3</v>
      </c>
      <c r="D69" s="3">
        <v>10</v>
      </c>
      <c r="E69" s="69">
        <f t="shared" si="4"/>
        <v>18</v>
      </c>
      <c r="F69" s="10" t="str">
        <f t="shared" si="5"/>
        <v>Fail</v>
      </c>
      <c r="G69" s="10" t="str">
        <f t="shared" si="6"/>
        <v>F</v>
      </c>
      <c r="H69" s="11">
        <f t="shared" si="7"/>
        <v>0</v>
      </c>
    </row>
    <row r="70" spans="1:8" x14ac:dyDescent="0.35">
      <c r="A70" s="10">
        <f>'Student Basic Info'!A70</f>
        <v>769</v>
      </c>
      <c r="B70" s="3">
        <v>8</v>
      </c>
      <c r="C70" s="3">
        <v>7</v>
      </c>
      <c r="D70" s="3">
        <v>8</v>
      </c>
      <c r="E70" s="69">
        <f t="shared" si="4"/>
        <v>23</v>
      </c>
      <c r="F70" s="10" t="str">
        <f t="shared" si="5"/>
        <v>Fail</v>
      </c>
      <c r="G70" s="10" t="str">
        <f t="shared" si="6"/>
        <v>F</v>
      </c>
      <c r="H70" s="11">
        <f t="shared" si="7"/>
        <v>0</v>
      </c>
    </row>
    <row r="71" spans="1:8" x14ac:dyDescent="0.35">
      <c r="A71" s="10">
        <f>'Student Basic Info'!A71</f>
        <v>770</v>
      </c>
      <c r="B71" s="3"/>
      <c r="C71" s="3"/>
      <c r="D71" s="3"/>
      <c r="E71" s="69" t="str">
        <f t="shared" si="4"/>
        <v/>
      </c>
      <c r="F71" s="10" t="str">
        <f t="shared" si="5"/>
        <v/>
      </c>
      <c r="G71" s="10" t="str">
        <f t="shared" si="6"/>
        <v/>
      </c>
      <c r="H71" s="11" t="str">
        <f t="shared" si="7"/>
        <v/>
      </c>
    </row>
    <row r="72" spans="1:8" x14ac:dyDescent="0.35">
      <c r="A72" s="10">
        <f>'Student Basic Info'!A72</f>
        <v>771</v>
      </c>
      <c r="B72" s="3"/>
      <c r="C72" s="3"/>
      <c r="D72" s="3"/>
      <c r="E72" s="69" t="str">
        <f t="shared" si="4"/>
        <v/>
      </c>
      <c r="F72" s="10" t="str">
        <f t="shared" si="5"/>
        <v/>
      </c>
      <c r="G72" s="10" t="str">
        <f t="shared" si="6"/>
        <v/>
      </c>
      <c r="H72" s="11" t="str">
        <f t="shared" si="7"/>
        <v/>
      </c>
    </row>
    <row r="73" spans="1:8" x14ac:dyDescent="0.35">
      <c r="A73" s="10">
        <f>'Student Basic Info'!A73</f>
        <v>772</v>
      </c>
      <c r="B73" s="3"/>
      <c r="C73" s="3"/>
      <c r="D73" s="3"/>
      <c r="E73" s="69" t="str">
        <f t="shared" si="4"/>
        <v/>
      </c>
      <c r="F73" s="10" t="str">
        <f t="shared" si="5"/>
        <v/>
      </c>
      <c r="G73" s="10" t="str">
        <f t="shared" si="6"/>
        <v/>
      </c>
      <c r="H73" s="11" t="str">
        <f t="shared" si="7"/>
        <v/>
      </c>
    </row>
    <row r="74" spans="1:8" x14ac:dyDescent="0.35">
      <c r="A74" s="10">
        <f>'Student Basic Info'!A74</f>
        <v>773</v>
      </c>
      <c r="B74" s="3"/>
      <c r="C74" s="3"/>
      <c r="D74" s="3"/>
      <c r="E74" s="69" t="str">
        <f t="shared" si="4"/>
        <v/>
      </c>
      <c r="F74" s="10" t="str">
        <f t="shared" si="5"/>
        <v/>
      </c>
      <c r="G74" s="10" t="str">
        <f t="shared" si="6"/>
        <v/>
      </c>
      <c r="H74" s="11" t="str">
        <f t="shared" si="7"/>
        <v/>
      </c>
    </row>
    <row r="75" spans="1:8" x14ac:dyDescent="0.35">
      <c r="A75" s="10">
        <f>'Student Basic Info'!A75</f>
        <v>774</v>
      </c>
      <c r="B75" s="3">
        <v>10</v>
      </c>
      <c r="C75" s="3">
        <v>3</v>
      </c>
      <c r="D75" s="3">
        <v>8</v>
      </c>
      <c r="E75" s="69">
        <f t="shared" si="4"/>
        <v>21</v>
      </c>
      <c r="F75" s="10" t="str">
        <f t="shared" si="5"/>
        <v>Fail</v>
      </c>
      <c r="G75" s="10" t="str">
        <f t="shared" si="6"/>
        <v>F</v>
      </c>
      <c r="H75" s="11">
        <f t="shared" si="7"/>
        <v>0</v>
      </c>
    </row>
    <row r="76" spans="1:8" x14ac:dyDescent="0.35">
      <c r="A76" s="10">
        <f>'Student Basic Info'!A76</f>
        <v>775</v>
      </c>
      <c r="B76" s="3"/>
      <c r="C76" s="3"/>
      <c r="D76" s="3"/>
      <c r="E76" s="69" t="str">
        <f t="shared" si="4"/>
        <v/>
      </c>
      <c r="F76" s="10" t="str">
        <f t="shared" si="5"/>
        <v/>
      </c>
      <c r="G76" s="10" t="str">
        <f t="shared" si="6"/>
        <v/>
      </c>
      <c r="H76" s="11" t="str">
        <f t="shared" si="7"/>
        <v/>
      </c>
    </row>
    <row r="77" spans="1:8" x14ac:dyDescent="0.35">
      <c r="A77" s="10">
        <f>'Student Basic Info'!A77</f>
        <v>776</v>
      </c>
      <c r="B77" s="3">
        <v>6</v>
      </c>
      <c r="C77" s="3">
        <v>0</v>
      </c>
      <c r="D77" s="3">
        <v>8</v>
      </c>
      <c r="E77" s="69">
        <f t="shared" si="4"/>
        <v>14</v>
      </c>
      <c r="F77" s="10" t="str">
        <f t="shared" si="5"/>
        <v>Fail</v>
      </c>
      <c r="G77" s="10" t="str">
        <f t="shared" si="6"/>
        <v>F</v>
      </c>
      <c r="H77" s="11">
        <f t="shared" si="7"/>
        <v>0</v>
      </c>
    </row>
    <row r="78" spans="1:8" x14ac:dyDescent="0.35">
      <c r="A78" s="10">
        <f>'Student Basic Info'!A78</f>
        <v>777</v>
      </c>
      <c r="B78" s="3"/>
      <c r="C78" s="3"/>
      <c r="D78" s="3"/>
      <c r="E78" s="69" t="str">
        <f t="shared" si="4"/>
        <v/>
      </c>
      <c r="F78" s="10" t="str">
        <f t="shared" si="5"/>
        <v/>
      </c>
      <c r="G78" s="10" t="str">
        <f t="shared" si="6"/>
        <v/>
      </c>
      <c r="H78" s="11" t="str">
        <f t="shared" si="7"/>
        <v/>
      </c>
    </row>
    <row r="79" spans="1:8" x14ac:dyDescent="0.35">
      <c r="A79" s="10">
        <f>'Student Basic Info'!A79</f>
        <v>778</v>
      </c>
      <c r="B79" s="3"/>
      <c r="C79" s="3"/>
      <c r="D79" s="3"/>
      <c r="E79" s="69" t="str">
        <f t="shared" si="4"/>
        <v/>
      </c>
      <c r="F79" s="10" t="str">
        <f t="shared" si="5"/>
        <v/>
      </c>
      <c r="G79" s="10" t="str">
        <f t="shared" si="6"/>
        <v/>
      </c>
      <c r="H79" s="11" t="str">
        <f t="shared" si="7"/>
        <v/>
      </c>
    </row>
    <row r="80" spans="1:8" x14ac:dyDescent="0.35">
      <c r="A80" s="10">
        <f>'Student Basic Info'!A80</f>
        <v>779</v>
      </c>
      <c r="B80" s="3">
        <v>7</v>
      </c>
      <c r="C80" s="3">
        <v>3</v>
      </c>
      <c r="D80" s="3">
        <v>8</v>
      </c>
      <c r="E80" s="69">
        <f t="shared" si="4"/>
        <v>18</v>
      </c>
      <c r="F80" s="10" t="str">
        <f t="shared" si="5"/>
        <v>Fail</v>
      </c>
      <c r="G80" s="10" t="str">
        <f t="shared" si="6"/>
        <v>F</v>
      </c>
      <c r="H80" s="11">
        <f t="shared" si="7"/>
        <v>0</v>
      </c>
    </row>
    <row r="81" spans="1:8" x14ac:dyDescent="0.35">
      <c r="A81" s="10">
        <f>'Student Basic Info'!A81</f>
        <v>780</v>
      </c>
      <c r="B81" s="3">
        <v>15</v>
      </c>
      <c r="C81" s="3">
        <v>0</v>
      </c>
      <c r="D81" s="3">
        <v>8</v>
      </c>
      <c r="E81" s="69">
        <f t="shared" si="4"/>
        <v>23</v>
      </c>
      <c r="F81" s="10" t="str">
        <f t="shared" si="5"/>
        <v>Fail</v>
      </c>
      <c r="G81" s="10" t="str">
        <f t="shared" si="6"/>
        <v>F</v>
      </c>
      <c r="H81" s="11">
        <f t="shared" si="7"/>
        <v>0</v>
      </c>
    </row>
    <row r="82" spans="1:8" x14ac:dyDescent="0.35">
      <c r="A82" s="10">
        <f>'Student Basic Info'!A82</f>
        <v>781</v>
      </c>
      <c r="B82" s="3"/>
      <c r="C82" s="3"/>
      <c r="D82" s="3"/>
      <c r="E82" s="69" t="str">
        <f t="shared" si="4"/>
        <v/>
      </c>
      <c r="F82" s="10" t="str">
        <f t="shared" si="5"/>
        <v/>
      </c>
      <c r="G82" s="10" t="str">
        <f t="shared" si="6"/>
        <v/>
      </c>
      <c r="H82" s="11" t="str">
        <f t="shared" si="7"/>
        <v/>
      </c>
    </row>
    <row r="83" spans="1:8" x14ac:dyDescent="0.35">
      <c r="A83" s="10">
        <f>'Student Basic Info'!A83</f>
        <v>782</v>
      </c>
      <c r="B83" s="3">
        <v>4</v>
      </c>
      <c r="C83" s="3">
        <v>2</v>
      </c>
      <c r="D83" s="3">
        <v>8</v>
      </c>
      <c r="E83" s="69">
        <f t="shared" si="4"/>
        <v>14</v>
      </c>
      <c r="F83" s="10" t="str">
        <f t="shared" si="5"/>
        <v>Fail</v>
      </c>
      <c r="G83" s="10" t="str">
        <f t="shared" si="6"/>
        <v>F</v>
      </c>
      <c r="H83" s="11">
        <f t="shared" si="7"/>
        <v>0</v>
      </c>
    </row>
    <row r="84" spans="1:8" x14ac:dyDescent="0.35">
      <c r="A84" s="10">
        <f>'Student Basic Info'!A84</f>
        <v>783</v>
      </c>
      <c r="B84" s="3"/>
      <c r="C84" s="3"/>
      <c r="D84" s="3"/>
      <c r="E84" s="69" t="str">
        <f t="shared" si="4"/>
        <v/>
      </c>
      <c r="F84" s="10" t="str">
        <f t="shared" si="5"/>
        <v/>
      </c>
      <c r="G84" s="10" t="str">
        <f t="shared" si="6"/>
        <v/>
      </c>
      <c r="H84" s="11" t="str">
        <f t="shared" si="7"/>
        <v/>
      </c>
    </row>
    <row r="85" spans="1:8" x14ac:dyDescent="0.35">
      <c r="A85" s="10">
        <f>'Student Basic Info'!A85</f>
        <v>784</v>
      </c>
      <c r="B85" s="3">
        <v>5</v>
      </c>
      <c r="C85" s="3">
        <v>3</v>
      </c>
      <c r="D85" s="3">
        <v>8</v>
      </c>
      <c r="E85" s="69">
        <f t="shared" si="4"/>
        <v>16</v>
      </c>
      <c r="F85" s="10" t="str">
        <f t="shared" si="5"/>
        <v>Fail</v>
      </c>
      <c r="G85" s="10" t="str">
        <f t="shared" si="6"/>
        <v>F</v>
      </c>
      <c r="H85" s="11">
        <f t="shared" si="7"/>
        <v>0</v>
      </c>
    </row>
    <row r="86" spans="1:8" x14ac:dyDescent="0.35">
      <c r="A86" s="10">
        <f>'Student Basic Info'!A86</f>
        <v>785</v>
      </c>
      <c r="B86" s="3"/>
      <c r="C86" s="3"/>
      <c r="D86" s="3"/>
      <c r="E86" s="69" t="str">
        <f t="shared" si="4"/>
        <v/>
      </c>
      <c r="F86" s="10" t="str">
        <f t="shared" si="5"/>
        <v/>
      </c>
      <c r="G86" s="10" t="str">
        <f t="shared" si="6"/>
        <v/>
      </c>
      <c r="H86" s="11" t="str">
        <f t="shared" si="7"/>
        <v/>
      </c>
    </row>
    <row r="87" spans="1:8" x14ac:dyDescent="0.35">
      <c r="A87" s="10">
        <f>'Student Basic Info'!A87</f>
        <v>786</v>
      </c>
      <c r="B87" s="3">
        <v>6</v>
      </c>
      <c r="C87" s="3">
        <v>1</v>
      </c>
      <c r="D87" s="3">
        <v>8</v>
      </c>
      <c r="E87" s="69">
        <f t="shared" si="4"/>
        <v>15</v>
      </c>
      <c r="F87" s="10" t="str">
        <f t="shared" si="5"/>
        <v>Fail</v>
      </c>
      <c r="G87" s="10" t="str">
        <f t="shared" si="6"/>
        <v>F</v>
      </c>
      <c r="H87" s="11">
        <f t="shared" si="7"/>
        <v>0</v>
      </c>
    </row>
    <row r="88" spans="1:8" x14ac:dyDescent="0.35">
      <c r="A88" s="10">
        <f>'Student Basic Info'!A88</f>
        <v>6812</v>
      </c>
      <c r="B88" s="3">
        <v>9</v>
      </c>
      <c r="C88" s="3">
        <v>13</v>
      </c>
      <c r="D88" s="3">
        <v>8</v>
      </c>
      <c r="E88" s="69">
        <f t="shared" si="4"/>
        <v>30</v>
      </c>
      <c r="F88" s="10" t="str">
        <f t="shared" si="5"/>
        <v>Fail</v>
      </c>
      <c r="G88" s="10" t="str">
        <f t="shared" si="6"/>
        <v>F</v>
      </c>
      <c r="H88" s="11">
        <f t="shared" si="7"/>
        <v>0</v>
      </c>
    </row>
    <row r="89" spans="1:8" x14ac:dyDescent="0.35">
      <c r="A89"/>
      <c r="B89"/>
      <c r="C89"/>
      <c r="D89"/>
      <c r="E89"/>
      <c r="F89"/>
      <c r="G89"/>
      <c r="H89"/>
    </row>
    <row r="90" spans="1:8" x14ac:dyDescent="0.35">
      <c r="A90"/>
      <c r="B90"/>
      <c r="C90"/>
      <c r="D90"/>
      <c r="E90"/>
      <c r="F90"/>
      <c r="G90"/>
      <c r="H90"/>
    </row>
    <row r="91" spans="1:8" x14ac:dyDescent="0.35">
      <c r="A91"/>
      <c r="B91"/>
      <c r="C91"/>
      <c r="D91"/>
      <c r="E91"/>
      <c r="F91"/>
      <c r="G91"/>
      <c r="H91"/>
    </row>
    <row r="92" spans="1:8" x14ac:dyDescent="0.35">
      <c r="A92"/>
      <c r="B92"/>
      <c r="C92"/>
      <c r="D92"/>
      <c r="E92"/>
      <c r="F92"/>
      <c r="G92"/>
      <c r="H92"/>
    </row>
    <row r="93" spans="1:8" x14ac:dyDescent="0.35">
      <c r="A93"/>
      <c r="B93"/>
      <c r="C93"/>
      <c r="D93"/>
      <c r="E93"/>
      <c r="F93"/>
      <c r="G93"/>
      <c r="H93"/>
    </row>
    <row r="94" spans="1:8" x14ac:dyDescent="0.35">
      <c r="A94"/>
      <c r="B94"/>
      <c r="C94"/>
      <c r="D94"/>
      <c r="E94"/>
      <c r="F94"/>
      <c r="G94"/>
      <c r="H94"/>
    </row>
    <row r="95" spans="1:8" x14ac:dyDescent="0.35">
      <c r="A95"/>
      <c r="B95"/>
      <c r="C95"/>
      <c r="D95"/>
      <c r="E95"/>
      <c r="F95"/>
      <c r="G95"/>
      <c r="H95"/>
    </row>
    <row r="96" spans="1:8" x14ac:dyDescent="0.35">
      <c r="A96"/>
      <c r="B96"/>
      <c r="C96"/>
      <c r="D96"/>
      <c r="E96"/>
      <c r="F96"/>
      <c r="G96"/>
      <c r="H96"/>
    </row>
    <row r="97" spans="1:8" x14ac:dyDescent="0.35">
      <c r="A97"/>
      <c r="B97"/>
      <c r="C97"/>
      <c r="D97"/>
      <c r="E97"/>
      <c r="F97"/>
      <c r="G97"/>
      <c r="H97"/>
    </row>
    <row r="98" spans="1:8" x14ac:dyDescent="0.35">
      <c r="A98"/>
      <c r="B98"/>
      <c r="C98"/>
      <c r="D98"/>
      <c r="E98"/>
      <c r="F98"/>
      <c r="G98"/>
      <c r="H98"/>
    </row>
    <row r="99" spans="1:8" x14ac:dyDescent="0.35">
      <c r="A99"/>
      <c r="B99"/>
      <c r="C99"/>
      <c r="D99"/>
      <c r="E99"/>
      <c r="F99"/>
      <c r="G99"/>
      <c r="H99"/>
    </row>
    <row r="100" spans="1:8" x14ac:dyDescent="0.35">
      <c r="A100"/>
      <c r="B100"/>
      <c r="C100"/>
      <c r="D100"/>
      <c r="E100"/>
      <c r="F100"/>
      <c r="G100"/>
      <c r="H100"/>
    </row>
    <row r="101" spans="1:8" x14ac:dyDescent="0.35">
      <c r="A101"/>
      <c r="B101"/>
      <c r="C101"/>
      <c r="D101"/>
      <c r="E101"/>
      <c r="F101"/>
      <c r="G101"/>
      <c r="H101"/>
    </row>
    <row r="102" spans="1:8" x14ac:dyDescent="0.35">
      <c r="A102"/>
      <c r="B102"/>
      <c r="C102"/>
      <c r="D102"/>
      <c r="E102"/>
      <c r="F102"/>
      <c r="G102"/>
      <c r="H102"/>
    </row>
    <row r="103" spans="1:8" x14ac:dyDescent="0.35">
      <c r="A103"/>
      <c r="B103"/>
      <c r="C103"/>
      <c r="D103"/>
      <c r="E103"/>
      <c r="F103"/>
      <c r="G103"/>
      <c r="H103"/>
    </row>
    <row r="104" spans="1:8" x14ac:dyDescent="0.35">
      <c r="A104"/>
      <c r="B104"/>
      <c r="C104"/>
      <c r="D104"/>
      <c r="E104"/>
      <c r="F104"/>
      <c r="G104"/>
      <c r="H104"/>
    </row>
    <row r="105" spans="1:8" x14ac:dyDescent="0.35">
      <c r="A105"/>
      <c r="B105"/>
      <c r="C105"/>
      <c r="D105"/>
      <c r="E105"/>
      <c r="F105"/>
      <c r="G105"/>
      <c r="H105"/>
    </row>
    <row r="106" spans="1:8" x14ac:dyDescent="0.35">
      <c r="A106"/>
      <c r="B106"/>
      <c r="C106"/>
      <c r="D106"/>
      <c r="E106"/>
      <c r="F106"/>
      <c r="G106"/>
      <c r="H106"/>
    </row>
    <row r="107" spans="1:8" x14ac:dyDescent="0.35">
      <c r="A107"/>
      <c r="B107"/>
      <c r="C107"/>
      <c r="D107"/>
      <c r="E107"/>
      <c r="F107"/>
      <c r="G107"/>
      <c r="H107"/>
    </row>
    <row r="108" spans="1:8" x14ac:dyDescent="0.35">
      <c r="A108"/>
      <c r="B108"/>
      <c r="C108"/>
      <c r="D108"/>
      <c r="E108"/>
      <c r="F108"/>
      <c r="G108"/>
      <c r="H108"/>
    </row>
    <row r="109" spans="1:8" x14ac:dyDescent="0.35">
      <c r="A109"/>
      <c r="B109"/>
      <c r="C109"/>
      <c r="D109"/>
      <c r="E109"/>
      <c r="F109"/>
      <c r="G109"/>
      <c r="H109"/>
    </row>
    <row r="110" spans="1:8" x14ac:dyDescent="0.35">
      <c r="A110"/>
      <c r="B110"/>
      <c r="C110"/>
      <c r="D110"/>
      <c r="E110"/>
      <c r="F110"/>
      <c r="G110"/>
      <c r="H110"/>
    </row>
    <row r="111" spans="1:8" x14ac:dyDescent="0.35">
      <c r="A111"/>
      <c r="B111"/>
      <c r="C111"/>
      <c r="D111"/>
      <c r="E111"/>
      <c r="F111"/>
      <c r="G111"/>
      <c r="H111"/>
    </row>
    <row r="112" spans="1:8" x14ac:dyDescent="0.35">
      <c r="A112"/>
      <c r="B112"/>
      <c r="C112"/>
      <c r="D112"/>
      <c r="E112"/>
      <c r="F112"/>
      <c r="G112"/>
      <c r="H112"/>
    </row>
    <row r="113" spans="1:8" x14ac:dyDescent="0.35">
      <c r="A113"/>
      <c r="B113"/>
      <c r="C113"/>
      <c r="D113"/>
      <c r="E113"/>
      <c r="F113"/>
      <c r="G113"/>
      <c r="H113"/>
    </row>
    <row r="114" spans="1:8" x14ac:dyDescent="0.35">
      <c r="A114"/>
      <c r="B114"/>
      <c r="C114"/>
      <c r="D114"/>
      <c r="E114"/>
      <c r="F114"/>
      <c r="G114"/>
      <c r="H114"/>
    </row>
    <row r="115" spans="1:8" x14ac:dyDescent="0.35">
      <c r="A115"/>
      <c r="B115"/>
      <c r="C115"/>
      <c r="D115"/>
      <c r="E115"/>
      <c r="F115"/>
      <c r="G115"/>
      <c r="H115"/>
    </row>
    <row r="116" spans="1:8" x14ac:dyDescent="0.35">
      <c r="A116"/>
      <c r="B116"/>
      <c r="C116"/>
      <c r="D116"/>
      <c r="E116"/>
      <c r="F116"/>
      <c r="G116"/>
      <c r="H116"/>
    </row>
    <row r="117" spans="1:8" x14ac:dyDescent="0.35">
      <c r="A117"/>
      <c r="B117"/>
      <c r="C117"/>
      <c r="D117"/>
      <c r="E117"/>
      <c r="F117"/>
      <c r="G117"/>
      <c r="H117"/>
    </row>
    <row r="118" spans="1:8" x14ac:dyDescent="0.35">
      <c r="A118"/>
      <c r="B118"/>
      <c r="C118"/>
      <c r="D118"/>
      <c r="E118"/>
      <c r="F118"/>
      <c r="G118"/>
      <c r="H118"/>
    </row>
    <row r="119" spans="1:8" x14ac:dyDescent="0.35">
      <c r="A119"/>
      <c r="B119"/>
      <c r="C119"/>
      <c r="D119"/>
      <c r="E119"/>
      <c r="F119"/>
      <c r="G119"/>
      <c r="H119"/>
    </row>
    <row r="120" spans="1:8" x14ac:dyDescent="0.35">
      <c r="A120"/>
      <c r="B120"/>
      <c r="C120"/>
      <c r="D120"/>
      <c r="E120"/>
      <c r="F120"/>
      <c r="G120"/>
      <c r="H120"/>
    </row>
    <row r="121" spans="1:8" x14ac:dyDescent="0.35">
      <c r="A121"/>
      <c r="B121"/>
      <c r="C121"/>
      <c r="D121"/>
      <c r="E121"/>
      <c r="F121"/>
      <c r="G121"/>
      <c r="H121"/>
    </row>
    <row r="122" spans="1:8" x14ac:dyDescent="0.35">
      <c r="A122"/>
      <c r="B122"/>
      <c r="C122"/>
      <c r="D122"/>
      <c r="E122"/>
      <c r="F122"/>
      <c r="G122"/>
      <c r="H122"/>
    </row>
    <row r="123" spans="1:8" x14ac:dyDescent="0.35">
      <c r="A123"/>
      <c r="B123"/>
      <c r="C123"/>
      <c r="D123"/>
      <c r="E123"/>
      <c r="F123"/>
      <c r="G123"/>
      <c r="H123"/>
    </row>
    <row r="124" spans="1:8" x14ac:dyDescent="0.35">
      <c r="A124"/>
      <c r="B124"/>
      <c r="C124"/>
      <c r="D124"/>
      <c r="E124"/>
      <c r="F124"/>
      <c r="G124"/>
      <c r="H124"/>
    </row>
    <row r="125" spans="1:8" x14ac:dyDescent="0.35">
      <c r="A125"/>
      <c r="B125"/>
      <c r="C125"/>
      <c r="D125"/>
      <c r="E125"/>
      <c r="F125"/>
      <c r="G125"/>
      <c r="H125"/>
    </row>
    <row r="126" spans="1:8" x14ac:dyDescent="0.35">
      <c r="A126"/>
      <c r="B126"/>
      <c r="C126"/>
      <c r="D126"/>
      <c r="E126"/>
      <c r="F126"/>
      <c r="G126"/>
      <c r="H126"/>
    </row>
  </sheetData>
  <conditionalFormatting sqref="F2:F88">
    <cfRule type="containsText" dxfId="18" priority="1" operator="containsText" text="Fail">
      <formula>NOT(ISERROR(SEARCH("Fail",F2)))</formula>
    </cfRule>
    <cfRule type="containsText" dxfId="17" priority="2" operator="containsText" text="Pass">
      <formula>NOT(ISERROR(SEARCH("Pass",F2)))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workbookViewId="0">
      <selection activeCell="F3" sqref="F3"/>
    </sheetView>
  </sheetViews>
  <sheetFormatPr defaultRowHeight="14.5" x14ac:dyDescent="0.35"/>
  <cols>
    <col min="1" max="1" width="8.7265625" style="15"/>
    <col min="2" max="2" width="10.7265625" style="1" bestFit="1" customWidth="1"/>
    <col min="3" max="3" width="9" style="1" bestFit="1" customWidth="1"/>
    <col min="4" max="4" width="9" style="1" customWidth="1"/>
    <col min="5" max="5" width="10.81640625" style="15" bestFit="1" customWidth="1"/>
    <col min="6" max="8" width="8.7265625" style="15"/>
  </cols>
  <sheetData>
    <row r="1" spans="1:9" x14ac:dyDescent="0.35">
      <c r="A1" s="12" t="s">
        <v>0</v>
      </c>
      <c r="B1" s="12" t="s">
        <v>4</v>
      </c>
      <c r="C1" s="12" t="s">
        <v>5</v>
      </c>
      <c r="D1" s="12" t="s">
        <v>57</v>
      </c>
      <c r="E1" s="12" t="s">
        <v>6</v>
      </c>
      <c r="F1" s="12" t="s">
        <v>7</v>
      </c>
      <c r="G1" s="12" t="s">
        <v>8</v>
      </c>
      <c r="H1" s="12" t="s">
        <v>9</v>
      </c>
    </row>
    <row r="2" spans="1:9" x14ac:dyDescent="0.35">
      <c r="A2" s="10">
        <f>'Student Basic Info'!A2</f>
        <v>701</v>
      </c>
      <c r="B2" s="3">
        <v>11</v>
      </c>
      <c r="C2" s="3">
        <v>23</v>
      </c>
      <c r="D2" s="8">
        <v>16</v>
      </c>
      <c r="E2" s="69">
        <f>IF(B2+C2=0, "", B2+C2+D2)</f>
        <v>50</v>
      </c>
      <c r="F2" s="10" t="str">
        <f>IF(E2="","", IF(AND(B2 &gt;=8,C2&gt;=17,D2&gt;=8),"Pass","Fail"))</f>
        <v>Pass</v>
      </c>
      <c r="G2" s="10" t="str">
        <f>(IF(E2="","",IF(F2="Fail","F",IF(E2&gt;=80,"A+",IF(E2&gt;=70,"A",IF(E2&gt;=60,"A-",IF(E2&gt;=50,"B",IF(E2&gt;=40,"C",IF(E2&gt;=33,"D","F")))))))))</f>
        <v>B</v>
      </c>
      <c r="H2" s="11">
        <f>(IF(E2="","",IF(G2="F",0,IF(E2&gt;=80,5,IF(E2&gt;=70,4,IF(E2&gt;=60,3.5,IF(E2&gt;=50,3,IF(E2&gt;=40,2,IF(E2&gt;=33,1,0)))))))))</f>
        <v>3</v>
      </c>
    </row>
    <row r="3" spans="1:9" x14ac:dyDescent="0.35">
      <c r="A3" s="10">
        <f>'Student Basic Info'!A3</f>
        <v>702</v>
      </c>
      <c r="B3" s="3"/>
      <c r="C3" s="3"/>
      <c r="D3" s="8"/>
      <c r="E3" s="69" t="str">
        <f t="shared" ref="E3:E66" si="0">IF(B3+C3=0, "", B3+C3+D3)</f>
        <v/>
      </c>
      <c r="F3" s="10" t="str">
        <f t="shared" ref="F3:F66" si="1">IF(E3="","", IF(AND(B3 &gt;=8,C3&gt;=17,D3&gt;=8),"Pass","Fail"))</f>
        <v/>
      </c>
      <c r="G3" s="10" t="str">
        <f t="shared" ref="G3:G66" si="2">(IF(E3="","",IF(F3="Fail","F",IF(E3&gt;=80,"A+",IF(E3&gt;=70,"A",IF(E3&gt;=60,"A-",IF(E3&gt;=50,"B",IF(E3&gt;=40,"C",IF(E3&gt;=33,"D","F")))))))))</f>
        <v/>
      </c>
      <c r="H3" s="11" t="str">
        <f t="shared" ref="H3:H66" si="3">(IF(E3="","",IF(G3="F",0,IF(E3&gt;=80,5,IF(E3&gt;=70,4,IF(E3&gt;=60,3.5,IF(E3&gt;=50,3,IF(E3&gt;=40,2,IF(E3&gt;=33,1,0)))))))))</f>
        <v/>
      </c>
    </row>
    <row r="4" spans="1:9" x14ac:dyDescent="0.35">
      <c r="A4" s="10">
        <f>'Student Basic Info'!A4</f>
        <v>703</v>
      </c>
      <c r="B4" s="3"/>
      <c r="C4" s="3"/>
      <c r="D4" s="8"/>
      <c r="E4" s="69" t="str">
        <f t="shared" si="0"/>
        <v/>
      </c>
      <c r="F4" s="10" t="str">
        <f t="shared" si="1"/>
        <v/>
      </c>
      <c r="G4" s="10" t="str">
        <f t="shared" si="2"/>
        <v/>
      </c>
      <c r="H4" s="11" t="str">
        <f t="shared" si="3"/>
        <v/>
      </c>
    </row>
    <row r="5" spans="1:9" x14ac:dyDescent="0.35">
      <c r="A5" s="10">
        <f>'Student Basic Info'!A5</f>
        <v>704</v>
      </c>
      <c r="B5" s="3">
        <v>7</v>
      </c>
      <c r="C5" s="3">
        <v>10</v>
      </c>
      <c r="D5" s="8">
        <v>10</v>
      </c>
      <c r="E5" s="69">
        <f t="shared" si="0"/>
        <v>27</v>
      </c>
      <c r="F5" s="10" t="str">
        <f t="shared" si="1"/>
        <v>Fail</v>
      </c>
      <c r="G5" s="10" t="str">
        <f t="shared" si="2"/>
        <v>F</v>
      </c>
      <c r="H5" s="11">
        <f t="shared" si="3"/>
        <v>0</v>
      </c>
    </row>
    <row r="6" spans="1:9" x14ac:dyDescent="0.35">
      <c r="A6" s="10">
        <f>'Student Basic Info'!A6</f>
        <v>705</v>
      </c>
      <c r="B6" s="3"/>
      <c r="C6" s="3"/>
      <c r="D6" s="8"/>
      <c r="E6" s="69" t="str">
        <f t="shared" si="0"/>
        <v/>
      </c>
      <c r="F6" s="10" t="str">
        <f t="shared" si="1"/>
        <v/>
      </c>
      <c r="G6" s="10" t="str">
        <f t="shared" si="2"/>
        <v/>
      </c>
      <c r="H6" s="11" t="str">
        <f t="shared" si="3"/>
        <v/>
      </c>
      <c r="I6" t="s">
        <v>10</v>
      </c>
    </row>
    <row r="7" spans="1:9" x14ac:dyDescent="0.35">
      <c r="A7" s="10">
        <f>'Student Basic Info'!A7</f>
        <v>706</v>
      </c>
      <c r="B7" s="3"/>
      <c r="C7" s="3"/>
      <c r="D7" s="8"/>
      <c r="E7" s="69" t="str">
        <f t="shared" si="0"/>
        <v/>
      </c>
      <c r="F7" s="10" t="str">
        <f t="shared" si="1"/>
        <v/>
      </c>
      <c r="G7" s="10" t="str">
        <f t="shared" si="2"/>
        <v/>
      </c>
      <c r="H7" s="11" t="str">
        <f t="shared" si="3"/>
        <v/>
      </c>
    </row>
    <row r="8" spans="1:9" x14ac:dyDescent="0.35">
      <c r="A8" s="10">
        <f>'Student Basic Info'!A8</f>
        <v>707</v>
      </c>
      <c r="B8" s="3"/>
      <c r="C8" s="3"/>
      <c r="D8" s="8"/>
      <c r="E8" s="69" t="str">
        <f t="shared" si="0"/>
        <v/>
      </c>
      <c r="F8" s="10" t="str">
        <f t="shared" si="1"/>
        <v/>
      </c>
      <c r="G8" s="10" t="str">
        <f t="shared" si="2"/>
        <v/>
      </c>
      <c r="H8" s="11" t="str">
        <f t="shared" si="3"/>
        <v/>
      </c>
    </row>
    <row r="9" spans="1:9" x14ac:dyDescent="0.35">
      <c r="A9" s="10">
        <f>'Student Basic Info'!A9</f>
        <v>708</v>
      </c>
      <c r="B9" s="3">
        <v>8</v>
      </c>
      <c r="C9" s="3">
        <v>11</v>
      </c>
      <c r="D9" s="8">
        <v>10</v>
      </c>
      <c r="E9" s="69">
        <f t="shared" si="0"/>
        <v>29</v>
      </c>
      <c r="F9" s="10" t="str">
        <f t="shared" si="1"/>
        <v>Fail</v>
      </c>
      <c r="G9" s="10" t="str">
        <f t="shared" si="2"/>
        <v>F</v>
      </c>
      <c r="H9" s="11">
        <f t="shared" si="3"/>
        <v>0</v>
      </c>
    </row>
    <row r="10" spans="1:9" x14ac:dyDescent="0.35">
      <c r="A10" s="10">
        <f>'Student Basic Info'!A10</f>
        <v>709</v>
      </c>
      <c r="B10" s="3">
        <v>8</v>
      </c>
      <c r="C10" s="3">
        <v>10</v>
      </c>
      <c r="D10" s="8">
        <v>10</v>
      </c>
      <c r="E10" s="69">
        <f t="shared" si="0"/>
        <v>28</v>
      </c>
      <c r="F10" s="10" t="str">
        <f t="shared" si="1"/>
        <v>Fail</v>
      </c>
      <c r="G10" s="10" t="str">
        <f t="shared" si="2"/>
        <v>F</v>
      </c>
      <c r="H10" s="11">
        <f t="shared" si="3"/>
        <v>0</v>
      </c>
    </row>
    <row r="11" spans="1:9" x14ac:dyDescent="0.35">
      <c r="A11" s="10">
        <f>'Student Basic Info'!A11</f>
        <v>710</v>
      </c>
      <c r="B11" s="3">
        <v>12</v>
      </c>
      <c r="C11" s="3">
        <v>8</v>
      </c>
      <c r="D11" s="8">
        <v>11</v>
      </c>
      <c r="E11" s="69">
        <f t="shared" si="0"/>
        <v>31</v>
      </c>
      <c r="F11" s="10" t="str">
        <f t="shared" si="1"/>
        <v>Fail</v>
      </c>
      <c r="G11" s="10" t="str">
        <f t="shared" si="2"/>
        <v>F</v>
      </c>
      <c r="H11" s="11">
        <f t="shared" si="3"/>
        <v>0</v>
      </c>
    </row>
    <row r="12" spans="1:9" x14ac:dyDescent="0.35">
      <c r="A12" s="10">
        <f>'Student Basic Info'!A12</f>
        <v>711</v>
      </c>
      <c r="B12" s="3"/>
      <c r="C12" s="3"/>
      <c r="D12" s="3"/>
      <c r="E12" s="69" t="str">
        <f t="shared" si="0"/>
        <v/>
      </c>
      <c r="F12" s="10" t="str">
        <f t="shared" si="1"/>
        <v/>
      </c>
      <c r="G12" s="10" t="str">
        <f t="shared" si="2"/>
        <v/>
      </c>
      <c r="H12" s="11" t="str">
        <f t="shared" si="3"/>
        <v/>
      </c>
    </row>
    <row r="13" spans="1:9" x14ac:dyDescent="0.35">
      <c r="A13" s="10">
        <f>'Student Basic Info'!A13</f>
        <v>712</v>
      </c>
      <c r="B13" s="3">
        <v>6</v>
      </c>
      <c r="C13" s="3">
        <v>12</v>
      </c>
      <c r="D13" s="3">
        <v>12</v>
      </c>
      <c r="E13" s="69">
        <f t="shared" si="0"/>
        <v>30</v>
      </c>
      <c r="F13" s="10" t="str">
        <f t="shared" si="1"/>
        <v>Fail</v>
      </c>
      <c r="G13" s="10" t="str">
        <f t="shared" si="2"/>
        <v>F</v>
      </c>
      <c r="H13" s="11">
        <f t="shared" si="3"/>
        <v>0</v>
      </c>
    </row>
    <row r="14" spans="1:9" x14ac:dyDescent="0.35">
      <c r="A14" s="10">
        <f>'Student Basic Info'!A14</f>
        <v>713</v>
      </c>
      <c r="B14" s="3">
        <v>8</v>
      </c>
      <c r="C14" s="3">
        <v>17</v>
      </c>
      <c r="D14" s="3">
        <v>15</v>
      </c>
      <c r="E14" s="69">
        <f t="shared" si="0"/>
        <v>40</v>
      </c>
      <c r="F14" s="10" t="str">
        <f t="shared" si="1"/>
        <v>Pass</v>
      </c>
      <c r="G14" s="10" t="str">
        <f t="shared" si="2"/>
        <v>C</v>
      </c>
      <c r="H14" s="11">
        <f t="shared" si="3"/>
        <v>2</v>
      </c>
    </row>
    <row r="15" spans="1:9" x14ac:dyDescent="0.35">
      <c r="A15" s="10">
        <f>'Student Basic Info'!A15</f>
        <v>714</v>
      </c>
      <c r="B15" s="3">
        <v>8</v>
      </c>
      <c r="C15" s="3">
        <v>23</v>
      </c>
      <c r="D15" s="3">
        <v>19</v>
      </c>
      <c r="E15" s="69">
        <f t="shared" si="0"/>
        <v>50</v>
      </c>
      <c r="F15" s="10" t="str">
        <f t="shared" si="1"/>
        <v>Pass</v>
      </c>
      <c r="G15" s="10" t="str">
        <f t="shared" si="2"/>
        <v>B</v>
      </c>
      <c r="H15" s="11">
        <f t="shared" si="3"/>
        <v>3</v>
      </c>
    </row>
    <row r="16" spans="1:9" x14ac:dyDescent="0.35">
      <c r="A16" s="10">
        <f>'Student Basic Info'!A16</f>
        <v>715</v>
      </c>
      <c r="B16" s="3">
        <v>10</v>
      </c>
      <c r="C16" s="3">
        <v>6</v>
      </c>
      <c r="D16" s="3">
        <v>10</v>
      </c>
      <c r="E16" s="69">
        <f t="shared" si="0"/>
        <v>26</v>
      </c>
      <c r="F16" s="10" t="str">
        <f t="shared" si="1"/>
        <v>Fail</v>
      </c>
      <c r="G16" s="10" t="str">
        <f t="shared" si="2"/>
        <v>F</v>
      </c>
      <c r="H16" s="11">
        <f t="shared" si="3"/>
        <v>0</v>
      </c>
    </row>
    <row r="17" spans="1:8" x14ac:dyDescent="0.35">
      <c r="A17" s="10">
        <f>'Student Basic Info'!A17</f>
        <v>716</v>
      </c>
      <c r="B17" s="3">
        <v>9</v>
      </c>
      <c r="C17" s="3">
        <v>9</v>
      </c>
      <c r="D17" s="3">
        <v>10</v>
      </c>
      <c r="E17" s="69">
        <f t="shared" si="0"/>
        <v>28</v>
      </c>
      <c r="F17" s="10" t="str">
        <f t="shared" si="1"/>
        <v>Fail</v>
      </c>
      <c r="G17" s="10" t="str">
        <f t="shared" si="2"/>
        <v>F</v>
      </c>
      <c r="H17" s="11">
        <f t="shared" si="3"/>
        <v>0</v>
      </c>
    </row>
    <row r="18" spans="1:8" x14ac:dyDescent="0.35">
      <c r="A18" s="10">
        <f>'Student Basic Info'!A18</f>
        <v>717</v>
      </c>
      <c r="B18" s="3">
        <v>6</v>
      </c>
      <c r="C18" s="3">
        <v>3</v>
      </c>
      <c r="D18" s="3">
        <v>8</v>
      </c>
      <c r="E18" s="69">
        <f t="shared" si="0"/>
        <v>17</v>
      </c>
      <c r="F18" s="10" t="str">
        <f t="shared" si="1"/>
        <v>Fail</v>
      </c>
      <c r="G18" s="10" t="str">
        <f t="shared" si="2"/>
        <v>F</v>
      </c>
      <c r="H18" s="11">
        <f t="shared" si="3"/>
        <v>0</v>
      </c>
    </row>
    <row r="19" spans="1:8" x14ac:dyDescent="0.35">
      <c r="A19" s="10">
        <f>'Student Basic Info'!A19</f>
        <v>718</v>
      </c>
      <c r="B19" s="3"/>
      <c r="C19" s="3"/>
      <c r="D19" s="3"/>
      <c r="E19" s="69" t="str">
        <f t="shared" si="0"/>
        <v/>
      </c>
      <c r="F19" s="10" t="str">
        <f t="shared" si="1"/>
        <v/>
      </c>
      <c r="G19" s="10" t="str">
        <f t="shared" si="2"/>
        <v/>
      </c>
      <c r="H19" s="11" t="str">
        <f t="shared" si="3"/>
        <v/>
      </c>
    </row>
    <row r="20" spans="1:8" x14ac:dyDescent="0.35">
      <c r="A20" s="10">
        <f>'Student Basic Info'!A20</f>
        <v>719</v>
      </c>
      <c r="B20" s="3">
        <v>9</v>
      </c>
      <c r="C20" s="3">
        <v>8</v>
      </c>
      <c r="D20" s="3">
        <v>9</v>
      </c>
      <c r="E20" s="69">
        <f t="shared" si="0"/>
        <v>26</v>
      </c>
      <c r="F20" s="10" t="str">
        <f t="shared" si="1"/>
        <v>Fail</v>
      </c>
      <c r="G20" s="10" t="str">
        <f t="shared" si="2"/>
        <v>F</v>
      </c>
      <c r="H20" s="11">
        <f t="shared" si="3"/>
        <v>0</v>
      </c>
    </row>
    <row r="21" spans="1:8" x14ac:dyDescent="0.35">
      <c r="A21" s="10">
        <f>'Student Basic Info'!A21</f>
        <v>720</v>
      </c>
      <c r="B21" s="3">
        <v>11</v>
      </c>
      <c r="C21" s="3">
        <v>8</v>
      </c>
      <c r="D21" s="3">
        <v>10</v>
      </c>
      <c r="E21" s="69">
        <f t="shared" si="0"/>
        <v>29</v>
      </c>
      <c r="F21" s="10" t="str">
        <f t="shared" si="1"/>
        <v>Fail</v>
      </c>
      <c r="G21" s="10" t="str">
        <f t="shared" si="2"/>
        <v>F</v>
      </c>
      <c r="H21" s="11">
        <f t="shared" si="3"/>
        <v>0</v>
      </c>
    </row>
    <row r="22" spans="1:8" x14ac:dyDescent="0.35">
      <c r="A22" s="10">
        <f>'Student Basic Info'!A22</f>
        <v>721</v>
      </c>
      <c r="B22" s="3"/>
      <c r="C22" s="3"/>
      <c r="D22" s="3"/>
      <c r="E22" s="69" t="str">
        <f t="shared" si="0"/>
        <v/>
      </c>
      <c r="F22" s="10" t="str">
        <f t="shared" si="1"/>
        <v/>
      </c>
      <c r="G22" s="10" t="str">
        <f t="shared" si="2"/>
        <v/>
      </c>
      <c r="H22" s="11" t="str">
        <f t="shared" si="3"/>
        <v/>
      </c>
    </row>
    <row r="23" spans="1:8" x14ac:dyDescent="0.35">
      <c r="A23" s="10">
        <f>'Student Basic Info'!A23</f>
        <v>722</v>
      </c>
      <c r="B23" s="3">
        <v>16</v>
      </c>
      <c r="C23" s="3">
        <v>12</v>
      </c>
      <c r="D23" s="3">
        <v>12</v>
      </c>
      <c r="E23" s="69">
        <f t="shared" si="0"/>
        <v>40</v>
      </c>
      <c r="F23" s="10" t="str">
        <f t="shared" si="1"/>
        <v>Fail</v>
      </c>
      <c r="G23" s="10" t="str">
        <f t="shared" si="2"/>
        <v>F</v>
      </c>
      <c r="H23" s="11">
        <f t="shared" si="3"/>
        <v>0</v>
      </c>
    </row>
    <row r="24" spans="1:8" x14ac:dyDescent="0.35">
      <c r="A24" s="10">
        <f>'Student Basic Info'!A24</f>
        <v>723</v>
      </c>
      <c r="B24" s="3">
        <v>16</v>
      </c>
      <c r="C24" s="3">
        <v>37</v>
      </c>
      <c r="D24" s="3">
        <v>18</v>
      </c>
      <c r="E24" s="69">
        <f t="shared" si="0"/>
        <v>71</v>
      </c>
      <c r="F24" s="10" t="str">
        <f t="shared" si="1"/>
        <v>Pass</v>
      </c>
      <c r="G24" s="10" t="str">
        <f t="shared" si="2"/>
        <v>A</v>
      </c>
      <c r="H24" s="11">
        <f t="shared" si="3"/>
        <v>4</v>
      </c>
    </row>
    <row r="25" spans="1:8" x14ac:dyDescent="0.35">
      <c r="A25" s="10">
        <f>'Student Basic Info'!A25</f>
        <v>724</v>
      </c>
      <c r="B25" s="3">
        <v>16</v>
      </c>
      <c r="C25" s="3">
        <v>13</v>
      </c>
      <c r="D25" s="3">
        <v>15</v>
      </c>
      <c r="E25" s="69">
        <f t="shared" si="0"/>
        <v>44</v>
      </c>
      <c r="F25" s="10" t="str">
        <f t="shared" si="1"/>
        <v>Fail</v>
      </c>
      <c r="G25" s="10" t="str">
        <f t="shared" si="2"/>
        <v>F</v>
      </c>
      <c r="H25" s="11">
        <f t="shared" si="3"/>
        <v>0</v>
      </c>
    </row>
    <row r="26" spans="1:8" x14ac:dyDescent="0.35">
      <c r="A26" s="10">
        <f>'Student Basic Info'!A26</f>
        <v>725</v>
      </c>
      <c r="B26" s="3">
        <v>15</v>
      </c>
      <c r="C26" s="3">
        <v>10</v>
      </c>
      <c r="D26" s="3">
        <v>12</v>
      </c>
      <c r="E26" s="69">
        <f t="shared" si="0"/>
        <v>37</v>
      </c>
      <c r="F26" s="10" t="str">
        <f t="shared" si="1"/>
        <v>Fail</v>
      </c>
      <c r="G26" s="10" t="str">
        <f t="shared" si="2"/>
        <v>F</v>
      </c>
      <c r="H26" s="11">
        <f t="shared" si="3"/>
        <v>0</v>
      </c>
    </row>
    <row r="27" spans="1:8" x14ac:dyDescent="0.35">
      <c r="A27" s="10">
        <f>'Student Basic Info'!A27</f>
        <v>726</v>
      </c>
      <c r="B27" s="3"/>
      <c r="C27" s="3"/>
      <c r="D27" s="3"/>
      <c r="E27" s="69" t="str">
        <f t="shared" si="0"/>
        <v/>
      </c>
      <c r="F27" s="10" t="str">
        <f t="shared" si="1"/>
        <v/>
      </c>
      <c r="G27" s="10" t="str">
        <f t="shared" si="2"/>
        <v/>
      </c>
      <c r="H27" s="11" t="str">
        <f t="shared" si="3"/>
        <v/>
      </c>
    </row>
    <row r="28" spans="1:8" x14ac:dyDescent="0.35">
      <c r="A28" s="10">
        <f>'Student Basic Info'!A28</f>
        <v>727</v>
      </c>
      <c r="B28" s="3">
        <v>8</v>
      </c>
      <c r="C28" s="3">
        <v>17</v>
      </c>
      <c r="D28" s="3">
        <v>15</v>
      </c>
      <c r="E28" s="69">
        <f t="shared" si="0"/>
        <v>40</v>
      </c>
      <c r="F28" s="10" t="str">
        <f t="shared" si="1"/>
        <v>Pass</v>
      </c>
      <c r="G28" s="10" t="str">
        <f t="shared" si="2"/>
        <v>C</v>
      </c>
      <c r="H28" s="11">
        <f t="shared" si="3"/>
        <v>2</v>
      </c>
    </row>
    <row r="29" spans="1:8" x14ac:dyDescent="0.35">
      <c r="A29" s="10">
        <f>'Student Basic Info'!A29</f>
        <v>728</v>
      </c>
      <c r="B29" s="3">
        <v>15</v>
      </c>
      <c r="C29" s="143">
        <v>14</v>
      </c>
      <c r="D29" s="3">
        <v>16</v>
      </c>
      <c r="E29" s="69">
        <f t="shared" si="0"/>
        <v>45</v>
      </c>
      <c r="F29" s="10" t="str">
        <f t="shared" si="1"/>
        <v>Fail</v>
      </c>
      <c r="G29" s="10" t="str">
        <f t="shared" si="2"/>
        <v>F</v>
      </c>
      <c r="H29" s="11">
        <f t="shared" si="3"/>
        <v>0</v>
      </c>
    </row>
    <row r="30" spans="1:8" x14ac:dyDescent="0.35">
      <c r="A30" s="10">
        <f>'Student Basic Info'!A30</f>
        <v>729</v>
      </c>
      <c r="B30" s="3">
        <v>16</v>
      </c>
      <c r="C30" s="3">
        <v>4</v>
      </c>
      <c r="D30" s="3">
        <v>10</v>
      </c>
      <c r="E30" s="69">
        <f t="shared" si="0"/>
        <v>30</v>
      </c>
      <c r="F30" s="10" t="str">
        <f t="shared" si="1"/>
        <v>Fail</v>
      </c>
      <c r="G30" s="10" t="str">
        <f t="shared" si="2"/>
        <v>F</v>
      </c>
      <c r="H30" s="11">
        <f t="shared" si="3"/>
        <v>0</v>
      </c>
    </row>
    <row r="31" spans="1:8" x14ac:dyDescent="0.35">
      <c r="A31" s="10">
        <f>'Student Basic Info'!A31</f>
        <v>730</v>
      </c>
      <c r="B31" s="3">
        <v>16</v>
      </c>
      <c r="C31" s="3">
        <v>7</v>
      </c>
      <c r="D31" s="3">
        <v>10</v>
      </c>
      <c r="E31" s="69">
        <f t="shared" si="0"/>
        <v>33</v>
      </c>
      <c r="F31" s="10" t="str">
        <f t="shared" si="1"/>
        <v>Fail</v>
      </c>
      <c r="G31" s="10" t="str">
        <f t="shared" si="2"/>
        <v>F</v>
      </c>
      <c r="H31" s="11">
        <f t="shared" si="3"/>
        <v>0</v>
      </c>
    </row>
    <row r="32" spans="1:8" x14ac:dyDescent="0.35">
      <c r="A32" s="10">
        <f>'Student Basic Info'!A32</f>
        <v>731</v>
      </c>
      <c r="B32" s="3">
        <v>7</v>
      </c>
      <c r="C32" s="3">
        <v>3</v>
      </c>
      <c r="D32" s="3">
        <v>8</v>
      </c>
      <c r="E32" s="69">
        <f t="shared" si="0"/>
        <v>18</v>
      </c>
      <c r="F32" s="10" t="str">
        <f t="shared" si="1"/>
        <v>Fail</v>
      </c>
      <c r="G32" s="10" t="str">
        <f t="shared" si="2"/>
        <v>F</v>
      </c>
      <c r="H32" s="11">
        <f t="shared" si="3"/>
        <v>0</v>
      </c>
    </row>
    <row r="33" spans="1:8" x14ac:dyDescent="0.35">
      <c r="A33" s="10">
        <f>'Student Basic Info'!A33</f>
        <v>732</v>
      </c>
      <c r="B33" s="3">
        <v>15</v>
      </c>
      <c r="C33" s="3">
        <v>7</v>
      </c>
      <c r="D33" s="3">
        <v>12</v>
      </c>
      <c r="E33" s="69">
        <f t="shared" si="0"/>
        <v>34</v>
      </c>
      <c r="F33" s="10" t="str">
        <f t="shared" si="1"/>
        <v>Fail</v>
      </c>
      <c r="G33" s="10" t="str">
        <f t="shared" si="2"/>
        <v>F</v>
      </c>
      <c r="H33" s="11">
        <f t="shared" si="3"/>
        <v>0</v>
      </c>
    </row>
    <row r="34" spans="1:8" x14ac:dyDescent="0.35">
      <c r="A34" s="10">
        <f>'Student Basic Info'!A34</f>
        <v>733</v>
      </c>
      <c r="B34" s="3">
        <v>8</v>
      </c>
      <c r="C34" s="3">
        <v>3</v>
      </c>
      <c r="D34" s="3">
        <v>9</v>
      </c>
      <c r="E34" s="69">
        <f t="shared" si="0"/>
        <v>20</v>
      </c>
      <c r="F34" s="10" t="str">
        <f t="shared" si="1"/>
        <v>Fail</v>
      </c>
      <c r="G34" s="10" t="str">
        <f t="shared" si="2"/>
        <v>F</v>
      </c>
      <c r="H34" s="11">
        <f t="shared" si="3"/>
        <v>0</v>
      </c>
    </row>
    <row r="35" spans="1:8" x14ac:dyDescent="0.35">
      <c r="A35" s="10">
        <f>'Student Basic Info'!A35</f>
        <v>734</v>
      </c>
      <c r="B35" s="3">
        <v>13</v>
      </c>
      <c r="C35" s="3">
        <v>4</v>
      </c>
      <c r="D35" s="3">
        <v>10</v>
      </c>
      <c r="E35" s="69">
        <f t="shared" si="0"/>
        <v>27</v>
      </c>
      <c r="F35" s="10" t="str">
        <f t="shared" si="1"/>
        <v>Fail</v>
      </c>
      <c r="G35" s="10" t="str">
        <f t="shared" si="2"/>
        <v>F</v>
      </c>
      <c r="H35" s="11">
        <f t="shared" si="3"/>
        <v>0</v>
      </c>
    </row>
    <row r="36" spans="1:8" x14ac:dyDescent="0.35">
      <c r="A36" s="10">
        <f>'Student Basic Info'!A36</f>
        <v>735</v>
      </c>
      <c r="B36" s="3">
        <v>4</v>
      </c>
      <c r="C36" s="3">
        <v>6</v>
      </c>
      <c r="D36" s="3">
        <v>8</v>
      </c>
      <c r="E36" s="69">
        <f t="shared" si="0"/>
        <v>18</v>
      </c>
      <c r="F36" s="10" t="str">
        <f t="shared" si="1"/>
        <v>Fail</v>
      </c>
      <c r="G36" s="10" t="str">
        <f t="shared" si="2"/>
        <v>F</v>
      </c>
      <c r="H36" s="11">
        <f t="shared" si="3"/>
        <v>0</v>
      </c>
    </row>
    <row r="37" spans="1:8" x14ac:dyDescent="0.35">
      <c r="A37" s="10">
        <f>'Student Basic Info'!A37</f>
        <v>736</v>
      </c>
      <c r="B37" s="3">
        <v>10</v>
      </c>
      <c r="C37" s="3">
        <v>4</v>
      </c>
      <c r="D37" s="3">
        <v>10</v>
      </c>
      <c r="E37" s="69">
        <f t="shared" si="0"/>
        <v>24</v>
      </c>
      <c r="F37" s="10" t="str">
        <f t="shared" si="1"/>
        <v>Fail</v>
      </c>
      <c r="G37" s="10" t="str">
        <f t="shared" si="2"/>
        <v>F</v>
      </c>
      <c r="H37" s="11">
        <f t="shared" si="3"/>
        <v>0</v>
      </c>
    </row>
    <row r="38" spans="1:8" x14ac:dyDescent="0.35">
      <c r="A38" s="10">
        <f>'Student Basic Info'!A38</f>
        <v>737</v>
      </c>
      <c r="B38" s="3">
        <v>8</v>
      </c>
      <c r="C38" s="3">
        <v>10</v>
      </c>
      <c r="D38" s="3">
        <v>11</v>
      </c>
      <c r="E38" s="69">
        <f t="shared" si="0"/>
        <v>29</v>
      </c>
      <c r="F38" s="10" t="str">
        <f t="shared" si="1"/>
        <v>Fail</v>
      </c>
      <c r="G38" s="10" t="str">
        <f t="shared" si="2"/>
        <v>F</v>
      </c>
      <c r="H38" s="11">
        <f t="shared" si="3"/>
        <v>0</v>
      </c>
    </row>
    <row r="39" spans="1:8" x14ac:dyDescent="0.35">
      <c r="A39" s="10">
        <f>'Student Basic Info'!A39</f>
        <v>738</v>
      </c>
      <c r="B39" s="3">
        <v>9</v>
      </c>
      <c r="C39" s="3">
        <v>10</v>
      </c>
      <c r="D39" s="3">
        <v>11</v>
      </c>
      <c r="E39" s="69">
        <f t="shared" si="0"/>
        <v>30</v>
      </c>
      <c r="F39" s="10" t="str">
        <f t="shared" si="1"/>
        <v>Fail</v>
      </c>
      <c r="G39" s="10" t="str">
        <f t="shared" si="2"/>
        <v>F</v>
      </c>
      <c r="H39" s="11">
        <f t="shared" si="3"/>
        <v>0</v>
      </c>
    </row>
    <row r="40" spans="1:8" x14ac:dyDescent="0.35">
      <c r="A40" s="10">
        <f>'Student Basic Info'!A40</f>
        <v>739</v>
      </c>
      <c r="B40" s="3">
        <v>8</v>
      </c>
      <c r="C40" s="3">
        <v>10</v>
      </c>
      <c r="D40" s="3">
        <v>11</v>
      </c>
      <c r="E40" s="69">
        <f t="shared" si="0"/>
        <v>29</v>
      </c>
      <c r="F40" s="10" t="str">
        <f t="shared" si="1"/>
        <v>Fail</v>
      </c>
      <c r="G40" s="10" t="str">
        <f t="shared" si="2"/>
        <v>F</v>
      </c>
      <c r="H40" s="11">
        <f t="shared" si="3"/>
        <v>0</v>
      </c>
    </row>
    <row r="41" spans="1:8" x14ac:dyDescent="0.35">
      <c r="A41" s="10">
        <f>'Student Basic Info'!A41</f>
        <v>740</v>
      </c>
      <c r="B41" s="3">
        <v>5</v>
      </c>
      <c r="C41" s="3">
        <v>7</v>
      </c>
      <c r="D41" s="3">
        <v>8</v>
      </c>
      <c r="E41" s="69">
        <f t="shared" si="0"/>
        <v>20</v>
      </c>
      <c r="F41" s="10" t="str">
        <f t="shared" si="1"/>
        <v>Fail</v>
      </c>
      <c r="G41" s="10" t="str">
        <f t="shared" si="2"/>
        <v>F</v>
      </c>
      <c r="H41" s="11">
        <f t="shared" si="3"/>
        <v>0</v>
      </c>
    </row>
    <row r="42" spans="1:8" x14ac:dyDescent="0.35">
      <c r="A42" s="10">
        <f>'Student Basic Info'!A42</f>
        <v>741</v>
      </c>
      <c r="B42" s="3">
        <v>9</v>
      </c>
      <c r="C42" s="3">
        <v>11</v>
      </c>
      <c r="D42" s="3">
        <v>12</v>
      </c>
      <c r="E42" s="69">
        <f t="shared" si="0"/>
        <v>32</v>
      </c>
      <c r="F42" s="10" t="str">
        <f t="shared" si="1"/>
        <v>Fail</v>
      </c>
      <c r="G42" s="10" t="str">
        <f t="shared" si="2"/>
        <v>F</v>
      </c>
      <c r="H42" s="11">
        <f t="shared" si="3"/>
        <v>0</v>
      </c>
    </row>
    <row r="43" spans="1:8" x14ac:dyDescent="0.35">
      <c r="A43" s="10">
        <f>'Student Basic Info'!A43</f>
        <v>742</v>
      </c>
      <c r="B43" s="3"/>
      <c r="C43" s="3"/>
      <c r="D43" s="3"/>
      <c r="E43" s="69" t="str">
        <f t="shared" si="0"/>
        <v/>
      </c>
      <c r="F43" s="10" t="str">
        <f t="shared" si="1"/>
        <v/>
      </c>
      <c r="G43" s="10" t="str">
        <f t="shared" si="2"/>
        <v/>
      </c>
      <c r="H43" s="11" t="str">
        <f t="shared" si="3"/>
        <v/>
      </c>
    </row>
    <row r="44" spans="1:8" x14ac:dyDescent="0.35">
      <c r="A44" s="10">
        <f>'Student Basic Info'!A44</f>
        <v>743</v>
      </c>
      <c r="B44" s="3">
        <v>10</v>
      </c>
      <c r="C44" s="3">
        <v>1</v>
      </c>
      <c r="D44" s="3">
        <v>9</v>
      </c>
      <c r="E44" s="69">
        <f t="shared" si="0"/>
        <v>20</v>
      </c>
      <c r="F44" s="10" t="str">
        <f t="shared" si="1"/>
        <v>Fail</v>
      </c>
      <c r="G44" s="10" t="str">
        <f t="shared" si="2"/>
        <v>F</v>
      </c>
      <c r="H44" s="11">
        <f t="shared" si="3"/>
        <v>0</v>
      </c>
    </row>
    <row r="45" spans="1:8" x14ac:dyDescent="0.35">
      <c r="A45" s="10">
        <f>'Student Basic Info'!A45</f>
        <v>744</v>
      </c>
      <c r="B45" s="3">
        <v>12</v>
      </c>
      <c r="C45" s="3">
        <v>2</v>
      </c>
      <c r="D45" s="3">
        <v>9</v>
      </c>
      <c r="E45" s="69">
        <f t="shared" si="0"/>
        <v>23</v>
      </c>
      <c r="F45" s="10" t="str">
        <f t="shared" si="1"/>
        <v>Fail</v>
      </c>
      <c r="G45" s="10" t="str">
        <f t="shared" si="2"/>
        <v>F</v>
      </c>
      <c r="H45" s="11">
        <f t="shared" si="3"/>
        <v>0</v>
      </c>
    </row>
    <row r="46" spans="1:8" x14ac:dyDescent="0.35">
      <c r="A46" s="10">
        <f>'Student Basic Info'!A46</f>
        <v>745</v>
      </c>
      <c r="B46" s="3">
        <v>8</v>
      </c>
      <c r="C46" s="3">
        <v>21</v>
      </c>
      <c r="D46" s="3">
        <v>15</v>
      </c>
      <c r="E46" s="69">
        <f t="shared" si="0"/>
        <v>44</v>
      </c>
      <c r="F46" s="10" t="str">
        <f t="shared" si="1"/>
        <v>Pass</v>
      </c>
      <c r="G46" s="10" t="str">
        <f t="shared" si="2"/>
        <v>C</v>
      </c>
      <c r="H46" s="11">
        <f t="shared" si="3"/>
        <v>2</v>
      </c>
    </row>
    <row r="47" spans="1:8" x14ac:dyDescent="0.35">
      <c r="A47" s="10">
        <f>'Student Basic Info'!A47</f>
        <v>746</v>
      </c>
      <c r="B47" s="3">
        <v>8</v>
      </c>
      <c r="C47" s="3">
        <v>19</v>
      </c>
      <c r="D47" s="3">
        <v>13</v>
      </c>
      <c r="E47" s="69">
        <f t="shared" si="0"/>
        <v>40</v>
      </c>
      <c r="F47" s="10" t="str">
        <f t="shared" si="1"/>
        <v>Pass</v>
      </c>
      <c r="G47" s="10" t="str">
        <f t="shared" si="2"/>
        <v>C</v>
      </c>
      <c r="H47" s="11">
        <f t="shared" si="3"/>
        <v>2</v>
      </c>
    </row>
    <row r="48" spans="1:8" x14ac:dyDescent="0.35">
      <c r="A48" s="10">
        <f>'Student Basic Info'!A48</f>
        <v>747</v>
      </c>
      <c r="B48" s="3">
        <v>7</v>
      </c>
      <c r="C48" s="3">
        <v>2</v>
      </c>
      <c r="D48" s="3">
        <v>8</v>
      </c>
      <c r="E48" s="69">
        <f t="shared" si="0"/>
        <v>17</v>
      </c>
      <c r="F48" s="10" t="str">
        <f t="shared" si="1"/>
        <v>Fail</v>
      </c>
      <c r="G48" s="10" t="str">
        <f t="shared" si="2"/>
        <v>F</v>
      </c>
      <c r="H48" s="11">
        <f t="shared" si="3"/>
        <v>0</v>
      </c>
    </row>
    <row r="49" spans="1:8" x14ac:dyDescent="0.35">
      <c r="A49" s="10">
        <f>'Student Basic Info'!A49</f>
        <v>748</v>
      </c>
      <c r="B49" s="3">
        <v>7</v>
      </c>
      <c r="C49" s="3">
        <v>3</v>
      </c>
      <c r="D49" s="3">
        <v>8</v>
      </c>
      <c r="E49" s="69">
        <f t="shared" si="0"/>
        <v>18</v>
      </c>
      <c r="F49" s="10" t="str">
        <f t="shared" si="1"/>
        <v>Fail</v>
      </c>
      <c r="G49" s="10" t="str">
        <f t="shared" si="2"/>
        <v>F</v>
      </c>
      <c r="H49" s="11">
        <f t="shared" si="3"/>
        <v>0</v>
      </c>
    </row>
    <row r="50" spans="1:8" x14ac:dyDescent="0.35">
      <c r="A50" s="10">
        <f>'Student Basic Info'!A50</f>
        <v>749</v>
      </c>
      <c r="B50" s="3">
        <v>6</v>
      </c>
      <c r="C50" s="3">
        <v>0</v>
      </c>
      <c r="D50" s="3">
        <v>8</v>
      </c>
      <c r="E50" s="69">
        <f t="shared" si="0"/>
        <v>14</v>
      </c>
      <c r="F50" s="10" t="str">
        <f t="shared" si="1"/>
        <v>Fail</v>
      </c>
      <c r="G50" s="10" t="str">
        <f t="shared" si="2"/>
        <v>F</v>
      </c>
      <c r="H50" s="11">
        <f t="shared" si="3"/>
        <v>0</v>
      </c>
    </row>
    <row r="51" spans="1:8" x14ac:dyDescent="0.35">
      <c r="A51" s="10">
        <f>'Student Basic Info'!A51</f>
        <v>750</v>
      </c>
      <c r="B51" s="3"/>
      <c r="C51" s="3"/>
      <c r="D51" s="3"/>
      <c r="E51" s="69" t="str">
        <f t="shared" si="0"/>
        <v/>
      </c>
      <c r="F51" s="10" t="str">
        <f t="shared" si="1"/>
        <v/>
      </c>
      <c r="G51" s="10" t="str">
        <f t="shared" si="2"/>
        <v/>
      </c>
      <c r="H51" s="11" t="str">
        <f t="shared" si="3"/>
        <v/>
      </c>
    </row>
    <row r="52" spans="1:8" x14ac:dyDescent="0.35">
      <c r="A52" s="10">
        <f>'Student Basic Info'!A52</f>
        <v>751</v>
      </c>
      <c r="B52" s="3">
        <v>11</v>
      </c>
      <c r="C52" s="3">
        <v>2</v>
      </c>
      <c r="D52" s="3">
        <v>9</v>
      </c>
      <c r="E52" s="69">
        <f t="shared" si="0"/>
        <v>22</v>
      </c>
      <c r="F52" s="10" t="str">
        <f t="shared" si="1"/>
        <v>Fail</v>
      </c>
      <c r="G52" s="10" t="str">
        <f t="shared" si="2"/>
        <v>F</v>
      </c>
      <c r="H52" s="11">
        <f t="shared" si="3"/>
        <v>0</v>
      </c>
    </row>
    <row r="53" spans="1:8" x14ac:dyDescent="0.35">
      <c r="A53" s="10">
        <f>'Student Basic Info'!A53</f>
        <v>752</v>
      </c>
      <c r="B53" s="3"/>
      <c r="C53" s="3"/>
      <c r="D53" s="3"/>
      <c r="E53" s="69" t="str">
        <f t="shared" si="0"/>
        <v/>
      </c>
      <c r="F53" s="10" t="str">
        <f t="shared" si="1"/>
        <v/>
      </c>
      <c r="G53" s="10" t="str">
        <f t="shared" si="2"/>
        <v/>
      </c>
      <c r="H53" s="11" t="str">
        <f t="shared" si="3"/>
        <v/>
      </c>
    </row>
    <row r="54" spans="1:8" x14ac:dyDescent="0.35">
      <c r="A54" s="10">
        <f>'Student Basic Info'!A54</f>
        <v>753</v>
      </c>
      <c r="B54" s="3">
        <v>15</v>
      </c>
      <c r="C54" s="3">
        <v>20</v>
      </c>
      <c r="D54" s="3">
        <v>15</v>
      </c>
      <c r="E54" s="69">
        <f t="shared" si="0"/>
        <v>50</v>
      </c>
      <c r="F54" s="10" t="str">
        <f t="shared" si="1"/>
        <v>Pass</v>
      </c>
      <c r="G54" s="10" t="str">
        <f t="shared" si="2"/>
        <v>B</v>
      </c>
      <c r="H54" s="11">
        <f t="shared" si="3"/>
        <v>3</v>
      </c>
    </row>
    <row r="55" spans="1:8" x14ac:dyDescent="0.35">
      <c r="A55" s="10">
        <f>'Student Basic Info'!A55</f>
        <v>754</v>
      </c>
      <c r="B55" s="3">
        <v>9</v>
      </c>
      <c r="C55" s="3">
        <v>3</v>
      </c>
      <c r="D55" s="3">
        <v>8</v>
      </c>
      <c r="E55" s="69">
        <f t="shared" si="0"/>
        <v>20</v>
      </c>
      <c r="F55" s="10" t="str">
        <f t="shared" si="1"/>
        <v>Fail</v>
      </c>
      <c r="G55" s="10" t="str">
        <f t="shared" si="2"/>
        <v>F</v>
      </c>
      <c r="H55" s="11">
        <f t="shared" si="3"/>
        <v>0</v>
      </c>
    </row>
    <row r="56" spans="1:8" x14ac:dyDescent="0.35">
      <c r="A56" s="10">
        <f>'Student Basic Info'!A56</f>
        <v>755</v>
      </c>
      <c r="B56" s="3">
        <v>7</v>
      </c>
      <c r="C56" s="3">
        <v>3</v>
      </c>
      <c r="D56" s="3">
        <v>8</v>
      </c>
      <c r="E56" s="69">
        <f t="shared" si="0"/>
        <v>18</v>
      </c>
      <c r="F56" s="10" t="str">
        <f t="shared" si="1"/>
        <v>Fail</v>
      </c>
      <c r="G56" s="10" t="str">
        <f t="shared" si="2"/>
        <v>F</v>
      </c>
      <c r="H56" s="11">
        <f t="shared" si="3"/>
        <v>0</v>
      </c>
    </row>
    <row r="57" spans="1:8" x14ac:dyDescent="0.35">
      <c r="A57" s="10">
        <f>'Student Basic Info'!A57</f>
        <v>756</v>
      </c>
      <c r="B57" s="3">
        <v>7</v>
      </c>
      <c r="C57" s="3">
        <v>3</v>
      </c>
      <c r="D57" s="3">
        <v>8</v>
      </c>
      <c r="E57" s="69">
        <f t="shared" si="0"/>
        <v>18</v>
      </c>
      <c r="F57" s="10" t="str">
        <f t="shared" si="1"/>
        <v>Fail</v>
      </c>
      <c r="G57" s="10" t="str">
        <f t="shared" si="2"/>
        <v>F</v>
      </c>
      <c r="H57" s="11">
        <f t="shared" si="3"/>
        <v>0</v>
      </c>
    </row>
    <row r="58" spans="1:8" x14ac:dyDescent="0.35">
      <c r="A58" s="10">
        <f>'Student Basic Info'!A58</f>
        <v>757</v>
      </c>
      <c r="B58" s="3">
        <v>14</v>
      </c>
      <c r="C58" s="3">
        <v>1</v>
      </c>
      <c r="D58" s="3">
        <v>9</v>
      </c>
      <c r="E58" s="69">
        <f t="shared" si="0"/>
        <v>24</v>
      </c>
      <c r="F58" s="10" t="str">
        <f t="shared" si="1"/>
        <v>Fail</v>
      </c>
      <c r="G58" s="10" t="str">
        <f t="shared" si="2"/>
        <v>F</v>
      </c>
      <c r="H58" s="11">
        <f t="shared" si="3"/>
        <v>0</v>
      </c>
    </row>
    <row r="59" spans="1:8" x14ac:dyDescent="0.35">
      <c r="A59" s="10">
        <f>'Student Basic Info'!A59</f>
        <v>758</v>
      </c>
      <c r="B59" s="3">
        <v>13</v>
      </c>
      <c r="C59" s="3">
        <v>5</v>
      </c>
      <c r="D59" s="3">
        <v>9</v>
      </c>
      <c r="E59" s="69">
        <f t="shared" si="0"/>
        <v>27</v>
      </c>
      <c r="F59" s="10" t="str">
        <f t="shared" si="1"/>
        <v>Fail</v>
      </c>
      <c r="G59" s="10" t="str">
        <f t="shared" si="2"/>
        <v>F</v>
      </c>
      <c r="H59" s="11">
        <f t="shared" si="3"/>
        <v>0</v>
      </c>
    </row>
    <row r="60" spans="1:8" x14ac:dyDescent="0.35">
      <c r="A60" s="10">
        <f>'Student Basic Info'!A60</f>
        <v>759</v>
      </c>
      <c r="B60" s="3">
        <v>14</v>
      </c>
      <c r="C60" s="3">
        <v>22</v>
      </c>
      <c r="D60" s="3">
        <v>18</v>
      </c>
      <c r="E60" s="69">
        <f t="shared" si="0"/>
        <v>54</v>
      </c>
      <c r="F60" s="10" t="str">
        <f t="shared" si="1"/>
        <v>Pass</v>
      </c>
      <c r="G60" s="10" t="str">
        <f t="shared" si="2"/>
        <v>B</v>
      </c>
      <c r="H60" s="11">
        <f t="shared" si="3"/>
        <v>3</v>
      </c>
    </row>
    <row r="61" spans="1:8" x14ac:dyDescent="0.35">
      <c r="A61" s="10">
        <f>'Student Basic Info'!A61</f>
        <v>760</v>
      </c>
      <c r="B61" s="3">
        <v>15</v>
      </c>
      <c r="C61" s="3">
        <v>6</v>
      </c>
      <c r="D61" s="3">
        <v>12</v>
      </c>
      <c r="E61" s="69">
        <f t="shared" si="0"/>
        <v>33</v>
      </c>
      <c r="F61" s="10" t="str">
        <f t="shared" si="1"/>
        <v>Fail</v>
      </c>
      <c r="G61" s="10" t="str">
        <f t="shared" si="2"/>
        <v>F</v>
      </c>
      <c r="H61" s="11">
        <f t="shared" si="3"/>
        <v>0</v>
      </c>
    </row>
    <row r="62" spans="1:8" x14ac:dyDescent="0.35">
      <c r="A62" s="10">
        <f>'Student Basic Info'!A62</f>
        <v>761</v>
      </c>
      <c r="B62" s="3">
        <v>10</v>
      </c>
      <c r="C62" s="3">
        <v>0</v>
      </c>
      <c r="D62" s="3">
        <v>8</v>
      </c>
      <c r="E62" s="69">
        <f t="shared" si="0"/>
        <v>18</v>
      </c>
      <c r="F62" s="10" t="str">
        <f t="shared" si="1"/>
        <v>Fail</v>
      </c>
      <c r="G62" s="10" t="str">
        <f t="shared" si="2"/>
        <v>F</v>
      </c>
      <c r="H62" s="11">
        <f t="shared" si="3"/>
        <v>0</v>
      </c>
    </row>
    <row r="63" spans="1:8" x14ac:dyDescent="0.35">
      <c r="A63" s="10">
        <f>'Student Basic Info'!A63</f>
        <v>762</v>
      </c>
      <c r="B63" s="3">
        <v>10</v>
      </c>
      <c r="C63" s="3">
        <v>0</v>
      </c>
      <c r="D63" s="3">
        <v>8</v>
      </c>
      <c r="E63" s="69">
        <f t="shared" si="0"/>
        <v>18</v>
      </c>
      <c r="F63" s="10" t="str">
        <f t="shared" si="1"/>
        <v>Fail</v>
      </c>
      <c r="G63" s="10" t="str">
        <f t="shared" si="2"/>
        <v>F</v>
      </c>
      <c r="H63" s="11">
        <f t="shared" si="3"/>
        <v>0</v>
      </c>
    </row>
    <row r="64" spans="1:8" x14ac:dyDescent="0.35">
      <c r="A64" s="10">
        <f>'Student Basic Info'!A64</f>
        <v>763</v>
      </c>
      <c r="B64" s="3">
        <v>15</v>
      </c>
      <c r="C64" s="3">
        <v>20</v>
      </c>
      <c r="D64" s="3">
        <v>16</v>
      </c>
      <c r="E64" s="69">
        <f t="shared" si="0"/>
        <v>51</v>
      </c>
      <c r="F64" s="10" t="str">
        <f t="shared" si="1"/>
        <v>Pass</v>
      </c>
      <c r="G64" s="10" t="str">
        <f t="shared" si="2"/>
        <v>B</v>
      </c>
      <c r="H64" s="11">
        <f t="shared" si="3"/>
        <v>3</v>
      </c>
    </row>
    <row r="65" spans="1:8" x14ac:dyDescent="0.35">
      <c r="A65" s="10">
        <f>'Student Basic Info'!A65</f>
        <v>764</v>
      </c>
      <c r="B65" s="3">
        <v>12</v>
      </c>
      <c r="C65" s="3">
        <v>3</v>
      </c>
      <c r="D65" s="3">
        <v>10</v>
      </c>
      <c r="E65" s="69">
        <f t="shared" si="0"/>
        <v>25</v>
      </c>
      <c r="F65" s="10" t="str">
        <f t="shared" si="1"/>
        <v>Fail</v>
      </c>
      <c r="G65" s="10" t="str">
        <f t="shared" si="2"/>
        <v>F</v>
      </c>
      <c r="H65" s="11">
        <f t="shared" si="3"/>
        <v>0</v>
      </c>
    </row>
    <row r="66" spans="1:8" x14ac:dyDescent="0.35">
      <c r="A66" s="10">
        <f>'Student Basic Info'!A66</f>
        <v>765</v>
      </c>
      <c r="B66" s="3">
        <v>8</v>
      </c>
      <c r="C66" s="3">
        <v>25</v>
      </c>
      <c r="D66" s="3">
        <v>17</v>
      </c>
      <c r="E66" s="69">
        <f t="shared" si="0"/>
        <v>50</v>
      </c>
      <c r="F66" s="10" t="str">
        <f t="shared" si="1"/>
        <v>Pass</v>
      </c>
      <c r="G66" s="10" t="str">
        <f t="shared" si="2"/>
        <v>B</v>
      </c>
      <c r="H66" s="11">
        <f t="shared" si="3"/>
        <v>3</v>
      </c>
    </row>
    <row r="67" spans="1:8" x14ac:dyDescent="0.35">
      <c r="A67" s="10">
        <f>'Student Basic Info'!A67</f>
        <v>766</v>
      </c>
      <c r="B67" s="3">
        <v>8</v>
      </c>
      <c r="C67" s="3">
        <v>26</v>
      </c>
      <c r="D67" s="3">
        <v>16</v>
      </c>
      <c r="E67" s="69">
        <f t="shared" ref="E67:E87" si="4">IF(B67+C67=0, "", B67+C67+D67)</f>
        <v>50</v>
      </c>
      <c r="F67" s="10" t="str">
        <f t="shared" ref="F67:F88" si="5">IF(E67="","", IF(AND(B67 &gt;=8,C67&gt;=17,D67&gt;=8),"Pass","Fail"))</f>
        <v>Pass</v>
      </c>
      <c r="G67" s="10" t="str">
        <f t="shared" ref="G67:G87" si="6">(IF(E67="","",IF(F67="Fail","F",IF(E67&gt;=80,"A+",IF(E67&gt;=70,"A",IF(E67&gt;=60,"A-",IF(E67&gt;=50,"B",IF(E67&gt;=40,"C",IF(E67&gt;=33,"D","F")))))))))</f>
        <v>B</v>
      </c>
      <c r="H67" s="11">
        <f t="shared" ref="H67:H87" si="7">(IF(E67="","",IF(G67="F",0,IF(E67&gt;=80,5,IF(E67&gt;=70,4,IF(E67&gt;=60,3.5,IF(E67&gt;=50,3,IF(E67&gt;=40,2,IF(E67&gt;=33,1,0)))))))))</f>
        <v>3</v>
      </c>
    </row>
    <row r="68" spans="1:8" x14ac:dyDescent="0.35">
      <c r="A68" s="10">
        <f>'Student Basic Info'!A68</f>
        <v>767</v>
      </c>
      <c r="B68" s="3">
        <v>8</v>
      </c>
      <c r="C68" s="3">
        <v>28</v>
      </c>
      <c r="D68" s="3">
        <v>18</v>
      </c>
      <c r="E68" s="69">
        <f t="shared" si="4"/>
        <v>54</v>
      </c>
      <c r="F68" s="10" t="str">
        <f t="shared" si="5"/>
        <v>Pass</v>
      </c>
      <c r="G68" s="10" t="str">
        <f t="shared" si="6"/>
        <v>B</v>
      </c>
      <c r="H68" s="11">
        <f t="shared" si="7"/>
        <v>3</v>
      </c>
    </row>
    <row r="69" spans="1:8" x14ac:dyDescent="0.35">
      <c r="A69" s="10">
        <f>'Student Basic Info'!A69</f>
        <v>768</v>
      </c>
      <c r="B69" s="3">
        <v>10</v>
      </c>
      <c r="C69" s="3">
        <v>17</v>
      </c>
      <c r="D69" s="3">
        <v>13</v>
      </c>
      <c r="E69" s="69">
        <f t="shared" si="4"/>
        <v>40</v>
      </c>
      <c r="F69" s="10" t="str">
        <f t="shared" si="5"/>
        <v>Pass</v>
      </c>
      <c r="G69" s="10" t="str">
        <f t="shared" si="6"/>
        <v>C</v>
      </c>
      <c r="H69" s="11">
        <f t="shared" si="7"/>
        <v>2</v>
      </c>
    </row>
    <row r="70" spans="1:8" x14ac:dyDescent="0.35">
      <c r="A70" s="10">
        <f>'Student Basic Info'!A70</f>
        <v>769</v>
      </c>
      <c r="B70" s="3"/>
      <c r="C70" s="3"/>
      <c r="D70" s="3"/>
      <c r="E70" s="69" t="str">
        <f t="shared" si="4"/>
        <v/>
      </c>
      <c r="F70" s="10" t="str">
        <f t="shared" si="5"/>
        <v/>
      </c>
      <c r="G70" s="10" t="str">
        <f t="shared" si="6"/>
        <v/>
      </c>
      <c r="H70" s="11" t="str">
        <f t="shared" si="7"/>
        <v/>
      </c>
    </row>
    <row r="71" spans="1:8" x14ac:dyDescent="0.35">
      <c r="A71" s="10">
        <f>'Student Basic Info'!A71</f>
        <v>770</v>
      </c>
      <c r="B71" s="3">
        <v>8</v>
      </c>
      <c r="C71" s="3">
        <v>1</v>
      </c>
      <c r="D71" s="3">
        <v>8</v>
      </c>
      <c r="E71" s="69">
        <f t="shared" si="4"/>
        <v>17</v>
      </c>
      <c r="F71" s="10" t="str">
        <f t="shared" si="5"/>
        <v>Fail</v>
      </c>
      <c r="G71" s="10" t="str">
        <f t="shared" si="6"/>
        <v>F</v>
      </c>
      <c r="H71" s="11">
        <f t="shared" si="7"/>
        <v>0</v>
      </c>
    </row>
    <row r="72" spans="1:8" x14ac:dyDescent="0.35">
      <c r="A72" s="10">
        <f>'Student Basic Info'!A72</f>
        <v>771</v>
      </c>
      <c r="B72" s="3">
        <v>8</v>
      </c>
      <c r="C72" s="3">
        <v>1</v>
      </c>
      <c r="D72" s="3">
        <v>8</v>
      </c>
      <c r="E72" s="69">
        <f t="shared" si="4"/>
        <v>17</v>
      </c>
      <c r="F72" s="10" t="str">
        <f t="shared" si="5"/>
        <v>Fail</v>
      </c>
      <c r="G72" s="10" t="str">
        <f t="shared" si="6"/>
        <v>F</v>
      </c>
      <c r="H72" s="11">
        <f t="shared" si="7"/>
        <v>0</v>
      </c>
    </row>
    <row r="73" spans="1:8" x14ac:dyDescent="0.35">
      <c r="A73" s="10">
        <f>'Student Basic Info'!A73</f>
        <v>772</v>
      </c>
      <c r="B73" s="3">
        <v>3</v>
      </c>
      <c r="C73" s="3">
        <v>0</v>
      </c>
      <c r="D73" s="3">
        <v>8</v>
      </c>
      <c r="E73" s="69">
        <f t="shared" si="4"/>
        <v>11</v>
      </c>
      <c r="F73" s="10" t="str">
        <f t="shared" si="5"/>
        <v>Fail</v>
      </c>
      <c r="G73" s="10" t="str">
        <f t="shared" si="6"/>
        <v>F</v>
      </c>
      <c r="H73" s="11">
        <f t="shared" si="7"/>
        <v>0</v>
      </c>
    </row>
    <row r="74" spans="1:8" x14ac:dyDescent="0.35">
      <c r="A74" s="10">
        <f>'Student Basic Info'!A74</f>
        <v>773</v>
      </c>
      <c r="B74" s="3">
        <v>7</v>
      </c>
      <c r="C74" s="3">
        <v>1</v>
      </c>
      <c r="D74" s="3">
        <v>8</v>
      </c>
      <c r="E74" s="69">
        <f t="shared" si="4"/>
        <v>16</v>
      </c>
      <c r="F74" s="10" t="str">
        <f t="shared" si="5"/>
        <v>Fail</v>
      </c>
      <c r="G74" s="10" t="str">
        <f t="shared" si="6"/>
        <v>F</v>
      </c>
      <c r="H74" s="11">
        <f t="shared" si="7"/>
        <v>0</v>
      </c>
    </row>
    <row r="75" spans="1:8" x14ac:dyDescent="0.35">
      <c r="A75" s="10">
        <f>'Student Basic Info'!A75</f>
        <v>774</v>
      </c>
      <c r="B75" s="3">
        <v>8</v>
      </c>
      <c r="C75" s="3">
        <v>13</v>
      </c>
      <c r="D75" s="3">
        <v>12</v>
      </c>
      <c r="E75" s="69">
        <f t="shared" si="4"/>
        <v>33</v>
      </c>
      <c r="F75" s="10" t="str">
        <f t="shared" si="5"/>
        <v>Fail</v>
      </c>
      <c r="G75" s="10" t="str">
        <f t="shared" si="6"/>
        <v>F</v>
      </c>
      <c r="H75" s="11">
        <f t="shared" si="7"/>
        <v>0</v>
      </c>
    </row>
    <row r="76" spans="1:8" x14ac:dyDescent="0.35">
      <c r="A76" s="10">
        <f>'Student Basic Info'!A76</f>
        <v>775</v>
      </c>
      <c r="B76" s="3">
        <v>8</v>
      </c>
      <c r="C76" s="3">
        <v>2</v>
      </c>
      <c r="D76" s="3">
        <v>8</v>
      </c>
      <c r="E76" s="69">
        <f t="shared" si="4"/>
        <v>18</v>
      </c>
      <c r="F76" s="10" t="str">
        <f t="shared" si="5"/>
        <v>Fail</v>
      </c>
      <c r="G76" s="10" t="str">
        <f t="shared" si="6"/>
        <v>F</v>
      </c>
      <c r="H76" s="11">
        <f t="shared" si="7"/>
        <v>0</v>
      </c>
    </row>
    <row r="77" spans="1:8" x14ac:dyDescent="0.35">
      <c r="A77" s="10">
        <f>'Student Basic Info'!A77</f>
        <v>776</v>
      </c>
      <c r="B77" s="3">
        <v>7</v>
      </c>
      <c r="C77" s="3">
        <v>0</v>
      </c>
      <c r="D77" s="143">
        <v>8</v>
      </c>
      <c r="E77" s="69">
        <f t="shared" si="4"/>
        <v>15</v>
      </c>
      <c r="F77" s="10" t="str">
        <f t="shared" si="5"/>
        <v>Fail</v>
      </c>
      <c r="G77" s="10" t="str">
        <f t="shared" si="6"/>
        <v>F</v>
      </c>
      <c r="H77" s="11">
        <f t="shared" si="7"/>
        <v>0</v>
      </c>
    </row>
    <row r="78" spans="1:8" x14ac:dyDescent="0.35">
      <c r="A78" s="10">
        <f>'Student Basic Info'!A78</f>
        <v>777</v>
      </c>
      <c r="B78" s="3"/>
      <c r="C78" s="3"/>
      <c r="D78" s="3"/>
      <c r="E78" s="69" t="str">
        <f t="shared" si="4"/>
        <v/>
      </c>
      <c r="F78" s="10" t="str">
        <f t="shared" si="5"/>
        <v/>
      </c>
      <c r="G78" s="10" t="str">
        <f t="shared" si="6"/>
        <v/>
      </c>
      <c r="H78" s="11" t="str">
        <f t="shared" si="7"/>
        <v/>
      </c>
    </row>
    <row r="79" spans="1:8" x14ac:dyDescent="0.35">
      <c r="A79" s="10">
        <f>'Student Basic Info'!A79</f>
        <v>778</v>
      </c>
      <c r="B79" s="3"/>
      <c r="C79" s="3"/>
      <c r="D79" s="3"/>
      <c r="E79" s="69" t="str">
        <f t="shared" si="4"/>
        <v/>
      </c>
      <c r="F79" s="10" t="str">
        <f t="shared" si="5"/>
        <v/>
      </c>
      <c r="G79" s="10" t="str">
        <f t="shared" si="6"/>
        <v/>
      </c>
      <c r="H79" s="11" t="str">
        <f t="shared" si="7"/>
        <v/>
      </c>
    </row>
    <row r="80" spans="1:8" x14ac:dyDescent="0.35">
      <c r="A80" s="10">
        <f>'Student Basic Info'!A80</f>
        <v>779</v>
      </c>
      <c r="B80" s="3">
        <v>5</v>
      </c>
      <c r="C80" s="3">
        <v>5</v>
      </c>
      <c r="D80" s="3">
        <v>8</v>
      </c>
      <c r="E80" s="69">
        <f t="shared" si="4"/>
        <v>18</v>
      </c>
      <c r="F80" s="10" t="str">
        <f t="shared" si="5"/>
        <v>Fail</v>
      </c>
      <c r="G80" s="10" t="str">
        <f t="shared" si="6"/>
        <v>F</v>
      </c>
      <c r="H80" s="11">
        <f t="shared" si="7"/>
        <v>0</v>
      </c>
    </row>
    <row r="81" spans="1:8" x14ac:dyDescent="0.35">
      <c r="A81" s="10">
        <f>'Student Basic Info'!A81</f>
        <v>780</v>
      </c>
      <c r="B81" s="3">
        <v>8</v>
      </c>
      <c r="C81" s="3">
        <v>2</v>
      </c>
      <c r="D81" s="3">
        <v>8</v>
      </c>
      <c r="E81" s="69">
        <f t="shared" si="4"/>
        <v>18</v>
      </c>
      <c r="F81" s="10" t="str">
        <f t="shared" si="5"/>
        <v>Fail</v>
      </c>
      <c r="G81" s="10" t="str">
        <f t="shared" si="6"/>
        <v>F</v>
      </c>
      <c r="H81" s="11">
        <f t="shared" si="7"/>
        <v>0</v>
      </c>
    </row>
    <row r="82" spans="1:8" x14ac:dyDescent="0.35">
      <c r="A82" s="10">
        <f>'Student Basic Info'!A82</f>
        <v>781</v>
      </c>
      <c r="B82" s="3"/>
      <c r="C82" s="3"/>
      <c r="D82" s="3"/>
      <c r="E82" s="69" t="str">
        <f t="shared" si="4"/>
        <v/>
      </c>
      <c r="F82" s="10" t="str">
        <f t="shared" si="5"/>
        <v/>
      </c>
      <c r="G82" s="10" t="str">
        <f t="shared" si="6"/>
        <v/>
      </c>
      <c r="H82" s="11" t="str">
        <f t="shared" si="7"/>
        <v/>
      </c>
    </row>
    <row r="83" spans="1:8" x14ac:dyDescent="0.35">
      <c r="A83" s="10">
        <f>'Student Basic Info'!A83</f>
        <v>782</v>
      </c>
      <c r="B83" s="3">
        <v>10</v>
      </c>
      <c r="C83" s="3">
        <v>0</v>
      </c>
      <c r="D83" s="3">
        <v>8</v>
      </c>
      <c r="E83" s="69">
        <f t="shared" si="4"/>
        <v>18</v>
      </c>
      <c r="F83" s="10" t="str">
        <f t="shared" si="5"/>
        <v>Fail</v>
      </c>
      <c r="G83" s="10" t="str">
        <f t="shared" si="6"/>
        <v>F</v>
      </c>
      <c r="H83" s="11">
        <f t="shared" si="7"/>
        <v>0</v>
      </c>
    </row>
    <row r="84" spans="1:8" x14ac:dyDescent="0.35">
      <c r="A84" s="10">
        <f>'Student Basic Info'!A84</f>
        <v>783</v>
      </c>
      <c r="B84" s="3"/>
      <c r="C84" s="3"/>
      <c r="D84" s="3"/>
      <c r="E84" s="69" t="str">
        <f t="shared" si="4"/>
        <v/>
      </c>
      <c r="F84" s="10" t="str">
        <f t="shared" si="5"/>
        <v/>
      </c>
      <c r="G84" s="10" t="str">
        <f t="shared" si="6"/>
        <v/>
      </c>
      <c r="H84" s="11" t="str">
        <f t="shared" si="7"/>
        <v/>
      </c>
    </row>
    <row r="85" spans="1:8" x14ac:dyDescent="0.35">
      <c r="A85" s="10">
        <f>'Student Basic Info'!A85</f>
        <v>784</v>
      </c>
      <c r="B85" s="3">
        <v>9</v>
      </c>
      <c r="C85" s="3">
        <v>0</v>
      </c>
      <c r="D85" s="3">
        <v>8</v>
      </c>
      <c r="E85" s="69">
        <f t="shared" si="4"/>
        <v>17</v>
      </c>
      <c r="F85" s="10" t="str">
        <f t="shared" si="5"/>
        <v>Fail</v>
      </c>
      <c r="G85" s="10" t="str">
        <f t="shared" si="6"/>
        <v>F</v>
      </c>
      <c r="H85" s="11">
        <f t="shared" si="7"/>
        <v>0</v>
      </c>
    </row>
    <row r="86" spans="1:8" x14ac:dyDescent="0.35">
      <c r="A86" s="10">
        <f>'Student Basic Info'!A86</f>
        <v>785</v>
      </c>
      <c r="B86" s="3">
        <v>10</v>
      </c>
      <c r="C86" s="3">
        <v>0</v>
      </c>
      <c r="D86" s="3">
        <v>8</v>
      </c>
      <c r="E86" s="69">
        <f t="shared" si="4"/>
        <v>18</v>
      </c>
      <c r="F86" s="10" t="str">
        <f t="shared" si="5"/>
        <v>Fail</v>
      </c>
      <c r="G86" s="10" t="str">
        <f t="shared" si="6"/>
        <v>F</v>
      </c>
      <c r="H86" s="11">
        <f t="shared" si="7"/>
        <v>0</v>
      </c>
    </row>
    <row r="87" spans="1:8" x14ac:dyDescent="0.35">
      <c r="A87" s="10">
        <f>'Student Basic Info'!A87</f>
        <v>786</v>
      </c>
      <c r="B87" s="3">
        <v>6</v>
      </c>
      <c r="C87" s="3">
        <v>1</v>
      </c>
      <c r="D87" s="3">
        <v>8</v>
      </c>
      <c r="E87" s="69">
        <f t="shared" si="4"/>
        <v>15</v>
      </c>
      <c r="F87" s="10" t="str">
        <f t="shared" si="5"/>
        <v>Fail</v>
      </c>
      <c r="G87" s="10" t="str">
        <f t="shared" si="6"/>
        <v>F</v>
      </c>
      <c r="H87" s="11">
        <f t="shared" si="7"/>
        <v>0</v>
      </c>
    </row>
    <row r="88" spans="1:8" x14ac:dyDescent="0.35">
      <c r="A88" s="10">
        <f>'Student Basic Info'!A88</f>
        <v>6812</v>
      </c>
      <c r="B88" s="3">
        <v>9</v>
      </c>
      <c r="C88" s="3">
        <v>7</v>
      </c>
      <c r="D88" s="3">
        <v>10</v>
      </c>
      <c r="E88" s="69">
        <f t="shared" ref="E88" si="8">IF(B88+C88=0, "", B88+C88+D88)</f>
        <v>26</v>
      </c>
      <c r="F88" s="10" t="str">
        <f t="shared" si="5"/>
        <v>Fail</v>
      </c>
      <c r="G88" s="10" t="str">
        <f t="shared" ref="G88" si="9">(IF(E88="","",IF(F88="Fail","F",IF(E88&gt;=80,"A+",IF(E88&gt;=70,"A",IF(E88&gt;=60,"A-",IF(E88&gt;=50,"B",IF(E88&gt;=40,"C",IF(E88&gt;=33,"D","F")))))))))</f>
        <v>F</v>
      </c>
      <c r="H88" s="11">
        <f t="shared" ref="H88" si="10">(IF(E88="","",IF(G88="F",0,IF(E88&gt;=80,5,IF(E88&gt;=70,4,IF(E88&gt;=60,3.5,IF(E88&gt;=50,3,IF(E88&gt;=40,2,IF(E88&gt;=33,1,0)))))))))</f>
        <v>0</v>
      </c>
    </row>
    <row r="89" spans="1:8" x14ac:dyDescent="0.35">
      <c r="A89"/>
      <c r="B89"/>
      <c r="C89"/>
      <c r="D89"/>
      <c r="E89"/>
      <c r="F89"/>
      <c r="G89"/>
      <c r="H89"/>
    </row>
    <row r="90" spans="1:8" x14ac:dyDescent="0.35">
      <c r="A90"/>
      <c r="B90"/>
      <c r="C90"/>
      <c r="D90"/>
      <c r="E90"/>
      <c r="F90"/>
      <c r="G90"/>
      <c r="H90"/>
    </row>
    <row r="91" spans="1:8" x14ac:dyDescent="0.35">
      <c r="A91"/>
      <c r="B91"/>
      <c r="C91"/>
      <c r="D91"/>
      <c r="E91"/>
      <c r="F91"/>
      <c r="G91"/>
      <c r="H91"/>
    </row>
    <row r="92" spans="1:8" x14ac:dyDescent="0.35">
      <c r="A92"/>
      <c r="B92"/>
      <c r="C92"/>
      <c r="D92"/>
      <c r="E92"/>
      <c r="F92"/>
      <c r="G92"/>
      <c r="H92"/>
    </row>
    <row r="93" spans="1:8" x14ac:dyDescent="0.35">
      <c r="A93"/>
      <c r="B93"/>
      <c r="C93"/>
      <c r="D93"/>
      <c r="E93"/>
      <c r="F93"/>
      <c r="G93"/>
      <c r="H93"/>
    </row>
    <row r="94" spans="1:8" x14ac:dyDescent="0.35">
      <c r="A94"/>
      <c r="B94"/>
      <c r="C94"/>
      <c r="D94"/>
      <c r="E94"/>
      <c r="F94"/>
      <c r="G94"/>
      <c r="H94"/>
    </row>
    <row r="95" spans="1:8" x14ac:dyDescent="0.35">
      <c r="A95"/>
      <c r="B95"/>
      <c r="C95"/>
      <c r="D95"/>
      <c r="E95"/>
      <c r="F95"/>
      <c r="G95"/>
      <c r="H95"/>
    </row>
    <row r="96" spans="1:8" x14ac:dyDescent="0.35">
      <c r="A96"/>
      <c r="B96"/>
      <c r="C96"/>
      <c r="D96"/>
      <c r="E96"/>
      <c r="F96"/>
      <c r="G96"/>
      <c r="H96"/>
    </row>
    <row r="97" spans="1:8" x14ac:dyDescent="0.35">
      <c r="A97"/>
      <c r="B97"/>
      <c r="C97"/>
      <c r="D97"/>
      <c r="E97"/>
      <c r="F97"/>
      <c r="G97"/>
      <c r="H97"/>
    </row>
    <row r="98" spans="1:8" x14ac:dyDescent="0.35">
      <c r="A98"/>
      <c r="B98"/>
      <c r="C98"/>
      <c r="D98"/>
      <c r="E98"/>
      <c r="F98"/>
      <c r="G98"/>
      <c r="H98"/>
    </row>
    <row r="99" spans="1:8" x14ac:dyDescent="0.35">
      <c r="A99"/>
      <c r="B99"/>
      <c r="C99"/>
      <c r="D99"/>
      <c r="E99"/>
      <c r="F99"/>
      <c r="G99"/>
      <c r="H99"/>
    </row>
    <row r="100" spans="1:8" x14ac:dyDescent="0.35">
      <c r="A100"/>
      <c r="B100"/>
      <c r="C100"/>
      <c r="D100"/>
      <c r="E100"/>
      <c r="F100"/>
      <c r="G100"/>
      <c r="H100"/>
    </row>
    <row r="101" spans="1:8" x14ac:dyDescent="0.35">
      <c r="A101"/>
      <c r="B101"/>
      <c r="C101"/>
      <c r="D101"/>
      <c r="E101"/>
      <c r="F101"/>
      <c r="G101"/>
      <c r="H101"/>
    </row>
    <row r="102" spans="1:8" x14ac:dyDescent="0.35">
      <c r="A102"/>
      <c r="B102"/>
      <c r="C102"/>
      <c r="D102"/>
      <c r="E102"/>
      <c r="F102"/>
      <c r="G102"/>
      <c r="H102"/>
    </row>
    <row r="103" spans="1:8" x14ac:dyDescent="0.35">
      <c r="A103"/>
      <c r="B103"/>
      <c r="C103"/>
      <c r="D103"/>
      <c r="E103"/>
      <c r="F103"/>
      <c r="G103"/>
      <c r="H103"/>
    </row>
    <row r="104" spans="1:8" x14ac:dyDescent="0.35">
      <c r="A104"/>
      <c r="B104"/>
      <c r="C104"/>
      <c r="D104"/>
      <c r="E104"/>
      <c r="F104"/>
      <c r="G104"/>
      <c r="H104"/>
    </row>
    <row r="105" spans="1:8" x14ac:dyDescent="0.35">
      <c r="A105"/>
      <c r="B105"/>
      <c r="C105"/>
      <c r="D105"/>
      <c r="E105"/>
      <c r="F105"/>
      <c r="G105"/>
      <c r="H105"/>
    </row>
    <row r="106" spans="1:8" x14ac:dyDescent="0.35">
      <c r="A106"/>
      <c r="B106"/>
      <c r="C106"/>
      <c r="D106"/>
      <c r="E106"/>
      <c r="F106"/>
      <c r="G106"/>
      <c r="H106"/>
    </row>
    <row r="107" spans="1:8" x14ac:dyDescent="0.35">
      <c r="A107"/>
      <c r="B107"/>
      <c r="C107"/>
      <c r="D107"/>
      <c r="E107"/>
      <c r="F107"/>
      <c r="G107"/>
      <c r="H107"/>
    </row>
    <row r="108" spans="1:8" x14ac:dyDescent="0.35">
      <c r="A108"/>
      <c r="B108"/>
      <c r="C108"/>
      <c r="D108"/>
      <c r="E108"/>
      <c r="F108"/>
      <c r="G108"/>
      <c r="H108"/>
    </row>
    <row r="109" spans="1:8" x14ac:dyDescent="0.35">
      <c r="A109"/>
      <c r="B109"/>
      <c r="C109"/>
      <c r="D109"/>
      <c r="E109"/>
      <c r="F109"/>
      <c r="G109"/>
      <c r="H109"/>
    </row>
    <row r="110" spans="1:8" x14ac:dyDescent="0.35">
      <c r="A110"/>
      <c r="B110"/>
      <c r="C110"/>
      <c r="D110"/>
      <c r="E110"/>
      <c r="F110"/>
      <c r="G110"/>
      <c r="H110"/>
    </row>
    <row r="111" spans="1:8" x14ac:dyDescent="0.35">
      <c r="A111"/>
      <c r="B111"/>
      <c r="C111"/>
      <c r="D111"/>
      <c r="E111"/>
      <c r="F111"/>
      <c r="G111"/>
      <c r="H111"/>
    </row>
    <row r="112" spans="1:8" x14ac:dyDescent="0.35">
      <c r="A112"/>
      <c r="B112"/>
      <c r="C112"/>
      <c r="D112"/>
      <c r="E112"/>
      <c r="F112"/>
      <c r="G112"/>
      <c r="H112"/>
    </row>
    <row r="113" spans="1:8" x14ac:dyDescent="0.35">
      <c r="A113"/>
      <c r="B113"/>
      <c r="C113"/>
      <c r="D113"/>
      <c r="E113"/>
      <c r="F113"/>
      <c r="G113"/>
      <c r="H113"/>
    </row>
    <row r="114" spans="1:8" x14ac:dyDescent="0.35">
      <c r="A114"/>
      <c r="B114"/>
      <c r="C114"/>
      <c r="D114"/>
      <c r="E114"/>
      <c r="F114"/>
      <c r="G114"/>
      <c r="H114"/>
    </row>
    <row r="115" spans="1:8" x14ac:dyDescent="0.35">
      <c r="A115"/>
      <c r="B115"/>
      <c r="C115"/>
      <c r="D115"/>
      <c r="E115"/>
      <c r="F115"/>
      <c r="G115"/>
      <c r="H115"/>
    </row>
    <row r="116" spans="1:8" x14ac:dyDescent="0.35">
      <c r="A116"/>
      <c r="B116"/>
      <c r="C116"/>
      <c r="D116"/>
      <c r="E116"/>
      <c r="F116"/>
      <c r="G116"/>
      <c r="H116"/>
    </row>
    <row r="117" spans="1:8" x14ac:dyDescent="0.35">
      <c r="A117"/>
      <c r="B117"/>
      <c r="C117"/>
      <c r="D117"/>
      <c r="E117"/>
      <c r="F117"/>
      <c r="G117"/>
      <c r="H117"/>
    </row>
    <row r="118" spans="1:8" x14ac:dyDescent="0.35">
      <c r="A118"/>
      <c r="B118"/>
      <c r="C118"/>
      <c r="D118"/>
      <c r="E118"/>
      <c r="F118"/>
      <c r="G118"/>
      <c r="H118"/>
    </row>
    <row r="119" spans="1:8" x14ac:dyDescent="0.35">
      <c r="A119"/>
      <c r="B119"/>
      <c r="C119"/>
      <c r="D119"/>
      <c r="E119"/>
      <c r="F119"/>
      <c r="G119"/>
      <c r="H119"/>
    </row>
    <row r="120" spans="1:8" x14ac:dyDescent="0.35">
      <c r="A120"/>
      <c r="B120"/>
      <c r="C120"/>
      <c r="D120"/>
      <c r="E120"/>
      <c r="F120"/>
      <c r="G120"/>
      <c r="H120"/>
    </row>
    <row r="121" spans="1:8" x14ac:dyDescent="0.35">
      <c r="A121"/>
      <c r="B121"/>
      <c r="C121"/>
      <c r="D121"/>
      <c r="E121"/>
      <c r="F121"/>
      <c r="G121"/>
      <c r="H121"/>
    </row>
    <row r="122" spans="1:8" x14ac:dyDescent="0.35">
      <c r="A122"/>
      <c r="B122"/>
      <c r="C122"/>
      <c r="D122"/>
      <c r="E122"/>
      <c r="F122"/>
      <c r="G122"/>
      <c r="H122"/>
    </row>
    <row r="123" spans="1:8" x14ac:dyDescent="0.35">
      <c r="A123"/>
      <c r="B123"/>
      <c r="C123"/>
      <c r="D123"/>
      <c r="E123"/>
      <c r="F123"/>
      <c r="G123"/>
      <c r="H123"/>
    </row>
    <row r="124" spans="1:8" x14ac:dyDescent="0.35">
      <c r="A124"/>
      <c r="B124"/>
      <c r="C124"/>
      <c r="D124"/>
      <c r="E124"/>
      <c r="F124"/>
      <c r="G124"/>
      <c r="H124"/>
    </row>
    <row r="125" spans="1:8" x14ac:dyDescent="0.35">
      <c r="A125"/>
      <c r="B125"/>
      <c r="C125"/>
      <c r="D125"/>
      <c r="E125"/>
      <c r="F125"/>
      <c r="G125"/>
      <c r="H125"/>
    </row>
    <row r="126" spans="1:8" x14ac:dyDescent="0.35">
      <c r="A126"/>
      <c r="B126"/>
      <c r="C126"/>
      <c r="D126"/>
      <c r="E126"/>
      <c r="F126"/>
      <c r="G126"/>
      <c r="H126"/>
    </row>
    <row r="127" spans="1:8" x14ac:dyDescent="0.35">
      <c r="A127"/>
      <c r="B127"/>
      <c r="C127"/>
      <c r="D127"/>
      <c r="E127"/>
      <c r="F127"/>
      <c r="G127"/>
      <c r="H127"/>
    </row>
    <row r="128" spans="1:8" x14ac:dyDescent="0.35">
      <c r="A128"/>
      <c r="B128"/>
      <c r="C128"/>
      <c r="D128"/>
      <c r="E128"/>
      <c r="F128"/>
      <c r="G128"/>
      <c r="H128"/>
    </row>
  </sheetData>
  <conditionalFormatting sqref="F2:F88">
    <cfRule type="containsText" dxfId="16" priority="1" operator="containsText" text="Fail">
      <formula>NOT(ISERROR(SEARCH("Fail",F2)))</formula>
    </cfRule>
    <cfRule type="containsText" dxfId="15" priority="2" operator="containsText" text="Pass">
      <formula>NOT(ISERROR(SEARCH("Pass",F2)))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zoomScaleNormal="100" workbookViewId="0">
      <selection activeCell="K1" sqref="K1"/>
    </sheetView>
  </sheetViews>
  <sheetFormatPr defaultRowHeight="14.5" x14ac:dyDescent="0.35"/>
  <cols>
    <col min="1" max="1" width="8.7265625" style="15"/>
    <col min="2" max="2" width="10.7265625" style="1" bestFit="1" customWidth="1"/>
    <col min="3" max="3" width="9" style="1" bestFit="1" customWidth="1"/>
    <col min="4" max="4" width="9" style="1" customWidth="1"/>
    <col min="5" max="5" width="10.81640625" style="15" bestFit="1" customWidth="1"/>
    <col min="6" max="8" width="8.7265625" style="15"/>
  </cols>
  <sheetData>
    <row r="1" spans="1:9" x14ac:dyDescent="0.35">
      <c r="A1" s="12" t="s">
        <v>0</v>
      </c>
      <c r="B1" s="12" t="s">
        <v>4</v>
      </c>
      <c r="C1" s="12" t="s">
        <v>5</v>
      </c>
      <c r="D1" s="12" t="s">
        <v>57</v>
      </c>
      <c r="E1" s="12" t="s">
        <v>6</v>
      </c>
      <c r="F1" s="12" t="s">
        <v>7</v>
      </c>
      <c r="G1" s="12" t="s">
        <v>8</v>
      </c>
      <c r="H1" s="12" t="s">
        <v>9</v>
      </c>
    </row>
    <row r="2" spans="1:9" x14ac:dyDescent="0.35">
      <c r="A2" s="10">
        <f>'Student Basic Info'!A2</f>
        <v>701</v>
      </c>
      <c r="B2" s="3">
        <v>18</v>
      </c>
      <c r="C2" s="3">
        <v>34</v>
      </c>
      <c r="D2" s="8">
        <v>20</v>
      </c>
      <c r="E2" s="69">
        <f>IF(B2+C2=0, "", B2+C2+D2)</f>
        <v>72</v>
      </c>
      <c r="F2" s="10" t="str">
        <f>IF(E2="","", IF(AND(B2 &gt;=8,C2&gt;=17,D2&gt;=8),"Pass","Fail"))</f>
        <v>Pass</v>
      </c>
      <c r="G2" s="10" t="str">
        <f>(IF(E2="","",IF(F2="Fail","F",IF(E2&gt;=80,"A+",IF(E2&gt;=70,"A",IF(E2&gt;=60,"A-",IF(E2&gt;=50,"B",IF(E2&gt;=40,"C",IF(E2&gt;=33,"D","F")))))))))</f>
        <v>A</v>
      </c>
      <c r="H2" s="11">
        <f>(IF(E2="","",IF(G2="F",0,IF(E2&gt;=80,5,IF(E2&gt;=70,4,IF(E2&gt;=60,3.5,IF(E2&gt;=50,3,IF(E2&gt;=40,2,IF(E2&gt;=33,1,0)))))))))</f>
        <v>4</v>
      </c>
    </row>
    <row r="3" spans="1:9" x14ac:dyDescent="0.35">
      <c r="A3" s="10">
        <f>'Student Basic Info'!A3</f>
        <v>702</v>
      </c>
      <c r="B3" s="3"/>
      <c r="C3" s="3"/>
      <c r="D3" s="8"/>
      <c r="E3" s="69" t="str">
        <f t="shared" ref="E3:E66" si="0">IF(B3+C3=0, "", B3+C3+D3)</f>
        <v/>
      </c>
      <c r="F3" s="10" t="str">
        <f t="shared" ref="F3:F66" si="1">IF(E3="","", IF(AND(B3 &gt;=8,C3&gt;=17,D3&gt;=8),"Pass","Fail"))</f>
        <v/>
      </c>
      <c r="G3" s="10" t="str">
        <f t="shared" ref="G3:G66" si="2">(IF(E3="","",IF(F3="Fail","F",IF(E3&gt;=80,"A+",IF(E3&gt;=70,"A",IF(E3&gt;=60,"A-",IF(E3&gt;=50,"B",IF(E3&gt;=40,"C",IF(E3&gt;=33,"D","F")))))))))</f>
        <v/>
      </c>
      <c r="H3" s="11" t="str">
        <f t="shared" ref="H3:H66" si="3">(IF(E3="","",IF(G3="F",0,IF(E3&gt;=80,5,IF(E3&gt;=70,4,IF(E3&gt;=60,3.5,IF(E3&gt;=50,3,IF(E3&gt;=40,2,IF(E3&gt;=33,1,0)))))))))</f>
        <v/>
      </c>
    </row>
    <row r="4" spans="1:9" x14ac:dyDescent="0.35">
      <c r="A4" s="10">
        <f>'Student Basic Info'!A4</f>
        <v>703</v>
      </c>
      <c r="B4" s="3"/>
      <c r="C4" s="3"/>
      <c r="D4" s="8"/>
      <c r="E4" s="69" t="str">
        <f t="shared" si="0"/>
        <v/>
      </c>
      <c r="F4" s="10" t="str">
        <f t="shared" si="1"/>
        <v/>
      </c>
      <c r="G4" s="10" t="str">
        <f t="shared" si="2"/>
        <v/>
      </c>
      <c r="H4" s="11" t="str">
        <f t="shared" si="3"/>
        <v/>
      </c>
    </row>
    <row r="5" spans="1:9" x14ac:dyDescent="0.35">
      <c r="A5" s="10">
        <f>'Student Basic Info'!A5</f>
        <v>704</v>
      </c>
      <c r="B5" s="3">
        <v>18</v>
      </c>
      <c r="C5" s="3">
        <v>0</v>
      </c>
      <c r="D5" s="8">
        <v>9</v>
      </c>
      <c r="E5" s="69">
        <f t="shared" si="0"/>
        <v>27</v>
      </c>
      <c r="F5" s="10" t="str">
        <f t="shared" si="1"/>
        <v>Fail</v>
      </c>
      <c r="G5" s="10" t="str">
        <f t="shared" si="2"/>
        <v>F</v>
      </c>
      <c r="H5" s="11">
        <f t="shared" si="3"/>
        <v>0</v>
      </c>
    </row>
    <row r="6" spans="1:9" x14ac:dyDescent="0.35">
      <c r="A6" s="10">
        <f>'Student Basic Info'!A6</f>
        <v>705</v>
      </c>
      <c r="B6" s="3"/>
      <c r="C6" s="3"/>
      <c r="D6" s="8"/>
      <c r="E6" s="69" t="str">
        <f t="shared" si="0"/>
        <v/>
      </c>
      <c r="F6" s="10" t="str">
        <f t="shared" si="1"/>
        <v/>
      </c>
      <c r="G6" s="10" t="str">
        <f t="shared" si="2"/>
        <v/>
      </c>
      <c r="H6" s="11" t="str">
        <f t="shared" si="3"/>
        <v/>
      </c>
      <c r="I6" t="s">
        <v>10</v>
      </c>
    </row>
    <row r="7" spans="1:9" x14ac:dyDescent="0.35">
      <c r="A7" s="10">
        <f>'Student Basic Info'!A7</f>
        <v>706</v>
      </c>
      <c r="B7" s="3"/>
      <c r="C7" s="3"/>
      <c r="D7" s="8"/>
      <c r="E7" s="69" t="str">
        <f t="shared" si="0"/>
        <v/>
      </c>
      <c r="F7" s="10" t="str">
        <f t="shared" si="1"/>
        <v/>
      </c>
      <c r="G7" s="10" t="str">
        <f t="shared" si="2"/>
        <v/>
      </c>
      <c r="H7" s="11" t="str">
        <f t="shared" si="3"/>
        <v/>
      </c>
    </row>
    <row r="8" spans="1:9" x14ac:dyDescent="0.35">
      <c r="A8" s="10">
        <f>'Student Basic Info'!A8</f>
        <v>707</v>
      </c>
      <c r="B8" s="3"/>
      <c r="C8" s="3"/>
      <c r="D8" s="8"/>
      <c r="E8" s="69" t="str">
        <f t="shared" si="0"/>
        <v/>
      </c>
      <c r="F8" s="10" t="str">
        <f t="shared" si="1"/>
        <v/>
      </c>
      <c r="G8" s="10" t="str">
        <f t="shared" si="2"/>
        <v/>
      </c>
      <c r="H8" s="11" t="str">
        <f t="shared" si="3"/>
        <v/>
      </c>
    </row>
    <row r="9" spans="1:9" x14ac:dyDescent="0.35">
      <c r="A9" s="10">
        <f>'Student Basic Info'!A9</f>
        <v>708</v>
      </c>
      <c r="B9" s="3">
        <v>16</v>
      </c>
      <c r="C9" s="3">
        <v>0</v>
      </c>
      <c r="D9" s="8">
        <v>9</v>
      </c>
      <c r="E9" s="69">
        <f t="shared" si="0"/>
        <v>25</v>
      </c>
      <c r="F9" s="10" t="str">
        <f t="shared" si="1"/>
        <v>Fail</v>
      </c>
      <c r="G9" s="10" t="str">
        <f t="shared" si="2"/>
        <v>F</v>
      </c>
      <c r="H9" s="11">
        <f t="shared" si="3"/>
        <v>0</v>
      </c>
    </row>
    <row r="10" spans="1:9" x14ac:dyDescent="0.35">
      <c r="A10" s="10">
        <f>'Student Basic Info'!A10</f>
        <v>709</v>
      </c>
      <c r="B10" s="3">
        <v>13</v>
      </c>
      <c r="C10" s="3">
        <v>1</v>
      </c>
      <c r="D10" s="8">
        <v>9</v>
      </c>
      <c r="E10" s="69">
        <f t="shared" si="0"/>
        <v>23</v>
      </c>
      <c r="F10" s="10" t="str">
        <f t="shared" si="1"/>
        <v>Fail</v>
      </c>
      <c r="G10" s="10" t="str">
        <f t="shared" si="2"/>
        <v>F</v>
      </c>
      <c r="H10" s="11">
        <f t="shared" si="3"/>
        <v>0</v>
      </c>
    </row>
    <row r="11" spans="1:9" x14ac:dyDescent="0.35">
      <c r="A11" s="10">
        <f>'Student Basic Info'!A11</f>
        <v>710</v>
      </c>
      <c r="B11" s="3">
        <v>6</v>
      </c>
      <c r="C11" s="3">
        <v>8</v>
      </c>
      <c r="D11" s="8">
        <v>10</v>
      </c>
      <c r="E11" s="69">
        <f t="shared" si="0"/>
        <v>24</v>
      </c>
      <c r="F11" s="10" t="str">
        <f t="shared" si="1"/>
        <v>Fail</v>
      </c>
      <c r="G11" s="10" t="str">
        <f t="shared" si="2"/>
        <v>F</v>
      </c>
      <c r="H11" s="11">
        <f t="shared" si="3"/>
        <v>0</v>
      </c>
    </row>
    <row r="12" spans="1:9" x14ac:dyDescent="0.35">
      <c r="A12" s="10">
        <f>'Student Basic Info'!A12</f>
        <v>711</v>
      </c>
      <c r="B12" s="3"/>
      <c r="C12" s="3"/>
      <c r="D12" s="3"/>
      <c r="E12" s="69" t="str">
        <f t="shared" si="0"/>
        <v/>
      </c>
      <c r="F12" s="10" t="str">
        <f t="shared" si="1"/>
        <v/>
      </c>
      <c r="G12" s="10" t="str">
        <f t="shared" si="2"/>
        <v/>
      </c>
      <c r="H12" s="11" t="str">
        <f t="shared" si="3"/>
        <v/>
      </c>
    </row>
    <row r="13" spans="1:9" x14ac:dyDescent="0.35">
      <c r="A13" s="10">
        <f>'Student Basic Info'!A13</f>
        <v>712</v>
      </c>
      <c r="B13" s="3">
        <v>11</v>
      </c>
      <c r="C13" s="3">
        <v>8</v>
      </c>
      <c r="D13" s="3">
        <v>10</v>
      </c>
      <c r="E13" s="69">
        <f t="shared" si="0"/>
        <v>29</v>
      </c>
      <c r="F13" s="10" t="str">
        <f t="shared" si="1"/>
        <v>Fail</v>
      </c>
      <c r="G13" s="10" t="str">
        <f t="shared" si="2"/>
        <v>F</v>
      </c>
      <c r="H13" s="11">
        <f t="shared" si="3"/>
        <v>0</v>
      </c>
    </row>
    <row r="14" spans="1:9" x14ac:dyDescent="0.35">
      <c r="A14" s="10">
        <f>'Student Basic Info'!A14</f>
        <v>713</v>
      </c>
      <c r="B14" s="3">
        <v>13</v>
      </c>
      <c r="C14" s="3">
        <v>3</v>
      </c>
      <c r="D14" s="3">
        <v>10</v>
      </c>
      <c r="E14" s="69">
        <f t="shared" si="0"/>
        <v>26</v>
      </c>
      <c r="F14" s="10" t="str">
        <f t="shared" si="1"/>
        <v>Fail</v>
      </c>
      <c r="G14" s="10" t="str">
        <f t="shared" si="2"/>
        <v>F</v>
      </c>
      <c r="H14" s="11">
        <f t="shared" si="3"/>
        <v>0</v>
      </c>
    </row>
    <row r="15" spans="1:9" x14ac:dyDescent="0.35">
      <c r="A15" s="10">
        <f>'Student Basic Info'!A15</f>
        <v>714</v>
      </c>
      <c r="B15" s="3">
        <v>13</v>
      </c>
      <c r="C15" s="3">
        <v>6</v>
      </c>
      <c r="D15" s="3">
        <v>10</v>
      </c>
      <c r="E15" s="69">
        <f t="shared" si="0"/>
        <v>29</v>
      </c>
      <c r="F15" s="10" t="str">
        <f t="shared" si="1"/>
        <v>Fail</v>
      </c>
      <c r="G15" s="10" t="str">
        <f t="shared" si="2"/>
        <v>F</v>
      </c>
      <c r="H15" s="11">
        <f t="shared" si="3"/>
        <v>0</v>
      </c>
    </row>
    <row r="16" spans="1:9" x14ac:dyDescent="0.35">
      <c r="A16" s="10">
        <f>'Student Basic Info'!A16</f>
        <v>715</v>
      </c>
      <c r="B16" s="3">
        <v>11</v>
      </c>
      <c r="C16" s="3">
        <v>1</v>
      </c>
      <c r="D16" s="3">
        <v>10</v>
      </c>
      <c r="E16" s="69">
        <f t="shared" si="0"/>
        <v>22</v>
      </c>
      <c r="F16" s="10" t="str">
        <f t="shared" si="1"/>
        <v>Fail</v>
      </c>
      <c r="G16" s="10" t="str">
        <f t="shared" si="2"/>
        <v>F</v>
      </c>
      <c r="H16" s="11">
        <f t="shared" si="3"/>
        <v>0</v>
      </c>
    </row>
    <row r="17" spans="1:8" x14ac:dyDescent="0.35">
      <c r="A17" s="10">
        <f>'Student Basic Info'!A17</f>
        <v>716</v>
      </c>
      <c r="B17" s="3">
        <v>10</v>
      </c>
      <c r="C17" s="3">
        <v>1</v>
      </c>
      <c r="D17" s="3">
        <v>10</v>
      </c>
      <c r="E17" s="69">
        <f t="shared" si="0"/>
        <v>21</v>
      </c>
      <c r="F17" s="10" t="str">
        <f t="shared" si="1"/>
        <v>Fail</v>
      </c>
      <c r="G17" s="10" t="str">
        <f t="shared" si="2"/>
        <v>F</v>
      </c>
      <c r="H17" s="11">
        <f t="shared" si="3"/>
        <v>0</v>
      </c>
    </row>
    <row r="18" spans="1:8" x14ac:dyDescent="0.35">
      <c r="A18" s="10">
        <f>'Student Basic Info'!A18</f>
        <v>717</v>
      </c>
      <c r="B18" s="3"/>
      <c r="C18" s="3"/>
      <c r="D18" s="3"/>
      <c r="E18" s="69" t="str">
        <f t="shared" si="0"/>
        <v/>
      </c>
      <c r="F18" s="10" t="str">
        <f t="shared" si="1"/>
        <v/>
      </c>
      <c r="G18" s="10" t="str">
        <f t="shared" si="2"/>
        <v/>
      </c>
      <c r="H18" s="11" t="str">
        <f t="shared" si="3"/>
        <v/>
      </c>
    </row>
    <row r="19" spans="1:8" x14ac:dyDescent="0.35">
      <c r="A19" s="10">
        <f>'Student Basic Info'!A19</f>
        <v>718</v>
      </c>
      <c r="B19" s="3"/>
      <c r="C19" s="3"/>
      <c r="D19" s="3"/>
      <c r="E19" s="69" t="str">
        <f t="shared" si="0"/>
        <v/>
      </c>
      <c r="F19" s="10" t="str">
        <f t="shared" si="1"/>
        <v/>
      </c>
      <c r="G19" s="10" t="str">
        <f t="shared" si="2"/>
        <v/>
      </c>
      <c r="H19" s="11" t="str">
        <f t="shared" si="3"/>
        <v/>
      </c>
    </row>
    <row r="20" spans="1:8" x14ac:dyDescent="0.35">
      <c r="A20" s="10">
        <f>'Student Basic Info'!A20</f>
        <v>719</v>
      </c>
      <c r="B20" s="3">
        <v>11</v>
      </c>
      <c r="C20" s="3">
        <v>2</v>
      </c>
      <c r="D20" s="3">
        <v>11</v>
      </c>
      <c r="E20" s="69">
        <f t="shared" si="0"/>
        <v>24</v>
      </c>
      <c r="F20" s="10" t="str">
        <f t="shared" si="1"/>
        <v>Fail</v>
      </c>
      <c r="G20" s="10" t="str">
        <f t="shared" si="2"/>
        <v>F</v>
      </c>
      <c r="H20" s="11">
        <f t="shared" si="3"/>
        <v>0</v>
      </c>
    </row>
    <row r="21" spans="1:8" x14ac:dyDescent="0.35">
      <c r="A21" s="10">
        <f>'Student Basic Info'!A21</f>
        <v>720</v>
      </c>
      <c r="B21" s="3">
        <v>7</v>
      </c>
      <c r="C21" s="3">
        <v>2</v>
      </c>
      <c r="D21" s="3">
        <v>8</v>
      </c>
      <c r="E21" s="69">
        <f t="shared" si="0"/>
        <v>17</v>
      </c>
      <c r="F21" s="10" t="str">
        <f t="shared" si="1"/>
        <v>Fail</v>
      </c>
      <c r="G21" s="10" t="str">
        <f t="shared" si="2"/>
        <v>F</v>
      </c>
      <c r="H21" s="11">
        <f t="shared" si="3"/>
        <v>0</v>
      </c>
    </row>
    <row r="22" spans="1:8" x14ac:dyDescent="0.35">
      <c r="A22" s="10">
        <f>'Student Basic Info'!A22</f>
        <v>721</v>
      </c>
      <c r="B22" s="3"/>
      <c r="C22" s="3"/>
      <c r="D22" s="3"/>
      <c r="E22" s="69" t="str">
        <f t="shared" si="0"/>
        <v/>
      </c>
      <c r="F22" s="10" t="str">
        <f t="shared" si="1"/>
        <v/>
      </c>
      <c r="G22" s="10" t="str">
        <f t="shared" si="2"/>
        <v/>
      </c>
      <c r="H22" s="11" t="str">
        <f t="shared" si="3"/>
        <v/>
      </c>
    </row>
    <row r="23" spans="1:8" x14ac:dyDescent="0.35">
      <c r="A23" s="10">
        <f>'Student Basic Info'!A23</f>
        <v>722</v>
      </c>
      <c r="B23" s="3">
        <v>17</v>
      </c>
      <c r="C23" s="3">
        <v>0</v>
      </c>
      <c r="D23" s="3">
        <v>10</v>
      </c>
      <c r="E23" s="69">
        <f t="shared" si="0"/>
        <v>27</v>
      </c>
      <c r="F23" s="10" t="str">
        <f t="shared" si="1"/>
        <v>Fail</v>
      </c>
      <c r="G23" s="10" t="str">
        <f t="shared" si="2"/>
        <v>F</v>
      </c>
      <c r="H23" s="11">
        <f t="shared" si="3"/>
        <v>0</v>
      </c>
    </row>
    <row r="24" spans="1:8" x14ac:dyDescent="0.35">
      <c r="A24" s="10">
        <f>'Student Basic Info'!A24</f>
        <v>723</v>
      </c>
      <c r="B24" s="3">
        <v>18</v>
      </c>
      <c r="C24" s="3">
        <v>38</v>
      </c>
      <c r="D24" s="3">
        <v>24</v>
      </c>
      <c r="E24" s="69">
        <f t="shared" si="0"/>
        <v>80</v>
      </c>
      <c r="F24" s="10" t="str">
        <f t="shared" si="1"/>
        <v>Pass</v>
      </c>
      <c r="G24" s="10" t="str">
        <f t="shared" si="2"/>
        <v>A+</v>
      </c>
      <c r="H24" s="11">
        <f t="shared" si="3"/>
        <v>5</v>
      </c>
    </row>
    <row r="25" spans="1:8" x14ac:dyDescent="0.35">
      <c r="A25" s="10">
        <f>'Student Basic Info'!A25</f>
        <v>724</v>
      </c>
      <c r="B25" s="3">
        <v>16</v>
      </c>
      <c r="C25" s="3">
        <v>1</v>
      </c>
      <c r="D25" s="3">
        <v>11</v>
      </c>
      <c r="E25" s="69">
        <f t="shared" si="0"/>
        <v>28</v>
      </c>
      <c r="F25" s="10" t="str">
        <f t="shared" si="1"/>
        <v>Fail</v>
      </c>
      <c r="G25" s="10" t="str">
        <f t="shared" si="2"/>
        <v>F</v>
      </c>
      <c r="H25" s="11">
        <f t="shared" si="3"/>
        <v>0</v>
      </c>
    </row>
    <row r="26" spans="1:8" x14ac:dyDescent="0.35">
      <c r="A26" s="10">
        <f>'Student Basic Info'!A26</f>
        <v>725</v>
      </c>
      <c r="B26" s="3">
        <v>18</v>
      </c>
      <c r="C26" s="3">
        <v>1</v>
      </c>
      <c r="D26" s="3">
        <v>12</v>
      </c>
      <c r="E26" s="69">
        <f t="shared" si="0"/>
        <v>31</v>
      </c>
      <c r="F26" s="10" t="str">
        <f t="shared" si="1"/>
        <v>Fail</v>
      </c>
      <c r="G26" s="10" t="str">
        <f t="shared" si="2"/>
        <v>F</v>
      </c>
      <c r="H26" s="11">
        <f t="shared" si="3"/>
        <v>0</v>
      </c>
    </row>
    <row r="27" spans="1:8" x14ac:dyDescent="0.35">
      <c r="A27" s="10">
        <f>'Student Basic Info'!A27</f>
        <v>726</v>
      </c>
      <c r="B27" s="3"/>
      <c r="C27" s="3"/>
      <c r="D27" s="3"/>
      <c r="E27" s="69" t="str">
        <f t="shared" si="0"/>
        <v/>
      </c>
      <c r="F27" s="10" t="str">
        <f t="shared" si="1"/>
        <v/>
      </c>
      <c r="G27" s="10" t="str">
        <f t="shared" si="2"/>
        <v/>
      </c>
      <c r="H27" s="11" t="str">
        <f t="shared" si="3"/>
        <v/>
      </c>
    </row>
    <row r="28" spans="1:8" x14ac:dyDescent="0.35">
      <c r="A28" s="10">
        <f>'Student Basic Info'!A28</f>
        <v>727</v>
      </c>
      <c r="B28" s="3">
        <v>9</v>
      </c>
      <c r="C28" s="3">
        <v>5</v>
      </c>
      <c r="D28" s="3">
        <v>10</v>
      </c>
      <c r="E28" s="69">
        <f t="shared" si="0"/>
        <v>24</v>
      </c>
      <c r="F28" s="10" t="str">
        <f t="shared" si="1"/>
        <v>Fail</v>
      </c>
      <c r="G28" s="10" t="str">
        <f t="shared" si="2"/>
        <v>F</v>
      </c>
      <c r="H28" s="11">
        <f t="shared" si="3"/>
        <v>0</v>
      </c>
    </row>
    <row r="29" spans="1:8" x14ac:dyDescent="0.35">
      <c r="A29" s="10">
        <f>'Student Basic Info'!A29</f>
        <v>728</v>
      </c>
      <c r="B29" s="3">
        <v>15</v>
      </c>
      <c r="C29" s="3">
        <v>0</v>
      </c>
      <c r="D29" s="3">
        <v>10</v>
      </c>
      <c r="E29" s="69">
        <f t="shared" si="0"/>
        <v>25</v>
      </c>
      <c r="F29" s="10" t="str">
        <f t="shared" si="1"/>
        <v>Fail</v>
      </c>
      <c r="G29" s="10" t="str">
        <f t="shared" si="2"/>
        <v>F</v>
      </c>
      <c r="H29" s="11">
        <f t="shared" si="3"/>
        <v>0</v>
      </c>
    </row>
    <row r="30" spans="1:8" x14ac:dyDescent="0.35">
      <c r="A30" s="10">
        <f>'Student Basic Info'!A30</f>
        <v>729</v>
      </c>
      <c r="B30" s="3">
        <v>13</v>
      </c>
      <c r="C30" s="3">
        <v>1</v>
      </c>
      <c r="D30" s="3">
        <v>10</v>
      </c>
      <c r="E30" s="69">
        <f t="shared" si="0"/>
        <v>24</v>
      </c>
      <c r="F30" s="10" t="str">
        <f t="shared" si="1"/>
        <v>Fail</v>
      </c>
      <c r="G30" s="10" t="str">
        <f t="shared" si="2"/>
        <v>F</v>
      </c>
      <c r="H30" s="11">
        <f t="shared" si="3"/>
        <v>0</v>
      </c>
    </row>
    <row r="31" spans="1:8" x14ac:dyDescent="0.35">
      <c r="A31" s="10">
        <f>'Student Basic Info'!A31</f>
        <v>730</v>
      </c>
      <c r="B31" s="3">
        <v>13</v>
      </c>
      <c r="C31" s="3">
        <v>0</v>
      </c>
      <c r="D31" s="3">
        <v>10</v>
      </c>
      <c r="E31" s="69">
        <f t="shared" si="0"/>
        <v>23</v>
      </c>
      <c r="F31" s="10" t="str">
        <f t="shared" si="1"/>
        <v>Fail</v>
      </c>
      <c r="G31" s="10" t="str">
        <f t="shared" si="2"/>
        <v>F</v>
      </c>
      <c r="H31" s="11">
        <f t="shared" si="3"/>
        <v>0</v>
      </c>
    </row>
    <row r="32" spans="1:8" x14ac:dyDescent="0.35">
      <c r="A32" s="10">
        <f>'Student Basic Info'!A32</f>
        <v>731</v>
      </c>
      <c r="B32" s="3">
        <v>9</v>
      </c>
      <c r="C32" s="3">
        <v>2</v>
      </c>
      <c r="D32" s="3">
        <v>10</v>
      </c>
      <c r="E32" s="69">
        <f t="shared" si="0"/>
        <v>21</v>
      </c>
      <c r="F32" s="10" t="str">
        <f t="shared" si="1"/>
        <v>Fail</v>
      </c>
      <c r="G32" s="10" t="str">
        <f t="shared" si="2"/>
        <v>F</v>
      </c>
      <c r="H32" s="11">
        <f t="shared" si="3"/>
        <v>0</v>
      </c>
    </row>
    <row r="33" spans="1:8" x14ac:dyDescent="0.35">
      <c r="A33" s="10">
        <f>'Student Basic Info'!A33</f>
        <v>732</v>
      </c>
      <c r="B33" s="3">
        <v>16</v>
      </c>
      <c r="C33" s="3">
        <v>0</v>
      </c>
      <c r="D33" s="3">
        <v>10</v>
      </c>
      <c r="E33" s="69">
        <f t="shared" si="0"/>
        <v>26</v>
      </c>
      <c r="F33" s="10" t="str">
        <f t="shared" si="1"/>
        <v>Fail</v>
      </c>
      <c r="G33" s="10" t="str">
        <f t="shared" si="2"/>
        <v>F</v>
      </c>
      <c r="H33" s="11">
        <f t="shared" si="3"/>
        <v>0</v>
      </c>
    </row>
    <row r="34" spans="1:8" x14ac:dyDescent="0.35">
      <c r="A34" s="10">
        <f>'Student Basic Info'!A34</f>
        <v>733</v>
      </c>
      <c r="B34" s="3">
        <v>6</v>
      </c>
      <c r="C34" s="3">
        <v>1</v>
      </c>
      <c r="D34" s="3">
        <v>9</v>
      </c>
      <c r="E34" s="69">
        <f t="shared" si="0"/>
        <v>16</v>
      </c>
      <c r="F34" s="10" t="str">
        <f t="shared" si="1"/>
        <v>Fail</v>
      </c>
      <c r="G34" s="10" t="str">
        <f t="shared" si="2"/>
        <v>F</v>
      </c>
      <c r="H34" s="11">
        <f t="shared" si="3"/>
        <v>0</v>
      </c>
    </row>
    <row r="35" spans="1:8" x14ac:dyDescent="0.35">
      <c r="A35" s="10">
        <f>'Student Basic Info'!A35</f>
        <v>734</v>
      </c>
      <c r="B35" s="3">
        <v>16</v>
      </c>
      <c r="C35" s="3">
        <v>0</v>
      </c>
      <c r="D35" s="3">
        <v>10</v>
      </c>
      <c r="E35" s="69">
        <f t="shared" si="0"/>
        <v>26</v>
      </c>
      <c r="F35" s="10" t="str">
        <f t="shared" si="1"/>
        <v>Fail</v>
      </c>
      <c r="G35" s="10" t="str">
        <f t="shared" si="2"/>
        <v>F</v>
      </c>
      <c r="H35" s="11">
        <f t="shared" si="3"/>
        <v>0</v>
      </c>
    </row>
    <row r="36" spans="1:8" x14ac:dyDescent="0.35">
      <c r="A36" s="10">
        <f>'Student Basic Info'!A36</f>
        <v>735</v>
      </c>
      <c r="B36" s="144">
        <v>7</v>
      </c>
      <c r="C36" s="3">
        <v>1</v>
      </c>
      <c r="D36" s="3">
        <v>10</v>
      </c>
      <c r="E36" s="69">
        <f t="shared" si="0"/>
        <v>18</v>
      </c>
      <c r="F36" s="10" t="str">
        <f t="shared" si="1"/>
        <v>Fail</v>
      </c>
      <c r="G36" s="10" t="str">
        <f t="shared" si="2"/>
        <v>F</v>
      </c>
      <c r="H36" s="11">
        <f t="shared" si="3"/>
        <v>0</v>
      </c>
    </row>
    <row r="37" spans="1:8" x14ac:dyDescent="0.35">
      <c r="A37" s="10">
        <f>'Student Basic Info'!A37</f>
        <v>736</v>
      </c>
      <c r="B37" s="3"/>
      <c r="C37" s="3"/>
      <c r="D37" s="3"/>
      <c r="E37" s="69" t="str">
        <f t="shared" si="0"/>
        <v/>
      </c>
      <c r="F37" s="10" t="str">
        <f t="shared" si="1"/>
        <v/>
      </c>
      <c r="G37" s="10" t="str">
        <f t="shared" si="2"/>
        <v/>
      </c>
      <c r="H37" s="11" t="str">
        <f t="shared" si="3"/>
        <v/>
      </c>
    </row>
    <row r="38" spans="1:8" x14ac:dyDescent="0.35">
      <c r="A38" s="10">
        <f>'Student Basic Info'!A38</f>
        <v>737</v>
      </c>
      <c r="B38" s="3">
        <v>4</v>
      </c>
      <c r="C38" s="3">
        <v>4</v>
      </c>
      <c r="D38" s="3">
        <v>9</v>
      </c>
      <c r="E38" s="69">
        <f t="shared" si="0"/>
        <v>17</v>
      </c>
      <c r="F38" s="10" t="str">
        <f t="shared" si="1"/>
        <v>Fail</v>
      </c>
      <c r="G38" s="10" t="str">
        <f t="shared" si="2"/>
        <v>F</v>
      </c>
      <c r="H38" s="11">
        <f t="shared" si="3"/>
        <v>0</v>
      </c>
    </row>
    <row r="39" spans="1:8" x14ac:dyDescent="0.35">
      <c r="A39" s="10">
        <f>'Student Basic Info'!A39</f>
        <v>738</v>
      </c>
      <c r="B39" s="3">
        <v>6</v>
      </c>
      <c r="C39" s="3">
        <v>1</v>
      </c>
      <c r="D39" s="3">
        <v>8</v>
      </c>
      <c r="E39" s="69">
        <f t="shared" si="0"/>
        <v>15</v>
      </c>
      <c r="F39" s="10" t="str">
        <f t="shared" si="1"/>
        <v>Fail</v>
      </c>
      <c r="G39" s="10" t="str">
        <f t="shared" si="2"/>
        <v>F</v>
      </c>
      <c r="H39" s="11">
        <f t="shared" si="3"/>
        <v>0</v>
      </c>
    </row>
    <row r="40" spans="1:8" x14ac:dyDescent="0.35">
      <c r="A40" s="10">
        <f>'Student Basic Info'!A40</f>
        <v>739</v>
      </c>
      <c r="B40" s="3">
        <v>6</v>
      </c>
      <c r="C40" s="3">
        <v>1</v>
      </c>
      <c r="D40" s="3">
        <v>8</v>
      </c>
      <c r="E40" s="69">
        <f t="shared" si="0"/>
        <v>15</v>
      </c>
      <c r="F40" s="10" t="str">
        <f t="shared" si="1"/>
        <v>Fail</v>
      </c>
      <c r="G40" s="10" t="str">
        <f t="shared" si="2"/>
        <v>F</v>
      </c>
      <c r="H40" s="11">
        <f t="shared" si="3"/>
        <v>0</v>
      </c>
    </row>
    <row r="41" spans="1:8" x14ac:dyDescent="0.35">
      <c r="A41" s="10">
        <f>'Student Basic Info'!A41</f>
        <v>740</v>
      </c>
      <c r="B41" s="3">
        <v>8</v>
      </c>
      <c r="C41" s="3">
        <v>1</v>
      </c>
      <c r="D41" s="3">
        <v>8</v>
      </c>
      <c r="E41" s="69">
        <f t="shared" si="0"/>
        <v>17</v>
      </c>
      <c r="F41" s="10" t="str">
        <f t="shared" si="1"/>
        <v>Fail</v>
      </c>
      <c r="G41" s="10" t="str">
        <f t="shared" si="2"/>
        <v>F</v>
      </c>
      <c r="H41" s="11">
        <f t="shared" si="3"/>
        <v>0</v>
      </c>
    </row>
    <row r="42" spans="1:8" x14ac:dyDescent="0.35">
      <c r="A42" s="10">
        <f>'Student Basic Info'!A42</f>
        <v>741</v>
      </c>
      <c r="B42" s="3">
        <v>7</v>
      </c>
      <c r="C42" s="3">
        <v>3</v>
      </c>
      <c r="D42" s="3">
        <v>10</v>
      </c>
      <c r="E42" s="69">
        <f t="shared" si="0"/>
        <v>20</v>
      </c>
      <c r="F42" s="10" t="str">
        <f t="shared" si="1"/>
        <v>Fail</v>
      </c>
      <c r="G42" s="10" t="str">
        <f t="shared" si="2"/>
        <v>F</v>
      </c>
      <c r="H42" s="11">
        <f t="shared" si="3"/>
        <v>0</v>
      </c>
    </row>
    <row r="43" spans="1:8" x14ac:dyDescent="0.35">
      <c r="A43" s="10">
        <f>'Student Basic Info'!A43</f>
        <v>742</v>
      </c>
      <c r="B43" s="3"/>
      <c r="C43" s="3"/>
      <c r="D43" s="3"/>
      <c r="E43" s="69" t="str">
        <f t="shared" si="0"/>
        <v/>
      </c>
      <c r="F43" s="10" t="str">
        <f t="shared" si="1"/>
        <v/>
      </c>
      <c r="G43" s="10" t="str">
        <f t="shared" si="2"/>
        <v/>
      </c>
      <c r="H43" s="11" t="str">
        <f t="shared" si="3"/>
        <v/>
      </c>
    </row>
    <row r="44" spans="1:8" x14ac:dyDescent="0.35">
      <c r="A44" s="10">
        <f>'Student Basic Info'!A44</f>
        <v>743</v>
      </c>
      <c r="B44" s="3">
        <v>6</v>
      </c>
      <c r="C44" s="3">
        <v>1</v>
      </c>
      <c r="D44" s="3">
        <v>8</v>
      </c>
      <c r="E44" s="69">
        <f t="shared" si="0"/>
        <v>15</v>
      </c>
      <c r="F44" s="10" t="str">
        <f t="shared" si="1"/>
        <v>Fail</v>
      </c>
      <c r="G44" s="10" t="str">
        <f t="shared" si="2"/>
        <v>F</v>
      </c>
      <c r="H44" s="11">
        <f t="shared" si="3"/>
        <v>0</v>
      </c>
    </row>
    <row r="45" spans="1:8" x14ac:dyDescent="0.35">
      <c r="A45" s="10">
        <f>'Student Basic Info'!A45</f>
        <v>744</v>
      </c>
      <c r="B45" s="3">
        <v>11</v>
      </c>
      <c r="C45" s="3">
        <v>0</v>
      </c>
      <c r="D45" s="3">
        <v>9</v>
      </c>
      <c r="E45" s="69">
        <f t="shared" si="0"/>
        <v>20</v>
      </c>
      <c r="F45" s="10" t="str">
        <f t="shared" si="1"/>
        <v>Fail</v>
      </c>
      <c r="G45" s="10" t="str">
        <f t="shared" si="2"/>
        <v>F</v>
      </c>
      <c r="H45" s="11">
        <f t="shared" si="3"/>
        <v>0</v>
      </c>
    </row>
    <row r="46" spans="1:8" x14ac:dyDescent="0.35">
      <c r="A46" s="10">
        <f>'Student Basic Info'!A46</f>
        <v>745</v>
      </c>
      <c r="B46" s="3">
        <v>11</v>
      </c>
      <c r="C46" s="3">
        <v>30</v>
      </c>
      <c r="D46" s="3">
        <v>19</v>
      </c>
      <c r="E46" s="69">
        <f t="shared" si="0"/>
        <v>60</v>
      </c>
      <c r="F46" s="10" t="str">
        <f t="shared" si="1"/>
        <v>Pass</v>
      </c>
      <c r="G46" s="10" t="str">
        <f t="shared" si="2"/>
        <v>A-</v>
      </c>
      <c r="H46" s="11">
        <f t="shared" si="3"/>
        <v>3.5</v>
      </c>
    </row>
    <row r="47" spans="1:8" x14ac:dyDescent="0.35">
      <c r="A47" s="10">
        <f>'Student Basic Info'!A47</f>
        <v>746</v>
      </c>
      <c r="B47" s="3">
        <v>8</v>
      </c>
      <c r="C47" s="3">
        <v>12</v>
      </c>
      <c r="D47" s="3">
        <v>15</v>
      </c>
      <c r="E47" s="69">
        <f t="shared" si="0"/>
        <v>35</v>
      </c>
      <c r="F47" s="10" t="str">
        <f t="shared" si="1"/>
        <v>Fail</v>
      </c>
      <c r="G47" s="10" t="str">
        <f t="shared" si="2"/>
        <v>F</v>
      </c>
      <c r="H47" s="11">
        <f t="shared" si="3"/>
        <v>0</v>
      </c>
    </row>
    <row r="48" spans="1:8" x14ac:dyDescent="0.35">
      <c r="A48" s="10">
        <f>'Student Basic Info'!A48</f>
        <v>747</v>
      </c>
      <c r="B48" s="3">
        <v>14</v>
      </c>
      <c r="C48" s="3">
        <v>1</v>
      </c>
      <c r="D48" s="3">
        <v>10</v>
      </c>
      <c r="E48" s="69">
        <f t="shared" si="0"/>
        <v>25</v>
      </c>
      <c r="F48" s="10" t="str">
        <f t="shared" si="1"/>
        <v>Fail</v>
      </c>
      <c r="G48" s="10" t="str">
        <f t="shared" si="2"/>
        <v>F</v>
      </c>
      <c r="H48" s="11">
        <f t="shared" si="3"/>
        <v>0</v>
      </c>
    </row>
    <row r="49" spans="1:8" x14ac:dyDescent="0.35">
      <c r="A49" s="10">
        <f>'Student Basic Info'!A49</f>
        <v>748</v>
      </c>
      <c r="B49" s="3">
        <v>4</v>
      </c>
      <c r="C49" s="3">
        <v>1</v>
      </c>
      <c r="D49" s="3">
        <v>8</v>
      </c>
      <c r="E49" s="69">
        <f t="shared" si="0"/>
        <v>13</v>
      </c>
      <c r="F49" s="10" t="str">
        <f t="shared" si="1"/>
        <v>Fail</v>
      </c>
      <c r="G49" s="10" t="str">
        <f t="shared" si="2"/>
        <v>F</v>
      </c>
      <c r="H49" s="11">
        <f t="shared" si="3"/>
        <v>0</v>
      </c>
    </row>
    <row r="50" spans="1:8" x14ac:dyDescent="0.35">
      <c r="A50" s="10">
        <f>'Student Basic Info'!A50</f>
        <v>749</v>
      </c>
      <c r="B50" s="3">
        <v>6</v>
      </c>
      <c r="C50" s="3">
        <v>0</v>
      </c>
      <c r="D50" s="3">
        <v>8</v>
      </c>
      <c r="E50" s="69">
        <f t="shared" si="0"/>
        <v>14</v>
      </c>
      <c r="F50" s="10" t="str">
        <f t="shared" si="1"/>
        <v>Fail</v>
      </c>
      <c r="G50" s="10" t="str">
        <f t="shared" si="2"/>
        <v>F</v>
      </c>
      <c r="H50" s="11">
        <f t="shared" si="3"/>
        <v>0</v>
      </c>
    </row>
    <row r="51" spans="1:8" x14ac:dyDescent="0.35">
      <c r="A51" s="10">
        <f>'Student Basic Info'!A51</f>
        <v>750</v>
      </c>
      <c r="B51" s="3"/>
      <c r="C51" s="3"/>
      <c r="D51" s="3"/>
      <c r="E51" s="69" t="str">
        <f t="shared" si="0"/>
        <v/>
      </c>
      <c r="F51" s="10" t="str">
        <f t="shared" si="1"/>
        <v/>
      </c>
      <c r="G51" s="10" t="str">
        <f t="shared" si="2"/>
        <v/>
      </c>
      <c r="H51" s="11" t="str">
        <f t="shared" si="3"/>
        <v/>
      </c>
    </row>
    <row r="52" spans="1:8" x14ac:dyDescent="0.35">
      <c r="A52" s="10">
        <f>'Student Basic Info'!A52</f>
        <v>751</v>
      </c>
      <c r="B52" s="3"/>
      <c r="C52" s="3"/>
      <c r="D52" s="3"/>
      <c r="E52" s="69" t="str">
        <f t="shared" si="0"/>
        <v/>
      </c>
      <c r="F52" s="10" t="str">
        <f t="shared" si="1"/>
        <v/>
      </c>
      <c r="G52" s="10" t="str">
        <f t="shared" si="2"/>
        <v/>
      </c>
      <c r="H52" s="11" t="str">
        <f t="shared" si="3"/>
        <v/>
      </c>
    </row>
    <row r="53" spans="1:8" x14ac:dyDescent="0.35">
      <c r="A53" s="10">
        <f>'Student Basic Info'!A53</f>
        <v>752</v>
      </c>
      <c r="B53" s="3"/>
      <c r="C53" s="3"/>
      <c r="D53" s="3"/>
      <c r="E53" s="69" t="str">
        <f t="shared" si="0"/>
        <v/>
      </c>
      <c r="F53" s="10" t="str">
        <f t="shared" si="1"/>
        <v/>
      </c>
      <c r="G53" s="10" t="str">
        <f t="shared" si="2"/>
        <v/>
      </c>
      <c r="H53" s="11" t="str">
        <f t="shared" si="3"/>
        <v/>
      </c>
    </row>
    <row r="54" spans="1:8" x14ac:dyDescent="0.35">
      <c r="A54" s="10">
        <f>'Student Basic Info'!A54</f>
        <v>753</v>
      </c>
      <c r="B54" s="3">
        <v>17</v>
      </c>
      <c r="C54" s="3">
        <v>0</v>
      </c>
      <c r="D54" s="3">
        <v>12</v>
      </c>
      <c r="E54" s="69">
        <f t="shared" si="0"/>
        <v>29</v>
      </c>
      <c r="F54" s="10" t="str">
        <f t="shared" si="1"/>
        <v>Fail</v>
      </c>
      <c r="G54" s="10" t="str">
        <f t="shared" si="2"/>
        <v>F</v>
      </c>
      <c r="H54" s="11">
        <f t="shared" si="3"/>
        <v>0</v>
      </c>
    </row>
    <row r="55" spans="1:8" x14ac:dyDescent="0.35">
      <c r="A55" s="10">
        <f>'Student Basic Info'!A55</f>
        <v>754</v>
      </c>
      <c r="B55" s="3">
        <v>8</v>
      </c>
      <c r="C55" s="3">
        <v>0</v>
      </c>
      <c r="D55" s="3">
        <v>8</v>
      </c>
      <c r="E55" s="69">
        <f t="shared" si="0"/>
        <v>16</v>
      </c>
      <c r="F55" s="10" t="str">
        <f t="shared" si="1"/>
        <v>Fail</v>
      </c>
      <c r="G55" s="10" t="str">
        <f t="shared" si="2"/>
        <v>F</v>
      </c>
      <c r="H55" s="11">
        <f t="shared" si="3"/>
        <v>0</v>
      </c>
    </row>
    <row r="56" spans="1:8" x14ac:dyDescent="0.35">
      <c r="A56" s="10">
        <f>'Student Basic Info'!A56</f>
        <v>755</v>
      </c>
      <c r="B56" s="3">
        <v>4</v>
      </c>
      <c r="C56" s="3">
        <v>0</v>
      </c>
      <c r="D56" s="3">
        <v>8</v>
      </c>
      <c r="E56" s="69">
        <f t="shared" si="0"/>
        <v>12</v>
      </c>
      <c r="F56" s="10" t="str">
        <f t="shared" si="1"/>
        <v>Fail</v>
      </c>
      <c r="G56" s="10" t="str">
        <f t="shared" si="2"/>
        <v>F</v>
      </c>
      <c r="H56" s="11">
        <f t="shared" si="3"/>
        <v>0</v>
      </c>
    </row>
    <row r="57" spans="1:8" x14ac:dyDescent="0.35">
      <c r="A57" s="10">
        <f>'Student Basic Info'!A57</f>
        <v>756</v>
      </c>
      <c r="B57" s="3">
        <v>11</v>
      </c>
      <c r="C57" s="3">
        <v>1</v>
      </c>
      <c r="D57" s="3">
        <v>9</v>
      </c>
      <c r="E57" s="69">
        <f t="shared" si="0"/>
        <v>21</v>
      </c>
      <c r="F57" s="10" t="str">
        <f t="shared" si="1"/>
        <v>Fail</v>
      </c>
      <c r="G57" s="10" t="str">
        <f t="shared" si="2"/>
        <v>F</v>
      </c>
      <c r="H57" s="11">
        <f t="shared" si="3"/>
        <v>0</v>
      </c>
    </row>
    <row r="58" spans="1:8" x14ac:dyDescent="0.35">
      <c r="A58" s="10">
        <f>'Student Basic Info'!A58</f>
        <v>757</v>
      </c>
      <c r="B58" s="3">
        <v>15</v>
      </c>
      <c r="C58" s="3">
        <v>1</v>
      </c>
      <c r="D58" s="3">
        <v>10</v>
      </c>
      <c r="E58" s="69">
        <f t="shared" si="0"/>
        <v>26</v>
      </c>
      <c r="F58" s="10" t="str">
        <f t="shared" si="1"/>
        <v>Fail</v>
      </c>
      <c r="G58" s="10" t="str">
        <f t="shared" si="2"/>
        <v>F</v>
      </c>
      <c r="H58" s="11">
        <f t="shared" si="3"/>
        <v>0</v>
      </c>
    </row>
    <row r="59" spans="1:8" x14ac:dyDescent="0.35">
      <c r="A59" s="10">
        <f>'Student Basic Info'!A59</f>
        <v>758</v>
      </c>
      <c r="B59" s="3">
        <v>13</v>
      </c>
      <c r="C59" s="3">
        <v>2</v>
      </c>
      <c r="D59" s="3">
        <v>12</v>
      </c>
      <c r="E59" s="69">
        <f t="shared" si="0"/>
        <v>27</v>
      </c>
      <c r="F59" s="10" t="str">
        <f t="shared" si="1"/>
        <v>Fail</v>
      </c>
      <c r="G59" s="10" t="str">
        <f t="shared" si="2"/>
        <v>F</v>
      </c>
      <c r="H59" s="11">
        <f t="shared" si="3"/>
        <v>0</v>
      </c>
    </row>
    <row r="60" spans="1:8" x14ac:dyDescent="0.35">
      <c r="A60" s="10">
        <f>'Student Basic Info'!A60</f>
        <v>759</v>
      </c>
      <c r="B60" s="3">
        <v>19</v>
      </c>
      <c r="C60" s="3">
        <v>38</v>
      </c>
      <c r="D60" s="3">
        <v>23</v>
      </c>
      <c r="E60" s="69">
        <f t="shared" si="0"/>
        <v>80</v>
      </c>
      <c r="F60" s="10" t="str">
        <f t="shared" si="1"/>
        <v>Pass</v>
      </c>
      <c r="G60" s="10" t="str">
        <f t="shared" si="2"/>
        <v>A+</v>
      </c>
      <c r="H60" s="11">
        <f t="shared" si="3"/>
        <v>5</v>
      </c>
    </row>
    <row r="61" spans="1:8" x14ac:dyDescent="0.35">
      <c r="A61" s="10">
        <f>'Student Basic Info'!A61</f>
        <v>760</v>
      </c>
      <c r="B61" s="3">
        <v>14</v>
      </c>
      <c r="C61" s="3">
        <v>1</v>
      </c>
      <c r="D61" s="3">
        <v>12</v>
      </c>
      <c r="E61" s="69">
        <f t="shared" si="0"/>
        <v>27</v>
      </c>
      <c r="F61" s="10" t="str">
        <f t="shared" si="1"/>
        <v>Fail</v>
      </c>
      <c r="G61" s="10" t="str">
        <f t="shared" si="2"/>
        <v>F</v>
      </c>
      <c r="H61" s="11">
        <f t="shared" si="3"/>
        <v>0</v>
      </c>
    </row>
    <row r="62" spans="1:8" x14ac:dyDescent="0.35">
      <c r="A62" s="10">
        <f>'Student Basic Info'!A62</f>
        <v>761</v>
      </c>
      <c r="B62" s="3">
        <v>14</v>
      </c>
      <c r="C62" s="3">
        <v>0</v>
      </c>
      <c r="D62" s="3">
        <v>10</v>
      </c>
      <c r="E62" s="69">
        <f t="shared" si="0"/>
        <v>24</v>
      </c>
      <c r="F62" s="10" t="str">
        <f t="shared" si="1"/>
        <v>Fail</v>
      </c>
      <c r="G62" s="10" t="str">
        <f t="shared" si="2"/>
        <v>F</v>
      </c>
      <c r="H62" s="11">
        <f t="shared" si="3"/>
        <v>0</v>
      </c>
    </row>
    <row r="63" spans="1:8" x14ac:dyDescent="0.35">
      <c r="A63" s="10">
        <f>'Student Basic Info'!A63</f>
        <v>762</v>
      </c>
      <c r="B63" s="3">
        <v>5</v>
      </c>
      <c r="C63" s="3">
        <v>0</v>
      </c>
      <c r="D63" s="3">
        <v>8</v>
      </c>
      <c r="E63" s="69">
        <f t="shared" si="0"/>
        <v>13</v>
      </c>
      <c r="F63" s="10" t="str">
        <f t="shared" si="1"/>
        <v>Fail</v>
      </c>
      <c r="G63" s="10" t="str">
        <f t="shared" si="2"/>
        <v>F</v>
      </c>
      <c r="H63" s="11">
        <f t="shared" si="3"/>
        <v>0</v>
      </c>
    </row>
    <row r="64" spans="1:8" x14ac:dyDescent="0.35">
      <c r="A64" s="10">
        <f>'Student Basic Info'!A64</f>
        <v>763</v>
      </c>
      <c r="B64" s="3">
        <v>17</v>
      </c>
      <c r="C64" s="3">
        <v>0</v>
      </c>
      <c r="D64" s="3">
        <v>12</v>
      </c>
      <c r="E64" s="69">
        <f t="shared" si="0"/>
        <v>29</v>
      </c>
      <c r="F64" s="10" t="str">
        <f t="shared" si="1"/>
        <v>Fail</v>
      </c>
      <c r="G64" s="10" t="str">
        <f t="shared" si="2"/>
        <v>F</v>
      </c>
      <c r="H64" s="11">
        <f t="shared" si="3"/>
        <v>0</v>
      </c>
    </row>
    <row r="65" spans="1:8" x14ac:dyDescent="0.35">
      <c r="A65" s="10">
        <f>'Student Basic Info'!A65</f>
        <v>764</v>
      </c>
      <c r="B65" s="3">
        <v>17</v>
      </c>
      <c r="C65" s="3">
        <v>0</v>
      </c>
      <c r="D65" s="3">
        <v>12</v>
      </c>
      <c r="E65" s="69">
        <f t="shared" si="0"/>
        <v>29</v>
      </c>
      <c r="F65" s="10" t="str">
        <f t="shared" si="1"/>
        <v>Fail</v>
      </c>
      <c r="G65" s="10" t="str">
        <f t="shared" si="2"/>
        <v>F</v>
      </c>
      <c r="H65" s="11">
        <f t="shared" si="3"/>
        <v>0</v>
      </c>
    </row>
    <row r="66" spans="1:8" x14ac:dyDescent="0.35">
      <c r="A66" s="10">
        <f>'Student Basic Info'!A66</f>
        <v>765</v>
      </c>
      <c r="B66" s="3">
        <v>13</v>
      </c>
      <c r="C66" s="3">
        <v>12</v>
      </c>
      <c r="D66" s="3">
        <v>11</v>
      </c>
      <c r="E66" s="69">
        <f t="shared" si="0"/>
        <v>36</v>
      </c>
      <c r="F66" s="10" t="str">
        <f t="shared" si="1"/>
        <v>Fail</v>
      </c>
      <c r="G66" s="10" t="str">
        <f t="shared" si="2"/>
        <v>F</v>
      </c>
      <c r="H66" s="11">
        <f t="shared" si="3"/>
        <v>0</v>
      </c>
    </row>
    <row r="67" spans="1:8" x14ac:dyDescent="0.35">
      <c r="A67" s="10">
        <f>'Student Basic Info'!A67</f>
        <v>766</v>
      </c>
      <c r="B67" s="3">
        <v>13</v>
      </c>
      <c r="C67" s="3">
        <v>11</v>
      </c>
      <c r="D67" s="3">
        <v>15</v>
      </c>
      <c r="E67" s="69">
        <f t="shared" ref="E67:E87" si="4">IF(B67+C67=0, "", B67+C67+D67)</f>
        <v>39</v>
      </c>
      <c r="F67" s="10" t="str">
        <f t="shared" ref="F67:F88" si="5">IF(E67="","", IF(AND(B67 &gt;=8,C67&gt;=17,D67&gt;=8),"Pass","Fail"))</f>
        <v>Fail</v>
      </c>
      <c r="G67" s="10" t="str">
        <f t="shared" ref="G67:G87" si="6">(IF(E67="","",IF(F67="Fail","F",IF(E67&gt;=80,"A+",IF(E67&gt;=70,"A",IF(E67&gt;=60,"A-",IF(E67&gt;=50,"B",IF(E67&gt;=40,"C",IF(E67&gt;=33,"D","F")))))))))</f>
        <v>F</v>
      </c>
      <c r="H67" s="11">
        <f t="shared" ref="H67:H87" si="7">(IF(E67="","",IF(G67="F",0,IF(E67&gt;=80,5,IF(E67&gt;=70,4,IF(E67&gt;=60,3.5,IF(E67&gt;=50,3,IF(E67&gt;=40,2,IF(E67&gt;=33,1,0)))))))))</f>
        <v>0</v>
      </c>
    </row>
    <row r="68" spans="1:8" x14ac:dyDescent="0.35">
      <c r="A68" s="10">
        <f>'Student Basic Info'!A68</f>
        <v>767</v>
      </c>
      <c r="B68" s="3">
        <v>11</v>
      </c>
      <c r="C68" s="3">
        <v>12</v>
      </c>
      <c r="D68" s="3">
        <v>12</v>
      </c>
      <c r="E68" s="69">
        <f t="shared" si="4"/>
        <v>35</v>
      </c>
      <c r="F68" s="10" t="str">
        <f t="shared" si="5"/>
        <v>Fail</v>
      </c>
      <c r="G68" s="10" t="str">
        <f t="shared" si="6"/>
        <v>F</v>
      </c>
      <c r="H68" s="11">
        <f t="shared" si="7"/>
        <v>0</v>
      </c>
    </row>
    <row r="69" spans="1:8" x14ac:dyDescent="0.35">
      <c r="A69" s="10">
        <f>'Student Basic Info'!A69</f>
        <v>768</v>
      </c>
      <c r="B69" s="3">
        <v>9</v>
      </c>
      <c r="C69" s="3">
        <v>0</v>
      </c>
      <c r="D69" s="3">
        <v>9</v>
      </c>
      <c r="E69" s="69">
        <f t="shared" si="4"/>
        <v>18</v>
      </c>
      <c r="F69" s="10" t="str">
        <f t="shared" si="5"/>
        <v>Fail</v>
      </c>
      <c r="G69" s="10" t="str">
        <f t="shared" si="6"/>
        <v>F</v>
      </c>
      <c r="H69" s="11">
        <f t="shared" si="7"/>
        <v>0</v>
      </c>
    </row>
    <row r="70" spans="1:8" x14ac:dyDescent="0.35">
      <c r="A70" s="10">
        <f>'Student Basic Info'!A70</f>
        <v>769</v>
      </c>
      <c r="B70" s="3">
        <v>15</v>
      </c>
      <c r="C70" s="3">
        <v>0</v>
      </c>
      <c r="D70" s="3">
        <v>9</v>
      </c>
      <c r="E70" s="69">
        <f t="shared" si="4"/>
        <v>24</v>
      </c>
      <c r="F70" s="10" t="str">
        <f t="shared" si="5"/>
        <v>Fail</v>
      </c>
      <c r="G70" s="10" t="str">
        <f t="shared" si="6"/>
        <v>F</v>
      </c>
      <c r="H70" s="11">
        <f t="shared" si="7"/>
        <v>0</v>
      </c>
    </row>
    <row r="71" spans="1:8" x14ac:dyDescent="0.35">
      <c r="A71" s="10">
        <f>'Student Basic Info'!A71</f>
        <v>770</v>
      </c>
      <c r="B71" s="3">
        <v>6</v>
      </c>
      <c r="C71" s="3">
        <v>0</v>
      </c>
      <c r="D71" s="3">
        <v>8</v>
      </c>
      <c r="E71" s="69">
        <f t="shared" si="4"/>
        <v>14</v>
      </c>
      <c r="F71" s="10" t="str">
        <f t="shared" si="5"/>
        <v>Fail</v>
      </c>
      <c r="G71" s="10" t="str">
        <f t="shared" si="6"/>
        <v>F</v>
      </c>
      <c r="H71" s="11">
        <f t="shared" si="7"/>
        <v>0</v>
      </c>
    </row>
    <row r="72" spans="1:8" x14ac:dyDescent="0.35">
      <c r="A72" s="10">
        <f>'Student Basic Info'!A72</f>
        <v>771</v>
      </c>
      <c r="B72" s="3"/>
      <c r="C72" s="3"/>
      <c r="D72" s="3"/>
      <c r="E72" s="69" t="str">
        <f t="shared" si="4"/>
        <v/>
      </c>
      <c r="F72" s="10" t="str">
        <f t="shared" si="5"/>
        <v/>
      </c>
      <c r="G72" s="10" t="str">
        <f t="shared" si="6"/>
        <v/>
      </c>
      <c r="H72" s="11" t="str">
        <f t="shared" si="7"/>
        <v/>
      </c>
    </row>
    <row r="73" spans="1:8" x14ac:dyDescent="0.35">
      <c r="A73" s="10">
        <f>'Student Basic Info'!A73</f>
        <v>772</v>
      </c>
      <c r="B73" s="3">
        <v>7</v>
      </c>
      <c r="C73" s="3">
        <v>0</v>
      </c>
      <c r="D73" s="3">
        <v>8</v>
      </c>
      <c r="E73" s="69">
        <f t="shared" si="4"/>
        <v>15</v>
      </c>
      <c r="F73" s="10" t="str">
        <f t="shared" si="5"/>
        <v>Fail</v>
      </c>
      <c r="G73" s="10" t="str">
        <f t="shared" si="6"/>
        <v>F</v>
      </c>
      <c r="H73" s="11">
        <f t="shared" si="7"/>
        <v>0</v>
      </c>
    </row>
    <row r="74" spans="1:8" x14ac:dyDescent="0.35">
      <c r="A74" s="10">
        <f>'Student Basic Info'!A74</f>
        <v>773</v>
      </c>
      <c r="B74" s="3">
        <v>12</v>
      </c>
      <c r="C74" s="3">
        <v>0</v>
      </c>
      <c r="D74" s="3">
        <v>9</v>
      </c>
      <c r="E74" s="69">
        <f t="shared" si="4"/>
        <v>21</v>
      </c>
      <c r="F74" s="10" t="str">
        <f t="shared" si="5"/>
        <v>Fail</v>
      </c>
      <c r="G74" s="10" t="str">
        <f t="shared" si="6"/>
        <v>F</v>
      </c>
      <c r="H74" s="11">
        <f t="shared" si="7"/>
        <v>0</v>
      </c>
    </row>
    <row r="75" spans="1:8" x14ac:dyDescent="0.35">
      <c r="A75" s="10">
        <f>'Student Basic Info'!A75</f>
        <v>774</v>
      </c>
      <c r="B75" s="3">
        <v>10</v>
      </c>
      <c r="C75" s="3">
        <v>0</v>
      </c>
      <c r="D75" s="3">
        <v>9</v>
      </c>
      <c r="E75" s="69">
        <f t="shared" si="4"/>
        <v>19</v>
      </c>
      <c r="F75" s="10" t="str">
        <f t="shared" si="5"/>
        <v>Fail</v>
      </c>
      <c r="G75" s="10" t="str">
        <f t="shared" si="6"/>
        <v>F</v>
      </c>
      <c r="H75" s="11">
        <f t="shared" si="7"/>
        <v>0</v>
      </c>
    </row>
    <row r="76" spans="1:8" x14ac:dyDescent="0.35">
      <c r="A76" s="10">
        <f>'Student Basic Info'!A76</f>
        <v>775</v>
      </c>
      <c r="B76" s="3"/>
      <c r="C76" s="3"/>
      <c r="D76" s="3"/>
      <c r="E76" s="69" t="str">
        <f t="shared" si="4"/>
        <v/>
      </c>
      <c r="F76" s="10" t="str">
        <f t="shared" si="5"/>
        <v/>
      </c>
      <c r="G76" s="10" t="str">
        <f t="shared" si="6"/>
        <v/>
      </c>
      <c r="H76" s="11" t="str">
        <f t="shared" si="7"/>
        <v/>
      </c>
    </row>
    <row r="77" spans="1:8" x14ac:dyDescent="0.35">
      <c r="A77" s="10">
        <f>'Student Basic Info'!A77</f>
        <v>776</v>
      </c>
      <c r="B77" s="3">
        <v>3</v>
      </c>
      <c r="C77" s="3">
        <v>0</v>
      </c>
      <c r="D77" s="3">
        <v>8</v>
      </c>
      <c r="E77" s="69">
        <f t="shared" si="4"/>
        <v>11</v>
      </c>
      <c r="F77" s="10" t="str">
        <f t="shared" si="5"/>
        <v>Fail</v>
      </c>
      <c r="G77" s="10" t="str">
        <f t="shared" si="6"/>
        <v>F</v>
      </c>
      <c r="H77" s="11">
        <f t="shared" si="7"/>
        <v>0</v>
      </c>
    </row>
    <row r="78" spans="1:8" x14ac:dyDescent="0.35">
      <c r="A78" s="10">
        <f>'Student Basic Info'!A78</f>
        <v>777</v>
      </c>
      <c r="B78" s="3"/>
      <c r="C78" s="3"/>
      <c r="D78" s="3"/>
      <c r="E78" s="69" t="str">
        <f t="shared" si="4"/>
        <v/>
      </c>
      <c r="F78" s="10" t="str">
        <f t="shared" si="5"/>
        <v/>
      </c>
      <c r="G78" s="10" t="str">
        <f t="shared" si="6"/>
        <v/>
      </c>
      <c r="H78" s="11" t="str">
        <f t="shared" si="7"/>
        <v/>
      </c>
    </row>
    <row r="79" spans="1:8" x14ac:dyDescent="0.35">
      <c r="A79" s="10">
        <f>'Student Basic Info'!A79</f>
        <v>778</v>
      </c>
      <c r="B79" s="3"/>
      <c r="C79" s="3"/>
      <c r="D79" s="3"/>
      <c r="E79" s="69" t="str">
        <f t="shared" si="4"/>
        <v/>
      </c>
      <c r="F79" s="10" t="str">
        <f t="shared" si="5"/>
        <v/>
      </c>
      <c r="G79" s="10" t="str">
        <f t="shared" si="6"/>
        <v/>
      </c>
      <c r="H79" s="11" t="str">
        <f t="shared" si="7"/>
        <v/>
      </c>
    </row>
    <row r="80" spans="1:8" x14ac:dyDescent="0.35">
      <c r="A80" s="10">
        <f>'Student Basic Info'!A80</f>
        <v>779</v>
      </c>
      <c r="B80" s="3">
        <v>8</v>
      </c>
      <c r="C80" s="3">
        <v>1</v>
      </c>
      <c r="D80" s="3">
        <v>8</v>
      </c>
      <c r="E80" s="69">
        <f t="shared" si="4"/>
        <v>17</v>
      </c>
      <c r="F80" s="10" t="str">
        <f t="shared" si="5"/>
        <v>Fail</v>
      </c>
      <c r="G80" s="10" t="str">
        <f t="shared" si="6"/>
        <v>F</v>
      </c>
      <c r="H80" s="11">
        <f t="shared" si="7"/>
        <v>0</v>
      </c>
    </row>
    <row r="81" spans="1:8" x14ac:dyDescent="0.35">
      <c r="A81" s="10">
        <f>'Student Basic Info'!A81</f>
        <v>780</v>
      </c>
      <c r="B81" s="3">
        <v>12</v>
      </c>
      <c r="C81" s="3">
        <v>1</v>
      </c>
      <c r="D81" s="3">
        <v>10</v>
      </c>
      <c r="E81" s="69">
        <f t="shared" si="4"/>
        <v>23</v>
      </c>
      <c r="F81" s="10" t="str">
        <f t="shared" si="5"/>
        <v>Fail</v>
      </c>
      <c r="G81" s="10" t="str">
        <f t="shared" si="6"/>
        <v>F</v>
      </c>
      <c r="H81" s="11">
        <f t="shared" si="7"/>
        <v>0</v>
      </c>
    </row>
    <row r="82" spans="1:8" x14ac:dyDescent="0.35">
      <c r="A82" s="10">
        <f>'Student Basic Info'!A82</f>
        <v>781</v>
      </c>
      <c r="B82" s="3"/>
      <c r="C82" s="3"/>
      <c r="D82" s="3"/>
      <c r="E82" s="69" t="str">
        <f t="shared" si="4"/>
        <v/>
      </c>
      <c r="F82" s="10" t="str">
        <f t="shared" si="5"/>
        <v/>
      </c>
      <c r="G82" s="10" t="str">
        <f t="shared" si="6"/>
        <v/>
      </c>
      <c r="H82" s="11" t="str">
        <f t="shared" si="7"/>
        <v/>
      </c>
    </row>
    <row r="83" spans="1:8" x14ac:dyDescent="0.35">
      <c r="A83" s="10">
        <f>'Student Basic Info'!A83</f>
        <v>782</v>
      </c>
      <c r="B83" s="3">
        <v>4</v>
      </c>
      <c r="C83" s="3">
        <v>1</v>
      </c>
      <c r="D83" s="3">
        <v>9</v>
      </c>
      <c r="E83" s="69">
        <f t="shared" si="4"/>
        <v>14</v>
      </c>
      <c r="F83" s="10" t="str">
        <f t="shared" si="5"/>
        <v>Fail</v>
      </c>
      <c r="G83" s="10" t="str">
        <f t="shared" si="6"/>
        <v>F</v>
      </c>
      <c r="H83" s="11">
        <f t="shared" si="7"/>
        <v>0</v>
      </c>
    </row>
    <row r="84" spans="1:8" x14ac:dyDescent="0.35">
      <c r="A84" s="10">
        <f>'Student Basic Info'!A84</f>
        <v>783</v>
      </c>
      <c r="B84" s="3"/>
      <c r="C84" s="3"/>
      <c r="D84" s="3"/>
      <c r="E84" s="69" t="str">
        <f t="shared" si="4"/>
        <v/>
      </c>
      <c r="F84" s="10" t="str">
        <f t="shared" si="5"/>
        <v/>
      </c>
      <c r="G84" s="10" t="str">
        <f t="shared" si="6"/>
        <v/>
      </c>
      <c r="H84" s="11" t="str">
        <f t="shared" si="7"/>
        <v/>
      </c>
    </row>
    <row r="85" spans="1:8" x14ac:dyDescent="0.35">
      <c r="A85" s="10">
        <f>'Student Basic Info'!A85</f>
        <v>784</v>
      </c>
      <c r="B85" s="3">
        <v>5</v>
      </c>
      <c r="C85" s="3">
        <v>0</v>
      </c>
      <c r="D85" s="3">
        <v>9</v>
      </c>
      <c r="E85" s="69">
        <f t="shared" si="4"/>
        <v>14</v>
      </c>
      <c r="F85" s="10" t="str">
        <f t="shared" si="5"/>
        <v>Fail</v>
      </c>
      <c r="G85" s="10" t="str">
        <f t="shared" si="6"/>
        <v>F</v>
      </c>
      <c r="H85" s="11">
        <f t="shared" si="7"/>
        <v>0</v>
      </c>
    </row>
    <row r="86" spans="1:8" x14ac:dyDescent="0.35">
      <c r="A86" s="10">
        <f>'Student Basic Info'!A86</f>
        <v>785</v>
      </c>
      <c r="B86" s="3">
        <v>7</v>
      </c>
      <c r="C86" s="3">
        <v>0</v>
      </c>
      <c r="D86" s="3">
        <v>8</v>
      </c>
      <c r="E86" s="69">
        <f t="shared" si="4"/>
        <v>15</v>
      </c>
      <c r="F86" s="10" t="str">
        <f t="shared" si="5"/>
        <v>Fail</v>
      </c>
      <c r="G86" s="10" t="str">
        <f t="shared" si="6"/>
        <v>F</v>
      </c>
      <c r="H86" s="11">
        <f t="shared" si="7"/>
        <v>0</v>
      </c>
    </row>
    <row r="87" spans="1:8" x14ac:dyDescent="0.35">
      <c r="A87" s="10">
        <f>'Student Basic Info'!A87</f>
        <v>786</v>
      </c>
      <c r="B87" s="3">
        <v>6</v>
      </c>
      <c r="C87" s="3">
        <v>0</v>
      </c>
      <c r="D87" s="3">
        <v>8</v>
      </c>
      <c r="E87" s="69">
        <f t="shared" si="4"/>
        <v>14</v>
      </c>
      <c r="F87" s="10" t="str">
        <f t="shared" si="5"/>
        <v>Fail</v>
      </c>
      <c r="G87" s="10" t="str">
        <f t="shared" si="6"/>
        <v>F</v>
      </c>
      <c r="H87" s="11">
        <f t="shared" si="7"/>
        <v>0</v>
      </c>
    </row>
    <row r="88" spans="1:8" x14ac:dyDescent="0.35">
      <c r="A88" s="10">
        <f>'Student Basic Info'!A88</f>
        <v>6812</v>
      </c>
      <c r="B88" s="3">
        <v>7</v>
      </c>
      <c r="C88" s="3">
        <v>1</v>
      </c>
      <c r="D88" s="3">
        <v>8</v>
      </c>
      <c r="E88" s="69">
        <f t="shared" ref="E88" si="8">IF(B88+C88=0, "", B88+C88+D88)</f>
        <v>16</v>
      </c>
      <c r="F88" s="10" t="str">
        <f t="shared" si="5"/>
        <v>Fail</v>
      </c>
      <c r="G88" s="10" t="str">
        <f t="shared" ref="G88" si="9">(IF(E88="","",IF(F88="Fail","F",IF(E88&gt;=80,"A+",IF(E88&gt;=70,"A",IF(E88&gt;=60,"A-",IF(E88&gt;=50,"B",IF(E88&gt;=40,"C",IF(E88&gt;=33,"D","F")))))))))</f>
        <v>F</v>
      </c>
      <c r="H88" s="11">
        <f t="shared" ref="H88" si="10">(IF(E88="","",IF(G88="F",0,IF(E88&gt;=80,5,IF(E88&gt;=70,4,IF(E88&gt;=60,3.5,IF(E88&gt;=50,3,IF(E88&gt;=40,2,IF(E88&gt;=33,1,0)))))))))</f>
        <v>0</v>
      </c>
    </row>
  </sheetData>
  <conditionalFormatting sqref="F2:F88">
    <cfRule type="containsText" dxfId="14" priority="1" operator="containsText" text="Fail">
      <formula>NOT(ISERROR(SEARCH("Fail",F2)))</formula>
    </cfRule>
    <cfRule type="containsText" dxfId="13" priority="2" operator="containsText" text="Pass">
      <formula>NOT(ISERROR(SEARCH("Pass",F2)))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65" workbookViewId="0">
      <selection activeCell="F94" sqref="F94"/>
    </sheetView>
  </sheetViews>
  <sheetFormatPr defaultRowHeight="14.5" x14ac:dyDescent="0.35"/>
  <cols>
    <col min="1" max="1" width="8.7265625" style="15"/>
    <col min="2" max="2" width="8.7265625" style="32"/>
    <col min="3" max="3" width="10.7265625" style="1" bestFit="1" customWidth="1"/>
    <col min="4" max="4" width="9" style="1" bestFit="1" customWidth="1"/>
    <col min="5" max="5" width="9" style="1" customWidth="1"/>
    <col min="6" max="6" width="10.81640625" style="15" bestFit="1" customWidth="1"/>
    <col min="7" max="9" width="8.7265625" style="15"/>
    <col min="10" max="10" width="16" style="147" bestFit="1" customWidth="1"/>
  </cols>
  <sheetData>
    <row r="1" spans="1:10" x14ac:dyDescent="0.35">
      <c r="A1" s="12" t="s">
        <v>0</v>
      </c>
      <c r="B1" s="12" t="s">
        <v>66</v>
      </c>
      <c r="C1" s="12" t="s">
        <v>4</v>
      </c>
      <c r="D1" s="12" t="s">
        <v>5</v>
      </c>
      <c r="E1" s="12" t="s">
        <v>57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15</v>
      </c>
    </row>
    <row r="2" spans="1:10" x14ac:dyDescent="0.35">
      <c r="A2" s="9">
        <f>'Student Basic Info'!A2</f>
        <v>701</v>
      </c>
      <c r="B2" s="31" t="str">
        <f>SubjectList!I2</f>
        <v>Math</v>
      </c>
      <c r="C2" s="45">
        <f>IF(B2="Math", IF(Math!B2="","", Math!B2), IF(Biology!B2="","", Biology!B2))</f>
        <v>18</v>
      </c>
      <c r="D2" s="45">
        <f>IF(B2="Math", IF(Math!C2="","", Math!C2), IF(Biology!C2="","", Biology!C2))</f>
        <v>34</v>
      </c>
      <c r="E2" s="45">
        <f>IF(B2="Math", IF(Math!D2="","", Math!D2), IF(Biology!D2="","", Biology!D2))</f>
        <v>20</v>
      </c>
      <c r="F2" s="10">
        <f>IF(B2="Math", IF(Math!E2="","", Math!E2), IF(Biology!E2="","", Biology!E2))</f>
        <v>72</v>
      </c>
      <c r="G2" s="9" t="str">
        <f>IF(F2="","", IF(AND(C2 &gt;=8,D2&gt;=17),"Pass","Fail"))</f>
        <v>Pass</v>
      </c>
      <c r="H2" s="10" t="str">
        <f>(IF(F2="","",IF(G2="Fail","F",IF(F2&gt;=80,"A+",IF(F2&gt;=70,"A",IF(F2&gt;=60,"A-",IF(F2&gt;=50,"B",IF(F2&gt;=40,"C",IF(F2&gt;=33,"D","F")))))))))</f>
        <v>A</v>
      </c>
      <c r="I2" s="11">
        <f>(IF(F2="","",IF(H2="F",0,IF(F2&gt;=80,5,IF(F2&gt;=70,4,IF(F2&gt;=60,3.5,IF(F2&gt;=50,3,IF(F2&gt;=40,2,IF(F2&gt;=33,1,0)))))))))</f>
        <v>4</v>
      </c>
      <c r="J2" s="29">
        <f>(IF(F2="","",IF(I2&gt;2,I2-2,0)))</f>
        <v>2</v>
      </c>
    </row>
    <row r="3" spans="1:10" x14ac:dyDescent="0.35">
      <c r="A3" s="9">
        <f>'Student Basic Info'!A3</f>
        <v>702</v>
      </c>
      <c r="B3" s="31" t="str">
        <f>SubjectList!I3</f>
        <v>Math</v>
      </c>
      <c r="C3" s="45" t="str">
        <f>IF(B3="Math", IF(Math!B3="","", Math!B3), IF(Biology!B3="","", Biology!B3))</f>
        <v/>
      </c>
      <c r="D3" s="45" t="str">
        <f>IF(B3="Math", IF(Math!C3="","", Math!C3), IF(Biology!C3="","", Biology!C3))</f>
        <v/>
      </c>
      <c r="E3" s="45" t="str">
        <f>IF(B3="Math", IF(Math!D3="","", Math!D3), IF(Biology!D3="","", Biology!D3))</f>
        <v/>
      </c>
      <c r="F3" s="10" t="str">
        <f>IF(B3="Math", IF(Math!E3="","", Math!E3), IF(Biology!E3="","", Biology!E3))</f>
        <v/>
      </c>
      <c r="G3" s="9" t="str">
        <f t="shared" ref="G3:G66" si="0">IF(F3="","", IF(AND(C3 &gt;=8,D3&gt;=17),"Pass","Fail"))</f>
        <v/>
      </c>
      <c r="H3" s="10" t="str">
        <f t="shared" ref="H3:H66" si="1">(IF(F3="","",IF(G3="Fail","F",IF(F3&gt;=80,"A+",IF(F3&gt;=70,"A",IF(F3&gt;=60,"A-",IF(F3&gt;=50,"B",IF(F3&gt;=40,"C",IF(F3&gt;=33,"D","F")))))))))</f>
        <v/>
      </c>
      <c r="I3" s="11" t="str">
        <f t="shared" ref="I3:I66" si="2">(IF(F3="","",IF(H3="F",0,IF(F3&gt;=80,5,IF(F3&gt;=70,4,IF(F3&gt;=60,3.5,IF(F3&gt;=50,3,IF(F3&gt;=40,2,IF(F3&gt;=33,1,0)))))))))</f>
        <v/>
      </c>
      <c r="J3" s="29" t="str">
        <f t="shared" ref="J3:J66" si="3">(IF(F3="","",IF(I3&gt;2,I3-2,0)))</f>
        <v/>
      </c>
    </row>
    <row r="4" spans="1:10" x14ac:dyDescent="0.35">
      <c r="A4" s="9">
        <f>'Student Basic Info'!A4</f>
        <v>703</v>
      </c>
      <c r="B4" s="31" t="str">
        <f>SubjectList!I4</f>
        <v>Math</v>
      </c>
      <c r="C4" s="45" t="str">
        <f>IF(B4="Math", IF(Math!B4="","", Math!B4), IF(Biology!B4="","", Biology!B4))</f>
        <v/>
      </c>
      <c r="D4" s="45" t="str">
        <f>IF(B4="Math", IF(Math!C4="","", Math!C4), IF(Biology!C4="","", Biology!C4))</f>
        <v/>
      </c>
      <c r="E4" s="45" t="str">
        <f>IF(B4="Math", IF(Math!D4="","", Math!D4), IF(Biology!D4="","", Biology!D4))</f>
        <v/>
      </c>
      <c r="F4" s="10" t="str">
        <f>IF(B4="Math", IF(Math!E4="","", Math!E4), IF(Biology!E4="","", Biology!E4))</f>
        <v/>
      </c>
      <c r="G4" s="9" t="str">
        <f t="shared" si="0"/>
        <v/>
      </c>
      <c r="H4" s="10" t="str">
        <f t="shared" si="1"/>
        <v/>
      </c>
      <c r="I4" s="11" t="str">
        <f t="shared" si="2"/>
        <v/>
      </c>
      <c r="J4" s="29" t="str">
        <f t="shared" si="3"/>
        <v/>
      </c>
    </row>
    <row r="5" spans="1:10" x14ac:dyDescent="0.35">
      <c r="A5" s="9">
        <f>'Student Basic Info'!A5</f>
        <v>704</v>
      </c>
      <c r="B5" s="31" t="str">
        <f>SubjectList!I5</f>
        <v>Math</v>
      </c>
      <c r="C5" s="45">
        <f>IF(B5="Math", IF(Math!B5="","", Math!B5), IF(Biology!B5="","", Biology!B5))</f>
        <v>18</v>
      </c>
      <c r="D5" s="45">
        <f>IF(B5="Math", IF(Math!C5="","", Math!C5), IF(Biology!C5="","", Biology!C5))</f>
        <v>0</v>
      </c>
      <c r="E5" s="45">
        <f>IF(B5="Math", IF(Math!D5="","", Math!D5), IF(Biology!D5="","", Biology!D5))</f>
        <v>9</v>
      </c>
      <c r="F5" s="10">
        <f>IF(B5="Math", IF(Math!E5="","", Math!E5), IF(Biology!E5="","", Biology!E5))</f>
        <v>27</v>
      </c>
      <c r="G5" s="9" t="str">
        <f t="shared" si="0"/>
        <v>Fail</v>
      </c>
      <c r="H5" s="10" t="str">
        <f t="shared" si="1"/>
        <v>F</v>
      </c>
      <c r="I5" s="11">
        <f t="shared" si="2"/>
        <v>0</v>
      </c>
      <c r="J5" s="29">
        <f t="shared" si="3"/>
        <v>0</v>
      </c>
    </row>
    <row r="6" spans="1:10" x14ac:dyDescent="0.35">
      <c r="A6" s="9">
        <f>'Student Basic Info'!A6</f>
        <v>705</v>
      </c>
      <c r="B6" s="31" t="str">
        <f>SubjectList!I6</f>
        <v>Math</v>
      </c>
      <c r="C6" s="45" t="str">
        <f>IF(B6="Math", IF(Math!B6="","", Math!B6), IF(Biology!B6="","", Biology!B6))</f>
        <v/>
      </c>
      <c r="D6" s="45" t="str">
        <f>IF(B6="Math", IF(Math!C6="","", Math!C6), IF(Biology!C6="","", Biology!C6))</f>
        <v/>
      </c>
      <c r="E6" s="45" t="str">
        <f>IF(B6="Math", IF(Math!D6="","", Math!D6), IF(Biology!D6="","", Biology!D6))</f>
        <v/>
      </c>
      <c r="F6" s="10" t="str">
        <f>IF(B6="Math", IF(Math!E6="","", Math!E6), IF(Biology!E6="","", Biology!E6))</f>
        <v/>
      </c>
      <c r="G6" s="9" t="str">
        <f t="shared" si="0"/>
        <v/>
      </c>
      <c r="H6" s="10" t="str">
        <f t="shared" si="1"/>
        <v/>
      </c>
      <c r="I6" s="11" t="str">
        <f t="shared" si="2"/>
        <v/>
      </c>
      <c r="J6" s="29" t="str">
        <f t="shared" si="3"/>
        <v/>
      </c>
    </row>
    <row r="7" spans="1:10" x14ac:dyDescent="0.35">
      <c r="A7" s="9">
        <f>'Student Basic Info'!A7</f>
        <v>706</v>
      </c>
      <c r="B7" s="31" t="str">
        <f>SubjectList!I7</f>
        <v>Math</v>
      </c>
      <c r="C7" s="45" t="str">
        <f>IF(B7="Math", IF(Math!B7="","", Math!B7), IF(Biology!B7="","", Biology!B7))</f>
        <v/>
      </c>
      <c r="D7" s="45" t="str">
        <f>IF(B7="Math", IF(Math!C7="","", Math!C7), IF(Biology!C7="","", Biology!C7))</f>
        <v/>
      </c>
      <c r="E7" s="45" t="str">
        <f>IF(B7="Math", IF(Math!D7="","", Math!D7), IF(Biology!D7="","", Biology!D7))</f>
        <v/>
      </c>
      <c r="F7" s="10" t="str">
        <f>IF(B7="Math", IF(Math!E7="","", Math!E7), IF(Biology!E7="","", Biology!E7))</f>
        <v/>
      </c>
      <c r="G7" s="9" t="str">
        <f t="shared" si="0"/>
        <v/>
      </c>
      <c r="H7" s="10" t="str">
        <f t="shared" si="1"/>
        <v/>
      </c>
      <c r="I7" s="11" t="str">
        <f t="shared" si="2"/>
        <v/>
      </c>
      <c r="J7" s="29" t="str">
        <f t="shared" si="3"/>
        <v/>
      </c>
    </row>
    <row r="8" spans="1:10" x14ac:dyDescent="0.35">
      <c r="A8" s="9">
        <f>'Student Basic Info'!A8</f>
        <v>707</v>
      </c>
      <c r="B8" s="31" t="str">
        <f>SubjectList!I8</f>
        <v>Math</v>
      </c>
      <c r="C8" s="45" t="str">
        <f>IF(B8="Math", IF(Math!B8="","", Math!B8), IF(Biology!B8="","", Biology!B8))</f>
        <v/>
      </c>
      <c r="D8" s="45" t="str">
        <f>IF(B8="Math", IF(Math!C8="","", Math!C8), IF(Biology!C8="","", Biology!C8))</f>
        <v/>
      </c>
      <c r="E8" s="45" t="str">
        <f>IF(B8="Math", IF(Math!D8="","", Math!D8), IF(Biology!D8="","", Biology!D8))</f>
        <v/>
      </c>
      <c r="F8" s="10" t="str">
        <f>IF(B8="Math", IF(Math!E8="","", Math!E8), IF(Biology!E8="","", Biology!E8))</f>
        <v/>
      </c>
      <c r="G8" s="9" t="str">
        <f t="shared" si="0"/>
        <v/>
      </c>
      <c r="H8" s="10" t="str">
        <f t="shared" si="1"/>
        <v/>
      </c>
      <c r="I8" s="11" t="str">
        <f t="shared" si="2"/>
        <v/>
      </c>
      <c r="J8" s="29" t="str">
        <f t="shared" si="3"/>
        <v/>
      </c>
    </row>
    <row r="9" spans="1:10" x14ac:dyDescent="0.35">
      <c r="A9" s="9">
        <f>'Student Basic Info'!A9</f>
        <v>708</v>
      </c>
      <c r="B9" s="31" t="str">
        <f>SubjectList!I9</f>
        <v>Math</v>
      </c>
      <c r="C9" s="45">
        <f>IF(B9="Math", IF(Math!B9="","", Math!B9), IF(Biology!B9="","", Biology!B9))</f>
        <v>16</v>
      </c>
      <c r="D9" s="45">
        <f>IF(B9="Math", IF(Math!C9="","", Math!C9), IF(Biology!C9="","", Biology!C9))</f>
        <v>0</v>
      </c>
      <c r="E9" s="45">
        <f>IF(B9="Math", IF(Math!D9="","", Math!D9), IF(Biology!D9="","", Biology!D9))</f>
        <v>9</v>
      </c>
      <c r="F9" s="10">
        <f>IF(B9="Math", IF(Math!E9="","", Math!E9), IF(Biology!E9="","", Biology!E9))</f>
        <v>25</v>
      </c>
      <c r="G9" s="9" t="str">
        <f t="shared" si="0"/>
        <v>Fail</v>
      </c>
      <c r="H9" s="10" t="str">
        <f t="shared" si="1"/>
        <v>F</v>
      </c>
      <c r="I9" s="11">
        <f t="shared" si="2"/>
        <v>0</v>
      </c>
      <c r="J9" s="29">
        <f t="shared" si="3"/>
        <v>0</v>
      </c>
    </row>
    <row r="10" spans="1:10" x14ac:dyDescent="0.35">
      <c r="A10" s="9">
        <f>'Student Basic Info'!A10</f>
        <v>709</v>
      </c>
      <c r="B10" s="31" t="str">
        <f>SubjectList!I10</f>
        <v>Math</v>
      </c>
      <c r="C10" s="45">
        <f>IF(B10="Math", IF(Math!B10="","", Math!B10), IF(Biology!B10="","", Biology!B10))</f>
        <v>13</v>
      </c>
      <c r="D10" s="45">
        <f>IF(B10="Math", IF(Math!C10="","", Math!C10), IF(Biology!C10="","", Biology!C10))</f>
        <v>1</v>
      </c>
      <c r="E10" s="45">
        <f>IF(B10="Math", IF(Math!D10="","", Math!D10), IF(Biology!D10="","", Biology!D10))</f>
        <v>9</v>
      </c>
      <c r="F10" s="10">
        <f>IF(B10="Math", IF(Math!E10="","", Math!E10), IF(Biology!E10="","", Biology!E10))</f>
        <v>23</v>
      </c>
      <c r="G10" s="9" t="str">
        <f t="shared" si="0"/>
        <v>Fail</v>
      </c>
      <c r="H10" s="10" t="str">
        <f t="shared" si="1"/>
        <v>F</v>
      </c>
      <c r="I10" s="11">
        <f t="shared" si="2"/>
        <v>0</v>
      </c>
      <c r="J10" s="29">
        <f t="shared" si="3"/>
        <v>0</v>
      </c>
    </row>
    <row r="11" spans="1:10" x14ac:dyDescent="0.35">
      <c r="A11" s="9">
        <f>'Student Basic Info'!A11</f>
        <v>710</v>
      </c>
      <c r="B11" s="31" t="str">
        <f>SubjectList!I11</f>
        <v>Math</v>
      </c>
      <c r="C11" s="45">
        <f>IF(B11="Math", IF(Math!B11="","", Math!B11), IF(Biology!B11="","", Biology!B11))</f>
        <v>6</v>
      </c>
      <c r="D11" s="45">
        <f>IF(B11="Math", IF(Math!C11="","", Math!C11), IF(Biology!C11="","", Biology!C11))</f>
        <v>8</v>
      </c>
      <c r="E11" s="45">
        <f>IF(B11="Math", IF(Math!D11="","", Math!D11), IF(Biology!D11="","", Biology!D11))</f>
        <v>10</v>
      </c>
      <c r="F11" s="10">
        <f>IF(B11="Math", IF(Math!E11="","", Math!E11), IF(Biology!E11="","", Biology!E11))</f>
        <v>24</v>
      </c>
      <c r="G11" s="9" t="str">
        <f t="shared" si="0"/>
        <v>Fail</v>
      </c>
      <c r="H11" s="10" t="str">
        <f t="shared" si="1"/>
        <v>F</v>
      </c>
      <c r="I11" s="11">
        <f t="shared" si="2"/>
        <v>0</v>
      </c>
      <c r="J11" s="29">
        <f t="shared" si="3"/>
        <v>0</v>
      </c>
    </row>
    <row r="12" spans="1:10" x14ac:dyDescent="0.35">
      <c r="A12" s="9">
        <f>'Student Basic Info'!A12</f>
        <v>711</v>
      </c>
      <c r="B12" s="31" t="str">
        <f>SubjectList!I12</f>
        <v>Math</v>
      </c>
      <c r="C12" s="45" t="str">
        <f>IF(B12="Math", IF(Math!B12="","", Math!B12), IF(Biology!B12="","", Biology!B12))</f>
        <v/>
      </c>
      <c r="D12" s="45" t="str">
        <f>IF(B12="Math", IF(Math!C12="","", Math!C12), IF(Biology!C12="","", Biology!C12))</f>
        <v/>
      </c>
      <c r="E12" s="45" t="str">
        <f>IF(B12="Math", IF(Math!D12="","", Math!D12), IF(Biology!D12="","", Biology!D12))</f>
        <v/>
      </c>
      <c r="F12" s="10" t="str">
        <f>IF(B12="Math", IF(Math!E12="","", Math!E12), IF(Biology!E12="","", Biology!E12))</f>
        <v/>
      </c>
      <c r="G12" s="9" t="str">
        <f t="shared" si="0"/>
        <v/>
      </c>
      <c r="H12" s="10" t="str">
        <f t="shared" si="1"/>
        <v/>
      </c>
      <c r="I12" s="11" t="str">
        <f t="shared" si="2"/>
        <v/>
      </c>
      <c r="J12" s="29" t="str">
        <f t="shared" si="3"/>
        <v/>
      </c>
    </row>
    <row r="13" spans="1:10" x14ac:dyDescent="0.35">
      <c r="A13" s="9">
        <f>'Student Basic Info'!A13</f>
        <v>712</v>
      </c>
      <c r="B13" s="31" t="str">
        <f>SubjectList!I13</f>
        <v>Math</v>
      </c>
      <c r="C13" s="45">
        <f>IF(B13="Math", IF(Math!B13="","", Math!B13), IF(Biology!B13="","", Biology!B13))</f>
        <v>11</v>
      </c>
      <c r="D13" s="45">
        <f>IF(B13="Math", IF(Math!C13="","", Math!C13), IF(Biology!C13="","", Biology!C13))</f>
        <v>8</v>
      </c>
      <c r="E13" s="45">
        <f>IF(B13="Math", IF(Math!D13="","", Math!D13), IF(Biology!D13="","", Biology!D13))</f>
        <v>10</v>
      </c>
      <c r="F13" s="10">
        <f>IF(B13="Math", IF(Math!E13="","", Math!E13), IF(Biology!E13="","", Biology!E13))</f>
        <v>29</v>
      </c>
      <c r="G13" s="9" t="str">
        <f t="shared" si="0"/>
        <v>Fail</v>
      </c>
      <c r="H13" s="10" t="str">
        <f t="shared" si="1"/>
        <v>F</v>
      </c>
      <c r="I13" s="11">
        <f t="shared" si="2"/>
        <v>0</v>
      </c>
      <c r="J13" s="29">
        <f t="shared" si="3"/>
        <v>0</v>
      </c>
    </row>
    <row r="14" spans="1:10" x14ac:dyDescent="0.35">
      <c r="A14" s="9">
        <f>'Student Basic Info'!A14</f>
        <v>713</v>
      </c>
      <c r="B14" s="31" t="str">
        <f>SubjectList!I14</f>
        <v>Math</v>
      </c>
      <c r="C14" s="45">
        <f>IF(B14="Math", IF(Math!B14="","", Math!B14), IF(Biology!B14="","", Biology!B14))</f>
        <v>13</v>
      </c>
      <c r="D14" s="45">
        <f>IF(B14="Math", IF(Math!C14="","", Math!C14), IF(Biology!C14="","", Biology!C14))</f>
        <v>3</v>
      </c>
      <c r="E14" s="45">
        <f>IF(B14="Math", IF(Math!D14="","", Math!D14), IF(Biology!D14="","", Biology!D14))</f>
        <v>10</v>
      </c>
      <c r="F14" s="10">
        <f>IF(B14="Math", IF(Math!E14="","", Math!E14), IF(Biology!E14="","", Biology!E14))</f>
        <v>26</v>
      </c>
      <c r="G14" s="9" t="str">
        <f t="shared" si="0"/>
        <v>Fail</v>
      </c>
      <c r="H14" s="10" t="str">
        <f t="shared" si="1"/>
        <v>F</v>
      </c>
      <c r="I14" s="11">
        <f t="shared" si="2"/>
        <v>0</v>
      </c>
      <c r="J14" s="29">
        <f t="shared" si="3"/>
        <v>0</v>
      </c>
    </row>
    <row r="15" spans="1:10" x14ac:dyDescent="0.35">
      <c r="A15" s="9">
        <f>'Student Basic Info'!A15</f>
        <v>714</v>
      </c>
      <c r="B15" s="31" t="str">
        <f>SubjectList!I15</f>
        <v>Math</v>
      </c>
      <c r="C15" s="45">
        <f>IF(B15="Math", IF(Math!B15="","", Math!B15), IF(Biology!B15="","", Biology!B15))</f>
        <v>13</v>
      </c>
      <c r="D15" s="45">
        <f>IF(B15="Math", IF(Math!C15="","", Math!C15), IF(Biology!C15="","", Biology!C15))</f>
        <v>6</v>
      </c>
      <c r="E15" s="45">
        <f>IF(B15="Math", IF(Math!D15="","", Math!D15), IF(Biology!D15="","", Biology!D15))</f>
        <v>10</v>
      </c>
      <c r="F15" s="10">
        <f>IF(B15="Math", IF(Math!E15="","", Math!E15), IF(Biology!E15="","", Biology!E15))</f>
        <v>29</v>
      </c>
      <c r="G15" s="9" t="str">
        <f t="shared" si="0"/>
        <v>Fail</v>
      </c>
      <c r="H15" s="10" t="str">
        <f t="shared" si="1"/>
        <v>F</v>
      </c>
      <c r="I15" s="11">
        <f t="shared" si="2"/>
        <v>0</v>
      </c>
      <c r="J15" s="29">
        <f t="shared" si="3"/>
        <v>0</v>
      </c>
    </row>
    <row r="16" spans="1:10" x14ac:dyDescent="0.35">
      <c r="A16" s="9">
        <f>'Student Basic Info'!A16</f>
        <v>715</v>
      </c>
      <c r="B16" s="31" t="str">
        <f>SubjectList!I16</f>
        <v>Math</v>
      </c>
      <c r="C16" s="45">
        <f>IF(B16="Math", IF(Math!B16="","", Math!B16), IF(Biology!B16="","", Biology!B16))</f>
        <v>11</v>
      </c>
      <c r="D16" s="45">
        <f>IF(B16="Math", IF(Math!C16="","", Math!C16), IF(Biology!C16="","", Biology!C16))</f>
        <v>1</v>
      </c>
      <c r="E16" s="45">
        <f>IF(B16="Math", IF(Math!D16="","", Math!D16), IF(Biology!D16="","", Biology!D16))</f>
        <v>10</v>
      </c>
      <c r="F16" s="10">
        <f>IF(B16="Math", IF(Math!E16="","", Math!E16), IF(Biology!E16="","", Biology!E16))</f>
        <v>22</v>
      </c>
      <c r="G16" s="9" t="str">
        <f t="shared" si="0"/>
        <v>Fail</v>
      </c>
      <c r="H16" s="10" t="str">
        <f t="shared" si="1"/>
        <v>F</v>
      </c>
      <c r="I16" s="11">
        <f t="shared" si="2"/>
        <v>0</v>
      </c>
      <c r="J16" s="29">
        <f t="shared" si="3"/>
        <v>0</v>
      </c>
    </row>
    <row r="17" spans="1:10" x14ac:dyDescent="0.35">
      <c r="A17" s="9">
        <f>'Student Basic Info'!A17</f>
        <v>716</v>
      </c>
      <c r="B17" s="31" t="str">
        <f>SubjectList!I17</f>
        <v>Math</v>
      </c>
      <c r="C17" s="45">
        <f>IF(B17="Math", IF(Math!B17="","", Math!B17), IF(Biology!B17="","", Biology!B17))</f>
        <v>10</v>
      </c>
      <c r="D17" s="45">
        <f>IF(B17="Math", IF(Math!C17="","", Math!C17), IF(Biology!C17="","", Biology!C17))</f>
        <v>1</v>
      </c>
      <c r="E17" s="45">
        <f>IF(B17="Math", IF(Math!D17="","", Math!D17), IF(Biology!D17="","", Biology!D17))</f>
        <v>10</v>
      </c>
      <c r="F17" s="10">
        <f>IF(B17="Math", IF(Math!E17="","", Math!E17), IF(Biology!E17="","", Biology!E17))</f>
        <v>21</v>
      </c>
      <c r="G17" s="9" t="str">
        <f t="shared" si="0"/>
        <v>Fail</v>
      </c>
      <c r="H17" s="10" t="str">
        <f t="shared" si="1"/>
        <v>F</v>
      </c>
      <c r="I17" s="11">
        <f t="shared" si="2"/>
        <v>0</v>
      </c>
      <c r="J17" s="29">
        <f t="shared" si="3"/>
        <v>0</v>
      </c>
    </row>
    <row r="18" spans="1:10" x14ac:dyDescent="0.35">
      <c r="A18" s="9">
        <f>'Student Basic Info'!A18</f>
        <v>717</v>
      </c>
      <c r="B18" s="31" t="str">
        <f>SubjectList!I18</f>
        <v>Math</v>
      </c>
      <c r="C18" s="45" t="str">
        <f>IF(B18="Math", IF(Math!B18="","", Math!B18), IF(Biology!B18="","", Biology!B18))</f>
        <v/>
      </c>
      <c r="D18" s="45" t="str">
        <f>IF(B18="Math", IF(Math!C18="","", Math!C18), IF(Biology!C18="","", Biology!C18))</f>
        <v/>
      </c>
      <c r="E18" s="45" t="str">
        <f>IF(B18="Math", IF(Math!D18="","", Math!D18), IF(Biology!D18="","", Biology!D18))</f>
        <v/>
      </c>
      <c r="F18" s="10" t="str">
        <f>IF(B18="Math", IF(Math!E18="","", Math!E18), IF(Biology!E18="","", Biology!E18))</f>
        <v/>
      </c>
      <c r="G18" s="9" t="str">
        <f t="shared" si="0"/>
        <v/>
      </c>
      <c r="H18" s="10" t="str">
        <f t="shared" si="1"/>
        <v/>
      </c>
      <c r="I18" s="11" t="str">
        <f t="shared" si="2"/>
        <v/>
      </c>
      <c r="J18" s="29" t="str">
        <f t="shared" si="3"/>
        <v/>
      </c>
    </row>
    <row r="19" spans="1:10" x14ac:dyDescent="0.35">
      <c r="A19" s="9">
        <f>'Student Basic Info'!A19</f>
        <v>718</v>
      </c>
      <c r="B19" s="31" t="str">
        <f>SubjectList!I19</f>
        <v>Math</v>
      </c>
      <c r="C19" s="45" t="str">
        <f>IF(B19="Math", IF(Math!B19="","", Math!B19), IF(Biology!B19="","", Biology!B19))</f>
        <v/>
      </c>
      <c r="D19" s="45" t="str">
        <f>IF(B19="Math", IF(Math!C19="","", Math!C19), IF(Biology!C19="","", Biology!C19))</f>
        <v/>
      </c>
      <c r="E19" s="45" t="str">
        <f>IF(B19="Math", IF(Math!D19="","", Math!D19), IF(Biology!D19="","", Biology!D19))</f>
        <v/>
      </c>
      <c r="F19" s="10" t="str">
        <f>IF(B19="Math", IF(Math!E19="","", Math!E19), IF(Biology!E19="","", Biology!E19))</f>
        <v/>
      </c>
      <c r="G19" s="9" t="str">
        <f t="shared" si="0"/>
        <v/>
      </c>
      <c r="H19" s="10" t="str">
        <f t="shared" si="1"/>
        <v/>
      </c>
      <c r="I19" s="11" t="str">
        <f t="shared" si="2"/>
        <v/>
      </c>
      <c r="J19" s="29" t="str">
        <f t="shared" si="3"/>
        <v/>
      </c>
    </row>
    <row r="20" spans="1:10" x14ac:dyDescent="0.35">
      <c r="A20" s="9">
        <f>'Student Basic Info'!A20</f>
        <v>719</v>
      </c>
      <c r="B20" s="31" t="str">
        <f>SubjectList!I20</f>
        <v>Math</v>
      </c>
      <c r="C20" s="45">
        <f>IF(B20="Math", IF(Math!B20="","", Math!B20), IF(Biology!B20="","", Biology!B20))</f>
        <v>11</v>
      </c>
      <c r="D20" s="45">
        <f>IF(B20="Math", IF(Math!C20="","", Math!C20), IF(Biology!C20="","", Biology!C20))</f>
        <v>2</v>
      </c>
      <c r="E20" s="45">
        <f>IF(B20="Math", IF(Math!D20="","", Math!D20), IF(Biology!D20="","", Biology!D20))</f>
        <v>11</v>
      </c>
      <c r="F20" s="10">
        <f>IF(B20="Math", IF(Math!E20="","", Math!E20), IF(Biology!E20="","", Biology!E20))</f>
        <v>24</v>
      </c>
      <c r="G20" s="9" t="str">
        <f t="shared" si="0"/>
        <v>Fail</v>
      </c>
      <c r="H20" s="10" t="str">
        <f t="shared" si="1"/>
        <v>F</v>
      </c>
      <c r="I20" s="11">
        <f t="shared" si="2"/>
        <v>0</v>
      </c>
      <c r="J20" s="29">
        <f t="shared" si="3"/>
        <v>0</v>
      </c>
    </row>
    <row r="21" spans="1:10" x14ac:dyDescent="0.35">
      <c r="A21" s="9">
        <f>'Student Basic Info'!A21</f>
        <v>720</v>
      </c>
      <c r="B21" s="31" t="str">
        <f>SubjectList!I21</f>
        <v>Math</v>
      </c>
      <c r="C21" s="45">
        <f>IF(B21="Math", IF(Math!B21="","", Math!B21), IF(Biology!B21="","", Biology!B21))</f>
        <v>7</v>
      </c>
      <c r="D21" s="45">
        <f>IF(B21="Math", IF(Math!C21="","", Math!C21), IF(Biology!C21="","", Biology!C21))</f>
        <v>2</v>
      </c>
      <c r="E21" s="45">
        <f>IF(B21="Math", IF(Math!D21="","", Math!D21), IF(Biology!D21="","", Biology!D21))</f>
        <v>8</v>
      </c>
      <c r="F21" s="10">
        <f>IF(B21="Math", IF(Math!E21="","", Math!E21), IF(Biology!E21="","", Biology!E21))</f>
        <v>17</v>
      </c>
      <c r="G21" s="9" t="str">
        <f t="shared" si="0"/>
        <v>Fail</v>
      </c>
      <c r="H21" s="10" t="str">
        <f t="shared" si="1"/>
        <v>F</v>
      </c>
      <c r="I21" s="11">
        <f t="shared" si="2"/>
        <v>0</v>
      </c>
      <c r="J21" s="29">
        <f t="shared" si="3"/>
        <v>0</v>
      </c>
    </row>
    <row r="22" spans="1:10" x14ac:dyDescent="0.35">
      <c r="A22" s="9">
        <f>'Student Basic Info'!A22</f>
        <v>721</v>
      </c>
      <c r="B22" s="31" t="str">
        <f>SubjectList!I22</f>
        <v>Math</v>
      </c>
      <c r="C22" s="45" t="str">
        <f>IF(B22="Math", IF(Math!B22="","", Math!B22), IF(Biology!B22="","", Biology!B22))</f>
        <v/>
      </c>
      <c r="D22" s="45" t="str">
        <f>IF(B22="Math", IF(Math!C22="","", Math!C22), IF(Biology!C22="","", Biology!C22))</f>
        <v/>
      </c>
      <c r="E22" s="45" t="str">
        <f>IF(B22="Math", IF(Math!D22="","", Math!D22), IF(Biology!D22="","", Biology!D22))</f>
        <v/>
      </c>
      <c r="F22" s="10" t="str">
        <f>IF(B22="Math", IF(Math!E22="","", Math!E22), IF(Biology!E22="","", Biology!E22))</f>
        <v/>
      </c>
      <c r="G22" s="9" t="str">
        <f t="shared" si="0"/>
        <v/>
      </c>
      <c r="H22" s="10" t="str">
        <f t="shared" si="1"/>
        <v/>
      </c>
      <c r="I22" s="11" t="str">
        <f t="shared" si="2"/>
        <v/>
      </c>
      <c r="J22" s="29" t="str">
        <f t="shared" si="3"/>
        <v/>
      </c>
    </row>
    <row r="23" spans="1:10" x14ac:dyDescent="0.35">
      <c r="A23" s="9">
        <f>'Student Basic Info'!A23</f>
        <v>722</v>
      </c>
      <c r="B23" s="31" t="str">
        <f>SubjectList!I23</f>
        <v>Math</v>
      </c>
      <c r="C23" s="45">
        <f>IF(B23="Math", IF(Math!B23="","", Math!B23), IF(Biology!B23="","", Biology!B23))</f>
        <v>17</v>
      </c>
      <c r="D23" s="45">
        <f>IF(B23="Math", IF(Math!C23="","", Math!C23), IF(Biology!C23="","", Biology!C23))</f>
        <v>0</v>
      </c>
      <c r="E23" s="45">
        <f>IF(B23="Math", IF(Math!D23="","", Math!D23), IF(Biology!D23="","", Biology!D23))</f>
        <v>10</v>
      </c>
      <c r="F23" s="10">
        <f>IF(B23="Math", IF(Math!E23="","", Math!E23), IF(Biology!E23="","", Biology!E23))</f>
        <v>27</v>
      </c>
      <c r="G23" s="9" t="str">
        <f t="shared" si="0"/>
        <v>Fail</v>
      </c>
      <c r="H23" s="10" t="str">
        <f t="shared" si="1"/>
        <v>F</v>
      </c>
      <c r="I23" s="11">
        <f t="shared" si="2"/>
        <v>0</v>
      </c>
      <c r="J23" s="29">
        <f t="shared" si="3"/>
        <v>0</v>
      </c>
    </row>
    <row r="24" spans="1:10" x14ac:dyDescent="0.35">
      <c r="A24" s="9">
        <f>'Student Basic Info'!A24</f>
        <v>723</v>
      </c>
      <c r="B24" s="31" t="str">
        <f>SubjectList!I24</f>
        <v>Math</v>
      </c>
      <c r="C24" s="45">
        <f>IF(B24="Math", IF(Math!B24="","", Math!B24), IF(Biology!B24="","", Biology!B24))</f>
        <v>18</v>
      </c>
      <c r="D24" s="45">
        <f>IF(B24="Math", IF(Math!C24="","", Math!C24), IF(Biology!C24="","", Biology!C24))</f>
        <v>38</v>
      </c>
      <c r="E24" s="45">
        <f>IF(B24="Math", IF(Math!D24="","", Math!D24), IF(Biology!D24="","", Biology!D24))</f>
        <v>24</v>
      </c>
      <c r="F24" s="10">
        <f>IF(B24="Math", IF(Math!E24="","", Math!E24), IF(Biology!E24="","", Biology!E24))</f>
        <v>80</v>
      </c>
      <c r="G24" s="9" t="str">
        <f t="shared" si="0"/>
        <v>Pass</v>
      </c>
      <c r="H24" s="10" t="str">
        <f t="shared" si="1"/>
        <v>A+</v>
      </c>
      <c r="I24" s="11">
        <f t="shared" si="2"/>
        <v>5</v>
      </c>
      <c r="J24" s="29">
        <f t="shared" si="3"/>
        <v>3</v>
      </c>
    </row>
    <row r="25" spans="1:10" x14ac:dyDescent="0.35">
      <c r="A25" s="9">
        <f>'Student Basic Info'!A25</f>
        <v>724</v>
      </c>
      <c r="B25" s="31" t="str">
        <f>SubjectList!I25</f>
        <v>Math</v>
      </c>
      <c r="C25" s="45">
        <f>IF(B25="Math", IF(Math!B25="","", Math!B25), IF(Biology!B25="","", Biology!B25))</f>
        <v>16</v>
      </c>
      <c r="D25" s="45">
        <f>IF(B25="Math", IF(Math!C25="","", Math!C25), IF(Biology!C25="","", Biology!C25))</f>
        <v>1</v>
      </c>
      <c r="E25" s="45">
        <f>IF(B25="Math", IF(Math!D25="","", Math!D25), IF(Biology!D25="","", Biology!D25))</f>
        <v>11</v>
      </c>
      <c r="F25" s="10">
        <f>IF(B25="Math", IF(Math!E25="","", Math!E25), IF(Biology!E25="","", Biology!E25))</f>
        <v>28</v>
      </c>
      <c r="G25" s="9" t="str">
        <f t="shared" si="0"/>
        <v>Fail</v>
      </c>
      <c r="H25" s="10" t="str">
        <f t="shared" si="1"/>
        <v>F</v>
      </c>
      <c r="I25" s="11">
        <f t="shared" si="2"/>
        <v>0</v>
      </c>
      <c r="J25" s="29">
        <f t="shared" si="3"/>
        <v>0</v>
      </c>
    </row>
    <row r="26" spans="1:10" x14ac:dyDescent="0.35">
      <c r="A26" s="9">
        <f>'Student Basic Info'!A26</f>
        <v>725</v>
      </c>
      <c r="B26" s="31" t="str">
        <f>SubjectList!I26</f>
        <v>Math</v>
      </c>
      <c r="C26" s="45">
        <f>IF(B26="Math", IF(Math!B26="","", Math!B26), IF(Biology!B26="","", Biology!B26))</f>
        <v>18</v>
      </c>
      <c r="D26" s="45">
        <f>IF(B26="Math", IF(Math!C26="","", Math!C26), IF(Biology!C26="","", Biology!C26))</f>
        <v>1</v>
      </c>
      <c r="E26" s="45">
        <f>IF(B26="Math", IF(Math!D26="","", Math!D26), IF(Biology!D26="","", Biology!D26))</f>
        <v>12</v>
      </c>
      <c r="F26" s="10">
        <f>IF(B26="Math", IF(Math!E26="","", Math!E26), IF(Biology!E26="","", Biology!E26))</f>
        <v>31</v>
      </c>
      <c r="G26" s="9" t="str">
        <f t="shared" si="0"/>
        <v>Fail</v>
      </c>
      <c r="H26" s="10" t="str">
        <f t="shared" si="1"/>
        <v>F</v>
      </c>
      <c r="I26" s="11">
        <f t="shared" si="2"/>
        <v>0</v>
      </c>
      <c r="J26" s="29">
        <f t="shared" si="3"/>
        <v>0</v>
      </c>
    </row>
    <row r="27" spans="1:10" x14ac:dyDescent="0.35">
      <c r="A27" s="9">
        <f>'Student Basic Info'!A27</f>
        <v>726</v>
      </c>
      <c r="B27" s="31" t="str">
        <f>SubjectList!I27</f>
        <v>Math</v>
      </c>
      <c r="C27" s="45" t="str">
        <f>IF(B27="Math", IF(Math!B27="","", Math!B27), IF(Biology!B27="","", Biology!B27))</f>
        <v/>
      </c>
      <c r="D27" s="45" t="str">
        <f>IF(B27="Math", IF(Math!C27="","", Math!C27), IF(Biology!C27="","", Biology!C27))</f>
        <v/>
      </c>
      <c r="E27" s="45" t="str">
        <f>IF(B27="Math", IF(Math!D27="","", Math!D27), IF(Biology!D27="","", Biology!D27))</f>
        <v/>
      </c>
      <c r="F27" s="10" t="str">
        <f>IF(B27="Math", IF(Math!E27="","", Math!E27), IF(Biology!E27="","", Biology!E27))</f>
        <v/>
      </c>
      <c r="G27" s="9" t="str">
        <f t="shared" si="0"/>
        <v/>
      </c>
      <c r="H27" s="10" t="str">
        <f t="shared" si="1"/>
        <v/>
      </c>
      <c r="I27" s="11" t="str">
        <f t="shared" si="2"/>
        <v/>
      </c>
      <c r="J27" s="29" t="str">
        <f t="shared" si="3"/>
        <v/>
      </c>
    </row>
    <row r="28" spans="1:10" x14ac:dyDescent="0.35">
      <c r="A28" s="9">
        <f>'Student Basic Info'!A28</f>
        <v>727</v>
      </c>
      <c r="B28" s="31" t="str">
        <f>SubjectList!I28</f>
        <v>Math</v>
      </c>
      <c r="C28" s="45">
        <f>IF(B28="Math", IF(Math!B28="","", Math!B28), IF(Biology!B28="","", Biology!B28))</f>
        <v>9</v>
      </c>
      <c r="D28" s="45">
        <f>IF(B28="Math", IF(Math!C28="","", Math!C28), IF(Biology!C28="","", Biology!C28))</f>
        <v>5</v>
      </c>
      <c r="E28" s="45">
        <f>IF(B28="Math", IF(Math!D28="","", Math!D28), IF(Biology!D28="","", Biology!D28))</f>
        <v>10</v>
      </c>
      <c r="F28" s="10">
        <f>IF(B28="Math", IF(Math!E28="","", Math!E28), IF(Biology!E28="","", Biology!E28))</f>
        <v>24</v>
      </c>
      <c r="G28" s="9" t="str">
        <f t="shared" si="0"/>
        <v>Fail</v>
      </c>
      <c r="H28" s="10" t="str">
        <f t="shared" si="1"/>
        <v>F</v>
      </c>
      <c r="I28" s="11">
        <f t="shared" si="2"/>
        <v>0</v>
      </c>
      <c r="J28" s="29">
        <f t="shared" si="3"/>
        <v>0</v>
      </c>
    </row>
    <row r="29" spans="1:10" x14ac:dyDescent="0.35">
      <c r="A29" s="9">
        <f>'Student Basic Info'!A29</f>
        <v>728</v>
      </c>
      <c r="B29" s="31" t="str">
        <f>SubjectList!I29</f>
        <v>Math</v>
      </c>
      <c r="C29" s="45">
        <f>IF(B29="Math", IF(Math!B29="","", Math!B29), IF(Biology!B29="","", Biology!B29))</f>
        <v>15</v>
      </c>
      <c r="D29" s="45">
        <f>IF(B29="Math", IF(Math!C29="","", Math!C29), IF(Biology!C29="","", Biology!C29))</f>
        <v>0</v>
      </c>
      <c r="E29" s="45">
        <f>IF(B29="Math", IF(Math!D29="","", Math!D29), IF(Biology!D29="","", Biology!D29))</f>
        <v>10</v>
      </c>
      <c r="F29" s="10">
        <f>IF(B29="Math", IF(Math!E29="","", Math!E29), IF(Biology!E29="","", Biology!E29))</f>
        <v>25</v>
      </c>
      <c r="G29" s="9" t="str">
        <f t="shared" si="0"/>
        <v>Fail</v>
      </c>
      <c r="H29" s="10" t="str">
        <f t="shared" si="1"/>
        <v>F</v>
      </c>
      <c r="I29" s="11">
        <f t="shared" si="2"/>
        <v>0</v>
      </c>
      <c r="J29" s="29">
        <f t="shared" si="3"/>
        <v>0</v>
      </c>
    </row>
    <row r="30" spans="1:10" x14ac:dyDescent="0.35">
      <c r="A30" s="9">
        <f>'Student Basic Info'!A30</f>
        <v>729</v>
      </c>
      <c r="B30" s="31" t="str">
        <f>SubjectList!I30</f>
        <v>Math</v>
      </c>
      <c r="C30" s="45">
        <f>IF(B30="Math", IF(Math!B30="","", Math!B30), IF(Biology!B30="","", Biology!B30))</f>
        <v>13</v>
      </c>
      <c r="D30" s="45">
        <f>IF(B30="Math", IF(Math!C30="","", Math!C30), IF(Biology!C30="","", Biology!C30))</f>
        <v>1</v>
      </c>
      <c r="E30" s="45">
        <f>IF(B30="Math", IF(Math!D30="","", Math!D30), IF(Biology!D30="","", Biology!D30))</f>
        <v>10</v>
      </c>
      <c r="F30" s="10">
        <f>IF(B30="Math", IF(Math!E30="","", Math!E30), IF(Biology!E30="","", Biology!E30))</f>
        <v>24</v>
      </c>
      <c r="G30" s="9" t="str">
        <f t="shared" si="0"/>
        <v>Fail</v>
      </c>
      <c r="H30" s="10" t="str">
        <f t="shared" si="1"/>
        <v>F</v>
      </c>
      <c r="I30" s="11">
        <f t="shared" si="2"/>
        <v>0</v>
      </c>
      <c r="J30" s="29">
        <f t="shared" si="3"/>
        <v>0</v>
      </c>
    </row>
    <row r="31" spans="1:10" x14ac:dyDescent="0.35">
      <c r="A31" s="9">
        <f>'Student Basic Info'!A31</f>
        <v>730</v>
      </c>
      <c r="B31" s="31" t="str">
        <f>SubjectList!I31</f>
        <v>Math</v>
      </c>
      <c r="C31" s="45">
        <f>IF(B31="Math", IF(Math!B31="","", Math!B31), IF(Biology!B31="","", Biology!B31))</f>
        <v>13</v>
      </c>
      <c r="D31" s="45">
        <f>IF(B31="Math", IF(Math!C31="","", Math!C31), IF(Biology!C31="","", Biology!C31))</f>
        <v>0</v>
      </c>
      <c r="E31" s="45">
        <f>IF(B31="Math", IF(Math!D31="","", Math!D31), IF(Biology!D31="","", Biology!D31))</f>
        <v>10</v>
      </c>
      <c r="F31" s="10">
        <f>IF(B31="Math", IF(Math!E31="","", Math!E31), IF(Biology!E31="","", Biology!E31))</f>
        <v>23</v>
      </c>
      <c r="G31" s="9" t="str">
        <f t="shared" si="0"/>
        <v>Fail</v>
      </c>
      <c r="H31" s="10" t="str">
        <f t="shared" si="1"/>
        <v>F</v>
      </c>
      <c r="I31" s="11">
        <f t="shared" si="2"/>
        <v>0</v>
      </c>
      <c r="J31" s="29">
        <f t="shared" si="3"/>
        <v>0</v>
      </c>
    </row>
    <row r="32" spans="1:10" x14ac:dyDescent="0.35">
      <c r="A32" s="9">
        <f>'Student Basic Info'!A32</f>
        <v>731</v>
      </c>
      <c r="B32" s="31" t="str">
        <f>SubjectList!I32</f>
        <v>Math</v>
      </c>
      <c r="C32" s="45">
        <f>IF(B32="Math", IF(Math!B32="","", Math!B32), IF(Biology!B32="","", Biology!B32))</f>
        <v>9</v>
      </c>
      <c r="D32" s="45">
        <f>IF(B32="Math", IF(Math!C32="","", Math!C32), IF(Biology!C32="","", Biology!C32))</f>
        <v>2</v>
      </c>
      <c r="E32" s="45">
        <f>IF(B32="Math", IF(Math!D32="","", Math!D32), IF(Biology!D32="","", Biology!D32))</f>
        <v>10</v>
      </c>
      <c r="F32" s="10">
        <f>IF(B32="Math", IF(Math!E32="","", Math!E32), IF(Biology!E32="","", Biology!E32))</f>
        <v>21</v>
      </c>
      <c r="G32" s="9" t="str">
        <f t="shared" si="0"/>
        <v>Fail</v>
      </c>
      <c r="H32" s="10" t="str">
        <f t="shared" si="1"/>
        <v>F</v>
      </c>
      <c r="I32" s="11">
        <f t="shared" si="2"/>
        <v>0</v>
      </c>
      <c r="J32" s="29">
        <f t="shared" si="3"/>
        <v>0</v>
      </c>
    </row>
    <row r="33" spans="1:10" x14ac:dyDescent="0.35">
      <c r="A33" s="9">
        <f>'Student Basic Info'!A33</f>
        <v>732</v>
      </c>
      <c r="B33" s="31" t="str">
        <f>SubjectList!I33</f>
        <v>Math</v>
      </c>
      <c r="C33" s="45">
        <f>IF(B33="Math", IF(Math!B33="","", Math!B33), IF(Biology!B33="","", Biology!B33))</f>
        <v>16</v>
      </c>
      <c r="D33" s="45">
        <f>IF(B33="Math", IF(Math!C33="","", Math!C33), IF(Biology!C33="","", Biology!C33))</f>
        <v>0</v>
      </c>
      <c r="E33" s="45">
        <f>IF(B33="Math", IF(Math!D33="","", Math!D33), IF(Biology!D33="","", Biology!D33))</f>
        <v>10</v>
      </c>
      <c r="F33" s="10">
        <f>IF(B33="Math", IF(Math!E33="","", Math!E33), IF(Biology!E33="","", Biology!E33))</f>
        <v>26</v>
      </c>
      <c r="G33" s="9" t="str">
        <f t="shared" si="0"/>
        <v>Fail</v>
      </c>
      <c r="H33" s="10" t="str">
        <f t="shared" si="1"/>
        <v>F</v>
      </c>
      <c r="I33" s="11">
        <f t="shared" si="2"/>
        <v>0</v>
      </c>
      <c r="J33" s="29">
        <f t="shared" si="3"/>
        <v>0</v>
      </c>
    </row>
    <row r="34" spans="1:10" x14ac:dyDescent="0.35">
      <c r="A34" s="9">
        <f>'Student Basic Info'!A34</f>
        <v>733</v>
      </c>
      <c r="B34" s="31" t="str">
        <f>SubjectList!I34</f>
        <v>Math</v>
      </c>
      <c r="C34" s="45">
        <f>IF(B34="Math", IF(Math!B34="","", Math!B34), IF(Biology!B34="","", Biology!B34))</f>
        <v>6</v>
      </c>
      <c r="D34" s="45">
        <f>IF(B34="Math", IF(Math!C34="","", Math!C34), IF(Biology!C34="","", Biology!C34))</f>
        <v>1</v>
      </c>
      <c r="E34" s="45">
        <f>IF(B34="Math", IF(Math!D34="","", Math!D34), IF(Biology!D34="","", Biology!D34))</f>
        <v>9</v>
      </c>
      <c r="F34" s="10">
        <f>IF(B34="Math", IF(Math!E34="","", Math!E34), IF(Biology!E34="","", Biology!E34))</f>
        <v>16</v>
      </c>
      <c r="G34" s="9" t="str">
        <f t="shared" si="0"/>
        <v>Fail</v>
      </c>
      <c r="H34" s="10" t="str">
        <f t="shared" si="1"/>
        <v>F</v>
      </c>
      <c r="I34" s="11">
        <f t="shared" si="2"/>
        <v>0</v>
      </c>
      <c r="J34" s="29">
        <f t="shared" si="3"/>
        <v>0</v>
      </c>
    </row>
    <row r="35" spans="1:10" x14ac:dyDescent="0.35">
      <c r="A35" s="9">
        <f>'Student Basic Info'!A35</f>
        <v>734</v>
      </c>
      <c r="B35" s="31" t="str">
        <f>SubjectList!I35</f>
        <v>Math</v>
      </c>
      <c r="C35" s="45">
        <f>IF(B35="Math", IF(Math!B35="","", Math!B35), IF(Biology!B35="","", Biology!B35))</f>
        <v>16</v>
      </c>
      <c r="D35" s="45">
        <f>IF(B35="Math", IF(Math!C35="","", Math!C35), IF(Biology!C35="","", Biology!C35))</f>
        <v>0</v>
      </c>
      <c r="E35" s="45">
        <f>IF(B35="Math", IF(Math!D35="","", Math!D35), IF(Biology!D35="","", Biology!D35))</f>
        <v>10</v>
      </c>
      <c r="F35" s="10">
        <f>IF(B35="Math", IF(Math!E35="","", Math!E35), IF(Biology!E35="","", Biology!E35))</f>
        <v>26</v>
      </c>
      <c r="G35" s="9" t="str">
        <f t="shared" si="0"/>
        <v>Fail</v>
      </c>
      <c r="H35" s="10" t="str">
        <f t="shared" si="1"/>
        <v>F</v>
      </c>
      <c r="I35" s="11">
        <f t="shared" si="2"/>
        <v>0</v>
      </c>
      <c r="J35" s="29">
        <f t="shared" si="3"/>
        <v>0</v>
      </c>
    </row>
    <row r="36" spans="1:10" x14ac:dyDescent="0.35">
      <c r="A36" s="9">
        <f>'Student Basic Info'!A36</f>
        <v>735</v>
      </c>
      <c r="B36" s="31" t="str">
        <f>SubjectList!I36</f>
        <v>Math</v>
      </c>
      <c r="C36" s="45">
        <f>IF(B36="Math", IF(Math!B36="","", Math!B36), IF(Biology!B36="","", Biology!B36))</f>
        <v>7</v>
      </c>
      <c r="D36" s="45">
        <f>IF(B36="Math", IF(Math!C36="","", Math!C36), IF(Biology!C36="","", Biology!C36))</f>
        <v>1</v>
      </c>
      <c r="E36" s="45">
        <f>IF(B36="Math", IF(Math!D36="","", Math!D36), IF(Biology!D36="","", Biology!D36))</f>
        <v>10</v>
      </c>
      <c r="F36" s="10">
        <f>IF(B36="Math", IF(Math!E36="","", Math!E36), IF(Biology!E36="","", Biology!E36))</f>
        <v>18</v>
      </c>
      <c r="G36" s="9" t="str">
        <f t="shared" si="0"/>
        <v>Fail</v>
      </c>
      <c r="H36" s="10" t="str">
        <f t="shared" si="1"/>
        <v>F</v>
      </c>
      <c r="I36" s="11">
        <f t="shared" si="2"/>
        <v>0</v>
      </c>
      <c r="J36" s="29">
        <f t="shared" si="3"/>
        <v>0</v>
      </c>
    </row>
    <row r="37" spans="1:10" x14ac:dyDescent="0.35">
      <c r="A37" s="9">
        <f>'Student Basic Info'!A37</f>
        <v>736</v>
      </c>
      <c r="B37" s="31" t="str">
        <f>SubjectList!I37</f>
        <v>Math</v>
      </c>
      <c r="C37" s="45" t="str">
        <f>IF(B37="Math", IF(Math!B37="","", Math!B37), IF(Biology!B37="","", Biology!B37))</f>
        <v/>
      </c>
      <c r="D37" s="45" t="str">
        <f>IF(B37="Math", IF(Math!C37="","", Math!C37), IF(Biology!C37="","", Biology!C37))</f>
        <v/>
      </c>
      <c r="E37" s="45" t="str">
        <f>IF(B37="Math", IF(Math!D37="","", Math!D37), IF(Biology!D37="","", Biology!D37))</f>
        <v/>
      </c>
      <c r="F37" s="10" t="str">
        <f>IF(B37="Math", IF(Math!E37="","", Math!E37), IF(Biology!E37="","", Biology!E37))</f>
        <v/>
      </c>
      <c r="G37" s="9" t="str">
        <f t="shared" si="0"/>
        <v/>
      </c>
      <c r="H37" s="10" t="str">
        <f t="shared" si="1"/>
        <v/>
      </c>
      <c r="I37" s="11" t="str">
        <f t="shared" si="2"/>
        <v/>
      </c>
      <c r="J37" s="29" t="str">
        <f t="shared" si="3"/>
        <v/>
      </c>
    </row>
    <row r="38" spans="1:10" x14ac:dyDescent="0.35">
      <c r="A38" s="9">
        <f>'Student Basic Info'!A38</f>
        <v>737</v>
      </c>
      <c r="B38" s="31" t="str">
        <f>SubjectList!I38</f>
        <v>Math</v>
      </c>
      <c r="C38" s="45">
        <f>IF(B38="Math", IF(Math!B38="","", Math!B38), IF(Biology!B38="","", Biology!B38))</f>
        <v>4</v>
      </c>
      <c r="D38" s="45">
        <f>IF(B38="Math", IF(Math!C38="","", Math!C38), IF(Biology!C38="","", Biology!C38))</f>
        <v>4</v>
      </c>
      <c r="E38" s="45">
        <f>IF(B38="Math", IF(Math!D38="","", Math!D38), IF(Biology!D38="","", Biology!D38))</f>
        <v>9</v>
      </c>
      <c r="F38" s="10">
        <f>IF(B38="Math", IF(Math!E38="","", Math!E38), IF(Biology!E38="","", Biology!E38))</f>
        <v>17</v>
      </c>
      <c r="G38" s="9" t="str">
        <f t="shared" si="0"/>
        <v>Fail</v>
      </c>
      <c r="H38" s="10" t="str">
        <f t="shared" si="1"/>
        <v>F</v>
      </c>
      <c r="I38" s="11">
        <f t="shared" si="2"/>
        <v>0</v>
      </c>
      <c r="J38" s="29">
        <f t="shared" si="3"/>
        <v>0</v>
      </c>
    </row>
    <row r="39" spans="1:10" x14ac:dyDescent="0.35">
      <c r="A39" s="9">
        <f>'Student Basic Info'!A39</f>
        <v>738</v>
      </c>
      <c r="B39" s="31" t="str">
        <f>SubjectList!I39</f>
        <v>Math</v>
      </c>
      <c r="C39" s="45">
        <f>IF(B39="Math", IF(Math!B39="","", Math!B39), IF(Biology!B39="","", Biology!B39))</f>
        <v>6</v>
      </c>
      <c r="D39" s="45">
        <f>IF(B39="Math", IF(Math!C39="","", Math!C39), IF(Biology!C39="","", Biology!C39))</f>
        <v>1</v>
      </c>
      <c r="E39" s="45">
        <f>IF(B39="Math", IF(Math!D39="","", Math!D39), IF(Biology!D39="","", Biology!D39))</f>
        <v>8</v>
      </c>
      <c r="F39" s="10">
        <f>IF(B39="Math", IF(Math!E39="","", Math!E39), IF(Biology!E39="","", Biology!E39))</f>
        <v>15</v>
      </c>
      <c r="G39" s="9" t="str">
        <f t="shared" si="0"/>
        <v>Fail</v>
      </c>
      <c r="H39" s="10" t="str">
        <f t="shared" si="1"/>
        <v>F</v>
      </c>
      <c r="I39" s="11">
        <f t="shared" si="2"/>
        <v>0</v>
      </c>
      <c r="J39" s="29">
        <f t="shared" si="3"/>
        <v>0</v>
      </c>
    </row>
    <row r="40" spans="1:10" x14ac:dyDescent="0.35">
      <c r="A40" s="9">
        <f>'Student Basic Info'!A40</f>
        <v>739</v>
      </c>
      <c r="B40" s="31" t="str">
        <f>SubjectList!I40</f>
        <v>Math</v>
      </c>
      <c r="C40" s="45">
        <f>IF(B40="Math", IF(Math!B40="","", Math!B40), IF(Biology!B40="","", Biology!B40))</f>
        <v>6</v>
      </c>
      <c r="D40" s="45">
        <f>IF(B40="Math", IF(Math!C40="","", Math!C40), IF(Biology!C40="","", Biology!C40))</f>
        <v>1</v>
      </c>
      <c r="E40" s="45">
        <f>IF(B40="Math", IF(Math!D40="","", Math!D40), IF(Biology!D40="","", Biology!D40))</f>
        <v>8</v>
      </c>
      <c r="F40" s="10">
        <f>IF(B40="Math", IF(Math!E40="","", Math!E40), IF(Biology!E40="","", Biology!E40))</f>
        <v>15</v>
      </c>
      <c r="G40" s="9" t="str">
        <f t="shared" si="0"/>
        <v>Fail</v>
      </c>
      <c r="H40" s="10" t="str">
        <f t="shared" si="1"/>
        <v>F</v>
      </c>
      <c r="I40" s="11">
        <f t="shared" si="2"/>
        <v>0</v>
      </c>
      <c r="J40" s="29">
        <f t="shared" si="3"/>
        <v>0</v>
      </c>
    </row>
    <row r="41" spans="1:10" x14ac:dyDescent="0.35">
      <c r="A41" s="9">
        <f>'Student Basic Info'!A41</f>
        <v>740</v>
      </c>
      <c r="B41" s="31" t="str">
        <f>SubjectList!I41</f>
        <v>Math</v>
      </c>
      <c r="C41" s="45">
        <f>IF(B41="Math", IF(Math!B41="","", Math!B41), IF(Biology!B41="","", Biology!B41))</f>
        <v>8</v>
      </c>
      <c r="D41" s="45">
        <f>IF(B41="Math", IF(Math!C41="","", Math!C41), IF(Biology!C41="","", Biology!C41))</f>
        <v>1</v>
      </c>
      <c r="E41" s="45">
        <f>IF(B41="Math", IF(Math!D41="","", Math!D41), IF(Biology!D41="","", Biology!D41))</f>
        <v>8</v>
      </c>
      <c r="F41" s="10">
        <f>IF(B41="Math", IF(Math!E41="","", Math!E41), IF(Biology!E41="","", Biology!E41))</f>
        <v>17</v>
      </c>
      <c r="G41" s="9" t="str">
        <f t="shared" si="0"/>
        <v>Fail</v>
      </c>
      <c r="H41" s="10" t="str">
        <f t="shared" si="1"/>
        <v>F</v>
      </c>
      <c r="I41" s="11">
        <f t="shared" si="2"/>
        <v>0</v>
      </c>
      <c r="J41" s="29">
        <f t="shared" si="3"/>
        <v>0</v>
      </c>
    </row>
    <row r="42" spans="1:10" x14ac:dyDescent="0.35">
      <c r="A42" s="9">
        <f>'Student Basic Info'!A42</f>
        <v>741</v>
      </c>
      <c r="B42" s="31" t="str">
        <f>SubjectList!I42</f>
        <v>Math</v>
      </c>
      <c r="C42" s="45">
        <f>IF(B42="Math", IF(Math!B42="","", Math!B42), IF(Biology!B42="","", Biology!B42))</f>
        <v>7</v>
      </c>
      <c r="D42" s="45">
        <f>IF(B42="Math", IF(Math!C42="","", Math!C42), IF(Biology!C42="","", Biology!C42))</f>
        <v>3</v>
      </c>
      <c r="E42" s="45">
        <f>IF(B42="Math", IF(Math!D42="","", Math!D42), IF(Biology!D42="","", Biology!D42))</f>
        <v>10</v>
      </c>
      <c r="F42" s="10">
        <f>IF(B42="Math", IF(Math!E42="","", Math!E42), IF(Biology!E42="","", Biology!E42))</f>
        <v>20</v>
      </c>
      <c r="G42" s="9" t="str">
        <f t="shared" si="0"/>
        <v>Fail</v>
      </c>
      <c r="H42" s="10" t="str">
        <f t="shared" si="1"/>
        <v>F</v>
      </c>
      <c r="I42" s="11">
        <f t="shared" si="2"/>
        <v>0</v>
      </c>
      <c r="J42" s="29">
        <f t="shared" si="3"/>
        <v>0</v>
      </c>
    </row>
    <row r="43" spans="1:10" x14ac:dyDescent="0.35">
      <c r="A43" s="9">
        <f>'Student Basic Info'!A43</f>
        <v>742</v>
      </c>
      <c r="B43" s="31" t="str">
        <f>SubjectList!I43</f>
        <v>Math</v>
      </c>
      <c r="C43" s="45" t="str">
        <f>IF(B43="Math", IF(Math!B43="","", Math!B43), IF(Biology!B43="","", Biology!B43))</f>
        <v/>
      </c>
      <c r="D43" s="45" t="str">
        <f>IF(B43="Math", IF(Math!C43="","", Math!C43), IF(Biology!C43="","", Biology!C43))</f>
        <v/>
      </c>
      <c r="E43" s="45" t="str">
        <f>IF(B43="Math", IF(Math!D43="","", Math!D43), IF(Biology!D43="","", Biology!D43))</f>
        <v/>
      </c>
      <c r="F43" s="10" t="str">
        <f>IF(B43="Math", IF(Math!E43="","", Math!E43), IF(Biology!E43="","", Biology!E43))</f>
        <v/>
      </c>
      <c r="G43" s="9" t="str">
        <f t="shared" si="0"/>
        <v/>
      </c>
      <c r="H43" s="10" t="str">
        <f t="shared" si="1"/>
        <v/>
      </c>
      <c r="I43" s="11" t="str">
        <f t="shared" si="2"/>
        <v/>
      </c>
      <c r="J43" s="29" t="str">
        <f t="shared" si="3"/>
        <v/>
      </c>
    </row>
    <row r="44" spans="1:10" x14ac:dyDescent="0.35">
      <c r="A44" s="9">
        <f>'Student Basic Info'!A44</f>
        <v>743</v>
      </c>
      <c r="B44" s="31" t="str">
        <f>SubjectList!I44</f>
        <v>Math</v>
      </c>
      <c r="C44" s="45">
        <f>IF(B44="Math", IF(Math!B44="","", Math!B44), IF(Biology!B44="","", Biology!B44))</f>
        <v>6</v>
      </c>
      <c r="D44" s="45">
        <f>IF(B44="Math", IF(Math!C44="","", Math!C44), IF(Biology!C44="","", Biology!C44))</f>
        <v>1</v>
      </c>
      <c r="E44" s="45">
        <f>IF(B44="Math", IF(Math!D44="","", Math!D44), IF(Biology!D44="","", Biology!D44))</f>
        <v>8</v>
      </c>
      <c r="F44" s="10">
        <f>IF(B44="Math", IF(Math!E44="","", Math!E44), IF(Biology!E44="","", Biology!E44))</f>
        <v>15</v>
      </c>
      <c r="G44" s="9" t="str">
        <f t="shared" si="0"/>
        <v>Fail</v>
      </c>
      <c r="H44" s="10" t="str">
        <f t="shared" si="1"/>
        <v>F</v>
      </c>
      <c r="I44" s="11">
        <f t="shared" si="2"/>
        <v>0</v>
      </c>
      <c r="J44" s="29">
        <f t="shared" si="3"/>
        <v>0</v>
      </c>
    </row>
    <row r="45" spans="1:10" x14ac:dyDescent="0.35">
      <c r="A45" s="9">
        <f>'Student Basic Info'!A45</f>
        <v>744</v>
      </c>
      <c r="B45" s="31" t="str">
        <f>SubjectList!I45</f>
        <v>Math</v>
      </c>
      <c r="C45" s="45">
        <f>IF(B45="Math", IF(Math!B45="","", Math!B45), IF(Biology!B45="","", Biology!B45))</f>
        <v>11</v>
      </c>
      <c r="D45" s="45">
        <f>IF(B45="Math", IF(Math!C45="","", Math!C45), IF(Biology!C45="","", Biology!C45))</f>
        <v>0</v>
      </c>
      <c r="E45" s="45">
        <f>IF(B45="Math", IF(Math!D45="","", Math!D45), IF(Biology!D45="","", Biology!D45))</f>
        <v>9</v>
      </c>
      <c r="F45" s="10">
        <f>IF(B45="Math", IF(Math!E45="","", Math!E45), IF(Biology!E45="","", Biology!E45))</f>
        <v>20</v>
      </c>
      <c r="G45" s="9" t="str">
        <f t="shared" si="0"/>
        <v>Fail</v>
      </c>
      <c r="H45" s="10" t="str">
        <f t="shared" si="1"/>
        <v>F</v>
      </c>
      <c r="I45" s="11">
        <f t="shared" si="2"/>
        <v>0</v>
      </c>
      <c r="J45" s="29">
        <f t="shared" si="3"/>
        <v>0</v>
      </c>
    </row>
    <row r="46" spans="1:10" x14ac:dyDescent="0.35">
      <c r="A46" s="9">
        <f>'Student Basic Info'!A46</f>
        <v>745</v>
      </c>
      <c r="B46" s="31" t="str">
        <f>SubjectList!I46</f>
        <v>Biology</v>
      </c>
      <c r="C46" s="45">
        <f>IF(B46="Math", IF(Math!B46="","", Math!B46), IF(Biology!B46="","", Biology!B46))</f>
        <v>8</v>
      </c>
      <c r="D46" s="45">
        <f>IF(B46="Math", IF(Math!C46="","", Math!C46), IF(Biology!C46="","", Biology!C46))</f>
        <v>21</v>
      </c>
      <c r="E46" s="45">
        <f>IF(B46="Math", IF(Math!D46="","", Math!D46), IF(Biology!D46="","", Biology!D46))</f>
        <v>15</v>
      </c>
      <c r="F46" s="10">
        <f>IF(B46="Math", IF(Math!E46="","", Math!E46), IF(Biology!E46="","", Biology!E46))</f>
        <v>44</v>
      </c>
      <c r="G46" s="9" t="str">
        <f t="shared" si="0"/>
        <v>Pass</v>
      </c>
      <c r="H46" s="10" t="str">
        <f t="shared" si="1"/>
        <v>C</v>
      </c>
      <c r="I46" s="11">
        <f t="shared" si="2"/>
        <v>2</v>
      </c>
      <c r="J46" s="29">
        <f t="shared" si="3"/>
        <v>0</v>
      </c>
    </row>
    <row r="47" spans="1:10" x14ac:dyDescent="0.35">
      <c r="A47" s="9">
        <f>'Student Basic Info'!A47</f>
        <v>746</v>
      </c>
      <c r="B47" s="31" t="str">
        <f>SubjectList!I47</f>
        <v>Math</v>
      </c>
      <c r="C47" s="45">
        <f>IF(B47="Math", IF(Math!B47="","", Math!B47), IF(Biology!B47="","", Biology!B47))</f>
        <v>8</v>
      </c>
      <c r="D47" s="45">
        <f>IF(B47="Math", IF(Math!C47="","", Math!C47), IF(Biology!C47="","", Biology!C47))</f>
        <v>12</v>
      </c>
      <c r="E47" s="45">
        <f>IF(B47="Math", IF(Math!D47="","", Math!D47), IF(Biology!D47="","", Biology!D47))</f>
        <v>15</v>
      </c>
      <c r="F47" s="10">
        <f>IF(B47="Math", IF(Math!E47="","", Math!E47), IF(Biology!E47="","", Biology!E47))</f>
        <v>35</v>
      </c>
      <c r="G47" s="9" t="str">
        <f t="shared" si="0"/>
        <v>Fail</v>
      </c>
      <c r="H47" s="10" t="str">
        <f t="shared" si="1"/>
        <v>F</v>
      </c>
      <c r="I47" s="11">
        <f t="shared" si="2"/>
        <v>0</v>
      </c>
      <c r="J47" s="29">
        <f t="shared" si="3"/>
        <v>0</v>
      </c>
    </row>
    <row r="48" spans="1:10" x14ac:dyDescent="0.35">
      <c r="A48" s="9">
        <f>'Student Basic Info'!A48</f>
        <v>747</v>
      </c>
      <c r="B48" s="31" t="str">
        <f>SubjectList!I48</f>
        <v>Math</v>
      </c>
      <c r="C48" s="45">
        <f>IF(B48="Math", IF(Math!B48="","", Math!B48), IF(Biology!B48="","", Biology!B48))</f>
        <v>14</v>
      </c>
      <c r="D48" s="45">
        <f>IF(B48="Math", IF(Math!C48="","", Math!C48), IF(Biology!C48="","", Biology!C48))</f>
        <v>1</v>
      </c>
      <c r="E48" s="45">
        <f>IF(B48="Math", IF(Math!D48="","", Math!D48), IF(Biology!D48="","", Biology!D48))</f>
        <v>10</v>
      </c>
      <c r="F48" s="10">
        <f>IF(B48="Math", IF(Math!E48="","", Math!E48), IF(Biology!E48="","", Biology!E48))</f>
        <v>25</v>
      </c>
      <c r="G48" s="9" t="str">
        <f t="shared" si="0"/>
        <v>Fail</v>
      </c>
      <c r="H48" s="10" t="str">
        <f t="shared" si="1"/>
        <v>F</v>
      </c>
      <c r="I48" s="11">
        <f t="shared" si="2"/>
        <v>0</v>
      </c>
      <c r="J48" s="29">
        <f t="shared" si="3"/>
        <v>0</v>
      </c>
    </row>
    <row r="49" spans="1:10" x14ac:dyDescent="0.35">
      <c r="A49" s="9">
        <f>'Student Basic Info'!A49</f>
        <v>748</v>
      </c>
      <c r="B49" s="31" t="str">
        <f>SubjectList!I49</f>
        <v>Math</v>
      </c>
      <c r="C49" s="45">
        <f>IF(B49="Math", IF(Math!B49="","", Math!B49), IF(Biology!B49="","", Biology!B49))</f>
        <v>4</v>
      </c>
      <c r="D49" s="45">
        <f>IF(B49="Math", IF(Math!C49="","", Math!C49), IF(Biology!C49="","", Biology!C49))</f>
        <v>1</v>
      </c>
      <c r="E49" s="45">
        <f>IF(B49="Math", IF(Math!D49="","", Math!D49), IF(Biology!D49="","", Biology!D49))</f>
        <v>8</v>
      </c>
      <c r="F49" s="10">
        <f>IF(B49="Math", IF(Math!E49="","", Math!E49), IF(Biology!E49="","", Biology!E49))</f>
        <v>13</v>
      </c>
      <c r="G49" s="9" t="str">
        <f t="shared" si="0"/>
        <v>Fail</v>
      </c>
      <c r="H49" s="10" t="str">
        <f t="shared" si="1"/>
        <v>F</v>
      </c>
      <c r="I49" s="11">
        <f t="shared" si="2"/>
        <v>0</v>
      </c>
      <c r="J49" s="29">
        <f t="shared" si="3"/>
        <v>0</v>
      </c>
    </row>
    <row r="50" spans="1:10" x14ac:dyDescent="0.35">
      <c r="A50" s="9">
        <f>'Student Basic Info'!A50</f>
        <v>749</v>
      </c>
      <c r="B50" s="31" t="str">
        <f>SubjectList!I50</f>
        <v>Math</v>
      </c>
      <c r="C50" s="45">
        <f>IF(B50="Math", IF(Math!B50="","", Math!B50), IF(Biology!B50="","", Biology!B50))</f>
        <v>6</v>
      </c>
      <c r="D50" s="45">
        <f>IF(B50="Math", IF(Math!C50="","", Math!C50), IF(Biology!C50="","", Biology!C50))</f>
        <v>0</v>
      </c>
      <c r="E50" s="45">
        <f>IF(B50="Math", IF(Math!D50="","", Math!D50), IF(Biology!D50="","", Biology!D50))</f>
        <v>8</v>
      </c>
      <c r="F50" s="10">
        <f>IF(B50="Math", IF(Math!E50="","", Math!E50), IF(Biology!E50="","", Biology!E50))</f>
        <v>14</v>
      </c>
      <c r="G50" s="9" t="str">
        <f t="shared" si="0"/>
        <v>Fail</v>
      </c>
      <c r="H50" s="10" t="str">
        <f t="shared" si="1"/>
        <v>F</v>
      </c>
      <c r="I50" s="11">
        <f t="shared" si="2"/>
        <v>0</v>
      </c>
      <c r="J50" s="29">
        <f t="shared" si="3"/>
        <v>0</v>
      </c>
    </row>
    <row r="51" spans="1:10" x14ac:dyDescent="0.35">
      <c r="A51" s="9">
        <f>'Student Basic Info'!A51</f>
        <v>750</v>
      </c>
      <c r="B51" s="31" t="str">
        <f>SubjectList!I51</f>
        <v>Biology</v>
      </c>
      <c r="C51" s="45" t="str">
        <f>IF(B51="Math", IF(Math!B51="","", Math!B51), IF(Biology!B51="","", Biology!B51))</f>
        <v/>
      </c>
      <c r="D51" s="45" t="str">
        <f>IF(B51="Math", IF(Math!C51="","", Math!C51), IF(Biology!C51="","", Biology!C51))</f>
        <v/>
      </c>
      <c r="E51" s="45" t="str">
        <f>IF(B51="Math", IF(Math!D51="","", Math!D51), IF(Biology!D51="","", Biology!D51))</f>
        <v/>
      </c>
      <c r="F51" s="10" t="str">
        <f>IF(B51="Math", IF(Math!E51="","", Math!E51), IF(Biology!E51="","", Biology!E51))</f>
        <v/>
      </c>
      <c r="G51" s="9" t="str">
        <f t="shared" si="0"/>
        <v/>
      </c>
      <c r="H51" s="10" t="str">
        <f t="shared" si="1"/>
        <v/>
      </c>
      <c r="I51" s="11" t="str">
        <f t="shared" si="2"/>
        <v/>
      </c>
      <c r="J51" s="29" t="str">
        <f t="shared" si="3"/>
        <v/>
      </c>
    </row>
    <row r="52" spans="1:10" x14ac:dyDescent="0.35">
      <c r="A52" s="9">
        <f>'Student Basic Info'!A52</f>
        <v>751</v>
      </c>
      <c r="B52" s="31" t="str">
        <f>SubjectList!I52</f>
        <v>Math</v>
      </c>
      <c r="C52" s="45" t="str">
        <f>IF(B52="Math", IF(Math!B52="","", Math!B52), IF(Biology!B52="","", Biology!B52))</f>
        <v/>
      </c>
      <c r="D52" s="45" t="str">
        <f>IF(B52="Math", IF(Math!C52="","", Math!C52), IF(Biology!C52="","", Biology!C52))</f>
        <v/>
      </c>
      <c r="E52" s="45" t="str">
        <f>IF(B52="Math", IF(Math!D52="","", Math!D52), IF(Biology!D52="","", Biology!D52))</f>
        <v/>
      </c>
      <c r="F52" s="10" t="str">
        <f>IF(B52="Math", IF(Math!E52="","", Math!E52), IF(Biology!E52="","", Biology!E52))</f>
        <v/>
      </c>
      <c r="G52" s="9" t="str">
        <f t="shared" si="0"/>
        <v/>
      </c>
      <c r="H52" s="10" t="str">
        <f t="shared" si="1"/>
        <v/>
      </c>
      <c r="I52" s="11" t="str">
        <f t="shared" si="2"/>
        <v/>
      </c>
      <c r="J52" s="29" t="str">
        <f t="shared" si="3"/>
        <v/>
      </c>
    </row>
    <row r="53" spans="1:10" x14ac:dyDescent="0.35">
      <c r="A53" s="9">
        <f>'Student Basic Info'!A53</f>
        <v>752</v>
      </c>
      <c r="B53" s="31" t="str">
        <f>SubjectList!I53</f>
        <v>Math</v>
      </c>
      <c r="C53" s="45" t="str">
        <f>IF(B53="Math", IF(Math!B53="","", Math!B53), IF(Biology!B53="","", Biology!B53))</f>
        <v/>
      </c>
      <c r="D53" s="45" t="str">
        <f>IF(B53="Math", IF(Math!C53="","", Math!C53), IF(Biology!C53="","", Biology!C53))</f>
        <v/>
      </c>
      <c r="E53" s="45" t="str">
        <f>IF(B53="Math", IF(Math!D53="","", Math!D53), IF(Biology!D53="","", Biology!D53))</f>
        <v/>
      </c>
      <c r="F53" s="10" t="str">
        <f>IF(B53="Math", IF(Math!E53="","", Math!E53), IF(Biology!E53="","", Biology!E53))</f>
        <v/>
      </c>
      <c r="G53" s="9" t="str">
        <f t="shared" si="0"/>
        <v/>
      </c>
      <c r="H53" s="10" t="str">
        <f t="shared" si="1"/>
        <v/>
      </c>
      <c r="I53" s="11" t="str">
        <f t="shared" si="2"/>
        <v/>
      </c>
      <c r="J53" s="29" t="str">
        <f t="shared" si="3"/>
        <v/>
      </c>
    </row>
    <row r="54" spans="1:10" x14ac:dyDescent="0.35">
      <c r="A54" s="9">
        <f>'Student Basic Info'!A54</f>
        <v>753</v>
      </c>
      <c r="B54" s="31" t="str">
        <f>SubjectList!I54</f>
        <v>Math</v>
      </c>
      <c r="C54" s="45">
        <f>IF(B54="Math", IF(Math!B54="","", Math!B54), IF(Biology!B54="","", Biology!B54))</f>
        <v>17</v>
      </c>
      <c r="D54" s="45">
        <f>IF(B54="Math", IF(Math!C54="","", Math!C54), IF(Biology!C54="","", Biology!C54))</f>
        <v>0</v>
      </c>
      <c r="E54" s="45">
        <f>IF(B54="Math", IF(Math!D54="","", Math!D54), IF(Biology!D54="","", Biology!D54))</f>
        <v>12</v>
      </c>
      <c r="F54" s="10">
        <f>IF(B54="Math", IF(Math!E54="","", Math!E54), IF(Biology!E54="","", Biology!E54))</f>
        <v>29</v>
      </c>
      <c r="G54" s="9" t="str">
        <f t="shared" si="0"/>
        <v>Fail</v>
      </c>
      <c r="H54" s="10" t="str">
        <f t="shared" si="1"/>
        <v>F</v>
      </c>
      <c r="I54" s="11">
        <f t="shared" si="2"/>
        <v>0</v>
      </c>
      <c r="J54" s="29">
        <f t="shared" si="3"/>
        <v>0</v>
      </c>
    </row>
    <row r="55" spans="1:10" x14ac:dyDescent="0.35">
      <c r="A55" s="9">
        <f>'Student Basic Info'!A55</f>
        <v>754</v>
      </c>
      <c r="B55" s="31" t="str">
        <f>SubjectList!I55</f>
        <v>Math</v>
      </c>
      <c r="C55" s="45">
        <f>IF(B55="Math", IF(Math!B55="","", Math!B55), IF(Biology!B55="","", Biology!B55))</f>
        <v>8</v>
      </c>
      <c r="D55" s="45">
        <f>IF(B55="Math", IF(Math!C55="","", Math!C55), IF(Biology!C55="","", Biology!C55))</f>
        <v>0</v>
      </c>
      <c r="E55" s="45">
        <f>IF(B55="Math", IF(Math!D55="","", Math!D55), IF(Biology!D55="","", Biology!D55))</f>
        <v>8</v>
      </c>
      <c r="F55" s="10">
        <f>IF(B55="Math", IF(Math!E55="","", Math!E55), IF(Biology!E55="","", Biology!E55))</f>
        <v>16</v>
      </c>
      <c r="G55" s="9" t="str">
        <f t="shared" si="0"/>
        <v>Fail</v>
      </c>
      <c r="H55" s="10" t="str">
        <f t="shared" si="1"/>
        <v>F</v>
      </c>
      <c r="I55" s="11">
        <f t="shared" si="2"/>
        <v>0</v>
      </c>
      <c r="J55" s="29">
        <f t="shared" si="3"/>
        <v>0</v>
      </c>
    </row>
    <row r="56" spans="1:10" x14ac:dyDescent="0.35">
      <c r="A56" s="9">
        <f>'Student Basic Info'!A56</f>
        <v>755</v>
      </c>
      <c r="B56" s="31" t="str">
        <f>SubjectList!I56</f>
        <v>Math</v>
      </c>
      <c r="C56" s="45">
        <f>IF(B56="Math", IF(Math!B56="","", Math!B56), IF(Biology!B56="","", Biology!B56))</f>
        <v>4</v>
      </c>
      <c r="D56" s="45">
        <f>IF(B56="Math", IF(Math!C56="","", Math!C56), IF(Biology!C56="","", Biology!C56))</f>
        <v>0</v>
      </c>
      <c r="E56" s="45">
        <f>IF(B56="Math", IF(Math!D56="","", Math!D56), IF(Biology!D56="","", Biology!D56))</f>
        <v>8</v>
      </c>
      <c r="F56" s="10">
        <f>IF(B56="Math", IF(Math!E56="","", Math!E56), IF(Biology!E56="","", Biology!E56))</f>
        <v>12</v>
      </c>
      <c r="G56" s="9" t="str">
        <f t="shared" si="0"/>
        <v>Fail</v>
      </c>
      <c r="H56" s="10" t="str">
        <f t="shared" si="1"/>
        <v>F</v>
      </c>
      <c r="I56" s="11">
        <f t="shared" si="2"/>
        <v>0</v>
      </c>
      <c r="J56" s="29">
        <f t="shared" si="3"/>
        <v>0</v>
      </c>
    </row>
    <row r="57" spans="1:10" x14ac:dyDescent="0.35">
      <c r="A57" s="9">
        <f>'Student Basic Info'!A57</f>
        <v>756</v>
      </c>
      <c r="B57" s="31" t="str">
        <f>SubjectList!I57</f>
        <v>Math</v>
      </c>
      <c r="C57" s="45">
        <f>IF(B57="Math", IF(Math!B57="","", Math!B57), IF(Biology!B57="","", Biology!B57))</f>
        <v>11</v>
      </c>
      <c r="D57" s="45">
        <f>IF(B57="Math", IF(Math!C57="","", Math!C57), IF(Biology!C57="","", Biology!C57))</f>
        <v>1</v>
      </c>
      <c r="E57" s="45">
        <f>IF(B57="Math", IF(Math!D57="","", Math!D57), IF(Biology!D57="","", Biology!D57))</f>
        <v>9</v>
      </c>
      <c r="F57" s="10">
        <f>IF(B57="Math", IF(Math!E57="","", Math!E57), IF(Biology!E57="","", Biology!E57))</f>
        <v>21</v>
      </c>
      <c r="G57" s="9" t="str">
        <f t="shared" si="0"/>
        <v>Fail</v>
      </c>
      <c r="H57" s="10" t="str">
        <f t="shared" si="1"/>
        <v>F</v>
      </c>
      <c r="I57" s="11">
        <f t="shared" si="2"/>
        <v>0</v>
      </c>
      <c r="J57" s="29">
        <f t="shared" si="3"/>
        <v>0</v>
      </c>
    </row>
    <row r="58" spans="1:10" x14ac:dyDescent="0.35">
      <c r="A58" s="9">
        <f>'Student Basic Info'!A58</f>
        <v>757</v>
      </c>
      <c r="B58" s="31" t="str">
        <f>SubjectList!I58</f>
        <v>Math</v>
      </c>
      <c r="C58" s="45">
        <f>IF(B58="Math", IF(Math!B58="","", Math!B58), IF(Biology!B58="","", Biology!B58))</f>
        <v>15</v>
      </c>
      <c r="D58" s="45">
        <f>IF(B58="Math", IF(Math!C58="","", Math!C58), IF(Biology!C58="","", Biology!C58))</f>
        <v>1</v>
      </c>
      <c r="E58" s="45">
        <f>IF(B58="Math", IF(Math!D58="","", Math!D58), IF(Biology!D58="","", Biology!D58))</f>
        <v>10</v>
      </c>
      <c r="F58" s="10">
        <f>IF(B58="Math", IF(Math!E58="","", Math!E58), IF(Biology!E58="","", Biology!E58))</f>
        <v>26</v>
      </c>
      <c r="G58" s="9" t="str">
        <f t="shared" si="0"/>
        <v>Fail</v>
      </c>
      <c r="H58" s="10" t="str">
        <f t="shared" si="1"/>
        <v>F</v>
      </c>
      <c r="I58" s="11">
        <f t="shared" si="2"/>
        <v>0</v>
      </c>
      <c r="J58" s="29">
        <f t="shared" si="3"/>
        <v>0</v>
      </c>
    </row>
    <row r="59" spans="1:10" x14ac:dyDescent="0.35">
      <c r="A59" s="9">
        <f>'Student Basic Info'!A59</f>
        <v>758</v>
      </c>
      <c r="B59" s="31" t="str">
        <f>SubjectList!I59</f>
        <v>Math</v>
      </c>
      <c r="C59" s="45">
        <f>IF(B59="Math", IF(Math!B59="","", Math!B59), IF(Biology!B59="","", Biology!B59))</f>
        <v>13</v>
      </c>
      <c r="D59" s="45">
        <f>IF(B59="Math", IF(Math!C59="","", Math!C59), IF(Biology!C59="","", Biology!C59))</f>
        <v>2</v>
      </c>
      <c r="E59" s="45">
        <f>IF(B59="Math", IF(Math!D59="","", Math!D59), IF(Biology!D59="","", Biology!D59))</f>
        <v>12</v>
      </c>
      <c r="F59" s="10">
        <f>IF(B59="Math", IF(Math!E59="","", Math!E59), IF(Biology!E59="","", Biology!E59))</f>
        <v>27</v>
      </c>
      <c r="G59" s="9" t="str">
        <f t="shared" si="0"/>
        <v>Fail</v>
      </c>
      <c r="H59" s="10" t="str">
        <f t="shared" si="1"/>
        <v>F</v>
      </c>
      <c r="I59" s="11">
        <f t="shared" si="2"/>
        <v>0</v>
      </c>
      <c r="J59" s="29">
        <f t="shared" si="3"/>
        <v>0</v>
      </c>
    </row>
    <row r="60" spans="1:10" x14ac:dyDescent="0.35">
      <c r="A60" s="9">
        <f>'Student Basic Info'!A60</f>
        <v>759</v>
      </c>
      <c r="B60" s="31" t="str">
        <f>SubjectList!I60</f>
        <v>Math</v>
      </c>
      <c r="C60" s="45">
        <f>IF(B60="Math", IF(Math!B60="","", Math!B60), IF(Biology!B60="","", Biology!B60))</f>
        <v>19</v>
      </c>
      <c r="D60" s="45">
        <f>IF(B60="Math", IF(Math!C60="","", Math!C60), IF(Biology!C60="","", Biology!C60))</f>
        <v>38</v>
      </c>
      <c r="E60" s="45">
        <f>IF(B60="Math", IF(Math!D60="","", Math!D60), IF(Biology!D60="","", Biology!D60))</f>
        <v>23</v>
      </c>
      <c r="F60" s="10">
        <f>IF(B60="Math", IF(Math!E60="","", Math!E60), IF(Biology!E60="","", Biology!E60))</f>
        <v>80</v>
      </c>
      <c r="G60" s="9" t="str">
        <f t="shared" si="0"/>
        <v>Pass</v>
      </c>
      <c r="H60" s="10" t="str">
        <f t="shared" si="1"/>
        <v>A+</v>
      </c>
      <c r="I60" s="11">
        <f t="shared" si="2"/>
        <v>5</v>
      </c>
      <c r="J60" s="29">
        <f t="shared" si="3"/>
        <v>3</v>
      </c>
    </row>
    <row r="61" spans="1:10" x14ac:dyDescent="0.35">
      <c r="A61" s="9">
        <f>'Student Basic Info'!A61</f>
        <v>760</v>
      </c>
      <c r="B61" s="31" t="str">
        <f>SubjectList!I61</f>
        <v>Math</v>
      </c>
      <c r="C61" s="45">
        <f>IF(B61="Math", IF(Math!B61="","", Math!B61), IF(Biology!B61="","", Biology!B61))</f>
        <v>14</v>
      </c>
      <c r="D61" s="45">
        <f>IF(B61="Math", IF(Math!C61="","", Math!C61), IF(Biology!C61="","", Biology!C61))</f>
        <v>1</v>
      </c>
      <c r="E61" s="45">
        <f>IF(B61="Math", IF(Math!D61="","", Math!D61), IF(Biology!D61="","", Biology!D61))</f>
        <v>12</v>
      </c>
      <c r="F61" s="10">
        <f>IF(B61="Math", IF(Math!E61="","", Math!E61), IF(Biology!E61="","", Biology!E61))</f>
        <v>27</v>
      </c>
      <c r="G61" s="9" t="str">
        <f t="shared" si="0"/>
        <v>Fail</v>
      </c>
      <c r="H61" s="10" t="str">
        <f t="shared" si="1"/>
        <v>F</v>
      </c>
      <c r="I61" s="11">
        <f t="shared" si="2"/>
        <v>0</v>
      </c>
      <c r="J61" s="29">
        <f t="shared" si="3"/>
        <v>0</v>
      </c>
    </row>
    <row r="62" spans="1:10" x14ac:dyDescent="0.35">
      <c r="A62" s="9">
        <f>'Student Basic Info'!A62</f>
        <v>761</v>
      </c>
      <c r="B62" s="31" t="str">
        <f>SubjectList!I62</f>
        <v>Math</v>
      </c>
      <c r="C62" s="45">
        <f>IF(B62="Math", IF(Math!B62="","", Math!B62), IF(Biology!B62="","", Biology!B62))</f>
        <v>14</v>
      </c>
      <c r="D62" s="45">
        <f>IF(B62="Math", IF(Math!C62="","", Math!C62), IF(Biology!C62="","", Biology!C62))</f>
        <v>0</v>
      </c>
      <c r="E62" s="45">
        <f>IF(B62="Math", IF(Math!D62="","", Math!D62), IF(Biology!D62="","", Biology!D62))</f>
        <v>10</v>
      </c>
      <c r="F62" s="10">
        <f>IF(B62="Math", IF(Math!E62="","", Math!E62), IF(Biology!E62="","", Biology!E62))</f>
        <v>24</v>
      </c>
      <c r="G62" s="9" t="str">
        <f t="shared" si="0"/>
        <v>Fail</v>
      </c>
      <c r="H62" s="10" t="str">
        <f t="shared" si="1"/>
        <v>F</v>
      </c>
      <c r="I62" s="11">
        <f t="shared" si="2"/>
        <v>0</v>
      </c>
      <c r="J62" s="29">
        <f t="shared" si="3"/>
        <v>0</v>
      </c>
    </row>
    <row r="63" spans="1:10" x14ac:dyDescent="0.35">
      <c r="A63" s="9">
        <f>'Student Basic Info'!A63</f>
        <v>762</v>
      </c>
      <c r="B63" s="31" t="str">
        <f>SubjectList!I63</f>
        <v>Math</v>
      </c>
      <c r="C63" s="45">
        <f>IF(B63="Math", IF(Math!B63="","", Math!B63), IF(Biology!B63="","", Biology!B63))</f>
        <v>5</v>
      </c>
      <c r="D63" s="45">
        <f>IF(B63="Math", IF(Math!C63="","", Math!C63), IF(Biology!C63="","", Biology!C63))</f>
        <v>0</v>
      </c>
      <c r="E63" s="45">
        <f>IF(B63="Math", IF(Math!D63="","", Math!D63), IF(Biology!D63="","", Biology!D63))</f>
        <v>8</v>
      </c>
      <c r="F63" s="10">
        <f>IF(B63="Math", IF(Math!E63="","", Math!E63), IF(Biology!E63="","", Biology!E63))</f>
        <v>13</v>
      </c>
      <c r="G63" s="9" t="str">
        <f t="shared" si="0"/>
        <v>Fail</v>
      </c>
      <c r="H63" s="10" t="str">
        <f t="shared" si="1"/>
        <v>F</v>
      </c>
      <c r="I63" s="11">
        <f t="shared" si="2"/>
        <v>0</v>
      </c>
      <c r="J63" s="29">
        <f t="shared" si="3"/>
        <v>0</v>
      </c>
    </row>
    <row r="64" spans="1:10" x14ac:dyDescent="0.35">
      <c r="A64" s="9">
        <f>'Student Basic Info'!A64</f>
        <v>763</v>
      </c>
      <c r="B64" s="31" t="str">
        <f>SubjectList!I64</f>
        <v>Math</v>
      </c>
      <c r="C64" s="45">
        <f>IF(B64="Math", IF(Math!B64="","", Math!B64), IF(Biology!B64="","", Biology!B64))</f>
        <v>17</v>
      </c>
      <c r="D64" s="45">
        <f>IF(B64="Math", IF(Math!C64="","", Math!C64), IF(Biology!C64="","", Biology!C64))</f>
        <v>0</v>
      </c>
      <c r="E64" s="45">
        <f>IF(B64="Math", IF(Math!D64="","", Math!D64), IF(Biology!D64="","", Biology!D64))</f>
        <v>12</v>
      </c>
      <c r="F64" s="10">
        <f>IF(B64="Math", IF(Math!E64="","", Math!E64), IF(Biology!E64="","", Biology!E64))</f>
        <v>29</v>
      </c>
      <c r="G64" s="9" t="str">
        <f t="shared" si="0"/>
        <v>Fail</v>
      </c>
      <c r="H64" s="10" t="str">
        <f t="shared" si="1"/>
        <v>F</v>
      </c>
      <c r="I64" s="11">
        <f t="shared" si="2"/>
        <v>0</v>
      </c>
      <c r="J64" s="29">
        <f t="shared" si="3"/>
        <v>0</v>
      </c>
    </row>
    <row r="65" spans="1:10" x14ac:dyDescent="0.35">
      <c r="A65" s="9">
        <f>'Student Basic Info'!A65</f>
        <v>764</v>
      </c>
      <c r="B65" s="31" t="str">
        <f>SubjectList!I65</f>
        <v>Math</v>
      </c>
      <c r="C65" s="45">
        <f>IF(B65="Math", IF(Math!B65="","", Math!B65), IF(Biology!B65="","", Biology!B65))</f>
        <v>17</v>
      </c>
      <c r="D65" s="45">
        <f>IF(B65="Math", IF(Math!C65="","", Math!C65), IF(Biology!C65="","", Biology!C65))</f>
        <v>0</v>
      </c>
      <c r="E65" s="45">
        <f>IF(B65="Math", IF(Math!D65="","", Math!D65), IF(Biology!D65="","", Biology!D65))</f>
        <v>12</v>
      </c>
      <c r="F65" s="10">
        <f>IF(B65="Math", IF(Math!E65="","", Math!E65), IF(Biology!E65="","", Biology!E65))</f>
        <v>29</v>
      </c>
      <c r="G65" s="9" t="str">
        <f t="shared" si="0"/>
        <v>Fail</v>
      </c>
      <c r="H65" s="10" t="str">
        <f t="shared" si="1"/>
        <v>F</v>
      </c>
      <c r="I65" s="11">
        <f t="shared" si="2"/>
        <v>0</v>
      </c>
      <c r="J65" s="29">
        <f t="shared" si="3"/>
        <v>0</v>
      </c>
    </row>
    <row r="66" spans="1:10" x14ac:dyDescent="0.35">
      <c r="A66" s="9">
        <f>'Student Basic Info'!A66</f>
        <v>765</v>
      </c>
      <c r="B66" s="31" t="str">
        <f>SubjectList!I66</f>
        <v>Math</v>
      </c>
      <c r="C66" s="45">
        <f>IF(B66="Math", IF(Math!B66="","", Math!B66), IF(Biology!B66="","", Biology!B66))</f>
        <v>13</v>
      </c>
      <c r="D66" s="45">
        <f>IF(B66="Math", IF(Math!C66="","", Math!C66), IF(Biology!C66="","", Biology!C66))</f>
        <v>12</v>
      </c>
      <c r="E66" s="45">
        <f>IF(B66="Math", IF(Math!D66="","", Math!D66), IF(Biology!D66="","", Biology!D66))</f>
        <v>11</v>
      </c>
      <c r="F66" s="10">
        <f>IF(B66="Math", IF(Math!E66="","", Math!E66), IF(Biology!E66="","", Biology!E66))</f>
        <v>36</v>
      </c>
      <c r="G66" s="9" t="str">
        <f t="shared" si="0"/>
        <v>Fail</v>
      </c>
      <c r="H66" s="10" t="str">
        <f t="shared" si="1"/>
        <v>F</v>
      </c>
      <c r="I66" s="11">
        <f t="shared" si="2"/>
        <v>0</v>
      </c>
      <c r="J66" s="29">
        <f t="shared" si="3"/>
        <v>0</v>
      </c>
    </row>
    <row r="67" spans="1:10" x14ac:dyDescent="0.35">
      <c r="A67" s="9">
        <f>'Student Basic Info'!A67</f>
        <v>766</v>
      </c>
      <c r="B67" s="31" t="str">
        <f>SubjectList!I67</f>
        <v>Math</v>
      </c>
      <c r="C67" s="45">
        <f>IF(B67="Math", IF(Math!B67="","", Math!B67), IF(Biology!B67="","", Biology!B67))</f>
        <v>13</v>
      </c>
      <c r="D67" s="45">
        <f>IF(B67="Math", IF(Math!C67="","", Math!C67), IF(Biology!C67="","", Biology!C67))</f>
        <v>11</v>
      </c>
      <c r="E67" s="45">
        <f>IF(B67="Math", IF(Math!D67="","", Math!D67), IF(Biology!D67="","", Biology!D67))</f>
        <v>15</v>
      </c>
      <c r="F67" s="10">
        <f>IF(B67="Math", IF(Math!E67="","", Math!E67), IF(Biology!E67="","", Biology!E67))</f>
        <v>39</v>
      </c>
      <c r="G67" s="9" t="str">
        <f t="shared" ref="G67:G87" si="4">IF(F67="","", IF(AND(C67 &gt;=8,D67&gt;=17),"Pass","Fail"))</f>
        <v>Fail</v>
      </c>
      <c r="H67" s="10" t="str">
        <f t="shared" ref="H67:H87" si="5">(IF(F67="","",IF(G67="Fail","F",IF(F67&gt;=80,"A+",IF(F67&gt;=70,"A",IF(F67&gt;=60,"A-",IF(F67&gt;=50,"B",IF(F67&gt;=40,"C",IF(F67&gt;=33,"D","F")))))))))</f>
        <v>F</v>
      </c>
      <c r="I67" s="11">
        <f t="shared" ref="I67:I87" si="6">(IF(F67="","",IF(H67="F",0,IF(F67&gt;=80,5,IF(F67&gt;=70,4,IF(F67&gt;=60,3.5,IF(F67&gt;=50,3,IF(F67&gt;=40,2,IF(F67&gt;=33,1,0)))))))))</f>
        <v>0</v>
      </c>
      <c r="J67" s="29">
        <f t="shared" ref="J67:J87" si="7">(IF(F67="","",IF(I67&gt;2,I67-2,0)))</f>
        <v>0</v>
      </c>
    </row>
    <row r="68" spans="1:10" x14ac:dyDescent="0.35">
      <c r="A68" s="9">
        <f>'Student Basic Info'!A68</f>
        <v>767</v>
      </c>
      <c r="B68" s="31" t="str">
        <f>SubjectList!I68</f>
        <v>Math</v>
      </c>
      <c r="C68" s="45">
        <f>IF(B68="Math", IF(Math!B68="","", Math!B68), IF(Biology!B68="","", Biology!B68))</f>
        <v>11</v>
      </c>
      <c r="D68" s="45">
        <f>IF(B68="Math", IF(Math!C68="","", Math!C68), IF(Biology!C68="","", Biology!C68))</f>
        <v>12</v>
      </c>
      <c r="E68" s="45">
        <f>IF(B68="Math", IF(Math!D68="","", Math!D68), IF(Biology!D68="","", Biology!D68))</f>
        <v>12</v>
      </c>
      <c r="F68" s="10">
        <f>IF(B68="Math", IF(Math!E68="","", Math!E68), IF(Biology!E68="","", Biology!E68))</f>
        <v>35</v>
      </c>
      <c r="G68" s="9" t="str">
        <f t="shared" si="4"/>
        <v>Fail</v>
      </c>
      <c r="H68" s="10" t="str">
        <f t="shared" si="5"/>
        <v>F</v>
      </c>
      <c r="I68" s="11">
        <f t="shared" si="6"/>
        <v>0</v>
      </c>
      <c r="J68" s="29">
        <f t="shared" si="7"/>
        <v>0</v>
      </c>
    </row>
    <row r="69" spans="1:10" x14ac:dyDescent="0.35">
      <c r="A69" s="9">
        <f>'Student Basic Info'!A69</f>
        <v>768</v>
      </c>
      <c r="B69" s="31" t="str">
        <f>SubjectList!I69</f>
        <v>Math</v>
      </c>
      <c r="C69" s="45">
        <f>IF(B69="Math", IF(Math!B69="","", Math!B69), IF(Biology!B69="","", Biology!B69))</f>
        <v>9</v>
      </c>
      <c r="D69" s="45">
        <f>IF(B69="Math", IF(Math!C69="","", Math!C69), IF(Biology!C69="","", Biology!C69))</f>
        <v>0</v>
      </c>
      <c r="E69" s="45">
        <f>IF(B69="Math", IF(Math!D69="","", Math!D69), IF(Biology!D69="","", Biology!D69))</f>
        <v>9</v>
      </c>
      <c r="F69" s="10">
        <f>IF(B69="Math", IF(Math!E69="","", Math!E69), IF(Biology!E69="","", Biology!E69))</f>
        <v>18</v>
      </c>
      <c r="G69" s="9" t="str">
        <f t="shared" si="4"/>
        <v>Fail</v>
      </c>
      <c r="H69" s="10" t="str">
        <f t="shared" si="5"/>
        <v>F</v>
      </c>
      <c r="I69" s="11">
        <f t="shared" si="6"/>
        <v>0</v>
      </c>
      <c r="J69" s="29">
        <f t="shared" si="7"/>
        <v>0</v>
      </c>
    </row>
    <row r="70" spans="1:10" x14ac:dyDescent="0.35">
      <c r="A70" s="9">
        <f>'Student Basic Info'!A70</f>
        <v>769</v>
      </c>
      <c r="B70" s="31" t="str">
        <f>SubjectList!I70</f>
        <v>Math</v>
      </c>
      <c r="C70" s="45">
        <f>IF(B70="Math", IF(Math!B70="","", Math!B70), IF(Biology!B70="","", Biology!B70))</f>
        <v>15</v>
      </c>
      <c r="D70" s="45">
        <f>IF(B70="Math", IF(Math!C70="","", Math!C70), IF(Biology!C70="","", Biology!C70))</f>
        <v>0</v>
      </c>
      <c r="E70" s="45">
        <f>IF(B70="Math", IF(Math!D70="","", Math!D70), IF(Biology!D70="","", Biology!D70))</f>
        <v>9</v>
      </c>
      <c r="F70" s="10">
        <f>IF(B70="Math", IF(Math!E70="","", Math!E70), IF(Biology!E70="","", Biology!E70))</f>
        <v>24</v>
      </c>
      <c r="G70" s="9" t="str">
        <f t="shared" si="4"/>
        <v>Fail</v>
      </c>
      <c r="H70" s="10" t="str">
        <f t="shared" si="5"/>
        <v>F</v>
      </c>
      <c r="I70" s="11">
        <f t="shared" si="6"/>
        <v>0</v>
      </c>
      <c r="J70" s="29">
        <f t="shared" si="7"/>
        <v>0</v>
      </c>
    </row>
    <row r="71" spans="1:10" x14ac:dyDescent="0.35">
      <c r="A71" s="9">
        <f>'Student Basic Info'!A71</f>
        <v>770</v>
      </c>
      <c r="B71" s="31" t="str">
        <f>SubjectList!I71</f>
        <v>Math</v>
      </c>
      <c r="C71" s="45">
        <f>IF(B71="Math", IF(Math!B71="","", Math!B71), IF(Biology!B71="","", Biology!B71))</f>
        <v>6</v>
      </c>
      <c r="D71" s="45">
        <f>IF(B71="Math", IF(Math!C71="","", Math!C71), IF(Biology!C71="","", Biology!C71))</f>
        <v>0</v>
      </c>
      <c r="E71" s="45">
        <f>IF(B71="Math", IF(Math!D71="","", Math!D71), IF(Biology!D71="","", Biology!D71))</f>
        <v>8</v>
      </c>
      <c r="F71" s="10">
        <f>IF(B71="Math", IF(Math!E71="","", Math!E71), IF(Biology!E71="","", Biology!E71))</f>
        <v>14</v>
      </c>
      <c r="G71" s="9" t="str">
        <f t="shared" si="4"/>
        <v>Fail</v>
      </c>
      <c r="H71" s="10" t="str">
        <f t="shared" si="5"/>
        <v>F</v>
      </c>
      <c r="I71" s="11">
        <f t="shared" si="6"/>
        <v>0</v>
      </c>
      <c r="J71" s="29">
        <f t="shared" si="7"/>
        <v>0</v>
      </c>
    </row>
    <row r="72" spans="1:10" x14ac:dyDescent="0.35">
      <c r="A72" s="9">
        <f>'Student Basic Info'!A72</f>
        <v>771</v>
      </c>
      <c r="B72" s="31" t="str">
        <f>SubjectList!I72</f>
        <v>Math</v>
      </c>
      <c r="C72" s="45" t="str">
        <f>IF(B72="Math", IF(Math!B72="","", Math!B72), IF(Biology!B72="","", Biology!B72))</f>
        <v/>
      </c>
      <c r="D72" s="45" t="str">
        <f>IF(B72="Math", IF(Math!C72="","", Math!C72), IF(Biology!C72="","", Biology!C72))</f>
        <v/>
      </c>
      <c r="E72" s="45" t="str">
        <f>IF(B72="Math", IF(Math!D72="","", Math!D72), IF(Biology!D72="","", Biology!D72))</f>
        <v/>
      </c>
      <c r="F72" s="10" t="str">
        <f>IF(B72="Math", IF(Math!E72="","", Math!E72), IF(Biology!E72="","", Biology!E72))</f>
        <v/>
      </c>
      <c r="G72" s="9" t="str">
        <f t="shared" si="4"/>
        <v/>
      </c>
      <c r="H72" s="10" t="str">
        <f t="shared" si="5"/>
        <v/>
      </c>
      <c r="I72" s="11" t="str">
        <f t="shared" si="6"/>
        <v/>
      </c>
      <c r="J72" s="29" t="str">
        <f t="shared" si="7"/>
        <v/>
      </c>
    </row>
    <row r="73" spans="1:10" x14ac:dyDescent="0.35">
      <c r="A73" s="9">
        <f>'Student Basic Info'!A73</f>
        <v>772</v>
      </c>
      <c r="B73" s="31" t="str">
        <f>SubjectList!I73</f>
        <v>Math</v>
      </c>
      <c r="C73" s="45">
        <f>IF(B73="Math", IF(Math!B73="","", Math!B73), IF(Biology!B73="","", Biology!B73))</f>
        <v>7</v>
      </c>
      <c r="D73" s="45">
        <f>IF(B73="Math", IF(Math!C73="","", Math!C73), IF(Biology!C73="","", Biology!C73))</f>
        <v>0</v>
      </c>
      <c r="E73" s="45">
        <f>IF(B73="Math", IF(Math!D73="","", Math!D73), IF(Biology!D73="","", Biology!D73))</f>
        <v>8</v>
      </c>
      <c r="F73" s="10">
        <f>IF(B73="Math", IF(Math!E73="","", Math!E73), IF(Biology!E73="","", Biology!E73))</f>
        <v>15</v>
      </c>
      <c r="G73" s="9" t="str">
        <f t="shared" si="4"/>
        <v>Fail</v>
      </c>
      <c r="H73" s="10" t="str">
        <f t="shared" si="5"/>
        <v>F</v>
      </c>
      <c r="I73" s="11">
        <f t="shared" si="6"/>
        <v>0</v>
      </c>
      <c r="J73" s="29">
        <f t="shared" si="7"/>
        <v>0</v>
      </c>
    </row>
    <row r="74" spans="1:10" x14ac:dyDescent="0.35">
      <c r="A74" s="9">
        <f>'Student Basic Info'!A74</f>
        <v>773</v>
      </c>
      <c r="B74" s="31" t="str">
        <f>SubjectList!I74</f>
        <v>Math</v>
      </c>
      <c r="C74" s="45">
        <f>IF(B74="Math", IF(Math!B74="","", Math!B74), IF(Biology!B74="","", Biology!B74))</f>
        <v>12</v>
      </c>
      <c r="D74" s="45">
        <f>IF(B74="Math", IF(Math!C74="","", Math!C74), IF(Biology!C74="","", Biology!C74))</f>
        <v>0</v>
      </c>
      <c r="E74" s="45">
        <f>IF(B74="Math", IF(Math!D74="","", Math!D74), IF(Biology!D74="","", Biology!D74))</f>
        <v>9</v>
      </c>
      <c r="F74" s="10">
        <f>IF(B74="Math", IF(Math!E74="","", Math!E74), IF(Biology!E74="","", Biology!E74))</f>
        <v>21</v>
      </c>
      <c r="G74" s="9" t="str">
        <f t="shared" si="4"/>
        <v>Fail</v>
      </c>
      <c r="H74" s="10" t="str">
        <f t="shared" si="5"/>
        <v>F</v>
      </c>
      <c r="I74" s="11">
        <f t="shared" si="6"/>
        <v>0</v>
      </c>
      <c r="J74" s="29">
        <f t="shared" si="7"/>
        <v>0</v>
      </c>
    </row>
    <row r="75" spans="1:10" x14ac:dyDescent="0.35">
      <c r="A75" s="9">
        <f>'Student Basic Info'!A75</f>
        <v>774</v>
      </c>
      <c r="B75" s="31" t="str">
        <f>SubjectList!I75</f>
        <v>Math</v>
      </c>
      <c r="C75" s="45">
        <f>IF(B75="Math", IF(Math!B75="","", Math!B75), IF(Biology!B75="","", Biology!B75))</f>
        <v>10</v>
      </c>
      <c r="D75" s="45">
        <f>IF(B75="Math", IF(Math!C75="","", Math!C75), IF(Biology!C75="","", Biology!C75))</f>
        <v>0</v>
      </c>
      <c r="E75" s="45">
        <f>IF(B75="Math", IF(Math!D75="","", Math!D75), IF(Biology!D75="","", Biology!D75))</f>
        <v>9</v>
      </c>
      <c r="F75" s="10">
        <f>IF(B75="Math", IF(Math!E75="","", Math!E75), IF(Biology!E75="","", Biology!E75))</f>
        <v>19</v>
      </c>
      <c r="G75" s="9" t="str">
        <f t="shared" si="4"/>
        <v>Fail</v>
      </c>
      <c r="H75" s="10" t="str">
        <f t="shared" si="5"/>
        <v>F</v>
      </c>
      <c r="I75" s="11">
        <f t="shared" si="6"/>
        <v>0</v>
      </c>
      <c r="J75" s="29">
        <f t="shared" si="7"/>
        <v>0</v>
      </c>
    </row>
    <row r="76" spans="1:10" x14ac:dyDescent="0.35">
      <c r="A76" s="9">
        <f>'Student Basic Info'!A76</f>
        <v>775</v>
      </c>
      <c r="B76" s="31" t="str">
        <f>SubjectList!I76</f>
        <v>Math</v>
      </c>
      <c r="C76" s="45" t="str">
        <f>IF(B76="Math", IF(Math!B76="","", Math!B76), IF(Biology!B76="","", Biology!B76))</f>
        <v/>
      </c>
      <c r="D76" s="45" t="str">
        <f>IF(B76="Math", IF(Math!C76="","", Math!C76), IF(Biology!C76="","", Biology!C76))</f>
        <v/>
      </c>
      <c r="E76" s="45" t="str">
        <f>IF(B76="Math", IF(Math!D76="","", Math!D76), IF(Biology!D76="","", Biology!D76))</f>
        <v/>
      </c>
      <c r="F76" s="10" t="str">
        <f>IF(B76="Math", IF(Math!E76="","", Math!E76), IF(Biology!E76="","", Biology!E76))</f>
        <v/>
      </c>
      <c r="G76" s="9" t="str">
        <f t="shared" si="4"/>
        <v/>
      </c>
      <c r="H76" s="10" t="str">
        <f t="shared" si="5"/>
        <v/>
      </c>
      <c r="I76" s="11" t="str">
        <f t="shared" si="6"/>
        <v/>
      </c>
      <c r="J76" s="29" t="str">
        <f t="shared" si="7"/>
        <v/>
      </c>
    </row>
    <row r="77" spans="1:10" x14ac:dyDescent="0.35">
      <c r="A77" s="9">
        <f>'Student Basic Info'!A77</f>
        <v>776</v>
      </c>
      <c r="B77" s="31" t="str">
        <f>SubjectList!I77</f>
        <v>Math</v>
      </c>
      <c r="C77" s="45">
        <f>IF(B77="Math", IF(Math!B77="","", Math!B77), IF(Biology!B77="","", Biology!B77))</f>
        <v>3</v>
      </c>
      <c r="D77" s="45">
        <f>IF(B77="Math", IF(Math!C77="","", Math!C77), IF(Biology!C77="","", Biology!C77))</f>
        <v>0</v>
      </c>
      <c r="E77" s="45">
        <f>IF(B77="Math", IF(Math!D77="","", Math!D77), IF(Biology!D77="","", Biology!D77))</f>
        <v>8</v>
      </c>
      <c r="F77" s="10">
        <f>IF(B77="Math", IF(Math!E77="","", Math!E77), IF(Biology!E77="","", Biology!E77))</f>
        <v>11</v>
      </c>
      <c r="G77" s="9" t="str">
        <f t="shared" si="4"/>
        <v>Fail</v>
      </c>
      <c r="H77" s="10" t="str">
        <f t="shared" si="5"/>
        <v>F</v>
      </c>
      <c r="I77" s="11">
        <f t="shared" si="6"/>
        <v>0</v>
      </c>
      <c r="J77" s="29">
        <f t="shared" si="7"/>
        <v>0</v>
      </c>
    </row>
    <row r="78" spans="1:10" x14ac:dyDescent="0.35">
      <c r="A78" s="9">
        <f>'Student Basic Info'!A78</f>
        <v>777</v>
      </c>
      <c r="B78" s="31" t="str">
        <f>SubjectList!I78</f>
        <v>Math</v>
      </c>
      <c r="C78" s="45" t="str">
        <f>IF(B78="Math", IF(Math!B78="","", Math!B78), IF(Biology!B78="","", Biology!B78))</f>
        <v/>
      </c>
      <c r="D78" s="45" t="str">
        <f>IF(B78="Math", IF(Math!C78="","", Math!C78), IF(Biology!C78="","", Biology!C78))</f>
        <v/>
      </c>
      <c r="E78" s="45" t="str">
        <f>IF(B78="Math", IF(Math!D78="","", Math!D78), IF(Biology!D78="","", Biology!D78))</f>
        <v/>
      </c>
      <c r="F78" s="10" t="str">
        <f>IF(B78="Math", IF(Math!E78="","", Math!E78), IF(Biology!E78="","", Biology!E78))</f>
        <v/>
      </c>
      <c r="G78" s="9" t="str">
        <f t="shared" si="4"/>
        <v/>
      </c>
      <c r="H78" s="10" t="str">
        <f t="shared" si="5"/>
        <v/>
      </c>
      <c r="I78" s="11" t="str">
        <f t="shared" si="6"/>
        <v/>
      </c>
      <c r="J78" s="29" t="str">
        <f t="shared" si="7"/>
        <v/>
      </c>
    </row>
    <row r="79" spans="1:10" x14ac:dyDescent="0.35">
      <c r="A79" s="9">
        <f>'Student Basic Info'!A79</f>
        <v>778</v>
      </c>
      <c r="B79" s="31" t="str">
        <f>SubjectList!I79</f>
        <v>Math</v>
      </c>
      <c r="C79" s="45" t="str">
        <f>IF(B79="Math", IF(Math!B79="","", Math!B79), IF(Biology!B79="","", Biology!B79))</f>
        <v/>
      </c>
      <c r="D79" s="45" t="str">
        <f>IF(B79="Math", IF(Math!C79="","", Math!C79), IF(Biology!C79="","", Biology!C79))</f>
        <v/>
      </c>
      <c r="E79" s="45" t="str">
        <f>IF(B79="Math", IF(Math!D79="","", Math!D79), IF(Biology!D79="","", Biology!D79))</f>
        <v/>
      </c>
      <c r="F79" s="10" t="str">
        <f>IF(B79="Math", IF(Math!E79="","", Math!E79), IF(Biology!E79="","", Biology!E79))</f>
        <v/>
      </c>
      <c r="G79" s="9" t="str">
        <f t="shared" si="4"/>
        <v/>
      </c>
      <c r="H79" s="10" t="str">
        <f t="shared" si="5"/>
        <v/>
      </c>
      <c r="I79" s="11" t="str">
        <f t="shared" si="6"/>
        <v/>
      </c>
      <c r="J79" s="29" t="str">
        <f t="shared" si="7"/>
        <v/>
      </c>
    </row>
    <row r="80" spans="1:10" x14ac:dyDescent="0.35">
      <c r="A80" s="9">
        <f>'Student Basic Info'!A80</f>
        <v>779</v>
      </c>
      <c r="B80" s="31" t="str">
        <f>SubjectList!I80</f>
        <v>Math</v>
      </c>
      <c r="C80" s="45">
        <f>IF(B80="Math", IF(Math!B80="","", Math!B80), IF(Biology!B80="","", Biology!B80))</f>
        <v>8</v>
      </c>
      <c r="D80" s="45">
        <f>IF(B80="Math", IF(Math!C80="","", Math!C80), IF(Biology!C80="","", Biology!C80))</f>
        <v>1</v>
      </c>
      <c r="E80" s="45">
        <f>IF(B80="Math", IF(Math!D80="","", Math!D80), IF(Biology!D80="","", Biology!D80))</f>
        <v>8</v>
      </c>
      <c r="F80" s="10">
        <f>IF(B80="Math", IF(Math!E80="","", Math!E80), IF(Biology!E80="","", Biology!E80))</f>
        <v>17</v>
      </c>
      <c r="G80" s="9" t="str">
        <f t="shared" si="4"/>
        <v>Fail</v>
      </c>
      <c r="H80" s="10" t="str">
        <f t="shared" si="5"/>
        <v>F</v>
      </c>
      <c r="I80" s="11">
        <f t="shared" si="6"/>
        <v>0</v>
      </c>
      <c r="J80" s="29">
        <f t="shared" si="7"/>
        <v>0</v>
      </c>
    </row>
    <row r="81" spans="1:10" x14ac:dyDescent="0.35">
      <c r="A81" s="9">
        <f>'Student Basic Info'!A81</f>
        <v>780</v>
      </c>
      <c r="B81" s="31" t="str">
        <f>SubjectList!I81</f>
        <v>Math</v>
      </c>
      <c r="C81" s="45">
        <f>IF(B81="Math", IF(Math!B81="","", Math!B81), IF(Biology!B81="","", Biology!B81))</f>
        <v>12</v>
      </c>
      <c r="D81" s="45">
        <f>IF(B81="Math", IF(Math!C81="","", Math!C81), IF(Biology!C81="","", Biology!C81))</f>
        <v>1</v>
      </c>
      <c r="E81" s="45">
        <f>IF(B81="Math", IF(Math!D81="","", Math!D81), IF(Biology!D81="","", Biology!D81))</f>
        <v>10</v>
      </c>
      <c r="F81" s="10">
        <f>IF(B81="Math", IF(Math!E81="","", Math!E81), IF(Biology!E81="","", Biology!E81))</f>
        <v>23</v>
      </c>
      <c r="G81" s="9" t="str">
        <f t="shared" si="4"/>
        <v>Fail</v>
      </c>
      <c r="H81" s="10" t="str">
        <f t="shared" si="5"/>
        <v>F</v>
      </c>
      <c r="I81" s="11">
        <f t="shared" si="6"/>
        <v>0</v>
      </c>
      <c r="J81" s="29">
        <f t="shared" si="7"/>
        <v>0</v>
      </c>
    </row>
    <row r="82" spans="1:10" x14ac:dyDescent="0.35">
      <c r="A82" s="9">
        <f>'Student Basic Info'!A82</f>
        <v>781</v>
      </c>
      <c r="B82" s="31" t="str">
        <f>SubjectList!I82</f>
        <v>Math</v>
      </c>
      <c r="C82" s="45" t="str">
        <f>IF(B82="Math", IF(Math!B82="","", Math!B82), IF(Biology!B82="","", Biology!B82))</f>
        <v/>
      </c>
      <c r="D82" s="45" t="str">
        <f>IF(B82="Math", IF(Math!C82="","", Math!C82), IF(Biology!C82="","", Biology!C82))</f>
        <v/>
      </c>
      <c r="E82" s="45" t="str">
        <f>IF(B82="Math", IF(Math!D82="","", Math!D82), IF(Biology!D82="","", Biology!D82))</f>
        <v/>
      </c>
      <c r="F82" s="10" t="str">
        <f>IF(B82="Math", IF(Math!E82="","", Math!E82), IF(Biology!E82="","", Biology!E82))</f>
        <v/>
      </c>
      <c r="G82" s="9" t="str">
        <f t="shared" si="4"/>
        <v/>
      </c>
      <c r="H82" s="10" t="str">
        <f t="shared" si="5"/>
        <v/>
      </c>
      <c r="I82" s="11" t="str">
        <f t="shared" si="6"/>
        <v/>
      </c>
      <c r="J82" s="29" t="str">
        <f t="shared" si="7"/>
        <v/>
      </c>
    </row>
    <row r="83" spans="1:10" x14ac:dyDescent="0.35">
      <c r="A83" s="9">
        <f>'Student Basic Info'!A83</f>
        <v>782</v>
      </c>
      <c r="B83" s="31" t="str">
        <f>SubjectList!I83</f>
        <v>Math</v>
      </c>
      <c r="C83" s="45">
        <f>IF(B83="Math", IF(Math!B83="","", Math!B83), IF(Biology!B83="","", Biology!B83))</f>
        <v>4</v>
      </c>
      <c r="D83" s="45">
        <f>IF(B83="Math", IF(Math!C83="","", Math!C83), IF(Biology!C83="","", Biology!C83))</f>
        <v>1</v>
      </c>
      <c r="E83" s="45">
        <f>IF(B83="Math", IF(Math!D83="","", Math!D83), IF(Biology!D83="","", Biology!D83))</f>
        <v>9</v>
      </c>
      <c r="F83" s="10">
        <f>IF(B83="Math", IF(Math!E83="","", Math!E83), IF(Biology!E83="","", Biology!E83))</f>
        <v>14</v>
      </c>
      <c r="G83" s="9" t="str">
        <f t="shared" si="4"/>
        <v>Fail</v>
      </c>
      <c r="H83" s="10" t="str">
        <f t="shared" si="5"/>
        <v>F</v>
      </c>
      <c r="I83" s="11">
        <f t="shared" si="6"/>
        <v>0</v>
      </c>
      <c r="J83" s="29">
        <f t="shared" si="7"/>
        <v>0</v>
      </c>
    </row>
    <row r="84" spans="1:10" x14ac:dyDescent="0.35">
      <c r="A84" s="9">
        <f>'Student Basic Info'!A84</f>
        <v>783</v>
      </c>
      <c r="B84" s="31" t="str">
        <f>SubjectList!I84</f>
        <v>Math</v>
      </c>
      <c r="C84" s="45" t="str">
        <f>IF(B84="Math", IF(Math!B84="","", Math!B84), IF(Biology!B84="","", Biology!B84))</f>
        <v/>
      </c>
      <c r="D84" s="45" t="str">
        <f>IF(B84="Math", IF(Math!C84="","", Math!C84), IF(Biology!C84="","", Biology!C84))</f>
        <v/>
      </c>
      <c r="E84" s="45" t="str">
        <f>IF(B84="Math", IF(Math!D84="","", Math!D84), IF(Biology!D84="","", Biology!D84))</f>
        <v/>
      </c>
      <c r="F84" s="10" t="str">
        <f>IF(B84="Math", IF(Math!E84="","", Math!E84), IF(Biology!E84="","", Biology!E84))</f>
        <v/>
      </c>
      <c r="G84" s="9" t="str">
        <f t="shared" si="4"/>
        <v/>
      </c>
      <c r="H84" s="10" t="str">
        <f t="shared" si="5"/>
        <v/>
      </c>
      <c r="I84" s="11" t="str">
        <f t="shared" si="6"/>
        <v/>
      </c>
      <c r="J84" s="29" t="str">
        <f t="shared" si="7"/>
        <v/>
      </c>
    </row>
    <row r="85" spans="1:10" x14ac:dyDescent="0.35">
      <c r="A85" s="9">
        <f>'Student Basic Info'!A85</f>
        <v>784</v>
      </c>
      <c r="B85" s="31" t="str">
        <f>SubjectList!I85</f>
        <v>Math</v>
      </c>
      <c r="C85" s="45">
        <f>IF(B85="Math", IF(Math!B85="","", Math!B85), IF(Biology!B85="","", Biology!B85))</f>
        <v>5</v>
      </c>
      <c r="D85" s="45">
        <f>IF(B85="Math", IF(Math!C85="","", Math!C85), IF(Biology!C85="","", Biology!C85))</f>
        <v>0</v>
      </c>
      <c r="E85" s="45">
        <f>IF(B85="Math", IF(Math!D85="","", Math!D85), IF(Biology!D85="","", Biology!D85))</f>
        <v>9</v>
      </c>
      <c r="F85" s="10">
        <f>IF(B85="Math", IF(Math!E85="","", Math!E85), IF(Biology!E85="","", Biology!E85))</f>
        <v>14</v>
      </c>
      <c r="G85" s="9" t="str">
        <f t="shared" si="4"/>
        <v>Fail</v>
      </c>
      <c r="H85" s="10" t="str">
        <f t="shared" si="5"/>
        <v>F</v>
      </c>
      <c r="I85" s="11">
        <f t="shared" si="6"/>
        <v>0</v>
      </c>
      <c r="J85" s="29">
        <f t="shared" si="7"/>
        <v>0</v>
      </c>
    </row>
    <row r="86" spans="1:10" x14ac:dyDescent="0.35">
      <c r="A86" s="9">
        <f>'Student Basic Info'!A86</f>
        <v>785</v>
      </c>
      <c r="B86" s="31" t="str">
        <f>SubjectList!I86</f>
        <v>Math</v>
      </c>
      <c r="C86" s="45">
        <f>IF(B86="Math", IF(Math!B86="","", Math!B86), IF(Biology!B86="","", Biology!B86))</f>
        <v>7</v>
      </c>
      <c r="D86" s="45">
        <f>IF(B86="Math", IF(Math!C86="","", Math!C86), IF(Biology!C86="","", Biology!C86))</f>
        <v>0</v>
      </c>
      <c r="E86" s="45">
        <f>IF(B86="Math", IF(Math!D86="","", Math!D86), IF(Biology!D86="","", Biology!D86))</f>
        <v>8</v>
      </c>
      <c r="F86" s="10">
        <f>IF(B86="Math", IF(Math!E86="","", Math!E86), IF(Biology!E86="","", Biology!E86))</f>
        <v>15</v>
      </c>
      <c r="G86" s="9" t="str">
        <f t="shared" si="4"/>
        <v>Fail</v>
      </c>
      <c r="H86" s="10" t="str">
        <f t="shared" si="5"/>
        <v>F</v>
      </c>
      <c r="I86" s="11">
        <f t="shared" si="6"/>
        <v>0</v>
      </c>
      <c r="J86" s="29">
        <f t="shared" si="7"/>
        <v>0</v>
      </c>
    </row>
    <row r="87" spans="1:10" x14ac:dyDescent="0.35">
      <c r="A87" s="9">
        <f>'Student Basic Info'!A87</f>
        <v>786</v>
      </c>
      <c r="B87" s="31" t="str">
        <f>SubjectList!I87</f>
        <v>Biology</v>
      </c>
      <c r="C87" s="45">
        <f>IF(B87="Math", IF(Math!B87="","", Math!B87), IF(Biology!B87="","", Biology!B87))</f>
        <v>6</v>
      </c>
      <c r="D87" s="45">
        <f>IF(B87="Math", IF(Math!C87="","", Math!C87), IF(Biology!C87="","", Biology!C87))</f>
        <v>1</v>
      </c>
      <c r="E87" s="45">
        <f>IF(B87="Math", IF(Math!D87="","", Math!D87), IF(Biology!D87="","", Biology!D87))</f>
        <v>8</v>
      </c>
      <c r="F87" s="10">
        <f>IF(B87="Math", IF(Math!E87="","", Math!E87), IF(Biology!E87="","", Biology!E87))</f>
        <v>15</v>
      </c>
      <c r="G87" s="9" t="str">
        <f t="shared" si="4"/>
        <v>Fail</v>
      </c>
      <c r="H87" s="10" t="str">
        <f t="shared" si="5"/>
        <v>F</v>
      </c>
      <c r="I87" s="11">
        <f t="shared" si="6"/>
        <v>0</v>
      </c>
      <c r="J87" s="29">
        <f t="shared" si="7"/>
        <v>0</v>
      </c>
    </row>
    <row r="88" spans="1:10" x14ac:dyDescent="0.35">
      <c r="A88" s="9">
        <f>'Student Basic Info'!A88</f>
        <v>6812</v>
      </c>
      <c r="B88" s="31" t="str">
        <f>SubjectList!I88</f>
        <v>Math</v>
      </c>
      <c r="C88" s="45">
        <f>IF(B88="Math", IF(Math!B88="","", Math!B88), IF(Biology!B88="","", Biology!B88))</f>
        <v>7</v>
      </c>
      <c r="D88" s="45">
        <f>IF(B88="Math", IF(Math!C88="","", Math!C88), IF(Biology!C88="","", Biology!C88))</f>
        <v>1</v>
      </c>
      <c r="E88" s="45">
        <f>IF(B88="Math", IF(Math!D88="","", Math!D88), IF(Biology!D88="","", Biology!D88))</f>
        <v>8</v>
      </c>
      <c r="F88" s="10">
        <f>IF(B88="Math", IF(Math!E88="","", Math!E88), IF(Biology!E88="","", Biology!E88))</f>
        <v>16</v>
      </c>
      <c r="G88" s="9" t="str">
        <f t="shared" ref="G88" si="8">IF(F88="","", IF(AND(C88 &gt;=8,D88&gt;=17),"Pass","Fail"))</f>
        <v>Fail</v>
      </c>
      <c r="H88" s="10" t="str">
        <f t="shared" ref="H88" si="9">(IF(F88="","",IF(G88="Fail","F",IF(F88&gt;=80,"A+",IF(F88&gt;=70,"A",IF(F88&gt;=60,"A-",IF(F88&gt;=50,"B",IF(F88&gt;=40,"C",IF(F88&gt;=33,"D","F")))))))))</f>
        <v>F</v>
      </c>
      <c r="I88" s="11">
        <f t="shared" ref="I88" si="10">(IF(F88="","",IF(H88="F",0,IF(F88&gt;=80,5,IF(F88&gt;=70,4,IF(F88&gt;=60,3.5,IF(F88&gt;=50,3,IF(F88&gt;=40,2,IF(F88&gt;=33,1,0)))))))))</f>
        <v>0</v>
      </c>
      <c r="J88" s="29">
        <f t="shared" ref="J88" si="11">(IF(F88="","",IF(I88&gt;2,I88-2,0)))</f>
        <v>0</v>
      </c>
    </row>
  </sheetData>
  <conditionalFormatting sqref="G2:G88">
    <cfRule type="containsText" dxfId="12" priority="2" operator="containsText" text="Fail">
      <formula>NOT(ISERROR(SEARCH("Fail",G2)))</formula>
    </cfRule>
    <cfRule type="containsText" dxfId="11" priority="3" operator="containsText" text="Pass">
      <formula>NOT(ISERROR(SEARCH("Pass",G2)))</formula>
    </cfRule>
  </conditionalFormatting>
  <conditionalFormatting sqref="C2:E88">
    <cfRule type="cellIs" dxfId="10" priority="1" operator="equal">
      <formula>"Math"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8"/>
  <sheetViews>
    <sheetView workbookViewId="0">
      <selection activeCell="C6" sqref="C6"/>
    </sheetView>
  </sheetViews>
  <sheetFormatPr defaultRowHeight="14.5" x14ac:dyDescent="0.35"/>
  <cols>
    <col min="1" max="1" width="8.26953125" customWidth="1"/>
    <col min="2" max="2" width="4.81640625" bestFit="1" customWidth="1"/>
    <col min="3" max="3" width="24.6328125" bestFit="1" customWidth="1"/>
    <col min="4" max="4" width="23.453125" bestFit="1" customWidth="1"/>
    <col min="5" max="5" width="19.26953125" bestFit="1" customWidth="1"/>
    <col min="6" max="7" width="13.54296875" customWidth="1"/>
    <col min="8" max="8" width="11" style="36" hidden="1" customWidth="1"/>
    <col min="9" max="9" width="11" style="36" customWidth="1"/>
    <col min="10" max="10" width="11.08984375" style="36" bestFit="1" customWidth="1"/>
    <col min="11" max="11" width="11.36328125" style="33" bestFit="1" customWidth="1"/>
    <col min="12" max="12" width="8.08984375" style="34" bestFit="1" customWidth="1"/>
    <col min="13" max="13" width="6.36328125" style="34" bestFit="1" customWidth="1"/>
    <col min="14" max="14" width="11" style="34" bestFit="1" customWidth="1"/>
    <col min="15" max="15" width="11" style="34" customWidth="1"/>
    <col min="16" max="16" width="11.453125" style="35" bestFit="1" customWidth="1"/>
    <col min="17" max="17" width="9.7265625" style="35" bestFit="1" customWidth="1"/>
    <col min="18" max="18" width="14.453125" style="35" bestFit="1" customWidth="1"/>
    <col min="19" max="19" width="11.54296875" style="35" bestFit="1" customWidth="1"/>
    <col min="20" max="21" width="14" style="92" bestFit="1" customWidth="1"/>
    <col min="22" max="22" width="17" style="92" bestFit="1" customWidth="1"/>
    <col min="23" max="23" width="14.08984375" style="92" bestFit="1" customWidth="1"/>
    <col min="24" max="24" width="12.6328125" style="93" bestFit="1" customWidth="1"/>
    <col min="25" max="25" width="10.90625" style="93" bestFit="1" customWidth="1"/>
    <col min="26" max="26" width="15.6328125" style="93" bestFit="1" customWidth="1"/>
    <col min="27" max="27" width="12.7265625" style="93" bestFit="1" customWidth="1"/>
    <col min="28" max="28" width="12.6328125" style="94" bestFit="1" customWidth="1"/>
    <col min="29" max="29" width="10.90625" style="94" bestFit="1" customWidth="1"/>
    <col min="30" max="30" width="15.6328125" style="94" bestFit="1" customWidth="1"/>
    <col min="31" max="31" width="12.7265625" style="94" bestFit="1" customWidth="1"/>
    <col min="32" max="32" width="11.81640625" style="95" bestFit="1" customWidth="1"/>
    <col min="33" max="33" width="14.81640625" style="94" bestFit="1" customWidth="1"/>
    <col min="34" max="34" width="11.90625" style="87" bestFit="1" customWidth="1"/>
    <col min="35" max="35" width="12.1796875" bestFit="1" customWidth="1"/>
    <col min="36" max="36" width="9" bestFit="1" customWidth="1"/>
    <col min="37" max="37" width="12.36328125" bestFit="1" customWidth="1"/>
    <col min="38" max="38" width="14.90625" bestFit="1" customWidth="1"/>
    <col min="39" max="40" width="13.6328125" bestFit="1" customWidth="1"/>
    <col min="41" max="41" width="11.26953125" bestFit="1" customWidth="1"/>
    <col min="42" max="42" width="11.54296875" bestFit="1" customWidth="1"/>
    <col min="43" max="43" width="8.36328125" bestFit="1" customWidth="1"/>
    <col min="44" max="44" width="11.7265625" bestFit="1" customWidth="1"/>
    <col min="45" max="45" width="14.26953125" bestFit="1" customWidth="1"/>
    <col min="46" max="47" width="13" bestFit="1" customWidth="1"/>
    <col min="48" max="48" width="13.08984375" bestFit="1" customWidth="1"/>
    <col min="49" max="49" width="15.26953125" bestFit="1" customWidth="1"/>
    <col min="50" max="51" width="15.26953125" customWidth="1"/>
    <col min="52" max="52" width="14.81640625" bestFit="1" customWidth="1"/>
    <col min="53" max="53" width="9.36328125" bestFit="1" customWidth="1"/>
    <col min="54" max="54" width="20" bestFit="1" customWidth="1"/>
    <col min="55" max="55" width="8" style="1" bestFit="1" customWidth="1"/>
    <col min="56" max="56" width="6.08984375" style="1" bestFit="1" customWidth="1"/>
    <col min="57" max="57" width="5.6328125" style="1" bestFit="1" customWidth="1"/>
    <col min="58" max="58" width="8.1796875" style="1" bestFit="1" customWidth="1"/>
    <col min="59" max="60" width="7" style="1" bestFit="1" customWidth="1"/>
    <col min="61" max="61" width="9.36328125" style="1" bestFit="1" customWidth="1"/>
    <col min="62" max="62" width="16.54296875" style="1" bestFit="1" customWidth="1"/>
    <col min="63" max="63" width="8.7265625" style="1"/>
    <col min="65" max="65" width="14.81640625" bestFit="1" customWidth="1"/>
    <col min="66" max="66" width="10.26953125" style="109" bestFit="1" customWidth="1"/>
  </cols>
  <sheetData>
    <row r="1" spans="1:66" x14ac:dyDescent="0.35">
      <c r="A1" s="13" t="s">
        <v>1</v>
      </c>
      <c r="B1" s="13" t="s">
        <v>0</v>
      </c>
      <c r="C1" s="13" t="s">
        <v>36</v>
      </c>
      <c r="D1" s="13" t="s">
        <v>35</v>
      </c>
      <c r="E1" s="13" t="s">
        <v>37</v>
      </c>
      <c r="F1" s="13" t="s">
        <v>113</v>
      </c>
      <c r="G1" s="13" t="s">
        <v>120</v>
      </c>
      <c r="H1" s="13" t="s">
        <v>59</v>
      </c>
      <c r="I1" s="13" t="s">
        <v>60</v>
      </c>
      <c r="J1" s="13" t="s">
        <v>65</v>
      </c>
      <c r="K1" s="13" t="s">
        <v>67</v>
      </c>
      <c r="L1" s="13" t="s">
        <v>62</v>
      </c>
      <c r="M1" s="13" t="s">
        <v>61</v>
      </c>
      <c r="N1" s="13" t="s">
        <v>63</v>
      </c>
      <c r="O1" s="13" t="s">
        <v>64</v>
      </c>
      <c r="P1" s="13" t="s">
        <v>68</v>
      </c>
      <c r="Q1" s="13" t="s">
        <v>70</v>
      </c>
      <c r="R1" s="13" t="s">
        <v>69</v>
      </c>
      <c r="S1" s="88" t="s">
        <v>71</v>
      </c>
      <c r="T1" s="13" t="s">
        <v>72</v>
      </c>
      <c r="U1" s="13" t="s">
        <v>73</v>
      </c>
      <c r="V1" s="13" t="s">
        <v>74</v>
      </c>
      <c r="W1" s="13" t="s">
        <v>75</v>
      </c>
      <c r="X1" s="13" t="s">
        <v>101</v>
      </c>
      <c r="Y1" s="13" t="s">
        <v>102</v>
      </c>
      <c r="Z1" s="13" t="s">
        <v>103</v>
      </c>
      <c r="AA1" s="13" t="s">
        <v>104</v>
      </c>
      <c r="AB1" s="13" t="s">
        <v>105</v>
      </c>
      <c r="AC1" s="13" t="s">
        <v>106</v>
      </c>
      <c r="AD1" s="13" t="s">
        <v>107</v>
      </c>
      <c r="AE1" s="13" t="s">
        <v>108</v>
      </c>
      <c r="AF1" s="13" t="s">
        <v>91</v>
      </c>
      <c r="AG1" s="13" t="s">
        <v>92</v>
      </c>
      <c r="AH1" s="13" t="s">
        <v>76</v>
      </c>
      <c r="AI1" s="90" t="s">
        <v>77</v>
      </c>
      <c r="AJ1" s="13" t="s">
        <v>78</v>
      </c>
      <c r="AK1" s="13" t="s">
        <v>79</v>
      </c>
      <c r="AL1" s="13" t="s">
        <v>80</v>
      </c>
      <c r="AM1" s="13" t="s">
        <v>109</v>
      </c>
      <c r="AN1" s="13" t="s">
        <v>110</v>
      </c>
      <c r="AO1" s="13" t="s">
        <v>81</v>
      </c>
      <c r="AP1" s="13" t="s">
        <v>82</v>
      </c>
      <c r="AQ1" s="13" t="s">
        <v>83</v>
      </c>
      <c r="AR1" s="13" t="s">
        <v>84</v>
      </c>
      <c r="AS1" s="13" t="s">
        <v>85</v>
      </c>
      <c r="AT1" s="13" t="s">
        <v>111</v>
      </c>
      <c r="AU1" s="13" t="s">
        <v>112</v>
      </c>
      <c r="AV1" s="13" t="s">
        <v>86</v>
      </c>
      <c r="AW1" s="13" t="s">
        <v>87</v>
      </c>
      <c r="AX1" s="13" t="s">
        <v>90</v>
      </c>
      <c r="AY1" s="13" t="s">
        <v>89</v>
      </c>
      <c r="AZ1" s="13" t="s">
        <v>88</v>
      </c>
      <c r="BA1" s="13" t="s">
        <v>9</v>
      </c>
      <c r="BB1" s="13" t="s">
        <v>124</v>
      </c>
      <c r="BC1" s="13" t="s">
        <v>93</v>
      </c>
      <c r="BD1" s="13" t="s">
        <v>94</v>
      </c>
      <c r="BE1" s="13" t="s">
        <v>95</v>
      </c>
      <c r="BF1" s="13" t="s">
        <v>98</v>
      </c>
      <c r="BG1" s="13" t="s">
        <v>99</v>
      </c>
      <c r="BH1" s="13" t="s">
        <v>100</v>
      </c>
      <c r="BI1" s="13" t="s">
        <v>96</v>
      </c>
      <c r="BJ1" s="13" t="s">
        <v>97</v>
      </c>
      <c r="BK1" s="13" t="s">
        <v>123</v>
      </c>
      <c r="BL1" s="110" t="s">
        <v>459</v>
      </c>
      <c r="BM1" s="110" t="s">
        <v>460</v>
      </c>
      <c r="BN1" s="110" t="s">
        <v>461</v>
      </c>
    </row>
    <row r="2" spans="1:66" x14ac:dyDescent="0.35">
      <c r="A2" s="3" t="str">
        <f>'Student Basic Info'!B2</f>
        <v>Science</v>
      </c>
      <c r="B2" s="3">
        <f>'Student Basic Info'!A2</f>
        <v>701</v>
      </c>
      <c r="C2" s="3" t="str">
        <f>'Student Basic Info'!C2</f>
        <v>Tanjila Mostafa Tasnim</v>
      </c>
      <c r="D2" s="3" t="str">
        <f>'Student Basic Info'!D2</f>
        <v>Golam Mostafa</v>
      </c>
      <c r="E2" s="3" t="str">
        <f>'Student Basic Info'!E2</f>
        <v>Farjana Mostafa</v>
      </c>
      <c r="F2" s="3" t="str">
        <f>'Student Basic Info'!F2</f>
        <v>Female</v>
      </c>
      <c r="G2" s="73" t="str">
        <f>'Student Basic Info'!I2</f>
        <v>01884-168997</v>
      </c>
      <c r="H2" s="74" t="str">
        <f>IF(Bangla!B2="","",Bangla!B2)</f>
        <v/>
      </c>
      <c r="I2" s="74">
        <f>IF(Bangla!C2="","",Bangla!C2)</f>
        <v>60</v>
      </c>
      <c r="J2" s="74">
        <f>IF(Bangla!D2="","",Bangla!D2)</f>
        <v>60</v>
      </c>
      <c r="K2" s="75">
        <f>IF(English!C2="","",English!C2)</f>
        <v>45</v>
      </c>
      <c r="L2" s="37">
        <f>IF(ICT!B2="","",ICT!B2)</f>
        <v>17</v>
      </c>
      <c r="M2" s="37">
        <f>IF(ICT!C2="","",ICT!C2)</f>
        <v>40</v>
      </c>
      <c r="N2" s="37">
        <f>IF(ICT!D2="","",ICT!D2)</f>
        <v>25</v>
      </c>
      <c r="O2" s="37">
        <f>IF(ICT!E2="","",ICT!E2)</f>
        <v>82</v>
      </c>
      <c r="P2" s="44">
        <f>IF(Physics!B2="","",Physics!B2)</f>
        <v>14</v>
      </c>
      <c r="Q2" s="44">
        <f>IF(Physics!C2="","",Physics!C2)</f>
        <v>23</v>
      </c>
      <c r="R2" s="44">
        <f>IF(Physics!D2="","",Physics!D2)</f>
        <v>16</v>
      </c>
      <c r="S2" s="89">
        <f>IF(Physics!E2="","",Physics!E2)</f>
        <v>53</v>
      </c>
      <c r="T2" s="37">
        <f>IF(Chemistry!B2="","",Chemistry!B2)</f>
        <v>16</v>
      </c>
      <c r="U2" s="37">
        <f>IF(Chemistry!C2="","",Chemistry!C2)</f>
        <v>33</v>
      </c>
      <c r="V2" s="37">
        <f>IF(Chemistry!D2="","",Chemistry!D2)</f>
        <v>21</v>
      </c>
      <c r="W2" s="37">
        <f>IF(Chemistry!E2="","",Chemistry!E2)</f>
        <v>70</v>
      </c>
      <c r="X2" s="38">
        <f>IF(SubjectList!G2="Math", IF(Math!B2="","",Math!B2), IF(Biology!B2="","",Biology!B2))</f>
        <v>11</v>
      </c>
      <c r="Y2" s="38">
        <f>IF(SubjectList!G2="Math", IF(Math!C2="","",Math!C2), IF(Biology!C2="","",Biology!C2))</f>
        <v>23</v>
      </c>
      <c r="Z2" s="38">
        <f>IF(SubjectList!G2="Math", IF(Math!D2="","",Math!D2), IF(Biology!D2="","",Biology!D2))</f>
        <v>16</v>
      </c>
      <c r="AA2" s="38">
        <f>IF(SubjectList!G2="Math", IF(Math!E2="","",Math!E2), IF(Biology!E2="","",Biology!E2))</f>
        <v>50</v>
      </c>
      <c r="AB2" s="44">
        <f>IF(SubjectList!I2="Biology", IF(Biology!B2="","",Biology!B2), IF(Math!B2="","",Math!B2))</f>
        <v>18</v>
      </c>
      <c r="AC2" s="44">
        <f>IF(SubjectList!J2="Biology", IF(Biology!C2="","",Biology!C2), IF(Math!C2="","",Math!C2))</f>
        <v>34</v>
      </c>
      <c r="AD2" s="44">
        <f>IF(SubjectList!K2="Biology", IF(Biology!D2="","",Biology!D2), IF(Math!D2="","",Math!D2))</f>
        <v>20</v>
      </c>
      <c r="AE2" s="44">
        <f>IF(SubjectList!L2="Biology", IF(Biology!E2="","",Biology!E2), IF(Math!E2="","",Math!E2))</f>
        <v>72</v>
      </c>
      <c r="AF2" s="39" t="str">
        <f>IF(SubjectList!G2="","", SubjectList!G2)</f>
        <v>Biology</v>
      </c>
      <c r="AG2" s="39" t="str">
        <f>IF(SubjectList!I2="","", SubjectList!I2)</f>
        <v>Math</v>
      </c>
      <c r="AH2" s="40" t="str">
        <f>Bangla!F2</f>
        <v>A-</v>
      </c>
      <c r="AI2" s="91" t="str">
        <f>English!E2</f>
        <v>C</v>
      </c>
      <c r="AJ2" s="40" t="str">
        <f>ICT!G2</f>
        <v>A+</v>
      </c>
      <c r="AK2" s="40" t="str">
        <f>Physics!G2</f>
        <v>B</v>
      </c>
      <c r="AL2" s="40" t="str">
        <f>Chemistry!G2</f>
        <v>A</v>
      </c>
      <c r="AM2" s="40" t="str">
        <f>IF(SubjectList!G2="Math", IF(Math!G2="","",Math!G2), IF(Biology!G2="","",Biology!G2))</f>
        <v>B</v>
      </c>
      <c r="AN2" s="40" t="str">
        <f>IF(SubjectList!H2="Math", IF(Math!G2="","",Math!G2), IF(Biology!G2="","",Biology!G2))</f>
        <v>A</v>
      </c>
      <c r="AO2" s="41">
        <f>Bangla!G2</f>
        <v>3.5</v>
      </c>
      <c r="AP2" s="41">
        <f>English!F2</f>
        <v>2</v>
      </c>
      <c r="AQ2" s="41">
        <f>ICT!H2</f>
        <v>5</v>
      </c>
      <c r="AR2" s="41">
        <f>Physics!H2</f>
        <v>3</v>
      </c>
      <c r="AS2" s="41">
        <f>Chemistry!H2</f>
        <v>4</v>
      </c>
      <c r="AT2" s="41">
        <f>IF(SubjectList!G2="Math", IF(Math!H2="","",Math!H2), IF(Biology!H2="","",Biology!H2))</f>
        <v>3</v>
      </c>
      <c r="AU2" s="41">
        <f>IF(SubjectList!I2="Math", IF(Math!H2="","",Math!H2), IF(Biology!H2="","",Biology!H2))</f>
        <v>4</v>
      </c>
      <c r="AV2" s="41">
        <f>Optional!I2</f>
        <v>4</v>
      </c>
      <c r="AW2" s="41">
        <f>Optional!J2</f>
        <v>2</v>
      </c>
      <c r="AX2" s="41">
        <f t="shared" ref="AX2:AX65" si="0">IF(BI2=0, "", SUM(AO2:AT2))</f>
        <v>20.5</v>
      </c>
      <c r="AY2" s="41">
        <f>IF(SUM(AW2:AX2)="","",SUM(AW2:AX2))</f>
        <v>22.5</v>
      </c>
      <c r="AZ2" s="41">
        <f t="shared" ref="AZ2:AZ65" si="1">IF(BI2=6,IF(AY2&gt;=30,5,(AY2-AW2)/6),"")</f>
        <v>3.4166666666666665</v>
      </c>
      <c r="BA2" s="41">
        <f t="shared" ref="BA2:BA65" si="2">IF(BI2=6, IF(AY2&gt;=30,5,(AY2)/6), "")</f>
        <v>3.75</v>
      </c>
      <c r="BB2" s="41">
        <f>IF(J2="",0,J2)+IF(K2="",0,K2)+IF(O2="",0,O2)+IF(S2="",0,S2)+IF(W2="",0,W2)+IF(AA2="",0,AA2)+IF(AE2="",0,AE2)</f>
        <v>432</v>
      </c>
      <c r="BC2" s="46">
        <f t="shared" ref="BC2:BH2" si="3">(IF(AO2="","",IF(AO2=0,0,1)))</f>
        <v>1</v>
      </c>
      <c r="BD2" s="46">
        <f t="shared" si="3"/>
        <v>1</v>
      </c>
      <c r="BE2" s="46">
        <f t="shared" si="3"/>
        <v>1</v>
      </c>
      <c r="BF2" s="46">
        <f t="shared" si="3"/>
        <v>1</v>
      </c>
      <c r="BG2" s="46">
        <f t="shared" si="3"/>
        <v>1</v>
      </c>
      <c r="BH2" s="46">
        <f t="shared" si="3"/>
        <v>1</v>
      </c>
      <c r="BI2" s="3">
        <f>IF(SUM(BC2:BH2)="","ABS",SUM(BC2:BH2))</f>
        <v>6</v>
      </c>
      <c r="BJ2" s="3" t="str">
        <f>IF(BI2=0,"Failed in 6 Subjects",IF(BI2=1,"Failed in 5 Subjects",IF(BI2=2,"Failed in 4 Subjects",IF(BI2=3,"Failed in 3 Subjects",IF(BI2=4,"Failed in 2 Subjects",IF(BI2=5,"Failed in 1 Subject",IF(BI2=6,"Pass")))))))</f>
        <v>Pass</v>
      </c>
      <c r="BK2" s="3">
        <f>IF(BA2="","",RANK(BA2,BA$2:BA88,0))</f>
        <v>3</v>
      </c>
      <c r="BL2" s="3" t="str">
        <f>(IF(BA2="","খুবই দুর্বল",IF(BA2=5,"অসাধারন",IF(BA2&gt;=4,"খুব ভালো",IF(BA2&gt;=3.5,"ভালো",IF(BA2&gt;=3,"মধ্যম মানের",IF(BA2&gt;=2,"যত্ন প্রয়োজন",IF(BA2&gt;=1,"দূর্বল",IF(BA2&gt;=0,"খুবই দূর্বল","খুবই দূর্বল")))))))))</f>
        <v>ভালো</v>
      </c>
      <c r="BM2" s="3" t="str">
        <f>(IF(BA2="","Very Weak",IF(BA2=5,"Excellent",IF(BA2&gt;=4,"Very Good",IF(BA2&gt;=3.5,"Good",IF(BA2&gt;=3,"Average",IF(BA2&gt;=2,"Need to improve",IF(BA2&gt;=1,"Weak",IF(BA2&gt;=0,"Very Weak","খুবই দূর্বল")))))))))</f>
        <v>Good</v>
      </c>
      <c r="BN2" s="3" t="str">
        <f>IF(BA2&gt;=5,"",IF(BA2&gt;=4,"A",IF(BA2&gt;=3.5,"A-",IF(BA2&gt;=3,"B",IF(BA2&gt;=2,"C",IF(BA2&gt;=1,"D","F"))))))</f>
        <v>A-</v>
      </c>
    </row>
    <row r="3" spans="1:66" x14ac:dyDescent="0.35">
      <c r="A3" s="3" t="str">
        <f>'Student Basic Info'!B3</f>
        <v>Science</v>
      </c>
      <c r="B3" s="3">
        <f>'Student Basic Info'!A3</f>
        <v>702</v>
      </c>
      <c r="C3" s="3" t="str">
        <f>'Student Basic Info'!C3</f>
        <v>Foyez Ahmed</v>
      </c>
      <c r="D3" s="3" t="str">
        <f>'Student Basic Info'!E2</f>
        <v>Farjana Mostafa</v>
      </c>
      <c r="E3" s="3" t="str">
        <f>'Student Basic Info'!E3</f>
        <v>Amena Aktar</v>
      </c>
      <c r="F3" s="3" t="str">
        <f>'Student Basic Info'!F3</f>
        <v>Male</v>
      </c>
      <c r="G3" s="73" t="str">
        <f>'Student Basic Info'!I3</f>
        <v>01821-044223</v>
      </c>
      <c r="H3" s="74" t="str">
        <f>IF(Bangla!B3="","",Bangla!B3)</f>
        <v/>
      </c>
      <c r="I3" s="74" t="str">
        <f>IF(Bangla!C3="","",Bangla!C3)</f>
        <v/>
      </c>
      <c r="J3" s="74" t="str">
        <f>IF(Bangla!D3="","",Bangla!D3)</f>
        <v/>
      </c>
      <c r="K3" s="75" t="str">
        <f>IF(English!C3="","",English!C3)</f>
        <v/>
      </c>
      <c r="L3" s="37" t="str">
        <f>IF(ICT!B3="","",ICT!B3)</f>
        <v/>
      </c>
      <c r="M3" s="37" t="str">
        <f>IF(ICT!C3="","",ICT!C3)</f>
        <v/>
      </c>
      <c r="N3" s="37" t="str">
        <f>IF(ICT!D3="","",ICT!D3)</f>
        <v/>
      </c>
      <c r="O3" s="37" t="str">
        <f>IF(ICT!E3="","",ICT!E3)</f>
        <v/>
      </c>
      <c r="P3" s="44" t="str">
        <f>IF(Physics!B3="","",Physics!B3)</f>
        <v/>
      </c>
      <c r="Q3" s="44" t="str">
        <f>IF(Physics!C3="","",Physics!C3)</f>
        <v/>
      </c>
      <c r="R3" s="44" t="str">
        <f>IF(Physics!D3="","",Physics!D3)</f>
        <v/>
      </c>
      <c r="S3" s="89" t="str">
        <f>IF(Physics!E3="","",Physics!E3)</f>
        <v/>
      </c>
      <c r="T3" s="37" t="str">
        <f>IF(Chemistry!B3="","",Chemistry!B3)</f>
        <v/>
      </c>
      <c r="U3" s="37" t="str">
        <f>IF(Chemistry!C3="","",Chemistry!C3)</f>
        <v/>
      </c>
      <c r="V3" s="37" t="str">
        <f>IF(Chemistry!D3="","",Chemistry!D3)</f>
        <v/>
      </c>
      <c r="W3" s="37" t="str">
        <f>IF(Chemistry!E3="","",Chemistry!E3)</f>
        <v/>
      </c>
      <c r="X3" s="38" t="str">
        <f>IF(SubjectList!G3="Math", IF(Math!B3="","",Math!B3), IF(Biology!B3="","",Biology!B3))</f>
        <v/>
      </c>
      <c r="Y3" s="38" t="str">
        <f>IF(SubjectList!G3="Math", IF(Math!C3="","",Math!C3), IF(Biology!C3="","",Biology!C3))</f>
        <v/>
      </c>
      <c r="Z3" s="38" t="str">
        <f>IF(SubjectList!G3="Math", IF(Math!D3="","",Math!D3), IF(Biology!D3="","",Biology!D3))</f>
        <v/>
      </c>
      <c r="AA3" s="38" t="str">
        <f>IF(SubjectList!G3="Math", IF(Math!E3="","",Math!E3), IF(Biology!E3="","",Biology!E3))</f>
        <v/>
      </c>
      <c r="AB3" s="44" t="str">
        <f>IF(SubjectList!I3="Biology", IF(Biology!B3="","",Biology!B3), IF(Math!B3="","",Math!B3))</f>
        <v/>
      </c>
      <c r="AC3" s="44" t="str">
        <f>Optional!D3</f>
        <v/>
      </c>
      <c r="AD3" s="44" t="str">
        <f>Optional!E3</f>
        <v/>
      </c>
      <c r="AE3" s="44" t="str">
        <f>Optional!F3</f>
        <v/>
      </c>
      <c r="AF3" s="39" t="str">
        <f>IF(SubjectList!G3="","", SubjectList!G3)</f>
        <v>Biology</v>
      </c>
      <c r="AG3" s="39" t="str">
        <f>IF(SubjectList!I3="","", SubjectList!I3)</f>
        <v>Math</v>
      </c>
      <c r="AH3" s="40" t="str">
        <f>Bangla!F3</f>
        <v/>
      </c>
      <c r="AI3" s="91" t="str">
        <f>English!E3</f>
        <v/>
      </c>
      <c r="AJ3" s="40" t="str">
        <f>ICT!G3</f>
        <v/>
      </c>
      <c r="AK3" s="40" t="str">
        <f>Physics!G3</f>
        <v/>
      </c>
      <c r="AL3" s="40" t="str">
        <f>Chemistry!G3</f>
        <v/>
      </c>
      <c r="AM3" s="40" t="str">
        <f>IF(SubjectList!G3="Math", IF(Math!G3="","",Math!G3), IF(Biology!G3="","",Biology!G3))</f>
        <v/>
      </c>
      <c r="AN3" s="40" t="str">
        <f>IF(SubjectList!H3="Math", IF(Math!G3="","",Math!G3), IF(Biology!G3="","",Biology!G3))</f>
        <v/>
      </c>
      <c r="AO3" s="41" t="str">
        <f>Bangla!G3</f>
        <v/>
      </c>
      <c r="AP3" s="41" t="str">
        <f>English!F3</f>
        <v/>
      </c>
      <c r="AQ3" s="41" t="str">
        <f>ICT!H3</f>
        <v/>
      </c>
      <c r="AR3" s="41" t="str">
        <f>Physics!H3</f>
        <v/>
      </c>
      <c r="AS3" s="41" t="str">
        <f>Chemistry!H3</f>
        <v/>
      </c>
      <c r="AT3" s="41" t="str">
        <f>IF(SubjectList!G3="Math", IF(Math!H3="","",Math!H3), IF(Biology!H3="","",Biology!H3))</f>
        <v/>
      </c>
      <c r="AU3" s="41" t="str">
        <f>IF(SubjectList!I3="Math", IF(Math!H3="","",Math!H3), IF(Biology!H3="","",Biology!H3))</f>
        <v/>
      </c>
      <c r="AV3" s="41" t="str">
        <f>Optional!I3</f>
        <v/>
      </c>
      <c r="AW3" s="41" t="str">
        <f>Optional!J3</f>
        <v/>
      </c>
      <c r="AX3" s="41" t="str">
        <f t="shared" si="0"/>
        <v/>
      </c>
      <c r="AY3" s="41" t="str">
        <f>IF(SUM(AW3:AX3)=0,"",SUM(AW3:AX3))</f>
        <v/>
      </c>
      <c r="AZ3" s="41" t="str">
        <f t="shared" si="1"/>
        <v/>
      </c>
      <c r="BA3" s="41" t="str">
        <f t="shared" si="2"/>
        <v/>
      </c>
      <c r="BB3" s="41">
        <f t="shared" ref="BB3:BB10" si="4">IF(J3="",0,J3)+IF(K3="",0,K3)+IF(O3="",0,O3)+IF(S3="",0,S3)+IF(W3="",0,W3)+IF(AA3="",0,AA3)+IF(AE3="",0,AE3)</f>
        <v>0</v>
      </c>
      <c r="BC3" s="46" t="str">
        <f>(IF(AO3="","",IF(AO3=0,0,1)))</f>
        <v/>
      </c>
      <c r="BD3" s="46" t="str">
        <f t="shared" ref="BD3:BD66" si="5">(IF(AP3="","",IF(AP3=0,0,1)))</f>
        <v/>
      </c>
      <c r="BE3" s="46" t="str">
        <f t="shared" ref="BE3:BE66" si="6">(IF(AQ3="","",IF(AQ3=0,0,1)))</f>
        <v/>
      </c>
      <c r="BF3" s="46" t="str">
        <f t="shared" ref="BF3:BF66" si="7">(IF(AR3="","",IF(AR3=0,0,1)))</f>
        <v/>
      </c>
      <c r="BG3" s="46" t="str">
        <f t="shared" ref="BG3:BG66" si="8">(IF(AS3="","",IF(AS3=0,0,1)))</f>
        <v/>
      </c>
      <c r="BH3" s="46" t="str">
        <f t="shared" ref="BH3:BH66" si="9">(IF(AT3="","",IF(AT3=0,0,1)))</f>
        <v/>
      </c>
      <c r="BI3" s="3">
        <f t="shared" ref="BI3:BI5" si="10">IF(SUM(BC3:BH3)="","ABS",SUM(BC3:BH3))</f>
        <v>0</v>
      </c>
      <c r="BJ3" s="3" t="str">
        <f t="shared" ref="BJ3:BJ17" si="11">IF(BI3=0,"Failed in 6 Subjects",IF(BI3=1,"Failed in 5 Subjects",IF(BI3=2,"Failed in 4 Subjects",IF(BI3=3,"Failed in 3 Subjects",IF(BI3=4,"Failed in 2 Subjects",IF(BI3=5,"Failed in 1 Subject",IF(BI3=6,"Pass")))))))</f>
        <v>Failed in 6 Subjects</v>
      </c>
      <c r="BK3" s="3" t="str">
        <f>IF(BA3="","",RANK(BA3,BA$2:BA88,0))</f>
        <v/>
      </c>
      <c r="BL3" s="3" t="str">
        <f t="shared" ref="BL3:BL66" si="12">(IF(BA3="","খুবই দুর্বল",IF(BA3=5,"অসাধারন",IF(BA3&gt;=4,"খুব ভালো",IF(BA3&gt;=3.5,"ভালো",IF(BA3&gt;=3,"মধ্যম মানের",IF(BA3&gt;=2,"যত্ন প্রয়োজন",IF(BA3&gt;=1,"দূর্বল",IF(BA3&gt;=0,"খুবই দূর্বল","খুবই দূর্বল")))))))))</f>
        <v>খুবই দুর্বল</v>
      </c>
      <c r="BM3" s="3" t="str">
        <f t="shared" ref="BM3:BM66" si="13">(IF(BA3="","Very Weak",IF(BA3=5,"Excellent",IF(BA3&gt;=4,"Very Good",IF(BA3&gt;=3.5,"Good",IF(BA3&gt;=3,"Average",IF(BA3&gt;=2,"Need to improve",IF(BA3&gt;=1,"Weak",IF(BA3&gt;=0,"Very Weak","খুবই দূর্বল")))))))))</f>
        <v>Very Weak</v>
      </c>
      <c r="BN3" s="3" t="str">
        <f t="shared" ref="BN3:BN66" si="14">IF(BA3&gt;=5,"",IF(BA3&gt;=4,"A",IF(BA3&gt;=3.5,"A-",IF(BA3&gt;=3,"B",IF(BA3&gt;=2,"C",IF(BA3&gt;=1,"D","F"))))))</f>
        <v/>
      </c>
    </row>
    <row r="4" spans="1:66" x14ac:dyDescent="0.35">
      <c r="A4" s="3" t="str">
        <f>'Student Basic Info'!B4</f>
        <v>Science</v>
      </c>
      <c r="B4" s="3">
        <f>'Student Basic Info'!A4</f>
        <v>703</v>
      </c>
      <c r="C4" s="3" t="str">
        <f>'Student Basic Info'!C4</f>
        <v>Zannatul Nayem</v>
      </c>
      <c r="D4" s="3" t="str">
        <f>'Student Basic Info'!D4</f>
        <v>Nur Islam</v>
      </c>
      <c r="E4" s="3" t="str">
        <f>'Student Basic Info'!E4</f>
        <v>Bibi kulsum</v>
      </c>
      <c r="F4" s="3" t="str">
        <f>'Student Basic Info'!F4</f>
        <v>Female</v>
      </c>
      <c r="G4" s="73" t="str">
        <f>'Student Basic Info'!I4</f>
        <v>01826-008578</v>
      </c>
      <c r="H4" s="74" t="str">
        <f>IF(Bangla!B4="","",Bangla!B4)</f>
        <v/>
      </c>
      <c r="I4" s="74" t="str">
        <f>IF(Bangla!C4="","",Bangla!C4)</f>
        <v/>
      </c>
      <c r="J4" s="74" t="str">
        <f>IF(Bangla!D4="","",Bangla!D4)</f>
        <v/>
      </c>
      <c r="K4" s="75" t="str">
        <f>IF(English!C4="","",English!C4)</f>
        <v/>
      </c>
      <c r="L4" s="37" t="str">
        <f>IF(ICT!B4="","",ICT!B4)</f>
        <v/>
      </c>
      <c r="M4" s="37" t="str">
        <f>IF(ICT!C4="","",ICT!C4)</f>
        <v/>
      </c>
      <c r="N4" s="37" t="str">
        <f>IF(ICT!D4="","",ICT!D4)</f>
        <v/>
      </c>
      <c r="O4" s="37" t="str">
        <f>IF(ICT!E4="","",ICT!E4)</f>
        <v/>
      </c>
      <c r="P4" s="44" t="str">
        <f>IF(Physics!B4="","",Physics!B4)</f>
        <v/>
      </c>
      <c r="Q4" s="44" t="str">
        <f>IF(Physics!C4="","",Physics!C4)</f>
        <v/>
      </c>
      <c r="R4" s="44" t="str">
        <f>IF(Physics!D4="","",Physics!D4)</f>
        <v/>
      </c>
      <c r="S4" s="89" t="str">
        <f>IF(Physics!E4="","",Physics!E4)</f>
        <v/>
      </c>
      <c r="T4" s="37" t="str">
        <f>IF(Chemistry!B4="","",Chemistry!B4)</f>
        <v/>
      </c>
      <c r="U4" s="37" t="str">
        <f>IF(Chemistry!C4="","",Chemistry!C4)</f>
        <v/>
      </c>
      <c r="V4" s="37" t="str">
        <f>IF(Chemistry!D4="","",Chemistry!D4)</f>
        <v/>
      </c>
      <c r="W4" s="37" t="str">
        <f>IF(Chemistry!E4="","",Chemistry!E4)</f>
        <v/>
      </c>
      <c r="X4" s="38" t="str">
        <f>IF(SubjectList!G4="Math", IF(Math!B4="","",Math!B4), IF(Biology!B4="","",Biology!B4))</f>
        <v/>
      </c>
      <c r="Y4" s="38" t="str">
        <f>IF(SubjectList!G4="Math", IF(Math!C4="","",Math!C4), IF(Biology!C4="","",Biology!C4))</f>
        <v/>
      </c>
      <c r="Z4" s="38" t="str">
        <f>IF(SubjectList!G4="Math", IF(Math!D4="","",Math!D4), IF(Biology!D4="","",Biology!D4))</f>
        <v/>
      </c>
      <c r="AA4" s="38" t="str">
        <f>IF(SubjectList!G4="Math", IF(Math!E4="","",Math!E4), IF(Biology!E4="","",Biology!E4))</f>
        <v/>
      </c>
      <c r="AB4" s="44" t="str">
        <f>IF(SubjectList!I4="Biology", IF(Biology!B4="","",Biology!B4), IF(Math!B4="","",Math!B4))</f>
        <v/>
      </c>
      <c r="AC4" s="44" t="str">
        <f>Optional!D4</f>
        <v/>
      </c>
      <c r="AD4" s="44" t="str">
        <f>Optional!E4</f>
        <v/>
      </c>
      <c r="AE4" s="44" t="str">
        <f>Optional!F4</f>
        <v/>
      </c>
      <c r="AF4" s="39" t="str">
        <f>IF(SubjectList!G4="","", SubjectList!G4)</f>
        <v>Biology</v>
      </c>
      <c r="AG4" s="39" t="str">
        <f>IF(SubjectList!I4="","", SubjectList!I4)</f>
        <v>Math</v>
      </c>
      <c r="AH4" s="40" t="str">
        <f>Bangla!F4</f>
        <v/>
      </c>
      <c r="AI4" s="91" t="str">
        <f>English!E4</f>
        <v/>
      </c>
      <c r="AJ4" s="40" t="str">
        <f>ICT!G4</f>
        <v/>
      </c>
      <c r="AK4" s="40" t="str">
        <f>Physics!G4</f>
        <v/>
      </c>
      <c r="AL4" s="40" t="str">
        <f>Chemistry!G4</f>
        <v/>
      </c>
      <c r="AM4" s="40" t="str">
        <f>IF(SubjectList!G4="Math", IF(Math!G4="","",Math!G4), IF(Biology!G4="","",Biology!G4))</f>
        <v/>
      </c>
      <c r="AN4" s="40" t="str">
        <f>IF(SubjectList!H4="Math", IF(Math!G4="","",Math!G4), IF(Biology!G4="","",Biology!G4))</f>
        <v/>
      </c>
      <c r="AO4" s="41" t="str">
        <f>Bangla!G4</f>
        <v/>
      </c>
      <c r="AP4" s="41" t="str">
        <f>English!F4</f>
        <v/>
      </c>
      <c r="AQ4" s="41" t="str">
        <f>ICT!H4</f>
        <v/>
      </c>
      <c r="AR4" s="41" t="str">
        <f>Physics!H4</f>
        <v/>
      </c>
      <c r="AS4" s="41" t="str">
        <f>Chemistry!H4</f>
        <v/>
      </c>
      <c r="AT4" s="41" t="str">
        <f>IF(SubjectList!G4="Math", IF(Math!H4="","",Math!H4), IF(Biology!H4="","",Biology!H4))</f>
        <v/>
      </c>
      <c r="AU4" s="41" t="str">
        <f>IF(SubjectList!I4="Math", IF(Math!H4="","",Math!H4), IF(Biology!H4="","",Biology!H4))</f>
        <v/>
      </c>
      <c r="AV4" s="41" t="str">
        <f>Optional!I4</f>
        <v/>
      </c>
      <c r="AW4" s="41" t="str">
        <f>Optional!J4</f>
        <v/>
      </c>
      <c r="AX4" s="41" t="str">
        <f t="shared" si="0"/>
        <v/>
      </c>
      <c r="AY4" s="41" t="str">
        <f t="shared" ref="AY4:AY67" si="15">IF(SUM(AW4:AX4)=0,"",SUM(AW4:AX4))</f>
        <v/>
      </c>
      <c r="AZ4" s="41" t="str">
        <f t="shared" si="1"/>
        <v/>
      </c>
      <c r="BA4" s="41" t="str">
        <f t="shared" si="2"/>
        <v/>
      </c>
      <c r="BB4" s="41">
        <f t="shared" si="4"/>
        <v>0</v>
      </c>
      <c r="BC4" s="46" t="str">
        <f t="shared" ref="BC4:BC67" si="16">(IF(AO4="","",IF(AO4=0,0,1)))</f>
        <v/>
      </c>
      <c r="BD4" s="46" t="str">
        <f t="shared" si="5"/>
        <v/>
      </c>
      <c r="BE4" s="46" t="str">
        <f t="shared" si="6"/>
        <v/>
      </c>
      <c r="BF4" s="46" t="str">
        <f t="shared" si="7"/>
        <v/>
      </c>
      <c r="BG4" s="46" t="str">
        <f>(IF(AS4="","",IF(AS4=0,0,1)))</f>
        <v/>
      </c>
      <c r="BH4" s="46" t="str">
        <f t="shared" si="9"/>
        <v/>
      </c>
      <c r="BI4" s="3">
        <f t="shared" si="10"/>
        <v>0</v>
      </c>
      <c r="BJ4" s="3" t="str">
        <f t="shared" si="11"/>
        <v>Failed in 6 Subjects</v>
      </c>
      <c r="BK4" s="3" t="str">
        <f>IF(BA4="","",RANK(BA4,BA$2:BA88,0))</f>
        <v/>
      </c>
      <c r="BL4" s="3" t="str">
        <f t="shared" si="12"/>
        <v>খুবই দুর্বল</v>
      </c>
      <c r="BM4" s="3" t="str">
        <f t="shared" si="13"/>
        <v>Very Weak</v>
      </c>
      <c r="BN4" s="3" t="str">
        <f t="shared" si="14"/>
        <v/>
      </c>
    </row>
    <row r="5" spans="1:66" x14ac:dyDescent="0.35">
      <c r="A5" s="3" t="str">
        <f>'Student Basic Info'!B5</f>
        <v>Science</v>
      </c>
      <c r="B5" s="3">
        <f>'Student Basic Info'!A5</f>
        <v>704</v>
      </c>
      <c r="C5" s="3" t="str">
        <f>'Student Basic Info'!C5</f>
        <v>Farmana Nusrat Chowdhury</v>
      </c>
      <c r="D5" s="3" t="str">
        <f>'Student Basic Info'!D5</f>
        <v>Neyamot Ullah Chowdhury</v>
      </c>
      <c r="E5" s="3" t="str">
        <f>'Student Basic Info'!E5</f>
        <v>Khaleda Akter</v>
      </c>
      <c r="F5" s="3" t="str">
        <f>'Student Basic Info'!F5</f>
        <v>Female</v>
      </c>
      <c r="G5" s="73">
        <f>'Student Basic Info'!I5</f>
        <v>1824826416</v>
      </c>
      <c r="H5" s="74" t="str">
        <f>IF(Bangla!B5="","",Bangla!B5)</f>
        <v/>
      </c>
      <c r="I5" s="74">
        <f>IF(Bangla!C5="","",Bangla!C5)</f>
        <v>62</v>
      </c>
      <c r="J5" s="74">
        <f>IF(Bangla!D5="","",Bangla!D5)</f>
        <v>62</v>
      </c>
      <c r="K5" s="75">
        <f>IF(English!C5="","",English!C5)</f>
        <v>38</v>
      </c>
      <c r="L5" s="37">
        <f>IF(ICT!B5="","",ICT!B5)</f>
        <v>14</v>
      </c>
      <c r="M5" s="37">
        <f>IF(ICT!C5="","",ICT!C5)</f>
        <v>12</v>
      </c>
      <c r="N5" s="37">
        <f>IF(ICT!D5="","",ICT!D5)</f>
        <v>22</v>
      </c>
      <c r="O5" s="37">
        <f>IF(ICT!E5="","",ICT!E5)</f>
        <v>48</v>
      </c>
      <c r="P5" s="44">
        <f>IF(Physics!B5="","",Physics!B5)</f>
        <v>8</v>
      </c>
      <c r="Q5" s="44">
        <f>IF(Physics!C5="","",Physics!C5)</f>
        <v>4</v>
      </c>
      <c r="R5" s="44">
        <f>IF(Physics!D5="","",Physics!D5)</f>
        <v>10</v>
      </c>
      <c r="S5" s="89">
        <f>IF(Physics!E5="","",Physics!E5)</f>
        <v>22</v>
      </c>
      <c r="T5" s="37">
        <f>IF(Chemistry!B5="","",Chemistry!B5)</f>
        <v>15</v>
      </c>
      <c r="U5" s="37">
        <f>IF(Chemistry!C5="","",Chemistry!C5)</f>
        <v>14</v>
      </c>
      <c r="V5" s="37">
        <f>IF(Chemistry!D5="","",Chemistry!D5)</f>
        <v>10</v>
      </c>
      <c r="W5" s="37">
        <f>IF(Chemistry!E5="","",Chemistry!E5)</f>
        <v>39</v>
      </c>
      <c r="X5" s="38">
        <f>IF(SubjectList!G5="Math", IF(Math!B5="","",Math!B5), IF(Biology!B5="","",Biology!B5))</f>
        <v>7</v>
      </c>
      <c r="Y5" s="38">
        <f>IF(SubjectList!G5="Math", IF(Math!C5="","",Math!C5), IF(Biology!C5="","",Biology!C5))</f>
        <v>10</v>
      </c>
      <c r="Z5" s="38">
        <f>IF(SubjectList!G5="Math", IF(Math!D5="","",Math!D5), IF(Biology!D5="","",Biology!D5))</f>
        <v>10</v>
      </c>
      <c r="AA5" s="38">
        <f>IF(SubjectList!G5="Math", IF(Math!E5="","",Math!E5), IF(Biology!E5="","",Biology!E5))</f>
        <v>27</v>
      </c>
      <c r="AB5" s="44">
        <f>IF(SubjectList!I5="Biology", IF(Biology!B5="","",Biology!B5), IF(Math!B5="","",Math!B5))</f>
        <v>18</v>
      </c>
      <c r="AC5" s="44">
        <f>Optional!D5</f>
        <v>0</v>
      </c>
      <c r="AD5" s="44">
        <f>Optional!E5</f>
        <v>9</v>
      </c>
      <c r="AE5" s="44">
        <f>Optional!F5</f>
        <v>27</v>
      </c>
      <c r="AF5" s="39" t="str">
        <f>IF(SubjectList!G5="","", SubjectList!G5)</f>
        <v>Biology</v>
      </c>
      <c r="AG5" s="39" t="str">
        <f>IF(SubjectList!I5="","", SubjectList!I5)</f>
        <v>Math</v>
      </c>
      <c r="AH5" s="40" t="str">
        <f>Bangla!F5</f>
        <v>A-</v>
      </c>
      <c r="AI5" s="91" t="str">
        <f>English!E5</f>
        <v>D</v>
      </c>
      <c r="AJ5" s="40" t="str">
        <f>ICT!G5</f>
        <v>F</v>
      </c>
      <c r="AK5" s="40" t="str">
        <f>Physics!G5</f>
        <v>F</v>
      </c>
      <c r="AL5" s="40" t="str">
        <f>Chemistry!G5</f>
        <v>F</v>
      </c>
      <c r="AM5" s="40" t="str">
        <f>IF(SubjectList!G5="Math", IF(Math!G5="","",Math!G5), IF(Biology!G5="","",Biology!G5))</f>
        <v>F</v>
      </c>
      <c r="AN5" s="40" t="str">
        <f>IF(SubjectList!H5="Math", IF(Math!G5="","",Math!G5), IF(Biology!G5="","",Biology!G5))</f>
        <v>F</v>
      </c>
      <c r="AO5" s="41">
        <f>Bangla!G5</f>
        <v>3.5</v>
      </c>
      <c r="AP5" s="41">
        <f>English!F5</f>
        <v>1</v>
      </c>
      <c r="AQ5" s="41">
        <f>ICT!H5</f>
        <v>0</v>
      </c>
      <c r="AR5" s="41">
        <f>Physics!H5</f>
        <v>0</v>
      </c>
      <c r="AS5" s="41">
        <f>Chemistry!H5</f>
        <v>0</v>
      </c>
      <c r="AT5" s="41">
        <f>IF(SubjectList!G5="Math", IF(Math!H5="","",Math!H5), IF(Biology!H5="","",Biology!H5))</f>
        <v>0</v>
      </c>
      <c r="AU5" s="41">
        <f>IF(SubjectList!I5="Math", IF(Math!H5="","",Math!H5), IF(Biology!H5="","",Biology!H5))</f>
        <v>0</v>
      </c>
      <c r="AV5" s="41">
        <f>Optional!I5</f>
        <v>0</v>
      </c>
      <c r="AW5" s="41">
        <f>Optional!J5</f>
        <v>0</v>
      </c>
      <c r="AX5" s="41">
        <f t="shared" si="0"/>
        <v>4.5</v>
      </c>
      <c r="AY5" s="41">
        <f t="shared" si="15"/>
        <v>4.5</v>
      </c>
      <c r="AZ5" s="41" t="str">
        <f t="shared" si="1"/>
        <v/>
      </c>
      <c r="BA5" s="41" t="str">
        <f t="shared" si="2"/>
        <v/>
      </c>
      <c r="BB5" s="41">
        <f t="shared" si="4"/>
        <v>263</v>
      </c>
      <c r="BC5" s="46">
        <f t="shared" si="16"/>
        <v>1</v>
      </c>
      <c r="BD5" s="46">
        <f t="shared" si="5"/>
        <v>1</v>
      </c>
      <c r="BE5" s="46">
        <f t="shared" si="6"/>
        <v>0</v>
      </c>
      <c r="BF5" s="46">
        <f t="shared" si="7"/>
        <v>0</v>
      </c>
      <c r="BG5" s="46">
        <f t="shared" si="8"/>
        <v>0</v>
      </c>
      <c r="BH5" s="46">
        <f t="shared" si="9"/>
        <v>0</v>
      </c>
      <c r="BI5" s="3">
        <f t="shared" si="10"/>
        <v>2</v>
      </c>
      <c r="BJ5" s="3" t="str">
        <f t="shared" si="11"/>
        <v>Failed in 4 Subjects</v>
      </c>
      <c r="BK5" s="3" t="str">
        <f>IF(BA5="","",RANK(BA5,BA$2:BA88,0))</f>
        <v/>
      </c>
      <c r="BL5" s="3" t="str">
        <f t="shared" si="12"/>
        <v>খুবই দুর্বল</v>
      </c>
      <c r="BM5" s="3" t="str">
        <f t="shared" si="13"/>
        <v>Very Weak</v>
      </c>
      <c r="BN5" s="3" t="str">
        <f t="shared" si="14"/>
        <v/>
      </c>
    </row>
    <row r="6" spans="1:66" x14ac:dyDescent="0.35">
      <c r="A6" s="3" t="str">
        <f>'Student Basic Info'!B6</f>
        <v>Science</v>
      </c>
      <c r="B6" s="3">
        <f>'Student Basic Info'!A6</f>
        <v>705</v>
      </c>
      <c r="C6" s="3" t="str">
        <f>'Student Basic Info'!C6</f>
        <v>Zannatul Ferdaus</v>
      </c>
      <c r="D6" s="3" t="str">
        <f>'Student Basic Info'!D6</f>
        <v>Ruhul Amin</v>
      </c>
      <c r="E6" s="3" t="str">
        <f>'Student Basic Info'!E6</f>
        <v>Fahima Akter</v>
      </c>
      <c r="F6" s="3" t="str">
        <f>'Student Basic Info'!F6</f>
        <v>Female</v>
      </c>
      <c r="G6" s="73" t="str">
        <f>'Student Basic Info'!I6</f>
        <v>01815502619 / 01892028139</v>
      </c>
      <c r="H6" s="74" t="str">
        <f>IF(Bangla!B6="","",Bangla!B6)</f>
        <v/>
      </c>
      <c r="I6" s="74" t="str">
        <f>IF(Bangla!C6="","",Bangla!C6)</f>
        <v/>
      </c>
      <c r="J6" s="74" t="str">
        <f>IF(Bangla!D6="","",Bangla!D6)</f>
        <v/>
      </c>
      <c r="K6" s="75" t="str">
        <f>IF(English!C6="","",English!C6)</f>
        <v/>
      </c>
      <c r="L6" s="37">
        <f>IF(ICT!B6="","",ICT!B6)</f>
        <v>7</v>
      </c>
      <c r="M6" s="37">
        <f>IF(ICT!C6="","",ICT!C6)</f>
        <v>12</v>
      </c>
      <c r="N6" s="37">
        <f>IF(ICT!D6="","",ICT!D6)</f>
        <v>8</v>
      </c>
      <c r="O6" s="37">
        <f>IF(ICT!E6="","",ICT!E6)</f>
        <v>27</v>
      </c>
      <c r="P6" s="44" t="str">
        <f>IF(Physics!B6="","",Physics!B6)</f>
        <v/>
      </c>
      <c r="Q6" s="44" t="str">
        <f>IF(Physics!C6="","",Physics!C6)</f>
        <v/>
      </c>
      <c r="R6" s="44" t="str">
        <f>IF(Physics!D6="","",Physics!D6)</f>
        <v/>
      </c>
      <c r="S6" s="89" t="str">
        <f>IF(Physics!E6="","",Physics!E6)</f>
        <v/>
      </c>
      <c r="T6" s="37" t="str">
        <f>IF(Chemistry!B6="","",Chemistry!B6)</f>
        <v/>
      </c>
      <c r="U6" s="37" t="str">
        <f>IF(Chemistry!C6="","",Chemistry!C6)</f>
        <v/>
      </c>
      <c r="V6" s="37" t="str">
        <f>IF(Chemistry!D6="","",Chemistry!D6)</f>
        <v/>
      </c>
      <c r="W6" s="37" t="str">
        <f>IF(Chemistry!E6="","",Chemistry!E6)</f>
        <v/>
      </c>
      <c r="X6" s="38" t="str">
        <f>IF(SubjectList!G6="Math", IF(Math!B6="","",Math!B6), IF(Biology!B6="","",Biology!B6))</f>
        <v/>
      </c>
      <c r="Y6" s="38" t="str">
        <f>IF(SubjectList!G6="Math", IF(Math!C6="","",Math!C6), IF(Biology!C6="","",Biology!C6))</f>
        <v/>
      </c>
      <c r="Z6" s="38" t="str">
        <f>IF(SubjectList!G6="Math", IF(Math!D6="","",Math!D6), IF(Biology!D6="","",Biology!D6))</f>
        <v/>
      </c>
      <c r="AA6" s="38" t="str">
        <f>IF(SubjectList!G6="Math", IF(Math!E6="","",Math!E6), IF(Biology!E6="","",Biology!E6))</f>
        <v/>
      </c>
      <c r="AB6" s="44" t="str">
        <f>IF(SubjectList!I6="Biology", IF(Biology!B6="","",Biology!B6), IF(Math!B6="","",Math!B6))</f>
        <v/>
      </c>
      <c r="AC6" s="44" t="str">
        <f>Optional!D6</f>
        <v/>
      </c>
      <c r="AD6" s="44" t="str">
        <f>Optional!E6</f>
        <v/>
      </c>
      <c r="AE6" s="44" t="str">
        <f>Optional!F6</f>
        <v/>
      </c>
      <c r="AF6" s="39" t="str">
        <f>IF(SubjectList!G6="","", SubjectList!G6)</f>
        <v>Biology</v>
      </c>
      <c r="AG6" s="39" t="str">
        <f>IF(SubjectList!I6="","", SubjectList!I6)</f>
        <v>Math</v>
      </c>
      <c r="AH6" s="40" t="str">
        <f>Bangla!F6</f>
        <v/>
      </c>
      <c r="AI6" s="91" t="str">
        <f>English!E6</f>
        <v/>
      </c>
      <c r="AJ6" s="40" t="str">
        <f>ICT!G6</f>
        <v>F</v>
      </c>
      <c r="AK6" s="40" t="str">
        <f>Physics!G6</f>
        <v/>
      </c>
      <c r="AL6" s="40" t="str">
        <f>Chemistry!G6</f>
        <v/>
      </c>
      <c r="AM6" s="40" t="str">
        <f>IF(SubjectList!G6="Math", IF(Math!G6="","",Math!G6), IF(Biology!G6="","",Biology!G6))</f>
        <v/>
      </c>
      <c r="AN6" s="40" t="str">
        <f>IF(SubjectList!H6="Math", IF(Math!G6="","",Math!G6), IF(Biology!G6="","",Biology!G6))</f>
        <v/>
      </c>
      <c r="AO6" s="41" t="str">
        <f>Bangla!G6</f>
        <v/>
      </c>
      <c r="AP6" s="41" t="str">
        <f>English!F6</f>
        <v/>
      </c>
      <c r="AQ6" s="41">
        <f>ICT!H6</f>
        <v>0</v>
      </c>
      <c r="AR6" s="41" t="str">
        <f>Physics!H6</f>
        <v/>
      </c>
      <c r="AS6" s="41" t="str">
        <f>Chemistry!H6</f>
        <v/>
      </c>
      <c r="AT6" s="41" t="str">
        <f>IF(SubjectList!G6="Math", IF(Math!H6="","",Math!H6), IF(Biology!H6="","",Biology!H6))</f>
        <v/>
      </c>
      <c r="AU6" s="41" t="str">
        <f>IF(SubjectList!I6="Math", IF(Math!H6="","",Math!H6), IF(Biology!H6="","",Biology!H6))</f>
        <v/>
      </c>
      <c r="AV6" s="41" t="str">
        <f>Optional!I6</f>
        <v/>
      </c>
      <c r="AW6" s="41" t="str">
        <f>Optional!J6</f>
        <v/>
      </c>
      <c r="AX6" s="41" t="str">
        <f t="shared" si="0"/>
        <v/>
      </c>
      <c r="AY6" s="41" t="str">
        <f t="shared" si="15"/>
        <v/>
      </c>
      <c r="AZ6" s="41" t="str">
        <f t="shared" si="1"/>
        <v/>
      </c>
      <c r="BA6" s="41" t="str">
        <f t="shared" si="2"/>
        <v/>
      </c>
      <c r="BB6" s="41">
        <f>IF(J6="",0,J6)+IF(K6="",0,K6)+IF(O6="",0,O6)+IF(S6="",0,S6)+IF(W6="",0,W6)+IF(AA6="",0,AA6)+IF(AE6="",0,AE6)</f>
        <v>27</v>
      </c>
      <c r="BC6" s="46" t="str">
        <f t="shared" si="16"/>
        <v/>
      </c>
      <c r="BD6" s="46" t="str">
        <f t="shared" si="5"/>
        <v/>
      </c>
      <c r="BE6" s="46">
        <f t="shared" si="6"/>
        <v>0</v>
      </c>
      <c r="BF6" s="46" t="str">
        <f t="shared" si="7"/>
        <v/>
      </c>
      <c r="BG6" s="46" t="str">
        <f t="shared" si="8"/>
        <v/>
      </c>
      <c r="BH6" s="46" t="str">
        <f t="shared" si="9"/>
        <v/>
      </c>
      <c r="BI6" s="3">
        <f t="shared" ref="BI6:BI66" si="17">SUM(BC6:BH6)</f>
        <v>0</v>
      </c>
      <c r="BJ6" s="3" t="str">
        <f t="shared" si="11"/>
        <v>Failed in 6 Subjects</v>
      </c>
      <c r="BK6" s="3" t="str">
        <f>IF(BA6="","",RANK(BA6,BA$2:BA88,0))</f>
        <v/>
      </c>
      <c r="BL6" s="3" t="str">
        <f t="shared" si="12"/>
        <v>খুবই দুর্বল</v>
      </c>
      <c r="BM6" s="3" t="str">
        <f t="shared" si="13"/>
        <v>Very Weak</v>
      </c>
      <c r="BN6" s="3" t="str">
        <f t="shared" si="14"/>
        <v/>
      </c>
    </row>
    <row r="7" spans="1:66" x14ac:dyDescent="0.35">
      <c r="A7" s="3" t="str">
        <f>'Student Basic Info'!B7</f>
        <v>Science</v>
      </c>
      <c r="B7" s="3">
        <f>'Student Basic Info'!A7</f>
        <v>706</v>
      </c>
      <c r="C7" s="3" t="str">
        <f>'Student Basic Info'!C7</f>
        <v>Abdul Alim Shawon</v>
      </c>
      <c r="D7" s="3" t="str">
        <f>'Student Basic Info'!D7</f>
        <v>Abdul Hadith</v>
      </c>
      <c r="E7" s="3" t="str">
        <f>'Student Basic Info'!E7</f>
        <v>Rowshona Ara Begum</v>
      </c>
      <c r="F7" s="3" t="str">
        <f>'Student Basic Info'!F7</f>
        <v>Male</v>
      </c>
      <c r="G7" s="73" t="str">
        <f>'Student Basic Info'!I7</f>
        <v>01827-220450</v>
      </c>
      <c r="H7" s="74" t="str">
        <f>IF(Bangla!B7="","",Bangla!B7)</f>
        <v/>
      </c>
      <c r="I7" s="74" t="str">
        <f>IF(Bangla!C7="","",Bangla!C7)</f>
        <v/>
      </c>
      <c r="J7" s="74" t="str">
        <f>IF(Bangla!D7="","",Bangla!D7)</f>
        <v/>
      </c>
      <c r="K7" s="75" t="str">
        <f>IF(English!C7="","",English!C7)</f>
        <v/>
      </c>
      <c r="L7" s="37" t="str">
        <f>IF(ICT!B7="","",ICT!B7)</f>
        <v/>
      </c>
      <c r="M7" s="37" t="str">
        <f>IF(ICT!C7="","",ICT!C7)</f>
        <v/>
      </c>
      <c r="N7" s="37" t="str">
        <f>IF(ICT!D7="","",ICT!D7)</f>
        <v/>
      </c>
      <c r="O7" s="37" t="str">
        <f>IF(ICT!E7="","",ICT!E7)</f>
        <v/>
      </c>
      <c r="P7" s="44" t="str">
        <f>IF(Physics!B7="","",Physics!B7)</f>
        <v/>
      </c>
      <c r="Q7" s="44" t="str">
        <f>IF(Physics!C7="","",Physics!C7)</f>
        <v/>
      </c>
      <c r="R7" s="44" t="str">
        <f>IF(Physics!D7="","",Physics!D7)</f>
        <v/>
      </c>
      <c r="S7" s="89" t="str">
        <f>IF(Physics!E7="","",Physics!E7)</f>
        <v/>
      </c>
      <c r="T7" s="37" t="str">
        <f>IF(Chemistry!B7="","",Chemistry!B7)</f>
        <v/>
      </c>
      <c r="U7" s="37" t="str">
        <f>IF(Chemistry!C7="","",Chemistry!C7)</f>
        <v/>
      </c>
      <c r="V7" s="37" t="str">
        <f>IF(Chemistry!D7="","",Chemistry!D7)</f>
        <v/>
      </c>
      <c r="W7" s="37" t="str">
        <f>IF(Chemistry!E7="","",Chemistry!E7)</f>
        <v/>
      </c>
      <c r="X7" s="38" t="str">
        <f>IF(SubjectList!G7="Math", IF(Math!B7="","",Math!B7), IF(Biology!B7="","",Biology!B7))</f>
        <v/>
      </c>
      <c r="Y7" s="38" t="str">
        <f>IF(SubjectList!G7="Math", IF(Math!C7="","",Math!C7), IF(Biology!C7="","",Biology!C7))</f>
        <v/>
      </c>
      <c r="Z7" s="38" t="str">
        <f>IF(SubjectList!G7="Math", IF(Math!D7="","",Math!D7), IF(Biology!D7="","",Biology!D7))</f>
        <v/>
      </c>
      <c r="AA7" s="38" t="str">
        <f>IF(SubjectList!G7="Math", IF(Math!E7="","",Math!E7), IF(Biology!E7="","",Biology!E7))</f>
        <v/>
      </c>
      <c r="AB7" s="44" t="str">
        <f>IF(SubjectList!I7="Biology", IF(Biology!B7="","",Biology!B7), IF(Math!B7="","",Math!B7))</f>
        <v/>
      </c>
      <c r="AC7" s="44" t="str">
        <f>Optional!D7</f>
        <v/>
      </c>
      <c r="AD7" s="44" t="str">
        <f>Optional!E7</f>
        <v/>
      </c>
      <c r="AE7" s="44" t="str">
        <f>Optional!F7</f>
        <v/>
      </c>
      <c r="AF7" s="39" t="str">
        <f>IF(SubjectList!G7="","", SubjectList!G7)</f>
        <v>Biology</v>
      </c>
      <c r="AG7" s="39" t="str">
        <f>IF(SubjectList!I7="","", SubjectList!I7)</f>
        <v>Math</v>
      </c>
      <c r="AH7" s="40" t="str">
        <f>Bangla!F7</f>
        <v/>
      </c>
      <c r="AI7" s="91" t="str">
        <f>English!E7</f>
        <v/>
      </c>
      <c r="AJ7" s="40" t="str">
        <f>ICT!G7</f>
        <v/>
      </c>
      <c r="AK7" s="40" t="str">
        <f>Physics!G7</f>
        <v/>
      </c>
      <c r="AL7" s="40" t="str">
        <f>Chemistry!G7</f>
        <v/>
      </c>
      <c r="AM7" s="40" t="str">
        <f>IF(SubjectList!G7="Math", IF(Math!G7="","",Math!G7), IF(Biology!G7="","",Biology!G7))</f>
        <v/>
      </c>
      <c r="AN7" s="40" t="str">
        <f>IF(SubjectList!H7="Math", IF(Math!G7="","",Math!G7), IF(Biology!G7="","",Biology!G7))</f>
        <v/>
      </c>
      <c r="AO7" s="41" t="str">
        <f>Bangla!G7</f>
        <v/>
      </c>
      <c r="AP7" s="41" t="str">
        <f>English!F7</f>
        <v/>
      </c>
      <c r="AQ7" s="41" t="str">
        <f>ICT!H7</f>
        <v/>
      </c>
      <c r="AR7" s="41" t="str">
        <f>Physics!H7</f>
        <v/>
      </c>
      <c r="AS7" s="41" t="str">
        <f>Chemistry!H7</f>
        <v/>
      </c>
      <c r="AT7" s="41" t="str">
        <f>IF(SubjectList!G7="Math", IF(Math!H7="","",Math!H7), IF(Biology!H7="","",Biology!H7))</f>
        <v/>
      </c>
      <c r="AU7" s="41" t="str">
        <f>IF(SubjectList!I7="Math", IF(Math!H7="","",Math!H7), IF(Biology!H7="","",Biology!H7))</f>
        <v/>
      </c>
      <c r="AV7" s="41" t="str">
        <f>Optional!I7</f>
        <v/>
      </c>
      <c r="AW7" s="41" t="str">
        <f>Optional!J7</f>
        <v/>
      </c>
      <c r="AX7" s="41" t="str">
        <f t="shared" si="0"/>
        <v/>
      </c>
      <c r="AY7" s="41" t="str">
        <f t="shared" si="15"/>
        <v/>
      </c>
      <c r="AZ7" s="41" t="str">
        <f t="shared" si="1"/>
        <v/>
      </c>
      <c r="BA7" s="41" t="str">
        <f t="shared" si="2"/>
        <v/>
      </c>
      <c r="BB7" s="41">
        <f t="shared" si="4"/>
        <v>0</v>
      </c>
      <c r="BC7" s="46" t="str">
        <f t="shared" si="16"/>
        <v/>
      </c>
      <c r="BD7" s="46" t="str">
        <f t="shared" si="5"/>
        <v/>
      </c>
      <c r="BE7" s="46" t="str">
        <f t="shared" si="6"/>
        <v/>
      </c>
      <c r="BF7" s="46" t="str">
        <f t="shared" si="7"/>
        <v/>
      </c>
      <c r="BG7" s="46" t="str">
        <f t="shared" si="8"/>
        <v/>
      </c>
      <c r="BH7" s="46" t="str">
        <f t="shared" si="9"/>
        <v/>
      </c>
      <c r="BI7" s="3">
        <f t="shared" si="17"/>
        <v>0</v>
      </c>
      <c r="BJ7" s="3" t="str">
        <f t="shared" si="11"/>
        <v>Failed in 6 Subjects</v>
      </c>
      <c r="BK7" s="3" t="str">
        <f>IF(BA7="","",RANK(BA7,BA$2:BA88,0))</f>
        <v/>
      </c>
      <c r="BL7" s="3" t="str">
        <f t="shared" si="12"/>
        <v>খুবই দুর্বল</v>
      </c>
      <c r="BM7" s="3" t="str">
        <f t="shared" si="13"/>
        <v>Very Weak</v>
      </c>
      <c r="BN7" s="3" t="str">
        <f t="shared" si="14"/>
        <v/>
      </c>
    </row>
    <row r="8" spans="1:66" x14ac:dyDescent="0.35">
      <c r="A8" s="3" t="str">
        <f>'Student Basic Info'!B8</f>
        <v>Science</v>
      </c>
      <c r="B8" s="3">
        <f>'Student Basic Info'!A8</f>
        <v>707</v>
      </c>
      <c r="C8" s="3" t="str">
        <f>'Student Basic Info'!C8</f>
        <v>Sharmin Aktar</v>
      </c>
      <c r="D8" s="3" t="str">
        <f>'Student Basic Info'!D8</f>
        <v>Zakar Hosain Faruk</v>
      </c>
      <c r="E8" s="3" t="str">
        <f>'Student Basic Info'!E8</f>
        <v>Nur Nahar Nayon</v>
      </c>
      <c r="F8" s="3" t="str">
        <f>'Student Basic Info'!F8</f>
        <v>Female</v>
      </c>
      <c r="G8" s="73" t="str">
        <f>'Student Basic Info'!I8</f>
        <v>01811-284099</v>
      </c>
      <c r="H8" s="74" t="str">
        <f>IF(Bangla!B8="","",Bangla!B8)</f>
        <v/>
      </c>
      <c r="I8" s="74" t="str">
        <f>IF(Bangla!C8="","",Bangla!C8)</f>
        <v/>
      </c>
      <c r="J8" s="74" t="str">
        <f>IF(Bangla!D8="","",Bangla!D8)</f>
        <v/>
      </c>
      <c r="K8" s="75" t="str">
        <f>IF(English!C8="","",English!C8)</f>
        <v/>
      </c>
      <c r="L8" s="37" t="str">
        <f>IF(ICT!B8="","",ICT!B8)</f>
        <v/>
      </c>
      <c r="M8" s="37" t="str">
        <f>IF(ICT!C8="","",ICT!C8)</f>
        <v/>
      </c>
      <c r="N8" s="37" t="str">
        <f>IF(ICT!D8="","",ICT!D8)</f>
        <v/>
      </c>
      <c r="O8" s="37" t="str">
        <f>IF(ICT!E8="","",ICT!E8)</f>
        <v/>
      </c>
      <c r="P8" s="44" t="str">
        <f>IF(Physics!B8="","",Physics!B8)</f>
        <v/>
      </c>
      <c r="Q8" s="44" t="str">
        <f>IF(Physics!C8="","",Physics!C8)</f>
        <v/>
      </c>
      <c r="R8" s="44" t="str">
        <f>IF(Physics!D8="","",Physics!D8)</f>
        <v/>
      </c>
      <c r="S8" s="89" t="str">
        <f>IF(Physics!E8="","",Physics!E8)</f>
        <v/>
      </c>
      <c r="T8" s="37" t="str">
        <f>IF(Chemistry!B8="","",Chemistry!B8)</f>
        <v/>
      </c>
      <c r="U8" s="37" t="str">
        <f>IF(Chemistry!C8="","",Chemistry!C8)</f>
        <v/>
      </c>
      <c r="V8" s="37" t="str">
        <f>IF(Chemistry!D8="","",Chemistry!D8)</f>
        <v/>
      </c>
      <c r="W8" s="37" t="str">
        <f>IF(Chemistry!E8="","",Chemistry!E8)</f>
        <v/>
      </c>
      <c r="X8" s="38" t="str">
        <f>IF(SubjectList!G8="Math", IF(Math!B8="","",Math!B8), IF(Biology!B8="","",Biology!B8))</f>
        <v/>
      </c>
      <c r="Y8" s="38" t="str">
        <f>IF(SubjectList!G8="Math", IF(Math!C8="","",Math!C8), IF(Biology!C8="","",Biology!C8))</f>
        <v/>
      </c>
      <c r="Z8" s="38" t="str">
        <f>IF(SubjectList!G8="Math", IF(Math!D8="","",Math!D8), IF(Biology!D8="","",Biology!D8))</f>
        <v/>
      </c>
      <c r="AA8" s="38" t="str">
        <f>IF(SubjectList!G8="Math", IF(Math!E8="","",Math!E8), IF(Biology!E8="","",Biology!E8))</f>
        <v/>
      </c>
      <c r="AB8" s="44" t="str">
        <f>IF(SubjectList!I8="Biology", IF(Biology!B8="","",Biology!B8), IF(Math!B8="","",Math!B8))</f>
        <v/>
      </c>
      <c r="AC8" s="44" t="str">
        <f>Optional!D8</f>
        <v/>
      </c>
      <c r="AD8" s="44" t="str">
        <f>Optional!E8</f>
        <v/>
      </c>
      <c r="AE8" s="44" t="str">
        <f>Optional!F8</f>
        <v/>
      </c>
      <c r="AF8" s="39" t="str">
        <f>IF(SubjectList!G8="","", SubjectList!G8)</f>
        <v>Biology</v>
      </c>
      <c r="AG8" s="39" t="str">
        <f>IF(SubjectList!I8="","", SubjectList!I8)</f>
        <v>Math</v>
      </c>
      <c r="AH8" s="40" t="str">
        <f>Bangla!F8</f>
        <v/>
      </c>
      <c r="AI8" s="91" t="str">
        <f>English!E8</f>
        <v/>
      </c>
      <c r="AJ8" s="40" t="str">
        <f>ICT!G8</f>
        <v/>
      </c>
      <c r="AK8" s="40" t="str">
        <f>Physics!G8</f>
        <v/>
      </c>
      <c r="AL8" s="40" t="str">
        <f>Chemistry!G8</f>
        <v/>
      </c>
      <c r="AM8" s="40" t="str">
        <f>IF(SubjectList!G8="Math", IF(Math!G8="","",Math!G8), IF(Biology!G8="","",Biology!G8))</f>
        <v/>
      </c>
      <c r="AN8" s="40" t="str">
        <f>IF(SubjectList!H8="Math", IF(Math!G8="","",Math!G8), IF(Biology!G8="","",Biology!G8))</f>
        <v/>
      </c>
      <c r="AO8" s="41" t="str">
        <f>Bangla!G8</f>
        <v/>
      </c>
      <c r="AP8" s="41" t="str">
        <f>English!F8</f>
        <v/>
      </c>
      <c r="AQ8" s="41" t="str">
        <f>ICT!H8</f>
        <v/>
      </c>
      <c r="AR8" s="41" t="str">
        <f>Physics!H8</f>
        <v/>
      </c>
      <c r="AS8" s="41" t="str">
        <f>Chemistry!H8</f>
        <v/>
      </c>
      <c r="AT8" s="41" t="str">
        <f>IF(SubjectList!G8="Math", IF(Math!H8="","",Math!H8), IF(Biology!H8="","",Biology!H8))</f>
        <v/>
      </c>
      <c r="AU8" s="41" t="str">
        <f>IF(SubjectList!I8="Math", IF(Math!H8="","",Math!H8), IF(Biology!H8="","",Biology!H8))</f>
        <v/>
      </c>
      <c r="AV8" s="41" t="str">
        <f>Optional!I8</f>
        <v/>
      </c>
      <c r="AW8" s="41" t="str">
        <f>Optional!J8</f>
        <v/>
      </c>
      <c r="AX8" s="41" t="str">
        <f t="shared" si="0"/>
        <v/>
      </c>
      <c r="AY8" s="41" t="str">
        <f t="shared" si="15"/>
        <v/>
      </c>
      <c r="AZ8" s="41" t="str">
        <f t="shared" si="1"/>
        <v/>
      </c>
      <c r="BA8" s="41" t="str">
        <f t="shared" si="2"/>
        <v/>
      </c>
      <c r="BB8" s="41">
        <f t="shared" si="4"/>
        <v>0</v>
      </c>
      <c r="BC8" s="46" t="str">
        <f t="shared" si="16"/>
        <v/>
      </c>
      <c r="BD8" s="46" t="str">
        <f t="shared" si="5"/>
        <v/>
      </c>
      <c r="BE8" s="46" t="str">
        <f t="shared" si="6"/>
        <v/>
      </c>
      <c r="BF8" s="46" t="str">
        <f t="shared" si="7"/>
        <v/>
      </c>
      <c r="BG8" s="46" t="str">
        <f t="shared" si="8"/>
        <v/>
      </c>
      <c r="BH8" s="46" t="str">
        <f t="shared" si="9"/>
        <v/>
      </c>
      <c r="BI8" s="3">
        <f t="shared" si="17"/>
        <v>0</v>
      </c>
      <c r="BJ8" s="3" t="str">
        <f t="shared" si="11"/>
        <v>Failed in 6 Subjects</v>
      </c>
      <c r="BK8" s="3" t="str">
        <f>IF(BA8="","",RANK(BA8,BA$2:BA88,0))</f>
        <v/>
      </c>
      <c r="BL8" s="3" t="str">
        <f t="shared" si="12"/>
        <v>খুবই দুর্বল</v>
      </c>
      <c r="BM8" s="3" t="str">
        <f t="shared" si="13"/>
        <v>Very Weak</v>
      </c>
      <c r="BN8" s="3" t="str">
        <f t="shared" si="14"/>
        <v/>
      </c>
    </row>
    <row r="9" spans="1:66" x14ac:dyDescent="0.35">
      <c r="A9" s="3" t="str">
        <f>'Student Basic Info'!B9</f>
        <v>Science</v>
      </c>
      <c r="B9" s="3">
        <f>'Student Basic Info'!A9</f>
        <v>708</v>
      </c>
      <c r="C9" s="3" t="str">
        <f>'Student Basic Info'!C9</f>
        <v>Nafisa Aktar Prova</v>
      </c>
      <c r="D9" s="3" t="str">
        <f>'Student Basic Info'!D9</f>
        <v>Nur Uddin</v>
      </c>
      <c r="E9" s="3" t="str">
        <f>'Student Basic Info'!E9</f>
        <v>Bibi Fatema Aktar</v>
      </c>
      <c r="F9" s="3" t="str">
        <f>'Student Basic Info'!F9</f>
        <v>Female</v>
      </c>
      <c r="G9" s="73" t="str">
        <f>'Student Basic Info'!I9</f>
        <v>01715-913980</v>
      </c>
      <c r="H9" s="74" t="str">
        <f>IF(Bangla!B9="","",Bangla!B9)</f>
        <v/>
      </c>
      <c r="I9" s="74">
        <f>IF(Bangla!C9="","",Bangla!C9)</f>
        <v>62</v>
      </c>
      <c r="J9" s="74">
        <f>IF(Bangla!D9="","",Bangla!D9)</f>
        <v>62</v>
      </c>
      <c r="K9" s="75">
        <f>IF(English!C9="","",English!C9)</f>
        <v>33</v>
      </c>
      <c r="L9" s="37">
        <f>IF(ICT!B9="","",ICT!B9)</f>
        <v>15</v>
      </c>
      <c r="M9" s="37">
        <f>IF(ICT!C9="","",ICT!C9)</f>
        <v>8</v>
      </c>
      <c r="N9" s="37">
        <f>IF(ICT!D9="","",ICT!D9)</f>
        <v>20</v>
      </c>
      <c r="O9" s="37">
        <f>IF(ICT!E9="","",ICT!E9)</f>
        <v>43</v>
      </c>
      <c r="P9" s="44">
        <f>IF(Physics!B9="","",Physics!B9)</f>
        <v>7</v>
      </c>
      <c r="Q9" s="44">
        <f>IF(Physics!C9="","",Physics!C9)</f>
        <v>11</v>
      </c>
      <c r="R9" s="44">
        <f>IF(Physics!D9="","",Physics!D9)</f>
        <v>10</v>
      </c>
      <c r="S9" s="89">
        <f>IF(Physics!E9="","",Physics!E9)</f>
        <v>28</v>
      </c>
      <c r="T9" s="37">
        <f>IF(Chemistry!B9="","",Chemistry!B9)</f>
        <v>16</v>
      </c>
      <c r="U9" s="37">
        <f>IF(Chemistry!C9="","",Chemistry!C9)</f>
        <v>13</v>
      </c>
      <c r="V9" s="37">
        <f>IF(Chemistry!D9="","",Chemistry!D9)</f>
        <v>8</v>
      </c>
      <c r="W9" s="37">
        <f>IF(Chemistry!E9="","",Chemistry!E9)</f>
        <v>37</v>
      </c>
      <c r="X9" s="38">
        <f>IF(SubjectList!G9="Math", IF(Math!B9="","",Math!B9), IF(Biology!B9="","",Biology!B9))</f>
        <v>8</v>
      </c>
      <c r="Y9" s="38">
        <f>IF(SubjectList!G9="Math", IF(Math!C9="","",Math!C9), IF(Biology!C9="","",Biology!C9))</f>
        <v>11</v>
      </c>
      <c r="Z9" s="38">
        <f>IF(SubjectList!G9="Math", IF(Math!D9="","",Math!D9), IF(Biology!D9="","",Biology!D9))</f>
        <v>10</v>
      </c>
      <c r="AA9" s="38">
        <f>IF(SubjectList!G9="Math", IF(Math!E9="","",Math!E9), IF(Biology!E9="","",Biology!E9))</f>
        <v>29</v>
      </c>
      <c r="AB9" s="44">
        <f>IF(SubjectList!I9="Biology", IF(Biology!B9="","",Biology!B9), IF(Math!B9="","",Math!B9))</f>
        <v>16</v>
      </c>
      <c r="AC9" s="44">
        <f>Optional!D9</f>
        <v>0</v>
      </c>
      <c r="AD9" s="44">
        <f>Optional!E9</f>
        <v>9</v>
      </c>
      <c r="AE9" s="44">
        <f>Optional!F9</f>
        <v>25</v>
      </c>
      <c r="AF9" s="39" t="str">
        <f>IF(SubjectList!G9="","", SubjectList!G9)</f>
        <v>Biology</v>
      </c>
      <c r="AG9" s="39" t="str">
        <f>IF(SubjectList!I9="","", SubjectList!I9)</f>
        <v>Math</v>
      </c>
      <c r="AH9" s="40" t="str">
        <f>Bangla!F9</f>
        <v>A-</v>
      </c>
      <c r="AI9" s="91" t="str">
        <f>English!E9</f>
        <v>D</v>
      </c>
      <c r="AJ9" s="40" t="str">
        <f>ICT!G9</f>
        <v>F</v>
      </c>
      <c r="AK9" s="40" t="str">
        <f>Physics!G9</f>
        <v>F</v>
      </c>
      <c r="AL9" s="40" t="str">
        <f>Chemistry!G9</f>
        <v>F</v>
      </c>
      <c r="AM9" s="40" t="str">
        <f>IF(SubjectList!G9="Math", IF(Math!G9="","",Math!G9), IF(Biology!G9="","",Biology!G9))</f>
        <v>F</v>
      </c>
      <c r="AN9" s="40" t="str">
        <f>IF(SubjectList!H9="Math", IF(Math!G9="","",Math!G9), IF(Biology!G9="","",Biology!G9))</f>
        <v>F</v>
      </c>
      <c r="AO9" s="41">
        <f>Bangla!G9</f>
        <v>3.5</v>
      </c>
      <c r="AP9" s="41">
        <f>English!F9</f>
        <v>1</v>
      </c>
      <c r="AQ9" s="41">
        <f>ICT!H9</f>
        <v>0</v>
      </c>
      <c r="AR9" s="41">
        <f>Physics!H9</f>
        <v>0</v>
      </c>
      <c r="AS9" s="41">
        <f>Chemistry!H9</f>
        <v>0</v>
      </c>
      <c r="AT9" s="41">
        <f>IF(SubjectList!G9="Math", IF(Math!H9="","",Math!H9), IF(Biology!H9="","",Biology!H9))</f>
        <v>0</v>
      </c>
      <c r="AU9" s="41">
        <f>IF(SubjectList!I9="Math", IF(Math!H9="","",Math!H9), IF(Biology!H9="","",Biology!H9))</f>
        <v>0</v>
      </c>
      <c r="AV9" s="41">
        <f>Optional!I9</f>
        <v>0</v>
      </c>
      <c r="AW9" s="41">
        <f>Optional!J9</f>
        <v>0</v>
      </c>
      <c r="AX9" s="41">
        <f t="shared" si="0"/>
        <v>4.5</v>
      </c>
      <c r="AY9" s="41">
        <f t="shared" si="15"/>
        <v>4.5</v>
      </c>
      <c r="AZ9" s="41" t="str">
        <f t="shared" si="1"/>
        <v/>
      </c>
      <c r="BA9" s="41" t="str">
        <f t="shared" si="2"/>
        <v/>
      </c>
      <c r="BB9" s="41">
        <f t="shared" si="4"/>
        <v>257</v>
      </c>
      <c r="BC9" s="46">
        <f t="shared" si="16"/>
        <v>1</v>
      </c>
      <c r="BD9" s="46">
        <f t="shared" si="5"/>
        <v>1</v>
      </c>
      <c r="BE9" s="46">
        <f t="shared" si="6"/>
        <v>0</v>
      </c>
      <c r="BF9" s="46">
        <f t="shared" si="7"/>
        <v>0</v>
      </c>
      <c r="BG9" s="46">
        <f t="shared" si="8"/>
        <v>0</v>
      </c>
      <c r="BH9" s="46">
        <f t="shared" si="9"/>
        <v>0</v>
      </c>
      <c r="BI9" s="3">
        <f t="shared" si="17"/>
        <v>2</v>
      </c>
      <c r="BJ9" s="3" t="str">
        <f t="shared" si="11"/>
        <v>Failed in 4 Subjects</v>
      </c>
      <c r="BK9" s="3" t="str">
        <f>IF(BA9="","",RANK(BA9,BA$2:BA88,0))</f>
        <v/>
      </c>
      <c r="BL9" s="3" t="str">
        <f t="shared" si="12"/>
        <v>খুবই দুর্বল</v>
      </c>
      <c r="BM9" s="3" t="str">
        <f t="shared" si="13"/>
        <v>Very Weak</v>
      </c>
      <c r="BN9" s="3" t="str">
        <f t="shared" si="14"/>
        <v/>
      </c>
    </row>
    <row r="10" spans="1:66" x14ac:dyDescent="0.35">
      <c r="A10" s="3" t="str">
        <f>'Student Basic Info'!B10</f>
        <v>Science</v>
      </c>
      <c r="B10" s="3">
        <f>'Student Basic Info'!A10</f>
        <v>709</v>
      </c>
      <c r="C10" s="3" t="str">
        <f>'Student Basic Info'!C10</f>
        <v>Nafisa Anjum Prena</v>
      </c>
      <c r="D10" s="3" t="str">
        <f>'Student Basic Info'!D10</f>
        <v>Nur Uddin</v>
      </c>
      <c r="E10" s="3" t="str">
        <f>'Student Basic Info'!E10</f>
        <v>Bibi Fatema Akter</v>
      </c>
      <c r="F10" s="3" t="str">
        <f>'Student Basic Info'!F10</f>
        <v>Female</v>
      </c>
      <c r="G10" s="73" t="str">
        <f>'Student Basic Info'!I10</f>
        <v>01854-017519</v>
      </c>
      <c r="H10" s="74" t="str">
        <f>IF(Bangla!B10="","",Bangla!B10)</f>
        <v/>
      </c>
      <c r="I10" s="74">
        <f>IF(Bangla!C10="","",Bangla!C10)</f>
        <v>63</v>
      </c>
      <c r="J10" s="74">
        <f>IF(Bangla!D10="","",Bangla!D10)</f>
        <v>63</v>
      </c>
      <c r="K10" s="75">
        <f>IF(English!C10="","",English!C10)</f>
        <v>33</v>
      </c>
      <c r="L10" s="37">
        <f>IF(ICT!B10="","",ICT!B10)</f>
        <v>12</v>
      </c>
      <c r="M10" s="37">
        <f>IF(ICT!C10="","",ICT!C10)</f>
        <v>7</v>
      </c>
      <c r="N10" s="37">
        <f>IF(ICT!D10="","",ICT!D10)</f>
        <v>18</v>
      </c>
      <c r="O10" s="37">
        <f>IF(ICT!E10="","",ICT!E10)</f>
        <v>37</v>
      </c>
      <c r="P10" s="44">
        <f>IF(Physics!B10="","",Physics!B10)</f>
        <v>9</v>
      </c>
      <c r="Q10" s="44">
        <f>IF(Physics!C10="","",Physics!C10)</f>
        <v>18</v>
      </c>
      <c r="R10" s="44">
        <f>IF(Physics!D10="","",Physics!D10)</f>
        <v>13</v>
      </c>
      <c r="S10" s="89">
        <f>IF(Physics!E10="","",Physics!E10)</f>
        <v>40</v>
      </c>
      <c r="T10" s="37">
        <f>IF(Chemistry!B10="","",Chemistry!B10)</f>
        <v>15</v>
      </c>
      <c r="U10" s="37">
        <f>IF(Chemistry!C10="","",Chemistry!C10)</f>
        <v>11</v>
      </c>
      <c r="V10" s="37">
        <f>IF(Chemistry!D10="","",Chemistry!D10)</f>
        <v>8</v>
      </c>
      <c r="W10" s="37">
        <f>IF(Chemistry!E10="","",Chemistry!E10)</f>
        <v>34</v>
      </c>
      <c r="X10" s="38">
        <f>IF(SubjectList!G10="Math", IF(Math!B10="","",Math!B10), IF(Biology!B10="","",Biology!B10))</f>
        <v>8</v>
      </c>
      <c r="Y10" s="38">
        <f>IF(SubjectList!G10="Math", IF(Math!C10="","",Math!C10), IF(Biology!C10="","",Biology!C10))</f>
        <v>10</v>
      </c>
      <c r="Z10" s="38">
        <f>IF(SubjectList!G10="Math", IF(Math!D10="","",Math!D10), IF(Biology!D10="","",Biology!D10))</f>
        <v>10</v>
      </c>
      <c r="AA10" s="38">
        <f>IF(SubjectList!G10="Math", IF(Math!E10="","",Math!E10), IF(Biology!E10="","",Biology!E10))</f>
        <v>28</v>
      </c>
      <c r="AB10" s="44">
        <f>IF(SubjectList!I10="Biology", IF(Biology!B10="","",Biology!B10), IF(Math!B10="","",Math!B10))</f>
        <v>13</v>
      </c>
      <c r="AC10" s="44">
        <f>Optional!D10</f>
        <v>1</v>
      </c>
      <c r="AD10" s="44">
        <f>Optional!E10</f>
        <v>9</v>
      </c>
      <c r="AE10" s="44">
        <f>Optional!F10</f>
        <v>23</v>
      </c>
      <c r="AF10" s="39" t="str">
        <f>IF(SubjectList!G10="","", SubjectList!G10)</f>
        <v>Biology</v>
      </c>
      <c r="AG10" s="39" t="str">
        <f>IF(SubjectList!I10="","", SubjectList!I10)</f>
        <v>Math</v>
      </c>
      <c r="AH10" s="40" t="str">
        <f>Bangla!F10</f>
        <v>A-</v>
      </c>
      <c r="AI10" s="91" t="str">
        <f>English!E10</f>
        <v>D</v>
      </c>
      <c r="AJ10" s="40" t="str">
        <f>ICT!G10</f>
        <v>F</v>
      </c>
      <c r="AK10" s="40" t="str">
        <f>Physics!G10</f>
        <v>C</v>
      </c>
      <c r="AL10" s="40" t="str">
        <f>Chemistry!G10</f>
        <v>F</v>
      </c>
      <c r="AM10" s="40" t="str">
        <f>IF(SubjectList!G10="Math", IF(Math!G10="","",Math!G10), IF(Biology!G10="","",Biology!G10))</f>
        <v>F</v>
      </c>
      <c r="AN10" s="40" t="str">
        <f>IF(SubjectList!H10="Math", IF(Math!G10="","",Math!G10), IF(Biology!G10="","",Biology!G10))</f>
        <v>F</v>
      </c>
      <c r="AO10" s="41">
        <f>Bangla!G10</f>
        <v>3.5</v>
      </c>
      <c r="AP10" s="41">
        <f>English!F10</f>
        <v>1</v>
      </c>
      <c r="AQ10" s="41">
        <f>ICT!H10</f>
        <v>0</v>
      </c>
      <c r="AR10" s="41">
        <f>Physics!H10</f>
        <v>2</v>
      </c>
      <c r="AS10" s="41">
        <f>Chemistry!H10</f>
        <v>0</v>
      </c>
      <c r="AT10" s="41">
        <f>IF(SubjectList!G10="Math", IF(Math!H10="","",Math!H10), IF(Biology!H10="","",Biology!H10))</f>
        <v>0</v>
      </c>
      <c r="AU10" s="41">
        <f>IF(SubjectList!I10="Math", IF(Math!H10="","",Math!H10), IF(Biology!H10="","",Biology!H10))</f>
        <v>0</v>
      </c>
      <c r="AV10" s="41">
        <f>Optional!I10</f>
        <v>0</v>
      </c>
      <c r="AW10" s="41">
        <f>Optional!J10</f>
        <v>0</v>
      </c>
      <c r="AX10" s="41">
        <f t="shared" si="0"/>
        <v>6.5</v>
      </c>
      <c r="AY10" s="41">
        <f t="shared" si="15"/>
        <v>6.5</v>
      </c>
      <c r="AZ10" s="41" t="str">
        <f t="shared" si="1"/>
        <v/>
      </c>
      <c r="BA10" s="41" t="str">
        <f t="shared" si="2"/>
        <v/>
      </c>
      <c r="BB10" s="41">
        <f t="shared" si="4"/>
        <v>258</v>
      </c>
      <c r="BC10" s="46">
        <f t="shared" si="16"/>
        <v>1</v>
      </c>
      <c r="BD10" s="46">
        <f t="shared" si="5"/>
        <v>1</v>
      </c>
      <c r="BE10" s="46">
        <f t="shared" si="6"/>
        <v>0</v>
      </c>
      <c r="BF10" s="46">
        <f t="shared" si="7"/>
        <v>1</v>
      </c>
      <c r="BG10" s="46">
        <f t="shared" si="8"/>
        <v>0</v>
      </c>
      <c r="BH10" s="46">
        <f t="shared" si="9"/>
        <v>0</v>
      </c>
      <c r="BI10" s="3">
        <f t="shared" si="17"/>
        <v>3</v>
      </c>
      <c r="BJ10" s="3" t="str">
        <f t="shared" si="11"/>
        <v>Failed in 3 Subjects</v>
      </c>
      <c r="BK10" s="3" t="str">
        <f>IF(BA10="","",RANK(BA10,BA$2:BA88,0))</f>
        <v/>
      </c>
      <c r="BL10" s="3" t="str">
        <f t="shared" si="12"/>
        <v>খুবই দুর্বল</v>
      </c>
      <c r="BM10" s="3" t="str">
        <f t="shared" si="13"/>
        <v>Very Weak</v>
      </c>
      <c r="BN10" s="3" t="str">
        <f t="shared" si="14"/>
        <v/>
      </c>
    </row>
    <row r="11" spans="1:66" x14ac:dyDescent="0.35">
      <c r="A11" s="3" t="str">
        <f>'Student Basic Info'!B11</f>
        <v>Science</v>
      </c>
      <c r="B11" s="3">
        <f>'Student Basic Info'!A11</f>
        <v>710</v>
      </c>
      <c r="C11" s="3" t="str">
        <f>'Student Basic Info'!C11</f>
        <v>Umme Tabassum Maisha</v>
      </c>
      <c r="D11" s="3" t="str">
        <f>'Student Basic Info'!D11</f>
        <v>Md. Shelim Ullah</v>
      </c>
      <c r="E11" s="3" t="str">
        <f>'Student Basic Info'!E11</f>
        <v>Shahanaj Aktar</v>
      </c>
      <c r="F11" s="3" t="str">
        <f>'Student Basic Info'!F11</f>
        <v>Female</v>
      </c>
      <c r="G11" s="73">
        <f>'Student Basic Info'!I11</f>
        <v>0</v>
      </c>
      <c r="H11" s="74" t="str">
        <f>IF(Bangla!B11="","",Bangla!B11)</f>
        <v/>
      </c>
      <c r="I11" s="74">
        <f>IF(Bangla!C11="","",Bangla!C11)</f>
        <v>56</v>
      </c>
      <c r="J11" s="74">
        <f>IF(Bangla!D11="","",Bangla!D11)</f>
        <v>56</v>
      </c>
      <c r="K11" s="75">
        <f>IF(English!C11="","",English!C11)</f>
        <v>27</v>
      </c>
      <c r="L11" s="37">
        <f>IF(ICT!B11="","",ICT!B11)</f>
        <v>9</v>
      </c>
      <c r="M11" s="37">
        <f>IF(ICT!C11="","",ICT!C11)</f>
        <v>17</v>
      </c>
      <c r="N11" s="37">
        <f>IF(ICT!D11="","",ICT!D11)</f>
        <v>24</v>
      </c>
      <c r="O11" s="37">
        <f>IF(ICT!E11="","",ICT!E11)</f>
        <v>50</v>
      </c>
      <c r="P11" s="44">
        <f>IF(Physics!B11="","",Physics!B11)</f>
        <v>13</v>
      </c>
      <c r="Q11" s="44">
        <f>IF(Physics!C11="","",Physics!C11)</f>
        <v>17</v>
      </c>
      <c r="R11" s="44">
        <f>IF(Physics!D11="","",Physics!D11)</f>
        <v>13</v>
      </c>
      <c r="S11" s="89">
        <f>IF(Physics!E11="","",Physics!E11)</f>
        <v>43</v>
      </c>
      <c r="T11" s="37">
        <f>IF(Chemistry!B11="","",Chemistry!B11)</f>
        <v>8</v>
      </c>
      <c r="U11" s="37">
        <f>IF(Chemistry!C11="","",Chemistry!C11)</f>
        <v>12</v>
      </c>
      <c r="V11" s="37">
        <f>IF(Chemistry!D11="","",Chemistry!D11)</f>
        <v>9</v>
      </c>
      <c r="W11" s="37">
        <f>IF(Chemistry!E11="","",Chemistry!E11)</f>
        <v>29</v>
      </c>
      <c r="X11" s="38">
        <f>IF(SubjectList!G11="Math", IF(Math!B11="","",Math!B11), IF(Biology!B11="","",Biology!B11))</f>
        <v>12</v>
      </c>
      <c r="Y11" s="38">
        <f>IF(SubjectList!G11="Math", IF(Math!C11="","",Math!C11), IF(Biology!C11="","",Biology!C11))</f>
        <v>8</v>
      </c>
      <c r="Z11" s="38">
        <f>IF(SubjectList!G11="Math", IF(Math!D11="","",Math!D11), IF(Biology!D11="","",Biology!D11))</f>
        <v>11</v>
      </c>
      <c r="AA11" s="38">
        <f>IF(SubjectList!G11="Math", IF(Math!E11="","",Math!E11), IF(Biology!E11="","",Biology!E11))</f>
        <v>31</v>
      </c>
      <c r="AB11" s="44">
        <f>IF(SubjectList!I11="Biology", IF(Biology!B11="","",Biology!B11), IF(Math!B11="","",Math!B11))</f>
        <v>6</v>
      </c>
      <c r="AC11" s="44">
        <f>Optional!D11</f>
        <v>8</v>
      </c>
      <c r="AD11" s="44">
        <f>Optional!E11</f>
        <v>10</v>
      </c>
      <c r="AE11" s="44">
        <f>Optional!F11</f>
        <v>24</v>
      </c>
      <c r="AF11" s="39" t="str">
        <f>IF(SubjectList!G11="","", SubjectList!G11)</f>
        <v>Biology</v>
      </c>
      <c r="AG11" s="39" t="str">
        <f>IF(SubjectList!I11="","", SubjectList!I11)</f>
        <v>Math</v>
      </c>
      <c r="AH11" s="40" t="str">
        <f>Bangla!F11</f>
        <v>B</v>
      </c>
      <c r="AI11" s="91" t="str">
        <f>English!E11</f>
        <v>F</v>
      </c>
      <c r="AJ11" s="40" t="str">
        <f>ICT!G11</f>
        <v>B</v>
      </c>
      <c r="AK11" s="40" t="str">
        <f>Physics!G11</f>
        <v>C</v>
      </c>
      <c r="AL11" s="40" t="str">
        <f>Chemistry!G11</f>
        <v>F</v>
      </c>
      <c r="AM11" s="40" t="str">
        <f>IF(SubjectList!G11="Math", IF(Math!G11="","",Math!G11), IF(Biology!G11="","",Biology!G11))</f>
        <v>F</v>
      </c>
      <c r="AN11" s="40" t="str">
        <f>IF(SubjectList!H11="Math", IF(Math!G11="","",Math!G11), IF(Biology!G11="","",Biology!G11))</f>
        <v>F</v>
      </c>
      <c r="AO11" s="41">
        <f>Bangla!G11</f>
        <v>3</v>
      </c>
      <c r="AP11" s="41">
        <f>English!F11</f>
        <v>0</v>
      </c>
      <c r="AQ11" s="41">
        <f>ICT!H11</f>
        <v>3</v>
      </c>
      <c r="AR11" s="41">
        <f>Physics!H11</f>
        <v>2</v>
      </c>
      <c r="AS11" s="41">
        <f>Chemistry!H11</f>
        <v>0</v>
      </c>
      <c r="AT11" s="41">
        <f>IF(SubjectList!G11="Math", IF(Math!H11="","",Math!H11), IF(Biology!H11="","",Biology!H11))</f>
        <v>0</v>
      </c>
      <c r="AU11" s="41">
        <f>IF(SubjectList!I11="Math", IF(Math!H11="","",Math!H11), IF(Biology!H11="","",Biology!H11))</f>
        <v>0</v>
      </c>
      <c r="AV11" s="41">
        <f>Optional!I11</f>
        <v>0</v>
      </c>
      <c r="AW11" s="41">
        <f>Optional!J11</f>
        <v>0</v>
      </c>
      <c r="AX11" s="41">
        <f t="shared" si="0"/>
        <v>8</v>
      </c>
      <c r="AY11" s="41">
        <f t="shared" si="15"/>
        <v>8</v>
      </c>
      <c r="AZ11" s="41" t="str">
        <f t="shared" si="1"/>
        <v/>
      </c>
      <c r="BA11" s="41" t="str">
        <f t="shared" si="2"/>
        <v/>
      </c>
      <c r="BB11" s="41">
        <f>IF(J11="",0,J11)+IF(K11="",0,K11)+IF(O11="",0,O11)+IF(S11="",0,S11)+IF(W11="",0,W11)+IF(AA11="",0,AA11)+IF(AE11="",0,AE11)</f>
        <v>260</v>
      </c>
      <c r="BC11" s="46">
        <f t="shared" si="16"/>
        <v>1</v>
      </c>
      <c r="BD11" s="46">
        <f t="shared" si="5"/>
        <v>0</v>
      </c>
      <c r="BE11" s="46">
        <f t="shared" si="6"/>
        <v>1</v>
      </c>
      <c r="BF11" s="46">
        <f t="shared" si="7"/>
        <v>1</v>
      </c>
      <c r="BG11" s="46">
        <f t="shared" si="8"/>
        <v>0</v>
      </c>
      <c r="BH11" s="46">
        <f t="shared" si="9"/>
        <v>0</v>
      </c>
      <c r="BI11" s="3">
        <f t="shared" si="17"/>
        <v>3</v>
      </c>
      <c r="BJ11" s="3" t="str">
        <f t="shared" si="11"/>
        <v>Failed in 3 Subjects</v>
      </c>
      <c r="BK11" s="3" t="str">
        <f>IF(BA11="","",RANK(BA11,BA$2:BA88,0))</f>
        <v/>
      </c>
      <c r="BL11" s="3" t="str">
        <f t="shared" si="12"/>
        <v>খুবই দুর্বল</v>
      </c>
      <c r="BM11" s="3" t="str">
        <f t="shared" si="13"/>
        <v>Very Weak</v>
      </c>
      <c r="BN11" s="3" t="str">
        <f t="shared" si="14"/>
        <v/>
      </c>
    </row>
    <row r="12" spans="1:66" x14ac:dyDescent="0.35">
      <c r="A12" s="3" t="str">
        <f>'Student Basic Info'!B12</f>
        <v>Science</v>
      </c>
      <c r="B12" s="3">
        <f>'Student Basic Info'!A12</f>
        <v>711</v>
      </c>
      <c r="C12" s="3" t="str">
        <f>'Student Basic Info'!C12</f>
        <v>Rakhi Ahasan</v>
      </c>
      <c r="D12" s="3" t="str">
        <f>'Student Basic Info'!D12</f>
        <v>Asan Ullah</v>
      </c>
      <c r="E12" s="3" t="str">
        <f>'Student Basic Info'!E12</f>
        <v>Amena Begum</v>
      </c>
      <c r="F12" s="3" t="str">
        <f>'Student Basic Info'!F12</f>
        <v>Female</v>
      </c>
      <c r="G12" s="73" t="str">
        <f>'Student Basic Info'!I12</f>
        <v>01815-960966</v>
      </c>
      <c r="H12" s="74" t="str">
        <f>IF(Bangla!B12="","",Bangla!B12)</f>
        <v/>
      </c>
      <c r="I12" s="74" t="str">
        <f>IF(Bangla!C12="","",Bangla!C12)</f>
        <v/>
      </c>
      <c r="J12" s="74" t="str">
        <f>IF(Bangla!D12="","",Bangla!D12)</f>
        <v/>
      </c>
      <c r="K12" s="75" t="str">
        <f>IF(English!C12="","",English!C12)</f>
        <v/>
      </c>
      <c r="L12" s="37" t="str">
        <f>IF(ICT!B12="","",ICT!B12)</f>
        <v/>
      </c>
      <c r="M12" s="37" t="str">
        <f>IF(ICT!C12="","",ICT!C12)</f>
        <v/>
      </c>
      <c r="N12" s="37" t="str">
        <f>IF(ICT!D12="","",ICT!D12)</f>
        <v/>
      </c>
      <c r="O12" s="37" t="str">
        <f>IF(ICT!E12="","",ICT!E12)</f>
        <v/>
      </c>
      <c r="P12" s="44" t="str">
        <f>IF(Physics!B12="","",Physics!B12)</f>
        <v/>
      </c>
      <c r="Q12" s="44" t="str">
        <f>IF(Physics!C12="","",Physics!C12)</f>
        <v/>
      </c>
      <c r="R12" s="44" t="str">
        <f>IF(Physics!D12="","",Physics!D12)</f>
        <v/>
      </c>
      <c r="S12" s="89" t="str">
        <f>IF(Physics!E12="","",Physics!E12)</f>
        <v/>
      </c>
      <c r="T12" s="37" t="str">
        <f>IF(Chemistry!B12="","",Chemistry!B12)</f>
        <v/>
      </c>
      <c r="U12" s="37" t="str">
        <f>IF(Chemistry!C12="","",Chemistry!C12)</f>
        <v/>
      </c>
      <c r="V12" s="37" t="str">
        <f>IF(Chemistry!D12="","",Chemistry!D12)</f>
        <v/>
      </c>
      <c r="W12" s="37" t="str">
        <f>IF(Chemistry!E12="","",Chemistry!E12)</f>
        <v/>
      </c>
      <c r="X12" s="38" t="str">
        <f>IF(SubjectList!G12="Math", IF(Math!B12="","",Math!B12), IF(Biology!B12="","",Biology!B12))</f>
        <v/>
      </c>
      <c r="Y12" s="38" t="str">
        <f>IF(SubjectList!G12="Math", IF(Math!C12="","",Math!C12), IF(Biology!C12="","",Biology!C12))</f>
        <v/>
      </c>
      <c r="Z12" s="38" t="str">
        <f>IF(SubjectList!G12="Math", IF(Math!D12="","",Math!D12), IF(Biology!D12="","",Biology!D12))</f>
        <v/>
      </c>
      <c r="AA12" s="38" t="str">
        <f>IF(SubjectList!G12="Math", IF(Math!E12="","",Math!E12), IF(Biology!E12="","",Biology!E12))</f>
        <v/>
      </c>
      <c r="AB12" s="44" t="str">
        <f>IF(SubjectList!I12="Biology", IF(Biology!B12="","",Biology!B12), IF(Math!B12="","",Math!B12))</f>
        <v/>
      </c>
      <c r="AC12" s="44" t="str">
        <f>Optional!D12</f>
        <v/>
      </c>
      <c r="AD12" s="44" t="str">
        <f>Optional!E12</f>
        <v/>
      </c>
      <c r="AE12" s="44" t="str">
        <f>Optional!F12</f>
        <v/>
      </c>
      <c r="AF12" s="39" t="str">
        <f>IF(SubjectList!G12="","", SubjectList!G12)</f>
        <v>Biology</v>
      </c>
      <c r="AG12" s="39" t="str">
        <f>IF(SubjectList!I12="","", SubjectList!I12)</f>
        <v>Math</v>
      </c>
      <c r="AH12" s="40" t="str">
        <f>Bangla!F12</f>
        <v/>
      </c>
      <c r="AI12" s="91" t="str">
        <f>English!E12</f>
        <v/>
      </c>
      <c r="AJ12" s="40" t="str">
        <f>ICT!G12</f>
        <v/>
      </c>
      <c r="AK12" s="40" t="str">
        <f>Physics!G12</f>
        <v/>
      </c>
      <c r="AL12" s="40" t="str">
        <f>Chemistry!G12</f>
        <v/>
      </c>
      <c r="AM12" s="40" t="str">
        <f>IF(SubjectList!G12="Math", IF(Math!G12="","",Math!G12), IF(Biology!G12="","",Biology!G12))</f>
        <v/>
      </c>
      <c r="AN12" s="40" t="str">
        <f>IF(SubjectList!H12="Math", IF(Math!G12="","",Math!G12), IF(Biology!G12="","",Biology!G12))</f>
        <v/>
      </c>
      <c r="AO12" s="41" t="str">
        <f>Bangla!G12</f>
        <v/>
      </c>
      <c r="AP12" s="41" t="str">
        <f>English!F12</f>
        <v/>
      </c>
      <c r="AQ12" s="41" t="str">
        <f>ICT!H12</f>
        <v/>
      </c>
      <c r="AR12" s="41" t="str">
        <f>Physics!H12</f>
        <v/>
      </c>
      <c r="AS12" s="41" t="str">
        <f>Chemistry!H12</f>
        <v/>
      </c>
      <c r="AT12" s="41" t="str">
        <f>IF(SubjectList!G12="Math", IF(Math!H12="","",Math!H12), IF(Biology!H12="","",Biology!H12))</f>
        <v/>
      </c>
      <c r="AU12" s="41" t="str">
        <f>IF(SubjectList!I12="Math", IF(Math!H12="","",Math!H12), IF(Biology!H12="","",Biology!H12))</f>
        <v/>
      </c>
      <c r="AV12" s="41" t="str">
        <f>Optional!I12</f>
        <v/>
      </c>
      <c r="AW12" s="41" t="str">
        <f>Optional!J12</f>
        <v/>
      </c>
      <c r="AX12" s="41" t="str">
        <f t="shared" si="0"/>
        <v/>
      </c>
      <c r="AY12" s="41" t="str">
        <f t="shared" si="15"/>
        <v/>
      </c>
      <c r="AZ12" s="41" t="str">
        <f t="shared" si="1"/>
        <v/>
      </c>
      <c r="BA12" s="41" t="str">
        <f t="shared" si="2"/>
        <v/>
      </c>
      <c r="BB12" s="41">
        <f t="shared" ref="BB12:BB75" si="18">IF(J12="",0,J12)+IF(K12="",0,K12)+IF(O12="",0,O12)+IF(S12="",0,S12)+IF(W12="",0,W12)+IF(AA12="",0,AA12)+IF(AE12="",0,AE12)</f>
        <v>0</v>
      </c>
      <c r="BC12" s="46" t="str">
        <f t="shared" si="16"/>
        <v/>
      </c>
      <c r="BD12" s="46" t="str">
        <f t="shared" si="5"/>
        <v/>
      </c>
      <c r="BE12" s="46" t="str">
        <f t="shared" si="6"/>
        <v/>
      </c>
      <c r="BF12" s="46" t="str">
        <f t="shared" si="7"/>
        <v/>
      </c>
      <c r="BG12" s="46" t="str">
        <f t="shared" si="8"/>
        <v/>
      </c>
      <c r="BH12" s="46" t="str">
        <f t="shared" si="9"/>
        <v/>
      </c>
      <c r="BI12" s="3">
        <f t="shared" si="17"/>
        <v>0</v>
      </c>
      <c r="BJ12" s="3" t="str">
        <f t="shared" si="11"/>
        <v>Failed in 6 Subjects</v>
      </c>
      <c r="BK12" s="3" t="str">
        <f>IF(BA12="","",RANK(BA12,BA$2:BA88,0))</f>
        <v/>
      </c>
      <c r="BL12" s="3" t="str">
        <f t="shared" si="12"/>
        <v>খুবই দুর্বল</v>
      </c>
      <c r="BM12" s="3" t="str">
        <f t="shared" si="13"/>
        <v>Very Weak</v>
      </c>
      <c r="BN12" s="3" t="str">
        <f t="shared" si="14"/>
        <v/>
      </c>
    </row>
    <row r="13" spans="1:66" x14ac:dyDescent="0.35">
      <c r="A13" s="3" t="str">
        <f>'Student Basic Info'!B13</f>
        <v>Science</v>
      </c>
      <c r="B13" s="3">
        <f>'Student Basic Info'!A13</f>
        <v>712</v>
      </c>
      <c r="C13" s="3" t="str">
        <f>'Student Basic Info'!C13</f>
        <v>Nadiyatul Nayem</v>
      </c>
      <c r="D13" s="3" t="str">
        <f>'Student Basic Info'!D13</f>
        <v>Kamal Uddin</v>
      </c>
      <c r="E13" s="3" t="str">
        <f>'Student Basic Info'!E13</f>
        <v>Kohinur Aktar</v>
      </c>
      <c r="F13" s="3" t="str">
        <f>'Student Basic Info'!F13</f>
        <v>Female</v>
      </c>
      <c r="G13" s="73" t="str">
        <f>'Student Basic Info'!I13</f>
        <v>01318-816818</v>
      </c>
      <c r="H13" s="74" t="str">
        <f>IF(Bangla!B13="","",Bangla!B13)</f>
        <v/>
      </c>
      <c r="I13" s="74">
        <f>IF(Bangla!C13="","",Bangla!C13)</f>
        <v>50</v>
      </c>
      <c r="J13" s="74">
        <f>IF(Bangla!D13="","",Bangla!D13)</f>
        <v>50</v>
      </c>
      <c r="K13" s="75">
        <f>IF(English!C13="","",English!C13)</f>
        <v>33</v>
      </c>
      <c r="L13" s="37">
        <f>IF(ICT!B13="","",ICT!B13)</f>
        <v>10</v>
      </c>
      <c r="M13" s="37">
        <f>IF(ICT!C13="","",ICT!C13)</f>
        <v>17</v>
      </c>
      <c r="N13" s="37">
        <f>IF(ICT!D13="","",ICT!D13)</f>
        <v>20</v>
      </c>
      <c r="O13" s="37">
        <f>IF(ICT!E13="","",ICT!E13)</f>
        <v>47</v>
      </c>
      <c r="P13" s="44">
        <f>IF(Physics!B13="","",Physics!B13)</f>
        <v>9</v>
      </c>
      <c r="Q13" s="44">
        <f>IF(Physics!C13="","",Physics!C13)</f>
        <v>27</v>
      </c>
      <c r="R13" s="44">
        <f>IF(Physics!D13="","",Physics!D13)</f>
        <v>16</v>
      </c>
      <c r="S13" s="89">
        <f>IF(Physics!E13="","",Physics!E13)</f>
        <v>52</v>
      </c>
      <c r="T13" s="37">
        <f>IF(Chemistry!B13="","",Chemistry!B13)</f>
        <v>16</v>
      </c>
      <c r="U13" s="37">
        <f>IF(Chemistry!C13="","",Chemistry!C13)</f>
        <v>18</v>
      </c>
      <c r="V13" s="37">
        <f>IF(Chemistry!D13="","",Chemistry!D13)</f>
        <v>15</v>
      </c>
      <c r="W13" s="37">
        <f>IF(Chemistry!E13="","",Chemistry!E13)</f>
        <v>49</v>
      </c>
      <c r="X13" s="38">
        <f>IF(SubjectList!G13="Math", IF(Math!B13="","",Math!B13), IF(Biology!B13="","",Biology!B13))</f>
        <v>6</v>
      </c>
      <c r="Y13" s="38">
        <f>IF(SubjectList!G13="Math", IF(Math!C13="","",Math!C13), IF(Biology!C13="","",Biology!C13))</f>
        <v>12</v>
      </c>
      <c r="Z13" s="38">
        <f>IF(SubjectList!G13="Math", IF(Math!D13="","",Math!D13), IF(Biology!D13="","",Biology!D13))</f>
        <v>12</v>
      </c>
      <c r="AA13" s="38">
        <f>IF(SubjectList!G13="Math", IF(Math!E13="","",Math!E13), IF(Biology!E13="","",Biology!E13))</f>
        <v>30</v>
      </c>
      <c r="AB13" s="44">
        <f>IF(SubjectList!I13="Biology", IF(Biology!B13="","",Biology!B13), IF(Math!B13="","",Math!B13))</f>
        <v>11</v>
      </c>
      <c r="AC13" s="44">
        <f>Optional!D13</f>
        <v>8</v>
      </c>
      <c r="AD13" s="44">
        <f>Optional!E13</f>
        <v>10</v>
      </c>
      <c r="AE13" s="44">
        <f>Optional!F13</f>
        <v>29</v>
      </c>
      <c r="AF13" s="39" t="str">
        <f>IF(SubjectList!G13="","", SubjectList!G13)</f>
        <v>Biology</v>
      </c>
      <c r="AG13" s="39" t="str">
        <f>IF(SubjectList!I13="","", SubjectList!I13)</f>
        <v>Math</v>
      </c>
      <c r="AH13" s="40" t="str">
        <f>Bangla!F13</f>
        <v>B</v>
      </c>
      <c r="AI13" s="91" t="str">
        <f>English!E13</f>
        <v>D</v>
      </c>
      <c r="AJ13" s="40" t="str">
        <f>ICT!G13</f>
        <v>C</v>
      </c>
      <c r="AK13" s="40" t="str">
        <f>Physics!G13</f>
        <v>B</v>
      </c>
      <c r="AL13" s="40" t="str">
        <f>Chemistry!G13</f>
        <v>C</v>
      </c>
      <c r="AM13" s="40" t="str">
        <f>IF(SubjectList!G13="Math", IF(Math!G13="","",Math!G13), IF(Biology!G13="","",Biology!G13))</f>
        <v>F</v>
      </c>
      <c r="AN13" s="40" t="str">
        <f>IF(SubjectList!H13="Math", IF(Math!G13="","",Math!G13), IF(Biology!G13="","",Biology!G13))</f>
        <v>F</v>
      </c>
      <c r="AO13" s="41">
        <f>Bangla!G13</f>
        <v>3</v>
      </c>
      <c r="AP13" s="41">
        <f>English!F13</f>
        <v>1</v>
      </c>
      <c r="AQ13" s="41">
        <f>ICT!H13</f>
        <v>2</v>
      </c>
      <c r="AR13" s="41">
        <f>Physics!H13</f>
        <v>3</v>
      </c>
      <c r="AS13" s="41">
        <f>Chemistry!H13</f>
        <v>2</v>
      </c>
      <c r="AT13" s="41">
        <f>IF(SubjectList!G13="Math", IF(Math!H13="","",Math!H13), IF(Biology!H13="","",Biology!H13))</f>
        <v>0</v>
      </c>
      <c r="AU13" s="41">
        <f>IF(SubjectList!I13="Math", IF(Math!H13="","",Math!H13), IF(Biology!H13="","",Biology!H13))</f>
        <v>0</v>
      </c>
      <c r="AV13" s="41">
        <f>Optional!I13</f>
        <v>0</v>
      </c>
      <c r="AW13" s="41">
        <f>Optional!J13</f>
        <v>0</v>
      </c>
      <c r="AX13" s="41">
        <f t="shared" si="0"/>
        <v>11</v>
      </c>
      <c r="AY13" s="41">
        <f t="shared" si="15"/>
        <v>11</v>
      </c>
      <c r="AZ13" s="41" t="str">
        <f t="shared" si="1"/>
        <v/>
      </c>
      <c r="BA13" s="41" t="str">
        <f t="shared" si="2"/>
        <v/>
      </c>
      <c r="BB13" s="41">
        <f t="shared" si="18"/>
        <v>290</v>
      </c>
      <c r="BC13" s="46">
        <f t="shared" si="16"/>
        <v>1</v>
      </c>
      <c r="BD13" s="46">
        <f t="shared" si="5"/>
        <v>1</v>
      </c>
      <c r="BE13" s="46">
        <f t="shared" si="6"/>
        <v>1</v>
      </c>
      <c r="BF13" s="46">
        <f t="shared" si="7"/>
        <v>1</v>
      </c>
      <c r="BG13" s="46">
        <f t="shared" si="8"/>
        <v>1</v>
      </c>
      <c r="BH13" s="46">
        <f t="shared" si="9"/>
        <v>0</v>
      </c>
      <c r="BI13" s="3">
        <f t="shared" si="17"/>
        <v>5</v>
      </c>
      <c r="BJ13" s="3" t="str">
        <f t="shared" si="11"/>
        <v>Failed in 1 Subject</v>
      </c>
      <c r="BK13" s="3" t="str">
        <f>IF(BA13="","",RANK(BA13,BA$2:BA88,0))</f>
        <v/>
      </c>
      <c r="BL13" s="3" t="str">
        <f t="shared" si="12"/>
        <v>খুবই দুর্বল</v>
      </c>
      <c r="BM13" s="3" t="str">
        <f t="shared" si="13"/>
        <v>Very Weak</v>
      </c>
      <c r="BN13" s="3" t="str">
        <f t="shared" si="14"/>
        <v/>
      </c>
    </row>
    <row r="14" spans="1:66" x14ac:dyDescent="0.35">
      <c r="A14" s="3" t="str">
        <f>'Student Basic Info'!B14</f>
        <v>Science</v>
      </c>
      <c r="B14" s="3">
        <f>'Student Basic Info'!A14</f>
        <v>713</v>
      </c>
      <c r="C14" s="3" t="str">
        <f>'Student Basic Info'!C14</f>
        <v>Zannatul Ferdaus Fariha</v>
      </c>
      <c r="D14" s="3" t="str">
        <f>'Student Basic Info'!D14</f>
        <v>Muhammad Sofi Ullah</v>
      </c>
      <c r="E14" s="3" t="str">
        <f>'Student Basic Info'!E14</f>
        <v>Zoynob Aktar</v>
      </c>
      <c r="F14" s="3" t="str">
        <f>'Student Basic Info'!F14</f>
        <v>Female</v>
      </c>
      <c r="G14" s="73" t="str">
        <f>'Student Basic Info'!I14</f>
        <v>01817-412851</v>
      </c>
      <c r="H14" s="74" t="str">
        <f>IF(Bangla!B14="","",Bangla!B14)</f>
        <v/>
      </c>
      <c r="I14" s="74">
        <f>IF(Bangla!C14="","",Bangla!C14)</f>
        <v>57</v>
      </c>
      <c r="J14" s="74">
        <f>IF(Bangla!D14="","",Bangla!D14)</f>
        <v>57</v>
      </c>
      <c r="K14" s="75">
        <f>IF(English!C14="","",English!C14)</f>
        <v>44</v>
      </c>
      <c r="L14" s="37">
        <f>IF(ICT!B14="","",ICT!B14)</f>
        <v>16</v>
      </c>
      <c r="M14" s="37">
        <f>IF(ICT!C14="","",ICT!C14)</f>
        <v>21</v>
      </c>
      <c r="N14" s="37">
        <f>IF(ICT!D14="","",ICT!D14)</f>
        <v>25</v>
      </c>
      <c r="O14" s="37">
        <f>IF(ICT!E14="","",ICT!E14)</f>
        <v>62</v>
      </c>
      <c r="P14" s="44">
        <f>IF(Physics!B14="","",Physics!B14)</f>
        <v>11</v>
      </c>
      <c r="Q14" s="44">
        <f>IF(Physics!C14="","",Physics!C14)</f>
        <v>32</v>
      </c>
      <c r="R14" s="44">
        <f>IF(Physics!D14="","",Physics!D14)</f>
        <v>18</v>
      </c>
      <c r="S14" s="89">
        <f>IF(Physics!E14="","",Physics!E14)</f>
        <v>61</v>
      </c>
      <c r="T14" s="37">
        <f>IF(Chemistry!B14="","",Chemistry!B14)</f>
        <v>16</v>
      </c>
      <c r="U14" s="37">
        <f>IF(Chemistry!C14="","",Chemistry!C14)</f>
        <v>24</v>
      </c>
      <c r="V14" s="37">
        <f>IF(Chemistry!D14="","",Chemistry!D14)</f>
        <v>20</v>
      </c>
      <c r="W14" s="37">
        <f>IF(Chemistry!E14="","",Chemistry!E14)</f>
        <v>60</v>
      </c>
      <c r="X14" s="38">
        <f>IF(SubjectList!G14="Math", IF(Math!B14="","",Math!B14), IF(Biology!B14="","",Biology!B14))</f>
        <v>8</v>
      </c>
      <c r="Y14" s="38">
        <f>IF(SubjectList!G14="Math", IF(Math!C14="","",Math!C14), IF(Biology!C14="","",Biology!C14))</f>
        <v>17</v>
      </c>
      <c r="Z14" s="38">
        <f>IF(SubjectList!G14="Math", IF(Math!D14="","",Math!D14), IF(Biology!D14="","",Biology!D14))</f>
        <v>15</v>
      </c>
      <c r="AA14" s="38">
        <f>IF(SubjectList!G14="Math", IF(Math!E14="","",Math!E14), IF(Biology!E14="","",Biology!E14))</f>
        <v>40</v>
      </c>
      <c r="AB14" s="44">
        <f>IF(SubjectList!I14="Biology", IF(Biology!B14="","",Biology!B14), IF(Math!B14="","",Math!B14))</f>
        <v>13</v>
      </c>
      <c r="AC14" s="44">
        <f>Optional!D14</f>
        <v>3</v>
      </c>
      <c r="AD14" s="44">
        <f>Optional!E14</f>
        <v>10</v>
      </c>
      <c r="AE14" s="44">
        <f>Optional!F14</f>
        <v>26</v>
      </c>
      <c r="AF14" s="39" t="str">
        <f>IF(SubjectList!G14="","", SubjectList!G14)</f>
        <v>Biology</v>
      </c>
      <c r="AG14" s="39" t="str">
        <f>IF(SubjectList!I14="","", SubjectList!I14)</f>
        <v>Math</v>
      </c>
      <c r="AH14" s="40" t="str">
        <f>Bangla!F14</f>
        <v>B</v>
      </c>
      <c r="AI14" s="91" t="str">
        <f>English!E14</f>
        <v>C</v>
      </c>
      <c r="AJ14" s="40" t="str">
        <f>ICT!G14</f>
        <v>A-</v>
      </c>
      <c r="AK14" s="40" t="str">
        <f>Physics!G14</f>
        <v>A-</v>
      </c>
      <c r="AL14" s="40" t="str">
        <f>Chemistry!G14</f>
        <v>A-</v>
      </c>
      <c r="AM14" s="40" t="str">
        <f>IF(SubjectList!G14="Math", IF(Math!G14="","",Math!G14), IF(Biology!G14="","",Biology!G14))</f>
        <v>C</v>
      </c>
      <c r="AN14" s="40" t="str">
        <f>IF(SubjectList!H14="Math", IF(Math!G14="","",Math!G14), IF(Biology!G14="","",Biology!G14))</f>
        <v>F</v>
      </c>
      <c r="AO14" s="41">
        <f>Bangla!G14</f>
        <v>3</v>
      </c>
      <c r="AP14" s="41">
        <f>English!F14</f>
        <v>2</v>
      </c>
      <c r="AQ14" s="41">
        <f>ICT!H14</f>
        <v>3.5</v>
      </c>
      <c r="AR14" s="41">
        <f>Physics!H14</f>
        <v>3.5</v>
      </c>
      <c r="AS14" s="41">
        <f>Chemistry!H14</f>
        <v>3.5</v>
      </c>
      <c r="AT14" s="41">
        <f>IF(SubjectList!G14="Math", IF(Math!H14="","",Math!H14), IF(Biology!H14="","",Biology!H14))</f>
        <v>2</v>
      </c>
      <c r="AU14" s="41">
        <f>IF(SubjectList!I14="Math", IF(Math!H14="","",Math!H14), IF(Biology!H14="","",Biology!H14))</f>
        <v>0</v>
      </c>
      <c r="AV14" s="41">
        <f>Optional!I14</f>
        <v>0</v>
      </c>
      <c r="AW14" s="41">
        <f>Optional!J14</f>
        <v>0</v>
      </c>
      <c r="AX14" s="41">
        <f t="shared" si="0"/>
        <v>17.5</v>
      </c>
      <c r="AY14" s="41">
        <f t="shared" si="15"/>
        <v>17.5</v>
      </c>
      <c r="AZ14" s="41">
        <f t="shared" si="1"/>
        <v>2.9166666666666665</v>
      </c>
      <c r="BA14" s="41">
        <f t="shared" si="2"/>
        <v>2.9166666666666665</v>
      </c>
      <c r="BB14" s="41">
        <f t="shared" si="18"/>
        <v>350</v>
      </c>
      <c r="BC14" s="46">
        <f t="shared" si="16"/>
        <v>1</v>
      </c>
      <c r="BD14" s="46">
        <f t="shared" si="5"/>
        <v>1</v>
      </c>
      <c r="BE14" s="46">
        <f t="shared" si="6"/>
        <v>1</v>
      </c>
      <c r="BF14" s="46">
        <f t="shared" si="7"/>
        <v>1</v>
      </c>
      <c r="BG14" s="46">
        <f t="shared" si="8"/>
        <v>1</v>
      </c>
      <c r="BH14" s="46">
        <f t="shared" si="9"/>
        <v>1</v>
      </c>
      <c r="BI14" s="3">
        <f t="shared" si="17"/>
        <v>6</v>
      </c>
      <c r="BJ14" s="3" t="str">
        <f t="shared" si="11"/>
        <v>Pass</v>
      </c>
      <c r="BK14" s="3">
        <f>IF(BA14="","",RANK(BA14,BA$2:BA88,0))</f>
        <v>8</v>
      </c>
      <c r="BL14" s="3" t="str">
        <f t="shared" si="12"/>
        <v>যত্ন প্রয়োজন</v>
      </c>
      <c r="BM14" s="3" t="str">
        <f t="shared" si="13"/>
        <v>Need to improve</v>
      </c>
      <c r="BN14" s="3" t="str">
        <f t="shared" si="14"/>
        <v>C</v>
      </c>
    </row>
    <row r="15" spans="1:66" x14ac:dyDescent="0.35">
      <c r="A15" s="3" t="str">
        <f>'Student Basic Info'!B15</f>
        <v>Science</v>
      </c>
      <c r="B15" s="3">
        <f>'Student Basic Info'!A15</f>
        <v>714</v>
      </c>
      <c r="C15" s="3" t="str">
        <f>'Student Basic Info'!C15</f>
        <v>Khadijatul Kubra</v>
      </c>
      <c r="D15" s="3" t="str">
        <f>'Student Basic Info'!D15</f>
        <v>Golam Sorwar</v>
      </c>
      <c r="E15" s="3" t="str">
        <f>'Student Basic Info'!E15</f>
        <v>Bibi Kulsum</v>
      </c>
      <c r="F15" s="3" t="str">
        <f>'Student Basic Info'!F15</f>
        <v>Female</v>
      </c>
      <c r="G15" s="73" t="str">
        <f>'Student Basic Info'!I15</f>
        <v>01815-536524</v>
      </c>
      <c r="H15" s="74" t="str">
        <f>IF(Bangla!B15="","",Bangla!B15)</f>
        <v/>
      </c>
      <c r="I15" s="74">
        <f>IF(Bangla!C15="","",Bangla!C15)</f>
        <v>64</v>
      </c>
      <c r="J15" s="74">
        <f>IF(Bangla!D15="","",Bangla!D15)</f>
        <v>64</v>
      </c>
      <c r="K15" s="75">
        <f>IF(English!C15="","",English!C15)</f>
        <v>47</v>
      </c>
      <c r="L15" s="37">
        <f>IF(ICT!B15="","",ICT!B15)</f>
        <v>19</v>
      </c>
      <c r="M15" s="37">
        <f>IF(ICT!C15="","",ICT!C15)</f>
        <v>31</v>
      </c>
      <c r="N15" s="37">
        <f>IF(ICT!D15="","",ICT!D15)</f>
        <v>22</v>
      </c>
      <c r="O15" s="37">
        <f>IF(ICT!E15="","",ICT!E15)</f>
        <v>72</v>
      </c>
      <c r="P15" s="44">
        <f>IF(Physics!B15="","",Physics!B15)</f>
        <v>10</v>
      </c>
      <c r="Q15" s="44">
        <f>IF(Physics!C15="","",Physics!C15)</f>
        <v>23</v>
      </c>
      <c r="R15" s="44">
        <f>IF(Physics!D15="","",Physics!D15)</f>
        <v>17</v>
      </c>
      <c r="S15" s="89">
        <f>IF(Physics!E15="","",Physics!E15)</f>
        <v>50</v>
      </c>
      <c r="T15" s="37">
        <f>IF(Chemistry!B15="","",Chemistry!B15)</f>
        <v>16</v>
      </c>
      <c r="U15" s="37">
        <f>IF(Chemistry!C15="","",Chemistry!C15)</f>
        <v>34</v>
      </c>
      <c r="V15" s="37">
        <f>IF(Chemistry!D15="","",Chemistry!D15)</f>
        <v>20</v>
      </c>
      <c r="W15" s="37">
        <f>IF(Chemistry!E15="","",Chemistry!E15)</f>
        <v>70</v>
      </c>
      <c r="X15" s="38">
        <f>IF(SubjectList!G15="Math", IF(Math!B15="","",Math!B15), IF(Biology!B15="","",Biology!B15))</f>
        <v>8</v>
      </c>
      <c r="Y15" s="38">
        <f>IF(SubjectList!G15="Math", IF(Math!C15="","",Math!C15), IF(Biology!C15="","",Biology!C15))</f>
        <v>23</v>
      </c>
      <c r="Z15" s="38">
        <f>IF(SubjectList!G15="Math", IF(Math!D15="","",Math!D15), IF(Biology!D15="","",Biology!D15))</f>
        <v>19</v>
      </c>
      <c r="AA15" s="38">
        <f>IF(SubjectList!G15="Math", IF(Math!E15="","",Math!E15), IF(Biology!E15="","",Biology!E15))</f>
        <v>50</v>
      </c>
      <c r="AB15" s="44">
        <f>IF(SubjectList!I15="Biology", IF(Biology!B15="","",Biology!B15), IF(Math!B15="","",Math!B15))</f>
        <v>13</v>
      </c>
      <c r="AC15" s="44">
        <f>Optional!D15</f>
        <v>6</v>
      </c>
      <c r="AD15" s="44">
        <f>Optional!E15</f>
        <v>10</v>
      </c>
      <c r="AE15" s="44">
        <f>Optional!F15</f>
        <v>29</v>
      </c>
      <c r="AF15" s="39" t="str">
        <f>IF(SubjectList!G15="","", SubjectList!G15)</f>
        <v>Biology</v>
      </c>
      <c r="AG15" s="39" t="str">
        <f>IF(SubjectList!I15="","", SubjectList!I15)</f>
        <v>Math</v>
      </c>
      <c r="AH15" s="40" t="str">
        <f>Bangla!F15</f>
        <v>A-</v>
      </c>
      <c r="AI15" s="91" t="str">
        <f>English!E15</f>
        <v>C</v>
      </c>
      <c r="AJ15" s="40" t="str">
        <f>ICT!G15</f>
        <v>A</v>
      </c>
      <c r="AK15" s="40" t="str">
        <f>Physics!G15</f>
        <v>B</v>
      </c>
      <c r="AL15" s="40" t="str">
        <f>Chemistry!G15</f>
        <v>A</v>
      </c>
      <c r="AM15" s="40" t="str">
        <f>IF(SubjectList!G15="Math", IF(Math!G15="","",Math!G15), IF(Biology!G15="","",Biology!G15))</f>
        <v>B</v>
      </c>
      <c r="AN15" s="40" t="str">
        <f>IF(SubjectList!H15="Math", IF(Math!G15="","",Math!G15), IF(Biology!G15="","",Biology!G15))</f>
        <v>F</v>
      </c>
      <c r="AO15" s="41">
        <f>Bangla!G15</f>
        <v>3.5</v>
      </c>
      <c r="AP15" s="41">
        <f>English!F15</f>
        <v>2</v>
      </c>
      <c r="AQ15" s="41">
        <f>ICT!H15</f>
        <v>4</v>
      </c>
      <c r="AR15" s="41">
        <f>Physics!H15</f>
        <v>3</v>
      </c>
      <c r="AS15" s="41">
        <f>Chemistry!H15</f>
        <v>4</v>
      </c>
      <c r="AT15" s="41">
        <f>IF(SubjectList!G15="Math", IF(Math!H15="","",Math!H15), IF(Biology!H15="","",Biology!H15))</f>
        <v>3</v>
      </c>
      <c r="AU15" s="41">
        <f>IF(SubjectList!I15="Math", IF(Math!H15="","",Math!H15), IF(Biology!H15="","",Biology!H15))</f>
        <v>0</v>
      </c>
      <c r="AV15" s="41">
        <f>Optional!I15</f>
        <v>0</v>
      </c>
      <c r="AW15" s="41">
        <f>Optional!J15</f>
        <v>0</v>
      </c>
      <c r="AX15" s="41">
        <f t="shared" si="0"/>
        <v>19.5</v>
      </c>
      <c r="AY15" s="41">
        <f t="shared" si="15"/>
        <v>19.5</v>
      </c>
      <c r="AZ15" s="41">
        <f t="shared" si="1"/>
        <v>3.25</v>
      </c>
      <c r="BA15" s="41">
        <f t="shared" si="2"/>
        <v>3.25</v>
      </c>
      <c r="BB15" s="41">
        <f t="shared" si="18"/>
        <v>382</v>
      </c>
      <c r="BC15" s="46">
        <f t="shared" si="16"/>
        <v>1</v>
      </c>
      <c r="BD15" s="46">
        <f t="shared" si="5"/>
        <v>1</v>
      </c>
      <c r="BE15" s="46">
        <f t="shared" si="6"/>
        <v>1</v>
      </c>
      <c r="BF15" s="46">
        <f t="shared" si="7"/>
        <v>1</v>
      </c>
      <c r="BG15" s="46">
        <f t="shared" si="8"/>
        <v>1</v>
      </c>
      <c r="BH15" s="46">
        <f t="shared" si="9"/>
        <v>1</v>
      </c>
      <c r="BI15" s="3">
        <f t="shared" si="17"/>
        <v>6</v>
      </c>
      <c r="BJ15" s="3" t="str">
        <f t="shared" si="11"/>
        <v>Pass</v>
      </c>
      <c r="BK15" s="3">
        <f>IF(BA15="","",RANK(BA15,BA$2:BA88,0))</f>
        <v>6</v>
      </c>
      <c r="BL15" s="3" t="str">
        <f t="shared" si="12"/>
        <v>মধ্যম মানের</v>
      </c>
      <c r="BM15" s="3" t="str">
        <f t="shared" si="13"/>
        <v>Average</v>
      </c>
      <c r="BN15" s="3" t="str">
        <f t="shared" si="14"/>
        <v>B</v>
      </c>
    </row>
    <row r="16" spans="1:66" x14ac:dyDescent="0.35">
      <c r="A16" s="3" t="str">
        <f>'Student Basic Info'!B16</f>
        <v>Science</v>
      </c>
      <c r="B16" s="3">
        <f>'Student Basic Info'!A16</f>
        <v>715</v>
      </c>
      <c r="C16" s="3" t="str">
        <f>'Student Basic Info'!C16</f>
        <v>Tanjila Islam</v>
      </c>
      <c r="D16" s="3" t="str">
        <f>'Student Basic Info'!D16</f>
        <v>Nur Islam</v>
      </c>
      <c r="E16" s="3" t="str">
        <f>'Student Basic Info'!E16</f>
        <v>Zannatul Ferdaus</v>
      </c>
      <c r="F16" s="3" t="str">
        <f>'Student Basic Info'!F16</f>
        <v>Female</v>
      </c>
      <c r="G16" s="73" t="str">
        <f>'Student Basic Info'!I16</f>
        <v>01601-365237</v>
      </c>
      <c r="H16" s="74" t="str">
        <f>IF(Bangla!B16="","",Bangla!B16)</f>
        <v/>
      </c>
      <c r="I16" s="74">
        <f>IF(Bangla!C16="","",Bangla!C16)</f>
        <v>41</v>
      </c>
      <c r="J16" s="74">
        <f>IF(Bangla!D16="","",Bangla!D16)</f>
        <v>41</v>
      </c>
      <c r="K16" s="75">
        <f>IF(English!C16="","",English!C16)</f>
        <v>17</v>
      </c>
      <c r="L16" s="37">
        <f>IF(ICT!B16="","",ICT!B16)</f>
        <v>13</v>
      </c>
      <c r="M16" s="37">
        <f>IF(ICT!C16="","",ICT!C16)</f>
        <v>8</v>
      </c>
      <c r="N16" s="37">
        <f>IF(ICT!D16="","",ICT!D16)</f>
        <v>18</v>
      </c>
      <c r="O16" s="37">
        <f>IF(ICT!E16="","",ICT!E16)</f>
        <v>39</v>
      </c>
      <c r="P16" s="44">
        <f>IF(Physics!B16="","",Physics!B16)</f>
        <v>11</v>
      </c>
      <c r="Q16" s="44">
        <f>IF(Physics!C16="","",Physics!C16)</f>
        <v>23</v>
      </c>
      <c r="R16" s="44">
        <f>IF(Physics!D16="","",Physics!D16)</f>
        <v>17</v>
      </c>
      <c r="S16" s="89">
        <f>IF(Physics!E16="","",Physics!E16)</f>
        <v>51</v>
      </c>
      <c r="T16" s="37">
        <f>IF(Chemistry!B16="","",Chemistry!B16)</f>
        <v>15</v>
      </c>
      <c r="U16" s="37">
        <f>IF(Chemistry!C16="","",Chemistry!C16)</f>
        <v>24</v>
      </c>
      <c r="V16" s="37">
        <f>IF(Chemistry!D16="","",Chemistry!D16)</f>
        <v>15</v>
      </c>
      <c r="W16" s="37">
        <f>IF(Chemistry!E16="","",Chemistry!E16)</f>
        <v>54</v>
      </c>
      <c r="X16" s="38">
        <f>IF(SubjectList!G16="Math", IF(Math!B16="","",Math!B16), IF(Biology!B16="","",Biology!B16))</f>
        <v>10</v>
      </c>
      <c r="Y16" s="38">
        <f>IF(SubjectList!G16="Math", IF(Math!C16="","",Math!C16), IF(Biology!C16="","",Biology!C16))</f>
        <v>6</v>
      </c>
      <c r="Z16" s="38">
        <f>IF(SubjectList!G16="Math", IF(Math!D16="","",Math!D16), IF(Biology!D16="","",Biology!D16))</f>
        <v>10</v>
      </c>
      <c r="AA16" s="38">
        <f>IF(SubjectList!G16="Math", IF(Math!E16="","",Math!E16), IF(Biology!E16="","",Biology!E16))</f>
        <v>26</v>
      </c>
      <c r="AB16" s="44">
        <f>IF(SubjectList!I16="Biology", IF(Biology!B16="","",Biology!B16), IF(Math!B16="","",Math!B16))</f>
        <v>11</v>
      </c>
      <c r="AC16" s="44">
        <f>Optional!D16</f>
        <v>1</v>
      </c>
      <c r="AD16" s="44">
        <f>Optional!E16</f>
        <v>10</v>
      </c>
      <c r="AE16" s="44">
        <f>Optional!F16</f>
        <v>22</v>
      </c>
      <c r="AF16" s="39" t="str">
        <f>IF(SubjectList!G16="","", SubjectList!G16)</f>
        <v>Biology</v>
      </c>
      <c r="AG16" s="39" t="str">
        <f>IF(SubjectList!I16="","", SubjectList!I16)</f>
        <v>Math</v>
      </c>
      <c r="AH16" s="40" t="str">
        <f>Bangla!F16</f>
        <v>C</v>
      </c>
      <c r="AI16" s="91" t="str">
        <f>English!E16</f>
        <v>F</v>
      </c>
      <c r="AJ16" s="40" t="str">
        <f>ICT!G16</f>
        <v>F</v>
      </c>
      <c r="AK16" s="40" t="str">
        <f>Physics!G16</f>
        <v>B</v>
      </c>
      <c r="AL16" s="40" t="str">
        <f>Chemistry!G16</f>
        <v>B</v>
      </c>
      <c r="AM16" s="40" t="str">
        <f>IF(SubjectList!G16="Math", IF(Math!G16="","",Math!G16), IF(Biology!G16="","",Biology!G16))</f>
        <v>F</v>
      </c>
      <c r="AN16" s="40" t="str">
        <f>IF(SubjectList!H16="Math", IF(Math!G16="","",Math!G16), IF(Biology!G16="","",Biology!G16))</f>
        <v>F</v>
      </c>
      <c r="AO16" s="41">
        <f>Bangla!G16</f>
        <v>2</v>
      </c>
      <c r="AP16" s="41">
        <f>English!F16</f>
        <v>0</v>
      </c>
      <c r="AQ16" s="41">
        <f>ICT!H16</f>
        <v>0</v>
      </c>
      <c r="AR16" s="41">
        <f>Physics!H16</f>
        <v>3</v>
      </c>
      <c r="AS16" s="41">
        <f>Chemistry!H16</f>
        <v>3</v>
      </c>
      <c r="AT16" s="41">
        <f>IF(SubjectList!G16="Math", IF(Math!H16="","",Math!H16), IF(Biology!H16="","",Biology!H16))</f>
        <v>0</v>
      </c>
      <c r="AU16" s="41">
        <f>IF(SubjectList!I16="Math", IF(Math!H16="","",Math!H16), IF(Biology!H16="","",Biology!H16))</f>
        <v>0</v>
      </c>
      <c r="AV16" s="41">
        <f>Optional!I16</f>
        <v>0</v>
      </c>
      <c r="AW16" s="41">
        <f>Optional!J16</f>
        <v>0</v>
      </c>
      <c r="AX16" s="41">
        <f t="shared" si="0"/>
        <v>8</v>
      </c>
      <c r="AY16" s="41">
        <f t="shared" si="15"/>
        <v>8</v>
      </c>
      <c r="AZ16" s="41" t="str">
        <f t="shared" si="1"/>
        <v/>
      </c>
      <c r="BA16" s="41" t="str">
        <f t="shared" si="2"/>
        <v/>
      </c>
      <c r="BB16" s="41">
        <f t="shared" si="18"/>
        <v>250</v>
      </c>
      <c r="BC16" s="46">
        <f t="shared" si="16"/>
        <v>1</v>
      </c>
      <c r="BD16" s="46">
        <f t="shared" si="5"/>
        <v>0</v>
      </c>
      <c r="BE16" s="46">
        <f t="shared" si="6"/>
        <v>0</v>
      </c>
      <c r="BF16" s="46">
        <f t="shared" si="7"/>
        <v>1</v>
      </c>
      <c r="BG16" s="46">
        <f t="shared" si="8"/>
        <v>1</v>
      </c>
      <c r="BH16" s="46">
        <f t="shared" si="9"/>
        <v>0</v>
      </c>
      <c r="BI16" s="3">
        <f t="shared" si="17"/>
        <v>3</v>
      </c>
      <c r="BJ16" s="3" t="str">
        <f t="shared" si="11"/>
        <v>Failed in 3 Subjects</v>
      </c>
      <c r="BK16" s="3" t="str">
        <f>IF(BA16="","",RANK(BA16,BA$2:BA88,0))</f>
        <v/>
      </c>
      <c r="BL16" s="3" t="str">
        <f t="shared" si="12"/>
        <v>খুবই দুর্বল</v>
      </c>
      <c r="BM16" s="3" t="str">
        <f t="shared" si="13"/>
        <v>Very Weak</v>
      </c>
      <c r="BN16" s="3" t="str">
        <f t="shared" si="14"/>
        <v/>
      </c>
    </row>
    <row r="17" spans="1:66" x14ac:dyDescent="0.35">
      <c r="A17" s="3" t="str">
        <f>'Student Basic Info'!B17</f>
        <v>Science</v>
      </c>
      <c r="B17" s="3">
        <f>'Student Basic Info'!A17</f>
        <v>716</v>
      </c>
      <c r="C17" s="3" t="str">
        <f>'Student Basic Info'!C17</f>
        <v>Nazmun Nahar Rikha</v>
      </c>
      <c r="D17" s="3" t="str">
        <f>'Student Basic Info'!D17</f>
        <v>Md. Alamgir Hosain</v>
      </c>
      <c r="E17" s="3" t="str">
        <f>'Student Basic Info'!E17</f>
        <v>Shamsun Nahar</v>
      </c>
      <c r="F17" s="3" t="str">
        <f>'Student Basic Info'!F17</f>
        <v>Female</v>
      </c>
      <c r="G17" s="73" t="str">
        <f>'Student Basic Info'!I17</f>
        <v>01824-105005</v>
      </c>
      <c r="H17" s="74" t="str">
        <f>IF(Bangla!B17="","",Bangla!B17)</f>
        <v/>
      </c>
      <c r="I17" s="74">
        <f>IF(Bangla!C17="","",Bangla!C17)</f>
        <v>40</v>
      </c>
      <c r="J17" s="74">
        <f>IF(Bangla!D17="","",Bangla!D17)</f>
        <v>40</v>
      </c>
      <c r="K17" s="75">
        <f>IF(English!C17="","",English!C17)</f>
        <v>23</v>
      </c>
      <c r="L17" s="37">
        <f>IF(ICT!B17="","",ICT!B17)</f>
        <v>9</v>
      </c>
      <c r="M17" s="37">
        <f>IF(ICT!C17="","",ICT!C17)</f>
        <v>10</v>
      </c>
      <c r="N17" s="37">
        <f>IF(ICT!D17="","",ICT!D17)</f>
        <v>20</v>
      </c>
      <c r="O17" s="37">
        <f>IF(ICT!E17="","",ICT!E17)</f>
        <v>39</v>
      </c>
      <c r="P17" s="44">
        <f>IF(Physics!B17="","",Physics!B17)</f>
        <v>12</v>
      </c>
      <c r="Q17" s="44">
        <f>IF(Physics!C17="","",Physics!C17)</f>
        <v>21</v>
      </c>
      <c r="R17" s="44">
        <f>IF(Physics!D17="","",Physics!D17)</f>
        <v>17</v>
      </c>
      <c r="S17" s="89">
        <f>IF(Physics!E17="","",Physics!E17)</f>
        <v>50</v>
      </c>
      <c r="T17" s="37">
        <f>IF(Chemistry!B17="","",Chemistry!B17)</f>
        <v>18</v>
      </c>
      <c r="U17" s="37">
        <f>IF(Chemistry!C17="","",Chemistry!C17)</f>
        <v>24</v>
      </c>
      <c r="V17" s="37">
        <f>IF(Chemistry!D17="","",Chemistry!D17)</f>
        <v>15</v>
      </c>
      <c r="W17" s="37">
        <f>IF(Chemistry!E17="","",Chemistry!E17)</f>
        <v>57</v>
      </c>
      <c r="X17" s="38">
        <f>IF(SubjectList!G17="Math", IF(Math!B17="","",Math!B17), IF(Biology!B17="","",Biology!B17))</f>
        <v>9</v>
      </c>
      <c r="Y17" s="38">
        <f>IF(SubjectList!G17="Math", IF(Math!C17="","",Math!C17), IF(Biology!C17="","",Biology!C17))</f>
        <v>9</v>
      </c>
      <c r="Z17" s="38">
        <f>IF(SubjectList!G17="Math", IF(Math!D17="","",Math!D17), IF(Biology!D17="","",Biology!D17))</f>
        <v>10</v>
      </c>
      <c r="AA17" s="38">
        <f>IF(SubjectList!G17="Math", IF(Math!E17="","",Math!E17), IF(Biology!E17="","",Biology!E17))</f>
        <v>28</v>
      </c>
      <c r="AB17" s="44">
        <f>IF(SubjectList!I17="Biology", IF(Biology!B17="","",Biology!B17), IF(Math!B17="","",Math!B17))</f>
        <v>10</v>
      </c>
      <c r="AC17" s="44">
        <f>Optional!D17</f>
        <v>1</v>
      </c>
      <c r="AD17" s="44">
        <f>Optional!E17</f>
        <v>10</v>
      </c>
      <c r="AE17" s="44">
        <f>Optional!F17</f>
        <v>21</v>
      </c>
      <c r="AF17" s="39" t="str">
        <f>IF(SubjectList!G17="","", SubjectList!G17)</f>
        <v>Biology</v>
      </c>
      <c r="AG17" s="39" t="str">
        <f>IF(SubjectList!I17="","", SubjectList!I17)</f>
        <v>Math</v>
      </c>
      <c r="AH17" s="40" t="str">
        <f>Bangla!F17</f>
        <v>C</v>
      </c>
      <c r="AI17" s="91" t="str">
        <f>English!E17</f>
        <v>F</v>
      </c>
      <c r="AJ17" s="40" t="str">
        <f>ICT!G17</f>
        <v>F</v>
      </c>
      <c r="AK17" s="40" t="str">
        <f>Physics!G17</f>
        <v>B</v>
      </c>
      <c r="AL17" s="40" t="str">
        <f>Chemistry!G17</f>
        <v>B</v>
      </c>
      <c r="AM17" s="40" t="str">
        <f>IF(SubjectList!G17="Math", IF(Math!G17="","",Math!G17), IF(Biology!G17="","",Biology!G17))</f>
        <v>F</v>
      </c>
      <c r="AN17" s="40" t="str">
        <f>IF(SubjectList!H17="Math", IF(Math!G17="","",Math!G17), IF(Biology!G17="","",Biology!G17))</f>
        <v>F</v>
      </c>
      <c r="AO17" s="41">
        <f>Bangla!G17</f>
        <v>2</v>
      </c>
      <c r="AP17" s="41">
        <f>English!F17</f>
        <v>0</v>
      </c>
      <c r="AQ17" s="41">
        <f>ICT!H17</f>
        <v>0</v>
      </c>
      <c r="AR17" s="41">
        <f>Physics!H17</f>
        <v>3</v>
      </c>
      <c r="AS17" s="41">
        <f>Chemistry!H17</f>
        <v>3</v>
      </c>
      <c r="AT17" s="41">
        <f>IF(SubjectList!G17="Math", IF(Math!H17="","",Math!H17), IF(Biology!H17="","",Biology!H17))</f>
        <v>0</v>
      </c>
      <c r="AU17" s="41">
        <f>IF(SubjectList!I17="Math", IF(Math!H17="","",Math!H17), IF(Biology!H17="","",Biology!H17))</f>
        <v>0</v>
      </c>
      <c r="AV17" s="41">
        <f>Optional!I17</f>
        <v>0</v>
      </c>
      <c r="AW17" s="41">
        <f>Optional!J17</f>
        <v>0</v>
      </c>
      <c r="AX17" s="41">
        <f t="shared" si="0"/>
        <v>8</v>
      </c>
      <c r="AY17" s="41">
        <f t="shared" si="15"/>
        <v>8</v>
      </c>
      <c r="AZ17" s="41" t="str">
        <f t="shared" si="1"/>
        <v/>
      </c>
      <c r="BA17" s="41" t="str">
        <f t="shared" si="2"/>
        <v/>
      </c>
      <c r="BB17" s="41">
        <f t="shared" si="18"/>
        <v>258</v>
      </c>
      <c r="BC17" s="46">
        <f t="shared" si="16"/>
        <v>1</v>
      </c>
      <c r="BD17" s="46">
        <f t="shared" si="5"/>
        <v>0</v>
      </c>
      <c r="BE17" s="46">
        <f t="shared" si="6"/>
        <v>0</v>
      </c>
      <c r="BF17" s="46">
        <f t="shared" si="7"/>
        <v>1</v>
      </c>
      <c r="BG17" s="46">
        <f t="shared" si="8"/>
        <v>1</v>
      </c>
      <c r="BH17" s="46">
        <f t="shared" si="9"/>
        <v>0</v>
      </c>
      <c r="BI17" s="3">
        <f t="shared" si="17"/>
        <v>3</v>
      </c>
      <c r="BJ17" s="3" t="str">
        <f t="shared" si="11"/>
        <v>Failed in 3 Subjects</v>
      </c>
      <c r="BK17" s="3" t="str">
        <f>IF(BA17="","",RANK(BA17,BA$2:BA88,0))</f>
        <v/>
      </c>
      <c r="BL17" s="3" t="str">
        <f t="shared" si="12"/>
        <v>খুবই দুর্বল</v>
      </c>
      <c r="BM17" s="3" t="str">
        <f t="shared" si="13"/>
        <v>Very Weak</v>
      </c>
      <c r="BN17" s="3" t="str">
        <f t="shared" si="14"/>
        <v/>
      </c>
    </row>
    <row r="18" spans="1:66" x14ac:dyDescent="0.35">
      <c r="A18" s="3" t="str">
        <f>'Student Basic Info'!B18</f>
        <v>Science</v>
      </c>
      <c r="B18" s="3">
        <f>'Student Basic Info'!A18</f>
        <v>717</v>
      </c>
      <c r="C18" s="3" t="str">
        <f>'Student Basic Info'!C18</f>
        <v xml:space="preserve">Umme Rojina </v>
      </c>
      <c r="D18" s="3" t="str">
        <f>'Student Basic Info'!D18</f>
        <v>Nozrul Islam</v>
      </c>
      <c r="E18" s="3" t="str">
        <f>'Student Basic Info'!E18</f>
        <v>Rahela Aktar</v>
      </c>
      <c r="F18" s="3" t="str">
        <f>'Student Basic Info'!F18</f>
        <v>Female</v>
      </c>
      <c r="G18" s="73">
        <f>'Student Basic Info'!I18</f>
        <v>1715829255</v>
      </c>
      <c r="H18" s="74" t="str">
        <f>IF(Bangla!B18="","",Bangla!B18)</f>
        <v/>
      </c>
      <c r="I18" s="74">
        <f>IF(Bangla!C18="","",Bangla!C18)</f>
        <v>50</v>
      </c>
      <c r="J18" s="74">
        <f>IF(Bangla!D18="","",Bangla!D18)</f>
        <v>50</v>
      </c>
      <c r="K18" s="75">
        <f>IF(English!C18="","",English!C18)</f>
        <v>24</v>
      </c>
      <c r="L18" s="37">
        <f>IF(ICT!B18="","",ICT!B18)</f>
        <v>10</v>
      </c>
      <c r="M18" s="37">
        <f>IF(ICT!C18="","",ICT!C18)</f>
        <v>9</v>
      </c>
      <c r="N18" s="37">
        <f>IF(ICT!D18="","",ICT!D18)</f>
        <v>8</v>
      </c>
      <c r="O18" s="37">
        <f>IF(ICT!E18="","",ICT!E18)</f>
        <v>27</v>
      </c>
      <c r="P18" s="44">
        <f>IF(Physics!B18="","",Physics!B18)</f>
        <v>13</v>
      </c>
      <c r="Q18" s="44">
        <f>IF(Physics!C18="","",Physics!C18)</f>
        <v>26</v>
      </c>
      <c r="R18" s="44">
        <f>IF(Physics!D18="","",Physics!D18)</f>
        <v>21</v>
      </c>
      <c r="S18" s="89">
        <f>IF(Physics!E18="","",Physics!E18)</f>
        <v>60</v>
      </c>
      <c r="T18" s="37">
        <f>IF(Chemistry!B18="","",Chemistry!B18)</f>
        <v>13</v>
      </c>
      <c r="U18" s="37">
        <f>IF(Chemistry!C18="","",Chemistry!C18)</f>
        <v>21</v>
      </c>
      <c r="V18" s="37">
        <f>IF(Chemistry!D18="","",Chemistry!D18)</f>
        <v>9</v>
      </c>
      <c r="W18" s="37">
        <f>IF(Chemistry!E18="","",Chemistry!E18)</f>
        <v>43</v>
      </c>
      <c r="X18" s="38">
        <f>IF(SubjectList!G18="Math", IF(Math!B18="","",Math!B18), IF(Biology!B18="","",Biology!B18))</f>
        <v>6</v>
      </c>
      <c r="Y18" s="38">
        <f>IF(SubjectList!G18="Math", IF(Math!C18="","",Math!C18), IF(Biology!C18="","",Biology!C18))</f>
        <v>3</v>
      </c>
      <c r="Z18" s="38">
        <f>IF(SubjectList!G18="Math", IF(Math!D18="","",Math!D18), IF(Biology!D18="","",Biology!D18))</f>
        <v>8</v>
      </c>
      <c r="AA18" s="38">
        <f>IF(SubjectList!G18="Math", IF(Math!E18="","",Math!E18), IF(Biology!E18="","",Biology!E18))</f>
        <v>17</v>
      </c>
      <c r="AB18" s="44" t="str">
        <f>IF(SubjectList!I18="Biology", IF(Biology!B18="","",Biology!B18), IF(Math!B18="","",Math!B18))</f>
        <v/>
      </c>
      <c r="AC18" s="44" t="str">
        <f>Optional!D18</f>
        <v/>
      </c>
      <c r="AD18" s="44" t="str">
        <f>Optional!E18</f>
        <v/>
      </c>
      <c r="AE18" s="44" t="str">
        <f>Optional!F18</f>
        <v/>
      </c>
      <c r="AF18" s="39" t="str">
        <f>IF(SubjectList!G18="","", SubjectList!G18)</f>
        <v>Biology</v>
      </c>
      <c r="AG18" s="39" t="str">
        <f>IF(SubjectList!I18="","", SubjectList!I18)</f>
        <v>Math</v>
      </c>
      <c r="AH18" s="40" t="str">
        <f>Bangla!F18</f>
        <v>B</v>
      </c>
      <c r="AI18" s="91" t="str">
        <f>English!E18</f>
        <v>F</v>
      </c>
      <c r="AJ18" s="40" t="str">
        <f>ICT!G18</f>
        <v>F</v>
      </c>
      <c r="AK18" s="40" t="str">
        <f>Physics!G18</f>
        <v>A-</v>
      </c>
      <c r="AL18" s="40" t="str">
        <f>Chemistry!G18</f>
        <v>C</v>
      </c>
      <c r="AM18" s="40" t="str">
        <f>IF(SubjectList!G18="Math", IF(Math!G18="","",Math!G18), IF(Biology!G18="","",Biology!G18))</f>
        <v>F</v>
      </c>
      <c r="AN18" s="40" t="str">
        <f>IF(SubjectList!H18="Math", IF(Math!G18="","",Math!G18), IF(Biology!G18="","",Biology!G18))</f>
        <v/>
      </c>
      <c r="AO18" s="41">
        <f>Bangla!G18</f>
        <v>3</v>
      </c>
      <c r="AP18" s="41">
        <f>English!F18</f>
        <v>0</v>
      </c>
      <c r="AQ18" s="41">
        <f>ICT!H18</f>
        <v>0</v>
      </c>
      <c r="AR18" s="41">
        <f>Physics!H18</f>
        <v>3.5</v>
      </c>
      <c r="AS18" s="41">
        <f>Chemistry!H18</f>
        <v>2</v>
      </c>
      <c r="AT18" s="41">
        <f>IF(SubjectList!G18="Math", IF(Math!H18="","",Math!H18), IF(Biology!H18="","",Biology!H18))</f>
        <v>0</v>
      </c>
      <c r="AU18" s="41" t="str">
        <f>IF(SubjectList!I18="Math", IF(Math!H18="","",Math!H18), IF(Biology!H18="","",Biology!H18))</f>
        <v/>
      </c>
      <c r="AV18" s="41" t="str">
        <f>Optional!I18</f>
        <v/>
      </c>
      <c r="AW18" s="41" t="str">
        <f>Optional!J18</f>
        <v/>
      </c>
      <c r="AX18" s="41">
        <f t="shared" si="0"/>
        <v>8.5</v>
      </c>
      <c r="AY18" s="41">
        <f t="shared" si="15"/>
        <v>8.5</v>
      </c>
      <c r="AZ18" s="41" t="str">
        <f t="shared" si="1"/>
        <v/>
      </c>
      <c r="BA18" s="41" t="str">
        <f t="shared" si="2"/>
        <v/>
      </c>
      <c r="BB18" s="41">
        <f t="shared" si="18"/>
        <v>221</v>
      </c>
      <c r="BC18" s="46">
        <f t="shared" si="16"/>
        <v>1</v>
      </c>
      <c r="BD18" s="46">
        <f t="shared" si="5"/>
        <v>0</v>
      </c>
      <c r="BE18" s="46">
        <f t="shared" si="6"/>
        <v>0</v>
      </c>
      <c r="BF18" s="46">
        <f t="shared" si="7"/>
        <v>1</v>
      </c>
      <c r="BG18" s="46">
        <f t="shared" si="8"/>
        <v>1</v>
      </c>
      <c r="BH18" s="46">
        <f t="shared" si="9"/>
        <v>0</v>
      </c>
      <c r="BI18" s="3">
        <f t="shared" si="17"/>
        <v>3</v>
      </c>
      <c r="BJ18" s="3" t="str">
        <f t="shared" ref="BJ18:BJ66" si="19">IF(BI18=0,"Failed in 6 Subjects",IF(BI18=1,"Failed in 5 Subjects",IF(BI18=2,"Failed in 4 Subjects",IF(BI18=3,"Failed in 3 Subjects",IF(BI18=4,"Failed in 2 Subjects",IF(BI18=5,"Failed in 1 Subject",IF(BI18=6,"Pass")))))))</f>
        <v>Failed in 3 Subjects</v>
      </c>
      <c r="BK18" s="3" t="str">
        <f>IF(BA18="","",RANK(BA18,BA$2:BA88,0))</f>
        <v/>
      </c>
      <c r="BL18" s="3" t="str">
        <f t="shared" si="12"/>
        <v>খুবই দুর্বল</v>
      </c>
      <c r="BM18" s="3" t="str">
        <f t="shared" si="13"/>
        <v>Very Weak</v>
      </c>
      <c r="BN18" s="3" t="str">
        <f t="shared" si="14"/>
        <v/>
      </c>
    </row>
    <row r="19" spans="1:66" x14ac:dyDescent="0.35">
      <c r="A19" s="3" t="str">
        <f>'Student Basic Info'!B19</f>
        <v>Science</v>
      </c>
      <c r="B19" s="3">
        <f>'Student Basic Info'!A19</f>
        <v>718</v>
      </c>
      <c r="C19" s="3" t="str">
        <f>'Student Basic Info'!C19</f>
        <v>Zannatul Ferdaus</v>
      </c>
      <c r="D19" s="3" t="str">
        <f>'Student Basic Info'!D19</f>
        <v>Shahab Uddin</v>
      </c>
      <c r="E19" s="3" t="str">
        <f>'Student Basic Info'!E19</f>
        <v>Marjahan</v>
      </c>
      <c r="F19" s="3" t="str">
        <f>'Student Basic Info'!F19</f>
        <v>Female</v>
      </c>
      <c r="G19" s="73" t="str">
        <f>'Student Basic Info'!I19</f>
        <v>01875-096313</v>
      </c>
      <c r="H19" s="74" t="str">
        <f>IF(Bangla!B19="","",Bangla!B19)</f>
        <v/>
      </c>
      <c r="I19" s="74" t="str">
        <f>IF(Bangla!C19="","",Bangla!C19)</f>
        <v/>
      </c>
      <c r="J19" s="74" t="str">
        <f>IF(Bangla!D19="","",Bangla!D19)</f>
        <v/>
      </c>
      <c r="K19" s="75" t="str">
        <f>IF(English!C19="","",English!C19)</f>
        <v/>
      </c>
      <c r="L19" s="37" t="str">
        <f>IF(ICT!B19="","",ICT!B19)</f>
        <v/>
      </c>
      <c r="M19" s="37" t="str">
        <f>IF(ICT!C19="","",ICT!C19)</f>
        <v/>
      </c>
      <c r="N19" s="37" t="str">
        <f>IF(ICT!D19="","",ICT!D19)</f>
        <v/>
      </c>
      <c r="O19" s="37" t="str">
        <f>IF(ICT!E19="","",ICT!E19)</f>
        <v/>
      </c>
      <c r="P19" s="44" t="str">
        <f>IF(Physics!B19="","",Physics!B19)</f>
        <v/>
      </c>
      <c r="Q19" s="44" t="str">
        <f>IF(Physics!C19="","",Physics!C19)</f>
        <v/>
      </c>
      <c r="R19" s="44" t="str">
        <f>IF(Physics!D19="","",Physics!D19)</f>
        <v/>
      </c>
      <c r="S19" s="89" t="str">
        <f>IF(Physics!E19="","",Physics!E19)</f>
        <v/>
      </c>
      <c r="T19" s="37" t="str">
        <f>IF(Chemistry!B19="","",Chemistry!B19)</f>
        <v/>
      </c>
      <c r="U19" s="37" t="str">
        <f>IF(Chemistry!C19="","",Chemistry!C19)</f>
        <v/>
      </c>
      <c r="V19" s="37" t="str">
        <f>IF(Chemistry!D19="","",Chemistry!D19)</f>
        <v/>
      </c>
      <c r="W19" s="37" t="str">
        <f>IF(Chemistry!E19="","",Chemistry!E19)</f>
        <v/>
      </c>
      <c r="X19" s="38" t="str">
        <f>IF(SubjectList!G19="Math", IF(Math!B19="","",Math!B19), IF(Biology!B19="","",Biology!B19))</f>
        <v/>
      </c>
      <c r="Y19" s="38" t="str">
        <f>IF(SubjectList!G19="Math", IF(Math!C19="","",Math!C19), IF(Biology!C19="","",Biology!C19))</f>
        <v/>
      </c>
      <c r="Z19" s="38" t="str">
        <f>IF(SubjectList!G19="Math", IF(Math!D19="","",Math!D19), IF(Biology!D19="","",Biology!D19))</f>
        <v/>
      </c>
      <c r="AA19" s="38" t="str">
        <f>IF(SubjectList!G19="Math", IF(Math!E19="","",Math!E19), IF(Biology!E19="","",Biology!E19))</f>
        <v/>
      </c>
      <c r="AB19" s="44" t="str">
        <f>IF(SubjectList!I19="Biology", IF(Biology!B19="","",Biology!B19), IF(Math!B19="","",Math!B19))</f>
        <v/>
      </c>
      <c r="AC19" s="44" t="str">
        <f>Optional!D19</f>
        <v/>
      </c>
      <c r="AD19" s="44" t="str">
        <f>Optional!E19</f>
        <v/>
      </c>
      <c r="AE19" s="44" t="str">
        <f>Optional!F19</f>
        <v/>
      </c>
      <c r="AF19" s="39" t="str">
        <f>IF(SubjectList!G19="","", SubjectList!G19)</f>
        <v>Biology</v>
      </c>
      <c r="AG19" s="39" t="str">
        <f>IF(SubjectList!I19="","", SubjectList!I19)</f>
        <v>Math</v>
      </c>
      <c r="AH19" s="40" t="str">
        <f>Bangla!F19</f>
        <v/>
      </c>
      <c r="AI19" s="91" t="str">
        <f>English!E19</f>
        <v/>
      </c>
      <c r="AJ19" s="40" t="str">
        <f>ICT!G19</f>
        <v/>
      </c>
      <c r="AK19" s="40" t="str">
        <f>Physics!G19</f>
        <v/>
      </c>
      <c r="AL19" s="40" t="str">
        <f>Chemistry!G19</f>
        <v/>
      </c>
      <c r="AM19" s="40" t="str">
        <f>IF(SubjectList!G19="Math", IF(Math!G19="","",Math!G19), IF(Biology!G19="","",Biology!G19))</f>
        <v/>
      </c>
      <c r="AN19" s="40" t="str">
        <f>IF(SubjectList!H19="Math", IF(Math!G19="","",Math!G19), IF(Biology!G19="","",Biology!G19))</f>
        <v/>
      </c>
      <c r="AO19" s="41" t="str">
        <f>Bangla!G19</f>
        <v/>
      </c>
      <c r="AP19" s="41" t="str">
        <f>English!F19</f>
        <v/>
      </c>
      <c r="AQ19" s="41" t="str">
        <f>ICT!H19</f>
        <v/>
      </c>
      <c r="AR19" s="41" t="str">
        <f>Physics!H19</f>
        <v/>
      </c>
      <c r="AS19" s="41" t="str">
        <f>Chemistry!H19</f>
        <v/>
      </c>
      <c r="AT19" s="41" t="str">
        <f>IF(SubjectList!G19="Math", IF(Math!H19="","",Math!H19), IF(Biology!H19="","",Biology!H19))</f>
        <v/>
      </c>
      <c r="AU19" s="41" t="str">
        <f>IF(SubjectList!I19="Math", IF(Math!H19="","",Math!H19), IF(Biology!H19="","",Biology!H19))</f>
        <v/>
      </c>
      <c r="AV19" s="41" t="str">
        <f>Optional!I19</f>
        <v/>
      </c>
      <c r="AW19" s="41" t="str">
        <f>Optional!J19</f>
        <v/>
      </c>
      <c r="AX19" s="41" t="str">
        <f t="shared" si="0"/>
        <v/>
      </c>
      <c r="AY19" s="41" t="str">
        <f t="shared" si="15"/>
        <v/>
      </c>
      <c r="AZ19" s="41" t="str">
        <f t="shared" si="1"/>
        <v/>
      </c>
      <c r="BA19" s="41" t="str">
        <f t="shared" si="2"/>
        <v/>
      </c>
      <c r="BB19" s="41">
        <f t="shared" si="18"/>
        <v>0</v>
      </c>
      <c r="BC19" s="46" t="str">
        <f t="shared" si="16"/>
        <v/>
      </c>
      <c r="BD19" s="46" t="str">
        <f t="shared" si="5"/>
        <v/>
      </c>
      <c r="BE19" s="46" t="str">
        <f t="shared" si="6"/>
        <v/>
      </c>
      <c r="BF19" s="46" t="str">
        <f t="shared" si="7"/>
        <v/>
      </c>
      <c r="BG19" s="46" t="str">
        <f t="shared" si="8"/>
        <v/>
      </c>
      <c r="BH19" s="46" t="str">
        <f t="shared" si="9"/>
        <v/>
      </c>
      <c r="BI19" s="3">
        <f t="shared" si="17"/>
        <v>0</v>
      </c>
      <c r="BJ19" s="3" t="str">
        <f t="shared" si="19"/>
        <v>Failed in 6 Subjects</v>
      </c>
      <c r="BK19" s="3" t="str">
        <f>IF(BA19="","",RANK(BA19,BA$2:BA88,0))</f>
        <v/>
      </c>
      <c r="BL19" s="3" t="str">
        <f t="shared" si="12"/>
        <v>খুবই দুর্বল</v>
      </c>
      <c r="BM19" s="3" t="str">
        <f t="shared" si="13"/>
        <v>Very Weak</v>
      </c>
      <c r="BN19" s="3" t="str">
        <f t="shared" si="14"/>
        <v/>
      </c>
    </row>
    <row r="20" spans="1:66" x14ac:dyDescent="0.35">
      <c r="A20" s="3" t="str">
        <f>'Student Basic Info'!B20</f>
        <v>Science</v>
      </c>
      <c r="B20" s="3">
        <f>'Student Basic Info'!A20</f>
        <v>719</v>
      </c>
      <c r="C20" s="3" t="str">
        <f>'Student Basic Info'!C20</f>
        <v>Shazeda Amin Shuchi</v>
      </c>
      <c r="D20" s="3" t="str">
        <f>'Student Basic Info'!D20</f>
        <v>Amir Hosain</v>
      </c>
      <c r="E20" s="3" t="str">
        <f>'Student Basic Info'!E20</f>
        <v>Fatema Aktar</v>
      </c>
      <c r="F20" s="3" t="str">
        <f>'Student Basic Info'!F20</f>
        <v>Female</v>
      </c>
      <c r="G20" s="73" t="str">
        <f>'Student Basic Info'!I20</f>
        <v>01820-942992</v>
      </c>
      <c r="H20" s="74" t="str">
        <f>IF(Bangla!B20="","",Bangla!B20)</f>
        <v/>
      </c>
      <c r="I20" s="74">
        <f>IF(Bangla!C20="","",Bangla!C20)</f>
        <v>55</v>
      </c>
      <c r="J20" s="74">
        <f>IF(Bangla!D20="","",Bangla!D20)</f>
        <v>55</v>
      </c>
      <c r="K20" s="75">
        <f>IF(English!C20="","",English!C20)</f>
        <v>25</v>
      </c>
      <c r="L20" s="37">
        <f>IF(ICT!B20="","",ICT!B20)</f>
        <v>12</v>
      </c>
      <c r="M20" s="37">
        <f>IF(ICT!C20="","",ICT!C20)</f>
        <v>11</v>
      </c>
      <c r="N20" s="37">
        <f>IF(ICT!D20="","",ICT!D20)</f>
        <v>18</v>
      </c>
      <c r="O20" s="37">
        <f>IF(ICT!E20="","",ICT!E20)</f>
        <v>41</v>
      </c>
      <c r="P20" s="44">
        <f>IF(Physics!B20="","",Physics!B20)</f>
        <v>8</v>
      </c>
      <c r="Q20" s="44">
        <f>IF(Physics!C20="","",Physics!C20)</f>
        <v>32</v>
      </c>
      <c r="R20" s="44">
        <f>IF(Physics!D20="","",Physics!D20)</f>
        <v>21</v>
      </c>
      <c r="S20" s="89">
        <f>IF(Physics!E20="","",Physics!E20)</f>
        <v>61</v>
      </c>
      <c r="T20" s="37">
        <f>IF(Chemistry!B20="","",Chemistry!B20)</f>
        <v>15</v>
      </c>
      <c r="U20" s="37">
        <f>IF(Chemistry!C20="","",Chemistry!C20)</f>
        <v>21</v>
      </c>
      <c r="V20" s="37">
        <f>IF(Chemistry!D20="","",Chemistry!D20)</f>
        <v>15</v>
      </c>
      <c r="W20" s="37">
        <f>IF(Chemistry!E20="","",Chemistry!E20)</f>
        <v>51</v>
      </c>
      <c r="X20" s="38">
        <f>IF(SubjectList!G20="Math", IF(Math!B20="","",Math!B20), IF(Biology!B20="","",Biology!B20))</f>
        <v>9</v>
      </c>
      <c r="Y20" s="38">
        <f>IF(SubjectList!G20="Math", IF(Math!C20="","",Math!C20), IF(Biology!C20="","",Biology!C20))</f>
        <v>8</v>
      </c>
      <c r="Z20" s="38">
        <f>IF(SubjectList!G20="Math", IF(Math!D20="","",Math!D20), IF(Biology!D20="","",Biology!D20))</f>
        <v>9</v>
      </c>
      <c r="AA20" s="38">
        <f>IF(SubjectList!G20="Math", IF(Math!E20="","",Math!E20), IF(Biology!E20="","",Biology!E20))</f>
        <v>26</v>
      </c>
      <c r="AB20" s="44">
        <f>IF(SubjectList!I20="Biology", IF(Biology!B20="","",Biology!B20), IF(Math!B20="","",Math!B20))</f>
        <v>11</v>
      </c>
      <c r="AC20" s="44">
        <f>Optional!D20</f>
        <v>2</v>
      </c>
      <c r="AD20" s="44">
        <f>Optional!E20</f>
        <v>11</v>
      </c>
      <c r="AE20" s="44">
        <f>Optional!F20</f>
        <v>24</v>
      </c>
      <c r="AF20" s="39" t="str">
        <f>IF(SubjectList!G20="","", SubjectList!G20)</f>
        <v>Biology</v>
      </c>
      <c r="AG20" s="39" t="str">
        <f>IF(SubjectList!I20="","", SubjectList!I20)</f>
        <v>Math</v>
      </c>
      <c r="AH20" s="40" t="str">
        <f>Bangla!F20</f>
        <v>B</v>
      </c>
      <c r="AI20" s="91" t="str">
        <f>English!E20</f>
        <v>F</v>
      </c>
      <c r="AJ20" s="40" t="str">
        <f>ICT!G20</f>
        <v>F</v>
      </c>
      <c r="AK20" s="40" t="str">
        <f>Physics!G20</f>
        <v>A-</v>
      </c>
      <c r="AL20" s="40" t="str">
        <f>Chemistry!G20</f>
        <v>B</v>
      </c>
      <c r="AM20" s="40" t="str">
        <f>IF(SubjectList!G20="Math", IF(Math!G20="","",Math!G20), IF(Biology!G20="","",Biology!G20))</f>
        <v>F</v>
      </c>
      <c r="AN20" s="40" t="str">
        <f>IF(SubjectList!H20="Math", IF(Math!G20="","",Math!G20), IF(Biology!G20="","",Biology!G20))</f>
        <v>F</v>
      </c>
      <c r="AO20" s="41">
        <f>Bangla!G20</f>
        <v>3</v>
      </c>
      <c r="AP20" s="41">
        <f>English!F20</f>
        <v>0</v>
      </c>
      <c r="AQ20" s="41">
        <f>ICT!H20</f>
        <v>0</v>
      </c>
      <c r="AR20" s="41">
        <f>Physics!H20</f>
        <v>3.5</v>
      </c>
      <c r="AS20" s="41">
        <f>Chemistry!H20</f>
        <v>3</v>
      </c>
      <c r="AT20" s="41">
        <f>IF(SubjectList!G20="Math", IF(Math!H20="","",Math!H20), IF(Biology!H20="","",Biology!H20))</f>
        <v>0</v>
      </c>
      <c r="AU20" s="41">
        <f>IF(SubjectList!I20="Math", IF(Math!H20="","",Math!H20), IF(Biology!H20="","",Biology!H20))</f>
        <v>0</v>
      </c>
      <c r="AV20" s="41">
        <f>Optional!I20</f>
        <v>0</v>
      </c>
      <c r="AW20" s="41">
        <f>Optional!J20</f>
        <v>0</v>
      </c>
      <c r="AX20" s="41">
        <f t="shared" si="0"/>
        <v>9.5</v>
      </c>
      <c r="AY20" s="41">
        <f t="shared" si="15"/>
        <v>9.5</v>
      </c>
      <c r="AZ20" s="41" t="str">
        <f t="shared" si="1"/>
        <v/>
      </c>
      <c r="BA20" s="41" t="str">
        <f t="shared" si="2"/>
        <v/>
      </c>
      <c r="BB20" s="41">
        <f t="shared" si="18"/>
        <v>283</v>
      </c>
      <c r="BC20" s="46">
        <f t="shared" si="16"/>
        <v>1</v>
      </c>
      <c r="BD20" s="46">
        <f t="shared" si="5"/>
        <v>0</v>
      </c>
      <c r="BE20" s="46">
        <f t="shared" si="6"/>
        <v>0</v>
      </c>
      <c r="BF20" s="46">
        <f t="shared" si="7"/>
        <v>1</v>
      </c>
      <c r="BG20" s="46">
        <f t="shared" si="8"/>
        <v>1</v>
      </c>
      <c r="BH20" s="46">
        <f t="shared" si="9"/>
        <v>0</v>
      </c>
      <c r="BI20" s="3">
        <f t="shared" si="17"/>
        <v>3</v>
      </c>
      <c r="BJ20" s="3" t="str">
        <f t="shared" si="19"/>
        <v>Failed in 3 Subjects</v>
      </c>
      <c r="BK20" s="3" t="str">
        <f>IF(BA20="","",RANK(BA20,BA$2:BA88,0))</f>
        <v/>
      </c>
      <c r="BL20" s="3" t="str">
        <f t="shared" si="12"/>
        <v>খুবই দুর্বল</v>
      </c>
      <c r="BM20" s="3" t="str">
        <f t="shared" si="13"/>
        <v>Very Weak</v>
      </c>
      <c r="BN20" s="3" t="str">
        <f t="shared" si="14"/>
        <v/>
      </c>
    </row>
    <row r="21" spans="1:66" x14ac:dyDescent="0.35">
      <c r="A21" s="3" t="str">
        <f>'Student Basic Info'!B21</f>
        <v>Science</v>
      </c>
      <c r="B21" s="3">
        <f>'Student Basic Info'!A21</f>
        <v>720</v>
      </c>
      <c r="C21" s="3" t="str">
        <f>'Student Basic Info'!C21</f>
        <v>Farzana Aktar</v>
      </c>
      <c r="D21" s="3" t="str">
        <f>'Student Basic Info'!D21</f>
        <v>Atik Ullah</v>
      </c>
      <c r="E21" s="3" t="str">
        <f>'Student Basic Info'!E21</f>
        <v>Nazman Nahar</v>
      </c>
      <c r="F21" s="3" t="str">
        <f>'Student Basic Info'!F21</f>
        <v>Female</v>
      </c>
      <c r="G21" s="73" t="str">
        <f>'Student Basic Info'!I21</f>
        <v>01881-334735</v>
      </c>
      <c r="H21" s="74" t="str">
        <f>IF(Bangla!B21="","",Bangla!B21)</f>
        <v/>
      </c>
      <c r="I21" s="74">
        <f>IF(Bangla!C21="","",Bangla!C21)</f>
        <v>50</v>
      </c>
      <c r="J21" s="74">
        <f>IF(Bangla!D21="","",Bangla!D21)</f>
        <v>50</v>
      </c>
      <c r="K21" s="75">
        <f>IF(English!C21="","",English!C21)</f>
        <v>29</v>
      </c>
      <c r="L21" s="37">
        <f>IF(ICT!B21="","",ICT!B21)</f>
        <v>9</v>
      </c>
      <c r="M21" s="37">
        <f>IF(ICT!C21="","",ICT!C21)</f>
        <v>8</v>
      </c>
      <c r="N21" s="37">
        <f>IF(ICT!D21="","",ICT!D21)</f>
        <v>20</v>
      </c>
      <c r="O21" s="37">
        <f>IF(ICT!E21="","",ICT!E21)</f>
        <v>37</v>
      </c>
      <c r="P21" s="44">
        <f>IF(Physics!B21="","",Physics!B21)</f>
        <v>10</v>
      </c>
      <c r="Q21" s="44">
        <f>IF(Physics!C21="","",Physics!C21)</f>
        <v>23</v>
      </c>
      <c r="R21" s="44">
        <f>IF(Physics!D21="","",Physics!D21)</f>
        <v>17</v>
      </c>
      <c r="S21" s="89">
        <f>IF(Physics!E21="","",Physics!E21)</f>
        <v>50</v>
      </c>
      <c r="T21" s="37">
        <f>IF(Chemistry!B21="","",Chemistry!B21)</f>
        <v>10</v>
      </c>
      <c r="U21" s="37">
        <f>IF(Chemistry!C21="","",Chemistry!C21)</f>
        <v>15</v>
      </c>
      <c r="V21" s="37">
        <f>IF(Chemistry!D21="","",Chemistry!D21)</f>
        <v>10</v>
      </c>
      <c r="W21" s="37">
        <f>IF(Chemistry!E21="","",Chemistry!E21)</f>
        <v>35</v>
      </c>
      <c r="X21" s="38">
        <f>IF(SubjectList!G21="Math", IF(Math!B21="","",Math!B21), IF(Biology!B21="","",Biology!B21))</f>
        <v>11</v>
      </c>
      <c r="Y21" s="38">
        <f>IF(SubjectList!G21="Math", IF(Math!C21="","",Math!C21), IF(Biology!C21="","",Biology!C21))</f>
        <v>8</v>
      </c>
      <c r="Z21" s="38">
        <f>IF(SubjectList!G21="Math", IF(Math!D21="","",Math!D21), IF(Biology!D21="","",Biology!D21))</f>
        <v>10</v>
      </c>
      <c r="AA21" s="38">
        <f>IF(SubjectList!G21="Math", IF(Math!E21="","",Math!E21), IF(Biology!E21="","",Biology!E21))</f>
        <v>29</v>
      </c>
      <c r="AB21" s="44">
        <f>IF(SubjectList!I21="Biology", IF(Biology!B21="","",Biology!B21), IF(Math!B21="","",Math!B21))</f>
        <v>7</v>
      </c>
      <c r="AC21" s="44">
        <f>Optional!D21</f>
        <v>2</v>
      </c>
      <c r="AD21" s="44">
        <f>Optional!E21</f>
        <v>8</v>
      </c>
      <c r="AE21" s="44">
        <f>Optional!F21</f>
        <v>17</v>
      </c>
      <c r="AF21" s="39" t="str">
        <f>IF(SubjectList!G21="","", SubjectList!G21)</f>
        <v>Biology</v>
      </c>
      <c r="AG21" s="39" t="str">
        <f>IF(SubjectList!I21="","", SubjectList!I21)</f>
        <v>Math</v>
      </c>
      <c r="AH21" s="40" t="str">
        <f>Bangla!F21</f>
        <v>B</v>
      </c>
      <c r="AI21" s="91" t="str">
        <f>English!E21</f>
        <v>F</v>
      </c>
      <c r="AJ21" s="40" t="str">
        <f>ICT!G21</f>
        <v>F</v>
      </c>
      <c r="AK21" s="40" t="str">
        <f>Physics!G21</f>
        <v>B</v>
      </c>
      <c r="AL21" s="40" t="str">
        <f>Chemistry!G21</f>
        <v>F</v>
      </c>
      <c r="AM21" s="40" t="str">
        <f>IF(SubjectList!G21="Math", IF(Math!G21="","",Math!G21), IF(Biology!G21="","",Biology!G21))</f>
        <v>F</v>
      </c>
      <c r="AN21" s="40" t="str">
        <f>IF(SubjectList!H21="Math", IF(Math!G21="","",Math!G21), IF(Biology!G21="","",Biology!G21))</f>
        <v>F</v>
      </c>
      <c r="AO21" s="41">
        <f>Bangla!G21</f>
        <v>3</v>
      </c>
      <c r="AP21" s="41">
        <f>English!F21</f>
        <v>0</v>
      </c>
      <c r="AQ21" s="41">
        <f>ICT!H21</f>
        <v>0</v>
      </c>
      <c r="AR21" s="41">
        <f>Physics!H21</f>
        <v>3</v>
      </c>
      <c r="AS21" s="41">
        <f>Chemistry!H21</f>
        <v>0</v>
      </c>
      <c r="AT21" s="41">
        <f>IF(SubjectList!G21="Math", IF(Math!H21="","",Math!H21), IF(Biology!H21="","",Biology!H21))</f>
        <v>0</v>
      </c>
      <c r="AU21" s="41">
        <f>IF(SubjectList!I21="Math", IF(Math!H21="","",Math!H21), IF(Biology!H21="","",Biology!H21))</f>
        <v>0</v>
      </c>
      <c r="AV21" s="41">
        <f>Optional!I21</f>
        <v>0</v>
      </c>
      <c r="AW21" s="41">
        <f>Optional!J21</f>
        <v>0</v>
      </c>
      <c r="AX21" s="41">
        <f t="shared" si="0"/>
        <v>6</v>
      </c>
      <c r="AY21" s="41">
        <f t="shared" si="15"/>
        <v>6</v>
      </c>
      <c r="AZ21" s="41" t="str">
        <f t="shared" si="1"/>
        <v/>
      </c>
      <c r="BA21" s="41" t="str">
        <f t="shared" si="2"/>
        <v/>
      </c>
      <c r="BB21" s="41">
        <f t="shared" si="18"/>
        <v>247</v>
      </c>
      <c r="BC21" s="46">
        <f t="shared" si="16"/>
        <v>1</v>
      </c>
      <c r="BD21" s="46">
        <f t="shared" si="5"/>
        <v>0</v>
      </c>
      <c r="BE21" s="46">
        <f t="shared" si="6"/>
        <v>0</v>
      </c>
      <c r="BF21" s="46">
        <f t="shared" si="7"/>
        <v>1</v>
      </c>
      <c r="BG21" s="46">
        <f t="shared" si="8"/>
        <v>0</v>
      </c>
      <c r="BH21" s="46">
        <f t="shared" si="9"/>
        <v>0</v>
      </c>
      <c r="BI21" s="3">
        <f t="shared" si="17"/>
        <v>2</v>
      </c>
      <c r="BJ21" s="3" t="str">
        <f t="shared" si="19"/>
        <v>Failed in 4 Subjects</v>
      </c>
      <c r="BK21" s="3" t="str">
        <f>IF(BA21="","",RANK(BA21,BA$2:BA88,0))</f>
        <v/>
      </c>
      <c r="BL21" s="3" t="str">
        <f t="shared" si="12"/>
        <v>খুবই দুর্বল</v>
      </c>
      <c r="BM21" s="3" t="str">
        <f t="shared" si="13"/>
        <v>Very Weak</v>
      </c>
      <c r="BN21" s="3" t="str">
        <f t="shared" si="14"/>
        <v/>
      </c>
    </row>
    <row r="22" spans="1:66" x14ac:dyDescent="0.35">
      <c r="A22" s="3" t="str">
        <f>'Student Basic Info'!B22</f>
        <v>Science</v>
      </c>
      <c r="B22" s="3">
        <f>'Student Basic Info'!A22</f>
        <v>721</v>
      </c>
      <c r="C22" s="3" t="str">
        <f>'Student Basic Info'!C22</f>
        <v>Nowrin Faiza Niduwa</v>
      </c>
      <c r="D22" s="3" t="str">
        <f>'Student Basic Info'!D22</f>
        <v>Zashim Uddin</v>
      </c>
      <c r="E22" s="3" t="str">
        <f>'Student Basic Info'!E22</f>
        <v>Sultana Razia</v>
      </c>
      <c r="F22" s="3" t="str">
        <f>'Student Basic Info'!F22</f>
        <v>Female</v>
      </c>
      <c r="G22" s="73" t="str">
        <f>'Student Basic Info'!I22</f>
        <v>01818-383576</v>
      </c>
      <c r="H22" s="74" t="str">
        <f>IF(Bangla!B22="","",Bangla!B22)</f>
        <v/>
      </c>
      <c r="I22" s="74" t="str">
        <f>IF(Bangla!C22="","",Bangla!C22)</f>
        <v/>
      </c>
      <c r="J22" s="74" t="str">
        <f>IF(Bangla!D22="","",Bangla!D22)</f>
        <v/>
      </c>
      <c r="K22" s="75" t="str">
        <f>IF(English!C22="","",English!C22)</f>
        <v/>
      </c>
      <c r="L22" s="37" t="str">
        <f>IF(ICT!B22="","",ICT!B22)</f>
        <v/>
      </c>
      <c r="M22" s="37" t="str">
        <f>IF(ICT!C22="","",ICT!C22)</f>
        <v/>
      </c>
      <c r="N22" s="37" t="str">
        <f>IF(ICT!D22="","",ICT!D22)</f>
        <v/>
      </c>
      <c r="O22" s="37" t="str">
        <f>IF(ICT!E22="","",ICT!E22)</f>
        <v/>
      </c>
      <c r="P22" s="44" t="str">
        <f>IF(Physics!B22="","",Physics!B22)</f>
        <v/>
      </c>
      <c r="Q22" s="44" t="str">
        <f>IF(Physics!C22="","",Physics!C22)</f>
        <v/>
      </c>
      <c r="R22" s="44" t="str">
        <f>IF(Physics!D22="","",Physics!D22)</f>
        <v/>
      </c>
      <c r="S22" s="89" t="str">
        <f>IF(Physics!E22="","",Physics!E22)</f>
        <v/>
      </c>
      <c r="T22" s="37" t="str">
        <f>IF(Chemistry!B22="","",Chemistry!B22)</f>
        <v/>
      </c>
      <c r="U22" s="37" t="str">
        <f>IF(Chemistry!C22="","",Chemistry!C22)</f>
        <v/>
      </c>
      <c r="V22" s="37" t="str">
        <f>IF(Chemistry!D22="","",Chemistry!D22)</f>
        <v/>
      </c>
      <c r="W22" s="37" t="str">
        <f>IF(Chemistry!E22="","",Chemistry!E22)</f>
        <v/>
      </c>
      <c r="X22" s="38" t="str">
        <f>IF(SubjectList!G22="Math", IF(Math!B22="","",Math!B22), IF(Biology!B22="","",Biology!B22))</f>
        <v/>
      </c>
      <c r="Y22" s="38" t="str">
        <f>IF(SubjectList!G22="Math", IF(Math!C22="","",Math!C22), IF(Biology!C22="","",Biology!C22))</f>
        <v/>
      </c>
      <c r="Z22" s="38" t="str">
        <f>IF(SubjectList!G22="Math", IF(Math!D22="","",Math!D22), IF(Biology!D22="","",Biology!D22))</f>
        <v/>
      </c>
      <c r="AA22" s="38" t="str">
        <f>IF(SubjectList!G22="Math", IF(Math!E22="","",Math!E22), IF(Biology!E22="","",Biology!E22))</f>
        <v/>
      </c>
      <c r="AB22" s="44" t="str">
        <f>IF(SubjectList!I22="Biology", IF(Biology!B22="","",Biology!B22), IF(Math!B22="","",Math!B22))</f>
        <v/>
      </c>
      <c r="AC22" s="44" t="str">
        <f>Optional!D22</f>
        <v/>
      </c>
      <c r="AD22" s="44" t="str">
        <f>Optional!E22</f>
        <v/>
      </c>
      <c r="AE22" s="44" t="str">
        <f>Optional!F22</f>
        <v/>
      </c>
      <c r="AF22" s="39" t="str">
        <f>IF(SubjectList!G22="","", SubjectList!G22)</f>
        <v>Biology</v>
      </c>
      <c r="AG22" s="39" t="str">
        <f>IF(SubjectList!I22="","", SubjectList!I22)</f>
        <v>Math</v>
      </c>
      <c r="AH22" s="40" t="str">
        <f>Bangla!F22</f>
        <v/>
      </c>
      <c r="AI22" s="91" t="str">
        <f>English!E22</f>
        <v/>
      </c>
      <c r="AJ22" s="40" t="str">
        <f>ICT!G22</f>
        <v/>
      </c>
      <c r="AK22" s="40" t="str">
        <f>Physics!G22</f>
        <v/>
      </c>
      <c r="AL22" s="40" t="str">
        <f>Chemistry!G22</f>
        <v/>
      </c>
      <c r="AM22" s="40" t="str">
        <f>IF(SubjectList!G22="Math", IF(Math!G22="","",Math!G22), IF(Biology!G22="","",Biology!G22))</f>
        <v/>
      </c>
      <c r="AN22" s="40" t="str">
        <f>IF(SubjectList!H22="Math", IF(Math!G22="","",Math!G22), IF(Biology!G22="","",Biology!G22))</f>
        <v/>
      </c>
      <c r="AO22" s="41" t="str">
        <f>Bangla!G22</f>
        <v/>
      </c>
      <c r="AP22" s="41" t="str">
        <f>English!F22</f>
        <v/>
      </c>
      <c r="AQ22" s="41" t="str">
        <f>ICT!H22</f>
        <v/>
      </c>
      <c r="AR22" s="41" t="str">
        <f>Physics!H22</f>
        <v/>
      </c>
      <c r="AS22" s="41" t="str">
        <f>Chemistry!H22</f>
        <v/>
      </c>
      <c r="AT22" s="41" t="str">
        <f>IF(SubjectList!G22="Math", IF(Math!H22="","",Math!H22), IF(Biology!H22="","",Biology!H22))</f>
        <v/>
      </c>
      <c r="AU22" s="41" t="str">
        <f>IF(SubjectList!I22="Math", IF(Math!H22="","",Math!H22), IF(Biology!H22="","",Biology!H22))</f>
        <v/>
      </c>
      <c r="AV22" s="41" t="str">
        <f>Optional!I22</f>
        <v/>
      </c>
      <c r="AW22" s="41" t="str">
        <f>Optional!J22</f>
        <v/>
      </c>
      <c r="AX22" s="41" t="str">
        <f t="shared" si="0"/>
        <v/>
      </c>
      <c r="AY22" s="41" t="str">
        <f t="shared" si="15"/>
        <v/>
      </c>
      <c r="AZ22" s="41" t="str">
        <f t="shared" si="1"/>
        <v/>
      </c>
      <c r="BA22" s="41" t="str">
        <f t="shared" si="2"/>
        <v/>
      </c>
      <c r="BB22" s="41">
        <f t="shared" si="18"/>
        <v>0</v>
      </c>
      <c r="BC22" s="46" t="str">
        <f t="shared" si="16"/>
        <v/>
      </c>
      <c r="BD22" s="46" t="str">
        <f t="shared" si="5"/>
        <v/>
      </c>
      <c r="BE22" s="46" t="str">
        <f t="shared" si="6"/>
        <v/>
      </c>
      <c r="BF22" s="46" t="str">
        <f t="shared" si="7"/>
        <v/>
      </c>
      <c r="BG22" s="46" t="str">
        <f t="shared" si="8"/>
        <v/>
      </c>
      <c r="BH22" s="46" t="str">
        <f t="shared" si="9"/>
        <v/>
      </c>
      <c r="BI22" s="3">
        <f t="shared" si="17"/>
        <v>0</v>
      </c>
      <c r="BJ22" s="3" t="str">
        <f t="shared" si="19"/>
        <v>Failed in 6 Subjects</v>
      </c>
      <c r="BK22" s="3" t="str">
        <f>IF(BA22="","",RANK(BA22,BA$2:BA88,0))</f>
        <v/>
      </c>
      <c r="BL22" s="3" t="str">
        <f t="shared" si="12"/>
        <v>খুবই দুর্বল</v>
      </c>
      <c r="BM22" s="3" t="str">
        <f t="shared" si="13"/>
        <v>Very Weak</v>
      </c>
      <c r="BN22" s="3" t="str">
        <f t="shared" si="14"/>
        <v/>
      </c>
    </row>
    <row r="23" spans="1:66" x14ac:dyDescent="0.35">
      <c r="A23" s="3" t="str">
        <f>'Student Basic Info'!B23</f>
        <v>Science</v>
      </c>
      <c r="B23" s="3">
        <f>'Student Basic Info'!A23</f>
        <v>722</v>
      </c>
      <c r="C23" s="3" t="str">
        <f>'Student Basic Info'!C23</f>
        <v>Mahmudau Rahman Munna</v>
      </c>
      <c r="D23" s="3" t="str">
        <f>'Student Basic Info'!D23</f>
        <v>Msotafizur Rahman</v>
      </c>
      <c r="E23" s="3" t="str">
        <f>'Student Basic Info'!E23</f>
        <v>Ferdaus Ara</v>
      </c>
      <c r="F23" s="3" t="str">
        <f>'Student Basic Info'!F23</f>
        <v>Male</v>
      </c>
      <c r="G23" s="73" t="str">
        <f>'Student Basic Info'!I23</f>
        <v>0185-9460020</v>
      </c>
      <c r="H23" s="74" t="str">
        <f>IF(Bangla!B23="","",Bangla!B23)</f>
        <v/>
      </c>
      <c r="I23" s="74">
        <f>IF(Bangla!C23="","",Bangla!C23)</f>
        <v>57</v>
      </c>
      <c r="J23" s="74">
        <f>IF(Bangla!D23="","",Bangla!D23)</f>
        <v>57</v>
      </c>
      <c r="K23" s="75">
        <f>IF(English!C23="","",English!C23)</f>
        <v>41</v>
      </c>
      <c r="L23" s="37">
        <f>IF(ICT!B23="","",ICT!B23)</f>
        <v>12</v>
      </c>
      <c r="M23" s="37">
        <f>IF(ICT!C23="","",ICT!C23)</f>
        <v>2</v>
      </c>
      <c r="N23" s="37">
        <f>IF(ICT!D23="","",ICT!D23)</f>
        <v>22</v>
      </c>
      <c r="O23" s="37">
        <f>IF(ICT!E23="","",ICT!E23)</f>
        <v>36</v>
      </c>
      <c r="P23" s="44">
        <f>IF(Physics!B23="","",Physics!B23)</f>
        <v>14</v>
      </c>
      <c r="Q23" s="44">
        <f>IF(Physics!C23="","",Physics!C23)</f>
        <v>3</v>
      </c>
      <c r="R23" s="44">
        <f>IF(Physics!D23="","",Physics!D23)</f>
        <v>12</v>
      </c>
      <c r="S23" s="89">
        <f>IF(Physics!E23="","",Physics!E23)</f>
        <v>29</v>
      </c>
      <c r="T23" s="37">
        <f>IF(Chemistry!B23="","",Chemistry!B23)</f>
        <v>14</v>
      </c>
      <c r="U23" s="37">
        <f>IF(Chemistry!C23="","",Chemistry!C23)</f>
        <v>12</v>
      </c>
      <c r="V23" s="37">
        <f>IF(Chemistry!D23="","",Chemistry!D23)</f>
        <v>8</v>
      </c>
      <c r="W23" s="37">
        <f>IF(Chemistry!E23="","",Chemistry!E23)</f>
        <v>34</v>
      </c>
      <c r="X23" s="38">
        <f>IF(SubjectList!G23="Math", IF(Math!B23="","",Math!B23), IF(Biology!B23="","",Biology!B23))</f>
        <v>16</v>
      </c>
      <c r="Y23" s="38">
        <f>IF(SubjectList!G23="Math", IF(Math!C23="","",Math!C23), IF(Biology!C23="","",Biology!C23))</f>
        <v>12</v>
      </c>
      <c r="Z23" s="38">
        <f>IF(SubjectList!G23="Math", IF(Math!D23="","",Math!D23), IF(Biology!D23="","",Biology!D23))</f>
        <v>12</v>
      </c>
      <c r="AA23" s="38">
        <f>IF(SubjectList!G23="Math", IF(Math!E23="","",Math!E23), IF(Biology!E23="","",Biology!E23))</f>
        <v>40</v>
      </c>
      <c r="AB23" s="44">
        <f>IF(SubjectList!I23="Biology", IF(Biology!B23="","",Biology!B23), IF(Math!B23="","",Math!B23))</f>
        <v>17</v>
      </c>
      <c r="AC23" s="44">
        <f>Optional!D23</f>
        <v>0</v>
      </c>
      <c r="AD23" s="44">
        <f>Optional!E23</f>
        <v>10</v>
      </c>
      <c r="AE23" s="44">
        <f>Optional!F23</f>
        <v>27</v>
      </c>
      <c r="AF23" s="39" t="str">
        <f>IF(SubjectList!G23="","", SubjectList!G23)</f>
        <v>Biology</v>
      </c>
      <c r="AG23" s="39" t="str">
        <f>IF(SubjectList!I23="","", SubjectList!I23)</f>
        <v>Math</v>
      </c>
      <c r="AH23" s="40" t="str">
        <f>Bangla!F23</f>
        <v>B</v>
      </c>
      <c r="AI23" s="91" t="str">
        <f>English!E23</f>
        <v>C</v>
      </c>
      <c r="AJ23" s="40" t="str">
        <f>ICT!G23</f>
        <v>F</v>
      </c>
      <c r="AK23" s="40" t="str">
        <f>Physics!G23</f>
        <v>F</v>
      </c>
      <c r="AL23" s="40" t="str">
        <f>Chemistry!G23</f>
        <v>F</v>
      </c>
      <c r="AM23" s="40" t="str">
        <f>IF(SubjectList!G23="Math", IF(Math!G23="","",Math!G23), IF(Biology!G23="","",Biology!G23))</f>
        <v>F</v>
      </c>
      <c r="AN23" s="40" t="str">
        <f>IF(SubjectList!H23="Math", IF(Math!G23="","",Math!G23), IF(Biology!G23="","",Biology!G23))</f>
        <v>F</v>
      </c>
      <c r="AO23" s="41">
        <f>Bangla!G23</f>
        <v>3</v>
      </c>
      <c r="AP23" s="41">
        <f>English!F23</f>
        <v>2</v>
      </c>
      <c r="AQ23" s="41">
        <f>ICT!H23</f>
        <v>0</v>
      </c>
      <c r="AR23" s="41">
        <f>Physics!H23</f>
        <v>0</v>
      </c>
      <c r="AS23" s="41">
        <f>Chemistry!H23</f>
        <v>0</v>
      </c>
      <c r="AT23" s="41">
        <f>IF(SubjectList!G23="Math", IF(Math!H23="","",Math!H23), IF(Biology!H23="","",Biology!H23))</f>
        <v>0</v>
      </c>
      <c r="AU23" s="41">
        <f>IF(SubjectList!I23="Math", IF(Math!H23="","",Math!H23), IF(Biology!H23="","",Biology!H23))</f>
        <v>0</v>
      </c>
      <c r="AV23" s="41">
        <f>Optional!I23</f>
        <v>0</v>
      </c>
      <c r="AW23" s="41">
        <f>Optional!J23</f>
        <v>0</v>
      </c>
      <c r="AX23" s="41">
        <f t="shared" si="0"/>
        <v>5</v>
      </c>
      <c r="AY23" s="41">
        <f t="shared" si="15"/>
        <v>5</v>
      </c>
      <c r="AZ23" s="41" t="str">
        <f t="shared" si="1"/>
        <v/>
      </c>
      <c r="BA23" s="41" t="str">
        <f t="shared" si="2"/>
        <v/>
      </c>
      <c r="BB23" s="41">
        <f t="shared" si="18"/>
        <v>264</v>
      </c>
      <c r="BC23" s="46">
        <f t="shared" si="16"/>
        <v>1</v>
      </c>
      <c r="BD23" s="46">
        <f t="shared" si="5"/>
        <v>1</v>
      </c>
      <c r="BE23" s="46">
        <f t="shared" si="6"/>
        <v>0</v>
      </c>
      <c r="BF23" s="46">
        <f t="shared" si="7"/>
        <v>0</v>
      </c>
      <c r="BG23" s="46">
        <f t="shared" si="8"/>
        <v>0</v>
      </c>
      <c r="BH23" s="46">
        <f t="shared" si="9"/>
        <v>0</v>
      </c>
      <c r="BI23" s="3">
        <f t="shared" si="17"/>
        <v>2</v>
      </c>
      <c r="BJ23" s="3" t="str">
        <f t="shared" si="19"/>
        <v>Failed in 4 Subjects</v>
      </c>
      <c r="BK23" s="3" t="str">
        <f>IF(BA23="","",RANK(BA23,BA$2:BA88,0))</f>
        <v/>
      </c>
      <c r="BL23" s="3" t="str">
        <f t="shared" si="12"/>
        <v>খুবই দুর্বল</v>
      </c>
      <c r="BM23" s="3" t="str">
        <f t="shared" si="13"/>
        <v>Very Weak</v>
      </c>
      <c r="BN23" s="3" t="str">
        <f t="shared" si="14"/>
        <v/>
      </c>
    </row>
    <row r="24" spans="1:66" x14ac:dyDescent="0.35">
      <c r="A24" s="3" t="str">
        <f>'Student Basic Info'!B24</f>
        <v>Science</v>
      </c>
      <c r="B24" s="3">
        <f>'Student Basic Info'!A24</f>
        <v>723</v>
      </c>
      <c r="C24" s="3" t="str">
        <f>'Student Basic Info'!C24</f>
        <v>Shamsuzzaman</v>
      </c>
      <c r="D24" s="3" t="str">
        <f>'Student Basic Info'!D24</f>
        <v>Ruhal Amin</v>
      </c>
      <c r="E24" s="3" t="str">
        <f>'Student Basic Info'!E24</f>
        <v>Shamsun Nahar</v>
      </c>
      <c r="F24" s="3" t="str">
        <f>'Student Basic Info'!F24</f>
        <v>Male</v>
      </c>
      <c r="G24" s="73" t="str">
        <f>'Student Basic Info'!I24</f>
        <v>01609-756268</v>
      </c>
      <c r="H24" s="74" t="str">
        <f>IF(Bangla!B24="","",Bangla!B24)</f>
        <v/>
      </c>
      <c r="I24" s="74">
        <f>IF(Bangla!C24="","",Bangla!C24)</f>
        <v>72</v>
      </c>
      <c r="J24" s="74">
        <f>IF(Bangla!D24="","",Bangla!D24)</f>
        <v>72</v>
      </c>
      <c r="K24" s="75">
        <f>IF(English!C24="","",English!C24)</f>
        <v>64</v>
      </c>
      <c r="L24" s="37">
        <f>IF(ICT!B24="","",ICT!B24)</f>
        <v>23</v>
      </c>
      <c r="M24" s="37">
        <f>IF(ICT!C24="","",ICT!C24)</f>
        <v>43</v>
      </c>
      <c r="N24" s="37">
        <f>IF(ICT!D24="","",ICT!D24)</f>
        <v>25</v>
      </c>
      <c r="O24" s="37">
        <f>IF(ICT!E24="","",ICT!E24)</f>
        <v>91</v>
      </c>
      <c r="P24" s="44">
        <f>IF(Physics!B24="","",Physics!B24)</f>
        <v>19</v>
      </c>
      <c r="Q24" s="44">
        <f>IF(Physics!C24="","",Physics!C24)</f>
        <v>50</v>
      </c>
      <c r="R24" s="44">
        <f>IF(Physics!D24="","",Physics!D24)</f>
        <v>21</v>
      </c>
      <c r="S24" s="89">
        <f>IF(Physics!E24="","",Physics!E24)</f>
        <v>90</v>
      </c>
      <c r="T24" s="37">
        <f>IF(Chemistry!B24="","",Chemistry!B24)</f>
        <v>19</v>
      </c>
      <c r="U24" s="37">
        <f>IF(Chemistry!C24="","",Chemistry!C24)</f>
        <v>46</v>
      </c>
      <c r="V24" s="37">
        <f>IF(Chemistry!D24="","",Chemistry!D24)</f>
        <v>25</v>
      </c>
      <c r="W24" s="37">
        <f>IF(Chemistry!E24="","",Chemistry!E24)</f>
        <v>90</v>
      </c>
      <c r="X24" s="38">
        <f>IF(SubjectList!G24="Math", IF(Math!B24="","",Math!B24), IF(Biology!B24="","",Biology!B24))</f>
        <v>16</v>
      </c>
      <c r="Y24" s="38">
        <f>IF(SubjectList!G24="Math", IF(Math!C24="","",Math!C24), IF(Biology!C24="","",Biology!C24))</f>
        <v>37</v>
      </c>
      <c r="Z24" s="38">
        <f>IF(SubjectList!G24="Math", IF(Math!D24="","",Math!D24), IF(Biology!D24="","",Biology!D24))</f>
        <v>18</v>
      </c>
      <c r="AA24" s="38">
        <f>IF(SubjectList!G24="Math", IF(Math!E24="","",Math!E24), IF(Biology!E24="","",Biology!E24))</f>
        <v>71</v>
      </c>
      <c r="AB24" s="44">
        <f>IF(SubjectList!I24="Biology", IF(Biology!B24="","",Biology!B24), IF(Math!B24="","",Math!B24))</f>
        <v>18</v>
      </c>
      <c r="AC24" s="44">
        <f>Optional!D24</f>
        <v>38</v>
      </c>
      <c r="AD24" s="44">
        <f>Optional!E24</f>
        <v>24</v>
      </c>
      <c r="AE24" s="44">
        <f>Optional!F24</f>
        <v>80</v>
      </c>
      <c r="AF24" s="39" t="str">
        <f>IF(SubjectList!G24="","", SubjectList!G24)</f>
        <v>Biology</v>
      </c>
      <c r="AG24" s="39" t="str">
        <f>IF(SubjectList!I24="","", SubjectList!I24)</f>
        <v>Math</v>
      </c>
      <c r="AH24" s="40" t="str">
        <f>Bangla!F24</f>
        <v>A</v>
      </c>
      <c r="AI24" s="91" t="str">
        <f>English!E24</f>
        <v>A-</v>
      </c>
      <c r="AJ24" s="40" t="str">
        <f>ICT!G24</f>
        <v>A+</v>
      </c>
      <c r="AK24" s="40" t="str">
        <f>Physics!G24</f>
        <v>A+</v>
      </c>
      <c r="AL24" s="40" t="str">
        <f>Chemistry!G24</f>
        <v>A+</v>
      </c>
      <c r="AM24" s="40" t="str">
        <f>IF(SubjectList!G24="Math", IF(Math!G24="","",Math!G24), IF(Biology!G24="","",Biology!G24))</f>
        <v>A</v>
      </c>
      <c r="AN24" s="40" t="str">
        <f>IF(SubjectList!H24="Math", IF(Math!G24="","",Math!G24), IF(Biology!G24="","",Biology!G24))</f>
        <v>A+</v>
      </c>
      <c r="AO24" s="41">
        <f>Bangla!G24</f>
        <v>4</v>
      </c>
      <c r="AP24" s="41">
        <f>English!F24</f>
        <v>3.5</v>
      </c>
      <c r="AQ24" s="41">
        <f>ICT!H24</f>
        <v>5</v>
      </c>
      <c r="AR24" s="41">
        <f>Physics!H24</f>
        <v>5</v>
      </c>
      <c r="AS24" s="41">
        <f>Chemistry!H24</f>
        <v>5</v>
      </c>
      <c r="AT24" s="41">
        <f>IF(SubjectList!G24="Math", IF(Math!H24="","",Math!H24), IF(Biology!H24="","",Biology!H24))</f>
        <v>4</v>
      </c>
      <c r="AU24" s="41">
        <f>IF(SubjectList!I24="Math", IF(Math!H24="","",Math!H24), IF(Biology!H24="","",Biology!H24))</f>
        <v>5</v>
      </c>
      <c r="AV24" s="41">
        <f>Optional!I24</f>
        <v>5</v>
      </c>
      <c r="AW24" s="41">
        <f>Optional!J24</f>
        <v>3</v>
      </c>
      <c r="AX24" s="41">
        <f t="shared" si="0"/>
        <v>26.5</v>
      </c>
      <c r="AY24" s="41">
        <f t="shared" si="15"/>
        <v>29.5</v>
      </c>
      <c r="AZ24" s="41">
        <f t="shared" si="1"/>
        <v>4.416666666666667</v>
      </c>
      <c r="BA24" s="41">
        <f t="shared" si="2"/>
        <v>4.916666666666667</v>
      </c>
      <c r="BB24" s="41">
        <f t="shared" si="18"/>
        <v>558</v>
      </c>
      <c r="BC24" s="46">
        <f t="shared" si="16"/>
        <v>1</v>
      </c>
      <c r="BD24" s="46">
        <f t="shared" si="5"/>
        <v>1</v>
      </c>
      <c r="BE24" s="46">
        <f t="shared" si="6"/>
        <v>1</v>
      </c>
      <c r="BF24" s="46">
        <f t="shared" si="7"/>
        <v>1</v>
      </c>
      <c r="BG24" s="46">
        <f t="shared" si="8"/>
        <v>1</v>
      </c>
      <c r="BH24" s="46">
        <f t="shared" si="9"/>
        <v>1</v>
      </c>
      <c r="BI24" s="3">
        <f t="shared" si="17"/>
        <v>6</v>
      </c>
      <c r="BJ24" s="3" t="str">
        <f t="shared" si="19"/>
        <v>Pass</v>
      </c>
      <c r="BK24" s="3">
        <f>IF(BA24="","",RANK(BA24,BA$2:BA88,0))</f>
        <v>1</v>
      </c>
      <c r="BL24" s="3" t="str">
        <f t="shared" si="12"/>
        <v>খুব ভালো</v>
      </c>
      <c r="BM24" s="3" t="str">
        <f t="shared" si="13"/>
        <v>Very Good</v>
      </c>
      <c r="BN24" s="3" t="str">
        <f t="shared" si="14"/>
        <v>A</v>
      </c>
    </row>
    <row r="25" spans="1:66" x14ac:dyDescent="0.35">
      <c r="A25" s="3" t="str">
        <f>'Student Basic Info'!B25</f>
        <v>Science</v>
      </c>
      <c r="B25" s="3">
        <f>'Student Basic Info'!A25</f>
        <v>724</v>
      </c>
      <c r="C25" s="3" t="str">
        <f>'Student Basic Info'!C25</f>
        <v>Dipto Chandra Das</v>
      </c>
      <c r="D25" s="3" t="str">
        <f>'Student Basic Info'!D25</f>
        <v>Nirmon Chandra Das</v>
      </c>
      <c r="E25" s="3" t="str">
        <f>'Student Basic Info'!E25</f>
        <v>Anjona Bala Das</v>
      </c>
      <c r="F25" s="3" t="str">
        <f>'Student Basic Info'!F25</f>
        <v>Male</v>
      </c>
      <c r="G25" s="73" t="str">
        <f>'Student Basic Info'!I25</f>
        <v>01840-637020</v>
      </c>
      <c r="H25" s="74" t="str">
        <f>IF(Bangla!B25="","",Bangla!B25)</f>
        <v/>
      </c>
      <c r="I25" s="74">
        <f>IF(Bangla!C25="","",Bangla!C25)</f>
        <v>46</v>
      </c>
      <c r="J25" s="74">
        <f>IF(Bangla!D25="","",Bangla!D25)</f>
        <v>46</v>
      </c>
      <c r="K25" s="75">
        <f>IF(English!C25="","",English!C25)</f>
        <v>34</v>
      </c>
      <c r="L25" s="37">
        <f>IF(ICT!B25="","",ICT!B25)</f>
        <v>22</v>
      </c>
      <c r="M25" s="37">
        <f>IF(ICT!C25="","",ICT!C25)</f>
        <v>9</v>
      </c>
      <c r="N25" s="37">
        <f>IF(ICT!D25="","",ICT!D25)</f>
        <v>25</v>
      </c>
      <c r="O25" s="37">
        <f>IF(ICT!E25="","",ICT!E25)</f>
        <v>56</v>
      </c>
      <c r="P25" s="44">
        <f>IF(Physics!B25="","",Physics!B25)</f>
        <v>13</v>
      </c>
      <c r="Q25" s="44">
        <f>IF(Physics!C25="","",Physics!C25)</f>
        <v>17</v>
      </c>
      <c r="R25" s="44">
        <f>IF(Physics!D25="","",Physics!D25)</f>
        <v>15</v>
      </c>
      <c r="S25" s="89">
        <f>IF(Physics!E25="","",Physics!E25)</f>
        <v>45</v>
      </c>
      <c r="T25" s="37">
        <f>IF(Chemistry!B25="","",Chemistry!B25)</f>
        <v>10</v>
      </c>
      <c r="U25" s="37">
        <f>IF(Chemistry!C25="","",Chemistry!C25)</f>
        <v>26</v>
      </c>
      <c r="V25" s="37">
        <f>IF(Chemistry!D25="","",Chemistry!D25)</f>
        <v>15</v>
      </c>
      <c r="W25" s="37">
        <f>IF(Chemistry!E25="","",Chemistry!E25)</f>
        <v>51</v>
      </c>
      <c r="X25" s="38">
        <f>IF(SubjectList!G25="Math", IF(Math!B25="","",Math!B25), IF(Biology!B25="","",Biology!B25))</f>
        <v>16</v>
      </c>
      <c r="Y25" s="38">
        <f>IF(SubjectList!G25="Math", IF(Math!C25="","",Math!C25), IF(Biology!C25="","",Biology!C25))</f>
        <v>13</v>
      </c>
      <c r="Z25" s="38">
        <f>IF(SubjectList!G25="Math", IF(Math!D25="","",Math!D25), IF(Biology!D25="","",Biology!D25))</f>
        <v>15</v>
      </c>
      <c r="AA25" s="38">
        <f>IF(SubjectList!G25="Math", IF(Math!E25="","",Math!E25), IF(Biology!E25="","",Biology!E25))</f>
        <v>44</v>
      </c>
      <c r="AB25" s="44">
        <f>IF(SubjectList!I25="Biology", IF(Biology!B25="","",Biology!B25), IF(Math!B25="","",Math!B25))</f>
        <v>16</v>
      </c>
      <c r="AC25" s="44">
        <f>Optional!D25</f>
        <v>1</v>
      </c>
      <c r="AD25" s="44">
        <f>Optional!E25</f>
        <v>11</v>
      </c>
      <c r="AE25" s="44">
        <f>Optional!F25</f>
        <v>28</v>
      </c>
      <c r="AF25" s="39" t="str">
        <f>IF(SubjectList!G25="","", SubjectList!G25)</f>
        <v>Biology</v>
      </c>
      <c r="AG25" s="39" t="str">
        <f>IF(SubjectList!I25="","", SubjectList!I25)</f>
        <v>Math</v>
      </c>
      <c r="AH25" s="40" t="str">
        <f>Bangla!F25</f>
        <v>C</v>
      </c>
      <c r="AI25" s="91" t="str">
        <f>English!E25</f>
        <v>D</v>
      </c>
      <c r="AJ25" s="40" t="str">
        <f>ICT!G25</f>
        <v>F</v>
      </c>
      <c r="AK25" s="40" t="str">
        <f>Physics!G25</f>
        <v>C</v>
      </c>
      <c r="AL25" s="40" t="str">
        <f>Chemistry!G25</f>
        <v>B</v>
      </c>
      <c r="AM25" s="40" t="str">
        <f>IF(SubjectList!G25="Math", IF(Math!G25="","",Math!G25), IF(Biology!G25="","",Biology!G25))</f>
        <v>F</v>
      </c>
      <c r="AN25" s="40" t="str">
        <f>IF(SubjectList!H25="Math", IF(Math!G25="","",Math!G25), IF(Biology!G25="","",Biology!G25))</f>
        <v>F</v>
      </c>
      <c r="AO25" s="41">
        <f>Bangla!G25</f>
        <v>2</v>
      </c>
      <c r="AP25" s="41">
        <f>English!F25</f>
        <v>1</v>
      </c>
      <c r="AQ25" s="41">
        <f>ICT!H25</f>
        <v>0</v>
      </c>
      <c r="AR25" s="41">
        <f>Physics!H25</f>
        <v>2</v>
      </c>
      <c r="AS25" s="41">
        <f>Chemistry!H25</f>
        <v>3</v>
      </c>
      <c r="AT25" s="41">
        <f>IF(SubjectList!G25="Math", IF(Math!H25="","",Math!H25), IF(Biology!H25="","",Biology!H25))</f>
        <v>0</v>
      </c>
      <c r="AU25" s="41">
        <f>IF(SubjectList!I25="Math", IF(Math!H25="","",Math!H25), IF(Biology!H25="","",Biology!H25))</f>
        <v>0</v>
      </c>
      <c r="AV25" s="41">
        <f>Optional!I25</f>
        <v>0</v>
      </c>
      <c r="AW25" s="41">
        <f>Optional!J25</f>
        <v>0</v>
      </c>
      <c r="AX25" s="41">
        <f t="shared" si="0"/>
        <v>8</v>
      </c>
      <c r="AY25" s="41">
        <f t="shared" si="15"/>
        <v>8</v>
      </c>
      <c r="AZ25" s="41" t="str">
        <f t="shared" si="1"/>
        <v/>
      </c>
      <c r="BA25" s="41" t="str">
        <f t="shared" si="2"/>
        <v/>
      </c>
      <c r="BB25" s="41">
        <f t="shared" si="18"/>
        <v>304</v>
      </c>
      <c r="BC25" s="46">
        <f t="shared" si="16"/>
        <v>1</v>
      </c>
      <c r="BD25" s="46">
        <f t="shared" si="5"/>
        <v>1</v>
      </c>
      <c r="BE25" s="46">
        <f t="shared" si="6"/>
        <v>0</v>
      </c>
      <c r="BF25" s="46">
        <f t="shared" si="7"/>
        <v>1</v>
      </c>
      <c r="BG25" s="46">
        <f t="shared" si="8"/>
        <v>1</v>
      </c>
      <c r="BH25" s="46">
        <f t="shared" si="9"/>
        <v>0</v>
      </c>
      <c r="BI25" s="3">
        <f t="shared" si="17"/>
        <v>4</v>
      </c>
      <c r="BJ25" s="3" t="str">
        <f t="shared" si="19"/>
        <v>Failed in 2 Subjects</v>
      </c>
      <c r="BK25" s="3" t="str">
        <f>IF(BA25="","",RANK(BA25,BA$2:BA88,0))</f>
        <v/>
      </c>
      <c r="BL25" s="3" t="str">
        <f t="shared" si="12"/>
        <v>খুবই দুর্বল</v>
      </c>
      <c r="BM25" s="3" t="str">
        <f t="shared" si="13"/>
        <v>Very Weak</v>
      </c>
      <c r="BN25" s="3" t="str">
        <f t="shared" si="14"/>
        <v/>
      </c>
    </row>
    <row r="26" spans="1:66" x14ac:dyDescent="0.35">
      <c r="A26" s="3" t="str">
        <f>'Student Basic Info'!B26</f>
        <v>Science</v>
      </c>
      <c r="B26" s="3">
        <f>'Student Basic Info'!A26</f>
        <v>725</v>
      </c>
      <c r="C26" s="3" t="str">
        <f>'Student Basic Info'!C26</f>
        <v>Shorfuddin Nayem</v>
      </c>
      <c r="D26" s="3" t="str">
        <f>'Student Basic Info'!D26</f>
        <v>Dalowar Hosain</v>
      </c>
      <c r="E26" s="3" t="str">
        <f>'Student Basic Info'!E26</f>
        <v>Razia Sultana</v>
      </c>
      <c r="F26" s="3" t="str">
        <f>'Student Basic Info'!F26</f>
        <v>Male</v>
      </c>
      <c r="G26" s="73" t="str">
        <f>'Student Basic Info'!I26</f>
        <v>01885-048969</v>
      </c>
      <c r="H26" s="74" t="str">
        <f>IF(Bangla!B26="","",Bangla!B26)</f>
        <v/>
      </c>
      <c r="I26" s="74">
        <f>IF(Bangla!C26="","",Bangla!C26)</f>
        <v>41</v>
      </c>
      <c r="J26" s="74">
        <f>IF(Bangla!D26="","",Bangla!D26)</f>
        <v>41</v>
      </c>
      <c r="K26" s="75">
        <f>IF(English!C26="","",English!C26)</f>
        <v>34</v>
      </c>
      <c r="L26" s="37">
        <f>IF(ICT!B26="","",ICT!B26)</f>
        <v>11</v>
      </c>
      <c r="M26" s="37">
        <f>IF(ICT!C26="","",ICT!C26)</f>
        <v>8</v>
      </c>
      <c r="N26" s="37">
        <f>IF(ICT!D26="","",ICT!D26)</f>
        <v>8</v>
      </c>
      <c r="O26" s="37">
        <f>IF(ICT!E26="","",ICT!E26)</f>
        <v>27</v>
      </c>
      <c r="P26" s="44">
        <f>IF(Physics!B26="","",Physics!B26)</f>
        <v>8</v>
      </c>
      <c r="Q26" s="44">
        <f>IF(Physics!C26="","",Physics!C26)</f>
        <v>20</v>
      </c>
      <c r="R26" s="44">
        <f>IF(Physics!D26="","",Physics!D26)</f>
        <v>14</v>
      </c>
      <c r="S26" s="89">
        <f>IF(Physics!E26="","",Physics!E26)</f>
        <v>42</v>
      </c>
      <c r="T26" s="37">
        <f>IF(Chemistry!B26="","",Chemistry!B26)</f>
        <v>14</v>
      </c>
      <c r="U26" s="37">
        <f>IF(Chemistry!C26="","",Chemistry!C26)</f>
        <v>13</v>
      </c>
      <c r="V26" s="37">
        <f>IF(Chemistry!D26="","",Chemistry!D26)</f>
        <v>10</v>
      </c>
      <c r="W26" s="37">
        <f>IF(Chemistry!E26="","",Chemistry!E26)</f>
        <v>37</v>
      </c>
      <c r="X26" s="38">
        <f>IF(SubjectList!G26="Math", IF(Math!B26="","",Math!B26), IF(Biology!B26="","",Biology!B26))</f>
        <v>15</v>
      </c>
      <c r="Y26" s="38">
        <f>IF(SubjectList!G26="Math", IF(Math!C26="","",Math!C26), IF(Biology!C26="","",Biology!C26))</f>
        <v>10</v>
      </c>
      <c r="Z26" s="38">
        <f>IF(SubjectList!G26="Math", IF(Math!D26="","",Math!D26), IF(Biology!D26="","",Biology!D26))</f>
        <v>12</v>
      </c>
      <c r="AA26" s="38">
        <f>IF(SubjectList!G26="Math", IF(Math!E26="","",Math!E26), IF(Biology!E26="","",Biology!E26))</f>
        <v>37</v>
      </c>
      <c r="AB26" s="44">
        <f>IF(SubjectList!I26="Biology", IF(Biology!B26="","",Biology!B26), IF(Math!B26="","",Math!B26))</f>
        <v>18</v>
      </c>
      <c r="AC26" s="44">
        <f>Optional!D26</f>
        <v>1</v>
      </c>
      <c r="AD26" s="44">
        <f>Optional!E26</f>
        <v>12</v>
      </c>
      <c r="AE26" s="44">
        <f>Optional!F26</f>
        <v>31</v>
      </c>
      <c r="AF26" s="39" t="str">
        <f>IF(SubjectList!G26="","", SubjectList!G26)</f>
        <v>Biology</v>
      </c>
      <c r="AG26" s="39" t="str">
        <f>IF(SubjectList!I26="","", SubjectList!I26)</f>
        <v>Math</v>
      </c>
      <c r="AH26" s="40" t="str">
        <f>Bangla!F26</f>
        <v>C</v>
      </c>
      <c r="AI26" s="91" t="str">
        <f>English!E26</f>
        <v>D</v>
      </c>
      <c r="AJ26" s="40" t="str">
        <f>ICT!G26</f>
        <v>F</v>
      </c>
      <c r="AK26" s="40" t="str">
        <f>Physics!G26</f>
        <v>C</v>
      </c>
      <c r="AL26" s="40" t="str">
        <f>Chemistry!G26</f>
        <v>F</v>
      </c>
      <c r="AM26" s="40" t="str">
        <f>IF(SubjectList!G26="Math", IF(Math!G26="","",Math!G26), IF(Biology!G26="","",Biology!G26))</f>
        <v>F</v>
      </c>
      <c r="AN26" s="40" t="str">
        <f>IF(SubjectList!H26="Math", IF(Math!G26="","",Math!G26), IF(Biology!G26="","",Biology!G26))</f>
        <v>F</v>
      </c>
      <c r="AO26" s="41">
        <f>Bangla!G26</f>
        <v>2</v>
      </c>
      <c r="AP26" s="41">
        <f>English!F26</f>
        <v>1</v>
      </c>
      <c r="AQ26" s="41">
        <f>ICT!H26</f>
        <v>0</v>
      </c>
      <c r="AR26" s="41">
        <f>Physics!H26</f>
        <v>2</v>
      </c>
      <c r="AS26" s="41">
        <f>Chemistry!H26</f>
        <v>0</v>
      </c>
      <c r="AT26" s="41">
        <f>IF(SubjectList!G26="Math", IF(Math!H26="","",Math!H26), IF(Biology!H26="","",Biology!H26))</f>
        <v>0</v>
      </c>
      <c r="AU26" s="41">
        <f>IF(SubjectList!I26="Math", IF(Math!H26="","",Math!H26), IF(Biology!H26="","",Biology!H26))</f>
        <v>0</v>
      </c>
      <c r="AV26" s="41">
        <f>Optional!I26</f>
        <v>0</v>
      </c>
      <c r="AW26" s="41">
        <f>Optional!J26</f>
        <v>0</v>
      </c>
      <c r="AX26" s="41">
        <f t="shared" si="0"/>
        <v>5</v>
      </c>
      <c r="AY26" s="41">
        <f t="shared" si="15"/>
        <v>5</v>
      </c>
      <c r="AZ26" s="41" t="str">
        <f t="shared" si="1"/>
        <v/>
      </c>
      <c r="BA26" s="41" t="str">
        <f t="shared" si="2"/>
        <v/>
      </c>
      <c r="BB26" s="41">
        <f t="shared" si="18"/>
        <v>249</v>
      </c>
      <c r="BC26" s="46">
        <f t="shared" si="16"/>
        <v>1</v>
      </c>
      <c r="BD26" s="46">
        <f t="shared" si="5"/>
        <v>1</v>
      </c>
      <c r="BE26" s="46">
        <f t="shared" si="6"/>
        <v>0</v>
      </c>
      <c r="BF26" s="46">
        <f t="shared" si="7"/>
        <v>1</v>
      </c>
      <c r="BG26" s="46">
        <f t="shared" si="8"/>
        <v>0</v>
      </c>
      <c r="BH26" s="46">
        <f t="shared" si="9"/>
        <v>0</v>
      </c>
      <c r="BI26" s="3">
        <f t="shared" si="17"/>
        <v>3</v>
      </c>
      <c r="BJ26" s="3" t="str">
        <f t="shared" si="19"/>
        <v>Failed in 3 Subjects</v>
      </c>
      <c r="BK26" s="3" t="str">
        <f>IF(BA26="","",RANK(BA26,BA$2:BA88,0))</f>
        <v/>
      </c>
      <c r="BL26" s="3" t="str">
        <f t="shared" si="12"/>
        <v>খুবই দুর্বল</v>
      </c>
      <c r="BM26" s="3" t="str">
        <f t="shared" si="13"/>
        <v>Very Weak</v>
      </c>
      <c r="BN26" s="3" t="str">
        <f t="shared" si="14"/>
        <v/>
      </c>
    </row>
    <row r="27" spans="1:66" x14ac:dyDescent="0.35">
      <c r="A27" s="3" t="str">
        <f>'Student Basic Info'!B27</f>
        <v>Science</v>
      </c>
      <c r="B27" s="3">
        <f>'Student Basic Info'!A27</f>
        <v>726</v>
      </c>
      <c r="C27" s="3" t="str">
        <f>'Student Basic Info'!C27</f>
        <v>Mosaddek Ali</v>
      </c>
      <c r="D27" s="3" t="str">
        <f>'Student Basic Info'!D27</f>
        <v>Korban Ali</v>
      </c>
      <c r="E27" s="3" t="str">
        <f>'Student Basic Info'!E27</f>
        <v>Bibi Kulsum</v>
      </c>
      <c r="F27" s="3" t="str">
        <f>'Student Basic Info'!F27</f>
        <v>Male</v>
      </c>
      <c r="G27" s="73" t="str">
        <f>'Student Basic Info'!I27</f>
        <v>01787-254740</v>
      </c>
      <c r="H27" s="74" t="str">
        <f>IF(Bangla!B27="","",Bangla!B27)</f>
        <v/>
      </c>
      <c r="I27" s="74" t="str">
        <f>IF(Bangla!C27="","",Bangla!C27)</f>
        <v/>
      </c>
      <c r="J27" s="74" t="str">
        <f>IF(Bangla!D27="","",Bangla!D27)</f>
        <v/>
      </c>
      <c r="K27" s="75" t="str">
        <f>IF(English!C27="","",English!C27)</f>
        <v/>
      </c>
      <c r="L27" s="37" t="str">
        <f>IF(ICT!B27="","",ICT!B27)</f>
        <v/>
      </c>
      <c r="M27" s="37" t="str">
        <f>IF(ICT!C27="","",ICT!C27)</f>
        <v/>
      </c>
      <c r="N27" s="37" t="str">
        <f>IF(ICT!D27="","",ICT!D27)</f>
        <v/>
      </c>
      <c r="O27" s="37" t="str">
        <f>IF(ICT!E27="","",ICT!E27)</f>
        <v/>
      </c>
      <c r="P27" s="44" t="str">
        <f>IF(Physics!B27="","",Physics!B27)</f>
        <v/>
      </c>
      <c r="Q27" s="44" t="str">
        <f>IF(Physics!C27="","",Physics!C27)</f>
        <v/>
      </c>
      <c r="R27" s="44" t="str">
        <f>IF(Physics!D27="","",Physics!D27)</f>
        <v/>
      </c>
      <c r="S27" s="89" t="str">
        <f>IF(Physics!E27="","",Physics!E27)</f>
        <v/>
      </c>
      <c r="T27" s="37" t="str">
        <f>IF(Chemistry!B27="","",Chemistry!B27)</f>
        <v/>
      </c>
      <c r="U27" s="37" t="str">
        <f>IF(Chemistry!C27="","",Chemistry!C27)</f>
        <v/>
      </c>
      <c r="V27" s="37" t="str">
        <f>IF(Chemistry!D27="","",Chemistry!D27)</f>
        <v/>
      </c>
      <c r="W27" s="37" t="str">
        <f>IF(Chemistry!E27="","",Chemistry!E27)</f>
        <v/>
      </c>
      <c r="X27" s="38" t="str">
        <f>IF(SubjectList!G27="Math", IF(Math!B27="","",Math!B27), IF(Biology!B27="","",Biology!B27))</f>
        <v/>
      </c>
      <c r="Y27" s="38" t="str">
        <f>IF(SubjectList!G27="Math", IF(Math!C27="","",Math!C27), IF(Biology!C27="","",Biology!C27))</f>
        <v/>
      </c>
      <c r="Z27" s="38" t="str">
        <f>IF(SubjectList!G27="Math", IF(Math!D27="","",Math!D27), IF(Biology!D27="","",Biology!D27))</f>
        <v/>
      </c>
      <c r="AA27" s="38" t="str">
        <f>IF(SubjectList!G27="Math", IF(Math!E27="","",Math!E27), IF(Biology!E27="","",Biology!E27))</f>
        <v/>
      </c>
      <c r="AB27" s="44" t="str">
        <f>IF(SubjectList!I27="Biology", IF(Biology!B27="","",Biology!B27), IF(Math!B27="","",Math!B27))</f>
        <v/>
      </c>
      <c r="AC27" s="44" t="str">
        <f>Optional!D27</f>
        <v/>
      </c>
      <c r="AD27" s="44" t="str">
        <f>Optional!E27</f>
        <v/>
      </c>
      <c r="AE27" s="44" t="str">
        <f>Optional!F27</f>
        <v/>
      </c>
      <c r="AF27" s="39" t="str">
        <f>IF(SubjectList!G27="","", SubjectList!G27)</f>
        <v>Biology</v>
      </c>
      <c r="AG27" s="39" t="str">
        <f>IF(SubjectList!I27="","", SubjectList!I27)</f>
        <v>Math</v>
      </c>
      <c r="AH27" s="40" t="str">
        <f>Bangla!F27</f>
        <v/>
      </c>
      <c r="AI27" s="91" t="str">
        <f>English!E27</f>
        <v/>
      </c>
      <c r="AJ27" s="40" t="str">
        <f>ICT!G27</f>
        <v/>
      </c>
      <c r="AK27" s="40" t="str">
        <f>Physics!G27</f>
        <v/>
      </c>
      <c r="AL27" s="40" t="str">
        <f>Chemistry!G27</f>
        <v/>
      </c>
      <c r="AM27" s="40" t="str">
        <f>IF(SubjectList!G27="Math", IF(Math!G27="","",Math!G27), IF(Biology!G27="","",Biology!G27))</f>
        <v/>
      </c>
      <c r="AN27" s="40" t="str">
        <f>IF(SubjectList!H27="Math", IF(Math!G27="","",Math!G27), IF(Biology!G27="","",Biology!G27))</f>
        <v/>
      </c>
      <c r="AO27" s="41" t="str">
        <f>Bangla!G27</f>
        <v/>
      </c>
      <c r="AP27" s="41" t="str">
        <f>English!F27</f>
        <v/>
      </c>
      <c r="AQ27" s="41" t="str">
        <f>ICT!H27</f>
        <v/>
      </c>
      <c r="AR27" s="41" t="str">
        <f>Physics!H27</f>
        <v/>
      </c>
      <c r="AS27" s="41" t="str">
        <f>Chemistry!H27</f>
        <v/>
      </c>
      <c r="AT27" s="41" t="str">
        <f>IF(SubjectList!G27="Math", IF(Math!H27="","",Math!H27), IF(Biology!H27="","",Biology!H27))</f>
        <v/>
      </c>
      <c r="AU27" s="41" t="str">
        <f>IF(SubjectList!I27="Math", IF(Math!H27="","",Math!H27), IF(Biology!H27="","",Biology!H27))</f>
        <v/>
      </c>
      <c r="AV27" s="41" t="str">
        <f>Optional!I27</f>
        <v/>
      </c>
      <c r="AW27" s="41" t="str">
        <f>Optional!J27</f>
        <v/>
      </c>
      <c r="AX27" s="41" t="str">
        <f t="shared" si="0"/>
        <v/>
      </c>
      <c r="AY27" s="41" t="str">
        <f t="shared" si="15"/>
        <v/>
      </c>
      <c r="AZ27" s="41" t="str">
        <f t="shared" si="1"/>
        <v/>
      </c>
      <c r="BA27" s="41" t="str">
        <f t="shared" si="2"/>
        <v/>
      </c>
      <c r="BB27" s="41">
        <f t="shared" si="18"/>
        <v>0</v>
      </c>
      <c r="BC27" s="46" t="str">
        <f t="shared" si="16"/>
        <v/>
      </c>
      <c r="BD27" s="46" t="str">
        <f t="shared" si="5"/>
        <v/>
      </c>
      <c r="BE27" s="46" t="str">
        <f t="shared" si="6"/>
        <v/>
      </c>
      <c r="BF27" s="46" t="str">
        <f t="shared" si="7"/>
        <v/>
      </c>
      <c r="BG27" s="46" t="str">
        <f t="shared" si="8"/>
        <v/>
      </c>
      <c r="BH27" s="46" t="str">
        <f t="shared" si="9"/>
        <v/>
      </c>
      <c r="BI27" s="3">
        <f t="shared" si="17"/>
        <v>0</v>
      </c>
      <c r="BJ27" s="3" t="str">
        <f t="shared" si="19"/>
        <v>Failed in 6 Subjects</v>
      </c>
      <c r="BK27" s="3" t="str">
        <f>IF(BA27="","",RANK(BA27,BA$2:BA88,0))</f>
        <v/>
      </c>
      <c r="BL27" s="3" t="str">
        <f t="shared" si="12"/>
        <v>খুবই দুর্বল</v>
      </c>
      <c r="BM27" s="3" t="str">
        <f t="shared" si="13"/>
        <v>Very Weak</v>
      </c>
      <c r="BN27" s="3" t="str">
        <f t="shared" si="14"/>
        <v/>
      </c>
    </row>
    <row r="28" spans="1:66" x14ac:dyDescent="0.35">
      <c r="A28" s="3" t="str">
        <f>'Student Basic Info'!B28</f>
        <v>Science</v>
      </c>
      <c r="B28" s="3">
        <f>'Student Basic Info'!A28</f>
        <v>727</v>
      </c>
      <c r="C28" s="3" t="str">
        <f>'Student Basic Info'!C28</f>
        <v>Fahmida Sultana</v>
      </c>
      <c r="D28" s="3" t="str">
        <f>'Student Basic Info'!D28</f>
        <v>Md. Zajam Hosain</v>
      </c>
      <c r="E28" s="3" t="str">
        <f>'Student Basic Info'!E28</f>
        <v>Bibi Fatema Khatun</v>
      </c>
      <c r="F28" s="3" t="str">
        <f>'Student Basic Info'!F28</f>
        <v>Female</v>
      </c>
      <c r="G28" s="73" t="str">
        <f>'Student Basic Info'!I28</f>
        <v>01823-710538</v>
      </c>
      <c r="H28" s="74" t="str">
        <f>IF(Bangla!B28="","",Bangla!B28)</f>
        <v/>
      </c>
      <c r="I28" s="74">
        <f>IF(Bangla!C28="","",Bangla!C28)</f>
        <v>62</v>
      </c>
      <c r="J28" s="74">
        <f>IF(Bangla!D28="","",Bangla!D28)</f>
        <v>62</v>
      </c>
      <c r="K28" s="75">
        <f>IF(English!C28="","",English!C28)</f>
        <v>37</v>
      </c>
      <c r="L28" s="37">
        <f>IF(ICT!B28="","",ICT!B28)</f>
        <v>21</v>
      </c>
      <c r="M28" s="37">
        <f>IF(ICT!C28="","",ICT!C28)</f>
        <v>38</v>
      </c>
      <c r="N28" s="37">
        <f>IF(ICT!D28="","",ICT!D28)</f>
        <v>25</v>
      </c>
      <c r="O28" s="37">
        <f>IF(ICT!E28="","",ICT!E28)</f>
        <v>84</v>
      </c>
      <c r="P28" s="44">
        <f>IF(Physics!B28="","",Physics!B28)</f>
        <v>12</v>
      </c>
      <c r="Q28" s="44">
        <f>IF(Physics!C28="","",Physics!C28)</f>
        <v>36</v>
      </c>
      <c r="R28" s="44">
        <f>IF(Physics!D28="","",Physics!D28)</f>
        <v>20</v>
      </c>
      <c r="S28" s="89">
        <f>IF(Physics!E28="","",Physics!E28)</f>
        <v>68</v>
      </c>
      <c r="T28" s="37">
        <f>IF(Chemistry!B28="","",Chemistry!B28)</f>
        <v>12</v>
      </c>
      <c r="U28" s="37">
        <f>IF(Chemistry!C28="","",Chemistry!C28)</f>
        <v>17</v>
      </c>
      <c r="V28" s="37">
        <f>IF(Chemistry!D28="","",Chemistry!D28)</f>
        <v>15</v>
      </c>
      <c r="W28" s="37">
        <f>IF(Chemistry!E28="","",Chemistry!E28)</f>
        <v>44</v>
      </c>
      <c r="X28" s="38">
        <f>IF(SubjectList!G28="Math", IF(Math!B28="","",Math!B28), IF(Biology!B28="","",Biology!B28))</f>
        <v>8</v>
      </c>
      <c r="Y28" s="38">
        <f>IF(SubjectList!G28="Math", IF(Math!C28="","",Math!C28), IF(Biology!C28="","",Biology!C28))</f>
        <v>17</v>
      </c>
      <c r="Z28" s="38">
        <f>IF(SubjectList!G28="Math", IF(Math!D28="","",Math!D28), IF(Biology!D28="","",Biology!D28))</f>
        <v>15</v>
      </c>
      <c r="AA28" s="38">
        <f>IF(SubjectList!G28="Math", IF(Math!E28="","",Math!E28), IF(Biology!E28="","",Biology!E28))</f>
        <v>40</v>
      </c>
      <c r="AB28" s="44">
        <f>IF(SubjectList!I28="Biology", IF(Biology!B28="","",Biology!B28), IF(Math!B28="","",Math!B28))</f>
        <v>9</v>
      </c>
      <c r="AC28" s="44">
        <f>Optional!D28</f>
        <v>5</v>
      </c>
      <c r="AD28" s="44">
        <f>Optional!E28</f>
        <v>10</v>
      </c>
      <c r="AE28" s="44">
        <f>Optional!F28</f>
        <v>24</v>
      </c>
      <c r="AF28" s="39" t="str">
        <f>IF(SubjectList!G28="","", SubjectList!G28)</f>
        <v>Biology</v>
      </c>
      <c r="AG28" s="39" t="str">
        <f>IF(SubjectList!I28="","", SubjectList!I28)</f>
        <v>Math</v>
      </c>
      <c r="AH28" s="40" t="str">
        <f>Bangla!F28</f>
        <v>A-</v>
      </c>
      <c r="AI28" s="91" t="str">
        <f>English!E28</f>
        <v>D</v>
      </c>
      <c r="AJ28" s="40" t="str">
        <f>ICT!G28</f>
        <v>A+</v>
      </c>
      <c r="AK28" s="40" t="str">
        <f>Physics!G28</f>
        <v>A-</v>
      </c>
      <c r="AL28" s="40" t="str">
        <f>Chemistry!G28</f>
        <v>C</v>
      </c>
      <c r="AM28" s="40" t="str">
        <f>IF(SubjectList!G28="Math", IF(Math!G28="","",Math!G28), IF(Biology!G28="","",Biology!G28))</f>
        <v>C</v>
      </c>
      <c r="AN28" s="40" t="str">
        <f>IF(SubjectList!H28="Math", IF(Math!G28="","",Math!G28), IF(Biology!G28="","",Biology!G28))</f>
        <v>F</v>
      </c>
      <c r="AO28" s="41">
        <f>Bangla!G28</f>
        <v>3.5</v>
      </c>
      <c r="AP28" s="41">
        <f>English!F28</f>
        <v>1</v>
      </c>
      <c r="AQ28" s="41">
        <f>ICT!H28</f>
        <v>5</v>
      </c>
      <c r="AR28" s="41">
        <f>Physics!H28</f>
        <v>3.5</v>
      </c>
      <c r="AS28" s="41">
        <f>Chemistry!H28</f>
        <v>2</v>
      </c>
      <c r="AT28" s="41">
        <f>IF(SubjectList!G28="Math", IF(Math!H28="","",Math!H28), IF(Biology!H28="","",Biology!H28))</f>
        <v>2</v>
      </c>
      <c r="AU28" s="41">
        <f>IF(SubjectList!I28="Math", IF(Math!H28="","",Math!H28), IF(Biology!H28="","",Biology!H28))</f>
        <v>0</v>
      </c>
      <c r="AV28" s="41">
        <f>Optional!I28</f>
        <v>0</v>
      </c>
      <c r="AW28" s="41">
        <f>Optional!J28</f>
        <v>0</v>
      </c>
      <c r="AX28" s="41">
        <f t="shared" si="0"/>
        <v>17</v>
      </c>
      <c r="AY28" s="41">
        <f t="shared" si="15"/>
        <v>17</v>
      </c>
      <c r="AZ28" s="41">
        <f t="shared" si="1"/>
        <v>2.8333333333333335</v>
      </c>
      <c r="BA28" s="41">
        <f t="shared" si="2"/>
        <v>2.8333333333333335</v>
      </c>
      <c r="BB28" s="41">
        <f t="shared" si="18"/>
        <v>359</v>
      </c>
      <c r="BC28" s="46">
        <f t="shared" si="16"/>
        <v>1</v>
      </c>
      <c r="BD28" s="46">
        <f t="shared" si="5"/>
        <v>1</v>
      </c>
      <c r="BE28" s="46">
        <f t="shared" si="6"/>
        <v>1</v>
      </c>
      <c r="BF28" s="46">
        <f t="shared" si="7"/>
        <v>1</v>
      </c>
      <c r="BG28" s="46">
        <f t="shared" si="8"/>
        <v>1</v>
      </c>
      <c r="BH28" s="46">
        <f t="shared" si="9"/>
        <v>1</v>
      </c>
      <c r="BI28" s="3">
        <f t="shared" si="17"/>
        <v>6</v>
      </c>
      <c r="BJ28" s="3" t="str">
        <f t="shared" si="19"/>
        <v>Pass</v>
      </c>
      <c r="BK28" s="3">
        <f>IF(BA28="","",RANK(BA28,BA$2:BA88,0))</f>
        <v>9</v>
      </c>
      <c r="BL28" s="3" t="str">
        <f t="shared" si="12"/>
        <v>যত্ন প্রয়োজন</v>
      </c>
      <c r="BM28" s="3" t="str">
        <f t="shared" si="13"/>
        <v>Need to improve</v>
      </c>
      <c r="BN28" s="3" t="str">
        <f t="shared" si="14"/>
        <v>C</v>
      </c>
    </row>
    <row r="29" spans="1:66" x14ac:dyDescent="0.35">
      <c r="A29" s="3" t="str">
        <f>'Student Basic Info'!B29</f>
        <v>Science</v>
      </c>
      <c r="B29" s="3">
        <f>'Student Basic Info'!A29</f>
        <v>728</v>
      </c>
      <c r="C29" s="3" t="str">
        <f>'Student Basic Info'!C29</f>
        <v>Aditya Chandra Das (Akash)</v>
      </c>
      <c r="D29" s="3" t="str">
        <f>'Student Basic Info'!D29</f>
        <v>Dilip Chandra Das</v>
      </c>
      <c r="E29" s="3" t="str">
        <f>'Student Basic Info'!E29</f>
        <v>Archana Bala Das</v>
      </c>
      <c r="F29" s="3" t="str">
        <f>'Student Basic Info'!F29</f>
        <v>Male</v>
      </c>
      <c r="G29" s="73" t="str">
        <f>'Student Basic Info'!I29</f>
        <v>01818-887179</v>
      </c>
      <c r="H29" s="74" t="str">
        <f>IF(Bangla!B29="","",Bangla!B29)</f>
        <v/>
      </c>
      <c r="I29" s="74">
        <f>IF(Bangla!C29="","",Bangla!C29)</f>
        <v>40</v>
      </c>
      <c r="J29" s="74">
        <f>IF(Bangla!D29="","",Bangla!D29)</f>
        <v>40</v>
      </c>
      <c r="K29" s="75">
        <f>IF(English!C29="","",English!C29)</f>
        <v>29</v>
      </c>
      <c r="L29" s="37">
        <f>IF(ICT!B29="","",ICT!B29)</f>
        <v>13</v>
      </c>
      <c r="M29" s="37">
        <f>IF(ICT!C29="","",ICT!C29)</f>
        <v>6</v>
      </c>
      <c r="N29" s="37">
        <f>IF(ICT!D29="","",ICT!D29)</f>
        <v>24</v>
      </c>
      <c r="O29" s="37">
        <f>IF(ICT!E29="","",ICT!E29)</f>
        <v>43</v>
      </c>
      <c r="P29" s="44">
        <f>IF(Physics!B29="","",Physics!B29)</f>
        <v>10</v>
      </c>
      <c r="Q29" s="44">
        <f>IF(Physics!C29="","",Physics!C29)</f>
        <v>19</v>
      </c>
      <c r="R29" s="44">
        <f>IF(Physics!D29="","",Physics!D29)</f>
        <v>15</v>
      </c>
      <c r="S29" s="89">
        <f>IF(Physics!E29="","",Physics!E29)</f>
        <v>44</v>
      </c>
      <c r="T29" s="37">
        <f>IF(Chemistry!B29="","",Chemistry!B29)</f>
        <v>9</v>
      </c>
      <c r="U29" s="37">
        <f>IF(Chemistry!C29="","",Chemistry!C29)</f>
        <v>27</v>
      </c>
      <c r="V29" s="37">
        <f>IF(Chemistry!D29="","",Chemistry!D29)</f>
        <v>16</v>
      </c>
      <c r="W29" s="37">
        <f>IF(Chemistry!E29="","",Chemistry!E29)</f>
        <v>52</v>
      </c>
      <c r="X29" s="38">
        <f>IF(SubjectList!G29="Math", IF(Math!B29="","",Math!B29), IF(Biology!B29="","",Biology!B29))</f>
        <v>15</v>
      </c>
      <c r="Y29" s="38">
        <f>IF(SubjectList!G29="Math", IF(Math!C29="","",Math!C29), IF(Biology!C29="","",Biology!C29))</f>
        <v>14</v>
      </c>
      <c r="Z29" s="38">
        <f>IF(SubjectList!G29="Math", IF(Math!D29="","",Math!D29), IF(Biology!D29="","",Biology!D29))</f>
        <v>16</v>
      </c>
      <c r="AA29" s="38">
        <f>IF(SubjectList!G29="Math", IF(Math!E29="","",Math!E29), IF(Biology!E29="","",Biology!E29))</f>
        <v>45</v>
      </c>
      <c r="AB29" s="44">
        <f>IF(SubjectList!I29="Biology", IF(Biology!B29="","",Biology!B29), IF(Math!B29="","",Math!B29))</f>
        <v>15</v>
      </c>
      <c r="AC29" s="44">
        <f>Optional!D29</f>
        <v>0</v>
      </c>
      <c r="AD29" s="44">
        <f>Optional!E29</f>
        <v>10</v>
      </c>
      <c r="AE29" s="44">
        <f>Optional!F29</f>
        <v>25</v>
      </c>
      <c r="AF29" s="39" t="str">
        <f>IF(SubjectList!G29="","", SubjectList!G29)</f>
        <v>Biology</v>
      </c>
      <c r="AG29" s="39" t="str">
        <f>IF(SubjectList!I29="","", SubjectList!I29)</f>
        <v>Math</v>
      </c>
      <c r="AH29" s="40" t="str">
        <f>Bangla!F29</f>
        <v>C</v>
      </c>
      <c r="AI29" s="91" t="str">
        <f>English!E29</f>
        <v>F</v>
      </c>
      <c r="AJ29" s="40" t="str">
        <f>ICT!G29</f>
        <v>F</v>
      </c>
      <c r="AK29" s="40" t="str">
        <f>Physics!G29</f>
        <v>C</v>
      </c>
      <c r="AL29" s="40" t="str">
        <f>Chemistry!G29</f>
        <v>B</v>
      </c>
      <c r="AM29" s="40" t="str">
        <f>IF(SubjectList!G29="Math", IF(Math!G29="","",Math!G29), IF(Biology!G29="","",Biology!G29))</f>
        <v>F</v>
      </c>
      <c r="AN29" s="40" t="str">
        <f>IF(SubjectList!H29="Math", IF(Math!G29="","",Math!G29), IF(Biology!G29="","",Biology!G29))</f>
        <v>F</v>
      </c>
      <c r="AO29" s="41">
        <f>Bangla!G29</f>
        <v>2</v>
      </c>
      <c r="AP29" s="41">
        <f>English!F29</f>
        <v>0</v>
      </c>
      <c r="AQ29" s="41">
        <f>ICT!H29</f>
        <v>0</v>
      </c>
      <c r="AR29" s="41">
        <f>Physics!H29</f>
        <v>2</v>
      </c>
      <c r="AS29" s="41">
        <f>Chemistry!H29</f>
        <v>3</v>
      </c>
      <c r="AT29" s="41">
        <f>IF(SubjectList!G29="Math", IF(Math!H29="","",Math!H29), IF(Biology!H29="","",Biology!H29))</f>
        <v>0</v>
      </c>
      <c r="AU29" s="41">
        <f>IF(SubjectList!I29="Math", IF(Math!H29="","",Math!H29), IF(Biology!H29="","",Biology!H29))</f>
        <v>0</v>
      </c>
      <c r="AV29" s="41">
        <f>Optional!I29</f>
        <v>0</v>
      </c>
      <c r="AW29" s="41">
        <f>Optional!J29</f>
        <v>0</v>
      </c>
      <c r="AX29" s="41">
        <f t="shared" si="0"/>
        <v>7</v>
      </c>
      <c r="AY29" s="41">
        <f t="shared" si="15"/>
        <v>7</v>
      </c>
      <c r="AZ29" s="41" t="str">
        <f t="shared" si="1"/>
        <v/>
      </c>
      <c r="BA29" s="41" t="str">
        <f t="shared" si="2"/>
        <v/>
      </c>
      <c r="BB29" s="41">
        <f t="shared" si="18"/>
        <v>278</v>
      </c>
      <c r="BC29" s="46">
        <f t="shared" si="16"/>
        <v>1</v>
      </c>
      <c r="BD29" s="46">
        <f t="shared" si="5"/>
        <v>0</v>
      </c>
      <c r="BE29" s="46">
        <f t="shared" si="6"/>
        <v>0</v>
      </c>
      <c r="BF29" s="46">
        <f t="shared" si="7"/>
        <v>1</v>
      </c>
      <c r="BG29" s="46">
        <f t="shared" si="8"/>
        <v>1</v>
      </c>
      <c r="BH29" s="46">
        <f t="shared" si="9"/>
        <v>0</v>
      </c>
      <c r="BI29" s="3">
        <f t="shared" si="17"/>
        <v>3</v>
      </c>
      <c r="BJ29" s="3" t="str">
        <f t="shared" si="19"/>
        <v>Failed in 3 Subjects</v>
      </c>
      <c r="BK29" s="3" t="str">
        <f>IF(BA29="","",RANK(BA29,BA$2:BA88,0))</f>
        <v/>
      </c>
      <c r="BL29" s="3" t="str">
        <f t="shared" si="12"/>
        <v>খুবই দুর্বল</v>
      </c>
      <c r="BM29" s="3" t="str">
        <f t="shared" si="13"/>
        <v>Very Weak</v>
      </c>
      <c r="BN29" s="3" t="str">
        <f t="shared" si="14"/>
        <v/>
      </c>
    </row>
    <row r="30" spans="1:66" x14ac:dyDescent="0.35">
      <c r="A30" s="3" t="str">
        <f>'Student Basic Info'!B30</f>
        <v>Science</v>
      </c>
      <c r="B30" s="3">
        <f>'Student Basic Info'!A30</f>
        <v>729</v>
      </c>
      <c r="C30" s="3" t="str">
        <f>'Student Basic Info'!C30</f>
        <v>Golam Kibriya</v>
      </c>
      <c r="D30" s="3" t="str">
        <f>'Student Basic Info'!D30</f>
        <v>Zakir Hosain</v>
      </c>
      <c r="E30" s="3" t="str">
        <f>'Student Basic Info'!E30</f>
        <v>Late Rabeya Bosri</v>
      </c>
      <c r="F30" s="3" t="str">
        <f>'Student Basic Info'!F30</f>
        <v>Male</v>
      </c>
      <c r="G30" s="73" t="str">
        <f>'Student Basic Info'!I30</f>
        <v>01867-810051</v>
      </c>
      <c r="H30" s="74" t="str">
        <f>IF(Bangla!B30="","",Bangla!B30)</f>
        <v/>
      </c>
      <c r="I30" s="74">
        <f>IF(Bangla!C30="","",Bangla!C30)</f>
        <v>35</v>
      </c>
      <c r="J30" s="74">
        <f>IF(Bangla!D30="","",Bangla!D30)</f>
        <v>35</v>
      </c>
      <c r="K30" s="75">
        <f>IF(English!C30="","",English!C30)</f>
        <v>18</v>
      </c>
      <c r="L30" s="37">
        <f>IF(ICT!B30="","",ICT!B30)</f>
        <v>13</v>
      </c>
      <c r="M30" s="37">
        <f>IF(ICT!C30="","",ICT!C30)</f>
        <v>8</v>
      </c>
      <c r="N30" s="37">
        <f>IF(ICT!D30="","",ICT!D30)</f>
        <v>24</v>
      </c>
      <c r="O30" s="37">
        <f>IF(ICT!E30="","",ICT!E30)</f>
        <v>45</v>
      </c>
      <c r="P30" s="44">
        <f>IF(Physics!B30="","",Physics!B30)</f>
        <v>7</v>
      </c>
      <c r="Q30" s="44">
        <f>IF(Physics!C30="","",Physics!C30)</f>
        <v>6</v>
      </c>
      <c r="R30" s="44">
        <f>IF(Physics!D30="","",Physics!D30)</f>
        <v>10</v>
      </c>
      <c r="S30" s="89">
        <f>IF(Physics!E30="","",Physics!E30)</f>
        <v>23</v>
      </c>
      <c r="T30" s="37">
        <f>IF(Chemistry!B30="","",Chemistry!B30)</f>
        <v>8</v>
      </c>
      <c r="U30" s="37">
        <f>IF(Chemistry!C30="","",Chemistry!C30)</f>
        <v>11</v>
      </c>
      <c r="V30" s="37">
        <f>IF(Chemistry!D30="","",Chemistry!D30)</f>
        <v>8</v>
      </c>
      <c r="W30" s="37">
        <f>IF(Chemistry!E30="","",Chemistry!E30)</f>
        <v>27</v>
      </c>
      <c r="X30" s="38">
        <f>IF(SubjectList!G30="Math", IF(Math!B30="","",Math!B30), IF(Biology!B30="","",Biology!B30))</f>
        <v>16</v>
      </c>
      <c r="Y30" s="38">
        <f>IF(SubjectList!G30="Math", IF(Math!C30="","",Math!C30), IF(Biology!C30="","",Biology!C30))</f>
        <v>4</v>
      </c>
      <c r="Z30" s="38">
        <f>IF(SubjectList!G30="Math", IF(Math!D30="","",Math!D30), IF(Biology!D30="","",Biology!D30))</f>
        <v>10</v>
      </c>
      <c r="AA30" s="38">
        <f>IF(SubjectList!G30="Math", IF(Math!E30="","",Math!E30), IF(Biology!E30="","",Biology!E30))</f>
        <v>30</v>
      </c>
      <c r="AB30" s="44">
        <f>IF(SubjectList!I30="Biology", IF(Biology!B30="","",Biology!B30), IF(Math!B30="","",Math!B30))</f>
        <v>13</v>
      </c>
      <c r="AC30" s="44">
        <f>Optional!D30</f>
        <v>1</v>
      </c>
      <c r="AD30" s="44">
        <f>Optional!E30</f>
        <v>10</v>
      </c>
      <c r="AE30" s="44">
        <f>Optional!F30</f>
        <v>24</v>
      </c>
      <c r="AF30" s="39" t="str">
        <f>IF(SubjectList!G30="","", SubjectList!G30)</f>
        <v>Biology</v>
      </c>
      <c r="AG30" s="39" t="str">
        <f>IF(SubjectList!I30="","", SubjectList!I30)</f>
        <v>Math</v>
      </c>
      <c r="AH30" s="40" t="str">
        <f>Bangla!F30</f>
        <v>D</v>
      </c>
      <c r="AI30" s="91" t="str">
        <f>English!E30</f>
        <v>F</v>
      </c>
      <c r="AJ30" s="40" t="str">
        <f>ICT!G30</f>
        <v>F</v>
      </c>
      <c r="AK30" s="40" t="str">
        <f>Physics!G30</f>
        <v>F</v>
      </c>
      <c r="AL30" s="40" t="str">
        <f>Chemistry!G30</f>
        <v>F</v>
      </c>
      <c r="AM30" s="40" t="str">
        <f>IF(SubjectList!G30="Math", IF(Math!G30="","",Math!G30), IF(Biology!G30="","",Biology!G30))</f>
        <v>F</v>
      </c>
      <c r="AN30" s="40" t="str">
        <f>IF(SubjectList!H30="Math", IF(Math!G30="","",Math!G30), IF(Biology!G30="","",Biology!G30))</f>
        <v>F</v>
      </c>
      <c r="AO30" s="41">
        <f>Bangla!G30</f>
        <v>1</v>
      </c>
      <c r="AP30" s="41">
        <f>English!F30</f>
        <v>0</v>
      </c>
      <c r="AQ30" s="41">
        <f>ICT!H30</f>
        <v>0</v>
      </c>
      <c r="AR30" s="41">
        <f>Physics!H30</f>
        <v>0</v>
      </c>
      <c r="AS30" s="41">
        <f>Chemistry!H30</f>
        <v>0</v>
      </c>
      <c r="AT30" s="41">
        <f>IF(SubjectList!G30="Math", IF(Math!H30="","",Math!H30), IF(Biology!H30="","",Biology!H30))</f>
        <v>0</v>
      </c>
      <c r="AU30" s="41">
        <f>IF(SubjectList!I30="Math", IF(Math!H30="","",Math!H30), IF(Biology!H30="","",Biology!H30))</f>
        <v>0</v>
      </c>
      <c r="AV30" s="41">
        <f>Optional!I30</f>
        <v>0</v>
      </c>
      <c r="AW30" s="41">
        <f>Optional!J30</f>
        <v>0</v>
      </c>
      <c r="AX30" s="41">
        <f t="shared" si="0"/>
        <v>1</v>
      </c>
      <c r="AY30" s="41">
        <f t="shared" si="15"/>
        <v>1</v>
      </c>
      <c r="AZ30" s="41" t="str">
        <f t="shared" si="1"/>
        <v/>
      </c>
      <c r="BA30" s="41" t="str">
        <f t="shared" si="2"/>
        <v/>
      </c>
      <c r="BB30" s="41">
        <f t="shared" si="18"/>
        <v>202</v>
      </c>
      <c r="BC30" s="46">
        <f t="shared" si="16"/>
        <v>1</v>
      </c>
      <c r="BD30" s="46">
        <f t="shared" si="5"/>
        <v>0</v>
      </c>
      <c r="BE30" s="46">
        <f t="shared" si="6"/>
        <v>0</v>
      </c>
      <c r="BF30" s="46">
        <f t="shared" si="7"/>
        <v>0</v>
      </c>
      <c r="BG30" s="46">
        <f t="shared" si="8"/>
        <v>0</v>
      </c>
      <c r="BH30" s="46">
        <f t="shared" si="9"/>
        <v>0</v>
      </c>
      <c r="BI30" s="3">
        <f t="shared" si="17"/>
        <v>1</v>
      </c>
      <c r="BJ30" s="3" t="str">
        <f t="shared" si="19"/>
        <v>Failed in 5 Subjects</v>
      </c>
      <c r="BK30" s="3" t="str">
        <f>IF(BA30="","",RANK(BA30,BA$2:BA88,0))</f>
        <v/>
      </c>
      <c r="BL30" s="3" t="str">
        <f t="shared" si="12"/>
        <v>খুবই দুর্বল</v>
      </c>
      <c r="BM30" s="3" t="str">
        <f t="shared" si="13"/>
        <v>Very Weak</v>
      </c>
      <c r="BN30" s="3" t="str">
        <f t="shared" si="14"/>
        <v/>
      </c>
    </row>
    <row r="31" spans="1:66" x14ac:dyDescent="0.35">
      <c r="A31" s="3" t="str">
        <f>'Student Basic Info'!B31</f>
        <v>Science</v>
      </c>
      <c r="B31" s="3">
        <f>'Student Basic Info'!A31</f>
        <v>730</v>
      </c>
      <c r="C31" s="3" t="str">
        <f>'Student Basic Info'!C31</f>
        <v>Fahmidul Alam Abhi</v>
      </c>
      <c r="D31" s="3" t="str">
        <f>'Student Basic Info'!D31</f>
        <v>Zahangir Alam</v>
      </c>
      <c r="E31" s="3" t="str">
        <f>'Student Basic Info'!E31</f>
        <v>Fatema Aktar</v>
      </c>
      <c r="F31" s="3" t="str">
        <f>'Student Basic Info'!F31</f>
        <v>Male</v>
      </c>
      <c r="G31" s="73" t="str">
        <f>'Student Basic Info'!I31</f>
        <v>01855-701714</v>
      </c>
      <c r="H31" s="74" t="str">
        <f>IF(Bangla!B31="","",Bangla!B31)</f>
        <v/>
      </c>
      <c r="I31" s="74">
        <f>IF(Bangla!C31="","",Bangla!C31)</f>
        <v>36</v>
      </c>
      <c r="J31" s="74">
        <f>IF(Bangla!D31="","",Bangla!D31)</f>
        <v>36</v>
      </c>
      <c r="K31" s="75">
        <f>IF(English!C31="","",English!C31)</f>
        <v>23</v>
      </c>
      <c r="L31" s="37">
        <f>IF(ICT!B31="","",ICT!B31)</f>
        <v>8</v>
      </c>
      <c r="M31" s="37">
        <f>IF(ICT!C31="","",ICT!C31)</f>
        <v>1</v>
      </c>
      <c r="N31" s="37">
        <f>IF(ICT!D31="","",ICT!D31)</f>
        <v>24</v>
      </c>
      <c r="O31" s="37">
        <f>IF(ICT!E31="","",ICT!E31)</f>
        <v>33</v>
      </c>
      <c r="P31" s="44">
        <f>IF(Physics!B31="","",Physics!B31)</f>
        <v>10</v>
      </c>
      <c r="Q31" s="44">
        <f>IF(Physics!C31="","",Physics!C31)</f>
        <v>9</v>
      </c>
      <c r="R31" s="44">
        <f>IF(Physics!D31="","",Physics!D31)</f>
        <v>12</v>
      </c>
      <c r="S31" s="89">
        <f>IF(Physics!E31="","",Physics!E31)</f>
        <v>31</v>
      </c>
      <c r="T31" s="37">
        <f>IF(Chemistry!B31="","",Chemistry!B31)</f>
        <v>11</v>
      </c>
      <c r="U31" s="37">
        <f>IF(Chemistry!C31="","",Chemistry!C31)</f>
        <v>14</v>
      </c>
      <c r="V31" s="37">
        <f>IF(Chemistry!D31="","",Chemistry!D31)</f>
        <v>8</v>
      </c>
      <c r="W31" s="37">
        <f>IF(Chemistry!E31="","",Chemistry!E31)</f>
        <v>33</v>
      </c>
      <c r="X31" s="38">
        <f>IF(SubjectList!G31="Math", IF(Math!B31="","",Math!B31), IF(Biology!B31="","",Biology!B31))</f>
        <v>16</v>
      </c>
      <c r="Y31" s="38">
        <f>IF(SubjectList!G31="Math", IF(Math!C31="","",Math!C31), IF(Biology!C31="","",Biology!C31))</f>
        <v>7</v>
      </c>
      <c r="Z31" s="38">
        <f>IF(SubjectList!G31="Math", IF(Math!D31="","",Math!D31), IF(Biology!D31="","",Biology!D31))</f>
        <v>10</v>
      </c>
      <c r="AA31" s="38">
        <f>IF(SubjectList!G31="Math", IF(Math!E31="","",Math!E31), IF(Biology!E31="","",Biology!E31))</f>
        <v>33</v>
      </c>
      <c r="AB31" s="44">
        <f>IF(SubjectList!I31="Biology", IF(Biology!B31="","",Biology!B31), IF(Math!B31="","",Math!B31))</f>
        <v>13</v>
      </c>
      <c r="AC31" s="44">
        <f>Optional!D31</f>
        <v>0</v>
      </c>
      <c r="AD31" s="44">
        <f>Optional!E31</f>
        <v>10</v>
      </c>
      <c r="AE31" s="44">
        <f>Optional!F31</f>
        <v>23</v>
      </c>
      <c r="AF31" s="39" t="str">
        <f>IF(SubjectList!G31="","", SubjectList!G31)</f>
        <v>Biology</v>
      </c>
      <c r="AG31" s="39" t="str">
        <f>IF(SubjectList!I31="","", SubjectList!I31)</f>
        <v>Math</v>
      </c>
      <c r="AH31" s="40" t="str">
        <f>Bangla!F31</f>
        <v>D</v>
      </c>
      <c r="AI31" s="91" t="str">
        <f>English!E31</f>
        <v>F</v>
      </c>
      <c r="AJ31" s="40" t="str">
        <f>ICT!G31</f>
        <v>F</v>
      </c>
      <c r="AK31" s="40" t="str">
        <f>Physics!G31</f>
        <v>F</v>
      </c>
      <c r="AL31" s="40" t="str">
        <f>Chemistry!G31</f>
        <v>F</v>
      </c>
      <c r="AM31" s="40" t="str">
        <f>IF(SubjectList!G31="Math", IF(Math!G31="","",Math!G31), IF(Biology!G31="","",Biology!G31))</f>
        <v>F</v>
      </c>
      <c r="AN31" s="40" t="str">
        <f>IF(SubjectList!H31="Math", IF(Math!G31="","",Math!G31), IF(Biology!G31="","",Biology!G31))</f>
        <v>F</v>
      </c>
      <c r="AO31" s="41">
        <f>Bangla!G31</f>
        <v>1</v>
      </c>
      <c r="AP31" s="41">
        <f>English!F31</f>
        <v>0</v>
      </c>
      <c r="AQ31" s="41">
        <f>ICT!H31</f>
        <v>0</v>
      </c>
      <c r="AR31" s="41">
        <f>Physics!H31</f>
        <v>0</v>
      </c>
      <c r="AS31" s="41">
        <f>Chemistry!H31</f>
        <v>0</v>
      </c>
      <c r="AT31" s="41">
        <f>IF(SubjectList!G31="Math", IF(Math!H31="","",Math!H31), IF(Biology!H31="","",Biology!H31))</f>
        <v>0</v>
      </c>
      <c r="AU31" s="41">
        <f>IF(SubjectList!I31="Math", IF(Math!H31="","",Math!H31), IF(Biology!H31="","",Biology!H31))</f>
        <v>0</v>
      </c>
      <c r="AV31" s="41">
        <f>Optional!I31</f>
        <v>0</v>
      </c>
      <c r="AW31" s="41">
        <f>Optional!J31</f>
        <v>0</v>
      </c>
      <c r="AX31" s="41">
        <f t="shared" si="0"/>
        <v>1</v>
      </c>
      <c r="AY31" s="41">
        <f t="shared" si="15"/>
        <v>1</v>
      </c>
      <c r="AZ31" s="41" t="str">
        <f t="shared" si="1"/>
        <v/>
      </c>
      <c r="BA31" s="41" t="str">
        <f t="shared" si="2"/>
        <v/>
      </c>
      <c r="BB31" s="41">
        <f t="shared" si="18"/>
        <v>212</v>
      </c>
      <c r="BC31" s="46">
        <f t="shared" si="16"/>
        <v>1</v>
      </c>
      <c r="BD31" s="46">
        <f t="shared" si="5"/>
        <v>0</v>
      </c>
      <c r="BE31" s="46">
        <f t="shared" si="6"/>
        <v>0</v>
      </c>
      <c r="BF31" s="46">
        <f t="shared" si="7"/>
        <v>0</v>
      </c>
      <c r="BG31" s="46">
        <f t="shared" si="8"/>
        <v>0</v>
      </c>
      <c r="BH31" s="46">
        <f t="shared" si="9"/>
        <v>0</v>
      </c>
      <c r="BI31" s="3">
        <f t="shared" si="17"/>
        <v>1</v>
      </c>
      <c r="BJ31" s="3" t="str">
        <f t="shared" si="19"/>
        <v>Failed in 5 Subjects</v>
      </c>
      <c r="BK31" s="3" t="str">
        <f>IF(BA31="","",RANK(BA31,BA$2:BA88,0))</f>
        <v/>
      </c>
      <c r="BL31" s="3" t="str">
        <f t="shared" si="12"/>
        <v>খুবই দুর্বল</v>
      </c>
      <c r="BM31" s="3" t="str">
        <f t="shared" si="13"/>
        <v>Very Weak</v>
      </c>
      <c r="BN31" s="3" t="str">
        <f t="shared" si="14"/>
        <v/>
      </c>
    </row>
    <row r="32" spans="1:66" x14ac:dyDescent="0.35">
      <c r="A32" s="3" t="str">
        <f>'Student Basic Info'!B32</f>
        <v>Science</v>
      </c>
      <c r="B32" s="3">
        <f>'Student Basic Info'!A32</f>
        <v>731</v>
      </c>
      <c r="C32" s="3" t="str">
        <f>'Student Basic Info'!C32</f>
        <v>Lurpur Nahar</v>
      </c>
      <c r="D32" s="3" t="str">
        <f>'Student Basic Info'!D32</f>
        <v>Abdul Hai Dulal</v>
      </c>
      <c r="E32" s="3" t="str">
        <f>'Student Basic Info'!E32</f>
        <v>Zhorna Begum</v>
      </c>
      <c r="F32" s="3" t="str">
        <f>'Student Basic Info'!F32</f>
        <v>Female</v>
      </c>
      <c r="G32" s="73" t="str">
        <f>'Student Basic Info'!I32</f>
        <v>01881-967699</v>
      </c>
      <c r="H32" s="74" t="str">
        <f>IF(Bangla!B32="","",Bangla!B32)</f>
        <v/>
      </c>
      <c r="I32" s="74">
        <f>IF(Bangla!C32="","",Bangla!C32)</f>
        <v>51</v>
      </c>
      <c r="J32" s="74">
        <f>IF(Bangla!D32="","",Bangla!D32)</f>
        <v>51</v>
      </c>
      <c r="K32" s="75">
        <f>IF(English!C32="","",English!C32)</f>
        <v>24</v>
      </c>
      <c r="L32" s="37">
        <f>IF(ICT!B32="","",ICT!B32)</f>
        <v>8</v>
      </c>
      <c r="M32" s="37">
        <f>IF(ICT!C32="","",ICT!C32)</f>
        <v>8</v>
      </c>
      <c r="N32" s="37">
        <f>IF(ICT!D32="","",ICT!D32)</f>
        <v>20</v>
      </c>
      <c r="O32" s="37">
        <f>IF(ICT!E32="","",ICT!E32)</f>
        <v>36</v>
      </c>
      <c r="P32" s="44">
        <f>IF(Physics!B32="","",Physics!B32)</f>
        <v>10</v>
      </c>
      <c r="Q32" s="44">
        <f>IF(Physics!C32="","",Physics!C32)</f>
        <v>23</v>
      </c>
      <c r="R32" s="44">
        <f>IF(Physics!D32="","",Physics!D32)</f>
        <v>17</v>
      </c>
      <c r="S32" s="89">
        <f>IF(Physics!E32="","",Physics!E32)</f>
        <v>50</v>
      </c>
      <c r="T32" s="37">
        <f>IF(Chemistry!B32="","",Chemistry!B32)</f>
        <v>11</v>
      </c>
      <c r="U32" s="37">
        <f>IF(Chemistry!C32="","",Chemistry!C32)</f>
        <v>12</v>
      </c>
      <c r="V32" s="37">
        <f>IF(Chemistry!D32="","",Chemistry!D32)</f>
        <v>8</v>
      </c>
      <c r="W32" s="37">
        <f>IF(Chemistry!E32="","",Chemistry!E32)</f>
        <v>31</v>
      </c>
      <c r="X32" s="38">
        <f>IF(SubjectList!G32="Math", IF(Math!B32="","",Math!B32), IF(Biology!B32="","",Biology!B32))</f>
        <v>7</v>
      </c>
      <c r="Y32" s="38">
        <f>IF(SubjectList!G32="Math", IF(Math!C32="","",Math!C32), IF(Biology!C32="","",Biology!C32))</f>
        <v>3</v>
      </c>
      <c r="Z32" s="38">
        <f>IF(SubjectList!G32="Math", IF(Math!D32="","",Math!D32), IF(Biology!D32="","",Biology!D32))</f>
        <v>8</v>
      </c>
      <c r="AA32" s="38">
        <f>IF(SubjectList!G32="Math", IF(Math!E32="","",Math!E32), IF(Biology!E32="","",Biology!E32))</f>
        <v>18</v>
      </c>
      <c r="AB32" s="44">
        <f>IF(SubjectList!I32="Biology", IF(Biology!B32="","",Biology!B32), IF(Math!B32="","",Math!B32))</f>
        <v>9</v>
      </c>
      <c r="AC32" s="44">
        <f>Optional!D32</f>
        <v>2</v>
      </c>
      <c r="AD32" s="44">
        <f>Optional!E32</f>
        <v>10</v>
      </c>
      <c r="AE32" s="44">
        <f>Optional!F32</f>
        <v>21</v>
      </c>
      <c r="AF32" s="39" t="str">
        <f>IF(SubjectList!G32="","", SubjectList!G32)</f>
        <v>Biology</v>
      </c>
      <c r="AG32" s="39" t="str">
        <f>IF(SubjectList!I32="","", SubjectList!I32)</f>
        <v>Math</v>
      </c>
      <c r="AH32" s="40" t="str">
        <f>Bangla!F32</f>
        <v>B</v>
      </c>
      <c r="AI32" s="91" t="str">
        <f>English!E32</f>
        <v>F</v>
      </c>
      <c r="AJ32" s="40" t="str">
        <f>ICT!G32</f>
        <v>F</v>
      </c>
      <c r="AK32" s="40" t="str">
        <f>Physics!G32</f>
        <v>B</v>
      </c>
      <c r="AL32" s="40" t="str">
        <f>Chemistry!G32</f>
        <v>F</v>
      </c>
      <c r="AM32" s="40" t="str">
        <f>IF(SubjectList!G32="Math", IF(Math!G32="","",Math!G32), IF(Biology!G32="","",Biology!G32))</f>
        <v>F</v>
      </c>
      <c r="AN32" s="40" t="str">
        <f>IF(SubjectList!H32="Math", IF(Math!G32="","",Math!G32), IF(Biology!G32="","",Biology!G32))</f>
        <v>F</v>
      </c>
      <c r="AO32" s="41">
        <f>Bangla!G32</f>
        <v>3</v>
      </c>
      <c r="AP32" s="41">
        <f>English!F32</f>
        <v>0</v>
      </c>
      <c r="AQ32" s="41">
        <f>ICT!H32</f>
        <v>0</v>
      </c>
      <c r="AR32" s="41">
        <f>Physics!H32</f>
        <v>3</v>
      </c>
      <c r="AS32" s="41">
        <f>Chemistry!H32</f>
        <v>0</v>
      </c>
      <c r="AT32" s="41">
        <f>IF(SubjectList!G32="Math", IF(Math!H32="","",Math!H32), IF(Biology!H32="","",Biology!H32))</f>
        <v>0</v>
      </c>
      <c r="AU32" s="41">
        <f>IF(SubjectList!I32="Math", IF(Math!H32="","",Math!H32), IF(Biology!H32="","",Biology!H32))</f>
        <v>0</v>
      </c>
      <c r="AV32" s="41">
        <f>Optional!I32</f>
        <v>0</v>
      </c>
      <c r="AW32" s="41">
        <f>Optional!J32</f>
        <v>0</v>
      </c>
      <c r="AX32" s="41">
        <f t="shared" si="0"/>
        <v>6</v>
      </c>
      <c r="AY32" s="41">
        <f t="shared" si="15"/>
        <v>6</v>
      </c>
      <c r="AZ32" s="41" t="str">
        <f t="shared" si="1"/>
        <v/>
      </c>
      <c r="BA32" s="41" t="str">
        <f t="shared" si="2"/>
        <v/>
      </c>
      <c r="BB32" s="41">
        <f t="shared" si="18"/>
        <v>231</v>
      </c>
      <c r="BC32" s="46">
        <f t="shared" si="16"/>
        <v>1</v>
      </c>
      <c r="BD32" s="46">
        <f t="shared" si="5"/>
        <v>0</v>
      </c>
      <c r="BE32" s="46">
        <f t="shared" si="6"/>
        <v>0</v>
      </c>
      <c r="BF32" s="46">
        <f t="shared" si="7"/>
        <v>1</v>
      </c>
      <c r="BG32" s="46">
        <f t="shared" si="8"/>
        <v>0</v>
      </c>
      <c r="BH32" s="46">
        <f t="shared" si="9"/>
        <v>0</v>
      </c>
      <c r="BI32" s="3">
        <f t="shared" si="17"/>
        <v>2</v>
      </c>
      <c r="BJ32" s="3" t="str">
        <f t="shared" si="19"/>
        <v>Failed in 4 Subjects</v>
      </c>
      <c r="BK32" s="3" t="str">
        <f>IF(BA32="","",RANK(BA32,BA$2:BA88,0))</f>
        <v/>
      </c>
      <c r="BL32" s="3" t="str">
        <f t="shared" si="12"/>
        <v>খুবই দুর্বল</v>
      </c>
      <c r="BM32" s="3" t="str">
        <f t="shared" si="13"/>
        <v>Very Weak</v>
      </c>
      <c r="BN32" s="3" t="str">
        <f t="shared" si="14"/>
        <v/>
      </c>
    </row>
    <row r="33" spans="1:66" x14ac:dyDescent="0.35">
      <c r="A33" s="3" t="str">
        <f>'Student Basic Info'!B33</f>
        <v>Science</v>
      </c>
      <c r="B33" s="3">
        <f>'Student Basic Info'!A33</f>
        <v>732</v>
      </c>
      <c r="C33" s="3" t="str">
        <f>'Student Basic Info'!C33</f>
        <v>Shezanul Bahar Alvi</v>
      </c>
      <c r="D33" s="3" t="str">
        <f>'Student Basic Info'!D33</f>
        <v>Md. Ali</v>
      </c>
      <c r="E33" s="3" t="str">
        <f>'Student Basic Info'!E33</f>
        <v>Shetara Bagum</v>
      </c>
      <c r="F33" s="3" t="str">
        <f>'Student Basic Info'!F33</f>
        <v>Male</v>
      </c>
      <c r="G33" s="73" t="str">
        <f>'Student Basic Info'!I33</f>
        <v>01826-660475</v>
      </c>
      <c r="H33" s="74" t="str">
        <f>IF(Bangla!B33="","",Bangla!B33)</f>
        <v/>
      </c>
      <c r="I33" s="74">
        <f>IF(Bangla!C33="","",Bangla!C33)</f>
        <v>33</v>
      </c>
      <c r="J33" s="74">
        <f>IF(Bangla!D33="","",Bangla!D33)</f>
        <v>33</v>
      </c>
      <c r="K33" s="75">
        <f>IF(English!C33="","",English!C33)</f>
        <v>17</v>
      </c>
      <c r="L33" s="37">
        <f>IF(ICT!B33="","",ICT!B33)</f>
        <v>12</v>
      </c>
      <c r="M33" s="37">
        <f>IF(ICT!C33="","",ICT!C33)</f>
        <v>12</v>
      </c>
      <c r="N33" s="37">
        <f>IF(ICT!D33="","",ICT!D33)</f>
        <v>22</v>
      </c>
      <c r="O33" s="37">
        <f>IF(ICT!E33="","",ICT!E33)</f>
        <v>46</v>
      </c>
      <c r="P33" s="44" t="str">
        <f>IF(Physics!B33="","",Physics!B33)</f>
        <v/>
      </c>
      <c r="Q33" s="44" t="str">
        <f>IF(Physics!C33="","",Physics!C33)</f>
        <v/>
      </c>
      <c r="R33" s="44" t="str">
        <f>IF(Physics!D33="","",Physics!D33)</f>
        <v/>
      </c>
      <c r="S33" s="89" t="str">
        <f>IF(Physics!E33="","",Physics!E33)</f>
        <v/>
      </c>
      <c r="T33" s="37">
        <f>IF(Chemistry!B33="","",Chemistry!B33)</f>
        <v>9</v>
      </c>
      <c r="U33" s="37">
        <f>IF(Chemistry!C33="","",Chemistry!C33)</f>
        <v>17</v>
      </c>
      <c r="V33" s="37">
        <f>IF(Chemistry!D33="","",Chemistry!D33)</f>
        <v>12</v>
      </c>
      <c r="W33" s="37">
        <f>IF(Chemistry!E33="","",Chemistry!E33)</f>
        <v>38</v>
      </c>
      <c r="X33" s="38">
        <f>IF(SubjectList!G33="Math", IF(Math!B33="","",Math!B33), IF(Biology!B33="","",Biology!B33))</f>
        <v>15</v>
      </c>
      <c r="Y33" s="38">
        <f>IF(SubjectList!G33="Math", IF(Math!C33="","",Math!C33), IF(Biology!C33="","",Biology!C33))</f>
        <v>7</v>
      </c>
      <c r="Z33" s="38">
        <f>IF(SubjectList!G33="Math", IF(Math!D33="","",Math!D33), IF(Biology!D33="","",Biology!D33))</f>
        <v>12</v>
      </c>
      <c r="AA33" s="38">
        <f>IF(SubjectList!G33="Math", IF(Math!E33="","",Math!E33), IF(Biology!E33="","",Biology!E33))</f>
        <v>34</v>
      </c>
      <c r="AB33" s="44">
        <f>IF(SubjectList!I33="Biology", IF(Biology!B33="","",Biology!B33), IF(Math!B33="","",Math!B33))</f>
        <v>16</v>
      </c>
      <c r="AC33" s="44">
        <f>Optional!D33</f>
        <v>0</v>
      </c>
      <c r="AD33" s="44">
        <f>Optional!E33</f>
        <v>10</v>
      </c>
      <c r="AE33" s="44">
        <f>Optional!F33</f>
        <v>26</v>
      </c>
      <c r="AF33" s="39" t="str">
        <f>IF(SubjectList!G33="","", SubjectList!G33)</f>
        <v>Biology</v>
      </c>
      <c r="AG33" s="39" t="str">
        <f>IF(SubjectList!I33="","", SubjectList!I33)</f>
        <v>Math</v>
      </c>
      <c r="AH33" s="40" t="str">
        <f>Bangla!F33</f>
        <v>D</v>
      </c>
      <c r="AI33" s="91" t="str">
        <f>English!E33</f>
        <v>F</v>
      </c>
      <c r="AJ33" s="40" t="str">
        <f>ICT!G33</f>
        <v>F</v>
      </c>
      <c r="AK33" s="40" t="str">
        <f>Physics!G33</f>
        <v/>
      </c>
      <c r="AL33" s="40" t="str">
        <f>Chemistry!G33</f>
        <v>D</v>
      </c>
      <c r="AM33" s="40" t="str">
        <f>IF(SubjectList!G33="Math", IF(Math!G33="","",Math!G33), IF(Biology!G33="","",Biology!G33))</f>
        <v>F</v>
      </c>
      <c r="AN33" s="40" t="str">
        <f>IF(SubjectList!H33="Math", IF(Math!G33="","",Math!G33), IF(Biology!G33="","",Biology!G33))</f>
        <v>F</v>
      </c>
      <c r="AO33" s="41">
        <f>Bangla!G33</f>
        <v>1</v>
      </c>
      <c r="AP33" s="41">
        <f>English!F33</f>
        <v>0</v>
      </c>
      <c r="AQ33" s="41">
        <f>ICT!H33</f>
        <v>0</v>
      </c>
      <c r="AR33" s="41" t="str">
        <f>Physics!H33</f>
        <v/>
      </c>
      <c r="AS33" s="41">
        <f>Chemistry!H33</f>
        <v>1</v>
      </c>
      <c r="AT33" s="41">
        <f>IF(SubjectList!G33="Math", IF(Math!H33="","",Math!H33), IF(Biology!H33="","",Biology!H33))</f>
        <v>0</v>
      </c>
      <c r="AU33" s="41">
        <f>IF(SubjectList!I33="Math", IF(Math!H33="","",Math!H33), IF(Biology!H33="","",Biology!H33))</f>
        <v>0</v>
      </c>
      <c r="AV33" s="41">
        <f>Optional!I33</f>
        <v>0</v>
      </c>
      <c r="AW33" s="41">
        <f>Optional!J33</f>
        <v>0</v>
      </c>
      <c r="AX33" s="41">
        <f t="shared" si="0"/>
        <v>2</v>
      </c>
      <c r="AY33" s="41">
        <f t="shared" si="15"/>
        <v>2</v>
      </c>
      <c r="AZ33" s="41" t="str">
        <f t="shared" si="1"/>
        <v/>
      </c>
      <c r="BA33" s="41" t="str">
        <f t="shared" si="2"/>
        <v/>
      </c>
      <c r="BB33" s="41">
        <f t="shared" si="18"/>
        <v>194</v>
      </c>
      <c r="BC33" s="46">
        <f t="shared" si="16"/>
        <v>1</v>
      </c>
      <c r="BD33" s="46">
        <f t="shared" si="5"/>
        <v>0</v>
      </c>
      <c r="BE33" s="46">
        <f t="shared" si="6"/>
        <v>0</v>
      </c>
      <c r="BF33" s="46" t="str">
        <f t="shared" si="7"/>
        <v/>
      </c>
      <c r="BG33" s="46">
        <f t="shared" si="8"/>
        <v>1</v>
      </c>
      <c r="BH33" s="46">
        <f t="shared" si="9"/>
        <v>0</v>
      </c>
      <c r="BI33" s="3">
        <f t="shared" si="17"/>
        <v>2</v>
      </c>
      <c r="BJ33" s="3" t="str">
        <f t="shared" si="19"/>
        <v>Failed in 4 Subjects</v>
      </c>
      <c r="BK33" s="3" t="str">
        <f>IF(BA33="","",RANK(BA33,BA$2:BA88,0))</f>
        <v/>
      </c>
      <c r="BL33" s="3" t="str">
        <f t="shared" si="12"/>
        <v>খুবই দুর্বল</v>
      </c>
      <c r="BM33" s="3" t="str">
        <f t="shared" si="13"/>
        <v>Very Weak</v>
      </c>
      <c r="BN33" s="3" t="str">
        <f t="shared" si="14"/>
        <v/>
      </c>
    </row>
    <row r="34" spans="1:66" x14ac:dyDescent="0.35">
      <c r="A34" s="3" t="str">
        <f>'Student Basic Info'!B34</f>
        <v>Science</v>
      </c>
      <c r="B34" s="3">
        <f>'Student Basic Info'!A34</f>
        <v>733</v>
      </c>
      <c r="C34" s="3" t="str">
        <f>'Student Basic Info'!C34</f>
        <v>Shadiya Bahar</v>
      </c>
      <c r="D34" s="3" t="str">
        <f>'Student Basic Info'!D34</f>
        <v>Mohammad Ali</v>
      </c>
      <c r="E34" s="3" t="str">
        <f>'Student Basic Info'!E34</f>
        <v>Shetara Begum</v>
      </c>
      <c r="F34" s="3" t="str">
        <f>'Student Basic Info'!F34</f>
        <v>Female</v>
      </c>
      <c r="G34" s="73" t="str">
        <f>'Student Basic Info'!I34</f>
        <v>01890-789543</v>
      </c>
      <c r="H34" s="74" t="str">
        <f>IF(Bangla!B34="","",Bangla!B34)</f>
        <v/>
      </c>
      <c r="I34" s="74">
        <f>IF(Bangla!C34="","",Bangla!C34)</f>
        <v>45</v>
      </c>
      <c r="J34" s="74">
        <f>IF(Bangla!D34="","",Bangla!D34)</f>
        <v>45</v>
      </c>
      <c r="K34" s="75">
        <f>IF(English!C34="","",English!C34)</f>
        <v>34</v>
      </c>
      <c r="L34" s="37">
        <f>IF(ICT!B34="","",ICT!B34)</f>
        <v>7</v>
      </c>
      <c r="M34" s="37">
        <f>IF(ICT!C34="","",ICT!C34)</f>
        <v>8</v>
      </c>
      <c r="N34" s="37">
        <f>IF(ICT!D34="","",ICT!D34)</f>
        <v>20</v>
      </c>
      <c r="O34" s="37">
        <f>IF(ICT!E34="","",ICT!E34)</f>
        <v>35</v>
      </c>
      <c r="P34" s="44">
        <f>IF(Physics!B34="","",Physics!B34)</f>
        <v>6</v>
      </c>
      <c r="Q34" s="44">
        <f>IF(Physics!C34="","",Physics!C34)</f>
        <v>13</v>
      </c>
      <c r="R34" s="44">
        <f>IF(Physics!D34="","",Physics!D34)</f>
        <v>10</v>
      </c>
      <c r="S34" s="89">
        <f>IF(Physics!E34="","",Physics!E34)</f>
        <v>29</v>
      </c>
      <c r="T34" s="37">
        <f>IF(Chemistry!B34="","",Chemistry!B34)</f>
        <v>12</v>
      </c>
      <c r="U34" s="37">
        <f>IF(Chemistry!C34="","",Chemistry!C34)</f>
        <v>13</v>
      </c>
      <c r="V34" s="37">
        <f>IF(Chemistry!D34="","",Chemistry!D34)</f>
        <v>10</v>
      </c>
      <c r="W34" s="37">
        <f>IF(Chemistry!E34="","",Chemistry!E34)</f>
        <v>35</v>
      </c>
      <c r="X34" s="38">
        <f>IF(SubjectList!G34="Math", IF(Math!B34="","",Math!B34), IF(Biology!B34="","",Biology!B34))</f>
        <v>8</v>
      </c>
      <c r="Y34" s="38">
        <f>IF(SubjectList!G34="Math", IF(Math!C34="","",Math!C34), IF(Biology!C34="","",Biology!C34))</f>
        <v>3</v>
      </c>
      <c r="Z34" s="38">
        <f>IF(SubjectList!G34="Math", IF(Math!D34="","",Math!D34), IF(Biology!D34="","",Biology!D34))</f>
        <v>9</v>
      </c>
      <c r="AA34" s="38">
        <f>IF(SubjectList!G34="Math", IF(Math!E34="","",Math!E34), IF(Biology!E34="","",Biology!E34))</f>
        <v>20</v>
      </c>
      <c r="AB34" s="44">
        <f>IF(SubjectList!I34="Biology", IF(Biology!B34="","",Biology!B34), IF(Math!B34="","",Math!B34))</f>
        <v>6</v>
      </c>
      <c r="AC34" s="44">
        <f>Optional!D34</f>
        <v>1</v>
      </c>
      <c r="AD34" s="44">
        <f>Optional!E34</f>
        <v>9</v>
      </c>
      <c r="AE34" s="44">
        <f>Optional!F34</f>
        <v>16</v>
      </c>
      <c r="AF34" s="39" t="str">
        <f>IF(SubjectList!G34="","", SubjectList!G34)</f>
        <v>Biology</v>
      </c>
      <c r="AG34" s="39" t="str">
        <f>IF(SubjectList!I34="","", SubjectList!I34)</f>
        <v>Math</v>
      </c>
      <c r="AH34" s="40" t="str">
        <f>Bangla!F34</f>
        <v>C</v>
      </c>
      <c r="AI34" s="91" t="str">
        <f>English!E34</f>
        <v>D</v>
      </c>
      <c r="AJ34" s="40" t="str">
        <f>ICT!G34</f>
        <v>F</v>
      </c>
      <c r="AK34" s="40" t="str">
        <f>Physics!G34</f>
        <v>F</v>
      </c>
      <c r="AL34" s="40" t="str">
        <f>Chemistry!G34</f>
        <v>F</v>
      </c>
      <c r="AM34" s="40" t="str">
        <f>IF(SubjectList!G34="Math", IF(Math!G34="","",Math!G34), IF(Biology!G34="","",Biology!G34))</f>
        <v>F</v>
      </c>
      <c r="AN34" s="40" t="str">
        <f>IF(SubjectList!H34="Math", IF(Math!G34="","",Math!G34), IF(Biology!G34="","",Biology!G34))</f>
        <v>F</v>
      </c>
      <c r="AO34" s="41">
        <f>Bangla!G34</f>
        <v>2</v>
      </c>
      <c r="AP34" s="41">
        <f>English!F34</f>
        <v>1</v>
      </c>
      <c r="AQ34" s="41">
        <f>ICT!H34</f>
        <v>0</v>
      </c>
      <c r="AR34" s="41">
        <f>Physics!H34</f>
        <v>0</v>
      </c>
      <c r="AS34" s="41">
        <f>Chemistry!H34</f>
        <v>0</v>
      </c>
      <c r="AT34" s="41">
        <f>IF(SubjectList!G34="Math", IF(Math!H34="","",Math!H34), IF(Biology!H34="","",Biology!H34))</f>
        <v>0</v>
      </c>
      <c r="AU34" s="41">
        <f>IF(SubjectList!I34="Math", IF(Math!H34="","",Math!H34), IF(Biology!H34="","",Biology!H34))</f>
        <v>0</v>
      </c>
      <c r="AV34" s="41">
        <f>Optional!I34</f>
        <v>0</v>
      </c>
      <c r="AW34" s="41">
        <f>Optional!J34</f>
        <v>0</v>
      </c>
      <c r="AX34" s="41">
        <f t="shared" si="0"/>
        <v>3</v>
      </c>
      <c r="AY34" s="41">
        <f t="shared" si="15"/>
        <v>3</v>
      </c>
      <c r="AZ34" s="41" t="str">
        <f t="shared" si="1"/>
        <v/>
      </c>
      <c r="BA34" s="41" t="str">
        <f t="shared" si="2"/>
        <v/>
      </c>
      <c r="BB34" s="41">
        <f t="shared" si="18"/>
        <v>214</v>
      </c>
      <c r="BC34" s="46">
        <f t="shared" si="16"/>
        <v>1</v>
      </c>
      <c r="BD34" s="46">
        <f t="shared" si="5"/>
        <v>1</v>
      </c>
      <c r="BE34" s="46">
        <f t="shared" si="6"/>
        <v>0</v>
      </c>
      <c r="BF34" s="46">
        <f t="shared" si="7"/>
        <v>0</v>
      </c>
      <c r="BG34" s="46">
        <f t="shared" si="8"/>
        <v>0</v>
      </c>
      <c r="BH34" s="46">
        <f t="shared" si="9"/>
        <v>0</v>
      </c>
      <c r="BI34" s="3">
        <f t="shared" si="17"/>
        <v>2</v>
      </c>
      <c r="BJ34" s="3" t="str">
        <f t="shared" si="19"/>
        <v>Failed in 4 Subjects</v>
      </c>
      <c r="BK34" s="3" t="str">
        <f>IF(BA34="","",RANK(BA34,BA$2:BA88,0))</f>
        <v/>
      </c>
      <c r="BL34" s="3" t="str">
        <f t="shared" si="12"/>
        <v>খুবই দুর্বল</v>
      </c>
      <c r="BM34" s="3" t="str">
        <f t="shared" si="13"/>
        <v>Very Weak</v>
      </c>
      <c r="BN34" s="3" t="str">
        <f t="shared" si="14"/>
        <v/>
      </c>
    </row>
    <row r="35" spans="1:66" x14ac:dyDescent="0.35">
      <c r="A35" s="3" t="str">
        <f>'Student Basic Info'!B35</f>
        <v>Science</v>
      </c>
      <c r="B35" s="3">
        <f>'Student Basic Info'!A35</f>
        <v>734</v>
      </c>
      <c r="C35" s="3" t="str">
        <f>'Student Basic Info'!C35</f>
        <v>Shayed Hasan</v>
      </c>
      <c r="D35" s="3" t="str">
        <f>'Student Basic Info'!D35</f>
        <v>Zashim Uddin</v>
      </c>
      <c r="E35" s="3" t="str">
        <f>'Student Basic Info'!E35</f>
        <v>Fatema Khatun</v>
      </c>
      <c r="F35" s="3" t="str">
        <f>'Student Basic Info'!F35</f>
        <v>Male</v>
      </c>
      <c r="G35" s="73" t="str">
        <f>'Student Basic Info'!I35</f>
        <v>01824-940969</v>
      </c>
      <c r="H35" s="74" t="str">
        <f>IF(Bangla!B35="","",Bangla!B35)</f>
        <v/>
      </c>
      <c r="I35" s="74">
        <f>IF(Bangla!C35="","",Bangla!C35)</f>
        <v>52</v>
      </c>
      <c r="J35" s="74">
        <f>IF(Bangla!D35="","",Bangla!D35)</f>
        <v>52</v>
      </c>
      <c r="K35" s="75">
        <f>IF(English!C35="","",English!C35)</f>
        <v>33</v>
      </c>
      <c r="L35" s="37">
        <f>IF(ICT!B35="","",ICT!B35)</f>
        <v>12</v>
      </c>
      <c r="M35" s="37">
        <f>IF(ICT!C35="","",ICT!C35)</f>
        <v>10</v>
      </c>
      <c r="N35" s="37">
        <f>IF(ICT!D35="","",ICT!D35)</f>
        <v>20</v>
      </c>
      <c r="O35" s="37">
        <f>IF(ICT!E35="","",ICT!E35)</f>
        <v>42</v>
      </c>
      <c r="P35" s="44">
        <f>IF(Physics!B35="","",Physics!B35)</f>
        <v>8</v>
      </c>
      <c r="Q35" s="44">
        <f>IF(Physics!C35="","",Physics!C35)</f>
        <v>27</v>
      </c>
      <c r="R35" s="44">
        <f>IF(Physics!D35="","",Physics!D35)</f>
        <v>17</v>
      </c>
      <c r="S35" s="89">
        <f>IF(Physics!E35="","",Physics!E35)</f>
        <v>52</v>
      </c>
      <c r="T35" s="37">
        <f>IF(Chemistry!B35="","",Chemistry!B35)</f>
        <v>9</v>
      </c>
      <c r="U35" s="37">
        <f>IF(Chemistry!C35="","",Chemistry!C35)</f>
        <v>18</v>
      </c>
      <c r="V35" s="37">
        <f>IF(Chemistry!D35="","",Chemistry!D35)</f>
        <v>12</v>
      </c>
      <c r="W35" s="37">
        <f>IF(Chemistry!E35="","",Chemistry!E35)</f>
        <v>39</v>
      </c>
      <c r="X35" s="38">
        <f>IF(SubjectList!G35="Math", IF(Math!B35="","",Math!B35), IF(Biology!B35="","",Biology!B35))</f>
        <v>13</v>
      </c>
      <c r="Y35" s="38">
        <f>IF(SubjectList!G35="Math", IF(Math!C35="","",Math!C35), IF(Biology!C35="","",Biology!C35))</f>
        <v>4</v>
      </c>
      <c r="Z35" s="38">
        <f>IF(SubjectList!G35="Math", IF(Math!D35="","",Math!D35), IF(Biology!D35="","",Biology!D35))</f>
        <v>10</v>
      </c>
      <c r="AA35" s="38">
        <f>IF(SubjectList!G35="Math", IF(Math!E35="","",Math!E35), IF(Biology!E35="","",Biology!E35))</f>
        <v>27</v>
      </c>
      <c r="AB35" s="44">
        <f>IF(SubjectList!I35="Biology", IF(Biology!B35="","",Biology!B35), IF(Math!B35="","",Math!B35))</f>
        <v>16</v>
      </c>
      <c r="AC35" s="44">
        <f>Optional!D35</f>
        <v>0</v>
      </c>
      <c r="AD35" s="44">
        <f>Optional!E35</f>
        <v>10</v>
      </c>
      <c r="AE35" s="44">
        <f>Optional!F35</f>
        <v>26</v>
      </c>
      <c r="AF35" s="39" t="str">
        <f>IF(SubjectList!G35="","", SubjectList!G35)</f>
        <v>Biology</v>
      </c>
      <c r="AG35" s="39" t="str">
        <f>IF(SubjectList!I35="","", SubjectList!I35)</f>
        <v>Math</v>
      </c>
      <c r="AH35" s="40" t="str">
        <f>Bangla!F35</f>
        <v>B</v>
      </c>
      <c r="AI35" s="91" t="str">
        <f>English!E35</f>
        <v>D</v>
      </c>
      <c r="AJ35" s="40" t="str">
        <f>ICT!G35</f>
        <v>F</v>
      </c>
      <c r="AK35" s="40" t="str">
        <f>Physics!G35</f>
        <v>B</v>
      </c>
      <c r="AL35" s="40" t="str">
        <f>Chemistry!G35</f>
        <v>D</v>
      </c>
      <c r="AM35" s="40" t="str">
        <f>IF(SubjectList!G35="Math", IF(Math!G35="","",Math!G35), IF(Biology!G35="","",Biology!G35))</f>
        <v>F</v>
      </c>
      <c r="AN35" s="40" t="str">
        <f>IF(SubjectList!H35="Math", IF(Math!G35="","",Math!G35), IF(Biology!G35="","",Biology!G35))</f>
        <v>F</v>
      </c>
      <c r="AO35" s="41">
        <f>Bangla!G35</f>
        <v>3</v>
      </c>
      <c r="AP35" s="41">
        <f>English!F35</f>
        <v>1</v>
      </c>
      <c r="AQ35" s="41">
        <f>ICT!H35</f>
        <v>0</v>
      </c>
      <c r="AR35" s="41">
        <f>Physics!H35</f>
        <v>3</v>
      </c>
      <c r="AS35" s="41">
        <f>Chemistry!H35</f>
        <v>1</v>
      </c>
      <c r="AT35" s="41">
        <f>IF(SubjectList!G35="Math", IF(Math!H35="","",Math!H35), IF(Biology!H35="","",Biology!H35))</f>
        <v>0</v>
      </c>
      <c r="AU35" s="41">
        <f>IF(SubjectList!I35="Math", IF(Math!H35="","",Math!H35), IF(Biology!H35="","",Biology!H35))</f>
        <v>0</v>
      </c>
      <c r="AV35" s="41">
        <f>Optional!I35</f>
        <v>0</v>
      </c>
      <c r="AW35" s="41">
        <f>Optional!J35</f>
        <v>0</v>
      </c>
      <c r="AX35" s="41">
        <f t="shared" si="0"/>
        <v>8</v>
      </c>
      <c r="AY35" s="41">
        <f t="shared" si="15"/>
        <v>8</v>
      </c>
      <c r="AZ35" s="41" t="str">
        <f t="shared" si="1"/>
        <v/>
      </c>
      <c r="BA35" s="41" t="str">
        <f t="shared" si="2"/>
        <v/>
      </c>
      <c r="BB35" s="41">
        <f t="shared" si="18"/>
        <v>271</v>
      </c>
      <c r="BC35" s="46">
        <f t="shared" si="16"/>
        <v>1</v>
      </c>
      <c r="BD35" s="46">
        <f t="shared" si="5"/>
        <v>1</v>
      </c>
      <c r="BE35" s="46">
        <f t="shared" si="6"/>
        <v>0</v>
      </c>
      <c r="BF35" s="46">
        <f t="shared" si="7"/>
        <v>1</v>
      </c>
      <c r="BG35" s="46">
        <f t="shared" si="8"/>
        <v>1</v>
      </c>
      <c r="BH35" s="46">
        <f t="shared" si="9"/>
        <v>0</v>
      </c>
      <c r="BI35" s="3">
        <f t="shared" si="17"/>
        <v>4</v>
      </c>
      <c r="BJ35" s="3" t="str">
        <f t="shared" si="19"/>
        <v>Failed in 2 Subjects</v>
      </c>
      <c r="BK35" s="3" t="str">
        <f>IF(BA35="","",RANK(BA35,BA$2:BA88,0))</f>
        <v/>
      </c>
      <c r="BL35" s="3" t="str">
        <f t="shared" si="12"/>
        <v>খুবই দুর্বল</v>
      </c>
      <c r="BM35" s="3" t="str">
        <f t="shared" si="13"/>
        <v>Very Weak</v>
      </c>
      <c r="BN35" s="3" t="str">
        <f t="shared" si="14"/>
        <v/>
      </c>
    </row>
    <row r="36" spans="1:66" x14ac:dyDescent="0.35">
      <c r="A36" s="3" t="str">
        <f>'Student Basic Info'!B36</f>
        <v>Science</v>
      </c>
      <c r="B36" s="3">
        <f>'Student Basic Info'!A36</f>
        <v>735</v>
      </c>
      <c r="C36" s="3" t="str">
        <f>'Student Basic Info'!C36</f>
        <v>Sumaiya Zahan Tarin</v>
      </c>
      <c r="D36" s="3" t="str">
        <f>'Student Basic Info'!D36</f>
        <v>Shekh Bahar</v>
      </c>
      <c r="E36" s="3" t="str">
        <f>'Student Basic Info'!E36</f>
        <v>Toiyober Nesa</v>
      </c>
      <c r="F36" s="3" t="str">
        <f>'Student Basic Info'!F36</f>
        <v>Female</v>
      </c>
      <c r="G36" s="73" t="str">
        <f>'Student Basic Info'!I36</f>
        <v>01731-632874</v>
      </c>
      <c r="H36" s="74" t="str">
        <f>IF(Bangla!B36="","",Bangla!B36)</f>
        <v/>
      </c>
      <c r="I36" s="74">
        <f>IF(Bangla!C36="","",Bangla!C36)</f>
        <v>50</v>
      </c>
      <c r="J36" s="74">
        <f>IF(Bangla!D36="","",Bangla!D36)</f>
        <v>50</v>
      </c>
      <c r="K36" s="75">
        <f>IF(English!C36="","",English!C36)</f>
        <v>44</v>
      </c>
      <c r="L36" s="37">
        <f>IF(ICT!B36="","",ICT!B36)</f>
        <v>6</v>
      </c>
      <c r="M36" s="37" t="str">
        <f>IF(ICT!C36="","",ICT!C36)</f>
        <v/>
      </c>
      <c r="N36" s="37">
        <f>IF(ICT!D36="","",ICT!D36)</f>
        <v>25</v>
      </c>
      <c r="O36" s="37">
        <f>IF(ICT!E36="","",ICT!E36)</f>
        <v>31</v>
      </c>
      <c r="P36" s="44">
        <f>IF(Physics!B36="","",Physics!B36)</f>
        <v>8</v>
      </c>
      <c r="Q36" s="44">
        <f>IF(Physics!C36="","",Physics!C36)</f>
        <v>11</v>
      </c>
      <c r="R36" s="44">
        <f>IF(Physics!D36="","",Physics!D36)</f>
        <v>10</v>
      </c>
      <c r="S36" s="89">
        <f>IF(Physics!E36="","",Physics!E36)</f>
        <v>29</v>
      </c>
      <c r="T36" s="37" t="str">
        <f>IF(Chemistry!B36="","",Chemistry!B36)</f>
        <v/>
      </c>
      <c r="U36" s="37" t="str">
        <f>IF(Chemistry!C36="","",Chemistry!C36)</f>
        <v/>
      </c>
      <c r="V36" s="37" t="str">
        <f>IF(Chemistry!D36="","",Chemistry!D36)</f>
        <v/>
      </c>
      <c r="W36" s="37" t="str">
        <f>IF(Chemistry!E36="","",Chemistry!E36)</f>
        <v/>
      </c>
      <c r="X36" s="38">
        <f>IF(SubjectList!G36="Math", IF(Math!B36="","",Math!B36), IF(Biology!B36="","",Biology!B36))</f>
        <v>4</v>
      </c>
      <c r="Y36" s="38">
        <f>IF(SubjectList!G36="Math", IF(Math!C36="","",Math!C36), IF(Biology!C36="","",Biology!C36))</f>
        <v>6</v>
      </c>
      <c r="Z36" s="38">
        <f>IF(SubjectList!G36="Math", IF(Math!D36="","",Math!D36), IF(Biology!D36="","",Biology!D36))</f>
        <v>8</v>
      </c>
      <c r="AA36" s="38">
        <f>IF(SubjectList!G36="Math", IF(Math!E36="","",Math!E36), IF(Biology!E36="","",Biology!E36))</f>
        <v>18</v>
      </c>
      <c r="AB36" s="44">
        <f>IF(SubjectList!I36="Biology", IF(Biology!B36="","",Biology!B36), IF(Math!B36="","",Math!B36))</f>
        <v>7</v>
      </c>
      <c r="AC36" s="44">
        <f>Optional!D36</f>
        <v>1</v>
      </c>
      <c r="AD36" s="44">
        <f>Optional!E36</f>
        <v>10</v>
      </c>
      <c r="AE36" s="44">
        <f>Optional!F36</f>
        <v>18</v>
      </c>
      <c r="AF36" s="39" t="str">
        <f>IF(SubjectList!G36="","", SubjectList!G36)</f>
        <v>Biology</v>
      </c>
      <c r="AG36" s="39" t="str">
        <f>IF(SubjectList!I36="","", SubjectList!I36)</f>
        <v>Math</v>
      </c>
      <c r="AH36" s="40" t="str">
        <f>Bangla!F36</f>
        <v>B</v>
      </c>
      <c r="AI36" s="91" t="str">
        <f>English!E36</f>
        <v>C</v>
      </c>
      <c r="AJ36" s="40" t="str">
        <f>ICT!G36</f>
        <v>F</v>
      </c>
      <c r="AK36" s="40" t="str">
        <f>Physics!G36</f>
        <v>F</v>
      </c>
      <c r="AL36" s="40" t="str">
        <f>Chemistry!G36</f>
        <v/>
      </c>
      <c r="AM36" s="40" t="str">
        <f>IF(SubjectList!G36="Math", IF(Math!G36="","",Math!G36), IF(Biology!G36="","",Biology!G36))</f>
        <v>F</v>
      </c>
      <c r="AN36" s="40" t="str">
        <f>IF(SubjectList!H36="Math", IF(Math!G36="","",Math!G36), IF(Biology!G36="","",Biology!G36))</f>
        <v>F</v>
      </c>
      <c r="AO36" s="41">
        <f>Bangla!G36</f>
        <v>3</v>
      </c>
      <c r="AP36" s="41">
        <f>English!F36</f>
        <v>2</v>
      </c>
      <c r="AQ36" s="41">
        <f>ICT!H36</f>
        <v>0</v>
      </c>
      <c r="AR36" s="41">
        <f>Physics!H36</f>
        <v>0</v>
      </c>
      <c r="AS36" s="41" t="str">
        <f>Chemistry!H36</f>
        <v/>
      </c>
      <c r="AT36" s="41">
        <f>IF(SubjectList!G36="Math", IF(Math!H36="","",Math!H36), IF(Biology!H36="","",Biology!H36))</f>
        <v>0</v>
      </c>
      <c r="AU36" s="41">
        <f>IF(SubjectList!I36="Math", IF(Math!H36="","",Math!H36), IF(Biology!H36="","",Biology!H36))</f>
        <v>0</v>
      </c>
      <c r="AV36" s="41">
        <f>Optional!I36</f>
        <v>0</v>
      </c>
      <c r="AW36" s="41">
        <f>Optional!J36</f>
        <v>0</v>
      </c>
      <c r="AX36" s="41">
        <f t="shared" si="0"/>
        <v>5</v>
      </c>
      <c r="AY36" s="41">
        <f t="shared" si="15"/>
        <v>5</v>
      </c>
      <c r="AZ36" s="41" t="str">
        <f t="shared" si="1"/>
        <v/>
      </c>
      <c r="BA36" s="41" t="str">
        <f t="shared" si="2"/>
        <v/>
      </c>
      <c r="BB36" s="41">
        <f t="shared" si="18"/>
        <v>190</v>
      </c>
      <c r="BC36" s="46">
        <f t="shared" si="16"/>
        <v>1</v>
      </c>
      <c r="BD36" s="46">
        <f t="shared" si="5"/>
        <v>1</v>
      </c>
      <c r="BE36" s="46">
        <f t="shared" si="6"/>
        <v>0</v>
      </c>
      <c r="BF36" s="46">
        <f t="shared" si="7"/>
        <v>0</v>
      </c>
      <c r="BG36" s="46" t="str">
        <f t="shared" si="8"/>
        <v/>
      </c>
      <c r="BH36" s="46">
        <f t="shared" si="9"/>
        <v>0</v>
      </c>
      <c r="BI36" s="3">
        <f t="shared" si="17"/>
        <v>2</v>
      </c>
      <c r="BJ36" s="3" t="str">
        <f t="shared" si="19"/>
        <v>Failed in 4 Subjects</v>
      </c>
      <c r="BK36" s="3" t="str">
        <f>IF(BA36="","",RANK(BA36,BA$2:BA88,0))</f>
        <v/>
      </c>
      <c r="BL36" s="3" t="str">
        <f t="shared" si="12"/>
        <v>খুবই দুর্বল</v>
      </c>
      <c r="BM36" s="3" t="str">
        <f t="shared" si="13"/>
        <v>Very Weak</v>
      </c>
      <c r="BN36" s="3" t="str">
        <f t="shared" si="14"/>
        <v/>
      </c>
    </row>
    <row r="37" spans="1:66" x14ac:dyDescent="0.35">
      <c r="A37" s="3" t="str">
        <f>'Student Basic Info'!B37</f>
        <v>Science</v>
      </c>
      <c r="B37" s="3">
        <f>'Student Basic Info'!A37</f>
        <v>736</v>
      </c>
      <c r="C37" s="3" t="str">
        <f>'Student Basic Info'!C37</f>
        <v>Nur Islam</v>
      </c>
      <c r="D37" s="3" t="str">
        <f>'Student Basic Info'!D37</f>
        <v>Late Golam Mowla</v>
      </c>
      <c r="E37" s="3" t="str">
        <f>'Student Basic Info'!E37</f>
        <v>Nazmun Nahar Begum</v>
      </c>
      <c r="F37" s="3" t="str">
        <f>'Student Basic Info'!F37</f>
        <v>Male</v>
      </c>
      <c r="G37" s="73" t="str">
        <f>'Student Basic Info'!I37</f>
        <v>01877-996387</v>
      </c>
      <c r="H37" s="74" t="str">
        <f>IF(Bangla!B37="","",Bangla!B37)</f>
        <v/>
      </c>
      <c r="I37" s="74">
        <f>IF(Bangla!C37="","",Bangla!C37)</f>
        <v>40</v>
      </c>
      <c r="J37" s="74">
        <f>IF(Bangla!D37="","",Bangla!D37)</f>
        <v>40</v>
      </c>
      <c r="K37" s="75">
        <f>IF(English!C37="","",English!C37)</f>
        <v>16</v>
      </c>
      <c r="L37" s="37">
        <f>IF(ICT!B37="","",ICT!B37)</f>
        <v>10</v>
      </c>
      <c r="M37" s="37">
        <f>IF(ICT!C37="","",ICT!C37)</f>
        <v>5</v>
      </c>
      <c r="N37" s="37">
        <f>IF(ICT!D37="","",ICT!D37)</f>
        <v>8</v>
      </c>
      <c r="O37" s="37">
        <f>IF(ICT!E37="","",ICT!E37)</f>
        <v>23</v>
      </c>
      <c r="P37" s="44">
        <f>IF(Physics!B37="","",Physics!B37)</f>
        <v>10</v>
      </c>
      <c r="Q37" s="44">
        <f>IF(Physics!C37="","",Physics!C37)</f>
        <v>28</v>
      </c>
      <c r="R37" s="44">
        <f>IF(Physics!D37="","",Physics!D37)</f>
        <v>16</v>
      </c>
      <c r="S37" s="89">
        <f>IF(Physics!E37="","",Physics!E37)</f>
        <v>54</v>
      </c>
      <c r="T37" s="37">
        <f>IF(Chemistry!B37="","",Chemistry!B37)</f>
        <v>9</v>
      </c>
      <c r="U37" s="37">
        <f>IF(Chemistry!C37="","",Chemistry!C37)</f>
        <v>15</v>
      </c>
      <c r="V37" s="37">
        <f>IF(Chemistry!D37="","",Chemistry!D37)</f>
        <v>10</v>
      </c>
      <c r="W37" s="37">
        <f>IF(Chemistry!E37="","",Chemistry!E37)</f>
        <v>34</v>
      </c>
      <c r="X37" s="38">
        <f>IF(SubjectList!G37="Math", IF(Math!B37="","",Math!B37), IF(Biology!B37="","",Biology!B37))</f>
        <v>10</v>
      </c>
      <c r="Y37" s="38">
        <f>IF(SubjectList!G37="Math", IF(Math!C37="","",Math!C37), IF(Biology!C37="","",Biology!C37))</f>
        <v>4</v>
      </c>
      <c r="Z37" s="38">
        <f>IF(SubjectList!G37="Math", IF(Math!D37="","",Math!D37), IF(Biology!D37="","",Biology!D37))</f>
        <v>10</v>
      </c>
      <c r="AA37" s="38">
        <f>IF(SubjectList!G37="Math", IF(Math!E37="","",Math!E37), IF(Biology!E37="","",Biology!E37))</f>
        <v>24</v>
      </c>
      <c r="AB37" s="44" t="str">
        <f>IF(SubjectList!I37="Biology", IF(Biology!B37="","",Biology!B37), IF(Math!B37="","",Math!B37))</f>
        <v/>
      </c>
      <c r="AC37" s="44" t="str">
        <f>Optional!D37</f>
        <v/>
      </c>
      <c r="AD37" s="44" t="str">
        <f>Optional!E37</f>
        <v/>
      </c>
      <c r="AE37" s="44" t="str">
        <f>Optional!F37</f>
        <v/>
      </c>
      <c r="AF37" s="39" t="str">
        <f>IF(SubjectList!G37="","", SubjectList!G37)</f>
        <v>Biology</v>
      </c>
      <c r="AG37" s="39" t="str">
        <f>IF(SubjectList!I37="","", SubjectList!I37)</f>
        <v>Math</v>
      </c>
      <c r="AH37" s="40" t="str">
        <f>Bangla!F37</f>
        <v>C</v>
      </c>
      <c r="AI37" s="91" t="str">
        <f>English!E37</f>
        <v>F</v>
      </c>
      <c r="AJ37" s="40" t="str">
        <f>ICT!G37</f>
        <v>F</v>
      </c>
      <c r="AK37" s="40" t="str">
        <f>Physics!G37</f>
        <v>B</v>
      </c>
      <c r="AL37" s="40" t="str">
        <f>Chemistry!G37</f>
        <v>F</v>
      </c>
      <c r="AM37" s="40" t="str">
        <f>IF(SubjectList!G37="Math", IF(Math!G37="","",Math!G37), IF(Biology!G37="","",Biology!G37))</f>
        <v>F</v>
      </c>
      <c r="AN37" s="40" t="str">
        <f>IF(SubjectList!H37="Math", IF(Math!G37="","",Math!G37), IF(Biology!G37="","",Biology!G37))</f>
        <v/>
      </c>
      <c r="AO37" s="41">
        <f>Bangla!G37</f>
        <v>2</v>
      </c>
      <c r="AP37" s="41">
        <f>English!F37</f>
        <v>0</v>
      </c>
      <c r="AQ37" s="41">
        <f>ICT!H37</f>
        <v>0</v>
      </c>
      <c r="AR37" s="41">
        <f>Physics!H37</f>
        <v>3</v>
      </c>
      <c r="AS37" s="41">
        <f>Chemistry!H37</f>
        <v>0</v>
      </c>
      <c r="AT37" s="41">
        <f>IF(SubjectList!G37="Math", IF(Math!H37="","",Math!H37), IF(Biology!H37="","",Biology!H37))</f>
        <v>0</v>
      </c>
      <c r="AU37" s="41" t="str">
        <f>IF(SubjectList!I37="Math", IF(Math!H37="","",Math!H37), IF(Biology!H37="","",Biology!H37))</f>
        <v/>
      </c>
      <c r="AV37" s="41" t="str">
        <f>Optional!I37</f>
        <v/>
      </c>
      <c r="AW37" s="41" t="str">
        <f>Optional!J37</f>
        <v/>
      </c>
      <c r="AX37" s="41">
        <f t="shared" si="0"/>
        <v>5</v>
      </c>
      <c r="AY37" s="41">
        <f t="shared" si="15"/>
        <v>5</v>
      </c>
      <c r="AZ37" s="41" t="str">
        <f t="shared" si="1"/>
        <v/>
      </c>
      <c r="BA37" s="41" t="str">
        <f t="shared" si="2"/>
        <v/>
      </c>
      <c r="BB37" s="41">
        <f t="shared" si="18"/>
        <v>191</v>
      </c>
      <c r="BC37" s="46">
        <f t="shared" si="16"/>
        <v>1</v>
      </c>
      <c r="BD37" s="46">
        <f t="shared" si="5"/>
        <v>0</v>
      </c>
      <c r="BE37" s="46">
        <f t="shared" si="6"/>
        <v>0</v>
      </c>
      <c r="BF37" s="46">
        <f t="shared" si="7"/>
        <v>1</v>
      </c>
      <c r="BG37" s="46">
        <f t="shared" si="8"/>
        <v>0</v>
      </c>
      <c r="BH37" s="46">
        <f t="shared" si="9"/>
        <v>0</v>
      </c>
      <c r="BI37" s="3">
        <f t="shared" si="17"/>
        <v>2</v>
      </c>
      <c r="BJ37" s="3" t="str">
        <f t="shared" si="19"/>
        <v>Failed in 4 Subjects</v>
      </c>
      <c r="BK37" s="3" t="str">
        <f>IF(BA37="","",RANK(BA37,BA$2:BA88,0))</f>
        <v/>
      </c>
      <c r="BL37" s="3" t="str">
        <f t="shared" si="12"/>
        <v>খুবই দুর্বল</v>
      </c>
      <c r="BM37" s="3" t="str">
        <f t="shared" si="13"/>
        <v>Very Weak</v>
      </c>
      <c r="BN37" s="3" t="str">
        <f t="shared" si="14"/>
        <v/>
      </c>
    </row>
    <row r="38" spans="1:66" x14ac:dyDescent="0.35">
      <c r="A38" s="3" t="str">
        <f>'Student Basic Info'!B38</f>
        <v>Science</v>
      </c>
      <c r="B38" s="3">
        <f>'Student Basic Info'!A38</f>
        <v>737</v>
      </c>
      <c r="C38" s="3" t="str">
        <f>'Student Basic Info'!C38</f>
        <v>Nusrat Zahan</v>
      </c>
      <c r="D38" s="3" t="str">
        <f>'Student Basic Info'!D38</f>
        <v>Abdul Mannan</v>
      </c>
      <c r="E38" s="3" t="str">
        <f>'Student Basic Info'!E38</f>
        <v>Nur Nahar Begum</v>
      </c>
      <c r="F38" s="3" t="str">
        <f>'Student Basic Info'!F38</f>
        <v>Female</v>
      </c>
      <c r="G38" s="73" t="str">
        <f>'Student Basic Info'!I38</f>
        <v>01824-248710</v>
      </c>
      <c r="H38" s="74" t="str">
        <f>IF(Bangla!B38="","",Bangla!B38)</f>
        <v/>
      </c>
      <c r="I38" s="74">
        <f>IF(Bangla!C38="","",Bangla!C38)</f>
        <v>57</v>
      </c>
      <c r="J38" s="74">
        <f>IF(Bangla!D38="","",Bangla!D38)</f>
        <v>57</v>
      </c>
      <c r="K38" s="75">
        <f>IF(English!C38="","",English!C38)</f>
        <v>47</v>
      </c>
      <c r="L38" s="37">
        <f>IF(ICT!B38="","",ICT!B38)</f>
        <v>14</v>
      </c>
      <c r="M38" s="37">
        <f>IF(ICT!C38="","",ICT!C38)</f>
        <v>12</v>
      </c>
      <c r="N38" s="37">
        <f>IF(ICT!D38="","",ICT!D38)</f>
        <v>22</v>
      </c>
      <c r="O38" s="37">
        <f>IF(ICT!E38="","",ICT!E38)</f>
        <v>48</v>
      </c>
      <c r="P38" s="44">
        <f>IF(Physics!B38="","",Physics!B38)</f>
        <v>8</v>
      </c>
      <c r="Q38" s="44">
        <f>IF(Physics!C38="","",Physics!C38)</f>
        <v>33</v>
      </c>
      <c r="R38" s="44">
        <f>IF(Physics!D38="","",Physics!D38)</f>
        <v>19</v>
      </c>
      <c r="S38" s="89">
        <f>IF(Physics!E38="","",Physics!E38)</f>
        <v>60</v>
      </c>
      <c r="T38" s="37">
        <f>IF(Chemistry!B38="","",Chemistry!B38)</f>
        <v>15</v>
      </c>
      <c r="U38" s="37">
        <f>IF(Chemistry!C38="","",Chemistry!C38)</f>
        <v>14</v>
      </c>
      <c r="V38" s="37">
        <f>IF(Chemistry!D38="","",Chemistry!D38)</f>
        <v>9</v>
      </c>
      <c r="W38" s="37">
        <f>IF(Chemistry!E38="","",Chemistry!E38)</f>
        <v>38</v>
      </c>
      <c r="X38" s="38">
        <f>IF(SubjectList!G38="Math", IF(Math!B38="","",Math!B38), IF(Biology!B38="","",Biology!B38))</f>
        <v>8</v>
      </c>
      <c r="Y38" s="38">
        <f>IF(SubjectList!G38="Math", IF(Math!C38="","",Math!C38), IF(Biology!C38="","",Biology!C38))</f>
        <v>10</v>
      </c>
      <c r="Z38" s="38">
        <f>IF(SubjectList!G38="Math", IF(Math!D38="","",Math!D38), IF(Biology!D38="","",Biology!D38))</f>
        <v>11</v>
      </c>
      <c r="AA38" s="38">
        <f>IF(SubjectList!G38="Math", IF(Math!E38="","",Math!E38), IF(Biology!E38="","",Biology!E38))</f>
        <v>29</v>
      </c>
      <c r="AB38" s="44">
        <f>IF(SubjectList!I38="Biology", IF(Biology!B38="","",Biology!B38), IF(Math!B38="","",Math!B38))</f>
        <v>4</v>
      </c>
      <c r="AC38" s="44">
        <f>Optional!D38</f>
        <v>4</v>
      </c>
      <c r="AD38" s="44">
        <f>Optional!E38</f>
        <v>9</v>
      </c>
      <c r="AE38" s="44">
        <f>Optional!F38</f>
        <v>17</v>
      </c>
      <c r="AF38" s="39" t="str">
        <f>IF(SubjectList!G38="","", SubjectList!G38)</f>
        <v>Biology</v>
      </c>
      <c r="AG38" s="39" t="str">
        <f>IF(SubjectList!I38="","", SubjectList!I38)</f>
        <v>Math</v>
      </c>
      <c r="AH38" s="40" t="str">
        <f>Bangla!F38</f>
        <v>B</v>
      </c>
      <c r="AI38" s="91" t="str">
        <f>English!E38</f>
        <v>C</v>
      </c>
      <c r="AJ38" s="40" t="str">
        <f>ICT!G38</f>
        <v>F</v>
      </c>
      <c r="AK38" s="40" t="str">
        <f>Physics!G38</f>
        <v>A-</v>
      </c>
      <c r="AL38" s="40" t="str">
        <f>Chemistry!G38</f>
        <v>F</v>
      </c>
      <c r="AM38" s="40" t="str">
        <f>IF(SubjectList!G38="Math", IF(Math!G38="","",Math!G38), IF(Biology!G38="","",Biology!G38))</f>
        <v>F</v>
      </c>
      <c r="AN38" s="40" t="str">
        <f>IF(SubjectList!H38="Math", IF(Math!G38="","",Math!G38), IF(Biology!G38="","",Biology!G38))</f>
        <v>F</v>
      </c>
      <c r="AO38" s="41">
        <f>Bangla!G38</f>
        <v>3</v>
      </c>
      <c r="AP38" s="41">
        <f>English!F38</f>
        <v>2</v>
      </c>
      <c r="AQ38" s="41">
        <f>ICT!H38</f>
        <v>0</v>
      </c>
      <c r="AR38" s="41">
        <f>Physics!H38</f>
        <v>3.5</v>
      </c>
      <c r="AS38" s="41">
        <f>Chemistry!H38</f>
        <v>0</v>
      </c>
      <c r="AT38" s="41">
        <f>IF(SubjectList!G38="Math", IF(Math!H38="","",Math!H38), IF(Biology!H38="","",Biology!H38))</f>
        <v>0</v>
      </c>
      <c r="AU38" s="41">
        <f>IF(SubjectList!I38="Math", IF(Math!H38="","",Math!H38), IF(Biology!H38="","",Biology!H38))</f>
        <v>0</v>
      </c>
      <c r="AV38" s="41">
        <f>Optional!I38</f>
        <v>0</v>
      </c>
      <c r="AW38" s="41">
        <f>Optional!J38</f>
        <v>0</v>
      </c>
      <c r="AX38" s="41">
        <f t="shared" si="0"/>
        <v>8.5</v>
      </c>
      <c r="AY38" s="41">
        <f t="shared" si="15"/>
        <v>8.5</v>
      </c>
      <c r="AZ38" s="41" t="str">
        <f t="shared" si="1"/>
        <v/>
      </c>
      <c r="BA38" s="41" t="str">
        <f t="shared" si="2"/>
        <v/>
      </c>
      <c r="BB38" s="41">
        <f t="shared" si="18"/>
        <v>296</v>
      </c>
      <c r="BC38" s="46">
        <f t="shared" si="16"/>
        <v>1</v>
      </c>
      <c r="BD38" s="46">
        <f t="shared" si="5"/>
        <v>1</v>
      </c>
      <c r="BE38" s="46">
        <f t="shared" si="6"/>
        <v>0</v>
      </c>
      <c r="BF38" s="46">
        <f t="shared" si="7"/>
        <v>1</v>
      </c>
      <c r="BG38" s="46">
        <f t="shared" si="8"/>
        <v>0</v>
      </c>
      <c r="BH38" s="46">
        <f t="shared" si="9"/>
        <v>0</v>
      </c>
      <c r="BI38" s="3">
        <f t="shared" si="17"/>
        <v>3</v>
      </c>
      <c r="BJ38" s="3" t="str">
        <f t="shared" si="19"/>
        <v>Failed in 3 Subjects</v>
      </c>
      <c r="BK38" s="3" t="str">
        <f>IF(BA38="","",RANK(BA38,BA$2:BA88,0))</f>
        <v/>
      </c>
      <c r="BL38" s="3" t="str">
        <f t="shared" si="12"/>
        <v>খুবই দুর্বল</v>
      </c>
      <c r="BM38" s="3" t="str">
        <f t="shared" si="13"/>
        <v>Very Weak</v>
      </c>
      <c r="BN38" s="3" t="str">
        <f t="shared" si="14"/>
        <v/>
      </c>
    </row>
    <row r="39" spans="1:66" x14ac:dyDescent="0.35">
      <c r="A39" s="3" t="str">
        <f>'Student Basic Info'!B39</f>
        <v>Science</v>
      </c>
      <c r="B39" s="3">
        <f>'Student Basic Info'!A39</f>
        <v>738</v>
      </c>
      <c r="C39" s="3" t="str">
        <f>'Student Basic Info'!C39</f>
        <v>Arpita Rani Bhoumik</v>
      </c>
      <c r="D39" s="3" t="str">
        <f>'Student Basic Info'!D39</f>
        <v>Kiriti Kumar Nath</v>
      </c>
      <c r="E39" s="3" t="str">
        <f>'Student Basic Info'!E39</f>
        <v>Rani Bhowmil</v>
      </c>
      <c r="F39" s="3" t="str">
        <f>'Student Basic Info'!F39</f>
        <v>Female</v>
      </c>
      <c r="G39" s="73" t="str">
        <f>'Student Basic Info'!I39</f>
        <v>01763-826298</v>
      </c>
      <c r="H39" s="74" t="str">
        <f>IF(Bangla!B39="","",Bangla!B39)</f>
        <v/>
      </c>
      <c r="I39" s="74">
        <f>IF(Bangla!C39="","",Bangla!C39)</f>
        <v>54</v>
      </c>
      <c r="J39" s="74">
        <f>IF(Bangla!D39="","",Bangla!D39)</f>
        <v>54</v>
      </c>
      <c r="K39" s="75">
        <f>IF(English!C39="","",English!C39)</f>
        <v>44</v>
      </c>
      <c r="L39" s="37">
        <f>IF(ICT!B39="","",ICT!B39)</f>
        <v>13</v>
      </c>
      <c r="M39" s="37">
        <f>IF(ICT!C39="","",ICT!C39)</f>
        <v>17</v>
      </c>
      <c r="N39" s="37">
        <f>IF(ICT!D39="","",ICT!D39)</f>
        <v>24</v>
      </c>
      <c r="O39" s="37">
        <f>IF(ICT!E39="","",ICT!E39)</f>
        <v>54</v>
      </c>
      <c r="P39" s="44">
        <f>IF(Physics!B39="","",Physics!B39)</f>
        <v>10</v>
      </c>
      <c r="Q39" s="44">
        <f>IF(Physics!C39="","",Physics!C39)</f>
        <v>12</v>
      </c>
      <c r="R39" s="44">
        <f>IF(Physics!D39="","",Physics!D39)</f>
        <v>15</v>
      </c>
      <c r="S39" s="89">
        <f>IF(Physics!E39="","",Physics!E39)</f>
        <v>37</v>
      </c>
      <c r="T39" s="37">
        <f>IF(Chemistry!B39="","",Chemistry!B39)</f>
        <v>12</v>
      </c>
      <c r="U39" s="37">
        <f>IF(Chemistry!C39="","",Chemistry!C39)</f>
        <v>13</v>
      </c>
      <c r="V39" s="37">
        <f>IF(Chemistry!D39="","",Chemistry!D39)</f>
        <v>9</v>
      </c>
      <c r="W39" s="37">
        <f>IF(Chemistry!E39="","",Chemistry!E39)</f>
        <v>34</v>
      </c>
      <c r="X39" s="38">
        <f>IF(SubjectList!G39="Math", IF(Math!B39="","",Math!B39), IF(Biology!B39="","",Biology!B39))</f>
        <v>9</v>
      </c>
      <c r="Y39" s="38">
        <f>IF(SubjectList!G39="Math", IF(Math!C39="","",Math!C39), IF(Biology!C39="","",Biology!C39))</f>
        <v>10</v>
      </c>
      <c r="Z39" s="38">
        <f>IF(SubjectList!G39="Math", IF(Math!D39="","",Math!D39), IF(Biology!D39="","",Biology!D39))</f>
        <v>11</v>
      </c>
      <c r="AA39" s="38">
        <f>IF(SubjectList!G39="Math", IF(Math!E39="","",Math!E39), IF(Biology!E39="","",Biology!E39))</f>
        <v>30</v>
      </c>
      <c r="AB39" s="44">
        <f>IF(SubjectList!I39="Biology", IF(Biology!B39="","",Biology!B39), IF(Math!B39="","",Math!B39))</f>
        <v>6</v>
      </c>
      <c r="AC39" s="44">
        <f>Optional!D39</f>
        <v>1</v>
      </c>
      <c r="AD39" s="44">
        <f>Optional!E39</f>
        <v>8</v>
      </c>
      <c r="AE39" s="44">
        <f>Optional!F39</f>
        <v>15</v>
      </c>
      <c r="AF39" s="39" t="str">
        <f>IF(SubjectList!G39="","", SubjectList!G39)</f>
        <v>Biology</v>
      </c>
      <c r="AG39" s="39" t="str">
        <f>IF(SubjectList!I39="","", SubjectList!I39)</f>
        <v>Math</v>
      </c>
      <c r="AH39" s="40" t="str">
        <f>Bangla!F39</f>
        <v>B</v>
      </c>
      <c r="AI39" s="91" t="str">
        <f>English!E39</f>
        <v>C</v>
      </c>
      <c r="AJ39" s="40" t="str">
        <f>ICT!G39</f>
        <v>B</v>
      </c>
      <c r="AK39" s="40" t="str">
        <f>Physics!G39</f>
        <v>F</v>
      </c>
      <c r="AL39" s="40" t="str">
        <f>Chemistry!G39</f>
        <v>F</v>
      </c>
      <c r="AM39" s="40" t="str">
        <f>IF(SubjectList!G39="Math", IF(Math!G39="","",Math!G39), IF(Biology!G39="","",Biology!G39))</f>
        <v>F</v>
      </c>
      <c r="AN39" s="40" t="str">
        <f>IF(SubjectList!H39="Math", IF(Math!G39="","",Math!G39), IF(Biology!G39="","",Biology!G39))</f>
        <v>F</v>
      </c>
      <c r="AO39" s="41">
        <f>Bangla!G39</f>
        <v>3</v>
      </c>
      <c r="AP39" s="41">
        <f>English!F39</f>
        <v>2</v>
      </c>
      <c r="AQ39" s="41">
        <f>ICT!H39</f>
        <v>3</v>
      </c>
      <c r="AR39" s="41">
        <f>Physics!H39</f>
        <v>0</v>
      </c>
      <c r="AS39" s="41">
        <f>Chemistry!H39</f>
        <v>0</v>
      </c>
      <c r="AT39" s="41">
        <f>IF(SubjectList!G39="Math", IF(Math!H39="","",Math!H39), IF(Biology!H39="","",Biology!H39))</f>
        <v>0</v>
      </c>
      <c r="AU39" s="41">
        <f>IF(SubjectList!I39="Math", IF(Math!H39="","",Math!H39), IF(Biology!H39="","",Biology!H39))</f>
        <v>0</v>
      </c>
      <c r="AV39" s="41">
        <f>Optional!I39</f>
        <v>0</v>
      </c>
      <c r="AW39" s="41">
        <f>Optional!J39</f>
        <v>0</v>
      </c>
      <c r="AX39" s="41">
        <f t="shared" si="0"/>
        <v>8</v>
      </c>
      <c r="AY39" s="41">
        <f t="shared" si="15"/>
        <v>8</v>
      </c>
      <c r="AZ39" s="41" t="str">
        <f t="shared" si="1"/>
        <v/>
      </c>
      <c r="BA39" s="41" t="str">
        <f t="shared" si="2"/>
        <v/>
      </c>
      <c r="BB39" s="41">
        <f t="shared" si="18"/>
        <v>268</v>
      </c>
      <c r="BC39" s="46">
        <f t="shared" si="16"/>
        <v>1</v>
      </c>
      <c r="BD39" s="46">
        <f t="shared" si="5"/>
        <v>1</v>
      </c>
      <c r="BE39" s="46">
        <f t="shared" si="6"/>
        <v>1</v>
      </c>
      <c r="BF39" s="46">
        <f t="shared" si="7"/>
        <v>0</v>
      </c>
      <c r="BG39" s="46">
        <f t="shared" si="8"/>
        <v>0</v>
      </c>
      <c r="BH39" s="46">
        <f t="shared" si="9"/>
        <v>0</v>
      </c>
      <c r="BI39" s="3">
        <f t="shared" si="17"/>
        <v>3</v>
      </c>
      <c r="BJ39" s="3" t="str">
        <f t="shared" si="19"/>
        <v>Failed in 3 Subjects</v>
      </c>
      <c r="BK39" s="3" t="str">
        <f>IF(BA39="","",RANK(BA39,BA$2:BA88,0))</f>
        <v/>
      </c>
      <c r="BL39" s="3" t="str">
        <f t="shared" si="12"/>
        <v>খুবই দুর্বল</v>
      </c>
      <c r="BM39" s="3" t="str">
        <f t="shared" si="13"/>
        <v>Very Weak</v>
      </c>
      <c r="BN39" s="3" t="str">
        <f t="shared" si="14"/>
        <v/>
      </c>
    </row>
    <row r="40" spans="1:66" x14ac:dyDescent="0.35">
      <c r="A40" s="3" t="str">
        <f>'Student Basic Info'!B40</f>
        <v>Science</v>
      </c>
      <c r="B40" s="3">
        <f>'Student Basic Info'!A40</f>
        <v>739</v>
      </c>
      <c r="C40" s="3" t="str">
        <f>'Student Basic Info'!C40</f>
        <v xml:space="preserve">Israt Zahan Shrabonti </v>
      </c>
      <c r="D40" s="3" t="str">
        <f>'Student Basic Info'!D40</f>
        <v>Abul Hosain</v>
      </c>
      <c r="E40" s="3" t="str">
        <f>'Student Basic Info'!E40</f>
        <v>Shaleha Begum</v>
      </c>
      <c r="F40" s="3" t="str">
        <f>'Student Basic Info'!F40</f>
        <v>Female</v>
      </c>
      <c r="G40" s="73">
        <f>'Student Basic Info'!I40</f>
        <v>0</v>
      </c>
      <c r="H40" s="74" t="str">
        <f>IF(Bangla!B40="","",Bangla!B40)</f>
        <v/>
      </c>
      <c r="I40" s="74">
        <f>IF(Bangla!C40="","",Bangla!C40)</f>
        <v>52</v>
      </c>
      <c r="J40" s="74">
        <f>IF(Bangla!D40="","",Bangla!D40)</f>
        <v>52</v>
      </c>
      <c r="K40" s="75">
        <f>IF(English!C40="","",English!C40)</f>
        <v>35</v>
      </c>
      <c r="L40" s="37">
        <f>IF(ICT!B40="","",ICT!B40)</f>
        <v>13</v>
      </c>
      <c r="M40" s="37">
        <f>IF(ICT!C40="","",ICT!C40)</f>
        <v>17</v>
      </c>
      <c r="N40" s="37">
        <f>IF(ICT!D40="","",ICT!D40)</f>
        <v>18</v>
      </c>
      <c r="O40" s="37">
        <f>IF(ICT!E40="","",ICT!E40)</f>
        <v>48</v>
      </c>
      <c r="P40" s="44">
        <f>IF(Physics!B40="","",Physics!B40)</f>
        <v>9</v>
      </c>
      <c r="Q40" s="44">
        <f>IF(Physics!C40="","",Physics!C40)</f>
        <v>25</v>
      </c>
      <c r="R40" s="44">
        <f>IF(Physics!D40="","",Physics!D40)</f>
        <v>16</v>
      </c>
      <c r="S40" s="89">
        <f>IF(Physics!E40="","",Physics!E40)</f>
        <v>50</v>
      </c>
      <c r="T40" s="37">
        <f>IF(Chemistry!B40="","",Chemistry!B40)</f>
        <v>12</v>
      </c>
      <c r="U40" s="37">
        <f>IF(Chemistry!C40="","",Chemistry!C40)</f>
        <v>12</v>
      </c>
      <c r="V40" s="37">
        <f>IF(Chemistry!D40="","",Chemistry!D40)</f>
        <v>9</v>
      </c>
      <c r="W40" s="37">
        <f>IF(Chemistry!E40="","",Chemistry!E40)</f>
        <v>33</v>
      </c>
      <c r="X40" s="38">
        <f>IF(SubjectList!G40="Math", IF(Math!B40="","",Math!B40), IF(Biology!B40="","",Biology!B40))</f>
        <v>8</v>
      </c>
      <c r="Y40" s="38">
        <f>IF(SubjectList!G40="Math", IF(Math!C40="","",Math!C40), IF(Biology!C40="","",Biology!C40))</f>
        <v>10</v>
      </c>
      <c r="Z40" s="38">
        <f>IF(SubjectList!G40="Math", IF(Math!D40="","",Math!D40), IF(Biology!D40="","",Biology!D40))</f>
        <v>11</v>
      </c>
      <c r="AA40" s="38">
        <f>IF(SubjectList!G40="Math", IF(Math!E40="","",Math!E40), IF(Biology!E40="","",Biology!E40))</f>
        <v>29</v>
      </c>
      <c r="AB40" s="44">
        <f>IF(SubjectList!I40="Biology", IF(Biology!B40="","",Biology!B40), IF(Math!B40="","",Math!B40))</f>
        <v>6</v>
      </c>
      <c r="AC40" s="44">
        <f>Optional!D40</f>
        <v>1</v>
      </c>
      <c r="AD40" s="44">
        <f>Optional!E40</f>
        <v>8</v>
      </c>
      <c r="AE40" s="44">
        <f>Optional!F40</f>
        <v>15</v>
      </c>
      <c r="AF40" s="39" t="str">
        <f>IF(SubjectList!G40="","", SubjectList!G40)</f>
        <v>Biology</v>
      </c>
      <c r="AG40" s="39" t="str">
        <f>IF(SubjectList!I40="","", SubjectList!I40)</f>
        <v>Math</v>
      </c>
      <c r="AH40" s="40" t="str">
        <f>Bangla!F40</f>
        <v>B</v>
      </c>
      <c r="AI40" s="91" t="str">
        <f>English!E40</f>
        <v>D</v>
      </c>
      <c r="AJ40" s="40" t="str">
        <f>ICT!G40</f>
        <v>C</v>
      </c>
      <c r="AK40" s="40" t="str">
        <f>Physics!G40</f>
        <v>B</v>
      </c>
      <c r="AL40" s="40" t="str">
        <f>Chemistry!G40</f>
        <v>F</v>
      </c>
      <c r="AM40" s="40" t="str">
        <f>IF(SubjectList!G40="Math", IF(Math!G40="","",Math!G40), IF(Biology!G40="","",Biology!G40))</f>
        <v>F</v>
      </c>
      <c r="AN40" s="40" t="str">
        <f>IF(SubjectList!H40="Math", IF(Math!G40="","",Math!G40), IF(Biology!G40="","",Biology!G40))</f>
        <v>F</v>
      </c>
      <c r="AO40" s="41">
        <f>Bangla!G40</f>
        <v>3</v>
      </c>
      <c r="AP40" s="41">
        <f>English!F40</f>
        <v>1</v>
      </c>
      <c r="AQ40" s="41">
        <f>ICT!H40</f>
        <v>2</v>
      </c>
      <c r="AR40" s="41">
        <f>Physics!H40</f>
        <v>3</v>
      </c>
      <c r="AS40" s="41">
        <f>Chemistry!H40</f>
        <v>0</v>
      </c>
      <c r="AT40" s="41">
        <f>IF(SubjectList!G40="Math", IF(Math!H40="","",Math!H40), IF(Biology!H40="","",Biology!H40))</f>
        <v>0</v>
      </c>
      <c r="AU40" s="41">
        <f>IF(SubjectList!I40="Math", IF(Math!H40="","",Math!H40), IF(Biology!H40="","",Biology!H40))</f>
        <v>0</v>
      </c>
      <c r="AV40" s="41">
        <f>Optional!I40</f>
        <v>0</v>
      </c>
      <c r="AW40" s="41">
        <f>Optional!J40</f>
        <v>0</v>
      </c>
      <c r="AX40" s="41">
        <f t="shared" si="0"/>
        <v>9</v>
      </c>
      <c r="AY40" s="41">
        <f t="shared" si="15"/>
        <v>9</v>
      </c>
      <c r="AZ40" s="41" t="str">
        <f t="shared" si="1"/>
        <v/>
      </c>
      <c r="BA40" s="41" t="str">
        <f t="shared" si="2"/>
        <v/>
      </c>
      <c r="BB40" s="41">
        <f t="shared" si="18"/>
        <v>262</v>
      </c>
      <c r="BC40" s="46">
        <f t="shared" si="16"/>
        <v>1</v>
      </c>
      <c r="BD40" s="46">
        <f t="shared" si="5"/>
        <v>1</v>
      </c>
      <c r="BE40" s="46">
        <f t="shared" si="6"/>
        <v>1</v>
      </c>
      <c r="BF40" s="46">
        <f t="shared" si="7"/>
        <v>1</v>
      </c>
      <c r="BG40" s="46">
        <f t="shared" si="8"/>
        <v>0</v>
      </c>
      <c r="BH40" s="46">
        <f t="shared" si="9"/>
        <v>0</v>
      </c>
      <c r="BI40" s="3">
        <f t="shared" si="17"/>
        <v>4</v>
      </c>
      <c r="BJ40" s="3" t="str">
        <f t="shared" si="19"/>
        <v>Failed in 2 Subjects</v>
      </c>
      <c r="BK40" s="3" t="str">
        <f>IF(BA40="","",RANK(BA40,BA$2:BA88,0))</f>
        <v/>
      </c>
      <c r="BL40" s="3" t="str">
        <f t="shared" si="12"/>
        <v>খুবই দুর্বল</v>
      </c>
      <c r="BM40" s="3" t="str">
        <f t="shared" si="13"/>
        <v>Very Weak</v>
      </c>
      <c r="BN40" s="3" t="str">
        <f t="shared" si="14"/>
        <v/>
      </c>
    </row>
    <row r="41" spans="1:66" x14ac:dyDescent="0.35">
      <c r="A41" s="3" t="str">
        <f>'Student Basic Info'!B41</f>
        <v>Science</v>
      </c>
      <c r="B41" s="3">
        <f>'Student Basic Info'!A41</f>
        <v>740</v>
      </c>
      <c r="C41" s="3" t="str">
        <f>'Student Basic Info'!C41</f>
        <v>Fatema Zannat</v>
      </c>
      <c r="D41" s="3" t="str">
        <f>'Student Basic Info'!D41</f>
        <v>Motahar Hossain</v>
      </c>
      <c r="E41" s="3" t="str">
        <f>'Student Basic Info'!E41</f>
        <v>Saleha Begum</v>
      </c>
      <c r="F41" s="3" t="str">
        <f>'Student Basic Info'!F41</f>
        <v>Female</v>
      </c>
      <c r="G41" s="73" t="str">
        <f>'Student Basic Info'!I41</f>
        <v>01861-661157</v>
      </c>
      <c r="H41" s="74" t="str">
        <f>IF(Bangla!B41="","",Bangla!B41)</f>
        <v/>
      </c>
      <c r="I41" s="74">
        <f>IF(Bangla!C41="","",Bangla!C41)</f>
        <v>60</v>
      </c>
      <c r="J41" s="74">
        <f>IF(Bangla!D41="","",Bangla!D41)</f>
        <v>60</v>
      </c>
      <c r="K41" s="75">
        <f>IF(English!C41="","",English!C41)</f>
        <v>41</v>
      </c>
      <c r="L41" s="37">
        <f>IF(ICT!B41="","",ICT!B41)</f>
        <v>11</v>
      </c>
      <c r="M41" s="37">
        <f>IF(ICT!C41="","",ICT!C41)</f>
        <v>13</v>
      </c>
      <c r="N41" s="37">
        <f>IF(ICT!D41="","",ICT!D41)</f>
        <v>24</v>
      </c>
      <c r="O41" s="37">
        <f>IF(ICT!E41="","",ICT!E41)</f>
        <v>48</v>
      </c>
      <c r="P41" s="44">
        <f>IF(Physics!B41="","",Physics!B41)</f>
        <v>10</v>
      </c>
      <c r="Q41" s="44">
        <f>IF(Physics!C41="","",Physics!C41)</f>
        <v>15</v>
      </c>
      <c r="R41" s="44">
        <f>IF(Physics!D41="","",Physics!D41)</f>
        <v>15</v>
      </c>
      <c r="S41" s="89">
        <f>IF(Physics!E41="","",Physics!E41)</f>
        <v>40</v>
      </c>
      <c r="T41" s="37">
        <f>IF(Chemistry!B41="","",Chemistry!B41)</f>
        <v>13</v>
      </c>
      <c r="U41" s="37">
        <f>IF(Chemistry!C41="","",Chemistry!C41)</f>
        <v>20</v>
      </c>
      <c r="V41" s="37">
        <f>IF(Chemistry!D41="","",Chemistry!D41)</f>
        <v>12</v>
      </c>
      <c r="W41" s="37">
        <f>IF(Chemistry!E41="","",Chemistry!E41)</f>
        <v>45</v>
      </c>
      <c r="X41" s="38">
        <f>IF(SubjectList!G41="Math", IF(Math!B41="","",Math!B41), IF(Biology!B41="","",Biology!B41))</f>
        <v>5</v>
      </c>
      <c r="Y41" s="38">
        <f>IF(SubjectList!G41="Math", IF(Math!C41="","",Math!C41), IF(Biology!C41="","",Biology!C41))</f>
        <v>7</v>
      </c>
      <c r="Z41" s="38">
        <f>IF(SubjectList!G41="Math", IF(Math!D41="","",Math!D41), IF(Biology!D41="","",Biology!D41))</f>
        <v>8</v>
      </c>
      <c r="AA41" s="38">
        <f>IF(SubjectList!G41="Math", IF(Math!E41="","",Math!E41), IF(Biology!E41="","",Biology!E41))</f>
        <v>20</v>
      </c>
      <c r="AB41" s="44">
        <f>IF(SubjectList!I41="Biology", IF(Biology!B41="","",Biology!B41), IF(Math!B41="","",Math!B41))</f>
        <v>8</v>
      </c>
      <c r="AC41" s="44">
        <f>Optional!D41</f>
        <v>1</v>
      </c>
      <c r="AD41" s="44">
        <f>Optional!E41</f>
        <v>8</v>
      </c>
      <c r="AE41" s="44">
        <f>Optional!F41</f>
        <v>17</v>
      </c>
      <c r="AF41" s="39" t="str">
        <f>IF(SubjectList!G41="","", SubjectList!G41)</f>
        <v>Biology</v>
      </c>
      <c r="AG41" s="39" t="str">
        <f>IF(SubjectList!I41="","", SubjectList!I41)</f>
        <v>Math</v>
      </c>
      <c r="AH41" s="40" t="str">
        <f>Bangla!F41</f>
        <v>A-</v>
      </c>
      <c r="AI41" s="91" t="str">
        <f>English!E41</f>
        <v>C</v>
      </c>
      <c r="AJ41" s="40" t="str">
        <f>ICT!G41</f>
        <v>F</v>
      </c>
      <c r="AK41" s="40" t="str">
        <f>Physics!G41</f>
        <v>F</v>
      </c>
      <c r="AL41" s="40" t="str">
        <f>Chemistry!G41</f>
        <v>C</v>
      </c>
      <c r="AM41" s="40" t="str">
        <f>IF(SubjectList!G41="Math", IF(Math!G41="","",Math!G41), IF(Biology!G41="","",Biology!G41))</f>
        <v>F</v>
      </c>
      <c r="AN41" s="40" t="str">
        <f>IF(SubjectList!H41="Math", IF(Math!G41="","",Math!G41), IF(Biology!G41="","",Biology!G41))</f>
        <v>F</v>
      </c>
      <c r="AO41" s="41">
        <f>Bangla!G41</f>
        <v>3.5</v>
      </c>
      <c r="AP41" s="41">
        <f>English!F41</f>
        <v>2</v>
      </c>
      <c r="AQ41" s="41">
        <f>ICT!H41</f>
        <v>0</v>
      </c>
      <c r="AR41" s="41">
        <f>Physics!H41</f>
        <v>0</v>
      </c>
      <c r="AS41" s="41">
        <f>Chemistry!H41</f>
        <v>2</v>
      </c>
      <c r="AT41" s="41">
        <f>IF(SubjectList!G41="Math", IF(Math!H41="","",Math!H41), IF(Biology!H41="","",Biology!H41))</f>
        <v>0</v>
      </c>
      <c r="AU41" s="41">
        <f>IF(SubjectList!I41="Math", IF(Math!H41="","",Math!H41), IF(Biology!H41="","",Biology!H41))</f>
        <v>0</v>
      </c>
      <c r="AV41" s="41">
        <f>Optional!I41</f>
        <v>0</v>
      </c>
      <c r="AW41" s="41">
        <f>Optional!J41</f>
        <v>0</v>
      </c>
      <c r="AX41" s="41">
        <f t="shared" si="0"/>
        <v>7.5</v>
      </c>
      <c r="AY41" s="41">
        <f t="shared" si="15"/>
        <v>7.5</v>
      </c>
      <c r="AZ41" s="41" t="str">
        <f t="shared" si="1"/>
        <v/>
      </c>
      <c r="BA41" s="41" t="str">
        <f t="shared" si="2"/>
        <v/>
      </c>
      <c r="BB41" s="41">
        <f t="shared" si="18"/>
        <v>271</v>
      </c>
      <c r="BC41" s="46">
        <f t="shared" si="16"/>
        <v>1</v>
      </c>
      <c r="BD41" s="46">
        <f t="shared" si="5"/>
        <v>1</v>
      </c>
      <c r="BE41" s="46">
        <f t="shared" si="6"/>
        <v>0</v>
      </c>
      <c r="BF41" s="46">
        <f t="shared" si="7"/>
        <v>0</v>
      </c>
      <c r="BG41" s="46">
        <f t="shared" si="8"/>
        <v>1</v>
      </c>
      <c r="BH41" s="46">
        <f t="shared" si="9"/>
        <v>0</v>
      </c>
      <c r="BI41" s="3">
        <f t="shared" si="17"/>
        <v>3</v>
      </c>
      <c r="BJ41" s="3" t="str">
        <f t="shared" si="19"/>
        <v>Failed in 3 Subjects</v>
      </c>
      <c r="BK41" s="3" t="str">
        <f>IF(BA41="","",RANK(BA41,BA$2:BA88,0))</f>
        <v/>
      </c>
      <c r="BL41" s="3" t="str">
        <f t="shared" si="12"/>
        <v>খুবই দুর্বল</v>
      </c>
      <c r="BM41" s="3" t="str">
        <f t="shared" si="13"/>
        <v>Very Weak</v>
      </c>
      <c r="BN41" s="3" t="str">
        <f t="shared" si="14"/>
        <v/>
      </c>
    </row>
    <row r="42" spans="1:66" x14ac:dyDescent="0.35">
      <c r="A42" s="3" t="str">
        <f>'Student Basic Info'!B42</f>
        <v>Science</v>
      </c>
      <c r="B42" s="3">
        <f>'Student Basic Info'!A42</f>
        <v>741</v>
      </c>
      <c r="C42" s="3" t="str">
        <f>'Student Basic Info'!C42</f>
        <v>Rezmin Aktar</v>
      </c>
      <c r="D42" s="3" t="str">
        <f>'Student Basic Info'!D42</f>
        <v>Kamal Uddin</v>
      </c>
      <c r="E42" s="3" t="str">
        <f>'Student Basic Info'!E42</f>
        <v>Bibi Zulekha</v>
      </c>
      <c r="F42" s="3" t="str">
        <f>'Student Basic Info'!F42</f>
        <v>Female</v>
      </c>
      <c r="G42" s="73">
        <f>'Student Basic Info'!I42</f>
        <v>0</v>
      </c>
      <c r="H42" s="74" t="str">
        <f>IF(Bangla!B42="","",Bangla!B42)</f>
        <v/>
      </c>
      <c r="I42" s="74">
        <f>IF(Bangla!C42="","",Bangla!C42)</f>
        <v>60</v>
      </c>
      <c r="J42" s="74">
        <f>IF(Bangla!D42="","",Bangla!D42)</f>
        <v>60</v>
      </c>
      <c r="K42" s="75">
        <f>IF(English!C42="","",English!C42)</f>
        <v>54</v>
      </c>
      <c r="L42" s="37">
        <f>IF(ICT!B42="","",ICT!B42)</f>
        <v>19</v>
      </c>
      <c r="M42" s="37">
        <f>IF(ICT!C42="","",ICT!C42)</f>
        <v>22</v>
      </c>
      <c r="N42" s="37">
        <f>IF(ICT!D42="","",ICT!D42)</f>
        <v>25</v>
      </c>
      <c r="O42" s="37">
        <f>IF(ICT!E42="","",ICT!E42)</f>
        <v>66</v>
      </c>
      <c r="P42" s="44">
        <f>IF(Physics!B42="","",Physics!B42)</f>
        <v>8</v>
      </c>
      <c r="Q42" s="44">
        <f>IF(Physics!C42="","",Physics!C42)</f>
        <v>30</v>
      </c>
      <c r="R42" s="44">
        <f>IF(Physics!D42="","",Physics!D42)</f>
        <v>16</v>
      </c>
      <c r="S42" s="89">
        <f>IF(Physics!E42="","",Physics!E42)</f>
        <v>54</v>
      </c>
      <c r="T42" s="37">
        <f>IF(Chemistry!B42="","",Chemistry!B42)</f>
        <v>20</v>
      </c>
      <c r="U42" s="37">
        <f>IF(Chemistry!C42="","",Chemistry!C42)</f>
        <v>12</v>
      </c>
      <c r="V42" s="37">
        <f>IF(Chemistry!D42="","",Chemistry!D42)</f>
        <v>20</v>
      </c>
      <c r="W42" s="37">
        <f>IF(Chemistry!E42="","",Chemistry!E42)</f>
        <v>52</v>
      </c>
      <c r="X42" s="38">
        <f>IF(SubjectList!G42="Math", IF(Math!B42="","",Math!B42), IF(Biology!B42="","",Biology!B42))</f>
        <v>9</v>
      </c>
      <c r="Y42" s="38">
        <f>IF(SubjectList!G42="Math", IF(Math!C42="","",Math!C42), IF(Biology!C42="","",Biology!C42))</f>
        <v>11</v>
      </c>
      <c r="Z42" s="38">
        <f>IF(SubjectList!G42="Math", IF(Math!D42="","",Math!D42), IF(Biology!D42="","",Biology!D42))</f>
        <v>12</v>
      </c>
      <c r="AA42" s="38">
        <f>IF(SubjectList!G42="Math", IF(Math!E42="","",Math!E42), IF(Biology!E42="","",Biology!E42))</f>
        <v>32</v>
      </c>
      <c r="AB42" s="44">
        <f>IF(SubjectList!I42="Biology", IF(Biology!B42="","",Biology!B42), IF(Math!B42="","",Math!B42))</f>
        <v>7</v>
      </c>
      <c r="AC42" s="44">
        <f>Optional!D42</f>
        <v>3</v>
      </c>
      <c r="AD42" s="44">
        <f>Optional!E42</f>
        <v>10</v>
      </c>
      <c r="AE42" s="44">
        <f>Optional!F42</f>
        <v>20</v>
      </c>
      <c r="AF42" s="39" t="str">
        <f>IF(SubjectList!G42="","", SubjectList!G42)</f>
        <v>Biology</v>
      </c>
      <c r="AG42" s="39" t="str">
        <f>IF(SubjectList!I42="","", SubjectList!I42)</f>
        <v>Math</v>
      </c>
      <c r="AH42" s="40" t="str">
        <f>Bangla!F42</f>
        <v>A-</v>
      </c>
      <c r="AI42" s="91" t="str">
        <f>English!E42</f>
        <v>B</v>
      </c>
      <c r="AJ42" s="40" t="str">
        <f>ICT!G42</f>
        <v>A-</v>
      </c>
      <c r="AK42" s="40" t="str">
        <f>Physics!G42</f>
        <v>B</v>
      </c>
      <c r="AL42" s="40" t="str">
        <f>Chemistry!G42</f>
        <v>F</v>
      </c>
      <c r="AM42" s="40" t="str">
        <f>IF(SubjectList!G42="Math", IF(Math!G42="","",Math!G42), IF(Biology!G42="","",Biology!G42))</f>
        <v>F</v>
      </c>
      <c r="AN42" s="40" t="str">
        <f>IF(SubjectList!H42="Math", IF(Math!G42="","",Math!G42), IF(Biology!G42="","",Biology!G42))</f>
        <v>F</v>
      </c>
      <c r="AO42" s="41">
        <f>Bangla!G42</f>
        <v>3.5</v>
      </c>
      <c r="AP42" s="41">
        <f>English!F42</f>
        <v>3</v>
      </c>
      <c r="AQ42" s="41">
        <f>ICT!H42</f>
        <v>3.5</v>
      </c>
      <c r="AR42" s="41">
        <f>Physics!H42</f>
        <v>3</v>
      </c>
      <c r="AS42" s="41">
        <f>Chemistry!H42</f>
        <v>0</v>
      </c>
      <c r="AT42" s="41">
        <f>IF(SubjectList!G42="Math", IF(Math!H42="","",Math!H42), IF(Biology!H42="","",Biology!H42))</f>
        <v>0</v>
      </c>
      <c r="AU42" s="41">
        <f>IF(SubjectList!I42="Math", IF(Math!H42="","",Math!H42), IF(Biology!H42="","",Biology!H42))</f>
        <v>0</v>
      </c>
      <c r="AV42" s="41">
        <f>Optional!I42</f>
        <v>0</v>
      </c>
      <c r="AW42" s="41">
        <f>Optional!J42</f>
        <v>0</v>
      </c>
      <c r="AX42" s="41">
        <f t="shared" si="0"/>
        <v>13</v>
      </c>
      <c r="AY42" s="41">
        <f t="shared" si="15"/>
        <v>13</v>
      </c>
      <c r="AZ42" s="41" t="str">
        <f t="shared" si="1"/>
        <v/>
      </c>
      <c r="BA42" s="41" t="str">
        <f t="shared" si="2"/>
        <v/>
      </c>
      <c r="BB42" s="41">
        <f t="shared" si="18"/>
        <v>338</v>
      </c>
      <c r="BC42" s="46">
        <f t="shared" si="16"/>
        <v>1</v>
      </c>
      <c r="BD42" s="46">
        <f t="shared" si="5"/>
        <v>1</v>
      </c>
      <c r="BE42" s="46">
        <f t="shared" si="6"/>
        <v>1</v>
      </c>
      <c r="BF42" s="46">
        <f t="shared" si="7"/>
        <v>1</v>
      </c>
      <c r="BG42" s="46">
        <f t="shared" si="8"/>
        <v>0</v>
      </c>
      <c r="BH42" s="46">
        <f t="shared" si="9"/>
        <v>0</v>
      </c>
      <c r="BI42" s="3">
        <f t="shared" si="17"/>
        <v>4</v>
      </c>
      <c r="BJ42" s="3" t="str">
        <f t="shared" si="19"/>
        <v>Failed in 2 Subjects</v>
      </c>
      <c r="BK42" s="3" t="str">
        <f>IF(BA42="","",RANK(BA42,BA$2:BA88,0))</f>
        <v/>
      </c>
      <c r="BL42" s="3" t="str">
        <f t="shared" si="12"/>
        <v>খুবই দুর্বল</v>
      </c>
      <c r="BM42" s="3" t="str">
        <f t="shared" si="13"/>
        <v>Very Weak</v>
      </c>
      <c r="BN42" s="3" t="str">
        <f t="shared" si="14"/>
        <v/>
      </c>
    </row>
    <row r="43" spans="1:66" x14ac:dyDescent="0.35">
      <c r="A43" s="3" t="str">
        <f>'Student Basic Info'!B43</f>
        <v>Science</v>
      </c>
      <c r="B43" s="3">
        <f>'Student Basic Info'!A43</f>
        <v>742</v>
      </c>
      <c r="C43" s="3" t="str">
        <f>'Student Basic Info'!C43</f>
        <v>Md. Shohrab Hosain</v>
      </c>
      <c r="D43" s="3" t="str">
        <f>'Student Basic Info'!D43</f>
        <v>Feroz Alom</v>
      </c>
      <c r="E43" s="3" t="str">
        <f>'Student Basic Info'!E43</f>
        <v>Rokeya Begum</v>
      </c>
      <c r="F43" s="3" t="str">
        <f>'Student Basic Info'!F43</f>
        <v>Male</v>
      </c>
      <c r="G43" s="73" t="str">
        <f>'Student Basic Info'!I43</f>
        <v>01825-278479</v>
      </c>
      <c r="H43" s="74" t="str">
        <f>IF(Bangla!B43="","",Bangla!B43)</f>
        <v/>
      </c>
      <c r="I43" s="74" t="str">
        <f>IF(Bangla!C43="","",Bangla!C43)</f>
        <v/>
      </c>
      <c r="J43" s="74" t="str">
        <f>IF(Bangla!D43="","",Bangla!D43)</f>
        <v/>
      </c>
      <c r="K43" s="75" t="str">
        <f>IF(English!C43="","",English!C43)</f>
        <v/>
      </c>
      <c r="L43" s="37" t="str">
        <f>IF(ICT!B43="","",ICT!B43)</f>
        <v/>
      </c>
      <c r="M43" s="37" t="str">
        <f>IF(ICT!C43="","",ICT!C43)</f>
        <v/>
      </c>
      <c r="N43" s="37" t="str">
        <f>IF(ICT!D43="","",ICT!D43)</f>
        <v/>
      </c>
      <c r="O43" s="37" t="str">
        <f>IF(ICT!E43="","",ICT!E43)</f>
        <v/>
      </c>
      <c r="P43" s="44" t="str">
        <f>IF(Physics!B43="","",Physics!B43)</f>
        <v/>
      </c>
      <c r="Q43" s="44" t="str">
        <f>IF(Physics!C43="","",Physics!C43)</f>
        <v/>
      </c>
      <c r="R43" s="44" t="str">
        <f>IF(Physics!D43="","",Physics!D43)</f>
        <v/>
      </c>
      <c r="S43" s="89" t="str">
        <f>IF(Physics!E43="","",Physics!E43)</f>
        <v/>
      </c>
      <c r="T43" s="37" t="str">
        <f>IF(Chemistry!B43="","",Chemistry!B43)</f>
        <v/>
      </c>
      <c r="U43" s="37" t="str">
        <f>IF(Chemistry!C43="","",Chemistry!C43)</f>
        <v/>
      </c>
      <c r="V43" s="37" t="str">
        <f>IF(Chemistry!D43="","",Chemistry!D43)</f>
        <v/>
      </c>
      <c r="W43" s="37" t="str">
        <f>IF(Chemistry!E43="","",Chemistry!E43)</f>
        <v/>
      </c>
      <c r="X43" s="38" t="str">
        <f>IF(SubjectList!G43="Math", IF(Math!B43="","",Math!B43), IF(Biology!B43="","",Biology!B43))</f>
        <v/>
      </c>
      <c r="Y43" s="38" t="str">
        <f>IF(SubjectList!G43="Math", IF(Math!C43="","",Math!C43), IF(Biology!C43="","",Biology!C43))</f>
        <v/>
      </c>
      <c r="Z43" s="38" t="str">
        <f>IF(SubjectList!G43="Math", IF(Math!D43="","",Math!D43), IF(Biology!D43="","",Biology!D43))</f>
        <v/>
      </c>
      <c r="AA43" s="38" t="str">
        <f>IF(SubjectList!G43="Math", IF(Math!E43="","",Math!E43), IF(Biology!E43="","",Biology!E43))</f>
        <v/>
      </c>
      <c r="AB43" s="44" t="str">
        <f>IF(SubjectList!I43="Biology", IF(Biology!B43="","",Biology!B43), IF(Math!B43="","",Math!B43))</f>
        <v/>
      </c>
      <c r="AC43" s="44" t="str">
        <f>Optional!D43</f>
        <v/>
      </c>
      <c r="AD43" s="44" t="str">
        <f>Optional!E43</f>
        <v/>
      </c>
      <c r="AE43" s="44" t="str">
        <f>Optional!F43</f>
        <v/>
      </c>
      <c r="AF43" s="39" t="str">
        <f>IF(SubjectList!G43="","", SubjectList!G43)</f>
        <v>Biology</v>
      </c>
      <c r="AG43" s="39" t="str">
        <f>IF(SubjectList!I43="","", SubjectList!I43)</f>
        <v>Math</v>
      </c>
      <c r="AH43" s="40" t="str">
        <f>Bangla!F43</f>
        <v/>
      </c>
      <c r="AI43" s="91" t="str">
        <f>English!E43</f>
        <v/>
      </c>
      <c r="AJ43" s="40" t="str">
        <f>ICT!G43</f>
        <v/>
      </c>
      <c r="AK43" s="40" t="str">
        <f>Physics!G43</f>
        <v/>
      </c>
      <c r="AL43" s="40" t="str">
        <f>Chemistry!G43</f>
        <v/>
      </c>
      <c r="AM43" s="40" t="str">
        <f>IF(SubjectList!G43="Math", IF(Math!G43="","",Math!G43), IF(Biology!G43="","",Biology!G43))</f>
        <v/>
      </c>
      <c r="AN43" s="40" t="str">
        <f>IF(SubjectList!H43="Math", IF(Math!G43="","",Math!G43), IF(Biology!G43="","",Biology!G43))</f>
        <v/>
      </c>
      <c r="AO43" s="41" t="str">
        <f>Bangla!G43</f>
        <v/>
      </c>
      <c r="AP43" s="41" t="str">
        <f>English!F43</f>
        <v/>
      </c>
      <c r="AQ43" s="41" t="str">
        <f>ICT!H43</f>
        <v/>
      </c>
      <c r="AR43" s="41" t="str">
        <f>Physics!H43</f>
        <v/>
      </c>
      <c r="AS43" s="41" t="str">
        <f>Chemistry!H43</f>
        <v/>
      </c>
      <c r="AT43" s="41" t="str">
        <f>IF(SubjectList!G43="Math", IF(Math!H43="","",Math!H43), IF(Biology!H43="","",Biology!H43))</f>
        <v/>
      </c>
      <c r="AU43" s="41" t="str">
        <f>IF(SubjectList!I43="Math", IF(Math!H43="","",Math!H43), IF(Biology!H43="","",Biology!H43))</f>
        <v/>
      </c>
      <c r="AV43" s="41" t="str">
        <f>Optional!I43</f>
        <v/>
      </c>
      <c r="AW43" s="41" t="str">
        <f>Optional!J43</f>
        <v/>
      </c>
      <c r="AX43" s="41" t="str">
        <f t="shared" si="0"/>
        <v/>
      </c>
      <c r="AY43" s="41" t="str">
        <f t="shared" si="15"/>
        <v/>
      </c>
      <c r="AZ43" s="41" t="str">
        <f t="shared" si="1"/>
        <v/>
      </c>
      <c r="BA43" s="41" t="str">
        <f t="shared" si="2"/>
        <v/>
      </c>
      <c r="BB43" s="41">
        <f t="shared" si="18"/>
        <v>0</v>
      </c>
      <c r="BC43" s="46" t="str">
        <f t="shared" si="16"/>
        <v/>
      </c>
      <c r="BD43" s="46" t="str">
        <f t="shared" si="5"/>
        <v/>
      </c>
      <c r="BE43" s="46" t="str">
        <f t="shared" si="6"/>
        <v/>
      </c>
      <c r="BF43" s="46" t="str">
        <f t="shared" si="7"/>
        <v/>
      </c>
      <c r="BG43" s="46" t="str">
        <f t="shared" si="8"/>
        <v/>
      </c>
      <c r="BH43" s="46" t="str">
        <f t="shared" si="9"/>
        <v/>
      </c>
      <c r="BI43" s="3">
        <f t="shared" si="17"/>
        <v>0</v>
      </c>
      <c r="BJ43" s="3" t="str">
        <f t="shared" si="19"/>
        <v>Failed in 6 Subjects</v>
      </c>
      <c r="BK43" s="3" t="str">
        <f>IF(BA43="","",RANK(BA43,BA$2:BA88,0))</f>
        <v/>
      </c>
      <c r="BL43" s="3" t="str">
        <f t="shared" si="12"/>
        <v>খুবই দুর্বল</v>
      </c>
      <c r="BM43" s="3" t="str">
        <f t="shared" si="13"/>
        <v>Very Weak</v>
      </c>
      <c r="BN43" s="3" t="str">
        <f t="shared" si="14"/>
        <v/>
      </c>
    </row>
    <row r="44" spans="1:66" x14ac:dyDescent="0.35">
      <c r="A44" s="3" t="str">
        <f>'Student Basic Info'!B44</f>
        <v>Science</v>
      </c>
      <c r="B44" s="3">
        <f>'Student Basic Info'!A44</f>
        <v>743</v>
      </c>
      <c r="C44" s="3" t="str">
        <f>'Student Basic Info'!C44</f>
        <v>Umme Habiba</v>
      </c>
      <c r="D44" s="3" t="str">
        <f>'Student Basic Info'!D44</f>
        <v>Md. Nur Nobi</v>
      </c>
      <c r="E44" s="3" t="str">
        <f>'Student Basic Info'!E44</f>
        <v>Fatema Begum</v>
      </c>
      <c r="F44" s="3" t="str">
        <f>'Student Basic Info'!F44</f>
        <v>Female</v>
      </c>
      <c r="G44" s="73" t="str">
        <f>'Student Basic Info'!I44</f>
        <v>01815-425492</v>
      </c>
      <c r="H44" s="74" t="str">
        <f>IF(Bangla!B44="","",Bangla!B44)</f>
        <v/>
      </c>
      <c r="I44" s="74">
        <f>IF(Bangla!C44="","",Bangla!C44)</f>
        <v>21</v>
      </c>
      <c r="J44" s="74">
        <f>IF(Bangla!D44="","",Bangla!D44)</f>
        <v>21</v>
      </c>
      <c r="K44" s="75">
        <f>IF(English!C44="","",English!C44)</f>
        <v>11</v>
      </c>
      <c r="L44" s="37">
        <f>IF(ICT!B44="","",ICT!B44)</f>
        <v>7</v>
      </c>
      <c r="M44" s="37">
        <f>IF(ICT!C44="","",ICT!C44)</f>
        <v>9</v>
      </c>
      <c r="N44" s="37">
        <f>IF(ICT!D44="","",ICT!D44)</f>
        <v>22</v>
      </c>
      <c r="O44" s="37">
        <f>IF(ICT!E44="","",ICT!E44)</f>
        <v>38</v>
      </c>
      <c r="P44" s="44">
        <f>IF(Physics!B44="","",Physics!B44)</f>
        <v>9</v>
      </c>
      <c r="Q44" s="44">
        <f>IF(Physics!C44="","",Physics!C44)</f>
        <v>0</v>
      </c>
      <c r="R44" s="44">
        <f>IF(Physics!D44="","",Physics!D44)</f>
        <v>8</v>
      </c>
      <c r="S44" s="89">
        <f>IF(Physics!E44="","",Physics!E44)</f>
        <v>17</v>
      </c>
      <c r="T44" s="37">
        <f>IF(Chemistry!B44="","",Chemistry!B44)</f>
        <v>10</v>
      </c>
      <c r="U44" s="37">
        <f>IF(Chemistry!C44="","",Chemistry!C44)</f>
        <v>8</v>
      </c>
      <c r="V44" s="37">
        <f>IF(Chemistry!D44="","",Chemistry!D44)</f>
        <v>10</v>
      </c>
      <c r="W44" s="37">
        <f>IF(Chemistry!E44="","",Chemistry!E44)</f>
        <v>28</v>
      </c>
      <c r="X44" s="38">
        <f>IF(SubjectList!G44="Math", IF(Math!B44="","",Math!B44), IF(Biology!B44="","",Biology!B44))</f>
        <v>10</v>
      </c>
      <c r="Y44" s="38">
        <f>IF(SubjectList!G44="Math", IF(Math!C44="","",Math!C44), IF(Biology!C44="","",Biology!C44))</f>
        <v>1</v>
      </c>
      <c r="Z44" s="38">
        <f>IF(SubjectList!G44="Math", IF(Math!D44="","",Math!D44), IF(Biology!D44="","",Biology!D44))</f>
        <v>9</v>
      </c>
      <c r="AA44" s="38">
        <f>IF(SubjectList!G44="Math", IF(Math!E44="","",Math!E44), IF(Biology!E44="","",Biology!E44))</f>
        <v>20</v>
      </c>
      <c r="AB44" s="44">
        <f>IF(SubjectList!I44="Biology", IF(Biology!B44="","",Biology!B44), IF(Math!B44="","",Math!B44))</f>
        <v>6</v>
      </c>
      <c r="AC44" s="44">
        <f>Optional!D44</f>
        <v>1</v>
      </c>
      <c r="AD44" s="44">
        <f>Optional!E44</f>
        <v>8</v>
      </c>
      <c r="AE44" s="44">
        <f>Optional!F44</f>
        <v>15</v>
      </c>
      <c r="AF44" s="39" t="str">
        <f>IF(SubjectList!G44="","", SubjectList!G44)</f>
        <v>Biology</v>
      </c>
      <c r="AG44" s="39" t="str">
        <f>IF(SubjectList!I44="","", SubjectList!I44)</f>
        <v>Math</v>
      </c>
      <c r="AH44" s="40" t="str">
        <f>Bangla!F44</f>
        <v>F</v>
      </c>
      <c r="AI44" s="91" t="str">
        <f>English!E44</f>
        <v>F</v>
      </c>
      <c r="AJ44" s="40" t="str">
        <f>ICT!G44</f>
        <v>F</v>
      </c>
      <c r="AK44" s="40" t="str">
        <f>Physics!G44</f>
        <v>F</v>
      </c>
      <c r="AL44" s="40" t="str">
        <f>Chemistry!G44</f>
        <v>F</v>
      </c>
      <c r="AM44" s="40" t="str">
        <f>IF(SubjectList!G44="Math", IF(Math!G44="","",Math!G44), IF(Biology!G44="","",Biology!G44))</f>
        <v>F</v>
      </c>
      <c r="AN44" s="40" t="str">
        <f>IF(SubjectList!H44="Math", IF(Math!G44="","",Math!G44), IF(Biology!G44="","",Biology!G44))</f>
        <v>F</v>
      </c>
      <c r="AO44" s="41">
        <f>Bangla!G44</f>
        <v>0</v>
      </c>
      <c r="AP44" s="41">
        <f>English!F44</f>
        <v>0</v>
      </c>
      <c r="AQ44" s="41">
        <f>ICT!H44</f>
        <v>0</v>
      </c>
      <c r="AR44" s="41">
        <f>Physics!H44</f>
        <v>0</v>
      </c>
      <c r="AS44" s="41">
        <f>Chemistry!H44</f>
        <v>0</v>
      </c>
      <c r="AT44" s="41">
        <f>IF(SubjectList!G44="Math", IF(Math!H44="","",Math!H44), IF(Biology!H44="","",Biology!H44))</f>
        <v>0</v>
      </c>
      <c r="AU44" s="41">
        <f>IF(SubjectList!I44="Math", IF(Math!H44="","",Math!H44), IF(Biology!H44="","",Biology!H44))</f>
        <v>0</v>
      </c>
      <c r="AV44" s="41">
        <f>Optional!I44</f>
        <v>0</v>
      </c>
      <c r="AW44" s="41">
        <f>Optional!J44</f>
        <v>0</v>
      </c>
      <c r="AX44" s="41" t="str">
        <f t="shared" si="0"/>
        <v/>
      </c>
      <c r="AY44" s="41" t="str">
        <f t="shared" si="15"/>
        <v/>
      </c>
      <c r="AZ44" s="41" t="str">
        <f t="shared" si="1"/>
        <v/>
      </c>
      <c r="BA44" s="41" t="str">
        <f t="shared" si="2"/>
        <v/>
      </c>
      <c r="BB44" s="41">
        <f t="shared" si="18"/>
        <v>150</v>
      </c>
      <c r="BC44" s="46">
        <f t="shared" si="16"/>
        <v>0</v>
      </c>
      <c r="BD44" s="46">
        <f t="shared" si="5"/>
        <v>0</v>
      </c>
      <c r="BE44" s="46">
        <f t="shared" si="6"/>
        <v>0</v>
      </c>
      <c r="BF44" s="46">
        <f t="shared" si="7"/>
        <v>0</v>
      </c>
      <c r="BG44" s="46">
        <f t="shared" si="8"/>
        <v>0</v>
      </c>
      <c r="BH44" s="46">
        <f t="shared" si="9"/>
        <v>0</v>
      </c>
      <c r="BI44" s="3">
        <f t="shared" si="17"/>
        <v>0</v>
      </c>
      <c r="BJ44" s="3" t="str">
        <f t="shared" si="19"/>
        <v>Failed in 6 Subjects</v>
      </c>
      <c r="BK44" s="3" t="str">
        <f>IF(BA44="","",RANK(BA44,BA$2:BA88,0))</f>
        <v/>
      </c>
      <c r="BL44" s="3" t="str">
        <f t="shared" si="12"/>
        <v>খুবই দুর্বল</v>
      </c>
      <c r="BM44" s="3" t="str">
        <f t="shared" si="13"/>
        <v>Very Weak</v>
      </c>
      <c r="BN44" s="3" t="str">
        <f t="shared" si="14"/>
        <v/>
      </c>
    </row>
    <row r="45" spans="1:66" x14ac:dyDescent="0.35">
      <c r="A45" s="3" t="str">
        <f>'Student Basic Info'!B45</f>
        <v>Science</v>
      </c>
      <c r="B45" s="3">
        <f>'Student Basic Info'!A45</f>
        <v>744</v>
      </c>
      <c r="C45" s="3" t="str">
        <f>'Student Basic Info'!C45</f>
        <v>Tarek Rahman Tamin</v>
      </c>
      <c r="D45" s="3" t="str">
        <f>'Student Basic Info'!D45</f>
        <v>Mozubur Rahman</v>
      </c>
      <c r="E45" s="3" t="str">
        <f>'Student Basic Info'!E45</f>
        <v>Kawsar Khanom Alo</v>
      </c>
      <c r="F45" s="3" t="str">
        <f>'Student Basic Info'!F45</f>
        <v>Male</v>
      </c>
      <c r="G45" s="73" t="str">
        <f>'Student Basic Info'!I45</f>
        <v>01860-644620</v>
      </c>
      <c r="H45" s="74" t="str">
        <f>IF(Bangla!B45="","",Bangla!B45)</f>
        <v/>
      </c>
      <c r="I45" s="74">
        <f>IF(Bangla!C45="","",Bangla!C45)</f>
        <v>25</v>
      </c>
      <c r="J45" s="74">
        <f>IF(Bangla!D45="","",Bangla!D45)</f>
        <v>25</v>
      </c>
      <c r="K45" s="75">
        <f>IF(English!C45="","",English!C45)</f>
        <v>25</v>
      </c>
      <c r="L45" s="37">
        <f>IF(ICT!B45="","",ICT!B45)</f>
        <v>13</v>
      </c>
      <c r="M45" s="37">
        <f>IF(ICT!C45="","",ICT!C45)</f>
        <v>1</v>
      </c>
      <c r="N45" s="37">
        <f>IF(ICT!D45="","",ICT!D45)</f>
        <v>8</v>
      </c>
      <c r="O45" s="37">
        <f>IF(ICT!E45="","",ICT!E45)</f>
        <v>22</v>
      </c>
      <c r="P45" s="44">
        <f>IF(Physics!B45="","",Physics!B45)</f>
        <v>9</v>
      </c>
      <c r="Q45" s="44">
        <f>IF(Physics!C45="","",Physics!C45)</f>
        <v>17</v>
      </c>
      <c r="R45" s="44">
        <f>IF(Physics!D45="","",Physics!D45)</f>
        <v>15</v>
      </c>
      <c r="S45" s="89">
        <f>IF(Physics!E45="","",Physics!E45)</f>
        <v>41</v>
      </c>
      <c r="T45" s="37">
        <f>IF(Chemistry!B45="","",Chemistry!B45)</f>
        <v>8</v>
      </c>
      <c r="U45" s="37">
        <f>IF(Chemistry!C45="","",Chemistry!C45)</f>
        <v>9</v>
      </c>
      <c r="V45" s="37">
        <f>IF(Chemistry!D45="","",Chemistry!D45)</f>
        <v>8</v>
      </c>
      <c r="W45" s="37">
        <f>IF(Chemistry!E45="","",Chemistry!E45)</f>
        <v>25</v>
      </c>
      <c r="X45" s="38">
        <f>IF(SubjectList!G45="Math", IF(Math!B45="","",Math!B45), IF(Biology!B45="","",Biology!B45))</f>
        <v>12</v>
      </c>
      <c r="Y45" s="38">
        <f>IF(SubjectList!G45="Math", IF(Math!C45="","",Math!C45), IF(Biology!C45="","",Biology!C45))</f>
        <v>2</v>
      </c>
      <c r="Z45" s="38">
        <f>IF(SubjectList!G45="Math", IF(Math!D45="","",Math!D45), IF(Biology!D45="","",Biology!D45))</f>
        <v>9</v>
      </c>
      <c r="AA45" s="38">
        <f>IF(SubjectList!G45="Math", IF(Math!E45="","",Math!E45), IF(Biology!E45="","",Biology!E45))</f>
        <v>23</v>
      </c>
      <c r="AB45" s="44">
        <f>IF(SubjectList!I45="Biology", IF(Biology!B45="","",Biology!B45), IF(Math!B45="","",Math!B45))</f>
        <v>11</v>
      </c>
      <c r="AC45" s="44">
        <f>Optional!D45</f>
        <v>0</v>
      </c>
      <c r="AD45" s="44">
        <f>Optional!E45</f>
        <v>9</v>
      </c>
      <c r="AE45" s="44">
        <f>Optional!F45</f>
        <v>20</v>
      </c>
      <c r="AF45" s="39" t="str">
        <f>IF(SubjectList!G45="","", SubjectList!G45)</f>
        <v>Biology</v>
      </c>
      <c r="AG45" s="39" t="str">
        <f>IF(SubjectList!I45="","", SubjectList!I45)</f>
        <v>Math</v>
      </c>
      <c r="AH45" s="40" t="str">
        <f>Bangla!F45</f>
        <v>F</v>
      </c>
      <c r="AI45" s="91" t="str">
        <f>English!E45</f>
        <v>F</v>
      </c>
      <c r="AJ45" s="40" t="str">
        <f>ICT!G45</f>
        <v>F</v>
      </c>
      <c r="AK45" s="40" t="str">
        <f>Physics!G45</f>
        <v>C</v>
      </c>
      <c r="AL45" s="40" t="str">
        <f>Chemistry!G45</f>
        <v>F</v>
      </c>
      <c r="AM45" s="40" t="str">
        <f>IF(SubjectList!G45="Math", IF(Math!G45="","",Math!G45), IF(Biology!G45="","",Biology!G45))</f>
        <v>F</v>
      </c>
      <c r="AN45" s="40" t="str">
        <f>IF(SubjectList!H45="Math", IF(Math!G45="","",Math!G45), IF(Biology!G45="","",Biology!G45))</f>
        <v>F</v>
      </c>
      <c r="AO45" s="41">
        <f>Bangla!G45</f>
        <v>0</v>
      </c>
      <c r="AP45" s="41">
        <f>English!F45</f>
        <v>0</v>
      </c>
      <c r="AQ45" s="41">
        <f>ICT!H45</f>
        <v>0</v>
      </c>
      <c r="AR45" s="41">
        <f>Physics!H45</f>
        <v>2</v>
      </c>
      <c r="AS45" s="41">
        <f>Chemistry!H45</f>
        <v>0</v>
      </c>
      <c r="AT45" s="41">
        <f>IF(SubjectList!G45="Math", IF(Math!H45="","",Math!H45), IF(Biology!H45="","",Biology!H45))</f>
        <v>0</v>
      </c>
      <c r="AU45" s="41">
        <f>IF(SubjectList!I45="Math", IF(Math!H45="","",Math!H45), IF(Biology!H45="","",Biology!H45))</f>
        <v>0</v>
      </c>
      <c r="AV45" s="41">
        <f>Optional!I45</f>
        <v>0</v>
      </c>
      <c r="AW45" s="41">
        <f>Optional!J45</f>
        <v>0</v>
      </c>
      <c r="AX45" s="41">
        <f t="shared" si="0"/>
        <v>2</v>
      </c>
      <c r="AY45" s="41">
        <f t="shared" si="15"/>
        <v>2</v>
      </c>
      <c r="AZ45" s="41" t="str">
        <f t="shared" si="1"/>
        <v/>
      </c>
      <c r="BA45" s="41" t="str">
        <f t="shared" si="2"/>
        <v/>
      </c>
      <c r="BB45" s="41">
        <f t="shared" si="18"/>
        <v>181</v>
      </c>
      <c r="BC45" s="46">
        <f t="shared" si="16"/>
        <v>0</v>
      </c>
      <c r="BD45" s="46">
        <f t="shared" si="5"/>
        <v>0</v>
      </c>
      <c r="BE45" s="46">
        <f t="shared" si="6"/>
        <v>0</v>
      </c>
      <c r="BF45" s="46">
        <f t="shared" si="7"/>
        <v>1</v>
      </c>
      <c r="BG45" s="46">
        <f t="shared" si="8"/>
        <v>0</v>
      </c>
      <c r="BH45" s="46">
        <f t="shared" si="9"/>
        <v>0</v>
      </c>
      <c r="BI45" s="3">
        <f t="shared" si="17"/>
        <v>1</v>
      </c>
      <c r="BJ45" s="3" t="str">
        <f t="shared" si="19"/>
        <v>Failed in 5 Subjects</v>
      </c>
      <c r="BK45" s="3" t="str">
        <f>IF(BA45="","",RANK(BA45,BA$2:BA88,0))</f>
        <v/>
      </c>
      <c r="BL45" s="3" t="str">
        <f t="shared" si="12"/>
        <v>খুবই দুর্বল</v>
      </c>
      <c r="BM45" s="3" t="str">
        <f t="shared" si="13"/>
        <v>Very Weak</v>
      </c>
      <c r="BN45" s="3" t="str">
        <f t="shared" si="14"/>
        <v/>
      </c>
    </row>
    <row r="46" spans="1:66" x14ac:dyDescent="0.35">
      <c r="A46" s="3" t="str">
        <f>'Student Basic Info'!B46</f>
        <v>Science</v>
      </c>
      <c r="B46" s="3">
        <f>'Student Basic Info'!A46</f>
        <v>745</v>
      </c>
      <c r="C46" s="3" t="str">
        <f>'Student Basic Info'!C46</f>
        <v>Nabiha Nusrat</v>
      </c>
      <c r="D46" s="3" t="str">
        <f>'Student Basic Info'!D46</f>
        <v>Md. Moin Uddin</v>
      </c>
      <c r="E46" s="3" t="str">
        <f>'Student Basic Info'!E46</f>
        <v>Nasima Aktar</v>
      </c>
      <c r="F46" s="3" t="str">
        <f>'Student Basic Info'!F46</f>
        <v>Female</v>
      </c>
      <c r="G46" s="73" t="str">
        <f>'Student Basic Info'!I46</f>
        <v>01828-777699</v>
      </c>
      <c r="H46" s="74" t="str">
        <f>IF(Bangla!B46="","",Bangla!B46)</f>
        <v/>
      </c>
      <c r="I46" s="74">
        <f>IF(Bangla!C46="","",Bangla!C46)</f>
        <v>75</v>
      </c>
      <c r="J46" s="74">
        <f>IF(Bangla!D46="","",Bangla!D46)</f>
        <v>75</v>
      </c>
      <c r="K46" s="75">
        <f>IF(English!C46="","",English!C46)</f>
        <v>66</v>
      </c>
      <c r="L46" s="37">
        <f>IF(ICT!B46="","",ICT!B46)</f>
        <v>22</v>
      </c>
      <c r="M46" s="37">
        <f>IF(ICT!C46="","",ICT!C46)</f>
        <v>41</v>
      </c>
      <c r="N46" s="37">
        <f>IF(ICT!D46="","",ICT!D46)</f>
        <v>22</v>
      </c>
      <c r="O46" s="37">
        <f>IF(ICT!E46="","",ICT!E46)</f>
        <v>85</v>
      </c>
      <c r="P46" s="44">
        <f>IF(Physics!B46="","",Physics!B46)</f>
        <v>16</v>
      </c>
      <c r="Q46" s="44">
        <f>IF(Physics!C46="","",Physics!C46)</f>
        <v>42</v>
      </c>
      <c r="R46" s="44">
        <f>IF(Physics!D46="","",Physics!D46)</f>
        <v>22</v>
      </c>
      <c r="S46" s="89">
        <f>IF(Physics!E46="","",Physics!E46)</f>
        <v>80</v>
      </c>
      <c r="T46" s="37">
        <f>IF(Chemistry!B46="","",Chemistry!B46)</f>
        <v>9</v>
      </c>
      <c r="U46" s="37">
        <f>IF(Chemistry!C46="","",Chemistry!C46)</f>
        <v>15</v>
      </c>
      <c r="V46" s="37">
        <f>IF(Chemistry!D46="","",Chemistry!D46)</f>
        <v>8</v>
      </c>
      <c r="W46" s="37">
        <f>IF(Chemistry!E46="","",Chemistry!E46)</f>
        <v>32</v>
      </c>
      <c r="X46" s="38">
        <f>IF(SubjectList!G46="Math", IF(Math!B46="","",Math!B46), IF(Biology!B46="","",Biology!B46))</f>
        <v>11</v>
      </c>
      <c r="Y46" s="38">
        <f>IF(SubjectList!G46="Math", IF(Math!C46="","",Math!C46), IF(Biology!C46="","",Biology!C46))</f>
        <v>30</v>
      </c>
      <c r="Z46" s="38">
        <f>IF(SubjectList!G46="Math", IF(Math!D46="","",Math!D46), IF(Biology!D46="","",Biology!D46))</f>
        <v>19</v>
      </c>
      <c r="AA46" s="38">
        <f>IF(SubjectList!G46="Math", IF(Math!E46="","",Math!E46), IF(Biology!E46="","",Biology!E46))</f>
        <v>60</v>
      </c>
      <c r="AB46" s="44">
        <f>IF(SubjectList!I46="Biology", IF(Biology!B46="","",Biology!B46), IF(Math!B46="","",Math!B46))</f>
        <v>8</v>
      </c>
      <c r="AC46" s="44">
        <f>Optional!D46</f>
        <v>21</v>
      </c>
      <c r="AD46" s="44">
        <f>Optional!E46</f>
        <v>15</v>
      </c>
      <c r="AE46" s="44">
        <f>Optional!F46</f>
        <v>44</v>
      </c>
      <c r="AF46" s="39" t="str">
        <f>IF(SubjectList!G46="","", SubjectList!G46)</f>
        <v>Math</v>
      </c>
      <c r="AG46" s="39" t="str">
        <f>IF(SubjectList!I46="","", SubjectList!I46)</f>
        <v>Biology</v>
      </c>
      <c r="AH46" s="40" t="str">
        <f>Bangla!F46</f>
        <v>A</v>
      </c>
      <c r="AI46" s="91" t="str">
        <f>English!E46</f>
        <v>A-</v>
      </c>
      <c r="AJ46" s="40" t="str">
        <f>ICT!G46</f>
        <v>A+</v>
      </c>
      <c r="AK46" s="40" t="str">
        <f>Physics!G46</f>
        <v>A+</v>
      </c>
      <c r="AL46" s="40" t="str">
        <f>Chemistry!G46</f>
        <v>F</v>
      </c>
      <c r="AM46" s="40" t="str">
        <f>IF(SubjectList!G46="Math", IF(Math!G46="","",Math!G46), IF(Biology!G46="","",Biology!G46))</f>
        <v>A-</v>
      </c>
      <c r="AN46" s="40" t="str">
        <f>IF(SubjectList!H46="Math", IF(Math!G46="","",Math!G46), IF(Biology!G46="","",Biology!G46))</f>
        <v>C</v>
      </c>
      <c r="AO46" s="41">
        <f>Bangla!G46</f>
        <v>4</v>
      </c>
      <c r="AP46" s="41">
        <f>English!F46</f>
        <v>3.5</v>
      </c>
      <c r="AQ46" s="41">
        <f>ICT!H46</f>
        <v>5</v>
      </c>
      <c r="AR46" s="41">
        <f>Physics!H46</f>
        <v>5</v>
      </c>
      <c r="AS46" s="41">
        <f>Chemistry!H46</f>
        <v>0</v>
      </c>
      <c r="AT46" s="41">
        <f>IF(SubjectList!G46="Math", IF(Math!H46="","",Math!H46), IF(Biology!H46="","",Biology!H46))</f>
        <v>3.5</v>
      </c>
      <c r="AU46" s="41">
        <f>IF(SubjectList!I46="Math", IF(Math!H46="","",Math!H46), IF(Biology!H46="","",Biology!H46))</f>
        <v>2</v>
      </c>
      <c r="AV46" s="41">
        <f>Optional!I46</f>
        <v>2</v>
      </c>
      <c r="AW46" s="41">
        <f>Optional!J46</f>
        <v>0</v>
      </c>
      <c r="AX46" s="41">
        <f t="shared" si="0"/>
        <v>21</v>
      </c>
      <c r="AY46" s="41">
        <f t="shared" si="15"/>
        <v>21</v>
      </c>
      <c r="AZ46" s="41" t="str">
        <f t="shared" si="1"/>
        <v/>
      </c>
      <c r="BA46" s="41" t="str">
        <f t="shared" si="2"/>
        <v/>
      </c>
      <c r="BB46" s="41">
        <f t="shared" si="18"/>
        <v>442</v>
      </c>
      <c r="BC46" s="46">
        <f t="shared" si="16"/>
        <v>1</v>
      </c>
      <c r="BD46" s="46">
        <f t="shared" si="5"/>
        <v>1</v>
      </c>
      <c r="BE46" s="46">
        <f t="shared" si="6"/>
        <v>1</v>
      </c>
      <c r="BF46" s="46">
        <f t="shared" si="7"/>
        <v>1</v>
      </c>
      <c r="BG46" s="46">
        <f t="shared" si="8"/>
        <v>0</v>
      </c>
      <c r="BH46" s="46">
        <f t="shared" si="9"/>
        <v>1</v>
      </c>
      <c r="BI46" s="3">
        <f t="shared" si="17"/>
        <v>5</v>
      </c>
      <c r="BJ46" s="3" t="str">
        <f t="shared" si="19"/>
        <v>Failed in 1 Subject</v>
      </c>
      <c r="BK46" s="3" t="str">
        <f>IF(BA46="","",RANK(BA46,BA$2:BA88,0))</f>
        <v/>
      </c>
      <c r="BL46" s="3" t="str">
        <f t="shared" si="12"/>
        <v>খুবই দুর্বল</v>
      </c>
      <c r="BM46" s="3" t="str">
        <f t="shared" si="13"/>
        <v>Very Weak</v>
      </c>
      <c r="BN46" s="3" t="str">
        <f t="shared" si="14"/>
        <v/>
      </c>
    </row>
    <row r="47" spans="1:66" x14ac:dyDescent="0.35">
      <c r="A47" s="3" t="str">
        <f>'Student Basic Info'!B47</f>
        <v>Science</v>
      </c>
      <c r="B47" s="3">
        <f>'Student Basic Info'!A47</f>
        <v>746</v>
      </c>
      <c r="C47" s="3" t="str">
        <f>'Student Basic Info'!C47</f>
        <v>Sharika Mahzabin</v>
      </c>
      <c r="D47" s="3" t="str">
        <f>'Student Basic Info'!D47</f>
        <v>Md. Nurul Amin</v>
      </c>
      <c r="E47" s="3" t="str">
        <f>'Student Basic Info'!E47</f>
        <v>Sufiya Khatun</v>
      </c>
      <c r="F47" s="3" t="str">
        <f>'Student Basic Info'!F47</f>
        <v>Female</v>
      </c>
      <c r="G47" s="73" t="str">
        <f>'Student Basic Info'!I47</f>
        <v>01821-993838</v>
      </c>
      <c r="H47" s="74" t="str">
        <f>IF(Bangla!B47="","",Bangla!B47)</f>
        <v/>
      </c>
      <c r="I47" s="74">
        <f>IF(Bangla!C47="","",Bangla!C47)</f>
        <v>60</v>
      </c>
      <c r="J47" s="74">
        <f>IF(Bangla!D47="","",Bangla!D47)</f>
        <v>60</v>
      </c>
      <c r="K47" s="75">
        <f>IF(English!C47="","",English!C47)</f>
        <v>66</v>
      </c>
      <c r="L47" s="37">
        <f>IF(ICT!B47="","",ICT!B47)</f>
        <v>19</v>
      </c>
      <c r="M47" s="37">
        <f>IF(ICT!C47="","",ICT!C47)</f>
        <v>28</v>
      </c>
      <c r="N47" s="37">
        <f>IF(ICT!D47="","",ICT!D47)</f>
        <v>20</v>
      </c>
      <c r="O47" s="37">
        <f>IF(ICT!E47="","",ICT!E47)</f>
        <v>67</v>
      </c>
      <c r="P47" s="44">
        <f>IF(Physics!B47="","",Physics!B47)</f>
        <v>11</v>
      </c>
      <c r="Q47" s="44">
        <f>IF(Physics!C47="","",Physics!C47)</f>
        <v>33</v>
      </c>
      <c r="R47" s="44">
        <f>IF(Physics!D47="","",Physics!D47)</f>
        <v>17</v>
      </c>
      <c r="S47" s="89">
        <f>IF(Physics!E47="","",Physics!E47)</f>
        <v>61</v>
      </c>
      <c r="T47" s="37">
        <f>IF(Chemistry!B47="","",Chemistry!B47)</f>
        <v>10</v>
      </c>
      <c r="U47" s="37">
        <f>IF(Chemistry!C47="","",Chemistry!C47)</f>
        <v>7</v>
      </c>
      <c r="V47" s="37">
        <f>IF(Chemistry!D47="","",Chemistry!D47)</f>
        <v>9</v>
      </c>
      <c r="W47" s="37">
        <f>IF(Chemistry!E47="","",Chemistry!E47)</f>
        <v>26</v>
      </c>
      <c r="X47" s="38">
        <f>IF(SubjectList!G47="Math", IF(Math!B47="","",Math!B47), IF(Biology!B47="","",Biology!B47))</f>
        <v>8</v>
      </c>
      <c r="Y47" s="38">
        <f>IF(SubjectList!G47="Math", IF(Math!C47="","",Math!C47), IF(Biology!C47="","",Biology!C47))</f>
        <v>19</v>
      </c>
      <c r="Z47" s="38">
        <f>IF(SubjectList!G47="Math", IF(Math!D47="","",Math!D47), IF(Biology!D47="","",Biology!D47))</f>
        <v>13</v>
      </c>
      <c r="AA47" s="38">
        <f>IF(SubjectList!G47="Math", IF(Math!E47="","",Math!E47), IF(Biology!E47="","",Biology!E47))</f>
        <v>40</v>
      </c>
      <c r="AB47" s="44">
        <f>IF(SubjectList!I47="Biology", IF(Biology!B47="","",Biology!B47), IF(Math!B47="","",Math!B47))</f>
        <v>8</v>
      </c>
      <c r="AC47" s="44">
        <f>Optional!D47</f>
        <v>12</v>
      </c>
      <c r="AD47" s="44">
        <f>Optional!E47</f>
        <v>15</v>
      </c>
      <c r="AE47" s="44">
        <f>Optional!F47</f>
        <v>35</v>
      </c>
      <c r="AF47" s="39" t="str">
        <f>IF(SubjectList!G47="","", SubjectList!G47)</f>
        <v>Biology</v>
      </c>
      <c r="AG47" s="39" t="str">
        <f>IF(SubjectList!I47="","", SubjectList!I47)</f>
        <v>Math</v>
      </c>
      <c r="AH47" s="40" t="str">
        <f>Bangla!F47</f>
        <v>A-</v>
      </c>
      <c r="AI47" s="91" t="str">
        <f>English!E47</f>
        <v>A-</v>
      </c>
      <c r="AJ47" s="40" t="str">
        <f>ICT!G47</f>
        <v>A-</v>
      </c>
      <c r="AK47" s="40" t="str">
        <f>Physics!G47</f>
        <v>A-</v>
      </c>
      <c r="AL47" s="40" t="str">
        <f>Chemistry!G47</f>
        <v>F</v>
      </c>
      <c r="AM47" s="40" t="str">
        <f>IF(SubjectList!G47="Math", IF(Math!G47="","",Math!G47), IF(Biology!G47="","",Biology!G47))</f>
        <v>C</v>
      </c>
      <c r="AN47" s="40" t="str">
        <f>IF(SubjectList!H47="Math", IF(Math!G47="","",Math!G47), IF(Biology!G47="","",Biology!G47))</f>
        <v>F</v>
      </c>
      <c r="AO47" s="41">
        <f>Bangla!G47</f>
        <v>3.5</v>
      </c>
      <c r="AP47" s="41">
        <f>English!F47</f>
        <v>3.5</v>
      </c>
      <c r="AQ47" s="41">
        <f>ICT!H47</f>
        <v>3.5</v>
      </c>
      <c r="AR47" s="41">
        <f>Physics!H47</f>
        <v>3.5</v>
      </c>
      <c r="AS47" s="41">
        <f>Chemistry!H47</f>
        <v>0</v>
      </c>
      <c r="AT47" s="41">
        <f>IF(SubjectList!G47="Math", IF(Math!H47="","",Math!H47), IF(Biology!H47="","",Biology!H47))</f>
        <v>2</v>
      </c>
      <c r="AU47" s="41">
        <f>IF(SubjectList!I47="Math", IF(Math!H47="","",Math!H47), IF(Biology!H47="","",Biology!H47))</f>
        <v>0</v>
      </c>
      <c r="AV47" s="41">
        <f>Optional!I47</f>
        <v>0</v>
      </c>
      <c r="AW47" s="41">
        <f>Optional!J47</f>
        <v>0</v>
      </c>
      <c r="AX47" s="41">
        <f t="shared" si="0"/>
        <v>16</v>
      </c>
      <c r="AY47" s="41">
        <f t="shared" si="15"/>
        <v>16</v>
      </c>
      <c r="AZ47" s="41" t="str">
        <f t="shared" si="1"/>
        <v/>
      </c>
      <c r="BA47" s="41" t="str">
        <f t="shared" si="2"/>
        <v/>
      </c>
      <c r="BB47" s="41">
        <f t="shared" si="18"/>
        <v>355</v>
      </c>
      <c r="BC47" s="46">
        <f t="shared" si="16"/>
        <v>1</v>
      </c>
      <c r="BD47" s="46">
        <f t="shared" si="5"/>
        <v>1</v>
      </c>
      <c r="BE47" s="46">
        <f t="shared" si="6"/>
        <v>1</v>
      </c>
      <c r="BF47" s="46">
        <f t="shared" si="7"/>
        <v>1</v>
      </c>
      <c r="BG47" s="46">
        <f t="shared" si="8"/>
        <v>0</v>
      </c>
      <c r="BH47" s="46">
        <f t="shared" si="9"/>
        <v>1</v>
      </c>
      <c r="BI47" s="3">
        <f t="shared" si="17"/>
        <v>5</v>
      </c>
      <c r="BJ47" s="3" t="str">
        <f t="shared" si="19"/>
        <v>Failed in 1 Subject</v>
      </c>
      <c r="BK47" s="3" t="str">
        <f>IF(BA47="","",RANK(BA47,BA$2:BA88,0))</f>
        <v/>
      </c>
      <c r="BL47" s="3" t="str">
        <f t="shared" si="12"/>
        <v>খুবই দুর্বল</v>
      </c>
      <c r="BM47" s="3" t="str">
        <f t="shared" si="13"/>
        <v>Very Weak</v>
      </c>
      <c r="BN47" s="3" t="str">
        <f t="shared" si="14"/>
        <v/>
      </c>
    </row>
    <row r="48" spans="1:66" x14ac:dyDescent="0.35">
      <c r="A48" s="3" t="str">
        <f>'Student Basic Info'!B48</f>
        <v>Science</v>
      </c>
      <c r="B48" s="3">
        <f>'Student Basic Info'!A48</f>
        <v>747</v>
      </c>
      <c r="C48" s="3" t="str">
        <f>'Student Basic Info'!C48</f>
        <v>Jahedul Islam</v>
      </c>
      <c r="D48" s="3" t="str">
        <f>'Student Basic Info'!D48</f>
        <v>Md. Shohidul Islam</v>
      </c>
      <c r="E48" s="3" t="str">
        <f>'Student Basic Info'!E48</f>
        <v>Fatema Khatun</v>
      </c>
      <c r="F48" s="3" t="str">
        <f>'Student Basic Info'!F48</f>
        <v>Male</v>
      </c>
      <c r="G48" s="73" t="str">
        <f>'Student Basic Info'!I48</f>
        <v>01894-009841</v>
      </c>
      <c r="H48" s="74" t="str">
        <f>IF(Bangla!B48="","",Bangla!B48)</f>
        <v/>
      </c>
      <c r="I48" s="74">
        <f>IF(Bangla!C48="","",Bangla!C48)</f>
        <v>40</v>
      </c>
      <c r="J48" s="74">
        <f>IF(Bangla!D48="","",Bangla!D48)</f>
        <v>40</v>
      </c>
      <c r="K48" s="75">
        <f>IF(English!C48="","",English!C48)</f>
        <v>19</v>
      </c>
      <c r="L48" s="37">
        <f>IF(ICT!B48="","",ICT!B48)</f>
        <v>9</v>
      </c>
      <c r="M48" s="37">
        <f>IF(ICT!C48="","",ICT!C48)</f>
        <v>2</v>
      </c>
      <c r="N48" s="37">
        <f>IF(ICT!D48="","",ICT!D48)</f>
        <v>18</v>
      </c>
      <c r="O48" s="37">
        <f>IF(ICT!E48="","",ICT!E48)</f>
        <v>29</v>
      </c>
      <c r="P48" s="44">
        <f>IF(Physics!B48="","",Physics!B48)</f>
        <v>13</v>
      </c>
      <c r="Q48" s="44">
        <f>IF(Physics!C48="","",Physics!C48)</f>
        <v>6</v>
      </c>
      <c r="R48" s="44">
        <f>IF(Physics!D48="","",Physics!D48)</f>
        <v>12</v>
      </c>
      <c r="S48" s="89">
        <f>IF(Physics!E48="","",Physics!E48)</f>
        <v>31</v>
      </c>
      <c r="T48" s="37">
        <f>IF(Chemistry!B48="","",Chemistry!B48)</f>
        <v>9</v>
      </c>
      <c r="U48" s="37">
        <f>IF(Chemistry!C48="","",Chemistry!C48)</f>
        <v>11</v>
      </c>
      <c r="V48" s="37">
        <f>IF(Chemistry!D48="","",Chemistry!D48)</f>
        <v>9</v>
      </c>
      <c r="W48" s="37">
        <f>IF(Chemistry!E48="","",Chemistry!E48)</f>
        <v>29</v>
      </c>
      <c r="X48" s="38">
        <f>IF(SubjectList!G48="Math", IF(Math!B48="","",Math!B48), IF(Biology!B48="","",Biology!B48))</f>
        <v>7</v>
      </c>
      <c r="Y48" s="38">
        <f>IF(SubjectList!G48="Math", IF(Math!C48="","",Math!C48), IF(Biology!C48="","",Biology!C48))</f>
        <v>2</v>
      </c>
      <c r="Z48" s="38">
        <f>IF(SubjectList!G48="Math", IF(Math!D48="","",Math!D48), IF(Biology!D48="","",Biology!D48))</f>
        <v>8</v>
      </c>
      <c r="AA48" s="38">
        <f>IF(SubjectList!G48="Math", IF(Math!E48="","",Math!E48), IF(Biology!E48="","",Biology!E48))</f>
        <v>17</v>
      </c>
      <c r="AB48" s="44">
        <f>IF(SubjectList!I48="Biology", IF(Biology!B48="","",Biology!B48), IF(Math!B48="","",Math!B48))</f>
        <v>14</v>
      </c>
      <c r="AC48" s="44">
        <f>Optional!D48</f>
        <v>1</v>
      </c>
      <c r="AD48" s="44">
        <f>Optional!E48</f>
        <v>10</v>
      </c>
      <c r="AE48" s="44">
        <f>Optional!F48</f>
        <v>25</v>
      </c>
      <c r="AF48" s="39" t="str">
        <f>IF(SubjectList!G48="","", SubjectList!G48)</f>
        <v>Biology</v>
      </c>
      <c r="AG48" s="39" t="str">
        <f>IF(SubjectList!I48="","", SubjectList!I48)</f>
        <v>Math</v>
      </c>
      <c r="AH48" s="40" t="str">
        <f>Bangla!F48</f>
        <v>C</v>
      </c>
      <c r="AI48" s="91" t="str">
        <f>English!E48</f>
        <v>F</v>
      </c>
      <c r="AJ48" s="40" t="str">
        <f>ICT!G48</f>
        <v>F</v>
      </c>
      <c r="AK48" s="40" t="str">
        <f>Physics!G48</f>
        <v>F</v>
      </c>
      <c r="AL48" s="40" t="str">
        <f>Chemistry!G48</f>
        <v>F</v>
      </c>
      <c r="AM48" s="40" t="str">
        <f>IF(SubjectList!G48="Math", IF(Math!G48="","",Math!G48), IF(Biology!G48="","",Biology!G48))</f>
        <v>F</v>
      </c>
      <c r="AN48" s="40" t="str">
        <f>IF(SubjectList!H48="Math", IF(Math!G48="","",Math!G48), IF(Biology!G48="","",Biology!G48))</f>
        <v>F</v>
      </c>
      <c r="AO48" s="41">
        <f>Bangla!G48</f>
        <v>2</v>
      </c>
      <c r="AP48" s="41">
        <f>English!F48</f>
        <v>0</v>
      </c>
      <c r="AQ48" s="41">
        <f>ICT!H48</f>
        <v>0</v>
      </c>
      <c r="AR48" s="41">
        <f>Physics!H48</f>
        <v>0</v>
      </c>
      <c r="AS48" s="41">
        <f>Chemistry!H48</f>
        <v>0</v>
      </c>
      <c r="AT48" s="41">
        <f>IF(SubjectList!G48="Math", IF(Math!H48="","",Math!H48), IF(Biology!H48="","",Biology!H48))</f>
        <v>0</v>
      </c>
      <c r="AU48" s="41">
        <f>IF(SubjectList!I48="Math", IF(Math!H48="","",Math!H48), IF(Biology!H48="","",Biology!H48))</f>
        <v>0</v>
      </c>
      <c r="AV48" s="41">
        <f>Optional!I48</f>
        <v>0</v>
      </c>
      <c r="AW48" s="41">
        <f>Optional!J48</f>
        <v>0</v>
      </c>
      <c r="AX48" s="41">
        <f t="shared" si="0"/>
        <v>2</v>
      </c>
      <c r="AY48" s="41">
        <f t="shared" si="15"/>
        <v>2</v>
      </c>
      <c r="AZ48" s="41" t="str">
        <f t="shared" si="1"/>
        <v/>
      </c>
      <c r="BA48" s="41" t="str">
        <f t="shared" si="2"/>
        <v/>
      </c>
      <c r="BB48" s="41">
        <f t="shared" si="18"/>
        <v>190</v>
      </c>
      <c r="BC48" s="46">
        <f t="shared" si="16"/>
        <v>1</v>
      </c>
      <c r="BD48" s="46">
        <f t="shared" si="5"/>
        <v>0</v>
      </c>
      <c r="BE48" s="46">
        <f t="shared" si="6"/>
        <v>0</v>
      </c>
      <c r="BF48" s="46">
        <f t="shared" si="7"/>
        <v>0</v>
      </c>
      <c r="BG48" s="46">
        <f t="shared" si="8"/>
        <v>0</v>
      </c>
      <c r="BH48" s="46">
        <f t="shared" si="9"/>
        <v>0</v>
      </c>
      <c r="BI48" s="3">
        <f t="shared" si="17"/>
        <v>1</v>
      </c>
      <c r="BJ48" s="3" t="str">
        <f t="shared" si="19"/>
        <v>Failed in 5 Subjects</v>
      </c>
      <c r="BK48" s="3" t="str">
        <f>IF(BA48="","",RANK(BA48,BA$2:BA88,0))</f>
        <v/>
      </c>
      <c r="BL48" s="3" t="str">
        <f t="shared" si="12"/>
        <v>খুবই দুর্বল</v>
      </c>
      <c r="BM48" s="3" t="str">
        <f t="shared" si="13"/>
        <v>Very Weak</v>
      </c>
      <c r="BN48" s="3" t="str">
        <f t="shared" si="14"/>
        <v/>
      </c>
    </row>
    <row r="49" spans="1:66" x14ac:dyDescent="0.35">
      <c r="A49" s="3" t="str">
        <f>'Student Basic Info'!B49</f>
        <v>Science</v>
      </c>
      <c r="B49" s="3">
        <f>'Student Basic Info'!A49</f>
        <v>748</v>
      </c>
      <c r="C49" s="3" t="str">
        <f>'Student Basic Info'!C49</f>
        <v>Merina Parshi</v>
      </c>
      <c r="D49" s="3" t="str">
        <f>'Student Basic Info'!D49</f>
        <v>Abdur Rahman</v>
      </c>
      <c r="E49" s="3" t="str">
        <f>'Student Basic Info'!E49</f>
        <v>Nur Nahar Bizli</v>
      </c>
      <c r="F49" s="3" t="str">
        <f>'Student Basic Info'!F49</f>
        <v>Female</v>
      </c>
      <c r="G49" s="73" t="str">
        <f>'Student Basic Info'!I49</f>
        <v>01881-335502</v>
      </c>
      <c r="H49" s="74" t="str">
        <f>IF(Bangla!B49="","",Bangla!B49)</f>
        <v/>
      </c>
      <c r="I49" s="74">
        <f>IF(Bangla!C49="","",Bangla!C49)</f>
        <v>40</v>
      </c>
      <c r="J49" s="74">
        <f>IF(Bangla!D49="","",Bangla!D49)</f>
        <v>40</v>
      </c>
      <c r="K49" s="75">
        <f>IF(English!C49="","",English!C49)</f>
        <v>15</v>
      </c>
      <c r="L49" s="37">
        <f>IF(ICT!B49="","",ICT!B49)</f>
        <v>7</v>
      </c>
      <c r="M49" s="37">
        <f>IF(ICT!C49="","",ICT!C49)</f>
        <v>3</v>
      </c>
      <c r="N49" s="37">
        <f>IF(ICT!D49="","",ICT!D49)</f>
        <v>18</v>
      </c>
      <c r="O49" s="37">
        <f>IF(ICT!E49="","",ICT!E49)</f>
        <v>28</v>
      </c>
      <c r="P49" s="44">
        <f>IF(Physics!B49="","",Physics!B49)</f>
        <v>5</v>
      </c>
      <c r="Q49" s="44">
        <f>IF(Physics!C49="","",Physics!C49)</f>
        <v>0</v>
      </c>
      <c r="R49" s="44">
        <f>IF(Physics!D49="","",Physics!D49)</f>
        <v>8</v>
      </c>
      <c r="S49" s="89">
        <f>IF(Physics!E49="","",Physics!E49)</f>
        <v>13</v>
      </c>
      <c r="T49" s="37">
        <f>IF(Chemistry!B49="","",Chemistry!B49)</f>
        <v>10</v>
      </c>
      <c r="U49" s="37">
        <f>IF(Chemistry!C49="","",Chemistry!C49)</f>
        <v>9</v>
      </c>
      <c r="V49" s="37">
        <f>IF(Chemistry!D49="","",Chemistry!D49)</f>
        <v>10</v>
      </c>
      <c r="W49" s="37">
        <f>IF(Chemistry!E49="","",Chemistry!E49)</f>
        <v>29</v>
      </c>
      <c r="X49" s="38">
        <f>IF(SubjectList!G49="Math", IF(Math!B49="","",Math!B49), IF(Biology!B49="","",Biology!B49))</f>
        <v>7</v>
      </c>
      <c r="Y49" s="38">
        <f>IF(SubjectList!G49="Math", IF(Math!C49="","",Math!C49), IF(Biology!C49="","",Biology!C49))</f>
        <v>3</v>
      </c>
      <c r="Z49" s="38">
        <f>IF(SubjectList!G49="Math", IF(Math!D49="","",Math!D49), IF(Biology!D49="","",Biology!D49))</f>
        <v>8</v>
      </c>
      <c r="AA49" s="38">
        <f>IF(SubjectList!G49="Math", IF(Math!E49="","",Math!E49), IF(Biology!E49="","",Biology!E49))</f>
        <v>18</v>
      </c>
      <c r="AB49" s="44">
        <f>IF(SubjectList!I49="Biology", IF(Biology!B49="","",Biology!B49), IF(Math!B49="","",Math!B49))</f>
        <v>4</v>
      </c>
      <c r="AC49" s="44">
        <f>Optional!D49</f>
        <v>1</v>
      </c>
      <c r="AD49" s="44">
        <f>Optional!E49</f>
        <v>8</v>
      </c>
      <c r="AE49" s="44">
        <f>Optional!F49</f>
        <v>13</v>
      </c>
      <c r="AF49" s="39" t="str">
        <f>IF(SubjectList!G49="","", SubjectList!G49)</f>
        <v>Biology</v>
      </c>
      <c r="AG49" s="39" t="str">
        <f>IF(SubjectList!I49="","", SubjectList!I49)</f>
        <v>Math</v>
      </c>
      <c r="AH49" s="40" t="str">
        <f>Bangla!F49</f>
        <v>C</v>
      </c>
      <c r="AI49" s="91" t="str">
        <f>English!E49</f>
        <v>F</v>
      </c>
      <c r="AJ49" s="40" t="str">
        <f>ICT!G49</f>
        <v>F</v>
      </c>
      <c r="AK49" s="40" t="str">
        <f>Physics!G49</f>
        <v>F</v>
      </c>
      <c r="AL49" s="40" t="str">
        <f>Chemistry!G49</f>
        <v>F</v>
      </c>
      <c r="AM49" s="40" t="str">
        <f>IF(SubjectList!G49="Math", IF(Math!G49="","",Math!G49), IF(Biology!G49="","",Biology!G49))</f>
        <v>F</v>
      </c>
      <c r="AN49" s="40" t="str">
        <f>IF(SubjectList!H49="Math", IF(Math!G49="","",Math!G49), IF(Biology!G49="","",Biology!G49))</f>
        <v>F</v>
      </c>
      <c r="AO49" s="41">
        <f>Bangla!G49</f>
        <v>2</v>
      </c>
      <c r="AP49" s="41">
        <f>English!F49</f>
        <v>0</v>
      </c>
      <c r="AQ49" s="41">
        <f>ICT!H49</f>
        <v>0</v>
      </c>
      <c r="AR49" s="41">
        <f>Physics!H49</f>
        <v>0</v>
      </c>
      <c r="AS49" s="41">
        <f>Chemistry!H49</f>
        <v>0</v>
      </c>
      <c r="AT49" s="41">
        <f>IF(SubjectList!G49="Math", IF(Math!H49="","",Math!H49), IF(Biology!H49="","",Biology!H49))</f>
        <v>0</v>
      </c>
      <c r="AU49" s="41">
        <f>IF(SubjectList!I49="Math", IF(Math!H49="","",Math!H49), IF(Biology!H49="","",Biology!H49))</f>
        <v>0</v>
      </c>
      <c r="AV49" s="41">
        <f>Optional!I49</f>
        <v>0</v>
      </c>
      <c r="AW49" s="41">
        <f>Optional!J49</f>
        <v>0</v>
      </c>
      <c r="AX49" s="41">
        <f t="shared" si="0"/>
        <v>2</v>
      </c>
      <c r="AY49" s="41">
        <f t="shared" si="15"/>
        <v>2</v>
      </c>
      <c r="AZ49" s="41" t="str">
        <f t="shared" si="1"/>
        <v/>
      </c>
      <c r="BA49" s="41" t="str">
        <f t="shared" si="2"/>
        <v/>
      </c>
      <c r="BB49" s="41">
        <f t="shared" si="18"/>
        <v>156</v>
      </c>
      <c r="BC49" s="46">
        <f t="shared" si="16"/>
        <v>1</v>
      </c>
      <c r="BD49" s="46">
        <f t="shared" si="5"/>
        <v>0</v>
      </c>
      <c r="BE49" s="46">
        <f t="shared" si="6"/>
        <v>0</v>
      </c>
      <c r="BF49" s="46">
        <f t="shared" si="7"/>
        <v>0</v>
      </c>
      <c r="BG49" s="46">
        <f t="shared" si="8"/>
        <v>0</v>
      </c>
      <c r="BH49" s="46">
        <f t="shared" si="9"/>
        <v>0</v>
      </c>
      <c r="BI49" s="3">
        <f t="shared" si="17"/>
        <v>1</v>
      </c>
      <c r="BJ49" s="3" t="str">
        <f t="shared" si="19"/>
        <v>Failed in 5 Subjects</v>
      </c>
      <c r="BK49" s="3" t="str">
        <f>IF(BA49="","",RANK(BA49,BA$2:BA88,0))</f>
        <v/>
      </c>
      <c r="BL49" s="3" t="str">
        <f t="shared" si="12"/>
        <v>খুবই দুর্বল</v>
      </c>
      <c r="BM49" s="3" t="str">
        <f t="shared" si="13"/>
        <v>Very Weak</v>
      </c>
      <c r="BN49" s="3" t="str">
        <f t="shared" si="14"/>
        <v/>
      </c>
    </row>
    <row r="50" spans="1:66" x14ac:dyDescent="0.35">
      <c r="A50" s="3" t="str">
        <f>'Student Basic Info'!B50</f>
        <v>Science</v>
      </c>
      <c r="B50" s="3">
        <f>'Student Basic Info'!A50</f>
        <v>749</v>
      </c>
      <c r="C50" s="3" t="str">
        <f>'Student Basic Info'!C50</f>
        <v>Shekh Shohrab Hosain</v>
      </c>
      <c r="D50" s="3" t="str">
        <f>'Student Basic Info'!D50</f>
        <v>Md. Haris Ahmmed</v>
      </c>
      <c r="E50" s="3" t="str">
        <f>'Student Basic Info'!E50</f>
        <v>Ferdousra Begum</v>
      </c>
      <c r="F50" s="3" t="str">
        <f>'Student Basic Info'!F50</f>
        <v>Male</v>
      </c>
      <c r="G50" s="73" t="str">
        <f>'Student Basic Info'!I50</f>
        <v>01810-617584</v>
      </c>
      <c r="H50" s="74" t="str">
        <f>IF(Bangla!B50="","",Bangla!B50)</f>
        <v/>
      </c>
      <c r="I50" s="74">
        <f>IF(Bangla!C50="","",Bangla!C50)</f>
        <v>35</v>
      </c>
      <c r="J50" s="74">
        <f>IF(Bangla!D50="","",Bangla!D50)</f>
        <v>35</v>
      </c>
      <c r="K50" s="75">
        <f>IF(English!C50="","",English!C50)</f>
        <v>20</v>
      </c>
      <c r="L50" s="37">
        <f>IF(ICT!B50="","",ICT!B50)</f>
        <v>7</v>
      </c>
      <c r="M50" s="37">
        <f>IF(ICT!C50="","",ICT!C50)</f>
        <v>1</v>
      </c>
      <c r="N50" s="37">
        <f>IF(ICT!D50="","",ICT!D50)</f>
        <v>8</v>
      </c>
      <c r="O50" s="37">
        <f>IF(ICT!E50="","",ICT!E50)</f>
        <v>16</v>
      </c>
      <c r="P50" s="44">
        <f>IF(Physics!B50="","",Physics!B50)</f>
        <v>8</v>
      </c>
      <c r="Q50" s="44">
        <f>IF(Physics!C50="","",Physics!C50)</f>
        <v>2</v>
      </c>
      <c r="R50" s="44">
        <f>IF(Physics!D50="","",Physics!D50)</f>
        <v>8</v>
      </c>
      <c r="S50" s="89">
        <f>IF(Physics!E50="","",Physics!E50)</f>
        <v>18</v>
      </c>
      <c r="T50" s="37">
        <f>IF(Chemistry!B50="","",Chemistry!B50)</f>
        <v>10</v>
      </c>
      <c r="U50" s="37">
        <f>IF(Chemistry!C50="","",Chemistry!C50)</f>
        <v>1</v>
      </c>
      <c r="V50" s="37">
        <f>IF(Chemistry!D50="","",Chemistry!D50)</f>
        <v>11</v>
      </c>
      <c r="W50" s="37">
        <f>IF(Chemistry!E50="","",Chemistry!E50)</f>
        <v>22</v>
      </c>
      <c r="X50" s="38">
        <f>IF(SubjectList!G50="Math", IF(Math!B50="","",Math!B50), IF(Biology!B50="","",Biology!B50))</f>
        <v>6</v>
      </c>
      <c r="Y50" s="38">
        <f>IF(SubjectList!G50="Math", IF(Math!C50="","",Math!C50), IF(Biology!C50="","",Biology!C50))</f>
        <v>0</v>
      </c>
      <c r="Z50" s="38">
        <f>IF(SubjectList!G50="Math", IF(Math!D50="","",Math!D50), IF(Biology!D50="","",Biology!D50))</f>
        <v>8</v>
      </c>
      <c r="AA50" s="38">
        <f>IF(SubjectList!G50="Math", IF(Math!E50="","",Math!E50), IF(Biology!E50="","",Biology!E50))</f>
        <v>14</v>
      </c>
      <c r="AB50" s="44">
        <f>IF(SubjectList!I50="Biology", IF(Biology!B50="","",Biology!B50), IF(Math!B50="","",Math!B50))</f>
        <v>6</v>
      </c>
      <c r="AC50" s="44">
        <f>Optional!D50</f>
        <v>0</v>
      </c>
      <c r="AD50" s="44">
        <f>Optional!E50</f>
        <v>8</v>
      </c>
      <c r="AE50" s="44">
        <f>Optional!F50</f>
        <v>14</v>
      </c>
      <c r="AF50" s="39" t="str">
        <f>IF(SubjectList!G50="","", SubjectList!G50)</f>
        <v>Biology</v>
      </c>
      <c r="AG50" s="39" t="str">
        <f>IF(SubjectList!I50="","", SubjectList!I50)</f>
        <v>Math</v>
      </c>
      <c r="AH50" s="40" t="str">
        <f>Bangla!F50</f>
        <v>D</v>
      </c>
      <c r="AI50" s="91" t="str">
        <f>English!E50</f>
        <v>F</v>
      </c>
      <c r="AJ50" s="40" t="str">
        <f>ICT!G50</f>
        <v>F</v>
      </c>
      <c r="AK50" s="40" t="str">
        <f>Physics!G50</f>
        <v>F</v>
      </c>
      <c r="AL50" s="40" t="str">
        <f>Chemistry!G50</f>
        <v>F</v>
      </c>
      <c r="AM50" s="40" t="str">
        <f>IF(SubjectList!G50="Math", IF(Math!G50="","",Math!G50), IF(Biology!G50="","",Biology!G50))</f>
        <v>F</v>
      </c>
      <c r="AN50" s="40" t="str">
        <f>IF(SubjectList!H50="Math", IF(Math!G50="","",Math!G50), IF(Biology!G50="","",Biology!G50))</f>
        <v>F</v>
      </c>
      <c r="AO50" s="41">
        <f>Bangla!G50</f>
        <v>1</v>
      </c>
      <c r="AP50" s="41">
        <f>English!F50</f>
        <v>0</v>
      </c>
      <c r="AQ50" s="41">
        <f>ICT!H50</f>
        <v>0</v>
      </c>
      <c r="AR50" s="41">
        <f>Physics!H50</f>
        <v>0</v>
      </c>
      <c r="AS50" s="41">
        <f>Chemistry!H50</f>
        <v>0</v>
      </c>
      <c r="AT50" s="41">
        <f>IF(SubjectList!G50="Math", IF(Math!H50="","",Math!H50), IF(Biology!H50="","",Biology!H50))</f>
        <v>0</v>
      </c>
      <c r="AU50" s="41">
        <f>IF(SubjectList!I50="Math", IF(Math!H50="","",Math!H50), IF(Biology!H50="","",Biology!H50))</f>
        <v>0</v>
      </c>
      <c r="AV50" s="41">
        <f>Optional!I50</f>
        <v>0</v>
      </c>
      <c r="AW50" s="41">
        <f>Optional!J50</f>
        <v>0</v>
      </c>
      <c r="AX50" s="41">
        <f t="shared" si="0"/>
        <v>1</v>
      </c>
      <c r="AY50" s="41">
        <f t="shared" si="15"/>
        <v>1</v>
      </c>
      <c r="AZ50" s="41" t="str">
        <f t="shared" si="1"/>
        <v/>
      </c>
      <c r="BA50" s="41" t="str">
        <f t="shared" si="2"/>
        <v/>
      </c>
      <c r="BB50" s="41">
        <f t="shared" si="18"/>
        <v>139</v>
      </c>
      <c r="BC50" s="46">
        <f t="shared" si="16"/>
        <v>1</v>
      </c>
      <c r="BD50" s="46">
        <f t="shared" si="5"/>
        <v>0</v>
      </c>
      <c r="BE50" s="46">
        <f t="shared" si="6"/>
        <v>0</v>
      </c>
      <c r="BF50" s="46">
        <f t="shared" si="7"/>
        <v>0</v>
      </c>
      <c r="BG50" s="46">
        <f t="shared" si="8"/>
        <v>0</v>
      </c>
      <c r="BH50" s="46">
        <f t="shared" si="9"/>
        <v>0</v>
      </c>
      <c r="BI50" s="3">
        <f t="shared" si="17"/>
        <v>1</v>
      </c>
      <c r="BJ50" s="3" t="str">
        <f t="shared" si="19"/>
        <v>Failed in 5 Subjects</v>
      </c>
      <c r="BK50" s="3" t="str">
        <f>IF(BA50="","",RANK(BA50,BA$2:BA88,0))</f>
        <v/>
      </c>
      <c r="BL50" s="3" t="str">
        <f t="shared" si="12"/>
        <v>খুবই দুর্বল</v>
      </c>
      <c r="BM50" s="3" t="str">
        <f t="shared" si="13"/>
        <v>Very Weak</v>
      </c>
      <c r="BN50" s="3" t="str">
        <f t="shared" si="14"/>
        <v/>
      </c>
    </row>
    <row r="51" spans="1:66" x14ac:dyDescent="0.35">
      <c r="A51" s="3" t="str">
        <f>'Student Basic Info'!B51</f>
        <v>Science</v>
      </c>
      <c r="B51" s="3">
        <f>'Student Basic Info'!A51</f>
        <v>750</v>
      </c>
      <c r="C51" s="3" t="str">
        <f>'Student Basic Info'!C51</f>
        <v>Purnima Aktar</v>
      </c>
      <c r="D51" s="3" t="str">
        <f>'Student Basic Info'!D51</f>
        <v>Md. Humayon Kabir</v>
      </c>
      <c r="E51" s="3" t="str">
        <f>'Student Basic Info'!E51</f>
        <v>Momtaz Begum</v>
      </c>
      <c r="F51" s="3" t="str">
        <f>'Student Basic Info'!F51</f>
        <v>Female</v>
      </c>
      <c r="G51" s="73" t="str">
        <f>'Student Basic Info'!I51</f>
        <v>01837-895748</v>
      </c>
      <c r="H51" s="74" t="str">
        <f>IF(Bangla!B51="","",Bangla!B51)</f>
        <v/>
      </c>
      <c r="I51" s="74" t="str">
        <f>IF(Bangla!C51="","",Bangla!C51)</f>
        <v/>
      </c>
      <c r="J51" s="74" t="str">
        <f>IF(Bangla!D51="","",Bangla!D51)</f>
        <v/>
      </c>
      <c r="K51" s="75" t="str">
        <f>IF(English!C51="","",English!C51)</f>
        <v/>
      </c>
      <c r="L51" s="37" t="str">
        <f>IF(ICT!B51="","",ICT!B51)</f>
        <v/>
      </c>
      <c r="M51" s="37" t="str">
        <f>IF(ICT!C51="","",ICT!C51)</f>
        <v/>
      </c>
      <c r="N51" s="37" t="str">
        <f>IF(ICT!D51="","",ICT!D51)</f>
        <v/>
      </c>
      <c r="O51" s="37" t="str">
        <f>IF(ICT!E51="","",ICT!E51)</f>
        <v/>
      </c>
      <c r="P51" s="44" t="str">
        <f>IF(Physics!B51="","",Physics!B51)</f>
        <v/>
      </c>
      <c r="Q51" s="44" t="str">
        <f>IF(Physics!C51="","",Physics!C51)</f>
        <v/>
      </c>
      <c r="R51" s="44" t="str">
        <f>IF(Physics!D51="","",Physics!D51)</f>
        <v/>
      </c>
      <c r="S51" s="89" t="str">
        <f>IF(Physics!E51="","",Physics!E51)</f>
        <v/>
      </c>
      <c r="T51" s="37" t="str">
        <f>IF(Chemistry!B51="","",Chemistry!B51)</f>
        <v/>
      </c>
      <c r="U51" s="37" t="str">
        <f>IF(Chemistry!C51="","",Chemistry!C51)</f>
        <v/>
      </c>
      <c r="V51" s="37" t="str">
        <f>IF(Chemistry!D51="","",Chemistry!D51)</f>
        <v/>
      </c>
      <c r="W51" s="37" t="str">
        <f>IF(Chemistry!E51="","",Chemistry!E51)</f>
        <v/>
      </c>
      <c r="X51" s="38" t="str">
        <f>IF(SubjectList!G51="Math", IF(Math!B51="","",Math!B51), IF(Biology!B51="","",Biology!B51))</f>
        <v/>
      </c>
      <c r="Y51" s="38" t="str">
        <f>IF(SubjectList!G51="Math", IF(Math!C51="","",Math!C51), IF(Biology!C51="","",Biology!C51))</f>
        <v/>
      </c>
      <c r="Z51" s="38" t="str">
        <f>IF(SubjectList!G51="Math", IF(Math!D51="","",Math!D51), IF(Biology!D51="","",Biology!D51))</f>
        <v/>
      </c>
      <c r="AA51" s="38" t="str">
        <f>IF(SubjectList!G51="Math", IF(Math!E51="","",Math!E51), IF(Biology!E51="","",Biology!E51))</f>
        <v/>
      </c>
      <c r="AB51" s="44" t="str">
        <f>IF(SubjectList!I51="Biology", IF(Biology!B51="","",Biology!B51), IF(Math!B51="","",Math!B51))</f>
        <v/>
      </c>
      <c r="AC51" s="44" t="str">
        <f>Optional!D51</f>
        <v/>
      </c>
      <c r="AD51" s="44" t="str">
        <f>Optional!E51</f>
        <v/>
      </c>
      <c r="AE51" s="44" t="str">
        <f>Optional!F51</f>
        <v/>
      </c>
      <c r="AF51" s="39" t="str">
        <f>IF(SubjectList!G51="","", SubjectList!G51)</f>
        <v>Math</v>
      </c>
      <c r="AG51" s="39" t="str">
        <f>IF(SubjectList!I51="","", SubjectList!I51)</f>
        <v>Biology</v>
      </c>
      <c r="AH51" s="40" t="str">
        <f>Bangla!F51</f>
        <v/>
      </c>
      <c r="AI51" s="91" t="str">
        <f>English!E51</f>
        <v/>
      </c>
      <c r="AJ51" s="40" t="str">
        <f>ICT!G51</f>
        <v/>
      </c>
      <c r="AK51" s="40" t="str">
        <f>Physics!G51</f>
        <v/>
      </c>
      <c r="AL51" s="40" t="str">
        <f>Chemistry!G51</f>
        <v/>
      </c>
      <c r="AM51" s="40" t="str">
        <f>IF(SubjectList!G51="Math", IF(Math!G51="","",Math!G51), IF(Biology!G51="","",Biology!G51))</f>
        <v/>
      </c>
      <c r="AN51" s="40" t="str">
        <f>IF(SubjectList!H51="Math", IF(Math!G51="","",Math!G51), IF(Biology!G51="","",Biology!G51))</f>
        <v/>
      </c>
      <c r="AO51" s="41" t="str">
        <f>Bangla!G51</f>
        <v/>
      </c>
      <c r="AP51" s="41" t="str">
        <f>English!F51</f>
        <v/>
      </c>
      <c r="AQ51" s="41" t="str">
        <f>ICT!H51</f>
        <v/>
      </c>
      <c r="AR51" s="41" t="str">
        <f>Physics!H51</f>
        <v/>
      </c>
      <c r="AS51" s="41" t="str">
        <f>Chemistry!H51</f>
        <v/>
      </c>
      <c r="AT51" s="41" t="str">
        <f>IF(SubjectList!G51="Math", IF(Math!H51="","",Math!H51), IF(Biology!H51="","",Biology!H51))</f>
        <v/>
      </c>
      <c r="AU51" s="41" t="str">
        <f>IF(SubjectList!I51="Math", IF(Math!H51="","",Math!H51), IF(Biology!H51="","",Biology!H51))</f>
        <v/>
      </c>
      <c r="AV51" s="41" t="str">
        <f>Optional!I51</f>
        <v/>
      </c>
      <c r="AW51" s="41" t="str">
        <f>Optional!J51</f>
        <v/>
      </c>
      <c r="AX51" s="41" t="str">
        <f t="shared" si="0"/>
        <v/>
      </c>
      <c r="AY51" s="41" t="str">
        <f t="shared" si="15"/>
        <v/>
      </c>
      <c r="AZ51" s="41" t="str">
        <f t="shared" si="1"/>
        <v/>
      </c>
      <c r="BA51" s="41" t="str">
        <f t="shared" si="2"/>
        <v/>
      </c>
      <c r="BB51" s="41">
        <f t="shared" si="18"/>
        <v>0</v>
      </c>
      <c r="BC51" s="46" t="str">
        <f t="shared" si="16"/>
        <v/>
      </c>
      <c r="BD51" s="46" t="str">
        <f t="shared" si="5"/>
        <v/>
      </c>
      <c r="BE51" s="46" t="str">
        <f t="shared" si="6"/>
        <v/>
      </c>
      <c r="BF51" s="46" t="str">
        <f t="shared" si="7"/>
        <v/>
      </c>
      <c r="BG51" s="46" t="str">
        <f t="shared" si="8"/>
        <v/>
      </c>
      <c r="BH51" s="46" t="str">
        <f t="shared" si="9"/>
        <v/>
      </c>
      <c r="BI51" s="3">
        <f t="shared" si="17"/>
        <v>0</v>
      </c>
      <c r="BJ51" s="3" t="str">
        <f t="shared" si="19"/>
        <v>Failed in 6 Subjects</v>
      </c>
      <c r="BK51" s="3" t="str">
        <f>IF(BA51="","",RANK(BA51,BA$2:BA88,0))</f>
        <v/>
      </c>
      <c r="BL51" s="3" t="str">
        <f t="shared" si="12"/>
        <v>খুবই দুর্বল</v>
      </c>
      <c r="BM51" s="3" t="str">
        <f t="shared" si="13"/>
        <v>Very Weak</v>
      </c>
      <c r="BN51" s="3" t="str">
        <f t="shared" si="14"/>
        <v/>
      </c>
    </row>
    <row r="52" spans="1:66" x14ac:dyDescent="0.35">
      <c r="A52" s="3" t="str">
        <f>'Student Basic Info'!B52</f>
        <v>Science</v>
      </c>
      <c r="B52" s="3">
        <f>'Student Basic Info'!A52</f>
        <v>751</v>
      </c>
      <c r="C52" s="3" t="str">
        <f>'Student Basic Info'!C52</f>
        <v>Hridwal  Al Mahmul</v>
      </c>
      <c r="D52" s="3" t="str">
        <f>'Student Basic Info'!D52</f>
        <v>Mofasser Hosain</v>
      </c>
      <c r="E52" s="3" t="str">
        <f>'Student Basic Info'!E52</f>
        <v>Zannatul Ferdaus</v>
      </c>
      <c r="F52" s="3" t="str">
        <f>'Student Basic Info'!F52</f>
        <v>Male</v>
      </c>
      <c r="G52" s="73" t="str">
        <f>'Student Basic Info'!I52</f>
        <v>01861-122989</v>
      </c>
      <c r="H52" s="74" t="str">
        <f>IF(Bangla!B52="","",Bangla!B52)</f>
        <v/>
      </c>
      <c r="I52" s="74">
        <f>IF(Bangla!C52="","",Bangla!C52)</f>
        <v>40</v>
      </c>
      <c r="J52" s="74">
        <f>IF(Bangla!D52="","",Bangla!D52)</f>
        <v>40</v>
      </c>
      <c r="K52" s="75">
        <f>IF(English!C52="","",English!C52)</f>
        <v>27</v>
      </c>
      <c r="L52" s="37">
        <f>IF(ICT!B52="","",ICT!B52)</f>
        <v>13</v>
      </c>
      <c r="M52" s="37">
        <f>IF(ICT!C52="","",ICT!C52)</f>
        <v>5</v>
      </c>
      <c r="N52" s="37">
        <f>IF(ICT!D52="","",ICT!D52)</f>
        <v>8</v>
      </c>
      <c r="O52" s="37">
        <f>IF(ICT!E52="","",ICT!E52)</f>
        <v>26</v>
      </c>
      <c r="P52" s="44">
        <f>IF(Physics!B52="","",Physics!B52)</f>
        <v>9</v>
      </c>
      <c r="Q52" s="44">
        <f>IF(Physics!C52="","",Physics!C52)</f>
        <v>32</v>
      </c>
      <c r="R52" s="44">
        <f>IF(Physics!D52="","",Physics!D52)</f>
        <v>19</v>
      </c>
      <c r="S52" s="89">
        <f>IF(Physics!E52="","",Physics!E52)</f>
        <v>60</v>
      </c>
      <c r="T52" s="37">
        <f>IF(Chemistry!B52="","",Chemistry!B52)</f>
        <v>11</v>
      </c>
      <c r="U52" s="37">
        <f>IF(Chemistry!C52="","",Chemistry!C52)</f>
        <v>11</v>
      </c>
      <c r="V52" s="37">
        <f>IF(Chemistry!D52="","",Chemistry!D52)</f>
        <v>10</v>
      </c>
      <c r="W52" s="37">
        <f>IF(Chemistry!E52="","",Chemistry!E52)</f>
        <v>32</v>
      </c>
      <c r="X52" s="38">
        <f>IF(SubjectList!G52="Math", IF(Math!B52="","",Math!B52), IF(Biology!B52="","",Biology!B52))</f>
        <v>11</v>
      </c>
      <c r="Y52" s="38">
        <f>IF(SubjectList!G52="Math", IF(Math!C52="","",Math!C52), IF(Biology!C52="","",Biology!C52))</f>
        <v>2</v>
      </c>
      <c r="Z52" s="38">
        <f>IF(SubjectList!G52="Math", IF(Math!D52="","",Math!D52), IF(Biology!D52="","",Biology!D52))</f>
        <v>9</v>
      </c>
      <c r="AA52" s="38">
        <f>IF(SubjectList!G52="Math", IF(Math!E52="","",Math!E52), IF(Biology!E52="","",Biology!E52))</f>
        <v>22</v>
      </c>
      <c r="AB52" s="44" t="str">
        <f>IF(SubjectList!I52="Biology", IF(Biology!B52="","",Biology!B52), IF(Math!B52="","",Math!B52))</f>
        <v/>
      </c>
      <c r="AC52" s="44" t="str">
        <f>Optional!D52</f>
        <v/>
      </c>
      <c r="AD52" s="44" t="str">
        <f>Optional!E52</f>
        <v/>
      </c>
      <c r="AE52" s="44" t="str">
        <f>Optional!F52</f>
        <v/>
      </c>
      <c r="AF52" s="39" t="str">
        <f>IF(SubjectList!G52="","", SubjectList!G52)</f>
        <v>Biology</v>
      </c>
      <c r="AG52" s="39" t="str">
        <f>IF(SubjectList!I52="","", SubjectList!I52)</f>
        <v>Math</v>
      </c>
      <c r="AH52" s="40" t="str">
        <f>Bangla!F52</f>
        <v>C</v>
      </c>
      <c r="AI52" s="91" t="str">
        <f>English!E52</f>
        <v>F</v>
      </c>
      <c r="AJ52" s="40" t="str">
        <f>ICT!G52</f>
        <v>F</v>
      </c>
      <c r="AK52" s="40" t="str">
        <f>Physics!G52</f>
        <v>A-</v>
      </c>
      <c r="AL52" s="40" t="str">
        <f>Chemistry!G52</f>
        <v>F</v>
      </c>
      <c r="AM52" s="40" t="str">
        <f>IF(SubjectList!G52="Math", IF(Math!G52="","",Math!G52), IF(Biology!G52="","",Biology!G52))</f>
        <v>F</v>
      </c>
      <c r="AN52" s="40" t="str">
        <f>IF(SubjectList!H52="Math", IF(Math!G52="","",Math!G52), IF(Biology!G52="","",Biology!G52))</f>
        <v/>
      </c>
      <c r="AO52" s="41">
        <f>Bangla!G52</f>
        <v>2</v>
      </c>
      <c r="AP52" s="41">
        <f>English!F52</f>
        <v>0</v>
      </c>
      <c r="AQ52" s="41">
        <f>ICT!H52</f>
        <v>0</v>
      </c>
      <c r="AR52" s="41">
        <f>Physics!H52</f>
        <v>3.5</v>
      </c>
      <c r="AS52" s="41">
        <f>Chemistry!H52</f>
        <v>0</v>
      </c>
      <c r="AT52" s="41">
        <f>IF(SubjectList!G52="Math", IF(Math!H52="","",Math!H52), IF(Biology!H52="","",Biology!H52))</f>
        <v>0</v>
      </c>
      <c r="AU52" s="41" t="str">
        <f>IF(SubjectList!I52="Math", IF(Math!H52="","",Math!H52), IF(Biology!H52="","",Biology!H52))</f>
        <v/>
      </c>
      <c r="AV52" s="41" t="str">
        <f>Optional!I52</f>
        <v/>
      </c>
      <c r="AW52" s="41" t="str">
        <f>Optional!J52</f>
        <v/>
      </c>
      <c r="AX52" s="41">
        <f t="shared" si="0"/>
        <v>5.5</v>
      </c>
      <c r="AY52" s="41">
        <f t="shared" si="15"/>
        <v>5.5</v>
      </c>
      <c r="AZ52" s="41" t="str">
        <f t="shared" si="1"/>
        <v/>
      </c>
      <c r="BA52" s="41" t="str">
        <f t="shared" si="2"/>
        <v/>
      </c>
      <c r="BB52" s="41">
        <f t="shared" si="18"/>
        <v>207</v>
      </c>
      <c r="BC52" s="46">
        <f t="shared" si="16"/>
        <v>1</v>
      </c>
      <c r="BD52" s="46">
        <f t="shared" si="5"/>
        <v>0</v>
      </c>
      <c r="BE52" s="46">
        <f t="shared" si="6"/>
        <v>0</v>
      </c>
      <c r="BF52" s="46">
        <f t="shared" si="7"/>
        <v>1</v>
      </c>
      <c r="BG52" s="46">
        <f t="shared" si="8"/>
        <v>0</v>
      </c>
      <c r="BH52" s="46">
        <f t="shared" si="9"/>
        <v>0</v>
      </c>
      <c r="BI52" s="3">
        <f t="shared" si="17"/>
        <v>2</v>
      </c>
      <c r="BJ52" s="3" t="str">
        <f t="shared" si="19"/>
        <v>Failed in 4 Subjects</v>
      </c>
      <c r="BK52" s="3" t="str">
        <f>IF(BA52="","",RANK(BA52,BA$2:BA88,0))</f>
        <v/>
      </c>
      <c r="BL52" s="3" t="str">
        <f t="shared" si="12"/>
        <v>খুবই দুর্বল</v>
      </c>
      <c r="BM52" s="3" t="str">
        <f t="shared" si="13"/>
        <v>Very Weak</v>
      </c>
      <c r="BN52" s="3" t="str">
        <f t="shared" si="14"/>
        <v/>
      </c>
    </row>
    <row r="53" spans="1:66" x14ac:dyDescent="0.35">
      <c r="A53" s="3" t="str">
        <f>'Student Basic Info'!B53</f>
        <v>Science</v>
      </c>
      <c r="B53" s="3">
        <f>'Student Basic Info'!A53</f>
        <v>752</v>
      </c>
      <c r="C53" s="3" t="str">
        <f>'Student Basic Info'!C53</f>
        <v>Sabbir Hosain</v>
      </c>
      <c r="D53" s="3" t="str">
        <f>'Student Basic Info'!D53</f>
        <v>Mizanaur Rahman</v>
      </c>
      <c r="E53" s="3" t="str">
        <f>'Student Basic Info'!E53</f>
        <v>Ayesha Aktar</v>
      </c>
      <c r="F53" s="3" t="str">
        <f>'Student Basic Info'!F53</f>
        <v>Male</v>
      </c>
      <c r="G53" s="73">
        <f>'Student Basic Info'!I53</f>
        <v>1839156837</v>
      </c>
      <c r="H53" s="74" t="str">
        <f>IF(Bangla!B53="","",Bangla!B53)</f>
        <v/>
      </c>
      <c r="I53" s="74" t="str">
        <f>IF(Bangla!C53="","",Bangla!C53)</f>
        <v/>
      </c>
      <c r="J53" s="74" t="str">
        <f>IF(Bangla!D53="","",Bangla!D53)</f>
        <v/>
      </c>
      <c r="K53" s="75" t="str">
        <f>IF(English!C53="","",English!C53)</f>
        <v/>
      </c>
      <c r="L53" s="37" t="str">
        <f>IF(ICT!B53="","",ICT!B53)</f>
        <v/>
      </c>
      <c r="M53" s="37" t="str">
        <f>IF(ICT!C53="","",ICT!C53)</f>
        <v/>
      </c>
      <c r="N53" s="37" t="str">
        <f>IF(ICT!D53="","",ICT!D53)</f>
        <v/>
      </c>
      <c r="O53" s="37" t="str">
        <f>IF(ICT!E53="","",ICT!E53)</f>
        <v/>
      </c>
      <c r="P53" s="44" t="str">
        <f>IF(Physics!B53="","",Physics!B53)</f>
        <v/>
      </c>
      <c r="Q53" s="44" t="str">
        <f>IF(Physics!C53="","",Physics!C53)</f>
        <v/>
      </c>
      <c r="R53" s="44" t="str">
        <f>IF(Physics!D53="","",Physics!D53)</f>
        <v/>
      </c>
      <c r="S53" s="89" t="str">
        <f>IF(Physics!E53="","",Physics!E53)</f>
        <v/>
      </c>
      <c r="T53" s="37" t="str">
        <f>IF(Chemistry!B53="","",Chemistry!B53)</f>
        <v/>
      </c>
      <c r="U53" s="37" t="str">
        <f>IF(Chemistry!C53="","",Chemistry!C53)</f>
        <v/>
      </c>
      <c r="V53" s="37" t="str">
        <f>IF(Chemistry!D53="","",Chemistry!D53)</f>
        <v/>
      </c>
      <c r="W53" s="37" t="str">
        <f>IF(Chemistry!E53="","",Chemistry!E53)</f>
        <v/>
      </c>
      <c r="X53" s="38" t="str">
        <f>IF(SubjectList!G53="Math", IF(Math!B53="","",Math!B53), IF(Biology!B53="","",Biology!B53))</f>
        <v/>
      </c>
      <c r="Y53" s="38" t="str">
        <f>IF(SubjectList!G53="Math", IF(Math!C53="","",Math!C53), IF(Biology!C53="","",Biology!C53))</f>
        <v/>
      </c>
      <c r="Z53" s="38" t="str">
        <f>IF(SubjectList!G53="Math", IF(Math!D53="","",Math!D53), IF(Biology!D53="","",Biology!D53))</f>
        <v/>
      </c>
      <c r="AA53" s="38" t="str">
        <f>IF(SubjectList!G53="Math", IF(Math!E53="","",Math!E53), IF(Biology!E53="","",Biology!E53))</f>
        <v/>
      </c>
      <c r="AB53" s="44" t="str">
        <f>IF(SubjectList!I53="Biology", IF(Biology!B53="","",Biology!B53), IF(Math!B53="","",Math!B53))</f>
        <v/>
      </c>
      <c r="AC53" s="44" t="str">
        <f>Optional!D53</f>
        <v/>
      </c>
      <c r="AD53" s="44" t="str">
        <f>Optional!E53</f>
        <v/>
      </c>
      <c r="AE53" s="44" t="str">
        <f>Optional!F53</f>
        <v/>
      </c>
      <c r="AF53" s="39" t="str">
        <f>IF(SubjectList!G53="","", SubjectList!G53)</f>
        <v>Biology</v>
      </c>
      <c r="AG53" s="39" t="str">
        <f>IF(SubjectList!I53="","", SubjectList!I53)</f>
        <v>Math</v>
      </c>
      <c r="AH53" s="40" t="str">
        <f>Bangla!F53</f>
        <v/>
      </c>
      <c r="AI53" s="91" t="str">
        <f>English!E53</f>
        <v/>
      </c>
      <c r="AJ53" s="40" t="str">
        <f>ICT!G53</f>
        <v/>
      </c>
      <c r="AK53" s="40" t="str">
        <f>Physics!G53</f>
        <v/>
      </c>
      <c r="AL53" s="40" t="str">
        <f>Chemistry!G53</f>
        <v/>
      </c>
      <c r="AM53" s="40" t="str">
        <f>IF(SubjectList!G53="Math", IF(Math!G53="","",Math!G53), IF(Biology!G53="","",Biology!G53))</f>
        <v/>
      </c>
      <c r="AN53" s="40" t="str">
        <f>IF(SubjectList!H53="Math", IF(Math!G53="","",Math!G53), IF(Biology!G53="","",Biology!G53))</f>
        <v/>
      </c>
      <c r="AO53" s="41" t="str">
        <f>Bangla!G53</f>
        <v/>
      </c>
      <c r="AP53" s="41" t="str">
        <f>English!F53</f>
        <v/>
      </c>
      <c r="AQ53" s="41" t="str">
        <f>ICT!H53</f>
        <v/>
      </c>
      <c r="AR53" s="41" t="str">
        <f>Physics!H53</f>
        <v/>
      </c>
      <c r="AS53" s="41" t="str">
        <f>Chemistry!H53</f>
        <v/>
      </c>
      <c r="AT53" s="41" t="str">
        <f>IF(SubjectList!G53="Math", IF(Math!H53="","",Math!H53), IF(Biology!H53="","",Biology!H53))</f>
        <v/>
      </c>
      <c r="AU53" s="41" t="str">
        <f>IF(SubjectList!I53="Math", IF(Math!H53="","",Math!H53), IF(Biology!H53="","",Biology!H53))</f>
        <v/>
      </c>
      <c r="AV53" s="41" t="str">
        <f>Optional!I53</f>
        <v/>
      </c>
      <c r="AW53" s="41" t="str">
        <f>Optional!J53</f>
        <v/>
      </c>
      <c r="AX53" s="41" t="str">
        <f t="shared" si="0"/>
        <v/>
      </c>
      <c r="AY53" s="41" t="str">
        <f t="shared" si="15"/>
        <v/>
      </c>
      <c r="AZ53" s="41" t="str">
        <f t="shared" si="1"/>
        <v/>
      </c>
      <c r="BA53" s="41" t="str">
        <f t="shared" si="2"/>
        <v/>
      </c>
      <c r="BB53" s="41">
        <f t="shared" si="18"/>
        <v>0</v>
      </c>
      <c r="BC53" s="46" t="str">
        <f t="shared" si="16"/>
        <v/>
      </c>
      <c r="BD53" s="46" t="str">
        <f t="shared" si="5"/>
        <v/>
      </c>
      <c r="BE53" s="46" t="str">
        <f t="shared" si="6"/>
        <v/>
      </c>
      <c r="BF53" s="46" t="str">
        <f t="shared" si="7"/>
        <v/>
      </c>
      <c r="BG53" s="46" t="str">
        <f t="shared" si="8"/>
        <v/>
      </c>
      <c r="BH53" s="46" t="str">
        <f t="shared" si="9"/>
        <v/>
      </c>
      <c r="BI53" s="3">
        <f t="shared" si="17"/>
        <v>0</v>
      </c>
      <c r="BJ53" s="3" t="str">
        <f t="shared" si="19"/>
        <v>Failed in 6 Subjects</v>
      </c>
      <c r="BK53" s="3" t="str">
        <f>IF(BA53="","",RANK(BA53,BA$2:BA88,0))</f>
        <v/>
      </c>
      <c r="BL53" s="3" t="str">
        <f t="shared" si="12"/>
        <v>খুবই দুর্বল</v>
      </c>
      <c r="BM53" s="3" t="str">
        <f t="shared" si="13"/>
        <v>Very Weak</v>
      </c>
      <c r="BN53" s="3" t="str">
        <f t="shared" si="14"/>
        <v/>
      </c>
    </row>
    <row r="54" spans="1:66" x14ac:dyDescent="0.35">
      <c r="A54" s="3" t="str">
        <f>'Student Basic Info'!B54</f>
        <v>Science</v>
      </c>
      <c r="B54" s="3">
        <f>'Student Basic Info'!A54</f>
        <v>753</v>
      </c>
      <c r="C54" s="3" t="str">
        <f>'Student Basic Info'!C54</f>
        <v>Shohidul Islam</v>
      </c>
      <c r="D54" s="3" t="str">
        <f>'Student Basic Info'!D54</f>
        <v>Rafiq Ullah</v>
      </c>
      <c r="E54" s="3" t="str">
        <f>'Student Basic Info'!E54</f>
        <v>Setara Begum</v>
      </c>
      <c r="F54" s="3" t="str">
        <f>'Student Basic Info'!F54</f>
        <v>Male</v>
      </c>
      <c r="G54" s="73" t="str">
        <f>'Student Basic Info'!I54</f>
        <v>01846-119530</v>
      </c>
      <c r="H54" s="74" t="str">
        <f>IF(Bangla!B54="","",Bangla!B54)</f>
        <v/>
      </c>
      <c r="I54" s="74">
        <f>IF(Bangla!C54="","",Bangla!C54)</f>
        <v>19</v>
      </c>
      <c r="J54" s="74">
        <f>IF(Bangla!D54="","",Bangla!D54)</f>
        <v>19</v>
      </c>
      <c r="K54" s="75">
        <f>IF(English!C54="","",English!C54)</f>
        <v>33</v>
      </c>
      <c r="L54" s="37">
        <f>IF(ICT!B54="","",ICT!B54)</f>
        <v>7</v>
      </c>
      <c r="M54" s="37">
        <f>IF(ICT!C54="","",ICT!C54)</f>
        <v>2</v>
      </c>
      <c r="N54" s="37">
        <f>IF(ICT!D54="","",ICT!D54)</f>
        <v>8</v>
      </c>
      <c r="O54" s="37">
        <f>IF(ICT!E54="","",ICT!E54)</f>
        <v>17</v>
      </c>
      <c r="P54" s="44">
        <f>IF(Physics!B54="","",Physics!B54)</f>
        <v>11</v>
      </c>
      <c r="Q54" s="44">
        <f>IF(Physics!C54="","",Physics!C54)</f>
        <v>4</v>
      </c>
      <c r="R54" s="44">
        <f>IF(Physics!D54="","",Physics!D54)</f>
        <v>10</v>
      </c>
      <c r="S54" s="89">
        <f>IF(Physics!E54="","",Physics!E54)</f>
        <v>25</v>
      </c>
      <c r="T54" s="37">
        <f>IF(Chemistry!B54="","",Chemistry!B54)</f>
        <v>16</v>
      </c>
      <c r="U54" s="37">
        <f>IF(Chemistry!C54="","",Chemistry!C54)</f>
        <v>11</v>
      </c>
      <c r="V54" s="37">
        <f>IF(Chemistry!D54="","",Chemistry!D54)</f>
        <v>8</v>
      </c>
      <c r="W54" s="37">
        <f>IF(Chemistry!E54="","",Chemistry!E54)</f>
        <v>35</v>
      </c>
      <c r="X54" s="38">
        <f>IF(SubjectList!G54="Math", IF(Math!B54="","",Math!B54), IF(Biology!B54="","",Biology!B54))</f>
        <v>15</v>
      </c>
      <c r="Y54" s="38">
        <f>IF(SubjectList!G54="Math", IF(Math!C54="","",Math!C54), IF(Biology!C54="","",Biology!C54))</f>
        <v>20</v>
      </c>
      <c r="Z54" s="38">
        <f>IF(SubjectList!G54="Math", IF(Math!D54="","",Math!D54), IF(Biology!D54="","",Biology!D54))</f>
        <v>15</v>
      </c>
      <c r="AA54" s="38">
        <f>IF(SubjectList!G54="Math", IF(Math!E54="","",Math!E54), IF(Biology!E54="","",Biology!E54))</f>
        <v>50</v>
      </c>
      <c r="AB54" s="44">
        <f>IF(SubjectList!I54="Biology", IF(Biology!B54="","",Biology!B54), IF(Math!B54="","",Math!B54))</f>
        <v>17</v>
      </c>
      <c r="AC54" s="44">
        <f>Optional!D54</f>
        <v>0</v>
      </c>
      <c r="AD54" s="44">
        <f>Optional!E54</f>
        <v>12</v>
      </c>
      <c r="AE54" s="44">
        <f>Optional!F54</f>
        <v>29</v>
      </c>
      <c r="AF54" s="39" t="str">
        <f>IF(SubjectList!G54="","", SubjectList!G54)</f>
        <v>Biology</v>
      </c>
      <c r="AG54" s="39" t="str">
        <f>IF(SubjectList!I54="","", SubjectList!I54)</f>
        <v>Math</v>
      </c>
      <c r="AH54" s="40" t="str">
        <f>Bangla!F54</f>
        <v>F</v>
      </c>
      <c r="AI54" s="91" t="str">
        <f>English!E54</f>
        <v>D</v>
      </c>
      <c r="AJ54" s="40" t="str">
        <f>ICT!G54</f>
        <v>F</v>
      </c>
      <c r="AK54" s="40" t="str">
        <f>Physics!G54</f>
        <v>F</v>
      </c>
      <c r="AL54" s="40" t="str">
        <f>Chemistry!G54</f>
        <v>F</v>
      </c>
      <c r="AM54" s="40" t="str">
        <f>IF(SubjectList!G54="Math", IF(Math!G54="","",Math!G54), IF(Biology!G54="","",Biology!G54))</f>
        <v>B</v>
      </c>
      <c r="AN54" s="40" t="str">
        <f>IF(SubjectList!H54="Math", IF(Math!G54="","",Math!G54), IF(Biology!G54="","",Biology!G54))</f>
        <v>F</v>
      </c>
      <c r="AO54" s="41">
        <f>Bangla!G54</f>
        <v>0</v>
      </c>
      <c r="AP54" s="41">
        <f>English!F54</f>
        <v>1</v>
      </c>
      <c r="AQ54" s="41">
        <f>ICT!H54</f>
        <v>0</v>
      </c>
      <c r="AR54" s="41">
        <f>Physics!H54</f>
        <v>0</v>
      </c>
      <c r="AS54" s="41">
        <f>Chemistry!H54</f>
        <v>0</v>
      </c>
      <c r="AT54" s="41">
        <f>IF(SubjectList!G54="Math", IF(Math!H54="","",Math!H54), IF(Biology!H54="","",Biology!H54))</f>
        <v>3</v>
      </c>
      <c r="AU54" s="41">
        <f>IF(SubjectList!I54="Math", IF(Math!H54="","",Math!H54), IF(Biology!H54="","",Biology!H54))</f>
        <v>0</v>
      </c>
      <c r="AV54" s="41">
        <f>Optional!I54</f>
        <v>0</v>
      </c>
      <c r="AW54" s="41">
        <f>Optional!J54</f>
        <v>0</v>
      </c>
      <c r="AX54" s="41">
        <f t="shared" si="0"/>
        <v>4</v>
      </c>
      <c r="AY54" s="41">
        <f t="shared" si="15"/>
        <v>4</v>
      </c>
      <c r="AZ54" s="41" t="str">
        <f t="shared" si="1"/>
        <v/>
      </c>
      <c r="BA54" s="41" t="str">
        <f t="shared" si="2"/>
        <v/>
      </c>
      <c r="BB54" s="41">
        <f t="shared" si="18"/>
        <v>208</v>
      </c>
      <c r="BC54" s="46">
        <f t="shared" si="16"/>
        <v>0</v>
      </c>
      <c r="BD54" s="46">
        <f t="shared" si="5"/>
        <v>1</v>
      </c>
      <c r="BE54" s="46">
        <f t="shared" si="6"/>
        <v>0</v>
      </c>
      <c r="BF54" s="46">
        <f t="shared" si="7"/>
        <v>0</v>
      </c>
      <c r="BG54" s="46">
        <f t="shared" si="8"/>
        <v>0</v>
      </c>
      <c r="BH54" s="46">
        <f t="shared" si="9"/>
        <v>1</v>
      </c>
      <c r="BI54" s="3">
        <f t="shared" si="17"/>
        <v>2</v>
      </c>
      <c r="BJ54" s="3" t="str">
        <f t="shared" si="19"/>
        <v>Failed in 4 Subjects</v>
      </c>
      <c r="BK54" s="3" t="str">
        <f>IF(BA54="","",RANK(BA54,BA$2:BA88,0))</f>
        <v/>
      </c>
      <c r="BL54" s="3" t="str">
        <f t="shared" si="12"/>
        <v>খুবই দুর্বল</v>
      </c>
      <c r="BM54" s="3" t="str">
        <f t="shared" si="13"/>
        <v>Very Weak</v>
      </c>
      <c r="BN54" s="3" t="str">
        <f t="shared" si="14"/>
        <v/>
      </c>
    </row>
    <row r="55" spans="1:66" x14ac:dyDescent="0.35">
      <c r="A55" s="3" t="str">
        <f>'Student Basic Info'!B55</f>
        <v>Science</v>
      </c>
      <c r="B55" s="3">
        <f>'Student Basic Info'!A55</f>
        <v>754</v>
      </c>
      <c r="C55" s="3" t="str">
        <f>'Student Basic Info'!C55</f>
        <v>Shahriyar Nafiz</v>
      </c>
      <c r="D55" s="3" t="str">
        <f>'Student Basic Info'!D55</f>
        <v xml:space="preserve"> Akramul Haque</v>
      </c>
      <c r="E55" s="3" t="str">
        <f>'Student Basic Info'!E55</f>
        <v>Fakhrun Nahar</v>
      </c>
      <c r="F55" s="3" t="str">
        <f>'Student Basic Info'!F55</f>
        <v>Male</v>
      </c>
      <c r="G55" s="73" t="str">
        <f>'Student Basic Info'!I55</f>
        <v>01829-679633</v>
      </c>
      <c r="H55" s="74" t="str">
        <f>IF(Bangla!B55="","",Bangla!B55)</f>
        <v/>
      </c>
      <c r="I55" s="74">
        <f>IF(Bangla!C55="","",Bangla!C55)</f>
        <v>53</v>
      </c>
      <c r="J55" s="74">
        <f>IF(Bangla!D55="","",Bangla!D55)</f>
        <v>53</v>
      </c>
      <c r="K55" s="75">
        <f>IF(English!C55="","",English!C55)</f>
        <v>23</v>
      </c>
      <c r="L55" s="37">
        <f>IF(ICT!B55="","",ICT!B55)</f>
        <v>15</v>
      </c>
      <c r="M55" s="37">
        <f>IF(ICT!C55="","",ICT!C55)</f>
        <v>2</v>
      </c>
      <c r="N55" s="37">
        <f>IF(ICT!D55="","",ICT!D55)</f>
        <v>24</v>
      </c>
      <c r="O55" s="37">
        <f>IF(ICT!E55="","",ICT!E55)</f>
        <v>41</v>
      </c>
      <c r="P55" s="44">
        <f>IF(Physics!B55="","",Physics!B55)</f>
        <v>7</v>
      </c>
      <c r="Q55" s="44">
        <f>IF(Physics!C55="","",Physics!C55)</f>
        <v>1</v>
      </c>
      <c r="R55" s="44">
        <f>IF(Physics!D55="","",Physics!D55)</f>
        <v>8</v>
      </c>
      <c r="S55" s="89">
        <f>IF(Physics!E55="","",Physics!E55)</f>
        <v>16</v>
      </c>
      <c r="T55" s="37">
        <f>IF(Chemistry!B55="","",Chemistry!B55)</f>
        <v>14</v>
      </c>
      <c r="U55" s="37">
        <f>IF(Chemistry!C55="","",Chemistry!C55)</f>
        <v>13</v>
      </c>
      <c r="V55" s="37">
        <f>IF(Chemistry!D55="","",Chemistry!D55)</f>
        <v>8</v>
      </c>
      <c r="W55" s="37">
        <f>IF(Chemistry!E55="","",Chemistry!E55)</f>
        <v>35</v>
      </c>
      <c r="X55" s="38">
        <f>IF(SubjectList!G55="Math", IF(Math!B55="","",Math!B55), IF(Biology!B55="","",Biology!B55))</f>
        <v>9</v>
      </c>
      <c r="Y55" s="38">
        <f>IF(SubjectList!G55="Math", IF(Math!C55="","",Math!C55), IF(Biology!C55="","",Biology!C55))</f>
        <v>3</v>
      </c>
      <c r="Z55" s="38">
        <f>IF(SubjectList!G55="Math", IF(Math!D55="","",Math!D55), IF(Biology!D55="","",Biology!D55))</f>
        <v>8</v>
      </c>
      <c r="AA55" s="38">
        <f>IF(SubjectList!G55="Math", IF(Math!E55="","",Math!E55), IF(Biology!E55="","",Biology!E55))</f>
        <v>20</v>
      </c>
      <c r="AB55" s="44">
        <f>IF(SubjectList!I55="Biology", IF(Biology!B55="","",Biology!B55), IF(Math!B55="","",Math!B55))</f>
        <v>8</v>
      </c>
      <c r="AC55" s="44">
        <f>Optional!D55</f>
        <v>0</v>
      </c>
      <c r="AD55" s="44">
        <f>Optional!E55</f>
        <v>8</v>
      </c>
      <c r="AE55" s="44">
        <f>Optional!F55</f>
        <v>16</v>
      </c>
      <c r="AF55" s="39" t="str">
        <f>IF(SubjectList!G55="","", SubjectList!G55)</f>
        <v>Biology</v>
      </c>
      <c r="AG55" s="39" t="str">
        <f>IF(SubjectList!I55="","", SubjectList!I55)</f>
        <v>Math</v>
      </c>
      <c r="AH55" s="40" t="str">
        <f>Bangla!F55</f>
        <v>B</v>
      </c>
      <c r="AI55" s="91" t="str">
        <f>English!E55</f>
        <v>F</v>
      </c>
      <c r="AJ55" s="40" t="str">
        <f>ICT!G55</f>
        <v>F</v>
      </c>
      <c r="AK55" s="40" t="str">
        <f>Physics!G55</f>
        <v>F</v>
      </c>
      <c r="AL55" s="40" t="str">
        <f>Chemistry!G55</f>
        <v>F</v>
      </c>
      <c r="AM55" s="40" t="str">
        <f>IF(SubjectList!G55="Math", IF(Math!G55="","",Math!G55), IF(Biology!G55="","",Biology!G55))</f>
        <v>F</v>
      </c>
      <c r="AN55" s="40" t="str">
        <f>IF(SubjectList!H55="Math", IF(Math!G55="","",Math!G55), IF(Biology!G55="","",Biology!G55))</f>
        <v>F</v>
      </c>
      <c r="AO55" s="41">
        <f>Bangla!G55</f>
        <v>3</v>
      </c>
      <c r="AP55" s="41">
        <f>English!F55</f>
        <v>0</v>
      </c>
      <c r="AQ55" s="41">
        <f>ICT!H55</f>
        <v>0</v>
      </c>
      <c r="AR55" s="41">
        <f>Physics!H55</f>
        <v>0</v>
      </c>
      <c r="AS55" s="41">
        <f>Chemistry!H55</f>
        <v>0</v>
      </c>
      <c r="AT55" s="41">
        <f>IF(SubjectList!G55="Math", IF(Math!H55="","",Math!H55), IF(Biology!H55="","",Biology!H55))</f>
        <v>0</v>
      </c>
      <c r="AU55" s="41">
        <f>IF(SubjectList!I55="Math", IF(Math!H55="","",Math!H55), IF(Biology!H55="","",Biology!H55))</f>
        <v>0</v>
      </c>
      <c r="AV55" s="41">
        <f>Optional!I55</f>
        <v>0</v>
      </c>
      <c r="AW55" s="41">
        <f>Optional!J55</f>
        <v>0</v>
      </c>
      <c r="AX55" s="41">
        <f t="shared" si="0"/>
        <v>3</v>
      </c>
      <c r="AY55" s="41">
        <f t="shared" si="15"/>
        <v>3</v>
      </c>
      <c r="AZ55" s="41" t="str">
        <f t="shared" si="1"/>
        <v/>
      </c>
      <c r="BA55" s="41" t="str">
        <f t="shared" si="2"/>
        <v/>
      </c>
      <c r="BB55" s="41">
        <f t="shared" si="18"/>
        <v>204</v>
      </c>
      <c r="BC55" s="46">
        <f t="shared" si="16"/>
        <v>1</v>
      </c>
      <c r="BD55" s="46">
        <f t="shared" si="5"/>
        <v>0</v>
      </c>
      <c r="BE55" s="46">
        <f t="shared" si="6"/>
        <v>0</v>
      </c>
      <c r="BF55" s="46">
        <f t="shared" si="7"/>
        <v>0</v>
      </c>
      <c r="BG55" s="46">
        <f t="shared" si="8"/>
        <v>0</v>
      </c>
      <c r="BH55" s="46">
        <f t="shared" si="9"/>
        <v>0</v>
      </c>
      <c r="BI55" s="3">
        <f t="shared" si="17"/>
        <v>1</v>
      </c>
      <c r="BJ55" s="3" t="str">
        <f t="shared" si="19"/>
        <v>Failed in 5 Subjects</v>
      </c>
      <c r="BK55" s="3" t="str">
        <f>IF(BA55="","",RANK(BA55,BA$2:BA88,0))</f>
        <v/>
      </c>
      <c r="BL55" s="3" t="str">
        <f t="shared" si="12"/>
        <v>খুবই দুর্বল</v>
      </c>
      <c r="BM55" s="3" t="str">
        <f t="shared" si="13"/>
        <v>Very Weak</v>
      </c>
      <c r="BN55" s="3" t="str">
        <f t="shared" si="14"/>
        <v/>
      </c>
    </row>
    <row r="56" spans="1:66" x14ac:dyDescent="0.35">
      <c r="A56" s="3" t="str">
        <f>'Student Basic Info'!B56</f>
        <v>Science</v>
      </c>
      <c r="B56" s="3">
        <f>'Student Basic Info'!A56</f>
        <v>755</v>
      </c>
      <c r="C56" s="3" t="str">
        <f>'Student Basic Info'!C56</f>
        <v xml:space="preserve">Md. Ibrahim </v>
      </c>
      <c r="D56" s="3" t="str">
        <f>'Student Basic Info'!D56</f>
        <v>Shakhawat Ullah</v>
      </c>
      <c r="E56" s="3" t="str">
        <f>'Student Basic Info'!E56</f>
        <v>Kohinur Begum</v>
      </c>
      <c r="F56" s="3" t="str">
        <f>'Student Basic Info'!F56</f>
        <v>Male</v>
      </c>
      <c r="G56" s="73" t="str">
        <f>'Student Basic Info'!I56</f>
        <v>01812-875122</v>
      </c>
      <c r="H56" s="74" t="str">
        <f>IF(Bangla!B56="","",Bangla!B56)</f>
        <v/>
      </c>
      <c r="I56" s="74">
        <f>IF(Bangla!C56="","",Bangla!C56)</f>
        <v>16</v>
      </c>
      <c r="J56" s="74">
        <f>IF(Bangla!D56="","",Bangla!D56)</f>
        <v>16</v>
      </c>
      <c r="K56" s="75">
        <f>IF(English!C56="","",English!C56)</f>
        <v>19</v>
      </c>
      <c r="L56" s="37">
        <f>IF(ICT!B56="","",ICT!B56)</f>
        <v>9</v>
      </c>
      <c r="M56" s="37">
        <f>IF(ICT!C56="","",ICT!C56)</f>
        <v>0</v>
      </c>
      <c r="N56" s="37">
        <f>IF(ICT!D56="","",ICT!D56)</f>
        <v>8</v>
      </c>
      <c r="O56" s="37">
        <f>IF(ICT!E56="","",ICT!E56)</f>
        <v>17</v>
      </c>
      <c r="P56" s="44">
        <f>IF(Physics!B56="","",Physics!B56)</f>
        <v>6</v>
      </c>
      <c r="Q56" s="44">
        <f>IF(Physics!C56="","",Physics!C56)</f>
        <v>0</v>
      </c>
      <c r="R56" s="44">
        <f>IF(Physics!D56="","",Physics!D56)</f>
        <v>8</v>
      </c>
      <c r="S56" s="89">
        <f>IF(Physics!E56="","",Physics!E56)</f>
        <v>14</v>
      </c>
      <c r="T56" s="37">
        <f>IF(Chemistry!B56="","",Chemistry!B56)</f>
        <v>7</v>
      </c>
      <c r="U56" s="37">
        <f>IF(Chemistry!C56="","",Chemistry!C56)</f>
        <v>1</v>
      </c>
      <c r="V56" s="37">
        <f>IF(Chemistry!D56="","",Chemistry!D56)</f>
        <v>8</v>
      </c>
      <c r="W56" s="37">
        <f>IF(Chemistry!E56="","",Chemistry!E56)</f>
        <v>16</v>
      </c>
      <c r="X56" s="38">
        <f>IF(SubjectList!G56="Math", IF(Math!B56="","",Math!B56), IF(Biology!B56="","",Biology!B56))</f>
        <v>7</v>
      </c>
      <c r="Y56" s="38">
        <f>IF(SubjectList!G56="Math", IF(Math!C56="","",Math!C56), IF(Biology!C56="","",Biology!C56))</f>
        <v>3</v>
      </c>
      <c r="Z56" s="38">
        <f>IF(SubjectList!G56="Math", IF(Math!D56="","",Math!D56), IF(Biology!D56="","",Biology!D56))</f>
        <v>8</v>
      </c>
      <c r="AA56" s="38">
        <f>IF(SubjectList!G56="Math", IF(Math!E56="","",Math!E56), IF(Biology!E56="","",Biology!E56))</f>
        <v>18</v>
      </c>
      <c r="AB56" s="44">
        <f>IF(SubjectList!I56="Biology", IF(Biology!B56="","",Biology!B56), IF(Math!B56="","",Math!B56))</f>
        <v>4</v>
      </c>
      <c r="AC56" s="44">
        <f>Optional!D56</f>
        <v>0</v>
      </c>
      <c r="AD56" s="44">
        <f>Optional!E56</f>
        <v>8</v>
      </c>
      <c r="AE56" s="44">
        <f>Optional!F56</f>
        <v>12</v>
      </c>
      <c r="AF56" s="39" t="str">
        <f>IF(SubjectList!G56="","", SubjectList!G56)</f>
        <v>Biology</v>
      </c>
      <c r="AG56" s="39" t="str">
        <f>IF(SubjectList!I56="","", SubjectList!I56)</f>
        <v>Math</v>
      </c>
      <c r="AH56" s="40" t="str">
        <f>Bangla!F56</f>
        <v>F</v>
      </c>
      <c r="AI56" s="91" t="str">
        <f>English!E56</f>
        <v>F</v>
      </c>
      <c r="AJ56" s="40" t="str">
        <f>ICT!G56</f>
        <v>F</v>
      </c>
      <c r="AK56" s="40" t="str">
        <f>Physics!G56</f>
        <v>F</v>
      </c>
      <c r="AL56" s="40" t="str">
        <f>Chemistry!G56</f>
        <v>F</v>
      </c>
      <c r="AM56" s="40" t="str">
        <f>IF(SubjectList!G56="Math", IF(Math!G56="","",Math!G56), IF(Biology!G56="","",Biology!G56))</f>
        <v>F</v>
      </c>
      <c r="AN56" s="40" t="str">
        <f>IF(SubjectList!H56="Math", IF(Math!G56="","",Math!G56), IF(Biology!G56="","",Biology!G56))</f>
        <v>F</v>
      </c>
      <c r="AO56" s="41">
        <f>Bangla!G56</f>
        <v>0</v>
      </c>
      <c r="AP56" s="41">
        <f>English!F56</f>
        <v>0</v>
      </c>
      <c r="AQ56" s="41">
        <f>ICT!H56</f>
        <v>0</v>
      </c>
      <c r="AR56" s="41">
        <f>Physics!H56</f>
        <v>0</v>
      </c>
      <c r="AS56" s="41">
        <f>Chemistry!H56</f>
        <v>0</v>
      </c>
      <c r="AT56" s="41">
        <f>IF(SubjectList!G56="Math", IF(Math!H56="","",Math!H56), IF(Biology!H56="","",Biology!H56))</f>
        <v>0</v>
      </c>
      <c r="AU56" s="41">
        <f>IF(SubjectList!I56="Math", IF(Math!H56="","",Math!H56), IF(Biology!H56="","",Biology!H56))</f>
        <v>0</v>
      </c>
      <c r="AV56" s="41">
        <f>Optional!I56</f>
        <v>0</v>
      </c>
      <c r="AW56" s="41">
        <f>Optional!J56</f>
        <v>0</v>
      </c>
      <c r="AX56" s="41" t="str">
        <f t="shared" si="0"/>
        <v/>
      </c>
      <c r="AY56" s="41" t="str">
        <f t="shared" si="15"/>
        <v/>
      </c>
      <c r="AZ56" s="41" t="str">
        <f t="shared" si="1"/>
        <v/>
      </c>
      <c r="BA56" s="41" t="str">
        <f t="shared" si="2"/>
        <v/>
      </c>
      <c r="BB56" s="41">
        <f t="shared" si="18"/>
        <v>112</v>
      </c>
      <c r="BC56" s="46">
        <f t="shared" si="16"/>
        <v>0</v>
      </c>
      <c r="BD56" s="46">
        <f t="shared" si="5"/>
        <v>0</v>
      </c>
      <c r="BE56" s="46">
        <f t="shared" si="6"/>
        <v>0</v>
      </c>
      <c r="BF56" s="46">
        <f t="shared" si="7"/>
        <v>0</v>
      </c>
      <c r="BG56" s="46">
        <f t="shared" si="8"/>
        <v>0</v>
      </c>
      <c r="BH56" s="46">
        <f t="shared" si="9"/>
        <v>0</v>
      </c>
      <c r="BI56" s="3">
        <f t="shared" si="17"/>
        <v>0</v>
      </c>
      <c r="BJ56" s="3" t="str">
        <f t="shared" si="19"/>
        <v>Failed in 6 Subjects</v>
      </c>
      <c r="BK56" s="3" t="str">
        <f>IF(BA56="","",RANK(BA56,BA$2:BA88,0))</f>
        <v/>
      </c>
      <c r="BL56" s="3" t="str">
        <f t="shared" si="12"/>
        <v>খুবই দুর্বল</v>
      </c>
      <c r="BM56" s="3" t="str">
        <f t="shared" si="13"/>
        <v>Very Weak</v>
      </c>
      <c r="BN56" s="3" t="str">
        <f t="shared" si="14"/>
        <v/>
      </c>
    </row>
    <row r="57" spans="1:66" x14ac:dyDescent="0.35">
      <c r="A57" s="3" t="str">
        <f>'Student Basic Info'!B57</f>
        <v>Science</v>
      </c>
      <c r="B57" s="3">
        <f>'Student Basic Info'!A57</f>
        <v>756</v>
      </c>
      <c r="C57" s="3" t="str">
        <f>'Student Basic Info'!C57</f>
        <v>Fahmida Tabassum</v>
      </c>
      <c r="D57" s="3" t="str">
        <f>'Student Basic Info'!D57</f>
        <v>Mohammad Mohin Uddin</v>
      </c>
      <c r="E57" s="3" t="str">
        <f>'Student Basic Info'!E57</f>
        <v>Bibi Hajera</v>
      </c>
      <c r="F57" s="3" t="str">
        <f>'Student Basic Info'!F57</f>
        <v>Female</v>
      </c>
      <c r="G57" s="73" t="str">
        <f>'Student Basic Info'!I57</f>
        <v>01890-789917</v>
      </c>
      <c r="H57" s="74" t="str">
        <f>IF(Bangla!B57="","",Bangla!B57)</f>
        <v/>
      </c>
      <c r="I57" s="74">
        <f>IF(Bangla!C57="","",Bangla!C57)</f>
        <v>50</v>
      </c>
      <c r="J57" s="74">
        <f>IF(Bangla!D57="","",Bangla!D57)</f>
        <v>50</v>
      </c>
      <c r="K57" s="75">
        <f>IF(English!C57="","",English!C57)</f>
        <v>33</v>
      </c>
      <c r="L57" s="37">
        <f>IF(ICT!B57="","",ICT!B57)</f>
        <v>9</v>
      </c>
      <c r="M57" s="37">
        <f>IF(ICT!C57="","",ICT!C57)</f>
        <v>9</v>
      </c>
      <c r="N57" s="37">
        <f>IF(ICT!D57="","",ICT!D57)</f>
        <v>25</v>
      </c>
      <c r="O57" s="37">
        <f>IF(ICT!E57="","",ICT!E57)</f>
        <v>43</v>
      </c>
      <c r="P57" s="44">
        <f>IF(Physics!B57="","",Physics!B57)</f>
        <v>8</v>
      </c>
      <c r="Q57" s="44">
        <f>IF(Physics!C57="","",Physics!C57)</f>
        <v>29</v>
      </c>
      <c r="R57" s="44">
        <f>IF(Physics!D57="","",Physics!D57)</f>
        <v>16</v>
      </c>
      <c r="S57" s="89">
        <f>IF(Physics!E57="","",Physics!E57)</f>
        <v>53</v>
      </c>
      <c r="T57" s="37">
        <f>IF(Chemistry!B57="","",Chemistry!B57)</f>
        <v>16</v>
      </c>
      <c r="U57" s="37">
        <f>IF(Chemistry!C57="","",Chemistry!C57)</f>
        <v>11</v>
      </c>
      <c r="V57" s="37">
        <f>IF(Chemistry!D57="","",Chemistry!D57)</f>
        <v>10</v>
      </c>
      <c r="W57" s="37">
        <f>IF(Chemistry!E57="","",Chemistry!E57)</f>
        <v>37</v>
      </c>
      <c r="X57" s="38">
        <f>IF(SubjectList!G57="Math", IF(Math!B57="","",Math!B57), IF(Biology!B57="","",Biology!B57))</f>
        <v>7</v>
      </c>
      <c r="Y57" s="38">
        <f>IF(SubjectList!G57="Math", IF(Math!C57="","",Math!C57), IF(Biology!C57="","",Biology!C57))</f>
        <v>3</v>
      </c>
      <c r="Z57" s="38">
        <f>IF(SubjectList!G57="Math", IF(Math!D57="","",Math!D57), IF(Biology!D57="","",Biology!D57))</f>
        <v>8</v>
      </c>
      <c r="AA57" s="38">
        <f>IF(SubjectList!G57="Math", IF(Math!E57="","",Math!E57), IF(Biology!E57="","",Biology!E57))</f>
        <v>18</v>
      </c>
      <c r="AB57" s="44">
        <f>IF(SubjectList!I57="Biology", IF(Biology!B57="","",Biology!B57), IF(Math!B57="","",Math!B57))</f>
        <v>11</v>
      </c>
      <c r="AC57" s="44">
        <f>Optional!D57</f>
        <v>1</v>
      </c>
      <c r="AD57" s="44">
        <f>Optional!E57</f>
        <v>9</v>
      </c>
      <c r="AE57" s="44">
        <f>Optional!F57</f>
        <v>21</v>
      </c>
      <c r="AF57" s="39" t="str">
        <f>IF(SubjectList!G57="","", SubjectList!G57)</f>
        <v>Biology</v>
      </c>
      <c r="AG57" s="39" t="str">
        <f>IF(SubjectList!I57="","", SubjectList!I57)</f>
        <v>Math</v>
      </c>
      <c r="AH57" s="40" t="str">
        <f>Bangla!F57</f>
        <v>B</v>
      </c>
      <c r="AI57" s="91" t="str">
        <f>English!E57</f>
        <v>D</v>
      </c>
      <c r="AJ57" s="40" t="str">
        <f>ICT!G57</f>
        <v>F</v>
      </c>
      <c r="AK57" s="40" t="str">
        <f>Physics!G57</f>
        <v>B</v>
      </c>
      <c r="AL57" s="40" t="str">
        <f>Chemistry!G57</f>
        <v>F</v>
      </c>
      <c r="AM57" s="40" t="str">
        <f>IF(SubjectList!G57="Math", IF(Math!G57="","",Math!G57), IF(Biology!G57="","",Biology!G57))</f>
        <v>F</v>
      </c>
      <c r="AN57" s="40" t="str">
        <f>IF(SubjectList!H57="Math", IF(Math!G57="","",Math!G57), IF(Biology!G57="","",Biology!G57))</f>
        <v>F</v>
      </c>
      <c r="AO57" s="41">
        <f>Bangla!G57</f>
        <v>3</v>
      </c>
      <c r="AP57" s="41">
        <f>English!F57</f>
        <v>1</v>
      </c>
      <c r="AQ57" s="41">
        <f>ICT!H57</f>
        <v>0</v>
      </c>
      <c r="AR57" s="41">
        <f>Physics!H57</f>
        <v>3</v>
      </c>
      <c r="AS57" s="41">
        <f>Chemistry!H57</f>
        <v>0</v>
      </c>
      <c r="AT57" s="41">
        <f>IF(SubjectList!G57="Math", IF(Math!H57="","",Math!H57), IF(Biology!H57="","",Biology!H57))</f>
        <v>0</v>
      </c>
      <c r="AU57" s="41">
        <f>IF(SubjectList!I57="Math", IF(Math!H57="","",Math!H57), IF(Biology!H57="","",Biology!H57))</f>
        <v>0</v>
      </c>
      <c r="AV57" s="41">
        <f>Optional!I57</f>
        <v>0</v>
      </c>
      <c r="AW57" s="41">
        <f>Optional!J57</f>
        <v>0</v>
      </c>
      <c r="AX57" s="41">
        <f t="shared" si="0"/>
        <v>7</v>
      </c>
      <c r="AY57" s="41">
        <f t="shared" si="15"/>
        <v>7</v>
      </c>
      <c r="AZ57" s="41" t="str">
        <f t="shared" si="1"/>
        <v/>
      </c>
      <c r="BA57" s="41" t="str">
        <f t="shared" si="2"/>
        <v/>
      </c>
      <c r="BB57" s="41">
        <f t="shared" si="18"/>
        <v>255</v>
      </c>
      <c r="BC57" s="46">
        <f t="shared" si="16"/>
        <v>1</v>
      </c>
      <c r="BD57" s="46">
        <f t="shared" si="5"/>
        <v>1</v>
      </c>
      <c r="BE57" s="46">
        <f t="shared" si="6"/>
        <v>0</v>
      </c>
      <c r="BF57" s="46">
        <f t="shared" si="7"/>
        <v>1</v>
      </c>
      <c r="BG57" s="46">
        <f t="shared" si="8"/>
        <v>0</v>
      </c>
      <c r="BH57" s="46">
        <f t="shared" si="9"/>
        <v>0</v>
      </c>
      <c r="BI57" s="3">
        <f t="shared" si="17"/>
        <v>3</v>
      </c>
      <c r="BJ57" s="3" t="str">
        <f t="shared" si="19"/>
        <v>Failed in 3 Subjects</v>
      </c>
      <c r="BK57" s="3" t="str">
        <f>IF(BA57="","",RANK(BA57,BA$2:BA88,0))</f>
        <v/>
      </c>
      <c r="BL57" s="3" t="str">
        <f t="shared" si="12"/>
        <v>খুবই দুর্বল</v>
      </c>
      <c r="BM57" s="3" t="str">
        <f t="shared" si="13"/>
        <v>Very Weak</v>
      </c>
      <c r="BN57" s="3" t="str">
        <f t="shared" si="14"/>
        <v/>
      </c>
    </row>
    <row r="58" spans="1:66" x14ac:dyDescent="0.35">
      <c r="A58" s="3" t="str">
        <f>'Student Basic Info'!B58</f>
        <v>Science</v>
      </c>
      <c r="B58" s="3">
        <f>'Student Basic Info'!A58</f>
        <v>757</v>
      </c>
      <c r="C58" s="3" t="str">
        <f>'Student Basic Info'!C58</f>
        <v>Meheraj Uddin</v>
      </c>
      <c r="D58" s="3" t="str">
        <f>'Student Basic Info'!D58</f>
        <v>Zamal Uddin</v>
      </c>
      <c r="E58" s="3" t="str">
        <f>'Student Basic Info'!E58</f>
        <v>Aklima Begum</v>
      </c>
      <c r="F58" s="3" t="str">
        <f>'Student Basic Info'!F58</f>
        <v>Male</v>
      </c>
      <c r="G58" s="73">
        <f>'Student Basic Info'!I58</f>
        <v>1856919196</v>
      </c>
      <c r="H58" s="74" t="str">
        <f>IF(Bangla!B58="","",Bangla!B58)</f>
        <v/>
      </c>
      <c r="I58" s="74">
        <f>IF(Bangla!C58="","",Bangla!C58)</f>
        <v>17</v>
      </c>
      <c r="J58" s="74">
        <f>IF(Bangla!D58="","",Bangla!D58)</f>
        <v>17</v>
      </c>
      <c r="K58" s="75">
        <f>IF(English!C58="","",English!C58)</f>
        <v>11</v>
      </c>
      <c r="L58" s="37">
        <f>IF(ICT!B58="","",ICT!B58)</f>
        <v>8</v>
      </c>
      <c r="M58" s="37">
        <f>IF(ICT!C58="","",ICT!C58)</f>
        <v>1</v>
      </c>
      <c r="N58" s="37">
        <f>IF(ICT!D58="","",ICT!D58)</f>
        <v>8</v>
      </c>
      <c r="O58" s="37">
        <f>IF(ICT!E58="","",ICT!E58)</f>
        <v>17</v>
      </c>
      <c r="P58" s="44">
        <f>IF(Physics!B58="","",Physics!B58)</f>
        <v>5</v>
      </c>
      <c r="Q58" s="44">
        <f>IF(Physics!C58="","",Physics!C58)</f>
        <v>3</v>
      </c>
      <c r="R58" s="44">
        <f>IF(Physics!D58="","",Physics!D58)</f>
        <v>8</v>
      </c>
      <c r="S58" s="89">
        <f>IF(Physics!E58="","",Physics!E58)</f>
        <v>16</v>
      </c>
      <c r="T58" s="37">
        <f>IF(Chemistry!B58="","",Chemistry!B58)</f>
        <v>16</v>
      </c>
      <c r="U58" s="37">
        <f>IF(Chemistry!C58="","",Chemistry!C58)</f>
        <v>6</v>
      </c>
      <c r="V58" s="37">
        <f>IF(Chemistry!D58="","",Chemistry!D58)</f>
        <v>10</v>
      </c>
      <c r="W58" s="37">
        <f>IF(Chemistry!E58="","",Chemistry!E58)</f>
        <v>32</v>
      </c>
      <c r="X58" s="38">
        <f>IF(SubjectList!G58="Math", IF(Math!B58="","",Math!B58), IF(Biology!B58="","",Biology!B58))</f>
        <v>14</v>
      </c>
      <c r="Y58" s="38">
        <f>IF(SubjectList!G58="Math", IF(Math!C58="","",Math!C58), IF(Biology!C58="","",Biology!C58))</f>
        <v>1</v>
      </c>
      <c r="Z58" s="38">
        <f>IF(SubjectList!G58="Math", IF(Math!D58="","",Math!D58), IF(Biology!D58="","",Biology!D58))</f>
        <v>9</v>
      </c>
      <c r="AA58" s="38">
        <f>IF(SubjectList!G58="Math", IF(Math!E58="","",Math!E58), IF(Biology!E58="","",Biology!E58))</f>
        <v>24</v>
      </c>
      <c r="AB58" s="44">
        <f>IF(SubjectList!I58="Biology", IF(Biology!B58="","",Biology!B58), IF(Math!B58="","",Math!B58))</f>
        <v>15</v>
      </c>
      <c r="AC58" s="44">
        <f>Optional!D58</f>
        <v>1</v>
      </c>
      <c r="AD58" s="44">
        <f>Optional!E58</f>
        <v>10</v>
      </c>
      <c r="AE58" s="44">
        <f>Optional!F58</f>
        <v>26</v>
      </c>
      <c r="AF58" s="39" t="str">
        <f>IF(SubjectList!G58="","", SubjectList!G58)</f>
        <v>Biology</v>
      </c>
      <c r="AG58" s="39" t="str">
        <f>IF(SubjectList!I58="","", SubjectList!I58)</f>
        <v>Math</v>
      </c>
      <c r="AH58" s="40" t="str">
        <f>Bangla!F58</f>
        <v>F</v>
      </c>
      <c r="AI58" s="91" t="str">
        <f>English!E58</f>
        <v>F</v>
      </c>
      <c r="AJ58" s="40" t="str">
        <f>ICT!G58</f>
        <v>F</v>
      </c>
      <c r="AK58" s="40" t="str">
        <f>Physics!G58</f>
        <v>F</v>
      </c>
      <c r="AL58" s="40" t="str">
        <f>Chemistry!G58</f>
        <v>F</v>
      </c>
      <c r="AM58" s="40" t="str">
        <f>IF(SubjectList!G58="Math", IF(Math!G58="","",Math!G58), IF(Biology!G58="","",Biology!G58))</f>
        <v>F</v>
      </c>
      <c r="AN58" s="40" t="str">
        <f>IF(SubjectList!H58="Math", IF(Math!G58="","",Math!G58), IF(Biology!G58="","",Biology!G58))</f>
        <v>F</v>
      </c>
      <c r="AO58" s="41">
        <f>Bangla!G58</f>
        <v>0</v>
      </c>
      <c r="AP58" s="41">
        <f>English!F58</f>
        <v>0</v>
      </c>
      <c r="AQ58" s="41">
        <f>ICT!H58</f>
        <v>0</v>
      </c>
      <c r="AR58" s="41">
        <f>Physics!H58</f>
        <v>0</v>
      </c>
      <c r="AS58" s="41">
        <f>Chemistry!H58</f>
        <v>0</v>
      </c>
      <c r="AT58" s="41">
        <f>IF(SubjectList!G58="Math", IF(Math!H58="","",Math!H58), IF(Biology!H58="","",Biology!H58))</f>
        <v>0</v>
      </c>
      <c r="AU58" s="41">
        <f>IF(SubjectList!I58="Math", IF(Math!H58="","",Math!H58), IF(Biology!H58="","",Biology!H58))</f>
        <v>0</v>
      </c>
      <c r="AV58" s="41">
        <f>Optional!I58</f>
        <v>0</v>
      </c>
      <c r="AW58" s="41">
        <f>Optional!J58</f>
        <v>0</v>
      </c>
      <c r="AX58" s="41" t="str">
        <f t="shared" si="0"/>
        <v/>
      </c>
      <c r="AY58" s="41" t="str">
        <f t="shared" si="15"/>
        <v/>
      </c>
      <c r="AZ58" s="41" t="str">
        <f t="shared" si="1"/>
        <v/>
      </c>
      <c r="BA58" s="41" t="str">
        <f t="shared" si="2"/>
        <v/>
      </c>
      <c r="BB58" s="41">
        <f t="shared" si="18"/>
        <v>143</v>
      </c>
      <c r="BC58" s="46">
        <f t="shared" si="16"/>
        <v>0</v>
      </c>
      <c r="BD58" s="46">
        <f t="shared" si="5"/>
        <v>0</v>
      </c>
      <c r="BE58" s="46">
        <f t="shared" si="6"/>
        <v>0</v>
      </c>
      <c r="BF58" s="46">
        <f t="shared" si="7"/>
        <v>0</v>
      </c>
      <c r="BG58" s="46">
        <f t="shared" si="8"/>
        <v>0</v>
      </c>
      <c r="BH58" s="46">
        <f t="shared" si="9"/>
        <v>0</v>
      </c>
      <c r="BI58" s="3">
        <f t="shared" si="17"/>
        <v>0</v>
      </c>
      <c r="BJ58" s="3" t="str">
        <f t="shared" si="19"/>
        <v>Failed in 6 Subjects</v>
      </c>
      <c r="BK58" s="3" t="str">
        <f>IF(BA58="","",RANK(BA58,BA$2:BA88,0))</f>
        <v/>
      </c>
      <c r="BL58" s="3" t="str">
        <f t="shared" si="12"/>
        <v>খুবই দুর্বল</v>
      </c>
      <c r="BM58" s="3" t="str">
        <f t="shared" si="13"/>
        <v>Very Weak</v>
      </c>
      <c r="BN58" s="3" t="str">
        <f t="shared" si="14"/>
        <v/>
      </c>
    </row>
    <row r="59" spans="1:66" x14ac:dyDescent="0.35">
      <c r="A59" s="3" t="str">
        <f>'Student Basic Info'!B59</f>
        <v>Science</v>
      </c>
      <c r="B59" s="3">
        <f>'Student Basic Info'!A59</f>
        <v>758</v>
      </c>
      <c r="C59" s="3" t="str">
        <f>'Student Basic Info'!C59</f>
        <v>Naimur Rahman</v>
      </c>
      <c r="D59" s="3" t="str">
        <f>'Student Basic Info'!D59</f>
        <v>Lutfur Rahman</v>
      </c>
      <c r="E59" s="3" t="str">
        <f>'Student Basic Info'!E59</f>
        <v>Tahmina Aktar</v>
      </c>
      <c r="F59" s="3" t="str">
        <f>'Student Basic Info'!F59</f>
        <v>Male</v>
      </c>
      <c r="G59" s="73" t="str">
        <f>'Student Basic Info'!I59</f>
        <v>01819-475421</v>
      </c>
      <c r="H59" s="74" t="str">
        <f>IF(Bangla!B59="","",Bangla!B59)</f>
        <v/>
      </c>
      <c r="I59" s="74">
        <f>IF(Bangla!C59="","",Bangla!C59)</f>
        <v>33</v>
      </c>
      <c r="J59" s="74">
        <f>IF(Bangla!D59="","",Bangla!D59)</f>
        <v>33</v>
      </c>
      <c r="K59" s="75">
        <f>IF(English!C59="","",English!C59)</f>
        <v>44</v>
      </c>
      <c r="L59" s="37">
        <f>IF(ICT!B59="","",ICT!B59)</f>
        <v>12</v>
      </c>
      <c r="M59" s="37">
        <f>IF(ICT!C59="","",ICT!C59)</f>
        <v>8</v>
      </c>
      <c r="N59" s="37">
        <f>IF(ICT!D59="","",ICT!D59)</f>
        <v>25</v>
      </c>
      <c r="O59" s="37">
        <f>IF(ICT!E59="","",ICT!E59)</f>
        <v>45</v>
      </c>
      <c r="P59" s="44">
        <f>IF(Physics!B59="","",Physics!B59)</f>
        <v>8</v>
      </c>
      <c r="Q59" s="44">
        <f>IF(Physics!C59="","",Physics!C59)</f>
        <v>14</v>
      </c>
      <c r="R59" s="44">
        <f>IF(Physics!D59="","",Physics!D59)</f>
        <v>12</v>
      </c>
      <c r="S59" s="89">
        <f>IF(Physics!E59="","",Physics!E59)</f>
        <v>34</v>
      </c>
      <c r="T59" s="37">
        <f>IF(Chemistry!B59="","",Chemistry!B59)</f>
        <v>18</v>
      </c>
      <c r="U59" s="37">
        <f>IF(Chemistry!C59="","",Chemistry!C59)</f>
        <v>12</v>
      </c>
      <c r="V59" s="37">
        <f>IF(Chemistry!D59="","",Chemistry!D59)</f>
        <v>8</v>
      </c>
      <c r="W59" s="37">
        <f>IF(Chemistry!E59="","",Chemistry!E59)</f>
        <v>38</v>
      </c>
      <c r="X59" s="38">
        <f>IF(SubjectList!G59="Math", IF(Math!B59="","",Math!B59), IF(Biology!B59="","",Biology!B59))</f>
        <v>13</v>
      </c>
      <c r="Y59" s="38">
        <f>IF(SubjectList!G59="Math", IF(Math!C59="","",Math!C59), IF(Biology!C59="","",Biology!C59))</f>
        <v>5</v>
      </c>
      <c r="Z59" s="38">
        <f>IF(SubjectList!G59="Math", IF(Math!D59="","",Math!D59), IF(Biology!D59="","",Biology!D59))</f>
        <v>9</v>
      </c>
      <c r="AA59" s="38">
        <f>IF(SubjectList!G59="Math", IF(Math!E59="","",Math!E59), IF(Biology!E59="","",Biology!E59))</f>
        <v>27</v>
      </c>
      <c r="AB59" s="44">
        <f>IF(SubjectList!I59="Biology", IF(Biology!B59="","",Biology!B59), IF(Math!B59="","",Math!B59))</f>
        <v>13</v>
      </c>
      <c r="AC59" s="44">
        <f>Optional!D59</f>
        <v>2</v>
      </c>
      <c r="AD59" s="44">
        <f>Optional!E59</f>
        <v>12</v>
      </c>
      <c r="AE59" s="44">
        <f>Optional!F59</f>
        <v>27</v>
      </c>
      <c r="AF59" s="39" t="str">
        <f>IF(SubjectList!G59="","", SubjectList!G59)</f>
        <v>Biology</v>
      </c>
      <c r="AG59" s="39" t="str">
        <f>IF(SubjectList!I59="","", SubjectList!I59)</f>
        <v>Math</v>
      </c>
      <c r="AH59" s="40" t="str">
        <f>Bangla!F59</f>
        <v>D</v>
      </c>
      <c r="AI59" s="91" t="str">
        <f>English!E59</f>
        <v>C</v>
      </c>
      <c r="AJ59" s="40" t="str">
        <f>ICT!G59</f>
        <v>F</v>
      </c>
      <c r="AK59" s="40" t="str">
        <f>Physics!G59</f>
        <v>F</v>
      </c>
      <c r="AL59" s="40" t="str">
        <f>Chemistry!G59</f>
        <v>F</v>
      </c>
      <c r="AM59" s="40" t="str">
        <f>IF(SubjectList!G59="Math", IF(Math!G59="","",Math!G59), IF(Biology!G59="","",Biology!G59))</f>
        <v>F</v>
      </c>
      <c r="AN59" s="40" t="str">
        <f>IF(SubjectList!H59="Math", IF(Math!G59="","",Math!G59), IF(Biology!G59="","",Biology!G59))</f>
        <v>F</v>
      </c>
      <c r="AO59" s="41">
        <f>Bangla!G59</f>
        <v>1</v>
      </c>
      <c r="AP59" s="41">
        <f>English!F59</f>
        <v>2</v>
      </c>
      <c r="AQ59" s="41">
        <f>ICT!H59</f>
        <v>0</v>
      </c>
      <c r="AR59" s="41">
        <f>Physics!H59</f>
        <v>0</v>
      </c>
      <c r="AS59" s="41">
        <f>Chemistry!H59</f>
        <v>0</v>
      </c>
      <c r="AT59" s="41">
        <f>IF(SubjectList!G59="Math", IF(Math!H59="","",Math!H59), IF(Biology!H59="","",Biology!H59))</f>
        <v>0</v>
      </c>
      <c r="AU59" s="41">
        <f>IF(SubjectList!I59="Math", IF(Math!H59="","",Math!H59), IF(Biology!H59="","",Biology!H59))</f>
        <v>0</v>
      </c>
      <c r="AV59" s="41">
        <f>Optional!I59</f>
        <v>0</v>
      </c>
      <c r="AW59" s="41">
        <f>Optional!J59</f>
        <v>0</v>
      </c>
      <c r="AX59" s="41">
        <f t="shared" si="0"/>
        <v>3</v>
      </c>
      <c r="AY59" s="41">
        <f t="shared" si="15"/>
        <v>3</v>
      </c>
      <c r="AZ59" s="41" t="str">
        <f t="shared" si="1"/>
        <v/>
      </c>
      <c r="BA59" s="41" t="str">
        <f t="shared" si="2"/>
        <v/>
      </c>
      <c r="BB59" s="41">
        <f t="shared" si="18"/>
        <v>248</v>
      </c>
      <c r="BC59" s="46">
        <f t="shared" si="16"/>
        <v>1</v>
      </c>
      <c r="BD59" s="46">
        <f t="shared" si="5"/>
        <v>1</v>
      </c>
      <c r="BE59" s="46">
        <f t="shared" si="6"/>
        <v>0</v>
      </c>
      <c r="BF59" s="46">
        <f t="shared" si="7"/>
        <v>0</v>
      </c>
      <c r="BG59" s="46">
        <f t="shared" si="8"/>
        <v>0</v>
      </c>
      <c r="BH59" s="46">
        <f t="shared" si="9"/>
        <v>0</v>
      </c>
      <c r="BI59" s="3">
        <f t="shared" si="17"/>
        <v>2</v>
      </c>
      <c r="BJ59" s="3" t="str">
        <f t="shared" si="19"/>
        <v>Failed in 4 Subjects</v>
      </c>
      <c r="BK59" s="3" t="str">
        <f>IF(BA59="","",RANK(BA59,BA$2:BA88,0))</f>
        <v/>
      </c>
      <c r="BL59" s="3" t="str">
        <f t="shared" si="12"/>
        <v>খুবই দুর্বল</v>
      </c>
      <c r="BM59" s="3" t="str">
        <f t="shared" si="13"/>
        <v>Very Weak</v>
      </c>
      <c r="BN59" s="3" t="str">
        <f t="shared" si="14"/>
        <v/>
      </c>
    </row>
    <row r="60" spans="1:66" x14ac:dyDescent="0.35">
      <c r="A60" s="3" t="str">
        <f>'Student Basic Info'!B60</f>
        <v>Science</v>
      </c>
      <c r="B60" s="3">
        <f>'Student Basic Info'!A60</f>
        <v>759</v>
      </c>
      <c r="C60" s="3" t="str">
        <f>'Student Basic Info'!C60</f>
        <v>Amzad Hosain</v>
      </c>
      <c r="D60" s="3" t="str">
        <f>'Student Basic Info'!D60</f>
        <v xml:space="preserve">Mominul Haque </v>
      </c>
      <c r="E60" s="3" t="str">
        <f>'Student Basic Info'!E60</f>
        <v>Hasina Aktar</v>
      </c>
      <c r="F60" s="3" t="str">
        <f>'Student Basic Info'!F60</f>
        <v>Male</v>
      </c>
      <c r="G60" s="73" t="str">
        <f>'Student Basic Info'!I60</f>
        <v>01822-121872</v>
      </c>
      <c r="H60" s="74" t="str">
        <f>IF(Bangla!B60="","",Bangla!B60)</f>
        <v/>
      </c>
      <c r="I60" s="74">
        <f>IF(Bangla!C60="","",Bangla!C60)</f>
        <v>63</v>
      </c>
      <c r="J60" s="74">
        <f>IF(Bangla!D60="","",Bangla!D60)</f>
        <v>63</v>
      </c>
      <c r="K60" s="75">
        <f>IF(English!C60="","",English!C60)</f>
        <v>33</v>
      </c>
      <c r="L60" s="37">
        <f>IF(ICT!B60="","",ICT!B60)</f>
        <v>24</v>
      </c>
      <c r="M60" s="37">
        <f>IF(ICT!C60="","",ICT!C60)</f>
        <v>42</v>
      </c>
      <c r="N60" s="37">
        <f>IF(ICT!D60="","",ICT!D60)</f>
        <v>25</v>
      </c>
      <c r="O60" s="37">
        <f>IF(ICT!E60="","",ICT!E60)</f>
        <v>91</v>
      </c>
      <c r="P60" s="44">
        <f>IF(Physics!B60="","",Physics!B60)</f>
        <v>14</v>
      </c>
      <c r="Q60" s="44">
        <f>IF(Physics!C60="","",Physics!C60)</f>
        <v>34</v>
      </c>
      <c r="R60" s="44">
        <f>IF(Physics!D60="","",Physics!D60)</f>
        <v>18</v>
      </c>
      <c r="S60" s="89">
        <f>IF(Physics!E60="","",Physics!E60)</f>
        <v>66</v>
      </c>
      <c r="T60" s="37">
        <f>IF(Chemistry!B60="","",Chemistry!B60)</f>
        <v>18</v>
      </c>
      <c r="U60" s="37">
        <f>IF(Chemistry!C60="","",Chemistry!C60)</f>
        <v>41</v>
      </c>
      <c r="V60" s="37">
        <f>IF(Chemistry!D60="","",Chemistry!D60)</f>
        <v>25</v>
      </c>
      <c r="W60" s="37">
        <f>IF(Chemistry!E60="","",Chemistry!E60)</f>
        <v>84</v>
      </c>
      <c r="X60" s="38">
        <f>IF(SubjectList!G60="Math", IF(Math!B60="","",Math!B60), IF(Biology!B60="","",Biology!B60))</f>
        <v>14</v>
      </c>
      <c r="Y60" s="38">
        <f>IF(SubjectList!G60="Math", IF(Math!C60="","",Math!C60), IF(Biology!C60="","",Biology!C60))</f>
        <v>22</v>
      </c>
      <c r="Z60" s="38">
        <f>IF(SubjectList!G60="Math", IF(Math!D60="","",Math!D60), IF(Biology!D60="","",Biology!D60))</f>
        <v>18</v>
      </c>
      <c r="AA60" s="38">
        <f>IF(SubjectList!G60="Math", IF(Math!E60="","",Math!E60), IF(Biology!E60="","",Biology!E60))</f>
        <v>54</v>
      </c>
      <c r="AB60" s="44">
        <f>IF(SubjectList!I60="Biology", IF(Biology!B60="","",Biology!B60), IF(Math!B60="","",Math!B60))</f>
        <v>19</v>
      </c>
      <c r="AC60" s="44">
        <f>Optional!D60</f>
        <v>38</v>
      </c>
      <c r="AD60" s="44">
        <f>Optional!E60</f>
        <v>23</v>
      </c>
      <c r="AE60" s="44">
        <f>Optional!F60</f>
        <v>80</v>
      </c>
      <c r="AF60" s="39" t="str">
        <f>IF(SubjectList!G60="","", SubjectList!G60)</f>
        <v>Biology</v>
      </c>
      <c r="AG60" s="39" t="str">
        <f>IF(SubjectList!I60="","", SubjectList!I60)</f>
        <v>Math</v>
      </c>
      <c r="AH60" s="40" t="str">
        <f>Bangla!F60</f>
        <v>A-</v>
      </c>
      <c r="AI60" s="91" t="str">
        <f>English!E60</f>
        <v>D</v>
      </c>
      <c r="AJ60" s="40" t="str">
        <f>ICT!G60</f>
        <v>A+</v>
      </c>
      <c r="AK60" s="40" t="str">
        <f>Physics!G60</f>
        <v>A-</v>
      </c>
      <c r="AL60" s="40" t="str">
        <f>Chemistry!G60</f>
        <v>A+</v>
      </c>
      <c r="AM60" s="40" t="str">
        <f>IF(SubjectList!G60="Math", IF(Math!G60="","",Math!G60), IF(Biology!G60="","",Biology!G60))</f>
        <v>B</v>
      </c>
      <c r="AN60" s="40" t="str">
        <f>IF(SubjectList!H60="Math", IF(Math!G60="","",Math!G60), IF(Biology!G60="","",Biology!G60))</f>
        <v>A+</v>
      </c>
      <c r="AO60" s="41">
        <f>Bangla!G60</f>
        <v>3.5</v>
      </c>
      <c r="AP60" s="41">
        <f>English!F60</f>
        <v>1</v>
      </c>
      <c r="AQ60" s="41">
        <f>ICT!H60</f>
        <v>5</v>
      </c>
      <c r="AR60" s="41">
        <f>Physics!H60</f>
        <v>3.5</v>
      </c>
      <c r="AS60" s="41">
        <f>Chemistry!H60</f>
        <v>5</v>
      </c>
      <c r="AT60" s="41">
        <f>IF(SubjectList!G60="Math", IF(Math!H60="","",Math!H60), IF(Biology!H60="","",Biology!H60))</f>
        <v>3</v>
      </c>
      <c r="AU60" s="41">
        <f>IF(SubjectList!I60="Math", IF(Math!H60="","",Math!H60), IF(Biology!H60="","",Biology!H60))</f>
        <v>5</v>
      </c>
      <c r="AV60" s="41">
        <f>Optional!I60</f>
        <v>5</v>
      </c>
      <c r="AW60" s="41">
        <f>Optional!J60</f>
        <v>3</v>
      </c>
      <c r="AX60" s="41">
        <f t="shared" si="0"/>
        <v>21</v>
      </c>
      <c r="AY60" s="41">
        <f t="shared" si="15"/>
        <v>24</v>
      </c>
      <c r="AZ60" s="41">
        <f t="shared" si="1"/>
        <v>3.5</v>
      </c>
      <c r="BA60" s="41">
        <f t="shared" si="2"/>
        <v>4</v>
      </c>
      <c r="BB60" s="41">
        <f t="shared" si="18"/>
        <v>471</v>
      </c>
      <c r="BC60" s="46">
        <f t="shared" si="16"/>
        <v>1</v>
      </c>
      <c r="BD60" s="46">
        <f t="shared" si="5"/>
        <v>1</v>
      </c>
      <c r="BE60" s="46">
        <f t="shared" si="6"/>
        <v>1</v>
      </c>
      <c r="BF60" s="46">
        <f t="shared" si="7"/>
        <v>1</v>
      </c>
      <c r="BG60" s="46">
        <f t="shared" si="8"/>
        <v>1</v>
      </c>
      <c r="BH60" s="46">
        <f t="shared" si="9"/>
        <v>1</v>
      </c>
      <c r="BI60" s="3">
        <f t="shared" si="17"/>
        <v>6</v>
      </c>
      <c r="BJ60" s="3" t="str">
        <f t="shared" si="19"/>
        <v>Pass</v>
      </c>
      <c r="BK60" s="3">
        <f>IF(BA60="","",RANK(BA60,BA$2:BA88,0))</f>
        <v>2</v>
      </c>
      <c r="BL60" s="3" t="str">
        <f t="shared" si="12"/>
        <v>খুব ভালো</v>
      </c>
      <c r="BM60" s="3" t="str">
        <f t="shared" si="13"/>
        <v>Very Good</v>
      </c>
      <c r="BN60" s="3" t="str">
        <f t="shared" si="14"/>
        <v>A</v>
      </c>
    </row>
    <row r="61" spans="1:66" x14ac:dyDescent="0.35">
      <c r="A61" s="3" t="str">
        <f>'Student Basic Info'!B61</f>
        <v>Science</v>
      </c>
      <c r="B61" s="3">
        <f>'Student Basic Info'!A61</f>
        <v>760</v>
      </c>
      <c r="C61" s="3" t="str">
        <f>'Student Basic Info'!C61</f>
        <v>Imdadul Haque Zidan</v>
      </c>
      <c r="D61" s="3" t="str">
        <f>'Student Basic Info'!D61</f>
        <v>Rezaul Haque</v>
      </c>
      <c r="E61" s="3" t="str">
        <f>'Student Basic Info'!E61</f>
        <v>Parul Aktar</v>
      </c>
      <c r="F61" s="3" t="str">
        <f>'Student Basic Info'!F61</f>
        <v>Male</v>
      </c>
      <c r="G61" s="73">
        <f>'Student Basic Info'!I61</f>
        <v>0</v>
      </c>
      <c r="H61" s="74" t="str">
        <f>IF(Bangla!B61="","",Bangla!B61)</f>
        <v/>
      </c>
      <c r="I61" s="74">
        <f>IF(Bangla!C61="","",Bangla!C61)</f>
        <v>37</v>
      </c>
      <c r="J61" s="74">
        <f>IF(Bangla!D61="","",Bangla!D61)</f>
        <v>37</v>
      </c>
      <c r="K61" s="75">
        <f>IF(English!C61="","",English!C61)</f>
        <v>38</v>
      </c>
      <c r="L61" s="37" t="str">
        <f>IF(ICT!B61="","",ICT!B61)</f>
        <v/>
      </c>
      <c r="M61" s="37" t="str">
        <f>IF(ICT!C61="","",ICT!C61)</f>
        <v/>
      </c>
      <c r="N61" s="37">
        <f>IF(ICT!D61="","",ICT!D61)</f>
        <v>24</v>
      </c>
      <c r="O61" s="37" t="str">
        <f>IF(ICT!E61="","",ICT!E61)</f>
        <v/>
      </c>
      <c r="P61" s="44">
        <f>IF(Physics!B61="","",Physics!B61)</f>
        <v>11</v>
      </c>
      <c r="Q61" s="44">
        <f>IF(Physics!C61="","",Physics!C61)</f>
        <v>9</v>
      </c>
      <c r="R61" s="44">
        <f>IF(Physics!D61="","",Physics!D61)</f>
        <v>12</v>
      </c>
      <c r="S61" s="89">
        <f>IF(Physics!E61="","",Physics!E61)</f>
        <v>32</v>
      </c>
      <c r="T61" s="37">
        <f>IF(Chemistry!B61="","",Chemistry!B61)</f>
        <v>16</v>
      </c>
      <c r="U61" s="37">
        <f>IF(Chemistry!C61="","",Chemistry!C61)</f>
        <v>21</v>
      </c>
      <c r="V61" s="37">
        <f>IF(Chemistry!D61="","",Chemistry!D61)</f>
        <v>15</v>
      </c>
      <c r="W61" s="37">
        <f>IF(Chemistry!E61="","",Chemistry!E61)</f>
        <v>52</v>
      </c>
      <c r="X61" s="38">
        <f>IF(SubjectList!G61="Math", IF(Math!B61="","",Math!B61), IF(Biology!B61="","",Biology!B61))</f>
        <v>15</v>
      </c>
      <c r="Y61" s="38">
        <f>IF(SubjectList!G61="Math", IF(Math!C61="","",Math!C61), IF(Biology!C61="","",Biology!C61))</f>
        <v>6</v>
      </c>
      <c r="Z61" s="38">
        <f>IF(SubjectList!G61="Math", IF(Math!D61="","",Math!D61), IF(Biology!D61="","",Biology!D61))</f>
        <v>12</v>
      </c>
      <c r="AA61" s="38">
        <f>IF(SubjectList!G61="Math", IF(Math!E61="","",Math!E61), IF(Biology!E61="","",Biology!E61))</f>
        <v>33</v>
      </c>
      <c r="AB61" s="44">
        <f>IF(SubjectList!I61="Biology", IF(Biology!B61="","",Biology!B61), IF(Math!B61="","",Math!B61))</f>
        <v>14</v>
      </c>
      <c r="AC61" s="44">
        <f>Optional!D61</f>
        <v>1</v>
      </c>
      <c r="AD61" s="44">
        <f>Optional!E61</f>
        <v>12</v>
      </c>
      <c r="AE61" s="44">
        <f>Optional!F61</f>
        <v>27</v>
      </c>
      <c r="AF61" s="39" t="str">
        <f>IF(SubjectList!G61="","", SubjectList!G61)</f>
        <v>Biology</v>
      </c>
      <c r="AG61" s="39" t="str">
        <f>IF(SubjectList!I61="","", SubjectList!I61)</f>
        <v>Math</v>
      </c>
      <c r="AH61" s="40" t="str">
        <f>Bangla!F61</f>
        <v>D</v>
      </c>
      <c r="AI61" s="91" t="str">
        <f>English!E61</f>
        <v>D</v>
      </c>
      <c r="AJ61" s="40" t="str">
        <f>ICT!G61</f>
        <v/>
      </c>
      <c r="AK61" s="40" t="str">
        <f>Physics!G61</f>
        <v>F</v>
      </c>
      <c r="AL61" s="40" t="str">
        <f>Chemistry!G61</f>
        <v>B</v>
      </c>
      <c r="AM61" s="40" t="str">
        <f>IF(SubjectList!G61="Math", IF(Math!G61="","",Math!G61), IF(Biology!G61="","",Biology!G61))</f>
        <v>F</v>
      </c>
      <c r="AN61" s="40" t="str">
        <f>IF(SubjectList!H61="Math", IF(Math!G61="","",Math!G61), IF(Biology!G61="","",Biology!G61))</f>
        <v>F</v>
      </c>
      <c r="AO61" s="41">
        <f>Bangla!G61</f>
        <v>1</v>
      </c>
      <c r="AP61" s="41">
        <f>English!F61</f>
        <v>1</v>
      </c>
      <c r="AQ61" s="41" t="str">
        <f>ICT!H61</f>
        <v/>
      </c>
      <c r="AR61" s="41">
        <f>Physics!H61</f>
        <v>0</v>
      </c>
      <c r="AS61" s="41">
        <f>Chemistry!H61</f>
        <v>3</v>
      </c>
      <c r="AT61" s="41">
        <f>IF(SubjectList!G61="Math", IF(Math!H61="","",Math!H61), IF(Biology!H61="","",Biology!H61))</f>
        <v>0</v>
      </c>
      <c r="AU61" s="41">
        <f>IF(SubjectList!I61="Math", IF(Math!H61="","",Math!H61), IF(Biology!H61="","",Biology!H61))</f>
        <v>0</v>
      </c>
      <c r="AV61" s="41">
        <f>Optional!I61</f>
        <v>0</v>
      </c>
      <c r="AW61" s="41">
        <f>Optional!J61</f>
        <v>0</v>
      </c>
      <c r="AX61" s="41">
        <f t="shared" si="0"/>
        <v>5</v>
      </c>
      <c r="AY61" s="41">
        <f t="shared" si="15"/>
        <v>5</v>
      </c>
      <c r="AZ61" s="41" t="str">
        <f t="shared" si="1"/>
        <v/>
      </c>
      <c r="BA61" s="41" t="str">
        <f t="shared" si="2"/>
        <v/>
      </c>
      <c r="BB61" s="41">
        <f t="shared" si="18"/>
        <v>219</v>
      </c>
      <c r="BC61" s="46">
        <f t="shared" si="16"/>
        <v>1</v>
      </c>
      <c r="BD61" s="46">
        <f t="shared" si="5"/>
        <v>1</v>
      </c>
      <c r="BE61" s="46" t="str">
        <f t="shared" si="6"/>
        <v/>
      </c>
      <c r="BF61" s="46">
        <f t="shared" si="7"/>
        <v>0</v>
      </c>
      <c r="BG61" s="46">
        <f t="shared" si="8"/>
        <v>1</v>
      </c>
      <c r="BH61" s="46">
        <f t="shared" si="9"/>
        <v>0</v>
      </c>
      <c r="BI61" s="3">
        <f t="shared" si="17"/>
        <v>3</v>
      </c>
      <c r="BJ61" s="3" t="str">
        <f t="shared" si="19"/>
        <v>Failed in 3 Subjects</v>
      </c>
      <c r="BK61" s="3" t="str">
        <f>IF(BA61="","",RANK(BA61,BA$2:BA88,0))</f>
        <v/>
      </c>
      <c r="BL61" s="3" t="str">
        <f t="shared" si="12"/>
        <v>খুবই দুর্বল</v>
      </c>
      <c r="BM61" s="3" t="str">
        <f t="shared" si="13"/>
        <v>Very Weak</v>
      </c>
      <c r="BN61" s="3" t="str">
        <f t="shared" si="14"/>
        <v/>
      </c>
    </row>
    <row r="62" spans="1:66" x14ac:dyDescent="0.35">
      <c r="A62" s="3" t="str">
        <f>'Student Basic Info'!B62</f>
        <v>Science</v>
      </c>
      <c r="B62" s="3">
        <f>'Student Basic Info'!A62</f>
        <v>761</v>
      </c>
      <c r="C62" s="3" t="str">
        <f>'Student Basic Info'!C62</f>
        <v>Nazmul Haque Sayem</v>
      </c>
      <c r="D62" s="3" t="str">
        <f>'Student Basic Info'!D62</f>
        <v>Fokhruddin</v>
      </c>
      <c r="E62" s="3" t="str">
        <f>'Student Basic Info'!E62</f>
        <v>Nur Zahan Begum</v>
      </c>
      <c r="F62" s="3" t="str">
        <f>'Student Basic Info'!F62</f>
        <v>Male</v>
      </c>
      <c r="G62" s="73" t="str">
        <f>'Student Basic Info'!I62</f>
        <v>0188-8667149</v>
      </c>
      <c r="H62" s="74" t="str">
        <f>IF(Bangla!B62="","",Bangla!B62)</f>
        <v/>
      </c>
      <c r="I62" s="74">
        <f>IF(Bangla!C62="","",Bangla!C62)</f>
        <v>33</v>
      </c>
      <c r="J62" s="74">
        <f>IF(Bangla!D62="","",Bangla!D62)</f>
        <v>33</v>
      </c>
      <c r="K62" s="75">
        <f>IF(English!C62="","",English!C62)</f>
        <v>34</v>
      </c>
      <c r="L62" s="37">
        <f>IF(ICT!B62="","",ICT!B62)</f>
        <v>14</v>
      </c>
      <c r="M62" s="37">
        <f>IF(ICT!C62="","",ICT!C62)</f>
        <v>21</v>
      </c>
      <c r="N62" s="37">
        <f>IF(ICT!D62="","",ICT!D62)</f>
        <v>25</v>
      </c>
      <c r="O62" s="37">
        <f>IF(ICT!E62="","",ICT!E62)</f>
        <v>60</v>
      </c>
      <c r="P62" s="44">
        <f>IF(Physics!B62="","",Physics!B62)</f>
        <v>10</v>
      </c>
      <c r="Q62" s="44">
        <f>IF(Physics!C62="","",Physics!C62)</f>
        <v>3</v>
      </c>
      <c r="R62" s="44">
        <f>IF(Physics!D62="","",Physics!D62)</f>
        <v>10</v>
      </c>
      <c r="S62" s="89">
        <f>IF(Physics!E62="","",Physics!E62)</f>
        <v>23</v>
      </c>
      <c r="T62" s="37" t="str">
        <f>IF(Chemistry!B62="","",Chemistry!B62)</f>
        <v/>
      </c>
      <c r="U62" s="37" t="str">
        <f>IF(Chemistry!C62="","",Chemistry!C62)</f>
        <v/>
      </c>
      <c r="V62" s="37" t="str">
        <f>IF(Chemistry!D62="","",Chemistry!D62)</f>
        <v/>
      </c>
      <c r="W62" s="37" t="str">
        <f>IF(Chemistry!E62="","",Chemistry!E62)</f>
        <v/>
      </c>
      <c r="X62" s="38">
        <f>IF(SubjectList!G62="Math", IF(Math!B62="","",Math!B62), IF(Biology!B62="","",Biology!B62))</f>
        <v>10</v>
      </c>
      <c r="Y62" s="38">
        <f>IF(SubjectList!G62="Math", IF(Math!C62="","",Math!C62), IF(Biology!C62="","",Biology!C62))</f>
        <v>0</v>
      </c>
      <c r="Z62" s="38">
        <f>IF(SubjectList!G62="Math", IF(Math!D62="","",Math!D62), IF(Biology!D62="","",Biology!D62))</f>
        <v>8</v>
      </c>
      <c r="AA62" s="38">
        <f>IF(SubjectList!G62="Math", IF(Math!E62="","",Math!E62), IF(Biology!E62="","",Biology!E62))</f>
        <v>18</v>
      </c>
      <c r="AB62" s="44">
        <f>IF(SubjectList!I62="Biology", IF(Biology!B62="","",Biology!B62), IF(Math!B62="","",Math!B62))</f>
        <v>14</v>
      </c>
      <c r="AC62" s="44">
        <f>Optional!D62</f>
        <v>0</v>
      </c>
      <c r="AD62" s="44">
        <f>Optional!E62</f>
        <v>10</v>
      </c>
      <c r="AE62" s="44">
        <f>Optional!F62</f>
        <v>24</v>
      </c>
      <c r="AF62" s="39" t="str">
        <f>IF(SubjectList!G62="","", SubjectList!G62)</f>
        <v>Biology</v>
      </c>
      <c r="AG62" s="39" t="str">
        <f>IF(SubjectList!I62="","", SubjectList!I62)</f>
        <v>Math</v>
      </c>
      <c r="AH62" s="40" t="str">
        <f>Bangla!F62</f>
        <v>D</v>
      </c>
      <c r="AI62" s="91" t="str">
        <f>English!E62</f>
        <v>D</v>
      </c>
      <c r="AJ62" s="40" t="str">
        <f>ICT!G62</f>
        <v>A-</v>
      </c>
      <c r="AK62" s="40" t="str">
        <f>Physics!G62</f>
        <v>F</v>
      </c>
      <c r="AL62" s="40" t="str">
        <f>Chemistry!G62</f>
        <v/>
      </c>
      <c r="AM62" s="40" t="str">
        <f>IF(SubjectList!G62="Math", IF(Math!G62="","",Math!G62), IF(Biology!G62="","",Biology!G62))</f>
        <v>F</v>
      </c>
      <c r="AN62" s="40" t="str">
        <f>IF(SubjectList!H62="Math", IF(Math!G62="","",Math!G62), IF(Biology!G62="","",Biology!G62))</f>
        <v>F</v>
      </c>
      <c r="AO62" s="41">
        <f>Bangla!G62</f>
        <v>1</v>
      </c>
      <c r="AP62" s="41">
        <f>English!F62</f>
        <v>1</v>
      </c>
      <c r="AQ62" s="41">
        <f>ICT!H62</f>
        <v>3.5</v>
      </c>
      <c r="AR62" s="41">
        <f>Physics!H62</f>
        <v>0</v>
      </c>
      <c r="AS62" s="41" t="str">
        <f>Chemistry!H62</f>
        <v/>
      </c>
      <c r="AT62" s="41">
        <f>IF(SubjectList!G62="Math", IF(Math!H62="","",Math!H62), IF(Biology!H62="","",Biology!H62))</f>
        <v>0</v>
      </c>
      <c r="AU62" s="41">
        <f>IF(SubjectList!I62="Math", IF(Math!H62="","",Math!H62), IF(Biology!H62="","",Biology!H62))</f>
        <v>0</v>
      </c>
      <c r="AV62" s="41">
        <f>Optional!I62</f>
        <v>0</v>
      </c>
      <c r="AW62" s="41">
        <f>Optional!J62</f>
        <v>0</v>
      </c>
      <c r="AX62" s="41">
        <f t="shared" si="0"/>
        <v>5.5</v>
      </c>
      <c r="AY62" s="41">
        <f t="shared" si="15"/>
        <v>5.5</v>
      </c>
      <c r="AZ62" s="41" t="str">
        <f t="shared" si="1"/>
        <v/>
      </c>
      <c r="BA62" s="41" t="str">
        <f t="shared" si="2"/>
        <v/>
      </c>
      <c r="BB62" s="41">
        <f t="shared" si="18"/>
        <v>192</v>
      </c>
      <c r="BC62" s="46">
        <f t="shared" si="16"/>
        <v>1</v>
      </c>
      <c r="BD62" s="46">
        <f t="shared" si="5"/>
        <v>1</v>
      </c>
      <c r="BE62" s="46">
        <f t="shared" si="6"/>
        <v>1</v>
      </c>
      <c r="BF62" s="46">
        <f t="shared" si="7"/>
        <v>0</v>
      </c>
      <c r="BG62" s="46" t="str">
        <f t="shared" si="8"/>
        <v/>
      </c>
      <c r="BH62" s="46">
        <f t="shared" si="9"/>
        <v>0</v>
      </c>
      <c r="BI62" s="3">
        <f t="shared" si="17"/>
        <v>3</v>
      </c>
      <c r="BJ62" s="3" t="str">
        <f t="shared" si="19"/>
        <v>Failed in 3 Subjects</v>
      </c>
      <c r="BK62" s="3" t="str">
        <f>IF(BA62="","",RANK(BA62,BA$2:BA88,0))</f>
        <v/>
      </c>
      <c r="BL62" s="3" t="str">
        <f t="shared" si="12"/>
        <v>খুবই দুর্বল</v>
      </c>
      <c r="BM62" s="3" t="str">
        <f t="shared" si="13"/>
        <v>Very Weak</v>
      </c>
      <c r="BN62" s="3" t="str">
        <f t="shared" si="14"/>
        <v/>
      </c>
    </row>
    <row r="63" spans="1:66" x14ac:dyDescent="0.35">
      <c r="A63" s="3" t="str">
        <f>'Student Basic Info'!B63</f>
        <v>Science</v>
      </c>
      <c r="B63" s="3">
        <f>'Student Basic Info'!A63</f>
        <v>762</v>
      </c>
      <c r="C63" s="3" t="str">
        <f>'Student Basic Info'!C63</f>
        <v>Sadbin Hasan Shourov</v>
      </c>
      <c r="D63" s="3" t="str">
        <f>'Student Basic Info'!D63</f>
        <v>Md. Yousuf</v>
      </c>
      <c r="E63" s="3" t="str">
        <f>'Student Basic Info'!E63</f>
        <v>Rasheda Begum</v>
      </c>
      <c r="F63" s="3" t="str">
        <f>'Student Basic Info'!F63</f>
        <v>Male</v>
      </c>
      <c r="G63" s="73" t="str">
        <f>'Student Basic Info'!I63</f>
        <v>01815-936573</v>
      </c>
      <c r="H63" s="74" t="str">
        <f>IF(Bangla!B63="","",Bangla!B63)</f>
        <v/>
      </c>
      <c r="I63" s="74">
        <f>IF(Bangla!C63="","",Bangla!C63)</f>
        <v>35</v>
      </c>
      <c r="J63" s="74">
        <f>IF(Bangla!D63="","",Bangla!D63)</f>
        <v>35</v>
      </c>
      <c r="K63" s="75">
        <f>IF(English!C63="","",English!C63)</f>
        <v>48</v>
      </c>
      <c r="L63" s="37">
        <f>IF(ICT!B63="","",ICT!B63)</f>
        <v>11</v>
      </c>
      <c r="M63" s="37">
        <f>IF(ICT!C63="","",ICT!C63)</f>
        <v>27</v>
      </c>
      <c r="N63" s="37">
        <f>IF(ICT!D63="","",ICT!D63)</f>
        <v>25</v>
      </c>
      <c r="O63" s="37">
        <f>IF(ICT!E63="","",ICT!E63)</f>
        <v>63</v>
      </c>
      <c r="P63" s="44">
        <f>IF(Physics!B63="","",Physics!B63)</f>
        <v>10</v>
      </c>
      <c r="Q63" s="44">
        <f>IF(Physics!C63="","",Physics!C63)</f>
        <v>5</v>
      </c>
      <c r="R63" s="44">
        <f>IF(Physics!D63="","",Physics!D63)</f>
        <v>11</v>
      </c>
      <c r="S63" s="89">
        <f>IF(Physics!E63="","",Physics!E63)</f>
        <v>26</v>
      </c>
      <c r="T63" s="37">
        <f>IF(Chemistry!B63="","",Chemistry!B63)</f>
        <v>12</v>
      </c>
      <c r="U63" s="37">
        <f>IF(Chemistry!C63="","",Chemistry!C63)</f>
        <v>21</v>
      </c>
      <c r="V63" s="37">
        <f>IF(Chemistry!D63="","",Chemistry!D63)</f>
        <v>15</v>
      </c>
      <c r="W63" s="37">
        <f>IF(Chemistry!E63="","",Chemistry!E63)</f>
        <v>48</v>
      </c>
      <c r="X63" s="38">
        <f>IF(SubjectList!G63="Math", IF(Math!B63="","",Math!B63), IF(Biology!B63="","",Biology!B63))</f>
        <v>10</v>
      </c>
      <c r="Y63" s="38">
        <f>IF(SubjectList!G63="Math", IF(Math!C63="","",Math!C63), IF(Biology!C63="","",Biology!C63))</f>
        <v>0</v>
      </c>
      <c r="Z63" s="38">
        <f>IF(SubjectList!G63="Math", IF(Math!D63="","",Math!D63), IF(Biology!D63="","",Biology!D63))</f>
        <v>8</v>
      </c>
      <c r="AA63" s="38">
        <f>IF(SubjectList!G63="Math", IF(Math!E63="","",Math!E63), IF(Biology!E63="","",Biology!E63))</f>
        <v>18</v>
      </c>
      <c r="AB63" s="44">
        <f>IF(SubjectList!I63="Biology", IF(Biology!B63="","",Biology!B63), IF(Math!B63="","",Math!B63))</f>
        <v>5</v>
      </c>
      <c r="AC63" s="44">
        <f>Optional!D63</f>
        <v>0</v>
      </c>
      <c r="AD63" s="44">
        <f>Optional!E63</f>
        <v>8</v>
      </c>
      <c r="AE63" s="44">
        <f>Optional!F63</f>
        <v>13</v>
      </c>
      <c r="AF63" s="39" t="str">
        <f>IF(SubjectList!G63="","", SubjectList!G63)</f>
        <v>Biology</v>
      </c>
      <c r="AG63" s="39" t="str">
        <f>IF(SubjectList!I63="","", SubjectList!I63)</f>
        <v>Math</v>
      </c>
      <c r="AH63" s="40" t="str">
        <f>Bangla!F63</f>
        <v>D</v>
      </c>
      <c r="AI63" s="91" t="str">
        <f>English!E63</f>
        <v>C</v>
      </c>
      <c r="AJ63" s="40" t="str">
        <f>ICT!G63</f>
        <v>A-</v>
      </c>
      <c r="AK63" s="40" t="str">
        <f>Physics!G63</f>
        <v>F</v>
      </c>
      <c r="AL63" s="40" t="str">
        <f>Chemistry!G63</f>
        <v>C</v>
      </c>
      <c r="AM63" s="40" t="str">
        <f>IF(SubjectList!G63="Math", IF(Math!G63="","",Math!G63), IF(Biology!G63="","",Biology!G63))</f>
        <v>F</v>
      </c>
      <c r="AN63" s="40" t="str">
        <f>IF(SubjectList!H63="Math", IF(Math!G63="","",Math!G63), IF(Biology!G63="","",Biology!G63))</f>
        <v>F</v>
      </c>
      <c r="AO63" s="41">
        <f>Bangla!G63</f>
        <v>1</v>
      </c>
      <c r="AP63" s="41">
        <f>English!F63</f>
        <v>2</v>
      </c>
      <c r="AQ63" s="41">
        <f>ICT!H63</f>
        <v>3.5</v>
      </c>
      <c r="AR63" s="41">
        <f>Physics!H63</f>
        <v>0</v>
      </c>
      <c r="AS63" s="41">
        <f>Chemistry!H63</f>
        <v>2</v>
      </c>
      <c r="AT63" s="41">
        <f>IF(SubjectList!G63="Math", IF(Math!H63="","",Math!H63), IF(Biology!H63="","",Biology!H63))</f>
        <v>0</v>
      </c>
      <c r="AU63" s="41">
        <f>IF(SubjectList!I63="Math", IF(Math!H63="","",Math!H63), IF(Biology!H63="","",Biology!H63))</f>
        <v>0</v>
      </c>
      <c r="AV63" s="41">
        <f>Optional!I63</f>
        <v>0</v>
      </c>
      <c r="AW63" s="41">
        <f>Optional!J63</f>
        <v>0</v>
      </c>
      <c r="AX63" s="41">
        <f t="shared" si="0"/>
        <v>8.5</v>
      </c>
      <c r="AY63" s="41">
        <f t="shared" si="15"/>
        <v>8.5</v>
      </c>
      <c r="AZ63" s="41" t="str">
        <f t="shared" si="1"/>
        <v/>
      </c>
      <c r="BA63" s="41" t="str">
        <f t="shared" si="2"/>
        <v/>
      </c>
      <c r="BB63" s="41">
        <f t="shared" si="18"/>
        <v>251</v>
      </c>
      <c r="BC63" s="46">
        <f t="shared" si="16"/>
        <v>1</v>
      </c>
      <c r="BD63" s="46">
        <f t="shared" si="5"/>
        <v>1</v>
      </c>
      <c r="BE63" s="46">
        <f t="shared" si="6"/>
        <v>1</v>
      </c>
      <c r="BF63" s="46">
        <f t="shared" si="7"/>
        <v>0</v>
      </c>
      <c r="BG63" s="46">
        <f t="shared" si="8"/>
        <v>1</v>
      </c>
      <c r="BH63" s="46">
        <f t="shared" si="9"/>
        <v>0</v>
      </c>
      <c r="BI63" s="3">
        <f t="shared" si="17"/>
        <v>4</v>
      </c>
      <c r="BJ63" s="3" t="str">
        <f t="shared" si="19"/>
        <v>Failed in 2 Subjects</v>
      </c>
      <c r="BK63" s="3" t="str">
        <f>IF(BA63="","",RANK(BA63,BA$2:BA88,0))</f>
        <v/>
      </c>
      <c r="BL63" s="3" t="str">
        <f t="shared" si="12"/>
        <v>খুবই দুর্বল</v>
      </c>
      <c r="BM63" s="3" t="str">
        <f t="shared" si="13"/>
        <v>Very Weak</v>
      </c>
      <c r="BN63" s="3" t="str">
        <f t="shared" si="14"/>
        <v/>
      </c>
    </row>
    <row r="64" spans="1:66" x14ac:dyDescent="0.35">
      <c r="A64" s="3" t="str">
        <f>'Student Basic Info'!B64</f>
        <v>Science</v>
      </c>
      <c r="B64" s="3">
        <f>'Student Basic Info'!A64</f>
        <v>763</v>
      </c>
      <c r="C64" s="3" t="str">
        <f>'Student Basic Info'!C64</f>
        <v>Sujayet Hosain</v>
      </c>
      <c r="D64" s="3" t="str">
        <f>'Student Basic Info'!D64</f>
        <v>Md. Shakhawat Hosain</v>
      </c>
      <c r="E64" s="3" t="str">
        <f>'Student Basic Info'!E64</f>
        <v>Bibi Kulsum</v>
      </c>
      <c r="F64" s="3" t="str">
        <f>'Student Basic Info'!F64</f>
        <v>Male</v>
      </c>
      <c r="G64" s="73" t="str">
        <f>'Student Basic Info'!I64</f>
        <v>01720-980597</v>
      </c>
      <c r="H64" s="74" t="str">
        <f>IF(Bangla!B64="","",Bangla!B64)</f>
        <v/>
      </c>
      <c r="I64" s="74">
        <f>IF(Bangla!C64="","",Bangla!C64)</f>
        <v>50</v>
      </c>
      <c r="J64" s="74">
        <f>IF(Bangla!D64="","",Bangla!D64)</f>
        <v>50</v>
      </c>
      <c r="K64" s="75">
        <f>IF(English!C64="","",English!C64)</f>
        <v>36</v>
      </c>
      <c r="L64" s="37">
        <f>IF(ICT!B64="","",ICT!B64)</f>
        <v>10</v>
      </c>
      <c r="M64" s="37">
        <f>IF(ICT!C64="","",ICT!C64)</f>
        <v>2</v>
      </c>
      <c r="N64" s="37">
        <f>IF(ICT!D64="","",ICT!D64)</f>
        <v>20</v>
      </c>
      <c r="O64" s="37">
        <f>IF(ICT!E64="","",ICT!E64)</f>
        <v>32</v>
      </c>
      <c r="P64" s="44">
        <f>IF(Physics!B64="","",Physics!B64)</f>
        <v>13</v>
      </c>
      <c r="Q64" s="44">
        <f>IF(Physics!C64="","",Physics!C64)</f>
        <v>5</v>
      </c>
      <c r="R64" s="44">
        <f>IF(Physics!D64="","",Physics!D64)</f>
        <v>12</v>
      </c>
      <c r="S64" s="89">
        <f>IF(Physics!E64="","",Physics!E64)</f>
        <v>30</v>
      </c>
      <c r="T64" s="37">
        <f>IF(Chemistry!B64="","",Chemistry!B64)</f>
        <v>17</v>
      </c>
      <c r="U64" s="37">
        <f>IF(Chemistry!C64="","",Chemistry!C64)</f>
        <v>20</v>
      </c>
      <c r="V64" s="37">
        <f>IF(Chemistry!D64="","",Chemistry!D64)</f>
        <v>15</v>
      </c>
      <c r="W64" s="37">
        <f>IF(Chemistry!E64="","",Chemistry!E64)</f>
        <v>52</v>
      </c>
      <c r="X64" s="38">
        <f>IF(SubjectList!G64="Math", IF(Math!B64="","",Math!B64), IF(Biology!B64="","",Biology!B64))</f>
        <v>15</v>
      </c>
      <c r="Y64" s="38">
        <f>IF(SubjectList!G64="Math", IF(Math!C64="","",Math!C64), IF(Biology!C64="","",Biology!C64))</f>
        <v>20</v>
      </c>
      <c r="Z64" s="38">
        <f>IF(SubjectList!G64="Math", IF(Math!D64="","",Math!D64), IF(Biology!D64="","",Biology!D64))</f>
        <v>16</v>
      </c>
      <c r="AA64" s="38">
        <f>IF(SubjectList!G64="Math", IF(Math!E64="","",Math!E64), IF(Biology!E64="","",Biology!E64))</f>
        <v>51</v>
      </c>
      <c r="AB64" s="44">
        <f>IF(SubjectList!I64="Biology", IF(Biology!B64="","",Biology!B64), IF(Math!B64="","",Math!B64))</f>
        <v>17</v>
      </c>
      <c r="AC64" s="44">
        <f>Optional!D64</f>
        <v>0</v>
      </c>
      <c r="AD64" s="44">
        <f>Optional!E64</f>
        <v>12</v>
      </c>
      <c r="AE64" s="44">
        <f>Optional!F64</f>
        <v>29</v>
      </c>
      <c r="AF64" s="39" t="str">
        <f>IF(SubjectList!G64="","", SubjectList!G64)</f>
        <v>Biology</v>
      </c>
      <c r="AG64" s="39" t="str">
        <f>IF(SubjectList!I64="","", SubjectList!I64)</f>
        <v>Math</v>
      </c>
      <c r="AH64" s="40" t="str">
        <f>Bangla!F64</f>
        <v>B</v>
      </c>
      <c r="AI64" s="91" t="str">
        <f>English!E64</f>
        <v>D</v>
      </c>
      <c r="AJ64" s="40" t="str">
        <f>ICT!G64</f>
        <v>F</v>
      </c>
      <c r="AK64" s="40" t="str">
        <f>Physics!G64</f>
        <v>F</v>
      </c>
      <c r="AL64" s="40" t="str">
        <f>Chemistry!G64</f>
        <v>B</v>
      </c>
      <c r="AM64" s="40" t="str">
        <f>IF(SubjectList!G64="Math", IF(Math!G64="","",Math!G64), IF(Biology!G64="","",Biology!G64))</f>
        <v>B</v>
      </c>
      <c r="AN64" s="40" t="str">
        <f>IF(SubjectList!H64="Math", IF(Math!G64="","",Math!G64), IF(Biology!G64="","",Biology!G64))</f>
        <v>F</v>
      </c>
      <c r="AO64" s="41">
        <f>Bangla!G64</f>
        <v>3</v>
      </c>
      <c r="AP64" s="41">
        <f>English!F64</f>
        <v>1</v>
      </c>
      <c r="AQ64" s="41">
        <f>ICT!H64</f>
        <v>0</v>
      </c>
      <c r="AR64" s="41">
        <f>Physics!H64</f>
        <v>0</v>
      </c>
      <c r="AS64" s="41">
        <f>Chemistry!H64</f>
        <v>3</v>
      </c>
      <c r="AT64" s="41">
        <f>IF(SubjectList!G64="Math", IF(Math!H64="","",Math!H64), IF(Biology!H64="","",Biology!H64))</f>
        <v>3</v>
      </c>
      <c r="AU64" s="41">
        <f>IF(SubjectList!I64="Math", IF(Math!H64="","",Math!H64), IF(Biology!H64="","",Biology!H64))</f>
        <v>0</v>
      </c>
      <c r="AV64" s="41">
        <f>Optional!I64</f>
        <v>0</v>
      </c>
      <c r="AW64" s="41">
        <f>Optional!J64</f>
        <v>0</v>
      </c>
      <c r="AX64" s="41">
        <f t="shared" si="0"/>
        <v>10</v>
      </c>
      <c r="AY64" s="41">
        <f t="shared" si="15"/>
        <v>10</v>
      </c>
      <c r="AZ64" s="41" t="str">
        <f t="shared" si="1"/>
        <v/>
      </c>
      <c r="BA64" s="41" t="str">
        <f t="shared" si="2"/>
        <v/>
      </c>
      <c r="BB64" s="41">
        <f t="shared" si="18"/>
        <v>280</v>
      </c>
      <c r="BC64" s="46">
        <f t="shared" si="16"/>
        <v>1</v>
      </c>
      <c r="BD64" s="46">
        <f t="shared" si="5"/>
        <v>1</v>
      </c>
      <c r="BE64" s="46">
        <f t="shared" si="6"/>
        <v>0</v>
      </c>
      <c r="BF64" s="46">
        <f t="shared" si="7"/>
        <v>0</v>
      </c>
      <c r="BG64" s="46">
        <f t="shared" si="8"/>
        <v>1</v>
      </c>
      <c r="BH64" s="46">
        <f t="shared" si="9"/>
        <v>1</v>
      </c>
      <c r="BI64" s="3">
        <f t="shared" si="17"/>
        <v>4</v>
      </c>
      <c r="BJ64" s="3" t="str">
        <f t="shared" si="19"/>
        <v>Failed in 2 Subjects</v>
      </c>
      <c r="BK64" s="3" t="str">
        <f>IF(BA64="","",RANK(BA64,BA$2:BA88,0))</f>
        <v/>
      </c>
      <c r="BL64" s="3" t="str">
        <f t="shared" si="12"/>
        <v>খুবই দুর্বল</v>
      </c>
      <c r="BM64" s="3" t="str">
        <f t="shared" si="13"/>
        <v>Very Weak</v>
      </c>
      <c r="BN64" s="3" t="str">
        <f t="shared" si="14"/>
        <v/>
      </c>
    </row>
    <row r="65" spans="1:66" x14ac:dyDescent="0.35">
      <c r="A65" s="3" t="str">
        <f>'Student Basic Info'!B65</f>
        <v>Science</v>
      </c>
      <c r="B65" s="3">
        <f>'Student Basic Info'!A65</f>
        <v>764</v>
      </c>
      <c r="C65" s="3" t="str">
        <f>'Student Basic Info'!C65</f>
        <v>Kishor Chandra Nath</v>
      </c>
      <c r="D65" s="3" t="str">
        <f>'Student Basic Info'!D65</f>
        <v>Sunil Chandra Debnath</v>
      </c>
      <c r="E65" s="3" t="str">
        <f>'Student Basic Info'!E65</f>
        <v>Sobina Rani Devi</v>
      </c>
      <c r="F65" s="3" t="str">
        <f>'Student Basic Info'!F65</f>
        <v>Male</v>
      </c>
      <c r="G65" s="73" t="str">
        <f>'Student Basic Info'!I65</f>
        <v>01810-859088</v>
      </c>
      <c r="H65" s="74" t="str">
        <f>IF(Bangla!B65="","",Bangla!B65)</f>
        <v/>
      </c>
      <c r="I65" s="74">
        <f>IF(Bangla!C65="","",Bangla!C65)</f>
        <v>27</v>
      </c>
      <c r="J65" s="74">
        <f>IF(Bangla!D65="","",Bangla!D65)</f>
        <v>27</v>
      </c>
      <c r="K65" s="75">
        <f>IF(English!C65="","",English!C65)</f>
        <v>17</v>
      </c>
      <c r="L65" s="37">
        <f>IF(ICT!B65="","",ICT!B65)</f>
        <v>10</v>
      </c>
      <c r="M65" s="37">
        <f>IF(ICT!C65="","",ICT!C65)</f>
        <v>5</v>
      </c>
      <c r="N65" s="37">
        <f>IF(ICT!D65="","",ICT!D65)</f>
        <v>20</v>
      </c>
      <c r="O65" s="37">
        <f>IF(ICT!E65="","",ICT!E65)</f>
        <v>35</v>
      </c>
      <c r="P65" s="44">
        <f>IF(Physics!B65="","",Physics!B65)</f>
        <v>7</v>
      </c>
      <c r="Q65" s="44">
        <f>IF(Physics!C65="","",Physics!C65)</f>
        <v>14</v>
      </c>
      <c r="R65" s="44">
        <f>IF(Physics!D65="","",Physics!D65)</f>
        <v>12</v>
      </c>
      <c r="S65" s="89">
        <f>IF(Physics!E65="","",Physics!E65)</f>
        <v>33</v>
      </c>
      <c r="T65" s="37">
        <f>IF(Chemistry!B65="","",Chemistry!B65)</f>
        <v>11</v>
      </c>
      <c r="U65" s="37">
        <f>IF(Chemistry!C65="","",Chemistry!C65)</f>
        <v>11</v>
      </c>
      <c r="V65" s="37">
        <f>IF(Chemistry!D65="","",Chemistry!D65)</f>
        <v>9</v>
      </c>
      <c r="W65" s="37">
        <f>IF(Chemistry!E65="","",Chemistry!E65)</f>
        <v>31</v>
      </c>
      <c r="X65" s="38">
        <f>IF(SubjectList!G65="Math", IF(Math!B65="","",Math!B65), IF(Biology!B65="","",Biology!B65))</f>
        <v>12</v>
      </c>
      <c r="Y65" s="38">
        <f>IF(SubjectList!G65="Math", IF(Math!C65="","",Math!C65), IF(Biology!C65="","",Biology!C65))</f>
        <v>3</v>
      </c>
      <c r="Z65" s="38">
        <f>IF(SubjectList!G65="Math", IF(Math!D65="","",Math!D65), IF(Biology!D65="","",Biology!D65))</f>
        <v>10</v>
      </c>
      <c r="AA65" s="38">
        <f>IF(SubjectList!G65="Math", IF(Math!E65="","",Math!E65), IF(Biology!E65="","",Biology!E65))</f>
        <v>25</v>
      </c>
      <c r="AB65" s="44">
        <f>IF(SubjectList!I65="Biology", IF(Biology!B65="","",Biology!B65), IF(Math!B65="","",Math!B65))</f>
        <v>17</v>
      </c>
      <c r="AC65" s="44">
        <f>Optional!D65</f>
        <v>0</v>
      </c>
      <c r="AD65" s="44">
        <f>Optional!E65</f>
        <v>12</v>
      </c>
      <c r="AE65" s="44">
        <f>Optional!F65</f>
        <v>29</v>
      </c>
      <c r="AF65" s="39" t="str">
        <f>IF(SubjectList!G65="","", SubjectList!G65)</f>
        <v>Biology</v>
      </c>
      <c r="AG65" s="39" t="str">
        <f>IF(SubjectList!I65="","", SubjectList!I65)</f>
        <v>Math</v>
      </c>
      <c r="AH65" s="40" t="str">
        <f>Bangla!F65</f>
        <v>F</v>
      </c>
      <c r="AI65" s="91" t="str">
        <f>English!E65</f>
        <v>F</v>
      </c>
      <c r="AJ65" s="40" t="str">
        <f>ICT!G65</f>
        <v>F</v>
      </c>
      <c r="AK65" s="40" t="str">
        <f>Physics!G65</f>
        <v>F</v>
      </c>
      <c r="AL65" s="40" t="str">
        <f>Chemistry!G65</f>
        <v>F</v>
      </c>
      <c r="AM65" s="40" t="str">
        <f>IF(SubjectList!G65="Math", IF(Math!G65="","",Math!G65), IF(Biology!G65="","",Biology!G65))</f>
        <v>F</v>
      </c>
      <c r="AN65" s="40" t="str">
        <f>IF(SubjectList!H65="Math", IF(Math!G65="","",Math!G65), IF(Biology!G65="","",Biology!G65))</f>
        <v>F</v>
      </c>
      <c r="AO65" s="41">
        <f>Bangla!G65</f>
        <v>0</v>
      </c>
      <c r="AP65" s="41">
        <f>English!F65</f>
        <v>0</v>
      </c>
      <c r="AQ65" s="41">
        <f>ICT!H65</f>
        <v>0</v>
      </c>
      <c r="AR65" s="41">
        <f>Physics!H65</f>
        <v>0</v>
      </c>
      <c r="AS65" s="41">
        <f>Chemistry!H65</f>
        <v>0</v>
      </c>
      <c r="AT65" s="41">
        <f>IF(SubjectList!G65="Math", IF(Math!H65="","",Math!H65), IF(Biology!H65="","",Biology!H65))</f>
        <v>0</v>
      </c>
      <c r="AU65" s="41">
        <f>IF(SubjectList!I65="Math", IF(Math!H65="","",Math!H65), IF(Biology!H65="","",Biology!H65))</f>
        <v>0</v>
      </c>
      <c r="AV65" s="41">
        <f>Optional!I65</f>
        <v>0</v>
      </c>
      <c r="AW65" s="41">
        <f>Optional!J65</f>
        <v>0</v>
      </c>
      <c r="AX65" s="41" t="str">
        <f t="shared" si="0"/>
        <v/>
      </c>
      <c r="AY65" s="41" t="str">
        <f t="shared" si="15"/>
        <v/>
      </c>
      <c r="AZ65" s="41" t="str">
        <f t="shared" si="1"/>
        <v/>
      </c>
      <c r="BA65" s="41" t="str">
        <f t="shared" si="2"/>
        <v/>
      </c>
      <c r="BB65" s="41">
        <f t="shared" si="18"/>
        <v>197</v>
      </c>
      <c r="BC65" s="46">
        <f t="shared" si="16"/>
        <v>0</v>
      </c>
      <c r="BD65" s="46">
        <f t="shared" si="5"/>
        <v>0</v>
      </c>
      <c r="BE65" s="46">
        <f t="shared" si="6"/>
        <v>0</v>
      </c>
      <c r="BF65" s="46">
        <f t="shared" si="7"/>
        <v>0</v>
      </c>
      <c r="BG65" s="46">
        <f t="shared" si="8"/>
        <v>0</v>
      </c>
      <c r="BH65" s="46">
        <f t="shared" si="9"/>
        <v>0</v>
      </c>
      <c r="BI65" s="3">
        <f t="shared" si="17"/>
        <v>0</v>
      </c>
      <c r="BJ65" s="3" t="str">
        <f t="shared" si="19"/>
        <v>Failed in 6 Subjects</v>
      </c>
      <c r="BK65" s="3" t="str">
        <f>IF(BA65="","",RANK(BA65,BA$2:BA88,0))</f>
        <v/>
      </c>
      <c r="BL65" s="3" t="str">
        <f t="shared" si="12"/>
        <v>খুবই দুর্বল</v>
      </c>
      <c r="BM65" s="3" t="str">
        <f t="shared" si="13"/>
        <v>Very Weak</v>
      </c>
      <c r="BN65" s="3" t="str">
        <f t="shared" si="14"/>
        <v/>
      </c>
    </row>
    <row r="66" spans="1:66" x14ac:dyDescent="0.35">
      <c r="A66" s="3" t="str">
        <f>'Student Basic Info'!B66</f>
        <v>Science</v>
      </c>
      <c r="B66" s="3">
        <f>'Student Basic Info'!A66</f>
        <v>765</v>
      </c>
      <c r="C66" s="3" t="str">
        <f>'Student Basic Info'!C66</f>
        <v>Apurbo Shorma Apu</v>
      </c>
      <c r="D66" s="3" t="str">
        <f>'Student Basic Info'!D66</f>
        <v>Nupur Chandra Shel</v>
      </c>
      <c r="E66" s="3" t="str">
        <f>'Student Basic Info'!E66</f>
        <v>Beauty  Rani Shel</v>
      </c>
      <c r="F66" s="3" t="str">
        <f>'Student Basic Info'!F66</f>
        <v>Male</v>
      </c>
      <c r="G66" s="73" t="str">
        <f>'Student Basic Info'!I66</f>
        <v>01858-794128</v>
      </c>
      <c r="H66" s="74" t="str">
        <f>IF(Bangla!B66="","",Bangla!B66)</f>
        <v/>
      </c>
      <c r="I66" s="74">
        <f>IF(Bangla!C66="","",Bangla!C66)</f>
        <v>56</v>
      </c>
      <c r="J66" s="74">
        <f>IF(Bangla!D66="","",Bangla!D66)</f>
        <v>56</v>
      </c>
      <c r="K66" s="75">
        <f>IF(English!C66="","",English!C66)</f>
        <v>50</v>
      </c>
      <c r="L66" s="37">
        <f>IF(ICT!B66="","",ICT!B66)</f>
        <v>17</v>
      </c>
      <c r="M66" s="37">
        <f>IF(ICT!C66="","",ICT!C66)</f>
        <v>35</v>
      </c>
      <c r="N66" s="37">
        <f>IF(ICT!D66="","",ICT!D66)</f>
        <v>18</v>
      </c>
      <c r="O66" s="37">
        <f>IF(ICT!E66="","",ICT!E66)</f>
        <v>70</v>
      </c>
      <c r="P66" s="44">
        <f>IF(Physics!B66="","",Physics!B66)</f>
        <v>12</v>
      </c>
      <c r="Q66" s="44">
        <f>IF(Physics!C66="","",Physics!C66)</f>
        <v>27</v>
      </c>
      <c r="R66" s="44">
        <f>IF(Physics!D66="","",Physics!D66)</f>
        <v>16</v>
      </c>
      <c r="S66" s="89">
        <f>IF(Physics!E66="","",Physics!E66)</f>
        <v>55</v>
      </c>
      <c r="T66" s="37">
        <f>IF(Chemistry!B66="","",Chemistry!B66)</f>
        <v>15</v>
      </c>
      <c r="U66" s="37">
        <f>IF(Chemistry!C66="","",Chemistry!C66)</f>
        <v>35</v>
      </c>
      <c r="V66" s="37">
        <f>IF(Chemistry!D66="","",Chemistry!D66)</f>
        <v>25</v>
      </c>
      <c r="W66" s="37">
        <f>IF(Chemistry!E66="","",Chemistry!E66)</f>
        <v>75</v>
      </c>
      <c r="X66" s="38">
        <f>IF(SubjectList!G66="Math", IF(Math!B66="","",Math!B66), IF(Biology!B66="","",Biology!B66))</f>
        <v>8</v>
      </c>
      <c r="Y66" s="38">
        <f>IF(SubjectList!G66="Math", IF(Math!C66="","",Math!C66), IF(Biology!C66="","",Biology!C66))</f>
        <v>25</v>
      </c>
      <c r="Z66" s="38">
        <f>IF(SubjectList!G66="Math", IF(Math!D66="","",Math!D66), IF(Biology!D66="","",Biology!D66))</f>
        <v>17</v>
      </c>
      <c r="AA66" s="38">
        <f>IF(SubjectList!G66="Math", IF(Math!E66="","",Math!E66), IF(Biology!E66="","",Biology!E66))</f>
        <v>50</v>
      </c>
      <c r="AB66" s="44">
        <f>IF(SubjectList!I66="Biology", IF(Biology!B66="","",Biology!B66), IF(Math!B66="","",Math!B66))</f>
        <v>13</v>
      </c>
      <c r="AC66" s="44">
        <f>Optional!D66</f>
        <v>12</v>
      </c>
      <c r="AD66" s="44">
        <f>Optional!E66</f>
        <v>11</v>
      </c>
      <c r="AE66" s="44">
        <f>Optional!F66</f>
        <v>36</v>
      </c>
      <c r="AF66" s="39" t="str">
        <f>IF(SubjectList!G66="","", SubjectList!G66)</f>
        <v>Biology</v>
      </c>
      <c r="AG66" s="39" t="str">
        <f>IF(SubjectList!I66="","", SubjectList!I66)</f>
        <v>Math</v>
      </c>
      <c r="AH66" s="40" t="str">
        <f>Bangla!F66</f>
        <v>B</v>
      </c>
      <c r="AI66" s="91" t="str">
        <f>English!E66</f>
        <v>B</v>
      </c>
      <c r="AJ66" s="40" t="str">
        <f>ICT!G66</f>
        <v>A</v>
      </c>
      <c r="AK66" s="40" t="str">
        <f>Physics!G66</f>
        <v>B</v>
      </c>
      <c r="AL66" s="40" t="str">
        <f>Chemistry!G66</f>
        <v>A</v>
      </c>
      <c r="AM66" s="40" t="str">
        <f>IF(SubjectList!G66="Math", IF(Math!G66="","",Math!G66), IF(Biology!G66="","",Biology!G66))</f>
        <v>B</v>
      </c>
      <c r="AN66" s="40" t="str">
        <f>IF(SubjectList!H66="Math", IF(Math!G66="","",Math!G66), IF(Biology!G66="","",Biology!G66))</f>
        <v>F</v>
      </c>
      <c r="AO66" s="41">
        <f>Bangla!G66</f>
        <v>3</v>
      </c>
      <c r="AP66" s="41">
        <f>English!F66</f>
        <v>3</v>
      </c>
      <c r="AQ66" s="41">
        <f>ICT!H66</f>
        <v>4</v>
      </c>
      <c r="AR66" s="41">
        <f>Physics!H66</f>
        <v>3</v>
      </c>
      <c r="AS66" s="41">
        <f>Chemistry!H66</f>
        <v>4</v>
      </c>
      <c r="AT66" s="41">
        <f>IF(SubjectList!G66="Math", IF(Math!H66="","",Math!H66), IF(Biology!H66="","",Biology!H66))</f>
        <v>3</v>
      </c>
      <c r="AU66" s="41">
        <f>IF(SubjectList!I66="Math", IF(Math!H66="","",Math!H66), IF(Biology!H66="","",Biology!H66))</f>
        <v>0</v>
      </c>
      <c r="AV66" s="41">
        <f>Optional!I66</f>
        <v>0</v>
      </c>
      <c r="AW66" s="41">
        <f>Optional!J66</f>
        <v>0</v>
      </c>
      <c r="AX66" s="41">
        <f t="shared" ref="AX66:AX87" si="20">IF(BI66=0, "", SUM(AO66:AT66))</f>
        <v>20</v>
      </c>
      <c r="AY66" s="41">
        <f t="shared" si="15"/>
        <v>20</v>
      </c>
      <c r="AZ66" s="41">
        <f t="shared" ref="AZ66:AZ87" si="21">IF(BI66=6,IF(AY66&gt;=30,5,(AY66-AW66)/6),"")</f>
        <v>3.3333333333333335</v>
      </c>
      <c r="BA66" s="41">
        <f t="shared" ref="BA66:BA87" si="22">IF(BI66=6, IF(AY66&gt;=30,5,(AY66)/6), "")</f>
        <v>3.3333333333333335</v>
      </c>
      <c r="BB66" s="41">
        <f t="shared" si="18"/>
        <v>392</v>
      </c>
      <c r="BC66" s="46">
        <f t="shared" si="16"/>
        <v>1</v>
      </c>
      <c r="BD66" s="46">
        <f t="shared" si="5"/>
        <v>1</v>
      </c>
      <c r="BE66" s="46">
        <f t="shared" si="6"/>
        <v>1</v>
      </c>
      <c r="BF66" s="46">
        <f t="shared" si="7"/>
        <v>1</v>
      </c>
      <c r="BG66" s="46">
        <f t="shared" si="8"/>
        <v>1</v>
      </c>
      <c r="BH66" s="46">
        <f t="shared" si="9"/>
        <v>1</v>
      </c>
      <c r="BI66" s="3">
        <f t="shared" si="17"/>
        <v>6</v>
      </c>
      <c r="BJ66" s="3" t="str">
        <f t="shared" si="19"/>
        <v>Pass</v>
      </c>
      <c r="BK66" s="3">
        <f>IF(BA66="","",RANK(BA66,BA$2:BA88,0))</f>
        <v>5</v>
      </c>
      <c r="BL66" s="3" t="str">
        <f t="shared" si="12"/>
        <v>মধ্যম মানের</v>
      </c>
      <c r="BM66" s="3" t="str">
        <f t="shared" si="13"/>
        <v>Average</v>
      </c>
      <c r="BN66" s="3" t="str">
        <f t="shared" si="14"/>
        <v>B</v>
      </c>
    </row>
    <row r="67" spans="1:66" x14ac:dyDescent="0.35">
      <c r="A67" s="3" t="str">
        <f>'Student Basic Info'!B67</f>
        <v>Science</v>
      </c>
      <c r="B67" s="3">
        <f>'Student Basic Info'!A67</f>
        <v>766</v>
      </c>
      <c r="C67" s="3" t="str">
        <f>'Student Basic Info'!C67</f>
        <v xml:space="preserve">Md. Ibrahim Khalil </v>
      </c>
      <c r="D67" s="3" t="str">
        <f>'Student Basic Info'!D67</f>
        <v>Zahangir Alam</v>
      </c>
      <c r="E67" s="3" t="str">
        <f>'Student Basic Info'!E67</f>
        <v>Rajaber Nesa</v>
      </c>
      <c r="F67" s="3" t="str">
        <f>'Student Basic Info'!F67</f>
        <v>Male</v>
      </c>
      <c r="G67" s="73" t="str">
        <f>'Student Basic Info'!I67</f>
        <v>01819-723708</v>
      </c>
      <c r="H67" s="74" t="str">
        <f>IF(Bangla!B67="","",Bangla!B67)</f>
        <v/>
      </c>
      <c r="I67" s="74">
        <f>IF(Bangla!C67="","",Bangla!C67)</f>
        <v>56</v>
      </c>
      <c r="J67" s="74">
        <f>IF(Bangla!D67="","",Bangla!D67)</f>
        <v>56</v>
      </c>
      <c r="K67" s="75">
        <f>IF(English!C67="","",English!C67)</f>
        <v>49</v>
      </c>
      <c r="L67" s="37">
        <f>IF(ICT!B67="","",ICT!B67)</f>
        <v>15</v>
      </c>
      <c r="M67" s="37">
        <f>IF(ICT!C67="","",ICT!C67)</f>
        <v>31</v>
      </c>
      <c r="N67" s="37">
        <f>IF(ICT!D67="","",ICT!D67)</f>
        <v>20</v>
      </c>
      <c r="O67" s="37">
        <f>IF(ICT!E67="","",ICT!E67)</f>
        <v>66</v>
      </c>
      <c r="P67" s="44">
        <f>IF(Physics!B67="","",Physics!B67)</f>
        <v>11</v>
      </c>
      <c r="Q67" s="44">
        <f>IF(Physics!C67="","",Physics!C67)</f>
        <v>40</v>
      </c>
      <c r="R67" s="44">
        <f>IF(Physics!D67="","",Physics!D67)</f>
        <v>19</v>
      </c>
      <c r="S67" s="89">
        <f>IF(Physics!E67="","",Physics!E67)</f>
        <v>70</v>
      </c>
      <c r="T67" s="37">
        <f>IF(Chemistry!B67="","",Chemistry!B67)</f>
        <v>9</v>
      </c>
      <c r="U67" s="37">
        <f>IF(Chemistry!C67="","",Chemistry!C67)</f>
        <v>31</v>
      </c>
      <c r="V67" s="37">
        <f>IF(Chemistry!D67="","",Chemistry!D67)</f>
        <v>20</v>
      </c>
      <c r="W67" s="37">
        <f>IF(Chemistry!E67="","",Chemistry!E67)</f>
        <v>60</v>
      </c>
      <c r="X67" s="38">
        <f>IF(SubjectList!G67="Math", IF(Math!B67="","",Math!B67), IF(Biology!B67="","",Biology!B67))</f>
        <v>8</v>
      </c>
      <c r="Y67" s="38">
        <f>IF(SubjectList!G67="Math", IF(Math!C67="","",Math!C67), IF(Biology!C67="","",Biology!C67))</f>
        <v>26</v>
      </c>
      <c r="Z67" s="38">
        <f>IF(SubjectList!G67="Math", IF(Math!D67="","",Math!D67), IF(Biology!D67="","",Biology!D67))</f>
        <v>16</v>
      </c>
      <c r="AA67" s="38">
        <f>IF(SubjectList!G67="Math", IF(Math!E67="","",Math!E67), IF(Biology!E67="","",Biology!E67))</f>
        <v>50</v>
      </c>
      <c r="AB67" s="44">
        <f>IF(SubjectList!I67="Biology", IF(Biology!B67="","",Biology!B67), IF(Math!B67="","",Math!B67))</f>
        <v>13</v>
      </c>
      <c r="AC67" s="44">
        <f>Optional!D67</f>
        <v>11</v>
      </c>
      <c r="AD67" s="44">
        <f>Optional!E67</f>
        <v>15</v>
      </c>
      <c r="AE67" s="44">
        <f>Optional!F67</f>
        <v>39</v>
      </c>
      <c r="AF67" s="39" t="str">
        <f>IF(SubjectList!G67="","", SubjectList!G67)</f>
        <v>Biology</v>
      </c>
      <c r="AG67" s="39" t="str">
        <f>IF(SubjectList!I67="","", SubjectList!I67)</f>
        <v>Math</v>
      </c>
      <c r="AH67" s="40" t="str">
        <f>Bangla!F67</f>
        <v>B</v>
      </c>
      <c r="AI67" s="91" t="str">
        <f>English!E67</f>
        <v>C</v>
      </c>
      <c r="AJ67" s="40" t="str">
        <f>ICT!G67</f>
        <v>A-</v>
      </c>
      <c r="AK67" s="40" t="str">
        <f>Physics!G67</f>
        <v>A</v>
      </c>
      <c r="AL67" s="40" t="str">
        <f>Chemistry!G67</f>
        <v>A-</v>
      </c>
      <c r="AM67" s="40" t="str">
        <f>IF(SubjectList!G67="Math", IF(Math!G67="","",Math!G67), IF(Biology!G67="","",Biology!G67))</f>
        <v>B</v>
      </c>
      <c r="AN67" s="40" t="str">
        <f>IF(SubjectList!H67="Math", IF(Math!G67="","",Math!G67), IF(Biology!G67="","",Biology!G67))</f>
        <v>F</v>
      </c>
      <c r="AO67" s="41">
        <f>Bangla!G67</f>
        <v>3</v>
      </c>
      <c r="AP67" s="41">
        <f>English!F67</f>
        <v>2</v>
      </c>
      <c r="AQ67" s="41">
        <f>ICT!H67</f>
        <v>3.5</v>
      </c>
      <c r="AR67" s="41">
        <f>Physics!H67</f>
        <v>4</v>
      </c>
      <c r="AS67" s="41">
        <f>Chemistry!H67</f>
        <v>3.5</v>
      </c>
      <c r="AT67" s="41">
        <f>IF(SubjectList!G67="Math", IF(Math!H67="","",Math!H67), IF(Biology!H67="","",Biology!H67))</f>
        <v>3</v>
      </c>
      <c r="AU67" s="41">
        <f>IF(SubjectList!I67="Math", IF(Math!H67="","",Math!H67), IF(Biology!H67="","",Biology!H67))</f>
        <v>0</v>
      </c>
      <c r="AV67" s="41">
        <f>Optional!I67</f>
        <v>0</v>
      </c>
      <c r="AW67" s="41">
        <f>Optional!J67</f>
        <v>0</v>
      </c>
      <c r="AX67" s="41">
        <f t="shared" si="20"/>
        <v>19</v>
      </c>
      <c r="AY67" s="41">
        <f t="shared" si="15"/>
        <v>19</v>
      </c>
      <c r="AZ67" s="41">
        <f t="shared" si="21"/>
        <v>3.1666666666666665</v>
      </c>
      <c r="BA67" s="41">
        <f t="shared" si="22"/>
        <v>3.1666666666666665</v>
      </c>
      <c r="BB67" s="41">
        <f t="shared" si="18"/>
        <v>390</v>
      </c>
      <c r="BC67" s="46">
        <f t="shared" si="16"/>
        <v>1</v>
      </c>
      <c r="BD67" s="46">
        <f t="shared" ref="BD67:BD88" si="23">(IF(AP67="","",IF(AP67=0,0,1)))</f>
        <v>1</v>
      </c>
      <c r="BE67" s="46">
        <f t="shared" ref="BE67:BE88" si="24">(IF(AQ67="","",IF(AQ67=0,0,1)))</f>
        <v>1</v>
      </c>
      <c r="BF67" s="46">
        <f t="shared" ref="BF67:BF88" si="25">(IF(AR67="","",IF(AR67=0,0,1)))</f>
        <v>1</v>
      </c>
      <c r="BG67" s="46">
        <f t="shared" ref="BG67:BG88" si="26">(IF(AS67="","",IF(AS67=0,0,1)))</f>
        <v>1</v>
      </c>
      <c r="BH67" s="46">
        <f t="shared" ref="BH67:BH88" si="27">(IF(AT67="","",IF(AT67=0,0,1)))</f>
        <v>1</v>
      </c>
      <c r="BI67" s="3">
        <f t="shared" ref="BI67:BI87" si="28">SUM(BC67:BH67)</f>
        <v>6</v>
      </c>
      <c r="BJ67" s="3" t="str">
        <f t="shared" ref="BJ67:BJ87" si="29">IF(BI67=0,"Failed in 6 Subjects",IF(BI67=1,"Failed in 5 Subjects",IF(BI67=2,"Failed in 4 Subjects",IF(BI67=3,"Failed in 3 Subjects",IF(BI67=4,"Failed in 2 Subjects",IF(BI67=5,"Failed in 1 Subject",IF(BI67=6,"Pass")))))))</f>
        <v>Pass</v>
      </c>
      <c r="BK67" s="3">
        <f>IF(BA67="","",RANK(BA67,BA$2:BA88,0))</f>
        <v>7</v>
      </c>
      <c r="BL67" s="3" t="str">
        <f t="shared" ref="BL67:BL88" si="30">(IF(BA67="","খুবই দুর্বল",IF(BA67=5,"অসাধারন",IF(BA67&gt;=4,"খুব ভালো",IF(BA67&gt;=3.5,"ভালো",IF(BA67&gt;=3,"মধ্যম মানের",IF(BA67&gt;=2,"যত্ন প্রয়োজন",IF(BA67&gt;=1,"দূর্বল",IF(BA67&gt;=0,"খুবই দূর্বল","খুবই দূর্বল")))))))))</f>
        <v>মধ্যম মানের</v>
      </c>
      <c r="BM67" s="3" t="str">
        <f t="shared" ref="BM67:BM88" si="31">(IF(BA67="","Very Weak",IF(BA67=5,"Excellent",IF(BA67&gt;=4,"Very Good",IF(BA67&gt;=3.5,"Good",IF(BA67&gt;=3,"Average",IF(BA67&gt;=2,"Need to improve",IF(BA67&gt;=1,"Weak",IF(BA67&gt;=0,"Very Weak","খুবই দূর্বল")))))))))</f>
        <v>Average</v>
      </c>
      <c r="BN67" s="3" t="str">
        <f t="shared" ref="BN67:BN88" si="32">IF(BA67&gt;=5,"",IF(BA67&gt;=4,"A",IF(BA67&gt;=3.5,"A-",IF(BA67&gt;=3,"B",IF(BA67&gt;=2,"C",IF(BA67&gt;=1,"D","F"))))))</f>
        <v>B</v>
      </c>
    </row>
    <row r="68" spans="1:66" x14ac:dyDescent="0.35">
      <c r="A68" s="3" t="str">
        <f>'Student Basic Info'!B68</f>
        <v>Science</v>
      </c>
      <c r="B68" s="3">
        <f>'Student Basic Info'!A68</f>
        <v>767</v>
      </c>
      <c r="C68" s="3" t="str">
        <f>'Student Basic Info'!C68</f>
        <v>Ayman Mahmud Tawsif</v>
      </c>
      <c r="D68" s="3" t="str">
        <f>'Student Basic Info'!D68</f>
        <v>Md. Nur Uddin</v>
      </c>
      <c r="E68" s="3" t="str">
        <f>'Student Basic Info'!E68</f>
        <v>Azima Khatun</v>
      </c>
      <c r="F68" s="3" t="str">
        <f>'Student Basic Info'!F68</f>
        <v>Male</v>
      </c>
      <c r="G68" s="73" t="str">
        <f>'Student Basic Info'!I68</f>
        <v>01863-148786</v>
      </c>
      <c r="H68" s="74" t="str">
        <f>IF(Bangla!B68="","",Bangla!B68)</f>
        <v/>
      </c>
      <c r="I68" s="74">
        <f>IF(Bangla!C68="","",Bangla!C68)</f>
        <v>61</v>
      </c>
      <c r="J68" s="74">
        <f>IF(Bangla!D68="","",Bangla!D68)</f>
        <v>61</v>
      </c>
      <c r="K68" s="75">
        <f>IF(English!C68="","",English!C68)</f>
        <v>50</v>
      </c>
      <c r="L68" s="37">
        <f>IF(ICT!B68="","",ICT!B68)</f>
        <v>17</v>
      </c>
      <c r="M68" s="37">
        <f>IF(ICT!C68="","",ICT!C68)</f>
        <v>33</v>
      </c>
      <c r="N68" s="37">
        <f>IF(ICT!D68="","",ICT!D68)</f>
        <v>20</v>
      </c>
      <c r="O68" s="37">
        <f>IF(ICT!E68="","",ICT!E68)</f>
        <v>70</v>
      </c>
      <c r="P68" s="44">
        <f>IF(Physics!B68="","",Physics!B68)</f>
        <v>14</v>
      </c>
      <c r="Q68" s="44">
        <f>IF(Physics!C68="","",Physics!C68)</f>
        <v>42</v>
      </c>
      <c r="R68" s="44">
        <f>IF(Physics!D68="","",Physics!D68)</f>
        <v>20</v>
      </c>
      <c r="S68" s="89">
        <f>IF(Physics!E68="","",Physics!E68)</f>
        <v>76</v>
      </c>
      <c r="T68" s="37">
        <f>IF(Chemistry!B68="","",Chemistry!B68)</f>
        <v>12</v>
      </c>
      <c r="U68" s="37">
        <f>IF(Chemistry!C68="","",Chemistry!C68)</f>
        <v>26</v>
      </c>
      <c r="V68" s="37">
        <f>IF(Chemistry!D68="","",Chemistry!D68)</f>
        <v>16</v>
      </c>
      <c r="W68" s="37">
        <f>IF(Chemistry!E68="","",Chemistry!E68)</f>
        <v>54</v>
      </c>
      <c r="X68" s="38">
        <f>IF(SubjectList!G68="Math", IF(Math!B68="","",Math!B68), IF(Biology!B68="","",Biology!B68))</f>
        <v>8</v>
      </c>
      <c r="Y68" s="38">
        <f>IF(SubjectList!G68="Math", IF(Math!C68="","",Math!C68), IF(Biology!C68="","",Biology!C68))</f>
        <v>28</v>
      </c>
      <c r="Z68" s="38">
        <f>IF(SubjectList!G68="Math", IF(Math!D68="","",Math!D68), IF(Biology!D68="","",Biology!D68))</f>
        <v>18</v>
      </c>
      <c r="AA68" s="38">
        <f>IF(SubjectList!G68="Math", IF(Math!E68="","",Math!E68), IF(Biology!E68="","",Biology!E68))</f>
        <v>54</v>
      </c>
      <c r="AB68" s="44">
        <f>IF(SubjectList!I68="Biology", IF(Biology!B68="","",Biology!B68), IF(Math!B68="","",Math!B68))</f>
        <v>11</v>
      </c>
      <c r="AC68" s="44">
        <f>Optional!D68</f>
        <v>12</v>
      </c>
      <c r="AD68" s="44">
        <f>Optional!E68</f>
        <v>12</v>
      </c>
      <c r="AE68" s="44">
        <f>Optional!F68</f>
        <v>35</v>
      </c>
      <c r="AF68" s="39" t="str">
        <f>IF(SubjectList!G68="","", SubjectList!G68)</f>
        <v>Biology</v>
      </c>
      <c r="AG68" s="39" t="str">
        <f>IF(SubjectList!I68="","", SubjectList!I68)</f>
        <v>Math</v>
      </c>
      <c r="AH68" s="40" t="str">
        <f>Bangla!F68</f>
        <v>A-</v>
      </c>
      <c r="AI68" s="91" t="str">
        <f>English!E68</f>
        <v>B</v>
      </c>
      <c r="AJ68" s="40" t="str">
        <f>ICT!G68</f>
        <v>A</v>
      </c>
      <c r="AK68" s="40" t="str">
        <f>Physics!G68</f>
        <v>A</v>
      </c>
      <c r="AL68" s="40" t="str">
        <f>Chemistry!G68</f>
        <v>B</v>
      </c>
      <c r="AM68" s="40" t="str">
        <f>IF(SubjectList!G68="Math", IF(Math!G68="","",Math!G68), IF(Biology!G68="","",Biology!G68))</f>
        <v>B</v>
      </c>
      <c r="AN68" s="40" t="str">
        <f>IF(SubjectList!H68="Math", IF(Math!G68="","",Math!G68), IF(Biology!G68="","",Biology!G68))</f>
        <v>F</v>
      </c>
      <c r="AO68" s="41">
        <f>Bangla!G68</f>
        <v>3.5</v>
      </c>
      <c r="AP68" s="41">
        <f>English!F68</f>
        <v>3</v>
      </c>
      <c r="AQ68" s="41">
        <f>ICT!H68</f>
        <v>4</v>
      </c>
      <c r="AR68" s="41">
        <f>Physics!H68</f>
        <v>4</v>
      </c>
      <c r="AS68" s="41">
        <f>Chemistry!H68</f>
        <v>3</v>
      </c>
      <c r="AT68" s="41">
        <f>IF(SubjectList!G68="Math", IF(Math!H68="","",Math!H68), IF(Biology!H68="","",Biology!H68))</f>
        <v>3</v>
      </c>
      <c r="AU68" s="41">
        <f>IF(SubjectList!I68="Math", IF(Math!H68="","",Math!H68), IF(Biology!H68="","",Biology!H68))</f>
        <v>0</v>
      </c>
      <c r="AV68" s="41">
        <f>Optional!I68</f>
        <v>0</v>
      </c>
      <c r="AW68" s="41">
        <f>Optional!J68</f>
        <v>0</v>
      </c>
      <c r="AX68" s="41">
        <f t="shared" si="20"/>
        <v>20.5</v>
      </c>
      <c r="AY68" s="41">
        <f t="shared" ref="AY68:AY88" si="33">IF(SUM(AW68:AX68)=0,"",SUM(AW68:AX68))</f>
        <v>20.5</v>
      </c>
      <c r="AZ68" s="41">
        <f t="shared" si="21"/>
        <v>3.4166666666666665</v>
      </c>
      <c r="BA68" s="41">
        <f t="shared" si="22"/>
        <v>3.4166666666666665</v>
      </c>
      <c r="BB68" s="41">
        <f t="shared" si="18"/>
        <v>400</v>
      </c>
      <c r="BC68" s="46">
        <f t="shared" ref="BC68:BC88" si="34">(IF(AO68="","",IF(AO68=0,0,1)))</f>
        <v>1</v>
      </c>
      <c r="BD68" s="46">
        <f t="shared" si="23"/>
        <v>1</v>
      </c>
      <c r="BE68" s="46">
        <f t="shared" si="24"/>
        <v>1</v>
      </c>
      <c r="BF68" s="46">
        <f t="shared" si="25"/>
        <v>1</v>
      </c>
      <c r="BG68" s="46">
        <f t="shared" si="26"/>
        <v>1</v>
      </c>
      <c r="BH68" s="46">
        <f t="shared" si="27"/>
        <v>1</v>
      </c>
      <c r="BI68" s="3">
        <f t="shared" si="28"/>
        <v>6</v>
      </c>
      <c r="BJ68" s="3" t="str">
        <f t="shared" si="29"/>
        <v>Pass</v>
      </c>
      <c r="BK68" s="3">
        <f>IF(BA68="","",RANK(BA68,BA$2:BA88,0))</f>
        <v>4</v>
      </c>
      <c r="BL68" s="3" t="str">
        <f t="shared" si="30"/>
        <v>মধ্যম মানের</v>
      </c>
      <c r="BM68" s="3" t="str">
        <f t="shared" si="31"/>
        <v>Average</v>
      </c>
      <c r="BN68" s="3" t="str">
        <f t="shared" si="32"/>
        <v>B</v>
      </c>
    </row>
    <row r="69" spans="1:66" x14ac:dyDescent="0.35">
      <c r="A69" s="3" t="str">
        <f>'Student Basic Info'!B69</f>
        <v>Science</v>
      </c>
      <c r="B69" s="3">
        <f>'Student Basic Info'!A69</f>
        <v>768</v>
      </c>
      <c r="C69" s="3" t="str">
        <f>'Student Basic Info'!C69</f>
        <v>Tanvir Hosain</v>
      </c>
      <c r="D69" s="3" t="str">
        <f>'Student Basic Info'!D69</f>
        <v>Shakhawat Hosain</v>
      </c>
      <c r="E69" s="3" t="str">
        <f>'Student Basic Info'!E69</f>
        <v>Kamrun Nahar</v>
      </c>
      <c r="F69" s="3" t="str">
        <f>'Student Basic Info'!F69</f>
        <v>Male</v>
      </c>
      <c r="G69" s="73" t="str">
        <f>'Student Basic Info'!I69</f>
        <v>01881-632660</v>
      </c>
      <c r="H69" s="74" t="str">
        <f>IF(Bangla!B69="","",Bangla!B69)</f>
        <v/>
      </c>
      <c r="I69" s="74">
        <f>IF(Bangla!C69="","",Bangla!C69)</f>
        <v>46</v>
      </c>
      <c r="J69" s="74">
        <f>IF(Bangla!D69="","",Bangla!D69)</f>
        <v>46</v>
      </c>
      <c r="K69" s="75">
        <f>IF(English!C69="","",English!C69)</f>
        <v>25</v>
      </c>
      <c r="L69" s="37">
        <f>IF(ICT!B69="","",ICT!B69)</f>
        <v>17</v>
      </c>
      <c r="M69" s="37">
        <f>IF(ICT!C69="","",ICT!C69)</f>
        <v>23</v>
      </c>
      <c r="N69" s="37">
        <f>IF(ICT!D69="","",ICT!D69)</f>
        <v>18</v>
      </c>
      <c r="O69" s="37">
        <f>IF(ICT!E69="","",ICT!E69)</f>
        <v>58</v>
      </c>
      <c r="P69" s="44">
        <f>IF(Physics!B69="","",Physics!B69)</f>
        <v>12</v>
      </c>
      <c r="Q69" s="44">
        <f>IF(Physics!C69="","",Physics!C69)</f>
        <v>24</v>
      </c>
      <c r="R69" s="44">
        <f>IF(Physics!D69="","",Physics!D69)</f>
        <v>16</v>
      </c>
      <c r="S69" s="89">
        <f>IF(Physics!E69="","",Physics!E69)</f>
        <v>52</v>
      </c>
      <c r="T69" s="37">
        <f>IF(Chemistry!B69="","",Chemistry!B69)</f>
        <v>5</v>
      </c>
      <c r="U69" s="37">
        <f>IF(Chemistry!C69="","",Chemistry!C69)</f>
        <v>3</v>
      </c>
      <c r="V69" s="37">
        <f>IF(Chemistry!D69="","",Chemistry!D69)</f>
        <v>10</v>
      </c>
      <c r="W69" s="37">
        <f>IF(Chemistry!E69="","",Chemistry!E69)</f>
        <v>18</v>
      </c>
      <c r="X69" s="38">
        <f>IF(SubjectList!G69="Math", IF(Math!B69="","",Math!B69), IF(Biology!B69="","",Biology!B69))</f>
        <v>10</v>
      </c>
      <c r="Y69" s="38">
        <f>IF(SubjectList!G69="Math", IF(Math!C69="","",Math!C69), IF(Biology!C69="","",Biology!C69))</f>
        <v>17</v>
      </c>
      <c r="Z69" s="38">
        <f>IF(SubjectList!G69="Math", IF(Math!D69="","",Math!D69), IF(Biology!D69="","",Biology!D69))</f>
        <v>13</v>
      </c>
      <c r="AA69" s="38">
        <f>IF(SubjectList!G69="Math", IF(Math!E69="","",Math!E69), IF(Biology!E69="","",Biology!E69))</f>
        <v>40</v>
      </c>
      <c r="AB69" s="44">
        <f>IF(SubjectList!I69="Biology", IF(Biology!B69="","",Biology!B69), IF(Math!B69="","",Math!B69))</f>
        <v>9</v>
      </c>
      <c r="AC69" s="44">
        <f>Optional!D69</f>
        <v>0</v>
      </c>
      <c r="AD69" s="44">
        <f>Optional!E69</f>
        <v>9</v>
      </c>
      <c r="AE69" s="44">
        <f>Optional!F69</f>
        <v>18</v>
      </c>
      <c r="AF69" s="39" t="str">
        <f>IF(SubjectList!G69="","", SubjectList!G69)</f>
        <v>Biology</v>
      </c>
      <c r="AG69" s="39" t="str">
        <f>IF(SubjectList!I69="","", SubjectList!I69)</f>
        <v>Math</v>
      </c>
      <c r="AH69" s="40" t="str">
        <f>Bangla!F69</f>
        <v>C</v>
      </c>
      <c r="AI69" s="91" t="str">
        <f>English!E69</f>
        <v>F</v>
      </c>
      <c r="AJ69" s="40" t="str">
        <f>ICT!G69</f>
        <v>B</v>
      </c>
      <c r="AK69" s="40" t="str">
        <f>Physics!G69</f>
        <v>B</v>
      </c>
      <c r="AL69" s="40" t="str">
        <f>Chemistry!G69</f>
        <v>F</v>
      </c>
      <c r="AM69" s="40" t="str">
        <f>IF(SubjectList!G69="Math", IF(Math!G69="","",Math!G69), IF(Biology!G69="","",Biology!G69))</f>
        <v>C</v>
      </c>
      <c r="AN69" s="40" t="str">
        <f>IF(SubjectList!H69="Math", IF(Math!G69="","",Math!G69), IF(Biology!G69="","",Biology!G69))</f>
        <v>F</v>
      </c>
      <c r="AO69" s="41">
        <f>Bangla!G69</f>
        <v>2</v>
      </c>
      <c r="AP69" s="41">
        <f>English!F69</f>
        <v>0</v>
      </c>
      <c r="AQ69" s="41">
        <f>ICT!H69</f>
        <v>3</v>
      </c>
      <c r="AR69" s="41">
        <f>Physics!H69</f>
        <v>3</v>
      </c>
      <c r="AS69" s="41">
        <f>Chemistry!H69</f>
        <v>0</v>
      </c>
      <c r="AT69" s="41">
        <f>IF(SubjectList!G69="Math", IF(Math!H69="","",Math!H69), IF(Biology!H69="","",Biology!H69))</f>
        <v>2</v>
      </c>
      <c r="AU69" s="41">
        <f>IF(SubjectList!I69="Math", IF(Math!H69="","",Math!H69), IF(Biology!H69="","",Biology!H69))</f>
        <v>0</v>
      </c>
      <c r="AV69" s="41">
        <f>Optional!I69</f>
        <v>0</v>
      </c>
      <c r="AW69" s="41">
        <f>Optional!J69</f>
        <v>0</v>
      </c>
      <c r="AX69" s="41">
        <f t="shared" si="20"/>
        <v>10</v>
      </c>
      <c r="AY69" s="41">
        <f t="shared" si="33"/>
        <v>10</v>
      </c>
      <c r="AZ69" s="41" t="str">
        <f t="shared" si="21"/>
        <v/>
      </c>
      <c r="BA69" s="41" t="str">
        <f t="shared" si="22"/>
        <v/>
      </c>
      <c r="BB69" s="41">
        <f t="shared" si="18"/>
        <v>257</v>
      </c>
      <c r="BC69" s="46">
        <f t="shared" si="34"/>
        <v>1</v>
      </c>
      <c r="BD69" s="46">
        <f t="shared" si="23"/>
        <v>0</v>
      </c>
      <c r="BE69" s="46">
        <f t="shared" si="24"/>
        <v>1</v>
      </c>
      <c r="BF69" s="46">
        <f t="shared" si="25"/>
        <v>1</v>
      </c>
      <c r="BG69" s="46">
        <f t="shared" si="26"/>
        <v>0</v>
      </c>
      <c r="BH69" s="46">
        <f t="shared" si="27"/>
        <v>1</v>
      </c>
      <c r="BI69" s="3">
        <f t="shared" si="28"/>
        <v>4</v>
      </c>
      <c r="BJ69" s="3" t="str">
        <f t="shared" si="29"/>
        <v>Failed in 2 Subjects</v>
      </c>
      <c r="BK69" s="3" t="str">
        <f>IF(BA69="","",RANK(BA69,BA$2:BA88,0))</f>
        <v/>
      </c>
      <c r="BL69" s="3" t="str">
        <f t="shared" si="30"/>
        <v>খুবই দুর্বল</v>
      </c>
      <c r="BM69" s="3" t="str">
        <f t="shared" si="31"/>
        <v>Very Weak</v>
      </c>
      <c r="BN69" s="3" t="str">
        <f t="shared" si="32"/>
        <v/>
      </c>
    </row>
    <row r="70" spans="1:66" x14ac:dyDescent="0.35">
      <c r="A70" s="3" t="str">
        <f>'Student Basic Info'!B70</f>
        <v>Science</v>
      </c>
      <c r="B70" s="3">
        <f>'Student Basic Info'!A70</f>
        <v>769</v>
      </c>
      <c r="C70" s="3" t="str">
        <f>'Student Basic Info'!C70</f>
        <v>Abdullah Al Noman</v>
      </c>
      <c r="D70" s="3" t="str">
        <f>'Student Basic Info'!D70</f>
        <v>Abdul Khalek</v>
      </c>
      <c r="E70" s="3" t="str">
        <f>'Student Basic Info'!E70</f>
        <v>Gol Nahar</v>
      </c>
      <c r="F70" s="3" t="str">
        <f>'Student Basic Info'!F70</f>
        <v>Male</v>
      </c>
      <c r="G70" s="73" t="str">
        <f>'Student Basic Info'!I70</f>
        <v>01646-296973</v>
      </c>
      <c r="H70" s="74" t="str">
        <f>IF(Bangla!B70="","",Bangla!B70)</f>
        <v/>
      </c>
      <c r="I70" s="74" t="str">
        <f>IF(Bangla!C70="","",Bangla!C70)</f>
        <v/>
      </c>
      <c r="J70" s="74" t="str">
        <f>IF(Bangla!D70="","",Bangla!D70)</f>
        <v/>
      </c>
      <c r="K70" s="75" t="str">
        <f>IF(English!C70="","",English!C70)</f>
        <v/>
      </c>
      <c r="L70" s="37" t="str">
        <f>IF(ICT!B70="","",ICT!B70)</f>
        <v/>
      </c>
      <c r="M70" s="37" t="str">
        <f>IF(ICT!C70="","",ICT!C70)</f>
        <v/>
      </c>
      <c r="N70" s="37" t="str">
        <f>IF(ICT!D70="","",ICT!D70)</f>
        <v/>
      </c>
      <c r="O70" s="37" t="str">
        <f>IF(ICT!E70="","",ICT!E70)</f>
        <v/>
      </c>
      <c r="P70" s="44" t="str">
        <f>IF(Physics!B70="","",Physics!B70)</f>
        <v/>
      </c>
      <c r="Q70" s="44" t="str">
        <f>IF(Physics!C70="","",Physics!C70)</f>
        <v/>
      </c>
      <c r="R70" s="44" t="str">
        <f>IF(Physics!D70="","",Physics!D70)</f>
        <v/>
      </c>
      <c r="S70" s="89" t="str">
        <f>IF(Physics!E70="","",Physics!E70)</f>
        <v/>
      </c>
      <c r="T70" s="37">
        <f>IF(Chemistry!B70="","",Chemistry!B70)</f>
        <v>8</v>
      </c>
      <c r="U70" s="37">
        <f>IF(Chemistry!C70="","",Chemistry!C70)</f>
        <v>7</v>
      </c>
      <c r="V70" s="37">
        <f>IF(Chemistry!D70="","",Chemistry!D70)</f>
        <v>8</v>
      </c>
      <c r="W70" s="37">
        <f>IF(Chemistry!E70="","",Chemistry!E70)</f>
        <v>23</v>
      </c>
      <c r="X70" s="38" t="str">
        <f>IF(SubjectList!G70="Math", IF(Math!B70="","",Math!B70), IF(Biology!B70="","",Biology!B70))</f>
        <v/>
      </c>
      <c r="Y70" s="38" t="str">
        <f>IF(SubjectList!G70="Math", IF(Math!C70="","",Math!C70), IF(Biology!C70="","",Biology!C70))</f>
        <v/>
      </c>
      <c r="Z70" s="38" t="str">
        <f>IF(SubjectList!G70="Math", IF(Math!D70="","",Math!D70), IF(Biology!D70="","",Biology!D70))</f>
        <v/>
      </c>
      <c r="AA70" s="38" t="str">
        <f>IF(SubjectList!G70="Math", IF(Math!E70="","",Math!E70), IF(Biology!E70="","",Biology!E70))</f>
        <v/>
      </c>
      <c r="AB70" s="44">
        <f>IF(SubjectList!I70="Biology", IF(Biology!B70="","",Biology!B70), IF(Math!B70="","",Math!B70))</f>
        <v>15</v>
      </c>
      <c r="AC70" s="44">
        <f>Optional!D70</f>
        <v>0</v>
      </c>
      <c r="AD70" s="44">
        <f>Optional!E70</f>
        <v>9</v>
      </c>
      <c r="AE70" s="44">
        <f>Optional!F70</f>
        <v>24</v>
      </c>
      <c r="AF70" s="39" t="str">
        <f>IF(SubjectList!G70="","", SubjectList!G70)</f>
        <v>Biology</v>
      </c>
      <c r="AG70" s="39" t="str">
        <f>IF(SubjectList!I70="","", SubjectList!I70)</f>
        <v>Math</v>
      </c>
      <c r="AH70" s="40" t="str">
        <f>Bangla!F70</f>
        <v/>
      </c>
      <c r="AI70" s="91" t="str">
        <f>English!E70</f>
        <v/>
      </c>
      <c r="AJ70" s="40" t="str">
        <f>ICT!G70</f>
        <v/>
      </c>
      <c r="AK70" s="40" t="str">
        <f>Physics!G70</f>
        <v/>
      </c>
      <c r="AL70" s="40" t="str">
        <f>Chemistry!G70</f>
        <v>F</v>
      </c>
      <c r="AM70" s="40" t="str">
        <f>IF(SubjectList!G70="Math", IF(Math!G70="","",Math!G70), IF(Biology!G70="","",Biology!G70))</f>
        <v/>
      </c>
      <c r="AN70" s="40" t="str">
        <f>IF(SubjectList!H70="Math", IF(Math!G70="","",Math!G70), IF(Biology!G70="","",Biology!G70))</f>
        <v>F</v>
      </c>
      <c r="AO70" s="41" t="str">
        <f>Bangla!G70</f>
        <v/>
      </c>
      <c r="AP70" s="41" t="str">
        <f>English!F70</f>
        <v/>
      </c>
      <c r="AQ70" s="41" t="str">
        <f>ICT!H70</f>
        <v/>
      </c>
      <c r="AR70" s="41" t="str">
        <f>Physics!H70</f>
        <v/>
      </c>
      <c r="AS70" s="41">
        <f>Chemistry!H70</f>
        <v>0</v>
      </c>
      <c r="AT70" s="41" t="str">
        <f>IF(SubjectList!G70="Math", IF(Math!H70="","",Math!H70), IF(Biology!H70="","",Biology!H70))</f>
        <v/>
      </c>
      <c r="AU70" s="41">
        <f>IF(SubjectList!I70="Math", IF(Math!H70="","",Math!H70), IF(Biology!H70="","",Biology!H70))</f>
        <v>0</v>
      </c>
      <c r="AV70" s="41">
        <f>Optional!I70</f>
        <v>0</v>
      </c>
      <c r="AW70" s="41">
        <f>Optional!J70</f>
        <v>0</v>
      </c>
      <c r="AX70" s="41" t="str">
        <f t="shared" si="20"/>
        <v/>
      </c>
      <c r="AY70" s="41" t="str">
        <f t="shared" si="33"/>
        <v/>
      </c>
      <c r="AZ70" s="41" t="str">
        <f t="shared" si="21"/>
        <v/>
      </c>
      <c r="BA70" s="41" t="str">
        <f t="shared" si="22"/>
        <v/>
      </c>
      <c r="BB70" s="41">
        <f t="shared" si="18"/>
        <v>47</v>
      </c>
      <c r="BC70" s="46" t="str">
        <f t="shared" si="34"/>
        <v/>
      </c>
      <c r="BD70" s="46" t="str">
        <f t="shared" si="23"/>
        <v/>
      </c>
      <c r="BE70" s="46" t="str">
        <f t="shared" si="24"/>
        <v/>
      </c>
      <c r="BF70" s="46" t="str">
        <f t="shared" si="25"/>
        <v/>
      </c>
      <c r="BG70" s="46">
        <f t="shared" si="26"/>
        <v>0</v>
      </c>
      <c r="BH70" s="46" t="str">
        <f t="shared" si="27"/>
        <v/>
      </c>
      <c r="BI70" s="3">
        <f t="shared" si="28"/>
        <v>0</v>
      </c>
      <c r="BJ70" s="3" t="str">
        <f t="shared" si="29"/>
        <v>Failed in 6 Subjects</v>
      </c>
      <c r="BK70" s="3" t="str">
        <f>IF(BA70="","",RANK(BA70,BA$2:BA88,0))</f>
        <v/>
      </c>
      <c r="BL70" s="3" t="str">
        <f t="shared" si="30"/>
        <v>খুবই দুর্বল</v>
      </c>
      <c r="BM70" s="3" t="str">
        <f t="shared" si="31"/>
        <v>Very Weak</v>
      </c>
      <c r="BN70" s="3" t="str">
        <f t="shared" si="32"/>
        <v/>
      </c>
    </row>
    <row r="71" spans="1:66" x14ac:dyDescent="0.35">
      <c r="A71" s="3" t="str">
        <f>'Student Basic Info'!B71</f>
        <v>Science</v>
      </c>
      <c r="B71" s="3">
        <f>'Student Basic Info'!A71</f>
        <v>770</v>
      </c>
      <c r="C71" s="3" t="str">
        <f>'Student Basic Info'!C71</f>
        <v>Ashraf Uddal</v>
      </c>
      <c r="D71" s="3" t="str">
        <f>'Student Basic Info'!D71</f>
        <v>Abul Kashem</v>
      </c>
      <c r="E71" s="3" t="str">
        <f>'Student Basic Info'!E71</f>
        <v>parvin Aktar</v>
      </c>
      <c r="F71" s="3" t="str">
        <f>'Student Basic Info'!F71</f>
        <v>Male</v>
      </c>
      <c r="G71" s="73" t="str">
        <f>'Student Basic Info'!I71</f>
        <v>01834-383535</v>
      </c>
      <c r="H71" s="74" t="str">
        <f>IF(Bangla!B71="","",Bangla!B71)</f>
        <v/>
      </c>
      <c r="I71" s="74">
        <f>IF(Bangla!C71="","",Bangla!C71)</f>
        <v>22</v>
      </c>
      <c r="J71" s="74">
        <f>IF(Bangla!D71="","",Bangla!D71)</f>
        <v>22</v>
      </c>
      <c r="K71" s="75">
        <f>IF(English!C71="","",English!C71)</f>
        <v>17</v>
      </c>
      <c r="L71" s="37">
        <f>IF(ICT!B71="","",ICT!B71)</f>
        <v>8</v>
      </c>
      <c r="M71" s="37">
        <f>IF(ICT!C71="","",ICT!C71)</f>
        <v>9</v>
      </c>
      <c r="N71" s="37">
        <f>IF(ICT!D71="","",ICT!D71)</f>
        <v>20</v>
      </c>
      <c r="O71" s="37">
        <f>IF(ICT!E71="","",ICT!E71)</f>
        <v>37</v>
      </c>
      <c r="P71" s="44">
        <f>IF(Physics!B71="","",Physics!B71)</f>
        <v>10</v>
      </c>
      <c r="Q71" s="44">
        <f>IF(Physics!C71="","",Physics!C71)</f>
        <v>15</v>
      </c>
      <c r="R71" s="44">
        <f>IF(Physics!D71="","",Physics!D71)</f>
        <v>15</v>
      </c>
      <c r="S71" s="89">
        <f>IF(Physics!E71="","",Physics!E71)</f>
        <v>40</v>
      </c>
      <c r="T71" s="37" t="str">
        <f>IF(Chemistry!B71="","",Chemistry!B71)</f>
        <v/>
      </c>
      <c r="U71" s="37" t="str">
        <f>IF(Chemistry!C71="","",Chemistry!C71)</f>
        <v/>
      </c>
      <c r="V71" s="37" t="str">
        <f>IF(Chemistry!D71="","",Chemistry!D71)</f>
        <v/>
      </c>
      <c r="W71" s="37" t="str">
        <f>IF(Chemistry!E71="","",Chemistry!E71)</f>
        <v/>
      </c>
      <c r="X71" s="38">
        <f>IF(SubjectList!G71="Math", IF(Math!B71="","",Math!B71), IF(Biology!B71="","",Biology!B71))</f>
        <v>8</v>
      </c>
      <c r="Y71" s="38">
        <f>IF(SubjectList!G71="Math", IF(Math!C71="","",Math!C71), IF(Biology!C71="","",Biology!C71))</f>
        <v>1</v>
      </c>
      <c r="Z71" s="38">
        <f>IF(SubjectList!G71="Math", IF(Math!D71="","",Math!D71), IF(Biology!D71="","",Biology!D71))</f>
        <v>8</v>
      </c>
      <c r="AA71" s="38">
        <f>IF(SubjectList!G71="Math", IF(Math!E71="","",Math!E71), IF(Biology!E71="","",Biology!E71))</f>
        <v>17</v>
      </c>
      <c r="AB71" s="44">
        <f>IF(SubjectList!I71="Biology", IF(Biology!B71="","",Biology!B71), IF(Math!B71="","",Math!B71))</f>
        <v>6</v>
      </c>
      <c r="AC71" s="44">
        <f>Optional!D71</f>
        <v>0</v>
      </c>
      <c r="AD71" s="44">
        <f>Optional!E71</f>
        <v>8</v>
      </c>
      <c r="AE71" s="44">
        <f>Optional!F71</f>
        <v>14</v>
      </c>
      <c r="AF71" s="39" t="str">
        <f>IF(SubjectList!G71="","", SubjectList!G71)</f>
        <v>Biology</v>
      </c>
      <c r="AG71" s="39" t="str">
        <f>IF(SubjectList!I71="","", SubjectList!I71)</f>
        <v>Math</v>
      </c>
      <c r="AH71" s="40" t="str">
        <f>Bangla!F71</f>
        <v>F</v>
      </c>
      <c r="AI71" s="91" t="str">
        <f>English!E71</f>
        <v>F</v>
      </c>
      <c r="AJ71" s="40" t="str">
        <f>ICT!G71</f>
        <v>F</v>
      </c>
      <c r="AK71" s="40" t="str">
        <f>Physics!G71</f>
        <v>F</v>
      </c>
      <c r="AL71" s="40" t="str">
        <f>Chemistry!G71</f>
        <v/>
      </c>
      <c r="AM71" s="40" t="str">
        <f>IF(SubjectList!G71="Math", IF(Math!G71="","",Math!G71), IF(Biology!G71="","",Biology!G71))</f>
        <v>F</v>
      </c>
      <c r="AN71" s="40" t="str">
        <f>IF(SubjectList!H71="Math", IF(Math!G71="","",Math!G71), IF(Biology!G71="","",Biology!G71))</f>
        <v>F</v>
      </c>
      <c r="AO71" s="41">
        <f>Bangla!G71</f>
        <v>0</v>
      </c>
      <c r="AP71" s="41">
        <f>English!F71</f>
        <v>0</v>
      </c>
      <c r="AQ71" s="41">
        <f>ICT!H71</f>
        <v>0</v>
      </c>
      <c r="AR71" s="41">
        <f>Physics!H71</f>
        <v>0</v>
      </c>
      <c r="AS71" s="41" t="str">
        <f>Chemistry!H71</f>
        <v/>
      </c>
      <c r="AT71" s="41">
        <f>IF(SubjectList!G71="Math", IF(Math!H71="","",Math!H71), IF(Biology!H71="","",Biology!H71))</f>
        <v>0</v>
      </c>
      <c r="AU71" s="41">
        <f>IF(SubjectList!I71="Math", IF(Math!H71="","",Math!H71), IF(Biology!H71="","",Biology!H71))</f>
        <v>0</v>
      </c>
      <c r="AV71" s="41">
        <f>Optional!I71</f>
        <v>0</v>
      </c>
      <c r="AW71" s="41">
        <f>Optional!J71</f>
        <v>0</v>
      </c>
      <c r="AX71" s="41" t="str">
        <f t="shared" si="20"/>
        <v/>
      </c>
      <c r="AY71" s="41" t="str">
        <f t="shared" si="33"/>
        <v/>
      </c>
      <c r="AZ71" s="41" t="str">
        <f t="shared" si="21"/>
        <v/>
      </c>
      <c r="BA71" s="41" t="str">
        <f t="shared" si="22"/>
        <v/>
      </c>
      <c r="BB71" s="41">
        <f t="shared" si="18"/>
        <v>147</v>
      </c>
      <c r="BC71" s="46">
        <f t="shared" si="34"/>
        <v>0</v>
      </c>
      <c r="BD71" s="46">
        <f t="shared" si="23"/>
        <v>0</v>
      </c>
      <c r="BE71" s="46">
        <f t="shared" si="24"/>
        <v>0</v>
      </c>
      <c r="BF71" s="46">
        <f t="shared" si="25"/>
        <v>0</v>
      </c>
      <c r="BG71" s="46" t="str">
        <f t="shared" si="26"/>
        <v/>
      </c>
      <c r="BH71" s="46">
        <f t="shared" si="27"/>
        <v>0</v>
      </c>
      <c r="BI71" s="3">
        <f t="shared" si="28"/>
        <v>0</v>
      </c>
      <c r="BJ71" s="3" t="str">
        <f t="shared" si="29"/>
        <v>Failed in 6 Subjects</v>
      </c>
      <c r="BK71" s="3" t="str">
        <f>IF(BA71="","",RANK(BA71,BA$2:BA88,0))</f>
        <v/>
      </c>
      <c r="BL71" s="3" t="str">
        <f t="shared" si="30"/>
        <v>খুবই দুর্বল</v>
      </c>
      <c r="BM71" s="3" t="str">
        <f t="shared" si="31"/>
        <v>Very Weak</v>
      </c>
      <c r="BN71" s="3" t="str">
        <f t="shared" si="32"/>
        <v/>
      </c>
    </row>
    <row r="72" spans="1:66" x14ac:dyDescent="0.35">
      <c r="A72" s="3" t="str">
        <f>'Student Basic Info'!B72</f>
        <v>Science</v>
      </c>
      <c r="B72" s="3">
        <f>'Student Basic Info'!A72</f>
        <v>771</v>
      </c>
      <c r="C72" s="3" t="str">
        <f>'Student Basic Info'!C72</f>
        <v>Mesfar Uddin Ripti</v>
      </c>
      <c r="D72" s="3" t="str">
        <f>'Student Basic Info'!D72</f>
        <v>Zia Uddin</v>
      </c>
      <c r="E72" s="3" t="str">
        <f>'Student Basic Info'!E72</f>
        <v>Sumaiya Parvin</v>
      </c>
      <c r="F72" s="3" t="str">
        <f>'Student Basic Info'!F72</f>
        <v>Female</v>
      </c>
      <c r="G72" s="73" t="str">
        <f>'Student Basic Info'!I72</f>
        <v>01313-673452</v>
      </c>
      <c r="H72" s="74" t="str">
        <f>IF(Bangla!B72="","",Bangla!B72)</f>
        <v/>
      </c>
      <c r="I72" s="74" t="str">
        <f>IF(Bangla!C72="","",Bangla!C72)</f>
        <v/>
      </c>
      <c r="J72" s="74" t="str">
        <f>IF(Bangla!D72="","",Bangla!D72)</f>
        <v/>
      </c>
      <c r="K72" s="75" t="str">
        <f>IF(English!C72="","",English!C72)</f>
        <v/>
      </c>
      <c r="L72" s="37" t="str">
        <f>IF(ICT!B72="","",ICT!B72)</f>
        <v/>
      </c>
      <c r="M72" s="37" t="str">
        <f>IF(ICT!C72="","",ICT!C72)</f>
        <v/>
      </c>
      <c r="N72" s="37" t="str">
        <f>IF(ICT!D72="","",ICT!D72)</f>
        <v/>
      </c>
      <c r="O72" s="37" t="str">
        <f>IF(ICT!E72="","",ICT!E72)</f>
        <v/>
      </c>
      <c r="P72" s="44">
        <f>IF(Physics!B72="","",Physics!B72)</f>
        <v>15</v>
      </c>
      <c r="Q72" s="44">
        <f>IF(Physics!C72="","",Physics!C72)</f>
        <v>3</v>
      </c>
      <c r="R72" s="44">
        <f>IF(Physics!D72="","",Physics!D72)</f>
        <v>12</v>
      </c>
      <c r="S72" s="89">
        <f>IF(Physics!E72="","",Physics!E72)</f>
        <v>30</v>
      </c>
      <c r="T72" s="37" t="str">
        <f>IF(Chemistry!B72="","",Chemistry!B72)</f>
        <v/>
      </c>
      <c r="U72" s="37" t="str">
        <f>IF(Chemistry!C72="","",Chemistry!C72)</f>
        <v/>
      </c>
      <c r="V72" s="37" t="str">
        <f>IF(Chemistry!D72="","",Chemistry!D72)</f>
        <v/>
      </c>
      <c r="W72" s="37" t="str">
        <f>IF(Chemistry!E72="","",Chemistry!E72)</f>
        <v/>
      </c>
      <c r="X72" s="38">
        <f>IF(SubjectList!G72="Math", IF(Math!B72="","",Math!B72), IF(Biology!B72="","",Biology!B72))</f>
        <v>8</v>
      </c>
      <c r="Y72" s="38">
        <f>IF(SubjectList!G72="Math", IF(Math!C72="","",Math!C72), IF(Biology!C72="","",Biology!C72))</f>
        <v>1</v>
      </c>
      <c r="Z72" s="38">
        <f>IF(SubjectList!G72="Math", IF(Math!D72="","",Math!D72), IF(Biology!D72="","",Biology!D72))</f>
        <v>8</v>
      </c>
      <c r="AA72" s="38">
        <f>IF(SubjectList!G72="Math", IF(Math!E72="","",Math!E72), IF(Biology!E72="","",Biology!E72))</f>
        <v>17</v>
      </c>
      <c r="AB72" s="44" t="str">
        <f>IF(SubjectList!I72="Biology", IF(Biology!B72="","",Biology!B72), IF(Math!B72="","",Math!B72))</f>
        <v/>
      </c>
      <c r="AC72" s="44" t="str">
        <f>Optional!D72</f>
        <v/>
      </c>
      <c r="AD72" s="44" t="str">
        <f>Optional!E72</f>
        <v/>
      </c>
      <c r="AE72" s="44" t="str">
        <f>Optional!F72</f>
        <v/>
      </c>
      <c r="AF72" s="39" t="str">
        <f>IF(SubjectList!G72="","", SubjectList!G72)</f>
        <v>Biology</v>
      </c>
      <c r="AG72" s="39" t="str">
        <f>IF(SubjectList!I72="","", SubjectList!I72)</f>
        <v>Math</v>
      </c>
      <c r="AH72" s="40" t="str">
        <f>Bangla!F72</f>
        <v/>
      </c>
      <c r="AI72" s="91" t="str">
        <f>English!E72</f>
        <v/>
      </c>
      <c r="AJ72" s="40" t="str">
        <f>ICT!G72</f>
        <v/>
      </c>
      <c r="AK72" s="40" t="str">
        <f>Physics!G72</f>
        <v>F</v>
      </c>
      <c r="AL72" s="40" t="str">
        <f>Chemistry!G72</f>
        <v/>
      </c>
      <c r="AM72" s="40" t="str">
        <f>IF(SubjectList!G72="Math", IF(Math!G72="","",Math!G72), IF(Biology!G72="","",Biology!G72))</f>
        <v>F</v>
      </c>
      <c r="AN72" s="40" t="str">
        <f>IF(SubjectList!H72="Math", IF(Math!G72="","",Math!G72), IF(Biology!G72="","",Biology!G72))</f>
        <v/>
      </c>
      <c r="AO72" s="41" t="str">
        <f>Bangla!G72</f>
        <v/>
      </c>
      <c r="AP72" s="41" t="str">
        <f>English!F72</f>
        <v/>
      </c>
      <c r="AQ72" s="41" t="str">
        <f>ICT!H72</f>
        <v/>
      </c>
      <c r="AR72" s="41">
        <f>Physics!H72</f>
        <v>0</v>
      </c>
      <c r="AS72" s="41" t="str">
        <f>Chemistry!H72</f>
        <v/>
      </c>
      <c r="AT72" s="41">
        <f>IF(SubjectList!G72="Math", IF(Math!H72="","",Math!H72), IF(Biology!H72="","",Biology!H72))</f>
        <v>0</v>
      </c>
      <c r="AU72" s="41" t="str">
        <f>IF(SubjectList!I72="Math", IF(Math!H72="","",Math!H72), IF(Biology!H72="","",Biology!H72))</f>
        <v/>
      </c>
      <c r="AV72" s="41" t="str">
        <f>Optional!I72</f>
        <v/>
      </c>
      <c r="AW72" s="41" t="str">
        <f>Optional!J72</f>
        <v/>
      </c>
      <c r="AX72" s="41" t="str">
        <f t="shared" si="20"/>
        <v/>
      </c>
      <c r="AY72" s="41" t="str">
        <f t="shared" si="33"/>
        <v/>
      </c>
      <c r="AZ72" s="41" t="str">
        <f t="shared" si="21"/>
        <v/>
      </c>
      <c r="BA72" s="41" t="str">
        <f t="shared" si="22"/>
        <v/>
      </c>
      <c r="BB72" s="41">
        <f t="shared" si="18"/>
        <v>47</v>
      </c>
      <c r="BC72" s="46" t="str">
        <f t="shared" si="34"/>
        <v/>
      </c>
      <c r="BD72" s="46" t="str">
        <f t="shared" si="23"/>
        <v/>
      </c>
      <c r="BE72" s="46" t="str">
        <f t="shared" si="24"/>
        <v/>
      </c>
      <c r="BF72" s="46">
        <f t="shared" si="25"/>
        <v>0</v>
      </c>
      <c r="BG72" s="46" t="str">
        <f t="shared" si="26"/>
        <v/>
      </c>
      <c r="BH72" s="46">
        <f t="shared" si="27"/>
        <v>0</v>
      </c>
      <c r="BI72" s="3">
        <f t="shared" si="28"/>
        <v>0</v>
      </c>
      <c r="BJ72" s="3" t="str">
        <f t="shared" si="29"/>
        <v>Failed in 6 Subjects</v>
      </c>
      <c r="BK72" s="3" t="str">
        <f>IF(BA72="","",RANK(BA72,BA$2:BA88,0))</f>
        <v/>
      </c>
      <c r="BL72" s="3" t="str">
        <f t="shared" si="30"/>
        <v>খুবই দুর্বল</v>
      </c>
      <c r="BM72" s="3" t="str">
        <f t="shared" si="31"/>
        <v>Very Weak</v>
      </c>
      <c r="BN72" s="3" t="str">
        <f t="shared" si="32"/>
        <v/>
      </c>
    </row>
    <row r="73" spans="1:66" x14ac:dyDescent="0.35">
      <c r="A73" s="3" t="str">
        <f>'Student Basic Info'!B73</f>
        <v>Science</v>
      </c>
      <c r="B73" s="3">
        <f>'Student Basic Info'!A73</f>
        <v>772</v>
      </c>
      <c r="C73" s="3" t="str">
        <f>'Student Basic Info'!C73</f>
        <v>Shoikot Chandra Shil</v>
      </c>
      <c r="D73" s="3" t="str">
        <f>'Student Basic Info'!D73</f>
        <v>Bikron Chandra Shil</v>
      </c>
      <c r="E73" s="3" t="str">
        <f>'Student Basic Info'!E73</f>
        <v xml:space="preserve"> Shema Rani Shil</v>
      </c>
      <c r="F73" s="3" t="str">
        <f>'Student Basic Info'!F73</f>
        <v>Male</v>
      </c>
      <c r="G73" s="73" t="str">
        <f>'Student Basic Info'!I73</f>
        <v>01731-980672</v>
      </c>
      <c r="H73" s="74" t="str">
        <f>IF(Bangla!B73="","",Bangla!B73)</f>
        <v/>
      </c>
      <c r="I73" s="74">
        <f>IF(Bangla!C73="","",Bangla!C73)</f>
        <v>23</v>
      </c>
      <c r="J73" s="74">
        <f>IF(Bangla!D73="","",Bangla!D73)</f>
        <v>23</v>
      </c>
      <c r="K73" s="75">
        <f>IF(English!C73="","",English!C73)</f>
        <v>9</v>
      </c>
      <c r="L73" s="37">
        <f>IF(ICT!B73="","",ICT!B73)</f>
        <v>6</v>
      </c>
      <c r="M73" s="37">
        <f>IF(ICT!C73="","",ICT!C73)</f>
        <v>8</v>
      </c>
      <c r="N73" s="37">
        <f>IF(ICT!D73="","",ICT!D73)</f>
        <v>20</v>
      </c>
      <c r="O73" s="37">
        <f>IF(ICT!E73="","",ICT!E73)</f>
        <v>34</v>
      </c>
      <c r="P73" s="44">
        <f>IF(Physics!B73="","",Physics!B73)</f>
        <v>5</v>
      </c>
      <c r="Q73" s="44">
        <f>IF(Physics!C73="","",Physics!C73)</f>
        <v>6</v>
      </c>
      <c r="R73" s="44">
        <f>IF(Physics!D73="","",Physics!D73)</f>
        <v>10</v>
      </c>
      <c r="S73" s="89">
        <f>IF(Physics!E73="","",Physics!E73)</f>
        <v>21</v>
      </c>
      <c r="T73" s="37" t="str">
        <f>IF(Chemistry!B73="","",Chemistry!B73)</f>
        <v/>
      </c>
      <c r="U73" s="37" t="str">
        <f>IF(Chemistry!C73="","",Chemistry!C73)</f>
        <v/>
      </c>
      <c r="V73" s="37" t="str">
        <f>IF(Chemistry!D73="","",Chemistry!D73)</f>
        <v/>
      </c>
      <c r="W73" s="37" t="str">
        <f>IF(Chemistry!E73="","",Chemistry!E73)</f>
        <v/>
      </c>
      <c r="X73" s="38">
        <f>IF(SubjectList!G73="Math", IF(Math!B73="","",Math!B73), IF(Biology!B73="","",Biology!B73))</f>
        <v>3</v>
      </c>
      <c r="Y73" s="38">
        <f>IF(SubjectList!G73="Math", IF(Math!C73="","",Math!C73), IF(Biology!C73="","",Biology!C73))</f>
        <v>0</v>
      </c>
      <c r="Z73" s="38">
        <f>IF(SubjectList!G73="Math", IF(Math!D73="","",Math!D73), IF(Biology!D73="","",Biology!D73))</f>
        <v>8</v>
      </c>
      <c r="AA73" s="38">
        <f>IF(SubjectList!G73="Math", IF(Math!E73="","",Math!E73), IF(Biology!E73="","",Biology!E73))</f>
        <v>11</v>
      </c>
      <c r="AB73" s="44">
        <f>IF(SubjectList!I73="Biology", IF(Biology!B73="","",Biology!B73), IF(Math!B73="","",Math!B73))</f>
        <v>7</v>
      </c>
      <c r="AC73" s="44">
        <f>Optional!D73</f>
        <v>0</v>
      </c>
      <c r="AD73" s="44">
        <f>Optional!E73</f>
        <v>8</v>
      </c>
      <c r="AE73" s="44">
        <f>Optional!F73</f>
        <v>15</v>
      </c>
      <c r="AF73" s="39" t="str">
        <f>IF(SubjectList!G73="","", SubjectList!G73)</f>
        <v>Biology</v>
      </c>
      <c r="AG73" s="39" t="str">
        <f>IF(SubjectList!I73="","", SubjectList!I73)</f>
        <v>Math</v>
      </c>
      <c r="AH73" s="40" t="str">
        <f>Bangla!F73</f>
        <v>F</v>
      </c>
      <c r="AI73" s="91" t="str">
        <f>English!E73</f>
        <v>F</v>
      </c>
      <c r="AJ73" s="40" t="str">
        <f>ICT!G73</f>
        <v>F</v>
      </c>
      <c r="AK73" s="40" t="str">
        <f>Physics!G73</f>
        <v>F</v>
      </c>
      <c r="AL73" s="40" t="str">
        <f>Chemistry!G73</f>
        <v/>
      </c>
      <c r="AM73" s="40" t="str">
        <f>IF(SubjectList!G73="Math", IF(Math!G73="","",Math!G73), IF(Biology!G73="","",Biology!G73))</f>
        <v>F</v>
      </c>
      <c r="AN73" s="40" t="str">
        <f>IF(SubjectList!H73="Math", IF(Math!G73="","",Math!G73), IF(Biology!G73="","",Biology!G73))</f>
        <v>F</v>
      </c>
      <c r="AO73" s="41">
        <f>Bangla!G73</f>
        <v>0</v>
      </c>
      <c r="AP73" s="41">
        <f>English!F73</f>
        <v>0</v>
      </c>
      <c r="AQ73" s="41">
        <f>ICT!H73</f>
        <v>0</v>
      </c>
      <c r="AR73" s="41">
        <f>Physics!H73</f>
        <v>0</v>
      </c>
      <c r="AS73" s="41" t="str">
        <f>Chemistry!H73</f>
        <v/>
      </c>
      <c r="AT73" s="41">
        <f>IF(SubjectList!G73="Math", IF(Math!H73="","",Math!H73), IF(Biology!H73="","",Biology!H73))</f>
        <v>0</v>
      </c>
      <c r="AU73" s="41">
        <f>IF(SubjectList!I73="Math", IF(Math!H73="","",Math!H73), IF(Biology!H73="","",Biology!H73))</f>
        <v>0</v>
      </c>
      <c r="AV73" s="41">
        <f>Optional!I73</f>
        <v>0</v>
      </c>
      <c r="AW73" s="41">
        <f>Optional!J73</f>
        <v>0</v>
      </c>
      <c r="AX73" s="41" t="str">
        <f t="shared" si="20"/>
        <v/>
      </c>
      <c r="AY73" s="41" t="str">
        <f t="shared" si="33"/>
        <v/>
      </c>
      <c r="AZ73" s="41" t="str">
        <f t="shared" si="21"/>
        <v/>
      </c>
      <c r="BA73" s="41" t="str">
        <f t="shared" si="22"/>
        <v/>
      </c>
      <c r="BB73" s="41">
        <f t="shared" si="18"/>
        <v>113</v>
      </c>
      <c r="BC73" s="46">
        <f t="shared" si="34"/>
        <v>0</v>
      </c>
      <c r="BD73" s="46">
        <f t="shared" si="23"/>
        <v>0</v>
      </c>
      <c r="BE73" s="46">
        <f t="shared" si="24"/>
        <v>0</v>
      </c>
      <c r="BF73" s="46">
        <f t="shared" si="25"/>
        <v>0</v>
      </c>
      <c r="BG73" s="46" t="str">
        <f t="shared" si="26"/>
        <v/>
      </c>
      <c r="BH73" s="46">
        <f t="shared" si="27"/>
        <v>0</v>
      </c>
      <c r="BI73" s="3">
        <f t="shared" si="28"/>
        <v>0</v>
      </c>
      <c r="BJ73" s="3" t="str">
        <f t="shared" si="29"/>
        <v>Failed in 6 Subjects</v>
      </c>
      <c r="BK73" s="3" t="str">
        <f>IF(BA73="","",RANK(BA73,BA$2:BA88,0))</f>
        <v/>
      </c>
      <c r="BL73" s="3" t="str">
        <f t="shared" si="30"/>
        <v>খুবই দুর্বল</v>
      </c>
      <c r="BM73" s="3" t="str">
        <f t="shared" si="31"/>
        <v>Very Weak</v>
      </c>
      <c r="BN73" s="3" t="str">
        <f t="shared" si="32"/>
        <v/>
      </c>
    </row>
    <row r="74" spans="1:66" x14ac:dyDescent="0.35">
      <c r="A74" s="3" t="str">
        <f>'Student Basic Info'!B74</f>
        <v>Science</v>
      </c>
      <c r="B74" s="3">
        <f>'Student Basic Info'!A74</f>
        <v>773</v>
      </c>
      <c r="C74" s="3" t="str">
        <f>'Student Basic Info'!C74</f>
        <v>Shourov Chandra Shil</v>
      </c>
      <c r="D74" s="3" t="str">
        <f>'Student Basic Info'!D74</f>
        <v xml:space="preserve">Bibin Chandra Shil </v>
      </c>
      <c r="E74" s="3" t="str">
        <f>'Student Basic Info'!E74</f>
        <v>Rekha Rani Shil</v>
      </c>
      <c r="F74" s="3" t="str">
        <f>'Student Basic Info'!F74</f>
        <v>Male</v>
      </c>
      <c r="G74" s="73" t="str">
        <f>'Student Basic Info'!I74</f>
        <v>01819-160428</v>
      </c>
      <c r="H74" s="74" t="str">
        <f>IF(Bangla!B74="","",Bangla!B74)</f>
        <v/>
      </c>
      <c r="I74" s="74">
        <f>IF(Bangla!C74="","",Bangla!C74)</f>
        <v>20</v>
      </c>
      <c r="J74" s="74">
        <f>IF(Bangla!D74="","",Bangla!D74)</f>
        <v>20</v>
      </c>
      <c r="K74" s="75">
        <f>IF(English!C74="","",English!C74)</f>
        <v>24</v>
      </c>
      <c r="L74" s="37">
        <f>IF(ICT!B74="","",ICT!B74)</f>
        <v>13</v>
      </c>
      <c r="M74" s="37">
        <f>IF(ICT!C74="","",ICT!C74)</f>
        <v>7</v>
      </c>
      <c r="N74" s="37">
        <f>IF(ICT!D74="","",ICT!D74)</f>
        <v>24</v>
      </c>
      <c r="O74" s="37">
        <f>IF(ICT!E74="","",ICT!E74)</f>
        <v>44</v>
      </c>
      <c r="P74" s="44">
        <f>IF(Physics!B74="","",Physics!B74)</f>
        <v>9</v>
      </c>
      <c r="Q74" s="44">
        <f>IF(Physics!C74="","",Physics!C74)</f>
        <v>8</v>
      </c>
      <c r="R74" s="44">
        <f>IF(Physics!D74="","",Physics!D74)</f>
        <v>12</v>
      </c>
      <c r="S74" s="89">
        <f>IF(Physics!E74="","",Physics!E74)</f>
        <v>29</v>
      </c>
      <c r="T74" s="37" t="str">
        <f>IF(Chemistry!B74="","",Chemistry!B74)</f>
        <v/>
      </c>
      <c r="U74" s="37" t="str">
        <f>IF(Chemistry!C74="","",Chemistry!C74)</f>
        <v/>
      </c>
      <c r="V74" s="37" t="str">
        <f>IF(Chemistry!D74="","",Chemistry!D74)</f>
        <v/>
      </c>
      <c r="W74" s="37" t="str">
        <f>IF(Chemistry!E74="","",Chemistry!E74)</f>
        <v/>
      </c>
      <c r="X74" s="38">
        <f>IF(SubjectList!G74="Math", IF(Math!B74="","",Math!B74), IF(Biology!B74="","",Biology!B74))</f>
        <v>7</v>
      </c>
      <c r="Y74" s="38">
        <f>IF(SubjectList!G74="Math", IF(Math!C74="","",Math!C74), IF(Biology!C74="","",Biology!C74))</f>
        <v>1</v>
      </c>
      <c r="Z74" s="38">
        <f>IF(SubjectList!G74="Math", IF(Math!D74="","",Math!D74), IF(Biology!D74="","",Biology!D74))</f>
        <v>8</v>
      </c>
      <c r="AA74" s="38">
        <f>IF(SubjectList!G74="Math", IF(Math!E74="","",Math!E74), IF(Biology!E74="","",Biology!E74))</f>
        <v>16</v>
      </c>
      <c r="AB74" s="44">
        <f>IF(SubjectList!I74="Biology", IF(Biology!B74="","",Biology!B74), IF(Math!B74="","",Math!B74))</f>
        <v>12</v>
      </c>
      <c r="AC74" s="44">
        <f>Optional!D74</f>
        <v>0</v>
      </c>
      <c r="AD74" s="44">
        <f>Optional!E74</f>
        <v>9</v>
      </c>
      <c r="AE74" s="44">
        <f>Optional!F74</f>
        <v>21</v>
      </c>
      <c r="AF74" s="39" t="str">
        <f>IF(SubjectList!G74="","", SubjectList!G74)</f>
        <v>Biology</v>
      </c>
      <c r="AG74" s="39" t="str">
        <f>IF(SubjectList!I74="","", SubjectList!I74)</f>
        <v>Math</v>
      </c>
      <c r="AH74" s="40" t="str">
        <f>Bangla!F74</f>
        <v>F</v>
      </c>
      <c r="AI74" s="91" t="str">
        <f>English!E74</f>
        <v>F</v>
      </c>
      <c r="AJ74" s="40" t="str">
        <f>ICT!G74</f>
        <v>F</v>
      </c>
      <c r="AK74" s="40" t="str">
        <f>Physics!G74</f>
        <v>F</v>
      </c>
      <c r="AL74" s="40" t="str">
        <f>Chemistry!G74</f>
        <v/>
      </c>
      <c r="AM74" s="40" t="str">
        <f>IF(SubjectList!G74="Math", IF(Math!G74="","",Math!G74), IF(Biology!G74="","",Biology!G74))</f>
        <v>F</v>
      </c>
      <c r="AN74" s="40" t="str">
        <f>IF(SubjectList!H74="Math", IF(Math!G74="","",Math!G74), IF(Biology!G74="","",Biology!G74))</f>
        <v>F</v>
      </c>
      <c r="AO74" s="41">
        <f>Bangla!G74</f>
        <v>0</v>
      </c>
      <c r="AP74" s="41">
        <f>English!F74</f>
        <v>0</v>
      </c>
      <c r="AQ74" s="41">
        <f>ICT!H74</f>
        <v>0</v>
      </c>
      <c r="AR74" s="41">
        <f>Physics!H74</f>
        <v>0</v>
      </c>
      <c r="AS74" s="41" t="str">
        <f>Chemistry!H74</f>
        <v/>
      </c>
      <c r="AT74" s="41">
        <f>IF(SubjectList!G74="Math", IF(Math!H74="","",Math!H74), IF(Biology!H74="","",Biology!H74))</f>
        <v>0</v>
      </c>
      <c r="AU74" s="41">
        <f>IF(SubjectList!I74="Math", IF(Math!H74="","",Math!H74), IF(Biology!H74="","",Biology!H74))</f>
        <v>0</v>
      </c>
      <c r="AV74" s="41">
        <f>Optional!I74</f>
        <v>0</v>
      </c>
      <c r="AW74" s="41">
        <f>Optional!J74</f>
        <v>0</v>
      </c>
      <c r="AX74" s="41" t="str">
        <f t="shared" si="20"/>
        <v/>
      </c>
      <c r="AY74" s="41" t="str">
        <f t="shared" si="33"/>
        <v/>
      </c>
      <c r="AZ74" s="41" t="str">
        <f t="shared" si="21"/>
        <v/>
      </c>
      <c r="BA74" s="41" t="str">
        <f t="shared" si="22"/>
        <v/>
      </c>
      <c r="BB74" s="41">
        <f t="shared" si="18"/>
        <v>154</v>
      </c>
      <c r="BC74" s="46">
        <f t="shared" si="34"/>
        <v>0</v>
      </c>
      <c r="BD74" s="46">
        <f t="shared" si="23"/>
        <v>0</v>
      </c>
      <c r="BE74" s="46">
        <f t="shared" si="24"/>
        <v>0</v>
      </c>
      <c r="BF74" s="46">
        <f t="shared" si="25"/>
        <v>0</v>
      </c>
      <c r="BG74" s="46" t="str">
        <f t="shared" si="26"/>
        <v/>
      </c>
      <c r="BH74" s="46">
        <f t="shared" si="27"/>
        <v>0</v>
      </c>
      <c r="BI74" s="3">
        <f t="shared" si="28"/>
        <v>0</v>
      </c>
      <c r="BJ74" s="3" t="str">
        <f t="shared" si="29"/>
        <v>Failed in 6 Subjects</v>
      </c>
      <c r="BK74" s="3" t="str">
        <f>IF(BA74="","",RANK(BA74,BA$2:BA88,0))</f>
        <v/>
      </c>
      <c r="BL74" s="3" t="str">
        <f t="shared" si="30"/>
        <v>খুবই দুর্বল</v>
      </c>
      <c r="BM74" s="3" t="str">
        <f t="shared" si="31"/>
        <v>Very Weak</v>
      </c>
      <c r="BN74" s="3" t="str">
        <f t="shared" si="32"/>
        <v/>
      </c>
    </row>
    <row r="75" spans="1:66" x14ac:dyDescent="0.35">
      <c r="A75" s="3" t="str">
        <f>'Student Basic Info'!B75</f>
        <v>Science</v>
      </c>
      <c r="B75" s="3">
        <f>'Student Basic Info'!A75</f>
        <v>774</v>
      </c>
      <c r="C75" s="3" t="str">
        <f>'Student Basic Info'!C75</f>
        <v>Nur Islam</v>
      </c>
      <c r="D75" s="3" t="str">
        <f>'Student Basic Info'!D75</f>
        <v>Nur Nobi</v>
      </c>
      <c r="E75" s="3" t="str">
        <f>'Student Basic Info'!E75</f>
        <v>Kamrul Nahar</v>
      </c>
      <c r="F75" s="3" t="str">
        <f>'Student Basic Info'!F75</f>
        <v>Male</v>
      </c>
      <c r="G75" s="73" t="str">
        <f>'Student Basic Info'!I75</f>
        <v>01854-021044</v>
      </c>
      <c r="H75" s="74" t="str">
        <f>IF(Bangla!B75="","",Bangla!B75)</f>
        <v/>
      </c>
      <c r="I75" s="74">
        <f>IF(Bangla!C75="","",Bangla!C75)</f>
        <v>67</v>
      </c>
      <c r="J75" s="74">
        <f>IF(Bangla!D75="","",Bangla!D75)</f>
        <v>67</v>
      </c>
      <c r="K75" s="75">
        <f>IF(English!C75="","",English!C75)</f>
        <v>27</v>
      </c>
      <c r="L75" s="37">
        <f>IF(ICT!B75="","",ICT!B75)</f>
        <v>8</v>
      </c>
      <c r="M75" s="37">
        <f>IF(ICT!C75="","",ICT!C75)</f>
        <v>19</v>
      </c>
      <c r="N75" s="37">
        <f>IF(ICT!D75="","",ICT!D75)</f>
        <v>24</v>
      </c>
      <c r="O75" s="37">
        <f>IF(ICT!E75="","",ICT!E75)</f>
        <v>51</v>
      </c>
      <c r="P75" s="44">
        <f>IF(Physics!B75="","",Physics!B75)</f>
        <v>8</v>
      </c>
      <c r="Q75" s="44">
        <f>IF(Physics!C75="","",Physics!C75)</f>
        <v>20</v>
      </c>
      <c r="R75" s="44">
        <f>IF(Physics!D75="","",Physics!D75)</f>
        <v>16</v>
      </c>
      <c r="S75" s="89">
        <f>IF(Physics!E75="","",Physics!E75)</f>
        <v>44</v>
      </c>
      <c r="T75" s="37">
        <f>IF(Chemistry!B75="","",Chemistry!B75)</f>
        <v>10</v>
      </c>
      <c r="U75" s="37">
        <f>IF(Chemistry!C75="","",Chemistry!C75)</f>
        <v>3</v>
      </c>
      <c r="V75" s="37">
        <f>IF(Chemistry!D75="","",Chemistry!D75)</f>
        <v>8</v>
      </c>
      <c r="W75" s="37">
        <f>IF(Chemistry!E75="","",Chemistry!E75)</f>
        <v>21</v>
      </c>
      <c r="X75" s="38">
        <f>IF(SubjectList!G75="Math", IF(Math!B75="","",Math!B75), IF(Biology!B75="","",Biology!B75))</f>
        <v>8</v>
      </c>
      <c r="Y75" s="38">
        <f>IF(SubjectList!G75="Math", IF(Math!C75="","",Math!C75), IF(Biology!C75="","",Biology!C75))</f>
        <v>13</v>
      </c>
      <c r="Z75" s="38">
        <f>IF(SubjectList!G75="Math", IF(Math!D75="","",Math!D75), IF(Biology!D75="","",Biology!D75))</f>
        <v>12</v>
      </c>
      <c r="AA75" s="38">
        <f>IF(SubjectList!G75="Math", IF(Math!E75="","",Math!E75), IF(Biology!E75="","",Biology!E75))</f>
        <v>33</v>
      </c>
      <c r="AB75" s="44">
        <f>IF(SubjectList!I75="Biology", IF(Biology!B75="","",Biology!B75), IF(Math!B75="","",Math!B75))</f>
        <v>10</v>
      </c>
      <c r="AC75" s="44">
        <f>Optional!D75</f>
        <v>0</v>
      </c>
      <c r="AD75" s="44">
        <f>Optional!E75</f>
        <v>9</v>
      </c>
      <c r="AE75" s="44">
        <f>Optional!F75</f>
        <v>19</v>
      </c>
      <c r="AF75" s="39" t="str">
        <f>IF(SubjectList!G75="","", SubjectList!G75)</f>
        <v>Biology</v>
      </c>
      <c r="AG75" s="39" t="str">
        <f>IF(SubjectList!I75="","", SubjectList!I75)</f>
        <v>Math</v>
      </c>
      <c r="AH75" s="40" t="str">
        <f>Bangla!F75</f>
        <v>A-</v>
      </c>
      <c r="AI75" s="91" t="str">
        <f>English!E75</f>
        <v>F</v>
      </c>
      <c r="AJ75" s="40" t="str">
        <f>ICT!G75</f>
        <v>B</v>
      </c>
      <c r="AK75" s="40" t="str">
        <f>Physics!G75</f>
        <v>C</v>
      </c>
      <c r="AL75" s="40" t="str">
        <f>Chemistry!G75</f>
        <v>F</v>
      </c>
      <c r="AM75" s="40" t="str">
        <f>IF(SubjectList!G75="Math", IF(Math!G75="","",Math!G75), IF(Biology!G75="","",Biology!G75))</f>
        <v>F</v>
      </c>
      <c r="AN75" s="40" t="str">
        <f>IF(SubjectList!H75="Math", IF(Math!G75="","",Math!G75), IF(Biology!G75="","",Biology!G75))</f>
        <v>F</v>
      </c>
      <c r="AO75" s="41">
        <f>Bangla!G75</f>
        <v>3.5</v>
      </c>
      <c r="AP75" s="41">
        <f>English!F75</f>
        <v>0</v>
      </c>
      <c r="AQ75" s="41">
        <f>ICT!H75</f>
        <v>3</v>
      </c>
      <c r="AR75" s="41">
        <f>Physics!H75</f>
        <v>2</v>
      </c>
      <c r="AS75" s="41">
        <f>Chemistry!H75</f>
        <v>0</v>
      </c>
      <c r="AT75" s="41">
        <f>IF(SubjectList!G75="Math", IF(Math!H75="","",Math!H75), IF(Biology!H75="","",Biology!H75))</f>
        <v>0</v>
      </c>
      <c r="AU75" s="41">
        <f>IF(SubjectList!I75="Math", IF(Math!H75="","",Math!H75), IF(Biology!H75="","",Biology!H75))</f>
        <v>0</v>
      </c>
      <c r="AV75" s="41">
        <f>Optional!I75</f>
        <v>0</v>
      </c>
      <c r="AW75" s="41">
        <f>Optional!J75</f>
        <v>0</v>
      </c>
      <c r="AX75" s="41">
        <f t="shared" si="20"/>
        <v>8.5</v>
      </c>
      <c r="AY75" s="41">
        <f t="shared" si="33"/>
        <v>8.5</v>
      </c>
      <c r="AZ75" s="41" t="str">
        <f t="shared" si="21"/>
        <v/>
      </c>
      <c r="BA75" s="41" t="str">
        <f t="shared" si="22"/>
        <v/>
      </c>
      <c r="BB75" s="41">
        <f t="shared" si="18"/>
        <v>262</v>
      </c>
      <c r="BC75" s="46">
        <f t="shared" si="34"/>
        <v>1</v>
      </c>
      <c r="BD75" s="46">
        <f t="shared" si="23"/>
        <v>0</v>
      </c>
      <c r="BE75" s="46">
        <f t="shared" si="24"/>
        <v>1</v>
      </c>
      <c r="BF75" s="46">
        <f t="shared" si="25"/>
        <v>1</v>
      </c>
      <c r="BG75" s="46">
        <f t="shared" si="26"/>
        <v>0</v>
      </c>
      <c r="BH75" s="46">
        <f t="shared" si="27"/>
        <v>0</v>
      </c>
      <c r="BI75" s="3">
        <f t="shared" si="28"/>
        <v>3</v>
      </c>
      <c r="BJ75" s="3" t="str">
        <f t="shared" si="29"/>
        <v>Failed in 3 Subjects</v>
      </c>
      <c r="BK75" s="3" t="str">
        <f>IF(BA75="","",RANK(BA75,BA$2:BA88,0))</f>
        <v/>
      </c>
      <c r="BL75" s="3" t="str">
        <f t="shared" si="30"/>
        <v>খুবই দুর্বল</v>
      </c>
      <c r="BM75" s="3" t="str">
        <f t="shared" si="31"/>
        <v>Very Weak</v>
      </c>
      <c r="BN75" s="3" t="str">
        <f t="shared" si="32"/>
        <v/>
      </c>
    </row>
    <row r="76" spans="1:66" x14ac:dyDescent="0.35">
      <c r="A76" s="3" t="str">
        <f>'Student Basic Info'!B76</f>
        <v>Science</v>
      </c>
      <c r="B76" s="3">
        <f>'Student Basic Info'!A76</f>
        <v>775</v>
      </c>
      <c r="C76" s="3" t="str">
        <f>'Student Basic Info'!C76</f>
        <v>Nur Mohammad Rimon</v>
      </c>
      <c r="D76" s="3" t="str">
        <f>'Student Basic Info'!D76</f>
        <v>Din Mohammad Liton</v>
      </c>
      <c r="E76" s="3" t="str">
        <f>'Student Basic Info'!E76</f>
        <v xml:space="preserve">Chandhani </v>
      </c>
      <c r="F76" s="3" t="str">
        <f>'Student Basic Info'!F76</f>
        <v>Male</v>
      </c>
      <c r="G76" s="73" t="str">
        <f>'Student Basic Info'!I76</f>
        <v>01882-441669</v>
      </c>
      <c r="H76" s="74" t="str">
        <f>IF(Bangla!B76="","",Bangla!B76)</f>
        <v/>
      </c>
      <c r="I76" s="74">
        <f>IF(Bangla!C76="","",Bangla!C76)</f>
        <v>26</v>
      </c>
      <c r="J76" s="74">
        <f>IF(Bangla!D76="","",Bangla!D76)</f>
        <v>26</v>
      </c>
      <c r="K76" s="75">
        <f>IF(English!C76="","",English!C76)</f>
        <v>28</v>
      </c>
      <c r="L76" s="37">
        <f>IF(ICT!B76="","",ICT!B76)</f>
        <v>9</v>
      </c>
      <c r="M76" s="37">
        <f>IF(ICT!C76="","",ICT!C76)</f>
        <v>10</v>
      </c>
      <c r="N76" s="37">
        <f>IF(ICT!D76="","",ICT!D76)</f>
        <v>8</v>
      </c>
      <c r="O76" s="37">
        <f>IF(ICT!E76="","",ICT!E76)</f>
        <v>27</v>
      </c>
      <c r="P76" s="44">
        <f>IF(Physics!B76="","",Physics!B76)</f>
        <v>10</v>
      </c>
      <c r="Q76" s="44">
        <f>IF(Physics!C76="","",Physics!C76)</f>
        <v>10</v>
      </c>
      <c r="R76" s="44">
        <f>IF(Physics!D76="","",Physics!D76)</f>
        <v>12</v>
      </c>
      <c r="S76" s="89">
        <f>IF(Physics!E76="","",Physics!E76)</f>
        <v>32</v>
      </c>
      <c r="T76" s="37" t="str">
        <f>IF(Chemistry!B76="","",Chemistry!B76)</f>
        <v/>
      </c>
      <c r="U76" s="37" t="str">
        <f>IF(Chemistry!C76="","",Chemistry!C76)</f>
        <v/>
      </c>
      <c r="V76" s="37" t="str">
        <f>IF(Chemistry!D76="","",Chemistry!D76)</f>
        <v/>
      </c>
      <c r="W76" s="37" t="str">
        <f>IF(Chemistry!E76="","",Chemistry!E76)</f>
        <v/>
      </c>
      <c r="X76" s="38">
        <f>IF(SubjectList!G76="Math", IF(Math!B76="","",Math!B76), IF(Biology!B76="","",Biology!B76))</f>
        <v>8</v>
      </c>
      <c r="Y76" s="38">
        <f>IF(SubjectList!G76="Math", IF(Math!C76="","",Math!C76), IF(Biology!C76="","",Biology!C76))</f>
        <v>2</v>
      </c>
      <c r="Z76" s="38">
        <f>IF(SubjectList!G76="Math", IF(Math!D76="","",Math!D76), IF(Biology!D76="","",Biology!D76))</f>
        <v>8</v>
      </c>
      <c r="AA76" s="38">
        <f>IF(SubjectList!G76="Math", IF(Math!E76="","",Math!E76), IF(Biology!E76="","",Biology!E76))</f>
        <v>18</v>
      </c>
      <c r="AB76" s="44" t="str">
        <f>IF(SubjectList!I76="Biology", IF(Biology!B76="","",Biology!B76), IF(Math!B76="","",Math!B76))</f>
        <v/>
      </c>
      <c r="AC76" s="44" t="str">
        <f>Optional!D76</f>
        <v/>
      </c>
      <c r="AD76" s="44" t="str">
        <f>Optional!E76</f>
        <v/>
      </c>
      <c r="AE76" s="44" t="str">
        <f>Optional!F76</f>
        <v/>
      </c>
      <c r="AF76" s="39" t="str">
        <f>IF(SubjectList!G76="","", SubjectList!G76)</f>
        <v>Biology</v>
      </c>
      <c r="AG76" s="39" t="str">
        <f>IF(SubjectList!I76="","", SubjectList!I76)</f>
        <v>Math</v>
      </c>
      <c r="AH76" s="40" t="str">
        <f>Bangla!F76</f>
        <v>F</v>
      </c>
      <c r="AI76" s="91" t="str">
        <f>English!E76</f>
        <v>F</v>
      </c>
      <c r="AJ76" s="40" t="str">
        <f>ICT!G76</f>
        <v>F</v>
      </c>
      <c r="AK76" s="40" t="str">
        <f>Physics!G76</f>
        <v>F</v>
      </c>
      <c r="AL76" s="40" t="str">
        <f>Chemistry!G76</f>
        <v/>
      </c>
      <c r="AM76" s="40" t="str">
        <f>IF(SubjectList!G76="Math", IF(Math!G76="","",Math!G76), IF(Biology!G76="","",Biology!G76))</f>
        <v>F</v>
      </c>
      <c r="AN76" s="40" t="str">
        <f>IF(SubjectList!H76="Math", IF(Math!G76="","",Math!G76), IF(Biology!G76="","",Biology!G76))</f>
        <v/>
      </c>
      <c r="AO76" s="41">
        <f>Bangla!G76</f>
        <v>0</v>
      </c>
      <c r="AP76" s="41">
        <f>English!F76</f>
        <v>0</v>
      </c>
      <c r="AQ76" s="41">
        <f>ICT!H76</f>
        <v>0</v>
      </c>
      <c r="AR76" s="41">
        <f>Physics!H76</f>
        <v>0</v>
      </c>
      <c r="AS76" s="41" t="str">
        <f>Chemistry!H76</f>
        <v/>
      </c>
      <c r="AT76" s="41">
        <f>IF(SubjectList!G76="Math", IF(Math!H76="","",Math!H76), IF(Biology!H76="","",Biology!H76))</f>
        <v>0</v>
      </c>
      <c r="AU76" s="41" t="str">
        <f>IF(SubjectList!I76="Math", IF(Math!H76="","",Math!H76), IF(Biology!H76="","",Biology!H76))</f>
        <v/>
      </c>
      <c r="AV76" s="41" t="str">
        <f>Optional!I76</f>
        <v/>
      </c>
      <c r="AW76" s="41" t="str">
        <f>Optional!J76</f>
        <v/>
      </c>
      <c r="AX76" s="41" t="str">
        <f t="shared" si="20"/>
        <v/>
      </c>
      <c r="AY76" s="41" t="str">
        <f t="shared" si="33"/>
        <v/>
      </c>
      <c r="AZ76" s="41" t="str">
        <f t="shared" si="21"/>
        <v/>
      </c>
      <c r="BA76" s="41" t="str">
        <f t="shared" si="22"/>
        <v/>
      </c>
      <c r="BB76" s="41">
        <f t="shared" ref="BB76:BB87" si="35">IF(J76="",0,J76)+IF(K76="",0,K76)+IF(O76="",0,O76)+IF(S76="",0,S76)+IF(W76="",0,W76)+IF(AA76="",0,AA76)+IF(AE76="",0,AE76)</f>
        <v>131</v>
      </c>
      <c r="BC76" s="46">
        <f t="shared" si="34"/>
        <v>0</v>
      </c>
      <c r="BD76" s="46">
        <f t="shared" si="23"/>
        <v>0</v>
      </c>
      <c r="BE76" s="46">
        <f t="shared" si="24"/>
        <v>0</v>
      </c>
      <c r="BF76" s="46">
        <f t="shared" si="25"/>
        <v>0</v>
      </c>
      <c r="BG76" s="46" t="str">
        <f t="shared" si="26"/>
        <v/>
      </c>
      <c r="BH76" s="46">
        <f t="shared" si="27"/>
        <v>0</v>
      </c>
      <c r="BI76" s="3">
        <f t="shared" si="28"/>
        <v>0</v>
      </c>
      <c r="BJ76" s="3" t="str">
        <f t="shared" si="29"/>
        <v>Failed in 6 Subjects</v>
      </c>
      <c r="BK76" s="3" t="str">
        <f>IF(BA76="","",RANK(BA76,BA$2:BA88,0))</f>
        <v/>
      </c>
      <c r="BL76" s="3" t="str">
        <f t="shared" si="30"/>
        <v>খুবই দুর্বল</v>
      </c>
      <c r="BM76" s="3" t="str">
        <f t="shared" si="31"/>
        <v>Very Weak</v>
      </c>
      <c r="BN76" s="3" t="str">
        <f t="shared" si="32"/>
        <v/>
      </c>
    </row>
    <row r="77" spans="1:66" x14ac:dyDescent="0.35">
      <c r="A77" s="3" t="str">
        <f>'Student Basic Info'!B77</f>
        <v>Science</v>
      </c>
      <c r="B77" s="3">
        <f>'Student Basic Info'!A77</f>
        <v>776</v>
      </c>
      <c r="C77" s="3" t="str">
        <f>'Student Basic Info'!C77</f>
        <v>Saifullah Mansur</v>
      </c>
      <c r="D77" s="3" t="str">
        <f>'Student Basic Info'!D77</f>
        <v>Abu Bokor Siddique</v>
      </c>
      <c r="E77" s="3" t="str">
        <f>'Student Basic Info'!E77</f>
        <v>Ayesha Aktar</v>
      </c>
      <c r="F77" s="3" t="str">
        <f>'Student Basic Info'!F77</f>
        <v>Male</v>
      </c>
      <c r="G77" s="73" t="str">
        <f>'Student Basic Info'!I77</f>
        <v>01829-975984</v>
      </c>
      <c r="H77" s="74" t="str">
        <f>IF(Bangla!B77="","",Bangla!B77)</f>
        <v/>
      </c>
      <c r="I77" s="74">
        <f>IF(Bangla!C77="","",Bangla!C77)</f>
        <v>17</v>
      </c>
      <c r="J77" s="74">
        <f>IF(Bangla!D77="","",Bangla!D77)</f>
        <v>17</v>
      </c>
      <c r="K77" s="75">
        <f>IF(English!C77="","",English!C77)</f>
        <v>12</v>
      </c>
      <c r="L77" s="37">
        <f>IF(ICT!B77="","",ICT!B77)</f>
        <v>6</v>
      </c>
      <c r="M77" s="37">
        <f>IF(ICT!C77="","",ICT!C77)</f>
        <v>6</v>
      </c>
      <c r="N77" s="37">
        <f>IF(ICT!D77="","",ICT!D77)</f>
        <v>8</v>
      </c>
      <c r="O77" s="37">
        <f>IF(ICT!E77="","",ICT!E77)</f>
        <v>20</v>
      </c>
      <c r="P77" s="44">
        <f>IF(Physics!B77="","",Physics!B77)</f>
        <v>3</v>
      </c>
      <c r="Q77" s="44">
        <f>IF(Physics!C77="","",Physics!C77)</f>
        <v>3</v>
      </c>
      <c r="R77" s="44">
        <f>IF(Physics!D77="","",Physics!D77)</f>
        <v>8</v>
      </c>
      <c r="S77" s="89">
        <f>IF(Physics!E77="","",Physics!E77)</f>
        <v>14</v>
      </c>
      <c r="T77" s="37">
        <f>IF(Chemistry!B77="","",Chemistry!B77)</f>
        <v>6</v>
      </c>
      <c r="U77" s="37">
        <f>IF(Chemistry!C77="","",Chemistry!C77)</f>
        <v>0</v>
      </c>
      <c r="V77" s="37">
        <f>IF(Chemistry!D77="","",Chemistry!D77)</f>
        <v>8</v>
      </c>
      <c r="W77" s="37">
        <f>IF(Chemistry!E77="","",Chemistry!E77)</f>
        <v>14</v>
      </c>
      <c r="X77" s="38">
        <f>IF(SubjectList!G77="Math", IF(Math!B77="","",Math!B77), IF(Biology!B77="","",Biology!B77))</f>
        <v>7</v>
      </c>
      <c r="Y77" s="38">
        <f>IF(SubjectList!G77="Math", IF(Math!C77="","",Math!C77), IF(Biology!C77="","",Biology!C77))</f>
        <v>0</v>
      </c>
      <c r="Z77" s="38">
        <f>IF(SubjectList!G77="Math", IF(Math!D77="","",Math!D77), IF(Biology!D77="","",Biology!D77))</f>
        <v>8</v>
      </c>
      <c r="AA77" s="38">
        <f>IF(SubjectList!G77="Math", IF(Math!E77="","",Math!E77), IF(Biology!E77="","",Biology!E77))</f>
        <v>15</v>
      </c>
      <c r="AB77" s="44">
        <f>IF(SubjectList!I77="Biology", IF(Biology!B77="","",Biology!B77), IF(Math!B77="","",Math!B77))</f>
        <v>3</v>
      </c>
      <c r="AC77" s="44">
        <f>Optional!D77</f>
        <v>0</v>
      </c>
      <c r="AD77" s="44">
        <f>Optional!E77</f>
        <v>8</v>
      </c>
      <c r="AE77" s="44">
        <f>Optional!F77</f>
        <v>11</v>
      </c>
      <c r="AF77" s="39" t="str">
        <f>IF(SubjectList!G77="","", SubjectList!G77)</f>
        <v>Biology</v>
      </c>
      <c r="AG77" s="39" t="str">
        <f>IF(SubjectList!I77="","", SubjectList!I77)</f>
        <v>Math</v>
      </c>
      <c r="AH77" s="40" t="str">
        <f>Bangla!F77</f>
        <v>F</v>
      </c>
      <c r="AI77" s="91" t="str">
        <f>English!E77</f>
        <v>F</v>
      </c>
      <c r="AJ77" s="40" t="str">
        <f>ICT!G77</f>
        <v>F</v>
      </c>
      <c r="AK77" s="40" t="str">
        <f>Physics!G77</f>
        <v>F</v>
      </c>
      <c r="AL77" s="40" t="str">
        <f>Chemistry!G77</f>
        <v>F</v>
      </c>
      <c r="AM77" s="40" t="str">
        <f>IF(SubjectList!G77="Math", IF(Math!G77="","",Math!G77), IF(Biology!G77="","",Biology!G77))</f>
        <v>F</v>
      </c>
      <c r="AN77" s="40" t="str">
        <f>IF(SubjectList!H77="Math", IF(Math!G77="","",Math!G77), IF(Biology!G77="","",Biology!G77))</f>
        <v>F</v>
      </c>
      <c r="AO77" s="41">
        <f>Bangla!G77</f>
        <v>0</v>
      </c>
      <c r="AP77" s="41">
        <f>English!F77</f>
        <v>0</v>
      </c>
      <c r="AQ77" s="41">
        <f>ICT!H77</f>
        <v>0</v>
      </c>
      <c r="AR77" s="41">
        <f>Physics!H77</f>
        <v>0</v>
      </c>
      <c r="AS77" s="41">
        <f>Chemistry!H77</f>
        <v>0</v>
      </c>
      <c r="AT77" s="41">
        <f>IF(SubjectList!G77="Math", IF(Math!H77="","",Math!H77), IF(Biology!H77="","",Biology!H77))</f>
        <v>0</v>
      </c>
      <c r="AU77" s="41">
        <f>IF(SubjectList!I77="Math", IF(Math!H77="","",Math!H77), IF(Biology!H77="","",Biology!H77))</f>
        <v>0</v>
      </c>
      <c r="AV77" s="41">
        <f>Optional!I77</f>
        <v>0</v>
      </c>
      <c r="AW77" s="41">
        <f>Optional!J77</f>
        <v>0</v>
      </c>
      <c r="AX77" s="41" t="str">
        <f t="shared" si="20"/>
        <v/>
      </c>
      <c r="AY77" s="41" t="str">
        <f t="shared" si="33"/>
        <v/>
      </c>
      <c r="AZ77" s="41" t="str">
        <f t="shared" si="21"/>
        <v/>
      </c>
      <c r="BA77" s="41" t="str">
        <f t="shared" si="22"/>
        <v/>
      </c>
      <c r="BB77" s="41">
        <f t="shared" si="35"/>
        <v>103</v>
      </c>
      <c r="BC77" s="46">
        <f t="shared" si="34"/>
        <v>0</v>
      </c>
      <c r="BD77" s="46">
        <f t="shared" si="23"/>
        <v>0</v>
      </c>
      <c r="BE77" s="46">
        <f t="shared" si="24"/>
        <v>0</v>
      </c>
      <c r="BF77" s="46">
        <f t="shared" si="25"/>
        <v>0</v>
      </c>
      <c r="BG77" s="46">
        <f t="shared" si="26"/>
        <v>0</v>
      </c>
      <c r="BH77" s="46">
        <f t="shared" si="27"/>
        <v>0</v>
      </c>
      <c r="BI77" s="3">
        <f t="shared" si="28"/>
        <v>0</v>
      </c>
      <c r="BJ77" s="3" t="str">
        <f t="shared" si="29"/>
        <v>Failed in 6 Subjects</v>
      </c>
      <c r="BK77" s="3" t="str">
        <f>IF(BA77="","",RANK(BA77,BA$2:BA88,0))</f>
        <v/>
      </c>
      <c r="BL77" s="3" t="str">
        <f t="shared" si="30"/>
        <v>খুবই দুর্বল</v>
      </c>
      <c r="BM77" s="3" t="str">
        <f t="shared" si="31"/>
        <v>Very Weak</v>
      </c>
      <c r="BN77" s="3" t="str">
        <f t="shared" si="32"/>
        <v/>
      </c>
    </row>
    <row r="78" spans="1:66" x14ac:dyDescent="0.35">
      <c r="A78" s="3" t="str">
        <f>'Student Basic Info'!B78</f>
        <v>Science</v>
      </c>
      <c r="B78" s="3">
        <f>'Student Basic Info'!A78</f>
        <v>777</v>
      </c>
      <c r="C78" s="3" t="str">
        <f>'Student Basic Info'!C78</f>
        <v>Zunayed Al Mamun</v>
      </c>
      <c r="D78" s="3" t="str">
        <f>'Student Basic Info'!D78</f>
        <v>Mozammel Haque</v>
      </c>
      <c r="E78" s="3" t="str">
        <f>'Student Basic Info'!E78</f>
        <v>Bibi Rahima</v>
      </c>
      <c r="F78" s="3" t="str">
        <f>'Student Basic Info'!F78</f>
        <v>Male</v>
      </c>
      <c r="G78" s="73" t="str">
        <f>'Student Basic Info'!I78</f>
        <v>01841-306381</v>
      </c>
      <c r="H78" s="74" t="str">
        <f>IF(Bangla!B78="","",Bangla!B78)</f>
        <v/>
      </c>
      <c r="I78" s="74" t="str">
        <f>IF(Bangla!C78="","",Bangla!C78)</f>
        <v/>
      </c>
      <c r="J78" s="74" t="str">
        <f>IF(Bangla!D78="","",Bangla!D78)</f>
        <v/>
      </c>
      <c r="K78" s="75" t="str">
        <f>IF(English!C78="","",English!C78)</f>
        <v/>
      </c>
      <c r="L78" s="37" t="str">
        <f>IF(ICT!B78="","",ICT!B78)</f>
        <v/>
      </c>
      <c r="M78" s="37" t="str">
        <f>IF(ICT!C78="","",ICT!C78)</f>
        <v/>
      </c>
      <c r="N78" s="37" t="str">
        <f>IF(ICT!D78="","",ICT!D78)</f>
        <v/>
      </c>
      <c r="O78" s="37" t="str">
        <f>IF(ICT!E78="","",ICT!E78)</f>
        <v/>
      </c>
      <c r="P78" s="44" t="str">
        <f>IF(Physics!B78="","",Physics!B78)</f>
        <v/>
      </c>
      <c r="Q78" s="44" t="str">
        <f>IF(Physics!C78="","",Physics!C78)</f>
        <v/>
      </c>
      <c r="R78" s="44" t="str">
        <f>IF(Physics!D78="","",Physics!D78)</f>
        <v/>
      </c>
      <c r="S78" s="89" t="str">
        <f>IF(Physics!E78="","",Physics!E78)</f>
        <v/>
      </c>
      <c r="T78" s="37" t="str">
        <f>IF(Chemistry!B78="","",Chemistry!B78)</f>
        <v/>
      </c>
      <c r="U78" s="37" t="str">
        <f>IF(Chemistry!C78="","",Chemistry!C78)</f>
        <v/>
      </c>
      <c r="V78" s="37" t="str">
        <f>IF(Chemistry!D78="","",Chemistry!D78)</f>
        <v/>
      </c>
      <c r="W78" s="37" t="str">
        <f>IF(Chemistry!E78="","",Chemistry!E78)</f>
        <v/>
      </c>
      <c r="X78" s="38" t="str">
        <f>IF(SubjectList!G78="Math", IF(Math!B78="","",Math!B78), IF(Biology!B78="","",Biology!B78))</f>
        <v/>
      </c>
      <c r="Y78" s="38" t="str">
        <f>IF(SubjectList!G78="Math", IF(Math!C78="","",Math!C78), IF(Biology!C78="","",Biology!C78))</f>
        <v/>
      </c>
      <c r="Z78" s="38" t="str">
        <f>IF(SubjectList!G78="Math", IF(Math!D78="","",Math!D78), IF(Biology!D78="","",Biology!D78))</f>
        <v/>
      </c>
      <c r="AA78" s="38" t="str">
        <f>IF(SubjectList!G78="Math", IF(Math!E78="","",Math!E78), IF(Biology!E78="","",Biology!E78))</f>
        <v/>
      </c>
      <c r="AB78" s="44" t="str">
        <f>IF(SubjectList!I78="Biology", IF(Biology!B78="","",Biology!B78), IF(Math!B78="","",Math!B78))</f>
        <v/>
      </c>
      <c r="AC78" s="44" t="str">
        <f>Optional!D78</f>
        <v/>
      </c>
      <c r="AD78" s="44" t="str">
        <f>Optional!E78</f>
        <v/>
      </c>
      <c r="AE78" s="44" t="str">
        <f>Optional!F78</f>
        <v/>
      </c>
      <c r="AF78" s="39" t="str">
        <f>IF(SubjectList!G78="","", SubjectList!G78)</f>
        <v>Biology</v>
      </c>
      <c r="AG78" s="39" t="str">
        <f>IF(SubjectList!I78="","", SubjectList!I78)</f>
        <v>Math</v>
      </c>
      <c r="AH78" s="40" t="str">
        <f>Bangla!F78</f>
        <v/>
      </c>
      <c r="AI78" s="91" t="str">
        <f>English!E78</f>
        <v/>
      </c>
      <c r="AJ78" s="40" t="str">
        <f>ICT!G78</f>
        <v/>
      </c>
      <c r="AK78" s="40" t="str">
        <f>Physics!G78</f>
        <v/>
      </c>
      <c r="AL78" s="40" t="str">
        <f>Chemistry!G78</f>
        <v/>
      </c>
      <c r="AM78" s="40" t="str">
        <f>IF(SubjectList!G78="Math", IF(Math!G78="","",Math!G78), IF(Biology!G78="","",Biology!G78))</f>
        <v/>
      </c>
      <c r="AN78" s="40" t="str">
        <f>IF(SubjectList!H78="Math", IF(Math!G78="","",Math!G78), IF(Biology!G78="","",Biology!G78))</f>
        <v/>
      </c>
      <c r="AO78" s="41" t="str">
        <f>Bangla!G78</f>
        <v/>
      </c>
      <c r="AP78" s="41" t="str">
        <f>English!F78</f>
        <v/>
      </c>
      <c r="AQ78" s="41" t="str">
        <f>ICT!H78</f>
        <v/>
      </c>
      <c r="AR78" s="41" t="str">
        <f>Physics!H78</f>
        <v/>
      </c>
      <c r="AS78" s="41" t="str">
        <f>Chemistry!H78</f>
        <v/>
      </c>
      <c r="AT78" s="41" t="str">
        <f>IF(SubjectList!G78="Math", IF(Math!H78="","",Math!H78), IF(Biology!H78="","",Biology!H78))</f>
        <v/>
      </c>
      <c r="AU78" s="41" t="str">
        <f>IF(SubjectList!I78="Math", IF(Math!H78="","",Math!H78), IF(Biology!H78="","",Biology!H78))</f>
        <v/>
      </c>
      <c r="AV78" s="41" t="str">
        <f>Optional!I78</f>
        <v/>
      </c>
      <c r="AW78" s="41" t="str">
        <f>Optional!J78</f>
        <v/>
      </c>
      <c r="AX78" s="41" t="str">
        <f t="shared" si="20"/>
        <v/>
      </c>
      <c r="AY78" s="41" t="str">
        <f t="shared" si="33"/>
        <v/>
      </c>
      <c r="AZ78" s="41" t="str">
        <f t="shared" si="21"/>
        <v/>
      </c>
      <c r="BA78" s="41" t="str">
        <f t="shared" si="22"/>
        <v/>
      </c>
      <c r="BB78" s="41">
        <f t="shared" si="35"/>
        <v>0</v>
      </c>
      <c r="BC78" s="46" t="str">
        <f t="shared" si="34"/>
        <v/>
      </c>
      <c r="BD78" s="46" t="str">
        <f t="shared" si="23"/>
        <v/>
      </c>
      <c r="BE78" s="46" t="str">
        <f t="shared" si="24"/>
        <v/>
      </c>
      <c r="BF78" s="46" t="str">
        <f t="shared" si="25"/>
        <v/>
      </c>
      <c r="BG78" s="46" t="str">
        <f t="shared" si="26"/>
        <v/>
      </c>
      <c r="BH78" s="46" t="str">
        <f t="shared" si="27"/>
        <v/>
      </c>
      <c r="BI78" s="3">
        <f t="shared" si="28"/>
        <v>0</v>
      </c>
      <c r="BJ78" s="3" t="str">
        <f t="shared" si="29"/>
        <v>Failed in 6 Subjects</v>
      </c>
      <c r="BK78" s="3" t="str">
        <f>IF(BA78="","",RANK(BA78,BA$2:BA88,0))</f>
        <v/>
      </c>
      <c r="BL78" s="3" t="str">
        <f t="shared" si="30"/>
        <v>খুবই দুর্বল</v>
      </c>
      <c r="BM78" s="3" t="str">
        <f t="shared" si="31"/>
        <v>Very Weak</v>
      </c>
      <c r="BN78" s="3" t="str">
        <f t="shared" si="32"/>
        <v/>
      </c>
    </row>
    <row r="79" spans="1:66" x14ac:dyDescent="0.35">
      <c r="A79" s="3" t="str">
        <f>'Student Basic Info'!B79</f>
        <v>Science</v>
      </c>
      <c r="B79" s="3">
        <f>'Student Basic Info'!A79</f>
        <v>778</v>
      </c>
      <c r="C79" s="3" t="str">
        <f>'Student Basic Info'!C79</f>
        <v>Al Hosain</v>
      </c>
      <c r="D79" s="3" t="str">
        <f>'Student Basic Info'!D79</f>
        <v>Oli Ullah</v>
      </c>
      <c r="E79" s="3" t="str">
        <f>'Student Basic Info'!E79</f>
        <v>Feroza Aktar</v>
      </c>
      <c r="F79" s="3" t="str">
        <f>'Student Basic Info'!F79</f>
        <v>Male</v>
      </c>
      <c r="G79" s="73" t="str">
        <f>'Student Basic Info'!I79</f>
        <v>01871-086767</v>
      </c>
      <c r="H79" s="74" t="str">
        <f>IF(Bangla!B79="","",Bangla!B79)</f>
        <v/>
      </c>
      <c r="I79" s="74" t="str">
        <f>IF(Bangla!C79="","",Bangla!C79)</f>
        <v/>
      </c>
      <c r="J79" s="74" t="str">
        <f>IF(Bangla!D79="","",Bangla!D79)</f>
        <v/>
      </c>
      <c r="K79" s="75" t="str">
        <f>IF(English!C79="","",English!C79)</f>
        <v/>
      </c>
      <c r="L79" s="37" t="str">
        <f>IF(ICT!B79="","",ICT!B79)</f>
        <v/>
      </c>
      <c r="M79" s="37" t="str">
        <f>IF(ICT!C79="","",ICT!C79)</f>
        <v/>
      </c>
      <c r="N79" s="37" t="str">
        <f>IF(ICT!D79="","",ICT!D79)</f>
        <v/>
      </c>
      <c r="O79" s="37" t="str">
        <f>IF(ICT!E79="","",ICT!E79)</f>
        <v/>
      </c>
      <c r="P79" s="44" t="str">
        <f>IF(Physics!B79="","",Physics!B79)</f>
        <v/>
      </c>
      <c r="Q79" s="44" t="str">
        <f>IF(Physics!C79="","",Physics!C79)</f>
        <v/>
      </c>
      <c r="R79" s="44" t="str">
        <f>IF(Physics!D79="","",Physics!D79)</f>
        <v/>
      </c>
      <c r="S79" s="89" t="str">
        <f>IF(Physics!E79="","",Physics!E79)</f>
        <v/>
      </c>
      <c r="T79" s="37" t="str">
        <f>IF(Chemistry!B79="","",Chemistry!B79)</f>
        <v/>
      </c>
      <c r="U79" s="37" t="str">
        <f>IF(Chemistry!C79="","",Chemistry!C79)</f>
        <v/>
      </c>
      <c r="V79" s="37" t="str">
        <f>IF(Chemistry!D79="","",Chemistry!D79)</f>
        <v/>
      </c>
      <c r="W79" s="37" t="str">
        <f>IF(Chemistry!E79="","",Chemistry!E79)</f>
        <v/>
      </c>
      <c r="X79" s="38" t="str">
        <f>IF(SubjectList!G79="Math", IF(Math!B79="","",Math!B79), IF(Biology!B79="","",Biology!B79))</f>
        <v/>
      </c>
      <c r="Y79" s="38" t="str">
        <f>IF(SubjectList!G79="Math", IF(Math!C79="","",Math!C79), IF(Biology!C79="","",Biology!C79))</f>
        <v/>
      </c>
      <c r="Z79" s="38" t="str">
        <f>IF(SubjectList!G79="Math", IF(Math!D79="","",Math!D79), IF(Biology!D79="","",Biology!D79))</f>
        <v/>
      </c>
      <c r="AA79" s="38" t="str">
        <f>IF(SubjectList!G79="Math", IF(Math!E79="","",Math!E79), IF(Biology!E79="","",Biology!E79))</f>
        <v/>
      </c>
      <c r="AB79" s="44" t="str">
        <f>IF(SubjectList!I79="Biology", IF(Biology!B79="","",Biology!B79), IF(Math!B79="","",Math!B79))</f>
        <v/>
      </c>
      <c r="AC79" s="44" t="str">
        <f>Optional!D79</f>
        <v/>
      </c>
      <c r="AD79" s="44" t="str">
        <f>Optional!E79</f>
        <v/>
      </c>
      <c r="AE79" s="44" t="str">
        <f>Optional!F79</f>
        <v/>
      </c>
      <c r="AF79" s="39" t="str">
        <f>IF(SubjectList!G79="","", SubjectList!G79)</f>
        <v>Biology</v>
      </c>
      <c r="AG79" s="39" t="str">
        <f>IF(SubjectList!I79="","", SubjectList!I79)</f>
        <v>Math</v>
      </c>
      <c r="AH79" s="40" t="str">
        <f>Bangla!F79</f>
        <v/>
      </c>
      <c r="AI79" s="91" t="str">
        <f>English!E79</f>
        <v/>
      </c>
      <c r="AJ79" s="40" t="str">
        <f>ICT!G79</f>
        <v/>
      </c>
      <c r="AK79" s="40" t="str">
        <f>Physics!G79</f>
        <v/>
      </c>
      <c r="AL79" s="40" t="str">
        <f>Chemistry!G79</f>
        <v/>
      </c>
      <c r="AM79" s="40" t="str">
        <f>IF(SubjectList!G79="Math", IF(Math!G79="","",Math!G79), IF(Biology!G79="","",Biology!G79))</f>
        <v/>
      </c>
      <c r="AN79" s="40" t="str">
        <f>IF(SubjectList!H79="Math", IF(Math!G79="","",Math!G79), IF(Biology!G79="","",Biology!G79))</f>
        <v/>
      </c>
      <c r="AO79" s="41" t="str">
        <f>Bangla!G79</f>
        <v/>
      </c>
      <c r="AP79" s="41" t="str">
        <f>English!F79</f>
        <v/>
      </c>
      <c r="AQ79" s="41" t="str">
        <f>ICT!H79</f>
        <v/>
      </c>
      <c r="AR79" s="41" t="str">
        <f>Physics!H79</f>
        <v/>
      </c>
      <c r="AS79" s="41" t="str">
        <f>Chemistry!H79</f>
        <v/>
      </c>
      <c r="AT79" s="41" t="str">
        <f>IF(SubjectList!G79="Math", IF(Math!H79="","",Math!H79), IF(Biology!H79="","",Biology!H79))</f>
        <v/>
      </c>
      <c r="AU79" s="41" t="str">
        <f>IF(SubjectList!I79="Math", IF(Math!H79="","",Math!H79), IF(Biology!H79="","",Biology!H79))</f>
        <v/>
      </c>
      <c r="AV79" s="41" t="str">
        <f>Optional!I79</f>
        <v/>
      </c>
      <c r="AW79" s="41" t="str">
        <f>Optional!J79</f>
        <v/>
      </c>
      <c r="AX79" s="41" t="str">
        <f t="shared" si="20"/>
        <v/>
      </c>
      <c r="AY79" s="41" t="str">
        <f t="shared" si="33"/>
        <v/>
      </c>
      <c r="AZ79" s="41" t="str">
        <f t="shared" si="21"/>
        <v/>
      </c>
      <c r="BA79" s="41" t="str">
        <f t="shared" si="22"/>
        <v/>
      </c>
      <c r="BB79" s="41">
        <f t="shared" si="35"/>
        <v>0</v>
      </c>
      <c r="BC79" s="46" t="str">
        <f t="shared" si="34"/>
        <v/>
      </c>
      <c r="BD79" s="46" t="str">
        <f t="shared" si="23"/>
        <v/>
      </c>
      <c r="BE79" s="46" t="str">
        <f t="shared" si="24"/>
        <v/>
      </c>
      <c r="BF79" s="46" t="str">
        <f t="shared" si="25"/>
        <v/>
      </c>
      <c r="BG79" s="46" t="str">
        <f t="shared" si="26"/>
        <v/>
      </c>
      <c r="BH79" s="46" t="str">
        <f t="shared" si="27"/>
        <v/>
      </c>
      <c r="BI79" s="3">
        <f t="shared" si="28"/>
        <v>0</v>
      </c>
      <c r="BJ79" s="3" t="str">
        <f t="shared" si="29"/>
        <v>Failed in 6 Subjects</v>
      </c>
      <c r="BK79" s="3" t="str">
        <f>IF(BA79="","",RANK(BA79,BA$2:BA88,0))</f>
        <v/>
      </c>
      <c r="BL79" s="3" t="str">
        <f t="shared" si="30"/>
        <v>খুবই দুর্বল</v>
      </c>
      <c r="BM79" s="3" t="str">
        <f t="shared" si="31"/>
        <v>Very Weak</v>
      </c>
      <c r="BN79" s="3" t="str">
        <f t="shared" si="32"/>
        <v/>
      </c>
    </row>
    <row r="80" spans="1:66" x14ac:dyDescent="0.35">
      <c r="A80" s="3" t="str">
        <f>'Student Basic Info'!B80</f>
        <v>Science</v>
      </c>
      <c r="B80" s="3">
        <f>'Student Basic Info'!A80</f>
        <v>779</v>
      </c>
      <c r="C80" s="3" t="str">
        <f>'Student Basic Info'!C80</f>
        <v>Azizul Haque</v>
      </c>
      <c r="D80" s="3" t="str">
        <f>'Student Basic Info'!D80</f>
        <v>Moninul Haque</v>
      </c>
      <c r="E80" s="3" t="str">
        <f>'Student Basic Info'!E80</f>
        <v>Parvin Aktar</v>
      </c>
      <c r="F80" s="3" t="str">
        <f>'Student Basic Info'!F80</f>
        <v>Male</v>
      </c>
      <c r="G80" s="73" t="str">
        <f>'Student Basic Info'!I80</f>
        <v>01896-173490</v>
      </c>
      <c r="H80" s="74" t="str">
        <f>IF(Bangla!B80="","",Bangla!B80)</f>
        <v/>
      </c>
      <c r="I80" s="74">
        <f>IF(Bangla!C80="","",Bangla!C80)</f>
        <v>26</v>
      </c>
      <c r="J80" s="74">
        <f>IF(Bangla!D80="","",Bangla!D80)</f>
        <v>26</v>
      </c>
      <c r="K80" s="75">
        <f>IF(English!C80="","",English!C80)</f>
        <v>19</v>
      </c>
      <c r="L80" s="37">
        <f>IF(ICT!B80="","",ICT!B80)</f>
        <v>10</v>
      </c>
      <c r="M80" s="37" t="str">
        <f>IF(ICT!C80="","",ICT!C80)</f>
        <v/>
      </c>
      <c r="N80" s="37">
        <f>IF(ICT!D80="","",ICT!D80)</f>
        <v>24</v>
      </c>
      <c r="O80" s="37">
        <f>IF(ICT!E80="","",ICT!E80)</f>
        <v>34</v>
      </c>
      <c r="P80" s="44">
        <f>IF(Physics!B80="","",Physics!B80)</f>
        <v>2</v>
      </c>
      <c r="Q80" s="44">
        <f>IF(Physics!C80="","",Physics!C80)</f>
        <v>10</v>
      </c>
      <c r="R80" s="44">
        <f>IF(Physics!D80="","",Physics!D80)</f>
        <v>8</v>
      </c>
      <c r="S80" s="89">
        <f>IF(Physics!E80="","",Physics!E80)</f>
        <v>20</v>
      </c>
      <c r="T80" s="37">
        <f>IF(Chemistry!B80="","",Chemistry!B80)</f>
        <v>7</v>
      </c>
      <c r="U80" s="37">
        <f>IF(Chemistry!C80="","",Chemistry!C80)</f>
        <v>3</v>
      </c>
      <c r="V80" s="37">
        <f>IF(Chemistry!D80="","",Chemistry!D80)</f>
        <v>8</v>
      </c>
      <c r="W80" s="37">
        <f>IF(Chemistry!E80="","",Chemistry!E80)</f>
        <v>18</v>
      </c>
      <c r="X80" s="38">
        <f>IF(SubjectList!G80="Math", IF(Math!B80="","",Math!B80), IF(Biology!B80="","",Biology!B80))</f>
        <v>5</v>
      </c>
      <c r="Y80" s="38">
        <f>IF(SubjectList!G80="Math", IF(Math!C80="","",Math!C80), IF(Biology!C80="","",Biology!C80))</f>
        <v>5</v>
      </c>
      <c r="Z80" s="38">
        <f>IF(SubjectList!G80="Math", IF(Math!D80="","",Math!D80), IF(Biology!D80="","",Biology!D80))</f>
        <v>8</v>
      </c>
      <c r="AA80" s="38">
        <f>IF(SubjectList!G80="Math", IF(Math!E80="","",Math!E80), IF(Biology!E80="","",Biology!E80))</f>
        <v>18</v>
      </c>
      <c r="AB80" s="44">
        <f>IF(SubjectList!I80="Biology", IF(Biology!B80="","",Biology!B80), IF(Math!B80="","",Math!B80))</f>
        <v>8</v>
      </c>
      <c r="AC80" s="44">
        <f>Optional!D80</f>
        <v>1</v>
      </c>
      <c r="AD80" s="44">
        <f>Optional!E80</f>
        <v>8</v>
      </c>
      <c r="AE80" s="44">
        <f>Optional!F80</f>
        <v>17</v>
      </c>
      <c r="AF80" s="39" t="str">
        <f>IF(SubjectList!G80="","", SubjectList!G80)</f>
        <v>Biology</v>
      </c>
      <c r="AG80" s="39" t="str">
        <f>IF(SubjectList!I80="","", SubjectList!I80)</f>
        <v>Math</v>
      </c>
      <c r="AH80" s="40" t="str">
        <f>Bangla!F80</f>
        <v>F</v>
      </c>
      <c r="AI80" s="91" t="str">
        <f>English!E80</f>
        <v>F</v>
      </c>
      <c r="AJ80" s="40" t="str">
        <f>ICT!G80</f>
        <v>F</v>
      </c>
      <c r="AK80" s="40" t="str">
        <f>Physics!G80</f>
        <v>F</v>
      </c>
      <c r="AL80" s="40" t="str">
        <f>Chemistry!G80</f>
        <v>F</v>
      </c>
      <c r="AM80" s="40" t="str">
        <f>IF(SubjectList!G80="Math", IF(Math!G80="","",Math!G80), IF(Biology!G80="","",Biology!G80))</f>
        <v>F</v>
      </c>
      <c r="AN80" s="40" t="str">
        <f>IF(SubjectList!H80="Math", IF(Math!G80="","",Math!G80), IF(Biology!G80="","",Biology!G80))</f>
        <v>F</v>
      </c>
      <c r="AO80" s="41">
        <f>Bangla!G80</f>
        <v>0</v>
      </c>
      <c r="AP80" s="41">
        <f>English!F80</f>
        <v>0</v>
      </c>
      <c r="AQ80" s="41">
        <f>ICT!H80</f>
        <v>0</v>
      </c>
      <c r="AR80" s="41">
        <f>Physics!H80</f>
        <v>0</v>
      </c>
      <c r="AS80" s="41">
        <f>Chemistry!H80</f>
        <v>0</v>
      </c>
      <c r="AT80" s="41">
        <f>IF(SubjectList!G80="Math", IF(Math!H80="","",Math!H80), IF(Biology!H80="","",Biology!H80))</f>
        <v>0</v>
      </c>
      <c r="AU80" s="41">
        <f>IF(SubjectList!I80="Math", IF(Math!H80="","",Math!H80), IF(Biology!H80="","",Biology!H80))</f>
        <v>0</v>
      </c>
      <c r="AV80" s="41">
        <f>Optional!I80</f>
        <v>0</v>
      </c>
      <c r="AW80" s="41">
        <f>Optional!J80</f>
        <v>0</v>
      </c>
      <c r="AX80" s="41" t="str">
        <f t="shared" si="20"/>
        <v/>
      </c>
      <c r="AY80" s="41" t="str">
        <f t="shared" si="33"/>
        <v/>
      </c>
      <c r="AZ80" s="41" t="str">
        <f t="shared" si="21"/>
        <v/>
      </c>
      <c r="BA80" s="41" t="str">
        <f t="shared" si="22"/>
        <v/>
      </c>
      <c r="BB80" s="41">
        <f t="shared" si="35"/>
        <v>152</v>
      </c>
      <c r="BC80" s="46">
        <f t="shared" si="34"/>
        <v>0</v>
      </c>
      <c r="BD80" s="46">
        <f t="shared" si="23"/>
        <v>0</v>
      </c>
      <c r="BE80" s="46">
        <f t="shared" si="24"/>
        <v>0</v>
      </c>
      <c r="BF80" s="46">
        <f t="shared" si="25"/>
        <v>0</v>
      </c>
      <c r="BG80" s="46">
        <f t="shared" si="26"/>
        <v>0</v>
      </c>
      <c r="BH80" s="46">
        <f t="shared" si="27"/>
        <v>0</v>
      </c>
      <c r="BI80" s="3">
        <f t="shared" si="28"/>
        <v>0</v>
      </c>
      <c r="BJ80" s="3" t="str">
        <f t="shared" si="29"/>
        <v>Failed in 6 Subjects</v>
      </c>
      <c r="BK80" s="3" t="str">
        <f>IF(BA80="","",RANK(BA80,BA$2:BA88,0))</f>
        <v/>
      </c>
      <c r="BL80" s="3" t="str">
        <f t="shared" si="30"/>
        <v>খুবই দুর্বল</v>
      </c>
      <c r="BM80" s="3" t="str">
        <f t="shared" si="31"/>
        <v>Very Weak</v>
      </c>
      <c r="BN80" s="3" t="str">
        <f t="shared" si="32"/>
        <v/>
      </c>
    </row>
    <row r="81" spans="1:66" x14ac:dyDescent="0.35">
      <c r="A81" s="3" t="str">
        <f>'Student Basic Info'!B81</f>
        <v>Science</v>
      </c>
      <c r="B81" s="3">
        <f>'Student Basic Info'!A81</f>
        <v>780</v>
      </c>
      <c r="C81" s="3" t="str">
        <f>'Student Basic Info'!C81</f>
        <v>Farjana Aktar</v>
      </c>
      <c r="D81" s="3" t="str">
        <f>'Student Basic Info'!D81</f>
        <v>Md. Shahab Uddin</v>
      </c>
      <c r="E81" s="3" t="str">
        <f>'Student Basic Info'!E81</f>
        <v>Reshma Khatun</v>
      </c>
      <c r="F81" s="3" t="str">
        <f>'Student Basic Info'!F81</f>
        <v>Female</v>
      </c>
      <c r="G81" s="73" t="str">
        <f>'Student Basic Info'!I81</f>
        <v>01814-206185</v>
      </c>
      <c r="H81" s="74" t="str">
        <f>IF(Bangla!B81="","",Bangla!B81)</f>
        <v/>
      </c>
      <c r="I81" s="74">
        <f>IF(Bangla!C81="","",Bangla!C81)</f>
        <v>41</v>
      </c>
      <c r="J81" s="74">
        <f>IF(Bangla!D81="","",Bangla!D81)</f>
        <v>41</v>
      </c>
      <c r="K81" s="75">
        <f>IF(English!C81="","",English!C81)</f>
        <v>20</v>
      </c>
      <c r="L81" s="37">
        <f>IF(ICT!B81="","",ICT!B81)</f>
        <v>11</v>
      </c>
      <c r="M81" s="37">
        <f>IF(ICT!C81="","",ICT!C81)</f>
        <v>1</v>
      </c>
      <c r="N81" s="37">
        <f>IF(ICT!D81="","",ICT!D81)</f>
        <v>18</v>
      </c>
      <c r="O81" s="37">
        <f>IF(ICT!E81="","",ICT!E81)</f>
        <v>30</v>
      </c>
      <c r="P81" s="44">
        <f>IF(Physics!B81="","",Physics!B81)</f>
        <v>4</v>
      </c>
      <c r="Q81" s="44">
        <f>IF(Physics!C81="","",Physics!C81)</f>
        <v>17</v>
      </c>
      <c r="R81" s="44">
        <f>IF(Physics!D81="","",Physics!D81)</f>
        <v>12</v>
      </c>
      <c r="S81" s="89">
        <f>IF(Physics!E81="","",Physics!E81)</f>
        <v>33</v>
      </c>
      <c r="T81" s="37">
        <f>IF(Chemistry!B81="","",Chemistry!B81)</f>
        <v>15</v>
      </c>
      <c r="U81" s="37">
        <f>IF(Chemistry!C81="","",Chemistry!C81)</f>
        <v>0</v>
      </c>
      <c r="V81" s="37">
        <f>IF(Chemistry!D81="","",Chemistry!D81)</f>
        <v>8</v>
      </c>
      <c r="W81" s="37">
        <f>IF(Chemistry!E81="","",Chemistry!E81)</f>
        <v>23</v>
      </c>
      <c r="X81" s="38">
        <f>IF(SubjectList!G81="Math", IF(Math!B81="","",Math!B81), IF(Biology!B81="","",Biology!B81))</f>
        <v>8</v>
      </c>
      <c r="Y81" s="38">
        <f>IF(SubjectList!G81="Math", IF(Math!C81="","",Math!C81), IF(Biology!C81="","",Biology!C81))</f>
        <v>2</v>
      </c>
      <c r="Z81" s="38">
        <f>IF(SubjectList!G81="Math", IF(Math!D81="","",Math!D81), IF(Biology!D81="","",Biology!D81))</f>
        <v>8</v>
      </c>
      <c r="AA81" s="38">
        <f>IF(SubjectList!G81="Math", IF(Math!E81="","",Math!E81), IF(Biology!E81="","",Biology!E81))</f>
        <v>18</v>
      </c>
      <c r="AB81" s="44">
        <f>IF(SubjectList!I81="Biology", IF(Biology!B81="","",Biology!B81), IF(Math!B81="","",Math!B81))</f>
        <v>12</v>
      </c>
      <c r="AC81" s="44">
        <f>Optional!D81</f>
        <v>1</v>
      </c>
      <c r="AD81" s="44">
        <f>Optional!E81</f>
        <v>10</v>
      </c>
      <c r="AE81" s="44">
        <f>Optional!F81</f>
        <v>23</v>
      </c>
      <c r="AF81" s="39" t="str">
        <f>IF(SubjectList!G81="","", SubjectList!G81)</f>
        <v>Biology</v>
      </c>
      <c r="AG81" s="39" t="str">
        <f>IF(SubjectList!I81="","", SubjectList!I81)</f>
        <v>Math</v>
      </c>
      <c r="AH81" s="40" t="str">
        <f>Bangla!F81</f>
        <v>C</v>
      </c>
      <c r="AI81" s="91" t="str">
        <f>English!E81</f>
        <v>F</v>
      </c>
      <c r="AJ81" s="40" t="str">
        <f>ICT!G81</f>
        <v>F</v>
      </c>
      <c r="AK81" s="40" t="str">
        <f>Physics!G81</f>
        <v>F</v>
      </c>
      <c r="AL81" s="40" t="str">
        <f>Chemistry!G81</f>
        <v>F</v>
      </c>
      <c r="AM81" s="40" t="str">
        <f>IF(SubjectList!G81="Math", IF(Math!G81="","",Math!G81), IF(Biology!G81="","",Biology!G81))</f>
        <v>F</v>
      </c>
      <c r="AN81" s="40" t="str">
        <f>IF(SubjectList!H81="Math", IF(Math!G81="","",Math!G81), IF(Biology!G81="","",Biology!G81))</f>
        <v>F</v>
      </c>
      <c r="AO81" s="41">
        <f>Bangla!G81</f>
        <v>2</v>
      </c>
      <c r="AP81" s="41">
        <f>English!F81</f>
        <v>0</v>
      </c>
      <c r="AQ81" s="41">
        <f>ICT!H81</f>
        <v>0</v>
      </c>
      <c r="AR81" s="41">
        <f>Physics!H81</f>
        <v>0</v>
      </c>
      <c r="AS81" s="41">
        <f>Chemistry!H81</f>
        <v>0</v>
      </c>
      <c r="AT81" s="41">
        <f>IF(SubjectList!G81="Math", IF(Math!H81="","",Math!H81), IF(Biology!H81="","",Biology!H81))</f>
        <v>0</v>
      </c>
      <c r="AU81" s="41">
        <f>IF(SubjectList!I81="Math", IF(Math!H81="","",Math!H81), IF(Biology!H81="","",Biology!H81))</f>
        <v>0</v>
      </c>
      <c r="AV81" s="41">
        <f>Optional!I81</f>
        <v>0</v>
      </c>
      <c r="AW81" s="41">
        <f>Optional!J81</f>
        <v>0</v>
      </c>
      <c r="AX81" s="41">
        <f t="shared" si="20"/>
        <v>2</v>
      </c>
      <c r="AY81" s="41">
        <f t="shared" si="33"/>
        <v>2</v>
      </c>
      <c r="AZ81" s="41" t="str">
        <f t="shared" si="21"/>
        <v/>
      </c>
      <c r="BA81" s="41" t="str">
        <f t="shared" si="22"/>
        <v/>
      </c>
      <c r="BB81" s="41">
        <f t="shared" si="35"/>
        <v>188</v>
      </c>
      <c r="BC81" s="46">
        <f t="shared" si="34"/>
        <v>1</v>
      </c>
      <c r="BD81" s="46">
        <f t="shared" si="23"/>
        <v>0</v>
      </c>
      <c r="BE81" s="46">
        <f t="shared" si="24"/>
        <v>0</v>
      </c>
      <c r="BF81" s="46">
        <f t="shared" si="25"/>
        <v>0</v>
      </c>
      <c r="BG81" s="46">
        <f t="shared" si="26"/>
        <v>0</v>
      </c>
      <c r="BH81" s="46">
        <f t="shared" si="27"/>
        <v>0</v>
      </c>
      <c r="BI81" s="3">
        <f t="shared" si="28"/>
        <v>1</v>
      </c>
      <c r="BJ81" s="3" t="str">
        <f t="shared" si="29"/>
        <v>Failed in 5 Subjects</v>
      </c>
      <c r="BK81" s="3" t="str">
        <f>IF(BA81="","",RANK(BA81,BA$2:BA88,0))</f>
        <v/>
      </c>
      <c r="BL81" s="3" t="str">
        <f t="shared" si="30"/>
        <v>খুবই দুর্বল</v>
      </c>
      <c r="BM81" s="3" t="str">
        <f t="shared" si="31"/>
        <v>Very Weak</v>
      </c>
      <c r="BN81" s="3" t="str">
        <f t="shared" si="32"/>
        <v/>
      </c>
    </row>
    <row r="82" spans="1:66" x14ac:dyDescent="0.35">
      <c r="A82" s="3" t="str">
        <f>'Student Basic Info'!B82</f>
        <v>Science</v>
      </c>
      <c r="B82" s="3">
        <f>'Student Basic Info'!A82</f>
        <v>781</v>
      </c>
      <c r="C82" s="3" t="str">
        <f>'Student Basic Info'!C82</f>
        <v>Imam Hosain</v>
      </c>
      <c r="D82" s="3" t="str">
        <f>'Student Basic Info'!D82</f>
        <v>Nur Nobi</v>
      </c>
      <c r="E82" s="3" t="str">
        <f>'Student Basic Info'!E82</f>
        <v>Bibi Hajera</v>
      </c>
      <c r="F82" s="3" t="str">
        <f>'Student Basic Info'!F82</f>
        <v>Male</v>
      </c>
      <c r="G82" s="73" t="str">
        <f>'Student Basic Info'!I82</f>
        <v>01309-719536</v>
      </c>
      <c r="H82" s="74" t="str">
        <f>IF(Bangla!B82="","",Bangla!B82)</f>
        <v/>
      </c>
      <c r="I82" s="74" t="str">
        <f>IF(Bangla!C82="","",Bangla!C82)</f>
        <v/>
      </c>
      <c r="J82" s="74" t="str">
        <f>IF(Bangla!D82="","",Bangla!D82)</f>
        <v/>
      </c>
      <c r="K82" s="75" t="str">
        <f>IF(English!C82="","",English!C82)</f>
        <v/>
      </c>
      <c r="L82" s="37" t="str">
        <f>IF(ICT!B82="","",ICT!B82)</f>
        <v/>
      </c>
      <c r="M82" s="37" t="str">
        <f>IF(ICT!C82="","",ICT!C82)</f>
        <v/>
      </c>
      <c r="N82" s="37" t="str">
        <f>IF(ICT!D82="","",ICT!D82)</f>
        <v/>
      </c>
      <c r="O82" s="37" t="str">
        <f>IF(ICT!E82="","",ICT!E82)</f>
        <v/>
      </c>
      <c r="P82" s="44" t="str">
        <f>IF(Physics!B82="","",Physics!B82)</f>
        <v/>
      </c>
      <c r="Q82" s="44" t="str">
        <f>IF(Physics!C82="","",Physics!C82)</f>
        <v/>
      </c>
      <c r="R82" s="44" t="str">
        <f>IF(Physics!D82="","",Physics!D82)</f>
        <v/>
      </c>
      <c r="S82" s="89" t="str">
        <f>IF(Physics!E82="","",Physics!E82)</f>
        <v/>
      </c>
      <c r="T82" s="37" t="str">
        <f>IF(Chemistry!B82="","",Chemistry!B82)</f>
        <v/>
      </c>
      <c r="U82" s="37" t="str">
        <f>IF(Chemistry!C82="","",Chemistry!C82)</f>
        <v/>
      </c>
      <c r="V82" s="37" t="str">
        <f>IF(Chemistry!D82="","",Chemistry!D82)</f>
        <v/>
      </c>
      <c r="W82" s="37" t="str">
        <f>IF(Chemistry!E82="","",Chemistry!E82)</f>
        <v/>
      </c>
      <c r="X82" s="38" t="str">
        <f>IF(SubjectList!G82="Math", IF(Math!B82="","",Math!B82), IF(Biology!B82="","",Biology!B82))</f>
        <v/>
      </c>
      <c r="Y82" s="38" t="str">
        <f>IF(SubjectList!G82="Math", IF(Math!C82="","",Math!C82), IF(Biology!C82="","",Biology!C82))</f>
        <v/>
      </c>
      <c r="Z82" s="38" t="str">
        <f>IF(SubjectList!G82="Math", IF(Math!D82="","",Math!D82), IF(Biology!D82="","",Biology!D82))</f>
        <v/>
      </c>
      <c r="AA82" s="38" t="str">
        <f>IF(SubjectList!G82="Math", IF(Math!E82="","",Math!E82), IF(Biology!E82="","",Biology!E82))</f>
        <v/>
      </c>
      <c r="AB82" s="44" t="str">
        <f>IF(SubjectList!I82="Biology", IF(Biology!B82="","",Biology!B82), IF(Math!B82="","",Math!B82))</f>
        <v/>
      </c>
      <c r="AC82" s="44" t="str">
        <f>Optional!D82</f>
        <v/>
      </c>
      <c r="AD82" s="44" t="str">
        <f>Optional!E82</f>
        <v/>
      </c>
      <c r="AE82" s="44" t="str">
        <f>Optional!F82</f>
        <v/>
      </c>
      <c r="AF82" s="39" t="str">
        <f>IF(SubjectList!G82="","", SubjectList!G82)</f>
        <v>Biology</v>
      </c>
      <c r="AG82" s="39" t="str">
        <f>IF(SubjectList!I82="","", SubjectList!I82)</f>
        <v>Math</v>
      </c>
      <c r="AH82" s="40" t="str">
        <f>Bangla!F82</f>
        <v/>
      </c>
      <c r="AI82" s="91" t="str">
        <f>English!E82</f>
        <v/>
      </c>
      <c r="AJ82" s="40" t="str">
        <f>ICT!G82</f>
        <v/>
      </c>
      <c r="AK82" s="40" t="str">
        <f>Physics!G82</f>
        <v/>
      </c>
      <c r="AL82" s="40" t="str">
        <f>Chemistry!G82</f>
        <v/>
      </c>
      <c r="AM82" s="40" t="str">
        <f>IF(SubjectList!G82="Math", IF(Math!G82="","",Math!G82), IF(Biology!G82="","",Biology!G82))</f>
        <v/>
      </c>
      <c r="AN82" s="40" t="str">
        <f>IF(SubjectList!H82="Math", IF(Math!G82="","",Math!G82), IF(Biology!G82="","",Biology!G82))</f>
        <v/>
      </c>
      <c r="AO82" s="41" t="str">
        <f>Bangla!G82</f>
        <v/>
      </c>
      <c r="AP82" s="41" t="str">
        <f>English!F82</f>
        <v/>
      </c>
      <c r="AQ82" s="41" t="str">
        <f>ICT!H82</f>
        <v/>
      </c>
      <c r="AR82" s="41" t="str">
        <f>Physics!H82</f>
        <v/>
      </c>
      <c r="AS82" s="41" t="str">
        <f>Chemistry!H82</f>
        <v/>
      </c>
      <c r="AT82" s="41" t="str">
        <f>IF(SubjectList!G82="Math", IF(Math!H82="","",Math!H82), IF(Biology!H82="","",Biology!H82))</f>
        <v/>
      </c>
      <c r="AU82" s="41" t="str">
        <f>IF(SubjectList!I82="Math", IF(Math!H82="","",Math!H82), IF(Biology!H82="","",Biology!H82))</f>
        <v/>
      </c>
      <c r="AV82" s="41" t="str">
        <f>Optional!I82</f>
        <v/>
      </c>
      <c r="AW82" s="41" t="str">
        <f>Optional!J82</f>
        <v/>
      </c>
      <c r="AX82" s="41" t="str">
        <f t="shared" si="20"/>
        <v/>
      </c>
      <c r="AY82" s="41" t="str">
        <f t="shared" si="33"/>
        <v/>
      </c>
      <c r="AZ82" s="41" t="str">
        <f t="shared" si="21"/>
        <v/>
      </c>
      <c r="BA82" s="41" t="str">
        <f t="shared" si="22"/>
        <v/>
      </c>
      <c r="BB82" s="41">
        <f t="shared" si="35"/>
        <v>0</v>
      </c>
      <c r="BC82" s="46" t="str">
        <f t="shared" si="34"/>
        <v/>
      </c>
      <c r="BD82" s="46" t="str">
        <f t="shared" si="23"/>
        <v/>
      </c>
      <c r="BE82" s="46" t="str">
        <f t="shared" si="24"/>
        <v/>
      </c>
      <c r="BF82" s="46" t="str">
        <f t="shared" si="25"/>
        <v/>
      </c>
      <c r="BG82" s="46" t="str">
        <f t="shared" si="26"/>
        <v/>
      </c>
      <c r="BH82" s="46" t="str">
        <f t="shared" si="27"/>
        <v/>
      </c>
      <c r="BI82" s="3">
        <f t="shared" si="28"/>
        <v>0</v>
      </c>
      <c r="BJ82" s="3" t="str">
        <f t="shared" si="29"/>
        <v>Failed in 6 Subjects</v>
      </c>
      <c r="BK82" s="3" t="str">
        <f>IF(BA82="","",RANK(BA82,BA$2:BA88,0))</f>
        <v/>
      </c>
      <c r="BL82" s="3" t="str">
        <f t="shared" si="30"/>
        <v>খুবই দুর্বল</v>
      </c>
      <c r="BM82" s="3" t="str">
        <f t="shared" si="31"/>
        <v>Very Weak</v>
      </c>
      <c r="BN82" s="3" t="str">
        <f t="shared" si="32"/>
        <v/>
      </c>
    </row>
    <row r="83" spans="1:66" x14ac:dyDescent="0.35">
      <c r="A83" s="3" t="str">
        <f>'Student Basic Info'!B83</f>
        <v>Science</v>
      </c>
      <c r="B83" s="3">
        <f>'Student Basic Info'!A83</f>
        <v>782</v>
      </c>
      <c r="C83" s="3" t="str">
        <f>'Student Basic Info'!C83</f>
        <v>Asiya Aktar Hira</v>
      </c>
      <c r="D83" s="3" t="str">
        <f>'Student Basic Info'!D83</f>
        <v>Md. Nurul Amin</v>
      </c>
      <c r="E83" s="3" t="str">
        <f>'Student Basic Info'!E83</f>
        <v>Moriyam</v>
      </c>
      <c r="F83" s="3" t="str">
        <f>'Student Basic Info'!F83</f>
        <v>Female</v>
      </c>
      <c r="G83" s="73" t="str">
        <f>'Student Basic Info'!I83</f>
        <v>01871-103506</v>
      </c>
      <c r="H83" s="74" t="str">
        <f>IF(Bangla!B83="","",Bangla!B83)</f>
        <v/>
      </c>
      <c r="I83" s="74">
        <f>IF(Bangla!C83="","",Bangla!C83)</f>
        <v>53</v>
      </c>
      <c r="J83" s="74">
        <f>IF(Bangla!D83="","",Bangla!D83)</f>
        <v>53</v>
      </c>
      <c r="K83" s="75">
        <f>IF(English!C83="","",English!C83)</f>
        <v>42</v>
      </c>
      <c r="L83" s="37">
        <f>IF(ICT!B83="","",ICT!B83)</f>
        <v>4</v>
      </c>
      <c r="M83" s="37">
        <f>IF(ICT!C83="","",ICT!C83)</f>
        <v>8</v>
      </c>
      <c r="N83" s="37">
        <f>IF(ICT!D83="","",ICT!D83)</f>
        <v>24</v>
      </c>
      <c r="O83" s="37">
        <f>IF(ICT!E83="","",ICT!E83)</f>
        <v>36</v>
      </c>
      <c r="P83" s="44">
        <f>IF(Physics!B83="","",Physics!B83)</f>
        <v>6</v>
      </c>
      <c r="Q83" s="44">
        <f>IF(Physics!C83="","",Physics!C83)</f>
        <v>4</v>
      </c>
      <c r="R83" s="44">
        <f>IF(Physics!D83="","",Physics!D83)</f>
        <v>8</v>
      </c>
      <c r="S83" s="89">
        <f>IF(Physics!E83="","",Physics!E83)</f>
        <v>18</v>
      </c>
      <c r="T83" s="37">
        <f>IF(Chemistry!B83="","",Chemistry!B83)</f>
        <v>4</v>
      </c>
      <c r="U83" s="37">
        <f>IF(Chemistry!C83="","",Chemistry!C83)</f>
        <v>2</v>
      </c>
      <c r="V83" s="37">
        <f>IF(Chemistry!D83="","",Chemistry!D83)</f>
        <v>8</v>
      </c>
      <c r="W83" s="37">
        <f>IF(Chemistry!E83="","",Chemistry!E83)</f>
        <v>14</v>
      </c>
      <c r="X83" s="38">
        <f>IF(SubjectList!G83="Math", IF(Math!B83="","",Math!B83), IF(Biology!B83="","",Biology!B83))</f>
        <v>10</v>
      </c>
      <c r="Y83" s="38">
        <f>IF(SubjectList!G83="Math", IF(Math!C83="","",Math!C83), IF(Biology!C83="","",Biology!C83))</f>
        <v>0</v>
      </c>
      <c r="Z83" s="38">
        <f>IF(SubjectList!G83="Math", IF(Math!D83="","",Math!D83), IF(Biology!D83="","",Biology!D83))</f>
        <v>8</v>
      </c>
      <c r="AA83" s="38">
        <f>IF(SubjectList!G83="Math", IF(Math!E83="","",Math!E83), IF(Biology!E83="","",Biology!E83))</f>
        <v>18</v>
      </c>
      <c r="AB83" s="44">
        <f>IF(SubjectList!I83="Biology", IF(Biology!B83="","",Biology!B83), IF(Math!B83="","",Math!B83))</f>
        <v>4</v>
      </c>
      <c r="AC83" s="44">
        <f>Optional!D83</f>
        <v>1</v>
      </c>
      <c r="AD83" s="44">
        <f>Optional!E83</f>
        <v>9</v>
      </c>
      <c r="AE83" s="44">
        <f>Optional!F83</f>
        <v>14</v>
      </c>
      <c r="AF83" s="39" t="str">
        <f>IF(SubjectList!G83="","", SubjectList!G83)</f>
        <v>Biology</v>
      </c>
      <c r="AG83" s="39" t="str">
        <f>IF(SubjectList!I83="","", SubjectList!I83)</f>
        <v>Math</v>
      </c>
      <c r="AH83" s="40" t="str">
        <f>Bangla!F83</f>
        <v>B</v>
      </c>
      <c r="AI83" s="91" t="str">
        <f>English!E83</f>
        <v>C</v>
      </c>
      <c r="AJ83" s="40" t="str">
        <f>ICT!G83</f>
        <v>F</v>
      </c>
      <c r="AK83" s="40" t="str">
        <f>Physics!G83</f>
        <v>F</v>
      </c>
      <c r="AL83" s="40" t="str">
        <f>Chemistry!G83</f>
        <v>F</v>
      </c>
      <c r="AM83" s="40" t="str">
        <f>IF(SubjectList!G83="Math", IF(Math!G83="","",Math!G83), IF(Biology!G83="","",Biology!G83))</f>
        <v>F</v>
      </c>
      <c r="AN83" s="40" t="str">
        <f>IF(SubjectList!H83="Math", IF(Math!G83="","",Math!G83), IF(Biology!G83="","",Biology!G83))</f>
        <v>F</v>
      </c>
      <c r="AO83" s="41">
        <f>Bangla!G83</f>
        <v>3</v>
      </c>
      <c r="AP83" s="41">
        <f>English!F83</f>
        <v>2</v>
      </c>
      <c r="AQ83" s="41">
        <f>ICT!H83</f>
        <v>0</v>
      </c>
      <c r="AR83" s="41">
        <f>Physics!H83</f>
        <v>0</v>
      </c>
      <c r="AS83" s="41">
        <f>Chemistry!H83</f>
        <v>0</v>
      </c>
      <c r="AT83" s="41">
        <f>IF(SubjectList!G83="Math", IF(Math!H83="","",Math!H83), IF(Biology!H83="","",Biology!H83))</f>
        <v>0</v>
      </c>
      <c r="AU83" s="41">
        <f>IF(SubjectList!I83="Math", IF(Math!H83="","",Math!H83), IF(Biology!H83="","",Biology!H83))</f>
        <v>0</v>
      </c>
      <c r="AV83" s="41">
        <f>Optional!I83</f>
        <v>0</v>
      </c>
      <c r="AW83" s="41">
        <f>Optional!J83</f>
        <v>0</v>
      </c>
      <c r="AX83" s="41">
        <f t="shared" si="20"/>
        <v>5</v>
      </c>
      <c r="AY83" s="41">
        <f t="shared" si="33"/>
        <v>5</v>
      </c>
      <c r="AZ83" s="41" t="str">
        <f t="shared" si="21"/>
        <v/>
      </c>
      <c r="BA83" s="41" t="str">
        <f t="shared" si="22"/>
        <v/>
      </c>
      <c r="BB83" s="41">
        <f t="shared" si="35"/>
        <v>195</v>
      </c>
      <c r="BC83" s="46">
        <f t="shared" si="34"/>
        <v>1</v>
      </c>
      <c r="BD83" s="46">
        <f t="shared" si="23"/>
        <v>1</v>
      </c>
      <c r="BE83" s="46">
        <f t="shared" si="24"/>
        <v>0</v>
      </c>
      <c r="BF83" s="46">
        <f t="shared" si="25"/>
        <v>0</v>
      </c>
      <c r="BG83" s="46">
        <f t="shared" si="26"/>
        <v>0</v>
      </c>
      <c r="BH83" s="46">
        <f t="shared" si="27"/>
        <v>0</v>
      </c>
      <c r="BI83" s="3">
        <f t="shared" si="28"/>
        <v>2</v>
      </c>
      <c r="BJ83" s="3" t="str">
        <f t="shared" si="29"/>
        <v>Failed in 4 Subjects</v>
      </c>
      <c r="BK83" s="3" t="str">
        <f>IF(BA83="","",RANK(BA83,BA$2:BA88,0))</f>
        <v/>
      </c>
      <c r="BL83" s="3" t="str">
        <f t="shared" si="30"/>
        <v>খুবই দুর্বল</v>
      </c>
      <c r="BM83" s="3" t="str">
        <f t="shared" si="31"/>
        <v>Very Weak</v>
      </c>
      <c r="BN83" s="3" t="str">
        <f t="shared" si="32"/>
        <v/>
      </c>
    </row>
    <row r="84" spans="1:66" x14ac:dyDescent="0.35">
      <c r="A84" s="3" t="str">
        <f>'Student Basic Info'!B84</f>
        <v>Science</v>
      </c>
      <c r="B84" s="3">
        <f>'Student Basic Info'!A84</f>
        <v>783</v>
      </c>
      <c r="C84" s="3" t="str">
        <f>'Student Basic Info'!C84</f>
        <v>Abu Rayhan</v>
      </c>
      <c r="D84" s="3" t="str">
        <f>'Student Basic Info'!D84</f>
        <v>Anisul Haqur</v>
      </c>
      <c r="E84" s="3" t="str">
        <f>'Student Basic Info'!E84</f>
        <v>Rozina Begum</v>
      </c>
      <c r="F84" s="3" t="str">
        <f>'Student Basic Info'!F84</f>
        <v>Male</v>
      </c>
      <c r="G84" s="73" t="str">
        <f>'Student Basic Info'!I84</f>
        <v>01890-654129</v>
      </c>
      <c r="H84" s="74" t="str">
        <f>IF(Bangla!B84="","",Bangla!B84)</f>
        <v/>
      </c>
      <c r="I84" s="74" t="str">
        <f>IF(Bangla!C84="","",Bangla!C84)</f>
        <v/>
      </c>
      <c r="J84" s="74" t="str">
        <f>IF(Bangla!D84="","",Bangla!D84)</f>
        <v/>
      </c>
      <c r="K84" s="75" t="str">
        <f>IF(English!C84="","",English!C84)</f>
        <v/>
      </c>
      <c r="L84" s="37" t="str">
        <f>IF(ICT!B84="","",ICT!B84)</f>
        <v/>
      </c>
      <c r="M84" s="37" t="str">
        <f>IF(ICT!C84="","",ICT!C84)</f>
        <v/>
      </c>
      <c r="N84" s="37" t="str">
        <f>IF(ICT!D84="","",ICT!D84)</f>
        <v/>
      </c>
      <c r="O84" s="37" t="str">
        <f>IF(ICT!E84="","",ICT!E84)</f>
        <v/>
      </c>
      <c r="P84" s="44" t="str">
        <f>IF(Physics!B84="","",Physics!B84)</f>
        <v/>
      </c>
      <c r="Q84" s="44" t="str">
        <f>IF(Physics!C84="","",Physics!C84)</f>
        <v/>
      </c>
      <c r="R84" s="44" t="str">
        <f>IF(Physics!D84="","",Physics!D84)</f>
        <v/>
      </c>
      <c r="S84" s="89" t="str">
        <f>IF(Physics!E84="","",Physics!E84)</f>
        <v/>
      </c>
      <c r="T84" s="37" t="str">
        <f>IF(Chemistry!B84="","",Chemistry!B84)</f>
        <v/>
      </c>
      <c r="U84" s="37" t="str">
        <f>IF(Chemistry!C84="","",Chemistry!C84)</f>
        <v/>
      </c>
      <c r="V84" s="37" t="str">
        <f>IF(Chemistry!D84="","",Chemistry!D84)</f>
        <v/>
      </c>
      <c r="W84" s="37" t="str">
        <f>IF(Chemistry!E84="","",Chemistry!E84)</f>
        <v/>
      </c>
      <c r="X84" s="38" t="str">
        <f>IF(SubjectList!G84="Math", IF(Math!B84="","",Math!B84), IF(Biology!B84="","",Biology!B84))</f>
        <v/>
      </c>
      <c r="Y84" s="38" t="str">
        <f>IF(SubjectList!G84="Math", IF(Math!C84="","",Math!C84), IF(Biology!C84="","",Biology!C84))</f>
        <v/>
      </c>
      <c r="Z84" s="38" t="str">
        <f>IF(SubjectList!G84="Math", IF(Math!D84="","",Math!D84), IF(Biology!D84="","",Biology!D84))</f>
        <v/>
      </c>
      <c r="AA84" s="38" t="str">
        <f>IF(SubjectList!G84="Math", IF(Math!E84="","",Math!E84), IF(Biology!E84="","",Biology!E84))</f>
        <v/>
      </c>
      <c r="AB84" s="44" t="str">
        <f>IF(SubjectList!I84="Biology", IF(Biology!B84="","",Biology!B84), IF(Math!B84="","",Math!B84))</f>
        <v/>
      </c>
      <c r="AC84" s="44" t="str">
        <f>Optional!D84</f>
        <v/>
      </c>
      <c r="AD84" s="44" t="str">
        <f>Optional!E84</f>
        <v/>
      </c>
      <c r="AE84" s="44" t="str">
        <f>Optional!F84</f>
        <v/>
      </c>
      <c r="AF84" s="39" t="str">
        <f>IF(SubjectList!G84="","", SubjectList!G84)</f>
        <v>Biology</v>
      </c>
      <c r="AG84" s="39" t="str">
        <f>IF(SubjectList!I84="","", SubjectList!I84)</f>
        <v>Math</v>
      </c>
      <c r="AH84" s="40" t="str">
        <f>Bangla!F84</f>
        <v/>
      </c>
      <c r="AI84" s="91" t="str">
        <f>English!E84</f>
        <v/>
      </c>
      <c r="AJ84" s="40" t="str">
        <f>ICT!G84</f>
        <v/>
      </c>
      <c r="AK84" s="40" t="str">
        <f>Physics!G84</f>
        <v/>
      </c>
      <c r="AL84" s="40" t="str">
        <f>Chemistry!G84</f>
        <v/>
      </c>
      <c r="AM84" s="40" t="str">
        <f>IF(SubjectList!G84="Math", IF(Math!G84="","",Math!G84), IF(Biology!G84="","",Biology!G84))</f>
        <v/>
      </c>
      <c r="AN84" s="40" t="str">
        <f>IF(SubjectList!H84="Math", IF(Math!G84="","",Math!G84), IF(Biology!G84="","",Biology!G84))</f>
        <v/>
      </c>
      <c r="AO84" s="41" t="str">
        <f>Bangla!G84</f>
        <v/>
      </c>
      <c r="AP84" s="41" t="str">
        <f>English!F84</f>
        <v/>
      </c>
      <c r="AQ84" s="41" t="str">
        <f>ICT!H84</f>
        <v/>
      </c>
      <c r="AR84" s="41" t="str">
        <f>Physics!H84</f>
        <v/>
      </c>
      <c r="AS84" s="41" t="str">
        <f>Chemistry!H84</f>
        <v/>
      </c>
      <c r="AT84" s="41" t="str">
        <f>IF(SubjectList!G84="Math", IF(Math!H84="","",Math!H84), IF(Biology!H84="","",Biology!H84))</f>
        <v/>
      </c>
      <c r="AU84" s="41" t="str">
        <f>IF(SubjectList!I84="Math", IF(Math!H84="","",Math!H84), IF(Biology!H84="","",Biology!H84))</f>
        <v/>
      </c>
      <c r="AV84" s="41" t="str">
        <f>Optional!I84</f>
        <v/>
      </c>
      <c r="AW84" s="41" t="str">
        <f>Optional!J84</f>
        <v/>
      </c>
      <c r="AX84" s="41" t="str">
        <f t="shared" si="20"/>
        <v/>
      </c>
      <c r="AY84" s="41" t="str">
        <f t="shared" si="33"/>
        <v/>
      </c>
      <c r="AZ84" s="41" t="str">
        <f t="shared" si="21"/>
        <v/>
      </c>
      <c r="BA84" s="41" t="str">
        <f t="shared" si="22"/>
        <v/>
      </c>
      <c r="BB84" s="41">
        <f t="shared" si="35"/>
        <v>0</v>
      </c>
      <c r="BC84" s="46" t="str">
        <f t="shared" si="34"/>
        <v/>
      </c>
      <c r="BD84" s="46" t="str">
        <f t="shared" si="23"/>
        <v/>
      </c>
      <c r="BE84" s="46" t="str">
        <f t="shared" si="24"/>
        <v/>
      </c>
      <c r="BF84" s="46" t="str">
        <f t="shared" si="25"/>
        <v/>
      </c>
      <c r="BG84" s="46" t="str">
        <f t="shared" si="26"/>
        <v/>
      </c>
      <c r="BH84" s="46" t="str">
        <f t="shared" si="27"/>
        <v/>
      </c>
      <c r="BI84" s="3">
        <f t="shared" si="28"/>
        <v>0</v>
      </c>
      <c r="BJ84" s="3" t="str">
        <f t="shared" si="29"/>
        <v>Failed in 6 Subjects</v>
      </c>
      <c r="BK84" s="3" t="str">
        <f>IF(BA84="","",RANK(BA84,BA$2:BA88,0))</f>
        <v/>
      </c>
      <c r="BL84" s="3" t="str">
        <f t="shared" si="30"/>
        <v>খুবই দুর্বল</v>
      </c>
      <c r="BM84" s="3" t="str">
        <f t="shared" si="31"/>
        <v>Very Weak</v>
      </c>
      <c r="BN84" s="3" t="str">
        <f t="shared" si="32"/>
        <v/>
      </c>
    </row>
    <row r="85" spans="1:66" x14ac:dyDescent="0.35">
      <c r="A85" s="3" t="str">
        <f>'Student Basic Info'!B85</f>
        <v>Science</v>
      </c>
      <c r="B85" s="3">
        <f>'Student Basic Info'!A85</f>
        <v>784</v>
      </c>
      <c r="C85" s="3" t="str">
        <f>'Student Basic Info'!C85</f>
        <v xml:space="preserve">Azizul Islam </v>
      </c>
      <c r="D85" s="3" t="str">
        <f>'Student Basic Info'!D85</f>
        <v>Nasir Uddin</v>
      </c>
      <c r="E85" s="3" t="str">
        <f>'Student Basic Info'!E85</f>
        <v>Sayoda Fatema</v>
      </c>
      <c r="F85" s="3" t="str">
        <f>'Student Basic Info'!F85</f>
        <v>Male</v>
      </c>
      <c r="G85" s="73" t="str">
        <f>'Student Basic Info'!I85</f>
        <v>01870-298921</v>
      </c>
      <c r="H85" s="74" t="str">
        <f>IF(Bangla!B85="","",Bangla!B85)</f>
        <v/>
      </c>
      <c r="I85" s="74">
        <f>IF(Bangla!C85="","",Bangla!C85)</f>
        <v>15</v>
      </c>
      <c r="J85" s="74">
        <f>IF(Bangla!D85="","",Bangla!D85)</f>
        <v>15</v>
      </c>
      <c r="K85" s="75">
        <f>IF(English!C85="","",English!C85)</f>
        <v>6</v>
      </c>
      <c r="L85" s="37">
        <f>IF(ICT!B85="","",ICT!B85)</f>
        <v>10</v>
      </c>
      <c r="M85" s="37">
        <f>IF(ICT!C85="","",ICT!C85)</f>
        <v>9</v>
      </c>
      <c r="N85" s="37">
        <f>IF(ICT!D85="","",ICT!D85)</f>
        <v>24</v>
      </c>
      <c r="O85" s="37">
        <f>IF(ICT!E85="","",ICT!E85)</f>
        <v>43</v>
      </c>
      <c r="P85" s="44">
        <f>IF(Physics!B85="","",Physics!B85)</f>
        <v>4</v>
      </c>
      <c r="Q85" s="44">
        <f>IF(Physics!C85="","",Physics!C85)</f>
        <v>9</v>
      </c>
      <c r="R85" s="44">
        <f>IF(Physics!D85="","",Physics!D85)</f>
        <v>9</v>
      </c>
      <c r="S85" s="89">
        <f>IF(Physics!E85="","",Physics!E85)</f>
        <v>22</v>
      </c>
      <c r="T85" s="37">
        <f>IF(Chemistry!B85="","",Chemistry!B85)</f>
        <v>5</v>
      </c>
      <c r="U85" s="37">
        <f>IF(Chemistry!C85="","",Chemistry!C85)</f>
        <v>3</v>
      </c>
      <c r="V85" s="37">
        <f>IF(Chemistry!D85="","",Chemistry!D85)</f>
        <v>8</v>
      </c>
      <c r="W85" s="37">
        <f>IF(Chemistry!E85="","",Chemistry!E85)</f>
        <v>16</v>
      </c>
      <c r="X85" s="38">
        <f>IF(SubjectList!G85="Math", IF(Math!B85="","",Math!B85), IF(Biology!B85="","",Biology!B85))</f>
        <v>9</v>
      </c>
      <c r="Y85" s="38">
        <f>IF(SubjectList!G85="Math", IF(Math!C85="","",Math!C85), IF(Biology!C85="","",Biology!C85))</f>
        <v>0</v>
      </c>
      <c r="Z85" s="38">
        <f>IF(SubjectList!G85="Math", IF(Math!D85="","",Math!D85), IF(Biology!D85="","",Biology!D85))</f>
        <v>8</v>
      </c>
      <c r="AA85" s="38">
        <f>IF(SubjectList!G85="Math", IF(Math!E85="","",Math!E85), IF(Biology!E85="","",Biology!E85))</f>
        <v>17</v>
      </c>
      <c r="AB85" s="44">
        <f>IF(SubjectList!I85="Biology", IF(Biology!B85="","",Biology!B85), IF(Math!B85="","",Math!B85))</f>
        <v>5</v>
      </c>
      <c r="AC85" s="44">
        <f>Optional!D85</f>
        <v>0</v>
      </c>
      <c r="AD85" s="44">
        <f>Optional!E85</f>
        <v>9</v>
      </c>
      <c r="AE85" s="44">
        <f>Optional!F85</f>
        <v>14</v>
      </c>
      <c r="AF85" s="39" t="str">
        <f>IF(SubjectList!G85="","", SubjectList!G85)</f>
        <v>Biology</v>
      </c>
      <c r="AG85" s="39" t="str">
        <f>IF(SubjectList!I85="","", SubjectList!I85)</f>
        <v>Math</v>
      </c>
      <c r="AH85" s="40" t="str">
        <f>Bangla!F85</f>
        <v>F</v>
      </c>
      <c r="AI85" s="91" t="str">
        <f>English!E85</f>
        <v>F</v>
      </c>
      <c r="AJ85" s="40" t="str">
        <f>ICT!G85</f>
        <v>F</v>
      </c>
      <c r="AK85" s="40" t="str">
        <f>Physics!G85</f>
        <v>F</v>
      </c>
      <c r="AL85" s="40" t="str">
        <f>Chemistry!G85</f>
        <v>F</v>
      </c>
      <c r="AM85" s="40" t="str">
        <f>IF(SubjectList!G85="Math", IF(Math!G85="","",Math!G85), IF(Biology!G85="","",Biology!G85))</f>
        <v>F</v>
      </c>
      <c r="AN85" s="40" t="str">
        <f>IF(SubjectList!H85="Math", IF(Math!G85="","",Math!G85), IF(Biology!G85="","",Biology!G85))</f>
        <v>F</v>
      </c>
      <c r="AO85" s="41">
        <f>Bangla!G85</f>
        <v>0</v>
      </c>
      <c r="AP85" s="41">
        <f>English!F85</f>
        <v>0</v>
      </c>
      <c r="AQ85" s="41">
        <f>ICT!H85</f>
        <v>0</v>
      </c>
      <c r="AR85" s="41">
        <f>Physics!H85</f>
        <v>0</v>
      </c>
      <c r="AS85" s="41">
        <f>Chemistry!H85</f>
        <v>0</v>
      </c>
      <c r="AT85" s="41">
        <f>IF(SubjectList!G85="Math", IF(Math!H85="","",Math!H85), IF(Biology!H85="","",Biology!H85))</f>
        <v>0</v>
      </c>
      <c r="AU85" s="41">
        <f>IF(SubjectList!I85="Math", IF(Math!H85="","",Math!H85), IF(Biology!H85="","",Biology!H85))</f>
        <v>0</v>
      </c>
      <c r="AV85" s="41">
        <f>Optional!I85</f>
        <v>0</v>
      </c>
      <c r="AW85" s="41">
        <f>Optional!J85</f>
        <v>0</v>
      </c>
      <c r="AX85" s="41" t="str">
        <f t="shared" si="20"/>
        <v/>
      </c>
      <c r="AY85" s="41" t="str">
        <f t="shared" si="33"/>
        <v/>
      </c>
      <c r="AZ85" s="41" t="str">
        <f t="shared" si="21"/>
        <v/>
      </c>
      <c r="BA85" s="41" t="str">
        <f t="shared" si="22"/>
        <v/>
      </c>
      <c r="BB85" s="41">
        <f t="shared" si="35"/>
        <v>133</v>
      </c>
      <c r="BC85" s="46">
        <f t="shared" si="34"/>
        <v>0</v>
      </c>
      <c r="BD85" s="46">
        <f t="shared" si="23"/>
        <v>0</v>
      </c>
      <c r="BE85" s="46">
        <f t="shared" si="24"/>
        <v>0</v>
      </c>
      <c r="BF85" s="46">
        <f t="shared" si="25"/>
        <v>0</v>
      </c>
      <c r="BG85" s="46">
        <f t="shared" si="26"/>
        <v>0</v>
      </c>
      <c r="BH85" s="46">
        <f t="shared" si="27"/>
        <v>0</v>
      </c>
      <c r="BI85" s="3">
        <f t="shared" si="28"/>
        <v>0</v>
      </c>
      <c r="BJ85" s="3" t="str">
        <f t="shared" si="29"/>
        <v>Failed in 6 Subjects</v>
      </c>
      <c r="BK85" s="3" t="str">
        <f>IF(BA85="","",RANK(BA85,BA$2:BA88,0))</f>
        <v/>
      </c>
      <c r="BL85" s="3" t="str">
        <f t="shared" si="30"/>
        <v>খুবই দুর্বল</v>
      </c>
      <c r="BM85" s="3" t="str">
        <f t="shared" si="31"/>
        <v>Very Weak</v>
      </c>
      <c r="BN85" s="3" t="str">
        <f t="shared" si="32"/>
        <v/>
      </c>
    </row>
    <row r="86" spans="1:66" x14ac:dyDescent="0.35">
      <c r="A86" s="3" t="str">
        <f>'Student Basic Info'!B86</f>
        <v>Science</v>
      </c>
      <c r="B86" s="3">
        <f>'Student Basic Info'!A86</f>
        <v>785</v>
      </c>
      <c r="C86" s="3" t="str">
        <f>'Student Basic Info'!C86</f>
        <v>Muktaddi Al Saber</v>
      </c>
      <c r="D86" s="3" t="str">
        <f>'Student Basic Info'!D86</f>
        <v>Md. Mizanaur Rahman</v>
      </c>
      <c r="E86" s="3" t="str">
        <f>'Student Basic Info'!E86</f>
        <v>Golnahar</v>
      </c>
      <c r="F86" s="3" t="str">
        <f>'Student Basic Info'!F86</f>
        <v>Male</v>
      </c>
      <c r="G86" s="73" t="str">
        <f>'Student Basic Info'!I86</f>
        <v>016124-39957</v>
      </c>
      <c r="H86" s="74" t="str">
        <f>IF(Bangla!B86="","",Bangla!B86)</f>
        <v/>
      </c>
      <c r="I86" s="74">
        <f>IF(Bangla!C86="","",Bangla!C86)</f>
        <v>18</v>
      </c>
      <c r="J86" s="74">
        <f>IF(Bangla!D86="","",Bangla!D86)</f>
        <v>18</v>
      </c>
      <c r="K86" s="75">
        <f>IF(English!C86="","",English!C86)</f>
        <v>3</v>
      </c>
      <c r="L86" s="37">
        <f>IF(ICT!B86="","",ICT!B86)</f>
        <v>3</v>
      </c>
      <c r="M86" s="37">
        <f>IF(ICT!C86="","",ICT!C86)</f>
        <v>3</v>
      </c>
      <c r="N86" s="37">
        <f>IF(ICT!D86="","",ICT!D86)</f>
        <v>20</v>
      </c>
      <c r="O86" s="37">
        <f>IF(ICT!E86="","",ICT!E86)</f>
        <v>26</v>
      </c>
      <c r="P86" s="44">
        <f>IF(Physics!B86="","",Physics!B86)</f>
        <v>9</v>
      </c>
      <c r="Q86" s="44">
        <f>IF(Physics!C86="","",Physics!C86)</f>
        <v>3</v>
      </c>
      <c r="R86" s="44">
        <f>IF(Physics!D86="","",Physics!D86)</f>
        <v>8</v>
      </c>
      <c r="S86" s="89">
        <f>IF(Physics!E86="","",Physics!E86)</f>
        <v>20</v>
      </c>
      <c r="T86" s="37" t="str">
        <f>IF(Chemistry!B86="","",Chemistry!B86)</f>
        <v/>
      </c>
      <c r="U86" s="37" t="str">
        <f>IF(Chemistry!C86="","",Chemistry!C86)</f>
        <v/>
      </c>
      <c r="V86" s="37" t="str">
        <f>IF(Chemistry!D86="","",Chemistry!D86)</f>
        <v/>
      </c>
      <c r="W86" s="37" t="str">
        <f>IF(Chemistry!E86="","",Chemistry!E86)</f>
        <v/>
      </c>
      <c r="X86" s="38">
        <f>IF(SubjectList!G86="Math", IF(Math!B86="","",Math!B86), IF(Biology!B86="","",Biology!B86))</f>
        <v>10</v>
      </c>
      <c r="Y86" s="38">
        <f>IF(SubjectList!G86="Math", IF(Math!C86="","",Math!C86), IF(Biology!C86="","",Biology!C86))</f>
        <v>0</v>
      </c>
      <c r="Z86" s="38">
        <f>IF(SubjectList!G86="Math", IF(Math!D86="","",Math!D86), IF(Biology!D86="","",Biology!D86))</f>
        <v>8</v>
      </c>
      <c r="AA86" s="38">
        <f>IF(SubjectList!G86="Math", IF(Math!E86="","",Math!E86), IF(Biology!E86="","",Biology!E86))</f>
        <v>18</v>
      </c>
      <c r="AB86" s="44">
        <f>IF(SubjectList!I86="Biology", IF(Biology!B86="","",Biology!B86), IF(Math!B86="","",Math!B86))</f>
        <v>7</v>
      </c>
      <c r="AC86" s="44">
        <f>Optional!D86</f>
        <v>0</v>
      </c>
      <c r="AD86" s="44">
        <f>Optional!E86</f>
        <v>8</v>
      </c>
      <c r="AE86" s="44">
        <f>Optional!F86</f>
        <v>15</v>
      </c>
      <c r="AF86" s="39" t="str">
        <f>IF(SubjectList!G86="","", SubjectList!G86)</f>
        <v>Biology</v>
      </c>
      <c r="AG86" s="39" t="str">
        <f>IF(SubjectList!I86="","", SubjectList!I86)</f>
        <v>Math</v>
      </c>
      <c r="AH86" s="40" t="str">
        <f>Bangla!F86</f>
        <v>F</v>
      </c>
      <c r="AI86" s="91" t="str">
        <f>English!E86</f>
        <v>F</v>
      </c>
      <c r="AJ86" s="40" t="str">
        <f>ICT!G86</f>
        <v>F</v>
      </c>
      <c r="AK86" s="40" t="str">
        <f>Physics!G86</f>
        <v>F</v>
      </c>
      <c r="AL86" s="40" t="str">
        <f>Chemistry!G86</f>
        <v/>
      </c>
      <c r="AM86" s="40" t="str">
        <f>IF(SubjectList!G86="Math", IF(Math!G86="","",Math!G86), IF(Biology!G86="","",Biology!G86))</f>
        <v>F</v>
      </c>
      <c r="AN86" s="40" t="str">
        <f>IF(SubjectList!H86="Math", IF(Math!G86="","",Math!G86), IF(Biology!G86="","",Biology!G86))</f>
        <v>F</v>
      </c>
      <c r="AO86" s="41">
        <f>Bangla!G86</f>
        <v>0</v>
      </c>
      <c r="AP86" s="41">
        <f>English!F86</f>
        <v>0</v>
      </c>
      <c r="AQ86" s="41">
        <f>ICT!H86</f>
        <v>0</v>
      </c>
      <c r="AR86" s="41">
        <f>Physics!H86</f>
        <v>0</v>
      </c>
      <c r="AS86" s="41" t="str">
        <f>Chemistry!H86</f>
        <v/>
      </c>
      <c r="AT86" s="41">
        <f>IF(SubjectList!G86="Math", IF(Math!H86="","",Math!H86), IF(Biology!H86="","",Biology!H86))</f>
        <v>0</v>
      </c>
      <c r="AU86" s="41">
        <f>IF(SubjectList!I86="Math", IF(Math!H86="","",Math!H86), IF(Biology!H86="","",Biology!H86))</f>
        <v>0</v>
      </c>
      <c r="AV86" s="41">
        <f>Optional!I86</f>
        <v>0</v>
      </c>
      <c r="AW86" s="41">
        <f>Optional!J86</f>
        <v>0</v>
      </c>
      <c r="AX86" s="41" t="str">
        <f t="shared" si="20"/>
        <v/>
      </c>
      <c r="AY86" s="41" t="str">
        <f t="shared" si="33"/>
        <v/>
      </c>
      <c r="AZ86" s="41" t="str">
        <f t="shared" si="21"/>
        <v/>
      </c>
      <c r="BA86" s="41" t="str">
        <f t="shared" si="22"/>
        <v/>
      </c>
      <c r="BB86" s="41">
        <f t="shared" si="35"/>
        <v>100</v>
      </c>
      <c r="BC86" s="46">
        <f t="shared" si="34"/>
        <v>0</v>
      </c>
      <c r="BD86" s="46">
        <f t="shared" si="23"/>
        <v>0</v>
      </c>
      <c r="BE86" s="46">
        <f t="shared" si="24"/>
        <v>0</v>
      </c>
      <c r="BF86" s="46">
        <f t="shared" si="25"/>
        <v>0</v>
      </c>
      <c r="BG86" s="46" t="str">
        <f t="shared" si="26"/>
        <v/>
      </c>
      <c r="BH86" s="46">
        <f t="shared" si="27"/>
        <v>0</v>
      </c>
      <c r="BI86" s="3">
        <f t="shared" si="28"/>
        <v>0</v>
      </c>
      <c r="BJ86" s="3" t="str">
        <f t="shared" si="29"/>
        <v>Failed in 6 Subjects</v>
      </c>
      <c r="BK86" s="3" t="str">
        <f>IF(BA86="","",RANK(BA86,BA$2:BA88,0))</f>
        <v/>
      </c>
      <c r="BL86" s="3" t="str">
        <f t="shared" si="30"/>
        <v>খুবই দুর্বল</v>
      </c>
      <c r="BM86" s="3" t="str">
        <f t="shared" si="31"/>
        <v>Very Weak</v>
      </c>
      <c r="BN86" s="3" t="str">
        <f t="shared" si="32"/>
        <v/>
      </c>
    </row>
    <row r="87" spans="1:66" x14ac:dyDescent="0.35">
      <c r="A87" s="3" t="str">
        <f>'Student Basic Info'!B87</f>
        <v>Science</v>
      </c>
      <c r="B87" s="3">
        <f>'Student Basic Info'!A87</f>
        <v>786</v>
      </c>
      <c r="C87" s="3" t="str">
        <f>'Student Basic Info'!C87</f>
        <v>Farzana Aktar</v>
      </c>
      <c r="D87" s="3" t="str">
        <f>'Student Basic Info'!D87</f>
        <v xml:space="preserve">Mosharef Hosain </v>
      </c>
      <c r="E87" s="3" t="str">
        <f>'Student Basic Info'!E87</f>
        <v>Toiyeber Nesa</v>
      </c>
      <c r="F87" s="3" t="str">
        <f>'Student Basic Info'!F87</f>
        <v>Female</v>
      </c>
      <c r="G87" s="73" t="str">
        <f>'Student Basic Info'!I87</f>
        <v>01890-147240</v>
      </c>
      <c r="H87" s="74" t="str">
        <f>IF(Bangla!B87="","",Bangla!B87)</f>
        <v/>
      </c>
      <c r="I87" s="74" t="str">
        <f>IF(Bangla!C87="","",Bangla!C87)</f>
        <v/>
      </c>
      <c r="J87" s="74" t="str">
        <f>IF(Bangla!D87="","",Bangla!D87)</f>
        <v/>
      </c>
      <c r="K87" s="75">
        <f>IF(English!C87="","",English!C87)</f>
        <v>14</v>
      </c>
      <c r="L87" s="37">
        <f>IF(ICT!B87="","",ICT!B87)</f>
        <v>7</v>
      </c>
      <c r="N87" s="37">
        <f>IF(ICT!D87="","",ICT!D87)</f>
        <v>8</v>
      </c>
      <c r="O87" s="37">
        <f>IF(ICT!E87="","",ICT!E87)</f>
        <v>16</v>
      </c>
      <c r="P87" s="44" t="str">
        <f>IF(Physics!B87="","",Physics!B87)</f>
        <v/>
      </c>
      <c r="Q87" s="44" t="str">
        <f>IF(Physics!C87="","",Physics!C87)</f>
        <v/>
      </c>
      <c r="R87" s="44" t="str">
        <f>IF(Physics!D87="","",Physics!D87)</f>
        <v/>
      </c>
      <c r="S87" s="89" t="str">
        <f>IF(Physics!E87="","",Physics!E87)</f>
        <v/>
      </c>
      <c r="T87" s="37">
        <f>IF(Chemistry!B87="","",Chemistry!B87)</f>
        <v>6</v>
      </c>
      <c r="U87" s="37">
        <f>IF(Chemistry!C87="","",Chemistry!C87)</f>
        <v>1</v>
      </c>
      <c r="V87" s="37">
        <f>IF(Chemistry!D87="","",Chemistry!D87)</f>
        <v>8</v>
      </c>
      <c r="W87" s="37">
        <f>IF(Chemistry!E87="","",Chemistry!E87)</f>
        <v>15</v>
      </c>
      <c r="X87" s="38">
        <f>IF(SubjectList!G87="Math", IF(Math!B87="","",Math!B87), IF(Biology!B87="","",Biology!B87))</f>
        <v>6</v>
      </c>
      <c r="Y87" s="38">
        <f>IF(SubjectList!G87="Math", IF(Math!C87="","",Math!C87), IF(Biology!C87="","",Biology!C87))</f>
        <v>0</v>
      </c>
      <c r="Z87" s="38">
        <f>IF(SubjectList!G87="Math", IF(Math!D87="","",Math!D87), IF(Biology!D87="","",Biology!D87))</f>
        <v>8</v>
      </c>
      <c r="AA87" s="38">
        <f>IF(SubjectList!G87="Math", IF(Math!E87="","",Math!E87), IF(Biology!E87="","",Biology!E87))</f>
        <v>14</v>
      </c>
      <c r="AB87" s="44">
        <f>IF(SubjectList!I87="Biology", IF(Biology!B87="","",Biology!B87), IF(Math!B87="","",Math!B87))</f>
        <v>6</v>
      </c>
      <c r="AC87" s="44">
        <f>Optional!D87</f>
        <v>1</v>
      </c>
      <c r="AD87" s="44">
        <f>Optional!E87</f>
        <v>8</v>
      </c>
      <c r="AE87" s="44">
        <f>Optional!F87</f>
        <v>15</v>
      </c>
      <c r="AF87" s="39" t="str">
        <f>IF(SubjectList!G87="","", SubjectList!G87)</f>
        <v>Math</v>
      </c>
      <c r="AG87" s="39" t="str">
        <f>IF(SubjectList!I87="","", SubjectList!I87)</f>
        <v>Biology</v>
      </c>
      <c r="AH87" s="40" t="str">
        <f>Bangla!F87</f>
        <v/>
      </c>
      <c r="AI87" s="91" t="str">
        <f>English!E87</f>
        <v>F</v>
      </c>
      <c r="AJ87" s="40" t="str">
        <f>ICT!G87</f>
        <v>F</v>
      </c>
      <c r="AK87" s="40" t="str">
        <f>Physics!G87</f>
        <v/>
      </c>
      <c r="AL87" s="40" t="str">
        <f>Chemistry!G87</f>
        <v>F</v>
      </c>
      <c r="AM87" s="40" t="str">
        <f>IF(SubjectList!G87="Math", IF(Math!G87="","",Math!G87), IF(Biology!G87="","",Biology!G87))</f>
        <v>F</v>
      </c>
      <c r="AN87" s="40" t="str">
        <f>IF(SubjectList!H87="Math", IF(Math!G87="","",Math!G87), IF(Biology!G87="","",Biology!G87))</f>
        <v>F</v>
      </c>
      <c r="AO87" s="41" t="str">
        <f>Bangla!G87</f>
        <v/>
      </c>
      <c r="AP87" s="41">
        <f>English!F87</f>
        <v>0</v>
      </c>
      <c r="AQ87" s="41">
        <f>ICT!H87</f>
        <v>0</v>
      </c>
      <c r="AR87" s="41" t="str">
        <f>Physics!H87</f>
        <v/>
      </c>
      <c r="AS87" s="41">
        <f>Chemistry!H87</f>
        <v>0</v>
      </c>
      <c r="AT87" s="41">
        <f>IF(SubjectList!G87="Math", IF(Math!H87="","",Math!H87), IF(Biology!H87="","",Biology!H87))</f>
        <v>0</v>
      </c>
      <c r="AU87" s="41">
        <f>IF(SubjectList!I87="Math", IF(Math!H87="","",Math!H87), IF(Biology!H87="","",Biology!H87))</f>
        <v>0</v>
      </c>
      <c r="AV87" s="41">
        <f>Optional!I87</f>
        <v>0</v>
      </c>
      <c r="AW87" s="41">
        <f>Optional!J87</f>
        <v>0</v>
      </c>
      <c r="AX87" s="41" t="str">
        <f t="shared" si="20"/>
        <v/>
      </c>
      <c r="AY87" s="41" t="str">
        <f t="shared" si="33"/>
        <v/>
      </c>
      <c r="AZ87" s="41" t="str">
        <f t="shared" si="21"/>
        <v/>
      </c>
      <c r="BA87" s="41" t="str">
        <f t="shared" si="22"/>
        <v/>
      </c>
      <c r="BB87" s="41">
        <f t="shared" si="35"/>
        <v>74</v>
      </c>
      <c r="BC87" s="46" t="str">
        <f t="shared" si="34"/>
        <v/>
      </c>
      <c r="BD87" s="46">
        <f t="shared" si="23"/>
        <v>0</v>
      </c>
      <c r="BE87" s="46">
        <f t="shared" si="24"/>
        <v>0</v>
      </c>
      <c r="BF87" s="46" t="str">
        <f t="shared" si="25"/>
        <v/>
      </c>
      <c r="BG87" s="46">
        <f t="shared" si="26"/>
        <v>0</v>
      </c>
      <c r="BH87" s="46">
        <f t="shared" si="27"/>
        <v>0</v>
      </c>
      <c r="BI87" s="3">
        <f t="shared" si="28"/>
        <v>0</v>
      </c>
      <c r="BJ87" s="3" t="str">
        <f t="shared" si="29"/>
        <v>Failed in 6 Subjects</v>
      </c>
      <c r="BK87" s="3" t="str">
        <f>IF(BA87="","",RANK(BA87,BA$2:BA88,0))</f>
        <v/>
      </c>
      <c r="BL87" s="3" t="str">
        <f t="shared" si="30"/>
        <v>খুবই দুর্বল</v>
      </c>
      <c r="BM87" s="3" t="str">
        <f t="shared" si="31"/>
        <v>Very Weak</v>
      </c>
      <c r="BN87" s="3" t="str">
        <f t="shared" si="32"/>
        <v/>
      </c>
    </row>
    <row r="88" spans="1:66" x14ac:dyDescent="0.35">
      <c r="A88" s="3" t="str">
        <f>'Student Basic Info'!B88</f>
        <v>Science</v>
      </c>
      <c r="B88" s="3">
        <f>'Student Basic Info'!A88</f>
        <v>6812</v>
      </c>
      <c r="C88" s="3" t="str">
        <f>'Student Basic Info'!C88</f>
        <v>Jannatul Mawa Parvin</v>
      </c>
      <c r="D88" s="3" t="str">
        <f>'Student Basic Info'!D88</f>
        <v>-</v>
      </c>
      <c r="E88" s="3" t="str">
        <f>'Student Basic Info'!E88</f>
        <v>-</v>
      </c>
      <c r="F88" s="3" t="str">
        <f>'Student Basic Info'!F88</f>
        <v>Female</v>
      </c>
      <c r="G88" s="73" t="str">
        <f>'Student Basic Info'!I88</f>
        <v>-</v>
      </c>
      <c r="H88" s="74" t="str">
        <f>IF(Bangla!B88="","",Bangla!B88)</f>
        <v/>
      </c>
      <c r="I88" s="74">
        <f>IF(Bangla!C88="","",Bangla!C88)</f>
        <v>47</v>
      </c>
      <c r="J88" s="74">
        <f>IF(Bangla!D88="","",Bangla!D88)</f>
        <v>47</v>
      </c>
      <c r="K88" s="75">
        <f>IF(English!C88="","",English!C88)</f>
        <v>28</v>
      </c>
      <c r="L88" s="37">
        <f>IF(ICT!B88="","",ICT!B88)</f>
        <v>9</v>
      </c>
      <c r="M88" s="37">
        <f>IF(ICT!C87="","",ICT!C87)</f>
        <v>1</v>
      </c>
      <c r="N88" s="37">
        <f>IF(ICT!D88="","",ICT!D88)</f>
        <v>24</v>
      </c>
      <c r="O88" s="37">
        <f>IF(ICT!E88="","",ICT!E88)</f>
        <v>50</v>
      </c>
      <c r="P88" s="44">
        <f>IF(Physics!B88="","",Physics!B88)</f>
        <v>9</v>
      </c>
      <c r="Q88" s="44">
        <f>IF(Physics!C88="","",Physics!C88)</f>
        <v>31</v>
      </c>
      <c r="R88" s="44">
        <f>IF(Physics!D88="","",Physics!D88)</f>
        <v>18</v>
      </c>
      <c r="S88" s="89">
        <f>IF(Physics!E88="","",Physics!E88)</f>
        <v>58</v>
      </c>
      <c r="T88" s="37">
        <f>IF(Chemistry!B88="","",Chemistry!B88)</f>
        <v>9</v>
      </c>
      <c r="U88" s="37">
        <f>IF(Chemistry!C88="","",Chemistry!C88)</f>
        <v>13</v>
      </c>
      <c r="V88" s="37">
        <f>IF(Chemistry!D88="","",Chemistry!D88)</f>
        <v>8</v>
      </c>
      <c r="W88" s="37">
        <f>IF(Chemistry!E88="","",Chemistry!E88)</f>
        <v>30</v>
      </c>
      <c r="X88" s="38">
        <f>IF(SubjectList!G88="Math", IF(Math!B88="","",Math!B88), IF(Biology!B88="","",Biology!B88))</f>
        <v>9</v>
      </c>
      <c r="Y88" s="38">
        <f>IF(SubjectList!G88="Math", IF(Math!C88="","",Math!C88), IF(Biology!C88="","",Biology!C88))</f>
        <v>7</v>
      </c>
      <c r="Z88" s="38">
        <f>IF(SubjectList!G88="Math", IF(Math!D88="","",Math!D88), IF(Biology!D88="","",Biology!D88))</f>
        <v>10</v>
      </c>
      <c r="AA88" s="38">
        <f>IF(SubjectList!G88="Math", IF(Math!E88="","",Math!E88), IF(Biology!E88="","",Biology!E88))</f>
        <v>26</v>
      </c>
      <c r="AB88" s="44">
        <f>IF(SubjectList!I88="Biology", IF(Biology!B88="","",Biology!B88), IF(Math!B88="","",Math!B88))</f>
        <v>7</v>
      </c>
      <c r="AC88" s="44">
        <f>Optional!D88</f>
        <v>1</v>
      </c>
      <c r="AD88" s="44">
        <f>Optional!E88</f>
        <v>8</v>
      </c>
      <c r="AE88" s="44">
        <f>Optional!F88</f>
        <v>16</v>
      </c>
      <c r="AF88" s="39" t="str">
        <f>IF(SubjectList!G88="","", SubjectList!G88)</f>
        <v>Biology</v>
      </c>
      <c r="AG88" s="39" t="str">
        <f>IF(SubjectList!I88="","", SubjectList!I88)</f>
        <v>Math</v>
      </c>
      <c r="AH88" s="40" t="str">
        <f>Bangla!F88</f>
        <v>C</v>
      </c>
      <c r="AI88" s="91" t="str">
        <f>English!E88</f>
        <v>F</v>
      </c>
      <c r="AJ88" s="40" t="str">
        <f>ICT!G88</f>
        <v>B</v>
      </c>
      <c r="AK88" s="40" t="str">
        <f>Physics!G88</f>
        <v>B</v>
      </c>
      <c r="AL88" s="40" t="str">
        <f>Chemistry!G88</f>
        <v>F</v>
      </c>
      <c r="AM88" s="40" t="str">
        <f>IF(SubjectList!G88="Math", IF(Math!G88="","",Math!G88), IF(Biology!G88="","",Biology!G88))</f>
        <v>F</v>
      </c>
      <c r="AN88" s="40" t="str">
        <f>IF(SubjectList!H88="Math", IF(Math!G88="","",Math!G88), IF(Biology!G88="","",Biology!G88))</f>
        <v>F</v>
      </c>
      <c r="AO88" s="41">
        <f>Bangla!G88</f>
        <v>2</v>
      </c>
      <c r="AP88" s="41">
        <f>English!F88</f>
        <v>0</v>
      </c>
      <c r="AQ88" s="41">
        <f>ICT!H88</f>
        <v>3</v>
      </c>
      <c r="AR88" s="41">
        <f>Physics!H88</f>
        <v>3</v>
      </c>
      <c r="AS88" s="41">
        <f>Chemistry!H88</f>
        <v>0</v>
      </c>
      <c r="AT88" s="41">
        <f>IF(SubjectList!G88="Math", IF(Math!H88="","",Math!H88), IF(Biology!H88="","",Biology!H88))</f>
        <v>0</v>
      </c>
      <c r="AU88" s="41">
        <f>IF(SubjectList!I88="Math", IF(Math!H88="","",Math!H88), IF(Biology!H88="","",Biology!H88))</f>
        <v>0</v>
      </c>
      <c r="AV88" s="41">
        <f>Optional!I88</f>
        <v>0</v>
      </c>
      <c r="AW88" s="41">
        <f>Optional!J88</f>
        <v>0</v>
      </c>
      <c r="AX88" s="41">
        <f t="shared" ref="AX88" si="36">IF(BI88=0, "", SUM(AO88:AT88))</f>
        <v>8</v>
      </c>
      <c r="AY88" s="41">
        <f t="shared" si="33"/>
        <v>8</v>
      </c>
      <c r="AZ88" s="41" t="str">
        <f t="shared" ref="AZ88" si="37">IF(BI88=6,IF(AY88&gt;=30,5,(AY88-AW88)/6),"")</f>
        <v/>
      </c>
      <c r="BA88" s="41" t="str">
        <f t="shared" ref="BA88" si="38">IF(BI88=6, IF(AY88&gt;=30,5,(AY88)/6), "")</f>
        <v/>
      </c>
      <c r="BB88" s="41">
        <f t="shared" ref="BB88" si="39">IF(J88="",0,J88)+IF(K88="",0,K88)+IF(O88="",0,O88)+IF(S88="",0,S88)+IF(W88="",0,W88)+IF(AA88="",0,AA88)+IF(AE88="",0,AE88)</f>
        <v>255</v>
      </c>
      <c r="BC88" s="46">
        <f t="shared" si="34"/>
        <v>1</v>
      </c>
      <c r="BD88" s="46">
        <f t="shared" si="23"/>
        <v>0</v>
      </c>
      <c r="BE88" s="46">
        <f t="shared" si="24"/>
        <v>1</v>
      </c>
      <c r="BF88" s="46">
        <f t="shared" si="25"/>
        <v>1</v>
      </c>
      <c r="BG88" s="46">
        <f t="shared" si="26"/>
        <v>0</v>
      </c>
      <c r="BH88" s="46">
        <f t="shared" si="27"/>
        <v>0</v>
      </c>
      <c r="BI88" s="3">
        <f t="shared" ref="BI88" si="40">SUM(BC88:BH88)</f>
        <v>3</v>
      </c>
      <c r="BJ88" s="3" t="str">
        <f t="shared" ref="BJ88" si="41">IF(BI88=0,"Failed in 6 Subjects",IF(BI88=1,"Failed in 5 Subjects",IF(BI88=2,"Failed in 4 Subjects",IF(BI88=3,"Failed in 3 Subjects",IF(BI88=4,"Failed in 2 Subjects",IF(BI88=5,"Failed in 1 Subject",IF(BI88=6,"Pass")))))))</f>
        <v>Failed in 3 Subjects</v>
      </c>
      <c r="BK88" s="3" t="str">
        <f>IF(BA88="","",RANK(BA88,BA$2:BA88,0))</f>
        <v/>
      </c>
      <c r="BL88" s="3" t="str">
        <f t="shared" si="30"/>
        <v>খুবই দুর্বল</v>
      </c>
      <c r="BM88" s="3" t="str">
        <f t="shared" si="31"/>
        <v>Very Weak</v>
      </c>
      <c r="BN88" s="3" t="str">
        <f t="shared" si="32"/>
        <v/>
      </c>
    </row>
  </sheetData>
  <sheetProtection formatCells="0" formatColumns="0" formatRows="0" insertColumns="0" insertRows="0" insertHyperlinks="0" deleteColumns="0" deleteRows="0"/>
  <conditionalFormatting sqref="BJ2:BJ88">
    <cfRule type="containsText" dxfId="9" priority="1" operator="containsText" text="Pass">
      <formula>NOT(ISERROR(SEARCH("Pass",BJ2)))</formula>
    </cfRule>
  </conditionalFormatting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88"/>
  <sheetViews>
    <sheetView topLeftCell="A34" zoomScale="85" zoomScaleNormal="85" workbookViewId="0">
      <selection activeCell="S49" sqref="S49"/>
    </sheetView>
  </sheetViews>
  <sheetFormatPr defaultRowHeight="14.5" x14ac:dyDescent="0.35"/>
  <cols>
    <col min="1" max="1" width="7" style="108" customWidth="1"/>
    <col min="2" max="2" width="23.6328125" customWidth="1"/>
    <col min="3" max="3" width="6.36328125" hidden="1" customWidth="1"/>
    <col min="4" max="4" width="6.6328125" hidden="1" customWidth="1"/>
    <col min="5" max="5" width="4.36328125" hidden="1" customWidth="1"/>
    <col min="6" max="6" width="6.81640625" hidden="1" customWidth="1"/>
    <col min="7" max="7" width="9.26953125" hidden="1" customWidth="1"/>
    <col min="8" max="10" width="8" hidden="1" customWidth="1"/>
    <col min="11" max="11" width="7.26953125" style="1" hidden="1" customWidth="1"/>
    <col min="12" max="12" width="10.36328125" style="5" hidden="1" customWidth="1"/>
    <col min="13" max="13" width="18.54296875" bestFit="1" customWidth="1"/>
    <col min="14" max="15" width="9.26953125" customWidth="1"/>
    <col min="16" max="16" width="12.7265625" style="1" customWidth="1"/>
  </cols>
  <sheetData>
    <row r="1" spans="1:16" x14ac:dyDescent="0.35">
      <c r="A1" s="13" t="s">
        <v>0</v>
      </c>
      <c r="B1" s="13" t="s">
        <v>36</v>
      </c>
      <c r="C1" s="13" t="s">
        <v>12</v>
      </c>
      <c r="D1" s="13" t="s">
        <v>13</v>
      </c>
      <c r="E1" s="13" t="s">
        <v>14</v>
      </c>
      <c r="F1" s="13" t="s">
        <v>46</v>
      </c>
      <c r="G1" s="13" t="s">
        <v>47</v>
      </c>
      <c r="H1" s="13" t="s">
        <v>21</v>
      </c>
      <c r="I1" s="13" t="s">
        <v>22</v>
      </c>
      <c r="J1" s="13" t="s">
        <v>451</v>
      </c>
      <c r="K1" s="13" t="s">
        <v>18</v>
      </c>
      <c r="L1" s="14" t="s">
        <v>17</v>
      </c>
      <c r="M1" s="43" t="s">
        <v>7</v>
      </c>
      <c r="N1" s="14" t="s">
        <v>9</v>
      </c>
      <c r="O1" s="43" t="s">
        <v>8</v>
      </c>
      <c r="P1" s="43" t="s">
        <v>447</v>
      </c>
    </row>
    <row r="2" spans="1:16" x14ac:dyDescent="0.35">
      <c r="A2" s="111">
        <f>'Student Basic Info'!A2</f>
        <v>701</v>
      </c>
      <c r="B2" s="112" t="str">
        <f>'Student Basic Info'!C2</f>
        <v>Tanjila Mostafa Tasnim</v>
      </c>
      <c r="C2" s="113">
        <f>'Detailed Summary'!AO2</f>
        <v>3.5</v>
      </c>
      <c r="D2" s="113">
        <f>'Detailed Summary'!AP2</f>
        <v>2</v>
      </c>
      <c r="E2" s="113">
        <f>'Detailed Summary'!AQ2</f>
        <v>5</v>
      </c>
      <c r="F2" s="113">
        <f>'Detailed Summary'!AR2</f>
        <v>3</v>
      </c>
      <c r="G2" s="113">
        <f>'Detailed Summary'!AS2</f>
        <v>4</v>
      </c>
      <c r="H2" s="113">
        <f>'Detailed Summary'!AT2</f>
        <v>3</v>
      </c>
      <c r="I2" s="113">
        <f>'Detailed Summary'!AV2</f>
        <v>4</v>
      </c>
      <c r="J2" s="113">
        <f>'Detailed Summary'!AW2</f>
        <v>2</v>
      </c>
      <c r="K2" s="114">
        <f>'Detailed Summary'!AY2</f>
        <v>22.5</v>
      </c>
      <c r="L2" s="7">
        <f>'Detailed Summary'!AZ2</f>
        <v>3.4166666666666665</v>
      </c>
      <c r="M2" s="115" t="str">
        <f>'Detailed Summary'!BJ2</f>
        <v>Pass</v>
      </c>
      <c r="N2" s="7">
        <f>'Detailed Summary'!BA2</f>
        <v>3.75</v>
      </c>
      <c r="O2" s="7" t="str">
        <f t="shared" ref="O2:O33" si="0">IF(N2&gt;=5,"",IF(N2&gt;=4,"A",IF(N2&gt;=3.5,"A-",IF(N2&gt;=3,"B",IF(N2&gt;=2,"C",IF(N2&gt;=1,"D","F"))))))</f>
        <v>A-</v>
      </c>
      <c r="P2" s="116">
        <f>'Detailed Summary'!BK2</f>
        <v>3</v>
      </c>
    </row>
    <row r="3" spans="1:16" x14ac:dyDescent="0.35">
      <c r="A3" s="111">
        <f>'Student Basic Info'!A3</f>
        <v>702</v>
      </c>
      <c r="B3" s="112" t="str">
        <f>'Student Basic Info'!C3</f>
        <v>Foyez Ahmed</v>
      </c>
      <c r="C3" s="113" t="str">
        <f>'Detailed Summary'!AO3</f>
        <v/>
      </c>
      <c r="D3" s="113" t="str">
        <f>'Detailed Summary'!AP3</f>
        <v/>
      </c>
      <c r="E3" s="113" t="str">
        <f>'Detailed Summary'!AQ3</f>
        <v/>
      </c>
      <c r="F3" s="113" t="str">
        <f>'Detailed Summary'!AR3</f>
        <v/>
      </c>
      <c r="G3" s="113" t="str">
        <f>'Detailed Summary'!AS3</f>
        <v/>
      </c>
      <c r="H3" s="113" t="str">
        <f>'Detailed Summary'!AT3</f>
        <v/>
      </c>
      <c r="I3" s="113" t="str">
        <f>'Detailed Summary'!AV3</f>
        <v/>
      </c>
      <c r="J3" s="113" t="str">
        <f>'Detailed Summary'!AW3</f>
        <v/>
      </c>
      <c r="K3" s="114" t="str">
        <f>'Detailed Summary'!AY3</f>
        <v/>
      </c>
      <c r="L3" s="7" t="str">
        <f>'Detailed Summary'!AZ3</f>
        <v/>
      </c>
      <c r="M3" s="115" t="str">
        <f>'Detailed Summary'!BJ3</f>
        <v>Failed in 6 Subjects</v>
      </c>
      <c r="N3" s="7" t="str">
        <f>'Detailed Summary'!BA3</f>
        <v/>
      </c>
      <c r="O3" s="7" t="str">
        <f t="shared" si="0"/>
        <v/>
      </c>
      <c r="P3" s="116" t="str">
        <f>'Detailed Summary'!BK3</f>
        <v/>
      </c>
    </row>
    <row r="4" spans="1:16" x14ac:dyDescent="0.35">
      <c r="A4" s="111">
        <f>'Student Basic Info'!A4</f>
        <v>703</v>
      </c>
      <c r="B4" s="112" t="str">
        <f>'Student Basic Info'!C4</f>
        <v>Zannatul Nayem</v>
      </c>
      <c r="C4" s="113" t="str">
        <f>'Detailed Summary'!AO4</f>
        <v/>
      </c>
      <c r="D4" s="113" t="str">
        <f>'Detailed Summary'!AP4</f>
        <v/>
      </c>
      <c r="E4" s="113" t="str">
        <f>'Detailed Summary'!AQ4</f>
        <v/>
      </c>
      <c r="F4" s="113" t="str">
        <f>'Detailed Summary'!AR4</f>
        <v/>
      </c>
      <c r="G4" s="113" t="str">
        <f>'Detailed Summary'!AS4</f>
        <v/>
      </c>
      <c r="H4" s="113" t="str">
        <f>'Detailed Summary'!AT4</f>
        <v/>
      </c>
      <c r="I4" s="113" t="str">
        <f>'Detailed Summary'!AV4</f>
        <v/>
      </c>
      <c r="J4" s="113" t="str">
        <f>'Detailed Summary'!AW4</f>
        <v/>
      </c>
      <c r="K4" s="114" t="str">
        <f>'Detailed Summary'!AY4</f>
        <v/>
      </c>
      <c r="L4" s="7" t="str">
        <f>'Detailed Summary'!AZ4</f>
        <v/>
      </c>
      <c r="M4" s="115" t="str">
        <f>'Detailed Summary'!BJ4</f>
        <v>Failed in 6 Subjects</v>
      </c>
      <c r="N4" s="7" t="str">
        <f>'Detailed Summary'!BA4</f>
        <v/>
      </c>
      <c r="O4" s="7" t="str">
        <f t="shared" si="0"/>
        <v/>
      </c>
      <c r="P4" s="116" t="str">
        <f>'Detailed Summary'!BK4</f>
        <v/>
      </c>
    </row>
    <row r="5" spans="1:16" x14ac:dyDescent="0.35">
      <c r="A5" s="111">
        <f>'Student Basic Info'!A5</f>
        <v>704</v>
      </c>
      <c r="B5" s="112" t="str">
        <f>'Student Basic Info'!C5</f>
        <v>Farmana Nusrat Chowdhury</v>
      </c>
      <c r="C5" s="113">
        <f>'Detailed Summary'!AO5</f>
        <v>3.5</v>
      </c>
      <c r="D5" s="113">
        <f>'Detailed Summary'!AP5</f>
        <v>1</v>
      </c>
      <c r="E5" s="113">
        <f>'Detailed Summary'!AQ5</f>
        <v>0</v>
      </c>
      <c r="F5" s="113">
        <f>'Detailed Summary'!AR5</f>
        <v>0</v>
      </c>
      <c r="G5" s="113">
        <f>'Detailed Summary'!AS5</f>
        <v>0</v>
      </c>
      <c r="H5" s="113">
        <f>'Detailed Summary'!AT5</f>
        <v>0</v>
      </c>
      <c r="I5" s="113">
        <f>'Detailed Summary'!AV5</f>
        <v>0</v>
      </c>
      <c r="J5" s="113">
        <f>'Detailed Summary'!AW5</f>
        <v>0</v>
      </c>
      <c r="K5" s="114">
        <f>'Detailed Summary'!AY5</f>
        <v>4.5</v>
      </c>
      <c r="L5" s="7" t="str">
        <f>'Detailed Summary'!AZ5</f>
        <v/>
      </c>
      <c r="M5" s="115" t="str">
        <f>'Detailed Summary'!BJ5</f>
        <v>Failed in 4 Subjects</v>
      </c>
      <c r="N5" s="7" t="str">
        <f>'Detailed Summary'!BA5</f>
        <v/>
      </c>
      <c r="O5" s="7" t="str">
        <f t="shared" si="0"/>
        <v/>
      </c>
      <c r="P5" s="116" t="str">
        <f>'Detailed Summary'!BK5</f>
        <v/>
      </c>
    </row>
    <row r="6" spans="1:16" x14ac:dyDescent="0.35">
      <c r="A6" s="111">
        <f>'Student Basic Info'!A6</f>
        <v>705</v>
      </c>
      <c r="B6" s="112" t="str">
        <f>'Student Basic Info'!C6</f>
        <v>Zannatul Ferdaus</v>
      </c>
      <c r="C6" s="113" t="str">
        <f>'Detailed Summary'!AO6</f>
        <v/>
      </c>
      <c r="D6" s="113" t="str">
        <f>'Detailed Summary'!AP6</f>
        <v/>
      </c>
      <c r="E6" s="113">
        <f>'Detailed Summary'!AQ6</f>
        <v>0</v>
      </c>
      <c r="F6" s="113" t="str">
        <f>'Detailed Summary'!AR6</f>
        <v/>
      </c>
      <c r="G6" s="113" t="str">
        <f>'Detailed Summary'!AS6</f>
        <v/>
      </c>
      <c r="H6" s="113" t="str">
        <f>'Detailed Summary'!AT6</f>
        <v/>
      </c>
      <c r="I6" s="113" t="str">
        <f>'Detailed Summary'!AV6</f>
        <v/>
      </c>
      <c r="J6" s="113" t="str">
        <f>'Detailed Summary'!AW6</f>
        <v/>
      </c>
      <c r="K6" s="114" t="str">
        <f>'Detailed Summary'!AY6</f>
        <v/>
      </c>
      <c r="L6" s="7" t="str">
        <f>'Detailed Summary'!AZ6</f>
        <v/>
      </c>
      <c r="M6" s="115" t="str">
        <f>'Detailed Summary'!BJ6</f>
        <v>Failed in 6 Subjects</v>
      </c>
      <c r="N6" s="7" t="str">
        <f>'Detailed Summary'!BA6</f>
        <v/>
      </c>
      <c r="O6" s="7" t="str">
        <f t="shared" si="0"/>
        <v/>
      </c>
      <c r="P6" s="116" t="str">
        <f>'Detailed Summary'!BK6</f>
        <v/>
      </c>
    </row>
    <row r="7" spans="1:16" x14ac:dyDescent="0.35">
      <c r="A7" s="111">
        <f>'Student Basic Info'!A7</f>
        <v>706</v>
      </c>
      <c r="B7" s="112" t="str">
        <f>'Student Basic Info'!C7</f>
        <v>Abdul Alim Shawon</v>
      </c>
      <c r="C7" s="113" t="str">
        <f>'Detailed Summary'!AO7</f>
        <v/>
      </c>
      <c r="D7" s="113" t="str">
        <f>'Detailed Summary'!AP7</f>
        <v/>
      </c>
      <c r="E7" s="113" t="str">
        <f>'Detailed Summary'!AQ7</f>
        <v/>
      </c>
      <c r="F7" s="113" t="str">
        <f>'Detailed Summary'!AR7</f>
        <v/>
      </c>
      <c r="G7" s="113" t="str">
        <f>'Detailed Summary'!AS7</f>
        <v/>
      </c>
      <c r="H7" s="113" t="str">
        <f>'Detailed Summary'!AT7</f>
        <v/>
      </c>
      <c r="I7" s="113" t="str">
        <f>'Detailed Summary'!AV7</f>
        <v/>
      </c>
      <c r="J7" s="113" t="str">
        <f>'Detailed Summary'!AW7</f>
        <v/>
      </c>
      <c r="K7" s="114" t="str">
        <f>'Detailed Summary'!AY7</f>
        <v/>
      </c>
      <c r="L7" s="7" t="str">
        <f>'Detailed Summary'!AZ7</f>
        <v/>
      </c>
      <c r="M7" s="115" t="str">
        <f>'Detailed Summary'!BJ7</f>
        <v>Failed in 6 Subjects</v>
      </c>
      <c r="N7" s="7" t="str">
        <f>'Detailed Summary'!BA7</f>
        <v/>
      </c>
      <c r="O7" s="7" t="str">
        <f t="shared" si="0"/>
        <v/>
      </c>
      <c r="P7" s="116" t="str">
        <f>'Detailed Summary'!BK7</f>
        <v/>
      </c>
    </row>
    <row r="8" spans="1:16" x14ac:dyDescent="0.35">
      <c r="A8" s="111">
        <f>'Student Basic Info'!A8</f>
        <v>707</v>
      </c>
      <c r="B8" s="112" t="str">
        <f>'Student Basic Info'!C8</f>
        <v>Sharmin Aktar</v>
      </c>
      <c r="C8" s="113" t="str">
        <f>'Detailed Summary'!AO8</f>
        <v/>
      </c>
      <c r="D8" s="113" t="str">
        <f>'Detailed Summary'!AP8</f>
        <v/>
      </c>
      <c r="E8" s="113" t="str">
        <f>'Detailed Summary'!AQ8</f>
        <v/>
      </c>
      <c r="F8" s="113" t="str">
        <f>'Detailed Summary'!AR8</f>
        <v/>
      </c>
      <c r="G8" s="113" t="str">
        <f>'Detailed Summary'!AS8</f>
        <v/>
      </c>
      <c r="H8" s="113" t="str">
        <f>'Detailed Summary'!AT8</f>
        <v/>
      </c>
      <c r="I8" s="113" t="str">
        <f>'Detailed Summary'!AV8</f>
        <v/>
      </c>
      <c r="J8" s="113" t="str">
        <f>'Detailed Summary'!AW8</f>
        <v/>
      </c>
      <c r="K8" s="114" t="str">
        <f>'Detailed Summary'!AY8</f>
        <v/>
      </c>
      <c r="L8" s="7" t="str">
        <f>'Detailed Summary'!AZ8</f>
        <v/>
      </c>
      <c r="M8" s="115" t="str">
        <f>'Detailed Summary'!BJ8</f>
        <v>Failed in 6 Subjects</v>
      </c>
      <c r="N8" s="7" t="str">
        <f>'Detailed Summary'!BA8</f>
        <v/>
      </c>
      <c r="O8" s="7" t="str">
        <f t="shared" si="0"/>
        <v/>
      </c>
      <c r="P8" s="116" t="str">
        <f>'Detailed Summary'!BK8</f>
        <v/>
      </c>
    </row>
    <row r="9" spans="1:16" x14ac:dyDescent="0.35">
      <c r="A9" s="111">
        <f>'Student Basic Info'!A9</f>
        <v>708</v>
      </c>
      <c r="B9" s="112" t="str">
        <f>'Student Basic Info'!C9</f>
        <v>Nafisa Aktar Prova</v>
      </c>
      <c r="C9" s="113">
        <f>'Detailed Summary'!AO9</f>
        <v>3.5</v>
      </c>
      <c r="D9" s="113">
        <f>'Detailed Summary'!AP9</f>
        <v>1</v>
      </c>
      <c r="E9" s="113">
        <f>'Detailed Summary'!AQ9</f>
        <v>0</v>
      </c>
      <c r="F9" s="113">
        <f>'Detailed Summary'!AR9</f>
        <v>0</v>
      </c>
      <c r="G9" s="113">
        <f>'Detailed Summary'!AS9</f>
        <v>0</v>
      </c>
      <c r="H9" s="113">
        <f>'Detailed Summary'!AT9</f>
        <v>0</v>
      </c>
      <c r="I9" s="113">
        <f>'Detailed Summary'!AV9</f>
        <v>0</v>
      </c>
      <c r="J9" s="113">
        <f>'Detailed Summary'!AW9</f>
        <v>0</v>
      </c>
      <c r="K9" s="114">
        <f>'Detailed Summary'!AY9</f>
        <v>4.5</v>
      </c>
      <c r="L9" s="7" t="str">
        <f>'Detailed Summary'!AZ9</f>
        <v/>
      </c>
      <c r="M9" s="115" t="str">
        <f>'Detailed Summary'!BJ9</f>
        <v>Failed in 4 Subjects</v>
      </c>
      <c r="N9" s="7" t="str">
        <f>'Detailed Summary'!BA9</f>
        <v/>
      </c>
      <c r="O9" s="7" t="str">
        <f t="shared" si="0"/>
        <v/>
      </c>
      <c r="P9" s="116" t="str">
        <f>'Detailed Summary'!BK9</f>
        <v/>
      </c>
    </row>
    <row r="10" spans="1:16" x14ac:dyDescent="0.35">
      <c r="A10" s="111">
        <f>'Student Basic Info'!A10</f>
        <v>709</v>
      </c>
      <c r="B10" s="112" t="str">
        <f>'Student Basic Info'!C10</f>
        <v>Nafisa Anjum Prena</v>
      </c>
      <c r="C10" s="113">
        <f>'Detailed Summary'!AO10</f>
        <v>3.5</v>
      </c>
      <c r="D10" s="113">
        <f>'Detailed Summary'!AP10</f>
        <v>1</v>
      </c>
      <c r="E10" s="113">
        <f>'Detailed Summary'!AQ10</f>
        <v>0</v>
      </c>
      <c r="F10" s="113">
        <f>'Detailed Summary'!AR10</f>
        <v>2</v>
      </c>
      <c r="G10" s="113">
        <f>'Detailed Summary'!AS10</f>
        <v>0</v>
      </c>
      <c r="H10" s="113">
        <f>'Detailed Summary'!AT10</f>
        <v>0</v>
      </c>
      <c r="I10" s="113">
        <f>'Detailed Summary'!AV10</f>
        <v>0</v>
      </c>
      <c r="J10" s="113">
        <f>'Detailed Summary'!AW10</f>
        <v>0</v>
      </c>
      <c r="K10" s="114">
        <f>'Detailed Summary'!AY10</f>
        <v>6.5</v>
      </c>
      <c r="L10" s="7" t="str">
        <f>'Detailed Summary'!AZ10</f>
        <v/>
      </c>
      <c r="M10" s="115" t="str">
        <f>'Detailed Summary'!BJ10</f>
        <v>Failed in 3 Subjects</v>
      </c>
      <c r="N10" s="7" t="str">
        <f>'Detailed Summary'!BA10</f>
        <v/>
      </c>
      <c r="O10" s="7" t="str">
        <f t="shared" si="0"/>
        <v/>
      </c>
      <c r="P10" s="116" t="str">
        <f>'Detailed Summary'!BK10</f>
        <v/>
      </c>
    </row>
    <row r="11" spans="1:16" x14ac:dyDescent="0.35">
      <c r="A11" s="111">
        <f>'Student Basic Info'!A11</f>
        <v>710</v>
      </c>
      <c r="B11" s="112" t="str">
        <f>'Student Basic Info'!C11</f>
        <v>Umme Tabassum Maisha</v>
      </c>
      <c r="C11" s="113">
        <f>'Detailed Summary'!AO11</f>
        <v>3</v>
      </c>
      <c r="D11" s="113">
        <f>'Detailed Summary'!AP11</f>
        <v>0</v>
      </c>
      <c r="E11" s="113">
        <f>'Detailed Summary'!AQ11</f>
        <v>3</v>
      </c>
      <c r="F11" s="113">
        <f>'Detailed Summary'!AR11</f>
        <v>2</v>
      </c>
      <c r="G11" s="113">
        <f>'Detailed Summary'!AS11</f>
        <v>0</v>
      </c>
      <c r="H11" s="113">
        <f>'Detailed Summary'!AT11</f>
        <v>0</v>
      </c>
      <c r="I11" s="113">
        <f>'Detailed Summary'!AV11</f>
        <v>0</v>
      </c>
      <c r="J11" s="113">
        <f>'Detailed Summary'!AW11</f>
        <v>0</v>
      </c>
      <c r="K11" s="114">
        <f>'Detailed Summary'!AY11</f>
        <v>8</v>
      </c>
      <c r="L11" s="7" t="str">
        <f>'Detailed Summary'!AZ11</f>
        <v/>
      </c>
      <c r="M11" s="115" t="str">
        <f>'Detailed Summary'!BJ11</f>
        <v>Failed in 3 Subjects</v>
      </c>
      <c r="N11" s="7" t="str">
        <f>'Detailed Summary'!BA11</f>
        <v/>
      </c>
      <c r="O11" s="7" t="str">
        <f t="shared" si="0"/>
        <v/>
      </c>
      <c r="P11" s="116" t="str">
        <f>'Detailed Summary'!BK11</f>
        <v/>
      </c>
    </row>
    <row r="12" spans="1:16" x14ac:dyDescent="0.35">
      <c r="A12" s="111">
        <f>'Student Basic Info'!A12</f>
        <v>711</v>
      </c>
      <c r="B12" s="112" t="str">
        <f>'Student Basic Info'!C12</f>
        <v>Rakhi Ahasan</v>
      </c>
      <c r="C12" s="113" t="str">
        <f>'Detailed Summary'!AO12</f>
        <v/>
      </c>
      <c r="D12" s="113" t="str">
        <f>'Detailed Summary'!AP12</f>
        <v/>
      </c>
      <c r="E12" s="113" t="str">
        <f>'Detailed Summary'!AQ12</f>
        <v/>
      </c>
      <c r="F12" s="113" t="str">
        <f>'Detailed Summary'!AR12</f>
        <v/>
      </c>
      <c r="G12" s="113" t="str">
        <f>'Detailed Summary'!AS12</f>
        <v/>
      </c>
      <c r="H12" s="113" t="str">
        <f>'Detailed Summary'!AT12</f>
        <v/>
      </c>
      <c r="I12" s="113" t="str">
        <f>'Detailed Summary'!AV12</f>
        <v/>
      </c>
      <c r="J12" s="113" t="str">
        <f>'Detailed Summary'!AW12</f>
        <v/>
      </c>
      <c r="K12" s="114" t="str">
        <f>'Detailed Summary'!AY12</f>
        <v/>
      </c>
      <c r="L12" s="7" t="str">
        <f>'Detailed Summary'!AZ12</f>
        <v/>
      </c>
      <c r="M12" s="115" t="str">
        <f>'Detailed Summary'!BJ12</f>
        <v>Failed in 6 Subjects</v>
      </c>
      <c r="N12" s="7" t="str">
        <f>'Detailed Summary'!BA12</f>
        <v/>
      </c>
      <c r="O12" s="7" t="str">
        <f t="shared" si="0"/>
        <v/>
      </c>
      <c r="P12" s="116" t="str">
        <f>'Detailed Summary'!BK12</f>
        <v/>
      </c>
    </row>
    <row r="13" spans="1:16" x14ac:dyDescent="0.35">
      <c r="A13" s="111">
        <f>'Student Basic Info'!A13</f>
        <v>712</v>
      </c>
      <c r="B13" s="112" t="str">
        <f>'Student Basic Info'!C13</f>
        <v>Nadiyatul Nayem</v>
      </c>
      <c r="C13" s="113">
        <f>'Detailed Summary'!AO13</f>
        <v>3</v>
      </c>
      <c r="D13" s="113">
        <f>'Detailed Summary'!AP13</f>
        <v>1</v>
      </c>
      <c r="E13" s="113">
        <f>'Detailed Summary'!AQ13</f>
        <v>2</v>
      </c>
      <c r="F13" s="113">
        <f>'Detailed Summary'!AR13</f>
        <v>3</v>
      </c>
      <c r="G13" s="113">
        <f>'Detailed Summary'!AS13</f>
        <v>2</v>
      </c>
      <c r="H13" s="113">
        <f>'Detailed Summary'!AT13</f>
        <v>0</v>
      </c>
      <c r="I13" s="113">
        <f>'Detailed Summary'!AV13</f>
        <v>0</v>
      </c>
      <c r="J13" s="113">
        <f>'Detailed Summary'!AW13</f>
        <v>0</v>
      </c>
      <c r="K13" s="114">
        <f>'Detailed Summary'!AY13</f>
        <v>11</v>
      </c>
      <c r="L13" s="7" t="str">
        <f>'Detailed Summary'!AZ13</f>
        <v/>
      </c>
      <c r="M13" s="115" t="str">
        <f>'Detailed Summary'!BJ13</f>
        <v>Failed in 1 Subject</v>
      </c>
      <c r="N13" s="7" t="str">
        <f>'Detailed Summary'!BA13</f>
        <v/>
      </c>
      <c r="O13" s="7" t="str">
        <f t="shared" si="0"/>
        <v/>
      </c>
      <c r="P13" s="116" t="str">
        <f>'Detailed Summary'!BK13</f>
        <v/>
      </c>
    </row>
    <row r="14" spans="1:16" x14ac:dyDescent="0.35">
      <c r="A14" s="111">
        <f>'Student Basic Info'!A14</f>
        <v>713</v>
      </c>
      <c r="B14" s="112" t="str">
        <f>'Student Basic Info'!C14</f>
        <v>Zannatul Ferdaus Fariha</v>
      </c>
      <c r="C14" s="113">
        <f>'Detailed Summary'!AO14</f>
        <v>3</v>
      </c>
      <c r="D14" s="113">
        <f>'Detailed Summary'!AP14</f>
        <v>2</v>
      </c>
      <c r="E14" s="113">
        <f>'Detailed Summary'!AQ14</f>
        <v>3.5</v>
      </c>
      <c r="F14" s="113">
        <f>'Detailed Summary'!AR14</f>
        <v>3.5</v>
      </c>
      <c r="G14" s="113">
        <f>'Detailed Summary'!AS14</f>
        <v>3.5</v>
      </c>
      <c r="H14" s="113">
        <f>'Detailed Summary'!AT14</f>
        <v>2</v>
      </c>
      <c r="I14" s="113">
        <f>'Detailed Summary'!AV14</f>
        <v>0</v>
      </c>
      <c r="J14" s="113">
        <f>'Detailed Summary'!AW14</f>
        <v>0</v>
      </c>
      <c r="K14" s="114">
        <f>'Detailed Summary'!AY14</f>
        <v>17.5</v>
      </c>
      <c r="L14" s="7">
        <f>'Detailed Summary'!AZ14</f>
        <v>2.9166666666666665</v>
      </c>
      <c r="M14" s="115" t="str">
        <f>'Detailed Summary'!BJ14</f>
        <v>Pass</v>
      </c>
      <c r="N14" s="7">
        <f>'Detailed Summary'!BA14</f>
        <v>2.9166666666666665</v>
      </c>
      <c r="O14" s="7" t="str">
        <f t="shared" si="0"/>
        <v>C</v>
      </c>
      <c r="P14" s="116">
        <f>'Detailed Summary'!BK14</f>
        <v>8</v>
      </c>
    </row>
    <row r="15" spans="1:16" x14ac:dyDescent="0.35">
      <c r="A15" s="111">
        <f>'Student Basic Info'!A15</f>
        <v>714</v>
      </c>
      <c r="B15" s="112" t="str">
        <f>'Student Basic Info'!C15</f>
        <v>Khadijatul Kubra</v>
      </c>
      <c r="C15" s="113">
        <f>'Detailed Summary'!AO15</f>
        <v>3.5</v>
      </c>
      <c r="D15" s="113">
        <f>'Detailed Summary'!AP15</f>
        <v>2</v>
      </c>
      <c r="E15" s="113">
        <f>'Detailed Summary'!AQ15</f>
        <v>4</v>
      </c>
      <c r="F15" s="113">
        <f>'Detailed Summary'!AR15</f>
        <v>3</v>
      </c>
      <c r="G15" s="113">
        <f>'Detailed Summary'!AS15</f>
        <v>4</v>
      </c>
      <c r="H15" s="113">
        <f>'Detailed Summary'!AT15</f>
        <v>3</v>
      </c>
      <c r="I15" s="113">
        <f>'Detailed Summary'!AV15</f>
        <v>0</v>
      </c>
      <c r="J15" s="113">
        <f>'Detailed Summary'!AW15</f>
        <v>0</v>
      </c>
      <c r="K15" s="114">
        <f>'Detailed Summary'!AY15</f>
        <v>19.5</v>
      </c>
      <c r="L15" s="7">
        <f>'Detailed Summary'!AZ15</f>
        <v>3.25</v>
      </c>
      <c r="M15" s="115" t="str">
        <f>'Detailed Summary'!BJ15</f>
        <v>Pass</v>
      </c>
      <c r="N15" s="7">
        <f>'Detailed Summary'!BA15</f>
        <v>3.25</v>
      </c>
      <c r="O15" s="7" t="str">
        <f t="shared" si="0"/>
        <v>B</v>
      </c>
      <c r="P15" s="116">
        <f>'Detailed Summary'!BK15</f>
        <v>6</v>
      </c>
    </row>
    <row r="16" spans="1:16" x14ac:dyDescent="0.35">
      <c r="A16" s="111">
        <f>'Student Basic Info'!A16</f>
        <v>715</v>
      </c>
      <c r="B16" s="112" t="str">
        <f>'Student Basic Info'!C16</f>
        <v>Tanjila Islam</v>
      </c>
      <c r="C16" s="113">
        <f>'Detailed Summary'!AO16</f>
        <v>2</v>
      </c>
      <c r="D16" s="113">
        <f>'Detailed Summary'!AP16</f>
        <v>0</v>
      </c>
      <c r="E16" s="113">
        <f>'Detailed Summary'!AQ16</f>
        <v>0</v>
      </c>
      <c r="F16" s="113">
        <f>'Detailed Summary'!AR16</f>
        <v>3</v>
      </c>
      <c r="G16" s="113">
        <f>'Detailed Summary'!AS16</f>
        <v>3</v>
      </c>
      <c r="H16" s="113">
        <f>'Detailed Summary'!AT16</f>
        <v>0</v>
      </c>
      <c r="I16" s="113">
        <f>'Detailed Summary'!AV16</f>
        <v>0</v>
      </c>
      <c r="J16" s="113">
        <f>'Detailed Summary'!AW16</f>
        <v>0</v>
      </c>
      <c r="K16" s="114">
        <f>'Detailed Summary'!AY16</f>
        <v>8</v>
      </c>
      <c r="L16" s="7" t="str">
        <f>'Detailed Summary'!AZ16</f>
        <v/>
      </c>
      <c r="M16" s="115" t="str">
        <f>'Detailed Summary'!BJ16</f>
        <v>Failed in 3 Subjects</v>
      </c>
      <c r="N16" s="7" t="str">
        <f>'Detailed Summary'!BA16</f>
        <v/>
      </c>
      <c r="O16" s="7" t="str">
        <f t="shared" si="0"/>
        <v/>
      </c>
      <c r="P16" s="116" t="str">
        <f>'Detailed Summary'!BK16</f>
        <v/>
      </c>
    </row>
    <row r="17" spans="1:16" x14ac:dyDescent="0.35">
      <c r="A17" s="111">
        <f>'Student Basic Info'!A17</f>
        <v>716</v>
      </c>
      <c r="B17" s="112" t="str">
        <f>'Student Basic Info'!C17</f>
        <v>Nazmun Nahar Rikha</v>
      </c>
      <c r="C17" s="113">
        <f>'Detailed Summary'!AO17</f>
        <v>2</v>
      </c>
      <c r="D17" s="113">
        <f>'Detailed Summary'!AP17</f>
        <v>0</v>
      </c>
      <c r="E17" s="113">
        <f>'Detailed Summary'!AQ17</f>
        <v>0</v>
      </c>
      <c r="F17" s="113">
        <f>'Detailed Summary'!AR17</f>
        <v>3</v>
      </c>
      <c r="G17" s="113">
        <f>'Detailed Summary'!AS17</f>
        <v>3</v>
      </c>
      <c r="H17" s="113">
        <f>'Detailed Summary'!AT17</f>
        <v>0</v>
      </c>
      <c r="I17" s="113">
        <f>'Detailed Summary'!AV17</f>
        <v>0</v>
      </c>
      <c r="J17" s="113">
        <f>'Detailed Summary'!AW17</f>
        <v>0</v>
      </c>
      <c r="K17" s="114">
        <f>'Detailed Summary'!AY17</f>
        <v>8</v>
      </c>
      <c r="L17" s="7" t="str">
        <f>'Detailed Summary'!AZ17</f>
        <v/>
      </c>
      <c r="M17" s="115" t="str">
        <f>'Detailed Summary'!BJ17</f>
        <v>Failed in 3 Subjects</v>
      </c>
      <c r="N17" s="7" t="str">
        <f>'Detailed Summary'!BA17</f>
        <v/>
      </c>
      <c r="O17" s="7" t="str">
        <f t="shared" si="0"/>
        <v/>
      </c>
      <c r="P17" s="116" t="str">
        <f>'Detailed Summary'!BK17</f>
        <v/>
      </c>
    </row>
    <row r="18" spans="1:16" x14ac:dyDescent="0.35">
      <c r="A18" s="111">
        <f>'Student Basic Info'!A18</f>
        <v>717</v>
      </c>
      <c r="B18" s="112" t="str">
        <f>'Student Basic Info'!C18</f>
        <v xml:space="preserve">Umme Rojina </v>
      </c>
      <c r="C18" s="113">
        <f>'Detailed Summary'!AO18</f>
        <v>3</v>
      </c>
      <c r="D18" s="113">
        <f>'Detailed Summary'!AP18</f>
        <v>0</v>
      </c>
      <c r="E18" s="113">
        <f>'Detailed Summary'!AQ18</f>
        <v>0</v>
      </c>
      <c r="F18" s="113">
        <f>'Detailed Summary'!AR18</f>
        <v>3.5</v>
      </c>
      <c r="G18" s="113">
        <f>'Detailed Summary'!AS18</f>
        <v>2</v>
      </c>
      <c r="H18" s="113">
        <f>'Detailed Summary'!AT18</f>
        <v>0</v>
      </c>
      <c r="I18" s="113" t="str">
        <f>'Detailed Summary'!AV18</f>
        <v/>
      </c>
      <c r="J18" s="113" t="str">
        <f>'Detailed Summary'!AW18</f>
        <v/>
      </c>
      <c r="K18" s="114">
        <f>'Detailed Summary'!AY18</f>
        <v>8.5</v>
      </c>
      <c r="L18" s="7" t="str">
        <f>'Detailed Summary'!AZ18</f>
        <v/>
      </c>
      <c r="M18" s="115" t="str">
        <f>'Detailed Summary'!BJ18</f>
        <v>Failed in 3 Subjects</v>
      </c>
      <c r="N18" s="7" t="str">
        <f>'Detailed Summary'!BA18</f>
        <v/>
      </c>
      <c r="O18" s="7" t="str">
        <f t="shared" si="0"/>
        <v/>
      </c>
      <c r="P18" s="116" t="str">
        <f>'Detailed Summary'!BK18</f>
        <v/>
      </c>
    </row>
    <row r="19" spans="1:16" x14ac:dyDescent="0.35">
      <c r="A19" s="111">
        <f>'Student Basic Info'!A19</f>
        <v>718</v>
      </c>
      <c r="B19" s="112" t="str">
        <f>'Student Basic Info'!C19</f>
        <v>Zannatul Ferdaus</v>
      </c>
      <c r="C19" s="113" t="str">
        <f>'Detailed Summary'!AO19</f>
        <v/>
      </c>
      <c r="D19" s="113" t="str">
        <f>'Detailed Summary'!AP19</f>
        <v/>
      </c>
      <c r="E19" s="113" t="str">
        <f>'Detailed Summary'!AQ19</f>
        <v/>
      </c>
      <c r="F19" s="113" t="str">
        <f>'Detailed Summary'!AR19</f>
        <v/>
      </c>
      <c r="G19" s="113" t="str">
        <f>'Detailed Summary'!AS19</f>
        <v/>
      </c>
      <c r="H19" s="113" t="str">
        <f>'Detailed Summary'!AT19</f>
        <v/>
      </c>
      <c r="I19" s="113" t="str">
        <f>'Detailed Summary'!AV19</f>
        <v/>
      </c>
      <c r="J19" s="113" t="str">
        <f>'Detailed Summary'!AW19</f>
        <v/>
      </c>
      <c r="K19" s="114" t="str">
        <f>'Detailed Summary'!AY19</f>
        <v/>
      </c>
      <c r="L19" s="7" t="str">
        <f>'Detailed Summary'!AZ19</f>
        <v/>
      </c>
      <c r="M19" s="115" t="str">
        <f>'Detailed Summary'!BJ19</f>
        <v>Failed in 6 Subjects</v>
      </c>
      <c r="N19" s="7" t="str">
        <f>'Detailed Summary'!BA19</f>
        <v/>
      </c>
      <c r="O19" s="7" t="str">
        <f t="shared" si="0"/>
        <v/>
      </c>
      <c r="P19" s="116" t="str">
        <f>'Detailed Summary'!BK19</f>
        <v/>
      </c>
    </row>
    <row r="20" spans="1:16" x14ac:dyDescent="0.35">
      <c r="A20" s="111">
        <f>'Student Basic Info'!A20</f>
        <v>719</v>
      </c>
      <c r="B20" s="112" t="str">
        <f>'Student Basic Info'!C20</f>
        <v>Shazeda Amin Shuchi</v>
      </c>
      <c r="C20" s="113">
        <f>'Detailed Summary'!AO20</f>
        <v>3</v>
      </c>
      <c r="D20" s="113">
        <f>'Detailed Summary'!AP20</f>
        <v>0</v>
      </c>
      <c r="E20" s="113">
        <f>'Detailed Summary'!AQ20</f>
        <v>0</v>
      </c>
      <c r="F20" s="113">
        <f>'Detailed Summary'!AR20</f>
        <v>3.5</v>
      </c>
      <c r="G20" s="113">
        <f>'Detailed Summary'!AS20</f>
        <v>3</v>
      </c>
      <c r="H20" s="113">
        <f>'Detailed Summary'!AT20</f>
        <v>0</v>
      </c>
      <c r="I20" s="113">
        <f>'Detailed Summary'!AV20</f>
        <v>0</v>
      </c>
      <c r="J20" s="113">
        <f>'Detailed Summary'!AW20</f>
        <v>0</v>
      </c>
      <c r="K20" s="114">
        <f>'Detailed Summary'!AY20</f>
        <v>9.5</v>
      </c>
      <c r="L20" s="7" t="str">
        <f>'Detailed Summary'!AZ20</f>
        <v/>
      </c>
      <c r="M20" s="115" t="str">
        <f>'Detailed Summary'!BJ20</f>
        <v>Failed in 3 Subjects</v>
      </c>
      <c r="N20" s="7" t="str">
        <f>'Detailed Summary'!BA20</f>
        <v/>
      </c>
      <c r="O20" s="7" t="str">
        <f t="shared" si="0"/>
        <v/>
      </c>
      <c r="P20" s="116" t="str">
        <f>'Detailed Summary'!BK20</f>
        <v/>
      </c>
    </row>
    <row r="21" spans="1:16" x14ac:dyDescent="0.35">
      <c r="A21" s="111">
        <f>'Student Basic Info'!A21</f>
        <v>720</v>
      </c>
      <c r="B21" s="112" t="str">
        <f>'Student Basic Info'!C21</f>
        <v>Farzana Aktar</v>
      </c>
      <c r="C21" s="113">
        <f>'Detailed Summary'!AO21</f>
        <v>3</v>
      </c>
      <c r="D21" s="113">
        <f>'Detailed Summary'!AP21</f>
        <v>0</v>
      </c>
      <c r="E21" s="113">
        <f>'Detailed Summary'!AQ21</f>
        <v>0</v>
      </c>
      <c r="F21" s="113">
        <f>'Detailed Summary'!AR21</f>
        <v>3</v>
      </c>
      <c r="G21" s="113">
        <f>'Detailed Summary'!AS21</f>
        <v>0</v>
      </c>
      <c r="H21" s="113">
        <f>'Detailed Summary'!AT21</f>
        <v>0</v>
      </c>
      <c r="I21" s="113">
        <f>'Detailed Summary'!AV21</f>
        <v>0</v>
      </c>
      <c r="J21" s="113">
        <f>'Detailed Summary'!AW21</f>
        <v>0</v>
      </c>
      <c r="K21" s="114">
        <f>'Detailed Summary'!AY21</f>
        <v>6</v>
      </c>
      <c r="L21" s="7" t="str">
        <f>'Detailed Summary'!AZ21</f>
        <v/>
      </c>
      <c r="M21" s="115" t="str">
        <f>'Detailed Summary'!BJ21</f>
        <v>Failed in 4 Subjects</v>
      </c>
      <c r="N21" s="7" t="str">
        <f>'Detailed Summary'!BA21</f>
        <v/>
      </c>
      <c r="O21" s="7" t="str">
        <f t="shared" si="0"/>
        <v/>
      </c>
      <c r="P21" s="116" t="str">
        <f>'Detailed Summary'!BK21</f>
        <v/>
      </c>
    </row>
    <row r="22" spans="1:16" x14ac:dyDescent="0.35">
      <c r="A22" s="111">
        <f>'Student Basic Info'!A22</f>
        <v>721</v>
      </c>
      <c r="B22" s="112" t="str">
        <f>'Student Basic Info'!C22</f>
        <v>Nowrin Faiza Niduwa</v>
      </c>
      <c r="C22" s="113" t="str">
        <f>'Detailed Summary'!AO22</f>
        <v/>
      </c>
      <c r="D22" s="113" t="str">
        <f>'Detailed Summary'!AP22</f>
        <v/>
      </c>
      <c r="E22" s="113" t="str">
        <f>'Detailed Summary'!AQ22</f>
        <v/>
      </c>
      <c r="F22" s="113" t="str">
        <f>'Detailed Summary'!AR22</f>
        <v/>
      </c>
      <c r="G22" s="113" t="str">
        <f>'Detailed Summary'!AS22</f>
        <v/>
      </c>
      <c r="H22" s="113" t="str">
        <f>'Detailed Summary'!AT22</f>
        <v/>
      </c>
      <c r="I22" s="113" t="str">
        <f>'Detailed Summary'!AV22</f>
        <v/>
      </c>
      <c r="J22" s="113" t="str">
        <f>'Detailed Summary'!AW22</f>
        <v/>
      </c>
      <c r="K22" s="114" t="str">
        <f>'Detailed Summary'!AY22</f>
        <v/>
      </c>
      <c r="L22" s="7" t="str">
        <f>'Detailed Summary'!AZ22</f>
        <v/>
      </c>
      <c r="M22" s="115" t="str">
        <f>'Detailed Summary'!BJ22</f>
        <v>Failed in 6 Subjects</v>
      </c>
      <c r="N22" s="7" t="str">
        <f>'Detailed Summary'!BA22</f>
        <v/>
      </c>
      <c r="O22" s="7" t="str">
        <f t="shared" si="0"/>
        <v/>
      </c>
      <c r="P22" s="116" t="str">
        <f>'Detailed Summary'!BK22</f>
        <v/>
      </c>
    </row>
    <row r="23" spans="1:16" x14ac:dyDescent="0.35">
      <c r="A23" s="111">
        <f>'Student Basic Info'!A23</f>
        <v>722</v>
      </c>
      <c r="B23" s="112" t="str">
        <f>'Student Basic Info'!C23</f>
        <v>Mahmudau Rahman Munna</v>
      </c>
      <c r="C23" s="113">
        <f>'Detailed Summary'!AO23</f>
        <v>3</v>
      </c>
      <c r="D23" s="113">
        <f>'Detailed Summary'!AP23</f>
        <v>2</v>
      </c>
      <c r="E23" s="113">
        <f>'Detailed Summary'!AQ23</f>
        <v>0</v>
      </c>
      <c r="F23" s="113">
        <f>'Detailed Summary'!AR23</f>
        <v>0</v>
      </c>
      <c r="G23" s="113">
        <f>'Detailed Summary'!AS23</f>
        <v>0</v>
      </c>
      <c r="H23" s="113">
        <f>'Detailed Summary'!AT23</f>
        <v>0</v>
      </c>
      <c r="I23" s="113">
        <f>'Detailed Summary'!AV23</f>
        <v>0</v>
      </c>
      <c r="J23" s="113">
        <f>'Detailed Summary'!AW23</f>
        <v>0</v>
      </c>
      <c r="K23" s="114">
        <f>'Detailed Summary'!AY23</f>
        <v>5</v>
      </c>
      <c r="L23" s="7" t="str">
        <f>'Detailed Summary'!AZ23</f>
        <v/>
      </c>
      <c r="M23" s="115" t="str">
        <f>'Detailed Summary'!BJ23</f>
        <v>Failed in 4 Subjects</v>
      </c>
      <c r="N23" s="7" t="str">
        <f>'Detailed Summary'!BA23</f>
        <v/>
      </c>
      <c r="O23" s="7" t="str">
        <f t="shared" si="0"/>
        <v/>
      </c>
      <c r="P23" s="116" t="str">
        <f>'Detailed Summary'!BK23</f>
        <v/>
      </c>
    </row>
    <row r="24" spans="1:16" x14ac:dyDescent="0.35">
      <c r="A24" s="111">
        <f>'Student Basic Info'!A24</f>
        <v>723</v>
      </c>
      <c r="B24" s="112" t="str">
        <f>'Student Basic Info'!C24</f>
        <v>Shamsuzzaman</v>
      </c>
      <c r="C24" s="113">
        <f>'Detailed Summary'!AO24</f>
        <v>4</v>
      </c>
      <c r="D24" s="113">
        <f>'Detailed Summary'!AP24</f>
        <v>3.5</v>
      </c>
      <c r="E24" s="113">
        <f>'Detailed Summary'!AQ24</f>
        <v>5</v>
      </c>
      <c r="F24" s="113">
        <f>'Detailed Summary'!AR24</f>
        <v>5</v>
      </c>
      <c r="G24" s="113">
        <f>'Detailed Summary'!AS24</f>
        <v>5</v>
      </c>
      <c r="H24" s="113">
        <f>'Detailed Summary'!AT24</f>
        <v>4</v>
      </c>
      <c r="I24" s="113">
        <f>'Detailed Summary'!AV24</f>
        <v>5</v>
      </c>
      <c r="J24" s="113">
        <f>'Detailed Summary'!AW24</f>
        <v>3</v>
      </c>
      <c r="K24" s="114">
        <f>'Detailed Summary'!AY24</f>
        <v>29.5</v>
      </c>
      <c r="L24" s="7">
        <f>'Detailed Summary'!AZ24</f>
        <v>4.416666666666667</v>
      </c>
      <c r="M24" s="115" t="str">
        <f>'Detailed Summary'!BJ24</f>
        <v>Pass</v>
      </c>
      <c r="N24" s="7">
        <f>'Detailed Summary'!BA24</f>
        <v>4.916666666666667</v>
      </c>
      <c r="O24" s="7" t="str">
        <f t="shared" si="0"/>
        <v>A</v>
      </c>
      <c r="P24" s="116">
        <f>'Detailed Summary'!BK24</f>
        <v>1</v>
      </c>
    </row>
    <row r="25" spans="1:16" x14ac:dyDescent="0.35">
      <c r="A25" s="111">
        <f>'Student Basic Info'!A25</f>
        <v>724</v>
      </c>
      <c r="B25" s="112" t="str">
        <f>'Student Basic Info'!C25</f>
        <v>Dipto Chandra Das</v>
      </c>
      <c r="C25" s="113">
        <f>'Detailed Summary'!AO25</f>
        <v>2</v>
      </c>
      <c r="D25" s="113">
        <f>'Detailed Summary'!AP25</f>
        <v>1</v>
      </c>
      <c r="E25" s="113">
        <f>'Detailed Summary'!AQ25</f>
        <v>0</v>
      </c>
      <c r="F25" s="113">
        <f>'Detailed Summary'!AR25</f>
        <v>2</v>
      </c>
      <c r="G25" s="113">
        <f>'Detailed Summary'!AS25</f>
        <v>3</v>
      </c>
      <c r="H25" s="113">
        <f>'Detailed Summary'!AT25</f>
        <v>0</v>
      </c>
      <c r="I25" s="113">
        <f>'Detailed Summary'!AV25</f>
        <v>0</v>
      </c>
      <c r="J25" s="113">
        <f>'Detailed Summary'!AW25</f>
        <v>0</v>
      </c>
      <c r="K25" s="114">
        <f>'Detailed Summary'!AY25</f>
        <v>8</v>
      </c>
      <c r="L25" s="7" t="str">
        <f>'Detailed Summary'!AZ25</f>
        <v/>
      </c>
      <c r="M25" s="115" t="str">
        <f>'Detailed Summary'!BJ25</f>
        <v>Failed in 2 Subjects</v>
      </c>
      <c r="N25" s="7" t="str">
        <f>'Detailed Summary'!BA25</f>
        <v/>
      </c>
      <c r="O25" s="7" t="str">
        <f t="shared" si="0"/>
        <v/>
      </c>
      <c r="P25" s="116" t="str">
        <f>'Detailed Summary'!BK25</f>
        <v/>
      </c>
    </row>
    <row r="26" spans="1:16" x14ac:dyDescent="0.35">
      <c r="A26" s="111">
        <f>'Student Basic Info'!A26</f>
        <v>725</v>
      </c>
      <c r="B26" s="112" t="str">
        <f>'Student Basic Info'!C26</f>
        <v>Shorfuddin Nayem</v>
      </c>
      <c r="C26" s="113">
        <f>'Detailed Summary'!AO26</f>
        <v>2</v>
      </c>
      <c r="D26" s="113">
        <f>'Detailed Summary'!AP26</f>
        <v>1</v>
      </c>
      <c r="E26" s="113">
        <f>'Detailed Summary'!AQ26</f>
        <v>0</v>
      </c>
      <c r="F26" s="113">
        <f>'Detailed Summary'!AR26</f>
        <v>2</v>
      </c>
      <c r="G26" s="113">
        <f>'Detailed Summary'!AS26</f>
        <v>0</v>
      </c>
      <c r="H26" s="113">
        <f>'Detailed Summary'!AT26</f>
        <v>0</v>
      </c>
      <c r="I26" s="113">
        <f>'Detailed Summary'!AV26</f>
        <v>0</v>
      </c>
      <c r="J26" s="113">
        <f>'Detailed Summary'!AW26</f>
        <v>0</v>
      </c>
      <c r="K26" s="114">
        <f>'Detailed Summary'!AY26</f>
        <v>5</v>
      </c>
      <c r="L26" s="7" t="str">
        <f>'Detailed Summary'!AZ26</f>
        <v/>
      </c>
      <c r="M26" s="115" t="str">
        <f>'Detailed Summary'!BJ26</f>
        <v>Failed in 3 Subjects</v>
      </c>
      <c r="N26" s="7" t="str">
        <f>'Detailed Summary'!BA26</f>
        <v/>
      </c>
      <c r="O26" s="7" t="str">
        <f t="shared" si="0"/>
        <v/>
      </c>
      <c r="P26" s="116" t="str">
        <f>'Detailed Summary'!BK26</f>
        <v/>
      </c>
    </row>
    <row r="27" spans="1:16" x14ac:dyDescent="0.35">
      <c r="A27" s="111">
        <f>'Student Basic Info'!A27</f>
        <v>726</v>
      </c>
      <c r="B27" s="112" t="str">
        <f>'Student Basic Info'!C27</f>
        <v>Mosaddek Ali</v>
      </c>
      <c r="C27" s="113" t="str">
        <f>'Detailed Summary'!AO27</f>
        <v/>
      </c>
      <c r="D27" s="113" t="str">
        <f>'Detailed Summary'!AP27</f>
        <v/>
      </c>
      <c r="E27" s="113" t="str">
        <f>'Detailed Summary'!AQ27</f>
        <v/>
      </c>
      <c r="F27" s="113" t="str">
        <f>'Detailed Summary'!AR27</f>
        <v/>
      </c>
      <c r="G27" s="113" t="str">
        <f>'Detailed Summary'!AS27</f>
        <v/>
      </c>
      <c r="H27" s="113" t="str">
        <f>'Detailed Summary'!AT27</f>
        <v/>
      </c>
      <c r="I27" s="113" t="str">
        <f>'Detailed Summary'!AV27</f>
        <v/>
      </c>
      <c r="J27" s="113" t="str">
        <f>'Detailed Summary'!AW27</f>
        <v/>
      </c>
      <c r="K27" s="114" t="str">
        <f>'Detailed Summary'!AY27</f>
        <v/>
      </c>
      <c r="L27" s="7" t="str">
        <f>'Detailed Summary'!AZ27</f>
        <v/>
      </c>
      <c r="M27" s="115" t="str">
        <f>'Detailed Summary'!BJ27</f>
        <v>Failed in 6 Subjects</v>
      </c>
      <c r="N27" s="7" t="str">
        <f>'Detailed Summary'!BA27</f>
        <v/>
      </c>
      <c r="O27" s="7" t="str">
        <f t="shared" si="0"/>
        <v/>
      </c>
      <c r="P27" s="116" t="str">
        <f>'Detailed Summary'!BK27</f>
        <v/>
      </c>
    </row>
    <row r="28" spans="1:16" x14ac:dyDescent="0.35">
      <c r="A28" s="111">
        <f>'Student Basic Info'!A28</f>
        <v>727</v>
      </c>
      <c r="B28" s="112" t="str">
        <f>'Student Basic Info'!C28</f>
        <v>Fahmida Sultana</v>
      </c>
      <c r="C28" s="113">
        <f>'Detailed Summary'!AO28</f>
        <v>3.5</v>
      </c>
      <c r="D28" s="113">
        <f>'Detailed Summary'!AP28</f>
        <v>1</v>
      </c>
      <c r="E28" s="113">
        <f>'Detailed Summary'!AQ28</f>
        <v>5</v>
      </c>
      <c r="F28" s="113">
        <f>'Detailed Summary'!AR28</f>
        <v>3.5</v>
      </c>
      <c r="G28" s="113">
        <f>'Detailed Summary'!AS28</f>
        <v>2</v>
      </c>
      <c r="H28" s="113">
        <f>'Detailed Summary'!AT28</f>
        <v>2</v>
      </c>
      <c r="I28" s="113">
        <f>'Detailed Summary'!AV28</f>
        <v>0</v>
      </c>
      <c r="J28" s="113">
        <f>'Detailed Summary'!AW28</f>
        <v>0</v>
      </c>
      <c r="K28" s="114">
        <f>'Detailed Summary'!AY28</f>
        <v>17</v>
      </c>
      <c r="L28" s="7">
        <f>'Detailed Summary'!AZ28</f>
        <v>2.8333333333333335</v>
      </c>
      <c r="M28" s="115" t="str">
        <f>'Detailed Summary'!BJ28</f>
        <v>Pass</v>
      </c>
      <c r="N28" s="7">
        <f>'Detailed Summary'!BA28</f>
        <v>2.8333333333333335</v>
      </c>
      <c r="O28" s="7" t="str">
        <f t="shared" si="0"/>
        <v>C</v>
      </c>
      <c r="P28" s="116">
        <f>'Detailed Summary'!BK28</f>
        <v>9</v>
      </c>
    </row>
    <row r="29" spans="1:16" x14ac:dyDescent="0.35">
      <c r="A29" s="111">
        <f>'Student Basic Info'!A29</f>
        <v>728</v>
      </c>
      <c r="B29" s="112" t="str">
        <f>'Student Basic Info'!C29</f>
        <v>Aditya Chandra Das (Akash)</v>
      </c>
      <c r="C29" s="113">
        <f>'Detailed Summary'!AO29</f>
        <v>2</v>
      </c>
      <c r="D29" s="113">
        <f>'Detailed Summary'!AP29</f>
        <v>0</v>
      </c>
      <c r="E29" s="113">
        <f>'Detailed Summary'!AQ29</f>
        <v>0</v>
      </c>
      <c r="F29" s="113">
        <f>'Detailed Summary'!AR29</f>
        <v>2</v>
      </c>
      <c r="G29" s="113">
        <f>'Detailed Summary'!AS29</f>
        <v>3</v>
      </c>
      <c r="H29" s="113">
        <f>'Detailed Summary'!AT29</f>
        <v>0</v>
      </c>
      <c r="I29" s="113">
        <f>'Detailed Summary'!AV29</f>
        <v>0</v>
      </c>
      <c r="J29" s="113">
        <f>'Detailed Summary'!AW29</f>
        <v>0</v>
      </c>
      <c r="K29" s="114">
        <f>'Detailed Summary'!AY29</f>
        <v>7</v>
      </c>
      <c r="L29" s="7" t="str">
        <f>'Detailed Summary'!AZ29</f>
        <v/>
      </c>
      <c r="M29" s="115" t="str">
        <f>'Detailed Summary'!BJ29</f>
        <v>Failed in 3 Subjects</v>
      </c>
      <c r="N29" s="7" t="str">
        <f>'Detailed Summary'!BA29</f>
        <v/>
      </c>
      <c r="O29" s="7" t="str">
        <f t="shared" si="0"/>
        <v/>
      </c>
      <c r="P29" s="116" t="str">
        <f>'Detailed Summary'!BK29</f>
        <v/>
      </c>
    </row>
    <row r="30" spans="1:16" x14ac:dyDescent="0.35">
      <c r="A30" s="111">
        <f>'Student Basic Info'!A30</f>
        <v>729</v>
      </c>
      <c r="B30" s="112" t="str">
        <f>'Student Basic Info'!C30</f>
        <v>Golam Kibriya</v>
      </c>
      <c r="C30" s="113">
        <f>'Detailed Summary'!AO30</f>
        <v>1</v>
      </c>
      <c r="D30" s="113">
        <f>'Detailed Summary'!AP30</f>
        <v>0</v>
      </c>
      <c r="E30" s="113">
        <f>'Detailed Summary'!AQ30</f>
        <v>0</v>
      </c>
      <c r="F30" s="113">
        <f>'Detailed Summary'!AR30</f>
        <v>0</v>
      </c>
      <c r="G30" s="113">
        <f>'Detailed Summary'!AS30</f>
        <v>0</v>
      </c>
      <c r="H30" s="113">
        <f>'Detailed Summary'!AT30</f>
        <v>0</v>
      </c>
      <c r="I30" s="113">
        <f>'Detailed Summary'!AV30</f>
        <v>0</v>
      </c>
      <c r="J30" s="113">
        <f>'Detailed Summary'!AW30</f>
        <v>0</v>
      </c>
      <c r="K30" s="114">
        <f>'Detailed Summary'!AY30</f>
        <v>1</v>
      </c>
      <c r="L30" s="7" t="str">
        <f>'Detailed Summary'!AZ30</f>
        <v/>
      </c>
      <c r="M30" s="115" t="str">
        <f>'Detailed Summary'!BJ30</f>
        <v>Failed in 5 Subjects</v>
      </c>
      <c r="N30" s="7" t="str">
        <f>'Detailed Summary'!BA30</f>
        <v/>
      </c>
      <c r="O30" s="7" t="str">
        <f t="shared" si="0"/>
        <v/>
      </c>
      <c r="P30" s="116" t="str">
        <f>'Detailed Summary'!BK30</f>
        <v/>
      </c>
    </row>
    <row r="31" spans="1:16" x14ac:dyDescent="0.35">
      <c r="A31" s="111">
        <f>'Student Basic Info'!A31</f>
        <v>730</v>
      </c>
      <c r="B31" s="112" t="str">
        <f>'Student Basic Info'!C31</f>
        <v>Fahmidul Alam Abhi</v>
      </c>
      <c r="C31" s="113">
        <f>'Detailed Summary'!AO31</f>
        <v>1</v>
      </c>
      <c r="D31" s="113">
        <f>'Detailed Summary'!AP31</f>
        <v>0</v>
      </c>
      <c r="E31" s="113">
        <f>'Detailed Summary'!AQ31</f>
        <v>0</v>
      </c>
      <c r="F31" s="113">
        <f>'Detailed Summary'!AR31</f>
        <v>0</v>
      </c>
      <c r="G31" s="113">
        <f>'Detailed Summary'!AS31</f>
        <v>0</v>
      </c>
      <c r="H31" s="113">
        <f>'Detailed Summary'!AT31</f>
        <v>0</v>
      </c>
      <c r="I31" s="113">
        <f>'Detailed Summary'!AV31</f>
        <v>0</v>
      </c>
      <c r="J31" s="113">
        <f>'Detailed Summary'!AW31</f>
        <v>0</v>
      </c>
      <c r="K31" s="114">
        <f>'Detailed Summary'!AY31</f>
        <v>1</v>
      </c>
      <c r="L31" s="7" t="str">
        <f>'Detailed Summary'!AZ31</f>
        <v/>
      </c>
      <c r="M31" s="115" t="str">
        <f>'Detailed Summary'!BJ31</f>
        <v>Failed in 5 Subjects</v>
      </c>
      <c r="N31" s="7" t="str">
        <f>'Detailed Summary'!BA31</f>
        <v/>
      </c>
      <c r="O31" s="7" t="str">
        <f t="shared" si="0"/>
        <v/>
      </c>
      <c r="P31" s="116" t="str">
        <f>'Detailed Summary'!BK31</f>
        <v/>
      </c>
    </row>
    <row r="32" spans="1:16" x14ac:dyDescent="0.35">
      <c r="A32" s="111">
        <f>'Student Basic Info'!A32</f>
        <v>731</v>
      </c>
      <c r="B32" s="112" t="str">
        <f>'Student Basic Info'!C32</f>
        <v>Lurpur Nahar</v>
      </c>
      <c r="C32" s="113">
        <f>'Detailed Summary'!AO32</f>
        <v>3</v>
      </c>
      <c r="D32" s="113">
        <f>'Detailed Summary'!AP32</f>
        <v>0</v>
      </c>
      <c r="E32" s="113">
        <f>'Detailed Summary'!AQ32</f>
        <v>0</v>
      </c>
      <c r="F32" s="113">
        <f>'Detailed Summary'!AR32</f>
        <v>3</v>
      </c>
      <c r="G32" s="113">
        <f>'Detailed Summary'!AS32</f>
        <v>0</v>
      </c>
      <c r="H32" s="113">
        <f>'Detailed Summary'!AT32</f>
        <v>0</v>
      </c>
      <c r="I32" s="113">
        <f>'Detailed Summary'!AV32</f>
        <v>0</v>
      </c>
      <c r="J32" s="113">
        <f>'Detailed Summary'!AW32</f>
        <v>0</v>
      </c>
      <c r="K32" s="114">
        <f>'Detailed Summary'!AY32</f>
        <v>6</v>
      </c>
      <c r="L32" s="7" t="str">
        <f>'Detailed Summary'!AZ32</f>
        <v/>
      </c>
      <c r="M32" s="115" t="str">
        <f>'Detailed Summary'!BJ32</f>
        <v>Failed in 4 Subjects</v>
      </c>
      <c r="N32" s="7" t="str">
        <f>'Detailed Summary'!BA32</f>
        <v/>
      </c>
      <c r="O32" s="7" t="str">
        <f t="shared" si="0"/>
        <v/>
      </c>
      <c r="P32" s="116" t="str">
        <f>'Detailed Summary'!BK32</f>
        <v/>
      </c>
    </row>
    <row r="33" spans="1:16" x14ac:dyDescent="0.35">
      <c r="A33" s="111">
        <f>'Student Basic Info'!A33</f>
        <v>732</v>
      </c>
      <c r="B33" s="112" t="str">
        <f>'Student Basic Info'!C33</f>
        <v>Shezanul Bahar Alvi</v>
      </c>
      <c r="C33" s="113">
        <f>'Detailed Summary'!AO33</f>
        <v>1</v>
      </c>
      <c r="D33" s="113">
        <f>'Detailed Summary'!AP33</f>
        <v>0</v>
      </c>
      <c r="E33" s="113">
        <f>'Detailed Summary'!AQ33</f>
        <v>0</v>
      </c>
      <c r="F33" s="113" t="str">
        <f>'Detailed Summary'!AR33</f>
        <v/>
      </c>
      <c r="G33" s="113">
        <f>'Detailed Summary'!AS33</f>
        <v>1</v>
      </c>
      <c r="H33" s="113">
        <f>'Detailed Summary'!AT33</f>
        <v>0</v>
      </c>
      <c r="I33" s="113">
        <f>'Detailed Summary'!AV33</f>
        <v>0</v>
      </c>
      <c r="J33" s="113">
        <f>'Detailed Summary'!AW33</f>
        <v>0</v>
      </c>
      <c r="K33" s="114">
        <f>'Detailed Summary'!AY33</f>
        <v>2</v>
      </c>
      <c r="L33" s="7" t="str">
        <f>'Detailed Summary'!AZ33</f>
        <v/>
      </c>
      <c r="M33" s="115" t="str">
        <f>'Detailed Summary'!BJ33</f>
        <v>Failed in 4 Subjects</v>
      </c>
      <c r="N33" s="7" t="str">
        <f>'Detailed Summary'!BA33</f>
        <v/>
      </c>
      <c r="O33" s="7" t="str">
        <f t="shared" si="0"/>
        <v/>
      </c>
      <c r="P33" s="116" t="str">
        <f>'Detailed Summary'!BK33</f>
        <v/>
      </c>
    </row>
    <row r="34" spans="1:16" x14ac:dyDescent="0.35">
      <c r="A34" s="111">
        <f>'Student Basic Info'!A34</f>
        <v>733</v>
      </c>
      <c r="B34" s="112" t="str">
        <f>'Student Basic Info'!C34</f>
        <v>Shadiya Bahar</v>
      </c>
      <c r="C34" s="113">
        <f>'Detailed Summary'!AO34</f>
        <v>2</v>
      </c>
      <c r="D34" s="113">
        <f>'Detailed Summary'!AP34</f>
        <v>1</v>
      </c>
      <c r="E34" s="113">
        <f>'Detailed Summary'!AQ34</f>
        <v>0</v>
      </c>
      <c r="F34" s="113">
        <f>'Detailed Summary'!AR34</f>
        <v>0</v>
      </c>
      <c r="G34" s="113">
        <f>'Detailed Summary'!AS34</f>
        <v>0</v>
      </c>
      <c r="H34" s="113">
        <f>'Detailed Summary'!AT34</f>
        <v>0</v>
      </c>
      <c r="I34" s="113">
        <f>'Detailed Summary'!AV34</f>
        <v>0</v>
      </c>
      <c r="J34" s="113">
        <f>'Detailed Summary'!AW34</f>
        <v>0</v>
      </c>
      <c r="K34" s="114">
        <f>'Detailed Summary'!AY34</f>
        <v>3</v>
      </c>
      <c r="L34" s="7" t="str">
        <f>'Detailed Summary'!AZ34</f>
        <v/>
      </c>
      <c r="M34" s="115" t="str">
        <f>'Detailed Summary'!BJ34</f>
        <v>Failed in 4 Subjects</v>
      </c>
      <c r="N34" s="7" t="str">
        <f>'Detailed Summary'!BA34</f>
        <v/>
      </c>
      <c r="O34" s="7" t="str">
        <f t="shared" ref="O34:O65" si="1">IF(N34&gt;=5,"",IF(N34&gt;=4,"A",IF(N34&gt;=3.5,"A-",IF(N34&gt;=3,"B",IF(N34&gt;=2,"C",IF(N34&gt;=1,"D","F"))))))</f>
        <v/>
      </c>
      <c r="P34" s="116" t="str">
        <f>'Detailed Summary'!BK34</f>
        <v/>
      </c>
    </row>
    <row r="35" spans="1:16" x14ac:dyDescent="0.35">
      <c r="A35" s="111">
        <f>'Student Basic Info'!A35</f>
        <v>734</v>
      </c>
      <c r="B35" s="112" t="str">
        <f>'Student Basic Info'!C35</f>
        <v>Shayed Hasan</v>
      </c>
      <c r="C35" s="113">
        <f>'Detailed Summary'!AO35</f>
        <v>3</v>
      </c>
      <c r="D35" s="113">
        <f>'Detailed Summary'!AP35</f>
        <v>1</v>
      </c>
      <c r="E35" s="113">
        <f>'Detailed Summary'!AQ35</f>
        <v>0</v>
      </c>
      <c r="F35" s="113">
        <f>'Detailed Summary'!AR35</f>
        <v>3</v>
      </c>
      <c r="G35" s="113">
        <f>'Detailed Summary'!AS35</f>
        <v>1</v>
      </c>
      <c r="H35" s="113">
        <f>'Detailed Summary'!AT35</f>
        <v>0</v>
      </c>
      <c r="I35" s="113">
        <f>'Detailed Summary'!AV35</f>
        <v>0</v>
      </c>
      <c r="J35" s="113">
        <f>'Detailed Summary'!AW35</f>
        <v>0</v>
      </c>
      <c r="K35" s="114">
        <f>'Detailed Summary'!AY35</f>
        <v>8</v>
      </c>
      <c r="L35" s="7" t="str">
        <f>'Detailed Summary'!AZ35</f>
        <v/>
      </c>
      <c r="M35" s="115" t="str">
        <f>'Detailed Summary'!BJ35</f>
        <v>Failed in 2 Subjects</v>
      </c>
      <c r="N35" s="7" t="str">
        <f>'Detailed Summary'!BA35</f>
        <v/>
      </c>
      <c r="O35" s="7" t="str">
        <f t="shared" si="1"/>
        <v/>
      </c>
      <c r="P35" s="116" t="str">
        <f>'Detailed Summary'!BK35</f>
        <v/>
      </c>
    </row>
    <row r="36" spans="1:16" x14ac:dyDescent="0.35">
      <c r="A36" s="111">
        <f>'Student Basic Info'!A36</f>
        <v>735</v>
      </c>
      <c r="B36" s="112" t="str">
        <f>'Student Basic Info'!C36</f>
        <v>Sumaiya Zahan Tarin</v>
      </c>
      <c r="C36" s="113">
        <f>'Detailed Summary'!AO36</f>
        <v>3</v>
      </c>
      <c r="D36" s="113">
        <f>'Detailed Summary'!AP36</f>
        <v>2</v>
      </c>
      <c r="E36" s="113">
        <f>'Detailed Summary'!AQ36</f>
        <v>0</v>
      </c>
      <c r="F36" s="113">
        <f>'Detailed Summary'!AR36</f>
        <v>0</v>
      </c>
      <c r="G36" s="113" t="str">
        <f>'Detailed Summary'!AS36</f>
        <v/>
      </c>
      <c r="H36" s="113">
        <f>'Detailed Summary'!AT36</f>
        <v>0</v>
      </c>
      <c r="I36" s="113">
        <f>'Detailed Summary'!AV36</f>
        <v>0</v>
      </c>
      <c r="J36" s="113">
        <f>'Detailed Summary'!AW36</f>
        <v>0</v>
      </c>
      <c r="K36" s="114">
        <f>'Detailed Summary'!AY36</f>
        <v>5</v>
      </c>
      <c r="L36" s="7" t="str">
        <f>'Detailed Summary'!AZ36</f>
        <v/>
      </c>
      <c r="M36" s="115" t="str">
        <f>'Detailed Summary'!BJ36</f>
        <v>Failed in 4 Subjects</v>
      </c>
      <c r="N36" s="7" t="str">
        <f>'Detailed Summary'!BA36</f>
        <v/>
      </c>
      <c r="O36" s="7" t="str">
        <f t="shared" si="1"/>
        <v/>
      </c>
      <c r="P36" s="116" t="str">
        <f>'Detailed Summary'!BK36</f>
        <v/>
      </c>
    </row>
    <row r="37" spans="1:16" x14ac:dyDescent="0.35">
      <c r="A37" s="111">
        <f>'Student Basic Info'!A37</f>
        <v>736</v>
      </c>
      <c r="B37" s="112" t="str">
        <f>'Student Basic Info'!C37</f>
        <v>Nur Islam</v>
      </c>
      <c r="C37" s="113">
        <f>'Detailed Summary'!AO37</f>
        <v>2</v>
      </c>
      <c r="D37" s="113">
        <f>'Detailed Summary'!AP37</f>
        <v>0</v>
      </c>
      <c r="E37" s="113">
        <f>'Detailed Summary'!AQ37</f>
        <v>0</v>
      </c>
      <c r="F37" s="113">
        <f>'Detailed Summary'!AR37</f>
        <v>3</v>
      </c>
      <c r="G37" s="113">
        <f>'Detailed Summary'!AS37</f>
        <v>0</v>
      </c>
      <c r="H37" s="113">
        <f>'Detailed Summary'!AT37</f>
        <v>0</v>
      </c>
      <c r="I37" s="113" t="str">
        <f>'Detailed Summary'!AV37</f>
        <v/>
      </c>
      <c r="J37" s="113" t="str">
        <f>'Detailed Summary'!AW37</f>
        <v/>
      </c>
      <c r="K37" s="114">
        <f>'Detailed Summary'!AY37</f>
        <v>5</v>
      </c>
      <c r="L37" s="7" t="str">
        <f>'Detailed Summary'!AZ37</f>
        <v/>
      </c>
      <c r="M37" s="115" t="str">
        <f>'Detailed Summary'!BJ37</f>
        <v>Failed in 4 Subjects</v>
      </c>
      <c r="N37" s="7" t="str">
        <f>'Detailed Summary'!BA37</f>
        <v/>
      </c>
      <c r="O37" s="7" t="str">
        <f t="shared" si="1"/>
        <v/>
      </c>
      <c r="P37" s="116" t="str">
        <f>'Detailed Summary'!BK37</f>
        <v/>
      </c>
    </row>
    <row r="38" spans="1:16" x14ac:dyDescent="0.35">
      <c r="A38" s="111">
        <f>'Student Basic Info'!A38</f>
        <v>737</v>
      </c>
      <c r="B38" s="112" t="str">
        <f>'Student Basic Info'!C38</f>
        <v>Nusrat Zahan</v>
      </c>
      <c r="C38" s="113">
        <f>'Detailed Summary'!AO38</f>
        <v>3</v>
      </c>
      <c r="D38" s="113">
        <f>'Detailed Summary'!AP38</f>
        <v>2</v>
      </c>
      <c r="E38" s="113">
        <f>'Detailed Summary'!AQ38</f>
        <v>0</v>
      </c>
      <c r="F38" s="113">
        <f>'Detailed Summary'!AR38</f>
        <v>3.5</v>
      </c>
      <c r="G38" s="113">
        <f>'Detailed Summary'!AS38</f>
        <v>0</v>
      </c>
      <c r="H38" s="113">
        <f>'Detailed Summary'!AT38</f>
        <v>0</v>
      </c>
      <c r="I38" s="113">
        <f>'Detailed Summary'!AV38</f>
        <v>0</v>
      </c>
      <c r="J38" s="113">
        <f>'Detailed Summary'!AW38</f>
        <v>0</v>
      </c>
      <c r="K38" s="114">
        <f>'Detailed Summary'!AY38</f>
        <v>8.5</v>
      </c>
      <c r="L38" s="7" t="str">
        <f>'Detailed Summary'!AZ38</f>
        <v/>
      </c>
      <c r="M38" s="115" t="str">
        <f>'Detailed Summary'!BJ38</f>
        <v>Failed in 3 Subjects</v>
      </c>
      <c r="N38" s="7" t="str">
        <f>'Detailed Summary'!BA38</f>
        <v/>
      </c>
      <c r="O38" s="7" t="str">
        <f t="shared" si="1"/>
        <v/>
      </c>
      <c r="P38" s="116" t="str">
        <f>'Detailed Summary'!BK38</f>
        <v/>
      </c>
    </row>
    <row r="39" spans="1:16" x14ac:dyDescent="0.35">
      <c r="A39" s="111">
        <f>'Student Basic Info'!A39</f>
        <v>738</v>
      </c>
      <c r="B39" s="112" t="str">
        <f>'Student Basic Info'!C39</f>
        <v>Arpita Rani Bhoumik</v>
      </c>
      <c r="C39" s="113">
        <f>'Detailed Summary'!AO39</f>
        <v>3</v>
      </c>
      <c r="D39" s="113">
        <f>'Detailed Summary'!AP39</f>
        <v>2</v>
      </c>
      <c r="E39" s="113">
        <f>'Detailed Summary'!AQ39</f>
        <v>3</v>
      </c>
      <c r="F39" s="113">
        <f>'Detailed Summary'!AR39</f>
        <v>0</v>
      </c>
      <c r="G39" s="113">
        <f>'Detailed Summary'!AS39</f>
        <v>0</v>
      </c>
      <c r="H39" s="113">
        <f>'Detailed Summary'!AT39</f>
        <v>0</v>
      </c>
      <c r="I39" s="113">
        <f>'Detailed Summary'!AV39</f>
        <v>0</v>
      </c>
      <c r="J39" s="113">
        <f>'Detailed Summary'!AW39</f>
        <v>0</v>
      </c>
      <c r="K39" s="114">
        <f>'Detailed Summary'!AY39</f>
        <v>8</v>
      </c>
      <c r="L39" s="7" t="str">
        <f>'Detailed Summary'!AZ39</f>
        <v/>
      </c>
      <c r="M39" s="115" t="str">
        <f>'Detailed Summary'!BJ39</f>
        <v>Failed in 3 Subjects</v>
      </c>
      <c r="N39" s="7" t="str">
        <f>'Detailed Summary'!BA39</f>
        <v/>
      </c>
      <c r="O39" s="7" t="str">
        <f t="shared" si="1"/>
        <v/>
      </c>
      <c r="P39" s="116" t="str">
        <f>'Detailed Summary'!BK39</f>
        <v/>
      </c>
    </row>
    <row r="40" spans="1:16" x14ac:dyDescent="0.35">
      <c r="A40" s="111">
        <f>'Student Basic Info'!A40</f>
        <v>739</v>
      </c>
      <c r="B40" s="112" t="str">
        <f>'Student Basic Info'!C40</f>
        <v xml:space="preserve">Israt Zahan Shrabonti </v>
      </c>
      <c r="C40" s="113">
        <f>'Detailed Summary'!AO40</f>
        <v>3</v>
      </c>
      <c r="D40" s="113">
        <f>'Detailed Summary'!AP40</f>
        <v>1</v>
      </c>
      <c r="E40" s="113">
        <f>'Detailed Summary'!AQ40</f>
        <v>2</v>
      </c>
      <c r="F40" s="113">
        <f>'Detailed Summary'!AR40</f>
        <v>3</v>
      </c>
      <c r="G40" s="113">
        <f>'Detailed Summary'!AS40</f>
        <v>0</v>
      </c>
      <c r="H40" s="113">
        <f>'Detailed Summary'!AT40</f>
        <v>0</v>
      </c>
      <c r="I40" s="113">
        <f>'Detailed Summary'!AV40</f>
        <v>0</v>
      </c>
      <c r="J40" s="113">
        <f>'Detailed Summary'!AW40</f>
        <v>0</v>
      </c>
      <c r="K40" s="114">
        <f>'Detailed Summary'!AY40</f>
        <v>9</v>
      </c>
      <c r="L40" s="7" t="str">
        <f>'Detailed Summary'!AZ40</f>
        <v/>
      </c>
      <c r="M40" s="115" t="str">
        <f>'Detailed Summary'!BJ40</f>
        <v>Failed in 2 Subjects</v>
      </c>
      <c r="N40" s="7" t="str">
        <f>'Detailed Summary'!BA40</f>
        <v/>
      </c>
      <c r="O40" s="7" t="str">
        <f t="shared" si="1"/>
        <v/>
      </c>
      <c r="P40" s="116" t="str">
        <f>'Detailed Summary'!BK40</f>
        <v/>
      </c>
    </row>
    <row r="41" spans="1:16" x14ac:dyDescent="0.35">
      <c r="A41" s="111">
        <f>'Student Basic Info'!A41</f>
        <v>740</v>
      </c>
      <c r="B41" s="112" t="str">
        <f>'Student Basic Info'!C41</f>
        <v>Fatema Zannat</v>
      </c>
      <c r="C41" s="113">
        <f>'Detailed Summary'!AO41</f>
        <v>3.5</v>
      </c>
      <c r="D41" s="113">
        <f>'Detailed Summary'!AP41</f>
        <v>2</v>
      </c>
      <c r="E41" s="113">
        <f>'Detailed Summary'!AQ41</f>
        <v>0</v>
      </c>
      <c r="F41" s="113">
        <f>'Detailed Summary'!AR41</f>
        <v>0</v>
      </c>
      <c r="G41" s="113">
        <f>'Detailed Summary'!AS41</f>
        <v>2</v>
      </c>
      <c r="H41" s="113">
        <f>'Detailed Summary'!AT41</f>
        <v>0</v>
      </c>
      <c r="I41" s="113">
        <f>'Detailed Summary'!AV41</f>
        <v>0</v>
      </c>
      <c r="J41" s="113">
        <f>'Detailed Summary'!AW41</f>
        <v>0</v>
      </c>
      <c r="K41" s="114">
        <f>'Detailed Summary'!AY41</f>
        <v>7.5</v>
      </c>
      <c r="L41" s="7" t="str">
        <f>'Detailed Summary'!AZ41</f>
        <v/>
      </c>
      <c r="M41" s="115" t="str">
        <f>'Detailed Summary'!BJ41</f>
        <v>Failed in 3 Subjects</v>
      </c>
      <c r="N41" s="7" t="str">
        <f>'Detailed Summary'!BA41</f>
        <v/>
      </c>
      <c r="O41" s="7" t="str">
        <f t="shared" si="1"/>
        <v/>
      </c>
      <c r="P41" s="116" t="str">
        <f>'Detailed Summary'!BK41</f>
        <v/>
      </c>
    </row>
    <row r="42" spans="1:16" x14ac:dyDescent="0.35">
      <c r="A42" s="111">
        <f>'Student Basic Info'!A42</f>
        <v>741</v>
      </c>
      <c r="B42" s="112" t="str">
        <f>'Student Basic Info'!C42</f>
        <v>Rezmin Aktar</v>
      </c>
      <c r="C42" s="113">
        <f>'Detailed Summary'!AO42</f>
        <v>3.5</v>
      </c>
      <c r="D42" s="113">
        <f>'Detailed Summary'!AP42</f>
        <v>3</v>
      </c>
      <c r="E42" s="113">
        <f>'Detailed Summary'!AQ42</f>
        <v>3.5</v>
      </c>
      <c r="F42" s="113">
        <f>'Detailed Summary'!AR42</f>
        <v>3</v>
      </c>
      <c r="G42" s="113">
        <f>'Detailed Summary'!AS42</f>
        <v>0</v>
      </c>
      <c r="H42" s="113">
        <f>'Detailed Summary'!AT42</f>
        <v>0</v>
      </c>
      <c r="I42" s="113">
        <f>'Detailed Summary'!AV42</f>
        <v>0</v>
      </c>
      <c r="J42" s="113">
        <f>'Detailed Summary'!AW42</f>
        <v>0</v>
      </c>
      <c r="K42" s="114">
        <f>'Detailed Summary'!AY42</f>
        <v>13</v>
      </c>
      <c r="L42" s="7" t="str">
        <f>'Detailed Summary'!AZ42</f>
        <v/>
      </c>
      <c r="M42" s="115" t="str">
        <f>'Detailed Summary'!BJ42</f>
        <v>Failed in 2 Subjects</v>
      </c>
      <c r="N42" s="7" t="str">
        <f>'Detailed Summary'!BA42</f>
        <v/>
      </c>
      <c r="O42" s="7" t="str">
        <f t="shared" si="1"/>
        <v/>
      </c>
      <c r="P42" s="116" t="str">
        <f>'Detailed Summary'!BK42</f>
        <v/>
      </c>
    </row>
    <row r="43" spans="1:16" x14ac:dyDescent="0.35">
      <c r="A43" s="111">
        <f>'Student Basic Info'!A43</f>
        <v>742</v>
      </c>
      <c r="B43" s="112" t="str">
        <f>'Student Basic Info'!C43</f>
        <v>Md. Shohrab Hosain</v>
      </c>
      <c r="C43" s="113" t="str">
        <f>'Detailed Summary'!AO43</f>
        <v/>
      </c>
      <c r="D43" s="113" t="str">
        <f>'Detailed Summary'!AP43</f>
        <v/>
      </c>
      <c r="E43" s="113" t="str">
        <f>'Detailed Summary'!AQ43</f>
        <v/>
      </c>
      <c r="F43" s="113" t="str">
        <f>'Detailed Summary'!AR43</f>
        <v/>
      </c>
      <c r="G43" s="113" t="str">
        <f>'Detailed Summary'!AS43</f>
        <v/>
      </c>
      <c r="H43" s="113" t="str">
        <f>'Detailed Summary'!AT43</f>
        <v/>
      </c>
      <c r="I43" s="113" t="str">
        <f>'Detailed Summary'!AV43</f>
        <v/>
      </c>
      <c r="J43" s="113" t="str">
        <f>'Detailed Summary'!AW43</f>
        <v/>
      </c>
      <c r="K43" s="114" t="str">
        <f>'Detailed Summary'!AY43</f>
        <v/>
      </c>
      <c r="L43" s="7" t="str">
        <f>'Detailed Summary'!AZ43</f>
        <v/>
      </c>
      <c r="M43" s="115" t="str">
        <f>'Detailed Summary'!BJ43</f>
        <v>Failed in 6 Subjects</v>
      </c>
      <c r="N43" s="7" t="str">
        <f>'Detailed Summary'!BA43</f>
        <v/>
      </c>
      <c r="O43" s="7" t="str">
        <f t="shared" si="1"/>
        <v/>
      </c>
      <c r="P43" s="116" t="str">
        <f>'Detailed Summary'!BK43</f>
        <v/>
      </c>
    </row>
    <row r="44" spans="1:16" x14ac:dyDescent="0.35">
      <c r="A44" s="111">
        <f>'Student Basic Info'!A44</f>
        <v>743</v>
      </c>
      <c r="B44" s="112" t="str">
        <f>'Student Basic Info'!C44</f>
        <v>Umme Habiba</v>
      </c>
      <c r="C44" s="113">
        <f>'Detailed Summary'!AO44</f>
        <v>0</v>
      </c>
      <c r="D44" s="113">
        <f>'Detailed Summary'!AP44</f>
        <v>0</v>
      </c>
      <c r="E44" s="113">
        <f>'Detailed Summary'!AQ44</f>
        <v>0</v>
      </c>
      <c r="F44" s="113">
        <f>'Detailed Summary'!AR44</f>
        <v>0</v>
      </c>
      <c r="G44" s="113">
        <f>'Detailed Summary'!AS44</f>
        <v>0</v>
      </c>
      <c r="H44" s="113">
        <f>'Detailed Summary'!AT44</f>
        <v>0</v>
      </c>
      <c r="I44" s="113">
        <f>'Detailed Summary'!AV44</f>
        <v>0</v>
      </c>
      <c r="J44" s="113">
        <f>'Detailed Summary'!AW44</f>
        <v>0</v>
      </c>
      <c r="K44" s="114" t="str">
        <f>'Detailed Summary'!AY44</f>
        <v/>
      </c>
      <c r="L44" s="7" t="str">
        <f>'Detailed Summary'!AZ44</f>
        <v/>
      </c>
      <c r="M44" s="115" t="str">
        <f>'Detailed Summary'!BJ44</f>
        <v>Failed in 6 Subjects</v>
      </c>
      <c r="N44" s="7" t="str">
        <f>'Detailed Summary'!BA44</f>
        <v/>
      </c>
      <c r="O44" s="7" t="str">
        <f t="shared" si="1"/>
        <v/>
      </c>
      <c r="P44" s="116" t="str">
        <f>'Detailed Summary'!BK44</f>
        <v/>
      </c>
    </row>
    <row r="45" spans="1:16" x14ac:dyDescent="0.35">
      <c r="A45" s="111">
        <f>'Student Basic Info'!A45</f>
        <v>744</v>
      </c>
      <c r="B45" s="112" t="str">
        <f>'Student Basic Info'!C45</f>
        <v>Tarek Rahman Tamin</v>
      </c>
      <c r="C45" s="113">
        <f>'Detailed Summary'!AO45</f>
        <v>0</v>
      </c>
      <c r="D45" s="113">
        <f>'Detailed Summary'!AP45</f>
        <v>0</v>
      </c>
      <c r="E45" s="113">
        <f>'Detailed Summary'!AQ45</f>
        <v>0</v>
      </c>
      <c r="F45" s="113">
        <f>'Detailed Summary'!AR45</f>
        <v>2</v>
      </c>
      <c r="G45" s="113">
        <f>'Detailed Summary'!AS45</f>
        <v>0</v>
      </c>
      <c r="H45" s="113">
        <f>'Detailed Summary'!AT45</f>
        <v>0</v>
      </c>
      <c r="I45" s="113">
        <f>'Detailed Summary'!AV45</f>
        <v>0</v>
      </c>
      <c r="J45" s="113">
        <f>'Detailed Summary'!AW45</f>
        <v>0</v>
      </c>
      <c r="K45" s="114">
        <f>'Detailed Summary'!AY45</f>
        <v>2</v>
      </c>
      <c r="L45" s="7" t="str">
        <f>'Detailed Summary'!AZ45</f>
        <v/>
      </c>
      <c r="M45" s="115" t="str">
        <f>'Detailed Summary'!BJ45</f>
        <v>Failed in 5 Subjects</v>
      </c>
      <c r="N45" s="7" t="str">
        <f>'Detailed Summary'!BA45</f>
        <v/>
      </c>
      <c r="O45" s="7" t="str">
        <f t="shared" si="1"/>
        <v/>
      </c>
      <c r="P45" s="116" t="str">
        <f>'Detailed Summary'!BK45</f>
        <v/>
      </c>
    </row>
    <row r="46" spans="1:16" x14ac:dyDescent="0.35">
      <c r="A46" s="111">
        <f>'Student Basic Info'!A46</f>
        <v>745</v>
      </c>
      <c r="B46" s="112" t="str">
        <f>'Student Basic Info'!C46</f>
        <v>Nabiha Nusrat</v>
      </c>
      <c r="C46" s="113">
        <f>'Detailed Summary'!AO46</f>
        <v>4</v>
      </c>
      <c r="D46" s="113">
        <f>'Detailed Summary'!AP46</f>
        <v>3.5</v>
      </c>
      <c r="E46" s="113">
        <f>'Detailed Summary'!AQ46</f>
        <v>5</v>
      </c>
      <c r="F46" s="113">
        <f>'Detailed Summary'!AR46</f>
        <v>5</v>
      </c>
      <c r="G46" s="113">
        <f>'Detailed Summary'!AS46</f>
        <v>0</v>
      </c>
      <c r="H46" s="113">
        <f>'Detailed Summary'!AT46</f>
        <v>3.5</v>
      </c>
      <c r="I46" s="113">
        <f>'Detailed Summary'!AV46</f>
        <v>2</v>
      </c>
      <c r="J46" s="113">
        <f>'Detailed Summary'!AW46</f>
        <v>0</v>
      </c>
      <c r="K46" s="114">
        <f>'Detailed Summary'!AY46</f>
        <v>21</v>
      </c>
      <c r="L46" s="7" t="str">
        <f>'Detailed Summary'!AZ46</f>
        <v/>
      </c>
      <c r="M46" s="115" t="str">
        <f>'Detailed Summary'!BJ46</f>
        <v>Failed in 1 Subject</v>
      </c>
      <c r="N46" s="7" t="str">
        <f>'Detailed Summary'!BA46</f>
        <v/>
      </c>
      <c r="O46" s="7" t="str">
        <f t="shared" si="1"/>
        <v/>
      </c>
      <c r="P46" s="116" t="str">
        <f>'Detailed Summary'!BK46</f>
        <v/>
      </c>
    </row>
    <row r="47" spans="1:16" x14ac:dyDescent="0.35">
      <c r="A47" s="111">
        <f>'Student Basic Info'!A47</f>
        <v>746</v>
      </c>
      <c r="B47" s="112" t="str">
        <f>'Student Basic Info'!C47</f>
        <v>Sharika Mahzabin</v>
      </c>
      <c r="C47" s="113">
        <f>'Detailed Summary'!AO47</f>
        <v>3.5</v>
      </c>
      <c r="D47" s="113">
        <f>'Detailed Summary'!AP47</f>
        <v>3.5</v>
      </c>
      <c r="E47" s="113">
        <f>'Detailed Summary'!AQ47</f>
        <v>3.5</v>
      </c>
      <c r="F47" s="113">
        <f>'Detailed Summary'!AR47</f>
        <v>3.5</v>
      </c>
      <c r="G47" s="113">
        <f>'Detailed Summary'!AS47</f>
        <v>0</v>
      </c>
      <c r="H47" s="113">
        <f>'Detailed Summary'!AT47</f>
        <v>2</v>
      </c>
      <c r="I47" s="113">
        <f>'Detailed Summary'!AV47</f>
        <v>0</v>
      </c>
      <c r="J47" s="113">
        <f>'Detailed Summary'!AW47</f>
        <v>0</v>
      </c>
      <c r="K47" s="114">
        <f>'Detailed Summary'!AY47</f>
        <v>16</v>
      </c>
      <c r="L47" s="7" t="str">
        <f>'Detailed Summary'!AZ47</f>
        <v/>
      </c>
      <c r="M47" s="115" t="str">
        <f>'Detailed Summary'!BJ47</f>
        <v>Failed in 1 Subject</v>
      </c>
      <c r="N47" s="7" t="str">
        <f>'Detailed Summary'!BA47</f>
        <v/>
      </c>
      <c r="O47" s="7" t="str">
        <f t="shared" si="1"/>
        <v/>
      </c>
      <c r="P47" s="116" t="str">
        <f>'Detailed Summary'!BK47</f>
        <v/>
      </c>
    </row>
    <row r="48" spans="1:16" x14ac:dyDescent="0.35">
      <c r="A48" s="111">
        <f>'Student Basic Info'!A48</f>
        <v>747</v>
      </c>
      <c r="B48" s="112" t="str">
        <f>'Student Basic Info'!C48</f>
        <v>Jahedul Islam</v>
      </c>
      <c r="C48" s="113">
        <f>'Detailed Summary'!AO48</f>
        <v>2</v>
      </c>
      <c r="D48" s="113">
        <f>'Detailed Summary'!AP48</f>
        <v>0</v>
      </c>
      <c r="E48" s="113">
        <f>'Detailed Summary'!AQ48</f>
        <v>0</v>
      </c>
      <c r="F48" s="113">
        <f>'Detailed Summary'!AR48</f>
        <v>0</v>
      </c>
      <c r="G48" s="113">
        <f>'Detailed Summary'!AS48</f>
        <v>0</v>
      </c>
      <c r="H48" s="113">
        <f>'Detailed Summary'!AT48</f>
        <v>0</v>
      </c>
      <c r="I48" s="113">
        <f>'Detailed Summary'!AV48</f>
        <v>0</v>
      </c>
      <c r="J48" s="113">
        <f>'Detailed Summary'!AW48</f>
        <v>0</v>
      </c>
      <c r="K48" s="114">
        <f>'Detailed Summary'!AY48</f>
        <v>2</v>
      </c>
      <c r="L48" s="7" t="str">
        <f>'Detailed Summary'!AZ48</f>
        <v/>
      </c>
      <c r="M48" s="115" t="str">
        <f>'Detailed Summary'!BJ48</f>
        <v>Failed in 5 Subjects</v>
      </c>
      <c r="N48" s="7" t="str">
        <f>'Detailed Summary'!BA48</f>
        <v/>
      </c>
      <c r="O48" s="7" t="str">
        <f t="shared" si="1"/>
        <v/>
      </c>
      <c r="P48" s="116" t="str">
        <f>'Detailed Summary'!BK48</f>
        <v/>
      </c>
    </row>
    <row r="49" spans="1:16" x14ac:dyDescent="0.35">
      <c r="A49" s="111">
        <f>'Student Basic Info'!A49</f>
        <v>748</v>
      </c>
      <c r="B49" s="112" t="str">
        <f>'Student Basic Info'!C49</f>
        <v>Merina Parshi</v>
      </c>
      <c r="C49" s="113">
        <f>'Detailed Summary'!AO49</f>
        <v>2</v>
      </c>
      <c r="D49" s="113">
        <f>'Detailed Summary'!AP49</f>
        <v>0</v>
      </c>
      <c r="E49" s="113">
        <f>'Detailed Summary'!AQ49</f>
        <v>0</v>
      </c>
      <c r="F49" s="113">
        <f>'Detailed Summary'!AR49</f>
        <v>0</v>
      </c>
      <c r="G49" s="113">
        <f>'Detailed Summary'!AS49</f>
        <v>0</v>
      </c>
      <c r="H49" s="113">
        <f>'Detailed Summary'!AT49</f>
        <v>0</v>
      </c>
      <c r="I49" s="113">
        <f>'Detailed Summary'!AV49</f>
        <v>0</v>
      </c>
      <c r="J49" s="113">
        <f>'Detailed Summary'!AW49</f>
        <v>0</v>
      </c>
      <c r="K49" s="114">
        <f>'Detailed Summary'!AY49</f>
        <v>2</v>
      </c>
      <c r="L49" s="7" t="str">
        <f>'Detailed Summary'!AZ49</f>
        <v/>
      </c>
      <c r="M49" s="115" t="str">
        <f>'Detailed Summary'!BJ49</f>
        <v>Failed in 5 Subjects</v>
      </c>
      <c r="N49" s="7" t="str">
        <f>'Detailed Summary'!BA49</f>
        <v/>
      </c>
      <c r="O49" s="7" t="str">
        <f t="shared" si="1"/>
        <v/>
      </c>
      <c r="P49" s="116" t="str">
        <f>'Detailed Summary'!BK49</f>
        <v/>
      </c>
    </row>
    <row r="50" spans="1:16" x14ac:dyDescent="0.35">
      <c r="A50" s="111">
        <f>'Student Basic Info'!A50</f>
        <v>749</v>
      </c>
      <c r="B50" s="112" t="str">
        <f>'Student Basic Info'!C50</f>
        <v>Shekh Shohrab Hosain</v>
      </c>
      <c r="C50" s="113">
        <f>'Detailed Summary'!AO50</f>
        <v>1</v>
      </c>
      <c r="D50" s="113">
        <f>'Detailed Summary'!AP50</f>
        <v>0</v>
      </c>
      <c r="E50" s="113">
        <f>'Detailed Summary'!AQ50</f>
        <v>0</v>
      </c>
      <c r="F50" s="113">
        <f>'Detailed Summary'!AR50</f>
        <v>0</v>
      </c>
      <c r="G50" s="113">
        <f>'Detailed Summary'!AS50</f>
        <v>0</v>
      </c>
      <c r="H50" s="113">
        <f>'Detailed Summary'!AT50</f>
        <v>0</v>
      </c>
      <c r="I50" s="113">
        <f>'Detailed Summary'!AV50</f>
        <v>0</v>
      </c>
      <c r="J50" s="113">
        <f>'Detailed Summary'!AW50</f>
        <v>0</v>
      </c>
      <c r="K50" s="114">
        <f>'Detailed Summary'!AY50</f>
        <v>1</v>
      </c>
      <c r="L50" s="7" t="str">
        <f>'Detailed Summary'!AZ50</f>
        <v/>
      </c>
      <c r="M50" s="115" t="str">
        <f>'Detailed Summary'!BJ50</f>
        <v>Failed in 5 Subjects</v>
      </c>
      <c r="N50" s="7" t="str">
        <f>'Detailed Summary'!BA50</f>
        <v/>
      </c>
      <c r="O50" s="7" t="str">
        <f t="shared" si="1"/>
        <v/>
      </c>
      <c r="P50" s="116" t="str">
        <f>'Detailed Summary'!BK50</f>
        <v/>
      </c>
    </row>
    <row r="51" spans="1:16" x14ac:dyDescent="0.35">
      <c r="A51" s="111">
        <f>'Student Basic Info'!A51</f>
        <v>750</v>
      </c>
      <c r="B51" s="112" t="str">
        <f>'Student Basic Info'!C51</f>
        <v>Purnima Aktar</v>
      </c>
      <c r="C51" s="113" t="str">
        <f>'Detailed Summary'!AO51</f>
        <v/>
      </c>
      <c r="D51" s="113" t="str">
        <f>'Detailed Summary'!AP51</f>
        <v/>
      </c>
      <c r="E51" s="113" t="str">
        <f>'Detailed Summary'!AQ51</f>
        <v/>
      </c>
      <c r="F51" s="113" t="str">
        <f>'Detailed Summary'!AR51</f>
        <v/>
      </c>
      <c r="G51" s="113" t="str">
        <f>'Detailed Summary'!AS51</f>
        <v/>
      </c>
      <c r="H51" s="113" t="str">
        <f>'Detailed Summary'!AT51</f>
        <v/>
      </c>
      <c r="I51" s="113" t="str">
        <f>'Detailed Summary'!AV51</f>
        <v/>
      </c>
      <c r="J51" s="113" t="str">
        <f>'Detailed Summary'!AW51</f>
        <v/>
      </c>
      <c r="K51" s="114" t="str">
        <f>'Detailed Summary'!AY51</f>
        <v/>
      </c>
      <c r="L51" s="7" t="str">
        <f>'Detailed Summary'!AZ51</f>
        <v/>
      </c>
      <c r="M51" s="115" t="str">
        <f>'Detailed Summary'!BJ51</f>
        <v>Failed in 6 Subjects</v>
      </c>
      <c r="N51" s="7" t="str">
        <f>'Detailed Summary'!BA51</f>
        <v/>
      </c>
      <c r="O51" s="7" t="str">
        <f t="shared" si="1"/>
        <v/>
      </c>
      <c r="P51" s="116" t="str">
        <f>'Detailed Summary'!BK51</f>
        <v/>
      </c>
    </row>
    <row r="52" spans="1:16" x14ac:dyDescent="0.35">
      <c r="A52" s="111">
        <f>'Student Basic Info'!A52</f>
        <v>751</v>
      </c>
      <c r="B52" s="112" t="str">
        <f>'Student Basic Info'!C52</f>
        <v>Hridwal  Al Mahmul</v>
      </c>
      <c r="C52" s="113">
        <f>'Detailed Summary'!AO52</f>
        <v>2</v>
      </c>
      <c r="D52" s="113">
        <f>'Detailed Summary'!AP52</f>
        <v>0</v>
      </c>
      <c r="E52" s="113">
        <f>'Detailed Summary'!AQ52</f>
        <v>0</v>
      </c>
      <c r="F52" s="113">
        <f>'Detailed Summary'!AR52</f>
        <v>3.5</v>
      </c>
      <c r="G52" s="113">
        <f>'Detailed Summary'!AS52</f>
        <v>0</v>
      </c>
      <c r="H52" s="113">
        <f>'Detailed Summary'!AT52</f>
        <v>0</v>
      </c>
      <c r="I52" s="113" t="str">
        <f>'Detailed Summary'!AV52</f>
        <v/>
      </c>
      <c r="J52" s="113" t="str">
        <f>'Detailed Summary'!AW52</f>
        <v/>
      </c>
      <c r="K52" s="114">
        <f>'Detailed Summary'!AY52</f>
        <v>5.5</v>
      </c>
      <c r="L52" s="7" t="str">
        <f>'Detailed Summary'!AZ52</f>
        <v/>
      </c>
      <c r="M52" s="115" t="str">
        <f>'Detailed Summary'!BJ52</f>
        <v>Failed in 4 Subjects</v>
      </c>
      <c r="N52" s="7" t="str">
        <f>'Detailed Summary'!BA52</f>
        <v/>
      </c>
      <c r="O52" s="7" t="str">
        <f t="shared" si="1"/>
        <v/>
      </c>
      <c r="P52" s="116" t="str">
        <f>'Detailed Summary'!BK52</f>
        <v/>
      </c>
    </row>
    <row r="53" spans="1:16" x14ac:dyDescent="0.35">
      <c r="A53" s="111">
        <f>'Student Basic Info'!A53</f>
        <v>752</v>
      </c>
      <c r="B53" s="112" t="str">
        <f>'Student Basic Info'!C53</f>
        <v>Sabbir Hosain</v>
      </c>
      <c r="C53" s="113" t="str">
        <f>'Detailed Summary'!AO53</f>
        <v/>
      </c>
      <c r="D53" s="113" t="str">
        <f>'Detailed Summary'!AP53</f>
        <v/>
      </c>
      <c r="E53" s="113" t="str">
        <f>'Detailed Summary'!AQ53</f>
        <v/>
      </c>
      <c r="F53" s="113" t="str">
        <f>'Detailed Summary'!AR53</f>
        <v/>
      </c>
      <c r="G53" s="113" t="str">
        <f>'Detailed Summary'!AS53</f>
        <v/>
      </c>
      <c r="H53" s="113" t="str">
        <f>'Detailed Summary'!AT53</f>
        <v/>
      </c>
      <c r="I53" s="113" t="str">
        <f>'Detailed Summary'!AV53</f>
        <v/>
      </c>
      <c r="J53" s="113" t="str">
        <f>'Detailed Summary'!AW53</f>
        <v/>
      </c>
      <c r="K53" s="114" t="str">
        <f>'Detailed Summary'!AY53</f>
        <v/>
      </c>
      <c r="L53" s="7" t="str">
        <f>'Detailed Summary'!AZ53</f>
        <v/>
      </c>
      <c r="M53" s="115" t="str">
        <f>'Detailed Summary'!BJ53</f>
        <v>Failed in 6 Subjects</v>
      </c>
      <c r="N53" s="7" t="str">
        <f>'Detailed Summary'!BA53</f>
        <v/>
      </c>
      <c r="O53" s="7" t="str">
        <f t="shared" si="1"/>
        <v/>
      </c>
      <c r="P53" s="116" t="str">
        <f>'Detailed Summary'!BK53</f>
        <v/>
      </c>
    </row>
    <row r="54" spans="1:16" x14ac:dyDescent="0.35">
      <c r="A54" s="111">
        <f>'Student Basic Info'!A54</f>
        <v>753</v>
      </c>
      <c r="B54" s="112" t="str">
        <f>'Student Basic Info'!C54</f>
        <v>Shohidul Islam</v>
      </c>
      <c r="C54" s="113">
        <f>'Detailed Summary'!AO54</f>
        <v>0</v>
      </c>
      <c r="D54" s="113">
        <f>'Detailed Summary'!AP54</f>
        <v>1</v>
      </c>
      <c r="E54" s="113">
        <f>'Detailed Summary'!AQ54</f>
        <v>0</v>
      </c>
      <c r="F54" s="113">
        <f>'Detailed Summary'!AR54</f>
        <v>0</v>
      </c>
      <c r="G54" s="113">
        <f>'Detailed Summary'!AS54</f>
        <v>0</v>
      </c>
      <c r="H54" s="113">
        <f>'Detailed Summary'!AT54</f>
        <v>3</v>
      </c>
      <c r="I54" s="113">
        <f>'Detailed Summary'!AV54</f>
        <v>0</v>
      </c>
      <c r="J54" s="113">
        <f>'Detailed Summary'!AW54</f>
        <v>0</v>
      </c>
      <c r="K54" s="114">
        <f>'Detailed Summary'!AY54</f>
        <v>4</v>
      </c>
      <c r="L54" s="7" t="str">
        <f>'Detailed Summary'!AZ54</f>
        <v/>
      </c>
      <c r="M54" s="115" t="str">
        <f>'Detailed Summary'!BJ54</f>
        <v>Failed in 4 Subjects</v>
      </c>
      <c r="N54" s="7" t="str">
        <f>'Detailed Summary'!BA54</f>
        <v/>
      </c>
      <c r="O54" s="7" t="str">
        <f t="shared" si="1"/>
        <v/>
      </c>
      <c r="P54" s="116" t="str">
        <f>'Detailed Summary'!BK54</f>
        <v/>
      </c>
    </row>
    <row r="55" spans="1:16" x14ac:dyDescent="0.35">
      <c r="A55" s="111">
        <f>'Student Basic Info'!A55</f>
        <v>754</v>
      </c>
      <c r="B55" s="112" t="str">
        <f>'Student Basic Info'!C55</f>
        <v>Shahriyar Nafiz</v>
      </c>
      <c r="C55" s="113">
        <f>'Detailed Summary'!AO55</f>
        <v>3</v>
      </c>
      <c r="D55" s="113">
        <f>'Detailed Summary'!AP55</f>
        <v>0</v>
      </c>
      <c r="E55" s="113">
        <f>'Detailed Summary'!AQ55</f>
        <v>0</v>
      </c>
      <c r="F55" s="113">
        <f>'Detailed Summary'!AR55</f>
        <v>0</v>
      </c>
      <c r="G55" s="113">
        <f>'Detailed Summary'!AS55</f>
        <v>0</v>
      </c>
      <c r="H55" s="113">
        <f>'Detailed Summary'!AT55</f>
        <v>0</v>
      </c>
      <c r="I55" s="113">
        <f>'Detailed Summary'!AV55</f>
        <v>0</v>
      </c>
      <c r="J55" s="113">
        <f>'Detailed Summary'!AW55</f>
        <v>0</v>
      </c>
      <c r="K55" s="114">
        <f>'Detailed Summary'!AY55</f>
        <v>3</v>
      </c>
      <c r="L55" s="7" t="str">
        <f>'Detailed Summary'!AZ55</f>
        <v/>
      </c>
      <c r="M55" s="115" t="str">
        <f>'Detailed Summary'!BJ55</f>
        <v>Failed in 5 Subjects</v>
      </c>
      <c r="N55" s="7" t="str">
        <f>'Detailed Summary'!BA55</f>
        <v/>
      </c>
      <c r="O55" s="7" t="str">
        <f t="shared" si="1"/>
        <v/>
      </c>
      <c r="P55" s="116" t="str">
        <f>'Detailed Summary'!BK55</f>
        <v/>
      </c>
    </row>
    <row r="56" spans="1:16" x14ac:dyDescent="0.35">
      <c r="A56" s="111">
        <f>'Student Basic Info'!A56</f>
        <v>755</v>
      </c>
      <c r="B56" s="112" t="str">
        <f>'Student Basic Info'!C56</f>
        <v xml:space="preserve">Md. Ibrahim </v>
      </c>
      <c r="C56" s="113">
        <f>'Detailed Summary'!AO56</f>
        <v>0</v>
      </c>
      <c r="D56" s="113">
        <f>'Detailed Summary'!AP56</f>
        <v>0</v>
      </c>
      <c r="E56" s="113">
        <f>'Detailed Summary'!AQ56</f>
        <v>0</v>
      </c>
      <c r="F56" s="113">
        <f>'Detailed Summary'!AR56</f>
        <v>0</v>
      </c>
      <c r="G56" s="113">
        <f>'Detailed Summary'!AS56</f>
        <v>0</v>
      </c>
      <c r="H56" s="113">
        <f>'Detailed Summary'!AT56</f>
        <v>0</v>
      </c>
      <c r="I56" s="113">
        <f>'Detailed Summary'!AV56</f>
        <v>0</v>
      </c>
      <c r="J56" s="113">
        <f>'Detailed Summary'!AW56</f>
        <v>0</v>
      </c>
      <c r="K56" s="114" t="str">
        <f>'Detailed Summary'!AY56</f>
        <v/>
      </c>
      <c r="L56" s="7" t="str">
        <f>'Detailed Summary'!AZ56</f>
        <v/>
      </c>
      <c r="M56" s="115" t="str">
        <f>'Detailed Summary'!BJ56</f>
        <v>Failed in 6 Subjects</v>
      </c>
      <c r="N56" s="7" t="str">
        <f>'Detailed Summary'!BA56</f>
        <v/>
      </c>
      <c r="O56" s="7" t="str">
        <f t="shared" si="1"/>
        <v/>
      </c>
      <c r="P56" s="116" t="str">
        <f>'Detailed Summary'!BK56</f>
        <v/>
      </c>
    </row>
    <row r="57" spans="1:16" x14ac:dyDescent="0.35">
      <c r="A57" s="111">
        <f>'Student Basic Info'!A57</f>
        <v>756</v>
      </c>
      <c r="B57" s="112" t="str">
        <f>'Student Basic Info'!C57</f>
        <v>Fahmida Tabassum</v>
      </c>
      <c r="C57" s="113">
        <f>'Detailed Summary'!AO57</f>
        <v>3</v>
      </c>
      <c r="D57" s="113">
        <f>'Detailed Summary'!AP57</f>
        <v>1</v>
      </c>
      <c r="E57" s="113">
        <f>'Detailed Summary'!AQ57</f>
        <v>0</v>
      </c>
      <c r="F57" s="113">
        <f>'Detailed Summary'!AR57</f>
        <v>3</v>
      </c>
      <c r="G57" s="113">
        <f>'Detailed Summary'!AS57</f>
        <v>0</v>
      </c>
      <c r="H57" s="113">
        <f>'Detailed Summary'!AT57</f>
        <v>0</v>
      </c>
      <c r="I57" s="113">
        <f>'Detailed Summary'!AV57</f>
        <v>0</v>
      </c>
      <c r="J57" s="113">
        <f>'Detailed Summary'!AW57</f>
        <v>0</v>
      </c>
      <c r="K57" s="114">
        <f>'Detailed Summary'!AY57</f>
        <v>7</v>
      </c>
      <c r="L57" s="7" t="str">
        <f>'Detailed Summary'!AZ57</f>
        <v/>
      </c>
      <c r="M57" s="115" t="str">
        <f>'Detailed Summary'!BJ57</f>
        <v>Failed in 3 Subjects</v>
      </c>
      <c r="N57" s="7" t="str">
        <f>'Detailed Summary'!BA57</f>
        <v/>
      </c>
      <c r="O57" s="7" t="str">
        <f t="shared" si="1"/>
        <v/>
      </c>
      <c r="P57" s="116" t="str">
        <f>'Detailed Summary'!BK57</f>
        <v/>
      </c>
    </row>
    <row r="58" spans="1:16" x14ac:dyDescent="0.35">
      <c r="A58" s="111">
        <f>'Student Basic Info'!A58</f>
        <v>757</v>
      </c>
      <c r="B58" s="112" t="str">
        <f>'Student Basic Info'!C58</f>
        <v>Meheraj Uddin</v>
      </c>
      <c r="C58" s="113">
        <f>'Detailed Summary'!AO58</f>
        <v>0</v>
      </c>
      <c r="D58" s="113">
        <f>'Detailed Summary'!AP58</f>
        <v>0</v>
      </c>
      <c r="E58" s="113">
        <f>'Detailed Summary'!AQ58</f>
        <v>0</v>
      </c>
      <c r="F58" s="113">
        <f>'Detailed Summary'!AR58</f>
        <v>0</v>
      </c>
      <c r="G58" s="113">
        <f>'Detailed Summary'!AS58</f>
        <v>0</v>
      </c>
      <c r="H58" s="113">
        <f>'Detailed Summary'!AT58</f>
        <v>0</v>
      </c>
      <c r="I58" s="113">
        <f>'Detailed Summary'!AV58</f>
        <v>0</v>
      </c>
      <c r="J58" s="113">
        <f>'Detailed Summary'!AW58</f>
        <v>0</v>
      </c>
      <c r="K58" s="114" t="str">
        <f>'Detailed Summary'!AY58</f>
        <v/>
      </c>
      <c r="L58" s="7" t="str">
        <f>'Detailed Summary'!AZ58</f>
        <v/>
      </c>
      <c r="M58" s="115" t="str">
        <f>'Detailed Summary'!BJ58</f>
        <v>Failed in 6 Subjects</v>
      </c>
      <c r="N58" s="7" t="str">
        <f>'Detailed Summary'!BA58</f>
        <v/>
      </c>
      <c r="O58" s="7" t="str">
        <f t="shared" si="1"/>
        <v/>
      </c>
      <c r="P58" s="116" t="str">
        <f>'Detailed Summary'!BK58</f>
        <v/>
      </c>
    </row>
    <row r="59" spans="1:16" x14ac:dyDescent="0.35">
      <c r="A59" s="111">
        <f>'Student Basic Info'!A59</f>
        <v>758</v>
      </c>
      <c r="B59" s="112" t="str">
        <f>'Student Basic Info'!C59</f>
        <v>Naimur Rahman</v>
      </c>
      <c r="C59" s="113">
        <f>'Detailed Summary'!AO59</f>
        <v>1</v>
      </c>
      <c r="D59" s="113">
        <f>'Detailed Summary'!AP59</f>
        <v>2</v>
      </c>
      <c r="E59" s="113">
        <f>'Detailed Summary'!AQ59</f>
        <v>0</v>
      </c>
      <c r="F59" s="113">
        <f>'Detailed Summary'!AR59</f>
        <v>0</v>
      </c>
      <c r="G59" s="113">
        <f>'Detailed Summary'!AS59</f>
        <v>0</v>
      </c>
      <c r="H59" s="113">
        <f>'Detailed Summary'!AT59</f>
        <v>0</v>
      </c>
      <c r="I59" s="113">
        <f>'Detailed Summary'!AV59</f>
        <v>0</v>
      </c>
      <c r="J59" s="113">
        <f>'Detailed Summary'!AW59</f>
        <v>0</v>
      </c>
      <c r="K59" s="114">
        <f>'Detailed Summary'!AY59</f>
        <v>3</v>
      </c>
      <c r="L59" s="7" t="str">
        <f>'Detailed Summary'!AZ59</f>
        <v/>
      </c>
      <c r="M59" s="115" t="str">
        <f>'Detailed Summary'!BJ59</f>
        <v>Failed in 4 Subjects</v>
      </c>
      <c r="N59" s="7" t="str">
        <f>'Detailed Summary'!BA59</f>
        <v/>
      </c>
      <c r="O59" s="7" t="str">
        <f t="shared" si="1"/>
        <v/>
      </c>
      <c r="P59" s="116" t="str">
        <f>'Detailed Summary'!BK59</f>
        <v/>
      </c>
    </row>
    <row r="60" spans="1:16" x14ac:dyDescent="0.35">
      <c r="A60" s="111">
        <f>'Student Basic Info'!A60</f>
        <v>759</v>
      </c>
      <c r="B60" s="112" t="str">
        <f>'Student Basic Info'!C60</f>
        <v>Amzad Hosain</v>
      </c>
      <c r="C60" s="113">
        <f>'Detailed Summary'!AO60</f>
        <v>3.5</v>
      </c>
      <c r="D60" s="113">
        <f>'Detailed Summary'!AP60</f>
        <v>1</v>
      </c>
      <c r="E60" s="113">
        <f>'Detailed Summary'!AQ60</f>
        <v>5</v>
      </c>
      <c r="F60" s="113">
        <f>'Detailed Summary'!AR60</f>
        <v>3.5</v>
      </c>
      <c r="G60" s="113">
        <f>'Detailed Summary'!AS60</f>
        <v>5</v>
      </c>
      <c r="H60" s="113">
        <f>'Detailed Summary'!AT60</f>
        <v>3</v>
      </c>
      <c r="I60" s="113">
        <f>'Detailed Summary'!AV60</f>
        <v>5</v>
      </c>
      <c r="J60" s="113">
        <f>'Detailed Summary'!AW60</f>
        <v>3</v>
      </c>
      <c r="K60" s="114">
        <f>'Detailed Summary'!AY60</f>
        <v>24</v>
      </c>
      <c r="L60" s="7">
        <f>'Detailed Summary'!AZ60</f>
        <v>3.5</v>
      </c>
      <c r="M60" s="115" t="str">
        <f>'Detailed Summary'!BJ60</f>
        <v>Pass</v>
      </c>
      <c r="N60" s="7">
        <f>'Detailed Summary'!BA60</f>
        <v>4</v>
      </c>
      <c r="O60" s="7" t="str">
        <f t="shared" si="1"/>
        <v>A</v>
      </c>
      <c r="P60" s="116">
        <f>'Detailed Summary'!BK60</f>
        <v>2</v>
      </c>
    </row>
    <row r="61" spans="1:16" x14ac:dyDescent="0.35">
      <c r="A61" s="111">
        <f>'Student Basic Info'!A61</f>
        <v>760</v>
      </c>
      <c r="B61" s="112" t="str">
        <f>'Student Basic Info'!C61</f>
        <v>Imdadul Haque Zidan</v>
      </c>
      <c r="C61" s="113">
        <f>'Detailed Summary'!AO61</f>
        <v>1</v>
      </c>
      <c r="D61" s="113">
        <f>'Detailed Summary'!AP61</f>
        <v>1</v>
      </c>
      <c r="E61" s="113" t="str">
        <f>'Detailed Summary'!AQ61</f>
        <v/>
      </c>
      <c r="F61" s="113">
        <f>'Detailed Summary'!AR61</f>
        <v>0</v>
      </c>
      <c r="G61" s="113">
        <f>'Detailed Summary'!AS61</f>
        <v>3</v>
      </c>
      <c r="H61" s="113">
        <f>'Detailed Summary'!AT61</f>
        <v>0</v>
      </c>
      <c r="I61" s="113">
        <f>'Detailed Summary'!AV61</f>
        <v>0</v>
      </c>
      <c r="J61" s="113">
        <f>'Detailed Summary'!AW61</f>
        <v>0</v>
      </c>
      <c r="K61" s="114">
        <f>'Detailed Summary'!AY61</f>
        <v>5</v>
      </c>
      <c r="L61" s="7" t="str">
        <f>'Detailed Summary'!AZ61</f>
        <v/>
      </c>
      <c r="M61" s="115" t="str">
        <f>'Detailed Summary'!BJ61</f>
        <v>Failed in 3 Subjects</v>
      </c>
      <c r="N61" s="7" t="str">
        <f>'Detailed Summary'!BA61</f>
        <v/>
      </c>
      <c r="O61" s="7" t="str">
        <f t="shared" si="1"/>
        <v/>
      </c>
      <c r="P61" s="116" t="str">
        <f>'Detailed Summary'!BK61</f>
        <v/>
      </c>
    </row>
    <row r="62" spans="1:16" x14ac:dyDescent="0.35">
      <c r="A62" s="111">
        <f>'Student Basic Info'!A62</f>
        <v>761</v>
      </c>
      <c r="B62" s="112" t="str">
        <f>'Student Basic Info'!C62</f>
        <v>Nazmul Haque Sayem</v>
      </c>
      <c r="C62" s="113">
        <f>'Detailed Summary'!AO62</f>
        <v>1</v>
      </c>
      <c r="D62" s="113">
        <f>'Detailed Summary'!AP62</f>
        <v>1</v>
      </c>
      <c r="E62" s="113">
        <f>'Detailed Summary'!AQ62</f>
        <v>3.5</v>
      </c>
      <c r="F62" s="113">
        <f>'Detailed Summary'!AR62</f>
        <v>0</v>
      </c>
      <c r="G62" s="113" t="str">
        <f>'Detailed Summary'!AS62</f>
        <v/>
      </c>
      <c r="H62" s="113">
        <f>'Detailed Summary'!AT62</f>
        <v>0</v>
      </c>
      <c r="I62" s="113">
        <f>'Detailed Summary'!AV62</f>
        <v>0</v>
      </c>
      <c r="J62" s="113">
        <f>'Detailed Summary'!AW62</f>
        <v>0</v>
      </c>
      <c r="K62" s="114">
        <f>'Detailed Summary'!AY62</f>
        <v>5.5</v>
      </c>
      <c r="L62" s="7" t="str">
        <f>'Detailed Summary'!AZ62</f>
        <v/>
      </c>
      <c r="M62" s="115" t="str">
        <f>'Detailed Summary'!BJ62</f>
        <v>Failed in 3 Subjects</v>
      </c>
      <c r="N62" s="7" t="str">
        <f>'Detailed Summary'!BA62</f>
        <v/>
      </c>
      <c r="O62" s="7" t="str">
        <f t="shared" si="1"/>
        <v/>
      </c>
      <c r="P62" s="116" t="str">
        <f>'Detailed Summary'!BK62</f>
        <v/>
      </c>
    </row>
    <row r="63" spans="1:16" x14ac:dyDescent="0.35">
      <c r="A63" s="111">
        <f>'Student Basic Info'!A63</f>
        <v>762</v>
      </c>
      <c r="B63" s="112" t="str">
        <f>'Student Basic Info'!C63</f>
        <v>Sadbin Hasan Shourov</v>
      </c>
      <c r="C63" s="113">
        <f>'Detailed Summary'!AO63</f>
        <v>1</v>
      </c>
      <c r="D63" s="113">
        <f>'Detailed Summary'!AP63</f>
        <v>2</v>
      </c>
      <c r="E63" s="113">
        <f>'Detailed Summary'!AQ63</f>
        <v>3.5</v>
      </c>
      <c r="F63" s="113">
        <f>'Detailed Summary'!AR63</f>
        <v>0</v>
      </c>
      <c r="G63" s="113">
        <f>'Detailed Summary'!AS63</f>
        <v>2</v>
      </c>
      <c r="H63" s="113">
        <f>'Detailed Summary'!AT63</f>
        <v>0</v>
      </c>
      <c r="I63" s="113">
        <f>'Detailed Summary'!AV63</f>
        <v>0</v>
      </c>
      <c r="J63" s="113">
        <f>'Detailed Summary'!AW63</f>
        <v>0</v>
      </c>
      <c r="K63" s="114">
        <f>'Detailed Summary'!AY63</f>
        <v>8.5</v>
      </c>
      <c r="L63" s="7" t="str">
        <f>'Detailed Summary'!AZ63</f>
        <v/>
      </c>
      <c r="M63" s="115" t="str">
        <f>'Detailed Summary'!BJ63</f>
        <v>Failed in 2 Subjects</v>
      </c>
      <c r="N63" s="7" t="str">
        <f>'Detailed Summary'!BA63</f>
        <v/>
      </c>
      <c r="O63" s="7" t="str">
        <f t="shared" si="1"/>
        <v/>
      </c>
      <c r="P63" s="116" t="str">
        <f>'Detailed Summary'!BK63</f>
        <v/>
      </c>
    </row>
    <row r="64" spans="1:16" x14ac:dyDescent="0.35">
      <c r="A64" s="111">
        <f>'Student Basic Info'!A64</f>
        <v>763</v>
      </c>
      <c r="B64" s="112" t="str">
        <f>'Student Basic Info'!C64</f>
        <v>Sujayet Hosain</v>
      </c>
      <c r="C64" s="113">
        <f>'Detailed Summary'!AO64</f>
        <v>3</v>
      </c>
      <c r="D64" s="113">
        <f>'Detailed Summary'!AP64</f>
        <v>1</v>
      </c>
      <c r="E64" s="113">
        <f>'Detailed Summary'!AQ64</f>
        <v>0</v>
      </c>
      <c r="F64" s="113">
        <f>'Detailed Summary'!AR64</f>
        <v>0</v>
      </c>
      <c r="G64" s="113">
        <f>'Detailed Summary'!AS64</f>
        <v>3</v>
      </c>
      <c r="H64" s="113">
        <f>'Detailed Summary'!AT64</f>
        <v>3</v>
      </c>
      <c r="I64" s="113">
        <f>'Detailed Summary'!AV64</f>
        <v>0</v>
      </c>
      <c r="J64" s="113">
        <f>'Detailed Summary'!AW64</f>
        <v>0</v>
      </c>
      <c r="K64" s="114">
        <f>'Detailed Summary'!AY64</f>
        <v>10</v>
      </c>
      <c r="L64" s="7" t="str">
        <f>'Detailed Summary'!AZ64</f>
        <v/>
      </c>
      <c r="M64" s="115" t="str">
        <f>'Detailed Summary'!BJ64</f>
        <v>Failed in 2 Subjects</v>
      </c>
      <c r="N64" s="7" t="str">
        <f>'Detailed Summary'!BA64</f>
        <v/>
      </c>
      <c r="O64" s="7" t="str">
        <f t="shared" si="1"/>
        <v/>
      </c>
      <c r="P64" s="116" t="str">
        <f>'Detailed Summary'!BK64</f>
        <v/>
      </c>
    </row>
    <row r="65" spans="1:16" x14ac:dyDescent="0.35">
      <c r="A65" s="111">
        <f>'Student Basic Info'!A65</f>
        <v>764</v>
      </c>
      <c r="B65" s="112" t="str">
        <f>'Student Basic Info'!C65</f>
        <v>Kishor Chandra Nath</v>
      </c>
      <c r="C65" s="113">
        <f>'Detailed Summary'!AO65</f>
        <v>0</v>
      </c>
      <c r="D65" s="113">
        <f>'Detailed Summary'!AP65</f>
        <v>0</v>
      </c>
      <c r="E65" s="113">
        <f>'Detailed Summary'!AQ65</f>
        <v>0</v>
      </c>
      <c r="F65" s="113">
        <f>'Detailed Summary'!AR65</f>
        <v>0</v>
      </c>
      <c r="G65" s="113">
        <f>'Detailed Summary'!AS65</f>
        <v>0</v>
      </c>
      <c r="H65" s="113">
        <f>'Detailed Summary'!AT65</f>
        <v>0</v>
      </c>
      <c r="I65" s="113">
        <f>'Detailed Summary'!AV65</f>
        <v>0</v>
      </c>
      <c r="J65" s="113">
        <f>'Detailed Summary'!AW65</f>
        <v>0</v>
      </c>
      <c r="K65" s="114" t="str">
        <f>'Detailed Summary'!AY65</f>
        <v/>
      </c>
      <c r="L65" s="7" t="str">
        <f>'Detailed Summary'!AZ65</f>
        <v/>
      </c>
      <c r="M65" s="115" t="str">
        <f>'Detailed Summary'!BJ65</f>
        <v>Failed in 6 Subjects</v>
      </c>
      <c r="N65" s="7" t="str">
        <f>'Detailed Summary'!BA65</f>
        <v/>
      </c>
      <c r="O65" s="7" t="str">
        <f t="shared" si="1"/>
        <v/>
      </c>
      <c r="P65" s="116" t="str">
        <f>'Detailed Summary'!BK65</f>
        <v/>
      </c>
    </row>
    <row r="66" spans="1:16" x14ac:dyDescent="0.35">
      <c r="A66" s="111">
        <f>'Student Basic Info'!A66</f>
        <v>765</v>
      </c>
      <c r="B66" s="112" t="str">
        <f>'Student Basic Info'!C66</f>
        <v>Apurbo Shorma Apu</v>
      </c>
      <c r="C66" s="113">
        <f>'Detailed Summary'!AO66</f>
        <v>3</v>
      </c>
      <c r="D66" s="113">
        <f>'Detailed Summary'!AP66</f>
        <v>3</v>
      </c>
      <c r="E66" s="113">
        <f>'Detailed Summary'!AQ66</f>
        <v>4</v>
      </c>
      <c r="F66" s="113">
        <f>'Detailed Summary'!AR66</f>
        <v>3</v>
      </c>
      <c r="G66" s="113">
        <f>'Detailed Summary'!AS66</f>
        <v>4</v>
      </c>
      <c r="H66" s="113">
        <f>'Detailed Summary'!AT66</f>
        <v>3</v>
      </c>
      <c r="I66" s="113">
        <f>'Detailed Summary'!AV66</f>
        <v>0</v>
      </c>
      <c r="J66" s="113">
        <f>'Detailed Summary'!AW66</f>
        <v>0</v>
      </c>
      <c r="K66" s="114">
        <f>'Detailed Summary'!AY66</f>
        <v>20</v>
      </c>
      <c r="L66" s="7">
        <f>'Detailed Summary'!AZ66</f>
        <v>3.3333333333333335</v>
      </c>
      <c r="M66" s="115" t="str">
        <f>'Detailed Summary'!BJ66</f>
        <v>Pass</v>
      </c>
      <c r="N66" s="7">
        <f>'Detailed Summary'!BA66</f>
        <v>3.3333333333333335</v>
      </c>
      <c r="O66" s="7" t="str">
        <f t="shared" ref="O66:O88" si="2">IF(N66&gt;=5,"",IF(N66&gt;=4,"A",IF(N66&gt;=3.5,"A-",IF(N66&gt;=3,"B",IF(N66&gt;=2,"C",IF(N66&gt;=1,"D","F"))))))</f>
        <v>B</v>
      </c>
      <c r="P66" s="116">
        <f>'Detailed Summary'!BK66</f>
        <v>5</v>
      </c>
    </row>
    <row r="67" spans="1:16" x14ac:dyDescent="0.35">
      <c r="A67" s="111">
        <f>'Student Basic Info'!A67</f>
        <v>766</v>
      </c>
      <c r="B67" s="112" t="str">
        <f>'Student Basic Info'!C67</f>
        <v xml:space="preserve">Md. Ibrahim Khalil </v>
      </c>
      <c r="C67" s="113">
        <f>'Detailed Summary'!AO67</f>
        <v>3</v>
      </c>
      <c r="D67" s="113">
        <f>'Detailed Summary'!AP67</f>
        <v>2</v>
      </c>
      <c r="E67" s="113">
        <f>'Detailed Summary'!AQ67</f>
        <v>3.5</v>
      </c>
      <c r="F67" s="113">
        <f>'Detailed Summary'!AR67</f>
        <v>4</v>
      </c>
      <c r="G67" s="113">
        <f>'Detailed Summary'!AS67</f>
        <v>3.5</v>
      </c>
      <c r="H67" s="113">
        <f>'Detailed Summary'!AT67</f>
        <v>3</v>
      </c>
      <c r="I67" s="113">
        <f>'Detailed Summary'!AV67</f>
        <v>0</v>
      </c>
      <c r="J67" s="113">
        <f>'Detailed Summary'!AW67</f>
        <v>0</v>
      </c>
      <c r="K67" s="114">
        <f>'Detailed Summary'!AY67</f>
        <v>19</v>
      </c>
      <c r="L67" s="7">
        <f>'Detailed Summary'!AZ67</f>
        <v>3.1666666666666665</v>
      </c>
      <c r="M67" s="115" t="str">
        <f>'Detailed Summary'!BJ67</f>
        <v>Pass</v>
      </c>
      <c r="N67" s="7">
        <f>'Detailed Summary'!BA67</f>
        <v>3.1666666666666665</v>
      </c>
      <c r="O67" s="7" t="str">
        <f t="shared" si="2"/>
        <v>B</v>
      </c>
      <c r="P67" s="116">
        <f>'Detailed Summary'!BK67</f>
        <v>7</v>
      </c>
    </row>
    <row r="68" spans="1:16" x14ac:dyDescent="0.35">
      <c r="A68" s="111">
        <f>'Student Basic Info'!A68</f>
        <v>767</v>
      </c>
      <c r="B68" s="112" t="str">
        <f>'Student Basic Info'!C68</f>
        <v>Ayman Mahmud Tawsif</v>
      </c>
      <c r="C68" s="113">
        <f>'Detailed Summary'!AO68</f>
        <v>3.5</v>
      </c>
      <c r="D68" s="113">
        <f>'Detailed Summary'!AP68</f>
        <v>3</v>
      </c>
      <c r="E68" s="113">
        <f>'Detailed Summary'!AQ68</f>
        <v>4</v>
      </c>
      <c r="F68" s="113">
        <f>'Detailed Summary'!AR68</f>
        <v>4</v>
      </c>
      <c r="G68" s="113">
        <f>'Detailed Summary'!AS68</f>
        <v>3</v>
      </c>
      <c r="H68" s="113">
        <f>'Detailed Summary'!AT68</f>
        <v>3</v>
      </c>
      <c r="I68" s="113">
        <f>'Detailed Summary'!AV68</f>
        <v>0</v>
      </c>
      <c r="J68" s="113">
        <f>'Detailed Summary'!AW68</f>
        <v>0</v>
      </c>
      <c r="K68" s="114">
        <f>'Detailed Summary'!AY68</f>
        <v>20.5</v>
      </c>
      <c r="L68" s="7">
        <f>'Detailed Summary'!AZ68</f>
        <v>3.4166666666666665</v>
      </c>
      <c r="M68" s="115" t="str">
        <f>'Detailed Summary'!BJ68</f>
        <v>Pass</v>
      </c>
      <c r="N68" s="7">
        <f>'Detailed Summary'!BA68</f>
        <v>3.4166666666666665</v>
      </c>
      <c r="O68" s="7" t="str">
        <f t="shared" si="2"/>
        <v>B</v>
      </c>
      <c r="P68" s="116">
        <f>'Detailed Summary'!BK68</f>
        <v>4</v>
      </c>
    </row>
    <row r="69" spans="1:16" x14ac:dyDescent="0.35">
      <c r="A69" s="111">
        <f>'Student Basic Info'!A69</f>
        <v>768</v>
      </c>
      <c r="B69" s="112" t="str">
        <f>'Student Basic Info'!C69</f>
        <v>Tanvir Hosain</v>
      </c>
      <c r="C69" s="113">
        <f>'Detailed Summary'!AO69</f>
        <v>2</v>
      </c>
      <c r="D69" s="113">
        <f>'Detailed Summary'!AP69</f>
        <v>0</v>
      </c>
      <c r="E69" s="113">
        <f>'Detailed Summary'!AQ69</f>
        <v>3</v>
      </c>
      <c r="F69" s="113">
        <f>'Detailed Summary'!AR69</f>
        <v>3</v>
      </c>
      <c r="G69" s="113">
        <f>'Detailed Summary'!AS69</f>
        <v>0</v>
      </c>
      <c r="H69" s="113">
        <f>'Detailed Summary'!AT69</f>
        <v>2</v>
      </c>
      <c r="I69" s="113">
        <f>'Detailed Summary'!AV69</f>
        <v>0</v>
      </c>
      <c r="J69" s="113">
        <f>'Detailed Summary'!AW69</f>
        <v>0</v>
      </c>
      <c r="K69" s="114">
        <f>'Detailed Summary'!AY69</f>
        <v>10</v>
      </c>
      <c r="L69" s="7" t="str">
        <f>'Detailed Summary'!AZ69</f>
        <v/>
      </c>
      <c r="M69" s="115" t="str">
        <f>'Detailed Summary'!BJ69</f>
        <v>Failed in 2 Subjects</v>
      </c>
      <c r="N69" s="7" t="str">
        <f>'Detailed Summary'!BA69</f>
        <v/>
      </c>
      <c r="O69" s="7" t="str">
        <f t="shared" si="2"/>
        <v/>
      </c>
      <c r="P69" s="116" t="str">
        <f>'Detailed Summary'!BK69</f>
        <v/>
      </c>
    </row>
    <row r="70" spans="1:16" x14ac:dyDescent="0.35">
      <c r="A70" s="111">
        <f>'Student Basic Info'!A70</f>
        <v>769</v>
      </c>
      <c r="B70" s="112" t="str">
        <f>'Student Basic Info'!C70</f>
        <v>Abdullah Al Noman</v>
      </c>
      <c r="C70" s="113" t="str">
        <f>'Detailed Summary'!AO70</f>
        <v/>
      </c>
      <c r="D70" s="113" t="str">
        <f>'Detailed Summary'!AP70</f>
        <v/>
      </c>
      <c r="E70" s="113" t="str">
        <f>'Detailed Summary'!AQ70</f>
        <v/>
      </c>
      <c r="F70" s="113" t="str">
        <f>'Detailed Summary'!AR70</f>
        <v/>
      </c>
      <c r="G70" s="113">
        <f>'Detailed Summary'!AS70</f>
        <v>0</v>
      </c>
      <c r="H70" s="113" t="str">
        <f>'Detailed Summary'!AT70</f>
        <v/>
      </c>
      <c r="I70" s="113">
        <f>'Detailed Summary'!AV70</f>
        <v>0</v>
      </c>
      <c r="J70" s="113">
        <f>'Detailed Summary'!AW70</f>
        <v>0</v>
      </c>
      <c r="K70" s="114" t="str">
        <f>'Detailed Summary'!AY70</f>
        <v/>
      </c>
      <c r="L70" s="7" t="str">
        <f>'Detailed Summary'!AZ70</f>
        <v/>
      </c>
      <c r="M70" s="115" t="str">
        <f>'Detailed Summary'!BJ70</f>
        <v>Failed in 6 Subjects</v>
      </c>
      <c r="N70" s="7" t="str">
        <f>'Detailed Summary'!BA70</f>
        <v/>
      </c>
      <c r="O70" s="7" t="str">
        <f t="shared" si="2"/>
        <v/>
      </c>
      <c r="P70" s="116" t="str">
        <f>'Detailed Summary'!BK70</f>
        <v/>
      </c>
    </row>
    <row r="71" spans="1:16" x14ac:dyDescent="0.35">
      <c r="A71" s="111">
        <f>'Student Basic Info'!A71</f>
        <v>770</v>
      </c>
      <c r="B71" s="112" t="str">
        <f>'Student Basic Info'!C71</f>
        <v>Ashraf Uddal</v>
      </c>
      <c r="C71" s="113">
        <f>'Detailed Summary'!AO71</f>
        <v>0</v>
      </c>
      <c r="D71" s="113">
        <f>'Detailed Summary'!AP71</f>
        <v>0</v>
      </c>
      <c r="E71" s="113">
        <f>'Detailed Summary'!AQ71</f>
        <v>0</v>
      </c>
      <c r="F71" s="113">
        <f>'Detailed Summary'!AR71</f>
        <v>0</v>
      </c>
      <c r="G71" s="113" t="str">
        <f>'Detailed Summary'!AS71</f>
        <v/>
      </c>
      <c r="H71" s="113">
        <f>'Detailed Summary'!AT71</f>
        <v>0</v>
      </c>
      <c r="I71" s="113">
        <f>'Detailed Summary'!AV71</f>
        <v>0</v>
      </c>
      <c r="J71" s="113">
        <f>'Detailed Summary'!AW71</f>
        <v>0</v>
      </c>
      <c r="K71" s="114" t="str">
        <f>'Detailed Summary'!AY71</f>
        <v/>
      </c>
      <c r="L71" s="7" t="str">
        <f>'Detailed Summary'!AZ71</f>
        <v/>
      </c>
      <c r="M71" s="115" t="str">
        <f>'Detailed Summary'!BJ71</f>
        <v>Failed in 6 Subjects</v>
      </c>
      <c r="N71" s="7" t="str">
        <f>'Detailed Summary'!BA71</f>
        <v/>
      </c>
      <c r="O71" s="7" t="str">
        <f t="shared" si="2"/>
        <v/>
      </c>
      <c r="P71" s="116" t="str">
        <f>'Detailed Summary'!BK71</f>
        <v/>
      </c>
    </row>
    <row r="72" spans="1:16" x14ac:dyDescent="0.35">
      <c r="A72" s="111">
        <f>'Student Basic Info'!A72</f>
        <v>771</v>
      </c>
      <c r="B72" s="112" t="str">
        <f>'Student Basic Info'!C72</f>
        <v>Mesfar Uddin Ripti</v>
      </c>
      <c r="C72" s="113" t="str">
        <f>'Detailed Summary'!AO72</f>
        <v/>
      </c>
      <c r="D72" s="113" t="str">
        <f>'Detailed Summary'!AP72</f>
        <v/>
      </c>
      <c r="E72" s="113" t="str">
        <f>'Detailed Summary'!AQ72</f>
        <v/>
      </c>
      <c r="F72" s="113">
        <f>'Detailed Summary'!AR72</f>
        <v>0</v>
      </c>
      <c r="G72" s="113" t="str">
        <f>'Detailed Summary'!AS72</f>
        <v/>
      </c>
      <c r="H72" s="113">
        <f>'Detailed Summary'!AT72</f>
        <v>0</v>
      </c>
      <c r="I72" s="113" t="str">
        <f>'Detailed Summary'!AV72</f>
        <v/>
      </c>
      <c r="J72" s="113" t="str">
        <f>'Detailed Summary'!AW72</f>
        <v/>
      </c>
      <c r="K72" s="114" t="str">
        <f>'Detailed Summary'!AY72</f>
        <v/>
      </c>
      <c r="L72" s="7" t="str">
        <f>'Detailed Summary'!AZ72</f>
        <v/>
      </c>
      <c r="M72" s="115" t="str">
        <f>'Detailed Summary'!BJ72</f>
        <v>Failed in 6 Subjects</v>
      </c>
      <c r="N72" s="7" t="str">
        <f>'Detailed Summary'!BA72</f>
        <v/>
      </c>
      <c r="O72" s="7" t="str">
        <f t="shared" si="2"/>
        <v/>
      </c>
      <c r="P72" s="116" t="str">
        <f>'Detailed Summary'!BK72</f>
        <v/>
      </c>
    </row>
    <row r="73" spans="1:16" x14ac:dyDescent="0.35">
      <c r="A73" s="111">
        <f>'Student Basic Info'!A73</f>
        <v>772</v>
      </c>
      <c r="B73" s="112" t="str">
        <f>'Student Basic Info'!C73</f>
        <v>Shoikot Chandra Shil</v>
      </c>
      <c r="C73" s="113">
        <f>'Detailed Summary'!AO73</f>
        <v>0</v>
      </c>
      <c r="D73" s="113">
        <f>'Detailed Summary'!AP73</f>
        <v>0</v>
      </c>
      <c r="E73" s="113">
        <f>'Detailed Summary'!AQ73</f>
        <v>0</v>
      </c>
      <c r="F73" s="113">
        <f>'Detailed Summary'!AR73</f>
        <v>0</v>
      </c>
      <c r="G73" s="113" t="str">
        <f>'Detailed Summary'!AS73</f>
        <v/>
      </c>
      <c r="H73" s="113">
        <f>'Detailed Summary'!AT73</f>
        <v>0</v>
      </c>
      <c r="I73" s="113">
        <f>'Detailed Summary'!AV73</f>
        <v>0</v>
      </c>
      <c r="J73" s="113">
        <f>'Detailed Summary'!AW73</f>
        <v>0</v>
      </c>
      <c r="K73" s="114" t="str">
        <f>'Detailed Summary'!AY73</f>
        <v/>
      </c>
      <c r="L73" s="7" t="str">
        <f>'Detailed Summary'!AZ73</f>
        <v/>
      </c>
      <c r="M73" s="115" t="str">
        <f>'Detailed Summary'!BJ73</f>
        <v>Failed in 6 Subjects</v>
      </c>
      <c r="N73" s="7" t="str">
        <f>'Detailed Summary'!BA73</f>
        <v/>
      </c>
      <c r="O73" s="7" t="str">
        <f t="shared" si="2"/>
        <v/>
      </c>
      <c r="P73" s="116" t="str">
        <f>'Detailed Summary'!BK73</f>
        <v/>
      </c>
    </row>
    <row r="74" spans="1:16" x14ac:dyDescent="0.35">
      <c r="A74" s="111">
        <f>'Student Basic Info'!A74</f>
        <v>773</v>
      </c>
      <c r="B74" s="112" t="str">
        <f>'Student Basic Info'!C74</f>
        <v>Shourov Chandra Shil</v>
      </c>
      <c r="C74" s="113">
        <f>'Detailed Summary'!AO74</f>
        <v>0</v>
      </c>
      <c r="D74" s="113">
        <f>'Detailed Summary'!AP74</f>
        <v>0</v>
      </c>
      <c r="E74" s="113">
        <f>'Detailed Summary'!AQ74</f>
        <v>0</v>
      </c>
      <c r="F74" s="113">
        <f>'Detailed Summary'!AR74</f>
        <v>0</v>
      </c>
      <c r="G74" s="113" t="str">
        <f>'Detailed Summary'!AS74</f>
        <v/>
      </c>
      <c r="H74" s="113">
        <f>'Detailed Summary'!AT74</f>
        <v>0</v>
      </c>
      <c r="I74" s="113">
        <f>'Detailed Summary'!AV74</f>
        <v>0</v>
      </c>
      <c r="J74" s="113">
        <f>'Detailed Summary'!AW74</f>
        <v>0</v>
      </c>
      <c r="K74" s="114" t="str">
        <f>'Detailed Summary'!AY74</f>
        <v/>
      </c>
      <c r="L74" s="7" t="str">
        <f>'Detailed Summary'!AZ74</f>
        <v/>
      </c>
      <c r="M74" s="115" t="str">
        <f>'Detailed Summary'!BJ74</f>
        <v>Failed in 6 Subjects</v>
      </c>
      <c r="N74" s="7" t="str">
        <f>'Detailed Summary'!BA74</f>
        <v/>
      </c>
      <c r="O74" s="7" t="str">
        <f t="shared" si="2"/>
        <v/>
      </c>
      <c r="P74" s="116" t="str">
        <f>'Detailed Summary'!BK74</f>
        <v/>
      </c>
    </row>
    <row r="75" spans="1:16" x14ac:dyDescent="0.35">
      <c r="A75" s="111">
        <f>'Student Basic Info'!A75</f>
        <v>774</v>
      </c>
      <c r="B75" s="112" t="str">
        <f>'Student Basic Info'!C75</f>
        <v>Nur Islam</v>
      </c>
      <c r="C75" s="113">
        <f>'Detailed Summary'!AO75</f>
        <v>3.5</v>
      </c>
      <c r="D75" s="113">
        <f>'Detailed Summary'!AP75</f>
        <v>0</v>
      </c>
      <c r="E75" s="113">
        <f>'Detailed Summary'!AQ75</f>
        <v>3</v>
      </c>
      <c r="F75" s="113">
        <f>'Detailed Summary'!AR75</f>
        <v>2</v>
      </c>
      <c r="G75" s="113">
        <f>'Detailed Summary'!AS75</f>
        <v>0</v>
      </c>
      <c r="H75" s="113">
        <f>'Detailed Summary'!AT75</f>
        <v>0</v>
      </c>
      <c r="I75" s="113">
        <f>'Detailed Summary'!AV75</f>
        <v>0</v>
      </c>
      <c r="J75" s="113">
        <f>'Detailed Summary'!AW75</f>
        <v>0</v>
      </c>
      <c r="K75" s="114">
        <f>'Detailed Summary'!AY75</f>
        <v>8.5</v>
      </c>
      <c r="L75" s="7" t="str">
        <f>'Detailed Summary'!AZ75</f>
        <v/>
      </c>
      <c r="M75" s="115" t="str">
        <f>'Detailed Summary'!BJ75</f>
        <v>Failed in 3 Subjects</v>
      </c>
      <c r="N75" s="7" t="str">
        <f>'Detailed Summary'!BA75</f>
        <v/>
      </c>
      <c r="O75" s="7" t="str">
        <f t="shared" si="2"/>
        <v/>
      </c>
      <c r="P75" s="116" t="str">
        <f>'Detailed Summary'!BK75</f>
        <v/>
      </c>
    </row>
    <row r="76" spans="1:16" x14ac:dyDescent="0.35">
      <c r="A76" s="111">
        <f>'Student Basic Info'!A76</f>
        <v>775</v>
      </c>
      <c r="B76" s="112" t="str">
        <f>'Student Basic Info'!C76</f>
        <v>Nur Mohammad Rimon</v>
      </c>
      <c r="C76" s="113">
        <f>'Detailed Summary'!AO76</f>
        <v>0</v>
      </c>
      <c r="D76" s="113">
        <f>'Detailed Summary'!AP76</f>
        <v>0</v>
      </c>
      <c r="E76" s="113">
        <f>'Detailed Summary'!AQ76</f>
        <v>0</v>
      </c>
      <c r="F76" s="113">
        <f>'Detailed Summary'!AR76</f>
        <v>0</v>
      </c>
      <c r="G76" s="113" t="str">
        <f>'Detailed Summary'!AS76</f>
        <v/>
      </c>
      <c r="H76" s="113">
        <f>'Detailed Summary'!AT76</f>
        <v>0</v>
      </c>
      <c r="I76" s="113" t="str">
        <f>'Detailed Summary'!AV76</f>
        <v/>
      </c>
      <c r="J76" s="113" t="str">
        <f>'Detailed Summary'!AW76</f>
        <v/>
      </c>
      <c r="K76" s="114" t="str">
        <f>'Detailed Summary'!AY76</f>
        <v/>
      </c>
      <c r="L76" s="7" t="str">
        <f>'Detailed Summary'!AZ76</f>
        <v/>
      </c>
      <c r="M76" s="115" t="str">
        <f>'Detailed Summary'!BJ76</f>
        <v>Failed in 6 Subjects</v>
      </c>
      <c r="N76" s="7" t="str">
        <f>'Detailed Summary'!BA76</f>
        <v/>
      </c>
      <c r="O76" s="7" t="str">
        <f t="shared" si="2"/>
        <v/>
      </c>
      <c r="P76" s="116" t="str">
        <f>'Detailed Summary'!BK76</f>
        <v/>
      </c>
    </row>
    <row r="77" spans="1:16" x14ac:dyDescent="0.35">
      <c r="A77" s="111">
        <f>'Student Basic Info'!A77</f>
        <v>776</v>
      </c>
      <c r="B77" s="112" t="str">
        <f>'Student Basic Info'!C77</f>
        <v>Saifullah Mansur</v>
      </c>
      <c r="C77" s="113">
        <f>'Detailed Summary'!AO77</f>
        <v>0</v>
      </c>
      <c r="D77" s="113">
        <f>'Detailed Summary'!AP77</f>
        <v>0</v>
      </c>
      <c r="E77" s="113">
        <f>'Detailed Summary'!AQ77</f>
        <v>0</v>
      </c>
      <c r="F77" s="113">
        <f>'Detailed Summary'!AR77</f>
        <v>0</v>
      </c>
      <c r="G77" s="113">
        <f>'Detailed Summary'!AS77</f>
        <v>0</v>
      </c>
      <c r="H77" s="113">
        <f>'Detailed Summary'!AT77</f>
        <v>0</v>
      </c>
      <c r="I77" s="113">
        <f>'Detailed Summary'!AV77</f>
        <v>0</v>
      </c>
      <c r="J77" s="113">
        <f>'Detailed Summary'!AW77</f>
        <v>0</v>
      </c>
      <c r="K77" s="114" t="str">
        <f>'Detailed Summary'!AY77</f>
        <v/>
      </c>
      <c r="L77" s="7" t="str">
        <f>'Detailed Summary'!AZ77</f>
        <v/>
      </c>
      <c r="M77" s="115" t="str">
        <f>'Detailed Summary'!BJ77</f>
        <v>Failed in 6 Subjects</v>
      </c>
      <c r="N77" s="7" t="str">
        <f>'Detailed Summary'!BA77</f>
        <v/>
      </c>
      <c r="O77" s="7" t="str">
        <f t="shared" si="2"/>
        <v/>
      </c>
      <c r="P77" s="116" t="str">
        <f>'Detailed Summary'!BK77</f>
        <v/>
      </c>
    </row>
    <row r="78" spans="1:16" x14ac:dyDescent="0.35">
      <c r="A78" s="111">
        <f>'Student Basic Info'!A78</f>
        <v>777</v>
      </c>
      <c r="B78" s="112" t="str">
        <f>'Student Basic Info'!C78</f>
        <v>Zunayed Al Mamun</v>
      </c>
      <c r="C78" s="113" t="str">
        <f>'Detailed Summary'!AO78</f>
        <v/>
      </c>
      <c r="D78" s="113" t="str">
        <f>'Detailed Summary'!AP78</f>
        <v/>
      </c>
      <c r="E78" s="113" t="str">
        <f>'Detailed Summary'!AQ78</f>
        <v/>
      </c>
      <c r="F78" s="113" t="str">
        <f>'Detailed Summary'!AR78</f>
        <v/>
      </c>
      <c r="G78" s="113" t="str">
        <f>'Detailed Summary'!AS78</f>
        <v/>
      </c>
      <c r="H78" s="113" t="str">
        <f>'Detailed Summary'!AT78</f>
        <v/>
      </c>
      <c r="I78" s="113" t="str">
        <f>'Detailed Summary'!AV78</f>
        <v/>
      </c>
      <c r="J78" s="113" t="str">
        <f>'Detailed Summary'!AW78</f>
        <v/>
      </c>
      <c r="K78" s="114" t="str">
        <f>'Detailed Summary'!AY78</f>
        <v/>
      </c>
      <c r="L78" s="7" t="str">
        <f>'Detailed Summary'!AZ78</f>
        <v/>
      </c>
      <c r="M78" s="115" t="str">
        <f>'Detailed Summary'!BJ78</f>
        <v>Failed in 6 Subjects</v>
      </c>
      <c r="N78" s="7" t="str">
        <f>'Detailed Summary'!BA78</f>
        <v/>
      </c>
      <c r="O78" s="7" t="str">
        <f t="shared" si="2"/>
        <v/>
      </c>
      <c r="P78" s="116" t="str">
        <f>'Detailed Summary'!BK78</f>
        <v/>
      </c>
    </row>
    <row r="79" spans="1:16" x14ac:dyDescent="0.35">
      <c r="A79" s="111">
        <f>'Student Basic Info'!A79</f>
        <v>778</v>
      </c>
      <c r="B79" s="112" t="str">
        <f>'Student Basic Info'!C79</f>
        <v>Al Hosain</v>
      </c>
      <c r="C79" s="113" t="str">
        <f>'Detailed Summary'!AO79</f>
        <v/>
      </c>
      <c r="D79" s="113" t="str">
        <f>'Detailed Summary'!AP79</f>
        <v/>
      </c>
      <c r="E79" s="113" t="str">
        <f>'Detailed Summary'!AQ79</f>
        <v/>
      </c>
      <c r="F79" s="113" t="str">
        <f>'Detailed Summary'!AR79</f>
        <v/>
      </c>
      <c r="G79" s="113" t="str">
        <f>'Detailed Summary'!AS79</f>
        <v/>
      </c>
      <c r="H79" s="113" t="str">
        <f>'Detailed Summary'!AT79</f>
        <v/>
      </c>
      <c r="I79" s="113" t="str">
        <f>'Detailed Summary'!AV79</f>
        <v/>
      </c>
      <c r="J79" s="113" t="str">
        <f>'Detailed Summary'!AW79</f>
        <v/>
      </c>
      <c r="K79" s="114" t="str">
        <f>'Detailed Summary'!AY79</f>
        <v/>
      </c>
      <c r="L79" s="7" t="str">
        <f>'Detailed Summary'!AZ79</f>
        <v/>
      </c>
      <c r="M79" s="115" t="str">
        <f>'Detailed Summary'!BJ79</f>
        <v>Failed in 6 Subjects</v>
      </c>
      <c r="N79" s="7" t="str">
        <f>'Detailed Summary'!BA79</f>
        <v/>
      </c>
      <c r="O79" s="7" t="str">
        <f t="shared" si="2"/>
        <v/>
      </c>
      <c r="P79" s="116" t="str">
        <f>'Detailed Summary'!BK79</f>
        <v/>
      </c>
    </row>
    <row r="80" spans="1:16" x14ac:dyDescent="0.35">
      <c r="A80" s="111">
        <f>'Student Basic Info'!A80</f>
        <v>779</v>
      </c>
      <c r="B80" s="112" t="str">
        <f>'Student Basic Info'!C80</f>
        <v>Azizul Haque</v>
      </c>
      <c r="C80" s="113">
        <f>'Detailed Summary'!AO80</f>
        <v>0</v>
      </c>
      <c r="D80" s="113">
        <f>'Detailed Summary'!AP80</f>
        <v>0</v>
      </c>
      <c r="E80" s="113">
        <f>'Detailed Summary'!AQ80</f>
        <v>0</v>
      </c>
      <c r="F80" s="113">
        <f>'Detailed Summary'!AR80</f>
        <v>0</v>
      </c>
      <c r="G80" s="113">
        <f>'Detailed Summary'!AS80</f>
        <v>0</v>
      </c>
      <c r="H80" s="113">
        <f>'Detailed Summary'!AT80</f>
        <v>0</v>
      </c>
      <c r="I80" s="113">
        <f>'Detailed Summary'!AV80</f>
        <v>0</v>
      </c>
      <c r="J80" s="113">
        <f>'Detailed Summary'!AW80</f>
        <v>0</v>
      </c>
      <c r="K80" s="114" t="str">
        <f>'Detailed Summary'!AY80</f>
        <v/>
      </c>
      <c r="L80" s="7" t="str">
        <f>'Detailed Summary'!AZ80</f>
        <v/>
      </c>
      <c r="M80" s="115" t="str">
        <f>'Detailed Summary'!BJ80</f>
        <v>Failed in 6 Subjects</v>
      </c>
      <c r="N80" s="7" t="str">
        <f>'Detailed Summary'!BA80</f>
        <v/>
      </c>
      <c r="O80" s="7" t="str">
        <f t="shared" si="2"/>
        <v/>
      </c>
      <c r="P80" s="116" t="str">
        <f>'Detailed Summary'!BK80</f>
        <v/>
      </c>
    </row>
    <row r="81" spans="1:16" x14ac:dyDescent="0.35">
      <c r="A81" s="111">
        <f>'Student Basic Info'!A81</f>
        <v>780</v>
      </c>
      <c r="B81" s="112" t="str">
        <f>'Student Basic Info'!C81</f>
        <v>Farjana Aktar</v>
      </c>
      <c r="C81" s="113">
        <f>'Detailed Summary'!AO81</f>
        <v>2</v>
      </c>
      <c r="D81" s="113">
        <f>'Detailed Summary'!AP81</f>
        <v>0</v>
      </c>
      <c r="E81" s="113">
        <f>'Detailed Summary'!AQ81</f>
        <v>0</v>
      </c>
      <c r="F81" s="113">
        <f>'Detailed Summary'!AR81</f>
        <v>0</v>
      </c>
      <c r="G81" s="113">
        <f>'Detailed Summary'!AS81</f>
        <v>0</v>
      </c>
      <c r="H81" s="113">
        <f>'Detailed Summary'!AT81</f>
        <v>0</v>
      </c>
      <c r="I81" s="113">
        <f>'Detailed Summary'!AV81</f>
        <v>0</v>
      </c>
      <c r="J81" s="113">
        <f>'Detailed Summary'!AW81</f>
        <v>0</v>
      </c>
      <c r="K81" s="114">
        <f>'Detailed Summary'!AY81</f>
        <v>2</v>
      </c>
      <c r="L81" s="7" t="str">
        <f>'Detailed Summary'!AZ81</f>
        <v/>
      </c>
      <c r="M81" s="115" t="str">
        <f>'Detailed Summary'!BJ81</f>
        <v>Failed in 5 Subjects</v>
      </c>
      <c r="N81" s="7" t="str">
        <f>'Detailed Summary'!BA81</f>
        <v/>
      </c>
      <c r="O81" s="7" t="str">
        <f t="shared" si="2"/>
        <v/>
      </c>
      <c r="P81" s="116" t="str">
        <f>'Detailed Summary'!BK81</f>
        <v/>
      </c>
    </row>
    <row r="82" spans="1:16" x14ac:dyDescent="0.35">
      <c r="A82" s="111">
        <f>'Student Basic Info'!A82</f>
        <v>781</v>
      </c>
      <c r="B82" s="112" t="str">
        <f>'Student Basic Info'!C82</f>
        <v>Imam Hosain</v>
      </c>
      <c r="C82" s="113" t="str">
        <f>'Detailed Summary'!AO82</f>
        <v/>
      </c>
      <c r="D82" s="113" t="str">
        <f>'Detailed Summary'!AP82</f>
        <v/>
      </c>
      <c r="E82" s="113" t="str">
        <f>'Detailed Summary'!AQ82</f>
        <v/>
      </c>
      <c r="F82" s="113" t="str">
        <f>'Detailed Summary'!AR82</f>
        <v/>
      </c>
      <c r="G82" s="113" t="str">
        <f>'Detailed Summary'!AS82</f>
        <v/>
      </c>
      <c r="H82" s="113" t="str">
        <f>'Detailed Summary'!AT82</f>
        <v/>
      </c>
      <c r="I82" s="113" t="str">
        <f>'Detailed Summary'!AV82</f>
        <v/>
      </c>
      <c r="J82" s="113" t="str">
        <f>'Detailed Summary'!AW82</f>
        <v/>
      </c>
      <c r="K82" s="114" t="str">
        <f>'Detailed Summary'!AY82</f>
        <v/>
      </c>
      <c r="L82" s="7" t="str">
        <f>'Detailed Summary'!AZ82</f>
        <v/>
      </c>
      <c r="M82" s="115" t="str">
        <f>'Detailed Summary'!BJ82</f>
        <v>Failed in 6 Subjects</v>
      </c>
      <c r="N82" s="7" t="str">
        <f>'Detailed Summary'!BA82</f>
        <v/>
      </c>
      <c r="O82" s="7" t="str">
        <f t="shared" si="2"/>
        <v/>
      </c>
      <c r="P82" s="116" t="str">
        <f>'Detailed Summary'!BK82</f>
        <v/>
      </c>
    </row>
    <row r="83" spans="1:16" x14ac:dyDescent="0.35">
      <c r="A83" s="111">
        <f>'Student Basic Info'!A83</f>
        <v>782</v>
      </c>
      <c r="B83" s="112" t="str">
        <f>'Student Basic Info'!C83</f>
        <v>Asiya Aktar Hira</v>
      </c>
      <c r="C83" s="113">
        <f>'Detailed Summary'!AO83</f>
        <v>3</v>
      </c>
      <c r="D83" s="113">
        <f>'Detailed Summary'!AP83</f>
        <v>2</v>
      </c>
      <c r="E83" s="113">
        <f>'Detailed Summary'!AQ83</f>
        <v>0</v>
      </c>
      <c r="F83" s="113">
        <f>'Detailed Summary'!AR83</f>
        <v>0</v>
      </c>
      <c r="G83" s="113">
        <f>'Detailed Summary'!AS83</f>
        <v>0</v>
      </c>
      <c r="H83" s="113">
        <f>'Detailed Summary'!AT83</f>
        <v>0</v>
      </c>
      <c r="I83" s="113">
        <f>'Detailed Summary'!AV83</f>
        <v>0</v>
      </c>
      <c r="J83" s="113">
        <f>'Detailed Summary'!AW83</f>
        <v>0</v>
      </c>
      <c r="K83" s="114">
        <f>'Detailed Summary'!AY83</f>
        <v>5</v>
      </c>
      <c r="L83" s="7" t="str">
        <f>'Detailed Summary'!AZ83</f>
        <v/>
      </c>
      <c r="M83" s="115" t="str">
        <f>'Detailed Summary'!BJ83</f>
        <v>Failed in 4 Subjects</v>
      </c>
      <c r="N83" s="7" t="str">
        <f>'Detailed Summary'!BA83</f>
        <v/>
      </c>
      <c r="O83" s="7" t="str">
        <f t="shared" si="2"/>
        <v/>
      </c>
      <c r="P83" s="116" t="str">
        <f>'Detailed Summary'!BK83</f>
        <v/>
      </c>
    </row>
    <row r="84" spans="1:16" x14ac:dyDescent="0.35">
      <c r="A84" s="111">
        <f>'Student Basic Info'!A84</f>
        <v>783</v>
      </c>
      <c r="B84" s="112" t="str">
        <f>'Student Basic Info'!C84</f>
        <v>Abu Rayhan</v>
      </c>
      <c r="C84" s="113" t="str">
        <f>'Detailed Summary'!AO84</f>
        <v/>
      </c>
      <c r="D84" s="113" t="str">
        <f>'Detailed Summary'!AP84</f>
        <v/>
      </c>
      <c r="E84" s="113" t="str">
        <f>'Detailed Summary'!AQ84</f>
        <v/>
      </c>
      <c r="F84" s="113" t="str">
        <f>'Detailed Summary'!AR84</f>
        <v/>
      </c>
      <c r="G84" s="113" t="str">
        <f>'Detailed Summary'!AS84</f>
        <v/>
      </c>
      <c r="H84" s="113" t="str">
        <f>'Detailed Summary'!AT84</f>
        <v/>
      </c>
      <c r="I84" s="113" t="str">
        <f>'Detailed Summary'!AV84</f>
        <v/>
      </c>
      <c r="J84" s="113" t="str">
        <f>'Detailed Summary'!AW84</f>
        <v/>
      </c>
      <c r="K84" s="114" t="str">
        <f>'Detailed Summary'!AY84</f>
        <v/>
      </c>
      <c r="L84" s="7" t="str">
        <f>'Detailed Summary'!AZ84</f>
        <v/>
      </c>
      <c r="M84" s="115" t="str">
        <f>'Detailed Summary'!BJ84</f>
        <v>Failed in 6 Subjects</v>
      </c>
      <c r="N84" s="7" t="str">
        <f>'Detailed Summary'!BA84</f>
        <v/>
      </c>
      <c r="O84" s="7" t="str">
        <f t="shared" si="2"/>
        <v/>
      </c>
      <c r="P84" s="116" t="str">
        <f>'Detailed Summary'!BK84</f>
        <v/>
      </c>
    </row>
    <row r="85" spans="1:16" x14ac:dyDescent="0.35">
      <c r="A85" s="111">
        <f>'Student Basic Info'!A85</f>
        <v>784</v>
      </c>
      <c r="B85" s="112" t="str">
        <f>'Student Basic Info'!C85</f>
        <v xml:space="preserve">Azizul Islam </v>
      </c>
      <c r="C85" s="113">
        <f>'Detailed Summary'!AO85</f>
        <v>0</v>
      </c>
      <c r="D85" s="113">
        <f>'Detailed Summary'!AP85</f>
        <v>0</v>
      </c>
      <c r="E85" s="113">
        <f>'Detailed Summary'!AQ85</f>
        <v>0</v>
      </c>
      <c r="F85" s="113">
        <f>'Detailed Summary'!AR85</f>
        <v>0</v>
      </c>
      <c r="G85" s="113">
        <f>'Detailed Summary'!AS85</f>
        <v>0</v>
      </c>
      <c r="H85" s="113">
        <f>'Detailed Summary'!AT85</f>
        <v>0</v>
      </c>
      <c r="I85" s="113">
        <f>'Detailed Summary'!AV85</f>
        <v>0</v>
      </c>
      <c r="J85" s="113">
        <f>'Detailed Summary'!AW85</f>
        <v>0</v>
      </c>
      <c r="K85" s="114" t="str">
        <f>'Detailed Summary'!AY85</f>
        <v/>
      </c>
      <c r="L85" s="7" t="str">
        <f>'Detailed Summary'!AZ85</f>
        <v/>
      </c>
      <c r="M85" s="115" t="str">
        <f>'Detailed Summary'!BJ85</f>
        <v>Failed in 6 Subjects</v>
      </c>
      <c r="N85" s="7" t="str">
        <f>'Detailed Summary'!BA85</f>
        <v/>
      </c>
      <c r="O85" s="7" t="str">
        <f t="shared" si="2"/>
        <v/>
      </c>
      <c r="P85" s="116" t="str">
        <f>'Detailed Summary'!BK85</f>
        <v/>
      </c>
    </row>
    <row r="86" spans="1:16" x14ac:dyDescent="0.35">
      <c r="A86" s="111">
        <f>'Student Basic Info'!A86</f>
        <v>785</v>
      </c>
      <c r="B86" s="112" t="str">
        <f>'Student Basic Info'!C86</f>
        <v>Muktaddi Al Saber</v>
      </c>
      <c r="C86" s="113">
        <f>'Detailed Summary'!AO86</f>
        <v>0</v>
      </c>
      <c r="D86" s="113">
        <f>'Detailed Summary'!AP86</f>
        <v>0</v>
      </c>
      <c r="E86" s="113">
        <f>'Detailed Summary'!AQ86</f>
        <v>0</v>
      </c>
      <c r="F86" s="113">
        <f>'Detailed Summary'!AR86</f>
        <v>0</v>
      </c>
      <c r="G86" s="113" t="str">
        <f>'Detailed Summary'!AS86</f>
        <v/>
      </c>
      <c r="H86" s="113">
        <f>'Detailed Summary'!AT86</f>
        <v>0</v>
      </c>
      <c r="I86" s="113">
        <f>'Detailed Summary'!AV86</f>
        <v>0</v>
      </c>
      <c r="J86" s="113">
        <f>'Detailed Summary'!AW86</f>
        <v>0</v>
      </c>
      <c r="K86" s="114" t="str">
        <f>'Detailed Summary'!AY86</f>
        <v/>
      </c>
      <c r="L86" s="7" t="str">
        <f>'Detailed Summary'!AZ86</f>
        <v/>
      </c>
      <c r="M86" s="115" t="str">
        <f>'Detailed Summary'!BJ86</f>
        <v>Failed in 6 Subjects</v>
      </c>
      <c r="N86" s="7" t="str">
        <f>'Detailed Summary'!BA86</f>
        <v/>
      </c>
      <c r="O86" s="7" t="str">
        <f t="shared" si="2"/>
        <v/>
      </c>
      <c r="P86" s="116" t="str">
        <f>'Detailed Summary'!BK86</f>
        <v/>
      </c>
    </row>
    <row r="87" spans="1:16" x14ac:dyDescent="0.35">
      <c r="A87" s="111">
        <f>'Student Basic Info'!A87</f>
        <v>786</v>
      </c>
      <c r="B87" s="112" t="str">
        <f>'Student Basic Info'!C87</f>
        <v>Farzana Aktar</v>
      </c>
      <c r="C87" s="113" t="str">
        <f>'Detailed Summary'!AO87</f>
        <v/>
      </c>
      <c r="D87" s="113">
        <f>'Detailed Summary'!AP87</f>
        <v>0</v>
      </c>
      <c r="E87" s="113">
        <f>'Detailed Summary'!AQ87</f>
        <v>0</v>
      </c>
      <c r="F87" s="113" t="str">
        <f>'Detailed Summary'!AR87</f>
        <v/>
      </c>
      <c r="G87" s="113">
        <f>'Detailed Summary'!AS87</f>
        <v>0</v>
      </c>
      <c r="H87" s="113">
        <f>'Detailed Summary'!AT87</f>
        <v>0</v>
      </c>
      <c r="I87" s="113">
        <f>'Detailed Summary'!AV87</f>
        <v>0</v>
      </c>
      <c r="J87" s="113">
        <f>'Detailed Summary'!AW87</f>
        <v>0</v>
      </c>
      <c r="K87" s="114" t="str">
        <f>'Detailed Summary'!AY87</f>
        <v/>
      </c>
      <c r="L87" s="7" t="str">
        <f>'Detailed Summary'!AZ87</f>
        <v/>
      </c>
      <c r="M87" s="115" t="str">
        <f>'Detailed Summary'!BJ87</f>
        <v>Failed in 6 Subjects</v>
      </c>
      <c r="N87" s="7" t="str">
        <f>'Detailed Summary'!BA87</f>
        <v/>
      </c>
      <c r="O87" s="7" t="str">
        <f t="shared" si="2"/>
        <v/>
      </c>
      <c r="P87" s="116" t="str">
        <f>'Detailed Summary'!BK87</f>
        <v/>
      </c>
    </row>
    <row r="88" spans="1:16" x14ac:dyDescent="0.35">
      <c r="A88" s="111">
        <f>'Student Basic Info'!A88</f>
        <v>6812</v>
      </c>
      <c r="B88" s="112" t="str">
        <f>'Student Basic Info'!C88</f>
        <v>Jannatul Mawa Parvin</v>
      </c>
      <c r="C88" s="113">
        <f>'Detailed Summary'!AO88</f>
        <v>2</v>
      </c>
      <c r="D88" s="113">
        <f>'Detailed Summary'!AP88</f>
        <v>0</v>
      </c>
      <c r="E88" s="113">
        <f>'Detailed Summary'!AQ88</f>
        <v>3</v>
      </c>
      <c r="F88" s="113">
        <f>'Detailed Summary'!AR88</f>
        <v>3</v>
      </c>
      <c r="G88" s="113">
        <f>'Detailed Summary'!AS88</f>
        <v>0</v>
      </c>
      <c r="H88" s="113">
        <f>'Detailed Summary'!AT88</f>
        <v>0</v>
      </c>
      <c r="I88" s="113">
        <f>'Detailed Summary'!AV88</f>
        <v>0</v>
      </c>
      <c r="J88" s="113">
        <f>'Detailed Summary'!AW88</f>
        <v>0</v>
      </c>
      <c r="K88" s="114">
        <f>'Detailed Summary'!AY88</f>
        <v>8</v>
      </c>
      <c r="L88" s="7" t="str">
        <f>'Detailed Summary'!AZ88</f>
        <v/>
      </c>
      <c r="M88" s="115" t="str">
        <f>'Detailed Summary'!BJ88</f>
        <v>Failed in 3 Subjects</v>
      </c>
      <c r="N88" s="7" t="str">
        <f>'Detailed Summary'!BA88</f>
        <v/>
      </c>
      <c r="O88" s="7" t="str">
        <f t="shared" si="2"/>
        <v/>
      </c>
      <c r="P88" s="116" t="str">
        <f>'Detailed Summary'!BK88</f>
        <v/>
      </c>
    </row>
  </sheetData>
  <sheetProtection formatCells="0" formatColumns="0" formatRows="0" insertColumns="0" insertRows="0" insertHyperlinks="0" deleteColumns="0" deleteRows="0"/>
  <conditionalFormatting sqref="L2:L88 N2:O88">
    <cfRule type="cellIs" dxfId="8" priority="2" operator="between">
      <formula>1</formula>
      <formula>5</formula>
    </cfRule>
  </conditionalFormatting>
  <conditionalFormatting sqref="M2:M88">
    <cfRule type="containsText" dxfId="7" priority="1" operator="containsText" text="Pass">
      <formula>NOT(ISERROR(SEARCH("Pass",M2)))</formula>
    </cfRule>
  </conditionalFormatting>
  <pageMargins left="0.9" right="0.7" top="1.62" bottom="0.19" header="0.25" footer="0.24"/>
  <pageSetup orientation="portrait" r:id="rId1"/>
  <headerFooter>
    <oddHeader>&amp;C&amp;"-,Bold"&amp;28&amp;KFFC000BAMNI DEGREE COLLEGE&amp;"-,Regular"&amp;11&amp;K01+000
&amp;"-,Bold"&amp;18Test Examination Result-2025&amp;20
&amp;14Group: Science (Combined List)&amp;"-,Regular"&amp;11
&amp;"-,Italic"&amp;12&amp;UDate of Publication of Result: February 20, 2025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88"/>
  <sheetViews>
    <sheetView workbookViewId="0">
      <selection activeCell="V92" sqref="V92"/>
    </sheetView>
  </sheetViews>
  <sheetFormatPr defaultRowHeight="14.5" x14ac:dyDescent="0.35"/>
  <cols>
    <col min="1" max="1" width="2.54296875" style="151" bestFit="1" customWidth="1"/>
    <col min="2" max="2" width="7" style="148" customWidth="1"/>
    <col min="3" max="3" width="22.54296875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" hidden="1" customWidth="1"/>
    <col min="19" max="19" width="8.08984375" style="1" hidden="1" customWidth="1"/>
    <col min="20" max="20" width="2.36328125" style="5" hidden="1" customWidth="1"/>
    <col min="21" max="21" width="10.7265625" customWidth="1"/>
    <col min="22" max="23" width="9.26953125" customWidth="1"/>
    <col min="24" max="24" width="8.7265625" style="1" bestFit="1" customWidth="1"/>
    <col min="25" max="25" width="14.81640625" style="109" bestFit="1" customWidth="1"/>
  </cols>
  <sheetData>
    <row r="1" spans="1:25" x14ac:dyDescent="0.35">
      <c r="A1" s="149" t="s">
        <v>448</v>
      </c>
      <c r="B1" s="13" t="s">
        <v>0</v>
      </c>
      <c r="C1" s="13" t="s">
        <v>36</v>
      </c>
      <c r="D1" s="13" t="s">
        <v>12</v>
      </c>
      <c r="E1" s="13" t="s">
        <v>13</v>
      </c>
      <c r="F1" s="13" t="s">
        <v>14</v>
      </c>
      <c r="G1" s="13" t="s">
        <v>46</v>
      </c>
      <c r="H1" s="13" t="s">
        <v>47</v>
      </c>
      <c r="I1" s="13" t="s">
        <v>48</v>
      </c>
      <c r="J1" s="13" t="s">
        <v>49</v>
      </c>
      <c r="K1" s="13" t="s">
        <v>93</v>
      </c>
      <c r="L1" s="13" t="s">
        <v>94</v>
      </c>
      <c r="M1" s="13" t="s">
        <v>95</v>
      </c>
      <c r="N1" s="13" t="s">
        <v>98</v>
      </c>
      <c r="O1" s="13" t="s">
        <v>99</v>
      </c>
      <c r="P1" s="13" t="s">
        <v>100</v>
      </c>
      <c r="Q1" s="13" t="s">
        <v>96</v>
      </c>
      <c r="R1" s="13" t="s">
        <v>16</v>
      </c>
      <c r="S1" s="13" t="s">
        <v>18</v>
      </c>
      <c r="T1" s="43" t="s">
        <v>17</v>
      </c>
      <c r="U1" s="43" t="s">
        <v>7</v>
      </c>
      <c r="V1" s="43" t="s">
        <v>9</v>
      </c>
      <c r="W1" s="43" t="s">
        <v>8</v>
      </c>
      <c r="X1" s="43" t="s">
        <v>449</v>
      </c>
      <c r="Y1" s="43" t="s">
        <v>459</v>
      </c>
    </row>
    <row r="2" spans="1:25" x14ac:dyDescent="0.35">
      <c r="A2" s="150">
        <v>1</v>
      </c>
      <c r="B2" s="115">
        <f>'Student Basic Info'!A24</f>
        <v>723</v>
      </c>
      <c r="C2" s="118" t="str">
        <f>'Student Basic Info'!C24</f>
        <v>Shamsuzzaman</v>
      </c>
      <c r="D2" s="2">
        <f>Bangla!G24</f>
        <v>4</v>
      </c>
      <c r="E2" s="2">
        <f>English!F24</f>
        <v>3.5</v>
      </c>
      <c r="F2" s="2">
        <f>ICT!H24</f>
        <v>5</v>
      </c>
      <c r="G2" s="119">
        <f>Physics!H24</f>
        <v>5</v>
      </c>
      <c r="H2" s="119">
        <f>Chemistry!H24</f>
        <v>5</v>
      </c>
      <c r="I2" s="119">
        <f>Biology!H24</f>
        <v>4</v>
      </c>
      <c r="J2" s="119">
        <f>Math!H24</f>
        <v>5</v>
      </c>
      <c r="K2" s="120">
        <f t="shared" ref="K2:K33" si="0">(IF(D2="",0,IF(D2=0,0,1)))</f>
        <v>1</v>
      </c>
      <c r="L2" s="120">
        <f t="shared" ref="L2:L33" si="1">(IF(E2="",0,IF(E2=0,0,1)))</f>
        <v>1</v>
      </c>
      <c r="M2" s="120">
        <f t="shared" ref="M2:M33" si="2">(IF(F2="",0,IF(F2=0,0,1)))</f>
        <v>1</v>
      </c>
      <c r="N2" s="120">
        <f t="shared" ref="N2:N33" si="3">(IF(G2="",0,IF(G2=0,0,1)))</f>
        <v>1</v>
      </c>
      <c r="O2" s="120">
        <f t="shared" ref="O2:O33" si="4">(IF(H2="",0,IF(H2=0,0,1)))</f>
        <v>1</v>
      </c>
      <c r="P2" s="120">
        <f t="shared" ref="P2:P33" si="5">(IF(I2="",0,IF(I2=0,0,1)))</f>
        <v>1</v>
      </c>
      <c r="Q2" s="120">
        <f t="shared" ref="Q2:Q33" si="6">SUM(K2:P2)</f>
        <v>6</v>
      </c>
      <c r="R2" s="3">
        <f t="shared" ref="R2:R33" si="7">IF(OR(D2=0,E2=0,F2=0,G2=0,H2=0,I2=0,D2="",E2="",F2="",G2="",H2="",I2=""),"",SUM(D2:I2))</f>
        <v>26.5</v>
      </c>
      <c r="S2" s="3">
        <f t="shared" ref="S2:S33" si="8">IF(OR(D2=0,E2=0,F2=0,G2=0,H2=0,I2=0,D2="",E2="",F2="",G2="",H2="",I2=""),"",SUM(D2:J2))</f>
        <v>31.5</v>
      </c>
      <c r="T2" s="7">
        <f t="shared" ref="T2:T33" si="9">IF(R2="","",IF(((R2/6)&gt;5),5,R2/6))</f>
        <v>4.416666666666667</v>
      </c>
      <c r="U2" s="115" t="str">
        <f t="shared" ref="U2:U33" si="10">IF(Q2=0,"Failed in 6 Subjects",IF(Q2=1,"Failed in 5 Subjects",IF(Q2=2,"Failed in 4 Subjects",IF(Q2=3,"Failed in 3 Subjects",IF(Q2=4,"Failed in 2 Subjects",IF(Q2=5,"Failed in 1 Subject","Pass"))))))</f>
        <v>Pass</v>
      </c>
      <c r="V2" s="7">
        <f>'Detailed Summary'!BA24</f>
        <v>4.916666666666667</v>
      </c>
      <c r="W2" s="7" t="str">
        <f>'Detailed Summary'!BN24</f>
        <v>A</v>
      </c>
      <c r="X2" s="116">
        <f>'Detailed Summary'!BK24</f>
        <v>1</v>
      </c>
      <c r="Y2" s="115" t="str">
        <f>'Detailed Summary'!BM24</f>
        <v>Very Good</v>
      </c>
    </row>
    <row r="3" spans="1:25" ht="23.5" hidden="1" x14ac:dyDescent="0.55000000000000004">
      <c r="A3" s="2"/>
      <c r="B3" s="2">
        <f>'Student Basic Info'!A3</f>
        <v>702</v>
      </c>
      <c r="C3" s="2" t="str">
        <f>'Student Basic Info'!C3</f>
        <v>Foyez Ahmed</v>
      </c>
      <c r="D3" s="2" t="str">
        <f>Bangla!G3</f>
        <v/>
      </c>
      <c r="E3" s="2" t="str">
        <f>English!F3</f>
        <v/>
      </c>
      <c r="F3" s="2" t="str">
        <f>ICT!H3</f>
        <v/>
      </c>
      <c r="G3" s="119" t="str">
        <f>Physics!H3</f>
        <v/>
      </c>
      <c r="H3" s="119" t="str">
        <f>Chemistry!H3</f>
        <v/>
      </c>
      <c r="I3" s="119" t="str">
        <f>Biology!H3</f>
        <v/>
      </c>
      <c r="J3" s="119" t="str">
        <f>Math!H3</f>
        <v/>
      </c>
      <c r="K3" s="120">
        <f t="shared" si="0"/>
        <v>0</v>
      </c>
      <c r="L3" s="120">
        <f t="shared" si="1"/>
        <v>0</v>
      </c>
      <c r="M3" s="120">
        <f t="shared" si="2"/>
        <v>0</v>
      </c>
      <c r="N3" s="120">
        <f t="shared" si="3"/>
        <v>0</v>
      </c>
      <c r="O3" s="120">
        <f t="shared" si="4"/>
        <v>0</v>
      </c>
      <c r="P3" s="120">
        <f t="shared" si="5"/>
        <v>0</v>
      </c>
      <c r="Q3" s="120">
        <f t="shared" si="6"/>
        <v>0</v>
      </c>
      <c r="R3" s="3" t="str">
        <f t="shared" si="7"/>
        <v/>
      </c>
      <c r="S3" s="3" t="str">
        <f t="shared" si="8"/>
        <v/>
      </c>
      <c r="T3" s="7" t="str">
        <f t="shared" si="9"/>
        <v/>
      </c>
      <c r="U3" s="3" t="str">
        <f t="shared" si="10"/>
        <v>Failed in 6 Subjects</v>
      </c>
      <c r="V3" s="86" t="str">
        <f>'Detailed Summary'!BA3</f>
        <v/>
      </c>
      <c r="W3" s="7" t="str">
        <f>'Detailed Summary'!BN3</f>
        <v/>
      </c>
      <c r="X3" s="8" t="str">
        <f>'Detailed Summary'!BK3</f>
        <v/>
      </c>
      <c r="Y3" s="3" t="str">
        <f>'Detailed Summary'!BM3</f>
        <v>Very Weak</v>
      </c>
    </row>
    <row r="4" spans="1:25" ht="23.5" hidden="1" x14ac:dyDescent="0.55000000000000004">
      <c r="A4" s="2"/>
      <c r="B4" s="2">
        <f>'Student Basic Info'!A4</f>
        <v>703</v>
      </c>
      <c r="C4" s="2" t="str">
        <f>'Student Basic Info'!C4</f>
        <v>Zannatul Nayem</v>
      </c>
      <c r="D4" s="2" t="str">
        <f>Bangla!G4</f>
        <v/>
      </c>
      <c r="E4" s="2" t="str">
        <f>English!F4</f>
        <v/>
      </c>
      <c r="F4" s="2" t="str">
        <f>ICT!H4</f>
        <v/>
      </c>
      <c r="G4" s="119" t="str">
        <f>Physics!H4</f>
        <v/>
      </c>
      <c r="H4" s="119" t="str">
        <f>Chemistry!H4</f>
        <v/>
      </c>
      <c r="I4" s="119" t="str">
        <f>Biology!H4</f>
        <v/>
      </c>
      <c r="J4" s="119" t="str">
        <f>Math!H4</f>
        <v/>
      </c>
      <c r="K4" s="120">
        <f t="shared" si="0"/>
        <v>0</v>
      </c>
      <c r="L4" s="120">
        <f t="shared" si="1"/>
        <v>0</v>
      </c>
      <c r="M4" s="120">
        <f t="shared" si="2"/>
        <v>0</v>
      </c>
      <c r="N4" s="120">
        <f t="shared" si="3"/>
        <v>0</v>
      </c>
      <c r="O4" s="120">
        <f t="shared" si="4"/>
        <v>0</v>
      </c>
      <c r="P4" s="120">
        <f t="shared" si="5"/>
        <v>0</v>
      </c>
      <c r="Q4" s="120">
        <f t="shared" si="6"/>
        <v>0</v>
      </c>
      <c r="R4" s="3" t="str">
        <f t="shared" si="7"/>
        <v/>
      </c>
      <c r="S4" s="3" t="str">
        <f t="shared" si="8"/>
        <v/>
      </c>
      <c r="T4" s="7" t="str">
        <f t="shared" si="9"/>
        <v/>
      </c>
      <c r="U4" s="3" t="str">
        <f t="shared" si="10"/>
        <v>Failed in 6 Subjects</v>
      </c>
      <c r="V4" s="86" t="str">
        <f>'Detailed Summary'!BA4</f>
        <v/>
      </c>
      <c r="W4" s="7" t="str">
        <f>'Detailed Summary'!BN4</f>
        <v/>
      </c>
      <c r="X4" s="8" t="str">
        <f>'Detailed Summary'!BK4</f>
        <v/>
      </c>
      <c r="Y4" s="3" t="str">
        <f>'Detailed Summary'!BM4</f>
        <v>Very Weak</v>
      </c>
    </row>
    <row r="5" spans="1:25" ht="23.5" hidden="1" x14ac:dyDescent="0.55000000000000004">
      <c r="A5" s="2"/>
      <c r="B5" s="2">
        <f>'Student Basic Info'!A5</f>
        <v>704</v>
      </c>
      <c r="C5" s="2" t="str">
        <f>'Student Basic Info'!C5</f>
        <v>Farmana Nusrat Chowdhury</v>
      </c>
      <c r="D5" s="2">
        <f>Bangla!G5</f>
        <v>3.5</v>
      </c>
      <c r="E5" s="2">
        <f>English!F5</f>
        <v>1</v>
      </c>
      <c r="F5" s="2">
        <f>ICT!H5</f>
        <v>0</v>
      </c>
      <c r="G5" s="119">
        <f>Physics!H5</f>
        <v>0</v>
      </c>
      <c r="H5" s="119">
        <f>Chemistry!H5</f>
        <v>0</v>
      </c>
      <c r="I5" s="119">
        <f>Biology!H5</f>
        <v>0</v>
      </c>
      <c r="J5" s="119">
        <f>Math!H5</f>
        <v>0</v>
      </c>
      <c r="K5" s="120">
        <f t="shared" si="0"/>
        <v>1</v>
      </c>
      <c r="L5" s="120">
        <f t="shared" si="1"/>
        <v>1</v>
      </c>
      <c r="M5" s="120">
        <f t="shared" si="2"/>
        <v>0</v>
      </c>
      <c r="N5" s="120">
        <f t="shared" si="3"/>
        <v>0</v>
      </c>
      <c r="O5" s="120">
        <f t="shared" si="4"/>
        <v>0</v>
      </c>
      <c r="P5" s="120">
        <f t="shared" si="5"/>
        <v>0</v>
      </c>
      <c r="Q5" s="120">
        <f t="shared" si="6"/>
        <v>2</v>
      </c>
      <c r="R5" s="3" t="str">
        <f t="shared" si="7"/>
        <v/>
      </c>
      <c r="S5" s="3" t="str">
        <f t="shared" si="8"/>
        <v/>
      </c>
      <c r="T5" s="7" t="str">
        <f t="shared" si="9"/>
        <v/>
      </c>
      <c r="U5" s="3" t="str">
        <f t="shared" si="10"/>
        <v>Failed in 4 Subjects</v>
      </c>
      <c r="V5" s="86" t="str">
        <f>'Detailed Summary'!BA5</f>
        <v/>
      </c>
      <c r="W5" s="7" t="str">
        <f>'Detailed Summary'!BN5</f>
        <v/>
      </c>
      <c r="X5" s="8" t="str">
        <f>'Detailed Summary'!BK5</f>
        <v/>
      </c>
      <c r="Y5" s="3" t="str">
        <f>'Detailed Summary'!BM5</f>
        <v>Very Weak</v>
      </c>
    </row>
    <row r="6" spans="1:25" ht="23.5" hidden="1" x14ac:dyDescent="0.55000000000000004">
      <c r="A6" s="2"/>
      <c r="B6" s="2">
        <f>'Student Basic Info'!A6</f>
        <v>705</v>
      </c>
      <c r="C6" s="2" t="str">
        <f>'Student Basic Info'!C6</f>
        <v>Zannatul Ferdaus</v>
      </c>
      <c r="D6" s="2" t="str">
        <f>Bangla!G6</f>
        <v/>
      </c>
      <c r="E6" s="2" t="str">
        <f>English!F6</f>
        <v/>
      </c>
      <c r="F6" s="2">
        <f>ICT!H6</f>
        <v>0</v>
      </c>
      <c r="G6" s="119" t="str">
        <f>Physics!H6</f>
        <v/>
      </c>
      <c r="H6" s="119" t="str">
        <f>Chemistry!H6</f>
        <v/>
      </c>
      <c r="I6" s="119" t="str">
        <f>Biology!H6</f>
        <v/>
      </c>
      <c r="J6" s="119" t="str">
        <f>Math!H6</f>
        <v/>
      </c>
      <c r="K6" s="120">
        <f t="shared" si="0"/>
        <v>0</v>
      </c>
      <c r="L6" s="120">
        <f t="shared" si="1"/>
        <v>0</v>
      </c>
      <c r="M6" s="120">
        <f t="shared" si="2"/>
        <v>0</v>
      </c>
      <c r="N6" s="120">
        <f t="shared" si="3"/>
        <v>0</v>
      </c>
      <c r="O6" s="120">
        <f t="shared" si="4"/>
        <v>0</v>
      </c>
      <c r="P6" s="120">
        <f t="shared" si="5"/>
        <v>0</v>
      </c>
      <c r="Q6" s="120">
        <f t="shared" si="6"/>
        <v>0</v>
      </c>
      <c r="R6" s="3" t="str">
        <f t="shared" si="7"/>
        <v/>
      </c>
      <c r="S6" s="3" t="str">
        <f t="shared" si="8"/>
        <v/>
      </c>
      <c r="T6" s="7" t="str">
        <f t="shared" si="9"/>
        <v/>
      </c>
      <c r="U6" s="3" t="str">
        <f t="shared" si="10"/>
        <v>Failed in 6 Subjects</v>
      </c>
      <c r="V6" s="86" t="str">
        <f>'Detailed Summary'!BA6</f>
        <v/>
      </c>
      <c r="W6" s="7" t="str">
        <f>'Detailed Summary'!BN6</f>
        <v/>
      </c>
      <c r="X6" s="8" t="str">
        <f>'Detailed Summary'!BK6</f>
        <v/>
      </c>
      <c r="Y6" s="3" t="str">
        <f>'Detailed Summary'!BM6</f>
        <v>Very Weak</v>
      </c>
    </row>
    <row r="7" spans="1:25" ht="23.5" hidden="1" x14ac:dyDescent="0.55000000000000004">
      <c r="A7" s="2"/>
      <c r="B7" s="2">
        <f>'Student Basic Info'!A7</f>
        <v>706</v>
      </c>
      <c r="C7" s="2" t="str">
        <f>'Student Basic Info'!C7</f>
        <v>Abdul Alim Shawon</v>
      </c>
      <c r="D7" s="2" t="str">
        <f>Bangla!G7</f>
        <v/>
      </c>
      <c r="E7" s="2" t="str">
        <f>English!F7</f>
        <v/>
      </c>
      <c r="F7" s="2" t="str">
        <f>ICT!H7</f>
        <v/>
      </c>
      <c r="G7" s="119" t="str">
        <f>Physics!H7</f>
        <v/>
      </c>
      <c r="H7" s="119" t="str">
        <f>Chemistry!H7</f>
        <v/>
      </c>
      <c r="I7" s="119" t="str">
        <f>Biology!H7</f>
        <v/>
      </c>
      <c r="J7" s="119" t="str">
        <f>Math!H7</f>
        <v/>
      </c>
      <c r="K7" s="120">
        <f t="shared" si="0"/>
        <v>0</v>
      </c>
      <c r="L7" s="120">
        <f t="shared" si="1"/>
        <v>0</v>
      </c>
      <c r="M7" s="120">
        <f t="shared" si="2"/>
        <v>0</v>
      </c>
      <c r="N7" s="120">
        <f t="shared" si="3"/>
        <v>0</v>
      </c>
      <c r="O7" s="120">
        <f t="shared" si="4"/>
        <v>0</v>
      </c>
      <c r="P7" s="120">
        <f t="shared" si="5"/>
        <v>0</v>
      </c>
      <c r="Q7" s="120">
        <f t="shared" si="6"/>
        <v>0</v>
      </c>
      <c r="R7" s="3" t="str">
        <f t="shared" si="7"/>
        <v/>
      </c>
      <c r="S7" s="3" t="str">
        <f t="shared" si="8"/>
        <v/>
      </c>
      <c r="T7" s="7" t="str">
        <f t="shared" si="9"/>
        <v/>
      </c>
      <c r="U7" s="3" t="str">
        <f t="shared" si="10"/>
        <v>Failed in 6 Subjects</v>
      </c>
      <c r="V7" s="86" t="str">
        <f>'Detailed Summary'!BA7</f>
        <v/>
      </c>
      <c r="W7" s="7" t="str">
        <f>'Detailed Summary'!BN7</f>
        <v/>
      </c>
      <c r="X7" s="8" t="str">
        <f>'Detailed Summary'!BK7</f>
        <v/>
      </c>
      <c r="Y7" s="3" t="str">
        <f>'Detailed Summary'!BM7</f>
        <v>Very Weak</v>
      </c>
    </row>
    <row r="8" spans="1:25" ht="23.5" hidden="1" x14ac:dyDescent="0.55000000000000004">
      <c r="A8" s="2"/>
      <c r="B8" s="2">
        <f>'Student Basic Info'!A8</f>
        <v>707</v>
      </c>
      <c r="C8" s="2" t="str">
        <f>'Student Basic Info'!C8</f>
        <v>Sharmin Aktar</v>
      </c>
      <c r="D8" s="2" t="str">
        <f>Bangla!G8</f>
        <v/>
      </c>
      <c r="E8" s="2" t="str">
        <f>English!F8</f>
        <v/>
      </c>
      <c r="F8" s="2" t="str">
        <f>ICT!H8</f>
        <v/>
      </c>
      <c r="G8" s="119" t="str">
        <f>Physics!H8</f>
        <v/>
      </c>
      <c r="H8" s="119" t="str">
        <f>Chemistry!H8</f>
        <v/>
      </c>
      <c r="I8" s="119" t="str">
        <f>Biology!H8</f>
        <v/>
      </c>
      <c r="J8" s="119" t="str">
        <f>Math!H8</f>
        <v/>
      </c>
      <c r="K8" s="120">
        <f t="shared" si="0"/>
        <v>0</v>
      </c>
      <c r="L8" s="120">
        <f t="shared" si="1"/>
        <v>0</v>
      </c>
      <c r="M8" s="120">
        <f t="shared" si="2"/>
        <v>0</v>
      </c>
      <c r="N8" s="120">
        <f t="shared" si="3"/>
        <v>0</v>
      </c>
      <c r="O8" s="120">
        <f t="shared" si="4"/>
        <v>0</v>
      </c>
      <c r="P8" s="120">
        <f t="shared" si="5"/>
        <v>0</v>
      </c>
      <c r="Q8" s="120">
        <f t="shared" si="6"/>
        <v>0</v>
      </c>
      <c r="R8" s="3" t="str">
        <f t="shared" si="7"/>
        <v/>
      </c>
      <c r="S8" s="3" t="str">
        <f t="shared" si="8"/>
        <v/>
      </c>
      <c r="T8" s="7" t="str">
        <f t="shared" si="9"/>
        <v/>
      </c>
      <c r="U8" s="3" t="str">
        <f t="shared" si="10"/>
        <v>Failed in 6 Subjects</v>
      </c>
      <c r="V8" s="86" t="str">
        <f>'Detailed Summary'!BA8</f>
        <v/>
      </c>
      <c r="W8" s="7" t="str">
        <f>'Detailed Summary'!BN8</f>
        <v/>
      </c>
      <c r="X8" s="8" t="str">
        <f>'Detailed Summary'!BK8</f>
        <v/>
      </c>
      <c r="Y8" s="3" t="str">
        <f>'Detailed Summary'!BM8</f>
        <v>Very Weak</v>
      </c>
    </row>
    <row r="9" spans="1:25" ht="23.5" hidden="1" x14ac:dyDescent="0.55000000000000004">
      <c r="A9" s="2"/>
      <c r="B9" s="2">
        <f>'Student Basic Info'!A9</f>
        <v>708</v>
      </c>
      <c r="C9" s="2" t="str">
        <f>'Student Basic Info'!C9</f>
        <v>Nafisa Aktar Prova</v>
      </c>
      <c r="D9" s="2">
        <f>Bangla!G9</f>
        <v>3.5</v>
      </c>
      <c r="E9" s="2">
        <f>English!F9</f>
        <v>1</v>
      </c>
      <c r="F9" s="2">
        <v>3</v>
      </c>
      <c r="G9" s="119">
        <f>Physics!H9</f>
        <v>0</v>
      </c>
      <c r="H9" s="119">
        <f>Chemistry!H9</f>
        <v>0</v>
      </c>
      <c r="I9" s="119">
        <f>Biology!H9</f>
        <v>0</v>
      </c>
      <c r="J9" s="119">
        <f>Math!H9</f>
        <v>0</v>
      </c>
      <c r="K9" s="120">
        <f t="shared" si="0"/>
        <v>1</v>
      </c>
      <c r="L9" s="120">
        <f t="shared" si="1"/>
        <v>1</v>
      </c>
      <c r="M9" s="120">
        <f t="shared" si="2"/>
        <v>1</v>
      </c>
      <c r="N9" s="120">
        <f t="shared" si="3"/>
        <v>0</v>
      </c>
      <c r="O9" s="120">
        <f t="shared" si="4"/>
        <v>0</v>
      </c>
      <c r="P9" s="120">
        <f t="shared" si="5"/>
        <v>0</v>
      </c>
      <c r="Q9" s="120">
        <f t="shared" si="6"/>
        <v>3</v>
      </c>
      <c r="R9" s="3" t="str">
        <f t="shared" si="7"/>
        <v/>
      </c>
      <c r="S9" s="3" t="str">
        <f t="shared" si="8"/>
        <v/>
      </c>
      <c r="T9" s="7" t="str">
        <f t="shared" si="9"/>
        <v/>
      </c>
      <c r="U9" s="3" t="str">
        <f t="shared" si="10"/>
        <v>Failed in 3 Subjects</v>
      </c>
      <c r="V9" s="86" t="str">
        <f>'Detailed Summary'!BA9</f>
        <v/>
      </c>
      <c r="W9" s="7" t="str">
        <f>'Detailed Summary'!BN9</f>
        <v/>
      </c>
      <c r="X9" s="8" t="str">
        <f>'Detailed Summary'!BK9</f>
        <v/>
      </c>
      <c r="Y9" s="3" t="str">
        <f>'Detailed Summary'!BM9</f>
        <v>Very Weak</v>
      </c>
    </row>
    <row r="10" spans="1:25" ht="23.5" hidden="1" x14ac:dyDescent="0.55000000000000004">
      <c r="A10" s="2"/>
      <c r="B10" s="2">
        <f>'Student Basic Info'!A10</f>
        <v>709</v>
      </c>
      <c r="C10" s="2" t="str">
        <f>'Student Basic Info'!C10</f>
        <v>Nafisa Anjum Prena</v>
      </c>
      <c r="D10" s="2">
        <f>Bangla!G10</f>
        <v>3.5</v>
      </c>
      <c r="E10" s="2">
        <f>English!F10</f>
        <v>1</v>
      </c>
      <c r="F10" s="2">
        <f>ICT!H10</f>
        <v>0</v>
      </c>
      <c r="G10" s="119">
        <f>Physics!H10</f>
        <v>2</v>
      </c>
      <c r="H10" s="119">
        <f>Chemistry!H10</f>
        <v>0</v>
      </c>
      <c r="I10" s="119">
        <f>Biology!H10</f>
        <v>0</v>
      </c>
      <c r="J10" s="119">
        <f>Math!H10</f>
        <v>0</v>
      </c>
      <c r="K10" s="120">
        <f t="shared" si="0"/>
        <v>1</v>
      </c>
      <c r="L10" s="120">
        <f t="shared" si="1"/>
        <v>1</v>
      </c>
      <c r="M10" s="120">
        <f t="shared" si="2"/>
        <v>0</v>
      </c>
      <c r="N10" s="120">
        <f t="shared" si="3"/>
        <v>1</v>
      </c>
      <c r="O10" s="120">
        <f t="shared" si="4"/>
        <v>0</v>
      </c>
      <c r="P10" s="120">
        <f t="shared" si="5"/>
        <v>0</v>
      </c>
      <c r="Q10" s="120">
        <f t="shared" si="6"/>
        <v>3</v>
      </c>
      <c r="R10" s="3" t="str">
        <f t="shared" si="7"/>
        <v/>
      </c>
      <c r="S10" s="3" t="str">
        <f t="shared" si="8"/>
        <v/>
      </c>
      <c r="T10" s="7" t="str">
        <f t="shared" si="9"/>
        <v/>
      </c>
      <c r="U10" s="3" t="str">
        <f t="shared" si="10"/>
        <v>Failed in 3 Subjects</v>
      </c>
      <c r="V10" s="86" t="str">
        <f>'Detailed Summary'!BA10</f>
        <v/>
      </c>
      <c r="W10" s="7" t="str">
        <f>'Detailed Summary'!BN10</f>
        <v/>
      </c>
      <c r="X10" s="8" t="str">
        <f>'Detailed Summary'!BK10</f>
        <v/>
      </c>
      <c r="Y10" s="3" t="str">
        <f>'Detailed Summary'!BM10</f>
        <v>Very Weak</v>
      </c>
    </row>
    <row r="11" spans="1:25" ht="23.5" hidden="1" x14ac:dyDescent="0.55000000000000004">
      <c r="A11" s="2"/>
      <c r="B11" s="2">
        <f>'Student Basic Info'!A11</f>
        <v>710</v>
      </c>
      <c r="C11" s="2" t="str">
        <f>'Student Basic Info'!C11</f>
        <v>Umme Tabassum Maisha</v>
      </c>
      <c r="D11" s="2">
        <f>Bangla!G11</f>
        <v>3</v>
      </c>
      <c r="E11" s="2">
        <f>English!F11</f>
        <v>0</v>
      </c>
      <c r="F11" s="2">
        <f>ICT!H11</f>
        <v>3</v>
      </c>
      <c r="G11" s="119">
        <f>Physics!H11</f>
        <v>2</v>
      </c>
      <c r="H11" s="119">
        <f>Chemistry!H11</f>
        <v>0</v>
      </c>
      <c r="I11" s="119">
        <f>Biology!H11</f>
        <v>0</v>
      </c>
      <c r="J11" s="119">
        <f>Math!H11</f>
        <v>0</v>
      </c>
      <c r="K11" s="120">
        <f t="shared" si="0"/>
        <v>1</v>
      </c>
      <c r="L11" s="120">
        <f t="shared" si="1"/>
        <v>0</v>
      </c>
      <c r="M11" s="120">
        <f t="shared" si="2"/>
        <v>1</v>
      </c>
      <c r="N11" s="120">
        <f t="shared" si="3"/>
        <v>1</v>
      </c>
      <c r="O11" s="120">
        <f t="shared" si="4"/>
        <v>0</v>
      </c>
      <c r="P11" s="120">
        <f t="shared" si="5"/>
        <v>0</v>
      </c>
      <c r="Q11" s="120">
        <f t="shared" si="6"/>
        <v>3</v>
      </c>
      <c r="R11" s="3" t="str">
        <f t="shared" si="7"/>
        <v/>
      </c>
      <c r="S11" s="3" t="str">
        <f t="shared" si="8"/>
        <v/>
      </c>
      <c r="T11" s="7" t="str">
        <f t="shared" si="9"/>
        <v/>
      </c>
      <c r="U11" s="3" t="str">
        <f t="shared" si="10"/>
        <v>Failed in 3 Subjects</v>
      </c>
      <c r="V11" s="86" t="str">
        <f>'Detailed Summary'!BA11</f>
        <v/>
      </c>
      <c r="W11" s="7" t="str">
        <f>'Detailed Summary'!BN11</f>
        <v/>
      </c>
      <c r="X11" s="8" t="str">
        <f>'Detailed Summary'!BK11</f>
        <v/>
      </c>
      <c r="Y11" s="3" t="str">
        <f>'Detailed Summary'!BM11</f>
        <v>Very Weak</v>
      </c>
    </row>
    <row r="12" spans="1:25" ht="23.5" hidden="1" x14ac:dyDescent="0.55000000000000004">
      <c r="A12" s="2"/>
      <c r="B12" s="2">
        <f>'Student Basic Info'!A12</f>
        <v>711</v>
      </c>
      <c r="C12" s="2" t="str">
        <f>'Student Basic Info'!C12</f>
        <v>Rakhi Ahasan</v>
      </c>
      <c r="D12" s="2" t="str">
        <f>Bangla!G12</f>
        <v/>
      </c>
      <c r="E12" s="2" t="str">
        <f>English!F12</f>
        <v/>
      </c>
      <c r="F12" s="2" t="str">
        <f>ICT!H12</f>
        <v/>
      </c>
      <c r="G12" s="119" t="str">
        <f>Physics!H12</f>
        <v/>
      </c>
      <c r="H12" s="119" t="str">
        <f>Chemistry!H12</f>
        <v/>
      </c>
      <c r="I12" s="119" t="str">
        <f>Biology!H12</f>
        <v/>
      </c>
      <c r="J12" s="119" t="str">
        <f>Math!H12</f>
        <v/>
      </c>
      <c r="K12" s="120">
        <f t="shared" si="0"/>
        <v>0</v>
      </c>
      <c r="L12" s="120">
        <f t="shared" si="1"/>
        <v>0</v>
      </c>
      <c r="M12" s="120">
        <f t="shared" si="2"/>
        <v>0</v>
      </c>
      <c r="N12" s="120">
        <f t="shared" si="3"/>
        <v>0</v>
      </c>
      <c r="O12" s="120">
        <f t="shared" si="4"/>
        <v>0</v>
      </c>
      <c r="P12" s="120">
        <f t="shared" si="5"/>
        <v>0</v>
      </c>
      <c r="Q12" s="120">
        <f t="shared" si="6"/>
        <v>0</v>
      </c>
      <c r="R12" s="3" t="str">
        <f t="shared" si="7"/>
        <v/>
      </c>
      <c r="S12" s="3" t="str">
        <f t="shared" si="8"/>
        <v/>
      </c>
      <c r="T12" s="7" t="str">
        <f t="shared" si="9"/>
        <v/>
      </c>
      <c r="U12" s="3" t="str">
        <f t="shared" si="10"/>
        <v>Failed in 6 Subjects</v>
      </c>
      <c r="V12" s="86" t="str">
        <f>'Detailed Summary'!BA12</f>
        <v/>
      </c>
      <c r="W12" s="7" t="str">
        <f>'Detailed Summary'!BN12</f>
        <v/>
      </c>
      <c r="X12" s="8" t="str">
        <f>'Detailed Summary'!BK12</f>
        <v/>
      </c>
      <c r="Y12" s="3" t="str">
        <f>'Detailed Summary'!BM12</f>
        <v>Very Weak</v>
      </c>
    </row>
    <row r="13" spans="1:25" ht="23.5" hidden="1" x14ac:dyDescent="0.55000000000000004">
      <c r="A13" s="2"/>
      <c r="B13" s="2">
        <f>'Student Basic Info'!A13</f>
        <v>712</v>
      </c>
      <c r="C13" s="2" t="str">
        <f>'Student Basic Info'!C13</f>
        <v>Nadiyatul Nayem</v>
      </c>
      <c r="D13" s="2">
        <f>Bangla!G13</f>
        <v>3</v>
      </c>
      <c r="E13" s="2">
        <f>English!F13</f>
        <v>1</v>
      </c>
      <c r="F13" s="2">
        <f>ICT!H13</f>
        <v>2</v>
      </c>
      <c r="G13" s="119">
        <f>Physics!H13</f>
        <v>3</v>
      </c>
      <c r="H13" s="119">
        <f>Chemistry!H13</f>
        <v>2</v>
      </c>
      <c r="I13" s="119">
        <f>Biology!H13</f>
        <v>0</v>
      </c>
      <c r="J13" s="119">
        <f>Math!H13</f>
        <v>0</v>
      </c>
      <c r="K13" s="120">
        <f t="shared" si="0"/>
        <v>1</v>
      </c>
      <c r="L13" s="120">
        <f t="shared" si="1"/>
        <v>1</v>
      </c>
      <c r="M13" s="120">
        <f t="shared" si="2"/>
        <v>1</v>
      </c>
      <c r="N13" s="120">
        <f t="shared" si="3"/>
        <v>1</v>
      </c>
      <c r="O13" s="120">
        <f t="shared" si="4"/>
        <v>1</v>
      </c>
      <c r="P13" s="120">
        <f t="shared" si="5"/>
        <v>0</v>
      </c>
      <c r="Q13" s="120">
        <f t="shared" si="6"/>
        <v>5</v>
      </c>
      <c r="R13" s="3" t="str">
        <f t="shared" si="7"/>
        <v/>
      </c>
      <c r="S13" s="3" t="str">
        <f t="shared" si="8"/>
        <v/>
      </c>
      <c r="T13" s="7" t="str">
        <f t="shared" si="9"/>
        <v/>
      </c>
      <c r="U13" s="3" t="str">
        <f t="shared" si="10"/>
        <v>Failed in 1 Subject</v>
      </c>
      <c r="V13" s="86" t="str">
        <f>'Detailed Summary'!BA13</f>
        <v/>
      </c>
      <c r="W13" s="7" t="str">
        <f>'Detailed Summary'!BN13</f>
        <v/>
      </c>
      <c r="X13" s="8" t="str">
        <f>'Detailed Summary'!BK13</f>
        <v/>
      </c>
      <c r="Y13" s="3" t="str">
        <f>'Detailed Summary'!BM13</f>
        <v>Very Weak</v>
      </c>
    </row>
    <row r="14" spans="1:25" x14ac:dyDescent="0.35">
      <c r="A14" s="150">
        <v>2</v>
      </c>
      <c r="B14" s="115">
        <f>'Student Basic Info'!A60</f>
        <v>759</v>
      </c>
      <c r="C14" s="118" t="str">
        <f>'Student Basic Info'!C60</f>
        <v>Amzad Hosain</v>
      </c>
      <c r="D14" s="2">
        <f>Bangla!G60</f>
        <v>3.5</v>
      </c>
      <c r="E14" s="2">
        <f>English!F60</f>
        <v>1</v>
      </c>
      <c r="F14" s="2">
        <f>ICT!H60</f>
        <v>5</v>
      </c>
      <c r="G14" s="119">
        <f>Physics!H60</f>
        <v>3.5</v>
      </c>
      <c r="H14" s="119">
        <f>Chemistry!H60</f>
        <v>5</v>
      </c>
      <c r="I14" s="119">
        <f>Biology!H60</f>
        <v>3</v>
      </c>
      <c r="J14" s="119">
        <f>Math!H60</f>
        <v>5</v>
      </c>
      <c r="K14" s="120">
        <f t="shared" si="0"/>
        <v>1</v>
      </c>
      <c r="L14" s="120">
        <f t="shared" si="1"/>
        <v>1</v>
      </c>
      <c r="M14" s="120">
        <f t="shared" si="2"/>
        <v>1</v>
      </c>
      <c r="N14" s="120">
        <f t="shared" si="3"/>
        <v>1</v>
      </c>
      <c r="O14" s="120">
        <f t="shared" si="4"/>
        <v>1</v>
      </c>
      <c r="P14" s="120">
        <f t="shared" si="5"/>
        <v>1</v>
      </c>
      <c r="Q14" s="120">
        <f t="shared" si="6"/>
        <v>6</v>
      </c>
      <c r="R14" s="3">
        <f t="shared" si="7"/>
        <v>21</v>
      </c>
      <c r="S14" s="3">
        <f t="shared" si="8"/>
        <v>26</v>
      </c>
      <c r="T14" s="7">
        <f t="shared" si="9"/>
        <v>3.5</v>
      </c>
      <c r="U14" s="115" t="str">
        <f t="shared" si="10"/>
        <v>Pass</v>
      </c>
      <c r="V14" s="7">
        <f>'Detailed Summary'!BA60</f>
        <v>4</v>
      </c>
      <c r="W14" s="7" t="str">
        <f>'Detailed Summary'!BN60</f>
        <v>A</v>
      </c>
      <c r="X14" s="116">
        <f>'Detailed Summary'!BK60</f>
        <v>2</v>
      </c>
      <c r="Y14" s="115" t="str">
        <f>'Detailed Summary'!BM60</f>
        <v>Very Good</v>
      </c>
    </row>
    <row r="15" spans="1:25" x14ac:dyDescent="0.35">
      <c r="A15" s="150">
        <v>3</v>
      </c>
      <c r="B15" s="115">
        <f>'Student Basic Info'!A2</f>
        <v>701</v>
      </c>
      <c r="C15" s="118" t="str">
        <f>'Student Basic Info'!C2</f>
        <v>Tanjila Mostafa Tasnim</v>
      </c>
      <c r="D15" s="119">
        <f>Bangla!G2</f>
        <v>3.5</v>
      </c>
      <c r="E15" s="119">
        <f>English!F2</f>
        <v>2</v>
      </c>
      <c r="F15" s="119">
        <f>ICT!H2</f>
        <v>5</v>
      </c>
      <c r="G15" s="119">
        <f>Physics!H2</f>
        <v>3</v>
      </c>
      <c r="H15" s="119">
        <f>Chemistry!H2</f>
        <v>4</v>
      </c>
      <c r="I15" s="119">
        <f>Biology!H2</f>
        <v>3</v>
      </c>
      <c r="J15" s="119">
        <f>Math!H2</f>
        <v>4</v>
      </c>
      <c r="K15" s="120">
        <f t="shared" si="0"/>
        <v>1</v>
      </c>
      <c r="L15" s="120">
        <f t="shared" si="1"/>
        <v>1</v>
      </c>
      <c r="M15" s="120">
        <f t="shared" si="2"/>
        <v>1</v>
      </c>
      <c r="N15" s="120">
        <f t="shared" si="3"/>
        <v>1</v>
      </c>
      <c r="O15" s="120">
        <f t="shared" si="4"/>
        <v>1</v>
      </c>
      <c r="P15" s="120">
        <f t="shared" si="5"/>
        <v>1</v>
      </c>
      <c r="Q15" s="120">
        <f t="shared" si="6"/>
        <v>6</v>
      </c>
      <c r="R15" s="3">
        <f t="shared" si="7"/>
        <v>20.5</v>
      </c>
      <c r="S15" s="3">
        <f t="shared" si="8"/>
        <v>24.5</v>
      </c>
      <c r="T15" s="7">
        <f t="shared" si="9"/>
        <v>3.4166666666666665</v>
      </c>
      <c r="U15" s="115" t="str">
        <f t="shared" si="10"/>
        <v>Pass</v>
      </c>
      <c r="V15" s="7">
        <f>'Detailed Summary'!BA2</f>
        <v>3.75</v>
      </c>
      <c r="W15" s="7" t="str">
        <f>'Detailed Summary'!BN2</f>
        <v>A-</v>
      </c>
      <c r="X15" s="116">
        <f>'Detailed Summary'!BK2</f>
        <v>3</v>
      </c>
      <c r="Y15" s="115" t="str">
        <f>'Detailed Summary'!BM2</f>
        <v>Good</v>
      </c>
    </row>
    <row r="16" spans="1:25" ht="23.5" hidden="1" x14ac:dyDescent="0.55000000000000004">
      <c r="A16" s="2"/>
      <c r="B16" s="2">
        <f>'Student Basic Info'!A16</f>
        <v>715</v>
      </c>
      <c r="C16" s="2" t="str">
        <f>'Student Basic Info'!C16</f>
        <v>Tanjila Islam</v>
      </c>
      <c r="D16" s="2">
        <f>Bangla!G16</f>
        <v>2</v>
      </c>
      <c r="E16" s="2">
        <f>English!F16</f>
        <v>0</v>
      </c>
      <c r="F16" s="2">
        <f>ICT!H16</f>
        <v>0</v>
      </c>
      <c r="G16" s="119">
        <f>Physics!H16</f>
        <v>3</v>
      </c>
      <c r="H16" s="119">
        <f>Chemistry!H16</f>
        <v>3</v>
      </c>
      <c r="I16" s="119">
        <f>Biology!H16</f>
        <v>0</v>
      </c>
      <c r="J16" s="119">
        <f>Math!H16</f>
        <v>0</v>
      </c>
      <c r="K16" s="120">
        <f t="shared" si="0"/>
        <v>1</v>
      </c>
      <c r="L16" s="120">
        <f t="shared" si="1"/>
        <v>0</v>
      </c>
      <c r="M16" s="120">
        <f t="shared" si="2"/>
        <v>0</v>
      </c>
      <c r="N16" s="120">
        <f t="shared" si="3"/>
        <v>1</v>
      </c>
      <c r="O16" s="120">
        <f t="shared" si="4"/>
        <v>1</v>
      </c>
      <c r="P16" s="120">
        <f t="shared" si="5"/>
        <v>0</v>
      </c>
      <c r="Q16" s="120">
        <f t="shared" si="6"/>
        <v>3</v>
      </c>
      <c r="R16" s="3" t="str">
        <f t="shared" si="7"/>
        <v/>
      </c>
      <c r="S16" s="3" t="str">
        <f t="shared" si="8"/>
        <v/>
      </c>
      <c r="T16" s="7" t="str">
        <f t="shared" si="9"/>
        <v/>
      </c>
      <c r="U16" s="3" t="str">
        <f t="shared" si="10"/>
        <v>Failed in 3 Subjects</v>
      </c>
      <c r="V16" s="86" t="str">
        <f>'Detailed Summary'!BA16</f>
        <v/>
      </c>
      <c r="W16" s="7" t="str">
        <f>'Detailed Summary'!BN16</f>
        <v/>
      </c>
      <c r="X16" s="8" t="str">
        <f>'Detailed Summary'!BK16</f>
        <v/>
      </c>
      <c r="Y16" s="3" t="str">
        <f>'Detailed Summary'!BM16</f>
        <v>Very Weak</v>
      </c>
    </row>
    <row r="17" spans="1:25" ht="23.5" hidden="1" x14ac:dyDescent="0.55000000000000004">
      <c r="A17" s="2"/>
      <c r="B17" s="2">
        <f>'Student Basic Info'!A17</f>
        <v>716</v>
      </c>
      <c r="C17" s="2" t="str">
        <f>'Student Basic Info'!C17</f>
        <v>Nazmun Nahar Rikha</v>
      </c>
      <c r="D17" s="2">
        <f>Bangla!G17</f>
        <v>2</v>
      </c>
      <c r="E17" s="2">
        <f>English!F17</f>
        <v>0</v>
      </c>
      <c r="F17" s="2">
        <f>ICT!H17</f>
        <v>0</v>
      </c>
      <c r="G17" s="119">
        <f>Physics!H17</f>
        <v>3</v>
      </c>
      <c r="H17" s="119">
        <f>Chemistry!H17</f>
        <v>3</v>
      </c>
      <c r="I17" s="119">
        <f>Biology!H17</f>
        <v>0</v>
      </c>
      <c r="J17" s="119">
        <f>Math!H17</f>
        <v>0</v>
      </c>
      <c r="K17" s="120">
        <f t="shared" si="0"/>
        <v>1</v>
      </c>
      <c r="L17" s="120">
        <f t="shared" si="1"/>
        <v>0</v>
      </c>
      <c r="M17" s="120">
        <f t="shared" si="2"/>
        <v>0</v>
      </c>
      <c r="N17" s="120">
        <f t="shared" si="3"/>
        <v>1</v>
      </c>
      <c r="O17" s="120">
        <f t="shared" si="4"/>
        <v>1</v>
      </c>
      <c r="P17" s="120">
        <f t="shared" si="5"/>
        <v>0</v>
      </c>
      <c r="Q17" s="120">
        <f t="shared" si="6"/>
        <v>3</v>
      </c>
      <c r="R17" s="3" t="str">
        <f t="shared" si="7"/>
        <v/>
      </c>
      <c r="S17" s="3" t="str">
        <f t="shared" si="8"/>
        <v/>
      </c>
      <c r="T17" s="7" t="str">
        <f t="shared" si="9"/>
        <v/>
      </c>
      <c r="U17" s="3" t="str">
        <f t="shared" si="10"/>
        <v>Failed in 3 Subjects</v>
      </c>
      <c r="V17" s="86" t="str">
        <f>'Detailed Summary'!BA17</f>
        <v/>
      </c>
      <c r="W17" s="7" t="str">
        <f>'Detailed Summary'!BN17</f>
        <v/>
      </c>
      <c r="X17" s="8" t="str">
        <f>'Detailed Summary'!BK17</f>
        <v/>
      </c>
      <c r="Y17" s="3" t="str">
        <f>'Detailed Summary'!BM17</f>
        <v>Very Weak</v>
      </c>
    </row>
    <row r="18" spans="1:25" ht="23.5" hidden="1" x14ac:dyDescent="0.55000000000000004">
      <c r="A18" s="2"/>
      <c r="B18" s="2">
        <f>'Student Basic Info'!A18</f>
        <v>717</v>
      </c>
      <c r="C18" s="2" t="str">
        <f>'Student Basic Info'!C18</f>
        <v xml:space="preserve">Umme Rojina </v>
      </c>
      <c r="D18" s="2">
        <f>Bangla!G18</f>
        <v>3</v>
      </c>
      <c r="E18" s="2">
        <f>English!F18</f>
        <v>0</v>
      </c>
      <c r="F18" s="2">
        <f>ICT!H18</f>
        <v>0</v>
      </c>
      <c r="G18" s="119">
        <f>Physics!H18</f>
        <v>3.5</v>
      </c>
      <c r="H18" s="119">
        <f>Chemistry!H18</f>
        <v>2</v>
      </c>
      <c r="I18" s="119">
        <f>Biology!H18</f>
        <v>0</v>
      </c>
      <c r="J18" s="119" t="str">
        <f>Math!H18</f>
        <v/>
      </c>
      <c r="K18" s="120">
        <f t="shared" si="0"/>
        <v>1</v>
      </c>
      <c r="L18" s="120">
        <f t="shared" si="1"/>
        <v>0</v>
      </c>
      <c r="M18" s="120">
        <f t="shared" si="2"/>
        <v>0</v>
      </c>
      <c r="N18" s="120">
        <f t="shared" si="3"/>
        <v>1</v>
      </c>
      <c r="O18" s="120">
        <f t="shared" si="4"/>
        <v>1</v>
      </c>
      <c r="P18" s="120">
        <f t="shared" si="5"/>
        <v>0</v>
      </c>
      <c r="Q18" s="120">
        <f t="shared" si="6"/>
        <v>3</v>
      </c>
      <c r="R18" s="3" t="str">
        <f t="shared" si="7"/>
        <v/>
      </c>
      <c r="S18" s="3" t="str">
        <f t="shared" si="8"/>
        <v/>
      </c>
      <c r="T18" s="7" t="str">
        <f t="shared" si="9"/>
        <v/>
      </c>
      <c r="U18" s="3" t="str">
        <f t="shared" si="10"/>
        <v>Failed in 3 Subjects</v>
      </c>
      <c r="V18" s="86" t="str">
        <f>'Detailed Summary'!BA18</f>
        <v/>
      </c>
      <c r="W18" s="7" t="str">
        <f>'Detailed Summary'!BN18</f>
        <v/>
      </c>
      <c r="X18" s="8" t="str">
        <f>'Detailed Summary'!BK18</f>
        <v/>
      </c>
      <c r="Y18" s="3" t="str">
        <f>'Detailed Summary'!BM18</f>
        <v>Very Weak</v>
      </c>
    </row>
    <row r="19" spans="1:25" ht="23.5" hidden="1" x14ac:dyDescent="0.55000000000000004">
      <c r="A19" s="2"/>
      <c r="B19" s="2">
        <f>'Student Basic Info'!A19</f>
        <v>718</v>
      </c>
      <c r="C19" s="2" t="str">
        <f>'Student Basic Info'!C19</f>
        <v>Zannatul Ferdaus</v>
      </c>
      <c r="D19" s="2" t="str">
        <f>Bangla!G19</f>
        <v/>
      </c>
      <c r="E19" s="2" t="str">
        <f>English!F19</f>
        <v/>
      </c>
      <c r="F19" s="2" t="str">
        <f>ICT!H19</f>
        <v/>
      </c>
      <c r="G19" s="119" t="str">
        <f>Physics!H19</f>
        <v/>
      </c>
      <c r="H19" s="119" t="str">
        <f>Chemistry!H19</f>
        <v/>
      </c>
      <c r="I19" s="119" t="str">
        <f>Biology!H19</f>
        <v/>
      </c>
      <c r="J19" s="119" t="str">
        <f>Math!H19</f>
        <v/>
      </c>
      <c r="K19" s="120">
        <f t="shared" si="0"/>
        <v>0</v>
      </c>
      <c r="L19" s="120">
        <f t="shared" si="1"/>
        <v>0</v>
      </c>
      <c r="M19" s="120">
        <f t="shared" si="2"/>
        <v>0</v>
      </c>
      <c r="N19" s="120">
        <f t="shared" si="3"/>
        <v>0</v>
      </c>
      <c r="O19" s="120">
        <f t="shared" si="4"/>
        <v>0</v>
      </c>
      <c r="P19" s="120">
        <f t="shared" si="5"/>
        <v>0</v>
      </c>
      <c r="Q19" s="120">
        <f t="shared" si="6"/>
        <v>0</v>
      </c>
      <c r="R19" s="3" t="str">
        <f t="shared" si="7"/>
        <v/>
      </c>
      <c r="S19" s="3" t="str">
        <f t="shared" si="8"/>
        <v/>
      </c>
      <c r="T19" s="7" t="str">
        <f t="shared" si="9"/>
        <v/>
      </c>
      <c r="U19" s="3" t="str">
        <f t="shared" si="10"/>
        <v>Failed in 6 Subjects</v>
      </c>
      <c r="V19" s="86" t="str">
        <f>'Detailed Summary'!BA19</f>
        <v/>
      </c>
      <c r="W19" s="7" t="str">
        <f>'Detailed Summary'!BN19</f>
        <v/>
      </c>
      <c r="X19" s="8" t="str">
        <f>'Detailed Summary'!BK19</f>
        <v/>
      </c>
      <c r="Y19" s="3" t="str">
        <f>'Detailed Summary'!BM19</f>
        <v>Very Weak</v>
      </c>
    </row>
    <row r="20" spans="1:25" ht="23.5" hidden="1" x14ac:dyDescent="0.55000000000000004">
      <c r="A20" s="2"/>
      <c r="B20" s="2">
        <f>'Student Basic Info'!A20</f>
        <v>719</v>
      </c>
      <c r="C20" s="2" t="str">
        <f>'Student Basic Info'!C20</f>
        <v>Shazeda Amin Shuchi</v>
      </c>
      <c r="D20" s="2">
        <f>Bangla!G20</f>
        <v>3</v>
      </c>
      <c r="E20" s="2">
        <f>English!F20</f>
        <v>0</v>
      </c>
      <c r="F20" s="2">
        <f>ICT!H20</f>
        <v>0</v>
      </c>
      <c r="G20" s="119">
        <f>Physics!H20</f>
        <v>3.5</v>
      </c>
      <c r="H20" s="119">
        <f>Chemistry!H20</f>
        <v>3</v>
      </c>
      <c r="I20" s="119">
        <f>Biology!H20</f>
        <v>0</v>
      </c>
      <c r="J20" s="119">
        <f>Math!H20</f>
        <v>0</v>
      </c>
      <c r="K20" s="120">
        <f t="shared" si="0"/>
        <v>1</v>
      </c>
      <c r="L20" s="120">
        <f t="shared" si="1"/>
        <v>0</v>
      </c>
      <c r="M20" s="120">
        <f t="shared" si="2"/>
        <v>0</v>
      </c>
      <c r="N20" s="120">
        <f t="shared" si="3"/>
        <v>1</v>
      </c>
      <c r="O20" s="120">
        <f t="shared" si="4"/>
        <v>1</v>
      </c>
      <c r="P20" s="120">
        <f t="shared" si="5"/>
        <v>0</v>
      </c>
      <c r="Q20" s="120">
        <f t="shared" si="6"/>
        <v>3</v>
      </c>
      <c r="R20" s="3" t="str">
        <f t="shared" si="7"/>
        <v/>
      </c>
      <c r="S20" s="3" t="str">
        <f t="shared" si="8"/>
        <v/>
      </c>
      <c r="T20" s="7" t="str">
        <f t="shared" si="9"/>
        <v/>
      </c>
      <c r="U20" s="3" t="str">
        <f t="shared" si="10"/>
        <v>Failed in 3 Subjects</v>
      </c>
      <c r="V20" s="86" t="str">
        <f>'Detailed Summary'!BA20</f>
        <v/>
      </c>
      <c r="W20" s="7" t="str">
        <f>'Detailed Summary'!BN20</f>
        <v/>
      </c>
      <c r="X20" s="8" t="str">
        <f>'Detailed Summary'!BK20</f>
        <v/>
      </c>
      <c r="Y20" s="3" t="str">
        <f>'Detailed Summary'!BM20</f>
        <v>Very Weak</v>
      </c>
    </row>
    <row r="21" spans="1:25" ht="23.5" hidden="1" x14ac:dyDescent="0.55000000000000004">
      <c r="A21" s="2"/>
      <c r="B21" s="2">
        <f>'Student Basic Info'!A21</f>
        <v>720</v>
      </c>
      <c r="C21" s="2" t="str">
        <f>'Student Basic Info'!C21</f>
        <v>Farzana Aktar</v>
      </c>
      <c r="D21" s="2">
        <f>Bangla!G21</f>
        <v>3</v>
      </c>
      <c r="E21" s="2">
        <f>English!F21</f>
        <v>0</v>
      </c>
      <c r="F21" s="2">
        <f>ICT!H21</f>
        <v>0</v>
      </c>
      <c r="G21" s="119">
        <f>Physics!H21</f>
        <v>3</v>
      </c>
      <c r="H21" s="119">
        <f>Chemistry!H21</f>
        <v>0</v>
      </c>
      <c r="I21" s="119">
        <f>Biology!H21</f>
        <v>0</v>
      </c>
      <c r="J21" s="119">
        <f>Math!H21</f>
        <v>0</v>
      </c>
      <c r="K21" s="120">
        <f t="shared" si="0"/>
        <v>1</v>
      </c>
      <c r="L21" s="120">
        <f t="shared" si="1"/>
        <v>0</v>
      </c>
      <c r="M21" s="120">
        <f t="shared" si="2"/>
        <v>0</v>
      </c>
      <c r="N21" s="120">
        <f t="shared" si="3"/>
        <v>1</v>
      </c>
      <c r="O21" s="120">
        <f t="shared" si="4"/>
        <v>0</v>
      </c>
      <c r="P21" s="120">
        <f t="shared" si="5"/>
        <v>0</v>
      </c>
      <c r="Q21" s="120">
        <f t="shared" si="6"/>
        <v>2</v>
      </c>
      <c r="R21" s="3" t="str">
        <f t="shared" si="7"/>
        <v/>
      </c>
      <c r="S21" s="3" t="str">
        <f t="shared" si="8"/>
        <v/>
      </c>
      <c r="T21" s="7" t="str">
        <f t="shared" si="9"/>
        <v/>
      </c>
      <c r="U21" s="3" t="str">
        <f t="shared" si="10"/>
        <v>Failed in 4 Subjects</v>
      </c>
      <c r="V21" s="86" t="str">
        <f>'Detailed Summary'!BA21</f>
        <v/>
      </c>
      <c r="W21" s="7" t="str">
        <f>'Detailed Summary'!BN21</f>
        <v/>
      </c>
      <c r="X21" s="8" t="str">
        <f>'Detailed Summary'!BK21</f>
        <v/>
      </c>
      <c r="Y21" s="3" t="str">
        <f>'Detailed Summary'!BM21</f>
        <v>Very Weak</v>
      </c>
    </row>
    <row r="22" spans="1:25" ht="23.5" hidden="1" x14ac:dyDescent="0.55000000000000004">
      <c r="A22" s="2"/>
      <c r="B22" s="2">
        <f>'Student Basic Info'!A22</f>
        <v>721</v>
      </c>
      <c r="C22" s="2" t="str">
        <f>'Student Basic Info'!C22</f>
        <v>Nowrin Faiza Niduwa</v>
      </c>
      <c r="D22" s="2" t="str">
        <f>Bangla!G22</f>
        <v/>
      </c>
      <c r="E22" s="2" t="str">
        <f>English!F22</f>
        <v/>
      </c>
      <c r="F22" s="2" t="str">
        <f>ICT!H22</f>
        <v/>
      </c>
      <c r="G22" s="119" t="str">
        <f>Physics!H22</f>
        <v/>
      </c>
      <c r="H22" s="119" t="str">
        <f>Chemistry!H22</f>
        <v/>
      </c>
      <c r="I22" s="119" t="str">
        <f>Biology!H22</f>
        <v/>
      </c>
      <c r="J22" s="119" t="str">
        <f>Math!H22</f>
        <v/>
      </c>
      <c r="K22" s="120">
        <f t="shared" si="0"/>
        <v>0</v>
      </c>
      <c r="L22" s="120">
        <f t="shared" si="1"/>
        <v>0</v>
      </c>
      <c r="M22" s="120">
        <f t="shared" si="2"/>
        <v>0</v>
      </c>
      <c r="N22" s="120">
        <f t="shared" si="3"/>
        <v>0</v>
      </c>
      <c r="O22" s="120">
        <f t="shared" si="4"/>
        <v>0</v>
      </c>
      <c r="P22" s="120">
        <f t="shared" si="5"/>
        <v>0</v>
      </c>
      <c r="Q22" s="120">
        <f t="shared" si="6"/>
        <v>0</v>
      </c>
      <c r="R22" s="3" t="str">
        <f t="shared" si="7"/>
        <v/>
      </c>
      <c r="S22" s="3" t="str">
        <f t="shared" si="8"/>
        <v/>
      </c>
      <c r="T22" s="7" t="str">
        <f t="shared" si="9"/>
        <v/>
      </c>
      <c r="U22" s="3" t="str">
        <f t="shared" si="10"/>
        <v>Failed in 6 Subjects</v>
      </c>
      <c r="V22" s="86" t="str">
        <f>'Detailed Summary'!BA22</f>
        <v/>
      </c>
      <c r="W22" s="7" t="str">
        <f>'Detailed Summary'!BN22</f>
        <v/>
      </c>
      <c r="X22" s="8" t="str">
        <f>'Detailed Summary'!BK22</f>
        <v/>
      </c>
      <c r="Y22" s="3" t="str">
        <f>'Detailed Summary'!BM22</f>
        <v>Very Weak</v>
      </c>
    </row>
    <row r="23" spans="1:25" ht="23.5" hidden="1" x14ac:dyDescent="0.55000000000000004">
      <c r="A23" s="2"/>
      <c r="B23" s="2">
        <f>'Student Basic Info'!A23</f>
        <v>722</v>
      </c>
      <c r="C23" s="2" t="str">
        <f>'Student Basic Info'!C23</f>
        <v>Mahmudau Rahman Munna</v>
      </c>
      <c r="D23" s="2">
        <f>Bangla!G23</f>
        <v>3</v>
      </c>
      <c r="E23" s="2">
        <f>English!F23</f>
        <v>2</v>
      </c>
      <c r="F23" s="2">
        <f>ICT!H23</f>
        <v>0</v>
      </c>
      <c r="G23" s="119">
        <f>Physics!H23</f>
        <v>0</v>
      </c>
      <c r="H23" s="119">
        <f>Chemistry!H23</f>
        <v>0</v>
      </c>
      <c r="I23" s="119">
        <f>Biology!H23</f>
        <v>0</v>
      </c>
      <c r="J23" s="119">
        <f>Math!H23</f>
        <v>0</v>
      </c>
      <c r="K23" s="120">
        <f t="shared" si="0"/>
        <v>1</v>
      </c>
      <c r="L23" s="120">
        <f t="shared" si="1"/>
        <v>1</v>
      </c>
      <c r="M23" s="120">
        <f t="shared" si="2"/>
        <v>0</v>
      </c>
      <c r="N23" s="120">
        <f t="shared" si="3"/>
        <v>0</v>
      </c>
      <c r="O23" s="120">
        <f t="shared" si="4"/>
        <v>0</v>
      </c>
      <c r="P23" s="120">
        <f t="shared" si="5"/>
        <v>0</v>
      </c>
      <c r="Q23" s="120">
        <f t="shared" si="6"/>
        <v>2</v>
      </c>
      <c r="R23" s="3" t="str">
        <f t="shared" si="7"/>
        <v/>
      </c>
      <c r="S23" s="3" t="str">
        <f t="shared" si="8"/>
        <v/>
      </c>
      <c r="T23" s="7" t="str">
        <f t="shared" si="9"/>
        <v/>
      </c>
      <c r="U23" s="3" t="str">
        <f t="shared" si="10"/>
        <v>Failed in 4 Subjects</v>
      </c>
      <c r="V23" s="86" t="str">
        <f>'Detailed Summary'!BA23</f>
        <v/>
      </c>
      <c r="W23" s="7" t="str">
        <f>'Detailed Summary'!BN23</f>
        <v/>
      </c>
      <c r="X23" s="8" t="str">
        <f>'Detailed Summary'!BK23</f>
        <v/>
      </c>
      <c r="Y23" s="3" t="str">
        <f>'Detailed Summary'!BM23</f>
        <v>Very Weak</v>
      </c>
    </row>
    <row r="24" spans="1:25" x14ac:dyDescent="0.35">
      <c r="A24" s="150">
        <v>4</v>
      </c>
      <c r="B24" s="115">
        <f>'Student Basic Info'!A68</f>
        <v>767</v>
      </c>
      <c r="C24" s="118" t="str">
        <f>'Student Basic Info'!C68</f>
        <v>Ayman Mahmud Tawsif</v>
      </c>
      <c r="D24" s="2">
        <f>Bangla!G68</f>
        <v>3.5</v>
      </c>
      <c r="E24" s="2">
        <f>English!F68</f>
        <v>3</v>
      </c>
      <c r="F24" s="2">
        <f>ICT!H68</f>
        <v>4</v>
      </c>
      <c r="G24" s="119">
        <f>Physics!H68</f>
        <v>4</v>
      </c>
      <c r="H24" s="119">
        <f>Chemistry!H68</f>
        <v>3</v>
      </c>
      <c r="I24" s="119">
        <f>Biology!H68</f>
        <v>3</v>
      </c>
      <c r="J24" s="119">
        <f>Math!H68</f>
        <v>0</v>
      </c>
      <c r="K24" s="120">
        <f t="shared" si="0"/>
        <v>1</v>
      </c>
      <c r="L24" s="120">
        <f t="shared" si="1"/>
        <v>1</v>
      </c>
      <c r="M24" s="120">
        <f t="shared" si="2"/>
        <v>1</v>
      </c>
      <c r="N24" s="120">
        <f t="shared" si="3"/>
        <v>1</v>
      </c>
      <c r="O24" s="120">
        <f t="shared" si="4"/>
        <v>1</v>
      </c>
      <c r="P24" s="120">
        <f t="shared" si="5"/>
        <v>1</v>
      </c>
      <c r="Q24" s="120">
        <f t="shared" si="6"/>
        <v>6</v>
      </c>
      <c r="R24" s="3">
        <f t="shared" si="7"/>
        <v>20.5</v>
      </c>
      <c r="S24" s="3">
        <f t="shared" si="8"/>
        <v>20.5</v>
      </c>
      <c r="T24" s="7">
        <f t="shared" si="9"/>
        <v>3.4166666666666665</v>
      </c>
      <c r="U24" s="115" t="str">
        <f t="shared" si="10"/>
        <v>Pass</v>
      </c>
      <c r="V24" s="7">
        <f>'Detailed Summary'!BA68</f>
        <v>3.4166666666666665</v>
      </c>
      <c r="W24" s="7" t="str">
        <f>'Detailed Summary'!BN68</f>
        <v>B</v>
      </c>
      <c r="X24" s="116">
        <f>'Detailed Summary'!BK68</f>
        <v>4</v>
      </c>
      <c r="Y24" s="115" t="str">
        <f>'Detailed Summary'!BM68</f>
        <v>Average</v>
      </c>
    </row>
    <row r="25" spans="1:25" ht="23.5" hidden="1" x14ac:dyDescent="0.55000000000000004">
      <c r="A25" s="2"/>
      <c r="B25" s="2">
        <f>'Student Basic Info'!A25</f>
        <v>724</v>
      </c>
      <c r="C25" s="2" t="str">
        <f>'Student Basic Info'!C25</f>
        <v>Dipto Chandra Das</v>
      </c>
      <c r="D25" s="2">
        <f>Bangla!G25</f>
        <v>2</v>
      </c>
      <c r="E25" s="2">
        <f>English!F25</f>
        <v>1</v>
      </c>
      <c r="F25" s="2">
        <f>ICT!H25</f>
        <v>0</v>
      </c>
      <c r="G25" s="119">
        <f>Physics!H25</f>
        <v>2</v>
      </c>
      <c r="H25" s="119">
        <f>Chemistry!H25</f>
        <v>3</v>
      </c>
      <c r="I25" s="119">
        <f>Biology!H25</f>
        <v>0</v>
      </c>
      <c r="J25" s="119">
        <f>Math!H25</f>
        <v>0</v>
      </c>
      <c r="K25" s="120">
        <f t="shared" si="0"/>
        <v>1</v>
      </c>
      <c r="L25" s="120">
        <f t="shared" si="1"/>
        <v>1</v>
      </c>
      <c r="M25" s="120">
        <f t="shared" si="2"/>
        <v>0</v>
      </c>
      <c r="N25" s="120">
        <f t="shared" si="3"/>
        <v>1</v>
      </c>
      <c r="O25" s="120">
        <f t="shared" si="4"/>
        <v>1</v>
      </c>
      <c r="P25" s="120">
        <f t="shared" si="5"/>
        <v>0</v>
      </c>
      <c r="Q25" s="120">
        <f t="shared" si="6"/>
        <v>4</v>
      </c>
      <c r="R25" s="3" t="str">
        <f t="shared" si="7"/>
        <v/>
      </c>
      <c r="S25" s="3" t="str">
        <f t="shared" si="8"/>
        <v/>
      </c>
      <c r="T25" s="7" t="str">
        <f t="shared" si="9"/>
        <v/>
      </c>
      <c r="U25" s="3" t="str">
        <f t="shared" si="10"/>
        <v>Failed in 2 Subjects</v>
      </c>
      <c r="V25" s="86" t="str">
        <f>'Detailed Summary'!BA25</f>
        <v/>
      </c>
      <c r="W25" s="7" t="str">
        <f>'Detailed Summary'!BN25</f>
        <v/>
      </c>
      <c r="X25" s="8" t="str">
        <f>'Detailed Summary'!BK25</f>
        <v/>
      </c>
      <c r="Y25" s="3" t="str">
        <f>'Detailed Summary'!BM25</f>
        <v>Very Weak</v>
      </c>
    </row>
    <row r="26" spans="1:25" ht="23.5" hidden="1" x14ac:dyDescent="0.55000000000000004">
      <c r="A26" s="2"/>
      <c r="B26" s="2">
        <f>'Student Basic Info'!A26</f>
        <v>725</v>
      </c>
      <c r="C26" s="2" t="str">
        <f>'Student Basic Info'!C26</f>
        <v>Shorfuddin Nayem</v>
      </c>
      <c r="D26" s="2">
        <f>Bangla!G26</f>
        <v>2</v>
      </c>
      <c r="E26" s="2">
        <f>English!F26</f>
        <v>1</v>
      </c>
      <c r="F26" s="2">
        <f>ICT!H26</f>
        <v>0</v>
      </c>
      <c r="G26" s="119">
        <f>Physics!H26</f>
        <v>2</v>
      </c>
      <c r="H26" s="119">
        <f>Chemistry!H26</f>
        <v>0</v>
      </c>
      <c r="I26" s="119">
        <f>Biology!H26</f>
        <v>0</v>
      </c>
      <c r="J26" s="119">
        <f>Math!H26</f>
        <v>0</v>
      </c>
      <c r="K26" s="120">
        <f t="shared" si="0"/>
        <v>1</v>
      </c>
      <c r="L26" s="120">
        <f t="shared" si="1"/>
        <v>1</v>
      </c>
      <c r="M26" s="120">
        <f t="shared" si="2"/>
        <v>0</v>
      </c>
      <c r="N26" s="120">
        <f t="shared" si="3"/>
        <v>1</v>
      </c>
      <c r="O26" s="120">
        <f t="shared" si="4"/>
        <v>0</v>
      </c>
      <c r="P26" s="120">
        <f t="shared" si="5"/>
        <v>0</v>
      </c>
      <c r="Q26" s="120">
        <f t="shared" si="6"/>
        <v>3</v>
      </c>
      <c r="R26" s="3" t="str">
        <f t="shared" si="7"/>
        <v/>
      </c>
      <c r="S26" s="3" t="str">
        <f t="shared" si="8"/>
        <v/>
      </c>
      <c r="T26" s="7" t="str">
        <f t="shared" si="9"/>
        <v/>
      </c>
      <c r="U26" s="3" t="str">
        <f t="shared" si="10"/>
        <v>Failed in 3 Subjects</v>
      </c>
      <c r="V26" s="86" t="str">
        <f>'Detailed Summary'!BA26</f>
        <v/>
      </c>
      <c r="W26" s="7" t="str">
        <f>'Detailed Summary'!BN26</f>
        <v/>
      </c>
      <c r="X26" s="8" t="str">
        <f>'Detailed Summary'!BK26</f>
        <v/>
      </c>
      <c r="Y26" s="3" t="str">
        <f>'Detailed Summary'!BM26</f>
        <v>Very Weak</v>
      </c>
    </row>
    <row r="27" spans="1:25" ht="23.5" hidden="1" x14ac:dyDescent="0.55000000000000004">
      <c r="A27" s="2"/>
      <c r="B27" s="2">
        <f>'Student Basic Info'!A27</f>
        <v>726</v>
      </c>
      <c r="C27" s="2" t="str">
        <f>'Student Basic Info'!C27</f>
        <v>Mosaddek Ali</v>
      </c>
      <c r="D27" s="2" t="str">
        <f>Bangla!G27</f>
        <v/>
      </c>
      <c r="E27" s="2" t="str">
        <f>English!F27</f>
        <v/>
      </c>
      <c r="F27" s="2" t="str">
        <f>ICT!H27</f>
        <v/>
      </c>
      <c r="G27" s="119" t="str">
        <f>Physics!H27</f>
        <v/>
      </c>
      <c r="H27" s="119" t="str">
        <f>Chemistry!H27</f>
        <v/>
      </c>
      <c r="I27" s="119" t="str">
        <f>Biology!H27</f>
        <v/>
      </c>
      <c r="J27" s="119" t="str">
        <f>Math!H27</f>
        <v/>
      </c>
      <c r="K27" s="120">
        <f t="shared" si="0"/>
        <v>0</v>
      </c>
      <c r="L27" s="120">
        <f t="shared" si="1"/>
        <v>0</v>
      </c>
      <c r="M27" s="120">
        <f t="shared" si="2"/>
        <v>0</v>
      </c>
      <c r="N27" s="120">
        <f t="shared" si="3"/>
        <v>0</v>
      </c>
      <c r="O27" s="120">
        <f t="shared" si="4"/>
        <v>0</v>
      </c>
      <c r="P27" s="120">
        <f t="shared" si="5"/>
        <v>0</v>
      </c>
      <c r="Q27" s="120">
        <f t="shared" si="6"/>
        <v>0</v>
      </c>
      <c r="R27" s="3" t="str">
        <f t="shared" si="7"/>
        <v/>
      </c>
      <c r="S27" s="3" t="str">
        <f t="shared" si="8"/>
        <v/>
      </c>
      <c r="T27" s="7" t="str">
        <f t="shared" si="9"/>
        <v/>
      </c>
      <c r="U27" s="3" t="str">
        <f t="shared" si="10"/>
        <v>Failed in 6 Subjects</v>
      </c>
      <c r="V27" s="86" t="str">
        <f>'Detailed Summary'!BA27</f>
        <v/>
      </c>
      <c r="W27" s="7" t="str">
        <f>'Detailed Summary'!BN27</f>
        <v/>
      </c>
      <c r="X27" s="8" t="str">
        <f>'Detailed Summary'!BK27</f>
        <v/>
      </c>
      <c r="Y27" s="3" t="str">
        <f>'Detailed Summary'!BM27</f>
        <v>Very Weak</v>
      </c>
    </row>
    <row r="28" spans="1:25" x14ac:dyDescent="0.35">
      <c r="A28" s="150">
        <v>5</v>
      </c>
      <c r="B28" s="115">
        <f>'Student Basic Info'!A66</f>
        <v>765</v>
      </c>
      <c r="C28" s="118" t="str">
        <f>'Student Basic Info'!C66</f>
        <v>Apurbo Shorma Apu</v>
      </c>
      <c r="D28" s="2">
        <f>Bangla!G66</f>
        <v>3</v>
      </c>
      <c r="E28" s="2">
        <f>English!F66</f>
        <v>3</v>
      </c>
      <c r="F28" s="2">
        <f>ICT!H66</f>
        <v>4</v>
      </c>
      <c r="G28" s="119">
        <f>Physics!H66</f>
        <v>3</v>
      </c>
      <c r="H28" s="119">
        <f>Chemistry!H66</f>
        <v>4</v>
      </c>
      <c r="I28" s="119">
        <f>Biology!H66</f>
        <v>3</v>
      </c>
      <c r="J28" s="119">
        <f>Math!H66</f>
        <v>0</v>
      </c>
      <c r="K28" s="120">
        <f t="shared" si="0"/>
        <v>1</v>
      </c>
      <c r="L28" s="120">
        <f t="shared" si="1"/>
        <v>1</v>
      </c>
      <c r="M28" s="120">
        <f t="shared" si="2"/>
        <v>1</v>
      </c>
      <c r="N28" s="120">
        <f t="shared" si="3"/>
        <v>1</v>
      </c>
      <c r="O28" s="120">
        <f t="shared" si="4"/>
        <v>1</v>
      </c>
      <c r="P28" s="120">
        <f t="shared" si="5"/>
        <v>1</v>
      </c>
      <c r="Q28" s="120">
        <f t="shared" si="6"/>
        <v>6</v>
      </c>
      <c r="R28" s="3">
        <f t="shared" si="7"/>
        <v>20</v>
      </c>
      <c r="S28" s="3">
        <f t="shared" si="8"/>
        <v>20</v>
      </c>
      <c r="T28" s="7">
        <f t="shared" si="9"/>
        <v>3.3333333333333335</v>
      </c>
      <c r="U28" s="115" t="str">
        <f t="shared" si="10"/>
        <v>Pass</v>
      </c>
      <c r="V28" s="7">
        <f>'Detailed Summary'!BA66</f>
        <v>3.3333333333333335</v>
      </c>
      <c r="W28" s="7" t="str">
        <f>'Detailed Summary'!BN66</f>
        <v>B</v>
      </c>
      <c r="X28" s="116">
        <f>'Detailed Summary'!BK66</f>
        <v>5</v>
      </c>
      <c r="Y28" s="115" t="str">
        <f>'Detailed Summary'!BM66</f>
        <v>Average</v>
      </c>
    </row>
    <row r="29" spans="1:25" ht="23.5" hidden="1" x14ac:dyDescent="0.55000000000000004">
      <c r="A29" s="2"/>
      <c r="B29" s="2">
        <f>'Student Basic Info'!A29</f>
        <v>728</v>
      </c>
      <c r="C29" s="2" t="str">
        <f>'Student Basic Info'!C29</f>
        <v>Aditya Chandra Das (Akash)</v>
      </c>
      <c r="D29" s="2">
        <f>Bangla!G29</f>
        <v>2</v>
      </c>
      <c r="E29" s="2">
        <f>English!F29</f>
        <v>0</v>
      </c>
      <c r="F29" s="2">
        <f>ICT!H29</f>
        <v>0</v>
      </c>
      <c r="G29" s="119">
        <f>Physics!H29</f>
        <v>2</v>
      </c>
      <c r="H29" s="119">
        <f>Chemistry!H29</f>
        <v>3</v>
      </c>
      <c r="I29" s="119">
        <f>Biology!H29</f>
        <v>0</v>
      </c>
      <c r="J29" s="119">
        <f>Math!H29</f>
        <v>0</v>
      </c>
      <c r="K29" s="120">
        <f t="shared" si="0"/>
        <v>1</v>
      </c>
      <c r="L29" s="120">
        <f t="shared" si="1"/>
        <v>0</v>
      </c>
      <c r="M29" s="120">
        <f t="shared" si="2"/>
        <v>0</v>
      </c>
      <c r="N29" s="120">
        <f t="shared" si="3"/>
        <v>1</v>
      </c>
      <c r="O29" s="120">
        <f t="shared" si="4"/>
        <v>1</v>
      </c>
      <c r="P29" s="120">
        <f t="shared" si="5"/>
        <v>0</v>
      </c>
      <c r="Q29" s="120">
        <f t="shared" si="6"/>
        <v>3</v>
      </c>
      <c r="R29" s="3" t="str">
        <f t="shared" si="7"/>
        <v/>
      </c>
      <c r="S29" s="3" t="str">
        <f t="shared" si="8"/>
        <v/>
      </c>
      <c r="T29" s="7" t="str">
        <f t="shared" si="9"/>
        <v/>
      </c>
      <c r="U29" s="3" t="str">
        <f t="shared" si="10"/>
        <v>Failed in 3 Subjects</v>
      </c>
      <c r="V29" s="86" t="str">
        <f>'Detailed Summary'!BA29</f>
        <v/>
      </c>
      <c r="W29" s="7" t="str">
        <f>'Detailed Summary'!BN29</f>
        <v/>
      </c>
      <c r="X29" s="8" t="str">
        <f>'Detailed Summary'!BK29</f>
        <v/>
      </c>
      <c r="Y29" s="3" t="str">
        <f>'Detailed Summary'!BM29</f>
        <v>Very Weak</v>
      </c>
    </row>
    <row r="30" spans="1:25" ht="23.5" hidden="1" x14ac:dyDescent="0.55000000000000004">
      <c r="A30" s="2"/>
      <c r="B30" s="2">
        <f>'Student Basic Info'!A30</f>
        <v>729</v>
      </c>
      <c r="C30" s="2" t="str">
        <f>'Student Basic Info'!C30</f>
        <v>Golam Kibriya</v>
      </c>
      <c r="D30" s="2">
        <f>Bangla!G30</f>
        <v>1</v>
      </c>
      <c r="E30" s="2">
        <f>English!F30</f>
        <v>0</v>
      </c>
      <c r="F30" s="2">
        <f>ICT!H30</f>
        <v>0</v>
      </c>
      <c r="G30" s="119">
        <f>Physics!H30</f>
        <v>0</v>
      </c>
      <c r="H30" s="119">
        <f>Chemistry!H30</f>
        <v>0</v>
      </c>
      <c r="I30" s="119">
        <f>Biology!H30</f>
        <v>0</v>
      </c>
      <c r="J30" s="119">
        <f>Math!H30</f>
        <v>0</v>
      </c>
      <c r="K30" s="120">
        <f t="shared" si="0"/>
        <v>1</v>
      </c>
      <c r="L30" s="120">
        <f t="shared" si="1"/>
        <v>0</v>
      </c>
      <c r="M30" s="120">
        <f t="shared" si="2"/>
        <v>0</v>
      </c>
      <c r="N30" s="120">
        <f t="shared" si="3"/>
        <v>0</v>
      </c>
      <c r="O30" s="120">
        <f t="shared" si="4"/>
        <v>0</v>
      </c>
      <c r="P30" s="120">
        <f t="shared" si="5"/>
        <v>0</v>
      </c>
      <c r="Q30" s="120">
        <f t="shared" si="6"/>
        <v>1</v>
      </c>
      <c r="R30" s="3" t="str">
        <f t="shared" si="7"/>
        <v/>
      </c>
      <c r="S30" s="3" t="str">
        <f t="shared" si="8"/>
        <v/>
      </c>
      <c r="T30" s="7" t="str">
        <f t="shared" si="9"/>
        <v/>
      </c>
      <c r="U30" s="3" t="str">
        <f t="shared" si="10"/>
        <v>Failed in 5 Subjects</v>
      </c>
      <c r="V30" s="86" t="str">
        <f>'Detailed Summary'!BA30</f>
        <v/>
      </c>
      <c r="W30" s="7" t="str">
        <f>'Detailed Summary'!BN30</f>
        <v/>
      </c>
      <c r="X30" s="8" t="str">
        <f>'Detailed Summary'!BK30</f>
        <v/>
      </c>
      <c r="Y30" s="3" t="str">
        <f>'Detailed Summary'!BM30</f>
        <v>Very Weak</v>
      </c>
    </row>
    <row r="31" spans="1:25" ht="23.5" hidden="1" x14ac:dyDescent="0.55000000000000004">
      <c r="A31" s="2"/>
      <c r="B31" s="2">
        <f>'Student Basic Info'!A31</f>
        <v>730</v>
      </c>
      <c r="C31" s="2" t="str">
        <f>'Student Basic Info'!C31</f>
        <v>Fahmidul Alam Abhi</v>
      </c>
      <c r="D31" s="2">
        <f>Bangla!G31</f>
        <v>1</v>
      </c>
      <c r="E31" s="2">
        <f>English!F31</f>
        <v>0</v>
      </c>
      <c r="F31" s="2">
        <f>ICT!H31</f>
        <v>0</v>
      </c>
      <c r="G31" s="119">
        <f>Physics!H31</f>
        <v>0</v>
      </c>
      <c r="H31" s="119">
        <f>Chemistry!H31</f>
        <v>0</v>
      </c>
      <c r="I31" s="119">
        <f>Biology!H31</f>
        <v>0</v>
      </c>
      <c r="J31" s="119">
        <f>Math!H31</f>
        <v>0</v>
      </c>
      <c r="K31" s="120">
        <f t="shared" si="0"/>
        <v>1</v>
      </c>
      <c r="L31" s="120">
        <f t="shared" si="1"/>
        <v>0</v>
      </c>
      <c r="M31" s="120">
        <f t="shared" si="2"/>
        <v>0</v>
      </c>
      <c r="N31" s="120">
        <f t="shared" si="3"/>
        <v>0</v>
      </c>
      <c r="O31" s="120">
        <f t="shared" si="4"/>
        <v>0</v>
      </c>
      <c r="P31" s="120">
        <f t="shared" si="5"/>
        <v>0</v>
      </c>
      <c r="Q31" s="120">
        <f t="shared" si="6"/>
        <v>1</v>
      </c>
      <c r="R31" s="3" t="str">
        <f t="shared" si="7"/>
        <v/>
      </c>
      <c r="S31" s="3" t="str">
        <f t="shared" si="8"/>
        <v/>
      </c>
      <c r="T31" s="7" t="str">
        <f t="shared" si="9"/>
        <v/>
      </c>
      <c r="U31" s="3" t="str">
        <f t="shared" si="10"/>
        <v>Failed in 5 Subjects</v>
      </c>
      <c r="V31" s="86" t="str">
        <f>'Detailed Summary'!BA31</f>
        <v/>
      </c>
      <c r="W31" s="7" t="str">
        <f>'Detailed Summary'!BN31</f>
        <v/>
      </c>
      <c r="X31" s="8" t="str">
        <f>'Detailed Summary'!BK31</f>
        <v/>
      </c>
      <c r="Y31" s="3" t="str">
        <f>'Detailed Summary'!BM31</f>
        <v>Very Weak</v>
      </c>
    </row>
    <row r="32" spans="1:25" ht="23.5" hidden="1" x14ac:dyDescent="0.55000000000000004">
      <c r="A32" s="2"/>
      <c r="B32" s="2">
        <f>'Student Basic Info'!A32</f>
        <v>731</v>
      </c>
      <c r="C32" s="2" t="str">
        <f>'Student Basic Info'!C32</f>
        <v>Lurpur Nahar</v>
      </c>
      <c r="D32" s="2">
        <f>Bangla!G32</f>
        <v>3</v>
      </c>
      <c r="E32" s="2">
        <f>English!F32</f>
        <v>0</v>
      </c>
      <c r="F32" s="2">
        <f>ICT!H32</f>
        <v>0</v>
      </c>
      <c r="G32" s="119">
        <f>Physics!H32</f>
        <v>3</v>
      </c>
      <c r="H32" s="119">
        <f>Chemistry!H32</f>
        <v>0</v>
      </c>
      <c r="I32" s="119">
        <f>Biology!H32</f>
        <v>0</v>
      </c>
      <c r="J32" s="119">
        <f>Math!H32</f>
        <v>0</v>
      </c>
      <c r="K32" s="120">
        <f t="shared" si="0"/>
        <v>1</v>
      </c>
      <c r="L32" s="120">
        <f t="shared" si="1"/>
        <v>0</v>
      </c>
      <c r="M32" s="120">
        <f t="shared" si="2"/>
        <v>0</v>
      </c>
      <c r="N32" s="120">
        <f t="shared" si="3"/>
        <v>1</v>
      </c>
      <c r="O32" s="120">
        <f t="shared" si="4"/>
        <v>0</v>
      </c>
      <c r="P32" s="120">
        <f t="shared" si="5"/>
        <v>0</v>
      </c>
      <c r="Q32" s="120">
        <f t="shared" si="6"/>
        <v>2</v>
      </c>
      <c r="R32" s="3" t="str">
        <f t="shared" si="7"/>
        <v/>
      </c>
      <c r="S32" s="3" t="str">
        <f t="shared" si="8"/>
        <v/>
      </c>
      <c r="T32" s="7" t="str">
        <f t="shared" si="9"/>
        <v/>
      </c>
      <c r="U32" s="3" t="str">
        <f t="shared" si="10"/>
        <v>Failed in 4 Subjects</v>
      </c>
      <c r="V32" s="86" t="str">
        <f>'Detailed Summary'!BA32</f>
        <v/>
      </c>
      <c r="W32" s="7" t="str">
        <f>'Detailed Summary'!BN32</f>
        <v/>
      </c>
      <c r="X32" s="8" t="str">
        <f>'Detailed Summary'!BK32</f>
        <v/>
      </c>
      <c r="Y32" s="3" t="str">
        <f>'Detailed Summary'!BM32</f>
        <v>Very Weak</v>
      </c>
    </row>
    <row r="33" spans="1:25" ht="23.5" hidden="1" x14ac:dyDescent="0.55000000000000004">
      <c r="A33" s="2"/>
      <c r="B33" s="2">
        <f>'Student Basic Info'!A33</f>
        <v>732</v>
      </c>
      <c r="C33" s="2" t="str">
        <f>'Student Basic Info'!C33</f>
        <v>Shezanul Bahar Alvi</v>
      </c>
      <c r="D33" s="2">
        <f>Bangla!G33</f>
        <v>1</v>
      </c>
      <c r="E33" s="2">
        <f>English!F33</f>
        <v>0</v>
      </c>
      <c r="F33" s="2">
        <f>ICT!H33</f>
        <v>0</v>
      </c>
      <c r="G33" s="119" t="str">
        <f>Physics!H33</f>
        <v/>
      </c>
      <c r="H33" s="119">
        <f>Chemistry!H33</f>
        <v>1</v>
      </c>
      <c r="I33" s="119">
        <f>Biology!H33</f>
        <v>0</v>
      </c>
      <c r="J33" s="119">
        <f>Math!H33</f>
        <v>0</v>
      </c>
      <c r="K33" s="120">
        <f t="shared" si="0"/>
        <v>1</v>
      </c>
      <c r="L33" s="120">
        <f t="shared" si="1"/>
        <v>0</v>
      </c>
      <c r="M33" s="120">
        <f t="shared" si="2"/>
        <v>0</v>
      </c>
      <c r="N33" s="120">
        <f t="shared" si="3"/>
        <v>0</v>
      </c>
      <c r="O33" s="120">
        <f t="shared" si="4"/>
        <v>1</v>
      </c>
      <c r="P33" s="120">
        <f t="shared" si="5"/>
        <v>0</v>
      </c>
      <c r="Q33" s="120">
        <f t="shared" si="6"/>
        <v>2</v>
      </c>
      <c r="R33" s="3" t="str">
        <f t="shared" si="7"/>
        <v/>
      </c>
      <c r="S33" s="3" t="str">
        <f t="shared" si="8"/>
        <v/>
      </c>
      <c r="T33" s="7" t="str">
        <f t="shared" si="9"/>
        <v/>
      </c>
      <c r="U33" s="3" t="str">
        <f t="shared" si="10"/>
        <v>Failed in 4 Subjects</v>
      </c>
      <c r="V33" s="86" t="str">
        <f>'Detailed Summary'!BA33</f>
        <v/>
      </c>
      <c r="W33" s="7" t="str">
        <f>'Detailed Summary'!BN33</f>
        <v/>
      </c>
      <c r="X33" s="8" t="str">
        <f>'Detailed Summary'!BK33</f>
        <v/>
      </c>
      <c r="Y33" s="3" t="str">
        <f>'Detailed Summary'!BM33</f>
        <v>Very Weak</v>
      </c>
    </row>
    <row r="34" spans="1:25" ht="23.5" hidden="1" x14ac:dyDescent="0.55000000000000004">
      <c r="A34" s="2"/>
      <c r="B34" s="2">
        <f>'Student Basic Info'!A34</f>
        <v>733</v>
      </c>
      <c r="C34" s="2" t="str">
        <f>'Student Basic Info'!C34</f>
        <v>Shadiya Bahar</v>
      </c>
      <c r="D34" s="2">
        <f>Bangla!G34</f>
        <v>2</v>
      </c>
      <c r="E34" s="2">
        <f>English!F34</f>
        <v>1</v>
      </c>
      <c r="F34" s="2">
        <f>ICT!H34</f>
        <v>0</v>
      </c>
      <c r="G34" s="119">
        <f>Physics!H34</f>
        <v>0</v>
      </c>
      <c r="H34" s="119">
        <f>Chemistry!H34</f>
        <v>0</v>
      </c>
      <c r="I34" s="119">
        <f>Biology!H34</f>
        <v>0</v>
      </c>
      <c r="J34" s="119">
        <f>Math!H34</f>
        <v>0</v>
      </c>
      <c r="K34" s="120">
        <f t="shared" ref="K34:K68" si="11">(IF(D34="",0,IF(D34=0,0,1)))</f>
        <v>1</v>
      </c>
      <c r="L34" s="120">
        <f t="shared" ref="L34:L68" si="12">(IF(E34="",0,IF(E34=0,0,1)))</f>
        <v>1</v>
      </c>
      <c r="M34" s="120">
        <f t="shared" ref="M34:M68" si="13">(IF(F34="",0,IF(F34=0,0,1)))</f>
        <v>0</v>
      </c>
      <c r="N34" s="120">
        <f t="shared" ref="N34:N68" si="14">(IF(G34="",0,IF(G34=0,0,1)))</f>
        <v>0</v>
      </c>
      <c r="O34" s="120">
        <f t="shared" ref="O34:O68" si="15">(IF(H34="",0,IF(H34=0,0,1)))</f>
        <v>0</v>
      </c>
      <c r="P34" s="120">
        <f t="shared" ref="P34:P68" si="16">(IF(I34="",0,IF(I34=0,0,1)))</f>
        <v>0</v>
      </c>
      <c r="Q34" s="120">
        <f t="shared" ref="Q34:Q65" si="17">SUM(K34:P34)</f>
        <v>2</v>
      </c>
      <c r="R34" s="3" t="str">
        <f t="shared" ref="R34:R68" si="18">IF(OR(D34=0,E34=0,F34=0,G34=0,H34=0,I34=0,D34="",E34="",F34="",G34="",H34="",I34=""),"",SUM(D34:I34))</f>
        <v/>
      </c>
      <c r="S34" s="3" t="str">
        <f t="shared" ref="S34:S68" si="19">IF(OR(D34=0,E34=0,F34=0,G34=0,H34=0,I34=0,D34="",E34="",F34="",G34="",H34="",I34=""),"",SUM(D34:J34))</f>
        <v/>
      </c>
      <c r="T34" s="7" t="str">
        <f t="shared" ref="T34:T68" si="20">IF(R34="","",IF(((R34/6)&gt;5),5,R34/6))</f>
        <v/>
      </c>
      <c r="U34" s="3" t="str">
        <f t="shared" ref="U34:U68" si="21">IF(Q34=0,"Failed in 6 Subjects",IF(Q34=1,"Failed in 5 Subjects",IF(Q34=2,"Failed in 4 Subjects",IF(Q34=3,"Failed in 3 Subjects",IF(Q34=4,"Failed in 2 Subjects",IF(Q34=5,"Failed in 1 Subject","Pass"))))))</f>
        <v>Failed in 4 Subjects</v>
      </c>
      <c r="V34" s="86" t="str">
        <f>'Detailed Summary'!BA34</f>
        <v/>
      </c>
      <c r="W34" s="7" t="str">
        <f>'Detailed Summary'!BN34</f>
        <v/>
      </c>
      <c r="X34" s="8" t="str">
        <f>'Detailed Summary'!BK34</f>
        <v/>
      </c>
      <c r="Y34" s="3" t="str">
        <f>'Detailed Summary'!BM34</f>
        <v>Very Weak</v>
      </c>
    </row>
    <row r="35" spans="1:25" ht="23.5" hidden="1" x14ac:dyDescent="0.55000000000000004">
      <c r="A35" s="2"/>
      <c r="B35" s="2">
        <f>'Student Basic Info'!A35</f>
        <v>734</v>
      </c>
      <c r="C35" s="2" t="str">
        <f>'Student Basic Info'!C35</f>
        <v>Shayed Hasan</v>
      </c>
      <c r="D35" s="2">
        <f>Bangla!G35</f>
        <v>3</v>
      </c>
      <c r="E35" s="2">
        <f>English!F35</f>
        <v>1</v>
      </c>
      <c r="F35" s="2">
        <f>ICT!H35</f>
        <v>0</v>
      </c>
      <c r="G35" s="119">
        <f>Physics!H35</f>
        <v>3</v>
      </c>
      <c r="H35" s="119">
        <f>Chemistry!H35</f>
        <v>1</v>
      </c>
      <c r="I35" s="119">
        <f>Biology!H35</f>
        <v>0</v>
      </c>
      <c r="J35" s="119">
        <f>Math!H35</f>
        <v>0</v>
      </c>
      <c r="K35" s="120">
        <f t="shared" si="11"/>
        <v>1</v>
      </c>
      <c r="L35" s="120">
        <f t="shared" si="12"/>
        <v>1</v>
      </c>
      <c r="M35" s="120">
        <f t="shared" si="13"/>
        <v>0</v>
      </c>
      <c r="N35" s="120">
        <f t="shared" si="14"/>
        <v>1</v>
      </c>
      <c r="O35" s="120">
        <f t="shared" si="15"/>
        <v>1</v>
      </c>
      <c r="P35" s="120">
        <f t="shared" si="16"/>
        <v>0</v>
      </c>
      <c r="Q35" s="120">
        <f t="shared" si="17"/>
        <v>4</v>
      </c>
      <c r="R35" s="3" t="str">
        <f t="shared" si="18"/>
        <v/>
      </c>
      <c r="S35" s="3" t="str">
        <f t="shared" si="19"/>
        <v/>
      </c>
      <c r="T35" s="7" t="str">
        <f t="shared" si="20"/>
        <v/>
      </c>
      <c r="U35" s="3" t="str">
        <f t="shared" si="21"/>
        <v>Failed in 2 Subjects</v>
      </c>
      <c r="V35" s="86" t="str">
        <f>'Detailed Summary'!BA35</f>
        <v/>
      </c>
      <c r="W35" s="7" t="str">
        <f>'Detailed Summary'!BN35</f>
        <v/>
      </c>
      <c r="X35" s="8" t="str">
        <f>'Detailed Summary'!BK35</f>
        <v/>
      </c>
      <c r="Y35" s="3" t="str">
        <f>'Detailed Summary'!BM35</f>
        <v>Very Weak</v>
      </c>
    </row>
    <row r="36" spans="1:25" ht="23.5" hidden="1" x14ac:dyDescent="0.55000000000000004">
      <c r="A36" s="2"/>
      <c r="B36" s="2">
        <f>'Student Basic Info'!A36</f>
        <v>735</v>
      </c>
      <c r="C36" s="2" t="str">
        <f>'Student Basic Info'!C36</f>
        <v>Sumaiya Zahan Tarin</v>
      </c>
      <c r="D36" s="2">
        <f>Bangla!G36</f>
        <v>3</v>
      </c>
      <c r="E36" s="2">
        <f>English!F36</f>
        <v>2</v>
      </c>
      <c r="F36" s="2">
        <f>ICT!H36</f>
        <v>0</v>
      </c>
      <c r="G36" s="119">
        <f>Physics!H36</f>
        <v>0</v>
      </c>
      <c r="H36" s="119" t="str">
        <f>Chemistry!H36</f>
        <v/>
      </c>
      <c r="I36" s="119">
        <f>Biology!H36</f>
        <v>0</v>
      </c>
      <c r="J36" s="119">
        <f>Math!H36</f>
        <v>0</v>
      </c>
      <c r="K36" s="120">
        <f t="shared" si="11"/>
        <v>1</v>
      </c>
      <c r="L36" s="120">
        <f t="shared" si="12"/>
        <v>1</v>
      </c>
      <c r="M36" s="120">
        <f t="shared" si="13"/>
        <v>0</v>
      </c>
      <c r="N36" s="120">
        <f t="shared" si="14"/>
        <v>0</v>
      </c>
      <c r="O36" s="120">
        <f t="shared" si="15"/>
        <v>0</v>
      </c>
      <c r="P36" s="120">
        <f t="shared" si="16"/>
        <v>0</v>
      </c>
      <c r="Q36" s="120">
        <f t="shared" si="17"/>
        <v>2</v>
      </c>
      <c r="R36" s="3" t="str">
        <f t="shared" si="18"/>
        <v/>
      </c>
      <c r="S36" s="3" t="str">
        <f t="shared" si="19"/>
        <v/>
      </c>
      <c r="T36" s="7" t="str">
        <f t="shared" si="20"/>
        <v/>
      </c>
      <c r="U36" s="3" t="str">
        <f t="shared" si="21"/>
        <v>Failed in 4 Subjects</v>
      </c>
      <c r="V36" s="86" t="str">
        <f>'Detailed Summary'!BA36</f>
        <v/>
      </c>
      <c r="W36" s="7" t="str">
        <f>'Detailed Summary'!BN36</f>
        <v/>
      </c>
      <c r="X36" s="8" t="str">
        <f>'Detailed Summary'!BK36</f>
        <v/>
      </c>
      <c r="Y36" s="3" t="str">
        <f>'Detailed Summary'!BM36</f>
        <v>Very Weak</v>
      </c>
    </row>
    <row r="37" spans="1:25" ht="23.5" hidden="1" x14ac:dyDescent="0.55000000000000004">
      <c r="A37" s="2"/>
      <c r="B37" s="2">
        <f>'Student Basic Info'!A37</f>
        <v>736</v>
      </c>
      <c r="C37" s="2" t="str">
        <f>'Student Basic Info'!C37</f>
        <v>Nur Islam</v>
      </c>
      <c r="D37" s="2">
        <f>Bangla!G37</f>
        <v>2</v>
      </c>
      <c r="E37" s="2">
        <f>English!F37</f>
        <v>0</v>
      </c>
      <c r="F37" s="2">
        <f>ICT!H37</f>
        <v>0</v>
      </c>
      <c r="G37" s="119">
        <f>Physics!H37</f>
        <v>3</v>
      </c>
      <c r="H37" s="119">
        <f>Chemistry!H37</f>
        <v>0</v>
      </c>
      <c r="I37" s="119">
        <f>Biology!H37</f>
        <v>0</v>
      </c>
      <c r="J37" s="119" t="str">
        <f>Math!H37</f>
        <v/>
      </c>
      <c r="K37" s="120">
        <f t="shared" si="11"/>
        <v>1</v>
      </c>
      <c r="L37" s="120">
        <f t="shared" si="12"/>
        <v>0</v>
      </c>
      <c r="M37" s="120">
        <f t="shared" si="13"/>
        <v>0</v>
      </c>
      <c r="N37" s="120">
        <f t="shared" si="14"/>
        <v>1</v>
      </c>
      <c r="O37" s="120">
        <f t="shared" si="15"/>
        <v>0</v>
      </c>
      <c r="P37" s="120">
        <f t="shared" si="16"/>
        <v>0</v>
      </c>
      <c r="Q37" s="120">
        <f t="shared" si="17"/>
        <v>2</v>
      </c>
      <c r="R37" s="3" t="str">
        <f t="shared" si="18"/>
        <v/>
      </c>
      <c r="S37" s="3" t="str">
        <f t="shared" si="19"/>
        <v/>
      </c>
      <c r="T37" s="7" t="str">
        <f t="shared" si="20"/>
        <v/>
      </c>
      <c r="U37" s="3" t="str">
        <f t="shared" si="21"/>
        <v>Failed in 4 Subjects</v>
      </c>
      <c r="V37" s="86" t="str">
        <f>'Detailed Summary'!BA37</f>
        <v/>
      </c>
      <c r="W37" s="7" t="str">
        <f>'Detailed Summary'!BN37</f>
        <v/>
      </c>
      <c r="X37" s="8" t="str">
        <f>'Detailed Summary'!BK37</f>
        <v/>
      </c>
      <c r="Y37" s="3" t="str">
        <f>'Detailed Summary'!BM37</f>
        <v>Very Weak</v>
      </c>
    </row>
    <row r="38" spans="1:25" ht="23.5" hidden="1" x14ac:dyDescent="0.55000000000000004">
      <c r="A38" s="2"/>
      <c r="B38" s="2">
        <f>'Student Basic Info'!A38</f>
        <v>737</v>
      </c>
      <c r="C38" s="2" t="str">
        <f>'Student Basic Info'!C38</f>
        <v>Nusrat Zahan</v>
      </c>
      <c r="D38" s="2">
        <f>Bangla!G38</f>
        <v>3</v>
      </c>
      <c r="E38" s="2">
        <f>English!F38</f>
        <v>2</v>
      </c>
      <c r="F38" s="2">
        <f>ICT!H38</f>
        <v>0</v>
      </c>
      <c r="G38" s="119">
        <f>Physics!H38</f>
        <v>3.5</v>
      </c>
      <c r="H38" s="119">
        <f>Chemistry!H38</f>
        <v>0</v>
      </c>
      <c r="I38" s="119">
        <f>Biology!H38</f>
        <v>0</v>
      </c>
      <c r="J38" s="119">
        <f>Math!H38</f>
        <v>0</v>
      </c>
      <c r="K38" s="120">
        <f t="shared" si="11"/>
        <v>1</v>
      </c>
      <c r="L38" s="120">
        <f t="shared" si="12"/>
        <v>1</v>
      </c>
      <c r="M38" s="120">
        <f t="shared" si="13"/>
        <v>0</v>
      </c>
      <c r="N38" s="120">
        <f t="shared" si="14"/>
        <v>1</v>
      </c>
      <c r="O38" s="120">
        <f t="shared" si="15"/>
        <v>0</v>
      </c>
      <c r="P38" s="120">
        <f t="shared" si="16"/>
        <v>0</v>
      </c>
      <c r="Q38" s="120">
        <f t="shared" si="17"/>
        <v>3</v>
      </c>
      <c r="R38" s="3" t="str">
        <f t="shared" si="18"/>
        <v/>
      </c>
      <c r="S38" s="3" t="str">
        <f t="shared" si="19"/>
        <v/>
      </c>
      <c r="T38" s="7" t="str">
        <f t="shared" si="20"/>
        <v/>
      </c>
      <c r="U38" s="3" t="str">
        <f t="shared" si="21"/>
        <v>Failed in 3 Subjects</v>
      </c>
      <c r="V38" s="86" t="str">
        <f>'Detailed Summary'!BA38</f>
        <v/>
      </c>
      <c r="W38" s="7" t="str">
        <f>'Detailed Summary'!BN38</f>
        <v/>
      </c>
      <c r="X38" s="8" t="str">
        <f>'Detailed Summary'!BK38</f>
        <v/>
      </c>
      <c r="Y38" s="3" t="str">
        <f>'Detailed Summary'!BM38</f>
        <v>Very Weak</v>
      </c>
    </row>
    <row r="39" spans="1:25" ht="23.5" hidden="1" x14ac:dyDescent="0.55000000000000004">
      <c r="A39" s="2"/>
      <c r="B39" s="2">
        <f>'Student Basic Info'!A39</f>
        <v>738</v>
      </c>
      <c r="C39" s="2" t="str">
        <f>'Student Basic Info'!C39</f>
        <v>Arpita Rani Bhoumik</v>
      </c>
      <c r="D39" s="2">
        <f>Bangla!G39</f>
        <v>3</v>
      </c>
      <c r="E39" s="2">
        <f>English!F39</f>
        <v>2</v>
      </c>
      <c r="F39" s="2">
        <f>ICT!H39</f>
        <v>3</v>
      </c>
      <c r="G39" s="119">
        <f>Physics!H39</f>
        <v>0</v>
      </c>
      <c r="H39" s="119">
        <f>Chemistry!H39</f>
        <v>0</v>
      </c>
      <c r="I39" s="119">
        <f>Biology!H39</f>
        <v>0</v>
      </c>
      <c r="J39" s="119">
        <f>Math!H39</f>
        <v>0</v>
      </c>
      <c r="K39" s="120">
        <f t="shared" si="11"/>
        <v>1</v>
      </c>
      <c r="L39" s="120">
        <f t="shared" si="12"/>
        <v>1</v>
      </c>
      <c r="M39" s="120">
        <f t="shared" si="13"/>
        <v>1</v>
      </c>
      <c r="N39" s="120">
        <f t="shared" si="14"/>
        <v>0</v>
      </c>
      <c r="O39" s="120">
        <f t="shared" si="15"/>
        <v>0</v>
      </c>
      <c r="P39" s="120">
        <f t="shared" si="16"/>
        <v>0</v>
      </c>
      <c r="Q39" s="120">
        <f t="shared" si="17"/>
        <v>3</v>
      </c>
      <c r="R39" s="3" t="str">
        <f t="shared" si="18"/>
        <v/>
      </c>
      <c r="S39" s="3" t="str">
        <f t="shared" si="19"/>
        <v/>
      </c>
      <c r="T39" s="7" t="str">
        <f t="shared" si="20"/>
        <v/>
      </c>
      <c r="U39" s="3" t="str">
        <f t="shared" si="21"/>
        <v>Failed in 3 Subjects</v>
      </c>
      <c r="V39" s="86" t="str">
        <f>'Detailed Summary'!BA39</f>
        <v/>
      </c>
      <c r="W39" s="7" t="str">
        <f>'Detailed Summary'!BN39</f>
        <v/>
      </c>
      <c r="X39" s="8" t="str">
        <f>'Detailed Summary'!BK39</f>
        <v/>
      </c>
      <c r="Y39" s="3" t="str">
        <f>'Detailed Summary'!BM39</f>
        <v>Very Weak</v>
      </c>
    </row>
    <row r="40" spans="1:25" ht="23.5" hidden="1" x14ac:dyDescent="0.55000000000000004">
      <c r="A40" s="2"/>
      <c r="B40" s="2">
        <f>'Student Basic Info'!A40</f>
        <v>739</v>
      </c>
      <c r="C40" s="2" t="str">
        <f>'Student Basic Info'!C40</f>
        <v xml:space="preserve">Israt Zahan Shrabonti </v>
      </c>
      <c r="D40" s="2">
        <f>Bangla!G40</f>
        <v>3</v>
      </c>
      <c r="E40" s="2">
        <f>English!F40</f>
        <v>1</v>
      </c>
      <c r="F40" s="2">
        <f>ICT!H40</f>
        <v>2</v>
      </c>
      <c r="G40" s="119">
        <f>Physics!H40</f>
        <v>3</v>
      </c>
      <c r="H40" s="119">
        <f>Chemistry!H40</f>
        <v>0</v>
      </c>
      <c r="I40" s="119">
        <f>Biology!H40</f>
        <v>0</v>
      </c>
      <c r="J40" s="119">
        <f>Math!H40</f>
        <v>0</v>
      </c>
      <c r="K40" s="120">
        <f t="shared" si="11"/>
        <v>1</v>
      </c>
      <c r="L40" s="120">
        <f t="shared" si="12"/>
        <v>1</v>
      </c>
      <c r="M40" s="120">
        <f t="shared" si="13"/>
        <v>1</v>
      </c>
      <c r="N40" s="120">
        <f t="shared" si="14"/>
        <v>1</v>
      </c>
      <c r="O40" s="120">
        <f t="shared" si="15"/>
        <v>0</v>
      </c>
      <c r="P40" s="120">
        <f t="shared" si="16"/>
        <v>0</v>
      </c>
      <c r="Q40" s="120">
        <f t="shared" si="17"/>
        <v>4</v>
      </c>
      <c r="R40" s="3" t="str">
        <f t="shared" si="18"/>
        <v/>
      </c>
      <c r="S40" s="3" t="str">
        <f t="shared" si="19"/>
        <v/>
      </c>
      <c r="T40" s="7" t="str">
        <f t="shared" si="20"/>
        <v/>
      </c>
      <c r="U40" s="3" t="str">
        <f t="shared" si="21"/>
        <v>Failed in 2 Subjects</v>
      </c>
      <c r="V40" s="86" t="str">
        <f>'Detailed Summary'!BA40</f>
        <v/>
      </c>
      <c r="W40" s="7" t="str">
        <f>'Detailed Summary'!BN40</f>
        <v/>
      </c>
      <c r="X40" s="8" t="str">
        <f>'Detailed Summary'!BK40</f>
        <v/>
      </c>
      <c r="Y40" s="3" t="str">
        <f>'Detailed Summary'!BM40</f>
        <v>Very Weak</v>
      </c>
    </row>
    <row r="41" spans="1:25" ht="23.5" hidden="1" x14ac:dyDescent="0.55000000000000004">
      <c r="A41" s="2"/>
      <c r="B41" s="2">
        <f>'Student Basic Info'!A41</f>
        <v>740</v>
      </c>
      <c r="C41" s="2" t="str">
        <f>'Student Basic Info'!C41</f>
        <v>Fatema Zannat</v>
      </c>
      <c r="D41" s="2">
        <f>Bangla!G41</f>
        <v>3.5</v>
      </c>
      <c r="E41" s="2">
        <f>English!F41</f>
        <v>2</v>
      </c>
      <c r="F41" s="2">
        <f>ICT!H41</f>
        <v>0</v>
      </c>
      <c r="G41" s="119">
        <f>Physics!H41</f>
        <v>0</v>
      </c>
      <c r="H41" s="119">
        <f>Chemistry!H41</f>
        <v>2</v>
      </c>
      <c r="I41" s="119">
        <f>Biology!H41</f>
        <v>0</v>
      </c>
      <c r="J41" s="119">
        <f>Math!H41</f>
        <v>0</v>
      </c>
      <c r="K41" s="120">
        <f t="shared" si="11"/>
        <v>1</v>
      </c>
      <c r="L41" s="120">
        <f t="shared" si="12"/>
        <v>1</v>
      </c>
      <c r="M41" s="120">
        <f t="shared" si="13"/>
        <v>0</v>
      </c>
      <c r="N41" s="120">
        <f t="shared" si="14"/>
        <v>0</v>
      </c>
      <c r="O41" s="120">
        <f t="shared" si="15"/>
        <v>1</v>
      </c>
      <c r="P41" s="120">
        <f t="shared" si="16"/>
        <v>0</v>
      </c>
      <c r="Q41" s="120">
        <f t="shared" si="17"/>
        <v>3</v>
      </c>
      <c r="R41" s="3" t="str">
        <f t="shared" si="18"/>
        <v/>
      </c>
      <c r="S41" s="3" t="str">
        <f t="shared" si="19"/>
        <v/>
      </c>
      <c r="T41" s="7" t="str">
        <f t="shared" si="20"/>
        <v/>
      </c>
      <c r="U41" s="3" t="str">
        <f t="shared" si="21"/>
        <v>Failed in 3 Subjects</v>
      </c>
      <c r="V41" s="86" t="str">
        <f>'Detailed Summary'!BA41</f>
        <v/>
      </c>
      <c r="W41" s="7" t="str">
        <f>'Detailed Summary'!BN41</f>
        <v/>
      </c>
      <c r="X41" s="8" t="str">
        <f>'Detailed Summary'!BK41</f>
        <v/>
      </c>
      <c r="Y41" s="3" t="str">
        <f>'Detailed Summary'!BM41</f>
        <v>Very Weak</v>
      </c>
    </row>
    <row r="42" spans="1:25" x14ac:dyDescent="0.35">
      <c r="A42" s="150">
        <v>6</v>
      </c>
      <c r="B42" s="115">
        <f>'Student Basic Info'!A67</f>
        <v>766</v>
      </c>
      <c r="C42" s="118" t="str">
        <f>'Student Basic Info'!C67</f>
        <v xml:space="preserve">Md. Ibrahim Khalil </v>
      </c>
      <c r="D42" s="2">
        <f>Bangla!G67</f>
        <v>3</v>
      </c>
      <c r="E42" s="2">
        <f>English!F67</f>
        <v>2</v>
      </c>
      <c r="F42" s="2">
        <f>ICT!H67</f>
        <v>3.5</v>
      </c>
      <c r="G42" s="119">
        <f>Physics!H67</f>
        <v>4</v>
      </c>
      <c r="H42" s="119">
        <f>Chemistry!H67</f>
        <v>3.5</v>
      </c>
      <c r="I42" s="119">
        <f>Biology!H67</f>
        <v>3</v>
      </c>
      <c r="J42" s="119">
        <f>Math!H67</f>
        <v>0</v>
      </c>
      <c r="K42" s="120">
        <f t="shared" si="11"/>
        <v>1</v>
      </c>
      <c r="L42" s="120">
        <f t="shared" si="12"/>
        <v>1</v>
      </c>
      <c r="M42" s="120">
        <f t="shared" si="13"/>
        <v>1</v>
      </c>
      <c r="N42" s="120">
        <f t="shared" si="14"/>
        <v>1</v>
      </c>
      <c r="O42" s="120">
        <f t="shared" si="15"/>
        <v>1</v>
      </c>
      <c r="P42" s="120">
        <f t="shared" si="16"/>
        <v>1</v>
      </c>
      <c r="Q42" s="120">
        <f t="shared" si="17"/>
        <v>6</v>
      </c>
      <c r="R42" s="3">
        <f t="shared" si="18"/>
        <v>19</v>
      </c>
      <c r="S42" s="3">
        <f t="shared" si="19"/>
        <v>19</v>
      </c>
      <c r="T42" s="7">
        <f t="shared" si="20"/>
        <v>3.1666666666666665</v>
      </c>
      <c r="U42" s="115" t="str">
        <f t="shared" si="21"/>
        <v>Pass</v>
      </c>
      <c r="V42" s="7">
        <f>'Detailed Summary'!BA67</f>
        <v>3.1666666666666665</v>
      </c>
      <c r="W42" s="7" t="str">
        <f>'Detailed Summary'!BN67</f>
        <v>B</v>
      </c>
      <c r="X42" s="116">
        <f>'Detailed Summary'!BK67</f>
        <v>7</v>
      </c>
      <c r="Y42" s="115" t="str">
        <f>'Detailed Summary'!BM67</f>
        <v>Average</v>
      </c>
    </row>
    <row r="43" spans="1:25" ht="23.5" hidden="1" x14ac:dyDescent="0.55000000000000004">
      <c r="A43" s="2"/>
      <c r="B43" s="2">
        <f>'Student Basic Info'!A43</f>
        <v>742</v>
      </c>
      <c r="C43" s="2" t="str">
        <f>'Student Basic Info'!C43</f>
        <v>Md. Shohrab Hosain</v>
      </c>
      <c r="D43" s="2" t="str">
        <f>Bangla!G43</f>
        <v/>
      </c>
      <c r="E43" s="2" t="str">
        <f>English!F43</f>
        <v/>
      </c>
      <c r="F43" s="2" t="str">
        <f>ICT!H43</f>
        <v/>
      </c>
      <c r="G43" s="119" t="str">
        <f>Physics!H43</f>
        <v/>
      </c>
      <c r="H43" s="119" t="str">
        <f>Chemistry!H43</f>
        <v/>
      </c>
      <c r="I43" s="119" t="str">
        <f>Biology!H43</f>
        <v/>
      </c>
      <c r="J43" s="119" t="str">
        <f>Math!H43</f>
        <v/>
      </c>
      <c r="K43" s="120">
        <f t="shared" si="11"/>
        <v>0</v>
      </c>
      <c r="L43" s="120">
        <f t="shared" si="12"/>
        <v>0</v>
      </c>
      <c r="M43" s="120">
        <f t="shared" si="13"/>
        <v>0</v>
      </c>
      <c r="N43" s="120">
        <f t="shared" si="14"/>
        <v>0</v>
      </c>
      <c r="O43" s="120">
        <f t="shared" si="15"/>
        <v>0</v>
      </c>
      <c r="P43" s="120">
        <f t="shared" si="16"/>
        <v>0</v>
      </c>
      <c r="Q43" s="120">
        <f t="shared" si="17"/>
        <v>0</v>
      </c>
      <c r="R43" s="3" t="str">
        <f t="shared" si="18"/>
        <v/>
      </c>
      <c r="S43" s="3" t="str">
        <f t="shared" si="19"/>
        <v/>
      </c>
      <c r="T43" s="7" t="str">
        <f t="shared" si="20"/>
        <v/>
      </c>
      <c r="U43" s="3" t="str">
        <f t="shared" si="21"/>
        <v>Failed in 6 Subjects</v>
      </c>
      <c r="V43" s="86" t="str">
        <f>'Detailed Summary'!BA43</f>
        <v/>
      </c>
      <c r="W43" s="7" t="str">
        <f>'Detailed Summary'!BN43</f>
        <v/>
      </c>
      <c r="X43" s="8" t="str">
        <f>'Detailed Summary'!BK43</f>
        <v/>
      </c>
      <c r="Y43" s="3" t="str">
        <f>'Detailed Summary'!BM43</f>
        <v>Very Weak</v>
      </c>
    </row>
    <row r="44" spans="1:25" ht="23.5" hidden="1" x14ac:dyDescent="0.55000000000000004">
      <c r="A44" s="2"/>
      <c r="B44" s="2">
        <f>'Student Basic Info'!A44</f>
        <v>743</v>
      </c>
      <c r="C44" s="2" t="str">
        <f>'Student Basic Info'!C44</f>
        <v>Umme Habiba</v>
      </c>
      <c r="D44" s="2">
        <f>Bangla!G44</f>
        <v>0</v>
      </c>
      <c r="E44" s="2">
        <f>English!F44</f>
        <v>0</v>
      </c>
      <c r="F44" s="2">
        <f>ICT!H44</f>
        <v>0</v>
      </c>
      <c r="G44" s="119">
        <f>Physics!H44</f>
        <v>0</v>
      </c>
      <c r="H44" s="119">
        <f>Chemistry!H44</f>
        <v>0</v>
      </c>
      <c r="I44" s="119">
        <f>Biology!H44</f>
        <v>0</v>
      </c>
      <c r="J44" s="119">
        <f>Math!H44</f>
        <v>0</v>
      </c>
      <c r="K44" s="120">
        <f t="shared" si="11"/>
        <v>0</v>
      </c>
      <c r="L44" s="120">
        <f t="shared" si="12"/>
        <v>0</v>
      </c>
      <c r="M44" s="120">
        <f t="shared" si="13"/>
        <v>0</v>
      </c>
      <c r="N44" s="120">
        <f t="shared" si="14"/>
        <v>0</v>
      </c>
      <c r="O44" s="120">
        <f t="shared" si="15"/>
        <v>0</v>
      </c>
      <c r="P44" s="120">
        <f t="shared" si="16"/>
        <v>0</v>
      </c>
      <c r="Q44" s="120">
        <f t="shared" si="17"/>
        <v>0</v>
      </c>
      <c r="R44" s="3" t="str">
        <f t="shared" si="18"/>
        <v/>
      </c>
      <c r="S44" s="3" t="str">
        <f t="shared" si="19"/>
        <v/>
      </c>
      <c r="T44" s="7" t="str">
        <f t="shared" si="20"/>
        <v/>
      </c>
      <c r="U44" s="3" t="str">
        <f t="shared" si="21"/>
        <v>Failed in 6 Subjects</v>
      </c>
      <c r="V44" s="86" t="str">
        <f>'Detailed Summary'!BA44</f>
        <v/>
      </c>
      <c r="W44" s="7" t="str">
        <f>'Detailed Summary'!BN44</f>
        <v/>
      </c>
      <c r="X44" s="8" t="str">
        <f>'Detailed Summary'!BK44</f>
        <v/>
      </c>
      <c r="Y44" s="3" t="str">
        <f>'Detailed Summary'!BM44</f>
        <v>Very Weak</v>
      </c>
    </row>
    <row r="45" spans="1:25" ht="23.5" hidden="1" x14ac:dyDescent="0.55000000000000004">
      <c r="A45" s="2"/>
      <c r="B45" s="2">
        <f>'Student Basic Info'!A45</f>
        <v>744</v>
      </c>
      <c r="C45" s="2" t="str">
        <f>'Student Basic Info'!C45</f>
        <v>Tarek Rahman Tamin</v>
      </c>
      <c r="D45" s="2">
        <f>Bangla!G45</f>
        <v>0</v>
      </c>
      <c r="E45" s="2">
        <f>English!F45</f>
        <v>0</v>
      </c>
      <c r="F45" s="2">
        <f>ICT!H45</f>
        <v>0</v>
      </c>
      <c r="G45" s="119">
        <f>Physics!H45</f>
        <v>2</v>
      </c>
      <c r="H45" s="119">
        <f>Chemistry!H45</f>
        <v>0</v>
      </c>
      <c r="I45" s="119">
        <f>Biology!H45</f>
        <v>0</v>
      </c>
      <c r="J45" s="119">
        <f>Math!H45</f>
        <v>0</v>
      </c>
      <c r="K45" s="120">
        <f t="shared" si="11"/>
        <v>0</v>
      </c>
      <c r="L45" s="120">
        <f t="shared" si="12"/>
        <v>0</v>
      </c>
      <c r="M45" s="120">
        <f t="shared" si="13"/>
        <v>0</v>
      </c>
      <c r="N45" s="120">
        <f t="shared" si="14"/>
        <v>1</v>
      </c>
      <c r="O45" s="120">
        <f t="shared" si="15"/>
        <v>0</v>
      </c>
      <c r="P45" s="120">
        <f t="shared" si="16"/>
        <v>0</v>
      </c>
      <c r="Q45" s="120">
        <f t="shared" si="17"/>
        <v>1</v>
      </c>
      <c r="R45" s="3" t="str">
        <f t="shared" si="18"/>
        <v/>
      </c>
      <c r="S45" s="3" t="str">
        <f t="shared" si="19"/>
        <v/>
      </c>
      <c r="T45" s="7" t="str">
        <f t="shared" si="20"/>
        <v/>
      </c>
      <c r="U45" s="3" t="str">
        <f t="shared" si="21"/>
        <v>Failed in 5 Subjects</v>
      </c>
      <c r="V45" s="86" t="str">
        <f>'Detailed Summary'!BA45</f>
        <v/>
      </c>
      <c r="W45" s="7" t="str">
        <f>'Detailed Summary'!BN45</f>
        <v/>
      </c>
      <c r="X45" s="8" t="str">
        <f>'Detailed Summary'!BK45</f>
        <v/>
      </c>
      <c r="Y45" s="3" t="str">
        <f>'Detailed Summary'!BM45</f>
        <v>Very Weak</v>
      </c>
    </row>
    <row r="46" spans="1:25" ht="23.5" hidden="1" x14ac:dyDescent="0.55000000000000004">
      <c r="A46" s="2"/>
      <c r="B46" s="2">
        <f>'Student Basic Info'!A46</f>
        <v>745</v>
      </c>
      <c r="C46" s="2" t="str">
        <f>'Student Basic Info'!C46</f>
        <v>Nabiha Nusrat</v>
      </c>
      <c r="D46" s="2">
        <f>Bangla!G46</f>
        <v>4</v>
      </c>
      <c r="E46" s="2">
        <f>English!F46</f>
        <v>3.5</v>
      </c>
      <c r="F46" s="2">
        <f>ICT!H46</f>
        <v>5</v>
      </c>
      <c r="G46" s="119">
        <f>Physics!H46</f>
        <v>5</v>
      </c>
      <c r="H46" s="119">
        <f>Chemistry!H46</f>
        <v>0</v>
      </c>
      <c r="I46" s="119">
        <f>Biology!H46</f>
        <v>2</v>
      </c>
      <c r="J46" s="119">
        <f>Math!H46</f>
        <v>3.5</v>
      </c>
      <c r="K46" s="120">
        <f t="shared" si="11"/>
        <v>1</v>
      </c>
      <c r="L46" s="120">
        <f t="shared" si="12"/>
        <v>1</v>
      </c>
      <c r="M46" s="120">
        <f t="shared" si="13"/>
        <v>1</v>
      </c>
      <c r="N46" s="120">
        <f t="shared" si="14"/>
        <v>1</v>
      </c>
      <c r="O46" s="120">
        <f t="shared" si="15"/>
        <v>0</v>
      </c>
      <c r="P46" s="120">
        <f t="shared" si="16"/>
        <v>1</v>
      </c>
      <c r="Q46" s="120">
        <f t="shared" si="17"/>
        <v>5</v>
      </c>
      <c r="R46" s="3" t="str">
        <f t="shared" si="18"/>
        <v/>
      </c>
      <c r="S46" s="3" t="str">
        <f t="shared" si="19"/>
        <v/>
      </c>
      <c r="T46" s="7" t="str">
        <f t="shared" si="20"/>
        <v/>
      </c>
      <c r="U46" s="3" t="str">
        <f t="shared" si="21"/>
        <v>Failed in 1 Subject</v>
      </c>
      <c r="V46" s="86" t="str">
        <f>'Detailed Summary'!BA46</f>
        <v/>
      </c>
      <c r="W46" s="7" t="str">
        <f>'Detailed Summary'!BN46</f>
        <v/>
      </c>
      <c r="X46" s="8" t="str">
        <f>'Detailed Summary'!BK46</f>
        <v/>
      </c>
      <c r="Y46" s="3" t="str">
        <f>'Detailed Summary'!BM46</f>
        <v>Very Weak</v>
      </c>
    </row>
    <row r="47" spans="1:25" ht="23.5" hidden="1" x14ac:dyDescent="0.55000000000000004">
      <c r="A47" s="2"/>
      <c r="B47" s="2">
        <f>'Student Basic Info'!A47</f>
        <v>746</v>
      </c>
      <c r="C47" s="2" t="str">
        <f>'Student Basic Info'!C47</f>
        <v>Sharika Mahzabin</v>
      </c>
      <c r="D47" s="2">
        <f>Bangla!G47</f>
        <v>3.5</v>
      </c>
      <c r="E47" s="2">
        <f>English!F47</f>
        <v>3.5</v>
      </c>
      <c r="F47" s="2">
        <f>ICT!H47</f>
        <v>3.5</v>
      </c>
      <c r="G47" s="119">
        <f>Physics!H47</f>
        <v>3.5</v>
      </c>
      <c r="H47" s="119">
        <f>Chemistry!H47</f>
        <v>0</v>
      </c>
      <c r="I47" s="119">
        <f>Biology!H47</f>
        <v>2</v>
      </c>
      <c r="J47" s="119">
        <f>Math!H47</f>
        <v>0</v>
      </c>
      <c r="K47" s="120">
        <f t="shared" si="11"/>
        <v>1</v>
      </c>
      <c r="L47" s="120">
        <f t="shared" si="12"/>
        <v>1</v>
      </c>
      <c r="M47" s="120">
        <f t="shared" si="13"/>
        <v>1</v>
      </c>
      <c r="N47" s="120">
        <f t="shared" si="14"/>
        <v>1</v>
      </c>
      <c r="O47" s="120">
        <f t="shared" si="15"/>
        <v>0</v>
      </c>
      <c r="P47" s="120">
        <f t="shared" si="16"/>
        <v>1</v>
      </c>
      <c r="Q47" s="120">
        <f t="shared" si="17"/>
        <v>5</v>
      </c>
      <c r="R47" s="3" t="str">
        <f t="shared" si="18"/>
        <v/>
      </c>
      <c r="S47" s="3" t="str">
        <f t="shared" si="19"/>
        <v/>
      </c>
      <c r="T47" s="7" t="str">
        <f t="shared" si="20"/>
        <v/>
      </c>
      <c r="U47" s="3" t="str">
        <f t="shared" si="21"/>
        <v>Failed in 1 Subject</v>
      </c>
      <c r="V47" s="86" t="str">
        <f>'Detailed Summary'!BA47</f>
        <v/>
      </c>
      <c r="W47" s="7" t="str">
        <f>'Detailed Summary'!BN47</f>
        <v/>
      </c>
      <c r="X47" s="8" t="str">
        <f>'Detailed Summary'!BK47</f>
        <v/>
      </c>
      <c r="Y47" s="3" t="str">
        <f>'Detailed Summary'!BM47</f>
        <v>Very Weak</v>
      </c>
    </row>
    <row r="48" spans="1:25" ht="23.5" hidden="1" x14ac:dyDescent="0.55000000000000004">
      <c r="A48" s="2"/>
      <c r="B48" s="2">
        <f>'Student Basic Info'!A48</f>
        <v>747</v>
      </c>
      <c r="C48" s="2" t="str">
        <f>'Student Basic Info'!C48</f>
        <v>Jahedul Islam</v>
      </c>
      <c r="D48" s="2">
        <f>Bangla!G48</f>
        <v>2</v>
      </c>
      <c r="E48" s="2">
        <f>English!F48</f>
        <v>0</v>
      </c>
      <c r="F48" s="2">
        <f>ICT!H48</f>
        <v>0</v>
      </c>
      <c r="G48" s="119">
        <f>Physics!H48</f>
        <v>0</v>
      </c>
      <c r="H48" s="119">
        <f>Chemistry!H48</f>
        <v>0</v>
      </c>
      <c r="I48" s="119">
        <f>Biology!H48</f>
        <v>0</v>
      </c>
      <c r="J48" s="119">
        <f>Math!H48</f>
        <v>0</v>
      </c>
      <c r="K48" s="120">
        <f t="shared" si="11"/>
        <v>1</v>
      </c>
      <c r="L48" s="120">
        <f t="shared" si="12"/>
        <v>0</v>
      </c>
      <c r="M48" s="120">
        <f t="shared" si="13"/>
        <v>0</v>
      </c>
      <c r="N48" s="120">
        <f t="shared" si="14"/>
        <v>0</v>
      </c>
      <c r="O48" s="120">
        <f t="shared" si="15"/>
        <v>0</v>
      </c>
      <c r="P48" s="120">
        <f t="shared" si="16"/>
        <v>0</v>
      </c>
      <c r="Q48" s="120">
        <f t="shared" si="17"/>
        <v>1</v>
      </c>
      <c r="R48" s="3" t="str">
        <f t="shared" si="18"/>
        <v/>
      </c>
      <c r="S48" s="3" t="str">
        <f t="shared" si="19"/>
        <v/>
      </c>
      <c r="T48" s="7" t="str">
        <f t="shared" si="20"/>
        <v/>
      </c>
      <c r="U48" s="3" t="str">
        <f t="shared" si="21"/>
        <v>Failed in 5 Subjects</v>
      </c>
      <c r="V48" s="86" t="str">
        <f>'Detailed Summary'!BA48</f>
        <v/>
      </c>
      <c r="W48" s="7" t="str">
        <f>'Detailed Summary'!BN48</f>
        <v/>
      </c>
      <c r="X48" s="8" t="str">
        <f>'Detailed Summary'!BK48</f>
        <v/>
      </c>
      <c r="Y48" s="3" t="str">
        <f>'Detailed Summary'!BM48</f>
        <v>Very Weak</v>
      </c>
    </row>
    <row r="49" spans="1:25" ht="23.5" hidden="1" x14ac:dyDescent="0.55000000000000004">
      <c r="A49" s="2"/>
      <c r="B49" s="2">
        <f>'Student Basic Info'!A49</f>
        <v>748</v>
      </c>
      <c r="C49" s="2" t="str">
        <f>'Student Basic Info'!C49</f>
        <v>Merina Parshi</v>
      </c>
      <c r="D49" s="2">
        <f>Bangla!G49</f>
        <v>2</v>
      </c>
      <c r="E49" s="2">
        <f>English!F49</f>
        <v>0</v>
      </c>
      <c r="F49" s="2">
        <f>ICT!H49</f>
        <v>0</v>
      </c>
      <c r="G49" s="119">
        <f>Physics!H49</f>
        <v>0</v>
      </c>
      <c r="H49" s="119">
        <f>Chemistry!H49</f>
        <v>0</v>
      </c>
      <c r="I49" s="119">
        <f>Biology!H49</f>
        <v>0</v>
      </c>
      <c r="J49" s="119">
        <f>Math!H49</f>
        <v>0</v>
      </c>
      <c r="K49" s="120">
        <f t="shared" si="11"/>
        <v>1</v>
      </c>
      <c r="L49" s="120">
        <f t="shared" si="12"/>
        <v>0</v>
      </c>
      <c r="M49" s="120">
        <f t="shared" si="13"/>
        <v>0</v>
      </c>
      <c r="N49" s="120">
        <f t="shared" si="14"/>
        <v>0</v>
      </c>
      <c r="O49" s="120">
        <f t="shared" si="15"/>
        <v>0</v>
      </c>
      <c r="P49" s="120">
        <f t="shared" si="16"/>
        <v>0</v>
      </c>
      <c r="Q49" s="120">
        <f t="shared" si="17"/>
        <v>1</v>
      </c>
      <c r="R49" s="3" t="str">
        <f t="shared" si="18"/>
        <v/>
      </c>
      <c r="S49" s="3" t="str">
        <f t="shared" si="19"/>
        <v/>
      </c>
      <c r="T49" s="7" t="str">
        <f t="shared" si="20"/>
        <v/>
      </c>
      <c r="U49" s="3" t="str">
        <f t="shared" si="21"/>
        <v>Failed in 5 Subjects</v>
      </c>
      <c r="V49" s="86" t="str">
        <f>'Detailed Summary'!BA49</f>
        <v/>
      </c>
      <c r="W49" s="7" t="str">
        <f>'Detailed Summary'!BN49</f>
        <v/>
      </c>
      <c r="X49" s="8" t="str">
        <f>'Detailed Summary'!BK49</f>
        <v/>
      </c>
      <c r="Y49" s="3" t="str">
        <f>'Detailed Summary'!BM49</f>
        <v>Very Weak</v>
      </c>
    </row>
    <row r="50" spans="1:25" ht="23.5" hidden="1" x14ac:dyDescent="0.55000000000000004">
      <c r="A50" s="2"/>
      <c r="B50" s="2">
        <f>'Student Basic Info'!A50</f>
        <v>749</v>
      </c>
      <c r="C50" s="2" t="str">
        <f>'Student Basic Info'!C50</f>
        <v>Shekh Shohrab Hosain</v>
      </c>
      <c r="D50" s="2">
        <f>Bangla!G50</f>
        <v>1</v>
      </c>
      <c r="E50" s="2">
        <f>English!F50</f>
        <v>0</v>
      </c>
      <c r="F50" s="2">
        <f>ICT!H50</f>
        <v>0</v>
      </c>
      <c r="G50" s="119">
        <f>Physics!H50</f>
        <v>0</v>
      </c>
      <c r="H50" s="119">
        <f>Chemistry!H50</f>
        <v>0</v>
      </c>
      <c r="I50" s="119">
        <f>Biology!H50</f>
        <v>0</v>
      </c>
      <c r="J50" s="119">
        <f>Math!H50</f>
        <v>0</v>
      </c>
      <c r="K50" s="120">
        <f t="shared" si="11"/>
        <v>1</v>
      </c>
      <c r="L50" s="120">
        <f t="shared" si="12"/>
        <v>0</v>
      </c>
      <c r="M50" s="120">
        <f t="shared" si="13"/>
        <v>0</v>
      </c>
      <c r="N50" s="120">
        <f t="shared" si="14"/>
        <v>0</v>
      </c>
      <c r="O50" s="120">
        <f t="shared" si="15"/>
        <v>0</v>
      </c>
      <c r="P50" s="120">
        <f t="shared" si="16"/>
        <v>0</v>
      </c>
      <c r="Q50" s="120">
        <f t="shared" si="17"/>
        <v>1</v>
      </c>
      <c r="R50" s="3" t="str">
        <f t="shared" si="18"/>
        <v/>
      </c>
      <c r="S50" s="3" t="str">
        <f t="shared" si="19"/>
        <v/>
      </c>
      <c r="T50" s="7" t="str">
        <f t="shared" si="20"/>
        <v/>
      </c>
      <c r="U50" s="3" t="str">
        <f t="shared" si="21"/>
        <v>Failed in 5 Subjects</v>
      </c>
      <c r="V50" s="86" t="str">
        <f>'Detailed Summary'!BA50</f>
        <v/>
      </c>
      <c r="W50" s="7" t="str">
        <f>'Detailed Summary'!BN50</f>
        <v/>
      </c>
      <c r="X50" s="8" t="str">
        <f>'Detailed Summary'!BK50</f>
        <v/>
      </c>
      <c r="Y50" s="3" t="str">
        <f>'Detailed Summary'!BM50</f>
        <v>Very Weak</v>
      </c>
    </row>
    <row r="51" spans="1:25" ht="23.5" hidden="1" x14ac:dyDescent="0.55000000000000004">
      <c r="A51" s="2"/>
      <c r="B51" s="2">
        <f>'Student Basic Info'!A51</f>
        <v>750</v>
      </c>
      <c r="C51" s="2" t="str">
        <f>'Student Basic Info'!C51</f>
        <v>Purnima Aktar</v>
      </c>
      <c r="D51" s="2" t="str">
        <f>Bangla!G51</f>
        <v/>
      </c>
      <c r="E51" s="2" t="str">
        <f>English!F51</f>
        <v/>
      </c>
      <c r="F51" s="2" t="str">
        <f>ICT!H51</f>
        <v/>
      </c>
      <c r="G51" s="119" t="str">
        <f>Physics!H51</f>
        <v/>
      </c>
      <c r="H51" s="119" t="str">
        <f>Chemistry!H51</f>
        <v/>
      </c>
      <c r="I51" s="119" t="str">
        <f>Biology!H51</f>
        <v/>
      </c>
      <c r="J51" s="119" t="str">
        <f>Math!H51</f>
        <v/>
      </c>
      <c r="K51" s="120">
        <f t="shared" si="11"/>
        <v>0</v>
      </c>
      <c r="L51" s="120">
        <f t="shared" si="12"/>
        <v>0</v>
      </c>
      <c r="M51" s="120">
        <f t="shared" si="13"/>
        <v>0</v>
      </c>
      <c r="N51" s="120">
        <f t="shared" si="14"/>
        <v>0</v>
      </c>
      <c r="O51" s="120">
        <f t="shared" si="15"/>
        <v>0</v>
      </c>
      <c r="P51" s="120">
        <f t="shared" si="16"/>
        <v>0</v>
      </c>
      <c r="Q51" s="120">
        <f t="shared" si="17"/>
        <v>0</v>
      </c>
      <c r="R51" s="3" t="str">
        <f t="shared" si="18"/>
        <v/>
      </c>
      <c r="S51" s="3" t="str">
        <f t="shared" si="19"/>
        <v/>
      </c>
      <c r="T51" s="7" t="str">
        <f t="shared" si="20"/>
        <v/>
      </c>
      <c r="U51" s="3" t="str">
        <f t="shared" si="21"/>
        <v>Failed in 6 Subjects</v>
      </c>
      <c r="V51" s="86" t="str">
        <f>'Detailed Summary'!BA51</f>
        <v/>
      </c>
      <c r="W51" s="7" t="str">
        <f>'Detailed Summary'!BN51</f>
        <v/>
      </c>
      <c r="X51" s="8" t="str">
        <f>'Detailed Summary'!BK51</f>
        <v/>
      </c>
      <c r="Y51" s="3" t="str">
        <f>'Detailed Summary'!BM51</f>
        <v>Very Weak</v>
      </c>
    </row>
    <row r="52" spans="1:25" ht="23.5" hidden="1" x14ac:dyDescent="0.55000000000000004">
      <c r="A52" s="2"/>
      <c r="B52" s="2">
        <f>'Student Basic Info'!A52</f>
        <v>751</v>
      </c>
      <c r="C52" s="2" t="str">
        <f>'Student Basic Info'!C52</f>
        <v>Hridwal  Al Mahmul</v>
      </c>
      <c r="D52" s="2">
        <f>Bangla!G52</f>
        <v>2</v>
      </c>
      <c r="E52" s="2">
        <f>English!F52</f>
        <v>0</v>
      </c>
      <c r="F52" s="2">
        <f>ICT!H52</f>
        <v>0</v>
      </c>
      <c r="G52" s="119">
        <f>Physics!H52</f>
        <v>3.5</v>
      </c>
      <c r="H52" s="119">
        <f>Chemistry!H52</f>
        <v>0</v>
      </c>
      <c r="I52" s="119">
        <f>Biology!H52</f>
        <v>0</v>
      </c>
      <c r="J52" s="119" t="str">
        <f>Math!H52</f>
        <v/>
      </c>
      <c r="K52" s="120">
        <f t="shared" si="11"/>
        <v>1</v>
      </c>
      <c r="L52" s="120">
        <f t="shared" si="12"/>
        <v>0</v>
      </c>
      <c r="M52" s="120">
        <f t="shared" si="13"/>
        <v>0</v>
      </c>
      <c r="N52" s="120">
        <f t="shared" si="14"/>
        <v>1</v>
      </c>
      <c r="O52" s="120">
        <f t="shared" si="15"/>
        <v>0</v>
      </c>
      <c r="P52" s="120">
        <f t="shared" si="16"/>
        <v>0</v>
      </c>
      <c r="Q52" s="120">
        <f t="shared" si="17"/>
        <v>2</v>
      </c>
      <c r="R52" s="3" t="str">
        <f t="shared" si="18"/>
        <v/>
      </c>
      <c r="S52" s="3" t="str">
        <f t="shared" si="19"/>
        <v/>
      </c>
      <c r="T52" s="7" t="str">
        <f t="shared" si="20"/>
        <v/>
      </c>
      <c r="U52" s="3" t="str">
        <f t="shared" si="21"/>
        <v>Failed in 4 Subjects</v>
      </c>
      <c r="V52" s="86" t="str">
        <f>'Detailed Summary'!BA52</f>
        <v/>
      </c>
      <c r="W52" s="7" t="str">
        <f>'Detailed Summary'!BN52</f>
        <v/>
      </c>
      <c r="X52" s="8" t="str">
        <f>'Detailed Summary'!BK52</f>
        <v/>
      </c>
      <c r="Y52" s="3" t="str">
        <f>'Detailed Summary'!BM52</f>
        <v>Very Weak</v>
      </c>
    </row>
    <row r="53" spans="1:25" ht="23.5" hidden="1" x14ac:dyDescent="0.55000000000000004">
      <c r="A53" s="2"/>
      <c r="B53" s="2">
        <f>'Student Basic Info'!A53</f>
        <v>752</v>
      </c>
      <c r="C53" s="2" t="str">
        <f>'Student Basic Info'!C53</f>
        <v>Sabbir Hosain</v>
      </c>
      <c r="D53" s="2" t="str">
        <f>Bangla!G53</f>
        <v/>
      </c>
      <c r="E53" s="2" t="str">
        <f>English!F53</f>
        <v/>
      </c>
      <c r="F53" s="2" t="str">
        <f>ICT!H53</f>
        <v/>
      </c>
      <c r="G53" s="119" t="str">
        <f>Physics!H53</f>
        <v/>
      </c>
      <c r="H53" s="119" t="str">
        <f>Chemistry!H53</f>
        <v/>
      </c>
      <c r="I53" s="119" t="str">
        <f>Biology!H53</f>
        <v/>
      </c>
      <c r="J53" s="119" t="str">
        <f>Math!H53</f>
        <v/>
      </c>
      <c r="K53" s="120">
        <f t="shared" si="11"/>
        <v>0</v>
      </c>
      <c r="L53" s="120">
        <f t="shared" si="12"/>
        <v>0</v>
      </c>
      <c r="M53" s="120">
        <f t="shared" si="13"/>
        <v>0</v>
      </c>
      <c r="N53" s="120">
        <f t="shared" si="14"/>
        <v>0</v>
      </c>
      <c r="O53" s="120">
        <f t="shared" si="15"/>
        <v>0</v>
      </c>
      <c r="P53" s="120">
        <f t="shared" si="16"/>
        <v>0</v>
      </c>
      <c r="Q53" s="120">
        <f t="shared" si="17"/>
        <v>0</v>
      </c>
      <c r="R53" s="3" t="str">
        <f t="shared" si="18"/>
        <v/>
      </c>
      <c r="S53" s="3" t="str">
        <f t="shared" si="19"/>
        <v/>
      </c>
      <c r="T53" s="7" t="str">
        <f t="shared" si="20"/>
        <v/>
      </c>
      <c r="U53" s="3" t="str">
        <f t="shared" si="21"/>
        <v>Failed in 6 Subjects</v>
      </c>
      <c r="V53" s="86" t="str">
        <f>'Detailed Summary'!BA53</f>
        <v/>
      </c>
      <c r="W53" s="7" t="str">
        <f>'Detailed Summary'!BN53</f>
        <v/>
      </c>
      <c r="X53" s="8" t="str">
        <f>'Detailed Summary'!BK53</f>
        <v/>
      </c>
      <c r="Y53" s="3" t="str">
        <f>'Detailed Summary'!BM53</f>
        <v>Very Weak</v>
      </c>
    </row>
    <row r="54" spans="1:25" ht="23.5" hidden="1" x14ac:dyDescent="0.55000000000000004">
      <c r="A54" s="2"/>
      <c r="B54" s="2">
        <f>'Student Basic Info'!A54</f>
        <v>753</v>
      </c>
      <c r="C54" s="2" t="str">
        <f>'Student Basic Info'!C54</f>
        <v>Shohidul Islam</v>
      </c>
      <c r="D54" s="2">
        <f>Bangla!G54</f>
        <v>0</v>
      </c>
      <c r="E54" s="2">
        <f>English!F54</f>
        <v>1</v>
      </c>
      <c r="F54" s="2">
        <f>ICT!H54</f>
        <v>0</v>
      </c>
      <c r="G54" s="119">
        <f>Physics!H54</f>
        <v>0</v>
      </c>
      <c r="H54" s="119">
        <f>Chemistry!H54</f>
        <v>0</v>
      </c>
      <c r="I54" s="119">
        <f>Biology!H54</f>
        <v>3</v>
      </c>
      <c r="J54" s="119">
        <f>Math!H54</f>
        <v>0</v>
      </c>
      <c r="K54" s="120">
        <f t="shared" si="11"/>
        <v>0</v>
      </c>
      <c r="L54" s="120">
        <f t="shared" si="12"/>
        <v>1</v>
      </c>
      <c r="M54" s="120">
        <f t="shared" si="13"/>
        <v>0</v>
      </c>
      <c r="N54" s="120">
        <f t="shared" si="14"/>
        <v>0</v>
      </c>
      <c r="O54" s="120">
        <f t="shared" si="15"/>
        <v>0</v>
      </c>
      <c r="P54" s="120">
        <f t="shared" si="16"/>
        <v>1</v>
      </c>
      <c r="Q54" s="120">
        <f t="shared" si="17"/>
        <v>2</v>
      </c>
      <c r="R54" s="3" t="str">
        <f t="shared" si="18"/>
        <v/>
      </c>
      <c r="S54" s="3" t="str">
        <f t="shared" si="19"/>
        <v/>
      </c>
      <c r="T54" s="7" t="str">
        <f t="shared" si="20"/>
        <v/>
      </c>
      <c r="U54" s="3" t="str">
        <f t="shared" si="21"/>
        <v>Failed in 4 Subjects</v>
      </c>
      <c r="V54" s="86" t="str">
        <f>'Detailed Summary'!BA54</f>
        <v/>
      </c>
      <c r="W54" s="7" t="str">
        <f>'Detailed Summary'!BN54</f>
        <v/>
      </c>
      <c r="X54" s="8" t="str">
        <f>'Detailed Summary'!BK54</f>
        <v/>
      </c>
      <c r="Y54" s="3" t="str">
        <f>'Detailed Summary'!BM54</f>
        <v>Very Weak</v>
      </c>
    </row>
    <row r="55" spans="1:25" ht="23.5" hidden="1" x14ac:dyDescent="0.55000000000000004">
      <c r="A55" s="2"/>
      <c r="B55" s="2">
        <f>'Student Basic Info'!A55</f>
        <v>754</v>
      </c>
      <c r="C55" s="2" t="str">
        <f>'Student Basic Info'!C55</f>
        <v>Shahriyar Nafiz</v>
      </c>
      <c r="D55" s="2">
        <f>Bangla!G55</f>
        <v>3</v>
      </c>
      <c r="E55" s="2">
        <f>English!F55</f>
        <v>0</v>
      </c>
      <c r="F55" s="2">
        <f>ICT!H55</f>
        <v>0</v>
      </c>
      <c r="G55" s="119">
        <f>Physics!H55</f>
        <v>0</v>
      </c>
      <c r="H55" s="119">
        <f>Chemistry!H55</f>
        <v>0</v>
      </c>
      <c r="I55" s="119">
        <f>Biology!H55</f>
        <v>0</v>
      </c>
      <c r="J55" s="119">
        <f>Math!H55</f>
        <v>0</v>
      </c>
      <c r="K55" s="120">
        <f t="shared" si="11"/>
        <v>1</v>
      </c>
      <c r="L55" s="120">
        <f t="shared" si="12"/>
        <v>0</v>
      </c>
      <c r="M55" s="120">
        <f t="shared" si="13"/>
        <v>0</v>
      </c>
      <c r="N55" s="120">
        <f t="shared" si="14"/>
        <v>0</v>
      </c>
      <c r="O55" s="120">
        <f t="shared" si="15"/>
        <v>0</v>
      </c>
      <c r="P55" s="120">
        <f t="shared" si="16"/>
        <v>0</v>
      </c>
      <c r="Q55" s="120">
        <f t="shared" si="17"/>
        <v>1</v>
      </c>
      <c r="R55" s="3" t="str">
        <f t="shared" si="18"/>
        <v/>
      </c>
      <c r="S55" s="3" t="str">
        <f t="shared" si="19"/>
        <v/>
      </c>
      <c r="T55" s="7" t="str">
        <f t="shared" si="20"/>
        <v/>
      </c>
      <c r="U55" s="3" t="str">
        <f t="shared" si="21"/>
        <v>Failed in 5 Subjects</v>
      </c>
      <c r="V55" s="86" t="str">
        <f>'Detailed Summary'!BA55</f>
        <v/>
      </c>
      <c r="W55" s="7" t="str">
        <f>'Detailed Summary'!BN55</f>
        <v/>
      </c>
      <c r="X55" s="8" t="str">
        <f>'Detailed Summary'!BK55</f>
        <v/>
      </c>
      <c r="Y55" s="3" t="str">
        <f>'Detailed Summary'!BM55</f>
        <v>Very Weak</v>
      </c>
    </row>
    <row r="56" spans="1:25" ht="23.5" hidden="1" x14ac:dyDescent="0.55000000000000004">
      <c r="A56" s="2"/>
      <c r="B56" s="2">
        <f>'Student Basic Info'!A56</f>
        <v>755</v>
      </c>
      <c r="C56" s="2" t="str">
        <f>'Student Basic Info'!C56</f>
        <v xml:space="preserve">Md. Ibrahim </v>
      </c>
      <c r="D56" s="2">
        <f>Bangla!G56</f>
        <v>0</v>
      </c>
      <c r="E56" s="2">
        <f>English!F56</f>
        <v>0</v>
      </c>
      <c r="F56" s="2">
        <f>ICT!H56</f>
        <v>0</v>
      </c>
      <c r="G56" s="119">
        <f>Physics!H56</f>
        <v>0</v>
      </c>
      <c r="H56" s="119">
        <f>Chemistry!H56</f>
        <v>0</v>
      </c>
      <c r="I56" s="119">
        <f>Biology!H56</f>
        <v>0</v>
      </c>
      <c r="J56" s="119">
        <f>Math!H56</f>
        <v>0</v>
      </c>
      <c r="K56" s="120">
        <f t="shared" si="11"/>
        <v>0</v>
      </c>
      <c r="L56" s="120">
        <f t="shared" si="12"/>
        <v>0</v>
      </c>
      <c r="M56" s="120">
        <f t="shared" si="13"/>
        <v>0</v>
      </c>
      <c r="N56" s="120">
        <f t="shared" si="14"/>
        <v>0</v>
      </c>
      <c r="O56" s="120">
        <f t="shared" si="15"/>
        <v>0</v>
      </c>
      <c r="P56" s="120">
        <f t="shared" si="16"/>
        <v>0</v>
      </c>
      <c r="Q56" s="120">
        <f t="shared" si="17"/>
        <v>0</v>
      </c>
      <c r="R56" s="3" t="str">
        <f t="shared" si="18"/>
        <v/>
      </c>
      <c r="S56" s="3" t="str">
        <f t="shared" si="19"/>
        <v/>
      </c>
      <c r="T56" s="7" t="str">
        <f t="shared" si="20"/>
        <v/>
      </c>
      <c r="U56" s="3" t="str">
        <f t="shared" si="21"/>
        <v>Failed in 6 Subjects</v>
      </c>
      <c r="V56" s="86" t="str">
        <f>'Detailed Summary'!BA56</f>
        <v/>
      </c>
      <c r="W56" s="7" t="str">
        <f>'Detailed Summary'!BN56</f>
        <v/>
      </c>
      <c r="X56" s="8" t="str">
        <f>'Detailed Summary'!BK56</f>
        <v/>
      </c>
      <c r="Y56" s="3" t="str">
        <f>'Detailed Summary'!BM56</f>
        <v>Very Weak</v>
      </c>
    </row>
    <row r="57" spans="1:25" ht="23.5" hidden="1" x14ac:dyDescent="0.55000000000000004">
      <c r="A57" s="2"/>
      <c r="B57" s="2">
        <f>'Student Basic Info'!A57</f>
        <v>756</v>
      </c>
      <c r="C57" s="2" t="str">
        <f>'Student Basic Info'!C57</f>
        <v>Fahmida Tabassum</v>
      </c>
      <c r="D57" s="2">
        <f>Bangla!G57</f>
        <v>3</v>
      </c>
      <c r="E57" s="2">
        <f>English!F57</f>
        <v>1</v>
      </c>
      <c r="F57" s="2">
        <f>ICT!H57</f>
        <v>0</v>
      </c>
      <c r="G57" s="119">
        <f>Physics!H57</f>
        <v>3</v>
      </c>
      <c r="H57" s="119">
        <f>Chemistry!H57</f>
        <v>0</v>
      </c>
      <c r="I57" s="119">
        <f>Biology!H57</f>
        <v>0</v>
      </c>
      <c r="J57" s="119">
        <f>Math!H57</f>
        <v>0</v>
      </c>
      <c r="K57" s="120">
        <f t="shared" si="11"/>
        <v>1</v>
      </c>
      <c r="L57" s="120">
        <f t="shared" si="12"/>
        <v>1</v>
      </c>
      <c r="M57" s="120">
        <f t="shared" si="13"/>
        <v>0</v>
      </c>
      <c r="N57" s="120">
        <f t="shared" si="14"/>
        <v>1</v>
      </c>
      <c r="O57" s="120">
        <f t="shared" si="15"/>
        <v>0</v>
      </c>
      <c r="P57" s="120">
        <f t="shared" si="16"/>
        <v>0</v>
      </c>
      <c r="Q57" s="120">
        <f t="shared" si="17"/>
        <v>3</v>
      </c>
      <c r="R57" s="3" t="str">
        <f t="shared" si="18"/>
        <v/>
      </c>
      <c r="S57" s="3" t="str">
        <f t="shared" si="19"/>
        <v/>
      </c>
      <c r="T57" s="7" t="str">
        <f t="shared" si="20"/>
        <v/>
      </c>
      <c r="U57" s="3" t="str">
        <f t="shared" si="21"/>
        <v>Failed in 3 Subjects</v>
      </c>
      <c r="V57" s="86" t="str">
        <f>'Detailed Summary'!BA57</f>
        <v/>
      </c>
      <c r="W57" s="7" t="str">
        <f>'Detailed Summary'!BN57</f>
        <v/>
      </c>
      <c r="X57" s="8" t="str">
        <f>'Detailed Summary'!BK57</f>
        <v/>
      </c>
      <c r="Y57" s="3" t="str">
        <f>'Detailed Summary'!BM57</f>
        <v>Very Weak</v>
      </c>
    </row>
    <row r="58" spans="1:25" ht="23.5" hidden="1" x14ac:dyDescent="0.55000000000000004">
      <c r="A58" s="2"/>
      <c r="B58" s="2">
        <f>'Student Basic Info'!A58</f>
        <v>757</v>
      </c>
      <c r="C58" s="2" t="str">
        <f>'Student Basic Info'!C58</f>
        <v>Meheraj Uddin</v>
      </c>
      <c r="D58" s="2">
        <f>Bangla!G58</f>
        <v>0</v>
      </c>
      <c r="E58" s="2">
        <f>English!F58</f>
        <v>0</v>
      </c>
      <c r="F58" s="2">
        <f>ICT!H58</f>
        <v>0</v>
      </c>
      <c r="G58" s="119">
        <f>Physics!H58</f>
        <v>0</v>
      </c>
      <c r="H58" s="119">
        <f>Chemistry!H58</f>
        <v>0</v>
      </c>
      <c r="I58" s="119">
        <f>Biology!H58</f>
        <v>0</v>
      </c>
      <c r="J58" s="119">
        <f>Math!H58</f>
        <v>0</v>
      </c>
      <c r="K58" s="120">
        <f t="shared" si="11"/>
        <v>0</v>
      </c>
      <c r="L58" s="120">
        <f t="shared" si="12"/>
        <v>0</v>
      </c>
      <c r="M58" s="120">
        <f t="shared" si="13"/>
        <v>0</v>
      </c>
      <c r="N58" s="120">
        <f t="shared" si="14"/>
        <v>0</v>
      </c>
      <c r="O58" s="120">
        <f t="shared" si="15"/>
        <v>0</v>
      </c>
      <c r="P58" s="120">
        <f t="shared" si="16"/>
        <v>0</v>
      </c>
      <c r="Q58" s="120">
        <f t="shared" si="17"/>
        <v>0</v>
      </c>
      <c r="R58" s="3" t="str">
        <f t="shared" si="18"/>
        <v/>
      </c>
      <c r="S58" s="3" t="str">
        <f t="shared" si="19"/>
        <v/>
      </c>
      <c r="T58" s="7" t="str">
        <f t="shared" si="20"/>
        <v/>
      </c>
      <c r="U58" s="3" t="str">
        <f t="shared" si="21"/>
        <v>Failed in 6 Subjects</v>
      </c>
      <c r="V58" s="86" t="str">
        <f>'Detailed Summary'!BA58</f>
        <v/>
      </c>
      <c r="W58" s="7" t="str">
        <f>'Detailed Summary'!BN58</f>
        <v/>
      </c>
      <c r="X58" s="8" t="str">
        <f>'Detailed Summary'!BK58</f>
        <v/>
      </c>
      <c r="Y58" s="3" t="str">
        <f>'Detailed Summary'!BM58</f>
        <v>Very Weak</v>
      </c>
    </row>
    <row r="59" spans="1:25" ht="23.5" hidden="1" x14ac:dyDescent="0.55000000000000004">
      <c r="A59" s="2"/>
      <c r="B59" s="2">
        <f>'Student Basic Info'!A59</f>
        <v>758</v>
      </c>
      <c r="C59" s="2" t="str">
        <f>'Student Basic Info'!C59</f>
        <v>Naimur Rahman</v>
      </c>
      <c r="D59" s="2">
        <f>Bangla!G59</f>
        <v>1</v>
      </c>
      <c r="E59" s="2">
        <f>English!F59</f>
        <v>2</v>
      </c>
      <c r="F59" s="2">
        <f>ICT!H59</f>
        <v>0</v>
      </c>
      <c r="G59" s="119">
        <f>Physics!H59</f>
        <v>0</v>
      </c>
      <c r="H59" s="119">
        <f>Chemistry!H59</f>
        <v>0</v>
      </c>
      <c r="I59" s="119">
        <f>Biology!H59</f>
        <v>0</v>
      </c>
      <c r="J59" s="119">
        <f>Math!H59</f>
        <v>0</v>
      </c>
      <c r="K59" s="120">
        <f t="shared" si="11"/>
        <v>1</v>
      </c>
      <c r="L59" s="120">
        <f t="shared" si="12"/>
        <v>1</v>
      </c>
      <c r="M59" s="120">
        <f t="shared" si="13"/>
        <v>0</v>
      </c>
      <c r="N59" s="120">
        <f t="shared" si="14"/>
        <v>0</v>
      </c>
      <c r="O59" s="120">
        <f t="shared" si="15"/>
        <v>0</v>
      </c>
      <c r="P59" s="120">
        <f t="shared" si="16"/>
        <v>0</v>
      </c>
      <c r="Q59" s="120">
        <f t="shared" si="17"/>
        <v>2</v>
      </c>
      <c r="R59" s="3" t="str">
        <f t="shared" si="18"/>
        <v/>
      </c>
      <c r="S59" s="3" t="str">
        <f t="shared" si="19"/>
        <v/>
      </c>
      <c r="T59" s="7" t="str">
        <f t="shared" si="20"/>
        <v/>
      </c>
      <c r="U59" s="3" t="str">
        <f t="shared" si="21"/>
        <v>Failed in 4 Subjects</v>
      </c>
      <c r="V59" s="86" t="str">
        <f>'Detailed Summary'!BA59</f>
        <v/>
      </c>
      <c r="W59" s="7" t="str">
        <f>'Detailed Summary'!BN59</f>
        <v/>
      </c>
      <c r="X59" s="8" t="str">
        <f>'Detailed Summary'!BK59</f>
        <v/>
      </c>
      <c r="Y59" s="3" t="str">
        <f>'Detailed Summary'!BM59</f>
        <v>Very Weak</v>
      </c>
    </row>
    <row r="60" spans="1:25" x14ac:dyDescent="0.35">
      <c r="A60" s="150">
        <v>7</v>
      </c>
      <c r="B60" s="115">
        <f>'Student Basic Info'!A15</f>
        <v>714</v>
      </c>
      <c r="C60" s="118" t="str">
        <f>'Student Basic Info'!C15</f>
        <v>Khadijatul Kubra</v>
      </c>
      <c r="D60" s="2">
        <f>Bangla!G15</f>
        <v>3.5</v>
      </c>
      <c r="E60" s="2">
        <f>English!F15</f>
        <v>2</v>
      </c>
      <c r="F60" s="2">
        <f>ICT!H15</f>
        <v>4</v>
      </c>
      <c r="G60" s="119">
        <f>Physics!H15</f>
        <v>3</v>
      </c>
      <c r="H60" s="119">
        <f>Chemistry!H15</f>
        <v>4</v>
      </c>
      <c r="I60" s="119">
        <f>Biology!H15</f>
        <v>3</v>
      </c>
      <c r="J60" s="119">
        <f>Math!H15</f>
        <v>0</v>
      </c>
      <c r="K60" s="120">
        <f t="shared" si="11"/>
        <v>1</v>
      </c>
      <c r="L60" s="120">
        <f t="shared" si="12"/>
        <v>1</v>
      </c>
      <c r="M60" s="120">
        <f t="shared" si="13"/>
        <v>1</v>
      </c>
      <c r="N60" s="120">
        <f t="shared" si="14"/>
        <v>1</v>
      </c>
      <c r="O60" s="120">
        <f t="shared" si="15"/>
        <v>1</v>
      </c>
      <c r="P60" s="120">
        <f t="shared" si="16"/>
        <v>1</v>
      </c>
      <c r="Q60" s="120">
        <f t="shared" si="17"/>
        <v>6</v>
      </c>
      <c r="R60" s="3">
        <f t="shared" si="18"/>
        <v>19.5</v>
      </c>
      <c r="S60" s="3">
        <f t="shared" si="19"/>
        <v>19.5</v>
      </c>
      <c r="T60" s="7">
        <f t="shared" si="20"/>
        <v>3.25</v>
      </c>
      <c r="U60" s="115" t="str">
        <f t="shared" si="21"/>
        <v>Pass</v>
      </c>
      <c r="V60" s="7">
        <f>'Detailed Summary'!BA15</f>
        <v>3.25</v>
      </c>
      <c r="W60" s="7" t="str">
        <f>'Detailed Summary'!BN15</f>
        <v>B</v>
      </c>
      <c r="X60" s="116">
        <f>'Detailed Summary'!BK15</f>
        <v>6</v>
      </c>
      <c r="Y60" s="115" t="str">
        <f>'Detailed Summary'!BM15</f>
        <v>Average</v>
      </c>
    </row>
    <row r="61" spans="1:25" ht="23.5" hidden="1" x14ac:dyDescent="0.55000000000000004">
      <c r="A61" s="2"/>
      <c r="B61" s="2">
        <f>'Student Basic Info'!A61</f>
        <v>760</v>
      </c>
      <c r="C61" s="2" t="str">
        <f>'Student Basic Info'!C61</f>
        <v>Imdadul Haque Zidan</v>
      </c>
      <c r="D61" s="2">
        <f>Bangla!G61</f>
        <v>1</v>
      </c>
      <c r="E61" s="2">
        <f>English!F61</f>
        <v>1</v>
      </c>
      <c r="F61" s="2" t="str">
        <f>ICT!H61</f>
        <v/>
      </c>
      <c r="G61" s="119">
        <f>Physics!H61</f>
        <v>0</v>
      </c>
      <c r="H61" s="119">
        <f>Chemistry!H61</f>
        <v>3</v>
      </c>
      <c r="I61" s="119">
        <f>Biology!H61</f>
        <v>0</v>
      </c>
      <c r="J61" s="119">
        <f>Math!H61</f>
        <v>0</v>
      </c>
      <c r="K61" s="120">
        <f t="shared" si="11"/>
        <v>1</v>
      </c>
      <c r="L61" s="120">
        <f t="shared" si="12"/>
        <v>1</v>
      </c>
      <c r="M61" s="120">
        <f t="shared" si="13"/>
        <v>0</v>
      </c>
      <c r="N61" s="120">
        <f t="shared" si="14"/>
        <v>0</v>
      </c>
      <c r="O61" s="120">
        <f t="shared" si="15"/>
        <v>1</v>
      </c>
      <c r="P61" s="120">
        <f t="shared" si="16"/>
        <v>0</v>
      </c>
      <c r="Q61" s="120">
        <f t="shared" si="17"/>
        <v>3</v>
      </c>
      <c r="R61" s="3" t="str">
        <f t="shared" si="18"/>
        <v/>
      </c>
      <c r="S61" s="3" t="str">
        <f t="shared" si="19"/>
        <v/>
      </c>
      <c r="T61" s="7" t="str">
        <f t="shared" si="20"/>
        <v/>
      </c>
      <c r="U61" s="3" t="str">
        <f t="shared" si="21"/>
        <v>Failed in 3 Subjects</v>
      </c>
      <c r="V61" s="86" t="str">
        <f>'Detailed Summary'!BA61</f>
        <v/>
      </c>
      <c r="W61" s="7" t="str">
        <f>'Detailed Summary'!BN61</f>
        <v/>
      </c>
      <c r="X61" s="8" t="str">
        <f>'Detailed Summary'!BK61</f>
        <v/>
      </c>
      <c r="Y61" s="3" t="str">
        <f>'Detailed Summary'!BM61</f>
        <v>Very Weak</v>
      </c>
    </row>
    <row r="62" spans="1:25" ht="23.5" hidden="1" x14ac:dyDescent="0.55000000000000004">
      <c r="A62" s="2"/>
      <c r="B62" s="2">
        <f>'Student Basic Info'!A62</f>
        <v>761</v>
      </c>
      <c r="C62" s="2" t="str">
        <f>'Student Basic Info'!C62</f>
        <v>Nazmul Haque Sayem</v>
      </c>
      <c r="D62" s="2">
        <f>Bangla!G62</f>
        <v>1</v>
      </c>
      <c r="E62" s="2">
        <f>English!F62</f>
        <v>1</v>
      </c>
      <c r="F62" s="2">
        <f>ICT!H62</f>
        <v>3.5</v>
      </c>
      <c r="G62" s="119">
        <f>Physics!H62</f>
        <v>0</v>
      </c>
      <c r="H62" s="119" t="str">
        <f>Chemistry!H62</f>
        <v/>
      </c>
      <c r="I62" s="119">
        <f>Biology!H62</f>
        <v>0</v>
      </c>
      <c r="J62" s="119">
        <f>Math!H62</f>
        <v>0</v>
      </c>
      <c r="K62" s="120">
        <f t="shared" si="11"/>
        <v>1</v>
      </c>
      <c r="L62" s="120">
        <f t="shared" si="12"/>
        <v>1</v>
      </c>
      <c r="M62" s="120">
        <f t="shared" si="13"/>
        <v>1</v>
      </c>
      <c r="N62" s="120">
        <f t="shared" si="14"/>
        <v>0</v>
      </c>
      <c r="O62" s="120">
        <f t="shared" si="15"/>
        <v>0</v>
      </c>
      <c r="P62" s="120">
        <f t="shared" si="16"/>
        <v>0</v>
      </c>
      <c r="Q62" s="120">
        <f t="shared" si="17"/>
        <v>3</v>
      </c>
      <c r="R62" s="3" t="str">
        <f t="shared" si="18"/>
        <v/>
      </c>
      <c r="S62" s="3" t="str">
        <f t="shared" si="19"/>
        <v/>
      </c>
      <c r="T62" s="7" t="str">
        <f t="shared" si="20"/>
        <v/>
      </c>
      <c r="U62" s="3" t="str">
        <f t="shared" si="21"/>
        <v>Failed in 3 Subjects</v>
      </c>
      <c r="V62" s="86" t="str">
        <f>'Detailed Summary'!BA62</f>
        <v/>
      </c>
      <c r="W62" s="7" t="str">
        <f>'Detailed Summary'!BN62</f>
        <v/>
      </c>
      <c r="X62" s="8" t="str">
        <f>'Detailed Summary'!BK62</f>
        <v/>
      </c>
      <c r="Y62" s="3" t="str">
        <f>'Detailed Summary'!BM62</f>
        <v>Very Weak</v>
      </c>
    </row>
    <row r="63" spans="1:25" ht="23.5" hidden="1" x14ac:dyDescent="0.55000000000000004">
      <c r="A63" s="2"/>
      <c r="B63" s="2">
        <f>'Student Basic Info'!A63</f>
        <v>762</v>
      </c>
      <c r="C63" s="2" t="str">
        <f>'Student Basic Info'!C63</f>
        <v>Sadbin Hasan Shourov</v>
      </c>
      <c r="D63" s="2">
        <f>Bangla!G63</f>
        <v>1</v>
      </c>
      <c r="E63" s="2">
        <f>English!F63</f>
        <v>2</v>
      </c>
      <c r="F63" s="2">
        <f>ICT!H63</f>
        <v>3.5</v>
      </c>
      <c r="G63" s="119">
        <f>Physics!H63</f>
        <v>0</v>
      </c>
      <c r="H63" s="119">
        <f>Chemistry!H63</f>
        <v>2</v>
      </c>
      <c r="I63" s="119">
        <f>Biology!H63</f>
        <v>0</v>
      </c>
      <c r="J63" s="119">
        <f>Math!H63</f>
        <v>0</v>
      </c>
      <c r="K63" s="120">
        <f t="shared" si="11"/>
        <v>1</v>
      </c>
      <c r="L63" s="120">
        <f t="shared" si="12"/>
        <v>1</v>
      </c>
      <c r="M63" s="120">
        <f t="shared" si="13"/>
        <v>1</v>
      </c>
      <c r="N63" s="120">
        <f t="shared" si="14"/>
        <v>0</v>
      </c>
      <c r="O63" s="120">
        <f t="shared" si="15"/>
        <v>1</v>
      </c>
      <c r="P63" s="120">
        <f t="shared" si="16"/>
        <v>0</v>
      </c>
      <c r="Q63" s="120">
        <f t="shared" si="17"/>
        <v>4</v>
      </c>
      <c r="R63" s="3" t="str">
        <f t="shared" si="18"/>
        <v/>
      </c>
      <c r="S63" s="3" t="str">
        <f t="shared" si="19"/>
        <v/>
      </c>
      <c r="T63" s="7" t="str">
        <f t="shared" si="20"/>
        <v/>
      </c>
      <c r="U63" s="3" t="str">
        <f t="shared" si="21"/>
        <v>Failed in 2 Subjects</v>
      </c>
      <c r="V63" s="86" t="str">
        <f>'Detailed Summary'!BA63</f>
        <v/>
      </c>
      <c r="W63" s="7" t="str">
        <f>'Detailed Summary'!BN63</f>
        <v/>
      </c>
      <c r="X63" s="8" t="str">
        <f>'Detailed Summary'!BK63</f>
        <v/>
      </c>
      <c r="Y63" s="3" t="str">
        <f>'Detailed Summary'!BM63</f>
        <v>Very Weak</v>
      </c>
    </row>
    <row r="64" spans="1:25" ht="23.5" hidden="1" x14ac:dyDescent="0.55000000000000004">
      <c r="A64" s="2"/>
      <c r="B64" s="2">
        <f>'Student Basic Info'!A64</f>
        <v>763</v>
      </c>
      <c r="C64" s="2" t="str">
        <f>'Student Basic Info'!C64</f>
        <v>Sujayet Hosain</v>
      </c>
      <c r="D64" s="2">
        <f>Bangla!G64</f>
        <v>3</v>
      </c>
      <c r="E64" s="2">
        <f>English!F64</f>
        <v>1</v>
      </c>
      <c r="F64" s="2">
        <f>ICT!H64</f>
        <v>0</v>
      </c>
      <c r="G64" s="119">
        <f>Physics!H64</f>
        <v>0</v>
      </c>
      <c r="H64" s="119">
        <f>Chemistry!H64</f>
        <v>3</v>
      </c>
      <c r="I64" s="119">
        <f>Biology!H64</f>
        <v>3</v>
      </c>
      <c r="J64" s="119">
        <f>Math!H64</f>
        <v>0</v>
      </c>
      <c r="K64" s="120">
        <f t="shared" si="11"/>
        <v>1</v>
      </c>
      <c r="L64" s="120">
        <f t="shared" si="12"/>
        <v>1</v>
      </c>
      <c r="M64" s="120">
        <f t="shared" si="13"/>
        <v>0</v>
      </c>
      <c r="N64" s="120">
        <f t="shared" si="14"/>
        <v>0</v>
      </c>
      <c r="O64" s="120">
        <f t="shared" si="15"/>
        <v>1</v>
      </c>
      <c r="P64" s="120">
        <f t="shared" si="16"/>
        <v>1</v>
      </c>
      <c r="Q64" s="120">
        <f t="shared" si="17"/>
        <v>4</v>
      </c>
      <c r="R64" s="3" t="str">
        <f t="shared" si="18"/>
        <v/>
      </c>
      <c r="S64" s="3" t="str">
        <f t="shared" si="19"/>
        <v/>
      </c>
      <c r="T64" s="7" t="str">
        <f t="shared" si="20"/>
        <v/>
      </c>
      <c r="U64" s="3" t="str">
        <f t="shared" si="21"/>
        <v>Failed in 2 Subjects</v>
      </c>
      <c r="V64" s="86" t="str">
        <f>'Detailed Summary'!BA64</f>
        <v/>
      </c>
      <c r="W64" s="7" t="str">
        <f>'Detailed Summary'!BN64</f>
        <v/>
      </c>
      <c r="X64" s="8" t="str">
        <f>'Detailed Summary'!BK64</f>
        <v/>
      </c>
      <c r="Y64" s="3" t="str">
        <f>'Detailed Summary'!BM64</f>
        <v>Very Weak</v>
      </c>
    </row>
    <row r="65" spans="1:25" ht="23.5" hidden="1" x14ac:dyDescent="0.55000000000000004">
      <c r="A65" s="2"/>
      <c r="B65" s="2">
        <f>'Student Basic Info'!A65</f>
        <v>764</v>
      </c>
      <c r="C65" s="2" t="str">
        <f>'Student Basic Info'!C65</f>
        <v>Kishor Chandra Nath</v>
      </c>
      <c r="D65" s="2">
        <f>Bangla!G65</f>
        <v>0</v>
      </c>
      <c r="E65" s="2">
        <f>English!F65</f>
        <v>0</v>
      </c>
      <c r="F65" s="2">
        <f>ICT!H65</f>
        <v>0</v>
      </c>
      <c r="G65" s="119">
        <f>Physics!H65</f>
        <v>0</v>
      </c>
      <c r="H65" s="119">
        <f>Chemistry!H65</f>
        <v>0</v>
      </c>
      <c r="I65" s="119">
        <f>Biology!H65</f>
        <v>0</v>
      </c>
      <c r="J65" s="119">
        <f>Math!H65</f>
        <v>0</v>
      </c>
      <c r="K65" s="120">
        <f t="shared" si="11"/>
        <v>0</v>
      </c>
      <c r="L65" s="120">
        <f t="shared" si="12"/>
        <v>0</v>
      </c>
      <c r="M65" s="120">
        <f t="shared" si="13"/>
        <v>0</v>
      </c>
      <c r="N65" s="120">
        <f t="shared" si="14"/>
        <v>0</v>
      </c>
      <c r="O65" s="120">
        <f t="shared" si="15"/>
        <v>0</v>
      </c>
      <c r="P65" s="120">
        <f t="shared" si="16"/>
        <v>0</v>
      </c>
      <c r="Q65" s="120">
        <f t="shared" si="17"/>
        <v>0</v>
      </c>
      <c r="R65" s="3" t="str">
        <f t="shared" si="18"/>
        <v/>
      </c>
      <c r="S65" s="3" t="str">
        <f t="shared" si="19"/>
        <v/>
      </c>
      <c r="T65" s="7" t="str">
        <f t="shared" si="20"/>
        <v/>
      </c>
      <c r="U65" s="3" t="str">
        <f t="shared" si="21"/>
        <v>Failed in 6 Subjects</v>
      </c>
      <c r="V65" s="86" t="str">
        <f>'Detailed Summary'!BA65</f>
        <v/>
      </c>
      <c r="W65" s="7" t="str">
        <f>'Detailed Summary'!BN65</f>
        <v/>
      </c>
      <c r="X65" s="8" t="str">
        <f>'Detailed Summary'!BK65</f>
        <v/>
      </c>
      <c r="Y65" s="3" t="str">
        <f>'Detailed Summary'!BM65</f>
        <v>Very Weak</v>
      </c>
    </row>
    <row r="66" spans="1:25" hidden="1" x14ac:dyDescent="0.35">
      <c r="A66" s="115">
        <v>7</v>
      </c>
      <c r="B66" s="118">
        <f>'Student Basic Info'!A42</f>
        <v>741</v>
      </c>
      <c r="C66" s="118" t="str">
        <f>'Student Basic Info'!C42</f>
        <v>Rezmin Aktar</v>
      </c>
      <c r="D66" s="2">
        <f>Bangla!G42</f>
        <v>3.5</v>
      </c>
      <c r="E66" s="2">
        <f>English!F42</f>
        <v>3</v>
      </c>
      <c r="F66" s="2">
        <f>ICT!H42</f>
        <v>3.5</v>
      </c>
      <c r="G66" s="119">
        <f>Physics!H42</f>
        <v>3</v>
      </c>
      <c r="H66" s="119">
        <f>Chemistry!H42</f>
        <v>0</v>
      </c>
      <c r="I66" s="119">
        <f>Biology!H42</f>
        <v>0</v>
      </c>
      <c r="J66" s="119">
        <f>Math!H42</f>
        <v>0</v>
      </c>
      <c r="K66" s="120">
        <f t="shared" si="11"/>
        <v>1</v>
      </c>
      <c r="L66" s="120">
        <f t="shared" si="12"/>
        <v>1</v>
      </c>
      <c r="M66" s="120">
        <f t="shared" si="13"/>
        <v>1</v>
      </c>
      <c r="N66" s="120">
        <f t="shared" si="14"/>
        <v>1</v>
      </c>
      <c r="O66" s="120">
        <f t="shared" si="15"/>
        <v>0</v>
      </c>
      <c r="P66" s="120">
        <f t="shared" si="16"/>
        <v>0</v>
      </c>
      <c r="Q66" s="120">
        <f t="shared" ref="Q66:Q68" si="22">SUM(K66:P66)</f>
        <v>4</v>
      </c>
      <c r="R66" s="3" t="str">
        <f t="shared" si="18"/>
        <v/>
      </c>
      <c r="S66" s="3" t="str">
        <f t="shared" si="19"/>
        <v/>
      </c>
      <c r="T66" s="7" t="str">
        <f t="shared" si="20"/>
        <v/>
      </c>
      <c r="U66" s="115" t="str">
        <f t="shared" si="21"/>
        <v>Failed in 2 Subjects</v>
      </c>
      <c r="V66" s="7" t="str">
        <f>'Detailed Summary'!BA42</f>
        <v/>
      </c>
      <c r="W66" s="7" t="str">
        <f>'Detailed Summary'!BN42</f>
        <v/>
      </c>
      <c r="X66" s="116" t="str">
        <f>'Detailed Summary'!BK42</f>
        <v/>
      </c>
      <c r="Y66" s="3" t="str">
        <f>'Detailed Summary'!BM42</f>
        <v>Very Weak</v>
      </c>
    </row>
    <row r="67" spans="1:25" x14ac:dyDescent="0.35">
      <c r="A67" s="150">
        <v>8</v>
      </c>
      <c r="B67" s="115">
        <f>'Student Basic Info'!A14</f>
        <v>713</v>
      </c>
      <c r="C67" s="118" t="str">
        <f>'Student Basic Info'!C14</f>
        <v>Zannatul Ferdaus Fariha</v>
      </c>
      <c r="D67" s="2">
        <f>Bangla!G14</f>
        <v>3</v>
      </c>
      <c r="E67" s="2">
        <f>English!F14</f>
        <v>2</v>
      </c>
      <c r="F67" s="2">
        <f>ICT!H14</f>
        <v>3.5</v>
      </c>
      <c r="G67" s="119">
        <f>Physics!H14</f>
        <v>3.5</v>
      </c>
      <c r="H67" s="119">
        <f>Chemistry!H14</f>
        <v>3.5</v>
      </c>
      <c r="I67" s="119">
        <f>Biology!H14</f>
        <v>2</v>
      </c>
      <c r="J67" s="119">
        <f>Math!H14</f>
        <v>0</v>
      </c>
      <c r="K67" s="120">
        <f t="shared" si="11"/>
        <v>1</v>
      </c>
      <c r="L67" s="120">
        <f t="shared" si="12"/>
        <v>1</v>
      </c>
      <c r="M67" s="120">
        <f t="shared" si="13"/>
        <v>1</v>
      </c>
      <c r="N67" s="120">
        <f t="shared" si="14"/>
        <v>1</v>
      </c>
      <c r="O67" s="120">
        <f t="shared" si="15"/>
        <v>1</v>
      </c>
      <c r="P67" s="120">
        <f t="shared" si="16"/>
        <v>1</v>
      </c>
      <c r="Q67" s="120">
        <f t="shared" si="22"/>
        <v>6</v>
      </c>
      <c r="R67" s="3">
        <f t="shared" si="18"/>
        <v>17.5</v>
      </c>
      <c r="S67" s="3">
        <f t="shared" si="19"/>
        <v>17.5</v>
      </c>
      <c r="T67" s="7">
        <f t="shared" si="20"/>
        <v>2.9166666666666665</v>
      </c>
      <c r="U67" s="115" t="str">
        <f t="shared" si="21"/>
        <v>Pass</v>
      </c>
      <c r="V67" s="7">
        <f>'Detailed Summary'!BA14</f>
        <v>2.9166666666666665</v>
      </c>
      <c r="W67" s="7" t="str">
        <f>'Detailed Summary'!BN14</f>
        <v>C</v>
      </c>
      <c r="X67" s="116">
        <f>'Detailed Summary'!BK14</f>
        <v>8</v>
      </c>
      <c r="Y67" s="115" t="str">
        <f>'Detailed Summary'!BM14</f>
        <v>Need to improve</v>
      </c>
    </row>
    <row r="68" spans="1:25" x14ac:dyDescent="0.35">
      <c r="A68" s="150">
        <v>9</v>
      </c>
      <c r="B68" s="115">
        <f>'Student Basic Info'!A28</f>
        <v>727</v>
      </c>
      <c r="C68" s="118" t="str">
        <f>'Student Basic Info'!C28</f>
        <v>Fahmida Sultana</v>
      </c>
      <c r="D68" s="2">
        <f>Bangla!G28</f>
        <v>3.5</v>
      </c>
      <c r="E68" s="2">
        <f>English!F28</f>
        <v>1</v>
      </c>
      <c r="F68" s="2">
        <f>ICT!H28</f>
        <v>5</v>
      </c>
      <c r="G68" s="119">
        <f>Physics!H28</f>
        <v>3.5</v>
      </c>
      <c r="H68" s="119">
        <f>Chemistry!H28</f>
        <v>2</v>
      </c>
      <c r="I68" s="119">
        <f>Biology!H28</f>
        <v>2</v>
      </c>
      <c r="J68" s="119">
        <f>Math!H28</f>
        <v>0</v>
      </c>
      <c r="K68" s="120">
        <f t="shared" si="11"/>
        <v>1</v>
      </c>
      <c r="L68" s="120">
        <f t="shared" si="12"/>
        <v>1</v>
      </c>
      <c r="M68" s="120">
        <f t="shared" si="13"/>
        <v>1</v>
      </c>
      <c r="N68" s="120">
        <f t="shared" si="14"/>
        <v>1</v>
      </c>
      <c r="O68" s="120">
        <f t="shared" si="15"/>
        <v>1</v>
      </c>
      <c r="P68" s="120">
        <f t="shared" si="16"/>
        <v>1</v>
      </c>
      <c r="Q68" s="120">
        <f t="shared" si="22"/>
        <v>6</v>
      </c>
      <c r="R68" s="3">
        <f t="shared" si="18"/>
        <v>17</v>
      </c>
      <c r="S68" s="3">
        <f t="shared" si="19"/>
        <v>17</v>
      </c>
      <c r="T68" s="7">
        <f t="shared" si="20"/>
        <v>2.8333333333333335</v>
      </c>
      <c r="U68" s="115" t="str">
        <f t="shared" si="21"/>
        <v>Pass</v>
      </c>
      <c r="V68" s="7">
        <f>'Detailed Summary'!BA28</f>
        <v>2.8333333333333335</v>
      </c>
      <c r="W68" s="7" t="str">
        <f>'Detailed Summary'!BN28</f>
        <v>C</v>
      </c>
      <c r="X68" s="116">
        <f>'Detailed Summary'!BK28</f>
        <v>9</v>
      </c>
      <c r="Y68" s="115" t="str">
        <f>'Detailed Summary'!BM28</f>
        <v>Need to improve</v>
      </c>
    </row>
    <row r="69" spans="1:25" ht="23.5" hidden="1" x14ac:dyDescent="0.55000000000000004">
      <c r="A69" s="2"/>
      <c r="B69" s="2">
        <f>'Student Basic Info'!A69</f>
        <v>768</v>
      </c>
      <c r="C69" s="2" t="str">
        <f>'Student Basic Info'!C69</f>
        <v>Tanvir Hosain</v>
      </c>
      <c r="D69" s="2">
        <f>Bangla!G69</f>
        <v>2</v>
      </c>
      <c r="E69" s="2">
        <f>English!F69</f>
        <v>0</v>
      </c>
      <c r="F69" s="2">
        <f>ICT!H69</f>
        <v>3</v>
      </c>
      <c r="G69" s="119">
        <f>Physics!H69</f>
        <v>3</v>
      </c>
      <c r="H69" s="119">
        <f>Chemistry!H69</f>
        <v>0</v>
      </c>
      <c r="I69" s="119">
        <f>Biology!H69</f>
        <v>2</v>
      </c>
      <c r="J69" s="119">
        <f>Math!H69</f>
        <v>0</v>
      </c>
      <c r="K69" s="120">
        <f t="shared" ref="K69:K88" si="23">(IF(D69="",0,IF(D69=0,0,1)))</f>
        <v>1</v>
      </c>
      <c r="L69" s="120">
        <f t="shared" ref="L69:L88" si="24">(IF(E69="",0,IF(E69=0,0,1)))</f>
        <v>0</v>
      </c>
      <c r="M69" s="120">
        <f t="shared" ref="M69:M88" si="25">(IF(F69="",0,IF(F69=0,0,1)))</f>
        <v>1</v>
      </c>
      <c r="N69" s="120">
        <f t="shared" ref="N69:N88" si="26">(IF(G69="",0,IF(G69=0,0,1)))</f>
        <v>1</v>
      </c>
      <c r="O69" s="120">
        <f t="shared" ref="O69:O88" si="27">(IF(H69="",0,IF(H69=0,0,1)))</f>
        <v>0</v>
      </c>
      <c r="P69" s="120">
        <f t="shared" ref="P69:P88" si="28">(IF(I69="",0,IF(I69=0,0,1)))</f>
        <v>1</v>
      </c>
      <c r="Q69" s="120">
        <f t="shared" ref="Q69:Q88" si="29">SUM(K69:P69)</f>
        <v>4</v>
      </c>
      <c r="R69" s="3" t="str">
        <f t="shared" ref="R69:R88" si="30">IF(OR(D69=0,E69=0,F69=0,G69=0,H69=0,I69=0,D69="",E69="",F69="",G69="",H69="",I69=""),"",SUM(D69:I69))</f>
        <v/>
      </c>
      <c r="S69" s="3" t="str">
        <f t="shared" ref="S69:S88" si="31">IF(OR(D69=0,E69=0,F69=0,G69=0,H69=0,I69=0,D69="",E69="",F69="",G69="",H69="",I69=""),"",SUM(D69:J69))</f>
        <v/>
      </c>
      <c r="T69" s="7" t="str">
        <f t="shared" ref="T69:T88" si="32">IF(R69="","",IF(((R69/6)&gt;5),5,R69/6))</f>
        <v/>
      </c>
      <c r="U69" s="3" t="str">
        <f t="shared" ref="U69:U88" si="33">IF(Q69=0,"Failed in 6 Subjects",IF(Q69=1,"Failed in 5 Subjects",IF(Q69=2,"Failed in 4 Subjects",IF(Q69=3,"Failed in 3 Subjects",IF(Q69=4,"Failed in 2 Subjects",IF(Q69=5,"Failed in 1 Subject","Pass"))))))</f>
        <v>Failed in 2 Subjects</v>
      </c>
      <c r="V69" s="86" t="str">
        <f>'Detailed Summary'!BA69</f>
        <v/>
      </c>
      <c r="W69" s="7" t="str">
        <f>'Detailed Summary'!BN69</f>
        <v/>
      </c>
      <c r="X69" s="8" t="str">
        <f>'Detailed Summary'!BK69</f>
        <v/>
      </c>
      <c r="Y69" s="3" t="str">
        <f>'Detailed Summary'!BM69</f>
        <v>Very Weak</v>
      </c>
    </row>
    <row r="70" spans="1:25" ht="23.5" hidden="1" x14ac:dyDescent="0.55000000000000004">
      <c r="A70" s="2"/>
      <c r="B70" s="2">
        <f>'Student Basic Info'!A70</f>
        <v>769</v>
      </c>
      <c r="C70" s="2" t="str">
        <f>'Student Basic Info'!C70</f>
        <v>Abdullah Al Noman</v>
      </c>
      <c r="D70" s="2" t="str">
        <f>Bangla!G70</f>
        <v/>
      </c>
      <c r="E70" s="2" t="str">
        <f>English!F70</f>
        <v/>
      </c>
      <c r="F70" s="2" t="str">
        <f>ICT!H70</f>
        <v/>
      </c>
      <c r="G70" s="119" t="str">
        <f>Physics!H70</f>
        <v/>
      </c>
      <c r="H70" s="119">
        <f>Chemistry!H70</f>
        <v>0</v>
      </c>
      <c r="I70" s="119" t="str">
        <f>Biology!H70</f>
        <v/>
      </c>
      <c r="J70" s="119">
        <f>Math!H70</f>
        <v>0</v>
      </c>
      <c r="K70" s="120">
        <f t="shared" si="23"/>
        <v>0</v>
      </c>
      <c r="L70" s="120">
        <f t="shared" si="24"/>
        <v>0</v>
      </c>
      <c r="M70" s="120">
        <f t="shared" si="25"/>
        <v>0</v>
      </c>
      <c r="N70" s="120">
        <f t="shared" si="26"/>
        <v>0</v>
      </c>
      <c r="O70" s="120">
        <f t="shared" si="27"/>
        <v>0</v>
      </c>
      <c r="P70" s="120">
        <f t="shared" si="28"/>
        <v>0</v>
      </c>
      <c r="Q70" s="120">
        <f t="shared" si="29"/>
        <v>0</v>
      </c>
      <c r="R70" s="3" t="str">
        <f t="shared" si="30"/>
        <v/>
      </c>
      <c r="S70" s="3" t="str">
        <f t="shared" si="31"/>
        <v/>
      </c>
      <c r="T70" s="7" t="str">
        <f t="shared" si="32"/>
        <v/>
      </c>
      <c r="U70" s="3" t="str">
        <f t="shared" si="33"/>
        <v>Failed in 6 Subjects</v>
      </c>
      <c r="V70" s="86" t="str">
        <f>'Detailed Summary'!BA70</f>
        <v/>
      </c>
      <c r="W70" s="7" t="str">
        <f>'Detailed Summary'!BN70</f>
        <v/>
      </c>
      <c r="X70" s="8" t="str">
        <f>'Detailed Summary'!BK70</f>
        <v/>
      </c>
      <c r="Y70" s="3" t="str">
        <f>'Detailed Summary'!BM70</f>
        <v>Very Weak</v>
      </c>
    </row>
    <row r="71" spans="1:25" ht="23.5" hidden="1" x14ac:dyDescent="0.55000000000000004">
      <c r="A71" s="2"/>
      <c r="B71" s="2">
        <f>'Student Basic Info'!A71</f>
        <v>770</v>
      </c>
      <c r="C71" s="2" t="str">
        <f>'Student Basic Info'!C71</f>
        <v>Ashraf Uddal</v>
      </c>
      <c r="D71" s="2">
        <f>Bangla!G71</f>
        <v>0</v>
      </c>
      <c r="E71" s="2">
        <f>English!F71</f>
        <v>0</v>
      </c>
      <c r="F71" s="2">
        <f>ICT!H71</f>
        <v>0</v>
      </c>
      <c r="G71" s="119">
        <f>Physics!H71</f>
        <v>0</v>
      </c>
      <c r="H71" s="119" t="str">
        <f>Chemistry!H71</f>
        <v/>
      </c>
      <c r="I71" s="119">
        <f>Biology!H71</f>
        <v>0</v>
      </c>
      <c r="J71" s="119">
        <f>Math!H71</f>
        <v>0</v>
      </c>
      <c r="K71" s="120">
        <f t="shared" si="23"/>
        <v>0</v>
      </c>
      <c r="L71" s="120">
        <f t="shared" si="24"/>
        <v>0</v>
      </c>
      <c r="M71" s="120">
        <f t="shared" si="25"/>
        <v>0</v>
      </c>
      <c r="N71" s="120">
        <f t="shared" si="26"/>
        <v>0</v>
      </c>
      <c r="O71" s="120">
        <f t="shared" si="27"/>
        <v>0</v>
      </c>
      <c r="P71" s="120">
        <f t="shared" si="28"/>
        <v>0</v>
      </c>
      <c r="Q71" s="120">
        <f t="shared" si="29"/>
        <v>0</v>
      </c>
      <c r="R71" s="3" t="str">
        <f t="shared" si="30"/>
        <v/>
      </c>
      <c r="S71" s="3" t="str">
        <f t="shared" si="31"/>
        <v/>
      </c>
      <c r="T71" s="7" t="str">
        <f t="shared" si="32"/>
        <v/>
      </c>
      <c r="U71" s="3" t="str">
        <f t="shared" si="33"/>
        <v>Failed in 6 Subjects</v>
      </c>
      <c r="V71" s="86" t="str">
        <f>'Detailed Summary'!BA71</f>
        <v/>
      </c>
      <c r="W71" s="7" t="str">
        <f>'Detailed Summary'!BN71</f>
        <v/>
      </c>
      <c r="X71" s="8" t="str">
        <f>'Detailed Summary'!BK71</f>
        <v/>
      </c>
      <c r="Y71" s="3" t="str">
        <f>'Detailed Summary'!BM71</f>
        <v>Very Weak</v>
      </c>
    </row>
    <row r="72" spans="1:25" ht="23.5" hidden="1" x14ac:dyDescent="0.55000000000000004">
      <c r="A72" s="2"/>
      <c r="B72" s="2">
        <f>'Student Basic Info'!A72</f>
        <v>771</v>
      </c>
      <c r="C72" s="2" t="str">
        <f>'Student Basic Info'!C72</f>
        <v>Mesfar Uddin Ripti</v>
      </c>
      <c r="D72" s="2" t="str">
        <f>Bangla!G72</f>
        <v/>
      </c>
      <c r="E72" s="2" t="str">
        <f>English!F72</f>
        <v/>
      </c>
      <c r="F72" s="2" t="str">
        <f>ICT!H72</f>
        <v/>
      </c>
      <c r="G72" s="119">
        <f>Physics!H72</f>
        <v>0</v>
      </c>
      <c r="H72" s="119" t="str">
        <f>Chemistry!H72</f>
        <v/>
      </c>
      <c r="I72" s="119">
        <f>Biology!H72</f>
        <v>0</v>
      </c>
      <c r="J72" s="119" t="str">
        <f>Math!H72</f>
        <v/>
      </c>
      <c r="K72" s="120">
        <f t="shared" si="23"/>
        <v>0</v>
      </c>
      <c r="L72" s="120">
        <f t="shared" si="24"/>
        <v>0</v>
      </c>
      <c r="M72" s="120">
        <f t="shared" si="25"/>
        <v>0</v>
      </c>
      <c r="N72" s="120">
        <f t="shared" si="26"/>
        <v>0</v>
      </c>
      <c r="O72" s="120">
        <f t="shared" si="27"/>
        <v>0</v>
      </c>
      <c r="P72" s="120">
        <f t="shared" si="28"/>
        <v>0</v>
      </c>
      <c r="Q72" s="120">
        <f t="shared" si="29"/>
        <v>0</v>
      </c>
      <c r="R72" s="3" t="str">
        <f t="shared" si="30"/>
        <v/>
      </c>
      <c r="S72" s="3" t="str">
        <f t="shared" si="31"/>
        <v/>
      </c>
      <c r="T72" s="7" t="str">
        <f t="shared" si="32"/>
        <v/>
      </c>
      <c r="U72" s="3" t="str">
        <f t="shared" si="33"/>
        <v>Failed in 6 Subjects</v>
      </c>
      <c r="V72" s="86" t="str">
        <f>'Detailed Summary'!BA72</f>
        <v/>
      </c>
      <c r="W72" s="7" t="str">
        <f>'Detailed Summary'!BN72</f>
        <v/>
      </c>
      <c r="X72" s="8" t="str">
        <f>'Detailed Summary'!BK72</f>
        <v/>
      </c>
      <c r="Y72" s="3" t="str">
        <f>'Detailed Summary'!BM72</f>
        <v>Very Weak</v>
      </c>
    </row>
    <row r="73" spans="1:25" ht="23.5" hidden="1" x14ac:dyDescent="0.55000000000000004">
      <c r="A73" s="2"/>
      <c r="B73" s="2">
        <f>'Student Basic Info'!A73</f>
        <v>772</v>
      </c>
      <c r="C73" s="2" t="str">
        <f>'Student Basic Info'!C73</f>
        <v>Shoikot Chandra Shil</v>
      </c>
      <c r="D73" s="2">
        <f>Bangla!G73</f>
        <v>0</v>
      </c>
      <c r="E73" s="2">
        <f>English!F73</f>
        <v>0</v>
      </c>
      <c r="F73" s="2">
        <f>ICT!H73</f>
        <v>0</v>
      </c>
      <c r="G73" s="119">
        <f>Physics!H73</f>
        <v>0</v>
      </c>
      <c r="H73" s="119" t="str">
        <f>Chemistry!H73</f>
        <v/>
      </c>
      <c r="I73" s="119">
        <f>Biology!H73</f>
        <v>0</v>
      </c>
      <c r="J73" s="119">
        <f>Math!H73</f>
        <v>0</v>
      </c>
      <c r="K73" s="120">
        <f t="shared" si="23"/>
        <v>0</v>
      </c>
      <c r="L73" s="120">
        <f t="shared" si="24"/>
        <v>0</v>
      </c>
      <c r="M73" s="120">
        <f t="shared" si="25"/>
        <v>0</v>
      </c>
      <c r="N73" s="120">
        <f t="shared" si="26"/>
        <v>0</v>
      </c>
      <c r="O73" s="120">
        <f t="shared" si="27"/>
        <v>0</v>
      </c>
      <c r="P73" s="120">
        <f t="shared" si="28"/>
        <v>0</v>
      </c>
      <c r="Q73" s="120">
        <f t="shared" si="29"/>
        <v>0</v>
      </c>
      <c r="R73" s="3" t="str">
        <f t="shared" si="30"/>
        <v/>
      </c>
      <c r="S73" s="3" t="str">
        <f t="shared" si="31"/>
        <v/>
      </c>
      <c r="T73" s="7" t="str">
        <f t="shared" si="32"/>
        <v/>
      </c>
      <c r="U73" s="3" t="str">
        <f t="shared" si="33"/>
        <v>Failed in 6 Subjects</v>
      </c>
      <c r="V73" s="86" t="str">
        <f>'Detailed Summary'!BA73</f>
        <v/>
      </c>
      <c r="W73" s="7" t="str">
        <f>'Detailed Summary'!BN73</f>
        <v/>
      </c>
      <c r="X73" s="8" t="str">
        <f>'Detailed Summary'!BK73</f>
        <v/>
      </c>
      <c r="Y73" s="3" t="str">
        <f>'Detailed Summary'!BM73</f>
        <v>Very Weak</v>
      </c>
    </row>
    <row r="74" spans="1:25" ht="23.5" hidden="1" x14ac:dyDescent="0.55000000000000004">
      <c r="A74" s="2"/>
      <c r="B74" s="2">
        <f>'Student Basic Info'!A74</f>
        <v>773</v>
      </c>
      <c r="C74" s="2" t="str">
        <f>'Student Basic Info'!C74</f>
        <v>Shourov Chandra Shil</v>
      </c>
      <c r="D74" s="2">
        <f>Bangla!G74</f>
        <v>0</v>
      </c>
      <c r="E74" s="2">
        <f>English!F74</f>
        <v>0</v>
      </c>
      <c r="F74" s="2">
        <f>ICT!H74</f>
        <v>0</v>
      </c>
      <c r="G74" s="119">
        <f>Physics!H74</f>
        <v>0</v>
      </c>
      <c r="H74" s="119" t="str">
        <f>Chemistry!H74</f>
        <v/>
      </c>
      <c r="I74" s="119">
        <f>Biology!H74</f>
        <v>0</v>
      </c>
      <c r="J74" s="119">
        <f>Math!H74</f>
        <v>0</v>
      </c>
      <c r="K74" s="120">
        <f t="shared" si="23"/>
        <v>0</v>
      </c>
      <c r="L74" s="120">
        <f t="shared" si="24"/>
        <v>0</v>
      </c>
      <c r="M74" s="120">
        <f t="shared" si="25"/>
        <v>0</v>
      </c>
      <c r="N74" s="120">
        <f t="shared" si="26"/>
        <v>0</v>
      </c>
      <c r="O74" s="120">
        <f t="shared" si="27"/>
        <v>0</v>
      </c>
      <c r="P74" s="120">
        <f t="shared" si="28"/>
        <v>0</v>
      </c>
      <c r="Q74" s="120">
        <f t="shared" si="29"/>
        <v>0</v>
      </c>
      <c r="R74" s="3" t="str">
        <f t="shared" si="30"/>
        <v/>
      </c>
      <c r="S74" s="3" t="str">
        <f t="shared" si="31"/>
        <v/>
      </c>
      <c r="T74" s="7" t="str">
        <f t="shared" si="32"/>
        <v/>
      </c>
      <c r="U74" s="3" t="str">
        <f t="shared" si="33"/>
        <v>Failed in 6 Subjects</v>
      </c>
      <c r="V74" s="86" t="str">
        <f>'Detailed Summary'!BA74</f>
        <v/>
      </c>
      <c r="W74" s="7" t="str">
        <f>'Detailed Summary'!BN74</f>
        <v/>
      </c>
      <c r="X74" s="8" t="str">
        <f>'Detailed Summary'!BK74</f>
        <v/>
      </c>
      <c r="Y74" s="3" t="str">
        <f>'Detailed Summary'!BM74</f>
        <v>Very Weak</v>
      </c>
    </row>
    <row r="75" spans="1:25" ht="23.5" hidden="1" x14ac:dyDescent="0.55000000000000004">
      <c r="A75" s="2"/>
      <c r="B75" s="2">
        <f>'Student Basic Info'!A75</f>
        <v>774</v>
      </c>
      <c r="C75" s="2" t="str">
        <f>'Student Basic Info'!C75</f>
        <v>Nur Islam</v>
      </c>
      <c r="D75" s="2">
        <f>Bangla!G75</f>
        <v>3.5</v>
      </c>
      <c r="E75" s="2">
        <f>English!F75</f>
        <v>0</v>
      </c>
      <c r="F75" s="2">
        <f>ICT!H75</f>
        <v>3</v>
      </c>
      <c r="G75" s="119">
        <f>Physics!H75</f>
        <v>2</v>
      </c>
      <c r="H75" s="119">
        <f>Chemistry!H75</f>
        <v>0</v>
      </c>
      <c r="I75" s="119">
        <f>Biology!H75</f>
        <v>0</v>
      </c>
      <c r="J75" s="119">
        <f>Math!H75</f>
        <v>0</v>
      </c>
      <c r="K75" s="120">
        <f t="shared" si="23"/>
        <v>1</v>
      </c>
      <c r="L75" s="120">
        <f t="shared" si="24"/>
        <v>0</v>
      </c>
      <c r="M75" s="120">
        <f t="shared" si="25"/>
        <v>1</v>
      </c>
      <c r="N75" s="120">
        <f t="shared" si="26"/>
        <v>1</v>
      </c>
      <c r="O75" s="120">
        <f t="shared" si="27"/>
        <v>0</v>
      </c>
      <c r="P75" s="120">
        <f t="shared" si="28"/>
        <v>0</v>
      </c>
      <c r="Q75" s="120">
        <f t="shared" si="29"/>
        <v>3</v>
      </c>
      <c r="R75" s="3" t="str">
        <f t="shared" si="30"/>
        <v/>
      </c>
      <c r="S75" s="3" t="str">
        <f t="shared" si="31"/>
        <v/>
      </c>
      <c r="T75" s="7" t="str">
        <f t="shared" si="32"/>
        <v/>
      </c>
      <c r="U75" s="3" t="str">
        <f t="shared" si="33"/>
        <v>Failed in 3 Subjects</v>
      </c>
      <c r="V75" s="86" t="str">
        <f>'Detailed Summary'!BA75</f>
        <v/>
      </c>
      <c r="W75" s="7" t="str">
        <f>'Detailed Summary'!BN75</f>
        <v/>
      </c>
      <c r="X75" s="8" t="str">
        <f>'Detailed Summary'!BK75</f>
        <v/>
      </c>
      <c r="Y75" s="3" t="str">
        <f>'Detailed Summary'!BM75</f>
        <v>Very Weak</v>
      </c>
    </row>
    <row r="76" spans="1:25" ht="23.5" hidden="1" x14ac:dyDescent="0.55000000000000004">
      <c r="A76" s="2"/>
      <c r="B76" s="2">
        <f>'Student Basic Info'!A76</f>
        <v>775</v>
      </c>
      <c r="C76" s="2" t="str">
        <f>'Student Basic Info'!C76</f>
        <v>Nur Mohammad Rimon</v>
      </c>
      <c r="D76" s="2">
        <f>Bangla!G76</f>
        <v>0</v>
      </c>
      <c r="E76" s="2">
        <f>English!F76</f>
        <v>0</v>
      </c>
      <c r="F76" s="2">
        <f>ICT!H76</f>
        <v>0</v>
      </c>
      <c r="G76" s="119">
        <f>Physics!H76</f>
        <v>0</v>
      </c>
      <c r="H76" s="119" t="str">
        <f>Chemistry!H76</f>
        <v/>
      </c>
      <c r="I76" s="119">
        <f>Biology!H76</f>
        <v>0</v>
      </c>
      <c r="J76" s="119" t="str">
        <f>Math!H76</f>
        <v/>
      </c>
      <c r="K76" s="120">
        <f t="shared" si="23"/>
        <v>0</v>
      </c>
      <c r="L76" s="120">
        <f t="shared" si="24"/>
        <v>0</v>
      </c>
      <c r="M76" s="120">
        <f t="shared" si="25"/>
        <v>0</v>
      </c>
      <c r="N76" s="120">
        <f t="shared" si="26"/>
        <v>0</v>
      </c>
      <c r="O76" s="120">
        <f t="shared" si="27"/>
        <v>0</v>
      </c>
      <c r="P76" s="120">
        <f t="shared" si="28"/>
        <v>0</v>
      </c>
      <c r="Q76" s="120">
        <f t="shared" si="29"/>
        <v>0</v>
      </c>
      <c r="R76" s="3" t="str">
        <f t="shared" si="30"/>
        <v/>
      </c>
      <c r="S76" s="3" t="str">
        <f t="shared" si="31"/>
        <v/>
      </c>
      <c r="T76" s="7" t="str">
        <f t="shared" si="32"/>
        <v/>
      </c>
      <c r="U76" s="3" t="str">
        <f t="shared" si="33"/>
        <v>Failed in 6 Subjects</v>
      </c>
      <c r="V76" s="86" t="str">
        <f>'Detailed Summary'!BA76</f>
        <v/>
      </c>
      <c r="W76" s="7" t="str">
        <f>'Detailed Summary'!BN76</f>
        <v/>
      </c>
      <c r="X76" s="8" t="str">
        <f>'Detailed Summary'!BK76</f>
        <v/>
      </c>
      <c r="Y76" s="3" t="str">
        <f>'Detailed Summary'!BM76</f>
        <v>Very Weak</v>
      </c>
    </row>
    <row r="77" spans="1:25" ht="23.5" hidden="1" x14ac:dyDescent="0.55000000000000004">
      <c r="A77" s="2"/>
      <c r="B77" s="2">
        <f>'Student Basic Info'!A77</f>
        <v>776</v>
      </c>
      <c r="C77" s="2" t="str">
        <f>'Student Basic Info'!C77</f>
        <v>Saifullah Mansur</v>
      </c>
      <c r="D77" s="2">
        <f>Bangla!G77</f>
        <v>0</v>
      </c>
      <c r="E77" s="2">
        <f>English!F77</f>
        <v>0</v>
      </c>
      <c r="F77" s="2">
        <f>ICT!H77</f>
        <v>0</v>
      </c>
      <c r="G77" s="119">
        <f>Physics!H77</f>
        <v>0</v>
      </c>
      <c r="H77" s="119">
        <f>Chemistry!H77</f>
        <v>0</v>
      </c>
      <c r="I77" s="119">
        <f>Biology!H77</f>
        <v>0</v>
      </c>
      <c r="J77" s="119">
        <f>Math!H77</f>
        <v>0</v>
      </c>
      <c r="K77" s="120">
        <f t="shared" si="23"/>
        <v>0</v>
      </c>
      <c r="L77" s="120">
        <f t="shared" si="24"/>
        <v>0</v>
      </c>
      <c r="M77" s="120">
        <f t="shared" si="25"/>
        <v>0</v>
      </c>
      <c r="N77" s="120">
        <f t="shared" si="26"/>
        <v>0</v>
      </c>
      <c r="O77" s="120">
        <f t="shared" si="27"/>
        <v>0</v>
      </c>
      <c r="P77" s="120">
        <f t="shared" si="28"/>
        <v>0</v>
      </c>
      <c r="Q77" s="120">
        <f t="shared" si="29"/>
        <v>0</v>
      </c>
      <c r="R77" s="3" t="str">
        <f t="shared" si="30"/>
        <v/>
      </c>
      <c r="S77" s="3" t="str">
        <f t="shared" si="31"/>
        <v/>
      </c>
      <c r="T77" s="7" t="str">
        <f t="shared" si="32"/>
        <v/>
      </c>
      <c r="U77" s="3" t="str">
        <f t="shared" si="33"/>
        <v>Failed in 6 Subjects</v>
      </c>
      <c r="V77" s="86" t="str">
        <f>'Detailed Summary'!BA77</f>
        <v/>
      </c>
      <c r="W77" s="7" t="str">
        <f>'Detailed Summary'!BN77</f>
        <v/>
      </c>
      <c r="X77" s="8" t="str">
        <f>'Detailed Summary'!BK77</f>
        <v/>
      </c>
      <c r="Y77" s="3" t="str">
        <f>'Detailed Summary'!BM77</f>
        <v>Very Weak</v>
      </c>
    </row>
    <row r="78" spans="1:25" ht="23.5" hidden="1" x14ac:dyDescent="0.55000000000000004">
      <c r="A78" s="2"/>
      <c r="B78" s="2">
        <f>'Student Basic Info'!A78</f>
        <v>777</v>
      </c>
      <c r="C78" s="2" t="str">
        <f>'Student Basic Info'!C78</f>
        <v>Zunayed Al Mamun</v>
      </c>
      <c r="D78" s="2" t="str">
        <f>Bangla!G78</f>
        <v/>
      </c>
      <c r="E78" s="2" t="str">
        <f>English!F78</f>
        <v/>
      </c>
      <c r="F78" s="2" t="str">
        <f>ICT!H78</f>
        <v/>
      </c>
      <c r="G78" s="119" t="str">
        <f>Physics!H78</f>
        <v/>
      </c>
      <c r="H78" s="119" t="str">
        <f>Chemistry!H78</f>
        <v/>
      </c>
      <c r="I78" s="119" t="str">
        <f>Biology!H78</f>
        <v/>
      </c>
      <c r="J78" s="119" t="str">
        <f>Math!H78</f>
        <v/>
      </c>
      <c r="K78" s="120">
        <f t="shared" si="23"/>
        <v>0</v>
      </c>
      <c r="L78" s="120">
        <f t="shared" si="24"/>
        <v>0</v>
      </c>
      <c r="M78" s="120">
        <f t="shared" si="25"/>
        <v>0</v>
      </c>
      <c r="N78" s="120">
        <f t="shared" si="26"/>
        <v>0</v>
      </c>
      <c r="O78" s="120">
        <f t="shared" si="27"/>
        <v>0</v>
      </c>
      <c r="P78" s="120">
        <f t="shared" si="28"/>
        <v>0</v>
      </c>
      <c r="Q78" s="120">
        <f t="shared" si="29"/>
        <v>0</v>
      </c>
      <c r="R78" s="3" t="str">
        <f t="shared" si="30"/>
        <v/>
      </c>
      <c r="S78" s="3" t="str">
        <f t="shared" si="31"/>
        <v/>
      </c>
      <c r="T78" s="7" t="str">
        <f t="shared" si="32"/>
        <v/>
      </c>
      <c r="U78" s="3" t="str">
        <f t="shared" si="33"/>
        <v>Failed in 6 Subjects</v>
      </c>
      <c r="V78" s="86" t="str">
        <f>'Detailed Summary'!BA78</f>
        <v/>
      </c>
      <c r="W78" s="7" t="str">
        <f>'Detailed Summary'!BN78</f>
        <v/>
      </c>
      <c r="X78" s="8" t="str">
        <f>'Detailed Summary'!BK78</f>
        <v/>
      </c>
      <c r="Y78" s="3" t="str">
        <f>'Detailed Summary'!BM78</f>
        <v>Very Weak</v>
      </c>
    </row>
    <row r="79" spans="1:25" ht="23.5" hidden="1" x14ac:dyDescent="0.55000000000000004">
      <c r="A79" s="2"/>
      <c r="B79" s="2">
        <f>'Student Basic Info'!A79</f>
        <v>778</v>
      </c>
      <c r="C79" s="2" t="str">
        <f>'Student Basic Info'!C79</f>
        <v>Al Hosain</v>
      </c>
      <c r="D79" s="2" t="str">
        <f>Bangla!G79</f>
        <v/>
      </c>
      <c r="E79" s="2" t="str">
        <f>English!F79</f>
        <v/>
      </c>
      <c r="F79" s="2" t="str">
        <f>ICT!H79</f>
        <v/>
      </c>
      <c r="G79" s="119" t="str">
        <f>Physics!H79</f>
        <v/>
      </c>
      <c r="H79" s="119" t="str">
        <f>Chemistry!H79</f>
        <v/>
      </c>
      <c r="I79" s="119" t="str">
        <f>Biology!H79</f>
        <v/>
      </c>
      <c r="J79" s="119" t="str">
        <f>Math!H79</f>
        <v/>
      </c>
      <c r="K79" s="120">
        <f t="shared" si="23"/>
        <v>0</v>
      </c>
      <c r="L79" s="120">
        <f t="shared" si="24"/>
        <v>0</v>
      </c>
      <c r="M79" s="120">
        <f t="shared" si="25"/>
        <v>0</v>
      </c>
      <c r="N79" s="120">
        <f t="shared" si="26"/>
        <v>0</v>
      </c>
      <c r="O79" s="120">
        <f t="shared" si="27"/>
        <v>0</v>
      </c>
      <c r="P79" s="120">
        <f t="shared" si="28"/>
        <v>0</v>
      </c>
      <c r="Q79" s="120">
        <f t="shared" si="29"/>
        <v>0</v>
      </c>
      <c r="R79" s="3" t="str">
        <f t="shared" si="30"/>
        <v/>
      </c>
      <c r="S79" s="3" t="str">
        <f t="shared" si="31"/>
        <v/>
      </c>
      <c r="T79" s="7" t="str">
        <f t="shared" si="32"/>
        <v/>
      </c>
      <c r="U79" s="3" t="str">
        <f t="shared" si="33"/>
        <v>Failed in 6 Subjects</v>
      </c>
      <c r="V79" s="86" t="str">
        <f>'Detailed Summary'!BA79</f>
        <v/>
      </c>
      <c r="W79" s="7" t="str">
        <f>'Detailed Summary'!BN79</f>
        <v/>
      </c>
      <c r="X79" s="8" t="str">
        <f>'Detailed Summary'!BK79</f>
        <v/>
      </c>
      <c r="Y79" s="3" t="str">
        <f>'Detailed Summary'!BM79</f>
        <v>Very Weak</v>
      </c>
    </row>
    <row r="80" spans="1:25" ht="23.5" hidden="1" x14ac:dyDescent="0.55000000000000004">
      <c r="A80" s="2"/>
      <c r="B80" s="2">
        <f>'Student Basic Info'!A80</f>
        <v>779</v>
      </c>
      <c r="C80" s="2" t="str">
        <f>'Student Basic Info'!C80</f>
        <v>Azizul Haque</v>
      </c>
      <c r="D80" s="2">
        <f>Bangla!G80</f>
        <v>0</v>
      </c>
      <c r="E80" s="2">
        <f>English!F80</f>
        <v>0</v>
      </c>
      <c r="F80" s="2">
        <f>ICT!H80</f>
        <v>0</v>
      </c>
      <c r="G80" s="119">
        <f>Physics!H80</f>
        <v>0</v>
      </c>
      <c r="H80" s="119">
        <f>Chemistry!H80</f>
        <v>0</v>
      </c>
      <c r="I80" s="119">
        <f>Biology!H80</f>
        <v>0</v>
      </c>
      <c r="J80" s="119">
        <f>Math!H80</f>
        <v>0</v>
      </c>
      <c r="K80" s="120">
        <f t="shared" si="23"/>
        <v>0</v>
      </c>
      <c r="L80" s="120">
        <f t="shared" si="24"/>
        <v>0</v>
      </c>
      <c r="M80" s="120">
        <f t="shared" si="25"/>
        <v>0</v>
      </c>
      <c r="N80" s="120">
        <f t="shared" si="26"/>
        <v>0</v>
      </c>
      <c r="O80" s="120">
        <f t="shared" si="27"/>
        <v>0</v>
      </c>
      <c r="P80" s="120">
        <f t="shared" si="28"/>
        <v>0</v>
      </c>
      <c r="Q80" s="120">
        <f t="shared" si="29"/>
        <v>0</v>
      </c>
      <c r="R80" s="3" t="str">
        <f t="shared" si="30"/>
        <v/>
      </c>
      <c r="S80" s="3" t="str">
        <f t="shared" si="31"/>
        <v/>
      </c>
      <c r="T80" s="7" t="str">
        <f t="shared" si="32"/>
        <v/>
      </c>
      <c r="U80" s="3" t="str">
        <f t="shared" si="33"/>
        <v>Failed in 6 Subjects</v>
      </c>
      <c r="V80" s="86" t="str">
        <f>'Detailed Summary'!BA80</f>
        <v/>
      </c>
      <c r="W80" s="7" t="str">
        <f>'Detailed Summary'!BN80</f>
        <v/>
      </c>
      <c r="X80" s="8" t="str">
        <f>'Detailed Summary'!BK80</f>
        <v/>
      </c>
      <c r="Y80" s="3" t="str">
        <f>'Detailed Summary'!BM80</f>
        <v>Very Weak</v>
      </c>
    </row>
    <row r="81" spans="1:25" ht="23.5" hidden="1" x14ac:dyDescent="0.55000000000000004">
      <c r="A81" s="2"/>
      <c r="B81" s="2">
        <f>'Student Basic Info'!A81</f>
        <v>780</v>
      </c>
      <c r="C81" s="2" t="str">
        <f>'Student Basic Info'!C81</f>
        <v>Farjana Aktar</v>
      </c>
      <c r="D81" s="2">
        <f>Bangla!G81</f>
        <v>2</v>
      </c>
      <c r="E81" s="2">
        <f>English!F81</f>
        <v>0</v>
      </c>
      <c r="F81" s="2">
        <f>ICT!H81</f>
        <v>0</v>
      </c>
      <c r="G81" s="119">
        <f>Physics!H81</f>
        <v>0</v>
      </c>
      <c r="H81" s="119">
        <f>Chemistry!H81</f>
        <v>0</v>
      </c>
      <c r="I81" s="119">
        <f>Biology!H81</f>
        <v>0</v>
      </c>
      <c r="J81" s="119">
        <f>Math!H81</f>
        <v>0</v>
      </c>
      <c r="K81" s="120">
        <f t="shared" si="23"/>
        <v>1</v>
      </c>
      <c r="L81" s="120">
        <f t="shared" si="24"/>
        <v>0</v>
      </c>
      <c r="M81" s="120">
        <f t="shared" si="25"/>
        <v>0</v>
      </c>
      <c r="N81" s="120">
        <f t="shared" si="26"/>
        <v>0</v>
      </c>
      <c r="O81" s="120">
        <f t="shared" si="27"/>
        <v>0</v>
      </c>
      <c r="P81" s="120">
        <f t="shared" si="28"/>
        <v>0</v>
      </c>
      <c r="Q81" s="120">
        <f t="shared" si="29"/>
        <v>1</v>
      </c>
      <c r="R81" s="3" t="str">
        <f t="shared" si="30"/>
        <v/>
      </c>
      <c r="S81" s="3" t="str">
        <f t="shared" si="31"/>
        <v/>
      </c>
      <c r="T81" s="7" t="str">
        <f t="shared" si="32"/>
        <v/>
      </c>
      <c r="U81" s="3" t="str">
        <f t="shared" si="33"/>
        <v>Failed in 5 Subjects</v>
      </c>
      <c r="V81" s="86" t="str">
        <f>'Detailed Summary'!BA81</f>
        <v/>
      </c>
      <c r="W81" s="7" t="str">
        <f>'Detailed Summary'!BN81</f>
        <v/>
      </c>
      <c r="X81" s="8" t="str">
        <f>'Detailed Summary'!BK81</f>
        <v/>
      </c>
      <c r="Y81" s="3" t="str">
        <f>'Detailed Summary'!BM81</f>
        <v>Very Weak</v>
      </c>
    </row>
    <row r="82" spans="1:25" ht="23.5" hidden="1" x14ac:dyDescent="0.55000000000000004">
      <c r="A82" s="2"/>
      <c r="B82" s="2">
        <f>'Student Basic Info'!A82</f>
        <v>781</v>
      </c>
      <c r="C82" s="2" t="str">
        <f>'Student Basic Info'!C82</f>
        <v>Imam Hosain</v>
      </c>
      <c r="D82" s="2" t="str">
        <f>Bangla!G82</f>
        <v/>
      </c>
      <c r="E82" s="2" t="str">
        <f>English!F82</f>
        <v/>
      </c>
      <c r="F82" s="2" t="str">
        <f>ICT!H82</f>
        <v/>
      </c>
      <c r="G82" s="119" t="str">
        <f>Physics!H82</f>
        <v/>
      </c>
      <c r="H82" s="119" t="str">
        <f>Chemistry!H82</f>
        <v/>
      </c>
      <c r="I82" s="119" t="str">
        <f>Biology!H82</f>
        <v/>
      </c>
      <c r="J82" s="119" t="str">
        <f>Math!H82</f>
        <v/>
      </c>
      <c r="K82" s="120">
        <f t="shared" si="23"/>
        <v>0</v>
      </c>
      <c r="L82" s="120">
        <f t="shared" si="24"/>
        <v>0</v>
      </c>
      <c r="M82" s="120">
        <f t="shared" si="25"/>
        <v>0</v>
      </c>
      <c r="N82" s="120">
        <f t="shared" si="26"/>
        <v>0</v>
      </c>
      <c r="O82" s="120">
        <f t="shared" si="27"/>
        <v>0</v>
      </c>
      <c r="P82" s="120">
        <f t="shared" si="28"/>
        <v>0</v>
      </c>
      <c r="Q82" s="120">
        <f t="shared" si="29"/>
        <v>0</v>
      </c>
      <c r="R82" s="3" t="str">
        <f t="shared" si="30"/>
        <v/>
      </c>
      <c r="S82" s="3" t="str">
        <f t="shared" si="31"/>
        <v/>
      </c>
      <c r="T82" s="7" t="str">
        <f t="shared" si="32"/>
        <v/>
      </c>
      <c r="U82" s="3" t="str">
        <f t="shared" si="33"/>
        <v>Failed in 6 Subjects</v>
      </c>
      <c r="V82" s="86" t="str">
        <f>'Detailed Summary'!BA82</f>
        <v/>
      </c>
      <c r="W82" s="7" t="str">
        <f>'Detailed Summary'!BN82</f>
        <v/>
      </c>
      <c r="X82" s="8" t="str">
        <f>'Detailed Summary'!BK82</f>
        <v/>
      </c>
      <c r="Y82" s="3" t="str">
        <f>'Detailed Summary'!BM82</f>
        <v>Very Weak</v>
      </c>
    </row>
    <row r="83" spans="1:25" ht="23.5" hidden="1" x14ac:dyDescent="0.55000000000000004">
      <c r="A83" s="2"/>
      <c r="B83" s="2">
        <f>'Student Basic Info'!A83</f>
        <v>782</v>
      </c>
      <c r="C83" s="2" t="str">
        <f>'Student Basic Info'!C83</f>
        <v>Asiya Aktar Hira</v>
      </c>
      <c r="D83" s="2">
        <f>Bangla!G83</f>
        <v>3</v>
      </c>
      <c r="E83" s="2">
        <f>English!F83</f>
        <v>2</v>
      </c>
      <c r="F83" s="2">
        <f>ICT!H83</f>
        <v>0</v>
      </c>
      <c r="G83" s="119">
        <f>Physics!H83</f>
        <v>0</v>
      </c>
      <c r="H83" s="119">
        <f>Chemistry!H83</f>
        <v>0</v>
      </c>
      <c r="I83" s="119">
        <f>Biology!H83</f>
        <v>0</v>
      </c>
      <c r="J83" s="119">
        <f>Math!H83</f>
        <v>0</v>
      </c>
      <c r="K83" s="120">
        <f t="shared" si="23"/>
        <v>1</v>
      </c>
      <c r="L83" s="120">
        <f t="shared" si="24"/>
        <v>1</v>
      </c>
      <c r="M83" s="120">
        <f t="shared" si="25"/>
        <v>0</v>
      </c>
      <c r="N83" s="120">
        <f t="shared" si="26"/>
        <v>0</v>
      </c>
      <c r="O83" s="120">
        <f t="shared" si="27"/>
        <v>0</v>
      </c>
      <c r="P83" s="120">
        <f t="shared" si="28"/>
        <v>0</v>
      </c>
      <c r="Q83" s="120">
        <f t="shared" si="29"/>
        <v>2</v>
      </c>
      <c r="R83" s="3" t="str">
        <f t="shared" si="30"/>
        <v/>
      </c>
      <c r="S83" s="3" t="str">
        <f t="shared" si="31"/>
        <v/>
      </c>
      <c r="T83" s="7" t="str">
        <f t="shared" si="32"/>
        <v/>
      </c>
      <c r="U83" s="3" t="str">
        <f t="shared" si="33"/>
        <v>Failed in 4 Subjects</v>
      </c>
      <c r="V83" s="86" t="str">
        <f>'Detailed Summary'!BA83</f>
        <v/>
      </c>
      <c r="W83" s="7" t="str">
        <f>'Detailed Summary'!BN83</f>
        <v/>
      </c>
      <c r="X83" s="8" t="str">
        <f>'Detailed Summary'!BK83</f>
        <v/>
      </c>
      <c r="Y83" s="3" t="str">
        <f>'Detailed Summary'!BM83</f>
        <v>Very Weak</v>
      </c>
    </row>
    <row r="84" spans="1:25" ht="23.5" hidden="1" x14ac:dyDescent="0.55000000000000004">
      <c r="A84" s="2"/>
      <c r="B84" s="2">
        <f>'Student Basic Info'!A84</f>
        <v>783</v>
      </c>
      <c r="C84" s="2" t="str">
        <f>'Student Basic Info'!C84</f>
        <v>Abu Rayhan</v>
      </c>
      <c r="D84" s="2" t="str">
        <f>Bangla!G84</f>
        <v/>
      </c>
      <c r="E84" s="2" t="str">
        <f>English!F84</f>
        <v/>
      </c>
      <c r="F84" s="2" t="str">
        <f>ICT!H84</f>
        <v/>
      </c>
      <c r="G84" s="119" t="str">
        <f>Physics!H84</f>
        <v/>
      </c>
      <c r="H84" s="119" t="str">
        <f>Chemistry!H84</f>
        <v/>
      </c>
      <c r="I84" s="119" t="str">
        <f>Biology!H84</f>
        <v/>
      </c>
      <c r="J84" s="119" t="str">
        <f>Math!H84</f>
        <v/>
      </c>
      <c r="K84" s="120">
        <f t="shared" si="23"/>
        <v>0</v>
      </c>
      <c r="L84" s="120">
        <f t="shared" si="24"/>
        <v>0</v>
      </c>
      <c r="M84" s="120">
        <f t="shared" si="25"/>
        <v>0</v>
      </c>
      <c r="N84" s="120">
        <f t="shared" si="26"/>
        <v>0</v>
      </c>
      <c r="O84" s="120">
        <f t="shared" si="27"/>
        <v>0</v>
      </c>
      <c r="P84" s="120">
        <f t="shared" si="28"/>
        <v>0</v>
      </c>
      <c r="Q84" s="120">
        <f t="shared" si="29"/>
        <v>0</v>
      </c>
      <c r="R84" s="3" t="str">
        <f t="shared" si="30"/>
        <v/>
      </c>
      <c r="S84" s="3" t="str">
        <f t="shared" si="31"/>
        <v/>
      </c>
      <c r="T84" s="7" t="str">
        <f t="shared" si="32"/>
        <v/>
      </c>
      <c r="U84" s="3" t="str">
        <f t="shared" si="33"/>
        <v>Failed in 6 Subjects</v>
      </c>
      <c r="V84" s="86" t="str">
        <f>'Detailed Summary'!BA84</f>
        <v/>
      </c>
      <c r="W84" s="7" t="str">
        <f>'Detailed Summary'!BN84</f>
        <v/>
      </c>
      <c r="X84" s="8" t="str">
        <f>'Detailed Summary'!BK84</f>
        <v/>
      </c>
      <c r="Y84" s="3" t="str">
        <f>'Detailed Summary'!BM84</f>
        <v>Very Weak</v>
      </c>
    </row>
    <row r="85" spans="1:25" ht="23.5" hidden="1" x14ac:dyDescent="0.55000000000000004">
      <c r="A85" s="2"/>
      <c r="B85" s="2">
        <f>'Student Basic Info'!A85</f>
        <v>784</v>
      </c>
      <c r="C85" s="2" t="str">
        <f>'Student Basic Info'!C85</f>
        <v xml:space="preserve">Azizul Islam </v>
      </c>
      <c r="D85" s="2">
        <f>Bangla!G85</f>
        <v>0</v>
      </c>
      <c r="E85" s="2">
        <f>English!F85</f>
        <v>0</v>
      </c>
      <c r="F85" s="2">
        <f>ICT!H85</f>
        <v>0</v>
      </c>
      <c r="G85" s="119">
        <f>Physics!H85</f>
        <v>0</v>
      </c>
      <c r="H85" s="119">
        <f>Chemistry!H85</f>
        <v>0</v>
      </c>
      <c r="I85" s="119">
        <f>Biology!H85</f>
        <v>0</v>
      </c>
      <c r="J85" s="119">
        <f>Math!H85</f>
        <v>0</v>
      </c>
      <c r="K85" s="120">
        <f t="shared" si="23"/>
        <v>0</v>
      </c>
      <c r="L85" s="120">
        <f t="shared" si="24"/>
        <v>0</v>
      </c>
      <c r="M85" s="120">
        <f t="shared" si="25"/>
        <v>0</v>
      </c>
      <c r="N85" s="120">
        <f t="shared" si="26"/>
        <v>0</v>
      </c>
      <c r="O85" s="120">
        <f t="shared" si="27"/>
        <v>0</v>
      </c>
      <c r="P85" s="120">
        <f t="shared" si="28"/>
        <v>0</v>
      </c>
      <c r="Q85" s="120">
        <f t="shared" si="29"/>
        <v>0</v>
      </c>
      <c r="R85" s="3" t="str">
        <f t="shared" si="30"/>
        <v/>
      </c>
      <c r="S85" s="3" t="str">
        <f t="shared" si="31"/>
        <v/>
      </c>
      <c r="T85" s="7" t="str">
        <f t="shared" si="32"/>
        <v/>
      </c>
      <c r="U85" s="3" t="str">
        <f t="shared" si="33"/>
        <v>Failed in 6 Subjects</v>
      </c>
      <c r="V85" s="86" t="str">
        <f>'Detailed Summary'!BA85</f>
        <v/>
      </c>
      <c r="W85" s="7" t="str">
        <f>'Detailed Summary'!BN85</f>
        <v/>
      </c>
      <c r="X85" s="8" t="str">
        <f>'Detailed Summary'!BK85</f>
        <v/>
      </c>
      <c r="Y85" s="3" t="str">
        <f>'Detailed Summary'!BM85</f>
        <v>Very Weak</v>
      </c>
    </row>
    <row r="86" spans="1:25" ht="23.5" hidden="1" x14ac:dyDescent="0.55000000000000004">
      <c r="A86" s="2"/>
      <c r="B86" s="2">
        <f>'Student Basic Info'!A86</f>
        <v>785</v>
      </c>
      <c r="C86" s="2" t="str">
        <f>'Student Basic Info'!C86</f>
        <v>Muktaddi Al Saber</v>
      </c>
      <c r="D86" s="2">
        <f>Bangla!G86</f>
        <v>0</v>
      </c>
      <c r="E86" s="2">
        <f>English!F86</f>
        <v>0</v>
      </c>
      <c r="F86" s="2">
        <f>ICT!H86</f>
        <v>0</v>
      </c>
      <c r="G86" s="119">
        <f>Physics!H86</f>
        <v>0</v>
      </c>
      <c r="H86" s="119" t="str">
        <f>Chemistry!H86</f>
        <v/>
      </c>
      <c r="I86" s="119">
        <f>Biology!H86</f>
        <v>0</v>
      </c>
      <c r="J86" s="119">
        <f>Math!H86</f>
        <v>0</v>
      </c>
      <c r="K86" s="120">
        <f t="shared" si="23"/>
        <v>0</v>
      </c>
      <c r="L86" s="120">
        <f t="shared" si="24"/>
        <v>0</v>
      </c>
      <c r="M86" s="120">
        <f t="shared" si="25"/>
        <v>0</v>
      </c>
      <c r="N86" s="120">
        <f t="shared" si="26"/>
        <v>0</v>
      </c>
      <c r="O86" s="120">
        <f t="shared" si="27"/>
        <v>0</v>
      </c>
      <c r="P86" s="120">
        <f t="shared" si="28"/>
        <v>0</v>
      </c>
      <c r="Q86" s="120">
        <f t="shared" si="29"/>
        <v>0</v>
      </c>
      <c r="R86" s="3" t="str">
        <f t="shared" si="30"/>
        <v/>
      </c>
      <c r="S86" s="3" t="str">
        <f t="shared" si="31"/>
        <v/>
      </c>
      <c r="T86" s="7" t="str">
        <f t="shared" si="32"/>
        <v/>
      </c>
      <c r="U86" s="3" t="str">
        <f t="shared" si="33"/>
        <v>Failed in 6 Subjects</v>
      </c>
      <c r="V86" s="86" t="str">
        <f>'Detailed Summary'!BA86</f>
        <v/>
      </c>
      <c r="W86" s="7" t="str">
        <f>'Detailed Summary'!BN86</f>
        <v/>
      </c>
      <c r="X86" s="8" t="str">
        <f>'Detailed Summary'!BK86</f>
        <v/>
      </c>
      <c r="Y86" s="3" t="str">
        <f>'Detailed Summary'!BM86</f>
        <v>Very Weak</v>
      </c>
    </row>
    <row r="87" spans="1:25" ht="23.5" hidden="1" x14ac:dyDescent="0.55000000000000004">
      <c r="A87" s="2"/>
      <c r="B87" s="2">
        <f>'Student Basic Info'!A87</f>
        <v>786</v>
      </c>
      <c r="C87" s="2" t="str">
        <f>'Student Basic Info'!C87</f>
        <v>Farzana Aktar</v>
      </c>
      <c r="D87" s="2" t="str">
        <f>Bangla!G87</f>
        <v/>
      </c>
      <c r="E87" s="2">
        <f>English!F87</f>
        <v>0</v>
      </c>
      <c r="F87" s="2">
        <f>ICT!H87</f>
        <v>0</v>
      </c>
      <c r="G87" s="119" t="str">
        <f>Physics!H87</f>
        <v/>
      </c>
      <c r="H87" s="119">
        <f>Chemistry!H87</f>
        <v>0</v>
      </c>
      <c r="I87" s="119">
        <f>Biology!H87</f>
        <v>0</v>
      </c>
      <c r="J87" s="119">
        <f>Math!H87</f>
        <v>0</v>
      </c>
      <c r="K87" s="120">
        <f t="shared" si="23"/>
        <v>0</v>
      </c>
      <c r="L87" s="120">
        <f t="shared" si="24"/>
        <v>0</v>
      </c>
      <c r="M87" s="120">
        <f t="shared" si="25"/>
        <v>0</v>
      </c>
      <c r="N87" s="120">
        <f t="shared" si="26"/>
        <v>0</v>
      </c>
      <c r="O87" s="120">
        <f t="shared" si="27"/>
        <v>0</v>
      </c>
      <c r="P87" s="120">
        <f t="shared" si="28"/>
        <v>0</v>
      </c>
      <c r="Q87" s="120">
        <f t="shared" si="29"/>
        <v>0</v>
      </c>
      <c r="R87" s="3" t="str">
        <f t="shared" si="30"/>
        <v/>
      </c>
      <c r="S87" s="3" t="str">
        <f t="shared" si="31"/>
        <v/>
      </c>
      <c r="T87" s="7" t="str">
        <f t="shared" si="32"/>
        <v/>
      </c>
      <c r="U87" s="3" t="str">
        <f t="shared" si="33"/>
        <v>Failed in 6 Subjects</v>
      </c>
      <c r="V87" s="86" t="str">
        <f>'Detailed Summary'!BA87</f>
        <v/>
      </c>
      <c r="W87" s="7" t="str">
        <f>'Detailed Summary'!BN87</f>
        <v/>
      </c>
      <c r="X87" s="8" t="str">
        <f>'Detailed Summary'!BK87</f>
        <v/>
      </c>
      <c r="Y87" s="3" t="str">
        <f>'Detailed Summary'!BM87</f>
        <v>Very Weak</v>
      </c>
    </row>
    <row r="88" spans="1:25" ht="23.5" hidden="1" x14ac:dyDescent="0.55000000000000004">
      <c r="A88" s="2"/>
      <c r="B88" s="2">
        <f>'Student Basic Info'!A88</f>
        <v>6812</v>
      </c>
      <c r="C88" s="2" t="str">
        <f>'Student Basic Info'!C88</f>
        <v>Jannatul Mawa Parvin</v>
      </c>
      <c r="D88" s="2">
        <f>Bangla!G88</f>
        <v>2</v>
      </c>
      <c r="E88" s="2">
        <f>English!F88</f>
        <v>0</v>
      </c>
      <c r="F88" s="2">
        <f>ICT!H88</f>
        <v>3</v>
      </c>
      <c r="G88" s="119">
        <f>Physics!H88</f>
        <v>3</v>
      </c>
      <c r="H88" s="119">
        <f>Chemistry!H88</f>
        <v>0</v>
      </c>
      <c r="I88" s="119">
        <f>Biology!H88</f>
        <v>0</v>
      </c>
      <c r="J88" s="119">
        <f>Math!H88</f>
        <v>0</v>
      </c>
      <c r="K88" s="120">
        <f t="shared" si="23"/>
        <v>1</v>
      </c>
      <c r="L88" s="120">
        <f t="shared" si="24"/>
        <v>0</v>
      </c>
      <c r="M88" s="120">
        <f t="shared" si="25"/>
        <v>1</v>
      </c>
      <c r="N88" s="120">
        <f t="shared" si="26"/>
        <v>1</v>
      </c>
      <c r="O88" s="120">
        <f t="shared" si="27"/>
        <v>0</v>
      </c>
      <c r="P88" s="120">
        <f t="shared" si="28"/>
        <v>0</v>
      </c>
      <c r="Q88" s="120">
        <f t="shared" si="29"/>
        <v>3</v>
      </c>
      <c r="R88" s="3" t="str">
        <f t="shared" si="30"/>
        <v/>
      </c>
      <c r="S88" s="3" t="str">
        <f t="shared" si="31"/>
        <v/>
      </c>
      <c r="T88" s="7" t="str">
        <f t="shared" si="32"/>
        <v/>
      </c>
      <c r="U88" s="3" t="str">
        <f t="shared" si="33"/>
        <v>Failed in 3 Subjects</v>
      </c>
      <c r="V88" s="86" t="str">
        <f>'Detailed Summary'!BA88</f>
        <v/>
      </c>
      <c r="W88" s="7" t="str">
        <f>'Detailed Summary'!BN88</f>
        <v/>
      </c>
      <c r="X88" s="8" t="str">
        <f>'Detailed Summary'!BK88</f>
        <v/>
      </c>
      <c r="Y88" s="3" t="str">
        <f>'Detailed Summary'!BM88</f>
        <v>Very Weak</v>
      </c>
    </row>
  </sheetData>
  <sheetProtection formatCells="0" formatColumns="0" formatRows="0" insertColumns="0" insertRows="0" insertHyperlinks="0" deleteColumns="0" deleteRows="0"/>
  <autoFilter ref="U1:U88">
    <filterColumn colId="0">
      <filters>
        <filter val="Pass"/>
      </filters>
    </filterColumn>
  </autoFilter>
  <sortState ref="A3:Y69">
    <sortCondition ref="X2"/>
  </sortState>
  <pageMargins left="1.05" right="0.77" top="3.26" bottom="0.75" header="1.7" footer="0.3"/>
  <pageSetup orientation="portrait" r:id="rId1"/>
  <headerFooter>
    <oddHeader>&amp;C&amp;28&amp;KFFC000BAMNI DEGREE COLLEGE&amp;11&amp;K01+000
&amp;"-,Bold"&amp;20Test Examination Result-2025
&amp;16Group: Science (All Subjects Pass)&amp;"-,Regular"&amp;11
&amp;"-,Italic"&amp;14&amp;UDate of Publication of Result: February 20, 2025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89"/>
  <sheetViews>
    <sheetView workbookViewId="0">
      <selection activeCell="U92" sqref="U92"/>
    </sheetView>
  </sheetViews>
  <sheetFormatPr defaultRowHeight="14.5" x14ac:dyDescent="0.35"/>
  <cols>
    <col min="1" max="1" width="4.08984375" style="1" customWidth="1"/>
    <col min="2" max="2" width="7" style="109" customWidth="1"/>
    <col min="3" max="3" width="25.7265625" bestFit="1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" hidden="1" customWidth="1"/>
    <col min="19" max="19" width="8.08984375" style="1" hidden="1" customWidth="1"/>
    <col min="20" max="20" width="10.36328125" style="5" hidden="1" customWidth="1"/>
    <col min="21" max="21" width="19.81640625" bestFit="1" customWidth="1"/>
    <col min="22" max="22" width="9.26953125" customWidth="1"/>
    <col min="23" max="23" width="16.1796875" style="1" bestFit="1" customWidth="1"/>
  </cols>
  <sheetData>
    <row r="1" spans="1:23" ht="144" customHeight="1" x14ac:dyDescent="0.45">
      <c r="A1" s="158" t="s">
        <v>453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</row>
    <row r="2" spans="1:23" x14ac:dyDescent="0.35">
      <c r="A2" s="13" t="s">
        <v>448</v>
      </c>
      <c r="B2" s="13" t="s">
        <v>0</v>
      </c>
      <c r="C2" s="13" t="s">
        <v>36</v>
      </c>
      <c r="D2" s="13" t="s">
        <v>12</v>
      </c>
      <c r="E2" s="13" t="s">
        <v>13</v>
      </c>
      <c r="F2" s="13" t="s">
        <v>14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93</v>
      </c>
      <c r="L2" s="13" t="s">
        <v>94</v>
      </c>
      <c r="M2" s="13" t="s">
        <v>95</v>
      </c>
      <c r="N2" s="13" t="s">
        <v>98</v>
      </c>
      <c r="O2" s="13" t="s">
        <v>99</v>
      </c>
      <c r="P2" s="13" t="s">
        <v>100</v>
      </c>
      <c r="Q2" s="13" t="s">
        <v>96</v>
      </c>
      <c r="R2" s="13" t="s">
        <v>16</v>
      </c>
      <c r="S2" s="13" t="s">
        <v>18</v>
      </c>
      <c r="T2" s="14" t="s">
        <v>17</v>
      </c>
      <c r="U2" s="43" t="s">
        <v>7</v>
      </c>
      <c r="V2" s="14" t="s">
        <v>9</v>
      </c>
      <c r="W2" s="85" t="s">
        <v>447</v>
      </c>
    </row>
    <row r="3" spans="1:23" ht="14.5" hidden="1" customHeight="1" x14ac:dyDescent="0.35">
      <c r="A3"/>
      <c r="B3" s="4">
        <f>'Student Basic Info'!A2</f>
        <v>701</v>
      </c>
      <c r="C3" s="4" t="str">
        <f>'Student Basic Info'!C2</f>
        <v>Tanjila Mostafa Tasnim</v>
      </c>
      <c r="D3" s="42">
        <f>Bangla!G2</f>
        <v>3.5</v>
      </c>
      <c r="E3" s="42">
        <f>English!F2</f>
        <v>2</v>
      </c>
      <c r="F3" s="42">
        <f>ICT!H2</f>
        <v>5</v>
      </c>
      <c r="G3" s="42">
        <f>Physics!H2</f>
        <v>3</v>
      </c>
      <c r="H3" s="42">
        <f>Chemistry!H2</f>
        <v>4</v>
      </c>
      <c r="I3" s="42">
        <f>Biology!H2</f>
        <v>3</v>
      </c>
      <c r="J3" s="42">
        <f>Math!H2</f>
        <v>4</v>
      </c>
      <c r="K3" s="30">
        <f t="shared" ref="K3:K34" si="0">(IF(D3="",0,IF(D3=0,0,1)))</f>
        <v>1</v>
      </c>
      <c r="L3" s="30">
        <f t="shared" ref="L3:L34" si="1">(IF(E3="",0,IF(E3=0,0,1)))</f>
        <v>1</v>
      </c>
      <c r="M3" s="30">
        <f t="shared" ref="M3:M34" si="2">(IF(F3="",0,IF(F3=0,0,1)))</f>
        <v>1</v>
      </c>
      <c r="N3" s="30">
        <f t="shared" ref="N3:N34" si="3">(IF(G3="",0,IF(G3=0,0,1)))</f>
        <v>1</v>
      </c>
      <c r="O3" s="30">
        <f t="shared" ref="O3:O34" si="4">(IF(H3="",0,IF(H3=0,0,1)))</f>
        <v>1</v>
      </c>
      <c r="P3" s="30">
        <f t="shared" ref="P3:P34" si="5">(IF(I3="",0,IF(I3=0,0,1)))</f>
        <v>1</v>
      </c>
      <c r="Q3" s="30">
        <f t="shared" ref="Q3:Q34" si="6">SUM(K3:P3)</f>
        <v>6</v>
      </c>
      <c r="R3" s="3">
        <f t="shared" ref="R3:R34" si="7">IF(OR(D3=0,E3=0,F3=0,G3=0,H3=0,I3=0,D3="",E3="",F3="",G3="",H3="",I3=""),"",SUM(D3:I3))</f>
        <v>20.5</v>
      </c>
      <c r="S3" s="3">
        <f t="shared" ref="S3:S34" si="8">IF(OR(D3=0,E3=0,F3=0,G3=0,H3=0,I3=0,D3="",E3="",F3="",G3="",H3="",I3=""),"",SUM(D3:J3))</f>
        <v>24.5</v>
      </c>
      <c r="T3" s="7">
        <f t="shared" ref="T3:T34" si="9">IF(R3="","",IF(((R3/6)&gt;5),5,R3/6))</f>
        <v>3.4166666666666665</v>
      </c>
      <c r="U3" s="3" t="str">
        <f t="shared" ref="U3:U34" si="10">IF(Q3=0,"Failed in 6 Subjects",IF(Q3=1,"Failed in 5 Subjects",IF(Q3=2,"Failed in 4 Subjects",IF(Q3=3,"Failed in 3 Subjects",IF(Q3=4,"Failed in 2 Subjects",IF(Q3=5,"Failed in 1 Subject","Pass"))))))</f>
        <v>Pass</v>
      </c>
      <c r="V3" s="7">
        <f t="shared" ref="V3:V34" si="11">IF(S3="","",IF(((S3/6)&gt;5),5,S3/6))</f>
        <v>4.083333333333333</v>
      </c>
      <c r="W3" s="8">
        <f>'Detailed Summary'!BK2</f>
        <v>3</v>
      </c>
    </row>
    <row r="4" spans="1:23" ht="14.5" hidden="1" customHeight="1" x14ac:dyDescent="0.35">
      <c r="A4"/>
      <c r="B4" s="4">
        <f>'Student Basic Info'!A3</f>
        <v>702</v>
      </c>
      <c r="C4" s="4" t="str">
        <f>'Student Basic Info'!C3</f>
        <v>Foyez Ahmed</v>
      </c>
      <c r="D4" s="4" t="str">
        <f>Bangla!G3</f>
        <v/>
      </c>
      <c r="E4" s="4" t="str">
        <f>English!F3</f>
        <v/>
      </c>
      <c r="F4" s="4" t="str">
        <f>ICT!H3</f>
        <v/>
      </c>
      <c r="G4" s="42" t="str">
        <f>Physics!H3</f>
        <v/>
      </c>
      <c r="H4" s="42" t="str">
        <f>Chemistry!H3</f>
        <v/>
      </c>
      <c r="I4" s="42" t="str">
        <f>Biology!H3</f>
        <v/>
      </c>
      <c r="J4" s="42" t="str">
        <f>Math!H3</f>
        <v/>
      </c>
      <c r="K4" s="30">
        <f t="shared" si="0"/>
        <v>0</v>
      </c>
      <c r="L4" s="30">
        <f t="shared" si="1"/>
        <v>0</v>
      </c>
      <c r="M4" s="30">
        <f t="shared" si="2"/>
        <v>0</v>
      </c>
      <c r="N4" s="30">
        <f t="shared" si="3"/>
        <v>0</v>
      </c>
      <c r="O4" s="30">
        <f t="shared" si="4"/>
        <v>0</v>
      </c>
      <c r="P4" s="30">
        <f t="shared" si="5"/>
        <v>0</v>
      </c>
      <c r="Q4" s="30">
        <f t="shared" si="6"/>
        <v>0</v>
      </c>
      <c r="R4" s="3" t="str">
        <f t="shared" si="7"/>
        <v/>
      </c>
      <c r="S4" s="3" t="str">
        <f t="shared" si="8"/>
        <v/>
      </c>
      <c r="T4" s="7" t="str">
        <f t="shared" si="9"/>
        <v/>
      </c>
      <c r="U4" s="3" t="str">
        <f t="shared" si="10"/>
        <v>Failed in 6 Subjects</v>
      </c>
      <c r="V4" s="7" t="str">
        <f t="shared" si="11"/>
        <v/>
      </c>
      <c r="W4" s="8" t="str">
        <f>'Detailed Summary'!BK3</f>
        <v/>
      </c>
    </row>
    <row r="5" spans="1:23" ht="14.5" hidden="1" customHeight="1" x14ac:dyDescent="0.35">
      <c r="A5"/>
      <c r="B5" s="4">
        <f>'Student Basic Info'!A4</f>
        <v>703</v>
      </c>
      <c r="C5" s="4" t="str">
        <f>'Student Basic Info'!C4</f>
        <v>Zannatul Nayem</v>
      </c>
      <c r="D5" s="4" t="str">
        <f>Bangla!G4</f>
        <v/>
      </c>
      <c r="E5" s="4" t="str">
        <f>English!F4</f>
        <v/>
      </c>
      <c r="F5" s="4" t="str">
        <f>ICT!H4</f>
        <v/>
      </c>
      <c r="G5" s="42" t="str">
        <f>Physics!H4</f>
        <v/>
      </c>
      <c r="H5" s="42" t="str">
        <f>Chemistry!H4</f>
        <v/>
      </c>
      <c r="I5" s="42" t="str">
        <f>Biology!H4</f>
        <v/>
      </c>
      <c r="J5" s="42" t="str">
        <f>Math!H4</f>
        <v/>
      </c>
      <c r="K5" s="30">
        <f t="shared" si="0"/>
        <v>0</v>
      </c>
      <c r="L5" s="30">
        <f t="shared" si="1"/>
        <v>0</v>
      </c>
      <c r="M5" s="30">
        <f t="shared" si="2"/>
        <v>0</v>
      </c>
      <c r="N5" s="30">
        <f t="shared" si="3"/>
        <v>0</v>
      </c>
      <c r="O5" s="30">
        <f t="shared" si="4"/>
        <v>0</v>
      </c>
      <c r="P5" s="30">
        <f t="shared" si="5"/>
        <v>0</v>
      </c>
      <c r="Q5" s="30">
        <f t="shared" si="6"/>
        <v>0</v>
      </c>
      <c r="R5" s="3" t="str">
        <f t="shared" si="7"/>
        <v/>
      </c>
      <c r="S5" s="3" t="str">
        <f t="shared" si="8"/>
        <v/>
      </c>
      <c r="T5" s="7" t="str">
        <f t="shared" si="9"/>
        <v/>
      </c>
      <c r="U5" s="3" t="str">
        <f t="shared" si="10"/>
        <v>Failed in 6 Subjects</v>
      </c>
      <c r="V5" s="7" t="str">
        <f t="shared" si="11"/>
        <v/>
      </c>
      <c r="W5" s="8" t="str">
        <f>'Detailed Summary'!BK4</f>
        <v/>
      </c>
    </row>
    <row r="6" spans="1:23" ht="14.5" hidden="1" customHeight="1" x14ac:dyDescent="0.35">
      <c r="A6"/>
      <c r="B6" s="4">
        <f>'Student Basic Info'!A5</f>
        <v>704</v>
      </c>
      <c r="C6" s="4" t="str">
        <f>'Student Basic Info'!C5</f>
        <v>Farmana Nusrat Chowdhury</v>
      </c>
      <c r="D6" s="4">
        <f>Bangla!G5</f>
        <v>3.5</v>
      </c>
      <c r="E6" s="4">
        <f>English!F5</f>
        <v>1</v>
      </c>
      <c r="F6" s="4">
        <f>ICT!H5</f>
        <v>0</v>
      </c>
      <c r="G6" s="42">
        <f>Physics!H5</f>
        <v>0</v>
      </c>
      <c r="H6" s="42">
        <f>Chemistry!H5</f>
        <v>0</v>
      </c>
      <c r="I6" s="42">
        <f>Biology!H5</f>
        <v>0</v>
      </c>
      <c r="J6" s="42">
        <f>Math!H5</f>
        <v>0</v>
      </c>
      <c r="K6" s="30">
        <f t="shared" si="0"/>
        <v>1</v>
      </c>
      <c r="L6" s="30">
        <f t="shared" si="1"/>
        <v>1</v>
      </c>
      <c r="M6" s="30">
        <f t="shared" si="2"/>
        <v>0</v>
      </c>
      <c r="N6" s="30">
        <f t="shared" si="3"/>
        <v>0</v>
      </c>
      <c r="O6" s="30">
        <f t="shared" si="4"/>
        <v>0</v>
      </c>
      <c r="P6" s="30">
        <f t="shared" si="5"/>
        <v>0</v>
      </c>
      <c r="Q6" s="30">
        <f t="shared" si="6"/>
        <v>2</v>
      </c>
      <c r="R6" s="3" t="str">
        <f t="shared" si="7"/>
        <v/>
      </c>
      <c r="S6" s="3" t="str">
        <f t="shared" si="8"/>
        <v/>
      </c>
      <c r="T6" s="7" t="str">
        <f t="shared" si="9"/>
        <v/>
      </c>
      <c r="U6" s="3" t="str">
        <f t="shared" si="10"/>
        <v>Failed in 4 Subjects</v>
      </c>
      <c r="V6" s="7" t="str">
        <f t="shared" si="11"/>
        <v/>
      </c>
      <c r="W6" s="8" t="str">
        <f>'Detailed Summary'!BK5</f>
        <v/>
      </c>
    </row>
    <row r="7" spans="1:23" ht="14.5" hidden="1" customHeight="1" x14ac:dyDescent="0.35">
      <c r="A7"/>
      <c r="B7" s="4">
        <f>'Student Basic Info'!A6</f>
        <v>705</v>
      </c>
      <c r="C7" s="4" t="str">
        <f>'Student Basic Info'!C6</f>
        <v>Zannatul Ferdaus</v>
      </c>
      <c r="D7" s="4" t="str">
        <f>Bangla!G6</f>
        <v/>
      </c>
      <c r="E7" s="4" t="str">
        <f>English!F6</f>
        <v/>
      </c>
      <c r="F7" s="4">
        <f>ICT!H6</f>
        <v>0</v>
      </c>
      <c r="G7" s="42" t="str">
        <f>Physics!H6</f>
        <v/>
      </c>
      <c r="H7" s="42" t="str">
        <f>Chemistry!H6</f>
        <v/>
      </c>
      <c r="I7" s="42" t="str">
        <f>Biology!H6</f>
        <v/>
      </c>
      <c r="J7" s="42" t="str">
        <f>Math!H6</f>
        <v/>
      </c>
      <c r="K7" s="30">
        <f t="shared" si="0"/>
        <v>0</v>
      </c>
      <c r="L7" s="30">
        <f t="shared" si="1"/>
        <v>0</v>
      </c>
      <c r="M7" s="30">
        <f t="shared" si="2"/>
        <v>0</v>
      </c>
      <c r="N7" s="30">
        <f t="shared" si="3"/>
        <v>0</v>
      </c>
      <c r="O7" s="30">
        <f t="shared" si="4"/>
        <v>0</v>
      </c>
      <c r="P7" s="30">
        <f t="shared" si="5"/>
        <v>0</v>
      </c>
      <c r="Q7" s="30">
        <f t="shared" si="6"/>
        <v>0</v>
      </c>
      <c r="R7" s="3" t="str">
        <f t="shared" si="7"/>
        <v/>
      </c>
      <c r="S7" s="3" t="str">
        <f t="shared" si="8"/>
        <v/>
      </c>
      <c r="T7" s="7" t="str">
        <f t="shared" si="9"/>
        <v/>
      </c>
      <c r="U7" s="3" t="str">
        <f t="shared" si="10"/>
        <v>Failed in 6 Subjects</v>
      </c>
      <c r="V7" s="7" t="str">
        <f t="shared" si="11"/>
        <v/>
      </c>
      <c r="W7" s="8" t="str">
        <f>'Detailed Summary'!BK6</f>
        <v/>
      </c>
    </row>
    <row r="8" spans="1:23" ht="14.5" hidden="1" customHeight="1" x14ac:dyDescent="0.35">
      <c r="A8"/>
      <c r="B8" s="4">
        <f>'Student Basic Info'!A7</f>
        <v>706</v>
      </c>
      <c r="C8" s="4" t="str">
        <f>'Student Basic Info'!C7</f>
        <v>Abdul Alim Shawon</v>
      </c>
      <c r="D8" s="4" t="str">
        <f>Bangla!G7</f>
        <v/>
      </c>
      <c r="E8" s="4" t="str">
        <f>English!F7</f>
        <v/>
      </c>
      <c r="F8" s="4" t="str">
        <f>ICT!H7</f>
        <v/>
      </c>
      <c r="G8" s="42" t="str">
        <f>Physics!H7</f>
        <v/>
      </c>
      <c r="H8" s="42" t="str">
        <f>Chemistry!H7</f>
        <v/>
      </c>
      <c r="I8" s="42" t="str">
        <f>Biology!H7</f>
        <v/>
      </c>
      <c r="J8" s="42" t="str">
        <f>Math!H7</f>
        <v/>
      </c>
      <c r="K8" s="30">
        <f t="shared" si="0"/>
        <v>0</v>
      </c>
      <c r="L8" s="30">
        <f t="shared" si="1"/>
        <v>0</v>
      </c>
      <c r="M8" s="30">
        <f t="shared" si="2"/>
        <v>0</v>
      </c>
      <c r="N8" s="30">
        <f t="shared" si="3"/>
        <v>0</v>
      </c>
      <c r="O8" s="30">
        <f t="shared" si="4"/>
        <v>0</v>
      </c>
      <c r="P8" s="30">
        <f t="shared" si="5"/>
        <v>0</v>
      </c>
      <c r="Q8" s="30">
        <f t="shared" si="6"/>
        <v>0</v>
      </c>
      <c r="R8" s="3" t="str">
        <f t="shared" si="7"/>
        <v/>
      </c>
      <c r="S8" s="3" t="str">
        <f t="shared" si="8"/>
        <v/>
      </c>
      <c r="T8" s="7" t="str">
        <f t="shared" si="9"/>
        <v/>
      </c>
      <c r="U8" s="3" t="str">
        <f t="shared" si="10"/>
        <v>Failed in 6 Subjects</v>
      </c>
      <c r="V8" s="7" t="str">
        <f t="shared" si="11"/>
        <v/>
      </c>
      <c r="W8" s="8" t="str">
        <f>'Detailed Summary'!BK7</f>
        <v/>
      </c>
    </row>
    <row r="9" spans="1:23" hidden="1" x14ac:dyDescent="0.35">
      <c r="A9"/>
      <c r="B9" s="4">
        <f>'Student Basic Info'!A8</f>
        <v>707</v>
      </c>
      <c r="C9" s="4" t="str">
        <f>'Student Basic Info'!C8</f>
        <v>Sharmin Aktar</v>
      </c>
      <c r="D9" s="4" t="str">
        <f>Bangla!G8</f>
        <v/>
      </c>
      <c r="E9" s="4" t="str">
        <f>English!F8</f>
        <v/>
      </c>
      <c r="F9" s="4" t="str">
        <f>ICT!H8</f>
        <v/>
      </c>
      <c r="G9" s="42" t="str">
        <f>Physics!H8</f>
        <v/>
      </c>
      <c r="H9" s="42" t="str">
        <f>Chemistry!H8</f>
        <v/>
      </c>
      <c r="I9" s="42" t="str">
        <f>Biology!H8</f>
        <v/>
      </c>
      <c r="J9" s="42" t="str">
        <f>Math!H8</f>
        <v/>
      </c>
      <c r="K9" s="30">
        <f t="shared" si="0"/>
        <v>0</v>
      </c>
      <c r="L9" s="30">
        <f t="shared" si="1"/>
        <v>0</v>
      </c>
      <c r="M9" s="30">
        <f t="shared" si="2"/>
        <v>0</v>
      </c>
      <c r="N9" s="30">
        <f t="shared" si="3"/>
        <v>0</v>
      </c>
      <c r="O9" s="30">
        <f t="shared" si="4"/>
        <v>0</v>
      </c>
      <c r="P9" s="30">
        <f t="shared" si="5"/>
        <v>0</v>
      </c>
      <c r="Q9" s="30">
        <f t="shared" si="6"/>
        <v>0</v>
      </c>
      <c r="R9" s="3" t="str">
        <f t="shared" si="7"/>
        <v/>
      </c>
      <c r="S9" s="3" t="str">
        <f t="shared" si="8"/>
        <v/>
      </c>
      <c r="T9" s="7" t="str">
        <f t="shared" si="9"/>
        <v/>
      </c>
      <c r="U9" s="3" t="str">
        <f t="shared" si="10"/>
        <v>Failed in 6 Subjects</v>
      </c>
      <c r="V9" s="7" t="str">
        <f t="shared" si="11"/>
        <v/>
      </c>
      <c r="W9" s="8" t="str">
        <f>'Detailed Summary'!BK8</f>
        <v/>
      </c>
    </row>
    <row r="10" spans="1:23" hidden="1" x14ac:dyDescent="0.35">
      <c r="A10"/>
      <c r="B10" s="4">
        <f>'Student Basic Info'!A9</f>
        <v>708</v>
      </c>
      <c r="C10" s="4" t="str">
        <f>'Student Basic Info'!C9</f>
        <v>Nafisa Aktar Prova</v>
      </c>
      <c r="D10" s="4">
        <f>Bangla!G9</f>
        <v>3.5</v>
      </c>
      <c r="E10" s="4">
        <f>English!F9</f>
        <v>1</v>
      </c>
      <c r="F10" s="4">
        <v>3</v>
      </c>
      <c r="G10" s="42">
        <f>Physics!H9</f>
        <v>0</v>
      </c>
      <c r="H10" s="42">
        <f>Chemistry!H9</f>
        <v>0</v>
      </c>
      <c r="I10" s="42">
        <f>Biology!H9</f>
        <v>0</v>
      </c>
      <c r="J10" s="42">
        <f>Math!H9</f>
        <v>0</v>
      </c>
      <c r="K10" s="30">
        <f t="shared" si="0"/>
        <v>1</v>
      </c>
      <c r="L10" s="30">
        <f t="shared" si="1"/>
        <v>1</v>
      </c>
      <c r="M10" s="30">
        <f t="shared" si="2"/>
        <v>1</v>
      </c>
      <c r="N10" s="30">
        <f t="shared" si="3"/>
        <v>0</v>
      </c>
      <c r="O10" s="30">
        <f t="shared" si="4"/>
        <v>0</v>
      </c>
      <c r="P10" s="30">
        <f t="shared" si="5"/>
        <v>0</v>
      </c>
      <c r="Q10" s="30">
        <f t="shared" si="6"/>
        <v>3</v>
      </c>
      <c r="R10" s="3" t="str">
        <f t="shared" si="7"/>
        <v/>
      </c>
      <c r="S10" s="3" t="str">
        <f t="shared" si="8"/>
        <v/>
      </c>
      <c r="T10" s="7" t="str">
        <f t="shared" si="9"/>
        <v/>
      </c>
      <c r="U10" s="3" t="str">
        <f t="shared" si="10"/>
        <v>Failed in 3 Subjects</v>
      </c>
      <c r="V10" s="7" t="str">
        <f t="shared" si="11"/>
        <v/>
      </c>
      <c r="W10" s="8" t="str">
        <f>'Detailed Summary'!BK9</f>
        <v/>
      </c>
    </row>
    <row r="11" spans="1:23" hidden="1" x14ac:dyDescent="0.35">
      <c r="A11"/>
      <c r="B11" s="4">
        <f>'Student Basic Info'!A10</f>
        <v>709</v>
      </c>
      <c r="C11" s="4" t="str">
        <f>'Student Basic Info'!C10</f>
        <v>Nafisa Anjum Prena</v>
      </c>
      <c r="D11" s="4">
        <f>Bangla!G10</f>
        <v>3.5</v>
      </c>
      <c r="E11" s="4">
        <f>English!F10</f>
        <v>1</v>
      </c>
      <c r="F11" s="4">
        <f>ICT!H10</f>
        <v>0</v>
      </c>
      <c r="G11" s="42">
        <f>Physics!H10</f>
        <v>2</v>
      </c>
      <c r="H11" s="42">
        <f>Chemistry!H10</f>
        <v>0</v>
      </c>
      <c r="I11" s="42">
        <f>Biology!H10</f>
        <v>0</v>
      </c>
      <c r="J11" s="42">
        <f>Math!H10</f>
        <v>0</v>
      </c>
      <c r="K11" s="30">
        <f t="shared" si="0"/>
        <v>1</v>
      </c>
      <c r="L11" s="30">
        <f t="shared" si="1"/>
        <v>1</v>
      </c>
      <c r="M11" s="30">
        <f t="shared" si="2"/>
        <v>0</v>
      </c>
      <c r="N11" s="30">
        <f t="shared" si="3"/>
        <v>1</v>
      </c>
      <c r="O11" s="30">
        <f t="shared" si="4"/>
        <v>0</v>
      </c>
      <c r="P11" s="30">
        <f t="shared" si="5"/>
        <v>0</v>
      </c>
      <c r="Q11" s="30">
        <f t="shared" si="6"/>
        <v>3</v>
      </c>
      <c r="R11" s="3" t="str">
        <f t="shared" si="7"/>
        <v/>
      </c>
      <c r="S11" s="3" t="str">
        <f t="shared" si="8"/>
        <v/>
      </c>
      <c r="T11" s="7" t="str">
        <f t="shared" si="9"/>
        <v/>
      </c>
      <c r="U11" s="3" t="str">
        <f t="shared" si="10"/>
        <v>Failed in 3 Subjects</v>
      </c>
      <c r="V11" s="7" t="str">
        <f t="shared" si="11"/>
        <v/>
      </c>
      <c r="W11" s="8" t="str">
        <f>'Detailed Summary'!BK10</f>
        <v/>
      </c>
    </row>
    <row r="12" spans="1:23" hidden="1" x14ac:dyDescent="0.35">
      <c r="A12"/>
      <c r="B12" s="4">
        <f>'Student Basic Info'!A11</f>
        <v>710</v>
      </c>
      <c r="C12" s="4" t="str">
        <f>'Student Basic Info'!C11</f>
        <v>Umme Tabassum Maisha</v>
      </c>
      <c r="D12" s="4">
        <f>Bangla!G11</f>
        <v>3</v>
      </c>
      <c r="E12" s="4">
        <f>English!F11</f>
        <v>0</v>
      </c>
      <c r="F12" s="4">
        <f>ICT!H11</f>
        <v>3</v>
      </c>
      <c r="G12" s="42">
        <f>Physics!H11</f>
        <v>2</v>
      </c>
      <c r="H12" s="42">
        <f>Chemistry!H11</f>
        <v>0</v>
      </c>
      <c r="I12" s="42">
        <f>Biology!H11</f>
        <v>0</v>
      </c>
      <c r="J12" s="42">
        <f>Math!H11</f>
        <v>0</v>
      </c>
      <c r="K12" s="30">
        <f t="shared" si="0"/>
        <v>1</v>
      </c>
      <c r="L12" s="30">
        <f t="shared" si="1"/>
        <v>0</v>
      </c>
      <c r="M12" s="30">
        <f t="shared" si="2"/>
        <v>1</v>
      </c>
      <c r="N12" s="30">
        <f t="shared" si="3"/>
        <v>1</v>
      </c>
      <c r="O12" s="30">
        <f t="shared" si="4"/>
        <v>0</v>
      </c>
      <c r="P12" s="30">
        <f t="shared" si="5"/>
        <v>0</v>
      </c>
      <c r="Q12" s="30">
        <f t="shared" si="6"/>
        <v>3</v>
      </c>
      <c r="R12" s="3" t="str">
        <f t="shared" si="7"/>
        <v/>
      </c>
      <c r="S12" s="3" t="str">
        <f t="shared" si="8"/>
        <v/>
      </c>
      <c r="T12" s="7" t="str">
        <f t="shared" si="9"/>
        <v/>
      </c>
      <c r="U12" s="3" t="str">
        <f t="shared" si="10"/>
        <v>Failed in 3 Subjects</v>
      </c>
      <c r="V12" s="7" t="str">
        <f t="shared" si="11"/>
        <v/>
      </c>
      <c r="W12" s="8" t="str">
        <f>'Detailed Summary'!BK11</f>
        <v/>
      </c>
    </row>
    <row r="13" spans="1:23" hidden="1" x14ac:dyDescent="0.35">
      <c r="A13"/>
      <c r="B13" s="4">
        <f>'Student Basic Info'!A12</f>
        <v>711</v>
      </c>
      <c r="C13" s="4" t="str">
        <f>'Student Basic Info'!C12</f>
        <v>Rakhi Ahasan</v>
      </c>
      <c r="D13" s="4" t="str">
        <f>Bangla!G12</f>
        <v/>
      </c>
      <c r="E13" s="4" t="str">
        <f>English!F12</f>
        <v/>
      </c>
      <c r="F13" s="4" t="str">
        <f>ICT!H12</f>
        <v/>
      </c>
      <c r="G13" s="42" t="str">
        <f>Physics!H12</f>
        <v/>
      </c>
      <c r="H13" s="42" t="str">
        <f>Chemistry!H12</f>
        <v/>
      </c>
      <c r="I13" s="42" t="str">
        <f>Biology!H12</f>
        <v/>
      </c>
      <c r="J13" s="42" t="str">
        <f>Math!H12</f>
        <v/>
      </c>
      <c r="K13" s="30">
        <f t="shared" si="0"/>
        <v>0</v>
      </c>
      <c r="L13" s="30">
        <f t="shared" si="1"/>
        <v>0</v>
      </c>
      <c r="M13" s="30">
        <f t="shared" si="2"/>
        <v>0</v>
      </c>
      <c r="N13" s="30">
        <f t="shared" si="3"/>
        <v>0</v>
      </c>
      <c r="O13" s="30">
        <f t="shared" si="4"/>
        <v>0</v>
      </c>
      <c r="P13" s="30">
        <f t="shared" si="5"/>
        <v>0</v>
      </c>
      <c r="Q13" s="30">
        <f t="shared" si="6"/>
        <v>0</v>
      </c>
      <c r="R13" s="3" t="str">
        <f t="shared" si="7"/>
        <v/>
      </c>
      <c r="S13" s="3" t="str">
        <f t="shared" si="8"/>
        <v/>
      </c>
      <c r="T13" s="7" t="str">
        <f t="shared" si="9"/>
        <v/>
      </c>
      <c r="U13" s="3" t="str">
        <f t="shared" si="10"/>
        <v>Failed in 6 Subjects</v>
      </c>
      <c r="V13" s="7" t="str">
        <f t="shared" si="11"/>
        <v/>
      </c>
      <c r="W13" s="8" t="str">
        <f>'Detailed Summary'!BK12</f>
        <v/>
      </c>
    </row>
    <row r="14" spans="1:23" x14ac:dyDescent="0.35">
      <c r="A14"/>
      <c r="B14" s="4">
        <f>'Student Basic Info'!A13</f>
        <v>712</v>
      </c>
      <c r="C14" s="4" t="str">
        <f>'Student Basic Info'!C13</f>
        <v>Nadiyatul Nayem</v>
      </c>
      <c r="D14" s="4">
        <f>Bangla!G13</f>
        <v>3</v>
      </c>
      <c r="E14" s="4">
        <f>English!F13</f>
        <v>1</v>
      </c>
      <c r="F14" s="4">
        <f>ICT!H13</f>
        <v>2</v>
      </c>
      <c r="G14" s="42">
        <f>Physics!H13</f>
        <v>3</v>
      </c>
      <c r="H14" s="42">
        <f>Chemistry!H13</f>
        <v>2</v>
      </c>
      <c r="I14" s="42">
        <f>Biology!H13</f>
        <v>0</v>
      </c>
      <c r="J14" s="42">
        <f>Math!H13</f>
        <v>0</v>
      </c>
      <c r="K14" s="30">
        <f t="shared" si="0"/>
        <v>1</v>
      </c>
      <c r="L14" s="30">
        <f t="shared" si="1"/>
        <v>1</v>
      </c>
      <c r="M14" s="30">
        <f t="shared" si="2"/>
        <v>1</v>
      </c>
      <c r="N14" s="30">
        <f t="shared" si="3"/>
        <v>1</v>
      </c>
      <c r="O14" s="30">
        <f t="shared" si="4"/>
        <v>1</v>
      </c>
      <c r="P14" s="30">
        <f t="shared" si="5"/>
        <v>0</v>
      </c>
      <c r="Q14" s="30">
        <f t="shared" si="6"/>
        <v>5</v>
      </c>
      <c r="R14" s="3" t="str">
        <f t="shared" si="7"/>
        <v/>
      </c>
      <c r="S14" s="3" t="str">
        <f t="shared" si="8"/>
        <v/>
      </c>
      <c r="T14" s="7" t="str">
        <f t="shared" si="9"/>
        <v/>
      </c>
      <c r="U14" s="3" t="str">
        <f t="shared" si="10"/>
        <v>Failed in 1 Subject</v>
      </c>
      <c r="V14" s="7" t="str">
        <f t="shared" si="11"/>
        <v/>
      </c>
      <c r="W14" s="8" t="str">
        <f>'Detailed Summary'!BK13</f>
        <v/>
      </c>
    </row>
    <row r="15" spans="1:23" hidden="1" x14ac:dyDescent="0.35">
      <c r="A15"/>
      <c r="B15" s="4">
        <f>'Student Basic Info'!A14</f>
        <v>713</v>
      </c>
      <c r="C15" s="4" t="str">
        <f>'Student Basic Info'!C14</f>
        <v>Zannatul Ferdaus Fariha</v>
      </c>
      <c r="D15" s="4">
        <f>Bangla!G14</f>
        <v>3</v>
      </c>
      <c r="E15" s="4">
        <f>English!F14</f>
        <v>2</v>
      </c>
      <c r="F15" s="4">
        <f>ICT!H14</f>
        <v>3.5</v>
      </c>
      <c r="G15" s="42">
        <f>Physics!H14</f>
        <v>3.5</v>
      </c>
      <c r="H15" s="42">
        <f>Chemistry!H14</f>
        <v>3.5</v>
      </c>
      <c r="I15" s="42">
        <f>Biology!H14</f>
        <v>2</v>
      </c>
      <c r="J15" s="42">
        <f>Math!H14</f>
        <v>0</v>
      </c>
      <c r="K15" s="30">
        <f t="shared" si="0"/>
        <v>1</v>
      </c>
      <c r="L15" s="30">
        <f t="shared" si="1"/>
        <v>1</v>
      </c>
      <c r="M15" s="30">
        <f t="shared" si="2"/>
        <v>1</v>
      </c>
      <c r="N15" s="30">
        <f t="shared" si="3"/>
        <v>1</v>
      </c>
      <c r="O15" s="30">
        <f t="shared" si="4"/>
        <v>1</v>
      </c>
      <c r="P15" s="30">
        <f t="shared" si="5"/>
        <v>1</v>
      </c>
      <c r="Q15" s="30">
        <f t="shared" si="6"/>
        <v>6</v>
      </c>
      <c r="R15" s="3">
        <f t="shared" si="7"/>
        <v>17.5</v>
      </c>
      <c r="S15" s="3">
        <f t="shared" si="8"/>
        <v>17.5</v>
      </c>
      <c r="T15" s="7">
        <f t="shared" si="9"/>
        <v>2.9166666666666665</v>
      </c>
      <c r="U15" s="3" t="str">
        <f t="shared" si="10"/>
        <v>Pass</v>
      </c>
      <c r="V15" s="7">
        <f t="shared" si="11"/>
        <v>2.9166666666666665</v>
      </c>
      <c r="W15" s="8">
        <f>'Detailed Summary'!BK14</f>
        <v>8</v>
      </c>
    </row>
    <row r="16" spans="1:23" hidden="1" x14ac:dyDescent="0.35">
      <c r="A16"/>
      <c r="B16" s="4">
        <f>'Student Basic Info'!A15</f>
        <v>714</v>
      </c>
      <c r="C16" s="4" t="str">
        <f>'Student Basic Info'!C15</f>
        <v>Khadijatul Kubra</v>
      </c>
      <c r="D16" s="4">
        <f>Bangla!G15</f>
        <v>3.5</v>
      </c>
      <c r="E16" s="4">
        <f>English!F15</f>
        <v>2</v>
      </c>
      <c r="F16" s="4">
        <f>ICT!H15</f>
        <v>4</v>
      </c>
      <c r="G16" s="42">
        <f>Physics!H15</f>
        <v>3</v>
      </c>
      <c r="H16" s="42">
        <f>Chemistry!H15</f>
        <v>4</v>
      </c>
      <c r="I16" s="42">
        <f>Biology!H15</f>
        <v>3</v>
      </c>
      <c r="J16" s="42">
        <f>Math!H15</f>
        <v>0</v>
      </c>
      <c r="K16" s="30">
        <f t="shared" si="0"/>
        <v>1</v>
      </c>
      <c r="L16" s="30">
        <f t="shared" si="1"/>
        <v>1</v>
      </c>
      <c r="M16" s="30">
        <f t="shared" si="2"/>
        <v>1</v>
      </c>
      <c r="N16" s="30">
        <f t="shared" si="3"/>
        <v>1</v>
      </c>
      <c r="O16" s="30">
        <f t="shared" si="4"/>
        <v>1</v>
      </c>
      <c r="P16" s="30">
        <f t="shared" si="5"/>
        <v>1</v>
      </c>
      <c r="Q16" s="30">
        <f t="shared" si="6"/>
        <v>6</v>
      </c>
      <c r="R16" s="3">
        <f t="shared" si="7"/>
        <v>19.5</v>
      </c>
      <c r="S16" s="3">
        <f t="shared" si="8"/>
        <v>19.5</v>
      </c>
      <c r="T16" s="7">
        <f t="shared" si="9"/>
        <v>3.25</v>
      </c>
      <c r="U16" s="3" t="str">
        <f t="shared" si="10"/>
        <v>Pass</v>
      </c>
      <c r="V16" s="7">
        <f t="shared" si="11"/>
        <v>3.25</v>
      </c>
      <c r="W16" s="8">
        <f>'Detailed Summary'!BK15</f>
        <v>6</v>
      </c>
    </row>
    <row r="17" spans="1:23" hidden="1" x14ac:dyDescent="0.35">
      <c r="A17"/>
      <c r="B17" s="4">
        <f>'Student Basic Info'!A16</f>
        <v>715</v>
      </c>
      <c r="C17" s="4" t="str">
        <f>'Student Basic Info'!C16</f>
        <v>Tanjila Islam</v>
      </c>
      <c r="D17" s="4">
        <f>Bangla!G16</f>
        <v>2</v>
      </c>
      <c r="E17" s="4">
        <f>English!F16</f>
        <v>0</v>
      </c>
      <c r="F17" s="4">
        <f>ICT!H16</f>
        <v>0</v>
      </c>
      <c r="G17" s="42">
        <f>Physics!H16</f>
        <v>3</v>
      </c>
      <c r="H17" s="42">
        <f>Chemistry!H16</f>
        <v>3</v>
      </c>
      <c r="I17" s="42">
        <f>Biology!H16</f>
        <v>0</v>
      </c>
      <c r="J17" s="42">
        <f>Math!H16</f>
        <v>0</v>
      </c>
      <c r="K17" s="30">
        <f t="shared" si="0"/>
        <v>1</v>
      </c>
      <c r="L17" s="30">
        <f t="shared" si="1"/>
        <v>0</v>
      </c>
      <c r="M17" s="30">
        <f t="shared" si="2"/>
        <v>0</v>
      </c>
      <c r="N17" s="30">
        <f t="shared" si="3"/>
        <v>1</v>
      </c>
      <c r="O17" s="30">
        <f t="shared" si="4"/>
        <v>1</v>
      </c>
      <c r="P17" s="30">
        <f t="shared" si="5"/>
        <v>0</v>
      </c>
      <c r="Q17" s="30">
        <f t="shared" si="6"/>
        <v>3</v>
      </c>
      <c r="R17" s="3" t="str">
        <f t="shared" si="7"/>
        <v/>
      </c>
      <c r="S17" s="3" t="str">
        <f t="shared" si="8"/>
        <v/>
      </c>
      <c r="T17" s="7" t="str">
        <f t="shared" si="9"/>
        <v/>
      </c>
      <c r="U17" s="3" t="str">
        <f t="shared" si="10"/>
        <v>Failed in 3 Subjects</v>
      </c>
      <c r="V17" s="7" t="str">
        <f t="shared" si="11"/>
        <v/>
      </c>
      <c r="W17" s="8" t="str">
        <f>'Detailed Summary'!BK16</f>
        <v/>
      </c>
    </row>
    <row r="18" spans="1:23" hidden="1" x14ac:dyDescent="0.35">
      <c r="A18"/>
      <c r="B18" s="4">
        <f>'Student Basic Info'!A17</f>
        <v>716</v>
      </c>
      <c r="C18" s="4" t="str">
        <f>'Student Basic Info'!C17</f>
        <v>Nazmun Nahar Rikha</v>
      </c>
      <c r="D18" s="4">
        <f>Bangla!G17</f>
        <v>2</v>
      </c>
      <c r="E18" s="4">
        <f>English!F17</f>
        <v>0</v>
      </c>
      <c r="F18" s="4">
        <f>ICT!H17</f>
        <v>0</v>
      </c>
      <c r="G18" s="42">
        <f>Physics!H17</f>
        <v>3</v>
      </c>
      <c r="H18" s="42">
        <f>Chemistry!H17</f>
        <v>3</v>
      </c>
      <c r="I18" s="42">
        <f>Biology!H17</f>
        <v>0</v>
      </c>
      <c r="J18" s="42">
        <f>Math!H17</f>
        <v>0</v>
      </c>
      <c r="K18" s="30">
        <f t="shared" si="0"/>
        <v>1</v>
      </c>
      <c r="L18" s="30">
        <f t="shared" si="1"/>
        <v>0</v>
      </c>
      <c r="M18" s="30">
        <f t="shared" si="2"/>
        <v>0</v>
      </c>
      <c r="N18" s="30">
        <f t="shared" si="3"/>
        <v>1</v>
      </c>
      <c r="O18" s="30">
        <f t="shared" si="4"/>
        <v>1</v>
      </c>
      <c r="P18" s="30">
        <f t="shared" si="5"/>
        <v>0</v>
      </c>
      <c r="Q18" s="30">
        <f t="shared" si="6"/>
        <v>3</v>
      </c>
      <c r="R18" s="3" t="str">
        <f t="shared" si="7"/>
        <v/>
      </c>
      <c r="S18" s="3" t="str">
        <f t="shared" si="8"/>
        <v/>
      </c>
      <c r="T18" s="7" t="str">
        <f t="shared" si="9"/>
        <v/>
      </c>
      <c r="U18" s="3" t="str">
        <f t="shared" si="10"/>
        <v>Failed in 3 Subjects</v>
      </c>
      <c r="V18" s="7" t="str">
        <f t="shared" si="11"/>
        <v/>
      </c>
      <c r="W18" s="8" t="str">
        <f>'Detailed Summary'!BK17</f>
        <v/>
      </c>
    </row>
    <row r="19" spans="1:23" hidden="1" x14ac:dyDescent="0.35">
      <c r="A19"/>
      <c r="B19" s="4">
        <f>'Student Basic Info'!A18</f>
        <v>717</v>
      </c>
      <c r="C19" s="4" t="str">
        <f>'Student Basic Info'!C18</f>
        <v xml:space="preserve">Umme Rojina </v>
      </c>
      <c r="D19" s="4">
        <f>Bangla!G18</f>
        <v>3</v>
      </c>
      <c r="E19" s="4">
        <f>English!F18</f>
        <v>0</v>
      </c>
      <c r="F19" s="4">
        <f>ICT!H18</f>
        <v>0</v>
      </c>
      <c r="G19" s="42">
        <f>Physics!H18</f>
        <v>3.5</v>
      </c>
      <c r="H19" s="42">
        <f>Chemistry!H18</f>
        <v>2</v>
      </c>
      <c r="I19" s="42">
        <f>Biology!H18</f>
        <v>0</v>
      </c>
      <c r="J19" s="42" t="str">
        <f>Math!H18</f>
        <v/>
      </c>
      <c r="K19" s="30">
        <f t="shared" si="0"/>
        <v>1</v>
      </c>
      <c r="L19" s="30">
        <f t="shared" si="1"/>
        <v>0</v>
      </c>
      <c r="M19" s="30">
        <f t="shared" si="2"/>
        <v>0</v>
      </c>
      <c r="N19" s="30">
        <f t="shared" si="3"/>
        <v>1</v>
      </c>
      <c r="O19" s="30">
        <f t="shared" si="4"/>
        <v>1</v>
      </c>
      <c r="P19" s="30">
        <f t="shared" si="5"/>
        <v>0</v>
      </c>
      <c r="Q19" s="30">
        <f t="shared" si="6"/>
        <v>3</v>
      </c>
      <c r="R19" s="3" t="str">
        <f t="shared" si="7"/>
        <v/>
      </c>
      <c r="S19" s="3" t="str">
        <f t="shared" si="8"/>
        <v/>
      </c>
      <c r="T19" s="7" t="str">
        <f t="shared" si="9"/>
        <v/>
      </c>
      <c r="U19" s="3" t="str">
        <f t="shared" si="10"/>
        <v>Failed in 3 Subjects</v>
      </c>
      <c r="V19" s="7" t="str">
        <f t="shared" si="11"/>
        <v/>
      </c>
      <c r="W19" s="8" t="str">
        <f>'Detailed Summary'!BK18</f>
        <v/>
      </c>
    </row>
    <row r="20" spans="1:23" hidden="1" x14ac:dyDescent="0.35">
      <c r="A20"/>
      <c r="B20" s="4">
        <f>'Student Basic Info'!A19</f>
        <v>718</v>
      </c>
      <c r="C20" s="4" t="str">
        <f>'Student Basic Info'!C19</f>
        <v>Zannatul Ferdaus</v>
      </c>
      <c r="D20" s="4" t="str">
        <f>Bangla!G19</f>
        <v/>
      </c>
      <c r="E20" s="4" t="str">
        <f>English!F19</f>
        <v/>
      </c>
      <c r="F20" s="4" t="str">
        <f>ICT!H19</f>
        <v/>
      </c>
      <c r="G20" s="42" t="str">
        <f>Physics!H19</f>
        <v/>
      </c>
      <c r="H20" s="42" t="str">
        <f>Chemistry!H19</f>
        <v/>
      </c>
      <c r="I20" s="42" t="str">
        <f>Biology!H19</f>
        <v/>
      </c>
      <c r="J20" s="42" t="str">
        <f>Math!H19</f>
        <v/>
      </c>
      <c r="K20" s="30">
        <f t="shared" si="0"/>
        <v>0</v>
      </c>
      <c r="L20" s="30">
        <f t="shared" si="1"/>
        <v>0</v>
      </c>
      <c r="M20" s="30">
        <f t="shared" si="2"/>
        <v>0</v>
      </c>
      <c r="N20" s="30">
        <f t="shared" si="3"/>
        <v>0</v>
      </c>
      <c r="O20" s="30">
        <f t="shared" si="4"/>
        <v>0</v>
      </c>
      <c r="P20" s="30">
        <f t="shared" si="5"/>
        <v>0</v>
      </c>
      <c r="Q20" s="30">
        <f t="shared" si="6"/>
        <v>0</v>
      </c>
      <c r="R20" s="3" t="str">
        <f t="shared" si="7"/>
        <v/>
      </c>
      <c r="S20" s="3" t="str">
        <f t="shared" si="8"/>
        <v/>
      </c>
      <c r="T20" s="7" t="str">
        <f t="shared" si="9"/>
        <v/>
      </c>
      <c r="U20" s="3" t="str">
        <f t="shared" si="10"/>
        <v>Failed in 6 Subjects</v>
      </c>
      <c r="V20" s="7" t="str">
        <f t="shared" si="11"/>
        <v/>
      </c>
      <c r="W20" s="8" t="str">
        <f>'Detailed Summary'!BK19</f>
        <v/>
      </c>
    </row>
    <row r="21" spans="1:23" hidden="1" x14ac:dyDescent="0.35">
      <c r="A21"/>
      <c r="B21" s="4">
        <f>'Student Basic Info'!A20</f>
        <v>719</v>
      </c>
      <c r="C21" s="4" t="str">
        <f>'Student Basic Info'!C20</f>
        <v>Shazeda Amin Shuchi</v>
      </c>
      <c r="D21" s="4">
        <f>Bangla!G20</f>
        <v>3</v>
      </c>
      <c r="E21" s="4">
        <f>English!F20</f>
        <v>0</v>
      </c>
      <c r="F21" s="4">
        <f>ICT!H20</f>
        <v>0</v>
      </c>
      <c r="G21" s="42">
        <f>Physics!H20</f>
        <v>3.5</v>
      </c>
      <c r="H21" s="42">
        <f>Chemistry!H20</f>
        <v>3</v>
      </c>
      <c r="I21" s="42">
        <f>Biology!H20</f>
        <v>0</v>
      </c>
      <c r="J21" s="42">
        <f>Math!H20</f>
        <v>0</v>
      </c>
      <c r="K21" s="30">
        <f t="shared" si="0"/>
        <v>1</v>
      </c>
      <c r="L21" s="30">
        <f t="shared" si="1"/>
        <v>0</v>
      </c>
      <c r="M21" s="30">
        <f t="shared" si="2"/>
        <v>0</v>
      </c>
      <c r="N21" s="30">
        <f t="shared" si="3"/>
        <v>1</v>
      </c>
      <c r="O21" s="30">
        <f t="shared" si="4"/>
        <v>1</v>
      </c>
      <c r="P21" s="30">
        <f t="shared" si="5"/>
        <v>0</v>
      </c>
      <c r="Q21" s="30">
        <f t="shared" si="6"/>
        <v>3</v>
      </c>
      <c r="R21" s="3" t="str">
        <f t="shared" si="7"/>
        <v/>
      </c>
      <c r="S21" s="3" t="str">
        <f t="shared" si="8"/>
        <v/>
      </c>
      <c r="T21" s="7" t="str">
        <f t="shared" si="9"/>
        <v/>
      </c>
      <c r="U21" s="3" t="str">
        <f t="shared" si="10"/>
        <v>Failed in 3 Subjects</v>
      </c>
      <c r="V21" s="7" t="str">
        <f t="shared" si="11"/>
        <v/>
      </c>
      <c r="W21" s="8" t="str">
        <f>'Detailed Summary'!BK20</f>
        <v/>
      </c>
    </row>
    <row r="22" spans="1:23" hidden="1" x14ac:dyDescent="0.35">
      <c r="A22"/>
      <c r="B22" s="4">
        <f>'Student Basic Info'!A21</f>
        <v>720</v>
      </c>
      <c r="C22" s="4" t="str">
        <f>'Student Basic Info'!C21</f>
        <v>Farzana Aktar</v>
      </c>
      <c r="D22" s="4">
        <f>Bangla!G21</f>
        <v>3</v>
      </c>
      <c r="E22" s="4">
        <f>English!F21</f>
        <v>0</v>
      </c>
      <c r="F22" s="4">
        <f>ICT!H21</f>
        <v>0</v>
      </c>
      <c r="G22" s="42">
        <f>Physics!H21</f>
        <v>3</v>
      </c>
      <c r="H22" s="42">
        <f>Chemistry!H21</f>
        <v>0</v>
      </c>
      <c r="I22" s="42">
        <f>Biology!H21</f>
        <v>0</v>
      </c>
      <c r="J22" s="42">
        <f>Math!H21</f>
        <v>0</v>
      </c>
      <c r="K22" s="30">
        <f t="shared" si="0"/>
        <v>1</v>
      </c>
      <c r="L22" s="30">
        <f t="shared" si="1"/>
        <v>0</v>
      </c>
      <c r="M22" s="30">
        <f t="shared" si="2"/>
        <v>0</v>
      </c>
      <c r="N22" s="30">
        <f t="shared" si="3"/>
        <v>1</v>
      </c>
      <c r="O22" s="30">
        <f t="shared" si="4"/>
        <v>0</v>
      </c>
      <c r="P22" s="30">
        <f t="shared" si="5"/>
        <v>0</v>
      </c>
      <c r="Q22" s="30">
        <f t="shared" si="6"/>
        <v>2</v>
      </c>
      <c r="R22" s="3" t="str">
        <f t="shared" si="7"/>
        <v/>
      </c>
      <c r="S22" s="3" t="str">
        <f t="shared" si="8"/>
        <v/>
      </c>
      <c r="T22" s="7" t="str">
        <f t="shared" si="9"/>
        <v/>
      </c>
      <c r="U22" s="3" t="str">
        <f t="shared" si="10"/>
        <v>Failed in 4 Subjects</v>
      </c>
      <c r="V22" s="7" t="str">
        <f t="shared" si="11"/>
        <v/>
      </c>
      <c r="W22" s="8" t="str">
        <f>'Detailed Summary'!BK21</f>
        <v/>
      </c>
    </row>
    <row r="23" spans="1:23" hidden="1" x14ac:dyDescent="0.35">
      <c r="A23"/>
      <c r="B23" s="4">
        <f>'Student Basic Info'!A22</f>
        <v>721</v>
      </c>
      <c r="C23" s="4" t="str">
        <f>'Student Basic Info'!C22</f>
        <v>Nowrin Faiza Niduwa</v>
      </c>
      <c r="D23" s="4" t="str">
        <f>Bangla!G22</f>
        <v/>
      </c>
      <c r="E23" s="4" t="str">
        <f>English!F22</f>
        <v/>
      </c>
      <c r="F23" s="4" t="str">
        <f>ICT!H22</f>
        <v/>
      </c>
      <c r="G23" s="42" t="str">
        <f>Physics!H22</f>
        <v/>
      </c>
      <c r="H23" s="42" t="str">
        <f>Chemistry!H22</f>
        <v/>
      </c>
      <c r="I23" s="42" t="str">
        <f>Biology!H22</f>
        <v/>
      </c>
      <c r="J23" s="42" t="str">
        <f>Math!H22</f>
        <v/>
      </c>
      <c r="K23" s="30">
        <f t="shared" si="0"/>
        <v>0</v>
      </c>
      <c r="L23" s="30">
        <f t="shared" si="1"/>
        <v>0</v>
      </c>
      <c r="M23" s="30">
        <f t="shared" si="2"/>
        <v>0</v>
      </c>
      <c r="N23" s="30">
        <f t="shared" si="3"/>
        <v>0</v>
      </c>
      <c r="O23" s="30">
        <f t="shared" si="4"/>
        <v>0</v>
      </c>
      <c r="P23" s="30">
        <f t="shared" si="5"/>
        <v>0</v>
      </c>
      <c r="Q23" s="30">
        <f t="shared" si="6"/>
        <v>0</v>
      </c>
      <c r="R23" s="3" t="str">
        <f t="shared" si="7"/>
        <v/>
      </c>
      <c r="S23" s="3" t="str">
        <f t="shared" si="8"/>
        <v/>
      </c>
      <c r="T23" s="7" t="str">
        <f t="shared" si="9"/>
        <v/>
      </c>
      <c r="U23" s="3" t="str">
        <f t="shared" si="10"/>
        <v>Failed in 6 Subjects</v>
      </c>
      <c r="V23" s="7" t="str">
        <f t="shared" si="11"/>
        <v/>
      </c>
      <c r="W23" s="8" t="str">
        <f>'Detailed Summary'!BK22</f>
        <v/>
      </c>
    </row>
    <row r="24" spans="1:23" hidden="1" x14ac:dyDescent="0.35">
      <c r="A24"/>
      <c r="B24" s="4">
        <f>'Student Basic Info'!A23</f>
        <v>722</v>
      </c>
      <c r="C24" s="4" t="str">
        <f>'Student Basic Info'!C23</f>
        <v>Mahmudau Rahman Munna</v>
      </c>
      <c r="D24" s="4">
        <f>Bangla!G23</f>
        <v>3</v>
      </c>
      <c r="E24" s="4">
        <f>English!F23</f>
        <v>2</v>
      </c>
      <c r="F24" s="4">
        <f>ICT!H23</f>
        <v>0</v>
      </c>
      <c r="G24" s="42">
        <f>Physics!H23</f>
        <v>0</v>
      </c>
      <c r="H24" s="42">
        <f>Chemistry!H23</f>
        <v>0</v>
      </c>
      <c r="I24" s="42">
        <f>Biology!H23</f>
        <v>0</v>
      </c>
      <c r="J24" s="42">
        <f>Math!H23</f>
        <v>0</v>
      </c>
      <c r="K24" s="30">
        <f t="shared" si="0"/>
        <v>1</v>
      </c>
      <c r="L24" s="30">
        <f t="shared" si="1"/>
        <v>1</v>
      </c>
      <c r="M24" s="30">
        <f t="shared" si="2"/>
        <v>0</v>
      </c>
      <c r="N24" s="30">
        <f t="shared" si="3"/>
        <v>0</v>
      </c>
      <c r="O24" s="30">
        <f t="shared" si="4"/>
        <v>0</v>
      </c>
      <c r="P24" s="30">
        <f t="shared" si="5"/>
        <v>0</v>
      </c>
      <c r="Q24" s="30">
        <f t="shared" si="6"/>
        <v>2</v>
      </c>
      <c r="R24" s="3" t="str">
        <f t="shared" si="7"/>
        <v/>
      </c>
      <c r="S24" s="3" t="str">
        <f t="shared" si="8"/>
        <v/>
      </c>
      <c r="T24" s="7" t="str">
        <f t="shared" si="9"/>
        <v/>
      </c>
      <c r="U24" s="3" t="str">
        <f t="shared" si="10"/>
        <v>Failed in 4 Subjects</v>
      </c>
      <c r="V24" s="7" t="str">
        <f t="shared" si="11"/>
        <v/>
      </c>
      <c r="W24" s="8" t="str">
        <f>'Detailed Summary'!BK23</f>
        <v/>
      </c>
    </row>
    <row r="25" spans="1:23" hidden="1" x14ac:dyDescent="0.35">
      <c r="A25"/>
      <c r="B25" s="4">
        <f>'Student Basic Info'!A24</f>
        <v>723</v>
      </c>
      <c r="C25" s="4" t="str">
        <f>'Student Basic Info'!C24</f>
        <v>Shamsuzzaman</v>
      </c>
      <c r="D25" s="4">
        <f>Bangla!G24</f>
        <v>4</v>
      </c>
      <c r="E25" s="4">
        <f>English!F24</f>
        <v>3.5</v>
      </c>
      <c r="F25" s="4">
        <f>ICT!H24</f>
        <v>5</v>
      </c>
      <c r="G25" s="42">
        <f>Physics!H24</f>
        <v>5</v>
      </c>
      <c r="H25" s="42">
        <f>Chemistry!H24</f>
        <v>5</v>
      </c>
      <c r="I25" s="42">
        <f>Biology!H24</f>
        <v>4</v>
      </c>
      <c r="J25" s="42">
        <f>Math!H24</f>
        <v>5</v>
      </c>
      <c r="K25" s="30">
        <f t="shared" si="0"/>
        <v>1</v>
      </c>
      <c r="L25" s="30">
        <f t="shared" si="1"/>
        <v>1</v>
      </c>
      <c r="M25" s="30">
        <f t="shared" si="2"/>
        <v>1</v>
      </c>
      <c r="N25" s="30">
        <f t="shared" si="3"/>
        <v>1</v>
      </c>
      <c r="O25" s="30">
        <f t="shared" si="4"/>
        <v>1</v>
      </c>
      <c r="P25" s="30">
        <f t="shared" si="5"/>
        <v>1</v>
      </c>
      <c r="Q25" s="30">
        <f t="shared" si="6"/>
        <v>6</v>
      </c>
      <c r="R25" s="3">
        <f t="shared" si="7"/>
        <v>26.5</v>
      </c>
      <c r="S25" s="3">
        <f t="shared" si="8"/>
        <v>31.5</v>
      </c>
      <c r="T25" s="7">
        <f t="shared" si="9"/>
        <v>4.416666666666667</v>
      </c>
      <c r="U25" s="3" t="str">
        <f t="shared" si="10"/>
        <v>Pass</v>
      </c>
      <c r="V25" s="7">
        <f t="shared" si="11"/>
        <v>5</v>
      </c>
      <c r="W25" s="8">
        <f>'Detailed Summary'!BK24</f>
        <v>1</v>
      </c>
    </row>
    <row r="26" spans="1:23" hidden="1" x14ac:dyDescent="0.35">
      <c r="A26"/>
      <c r="B26" s="4">
        <f>'Student Basic Info'!A25</f>
        <v>724</v>
      </c>
      <c r="C26" s="4" t="str">
        <f>'Student Basic Info'!C25</f>
        <v>Dipto Chandra Das</v>
      </c>
      <c r="D26" s="4">
        <f>Bangla!G25</f>
        <v>2</v>
      </c>
      <c r="E26" s="4">
        <f>English!F25</f>
        <v>1</v>
      </c>
      <c r="F26" s="4">
        <f>ICT!H25</f>
        <v>0</v>
      </c>
      <c r="G26" s="42">
        <f>Physics!H25</f>
        <v>2</v>
      </c>
      <c r="H26" s="42">
        <f>Chemistry!H25</f>
        <v>3</v>
      </c>
      <c r="I26" s="42">
        <f>Biology!H25</f>
        <v>0</v>
      </c>
      <c r="J26" s="42">
        <f>Math!H25</f>
        <v>0</v>
      </c>
      <c r="K26" s="30">
        <f t="shared" si="0"/>
        <v>1</v>
      </c>
      <c r="L26" s="30">
        <f t="shared" si="1"/>
        <v>1</v>
      </c>
      <c r="M26" s="30">
        <f t="shared" si="2"/>
        <v>0</v>
      </c>
      <c r="N26" s="30">
        <f t="shared" si="3"/>
        <v>1</v>
      </c>
      <c r="O26" s="30">
        <f t="shared" si="4"/>
        <v>1</v>
      </c>
      <c r="P26" s="30">
        <f t="shared" si="5"/>
        <v>0</v>
      </c>
      <c r="Q26" s="30">
        <f t="shared" si="6"/>
        <v>4</v>
      </c>
      <c r="R26" s="3" t="str">
        <f t="shared" si="7"/>
        <v/>
      </c>
      <c r="S26" s="3" t="str">
        <f t="shared" si="8"/>
        <v/>
      </c>
      <c r="T26" s="7" t="str">
        <f t="shared" si="9"/>
        <v/>
      </c>
      <c r="U26" s="3" t="str">
        <f t="shared" si="10"/>
        <v>Failed in 2 Subjects</v>
      </c>
      <c r="V26" s="7" t="str">
        <f t="shared" si="11"/>
        <v/>
      </c>
      <c r="W26" s="8" t="str">
        <f>'Detailed Summary'!BK25</f>
        <v/>
      </c>
    </row>
    <row r="27" spans="1:23" hidden="1" x14ac:dyDescent="0.35">
      <c r="A27"/>
      <c r="B27" s="4">
        <f>'Student Basic Info'!A26</f>
        <v>725</v>
      </c>
      <c r="C27" s="4" t="str">
        <f>'Student Basic Info'!C26</f>
        <v>Shorfuddin Nayem</v>
      </c>
      <c r="D27" s="4">
        <f>Bangla!G26</f>
        <v>2</v>
      </c>
      <c r="E27" s="4">
        <f>English!F26</f>
        <v>1</v>
      </c>
      <c r="F27" s="4">
        <f>ICT!H26</f>
        <v>0</v>
      </c>
      <c r="G27" s="42">
        <f>Physics!H26</f>
        <v>2</v>
      </c>
      <c r="H27" s="42">
        <f>Chemistry!H26</f>
        <v>0</v>
      </c>
      <c r="I27" s="42">
        <f>Biology!H26</f>
        <v>0</v>
      </c>
      <c r="J27" s="42">
        <f>Math!H26</f>
        <v>0</v>
      </c>
      <c r="K27" s="30">
        <f t="shared" si="0"/>
        <v>1</v>
      </c>
      <c r="L27" s="30">
        <f t="shared" si="1"/>
        <v>1</v>
      </c>
      <c r="M27" s="30">
        <f t="shared" si="2"/>
        <v>0</v>
      </c>
      <c r="N27" s="30">
        <f t="shared" si="3"/>
        <v>1</v>
      </c>
      <c r="O27" s="30">
        <f t="shared" si="4"/>
        <v>0</v>
      </c>
      <c r="P27" s="30">
        <f t="shared" si="5"/>
        <v>0</v>
      </c>
      <c r="Q27" s="30">
        <f t="shared" si="6"/>
        <v>3</v>
      </c>
      <c r="R27" s="3" t="str">
        <f t="shared" si="7"/>
        <v/>
      </c>
      <c r="S27" s="3" t="str">
        <f t="shared" si="8"/>
        <v/>
      </c>
      <c r="T27" s="7" t="str">
        <f t="shared" si="9"/>
        <v/>
      </c>
      <c r="U27" s="3" t="str">
        <f t="shared" si="10"/>
        <v>Failed in 3 Subjects</v>
      </c>
      <c r="V27" s="7" t="str">
        <f t="shared" si="11"/>
        <v/>
      </c>
      <c r="W27" s="8" t="str">
        <f>'Detailed Summary'!BK26</f>
        <v/>
      </c>
    </row>
    <row r="28" spans="1:23" hidden="1" x14ac:dyDescent="0.35">
      <c r="A28"/>
      <c r="B28" s="4">
        <f>'Student Basic Info'!A27</f>
        <v>726</v>
      </c>
      <c r="C28" s="4" t="str">
        <f>'Student Basic Info'!C27</f>
        <v>Mosaddek Ali</v>
      </c>
      <c r="D28" s="4" t="str">
        <f>Bangla!G27</f>
        <v/>
      </c>
      <c r="E28" s="4" t="str">
        <f>English!F27</f>
        <v/>
      </c>
      <c r="F28" s="4" t="str">
        <f>ICT!H27</f>
        <v/>
      </c>
      <c r="G28" s="42" t="str">
        <f>Physics!H27</f>
        <v/>
      </c>
      <c r="H28" s="42" t="str">
        <f>Chemistry!H27</f>
        <v/>
      </c>
      <c r="I28" s="42" t="str">
        <f>Biology!H27</f>
        <v/>
      </c>
      <c r="J28" s="42" t="str">
        <f>Math!H27</f>
        <v/>
      </c>
      <c r="K28" s="30">
        <f t="shared" si="0"/>
        <v>0</v>
      </c>
      <c r="L28" s="30">
        <f t="shared" si="1"/>
        <v>0</v>
      </c>
      <c r="M28" s="30">
        <f t="shared" si="2"/>
        <v>0</v>
      </c>
      <c r="N28" s="30">
        <f t="shared" si="3"/>
        <v>0</v>
      </c>
      <c r="O28" s="30">
        <f t="shared" si="4"/>
        <v>0</v>
      </c>
      <c r="P28" s="30">
        <f t="shared" si="5"/>
        <v>0</v>
      </c>
      <c r="Q28" s="30">
        <f t="shared" si="6"/>
        <v>0</v>
      </c>
      <c r="R28" s="3" t="str">
        <f t="shared" si="7"/>
        <v/>
      </c>
      <c r="S28" s="3" t="str">
        <f t="shared" si="8"/>
        <v/>
      </c>
      <c r="T28" s="7" t="str">
        <f t="shared" si="9"/>
        <v/>
      </c>
      <c r="U28" s="3" t="str">
        <f t="shared" si="10"/>
        <v>Failed in 6 Subjects</v>
      </c>
      <c r="V28" s="7" t="str">
        <f t="shared" si="11"/>
        <v/>
      </c>
      <c r="W28" s="8" t="str">
        <f>'Detailed Summary'!BK27</f>
        <v/>
      </c>
    </row>
    <row r="29" spans="1:23" hidden="1" x14ac:dyDescent="0.35">
      <c r="A29" s="115">
        <v>1</v>
      </c>
      <c r="B29" s="111">
        <f>'Student Basic Info'!A28</f>
        <v>727</v>
      </c>
      <c r="C29" s="112" t="str">
        <f>'Student Basic Info'!C28</f>
        <v>Fahmida Sultana</v>
      </c>
      <c r="D29" s="4">
        <f>Bangla!G28</f>
        <v>3.5</v>
      </c>
      <c r="E29" s="4">
        <f>English!F28</f>
        <v>1</v>
      </c>
      <c r="F29" s="4">
        <f>ICT!H28</f>
        <v>5</v>
      </c>
      <c r="G29" s="42">
        <f>Physics!H28</f>
        <v>3.5</v>
      </c>
      <c r="H29" s="42">
        <f>Chemistry!H28</f>
        <v>2</v>
      </c>
      <c r="I29" s="42">
        <f>Biology!H28</f>
        <v>2</v>
      </c>
      <c r="J29" s="42">
        <f>Math!H28</f>
        <v>0</v>
      </c>
      <c r="K29" s="30">
        <f t="shared" si="0"/>
        <v>1</v>
      </c>
      <c r="L29" s="30">
        <f t="shared" si="1"/>
        <v>1</v>
      </c>
      <c r="M29" s="30">
        <f t="shared" si="2"/>
        <v>1</v>
      </c>
      <c r="N29" s="30">
        <f t="shared" si="3"/>
        <v>1</v>
      </c>
      <c r="O29" s="30">
        <f t="shared" si="4"/>
        <v>1</v>
      </c>
      <c r="P29" s="30">
        <f t="shared" si="5"/>
        <v>1</v>
      </c>
      <c r="Q29" s="30">
        <f t="shared" si="6"/>
        <v>6</v>
      </c>
      <c r="R29" s="3">
        <f t="shared" si="7"/>
        <v>17</v>
      </c>
      <c r="S29" s="3">
        <f t="shared" si="8"/>
        <v>17</v>
      </c>
      <c r="T29" s="7">
        <f t="shared" si="9"/>
        <v>2.8333333333333335</v>
      </c>
      <c r="U29" s="115" t="str">
        <f>IF(Q29=0,"Failed in 6 Subjects",IF(Q29=1,"Failed in 5 Subjects",IF(Q29=2,"Failed in 4 Subjects",IF(Q29=3,"Failed in 3 Subjects",IF(Q29=4,"Failed in 2 Subjects",IF(Q29=5,"Failed in 1 Subject","Pass"))))))</f>
        <v>Pass</v>
      </c>
      <c r="V29" s="7">
        <f t="shared" si="11"/>
        <v>2.8333333333333335</v>
      </c>
      <c r="W29" s="116">
        <f>'Detailed Summary'!BK28</f>
        <v>9</v>
      </c>
    </row>
    <row r="30" spans="1:23" hidden="1" x14ac:dyDescent="0.35">
      <c r="A30"/>
      <c r="B30" s="4">
        <f>'Student Basic Info'!A29</f>
        <v>728</v>
      </c>
      <c r="C30" s="4" t="str">
        <f>'Student Basic Info'!C29</f>
        <v>Aditya Chandra Das (Akash)</v>
      </c>
      <c r="D30" s="4">
        <f>Bangla!G29</f>
        <v>2</v>
      </c>
      <c r="E30" s="4">
        <f>English!F29</f>
        <v>0</v>
      </c>
      <c r="F30" s="4">
        <f>ICT!H29</f>
        <v>0</v>
      </c>
      <c r="G30" s="42">
        <f>Physics!H29</f>
        <v>2</v>
      </c>
      <c r="H30" s="42">
        <f>Chemistry!H29</f>
        <v>3</v>
      </c>
      <c r="I30" s="42">
        <f>Biology!H29</f>
        <v>0</v>
      </c>
      <c r="J30" s="42">
        <f>Math!H29</f>
        <v>0</v>
      </c>
      <c r="K30" s="30">
        <f t="shared" si="0"/>
        <v>1</v>
      </c>
      <c r="L30" s="30">
        <f t="shared" si="1"/>
        <v>0</v>
      </c>
      <c r="M30" s="30">
        <f t="shared" si="2"/>
        <v>0</v>
      </c>
      <c r="N30" s="30">
        <f t="shared" si="3"/>
        <v>1</v>
      </c>
      <c r="O30" s="30">
        <f t="shared" si="4"/>
        <v>1</v>
      </c>
      <c r="P30" s="30">
        <f t="shared" si="5"/>
        <v>0</v>
      </c>
      <c r="Q30" s="30">
        <f t="shared" si="6"/>
        <v>3</v>
      </c>
      <c r="R30" s="3" t="str">
        <f t="shared" si="7"/>
        <v/>
      </c>
      <c r="S30" s="3" t="str">
        <f t="shared" si="8"/>
        <v/>
      </c>
      <c r="T30" s="7" t="str">
        <f t="shared" si="9"/>
        <v/>
      </c>
      <c r="U30" s="3" t="str">
        <f t="shared" si="10"/>
        <v>Failed in 3 Subjects</v>
      </c>
      <c r="V30" s="7" t="str">
        <f t="shared" si="11"/>
        <v/>
      </c>
      <c r="W30" s="8" t="str">
        <f>'Detailed Summary'!BK29</f>
        <v/>
      </c>
    </row>
    <row r="31" spans="1:23" hidden="1" x14ac:dyDescent="0.35">
      <c r="A31"/>
      <c r="B31" s="4">
        <f>'Student Basic Info'!A30</f>
        <v>729</v>
      </c>
      <c r="C31" s="4" t="str">
        <f>'Student Basic Info'!C30</f>
        <v>Golam Kibriya</v>
      </c>
      <c r="D31" s="4">
        <f>Bangla!G30</f>
        <v>1</v>
      </c>
      <c r="E31" s="4">
        <f>English!F30</f>
        <v>0</v>
      </c>
      <c r="F31" s="4">
        <f>ICT!H30</f>
        <v>0</v>
      </c>
      <c r="G31" s="42">
        <f>Physics!H30</f>
        <v>0</v>
      </c>
      <c r="H31" s="42">
        <f>Chemistry!H30</f>
        <v>0</v>
      </c>
      <c r="I31" s="42">
        <f>Biology!H30</f>
        <v>0</v>
      </c>
      <c r="J31" s="42">
        <f>Math!H30</f>
        <v>0</v>
      </c>
      <c r="K31" s="30">
        <f t="shared" si="0"/>
        <v>1</v>
      </c>
      <c r="L31" s="30">
        <f t="shared" si="1"/>
        <v>0</v>
      </c>
      <c r="M31" s="30">
        <f t="shared" si="2"/>
        <v>0</v>
      </c>
      <c r="N31" s="30">
        <f t="shared" si="3"/>
        <v>0</v>
      </c>
      <c r="O31" s="30">
        <f t="shared" si="4"/>
        <v>0</v>
      </c>
      <c r="P31" s="30">
        <f t="shared" si="5"/>
        <v>0</v>
      </c>
      <c r="Q31" s="30">
        <f t="shared" si="6"/>
        <v>1</v>
      </c>
      <c r="R31" s="3" t="str">
        <f t="shared" si="7"/>
        <v/>
      </c>
      <c r="S31" s="3" t="str">
        <f t="shared" si="8"/>
        <v/>
      </c>
      <c r="T31" s="7" t="str">
        <f t="shared" si="9"/>
        <v/>
      </c>
      <c r="U31" s="3" t="str">
        <f t="shared" si="10"/>
        <v>Failed in 5 Subjects</v>
      </c>
      <c r="V31" s="7" t="str">
        <f t="shared" si="11"/>
        <v/>
      </c>
      <c r="W31" s="8" t="str">
        <f>'Detailed Summary'!BK30</f>
        <v/>
      </c>
    </row>
    <row r="32" spans="1:23" hidden="1" x14ac:dyDescent="0.35">
      <c r="A32"/>
      <c r="B32" s="4">
        <f>'Student Basic Info'!A31</f>
        <v>730</v>
      </c>
      <c r="C32" s="4" t="str">
        <f>'Student Basic Info'!C31</f>
        <v>Fahmidul Alam Abhi</v>
      </c>
      <c r="D32" s="4">
        <f>Bangla!G31</f>
        <v>1</v>
      </c>
      <c r="E32" s="4">
        <f>English!F31</f>
        <v>0</v>
      </c>
      <c r="F32" s="4">
        <f>ICT!H31</f>
        <v>0</v>
      </c>
      <c r="G32" s="42">
        <f>Physics!H31</f>
        <v>0</v>
      </c>
      <c r="H32" s="42">
        <f>Chemistry!H31</f>
        <v>0</v>
      </c>
      <c r="I32" s="42">
        <f>Biology!H31</f>
        <v>0</v>
      </c>
      <c r="J32" s="42">
        <f>Math!H31</f>
        <v>0</v>
      </c>
      <c r="K32" s="30">
        <f t="shared" si="0"/>
        <v>1</v>
      </c>
      <c r="L32" s="30">
        <f t="shared" si="1"/>
        <v>0</v>
      </c>
      <c r="M32" s="30">
        <f t="shared" si="2"/>
        <v>0</v>
      </c>
      <c r="N32" s="30">
        <f t="shared" si="3"/>
        <v>0</v>
      </c>
      <c r="O32" s="30">
        <f t="shared" si="4"/>
        <v>0</v>
      </c>
      <c r="P32" s="30">
        <f t="shared" si="5"/>
        <v>0</v>
      </c>
      <c r="Q32" s="30">
        <f t="shared" si="6"/>
        <v>1</v>
      </c>
      <c r="R32" s="3" t="str">
        <f t="shared" si="7"/>
        <v/>
      </c>
      <c r="S32" s="3" t="str">
        <f t="shared" si="8"/>
        <v/>
      </c>
      <c r="T32" s="7" t="str">
        <f t="shared" si="9"/>
        <v/>
      </c>
      <c r="U32" s="3" t="str">
        <f t="shared" si="10"/>
        <v>Failed in 5 Subjects</v>
      </c>
      <c r="V32" s="7" t="str">
        <f t="shared" si="11"/>
        <v/>
      </c>
      <c r="W32" s="8" t="str">
        <f>'Detailed Summary'!BK31</f>
        <v/>
      </c>
    </row>
    <row r="33" spans="1:23" hidden="1" x14ac:dyDescent="0.35">
      <c r="A33"/>
      <c r="B33" s="4">
        <f>'Student Basic Info'!A32</f>
        <v>731</v>
      </c>
      <c r="C33" s="4" t="str">
        <f>'Student Basic Info'!C32</f>
        <v>Lurpur Nahar</v>
      </c>
      <c r="D33" s="4">
        <f>Bangla!G32</f>
        <v>3</v>
      </c>
      <c r="E33" s="4">
        <f>English!F32</f>
        <v>0</v>
      </c>
      <c r="F33" s="4">
        <f>ICT!H32</f>
        <v>0</v>
      </c>
      <c r="G33" s="42">
        <f>Physics!H32</f>
        <v>3</v>
      </c>
      <c r="H33" s="42">
        <f>Chemistry!H32</f>
        <v>0</v>
      </c>
      <c r="I33" s="42">
        <f>Biology!H32</f>
        <v>0</v>
      </c>
      <c r="J33" s="42">
        <f>Math!H32</f>
        <v>0</v>
      </c>
      <c r="K33" s="30">
        <f t="shared" si="0"/>
        <v>1</v>
      </c>
      <c r="L33" s="30">
        <f t="shared" si="1"/>
        <v>0</v>
      </c>
      <c r="M33" s="30">
        <f t="shared" si="2"/>
        <v>0</v>
      </c>
      <c r="N33" s="30">
        <f t="shared" si="3"/>
        <v>1</v>
      </c>
      <c r="O33" s="30">
        <f t="shared" si="4"/>
        <v>0</v>
      </c>
      <c r="P33" s="30">
        <f t="shared" si="5"/>
        <v>0</v>
      </c>
      <c r="Q33" s="30">
        <f t="shared" si="6"/>
        <v>2</v>
      </c>
      <c r="R33" s="3" t="str">
        <f t="shared" si="7"/>
        <v/>
      </c>
      <c r="S33" s="3" t="str">
        <f t="shared" si="8"/>
        <v/>
      </c>
      <c r="T33" s="7" t="str">
        <f t="shared" si="9"/>
        <v/>
      </c>
      <c r="U33" s="3" t="str">
        <f t="shared" si="10"/>
        <v>Failed in 4 Subjects</v>
      </c>
      <c r="V33" s="7" t="str">
        <f t="shared" si="11"/>
        <v/>
      </c>
      <c r="W33" s="8" t="str">
        <f>'Detailed Summary'!BK32</f>
        <v/>
      </c>
    </row>
    <row r="34" spans="1:23" hidden="1" x14ac:dyDescent="0.35">
      <c r="A34" s="115">
        <v>2</v>
      </c>
      <c r="B34" s="111">
        <f>'Student Basic Info'!A33</f>
        <v>732</v>
      </c>
      <c r="C34" s="112" t="str">
        <f>'Student Basic Info'!C33</f>
        <v>Shezanul Bahar Alvi</v>
      </c>
      <c r="D34" s="4">
        <f>Bangla!G33</f>
        <v>1</v>
      </c>
      <c r="E34" s="4">
        <f>English!F33</f>
        <v>0</v>
      </c>
      <c r="F34" s="4">
        <f>ICT!H33</f>
        <v>0</v>
      </c>
      <c r="G34" s="42" t="str">
        <f>Physics!H33</f>
        <v/>
      </c>
      <c r="H34" s="42">
        <f>Chemistry!H33</f>
        <v>1</v>
      </c>
      <c r="I34" s="42">
        <f>Biology!H33</f>
        <v>0</v>
      </c>
      <c r="J34" s="42">
        <f>Math!H33</f>
        <v>0</v>
      </c>
      <c r="K34" s="30">
        <f t="shared" si="0"/>
        <v>1</v>
      </c>
      <c r="L34" s="30">
        <f t="shared" si="1"/>
        <v>0</v>
      </c>
      <c r="M34" s="30">
        <f t="shared" si="2"/>
        <v>0</v>
      </c>
      <c r="N34" s="30">
        <f t="shared" si="3"/>
        <v>0</v>
      </c>
      <c r="O34" s="30">
        <f t="shared" si="4"/>
        <v>1</v>
      </c>
      <c r="P34" s="30">
        <f t="shared" si="5"/>
        <v>0</v>
      </c>
      <c r="Q34" s="30">
        <f t="shared" si="6"/>
        <v>2</v>
      </c>
      <c r="R34" s="3" t="str">
        <f t="shared" si="7"/>
        <v/>
      </c>
      <c r="S34" s="3" t="str">
        <f t="shared" si="8"/>
        <v/>
      </c>
      <c r="T34" s="7" t="str">
        <f t="shared" si="9"/>
        <v/>
      </c>
      <c r="U34" s="115" t="str">
        <f t="shared" si="10"/>
        <v>Failed in 4 Subjects</v>
      </c>
      <c r="V34" s="7" t="str">
        <f t="shared" si="11"/>
        <v/>
      </c>
      <c r="W34" s="116" t="str">
        <f>'Detailed Summary'!BK33</f>
        <v/>
      </c>
    </row>
    <row r="35" spans="1:23" hidden="1" x14ac:dyDescent="0.35">
      <c r="A35" s="115">
        <v>3</v>
      </c>
      <c r="B35" s="111">
        <f>'Student Basic Info'!A34</f>
        <v>733</v>
      </c>
      <c r="C35" s="112" t="str">
        <f>'Student Basic Info'!C34</f>
        <v>Shadiya Bahar</v>
      </c>
      <c r="D35" s="4">
        <f>Bangla!G34</f>
        <v>2</v>
      </c>
      <c r="E35" s="4">
        <f>English!F34</f>
        <v>1</v>
      </c>
      <c r="F35" s="4">
        <f>ICT!H34</f>
        <v>0</v>
      </c>
      <c r="G35" s="42">
        <f>Physics!H34</f>
        <v>0</v>
      </c>
      <c r="H35" s="42">
        <f>Chemistry!H34</f>
        <v>0</v>
      </c>
      <c r="I35" s="42">
        <f>Biology!H34</f>
        <v>0</v>
      </c>
      <c r="J35" s="42">
        <f>Math!H34</f>
        <v>0</v>
      </c>
      <c r="K35" s="30">
        <f t="shared" ref="K35:K66" si="12">(IF(D35="",0,IF(D35=0,0,1)))</f>
        <v>1</v>
      </c>
      <c r="L35" s="30">
        <f t="shared" ref="L35:L66" si="13">(IF(E35="",0,IF(E35=0,0,1)))</f>
        <v>1</v>
      </c>
      <c r="M35" s="30">
        <f t="shared" ref="M35:M66" si="14">(IF(F35="",0,IF(F35=0,0,1)))</f>
        <v>0</v>
      </c>
      <c r="N35" s="30">
        <f t="shared" ref="N35:N66" si="15">(IF(G35="",0,IF(G35=0,0,1)))</f>
        <v>0</v>
      </c>
      <c r="O35" s="30">
        <f t="shared" ref="O35:O66" si="16">(IF(H35="",0,IF(H35=0,0,1)))</f>
        <v>0</v>
      </c>
      <c r="P35" s="30">
        <f t="shared" ref="P35:P66" si="17">(IF(I35="",0,IF(I35=0,0,1)))</f>
        <v>0</v>
      </c>
      <c r="Q35" s="30">
        <f t="shared" ref="Q35:Q66" si="18">SUM(K35:P35)</f>
        <v>2</v>
      </c>
      <c r="R35" s="3" t="str">
        <f t="shared" ref="R35:R66" si="19">IF(OR(D35=0,E35=0,F35=0,G35=0,H35=0,I35=0,D35="",E35="",F35="",G35="",H35="",I35=""),"",SUM(D35:I35))</f>
        <v/>
      </c>
      <c r="S35" s="3" t="str">
        <f t="shared" ref="S35:S66" si="20">IF(OR(D35=0,E35=0,F35=0,G35=0,H35=0,I35=0,D35="",E35="",F35="",G35="",H35="",I35=""),"",SUM(D35:J35))</f>
        <v/>
      </c>
      <c r="T35" s="7" t="str">
        <f t="shared" ref="T35:T66" si="21">IF(R35="","",IF(((R35/6)&gt;5),5,R35/6))</f>
        <v/>
      </c>
      <c r="U35" s="115" t="str">
        <f t="shared" ref="U35:U66" si="22">IF(Q35=0,"Failed in 6 Subjects",IF(Q35=1,"Failed in 5 Subjects",IF(Q35=2,"Failed in 4 Subjects",IF(Q35=3,"Failed in 3 Subjects",IF(Q35=4,"Failed in 2 Subjects",IF(Q35=5,"Failed in 1 Subject","Pass"))))))</f>
        <v>Failed in 4 Subjects</v>
      </c>
      <c r="V35" s="7" t="str">
        <f t="shared" ref="V35:V66" si="23">IF(S35="","",IF(((S35/6)&gt;5),5,S35/6))</f>
        <v/>
      </c>
      <c r="W35" s="116" t="str">
        <f>'Detailed Summary'!BK34</f>
        <v/>
      </c>
    </row>
    <row r="36" spans="1:23" hidden="1" x14ac:dyDescent="0.35">
      <c r="A36"/>
      <c r="B36" s="4">
        <f>'Student Basic Info'!A35</f>
        <v>734</v>
      </c>
      <c r="C36" s="4" t="str">
        <f>'Student Basic Info'!C35</f>
        <v>Shayed Hasan</v>
      </c>
      <c r="D36" s="4">
        <f>Bangla!G35</f>
        <v>3</v>
      </c>
      <c r="E36" s="4">
        <f>English!F35</f>
        <v>1</v>
      </c>
      <c r="F36" s="4">
        <f>ICT!H35</f>
        <v>0</v>
      </c>
      <c r="G36" s="42">
        <f>Physics!H35</f>
        <v>3</v>
      </c>
      <c r="H36" s="42">
        <f>Chemistry!H35</f>
        <v>1</v>
      </c>
      <c r="I36" s="42">
        <f>Biology!H35</f>
        <v>0</v>
      </c>
      <c r="J36" s="42">
        <f>Math!H35</f>
        <v>0</v>
      </c>
      <c r="K36" s="30">
        <f t="shared" si="12"/>
        <v>1</v>
      </c>
      <c r="L36" s="30">
        <f t="shared" si="13"/>
        <v>1</v>
      </c>
      <c r="M36" s="30">
        <f t="shared" si="14"/>
        <v>0</v>
      </c>
      <c r="N36" s="30">
        <f t="shared" si="15"/>
        <v>1</v>
      </c>
      <c r="O36" s="30">
        <f t="shared" si="16"/>
        <v>1</v>
      </c>
      <c r="P36" s="30">
        <f t="shared" si="17"/>
        <v>0</v>
      </c>
      <c r="Q36" s="30">
        <f t="shared" si="18"/>
        <v>4</v>
      </c>
      <c r="R36" s="3" t="str">
        <f t="shared" si="19"/>
        <v/>
      </c>
      <c r="S36" s="3" t="str">
        <f t="shared" si="20"/>
        <v/>
      </c>
      <c r="T36" s="7" t="str">
        <f t="shared" si="21"/>
        <v/>
      </c>
      <c r="U36" s="3" t="str">
        <f t="shared" si="22"/>
        <v>Failed in 2 Subjects</v>
      </c>
      <c r="V36" s="7" t="str">
        <f t="shared" si="23"/>
        <v/>
      </c>
      <c r="W36" s="8" t="str">
        <f>'Detailed Summary'!BK35</f>
        <v/>
      </c>
    </row>
    <row r="37" spans="1:23" hidden="1" x14ac:dyDescent="0.35">
      <c r="A37"/>
      <c r="B37" s="4">
        <f>'Student Basic Info'!A36</f>
        <v>735</v>
      </c>
      <c r="C37" s="4" t="str">
        <f>'Student Basic Info'!C36</f>
        <v>Sumaiya Zahan Tarin</v>
      </c>
      <c r="D37" s="4">
        <f>Bangla!G36</f>
        <v>3</v>
      </c>
      <c r="E37" s="4">
        <f>English!F36</f>
        <v>2</v>
      </c>
      <c r="F37" s="4">
        <f>ICT!H36</f>
        <v>0</v>
      </c>
      <c r="G37" s="42">
        <f>Physics!H36</f>
        <v>0</v>
      </c>
      <c r="H37" s="42" t="str">
        <f>Chemistry!H36</f>
        <v/>
      </c>
      <c r="I37" s="42">
        <f>Biology!H36</f>
        <v>0</v>
      </c>
      <c r="J37" s="42">
        <f>Math!H36</f>
        <v>0</v>
      </c>
      <c r="K37" s="30">
        <f t="shared" si="12"/>
        <v>1</v>
      </c>
      <c r="L37" s="30">
        <f t="shared" si="13"/>
        <v>1</v>
      </c>
      <c r="M37" s="30">
        <f t="shared" si="14"/>
        <v>0</v>
      </c>
      <c r="N37" s="30">
        <f t="shared" si="15"/>
        <v>0</v>
      </c>
      <c r="O37" s="30">
        <f t="shared" si="16"/>
        <v>0</v>
      </c>
      <c r="P37" s="30">
        <f t="shared" si="17"/>
        <v>0</v>
      </c>
      <c r="Q37" s="30">
        <f t="shared" si="18"/>
        <v>2</v>
      </c>
      <c r="R37" s="3" t="str">
        <f t="shared" si="19"/>
        <v/>
      </c>
      <c r="S37" s="3" t="str">
        <f t="shared" si="20"/>
        <v/>
      </c>
      <c r="T37" s="7" t="str">
        <f t="shared" si="21"/>
        <v/>
      </c>
      <c r="U37" s="3" t="str">
        <f t="shared" si="22"/>
        <v>Failed in 4 Subjects</v>
      </c>
      <c r="V37" s="7" t="str">
        <f t="shared" si="23"/>
        <v/>
      </c>
      <c r="W37" s="8" t="str">
        <f>'Detailed Summary'!BK36</f>
        <v/>
      </c>
    </row>
    <row r="38" spans="1:23" hidden="1" x14ac:dyDescent="0.35">
      <c r="A38"/>
      <c r="B38" s="4">
        <f>'Student Basic Info'!A37</f>
        <v>736</v>
      </c>
      <c r="C38" s="4" t="str">
        <f>'Student Basic Info'!C37</f>
        <v>Nur Islam</v>
      </c>
      <c r="D38" s="4">
        <f>Bangla!G37</f>
        <v>2</v>
      </c>
      <c r="E38" s="4">
        <f>English!F37</f>
        <v>0</v>
      </c>
      <c r="F38" s="4">
        <f>ICT!H37</f>
        <v>0</v>
      </c>
      <c r="G38" s="42">
        <f>Physics!H37</f>
        <v>3</v>
      </c>
      <c r="H38" s="42">
        <f>Chemistry!H37</f>
        <v>0</v>
      </c>
      <c r="I38" s="42">
        <f>Biology!H37</f>
        <v>0</v>
      </c>
      <c r="J38" s="42" t="str">
        <f>Math!H37</f>
        <v/>
      </c>
      <c r="K38" s="30">
        <f t="shared" si="12"/>
        <v>1</v>
      </c>
      <c r="L38" s="30">
        <f t="shared" si="13"/>
        <v>0</v>
      </c>
      <c r="M38" s="30">
        <f t="shared" si="14"/>
        <v>0</v>
      </c>
      <c r="N38" s="30">
        <f t="shared" si="15"/>
        <v>1</v>
      </c>
      <c r="O38" s="30">
        <f t="shared" si="16"/>
        <v>0</v>
      </c>
      <c r="P38" s="30">
        <f t="shared" si="17"/>
        <v>0</v>
      </c>
      <c r="Q38" s="30">
        <f t="shared" si="18"/>
        <v>2</v>
      </c>
      <c r="R38" s="3" t="str">
        <f t="shared" si="19"/>
        <v/>
      </c>
      <c r="S38" s="3" t="str">
        <f t="shared" si="20"/>
        <v/>
      </c>
      <c r="T38" s="7" t="str">
        <f t="shared" si="21"/>
        <v/>
      </c>
      <c r="U38" s="3" t="str">
        <f t="shared" si="22"/>
        <v>Failed in 4 Subjects</v>
      </c>
      <c r="V38" s="7" t="str">
        <f t="shared" si="23"/>
        <v/>
      </c>
      <c r="W38" s="8" t="str">
        <f>'Detailed Summary'!BK37</f>
        <v/>
      </c>
    </row>
    <row r="39" spans="1:23" hidden="1" x14ac:dyDescent="0.35">
      <c r="A39"/>
      <c r="B39" s="4">
        <f>'Student Basic Info'!A38</f>
        <v>737</v>
      </c>
      <c r="C39" s="4" t="str">
        <f>'Student Basic Info'!C38</f>
        <v>Nusrat Zahan</v>
      </c>
      <c r="D39" s="4">
        <f>Bangla!G38</f>
        <v>3</v>
      </c>
      <c r="E39" s="4">
        <f>English!F38</f>
        <v>2</v>
      </c>
      <c r="F39" s="4">
        <f>ICT!H38</f>
        <v>0</v>
      </c>
      <c r="G39" s="42">
        <f>Physics!H38</f>
        <v>3.5</v>
      </c>
      <c r="H39" s="42">
        <f>Chemistry!H38</f>
        <v>0</v>
      </c>
      <c r="I39" s="42">
        <f>Biology!H38</f>
        <v>0</v>
      </c>
      <c r="J39" s="42">
        <f>Math!H38</f>
        <v>0</v>
      </c>
      <c r="K39" s="30">
        <f t="shared" si="12"/>
        <v>1</v>
      </c>
      <c r="L39" s="30">
        <f t="shared" si="13"/>
        <v>1</v>
      </c>
      <c r="M39" s="30">
        <f t="shared" si="14"/>
        <v>0</v>
      </c>
      <c r="N39" s="30">
        <f t="shared" si="15"/>
        <v>1</v>
      </c>
      <c r="O39" s="30">
        <f t="shared" si="16"/>
        <v>0</v>
      </c>
      <c r="P39" s="30">
        <f t="shared" si="17"/>
        <v>0</v>
      </c>
      <c r="Q39" s="30">
        <f t="shared" si="18"/>
        <v>3</v>
      </c>
      <c r="R39" s="3" t="str">
        <f t="shared" si="19"/>
        <v/>
      </c>
      <c r="S39" s="3" t="str">
        <f t="shared" si="20"/>
        <v/>
      </c>
      <c r="T39" s="7" t="str">
        <f t="shared" si="21"/>
        <v/>
      </c>
      <c r="U39" s="3" t="str">
        <f t="shared" si="22"/>
        <v>Failed in 3 Subjects</v>
      </c>
      <c r="V39" s="7" t="str">
        <f t="shared" si="23"/>
        <v/>
      </c>
      <c r="W39" s="8" t="str">
        <f>'Detailed Summary'!BK38</f>
        <v/>
      </c>
    </row>
    <row r="40" spans="1:23" hidden="1" x14ac:dyDescent="0.35">
      <c r="A40"/>
      <c r="B40" s="4">
        <f>'Student Basic Info'!A39</f>
        <v>738</v>
      </c>
      <c r="C40" s="4" t="str">
        <f>'Student Basic Info'!C39</f>
        <v>Arpita Rani Bhoumik</v>
      </c>
      <c r="D40" s="4">
        <f>Bangla!G39</f>
        <v>3</v>
      </c>
      <c r="E40" s="4">
        <f>English!F39</f>
        <v>2</v>
      </c>
      <c r="F40" s="4">
        <f>ICT!H39</f>
        <v>3</v>
      </c>
      <c r="G40" s="42">
        <f>Physics!H39</f>
        <v>0</v>
      </c>
      <c r="H40" s="42">
        <f>Chemistry!H39</f>
        <v>0</v>
      </c>
      <c r="I40" s="42">
        <f>Biology!H39</f>
        <v>0</v>
      </c>
      <c r="J40" s="42">
        <f>Math!H39</f>
        <v>0</v>
      </c>
      <c r="K40" s="30">
        <f t="shared" si="12"/>
        <v>1</v>
      </c>
      <c r="L40" s="30">
        <f t="shared" si="13"/>
        <v>1</v>
      </c>
      <c r="M40" s="30">
        <f t="shared" si="14"/>
        <v>1</v>
      </c>
      <c r="N40" s="30">
        <f t="shared" si="15"/>
        <v>0</v>
      </c>
      <c r="O40" s="30">
        <f t="shared" si="16"/>
        <v>0</v>
      </c>
      <c r="P40" s="30">
        <f t="shared" si="17"/>
        <v>0</v>
      </c>
      <c r="Q40" s="30">
        <f t="shared" si="18"/>
        <v>3</v>
      </c>
      <c r="R40" s="3" t="str">
        <f t="shared" si="19"/>
        <v/>
      </c>
      <c r="S40" s="3" t="str">
        <f t="shared" si="20"/>
        <v/>
      </c>
      <c r="T40" s="7" t="str">
        <f t="shared" si="21"/>
        <v/>
      </c>
      <c r="U40" s="3" t="str">
        <f t="shared" si="22"/>
        <v>Failed in 3 Subjects</v>
      </c>
      <c r="V40" s="7" t="str">
        <f t="shared" si="23"/>
        <v/>
      </c>
      <c r="W40" s="8" t="str">
        <f>'Detailed Summary'!BK39</f>
        <v/>
      </c>
    </row>
    <row r="41" spans="1:23" hidden="1" x14ac:dyDescent="0.35">
      <c r="A41"/>
      <c r="B41" s="4">
        <f>'Student Basic Info'!A40</f>
        <v>739</v>
      </c>
      <c r="C41" s="4" t="str">
        <f>'Student Basic Info'!C40</f>
        <v xml:space="preserve">Israt Zahan Shrabonti </v>
      </c>
      <c r="D41" s="4">
        <f>Bangla!G40</f>
        <v>3</v>
      </c>
      <c r="E41" s="4">
        <f>English!F40</f>
        <v>1</v>
      </c>
      <c r="F41" s="4">
        <f>ICT!H40</f>
        <v>2</v>
      </c>
      <c r="G41" s="42">
        <f>Physics!H40</f>
        <v>3</v>
      </c>
      <c r="H41" s="42">
        <f>Chemistry!H40</f>
        <v>0</v>
      </c>
      <c r="I41" s="42">
        <f>Biology!H40</f>
        <v>0</v>
      </c>
      <c r="J41" s="42">
        <f>Math!H40</f>
        <v>0</v>
      </c>
      <c r="K41" s="30">
        <f t="shared" si="12"/>
        <v>1</v>
      </c>
      <c r="L41" s="30">
        <f t="shared" si="13"/>
        <v>1</v>
      </c>
      <c r="M41" s="30">
        <f t="shared" si="14"/>
        <v>1</v>
      </c>
      <c r="N41" s="30">
        <f t="shared" si="15"/>
        <v>1</v>
      </c>
      <c r="O41" s="30">
        <f t="shared" si="16"/>
        <v>0</v>
      </c>
      <c r="P41" s="30">
        <f t="shared" si="17"/>
        <v>0</v>
      </c>
      <c r="Q41" s="30">
        <f t="shared" si="18"/>
        <v>4</v>
      </c>
      <c r="R41" s="3" t="str">
        <f t="shared" si="19"/>
        <v/>
      </c>
      <c r="S41" s="3" t="str">
        <f t="shared" si="20"/>
        <v/>
      </c>
      <c r="T41" s="7" t="str">
        <f t="shared" si="21"/>
        <v/>
      </c>
      <c r="U41" s="3" t="str">
        <f t="shared" si="22"/>
        <v>Failed in 2 Subjects</v>
      </c>
      <c r="V41" s="7" t="str">
        <f t="shared" si="23"/>
        <v/>
      </c>
      <c r="W41" s="8" t="str">
        <f>'Detailed Summary'!BK40</f>
        <v/>
      </c>
    </row>
    <row r="42" spans="1:23" hidden="1" x14ac:dyDescent="0.35">
      <c r="A42"/>
      <c r="B42" s="4">
        <f>'Student Basic Info'!A41</f>
        <v>740</v>
      </c>
      <c r="C42" s="4" t="str">
        <f>'Student Basic Info'!C41</f>
        <v>Fatema Zannat</v>
      </c>
      <c r="D42" s="4">
        <f>Bangla!G41</f>
        <v>3.5</v>
      </c>
      <c r="E42" s="4">
        <f>English!F41</f>
        <v>2</v>
      </c>
      <c r="F42" s="4">
        <f>ICT!H41</f>
        <v>0</v>
      </c>
      <c r="G42" s="42">
        <f>Physics!H41</f>
        <v>0</v>
      </c>
      <c r="H42" s="42">
        <f>Chemistry!H41</f>
        <v>2</v>
      </c>
      <c r="I42" s="42">
        <f>Biology!H41</f>
        <v>0</v>
      </c>
      <c r="J42" s="42">
        <f>Math!H41</f>
        <v>0</v>
      </c>
      <c r="K42" s="30">
        <f t="shared" si="12"/>
        <v>1</v>
      </c>
      <c r="L42" s="30">
        <f t="shared" si="13"/>
        <v>1</v>
      </c>
      <c r="M42" s="30">
        <f t="shared" si="14"/>
        <v>0</v>
      </c>
      <c r="N42" s="30">
        <f t="shared" si="15"/>
        <v>0</v>
      </c>
      <c r="O42" s="30">
        <f t="shared" si="16"/>
        <v>1</v>
      </c>
      <c r="P42" s="30">
        <f t="shared" si="17"/>
        <v>0</v>
      </c>
      <c r="Q42" s="30">
        <f t="shared" si="18"/>
        <v>3</v>
      </c>
      <c r="R42" s="3" t="str">
        <f t="shared" si="19"/>
        <v/>
      </c>
      <c r="S42" s="3" t="str">
        <f t="shared" si="20"/>
        <v/>
      </c>
      <c r="T42" s="7" t="str">
        <f t="shared" si="21"/>
        <v/>
      </c>
      <c r="U42" s="3" t="str">
        <f t="shared" si="22"/>
        <v>Failed in 3 Subjects</v>
      </c>
      <c r="V42" s="7" t="str">
        <f t="shared" si="23"/>
        <v/>
      </c>
      <c r="W42" s="8" t="str">
        <f>'Detailed Summary'!BK41</f>
        <v/>
      </c>
    </row>
    <row r="43" spans="1:23" hidden="1" x14ac:dyDescent="0.35">
      <c r="A43"/>
      <c r="B43" s="4">
        <f>'Student Basic Info'!A42</f>
        <v>741</v>
      </c>
      <c r="C43" s="4" t="str">
        <f>'Student Basic Info'!C42</f>
        <v>Rezmin Aktar</v>
      </c>
      <c r="D43" s="4">
        <f>Bangla!G42</f>
        <v>3.5</v>
      </c>
      <c r="E43" s="4">
        <f>English!F42</f>
        <v>3</v>
      </c>
      <c r="F43" s="4">
        <f>ICT!H42</f>
        <v>3.5</v>
      </c>
      <c r="G43" s="42">
        <f>Physics!H42</f>
        <v>3</v>
      </c>
      <c r="H43" s="42">
        <f>Chemistry!H42</f>
        <v>0</v>
      </c>
      <c r="I43" s="42">
        <f>Biology!H42</f>
        <v>0</v>
      </c>
      <c r="J43" s="42">
        <f>Math!H42</f>
        <v>0</v>
      </c>
      <c r="K43" s="30">
        <f t="shared" si="12"/>
        <v>1</v>
      </c>
      <c r="L43" s="30">
        <f t="shared" si="13"/>
        <v>1</v>
      </c>
      <c r="M43" s="30">
        <f t="shared" si="14"/>
        <v>1</v>
      </c>
      <c r="N43" s="30">
        <f t="shared" si="15"/>
        <v>1</v>
      </c>
      <c r="O43" s="30">
        <f t="shared" si="16"/>
        <v>0</v>
      </c>
      <c r="P43" s="30">
        <f t="shared" si="17"/>
        <v>0</v>
      </c>
      <c r="Q43" s="30">
        <f t="shared" si="18"/>
        <v>4</v>
      </c>
      <c r="R43" s="3" t="str">
        <f t="shared" si="19"/>
        <v/>
      </c>
      <c r="S43" s="3" t="str">
        <f t="shared" si="20"/>
        <v/>
      </c>
      <c r="T43" s="7" t="str">
        <f t="shared" si="21"/>
        <v/>
      </c>
      <c r="U43" s="3" t="str">
        <f t="shared" si="22"/>
        <v>Failed in 2 Subjects</v>
      </c>
      <c r="V43" s="7" t="str">
        <f t="shared" si="23"/>
        <v/>
      </c>
      <c r="W43" s="8" t="str">
        <f>'Detailed Summary'!BK42</f>
        <v/>
      </c>
    </row>
    <row r="44" spans="1:23" hidden="1" x14ac:dyDescent="0.35">
      <c r="A44"/>
      <c r="B44" s="4">
        <f>'Student Basic Info'!A43</f>
        <v>742</v>
      </c>
      <c r="C44" s="4" t="str">
        <f>'Student Basic Info'!C43</f>
        <v>Md. Shohrab Hosain</v>
      </c>
      <c r="D44" s="4" t="str">
        <f>Bangla!G43</f>
        <v/>
      </c>
      <c r="E44" s="4" t="str">
        <f>English!F43</f>
        <v/>
      </c>
      <c r="F44" s="4" t="str">
        <f>ICT!H43</f>
        <v/>
      </c>
      <c r="G44" s="42" t="str">
        <f>Physics!H43</f>
        <v/>
      </c>
      <c r="H44" s="42" t="str">
        <f>Chemistry!H43</f>
        <v/>
      </c>
      <c r="I44" s="42" t="str">
        <f>Biology!H43</f>
        <v/>
      </c>
      <c r="J44" s="42" t="str">
        <f>Math!H43</f>
        <v/>
      </c>
      <c r="K44" s="30">
        <f t="shared" si="12"/>
        <v>0</v>
      </c>
      <c r="L44" s="30">
        <f t="shared" si="13"/>
        <v>0</v>
      </c>
      <c r="M44" s="30">
        <f t="shared" si="14"/>
        <v>0</v>
      </c>
      <c r="N44" s="30">
        <f t="shared" si="15"/>
        <v>0</v>
      </c>
      <c r="O44" s="30">
        <f t="shared" si="16"/>
        <v>0</v>
      </c>
      <c r="P44" s="30">
        <f t="shared" si="17"/>
        <v>0</v>
      </c>
      <c r="Q44" s="30">
        <f t="shared" si="18"/>
        <v>0</v>
      </c>
      <c r="R44" s="3" t="str">
        <f t="shared" si="19"/>
        <v/>
      </c>
      <c r="S44" s="3" t="str">
        <f t="shared" si="20"/>
        <v/>
      </c>
      <c r="T44" s="7" t="str">
        <f t="shared" si="21"/>
        <v/>
      </c>
      <c r="U44" s="3" t="str">
        <f t="shared" si="22"/>
        <v>Failed in 6 Subjects</v>
      </c>
      <c r="V44" s="7" t="str">
        <f t="shared" si="23"/>
        <v/>
      </c>
      <c r="W44" s="8" t="str">
        <f>'Detailed Summary'!BK43</f>
        <v/>
      </c>
    </row>
    <row r="45" spans="1:23" hidden="1" x14ac:dyDescent="0.35">
      <c r="A45"/>
      <c r="B45" s="4">
        <f>'Student Basic Info'!A44</f>
        <v>743</v>
      </c>
      <c r="C45" s="4" t="str">
        <f>'Student Basic Info'!C44</f>
        <v>Umme Habiba</v>
      </c>
      <c r="D45" s="4">
        <f>Bangla!G44</f>
        <v>0</v>
      </c>
      <c r="E45" s="4">
        <f>English!F44</f>
        <v>0</v>
      </c>
      <c r="F45" s="4">
        <f>ICT!H44</f>
        <v>0</v>
      </c>
      <c r="G45" s="42">
        <f>Physics!H44</f>
        <v>0</v>
      </c>
      <c r="H45" s="42">
        <f>Chemistry!H44</f>
        <v>0</v>
      </c>
      <c r="I45" s="42">
        <f>Biology!H44</f>
        <v>0</v>
      </c>
      <c r="J45" s="42">
        <f>Math!H44</f>
        <v>0</v>
      </c>
      <c r="K45" s="30">
        <f t="shared" si="12"/>
        <v>0</v>
      </c>
      <c r="L45" s="30">
        <f t="shared" si="13"/>
        <v>0</v>
      </c>
      <c r="M45" s="30">
        <f t="shared" si="14"/>
        <v>0</v>
      </c>
      <c r="N45" s="30">
        <f t="shared" si="15"/>
        <v>0</v>
      </c>
      <c r="O45" s="30">
        <f t="shared" si="16"/>
        <v>0</v>
      </c>
      <c r="P45" s="30">
        <f t="shared" si="17"/>
        <v>0</v>
      </c>
      <c r="Q45" s="30">
        <f t="shared" si="18"/>
        <v>0</v>
      </c>
      <c r="R45" s="3" t="str">
        <f t="shared" si="19"/>
        <v/>
      </c>
      <c r="S45" s="3" t="str">
        <f t="shared" si="20"/>
        <v/>
      </c>
      <c r="T45" s="7" t="str">
        <f t="shared" si="21"/>
        <v/>
      </c>
      <c r="U45" s="3" t="str">
        <f t="shared" si="22"/>
        <v>Failed in 6 Subjects</v>
      </c>
      <c r="V45" s="7" t="str">
        <f t="shared" si="23"/>
        <v/>
      </c>
      <c r="W45" s="8" t="str">
        <f>'Detailed Summary'!BK44</f>
        <v/>
      </c>
    </row>
    <row r="46" spans="1:23" hidden="1" x14ac:dyDescent="0.35">
      <c r="A46"/>
      <c r="B46" s="4">
        <f>'Student Basic Info'!A45</f>
        <v>744</v>
      </c>
      <c r="C46" s="4" t="str">
        <f>'Student Basic Info'!C45</f>
        <v>Tarek Rahman Tamin</v>
      </c>
      <c r="D46" s="4">
        <f>Bangla!G45</f>
        <v>0</v>
      </c>
      <c r="E46" s="4">
        <f>English!F45</f>
        <v>0</v>
      </c>
      <c r="F46" s="4">
        <f>ICT!H45</f>
        <v>0</v>
      </c>
      <c r="G46" s="42">
        <f>Physics!H45</f>
        <v>2</v>
      </c>
      <c r="H46" s="42">
        <f>Chemistry!H45</f>
        <v>0</v>
      </c>
      <c r="I46" s="42">
        <f>Biology!H45</f>
        <v>0</v>
      </c>
      <c r="J46" s="42">
        <f>Math!H45</f>
        <v>0</v>
      </c>
      <c r="K46" s="30">
        <f t="shared" si="12"/>
        <v>0</v>
      </c>
      <c r="L46" s="30">
        <f t="shared" si="13"/>
        <v>0</v>
      </c>
      <c r="M46" s="30">
        <f t="shared" si="14"/>
        <v>0</v>
      </c>
      <c r="N46" s="30">
        <f t="shared" si="15"/>
        <v>1</v>
      </c>
      <c r="O46" s="30">
        <f t="shared" si="16"/>
        <v>0</v>
      </c>
      <c r="P46" s="30">
        <f t="shared" si="17"/>
        <v>0</v>
      </c>
      <c r="Q46" s="30">
        <f t="shared" si="18"/>
        <v>1</v>
      </c>
      <c r="R46" s="3" t="str">
        <f t="shared" si="19"/>
        <v/>
      </c>
      <c r="S46" s="3" t="str">
        <f t="shared" si="20"/>
        <v/>
      </c>
      <c r="T46" s="7" t="str">
        <f t="shared" si="21"/>
        <v/>
      </c>
      <c r="U46" s="3" t="str">
        <f t="shared" si="22"/>
        <v>Failed in 5 Subjects</v>
      </c>
      <c r="V46" s="7" t="str">
        <f t="shared" si="23"/>
        <v/>
      </c>
      <c r="W46" s="8" t="str">
        <f>'Detailed Summary'!BK45</f>
        <v/>
      </c>
    </row>
    <row r="47" spans="1:23" x14ac:dyDescent="0.35">
      <c r="A47" s="115">
        <v>4</v>
      </c>
      <c r="B47" s="111">
        <f>'Student Basic Info'!A46</f>
        <v>745</v>
      </c>
      <c r="C47" s="112" t="str">
        <f>'Student Basic Info'!C46</f>
        <v>Nabiha Nusrat</v>
      </c>
      <c r="D47" s="4">
        <f>Bangla!G46</f>
        <v>4</v>
      </c>
      <c r="E47" s="4">
        <f>English!F46</f>
        <v>3.5</v>
      </c>
      <c r="F47" s="4">
        <f>ICT!H46</f>
        <v>5</v>
      </c>
      <c r="G47" s="42">
        <f>Physics!H46</f>
        <v>5</v>
      </c>
      <c r="H47" s="42">
        <f>Chemistry!H46</f>
        <v>0</v>
      </c>
      <c r="I47" s="42">
        <f>Biology!H46</f>
        <v>2</v>
      </c>
      <c r="J47" s="42">
        <f>Math!H46</f>
        <v>3.5</v>
      </c>
      <c r="K47" s="30">
        <f t="shared" si="12"/>
        <v>1</v>
      </c>
      <c r="L47" s="30">
        <f t="shared" si="13"/>
        <v>1</v>
      </c>
      <c r="M47" s="30">
        <f t="shared" si="14"/>
        <v>1</v>
      </c>
      <c r="N47" s="30">
        <f t="shared" si="15"/>
        <v>1</v>
      </c>
      <c r="O47" s="30">
        <f t="shared" si="16"/>
        <v>0</v>
      </c>
      <c r="P47" s="30">
        <f t="shared" si="17"/>
        <v>1</v>
      </c>
      <c r="Q47" s="30">
        <f t="shared" si="18"/>
        <v>5</v>
      </c>
      <c r="R47" s="3" t="str">
        <f t="shared" si="19"/>
        <v/>
      </c>
      <c r="S47" s="3" t="str">
        <f t="shared" si="20"/>
        <v/>
      </c>
      <c r="T47" s="7" t="str">
        <f t="shared" si="21"/>
        <v/>
      </c>
      <c r="U47" s="115" t="str">
        <f t="shared" si="22"/>
        <v>Failed in 1 Subject</v>
      </c>
      <c r="V47" s="7" t="str">
        <f t="shared" si="23"/>
        <v/>
      </c>
      <c r="W47" s="116" t="str">
        <f>'Detailed Summary'!BK46</f>
        <v/>
      </c>
    </row>
    <row r="48" spans="1:23" x14ac:dyDescent="0.35">
      <c r="A48"/>
      <c r="B48" s="4">
        <f>'Student Basic Info'!A47</f>
        <v>746</v>
      </c>
      <c r="C48" s="4" t="str">
        <f>'Student Basic Info'!C47</f>
        <v>Sharika Mahzabin</v>
      </c>
      <c r="D48" s="4">
        <f>Bangla!G47</f>
        <v>3.5</v>
      </c>
      <c r="E48" s="4">
        <f>English!F47</f>
        <v>3.5</v>
      </c>
      <c r="F48" s="4">
        <f>ICT!H47</f>
        <v>3.5</v>
      </c>
      <c r="G48" s="42">
        <f>Physics!H47</f>
        <v>3.5</v>
      </c>
      <c r="H48" s="42">
        <f>Chemistry!H47</f>
        <v>0</v>
      </c>
      <c r="I48" s="42">
        <f>Biology!H47</f>
        <v>2</v>
      </c>
      <c r="J48" s="42">
        <f>Math!H47</f>
        <v>0</v>
      </c>
      <c r="K48" s="30">
        <f t="shared" si="12"/>
        <v>1</v>
      </c>
      <c r="L48" s="30">
        <f t="shared" si="13"/>
        <v>1</v>
      </c>
      <c r="M48" s="30">
        <f t="shared" si="14"/>
        <v>1</v>
      </c>
      <c r="N48" s="30">
        <f t="shared" si="15"/>
        <v>1</v>
      </c>
      <c r="O48" s="30">
        <f t="shared" si="16"/>
        <v>0</v>
      </c>
      <c r="P48" s="30">
        <f t="shared" si="17"/>
        <v>1</v>
      </c>
      <c r="Q48" s="30">
        <f t="shared" si="18"/>
        <v>5</v>
      </c>
      <c r="R48" s="3" t="str">
        <f t="shared" si="19"/>
        <v/>
      </c>
      <c r="S48" s="3" t="str">
        <f t="shared" si="20"/>
        <v/>
      </c>
      <c r="T48" s="7" t="str">
        <f t="shared" si="21"/>
        <v/>
      </c>
      <c r="U48" s="3" t="str">
        <f t="shared" si="22"/>
        <v>Failed in 1 Subject</v>
      </c>
      <c r="V48" s="7" t="str">
        <f t="shared" si="23"/>
        <v/>
      </c>
      <c r="W48" s="8" t="str">
        <f>'Detailed Summary'!BK47</f>
        <v/>
      </c>
    </row>
    <row r="49" spans="1:23" hidden="1" x14ac:dyDescent="0.35">
      <c r="A49"/>
      <c r="B49" s="4">
        <f>'Student Basic Info'!A48</f>
        <v>747</v>
      </c>
      <c r="C49" s="4" t="str">
        <f>'Student Basic Info'!C48</f>
        <v>Jahedul Islam</v>
      </c>
      <c r="D49" s="4">
        <f>Bangla!G48</f>
        <v>2</v>
      </c>
      <c r="E49" s="4">
        <f>English!F48</f>
        <v>0</v>
      </c>
      <c r="F49" s="4">
        <f>ICT!H48</f>
        <v>0</v>
      </c>
      <c r="G49" s="42">
        <f>Physics!H48</f>
        <v>0</v>
      </c>
      <c r="H49" s="42">
        <f>Chemistry!H48</f>
        <v>0</v>
      </c>
      <c r="I49" s="42">
        <f>Biology!H48</f>
        <v>0</v>
      </c>
      <c r="J49" s="42">
        <f>Math!H48</f>
        <v>0</v>
      </c>
      <c r="K49" s="30">
        <f t="shared" si="12"/>
        <v>1</v>
      </c>
      <c r="L49" s="30">
        <f t="shared" si="13"/>
        <v>0</v>
      </c>
      <c r="M49" s="30">
        <f t="shared" si="14"/>
        <v>0</v>
      </c>
      <c r="N49" s="30">
        <f t="shared" si="15"/>
        <v>0</v>
      </c>
      <c r="O49" s="30">
        <f t="shared" si="16"/>
        <v>0</v>
      </c>
      <c r="P49" s="30">
        <f t="shared" si="17"/>
        <v>0</v>
      </c>
      <c r="Q49" s="30">
        <f t="shared" si="18"/>
        <v>1</v>
      </c>
      <c r="R49" s="3" t="str">
        <f t="shared" si="19"/>
        <v/>
      </c>
      <c r="S49" s="3" t="str">
        <f t="shared" si="20"/>
        <v/>
      </c>
      <c r="T49" s="7" t="str">
        <f t="shared" si="21"/>
        <v/>
      </c>
      <c r="U49" s="3" t="str">
        <f t="shared" si="22"/>
        <v>Failed in 5 Subjects</v>
      </c>
      <c r="V49" s="7" t="str">
        <f t="shared" si="23"/>
        <v/>
      </c>
      <c r="W49" s="8" t="str">
        <f>'Detailed Summary'!BK48</f>
        <v/>
      </c>
    </row>
    <row r="50" spans="1:23" hidden="1" x14ac:dyDescent="0.35">
      <c r="A50"/>
      <c r="B50" s="4">
        <f>'Student Basic Info'!A49</f>
        <v>748</v>
      </c>
      <c r="C50" s="4" t="str">
        <f>'Student Basic Info'!C49</f>
        <v>Merina Parshi</v>
      </c>
      <c r="D50" s="4">
        <f>Bangla!G49</f>
        <v>2</v>
      </c>
      <c r="E50" s="4">
        <f>English!F49</f>
        <v>0</v>
      </c>
      <c r="F50" s="4">
        <f>ICT!H49</f>
        <v>0</v>
      </c>
      <c r="G50" s="42">
        <f>Physics!H49</f>
        <v>0</v>
      </c>
      <c r="H50" s="42">
        <f>Chemistry!H49</f>
        <v>0</v>
      </c>
      <c r="I50" s="42">
        <f>Biology!H49</f>
        <v>0</v>
      </c>
      <c r="J50" s="42">
        <f>Math!H49</f>
        <v>0</v>
      </c>
      <c r="K50" s="30">
        <f t="shared" si="12"/>
        <v>1</v>
      </c>
      <c r="L50" s="30">
        <f t="shared" si="13"/>
        <v>0</v>
      </c>
      <c r="M50" s="30">
        <f t="shared" si="14"/>
        <v>0</v>
      </c>
      <c r="N50" s="30">
        <f t="shared" si="15"/>
        <v>0</v>
      </c>
      <c r="O50" s="30">
        <f t="shared" si="16"/>
        <v>0</v>
      </c>
      <c r="P50" s="30">
        <f t="shared" si="17"/>
        <v>0</v>
      </c>
      <c r="Q50" s="30">
        <f t="shared" si="18"/>
        <v>1</v>
      </c>
      <c r="R50" s="3" t="str">
        <f t="shared" si="19"/>
        <v/>
      </c>
      <c r="S50" s="3" t="str">
        <f t="shared" si="20"/>
        <v/>
      </c>
      <c r="T50" s="7" t="str">
        <f t="shared" si="21"/>
        <v/>
      </c>
      <c r="U50" s="3" t="str">
        <f t="shared" si="22"/>
        <v>Failed in 5 Subjects</v>
      </c>
      <c r="V50" s="7" t="str">
        <f t="shared" si="23"/>
        <v/>
      </c>
      <c r="W50" s="8" t="str">
        <f>'Detailed Summary'!BK49</f>
        <v/>
      </c>
    </row>
    <row r="51" spans="1:23" hidden="1" x14ac:dyDescent="0.35">
      <c r="A51"/>
      <c r="B51" s="4">
        <f>'Student Basic Info'!A50</f>
        <v>749</v>
      </c>
      <c r="C51" s="4" t="str">
        <f>'Student Basic Info'!C50</f>
        <v>Shekh Shohrab Hosain</v>
      </c>
      <c r="D51" s="4">
        <f>Bangla!G50</f>
        <v>1</v>
      </c>
      <c r="E51" s="4">
        <f>English!F50</f>
        <v>0</v>
      </c>
      <c r="F51" s="4">
        <f>ICT!H50</f>
        <v>0</v>
      </c>
      <c r="G51" s="42">
        <f>Physics!H50</f>
        <v>0</v>
      </c>
      <c r="H51" s="42">
        <f>Chemistry!H50</f>
        <v>0</v>
      </c>
      <c r="I51" s="42">
        <f>Biology!H50</f>
        <v>0</v>
      </c>
      <c r="J51" s="42">
        <f>Math!H50</f>
        <v>0</v>
      </c>
      <c r="K51" s="30">
        <f t="shared" si="12"/>
        <v>1</v>
      </c>
      <c r="L51" s="30">
        <f t="shared" si="13"/>
        <v>0</v>
      </c>
      <c r="M51" s="30">
        <f t="shared" si="14"/>
        <v>0</v>
      </c>
      <c r="N51" s="30">
        <f t="shared" si="15"/>
        <v>0</v>
      </c>
      <c r="O51" s="30">
        <f t="shared" si="16"/>
        <v>0</v>
      </c>
      <c r="P51" s="30">
        <f t="shared" si="17"/>
        <v>0</v>
      </c>
      <c r="Q51" s="30">
        <f t="shared" si="18"/>
        <v>1</v>
      </c>
      <c r="R51" s="3" t="str">
        <f t="shared" si="19"/>
        <v/>
      </c>
      <c r="S51" s="3" t="str">
        <f t="shared" si="20"/>
        <v/>
      </c>
      <c r="T51" s="7" t="str">
        <f t="shared" si="21"/>
        <v/>
      </c>
      <c r="U51" s="3" t="str">
        <f t="shared" si="22"/>
        <v>Failed in 5 Subjects</v>
      </c>
      <c r="V51" s="7" t="str">
        <f t="shared" si="23"/>
        <v/>
      </c>
      <c r="W51" s="8" t="str">
        <f>'Detailed Summary'!BK50</f>
        <v/>
      </c>
    </row>
    <row r="52" spans="1:23" hidden="1" x14ac:dyDescent="0.35">
      <c r="A52"/>
      <c r="B52" s="4">
        <f>'Student Basic Info'!A51</f>
        <v>750</v>
      </c>
      <c r="C52" s="4" t="str">
        <f>'Student Basic Info'!C51</f>
        <v>Purnima Aktar</v>
      </c>
      <c r="D52" s="4" t="str">
        <f>Bangla!G51</f>
        <v/>
      </c>
      <c r="E52" s="4" t="str">
        <f>English!F51</f>
        <v/>
      </c>
      <c r="F52" s="4" t="str">
        <f>ICT!H51</f>
        <v/>
      </c>
      <c r="G52" s="42" t="str">
        <f>Physics!H51</f>
        <v/>
      </c>
      <c r="H52" s="42" t="str">
        <f>Chemistry!H51</f>
        <v/>
      </c>
      <c r="I52" s="42" t="str">
        <f>Biology!H51</f>
        <v/>
      </c>
      <c r="J52" s="42" t="str">
        <f>Math!H51</f>
        <v/>
      </c>
      <c r="K52" s="30">
        <f t="shared" si="12"/>
        <v>0</v>
      </c>
      <c r="L52" s="30">
        <f t="shared" si="13"/>
        <v>0</v>
      </c>
      <c r="M52" s="30">
        <f t="shared" si="14"/>
        <v>0</v>
      </c>
      <c r="N52" s="30">
        <f t="shared" si="15"/>
        <v>0</v>
      </c>
      <c r="O52" s="30">
        <f t="shared" si="16"/>
        <v>0</v>
      </c>
      <c r="P52" s="30">
        <f t="shared" si="17"/>
        <v>0</v>
      </c>
      <c r="Q52" s="30">
        <f t="shared" si="18"/>
        <v>0</v>
      </c>
      <c r="R52" s="3" t="str">
        <f t="shared" si="19"/>
        <v/>
      </c>
      <c r="S52" s="3" t="str">
        <f t="shared" si="20"/>
        <v/>
      </c>
      <c r="T52" s="7" t="str">
        <f t="shared" si="21"/>
        <v/>
      </c>
      <c r="U52" s="3" t="str">
        <f t="shared" si="22"/>
        <v>Failed in 6 Subjects</v>
      </c>
      <c r="V52" s="7" t="str">
        <f t="shared" si="23"/>
        <v/>
      </c>
      <c r="W52" s="8" t="str">
        <f>'Detailed Summary'!BK51</f>
        <v/>
      </c>
    </row>
    <row r="53" spans="1:23" hidden="1" x14ac:dyDescent="0.35">
      <c r="A53"/>
      <c r="B53" s="4">
        <f>'Student Basic Info'!A52</f>
        <v>751</v>
      </c>
      <c r="C53" s="4" t="str">
        <f>'Student Basic Info'!C52</f>
        <v>Hridwal  Al Mahmul</v>
      </c>
      <c r="D53" s="4">
        <f>Bangla!G52</f>
        <v>2</v>
      </c>
      <c r="E53" s="4">
        <f>English!F52</f>
        <v>0</v>
      </c>
      <c r="F53" s="4">
        <f>ICT!H52</f>
        <v>0</v>
      </c>
      <c r="G53" s="42">
        <f>Physics!H52</f>
        <v>3.5</v>
      </c>
      <c r="H53" s="42">
        <f>Chemistry!H52</f>
        <v>0</v>
      </c>
      <c r="I53" s="42">
        <f>Biology!H52</f>
        <v>0</v>
      </c>
      <c r="J53" s="42" t="str">
        <f>Math!H52</f>
        <v/>
      </c>
      <c r="K53" s="30">
        <f t="shared" si="12"/>
        <v>1</v>
      </c>
      <c r="L53" s="30">
        <f t="shared" si="13"/>
        <v>0</v>
      </c>
      <c r="M53" s="30">
        <f t="shared" si="14"/>
        <v>0</v>
      </c>
      <c r="N53" s="30">
        <f t="shared" si="15"/>
        <v>1</v>
      </c>
      <c r="O53" s="30">
        <f t="shared" si="16"/>
        <v>0</v>
      </c>
      <c r="P53" s="30">
        <f t="shared" si="17"/>
        <v>0</v>
      </c>
      <c r="Q53" s="30">
        <f t="shared" si="18"/>
        <v>2</v>
      </c>
      <c r="R53" s="3" t="str">
        <f t="shared" si="19"/>
        <v/>
      </c>
      <c r="S53" s="3" t="str">
        <f t="shared" si="20"/>
        <v/>
      </c>
      <c r="T53" s="7" t="str">
        <f t="shared" si="21"/>
        <v/>
      </c>
      <c r="U53" s="3" t="str">
        <f t="shared" si="22"/>
        <v>Failed in 4 Subjects</v>
      </c>
      <c r="V53" s="7" t="str">
        <f t="shared" si="23"/>
        <v/>
      </c>
      <c r="W53" s="8" t="str">
        <f>'Detailed Summary'!BK52</f>
        <v/>
      </c>
    </row>
    <row r="54" spans="1:23" hidden="1" x14ac:dyDescent="0.35">
      <c r="A54"/>
      <c r="B54" s="4">
        <f>'Student Basic Info'!A53</f>
        <v>752</v>
      </c>
      <c r="C54" s="4" t="str">
        <f>'Student Basic Info'!C53</f>
        <v>Sabbir Hosain</v>
      </c>
      <c r="D54" s="4" t="str">
        <f>Bangla!G53</f>
        <v/>
      </c>
      <c r="E54" s="4" t="str">
        <f>English!F53</f>
        <v/>
      </c>
      <c r="F54" s="4" t="str">
        <f>ICT!H53</f>
        <v/>
      </c>
      <c r="G54" s="42" t="str">
        <f>Physics!H53</f>
        <v/>
      </c>
      <c r="H54" s="42" t="str">
        <f>Chemistry!H53</f>
        <v/>
      </c>
      <c r="I54" s="42" t="str">
        <f>Biology!H53</f>
        <v/>
      </c>
      <c r="J54" s="42" t="str">
        <f>Math!H53</f>
        <v/>
      </c>
      <c r="K54" s="30">
        <f t="shared" si="12"/>
        <v>0</v>
      </c>
      <c r="L54" s="30">
        <f t="shared" si="13"/>
        <v>0</v>
      </c>
      <c r="M54" s="30">
        <f t="shared" si="14"/>
        <v>0</v>
      </c>
      <c r="N54" s="30">
        <f t="shared" si="15"/>
        <v>0</v>
      </c>
      <c r="O54" s="30">
        <f t="shared" si="16"/>
        <v>0</v>
      </c>
      <c r="P54" s="30">
        <f t="shared" si="17"/>
        <v>0</v>
      </c>
      <c r="Q54" s="30">
        <f t="shared" si="18"/>
        <v>0</v>
      </c>
      <c r="R54" s="3" t="str">
        <f t="shared" si="19"/>
        <v/>
      </c>
      <c r="S54" s="3" t="str">
        <f t="shared" si="20"/>
        <v/>
      </c>
      <c r="T54" s="7" t="str">
        <f t="shared" si="21"/>
        <v/>
      </c>
      <c r="U54" s="3" t="str">
        <f t="shared" si="22"/>
        <v>Failed in 6 Subjects</v>
      </c>
      <c r="V54" s="7" t="str">
        <f t="shared" si="23"/>
        <v/>
      </c>
      <c r="W54" s="8" t="str">
        <f>'Detailed Summary'!BK53</f>
        <v/>
      </c>
    </row>
    <row r="55" spans="1:23" ht="18.5" hidden="1" x14ac:dyDescent="0.45">
      <c r="A55" s="100">
        <v>5</v>
      </c>
      <c r="B55" s="101">
        <f>'Student Basic Info'!A54</f>
        <v>753</v>
      </c>
      <c r="C55" s="101" t="str">
        <f>'Student Basic Info'!C54</f>
        <v>Shohidul Islam</v>
      </c>
      <c r="D55" s="4">
        <f>Bangla!G54</f>
        <v>0</v>
      </c>
      <c r="E55" s="4">
        <f>English!F54</f>
        <v>1</v>
      </c>
      <c r="F55" s="4">
        <f>ICT!H54</f>
        <v>0</v>
      </c>
      <c r="G55" s="42">
        <f>Physics!H54</f>
        <v>0</v>
      </c>
      <c r="H55" s="42">
        <f>Chemistry!H54</f>
        <v>0</v>
      </c>
      <c r="I55" s="42">
        <f>Biology!H54</f>
        <v>3</v>
      </c>
      <c r="J55" s="42">
        <f>Math!H54</f>
        <v>0</v>
      </c>
      <c r="K55" s="30">
        <f t="shared" si="12"/>
        <v>0</v>
      </c>
      <c r="L55" s="30">
        <f t="shared" si="13"/>
        <v>1</v>
      </c>
      <c r="M55" s="30">
        <f t="shared" si="14"/>
        <v>0</v>
      </c>
      <c r="N55" s="30">
        <f t="shared" si="15"/>
        <v>0</v>
      </c>
      <c r="O55" s="30">
        <f t="shared" si="16"/>
        <v>0</v>
      </c>
      <c r="P55" s="30">
        <f t="shared" si="17"/>
        <v>1</v>
      </c>
      <c r="Q55" s="30">
        <f t="shared" si="18"/>
        <v>2</v>
      </c>
      <c r="R55" s="3" t="str">
        <f t="shared" si="19"/>
        <v/>
      </c>
      <c r="S55" s="3" t="str">
        <f t="shared" si="20"/>
        <v/>
      </c>
      <c r="T55" s="7" t="str">
        <f t="shared" si="21"/>
        <v/>
      </c>
      <c r="U55" s="100" t="str">
        <f t="shared" si="22"/>
        <v>Failed in 4 Subjects</v>
      </c>
      <c r="V55" s="102" t="str">
        <f t="shared" si="23"/>
        <v/>
      </c>
      <c r="W55" s="103" t="str">
        <f>'Detailed Summary'!BK54</f>
        <v/>
      </c>
    </row>
    <row r="56" spans="1:23" hidden="1" x14ac:dyDescent="0.35">
      <c r="A56"/>
      <c r="B56" s="4">
        <f>'Student Basic Info'!A55</f>
        <v>754</v>
      </c>
      <c r="C56" s="4" t="str">
        <f>'Student Basic Info'!C55</f>
        <v>Shahriyar Nafiz</v>
      </c>
      <c r="D56" s="4">
        <f>Bangla!G55</f>
        <v>3</v>
      </c>
      <c r="E56" s="4">
        <f>English!F55</f>
        <v>0</v>
      </c>
      <c r="F56" s="4">
        <f>ICT!H55</f>
        <v>0</v>
      </c>
      <c r="G56" s="42">
        <f>Physics!H55</f>
        <v>0</v>
      </c>
      <c r="H56" s="42">
        <f>Chemistry!H55</f>
        <v>0</v>
      </c>
      <c r="I56" s="42">
        <f>Biology!H55</f>
        <v>0</v>
      </c>
      <c r="J56" s="42">
        <f>Math!H55</f>
        <v>0</v>
      </c>
      <c r="K56" s="30">
        <f t="shared" si="12"/>
        <v>1</v>
      </c>
      <c r="L56" s="30">
        <f t="shared" si="13"/>
        <v>0</v>
      </c>
      <c r="M56" s="30">
        <f t="shared" si="14"/>
        <v>0</v>
      </c>
      <c r="N56" s="30">
        <f t="shared" si="15"/>
        <v>0</v>
      </c>
      <c r="O56" s="30">
        <f t="shared" si="16"/>
        <v>0</v>
      </c>
      <c r="P56" s="30">
        <f t="shared" si="17"/>
        <v>0</v>
      </c>
      <c r="Q56" s="30">
        <f t="shared" si="18"/>
        <v>1</v>
      </c>
      <c r="R56" s="3" t="str">
        <f t="shared" si="19"/>
        <v/>
      </c>
      <c r="S56" s="3" t="str">
        <f t="shared" si="20"/>
        <v/>
      </c>
      <c r="T56" s="7" t="str">
        <f t="shared" si="21"/>
        <v/>
      </c>
      <c r="U56" s="3" t="str">
        <f t="shared" si="22"/>
        <v>Failed in 5 Subjects</v>
      </c>
      <c r="V56" s="7" t="str">
        <f t="shared" si="23"/>
        <v/>
      </c>
      <c r="W56" s="8" t="str">
        <f>'Detailed Summary'!BK55</f>
        <v/>
      </c>
    </row>
    <row r="57" spans="1:23" hidden="1" x14ac:dyDescent="0.35">
      <c r="A57"/>
      <c r="B57" s="4">
        <f>'Student Basic Info'!A56</f>
        <v>755</v>
      </c>
      <c r="C57" s="4" t="str">
        <f>'Student Basic Info'!C56</f>
        <v xml:space="preserve">Md. Ibrahim </v>
      </c>
      <c r="D57" s="4">
        <f>Bangla!G56</f>
        <v>0</v>
      </c>
      <c r="E57" s="4">
        <f>English!F56</f>
        <v>0</v>
      </c>
      <c r="F57" s="4">
        <f>ICT!H56</f>
        <v>0</v>
      </c>
      <c r="G57" s="42">
        <f>Physics!H56</f>
        <v>0</v>
      </c>
      <c r="H57" s="42">
        <f>Chemistry!H56</f>
        <v>0</v>
      </c>
      <c r="I57" s="42">
        <f>Biology!H56</f>
        <v>0</v>
      </c>
      <c r="J57" s="42">
        <f>Math!H56</f>
        <v>0</v>
      </c>
      <c r="K57" s="30">
        <f t="shared" si="12"/>
        <v>0</v>
      </c>
      <c r="L57" s="30">
        <f t="shared" si="13"/>
        <v>0</v>
      </c>
      <c r="M57" s="30">
        <f t="shared" si="14"/>
        <v>0</v>
      </c>
      <c r="N57" s="30">
        <f t="shared" si="15"/>
        <v>0</v>
      </c>
      <c r="O57" s="30">
        <f t="shared" si="16"/>
        <v>0</v>
      </c>
      <c r="P57" s="30">
        <f t="shared" si="17"/>
        <v>0</v>
      </c>
      <c r="Q57" s="30">
        <f t="shared" si="18"/>
        <v>0</v>
      </c>
      <c r="R57" s="3" t="str">
        <f t="shared" si="19"/>
        <v/>
      </c>
      <c r="S57" s="3" t="str">
        <f t="shared" si="20"/>
        <v/>
      </c>
      <c r="T57" s="7" t="str">
        <f t="shared" si="21"/>
        <v/>
      </c>
      <c r="U57" s="3" t="str">
        <f t="shared" si="22"/>
        <v>Failed in 6 Subjects</v>
      </c>
      <c r="V57" s="7" t="str">
        <f t="shared" si="23"/>
        <v/>
      </c>
      <c r="W57" s="8" t="str">
        <f>'Detailed Summary'!BK56</f>
        <v/>
      </c>
    </row>
    <row r="58" spans="1:23" hidden="1" x14ac:dyDescent="0.35">
      <c r="A58"/>
      <c r="B58" s="4">
        <f>'Student Basic Info'!A57</f>
        <v>756</v>
      </c>
      <c r="C58" s="4" t="str">
        <f>'Student Basic Info'!C57</f>
        <v>Fahmida Tabassum</v>
      </c>
      <c r="D58" s="4">
        <f>Bangla!G57</f>
        <v>3</v>
      </c>
      <c r="E58" s="4">
        <f>English!F57</f>
        <v>1</v>
      </c>
      <c r="F58" s="4">
        <f>ICT!H57</f>
        <v>0</v>
      </c>
      <c r="G58" s="42">
        <f>Physics!H57</f>
        <v>3</v>
      </c>
      <c r="H58" s="42">
        <f>Chemistry!H57</f>
        <v>0</v>
      </c>
      <c r="I58" s="42">
        <f>Biology!H57</f>
        <v>0</v>
      </c>
      <c r="J58" s="42">
        <f>Math!H57</f>
        <v>0</v>
      </c>
      <c r="K58" s="30">
        <f t="shared" si="12"/>
        <v>1</v>
      </c>
      <c r="L58" s="30">
        <f t="shared" si="13"/>
        <v>1</v>
      </c>
      <c r="M58" s="30">
        <f t="shared" si="14"/>
        <v>0</v>
      </c>
      <c r="N58" s="30">
        <f t="shared" si="15"/>
        <v>1</v>
      </c>
      <c r="O58" s="30">
        <f t="shared" si="16"/>
        <v>0</v>
      </c>
      <c r="P58" s="30">
        <f t="shared" si="17"/>
        <v>0</v>
      </c>
      <c r="Q58" s="30">
        <f t="shared" si="18"/>
        <v>3</v>
      </c>
      <c r="R58" s="3" t="str">
        <f t="shared" si="19"/>
        <v/>
      </c>
      <c r="S58" s="3" t="str">
        <f t="shared" si="20"/>
        <v/>
      </c>
      <c r="T58" s="7" t="str">
        <f t="shared" si="21"/>
        <v/>
      </c>
      <c r="U58" s="3" t="str">
        <f t="shared" si="22"/>
        <v>Failed in 3 Subjects</v>
      </c>
      <c r="V58" s="7" t="str">
        <f t="shared" si="23"/>
        <v/>
      </c>
      <c r="W58" s="8" t="str">
        <f>'Detailed Summary'!BK57</f>
        <v/>
      </c>
    </row>
    <row r="59" spans="1:23" hidden="1" x14ac:dyDescent="0.35">
      <c r="A59"/>
      <c r="B59" s="4">
        <f>'Student Basic Info'!A58</f>
        <v>757</v>
      </c>
      <c r="C59" s="4" t="str">
        <f>'Student Basic Info'!C58</f>
        <v>Meheraj Uddin</v>
      </c>
      <c r="D59" s="4">
        <f>Bangla!G58</f>
        <v>0</v>
      </c>
      <c r="E59" s="4">
        <f>English!F58</f>
        <v>0</v>
      </c>
      <c r="F59" s="4">
        <f>ICT!H58</f>
        <v>0</v>
      </c>
      <c r="G59" s="42">
        <f>Physics!H58</f>
        <v>0</v>
      </c>
      <c r="H59" s="42">
        <f>Chemistry!H58</f>
        <v>0</v>
      </c>
      <c r="I59" s="42">
        <f>Biology!H58</f>
        <v>0</v>
      </c>
      <c r="J59" s="42">
        <f>Math!H58</f>
        <v>0</v>
      </c>
      <c r="K59" s="30">
        <f t="shared" si="12"/>
        <v>0</v>
      </c>
      <c r="L59" s="30">
        <f t="shared" si="13"/>
        <v>0</v>
      </c>
      <c r="M59" s="30">
        <f t="shared" si="14"/>
        <v>0</v>
      </c>
      <c r="N59" s="30">
        <f t="shared" si="15"/>
        <v>0</v>
      </c>
      <c r="O59" s="30">
        <f t="shared" si="16"/>
        <v>0</v>
      </c>
      <c r="P59" s="30">
        <f t="shared" si="17"/>
        <v>0</v>
      </c>
      <c r="Q59" s="30">
        <f t="shared" si="18"/>
        <v>0</v>
      </c>
      <c r="R59" s="3" t="str">
        <f t="shared" si="19"/>
        <v/>
      </c>
      <c r="S59" s="3" t="str">
        <f t="shared" si="20"/>
        <v/>
      </c>
      <c r="T59" s="7" t="str">
        <f t="shared" si="21"/>
        <v/>
      </c>
      <c r="U59" s="3" t="str">
        <f t="shared" si="22"/>
        <v>Failed in 6 Subjects</v>
      </c>
      <c r="V59" s="7" t="str">
        <f t="shared" si="23"/>
        <v/>
      </c>
      <c r="W59" s="8" t="str">
        <f>'Detailed Summary'!BK58</f>
        <v/>
      </c>
    </row>
    <row r="60" spans="1:23" hidden="1" x14ac:dyDescent="0.35">
      <c r="A60"/>
      <c r="B60" s="4">
        <f>'Student Basic Info'!A59</f>
        <v>758</v>
      </c>
      <c r="C60" s="4" t="str">
        <f>'Student Basic Info'!C59</f>
        <v>Naimur Rahman</v>
      </c>
      <c r="D60" s="4">
        <f>Bangla!G59</f>
        <v>1</v>
      </c>
      <c r="E60" s="4">
        <f>English!F59</f>
        <v>2</v>
      </c>
      <c r="F60" s="4">
        <f>ICT!H59</f>
        <v>0</v>
      </c>
      <c r="G60" s="42">
        <f>Physics!H59</f>
        <v>0</v>
      </c>
      <c r="H60" s="42">
        <f>Chemistry!H59</f>
        <v>0</v>
      </c>
      <c r="I60" s="42">
        <f>Biology!H59</f>
        <v>0</v>
      </c>
      <c r="J60" s="42">
        <f>Math!H59</f>
        <v>0</v>
      </c>
      <c r="K60" s="30">
        <f t="shared" si="12"/>
        <v>1</v>
      </c>
      <c r="L60" s="30">
        <f t="shared" si="13"/>
        <v>1</v>
      </c>
      <c r="M60" s="30">
        <f t="shared" si="14"/>
        <v>0</v>
      </c>
      <c r="N60" s="30">
        <f t="shared" si="15"/>
        <v>0</v>
      </c>
      <c r="O60" s="30">
        <f t="shared" si="16"/>
        <v>0</v>
      </c>
      <c r="P60" s="30">
        <f t="shared" si="17"/>
        <v>0</v>
      </c>
      <c r="Q60" s="30">
        <f t="shared" si="18"/>
        <v>2</v>
      </c>
      <c r="R60" s="3" t="str">
        <f t="shared" si="19"/>
        <v/>
      </c>
      <c r="S60" s="3" t="str">
        <f t="shared" si="20"/>
        <v/>
      </c>
      <c r="T60" s="7" t="str">
        <f t="shared" si="21"/>
        <v/>
      </c>
      <c r="U60" s="3" t="str">
        <f t="shared" si="22"/>
        <v>Failed in 4 Subjects</v>
      </c>
      <c r="V60" s="7" t="str">
        <f t="shared" si="23"/>
        <v/>
      </c>
      <c r="W60" s="8" t="str">
        <f>'Detailed Summary'!BK59</f>
        <v/>
      </c>
    </row>
    <row r="61" spans="1:23" hidden="1" x14ac:dyDescent="0.35">
      <c r="A61"/>
      <c r="B61" s="4">
        <f>'Student Basic Info'!A60</f>
        <v>759</v>
      </c>
      <c r="C61" s="4" t="str">
        <f>'Student Basic Info'!C60</f>
        <v>Amzad Hosain</v>
      </c>
      <c r="D61" s="4">
        <f>Bangla!G60</f>
        <v>3.5</v>
      </c>
      <c r="E61" s="4">
        <f>English!F60</f>
        <v>1</v>
      </c>
      <c r="F61" s="4">
        <f>ICT!H60</f>
        <v>5</v>
      </c>
      <c r="G61" s="42">
        <f>Physics!H60</f>
        <v>3.5</v>
      </c>
      <c r="H61" s="42">
        <f>Chemistry!H60</f>
        <v>5</v>
      </c>
      <c r="I61" s="42">
        <f>Biology!H60</f>
        <v>3</v>
      </c>
      <c r="J61" s="42">
        <f>Math!H60</f>
        <v>5</v>
      </c>
      <c r="K61" s="30">
        <f t="shared" si="12"/>
        <v>1</v>
      </c>
      <c r="L61" s="30">
        <f t="shared" si="13"/>
        <v>1</v>
      </c>
      <c r="M61" s="30">
        <f t="shared" si="14"/>
        <v>1</v>
      </c>
      <c r="N61" s="30">
        <f t="shared" si="15"/>
        <v>1</v>
      </c>
      <c r="O61" s="30">
        <f t="shared" si="16"/>
        <v>1</v>
      </c>
      <c r="P61" s="30">
        <f t="shared" si="17"/>
        <v>1</v>
      </c>
      <c r="Q61" s="30">
        <f t="shared" si="18"/>
        <v>6</v>
      </c>
      <c r="R61" s="3">
        <f t="shared" si="19"/>
        <v>21</v>
      </c>
      <c r="S61" s="3">
        <f t="shared" si="20"/>
        <v>26</v>
      </c>
      <c r="T61" s="7">
        <f t="shared" si="21"/>
        <v>3.5</v>
      </c>
      <c r="U61" s="3" t="str">
        <f t="shared" si="22"/>
        <v>Pass</v>
      </c>
      <c r="V61" s="7">
        <f t="shared" si="23"/>
        <v>4.333333333333333</v>
      </c>
      <c r="W61" s="8">
        <f>'Detailed Summary'!BK60</f>
        <v>2</v>
      </c>
    </row>
    <row r="62" spans="1:23" hidden="1" x14ac:dyDescent="0.35">
      <c r="A62"/>
      <c r="B62" s="4">
        <f>'Student Basic Info'!A61</f>
        <v>760</v>
      </c>
      <c r="C62" s="4" t="str">
        <f>'Student Basic Info'!C61</f>
        <v>Imdadul Haque Zidan</v>
      </c>
      <c r="D62" s="4">
        <f>Bangla!G61</f>
        <v>1</v>
      </c>
      <c r="E62" s="4">
        <f>English!F61</f>
        <v>1</v>
      </c>
      <c r="F62" s="4" t="str">
        <f>ICT!H61</f>
        <v/>
      </c>
      <c r="G62" s="42">
        <f>Physics!H61</f>
        <v>0</v>
      </c>
      <c r="H62" s="42">
        <f>Chemistry!H61</f>
        <v>3</v>
      </c>
      <c r="I62" s="42">
        <f>Biology!H61</f>
        <v>0</v>
      </c>
      <c r="J62" s="42">
        <f>Math!H61</f>
        <v>0</v>
      </c>
      <c r="K62" s="30">
        <f t="shared" si="12"/>
        <v>1</v>
      </c>
      <c r="L62" s="30">
        <f t="shared" si="13"/>
        <v>1</v>
      </c>
      <c r="M62" s="30">
        <f t="shared" si="14"/>
        <v>0</v>
      </c>
      <c r="N62" s="30">
        <f t="shared" si="15"/>
        <v>0</v>
      </c>
      <c r="O62" s="30">
        <f t="shared" si="16"/>
        <v>1</v>
      </c>
      <c r="P62" s="30">
        <f t="shared" si="17"/>
        <v>0</v>
      </c>
      <c r="Q62" s="30">
        <f t="shared" si="18"/>
        <v>3</v>
      </c>
      <c r="R62" s="3" t="str">
        <f t="shared" si="19"/>
        <v/>
      </c>
      <c r="S62" s="3" t="str">
        <f t="shared" si="20"/>
        <v/>
      </c>
      <c r="T62" s="7" t="str">
        <f t="shared" si="21"/>
        <v/>
      </c>
      <c r="U62" s="3" t="str">
        <f t="shared" si="22"/>
        <v>Failed in 3 Subjects</v>
      </c>
      <c r="V62" s="7" t="str">
        <f t="shared" si="23"/>
        <v/>
      </c>
      <c r="W62" s="8" t="str">
        <f>'Detailed Summary'!BK61</f>
        <v/>
      </c>
    </row>
    <row r="63" spans="1:23" hidden="1" x14ac:dyDescent="0.35">
      <c r="A63"/>
      <c r="B63" s="4">
        <f>'Student Basic Info'!A62</f>
        <v>761</v>
      </c>
      <c r="C63" s="4" t="str">
        <f>'Student Basic Info'!C62</f>
        <v>Nazmul Haque Sayem</v>
      </c>
      <c r="D63" s="4">
        <f>Bangla!G62</f>
        <v>1</v>
      </c>
      <c r="E63" s="4">
        <f>English!F62</f>
        <v>1</v>
      </c>
      <c r="F63" s="4">
        <f>ICT!H62</f>
        <v>3.5</v>
      </c>
      <c r="G63" s="42">
        <f>Physics!H62</f>
        <v>0</v>
      </c>
      <c r="H63" s="42" t="str">
        <f>Chemistry!H62</f>
        <v/>
      </c>
      <c r="I63" s="42">
        <f>Biology!H62</f>
        <v>0</v>
      </c>
      <c r="J63" s="42">
        <f>Math!H62</f>
        <v>0</v>
      </c>
      <c r="K63" s="30">
        <f t="shared" si="12"/>
        <v>1</v>
      </c>
      <c r="L63" s="30">
        <f t="shared" si="13"/>
        <v>1</v>
      </c>
      <c r="M63" s="30">
        <f t="shared" si="14"/>
        <v>1</v>
      </c>
      <c r="N63" s="30">
        <f t="shared" si="15"/>
        <v>0</v>
      </c>
      <c r="O63" s="30">
        <f t="shared" si="16"/>
        <v>0</v>
      </c>
      <c r="P63" s="30">
        <f t="shared" si="17"/>
        <v>0</v>
      </c>
      <c r="Q63" s="30">
        <f t="shared" si="18"/>
        <v>3</v>
      </c>
      <c r="R63" s="3" t="str">
        <f t="shared" si="19"/>
        <v/>
      </c>
      <c r="S63" s="3" t="str">
        <f t="shared" si="20"/>
        <v/>
      </c>
      <c r="T63" s="7" t="str">
        <f t="shared" si="21"/>
        <v/>
      </c>
      <c r="U63" s="3" t="str">
        <f t="shared" si="22"/>
        <v>Failed in 3 Subjects</v>
      </c>
      <c r="V63" s="7" t="str">
        <f t="shared" si="23"/>
        <v/>
      </c>
      <c r="W63" s="8" t="str">
        <f>'Detailed Summary'!BK62</f>
        <v/>
      </c>
    </row>
    <row r="64" spans="1:23" hidden="1" x14ac:dyDescent="0.35">
      <c r="A64"/>
      <c r="B64" s="4">
        <f>'Student Basic Info'!A63</f>
        <v>762</v>
      </c>
      <c r="C64" s="4" t="str">
        <f>'Student Basic Info'!C63</f>
        <v>Sadbin Hasan Shourov</v>
      </c>
      <c r="D64" s="4">
        <f>Bangla!G63</f>
        <v>1</v>
      </c>
      <c r="E64" s="4">
        <f>English!F63</f>
        <v>2</v>
      </c>
      <c r="F64" s="4">
        <f>ICT!H63</f>
        <v>3.5</v>
      </c>
      <c r="G64" s="42">
        <f>Physics!H63</f>
        <v>0</v>
      </c>
      <c r="H64" s="42">
        <f>Chemistry!H63</f>
        <v>2</v>
      </c>
      <c r="I64" s="42">
        <f>Biology!H63</f>
        <v>0</v>
      </c>
      <c r="J64" s="42">
        <f>Math!H63</f>
        <v>0</v>
      </c>
      <c r="K64" s="30">
        <f t="shared" si="12"/>
        <v>1</v>
      </c>
      <c r="L64" s="30">
        <f t="shared" si="13"/>
        <v>1</v>
      </c>
      <c r="M64" s="30">
        <f t="shared" si="14"/>
        <v>1</v>
      </c>
      <c r="N64" s="30">
        <f t="shared" si="15"/>
        <v>0</v>
      </c>
      <c r="O64" s="30">
        <f t="shared" si="16"/>
        <v>1</v>
      </c>
      <c r="P64" s="30">
        <f t="shared" si="17"/>
        <v>0</v>
      </c>
      <c r="Q64" s="30">
        <f t="shared" si="18"/>
        <v>4</v>
      </c>
      <c r="R64" s="3" t="str">
        <f t="shared" si="19"/>
        <v/>
      </c>
      <c r="S64" s="3" t="str">
        <f t="shared" si="20"/>
        <v/>
      </c>
      <c r="T64" s="7" t="str">
        <f t="shared" si="21"/>
        <v/>
      </c>
      <c r="U64" s="3" t="str">
        <f t="shared" si="22"/>
        <v>Failed in 2 Subjects</v>
      </c>
      <c r="V64" s="7" t="str">
        <f t="shared" si="23"/>
        <v/>
      </c>
      <c r="W64" s="8" t="str">
        <f>'Detailed Summary'!BK63</f>
        <v/>
      </c>
    </row>
    <row r="65" spans="1:23" hidden="1" x14ac:dyDescent="0.35">
      <c r="A65"/>
      <c r="B65" s="4">
        <f>'Student Basic Info'!A64</f>
        <v>763</v>
      </c>
      <c r="C65" s="4" t="str">
        <f>'Student Basic Info'!C64</f>
        <v>Sujayet Hosain</v>
      </c>
      <c r="D65" s="4">
        <f>Bangla!G64</f>
        <v>3</v>
      </c>
      <c r="E65" s="4">
        <f>English!F64</f>
        <v>1</v>
      </c>
      <c r="F65" s="4">
        <f>ICT!H64</f>
        <v>0</v>
      </c>
      <c r="G65" s="42">
        <f>Physics!H64</f>
        <v>0</v>
      </c>
      <c r="H65" s="42">
        <f>Chemistry!H64</f>
        <v>3</v>
      </c>
      <c r="I65" s="42">
        <f>Biology!H64</f>
        <v>3</v>
      </c>
      <c r="J65" s="42">
        <f>Math!H64</f>
        <v>0</v>
      </c>
      <c r="K65" s="30">
        <f t="shared" si="12"/>
        <v>1</v>
      </c>
      <c r="L65" s="30">
        <f t="shared" si="13"/>
        <v>1</v>
      </c>
      <c r="M65" s="30">
        <f t="shared" si="14"/>
        <v>0</v>
      </c>
      <c r="N65" s="30">
        <f t="shared" si="15"/>
        <v>0</v>
      </c>
      <c r="O65" s="30">
        <f t="shared" si="16"/>
        <v>1</v>
      </c>
      <c r="P65" s="30">
        <f t="shared" si="17"/>
        <v>1</v>
      </c>
      <c r="Q65" s="30">
        <f t="shared" si="18"/>
        <v>4</v>
      </c>
      <c r="R65" s="3" t="str">
        <f t="shared" si="19"/>
        <v/>
      </c>
      <c r="S65" s="3" t="str">
        <f t="shared" si="20"/>
        <v/>
      </c>
      <c r="T65" s="7" t="str">
        <f t="shared" si="21"/>
        <v/>
      </c>
      <c r="U65" s="3" t="str">
        <f t="shared" si="22"/>
        <v>Failed in 2 Subjects</v>
      </c>
      <c r="V65" s="7" t="str">
        <f t="shared" si="23"/>
        <v/>
      </c>
      <c r="W65" s="8" t="str">
        <f>'Detailed Summary'!BK64</f>
        <v/>
      </c>
    </row>
    <row r="66" spans="1:23" hidden="1" x14ac:dyDescent="0.35">
      <c r="A66"/>
      <c r="B66" s="4">
        <f>'Student Basic Info'!A65</f>
        <v>764</v>
      </c>
      <c r="C66" s="4" t="str">
        <f>'Student Basic Info'!C65</f>
        <v>Kishor Chandra Nath</v>
      </c>
      <c r="D66" s="4">
        <f>Bangla!G65</f>
        <v>0</v>
      </c>
      <c r="E66" s="4">
        <f>English!F65</f>
        <v>0</v>
      </c>
      <c r="F66" s="4">
        <f>ICT!H65</f>
        <v>0</v>
      </c>
      <c r="G66" s="42">
        <f>Physics!H65</f>
        <v>0</v>
      </c>
      <c r="H66" s="42">
        <f>Chemistry!H65</f>
        <v>0</v>
      </c>
      <c r="I66" s="42">
        <f>Biology!H65</f>
        <v>0</v>
      </c>
      <c r="J66" s="42">
        <f>Math!H65</f>
        <v>0</v>
      </c>
      <c r="K66" s="30">
        <f t="shared" si="12"/>
        <v>0</v>
      </c>
      <c r="L66" s="30">
        <f t="shared" si="13"/>
        <v>0</v>
      </c>
      <c r="M66" s="30">
        <f t="shared" si="14"/>
        <v>0</v>
      </c>
      <c r="N66" s="30">
        <f t="shared" si="15"/>
        <v>0</v>
      </c>
      <c r="O66" s="30">
        <f t="shared" si="16"/>
        <v>0</v>
      </c>
      <c r="P66" s="30">
        <f t="shared" si="17"/>
        <v>0</v>
      </c>
      <c r="Q66" s="30">
        <f t="shared" si="18"/>
        <v>0</v>
      </c>
      <c r="R66" s="3" t="str">
        <f t="shared" si="19"/>
        <v/>
      </c>
      <c r="S66" s="3" t="str">
        <f t="shared" si="20"/>
        <v/>
      </c>
      <c r="T66" s="7" t="str">
        <f t="shared" si="21"/>
        <v/>
      </c>
      <c r="U66" s="3" t="str">
        <f t="shared" si="22"/>
        <v>Failed in 6 Subjects</v>
      </c>
      <c r="V66" s="7" t="str">
        <f t="shared" si="23"/>
        <v/>
      </c>
      <c r="W66" s="8" t="str">
        <f>'Detailed Summary'!BK65</f>
        <v/>
      </c>
    </row>
    <row r="67" spans="1:23" hidden="1" x14ac:dyDescent="0.35">
      <c r="A67"/>
      <c r="B67" s="4">
        <f>'Student Basic Info'!A66</f>
        <v>765</v>
      </c>
      <c r="C67" s="4" t="str">
        <f>'Student Basic Info'!C66</f>
        <v>Apurbo Shorma Apu</v>
      </c>
      <c r="D67" s="4">
        <f>Bangla!G66</f>
        <v>3</v>
      </c>
      <c r="E67" s="4">
        <f>English!F66</f>
        <v>3</v>
      </c>
      <c r="F67" s="4">
        <f>ICT!H66</f>
        <v>4</v>
      </c>
      <c r="G67" s="42">
        <f>Physics!H66</f>
        <v>3</v>
      </c>
      <c r="H67" s="42">
        <f>Chemistry!H66</f>
        <v>4</v>
      </c>
      <c r="I67" s="42">
        <f>Biology!H66</f>
        <v>3</v>
      </c>
      <c r="J67" s="42">
        <f>Math!H66</f>
        <v>0</v>
      </c>
      <c r="K67" s="30">
        <f t="shared" ref="K67:K89" si="24">(IF(D67="",0,IF(D67=0,0,1)))</f>
        <v>1</v>
      </c>
      <c r="L67" s="30">
        <f t="shared" ref="L67:L89" si="25">(IF(E67="",0,IF(E67=0,0,1)))</f>
        <v>1</v>
      </c>
      <c r="M67" s="30">
        <f t="shared" ref="M67:M89" si="26">(IF(F67="",0,IF(F67=0,0,1)))</f>
        <v>1</v>
      </c>
      <c r="N67" s="30">
        <f t="shared" ref="N67:N89" si="27">(IF(G67="",0,IF(G67=0,0,1)))</f>
        <v>1</v>
      </c>
      <c r="O67" s="30">
        <f t="shared" ref="O67:O89" si="28">(IF(H67="",0,IF(H67=0,0,1)))</f>
        <v>1</v>
      </c>
      <c r="P67" s="30">
        <f t="shared" ref="P67:P89" si="29">(IF(I67="",0,IF(I67=0,0,1)))</f>
        <v>1</v>
      </c>
      <c r="Q67" s="30">
        <f t="shared" ref="Q67:Q89" si="30">SUM(K67:P67)</f>
        <v>6</v>
      </c>
      <c r="R67" s="3">
        <f t="shared" ref="R67:R89" si="31">IF(OR(D67=0,E67=0,F67=0,G67=0,H67=0,I67=0,D67="",E67="",F67="",G67="",H67="",I67=""),"",SUM(D67:I67))</f>
        <v>20</v>
      </c>
      <c r="S67" s="3">
        <f t="shared" ref="S67:S89" si="32">IF(OR(D67=0,E67=0,F67=0,G67=0,H67=0,I67=0,D67="",E67="",F67="",G67="",H67="",I67=""),"",SUM(D67:J67))</f>
        <v>20</v>
      </c>
      <c r="T67" s="7">
        <f t="shared" ref="T67:T89" si="33">IF(R67="","",IF(((R67/6)&gt;5),5,R67/6))</f>
        <v>3.3333333333333335</v>
      </c>
      <c r="U67" s="3" t="str">
        <f t="shared" ref="U67:U89" si="34">IF(Q67=0,"Failed in 6 Subjects",IF(Q67=1,"Failed in 5 Subjects",IF(Q67=2,"Failed in 4 Subjects",IF(Q67=3,"Failed in 3 Subjects",IF(Q67=4,"Failed in 2 Subjects",IF(Q67=5,"Failed in 1 Subject","Pass"))))))</f>
        <v>Pass</v>
      </c>
      <c r="V67" s="7">
        <f t="shared" ref="V67:V89" si="35">IF(S67="","",IF(((S67/6)&gt;5),5,S67/6))</f>
        <v>3.3333333333333335</v>
      </c>
      <c r="W67" s="8">
        <f>'Detailed Summary'!BK66</f>
        <v>5</v>
      </c>
    </row>
    <row r="68" spans="1:23" hidden="1" x14ac:dyDescent="0.35">
      <c r="A68" s="115">
        <v>5</v>
      </c>
      <c r="B68" s="111">
        <f>'Student Basic Info'!A67</f>
        <v>766</v>
      </c>
      <c r="C68" s="112" t="str">
        <f>'Student Basic Info'!C67</f>
        <v xml:space="preserve">Md. Ibrahim Khalil </v>
      </c>
      <c r="D68" s="4">
        <f>Bangla!G67</f>
        <v>3</v>
      </c>
      <c r="E68" s="4">
        <f>English!F67</f>
        <v>2</v>
      </c>
      <c r="F68" s="4">
        <f>ICT!H67</f>
        <v>3.5</v>
      </c>
      <c r="G68" s="42">
        <f>Physics!H67</f>
        <v>4</v>
      </c>
      <c r="H68" s="42">
        <f>Chemistry!H67</f>
        <v>3.5</v>
      </c>
      <c r="I68" s="42">
        <f>Biology!H67</f>
        <v>3</v>
      </c>
      <c r="J68" s="42">
        <f>Math!H67</f>
        <v>0</v>
      </c>
      <c r="K68" s="30">
        <f t="shared" si="24"/>
        <v>1</v>
      </c>
      <c r="L68" s="30">
        <f t="shared" si="25"/>
        <v>1</v>
      </c>
      <c r="M68" s="30">
        <f t="shared" si="26"/>
        <v>1</v>
      </c>
      <c r="N68" s="30">
        <f t="shared" si="27"/>
        <v>1</v>
      </c>
      <c r="O68" s="30">
        <f t="shared" si="28"/>
        <v>1</v>
      </c>
      <c r="P68" s="30">
        <f t="shared" si="29"/>
        <v>1</v>
      </c>
      <c r="Q68" s="30">
        <f t="shared" si="30"/>
        <v>6</v>
      </c>
      <c r="R68" s="3">
        <f t="shared" si="31"/>
        <v>19</v>
      </c>
      <c r="S68" s="3">
        <f t="shared" si="32"/>
        <v>19</v>
      </c>
      <c r="T68" s="7">
        <f t="shared" si="33"/>
        <v>3.1666666666666665</v>
      </c>
      <c r="U68" s="115" t="str">
        <f t="shared" si="34"/>
        <v>Pass</v>
      </c>
      <c r="V68" s="7">
        <f t="shared" si="35"/>
        <v>3.1666666666666665</v>
      </c>
      <c r="W68" s="116">
        <f>'Detailed Summary'!BK67</f>
        <v>7</v>
      </c>
    </row>
    <row r="69" spans="1:23" hidden="1" x14ac:dyDescent="0.35">
      <c r="A69" s="115">
        <v>6</v>
      </c>
      <c r="B69" s="111">
        <f>'Student Basic Info'!A68</f>
        <v>767</v>
      </c>
      <c r="C69" s="112" t="str">
        <f>'Student Basic Info'!C68</f>
        <v>Ayman Mahmud Tawsif</v>
      </c>
      <c r="D69" s="4">
        <f>Bangla!G68</f>
        <v>3.5</v>
      </c>
      <c r="E69" s="4">
        <f>English!F68</f>
        <v>3</v>
      </c>
      <c r="F69" s="4">
        <f>ICT!H68</f>
        <v>4</v>
      </c>
      <c r="G69" s="42">
        <f>Physics!H68</f>
        <v>4</v>
      </c>
      <c r="H69" s="42">
        <f>Chemistry!H68</f>
        <v>3</v>
      </c>
      <c r="I69" s="42">
        <f>Biology!H68</f>
        <v>3</v>
      </c>
      <c r="J69" s="42">
        <f>Math!H68</f>
        <v>0</v>
      </c>
      <c r="K69" s="30">
        <f t="shared" si="24"/>
        <v>1</v>
      </c>
      <c r="L69" s="30">
        <f t="shared" si="25"/>
        <v>1</v>
      </c>
      <c r="M69" s="30">
        <f t="shared" si="26"/>
        <v>1</v>
      </c>
      <c r="N69" s="30">
        <f t="shared" si="27"/>
        <v>1</v>
      </c>
      <c r="O69" s="30">
        <f t="shared" si="28"/>
        <v>1</v>
      </c>
      <c r="P69" s="30">
        <f t="shared" si="29"/>
        <v>1</v>
      </c>
      <c r="Q69" s="30">
        <f t="shared" si="30"/>
        <v>6</v>
      </c>
      <c r="R69" s="3">
        <f t="shared" si="31"/>
        <v>20.5</v>
      </c>
      <c r="S69" s="3">
        <f t="shared" si="32"/>
        <v>20.5</v>
      </c>
      <c r="T69" s="7">
        <f t="shared" si="33"/>
        <v>3.4166666666666665</v>
      </c>
      <c r="U69" s="115" t="str">
        <f t="shared" si="34"/>
        <v>Pass</v>
      </c>
      <c r="V69" s="7">
        <f t="shared" si="35"/>
        <v>3.4166666666666665</v>
      </c>
      <c r="W69" s="116">
        <f>'Detailed Summary'!BK68</f>
        <v>4</v>
      </c>
    </row>
    <row r="70" spans="1:23" hidden="1" x14ac:dyDescent="0.35">
      <c r="A70"/>
      <c r="B70" s="4">
        <f>'Student Basic Info'!A69</f>
        <v>768</v>
      </c>
      <c r="C70" s="4" t="str">
        <f>'Student Basic Info'!C69</f>
        <v>Tanvir Hosain</v>
      </c>
      <c r="D70" s="4">
        <f>Bangla!G69</f>
        <v>2</v>
      </c>
      <c r="E70" s="4">
        <f>English!F69</f>
        <v>0</v>
      </c>
      <c r="F70" s="4">
        <f>ICT!H69</f>
        <v>3</v>
      </c>
      <c r="G70" s="42">
        <f>Physics!H69</f>
        <v>3</v>
      </c>
      <c r="H70" s="42">
        <f>Chemistry!H69</f>
        <v>0</v>
      </c>
      <c r="I70" s="42">
        <f>Biology!H69</f>
        <v>2</v>
      </c>
      <c r="J70" s="42">
        <f>Math!H69</f>
        <v>0</v>
      </c>
      <c r="K70" s="30">
        <f t="shared" si="24"/>
        <v>1</v>
      </c>
      <c r="L70" s="30">
        <f t="shared" si="25"/>
        <v>0</v>
      </c>
      <c r="M70" s="30">
        <f t="shared" si="26"/>
        <v>1</v>
      </c>
      <c r="N70" s="30">
        <f t="shared" si="27"/>
        <v>1</v>
      </c>
      <c r="O70" s="30">
        <f t="shared" si="28"/>
        <v>0</v>
      </c>
      <c r="P70" s="30">
        <f t="shared" si="29"/>
        <v>1</v>
      </c>
      <c r="Q70" s="30">
        <f t="shared" si="30"/>
        <v>4</v>
      </c>
      <c r="R70" s="3" t="str">
        <f t="shared" si="31"/>
        <v/>
      </c>
      <c r="S70" s="3" t="str">
        <f t="shared" si="32"/>
        <v/>
      </c>
      <c r="T70" s="7" t="str">
        <f t="shared" si="33"/>
        <v/>
      </c>
      <c r="U70" s="3" t="str">
        <f t="shared" si="34"/>
        <v>Failed in 2 Subjects</v>
      </c>
      <c r="V70" s="7" t="str">
        <f t="shared" si="35"/>
        <v/>
      </c>
      <c r="W70" s="8" t="str">
        <f>'Detailed Summary'!BK69</f>
        <v/>
      </c>
    </row>
    <row r="71" spans="1:23" hidden="1" x14ac:dyDescent="0.35">
      <c r="A71"/>
      <c r="B71" s="4">
        <f>'Student Basic Info'!A70</f>
        <v>769</v>
      </c>
      <c r="C71" s="4" t="str">
        <f>'Student Basic Info'!C70</f>
        <v>Abdullah Al Noman</v>
      </c>
      <c r="D71" s="4" t="str">
        <f>Bangla!G70</f>
        <v/>
      </c>
      <c r="E71" s="4" t="str">
        <f>English!F70</f>
        <v/>
      </c>
      <c r="F71" s="4" t="str">
        <f>ICT!H70</f>
        <v/>
      </c>
      <c r="G71" s="42" t="str">
        <f>Physics!H70</f>
        <v/>
      </c>
      <c r="H71" s="42">
        <f>Chemistry!H70</f>
        <v>0</v>
      </c>
      <c r="I71" s="42" t="str">
        <f>Biology!H70</f>
        <v/>
      </c>
      <c r="J71" s="42">
        <f>Math!H70</f>
        <v>0</v>
      </c>
      <c r="K71" s="30">
        <f t="shared" si="24"/>
        <v>0</v>
      </c>
      <c r="L71" s="30">
        <f t="shared" si="25"/>
        <v>0</v>
      </c>
      <c r="M71" s="30">
        <f t="shared" si="26"/>
        <v>0</v>
      </c>
      <c r="N71" s="30">
        <f t="shared" si="27"/>
        <v>0</v>
      </c>
      <c r="O71" s="30">
        <f t="shared" si="28"/>
        <v>0</v>
      </c>
      <c r="P71" s="30">
        <f t="shared" si="29"/>
        <v>0</v>
      </c>
      <c r="Q71" s="30">
        <f t="shared" si="30"/>
        <v>0</v>
      </c>
      <c r="R71" s="3" t="str">
        <f t="shared" si="31"/>
        <v/>
      </c>
      <c r="S71" s="3" t="str">
        <f t="shared" si="32"/>
        <v/>
      </c>
      <c r="T71" s="7" t="str">
        <f t="shared" si="33"/>
        <v/>
      </c>
      <c r="U71" s="3" t="str">
        <f t="shared" si="34"/>
        <v>Failed in 6 Subjects</v>
      </c>
      <c r="V71" s="7" t="str">
        <f t="shared" si="35"/>
        <v/>
      </c>
      <c r="W71" s="8" t="str">
        <f>'Detailed Summary'!BK70</f>
        <v/>
      </c>
    </row>
    <row r="72" spans="1:23" hidden="1" x14ac:dyDescent="0.35">
      <c r="A72"/>
      <c r="B72" s="4">
        <f>'Student Basic Info'!A71</f>
        <v>770</v>
      </c>
      <c r="C72" s="4" t="str">
        <f>'Student Basic Info'!C71</f>
        <v>Ashraf Uddal</v>
      </c>
      <c r="D72" s="4">
        <f>Bangla!G71</f>
        <v>0</v>
      </c>
      <c r="E72" s="4">
        <f>English!F71</f>
        <v>0</v>
      </c>
      <c r="F72" s="4">
        <f>ICT!H71</f>
        <v>0</v>
      </c>
      <c r="G72" s="42">
        <f>Physics!H71</f>
        <v>0</v>
      </c>
      <c r="H72" s="42" t="str">
        <f>Chemistry!H71</f>
        <v/>
      </c>
      <c r="I72" s="42">
        <f>Biology!H71</f>
        <v>0</v>
      </c>
      <c r="J72" s="42">
        <f>Math!H71</f>
        <v>0</v>
      </c>
      <c r="K72" s="30">
        <f t="shared" si="24"/>
        <v>0</v>
      </c>
      <c r="L72" s="30">
        <f t="shared" si="25"/>
        <v>0</v>
      </c>
      <c r="M72" s="30">
        <f t="shared" si="26"/>
        <v>0</v>
      </c>
      <c r="N72" s="30">
        <f t="shared" si="27"/>
        <v>0</v>
      </c>
      <c r="O72" s="30">
        <f t="shared" si="28"/>
        <v>0</v>
      </c>
      <c r="P72" s="30">
        <f t="shared" si="29"/>
        <v>0</v>
      </c>
      <c r="Q72" s="30">
        <f t="shared" si="30"/>
        <v>0</v>
      </c>
      <c r="R72" s="3" t="str">
        <f t="shared" si="31"/>
        <v/>
      </c>
      <c r="S72" s="3" t="str">
        <f t="shared" si="32"/>
        <v/>
      </c>
      <c r="T72" s="7" t="str">
        <f t="shared" si="33"/>
        <v/>
      </c>
      <c r="U72" s="3" t="str">
        <f t="shared" si="34"/>
        <v>Failed in 6 Subjects</v>
      </c>
      <c r="V72" s="7" t="str">
        <f t="shared" si="35"/>
        <v/>
      </c>
      <c r="W72" s="8" t="str">
        <f>'Detailed Summary'!BK71</f>
        <v/>
      </c>
    </row>
    <row r="73" spans="1:23" hidden="1" x14ac:dyDescent="0.35">
      <c r="A73"/>
      <c r="B73" s="4">
        <f>'Student Basic Info'!A72</f>
        <v>771</v>
      </c>
      <c r="C73" s="4" t="str">
        <f>'Student Basic Info'!C72</f>
        <v>Mesfar Uddin Ripti</v>
      </c>
      <c r="D73" s="4" t="str">
        <f>Bangla!G72</f>
        <v/>
      </c>
      <c r="E73" s="4" t="str">
        <f>English!F72</f>
        <v/>
      </c>
      <c r="F73" s="4" t="str">
        <f>ICT!H72</f>
        <v/>
      </c>
      <c r="G73" s="42">
        <f>Physics!H72</f>
        <v>0</v>
      </c>
      <c r="H73" s="42" t="str">
        <f>Chemistry!H72</f>
        <v/>
      </c>
      <c r="I73" s="42">
        <f>Biology!H72</f>
        <v>0</v>
      </c>
      <c r="J73" s="42" t="str">
        <f>Math!H72</f>
        <v/>
      </c>
      <c r="K73" s="30">
        <f t="shared" si="24"/>
        <v>0</v>
      </c>
      <c r="L73" s="30">
        <f t="shared" si="25"/>
        <v>0</v>
      </c>
      <c r="M73" s="30">
        <f t="shared" si="26"/>
        <v>0</v>
      </c>
      <c r="N73" s="30">
        <f t="shared" si="27"/>
        <v>0</v>
      </c>
      <c r="O73" s="30">
        <f t="shared" si="28"/>
        <v>0</v>
      </c>
      <c r="P73" s="30">
        <f t="shared" si="29"/>
        <v>0</v>
      </c>
      <c r="Q73" s="30">
        <f t="shared" si="30"/>
        <v>0</v>
      </c>
      <c r="R73" s="3" t="str">
        <f t="shared" si="31"/>
        <v/>
      </c>
      <c r="S73" s="3" t="str">
        <f t="shared" si="32"/>
        <v/>
      </c>
      <c r="T73" s="7" t="str">
        <f t="shared" si="33"/>
        <v/>
      </c>
      <c r="U73" s="3" t="str">
        <f t="shared" si="34"/>
        <v>Failed in 6 Subjects</v>
      </c>
      <c r="V73" s="7" t="str">
        <f t="shared" si="35"/>
        <v/>
      </c>
      <c r="W73" s="8" t="str">
        <f>'Detailed Summary'!BK72</f>
        <v/>
      </c>
    </row>
    <row r="74" spans="1:23" hidden="1" x14ac:dyDescent="0.35">
      <c r="A74"/>
      <c r="B74" s="4">
        <f>'Student Basic Info'!A73</f>
        <v>772</v>
      </c>
      <c r="C74" s="4" t="str">
        <f>'Student Basic Info'!C73</f>
        <v>Shoikot Chandra Shil</v>
      </c>
      <c r="D74" s="4">
        <f>Bangla!G73</f>
        <v>0</v>
      </c>
      <c r="E74" s="4">
        <f>English!F73</f>
        <v>0</v>
      </c>
      <c r="F74" s="4">
        <f>ICT!H73</f>
        <v>0</v>
      </c>
      <c r="G74" s="42">
        <f>Physics!H73</f>
        <v>0</v>
      </c>
      <c r="H74" s="42" t="str">
        <f>Chemistry!H73</f>
        <v/>
      </c>
      <c r="I74" s="42">
        <f>Biology!H73</f>
        <v>0</v>
      </c>
      <c r="J74" s="42">
        <f>Math!H73</f>
        <v>0</v>
      </c>
      <c r="K74" s="30">
        <f t="shared" si="24"/>
        <v>0</v>
      </c>
      <c r="L74" s="30">
        <f t="shared" si="25"/>
        <v>0</v>
      </c>
      <c r="M74" s="30">
        <f t="shared" si="26"/>
        <v>0</v>
      </c>
      <c r="N74" s="30">
        <f t="shared" si="27"/>
        <v>0</v>
      </c>
      <c r="O74" s="30">
        <f t="shared" si="28"/>
        <v>0</v>
      </c>
      <c r="P74" s="30">
        <f t="shared" si="29"/>
        <v>0</v>
      </c>
      <c r="Q74" s="30">
        <f t="shared" si="30"/>
        <v>0</v>
      </c>
      <c r="R74" s="3" t="str">
        <f t="shared" si="31"/>
        <v/>
      </c>
      <c r="S74" s="3" t="str">
        <f t="shared" si="32"/>
        <v/>
      </c>
      <c r="T74" s="7" t="str">
        <f t="shared" si="33"/>
        <v/>
      </c>
      <c r="U74" s="3" t="str">
        <f t="shared" si="34"/>
        <v>Failed in 6 Subjects</v>
      </c>
      <c r="V74" s="7" t="str">
        <f t="shared" si="35"/>
        <v/>
      </c>
      <c r="W74" s="8" t="str">
        <f>'Detailed Summary'!BK73</f>
        <v/>
      </c>
    </row>
    <row r="75" spans="1:23" hidden="1" x14ac:dyDescent="0.35">
      <c r="A75"/>
      <c r="B75" s="4">
        <f>'Student Basic Info'!A74</f>
        <v>773</v>
      </c>
      <c r="C75" s="4" t="str">
        <f>'Student Basic Info'!C74</f>
        <v>Shourov Chandra Shil</v>
      </c>
      <c r="D75" s="4">
        <f>Bangla!G74</f>
        <v>0</v>
      </c>
      <c r="E75" s="4">
        <f>English!F74</f>
        <v>0</v>
      </c>
      <c r="F75" s="4">
        <f>ICT!H74</f>
        <v>0</v>
      </c>
      <c r="G75" s="42">
        <f>Physics!H74</f>
        <v>0</v>
      </c>
      <c r="H75" s="42" t="str">
        <f>Chemistry!H74</f>
        <v/>
      </c>
      <c r="I75" s="42">
        <f>Biology!H74</f>
        <v>0</v>
      </c>
      <c r="J75" s="42">
        <f>Math!H74</f>
        <v>0</v>
      </c>
      <c r="K75" s="30">
        <f t="shared" si="24"/>
        <v>0</v>
      </c>
      <c r="L75" s="30">
        <f t="shared" si="25"/>
        <v>0</v>
      </c>
      <c r="M75" s="30">
        <f t="shared" si="26"/>
        <v>0</v>
      </c>
      <c r="N75" s="30">
        <f t="shared" si="27"/>
        <v>0</v>
      </c>
      <c r="O75" s="30">
        <f t="shared" si="28"/>
        <v>0</v>
      </c>
      <c r="P75" s="30">
        <f t="shared" si="29"/>
        <v>0</v>
      </c>
      <c r="Q75" s="30">
        <f t="shared" si="30"/>
        <v>0</v>
      </c>
      <c r="R75" s="3" t="str">
        <f t="shared" si="31"/>
        <v/>
      </c>
      <c r="S75" s="3" t="str">
        <f t="shared" si="32"/>
        <v/>
      </c>
      <c r="T75" s="7" t="str">
        <f t="shared" si="33"/>
        <v/>
      </c>
      <c r="U75" s="3" t="str">
        <f t="shared" si="34"/>
        <v>Failed in 6 Subjects</v>
      </c>
      <c r="V75" s="7" t="str">
        <f t="shared" si="35"/>
        <v/>
      </c>
      <c r="W75" s="8" t="str">
        <f>'Detailed Summary'!BK74</f>
        <v/>
      </c>
    </row>
    <row r="76" spans="1:23" hidden="1" x14ac:dyDescent="0.35">
      <c r="A76"/>
      <c r="B76" s="4">
        <f>'Student Basic Info'!A75</f>
        <v>774</v>
      </c>
      <c r="C76" s="4" t="str">
        <f>'Student Basic Info'!C75</f>
        <v>Nur Islam</v>
      </c>
      <c r="D76" s="4">
        <f>Bangla!G75</f>
        <v>3.5</v>
      </c>
      <c r="E76" s="4">
        <f>English!F75</f>
        <v>0</v>
      </c>
      <c r="F76" s="4">
        <f>ICT!H75</f>
        <v>3</v>
      </c>
      <c r="G76" s="42">
        <f>Physics!H75</f>
        <v>2</v>
      </c>
      <c r="H76" s="42">
        <f>Chemistry!H75</f>
        <v>0</v>
      </c>
      <c r="I76" s="42">
        <f>Biology!H75</f>
        <v>0</v>
      </c>
      <c r="J76" s="42">
        <f>Math!H75</f>
        <v>0</v>
      </c>
      <c r="K76" s="30">
        <f t="shared" si="24"/>
        <v>1</v>
      </c>
      <c r="L76" s="30">
        <f t="shared" si="25"/>
        <v>0</v>
      </c>
      <c r="M76" s="30">
        <f t="shared" si="26"/>
        <v>1</v>
      </c>
      <c r="N76" s="30">
        <f t="shared" si="27"/>
        <v>1</v>
      </c>
      <c r="O76" s="30">
        <f t="shared" si="28"/>
        <v>0</v>
      </c>
      <c r="P76" s="30">
        <f t="shared" si="29"/>
        <v>0</v>
      </c>
      <c r="Q76" s="30">
        <f t="shared" si="30"/>
        <v>3</v>
      </c>
      <c r="R76" s="3" t="str">
        <f t="shared" si="31"/>
        <v/>
      </c>
      <c r="S76" s="3" t="str">
        <f t="shared" si="32"/>
        <v/>
      </c>
      <c r="T76" s="7" t="str">
        <f t="shared" si="33"/>
        <v/>
      </c>
      <c r="U76" s="3" t="str">
        <f t="shared" si="34"/>
        <v>Failed in 3 Subjects</v>
      </c>
      <c r="V76" s="7" t="str">
        <f t="shared" si="35"/>
        <v/>
      </c>
      <c r="W76" s="8" t="str">
        <f>'Detailed Summary'!BK75</f>
        <v/>
      </c>
    </row>
    <row r="77" spans="1:23" hidden="1" x14ac:dyDescent="0.35">
      <c r="A77"/>
      <c r="B77" s="4">
        <f>'Student Basic Info'!A76</f>
        <v>775</v>
      </c>
      <c r="C77" s="4" t="str">
        <f>'Student Basic Info'!C76</f>
        <v>Nur Mohammad Rimon</v>
      </c>
      <c r="D77" s="4">
        <f>Bangla!G76</f>
        <v>0</v>
      </c>
      <c r="E77" s="4">
        <f>English!F76</f>
        <v>0</v>
      </c>
      <c r="F77" s="4">
        <f>ICT!H76</f>
        <v>0</v>
      </c>
      <c r="G77" s="42">
        <f>Physics!H76</f>
        <v>0</v>
      </c>
      <c r="H77" s="42" t="str">
        <f>Chemistry!H76</f>
        <v/>
      </c>
      <c r="I77" s="42">
        <f>Biology!H76</f>
        <v>0</v>
      </c>
      <c r="J77" s="42" t="str">
        <f>Math!H76</f>
        <v/>
      </c>
      <c r="K77" s="30">
        <f t="shared" si="24"/>
        <v>0</v>
      </c>
      <c r="L77" s="30">
        <f t="shared" si="25"/>
        <v>0</v>
      </c>
      <c r="M77" s="30">
        <f t="shared" si="26"/>
        <v>0</v>
      </c>
      <c r="N77" s="30">
        <f t="shared" si="27"/>
        <v>0</v>
      </c>
      <c r="O77" s="30">
        <f t="shared" si="28"/>
        <v>0</v>
      </c>
      <c r="P77" s="30">
        <f t="shared" si="29"/>
        <v>0</v>
      </c>
      <c r="Q77" s="30">
        <f t="shared" si="30"/>
        <v>0</v>
      </c>
      <c r="R77" s="3" t="str">
        <f t="shared" si="31"/>
        <v/>
      </c>
      <c r="S77" s="3" t="str">
        <f t="shared" si="32"/>
        <v/>
      </c>
      <c r="T77" s="7" t="str">
        <f t="shared" si="33"/>
        <v/>
      </c>
      <c r="U77" s="3" t="str">
        <f t="shared" si="34"/>
        <v>Failed in 6 Subjects</v>
      </c>
      <c r="V77" s="7" t="str">
        <f t="shared" si="35"/>
        <v/>
      </c>
      <c r="W77" s="8" t="str">
        <f>'Detailed Summary'!BK76</f>
        <v/>
      </c>
    </row>
    <row r="78" spans="1:23" hidden="1" x14ac:dyDescent="0.35">
      <c r="A78"/>
      <c r="B78" s="4">
        <f>'Student Basic Info'!A77</f>
        <v>776</v>
      </c>
      <c r="C78" s="4" t="str">
        <f>'Student Basic Info'!C77</f>
        <v>Saifullah Mansur</v>
      </c>
      <c r="D78" s="4">
        <f>Bangla!G77</f>
        <v>0</v>
      </c>
      <c r="E78" s="4">
        <f>English!F77</f>
        <v>0</v>
      </c>
      <c r="F78" s="4">
        <f>ICT!H77</f>
        <v>0</v>
      </c>
      <c r="G78" s="42">
        <f>Physics!H77</f>
        <v>0</v>
      </c>
      <c r="H78" s="42">
        <f>Chemistry!H77</f>
        <v>0</v>
      </c>
      <c r="I78" s="42">
        <f>Biology!H77</f>
        <v>0</v>
      </c>
      <c r="J78" s="42">
        <f>Math!H77</f>
        <v>0</v>
      </c>
      <c r="K78" s="30">
        <f t="shared" si="24"/>
        <v>0</v>
      </c>
      <c r="L78" s="30">
        <f t="shared" si="25"/>
        <v>0</v>
      </c>
      <c r="M78" s="30">
        <f t="shared" si="26"/>
        <v>0</v>
      </c>
      <c r="N78" s="30">
        <f t="shared" si="27"/>
        <v>0</v>
      </c>
      <c r="O78" s="30">
        <f t="shared" si="28"/>
        <v>0</v>
      </c>
      <c r="P78" s="30">
        <f t="shared" si="29"/>
        <v>0</v>
      </c>
      <c r="Q78" s="30">
        <f t="shared" si="30"/>
        <v>0</v>
      </c>
      <c r="R78" s="3" t="str">
        <f t="shared" si="31"/>
        <v/>
      </c>
      <c r="S78" s="3" t="str">
        <f t="shared" si="32"/>
        <v/>
      </c>
      <c r="T78" s="7" t="str">
        <f t="shared" si="33"/>
        <v/>
      </c>
      <c r="U78" s="3" t="str">
        <f t="shared" si="34"/>
        <v>Failed in 6 Subjects</v>
      </c>
      <c r="V78" s="7" t="str">
        <f t="shared" si="35"/>
        <v/>
      </c>
      <c r="W78" s="8" t="str">
        <f>'Detailed Summary'!BK77</f>
        <v/>
      </c>
    </row>
    <row r="79" spans="1:23" hidden="1" x14ac:dyDescent="0.35">
      <c r="A79"/>
      <c r="B79" s="4">
        <f>'Student Basic Info'!A78</f>
        <v>777</v>
      </c>
      <c r="C79" s="4" t="str">
        <f>'Student Basic Info'!C78</f>
        <v>Zunayed Al Mamun</v>
      </c>
      <c r="D79" s="4" t="str">
        <f>Bangla!G78</f>
        <v/>
      </c>
      <c r="E79" s="4" t="str">
        <f>English!F78</f>
        <v/>
      </c>
      <c r="F79" s="4" t="str">
        <f>ICT!H78</f>
        <v/>
      </c>
      <c r="G79" s="42" t="str">
        <f>Physics!H78</f>
        <v/>
      </c>
      <c r="H79" s="42" t="str">
        <f>Chemistry!H78</f>
        <v/>
      </c>
      <c r="I79" s="42" t="str">
        <f>Biology!H78</f>
        <v/>
      </c>
      <c r="J79" s="42" t="str">
        <f>Math!H78</f>
        <v/>
      </c>
      <c r="K79" s="30">
        <f t="shared" si="24"/>
        <v>0</v>
      </c>
      <c r="L79" s="30">
        <f t="shared" si="25"/>
        <v>0</v>
      </c>
      <c r="M79" s="30">
        <f t="shared" si="26"/>
        <v>0</v>
      </c>
      <c r="N79" s="30">
        <f t="shared" si="27"/>
        <v>0</v>
      </c>
      <c r="O79" s="30">
        <f t="shared" si="28"/>
        <v>0</v>
      </c>
      <c r="P79" s="30">
        <f t="shared" si="29"/>
        <v>0</v>
      </c>
      <c r="Q79" s="30">
        <f t="shared" si="30"/>
        <v>0</v>
      </c>
      <c r="R79" s="3" t="str">
        <f t="shared" si="31"/>
        <v/>
      </c>
      <c r="S79" s="3" t="str">
        <f t="shared" si="32"/>
        <v/>
      </c>
      <c r="T79" s="7" t="str">
        <f t="shared" si="33"/>
        <v/>
      </c>
      <c r="U79" s="3" t="str">
        <f t="shared" si="34"/>
        <v>Failed in 6 Subjects</v>
      </c>
      <c r="V79" s="7" t="str">
        <f t="shared" si="35"/>
        <v/>
      </c>
      <c r="W79" s="8" t="str">
        <f>'Detailed Summary'!BK78</f>
        <v/>
      </c>
    </row>
    <row r="80" spans="1:23" hidden="1" x14ac:dyDescent="0.35">
      <c r="A80"/>
      <c r="B80" s="4">
        <f>'Student Basic Info'!A79</f>
        <v>778</v>
      </c>
      <c r="C80" s="4" t="str">
        <f>'Student Basic Info'!C79</f>
        <v>Al Hosain</v>
      </c>
      <c r="D80" s="4" t="str">
        <f>Bangla!G79</f>
        <v/>
      </c>
      <c r="E80" s="4" t="str">
        <f>English!F79</f>
        <v/>
      </c>
      <c r="F80" s="4" t="str">
        <f>ICT!H79</f>
        <v/>
      </c>
      <c r="G80" s="42" t="str">
        <f>Physics!H79</f>
        <v/>
      </c>
      <c r="H80" s="42" t="str">
        <f>Chemistry!H79</f>
        <v/>
      </c>
      <c r="I80" s="42" t="str">
        <f>Biology!H79</f>
        <v/>
      </c>
      <c r="J80" s="42" t="str">
        <f>Math!H79</f>
        <v/>
      </c>
      <c r="K80" s="30">
        <f t="shared" si="24"/>
        <v>0</v>
      </c>
      <c r="L80" s="30">
        <f t="shared" si="25"/>
        <v>0</v>
      </c>
      <c r="M80" s="30">
        <f t="shared" si="26"/>
        <v>0</v>
      </c>
      <c r="N80" s="30">
        <f t="shared" si="27"/>
        <v>0</v>
      </c>
      <c r="O80" s="30">
        <f t="shared" si="28"/>
        <v>0</v>
      </c>
      <c r="P80" s="30">
        <f t="shared" si="29"/>
        <v>0</v>
      </c>
      <c r="Q80" s="30">
        <f t="shared" si="30"/>
        <v>0</v>
      </c>
      <c r="R80" s="3" t="str">
        <f t="shared" si="31"/>
        <v/>
      </c>
      <c r="S80" s="3" t="str">
        <f t="shared" si="32"/>
        <v/>
      </c>
      <c r="T80" s="7" t="str">
        <f t="shared" si="33"/>
        <v/>
      </c>
      <c r="U80" s="3" t="str">
        <f t="shared" si="34"/>
        <v>Failed in 6 Subjects</v>
      </c>
      <c r="V80" s="7" t="str">
        <f t="shared" si="35"/>
        <v/>
      </c>
      <c r="W80" s="8" t="str">
        <f>'Detailed Summary'!BK79</f>
        <v/>
      </c>
    </row>
    <row r="81" spans="1:23" hidden="1" x14ac:dyDescent="0.35">
      <c r="A81"/>
      <c r="B81" s="4">
        <f>'Student Basic Info'!A80</f>
        <v>779</v>
      </c>
      <c r="C81" s="4" t="str">
        <f>'Student Basic Info'!C80</f>
        <v>Azizul Haque</v>
      </c>
      <c r="D81" s="4">
        <f>Bangla!G80</f>
        <v>0</v>
      </c>
      <c r="E81" s="4">
        <f>English!F80</f>
        <v>0</v>
      </c>
      <c r="F81" s="4">
        <f>ICT!H80</f>
        <v>0</v>
      </c>
      <c r="G81" s="42">
        <f>Physics!H80</f>
        <v>0</v>
      </c>
      <c r="H81" s="42">
        <f>Chemistry!H80</f>
        <v>0</v>
      </c>
      <c r="I81" s="42">
        <f>Biology!H80</f>
        <v>0</v>
      </c>
      <c r="J81" s="42">
        <f>Math!H80</f>
        <v>0</v>
      </c>
      <c r="K81" s="30">
        <f t="shared" si="24"/>
        <v>0</v>
      </c>
      <c r="L81" s="30">
        <f t="shared" si="25"/>
        <v>0</v>
      </c>
      <c r="M81" s="30">
        <f t="shared" si="26"/>
        <v>0</v>
      </c>
      <c r="N81" s="30">
        <f t="shared" si="27"/>
        <v>0</v>
      </c>
      <c r="O81" s="30">
        <f t="shared" si="28"/>
        <v>0</v>
      </c>
      <c r="P81" s="30">
        <f t="shared" si="29"/>
        <v>0</v>
      </c>
      <c r="Q81" s="30">
        <f t="shared" si="30"/>
        <v>0</v>
      </c>
      <c r="R81" s="3" t="str">
        <f t="shared" si="31"/>
        <v/>
      </c>
      <c r="S81" s="3" t="str">
        <f t="shared" si="32"/>
        <v/>
      </c>
      <c r="T81" s="7" t="str">
        <f t="shared" si="33"/>
        <v/>
      </c>
      <c r="U81" s="3" t="str">
        <f t="shared" si="34"/>
        <v>Failed in 6 Subjects</v>
      </c>
      <c r="V81" s="7" t="str">
        <f t="shared" si="35"/>
        <v/>
      </c>
      <c r="W81" s="8" t="str">
        <f>'Detailed Summary'!BK80</f>
        <v/>
      </c>
    </row>
    <row r="82" spans="1:23" hidden="1" x14ac:dyDescent="0.35">
      <c r="A82"/>
      <c r="B82" s="4">
        <f>'Student Basic Info'!A81</f>
        <v>780</v>
      </c>
      <c r="C82" s="4" t="str">
        <f>'Student Basic Info'!C81</f>
        <v>Farjana Aktar</v>
      </c>
      <c r="D82" s="4">
        <f>Bangla!G81</f>
        <v>2</v>
      </c>
      <c r="E82" s="4">
        <f>English!F81</f>
        <v>0</v>
      </c>
      <c r="F82" s="4">
        <f>ICT!H81</f>
        <v>0</v>
      </c>
      <c r="G82" s="42">
        <f>Physics!H81</f>
        <v>0</v>
      </c>
      <c r="H82" s="42">
        <f>Chemistry!H81</f>
        <v>0</v>
      </c>
      <c r="I82" s="42">
        <f>Biology!H81</f>
        <v>0</v>
      </c>
      <c r="J82" s="42">
        <f>Math!H81</f>
        <v>0</v>
      </c>
      <c r="K82" s="30">
        <f t="shared" si="24"/>
        <v>1</v>
      </c>
      <c r="L82" s="30">
        <f t="shared" si="25"/>
        <v>0</v>
      </c>
      <c r="M82" s="30">
        <f t="shared" si="26"/>
        <v>0</v>
      </c>
      <c r="N82" s="30">
        <f t="shared" si="27"/>
        <v>0</v>
      </c>
      <c r="O82" s="30">
        <f t="shared" si="28"/>
        <v>0</v>
      </c>
      <c r="P82" s="30">
        <f t="shared" si="29"/>
        <v>0</v>
      </c>
      <c r="Q82" s="30">
        <f t="shared" si="30"/>
        <v>1</v>
      </c>
      <c r="R82" s="3" t="str">
        <f t="shared" si="31"/>
        <v/>
      </c>
      <c r="S82" s="3" t="str">
        <f t="shared" si="32"/>
        <v/>
      </c>
      <c r="T82" s="7" t="str">
        <f t="shared" si="33"/>
        <v/>
      </c>
      <c r="U82" s="3" t="str">
        <f t="shared" si="34"/>
        <v>Failed in 5 Subjects</v>
      </c>
      <c r="V82" s="7" t="str">
        <f t="shared" si="35"/>
        <v/>
      </c>
      <c r="W82" s="8" t="str">
        <f>'Detailed Summary'!BK81</f>
        <v/>
      </c>
    </row>
    <row r="83" spans="1:23" hidden="1" x14ac:dyDescent="0.35">
      <c r="A83"/>
      <c r="B83" s="4">
        <f>'Student Basic Info'!A82</f>
        <v>781</v>
      </c>
      <c r="C83" s="4" t="str">
        <f>'Student Basic Info'!C82</f>
        <v>Imam Hosain</v>
      </c>
      <c r="D83" s="4" t="str">
        <f>Bangla!G82</f>
        <v/>
      </c>
      <c r="E83" s="4" t="str">
        <f>English!F82</f>
        <v/>
      </c>
      <c r="F83" s="4" t="str">
        <f>ICT!H82</f>
        <v/>
      </c>
      <c r="G83" s="42" t="str">
        <f>Physics!H82</f>
        <v/>
      </c>
      <c r="H83" s="42" t="str">
        <f>Chemistry!H82</f>
        <v/>
      </c>
      <c r="I83" s="42" t="str">
        <f>Biology!H82</f>
        <v/>
      </c>
      <c r="J83" s="42" t="str">
        <f>Math!H82</f>
        <v/>
      </c>
      <c r="K83" s="30">
        <f t="shared" si="24"/>
        <v>0</v>
      </c>
      <c r="L83" s="30">
        <f t="shared" si="25"/>
        <v>0</v>
      </c>
      <c r="M83" s="30">
        <f t="shared" si="26"/>
        <v>0</v>
      </c>
      <c r="N83" s="30">
        <f t="shared" si="27"/>
        <v>0</v>
      </c>
      <c r="O83" s="30">
        <f t="shared" si="28"/>
        <v>0</v>
      </c>
      <c r="P83" s="30">
        <f t="shared" si="29"/>
        <v>0</v>
      </c>
      <c r="Q83" s="30">
        <f t="shared" si="30"/>
        <v>0</v>
      </c>
      <c r="R83" s="3" t="str">
        <f t="shared" si="31"/>
        <v/>
      </c>
      <c r="S83" s="3" t="str">
        <f t="shared" si="32"/>
        <v/>
      </c>
      <c r="T83" s="7" t="str">
        <f t="shared" si="33"/>
        <v/>
      </c>
      <c r="U83" s="3" t="str">
        <f t="shared" si="34"/>
        <v>Failed in 6 Subjects</v>
      </c>
      <c r="V83" s="7" t="str">
        <f t="shared" si="35"/>
        <v/>
      </c>
      <c r="W83" s="8" t="str">
        <f>'Detailed Summary'!BK82</f>
        <v/>
      </c>
    </row>
    <row r="84" spans="1:23" ht="18.5" hidden="1" x14ac:dyDescent="0.45">
      <c r="A84" s="100">
        <v>8</v>
      </c>
      <c r="B84" s="101">
        <f>'Student Basic Info'!A83</f>
        <v>782</v>
      </c>
      <c r="C84" s="101" t="str">
        <f>'Student Basic Info'!C83</f>
        <v>Asiya Aktar Hira</v>
      </c>
      <c r="D84" s="4">
        <f>Bangla!G83</f>
        <v>3</v>
      </c>
      <c r="E84" s="4">
        <f>English!F83</f>
        <v>2</v>
      </c>
      <c r="F84" s="4">
        <f>ICT!H83</f>
        <v>0</v>
      </c>
      <c r="G84" s="42">
        <f>Physics!H83</f>
        <v>0</v>
      </c>
      <c r="H84" s="42">
        <f>Chemistry!H83</f>
        <v>0</v>
      </c>
      <c r="I84" s="42">
        <f>Biology!H83</f>
        <v>0</v>
      </c>
      <c r="J84" s="42">
        <f>Math!H83</f>
        <v>0</v>
      </c>
      <c r="K84" s="30">
        <f t="shared" si="24"/>
        <v>1</v>
      </c>
      <c r="L84" s="30">
        <f t="shared" si="25"/>
        <v>1</v>
      </c>
      <c r="M84" s="30">
        <f t="shared" si="26"/>
        <v>0</v>
      </c>
      <c r="N84" s="30">
        <f t="shared" si="27"/>
        <v>0</v>
      </c>
      <c r="O84" s="30">
        <f t="shared" si="28"/>
        <v>0</v>
      </c>
      <c r="P84" s="30">
        <f t="shared" si="29"/>
        <v>0</v>
      </c>
      <c r="Q84" s="30">
        <f t="shared" si="30"/>
        <v>2</v>
      </c>
      <c r="R84" s="3" t="str">
        <f t="shared" si="31"/>
        <v/>
      </c>
      <c r="S84" s="3" t="str">
        <f t="shared" si="32"/>
        <v/>
      </c>
      <c r="T84" s="7" t="str">
        <f t="shared" si="33"/>
        <v/>
      </c>
      <c r="U84" s="100" t="str">
        <f t="shared" si="34"/>
        <v>Failed in 4 Subjects</v>
      </c>
      <c r="V84" s="102" t="str">
        <f t="shared" si="35"/>
        <v/>
      </c>
      <c r="W84" s="103" t="str">
        <f>'Detailed Summary'!BK83</f>
        <v/>
      </c>
    </row>
    <row r="85" spans="1:23" hidden="1" x14ac:dyDescent="0.35">
      <c r="A85"/>
      <c r="B85" s="4">
        <f>'Student Basic Info'!A84</f>
        <v>783</v>
      </c>
      <c r="C85" s="4" t="str">
        <f>'Student Basic Info'!C84</f>
        <v>Abu Rayhan</v>
      </c>
      <c r="D85" s="4" t="str">
        <f>Bangla!G84</f>
        <v/>
      </c>
      <c r="E85" s="4" t="str">
        <f>English!F84</f>
        <v/>
      </c>
      <c r="F85" s="4" t="str">
        <f>ICT!H84</f>
        <v/>
      </c>
      <c r="G85" s="42" t="str">
        <f>Physics!H84</f>
        <v/>
      </c>
      <c r="H85" s="42" t="str">
        <f>Chemistry!H84</f>
        <v/>
      </c>
      <c r="I85" s="42" t="str">
        <f>Biology!H84</f>
        <v/>
      </c>
      <c r="J85" s="42" t="str">
        <f>Math!H84</f>
        <v/>
      </c>
      <c r="K85" s="30">
        <f t="shared" si="24"/>
        <v>0</v>
      </c>
      <c r="L85" s="30">
        <f t="shared" si="25"/>
        <v>0</v>
      </c>
      <c r="M85" s="30">
        <f t="shared" si="26"/>
        <v>0</v>
      </c>
      <c r="N85" s="30">
        <f t="shared" si="27"/>
        <v>0</v>
      </c>
      <c r="O85" s="30">
        <f t="shared" si="28"/>
        <v>0</v>
      </c>
      <c r="P85" s="30">
        <f t="shared" si="29"/>
        <v>0</v>
      </c>
      <c r="Q85" s="30">
        <f t="shared" si="30"/>
        <v>0</v>
      </c>
      <c r="R85" s="3" t="str">
        <f t="shared" si="31"/>
        <v/>
      </c>
      <c r="S85" s="3" t="str">
        <f t="shared" si="32"/>
        <v/>
      </c>
      <c r="T85" s="7" t="str">
        <f t="shared" si="33"/>
        <v/>
      </c>
      <c r="U85" s="3" t="str">
        <f t="shared" si="34"/>
        <v>Failed in 6 Subjects</v>
      </c>
      <c r="V85" s="7" t="str">
        <f t="shared" si="35"/>
        <v/>
      </c>
      <c r="W85" s="8" t="str">
        <f>'Detailed Summary'!BK84</f>
        <v/>
      </c>
    </row>
    <row r="86" spans="1:23" hidden="1" x14ac:dyDescent="0.35">
      <c r="A86"/>
      <c r="B86" s="4">
        <f>'Student Basic Info'!A85</f>
        <v>784</v>
      </c>
      <c r="C86" s="4" t="str">
        <f>'Student Basic Info'!C85</f>
        <v xml:space="preserve">Azizul Islam </v>
      </c>
      <c r="D86" s="4">
        <f>Bangla!G85</f>
        <v>0</v>
      </c>
      <c r="E86" s="4">
        <f>English!F85</f>
        <v>0</v>
      </c>
      <c r="F86" s="4">
        <f>ICT!H85</f>
        <v>0</v>
      </c>
      <c r="G86" s="42">
        <f>Physics!H85</f>
        <v>0</v>
      </c>
      <c r="H86" s="42">
        <f>Chemistry!H85</f>
        <v>0</v>
      </c>
      <c r="I86" s="42">
        <f>Biology!H85</f>
        <v>0</v>
      </c>
      <c r="J86" s="42">
        <f>Math!H85</f>
        <v>0</v>
      </c>
      <c r="K86" s="30">
        <f t="shared" si="24"/>
        <v>0</v>
      </c>
      <c r="L86" s="30">
        <f t="shared" si="25"/>
        <v>0</v>
      </c>
      <c r="M86" s="30">
        <f t="shared" si="26"/>
        <v>0</v>
      </c>
      <c r="N86" s="30">
        <f t="shared" si="27"/>
        <v>0</v>
      </c>
      <c r="O86" s="30">
        <f t="shared" si="28"/>
        <v>0</v>
      </c>
      <c r="P86" s="30">
        <f t="shared" si="29"/>
        <v>0</v>
      </c>
      <c r="Q86" s="30">
        <f t="shared" si="30"/>
        <v>0</v>
      </c>
      <c r="R86" s="3" t="str">
        <f t="shared" si="31"/>
        <v/>
      </c>
      <c r="S86" s="3" t="str">
        <f t="shared" si="32"/>
        <v/>
      </c>
      <c r="T86" s="7" t="str">
        <f t="shared" si="33"/>
        <v/>
      </c>
      <c r="U86" s="3" t="str">
        <f t="shared" si="34"/>
        <v>Failed in 6 Subjects</v>
      </c>
      <c r="V86" s="7" t="str">
        <f t="shared" si="35"/>
        <v/>
      </c>
      <c r="W86" s="8" t="str">
        <f>'Detailed Summary'!BK85</f>
        <v/>
      </c>
    </row>
    <row r="87" spans="1:23" hidden="1" x14ac:dyDescent="0.35">
      <c r="A87"/>
      <c r="B87" s="4">
        <f>'Student Basic Info'!A86</f>
        <v>785</v>
      </c>
      <c r="C87" s="4" t="str">
        <f>'Student Basic Info'!C86</f>
        <v>Muktaddi Al Saber</v>
      </c>
      <c r="D87" s="4">
        <f>Bangla!G86</f>
        <v>0</v>
      </c>
      <c r="E87" s="4">
        <f>English!F86</f>
        <v>0</v>
      </c>
      <c r="F87" s="4">
        <f>ICT!H86</f>
        <v>0</v>
      </c>
      <c r="G87" s="42">
        <f>Physics!H86</f>
        <v>0</v>
      </c>
      <c r="H87" s="42" t="str">
        <f>Chemistry!H86</f>
        <v/>
      </c>
      <c r="I87" s="42">
        <f>Biology!H86</f>
        <v>0</v>
      </c>
      <c r="J87" s="42">
        <f>Math!H86</f>
        <v>0</v>
      </c>
      <c r="K87" s="30">
        <f t="shared" si="24"/>
        <v>0</v>
      </c>
      <c r="L87" s="30">
        <f t="shared" si="25"/>
        <v>0</v>
      </c>
      <c r="M87" s="30">
        <f t="shared" si="26"/>
        <v>0</v>
      </c>
      <c r="N87" s="30">
        <f t="shared" si="27"/>
        <v>0</v>
      </c>
      <c r="O87" s="30">
        <f t="shared" si="28"/>
        <v>0</v>
      </c>
      <c r="P87" s="30">
        <f t="shared" si="29"/>
        <v>0</v>
      </c>
      <c r="Q87" s="30">
        <f t="shared" si="30"/>
        <v>0</v>
      </c>
      <c r="R87" s="3" t="str">
        <f t="shared" si="31"/>
        <v/>
      </c>
      <c r="S87" s="3" t="str">
        <f t="shared" si="32"/>
        <v/>
      </c>
      <c r="T87" s="7" t="str">
        <f t="shared" si="33"/>
        <v/>
      </c>
      <c r="U87" s="3" t="str">
        <f t="shared" si="34"/>
        <v>Failed in 6 Subjects</v>
      </c>
      <c r="V87" s="7" t="str">
        <f t="shared" si="35"/>
        <v/>
      </c>
      <c r="W87" s="8" t="str">
        <f>'Detailed Summary'!BK86</f>
        <v/>
      </c>
    </row>
    <row r="88" spans="1:23" hidden="1" x14ac:dyDescent="0.35">
      <c r="A88"/>
      <c r="B88" s="4">
        <f>'Student Basic Info'!A87</f>
        <v>786</v>
      </c>
      <c r="C88" s="4" t="str">
        <f>'Student Basic Info'!C87</f>
        <v>Farzana Aktar</v>
      </c>
      <c r="D88" s="4" t="str">
        <f>Bangla!G87</f>
        <v/>
      </c>
      <c r="E88" s="4">
        <f>English!F87</f>
        <v>0</v>
      </c>
      <c r="F88" s="4">
        <f>ICT!H87</f>
        <v>0</v>
      </c>
      <c r="G88" s="42" t="str">
        <f>Physics!H87</f>
        <v/>
      </c>
      <c r="H88" s="42">
        <f>Chemistry!H87</f>
        <v>0</v>
      </c>
      <c r="I88" s="42">
        <f>Biology!H87</f>
        <v>0</v>
      </c>
      <c r="J88" s="42">
        <f>Math!H87</f>
        <v>0</v>
      </c>
      <c r="K88" s="30">
        <f t="shared" si="24"/>
        <v>0</v>
      </c>
      <c r="L88" s="30">
        <f t="shared" si="25"/>
        <v>0</v>
      </c>
      <c r="M88" s="30">
        <f t="shared" si="26"/>
        <v>0</v>
      </c>
      <c r="N88" s="30">
        <f t="shared" si="27"/>
        <v>0</v>
      </c>
      <c r="O88" s="30">
        <f t="shared" si="28"/>
        <v>0</v>
      </c>
      <c r="P88" s="30">
        <f t="shared" si="29"/>
        <v>0</v>
      </c>
      <c r="Q88" s="30">
        <f t="shared" si="30"/>
        <v>0</v>
      </c>
      <c r="R88" s="3" t="str">
        <f t="shared" si="31"/>
        <v/>
      </c>
      <c r="S88" s="3" t="str">
        <f t="shared" si="32"/>
        <v/>
      </c>
      <c r="T88" s="7" t="str">
        <f t="shared" si="33"/>
        <v/>
      </c>
      <c r="U88" s="3" t="str">
        <f t="shared" si="34"/>
        <v>Failed in 6 Subjects</v>
      </c>
      <c r="V88" s="7" t="str">
        <f t="shared" si="35"/>
        <v/>
      </c>
      <c r="W88" s="8" t="str">
        <f>'Detailed Summary'!BK87</f>
        <v/>
      </c>
    </row>
    <row r="89" spans="1:23" hidden="1" x14ac:dyDescent="0.35">
      <c r="A89"/>
      <c r="B89" s="4">
        <f>'Student Basic Info'!A88</f>
        <v>6812</v>
      </c>
      <c r="C89" s="4" t="str">
        <f>'Student Basic Info'!C88</f>
        <v>Jannatul Mawa Parvin</v>
      </c>
      <c r="D89" s="4">
        <f>Bangla!G88</f>
        <v>2</v>
      </c>
      <c r="E89" s="4">
        <f>English!F88</f>
        <v>0</v>
      </c>
      <c r="F89" s="4">
        <f>ICT!H88</f>
        <v>3</v>
      </c>
      <c r="G89" s="42">
        <f>Physics!H88</f>
        <v>3</v>
      </c>
      <c r="H89" s="42">
        <f>Chemistry!H88</f>
        <v>0</v>
      </c>
      <c r="I89" s="42">
        <f>Biology!H88</f>
        <v>0</v>
      </c>
      <c r="J89" s="42">
        <f>Math!H88</f>
        <v>0</v>
      </c>
      <c r="K89" s="30">
        <f t="shared" si="24"/>
        <v>1</v>
      </c>
      <c r="L89" s="30">
        <f t="shared" si="25"/>
        <v>0</v>
      </c>
      <c r="M89" s="30">
        <f t="shared" si="26"/>
        <v>1</v>
      </c>
      <c r="N89" s="30">
        <f t="shared" si="27"/>
        <v>1</v>
      </c>
      <c r="O89" s="30">
        <f t="shared" si="28"/>
        <v>0</v>
      </c>
      <c r="P89" s="30">
        <f t="shared" si="29"/>
        <v>0</v>
      </c>
      <c r="Q89" s="30">
        <f t="shared" si="30"/>
        <v>3</v>
      </c>
      <c r="R89" s="3" t="str">
        <f t="shared" si="31"/>
        <v/>
      </c>
      <c r="S89" s="3" t="str">
        <f t="shared" si="32"/>
        <v/>
      </c>
      <c r="T89" s="7" t="str">
        <f t="shared" si="33"/>
        <v/>
      </c>
      <c r="U89" s="3" t="str">
        <f t="shared" si="34"/>
        <v>Failed in 3 Subjects</v>
      </c>
      <c r="V89" s="7" t="str">
        <f t="shared" si="35"/>
        <v/>
      </c>
      <c r="W89" s="8" t="str">
        <f>'Detailed Summary'!BK88</f>
        <v/>
      </c>
    </row>
  </sheetData>
  <sheetProtection formatCells="0" formatColumns="0" formatRows="0" insertColumns="0" insertRows="0" insertHyperlinks="0" deleteColumns="0" deleteRows="0"/>
  <autoFilter ref="U2:U89">
    <filterColumn colId="0">
      <filters>
        <filter val="Failed in 1 Subject"/>
      </filters>
    </filterColumn>
  </autoFilter>
  <mergeCells count="1">
    <mergeCell ref="A1:W1"/>
  </mergeCells>
  <conditionalFormatting sqref="T3:T89 V3:V89">
    <cfRule type="cellIs" dxfId="6" priority="1" operator="between">
      <formula>1</formula>
      <formula>5</formula>
    </cfRule>
  </conditionalFormatting>
  <pageMargins left="1.1499999999999999" right="0.7" top="1.61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89"/>
  <sheetViews>
    <sheetView workbookViewId="0">
      <selection sqref="A1:W1"/>
    </sheetView>
  </sheetViews>
  <sheetFormatPr defaultRowHeight="14.5" x14ac:dyDescent="0.35"/>
  <cols>
    <col min="1" max="1" width="7.26953125" style="1" customWidth="1"/>
    <col min="2" max="2" width="7" customWidth="1"/>
    <col min="3" max="3" width="24.6328125" bestFit="1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" hidden="1" customWidth="1"/>
    <col min="19" max="19" width="8.08984375" style="1" hidden="1" customWidth="1"/>
    <col min="20" max="20" width="10.36328125" style="5" hidden="1" customWidth="1"/>
    <col min="21" max="21" width="20.81640625" bestFit="1" customWidth="1"/>
    <col min="22" max="22" width="5.54296875" bestFit="1" customWidth="1"/>
    <col min="23" max="23" width="16.1796875" style="1" bestFit="1" customWidth="1"/>
  </cols>
  <sheetData>
    <row r="1" spans="1:23" ht="142" customHeight="1" x14ac:dyDescent="0.45">
      <c r="A1" s="158" t="s">
        <v>454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 spans="1:23" ht="15.5" x14ac:dyDescent="0.35">
      <c r="A2" s="121" t="s">
        <v>448</v>
      </c>
      <c r="B2" s="121" t="s">
        <v>0</v>
      </c>
      <c r="C2" s="121" t="s">
        <v>36</v>
      </c>
      <c r="D2" s="13" t="s">
        <v>12</v>
      </c>
      <c r="E2" s="13" t="s">
        <v>13</v>
      </c>
      <c r="F2" s="13" t="s">
        <v>14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93</v>
      </c>
      <c r="L2" s="13" t="s">
        <v>94</v>
      </c>
      <c r="M2" s="13" t="s">
        <v>95</v>
      </c>
      <c r="N2" s="13" t="s">
        <v>98</v>
      </c>
      <c r="O2" s="13" t="s">
        <v>99</v>
      </c>
      <c r="P2" s="13" t="s">
        <v>100</v>
      </c>
      <c r="Q2" s="13" t="s">
        <v>96</v>
      </c>
      <c r="R2" s="13" t="s">
        <v>16</v>
      </c>
      <c r="S2" s="13" t="s">
        <v>18</v>
      </c>
      <c r="T2" s="14" t="s">
        <v>17</v>
      </c>
      <c r="U2" s="122" t="s">
        <v>7</v>
      </c>
      <c r="V2" s="123" t="s">
        <v>9</v>
      </c>
      <c r="W2" s="124" t="s">
        <v>447</v>
      </c>
    </row>
    <row r="3" spans="1:23" hidden="1" x14ac:dyDescent="0.35">
      <c r="A3"/>
      <c r="B3" s="4">
        <f>'Student Basic Info'!A2</f>
        <v>701</v>
      </c>
      <c r="C3" s="4" t="str">
        <f>'Student Basic Info'!C2</f>
        <v>Tanjila Mostafa Tasnim</v>
      </c>
      <c r="D3" s="42">
        <f>Bangla!G2</f>
        <v>3.5</v>
      </c>
      <c r="E3" s="42">
        <f>English!F2</f>
        <v>2</v>
      </c>
      <c r="F3" s="42">
        <f>ICT!H2</f>
        <v>5</v>
      </c>
      <c r="G3" s="42">
        <f>Physics!H2</f>
        <v>3</v>
      </c>
      <c r="H3" s="42">
        <f>Chemistry!H2</f>
        <v>4</v>
      </c>
      <c r="I3" s="42">
        <f>Biology!H2</f>
        <v>3</v>
      </c>
      <c r="J3" s="42">
        <f>Math!H2</f>
        <v>4</v>
      </c>
      <c r="K3" s="30">
        <f t="shared" ref="K3:K34" si="0">(IF(D3="",0,IF(D3=0,0,1)))</f>
        <v>1</v>
      </c>
      <c r="L3" s="30">
        <f t="shared" ref="L3:L34" si="1">(IF(E3="",0,IF(E3=0,0,1)))</f>
        <v>1</v>
      </c>
      <c r="M3" s="30">
        <f t="shared" ref="M3:M34" si="2">(IF(F3="",0,IF(F3=0,0,1)))</f>
        <v>1</v>
      </c>
      <c r="N3" s="30">
        <f t="shared" ref="N3:N34" si="3">(IF(G3="",0,IF(G3=0,0,1)))</f>
        <v>1</v>
      </c>
      <c r="O3" s="30">
        <f t="shared" ref="O3:O34" si="4">(IF(H3="",0,IF(H3=0,0,1)))</f>
        <v>1</v>
      </c>
      <c r="P3" s="30">
        <f t="shared" ref="P3:P34" si="5">(IF(I3="",0,IF(I3=0,0,1)))</f>
        <v>1</v>
      </c>
      <c r="Q3" s="30">
        <f t="shared" ref="Q3:Q34" si="6">SUM(K3:P3)</f>
        <v>6</v>
      </c>
      <c r="R3" s="3">
        <f t="shared" ref="R3:R34" si="7">IF(OR(D3=0,E3=0,F3=0,G3=0,H3=0,I3=0,D3="",E3="",F3="",G3="",H3="",I3=""),"",SUM(D3:I3))</f>
        <v>20.5</v>
      </c>
      <c r="S3" s="3">
        <f t="shared" ref="S3:S34" si="8">IF(OR(D3=0,E3=0,F3=0,G3=0,H3=0,I3=0,D3="",E3="",F3="",G3="",H3="",I3=""),"",SUM(D3:J3))</f>
        <v>24.5</v>
      </c>
      <c r="T3" s="7">
        <f t="shared" ref="T3:T34" si="9">IF(R3="","",IF(((R3/6)&gt;5),5,R3/6))</f>
        <v>3.4166666666666665</v>
      </c>
      <c r="U3" s="3" t="str">
        <f t="shared" ref="U3:U34" si="10">IF(Q3=0,"Failed in 6 Subjects",IF(Q3=1,"Failed in 5 Subjects",IF(Q3=2,"Failed in 4 Subjects",IF(Q3=3,"Failed in 3 Subjects",IF(Q3=4,"Failed in 2 Subjects",IF(Q3=5,"Failed in 1 Subject","Pass"))))))</f>
        <v>Pass</v>
      </c>
      <c r="V3" s="7">
        <f t="shared" ref="V3:V34" si="11">IF(S3="","",IF(((S3/6)&gt;5),5,S3/6))</f>
        <v>4.083333333333333</v>
      </c>
      <c r="W3" s="8">
        <f>'Detailed Summary'!BK2</f>
        <v>3</v>
      </c>
    </row>
    <row r="4" spans="1:23" hidden="1" x14ac:dyDescent="0.35">
      <c r="A4"/>
      <c r="B4" s="4">
        <f>'Student Basic Info'!A3</f>
        <v>702</v>
      </c>
      <c r="C4" s="4" t="str">
        <f>'Student Basic Info'!C3</f>
        <v>Foyez Ahmed</v>
      </c>
      <c r="D4" s="4" t="str">
        <f>Bangla!G3</f>
        <v/>
      </c>
      <c r="E4" s="4" t="str">
        <f>English!F3</f>
        <v/>
      </c>
      <c r="F4" s="4" t="str">
        <f>ICT!H3</f>
        <v/>
      </c>
      <c r="G4" s="42" t="str">
        <f>Physics!H3</f>
        <v/>
      </c>
      <c r="H4" s="42" t="str">
        <f>Chemistry!H3</f>
        <v/>
      </c>
      <c r="I4" s="42" t="str">
        <f>Biology!H3</f>
        <v/>
      </c>
      <c r="J4" s="42" t="str">
        <f>Math!H3</f>
        <v/>
      </c>
      <c r="K4" s="30">
        <f t="shared" si="0"/>
        <v>0</v>
      </c>
      <c r="L4" s="30">
        <f t="shared" si="1"/>
        <v>0</v>
      </c>
      <c r="M4" s="30">
        <f t="shared" si="2"/>
        <v>0</v>
      </c>
      <c r="N4" s="30">
        <f t="shared" si="3"/>
        <v>0</v>
      </c>
      <c r="O4" s="30">
        <f t="shared" si="4"/>
        <v>0</v>
      </c>
      <c r="P4" s="30">
        <f t="shared" si="5"/>
        <v>0</v>
      </c>
      <c r="Q4" s="30">
        <f t="shared" si="6"/>
        <v>0</v>
      </c>
      <c r="R4" s="3" t="str">
        <f t="shared" si="7"/>
        <v/>
      </c>
      <c r="S4" s="3" t="str">
        <f t="shared" si="8"/>
        <v/>
      </c>
      <c r="T4" s="7" t="str">
        <f t="shared" si="9"/>
        <v/>
      </c>
      <c r="U4" s="3" t="str">
        <f t="shared" si="10"/>
        <v>Failed in 6 Subjects</v>
      </c>
      <c r="V4" s="7" t="str">
        <f t="shared" si="11"/>
        <v/>
      </c>
      <c r="W4" s="8" t="str">
        <f>'Detailed Summary'!BK3</f>
        <v/>
      </c>
    </row>
    <row r="5" spans="1:23" hidden="1" x14ac:dyDescent="0.35">
      <c r="A5"/>
      <c r="B5" s="4">
        <f>'Student Basic Info'!A4</f>
        <v>703</v>
      </c>
      <c r="C5" s="4" t="str">
        <f>'Student Basic Info'!C4</f>
        <v>Zannatul Nayem</v>
      </c>
      <c r="D5" s="4" t="str">
        <f>Bangla!G4</f>
        <v/>
      </c>
      <c r="E5" s="4" t="str">
        <f>English!F4</f>
        <v/>
      </c>
      <c r="F5" s="4" t="str">
        <f>ICT!H4</f>
        <v/>
      </c>
      <c r="G5" s="42" t="str">
        <f>Physics!H4</f>
        <v/>
      </c>
      <c r="H5" s="42" t="str">
        <f>Chemistry!H4</f>
        <v/>
      </c>
      <c r="I5" s="42" t="str">
        <f>Biology!H4</f>
        <v/>
      </c>
      <c r="J5" s="42" t="str">
        <f>Math!H4</f>
        <v/>
      </c>
      <c r="K5" s="30">
        <f t="shared" si="0"/>
        <v>0</v>
      </c>
      <c r="L5" s="30">
        <f t="shared" si="1"/>
        <v>0</v>
      </c>
      <c r="M5" s="30">
        <f t="shared" si="2"/>
        <v>0</v>
      </c>
      <c r="N5" s="30">
        <f t="shared" si="3"/>
        <v>0</v>
      </c>
      <c r="O5" s="30">
        <f t="shared" si="4"/>
        <v>0</v>
      </c>
      <c r="P5" s="30">
        <f t="shared" si="5"/>
        <v>0</v>
      </c>
      <c r="Q5" s="30">
        <f t="shared" si="6"/>
        <v>0</v>
      </c>
      <c r="R5" s="3" t="str">
        <f t="shared" si="7"/>
        <v/>
      </c>
      <c r="S5" s="3" t="str">
        <f t="shared" si="8"/>
        <v/>
      </c>
      <c r="T5" s="7" t="str">
        <f t="shared" si="9"/>
        <v/>
      </c>
      <c r="U5" s="3" t="str">
        <f t="shared" si="10"/>
        <v>Failed in 6 Subjects</v>
      </c>
      <c r="V5" s="7" t="str">
        <f t="shared" si="11"/>
        <v/>
      </c>
      <c r="W5" s="8" t="str">
        <f>'Detailed Summary'!BK4</f>
        <v/>
      </c>
    </row>
    <row r="6" spans="1:23" hidden="1" x14ac:dyDescent="0.35">
      <c r="A6"/>
      <c r="B6" s="4">
        <f>'Student Basic Info'!A5</f>
        <v>704</v>
      </c>
      <c r="C6" s="4" t="str">
        <f>'Student Basic Info'!C5</f>
        <v>Farmana Nusrat Chowdhury</v>
      </c>
      <c r="D6" s="4">
        <f>Bangla!G5</f>
        <v>3.5</v>
      </c>
      <c r="E6" s="4">
        <f>English!F5</f>
        <v>1</v>
      </c>
      <c r="F6" s="4">
        <f>ICT!H5</f>
        <v>0</v>
      </c>
      <c r="G6" s="42">
        <f>Physics!H5</f>
        <v>0</v>
      </c>
      <c r="H6" s="42">
        <f>Chemistry!H5</f>
        <v>0</v>
      </c>
      <c r="I6" s="42">
        <f>Biology!H5</f>
        <v>0</v>
      </c>
      <c r="J6" s="42">
        <f>Math!H5</f>
        <v>0</v>
      </c>
      <c r="K6" s="30">
        <f t="shared" si="0"/>
        <v>1</v>
      </c>
      <c r="L6" s="30">
        <f t="shared" si="1"/>
        <v>1</v>
      </c>
      <c r="M6" s="30">
        <f t="shared" si="2"/>
        <v>0</v>
      </c>
      <c r="N6" s="30">
        <f t="shared" si="3"/>
        <v>0</v>
      </c>
      <c r="O6" s="30">
        <f t="shared" si="4"/>
        <v>0</v>
      </c>
      <c r="P6" s="30">
        <f t="shared" si="5"/>
        <v>0</v>
      </c>
      <c r="Q6" s="30">
        <f t="shared" si="6"/>
        <v>2</v>
      </c>
      <c r="R6" s="3" t="str">
        <f t="shared" si="7"/>
        <v/>
      </c>
      <c r="S6" s="3" t="str">
        <f t="shared" si="8"/>
        <v/>
      </c>
      <c r="T6" s="7" t="str">
        <f t="shared" si="9"/>
        <v/>
      </c>
      <c r="U6" s="3" t="str">
        <f t="shared" si="10"/>
        <v>Failed in 4 Subjects</v>
      </c>
      <c r="V6" s="7" t="str">
        <f t="shared" si="11"/>
        <v/>
      </c>
      <c r="W6" s="8" t="str">
        <f>'Detailed Summary'!BK5</f>
        <v/>
      </c>
    </row>
    <row r="7" spans="1:23" hidden="1" x14ac:dyDescent="0.35">
      <c r="A7"/>
      <c r="B7" s="4">
        <f>'Student Basic Info'!A6</f>
        <v>705</v>
      </c>
      <c r="C7" s="4" t="str">
        <f>'Student Basic Info'!C6</f>
        <v>Zannatul Ferdaus</v>
      </c>
      <c r="D7" s="4" t="str">
        <f>Bangla!G6</f>
        <v/>
      </c>
      <c r="E7" s="4" t="str">
        <f>English!F6</f>
        <v/>
      </c>
      <c r="F7" s="4">
        <f>ICT!H6</f>
        <v>0</v>
      </c>
      <c r="G7" s="42" t="str">
        <f>Physics!H6</f>
        <v/>
      </c>
      <c r="H7" s="42" t="str">
        <f>Chemistry!H6</f>
        <v/>
      </c>
      <c r="I7" s="42" t="str">
        <f>Biology!H6</f>
        <v/>
      </c>
      <c r="J7" s="42" t="str">
        <f>Math!H6</f>
        <v/>
      </c>
      <c r="K7" s="30">
        <f t="shared" si="0"/>
        <v>0</v>
      </c>
      <c r="L7" s="30">
        <f t="shared" si="1"/>
        <v>0</v>
      </c>
      <c r="M7" s="30">
        <f t="shared" si="2"/>
        <v>0</v>
      </c>
      <c r="N7" s="30">
        <f t="shared" si="3"/>
        <v>0</v>
      </c>
      <c r="O7" s="30">
        <f t="shared" si="4"/>
        <v>0</v>
      </c>
      <c r="P7" s="30">
        <f t="shared" si="5"/>
        <v>0</v>
      </c>
      <c r="Q7" s="30">
        <f t="shared" si="6"/>
        <v>0</v>
      </c>
      <c r="R7" s="3" t="str">
        <f t="shared" si="7"/>
        <v/>
      </c>
      <c r="S7" s="3" t="str">
        <f t="shared" si="8"/>
        <v/>
      </c>
      <c r="T7" s="7" t="str">
        <f t="shared" si="9"/>
        <v/>
      </c>
      <c r="U7" s="3" t="str">
        <f t="shared" si="10"/>
        <v>Failed in 6 Subjects</v>
      </c>
      <c r="V7" s="7" t="str">
        <f t="shared" si="11"/>
        <v/>
      </c>
      <c r="W7" s="8" t="str">
        <f>'Detailed Summary'!BK6</f>
        <v/>
      </c>
    </row>
    <row r="8" spans="1:23" hidden="1" x14ac:dyDescent="0.35">
      <c r="A8"/>
      <c r="B8" s="4">
        <f>'Student Basic Info'!A7</f>
        <v>706</v>
      </c>
      <c r="C8" s="4" t="str">
        <f>'Student Basic Info'!C7</f>
        <v>Abdul Alim Shawon</v>
      </c>
      <c r="D8" s="4" t="str">
        <f>Bangla!G7</f>
        <v/>
      </c>
      <c r="E8" s="4" t="str">
        <f>English!F7</f>
        <v/>
      </c>
      <c r="F8" s="4" t="str">
        <f>ICT!H7</f>
        <v/>
      </c>
      <c r="G8" s="42" t="str">
        <f>Physics!H7</f>
        <v/>
      </c>
      <c r="H8" s="42" t="str">
        <f>Chemistry!H7</f>
        <v/>
      </c>
      <c r="I8" s="42" t="str">
        <f>Biology!H7</f>
        <v/>
      </c>
      <c r="J8" s="42" t="str">
        <f>Math!H7</f>
        <v/>
      </c>
      <c r="K8" s="30">
        <f t="shared" si="0"/>
        <v>0</v>
      </c>
      <c r="L8" s="30">
        <f t="shared" si="1"/>
        <v>0</v>
      </c>
      <c r="M8" s="30">
        <f t="shared" si="2"/>
        <v>0</v>
      </c>
      <c r="N8" s="30">
        <f t="shared" si="3"/>
        <v>0</v>
      </c>
      <c r="O8" s="30">
        <f t="shared" si="4"/>
        <v>0</v>
      </c>
      <c r="P8" s="30">
        <f t="shared" si="5"/>
        <v>0</v>
      </c>
      <c r="Q8" s="30">
        <f t="shared" si="6"/>
        <v>0</v>
      </c>
      <c r="R8" s="3" t="str">
        <f t="shared" si="7"/>
        <v/>
      </c>
      <c r="S8" s="3" t="str">
        <f t="shared" si="8"/>
        <v/>
      </c>
      <c r="T8" s="7" t="str">
        <f t="shared" si="9"/>
        <v/>
      </c>
      <c r="U8" s="3" t="str">
        <f t="shared" si="10"/>
        <v>Failed in 6 Subjects</v>
      </c>
      <c r="V8" s="7" t="str">
        <f t="shared" si="11"/>
        <v/>
      </c>
      <c r="W8" s="8" t="str">
        <f>'Detailed Summary'!BK7</f>
        <v/>
      </c>
    </row>
    <row r="9" spans="1:23" hidden="1" x14ac:dyDescent="0.35">
      <c r="A9"/>
      <c r="B9" s="4">
        <f>'Student Basic Info'!A8</f>
        <v>707</v>
      </c>
      <c r="C9" s="4" t="str">
        <f>'Student Basic Info'!C8</f>
        <v>Sharmin Aktar</v>
      </c>
      <c r="D9" s="4" t="str">
        <f>Bangla!G8</f>
        <v/>
      </c>
      <c r="E9" s="4" t="str">
        <f>English!F8</f>
        <v/>
      </c>
      <c r="F9" s="4" t="str">
        <f>ICT!H8</f>
        <v/>
      </c>
      <c r="G9" s="42" t="str">
        <f>Physics!H8</f>
        <v/>
      </c>
      <c r="H9" s="42" t="str">
        <f>Chemistry!H8</f>
        <v/>
      </c>
      <c r="I9" s="42" t="str">
        <f>Biology!H8</f>
        <v/>
      </c>
      <c r="J9" s="42" t="str">
        <f>Math!H8</f>
        <v/>
      </c>
      <c r="K9" s="30">
        <f t="shared" si="0"/>
        <v>0</v>
      </c>
      <c r="L9" s="30">
        <f t="shared" si="1"/>
        <v>0</v>
      </c>
      <c r="M9" s="30">
        <f t="shared" si="2"/>
        <v>0</v>
      </c>
      <c r="N9" s="30">
        <f t="shared" si="3"/>
        <v>0</v>
      </c>
      <c r="O9" s="30">
        <f t="shared" si="4"/>
        <v>0</v>
      </c>
      <c r="P9" s="30">
        <f t="shared" si="5"/>
        <v>0</v>
      </c>
      <c r="Q9" s="30">
        <f t="shared" si="6"/>
        <v>0</v>
      </c>
      <c r="R9" s="3" t="str">
        <f t="shared" si="7"/>
        <v/>
      </c>
      <c r="S9" s="3" t="str">
        <f t="shared" si="8"/>
        <v/>
      </c>
      <c r="T9" s="7" t="str">
        <f t="shared" si="9"/>
        <v/>
      </c>
      <c r="U9" s="3" t="str">
        <f t="shared" si="10"/>
        <v>Failed in 6 Subjects</v>
      </c>
      <c r="V9" s="7" t="str">
        <f t="shared" si="11"/>
        <v/>
      </c>
      <c r="W9" s="8" t="str">
        <f>'Detailed Summary'!BK8</f>
        <v/>
      </c>
    </row>
    <row r="10" spans="1:23" ht="18.5" x14ac:dyDescent="0.45">
      <c r="A10" s="117">
        <v>1</v>
      </c>
      <c r="B10" s="117">
        <f>'Student Basic Info'!A9</f>
        <v>708</v>
      </c>
      <c r="C10" s="117" t="str">
        <f>'Student Basic Info'!C9</f>
        <v>Nafisa Aktar Prova</v>
      </c>
      <c r="D10" s="100">
        <f>Bangla!G9</f>
        <v>3.5</v>
      </c>
      <c r="E10" s="100">
        <f>English!F9</f>
        <v>1</v>
      </c>
      <c r="F10" s="100">
        <v>3</v>
      </c>
      <c r="G10" s="100">
        <f>Physics!H9</f>
        <v>0</v>
      </c>
      <c r="H10" s="100">
        <f>Chemistry!H9</f>
        <v>0</v>
      </c>
      <c r="I10" s="100">
        <f>Biology!H9</f>
        <v>0</v>
      </c>
      <c r="J10" s="100">
        <f>Math!H9</f>
        <v>0</v>
      </c>
      <c r="K10" s="100">
        <f t="shared" si="0"/>
        <v>1</v>
      </c>
      <c r="L10" s="100">
        <f t="shared" si="1"/>
        <v>1</v>
      </c>
      <c r="M10" s="100">
        <f t="shared" si="2"/>
        <v>1</v>
      </c>
      <c r="N10" s="100">
        <f t="shared" si="3"/>
        <v>0</v>
      </c>
      <c r="O10" s="100">
        <f t="shared" si="4"/>
        <v>0</v>
      </c>
      <c r="P10" s="100">
        <f t="shared" si="5"/>
        <v>0</v>
      </c>
      <c r="Q10" s="100">
        <f t="shared" si="6"/>
        <v>3</v>
      </c>
      <c r="R10" s="100" t="str">
        <f t="shared" si="7"/>
        <v/>
      </c>
      <c r="S10" s="100" t="str">
        <f t="shared" si="8"/>
        <v/>
      </c>
      <c r="T10" s="100" t="str">
        <f t="shared" si="9"/>
        <v/>
      </c>
      <c r="U10" s="117" t="str">
        <f t="shared" si="10"/>
        <v>Failed in 3 Subjects</v>
      </c>
      <c r="V10" s="117" t="str">
        <f t="shared" si="11"/>
        <v/>
      </c>
      <c r="W10" s="117" t="str">
        <f>'Detailed Summary'!BK9</f>
        <v/>
      </c>
    </row>
    <row r="11" spans="1:23" ht="18.5" hidden="1" x14ac:dyDescent="0.45">
      <c r="A11" s="100"/>
      <c r="B11" s="100">
        <f>'Student Basic Info'!A10</f>
        <v>709</v>
      </c>
      <c r="C11" s="100" t="str">
        <f>'Student Basic Info'!C10</f>
        <v>Nafisa Anjum Prena</v>
      </c>
      <c r="D11" s="100">
        <f>Bangla!G10</f>
        <v>3.5</v>
      </c>
      <c r="E11" s="100">
        <f>English!F10</f>
        <v>1</v>
      </c>
      <c r="F11" s="100">
        <f>ICT!H10</f>
        <v>0</v>
      </c>
      <c r="G11" s="100">
        <f>Physics!H10</f>
        <v>2</v>
      </c>
      <c r="H11" s="100">
        <f>Chemistry!H10</f>
        <v>0</v>
      </c>
      <c r="I11" s="100">
        <f>Biology!H10</f>
        <v>0</v>
      </c>
      <c r="J11" s="100">
        <f>Math!H10</f>
        <v>0</v>
      </c>
      <c r="K11" s="100">
        <f t="shared" si="0"/>
        <v>1</v>
      </c>
      <c r="L11" s="100">
        <f t="shared" si="1"/>
        <v>1</v>
      </c>
      <c r="M11" s="100">
        <f t="shared" si="2"/>
        <v>0</v>
      </c>
      <c r="N11" s="100">
        <f t="shared" si="3"/>
        <v>1</v>
      </c>
      <c r="O11" s="100">
        <f t="shared" si="4"/>
        <v>0</v>
      </c>
      <c r="P11" s="100">
        <f t="shared" si="5"/>
        <v>0</v>
      </c>
      <c r="Q11" s="100">
        <f t="shared" si="6"/>
        <v>3</v>
      </c>
      <c r="R11" s="100" t="str">
        <f t="shared" si="7"/>
        <v/>
      </c>
      <c r="S11" s="100" t="str">
        <f t="shared" si="8"/>
        <v/>
      </c>
      <c r="T11" s="100" t="str">
        <f t="shared" si="9"/>
        <v/>
      </c>
      <c r="U11" s="100" t="str">
        <f t="shared" si="10"/>
        <v>Failed in 3 Subjects</v>
      </c>
      <c r="V11" s="100" t="str">
        <f t="shared" si="11"/>
        <v/>
      </c>
      <c r="W11" s="100" t="str">
        <f>'Detailed Summary'!BK10</f>
        <v/>
      </c>
    </row>
    <row r="12" spans="1:23" ht="18.5" hidden="1" x14ac:dyDescent="0.45">
      <c r="A12" s="100"/>
      <c r="B12" s="100">
        <f>'Student Basic Info'!A11</f>
        <v>710</v>
      </c>
      <c r="C12" s="100" t="str">
        <f>'Student Basic Info'!C11</f>
        <v>Umme Tabassum Maisha</v>
      </c>
      <c r="D12" s="100">
        <f>Bangla!G11</f>
        <v>3</v>
      </c>
      <c r="E12" s="100">
        <f>English!F11</f>
        <v>0</v>
      </c>
      <c r="F12" s="100">
        <f>ICT!H11</f>
        <v>3</v>
      </c>
      <c r="G12" s="100">
        <f>Physics!H11</f>
        <v>2</v>
      </c>
      <c r="H12" s="100">
        <f>Chemistry!H11</f>
        <v>0</v>
      </c>
      <c r="I12" s="100">
        <f>Biology!H11</f>
        <v>0</v>
      </c>
      <c r="J12" s="100">
        <f>Math!H11</f>
        <v>0</v>
      </c>
      <c r="K12" s="100">
        <f t="shared" si="0"/>
        <v>1</v>
      </c>
      <c r="L12" s="100">
        <f t="shared" si="1"/>
        <v>0</v>
      </c>
      <c r="M12" s="100">
        <f t="shared" si="2"/>
        <v>1</v>
      </c>
      <c r="N12" s="100">
        <f t="shared" si="3"/>
        <v>1</v>
      </c>
      <c r="O12" s="100">
        <f t="shared" si="4"/>
        <v>0</v>
      </c>
      <c r="P12" s="100">
        <f t="shared" si="5"/>
        <v>0</v>
      </c>
      <c r="Q12" s="100">
        <f t="shared" si="6"/>
        <v>3</v>
      </c>
      <c r="R12" s="100" t="str">
        <f t="shared" si="7"/>
        <v/>
      </c>
      <c r="S12" s="100" t="str">
        <f t="shared" si="8"/>
        <v/>
      </c>
      <c r="T12" s="100" t="str">
        <f t="shared" si="9"/>
        <v/>
      </c>
      <c r="U12" s="100" t="str">
        <f t="shared" si="10"/>
        <v>Failed in 3 Subjects</v>
      </c>
      <c r="V12" s="100" t="str">
        <f t="shared" si="11"/>
        <v/>
      </c>
      <c r="W12" s="100" t="str">
        <f>'Detailed Summary'!BK11</f>
        <v/>
      </c>
    </row>
    <row r="13" spans="1:23" ht="18.5" hidden="1" x14ac:dyDescent="0.45">
      <c r="A13" s="100"/>
      <c r="B13" s="100">
        <f>'Student Basic Info'!A12</f>
        <v>711</v>
      </c>
      <c r="C13" s="100" t="str">
        <f>'Student Basic Info'!C12</f>
        <v>Rakhi Ahasan</v>
      </c>
      <c r="D13" s="100" t="str">
        <f>Bangla!G12</f>
        <v/>
      </c>
      <c r="E13" s="100" t="str">
        <f>English!F12</f>
        <v/>
      </c>
      <c r="F13" s="100" t="str">
        <f>ICT!H12</f>
        <v/>
      </c>
      <c r="G13" s="100" t="str">
        <f>Physics!H12</f>
        <v/>
      </c>
      <c r="H13" s="100" t="str">
        <f>Chemistry!H12</f>
        <v/>
      </c>
      <c r="I13" s="100" t="str">
        <f>Biology!H12</f>
        <v/>
      </c>
      <c r="J13" s="100" t="str">
        <f>Math!H12</f>
        <v/>
      </c>
      <c r="K13" s="100">
        <f t="shared" si="0"/>
        <v>0</v>
      </c>
      <c r="L13" s="100">
        <f t="shared" si="1"/>
        <v>0</v>
      </c>
      <c r="M13" s="100">
        <f t="shared" si="2"/>
        <v>0</v>
      </c>
      <c r="N13" s="100">
        <f t="shared" si="3"/>
        <v>0</v>
      </c>
      <c r="O13" s="100">
        <f t="shared" si="4"/>
        <v>0</v>
      </c>
      <c r="P13" s="100">
        <f t="shared" si="5"/>
        <v>0</v>
      </c>
      <c r="Q13" s="100">
        <f t="shared" si="6"/>
        <v>0</v>
      </c>
      <c r="R13" s="100" t="str">
        <f t="shared" si="7"/>
        <v/>
      </c>
      <c r="S13" s="100" t="str">
        <f t="shared" si="8"/>
        <v/>
      </c>
      <c r="T13" s="100" t="str">
        <f t="shared" si="9"/>
        <v/>
      </c>
      <c r="U13" s="100" t="str">
        <f t="shared" si="10"/>
        <v>Failed in 6 Subjects</v>
      </c>
      <c r="V13" s="100" t="str">
        <f t="shared" si="11"/>
        <v/>
      </c>
      <c r="W13" s="100" t="str">
        <f>'Detailed Summary'!BK12</f>
        <v/>
      </c>
    </row>
    <row r="14" spans="1:23" ht="18.5" hidden="1" x14ac:dyDescent="0.45">
      <c r="A14" s="100"/>
      <c r="B14" s="100">
        <f>'Student Basic Info'!A13</f>
        <v>712</v>
      </c>
      <c r="C14" s="100" t="str">
        <f>'Student Basic Info'!C13</f>
        <v>Nadiyatul Nayem</v>
      </c>
      <c r="D14" s="100">
        <f>Bangla!G13</f>
        <v>3</v>
      </c>
      <c r="E14" s="100">
        <f>English!F13</f>
        <v>1</v>
      </c>
      <c r="F14" s="100">
        <f>ICT!H13</f>
        <v>2</v>
      </c>
      <c r="G14" s="100">
        <f>Physics!H13</f>
        <v>3</v>
      </c>
      <c r="H14" s="100">
        <f>Chemistry!H13</f>
        <v>2</v>
      </c>
      <c r="I14" s="100">
        <f>Biology!H13</f>
        <v>0</v>
      </c>
      <c r="J14" s="100">
        <f>Math!H13</f>
        <v>0</v>
      </c>
      <c r="K14" s="100">
        <f t="shared" si="0"/>
        <v>1</v>
      </c>
      <c r="L14" s="100">
        <f t="shared" si="1"/>
        <v>1</v>
      </c>
      <c r="M14" s="100">
        <f t="shared" si="2"/>
        <v>1</v>
      </c>
      <c r="N14" s="100">
        <f t="shared" si="3"/>
        <v>1</v>
      </c>
      <c r="O14" s="100">
        <f t="shared" si="4"/>
        <v>1</v>
      </c>
      <c r="P14" s="100">
        <f t="shared" si="5"/>
        <v>0</v>
      </c>
      <c r="Q14" s="100">
        <f t="shared" si="6"/>
        <v>5</v>
      </c>
      <c r="R14" s="100" t="str">
        <f t="shared" si="7"/>
        <v/>
      </c>
      <c r="S14" s="100" t="str">
        <f t="shared" si="8"/>
        <v/>
      </c>
      <c r="T14" s="100" t="str">
        <f t="shared" si="9"/>
        <v/>
      </c>
      <c r="U14" s="100" t="str">
        <f t="shared" si="10"/>
        <v>Failed in 1 Subject</v>
      </c>
      <c r="V14" s="100" t="str">
        <f t="shared" si="11"/>
        <v/>
      </c>
      <c r="W14" s="100" t="str">
        <f>'Detailed Summary'!BK13</f>
        <v/>
      </c>
    </row>
    <row r="15" spans="1:23" ht="18.5" hidden="1" x14ac:dyDescent="0.45">
      <c r="A15" s="100"/>
      <c r="B15" s="100">
        <f>'Student Basic Info'!A14</f>
        <v>713</v>
      </c>
      <c r="C15" s="100" t="str">
        <f>'Student Basic Info'!C14</f>
        <v>Zannatul Ferdaus Fariha</v>
      </c>
      <c r="D15" s="100">
        <f>Bangla!G14</f>
        <v>3</v>
      </c>
      <c r="E15" s="100">
        <f>English!F14</f>
        <v>2</v>
      </c>
      <c r="F15" s="100">
        <f>ICT!H14</f>
        <v>3.5</v>
      </c>
      <c r="G15" s="100">
        <f>Physics!H14</f>
        <v>3.5</v>
      </c>
      <c r="H15" s="100">
        <f>Chemistry!H14</f>
        <v>3.5</v>
      </c>
      <c r="I15" s="100">
        <f>Biology!H14</f>
        <v>2</v>
      </c>
      <c r="J15" s="100">
        <f>Math!H14</f>
        <v>0</v>
      </c>
      <c r="K15" s="100">
        <f t="shared" si="0"/>
        <v>1</v>
      </c>
      <c r="L15" s="100">
        <f t="shared" si="1"/>
        <v>1</v>
      </c>
      <c r="M15" s="100">
        <f t="shared" si="2"/>
        <v>1</v>
      </c>
      <c r="N15" s="100">
        <f t="shared" si="3"/>
        <v>1</v>
      </c>
      <c r="O15" s="100">
        <f t="shared" si="4"/>
        <v>1</v>
      </c>
      <c r="P15" s="100">
        <f t="shared" si="5"/>
        <v>1</v>
      </c>
      <c r="Q15" s="100">
        <f t="shared" si="6"/>
        <v>6</v>
      </c>
      <c r="R15" s="100">
        <f t="shared" si="7"/>
        <v>17.5</v>
      </c>
      <c r="S15" s="100">
        <f t="shared" si="8"/>
        <v>17.5</v>
      </c>
      <c r="T15" s="100">
        <f t="shared" si="9"/>
        <v>2.9166666666666665</v>
      </c>
      <c r="U15" s="100" t="str">
        <f t="shared" si="10"/>
        <v>Pass</v>
      </c>
      <c r="V15" s="100">
        <f t="shared" si="11"/>
        <v>2.9166666666666665</v>
      </c>
      <c r="W15" s="100">
        <f>'Detailed Summary'!BK14</f>
        <v>8</v>
      </c>
    </row>
    <row r="16" spans="1:23" ht="18.5" hidden="1" x14ac:dyDescent="0.45">
      <c r="A16" s="100"/>
      <c r="B16" s="100">
        <f>'Student Basic Info'!A15</f>
        <v>714</v>
      </c>
      <c r="C16" s="100" t="str">
        <f>'Student Basic Info'!C15</f>
        <v>Khadijatul Kubra</v>
      </c>
      <c r="D16" s="100">
        <f>Bangla!G15</f>
        <v>3.5</v>
      </c>
      <c r="E16" s="100">
        <f>English!F15</f>
        <v>2</v>
      </c>
      <c r="F16" s="100">
        <f>ICT!H15</f>
        <v>4</v>
      </c>
      <c r="G16" s="100">
        <f>Physics!H15</f>
        <v>3</v>
      </c>
      <c r="H16" s="100">
        <f>Chemistry!H15</f>
        <v>4</v>
      </c>
      <c r="I16" s="100">
        <f>Biology!H15</f>
        <v>3</v>
      </c>
      <c r="J16" s="100">
        <f>Math!H15</f>
        <v>0</v>
      </c>
      <c r="K16" s="100">
        <f t="shared" si="0"/>
        <v>1</v>
      </c>
      <c r="L16" s="100">
        <f t="shared" si="1"/>
        <v>1</v>
      </c>
      <c r="M16" s="100">
        <f t="shared" si="2"/>
        <v>1</v>
      </c>
      <c r="N16" s="100">
        <f t="shared" si="3"/>
        <v>1</v>
      </c>
      <c r="O16" s="100">
        <f t="shared" si="4"/>
        <v>1</v>
      </c>
      <c r="P16" s="100">
        <f t="shared" si="5"/>
        <v>1</v>
      </c>
      <c r="Q16" s="100">
        <f t="shared" si="6"/>
        <v>6</v>
      </c>
      <c r="R16" s="100">
        <f t="shared" si="7"/>
        <v>19.5</v>
      </c>
      <c r="S16" s="100">
        <f t="shared" si="8"/>
        <v>19.5</v>
      </c>
      <c r="T16" s="100">
        <f t="shared" si="9"/>
        <v>3.25</v>
      </c>
      <c r="U16" s="100" t="str">
        <f t="shared" si="10"/>
        <v>Pass</v>
      </c>
      <c r="V16" s="100">
        <f t="shared" si="11"/>
        <v>3.25</v>
      </c>
      <c r="W16" s="100">
        <f>'Detailed Summary'!BK15</f>
        <v>6</v>
      </c>
    </row>
    <row r="17" spans="1:23" ht="18.5" hidden="1" x14ac:dyDescent="0.45">
      <c r="A17" s="100"/>
      <c r="B17" s="100">
        <f>'Student Basic Info'!A16</f>
        <v>715</v>
      </c>
      <c r="C17" s="100" t="str">
        <f>'Student Basic Info'!C16</f>
        <v>Tanjila Islam</v>
      </c>
      <c r="D17" s="100">
        <f>Bangla!G16</f>
        <v>2</v>
      </c>
      <c r="E17" s="100">
        <f>English!F16</f>
        <v>0</v>
      </c>
      <c r="F17" s="100">
        <f>ICT!H16</f>
        <v>0</v>
      </c>
      <c r="G17" s="100">
        <f>Physics!H16</f>
        <v>3</v>
      </c>
      <c r="H17" s="100">
        <f>Chemistry!H16</f>
        <v>3</v>
      </c>
      <c r="I17" s="100">
        <f>Biology!H16</f>
        <v>0</v>
      </c>
      <c r="J17" s="100">
        <f>Math!H16</f>
        <v>0</v>
      </c>
      <c r="K17" s="100">
        <f t="shared" si="0"/>
        <v>1</v>
      </c>
      <c r="L17" s="100">
        <f t="shared" si="1"/>
        <v>0</v>
      </c>
      <c r="M17" s="100">
        <f t="shared" si="2"/>
        <v>0</v>
      </c>
      <c r="N17" s="100">
        <f t="shared" si="3"/>
        <v>1</v>
      </c>
      <c r="O17" s="100">
        <f t="shared" si="4"/>
        <v>1</v>
      </c>
      <c r="P17" s="100">
        <f t="shared" si="5"/>
        <v>0</v>
      </c>
      <c r="Q17" s="100">
        <f t="shared" si="6"/>
        <v>3</v>
      </c>
      <c r="R17" s="100" t="str">
        <f t="shared" si="7"/>
        <v/>
      </c>
      <c r="S17" s="100" t="str">
        <f t="shared" si="8"/>
        <v/>
      </c>
      <c r="T17" s="100" t="str">
        <f t="shared" si="9"/>
        <v/>
      </c>
      <c r="U17" s="100" t="str">
        <f t="shared" si="10"/>
        <v>Failed in 3 Subjects</v>
      </c>
      <c r="V17" s="100" t="str">
        <f t="shared" si="11"/>
        <v/>
      </c>
      <c r="W17" s="100" t="str">
        <f>'Detailed Summary'!BK16</f>
        <v/>
      </c>
    </row>
    <row r="18" spans="1:23" ht="18.5" hidden="1" x14ac:dyDescent="0.45">
      <c r="A18" s="100"/>
      <c r="B18" s="100">
        <f>'Student Basic Info'!A17</f>
        <v>716</v>
      </c>
      <c r="C18" s="100" t="str">
        <f>'Student Basic Info'!C17</f>
        <v>Nazmun Nahar Rikha</v>
      </c>
      <c r="D18" s="100">
        <f>Bangla!G17</f>
        <v>2</v>
      </c>
      <c r="E18" s="100">
        <f>English!F17</f>
        <v>0</v>
      </c>
      <c r="F18" s="100">
        <f>ICT!H17</f>
        <v>0</v>
      </c>
      <c r="G18" s="100">
        <f>Physics!H17</f>
        <v>3</v>
      </c>
      <c r="H18" s="100">
        <f>Chemistry!H17</f>
        <v>3</v>
      </c>
      <c r="I18" s="100">
        <f>Biology!H17</f>
        <v>0</v>
      </c>
      <c r="J18" s="100">
        <f>Math!H17</f>
        <v>0</v>
      </c>
      <c r="K18" s="100">
        <f t="shared" si="0"/>
        <v>1</v>
      </c>
      <c r="L18" s="100">
        <f t="shared" si="1"/>
        <v>0</v>
      </c>
      <c r="M18" s="100">
        <f t="shared" si="2"/>
        <v>0</v>
      </c>
      <c r="N18" s="100">
        <f t="shared" si="3"/>
        <v>1</v>
      </c>
      <c r="O18" s="100">
        <f t="shared" si="4"/>
        <v>1</v>
      </c>
      <c r="P18" s="100">
        <f t="shared" si="5"/>
        <v>0</v>
      </c>
      <c r="Q18" s="100">
        <f t="shared" si="6"/>
        <v>3</v>
      </c>
      <c r="R18" s="100" t="str">
        <f t="shared" si="7"/>
        <v/>
      </c>
      <c r="S18" s="100" t="str">
        <f t="shared" si="8"/>
        <v/>
      </c>
      <c r="T18" s="100" t="str">
        <f t="shared" si="9"/>
        <v/>
      </c>
      <c r="U18" s="100" t="str">
        <f t="shared" si="10"/>
        <v>Failed in 3 Subjects</v>
      </c>
      <c r="V18" s="100" t="str">
        <f t="shared" si="11"/>
        <v/>
      </c>
      <c r="W18" s="100" t="str">
        <f>'Detailed Summary'!BK17</f>
        <v/>
      </c>
    </row>
    <row r="19" spans="1:23" ht="18.5" hidden="1" x14ac:dyDescent="0.45">
      <c r="A19" s="100"/>
      <c r="B19" s="100">
        <f>'Student Basic Info'!A18</f>
        <v>717</v>
      </c>
      <c r="C19" s="100" t="str">
        <f>'Student Basic Info'!C18</f>
        <v xml:space="preserve">Umme Rojina </v>
      </c>
      <c r="D19" s="100">
        <f>Bangla!G18</f>
        <v>3</v>
      </c>
      <c r="E19" s="100">
        <f>English!F18</f>
        <v>0</v>
      </c>
      <c r="F19" s="100">
        <f>ICT!H18</f>
        <v>0</v>
      </c>
      <c r="G19" s="100">
        <f>Physics!H18</f>
        <v>3.5</v>
      </c>
      <c r="H19" s="100">
        <f>Chemistry!H18</f>
        <v>2</v>
      </c>
      <c r="I19" s="100">
        <f>Biology!H18</f>
        <v>0</v>
      </c>
      <c r="J19" s="100" t="str">
        <f>Math!H18</f>
        <v/>
      </c>
      <c r="K19" s="100">
        <f t="shared" si="0"/>
        <v>1</v>
      </c>
      <c r="L19" s="100">
        <f t="shared" si="1"/>
        <v>0</v>
      </c>
      <c r="M19" s="100">
        <f t="shared" si="2"/>
        <v>0</v>
      </c>
      <c r="N19" s="100">
        <f t="shared" si="3"/>
        <v>1</v>
      </c>
      <c r="O19" s="100">
        <f t="shared" si="4"/>
        <v>1</v>
      </c>
      <c r="P19" s="100">
        <f t="shared" si="5"/>
        <v>0</v>
      </c>
      <c r="Q19" s="100">
        <f t="shared" si="6"/>
        <v>3</v>
      </c>
      <c r="R19" s="100" t="str">
        <f t="shared" si="7"/>
        <v/>
      </c>
      <c r="S19" s="100" t="str">
        <f t="shared" si="8"/>
        <v/>
      </c>
      <c r="T19" s="100" t="str">
        <f t="shared" si="9"/>
        <v/>
      </c>
      <c r="U19" s="100" t="str">
        <f t="shared" si="10"/>
        <v>Failed in 3 Subjects</v>
      </c>
      <c r="V19" s="100" t="str">
        <f t="shared" si="11"/>
        <v/>
      </c>
      <c r="W19" s="100" t="str">
        <f>'Detailed Summary'!BK18</f>
        <v/>
      </c>
    </row>
    <row r="20" spans="1:23" ht="18.5" hidden="1" x14ac:dyDescent="0.45">
      <c r="A20" s="100"/>
      <c r="B20" s="100">
        <f>'Student Basic Info'!A19</f>
        <v>718</v>
      </c>
      <c r="C20" s="100" t="str">
        <f>'Student Basic Info'!C19</f>
        <v>Zannatul Ferdaus</v>
      </c>
      <c r="D20" s="100" t="str">
        <f>Bangla!G19</f>
        <v/>
      </c>
      <c r="E20" s="100" t="str">
        <f>English!F19</f>
        <v/>
      </c>
      <c r="F20" s="100" t="str">
        <f>ICT!H19</f>
        <v/>
      </c>
      <c r="G20" s="100" t="str">
        <f>Physics!H19</f>
        <v/>
      </c>
      <c r="H20" s="100" t="str">
        <f>Chemistry!H19</f>
        <v/>
      </c>
      <c r="I20" s="100" t="str">
        <f>Biology!H19</f>
        <v/>
      </c>
      <c r="J20" s="100" t="str">
        <f>Math!H19</f>
        <v/>
      </c>
      <c r="K20" s="100">
        <f t="shared" si="0"/>
        <v>0</v>
      </c>
      <c r="L20" s="100">
        <f t="shared" si="1"/>
        <v>0</v>
      </c>
      <c r="M20" s="100">
        <f t="shared" si="2"/>
        <v>0</v>
      </c>
      <c r="N20" s="100">
        <f t="shared" si="3"/>
        <v>0</v>
      </c>
      <c r="O20" s="100">
        <f t="shared" si="4"/>
        <v>0</v>
      </c>
      <c r="P20" s="100">
        <f t="shared" si="5"/>
        <v>0</v>
      </c>
      <c r="Q20" s="100">
        <f t="shared" si="6"/>
        <v>0</v>
      </c>
      <c r="R20" s="100" t="str">
        <f t="shared" si="7"/>
        <v/>
      </c>
      <c r="S20" s="100" t="str">
        <f t="shared" si="8"/>
        <v/>
      </c>
      <c r="T20" s="100" t="str">
        <f t="shared" si="9"/>
        <v/>
      </c>
      <c r="U20" s="100" t="str">
        <f t="shared" si="10"/>
        <v>Failed in 6 Subjects</v>
      </c>
      <c r="V20" s="100" t="str">
        <f t="shared" si="11"/>
        <v/>
      </c>
      <c r="W20" s="100" t="str">
        <f>'Detailed Summary'!BK19</f>
        <v/>
      </c>
    </row>
    <row r="21" spans="1:23" ht="18.5" hidden="1" x14ac:dyDescent="0.45">
      <c r="A21" s="100"/>
      <c r="B21" s="100">
        <f>'Student Basic Info'!A20</f>
        <v>719</v>
      </c>
      <c r="C21" s="100" t="str">
        <f>'Student Basic Info'!C20</f>
        <v>Shazeda Amin Shuchi</v>
      </c>
      <c r="D21" s="100">
        <f>Bangla!G20</f>
        <v>3</v>
      </c>
      <c r="E21" s="100">
        <f>English!F20</f>
        <v>0</v>
      </c>
      <c r="F21" s="100">
        <f>ICT!H20</f>
        <v>0</v>
      </c>
      <c r="G21" s="100">
        <f>Physics!H20</f>
        <v>3.5</v>
      </c>
      <c r="H21" s="100">
        <f>Chemistry!H20</f>
        <v>3</v>
      </c>
      <c r="I21" s="100">
        <f>Biology!H20</f>
        <v>0</v>
      </c>
      <c r="J21" s="100">
        <f>Math!H20</f>
        <v>0</v>
      </c>
      <c r="K21" s="100">
        <f t="shared" si="0"/>
        <v>1</v>
      </c>
      <c r="L21" s="100">
        <f t="shared" si="1"/>
        <v>0</v>
      </c>
      <c r="M21" s="100">
        <f t="shared" si="2"/>
        <v>0</v>
      </c>
      <c r="N21" s="100">
        <f t="shared" si="3"/>
        <v>1</v>
      </c>
      <c r="O21" s="100">
        <f t="shared" si="4"/>
        <v>1</v>
      </c>
      <c r="P21" s="100">
        <f t="shared" si="5"/>
        <v>0</v>
      </c>
      <c r="Q21" s="100">
        <f t="shared" si="6"/>
        <v>3</v>
      </c>
      <c r="R21" s="100" t="str">
        <f t="shared" si="7"/>
        <v/>
      </c>
      <c r="S21" s="100" t="str">
        <f t="shared" si="8"/>
        <v/>
      </c>
      <c r="T21" s="100" t="str">
        <f t="shared" si="9"/>
        <v/>
      </c>
      <c r="U21" s="100" t="str">
        <f t="shared" si="10"/>
        <v>Failed in 3 Subjects</v>
      </c>
      <c r="V21" s="100" t="str">
        <f t="shared" si="11"/>
        <v/>
      </c>
      <c r="W21" s="100" t="str">
        <f>'Detailed Summary'!BK20</f>
        <v/>
      </c>
    </row>
    <row r="22" spans="1:23" ht="18.5" hidden="1" x14ac:dyDescent="0.45">
      <c r="A22" s="100"/>
      <c r="B22" s="100">
        <f>'Student Basic Info'!A21</f>
        <v>720</v>
      </c>
      <c r="C22" s="100" t="str">
        <f>'Student Basic Info'!C21</f>
        <v>Farzana Aktar</v>
      </c>
      <c r="D22" s="100">
        <f>Bangla!G21</f>
        <v>3</v>
      </c>
      <c r="E22" s="100">
        <f>English!F21</f>
        <v>0</v>
      </c>
      <c r="F22" s="100">
        <f>ICT!H21</f>
        <v>0</v>
      </c>
      <c r="G22" s="100">
        <f>Physics!H21</f>
        <v>3</v>
      </c>
      <c r="H22" s="100">
        <f>Chemistry!H21</f>
        <v>0</v>
      </c>
      <c r="I22" s="100">
        <f>Biology!H21</f>
        <v>0</v>
      </c>
      <c r="J22" s="100">
        <f>Math!H21</f>
        <v>0</v>
      </c>
      <c r="K22" s="100">
        <f t="shared" si="0"/>
        <v>1</v>
      </c>
      <c r="L22" s="100">
        <f t="shared" si="1"/>
        <v>0</v>
      </c>
      <c r="M22" s="100">
        <f t="shared" si="2"/>
        <v>0</v>
      </c>
      <c r="N22" s="100">
        <f t="shared" si="3"/>
        <v>1</v>
      </c>
      <c r="O22" s="100">
        <f t="shared" si="4"/>
        <v>0</v>
      </c>
      <c r="P22" s="100">
        <f t="shared" si="5"/>
        <v>0</v>
      </c>
      <c r="Q22" s="100">
        <f t="shared" si="6"/>
        <v>2</v>
      </c>
      <c r="R22" s="100" t="str">
        <f t="shared" si="7"/>
        <v/>
      </c>
      <c r="S22" s="100" t="str">
        <f t="shared" si="8"/>
        <v/>
      </c>
      <c r="T22" s="100" t="str">
        <f t="shared" si="9"/>
        <v/>
      </c>
      <c r="U22" s="100" t="str">
        <f t="shared" si="10"/>
        <v>Failed in 4 Subjects</v>
      </c>
      <c r="V22" s="100" t="str">
        <f t="shared" si="11"/>
        <v/>
      </c>
      <c r="W22" s="100" t="str">
        <f>'Detailed Summary'!BK21</f>
        <v/>
      </c>
    </row>
    <row r="23" spans="1:23" ht="18.5" hidden="1" x14ac:dyDescent="0.45">
      <c r="A23" s="100"/>
      <c r="B23" s="100">
        <f>'Student Basic Info'!A22</f>
        <v>721</v>
      </c>
      <c r="C23" s="100" t="str">
        <f>'Student Basic Info'!C22</f>
        <v>Nowrin Faiza Niduwa</v>
      </c>
      <c r="D23" s="100" t="str">
        <f>Bangla!G22</f>
        <v/>
      </c>
      <c r="E23" s="100" t="str">
        <f>English!F22</f>
        <v/>
      </c>
      <c r="F23" s="100" t="str">
        <f>ICT!H22</f>
        <v/>
      </c>
      <c r="G23" s="100" t="str">
        <f>Physics!H22</f>
        <v/>
      </c>
      <c r="H23" s="100" t="str">
        <f>Chemistry!H22</f>
        <v/>
      </c>
      <c r="I23" s="100" t="str">
        <f>Biology!H22</f>
        <v/>
      </c>
      <c r="J23" s="100" t="str">
        <f>Math!H22</f>
        <v/>
      </c>
      <c r="K23" s="100">
        <f t="shared" si="0"/>
        <v>0</v>
      </c>
      <c r="L23" s="100">
        <f t="shared" si="1"/>
        <v>0</v>
      </c>
      <c r="M23" s="100">
        <f t="shared" si="2"/>
        <v>0</v>
      </c>
      <c r="N23" s="100">
        <f t="shared" si="3"/>
        <v>0</v>
      </c>
      <c r="O23" s="100">
        <f t="shared" si="4"/>
        <v>0</v>
      </c>
      <c r="P23" s="100">
        <f t="shared" si="5"/>
        <v>0</v>
      </c>
      <c r="Q23" s="100">
        <f t="shared" si="6"/>
        <v>0</v>
      </c>
      <c r="R23" s="100" t="str">
        <f t="shared" si="7"/>
        <v/>
      </c>
      <c r="S23" s="100" t="str">
        <f t="shared" si="8"/>
        <v/>
      </c>
      <c r="T23" s="100" t="str">
        <f t="shared" si="9"/>
        <v/>
      </c>
      <c r="U23" s="100" t="str">
        <f t="shared" si="10"/>
        <v>Failed in 6 Subjects</v>
      </c>
      <c r="V23" s="100" t="str">
        <f t="shared" si="11"/>
        <v/>
      </c>
      <c r="W23" s="100" t="str">
        <f>'Detailed Summary'!BK22</f>
        <v/>
      </c>
    </row>
    <row r="24" spans="1:23" ht="18.5" hidden="1" x14ac:dyDescent="0.45">
      <c r="A24" s="100"/>
      <c r="B24" s="100">
        <f>'Student Basic Info'!A23</f>
        <v>722</v>
      </c>
      <c r="C24" s="100" t="str">
        <f>'Student Basic Info'!C23</f>
        <v>Mahmudau Rahman Munna</v>
      </c>
      <c r="D24" s="100">
        <f>Bangla!G23</f>
        <v>3</v>
      </c>
      <c r="E24" s="100">
        <f>English!F23</f>
        <v>2</v>
      </c>
      <c r="F24" s="100">
        <f>ICT!H23</f>
        <v>0</v>
      </c>
      <c r="G24" s="100">
        <f>Physics!H23</f>
        <v>0</v>
      </c>
      <c r="H24" s="100">
        <f>Chemistry!H23</f>
        <v>0</v>
      </c>
      <c r="I24" s="100">
        <f>Biology!H23</f>
        <v>0</v>
      </c>
      <c r="J24" s="100">
        <f>Math!H23</f>
        <v>0</v>
      </c>
      <c r="K24" s="100">
        <f t="shared" si="0"/>
        <v>1</v>
      </c>
      <c r="L24" s="100">
        <f t="shared" si="1"/>
        <v>1</v>
      </c>
      <c r="M24" s="100">
        <f t="shared" si="2"/>
        <v>0</v>
      </c>
      <c r="N24" s="100">
        <f t="shared" si="3"/>
        <v>0</v>
      </c>
      <c r="O24" s="100">
        <f t="shared" si="4"/>
        <v>0</v>
      </c>
      <c r="P24" s="100">
        <f t="shared" si="5"/>
        <v>0</v>
      </c>
      <c r="Q24" s="100">
        <f t="shared" si="6"/>
        <v>2</v>
      </c>
      <c r="R24" s="100" t="str">
        <f t="shared" si="7"/>
        <v/>
      </c>
      <c r="S24" s="100" t="str">
        <f t="shared" si="8"/>
        <v/>
      </c>
      <c r="T24" s="100" t="str">
        <f t="shared" si="9"/>
        <v/>
      </c>
      <c r="U24" s="100" t="str">
        <f t="shared" si="10"/>
        <v>Failed in 4 Subjects</v>
      </c>
      <c r="V24" s="100" t="str">
        <f t="shared" si="11"/>
        <v/>
      </c>
      <c r="W24" s="100" t="str">
        <f>'Detailed Summary'!BK23</f>
        <v/>
      </c>
    </row>
    <row r="25" spans="1:23" ht="18.5" hidden="1" x14ac:dyDescent="0.45">
      <c r="A25" s="100"/>
      <c r="B25" s="100">
        <f>'Student Basic Info'!A24</f>
        <v>723</v>
      </c>
      <c r="C25" s="100" t="str">
        <f>'Student Basic Info'!C24</f>
        <v>Shamsuzzaman</v>
      </c>
      <c r="D25" s="100">
        <f>Bangla!G24</f>
        <v>4</v>
      </c>
      <c r="E25" s="100">
        <f>English!F24</f>
        <v>3.5</v>
      </c>
      <c r="F25" s="100">
        <f>ICT!H24</f>
        <v>5</v>
      </c>
      <c r="G25" s="100">
        <f>Physics!H24</f>
        <v>5</v>
      </c>
      <c r="H25" s="100">
        <f>Chemistry!H24</f>
        <v>5</v>
      </c>
      <c r="I25" s="100">
        <f>Biology!H24</f>
        <v>4</v>
      </c>
      <c r="J25" s="100">
        <f>Math!H24</f>
        <v>5</v>
      </c>
      <c r="K25" s="100">
        <f t="shared" si="0"/>
        <v>1</v>
      </c>
      <c r="L25" s="100">
        <f t="shared" si="1"/>
        <v>1</v>
      </c>
      <c r="M25" s="100">
        <f t="shared" si="2"/>
        <v>1</v>
      </c>
      <c r="N25" s="100">
        <f t="shared" si="3"/>
        <v>1</v>
      </c>
      <c r="O25" s="100">
        <f t="shared" si="4"/>
        <v>1</v>
      </c>
      <c r="P25" s="100">
        <f t="shared" si="5"/>
        <v>1</v>
      </c>
      <c r="Q25" s="100">
        <f t="shared" si="6"/>
        <v>6</v>
      </c>
      <c r="R25" s="100">
        <f t="shared" si="7"/>
        <v>26.5</v>
      </c>
      <c r="S25" s="100">
        <f t="shared" si="8"/>
        <v>31.5</v>
      </c>
      <c r="T25" s="100">
        <f t="shared" si="9"/>
        <v>4.416666666666667</v>
      </c>
      <c r="U25" s="100" t="str">
        <f t="shared" si="10"/>
        <v>Pass</v>
      </c>
      <c r="V25" s="100">
        <f t="shared" si="11"/>
        <v>5</v>
      </c>
      <c r="W25" s="100">
        <f>'Detailed Summary'!BK24</f>
        <v>1</v>
      </c>
    </row>
    <row r="26" spans="1:23" ht="18.5" hidden="1" x14ac:dyDescent="0.45">
      <c r="A26" s="100"/>
      <c r="B26" s="100">
        <f>'Student Basic Info'!A25</f>
        <v>724</v>
      </c>
      <c r="C26" s="100" t="str">
        <f>'Student Basic Info'!C25</f>
        <v>Dipto Chandra Das</v>
      </c>
      <c r="D26" s="100">
        <f>Bangla!G25</f>
        <v>2</v>
      </c>
      <c r="E26" s="100">
        <f>English!F25</f>
        <v>1</v>
      </c>
      <c r="F26" s="100">
        <f>ICT!H25</f>
        <v>0</v>
      </c>
      <c r="G26" s="100">
        <f>Physics!H25</f>
        <v>2</v>
      </c>
      <c r="H26" s="100">
        <f>Chemistry!H25</f>
        <v>3</v>
      </c>
      <c r="I26" s="100">
        <f>Biology!H25</f>
        <v>0</v>
      </c>
      <c r="J26" s="100">
        <f>Math!H25</f>
        <v>0</v>
      </c>
      <c r="K26" s="100">
        <f t="shared" si="0"/>
        <v>1</v>
      </c>
      <c r="L26" s="100">
        <f t="shared" si="1"/>
        <v>1</v>
      </c>
      <c r="M26" s="100">
        <f t="shared" si="2"/>
        <v>0</v>
      </c>
      <c r="N26" s="100">
        <f t="shared" si="3"/>
        <v>1</v>
      </c>
      <c r="O26" s="100">
        <f t="shared" si="4"/>
        <v>1</v>
      </c>
      <c r="P26" s="100">
        <f t="shared" si="5"/>
        <v>0</v>
      </c>
      <c r="Q26" s="100">
        <f t="shared" si="6"/>
        <v>4</v>
      </c>
      <c r="R26" s="100" t="str">
        <f t="shared" si="7"/>
        <v/>
      </c>
      <c r="S26" s="100" t="str">
        <f t="shared" si="8"/>
        <v/>
      </c>
      <c r="T26" s="100" t="str">
        <f t="shared" si="9"/>
        <v/>
      </c>
      <c r="U26" s="100" t="str">
        <f t="shared" si="10"/>
        <v>Failed in 2 Subjects</v>
      </c>
      <c r="V26" s="100" t="str">
        <f t="shared" si="11"/>
        <v/>
      </c>
      <c r="W26" s="100" t="str">
        <f>'Detailed Summary'!BK25</f>
        <v/>
      </c>
    </row>
    <row r="27" spans="1:23" ht="18.5" hidden="1" x14ac:dyDescent="0.45">
      <c r="A27" s="100"/>
      <c r="B27" s="100">
        <f>'Student Basic Info'!A26</f>
        <v>725</v>
      </c>
      <c r="C27" s="100" t="str">
        <f>'Student Basic Info'!C26</f>
        <v>Shorfuddin Nayem</v>
      </c>
      <c r="D27" s="100">
        <f>Bangla!G26</f>
        <v>2</v>
      </c>
      <c r="E27" s="100">
        <f>English!F26</f>
        <v>1</v>
      </c>
      <c r="F27" s="100">
        <f>ICT!H26</f>
        <v>0</v>
      </c>
      <c r="G27" s="100">
        <f>Physics!H26</f>
        <v>2</v>
      </c>
      <c r="H27" s="100">
        <f>Chemistry!H26</f>
        <v>0</v>
      </c>
      <c r="I27" s="100">
        <f>Biology!H26</f>
        <v>0</v>
      </c>
      <c r="J27" s="100">
        <f>Math!H26</f>
        <v>0</v>
      </c>
      <c r="K27" s="100">
        <f t="shared" si="0"/>
        <v>1</v>
      </c>
      <c r="L27" s="100">
        <f t="shared" si="1"/>
        <v>1</v>
      </c>
      <c r="M27" s="100">
        <f t="shared" si="2"/>
        <v>0</v>
      </c>
      <c r="N27" s="100">
        <f t="shared" si="3"/>
        <v>1</v>
      </c>
      <c r="O27" s="100">
        <f t="shared" si="4"/>
        <v>0</v>
      </c>
      <c r="P27" s="100">
        <f t="shared" si="5"/>
        <v>0</v>
      </c>
      <c r="Q27" s="100">
        <f t="shared" si="6"/>
        <v>3</v>
      </c>
      <c r="R27" s="100" t="str">
        <f t="shared" si="7"/>
        <v/>
      </c>
      <c r="S27" s="100" t="str">
        <f t="shared" si="8"/>
        <v/>
      </c>
      <c r="T27" s="100" t="str">
        <f t="shared" si="9"/>
        <v/>
      </c>
      <c r="U27" s="100" t="str">
        <f t="shared" si="10"/>
        <v>Failed in 3 Subjects</v>
      </c>
      <c r="V27" s="100" t="str">
        <f t="shared" si="11"/>
        <v/>
      </c>
      <c r="W27" s="100" t="str">
        <f>'Detailed Summary'!BK26</f>
        <v/>
      </c>
    </row>
    <row r="28" spans="1:23" ht="18.5" hidden="1" x14ac:dyDescent="0.45">
      <c r="A28" s="100"/>
      <c r="B28" s="100">
        <f>'Student Basic Info'!A27</f>
        <v>726</v>
      </c>
      <c r="C28" s="100" t="str">
        <f>'Student Basic Info'!C27</f>
        <v>Mosaddek Ali</v>
      </c>
      <c r="D28" s="100" t="str">
        <f>Bangla!G27</f>
        <v/>
      </c>
      <c r="E28" s="100" t="str">
        <f>English!F27</f>
        <v/>
      </c>
      <c r="F28" s="100" t="str">
        <f>ICT!H27</f>
        <v/>
      </c>
      <c r="G28" s="100" t="str">
        <f>Physics!H27</f>
        <v/>
      </c>
      <c r="H28" s="100" t="str">
        <f>Chemistry!H27</f>
        <v/>
      </c>
      <c r="I28" s="100" t="str">
        <f>Biology!H27</f>
        <v/>
      </c>
      <c r="J28" s="100" t="str">
        <f>Math!H27</f>
        <v/>
      </c>
      <c r="K28" s="100">
        <f t="shared" si="0"/>
        <v>0</v>
      </c>
      <c r="L28" s="100">
        <f t="shared" si="1"/>
        <v>0</v>
      </c>
      <c r="M28" s="100">
        <f t="shared" si="2"/>
        <v>0</v>
      </c>
      <c r="N28" s="100">
        <f t="shared" si="3"/>
        <v>0</v>
      </c>
      <c r="O28" s="100">
        <f t="shared" si="4"/>
        <v>0</v>
      </c>
      <c r="P28" s="100">
        <f t="shared" si="5"/>
        <v>0</v>
      </c>
      <c r="Q28" s="100">
        <f t="shared" si="6"/>
        <v>0</v>
      </c>
      <c r="R28" s="100" t="str">
        <f t="shared" si="7"/>
        <v/>
      </c>
      <c r="S28" s="100" t="str">
        <f t="shared" si="8"/>
        <v/>
      </c>
      <c r="T28" s="100" t="str">
        <f t="shared" si="9"/>
        <v/>
      </c>
      <c r="U28" s="100" t="str">
        <f t="shared" si="10"/>
        <v>Failed in 6 Subjects</v>
      </c>
      <c r="V28" s="100" t="str">
        <f t="shared" si="11"/>
        <v/>
      </c>
      <c r="W28" s="100" t="str">
        <f>'Detailed Summary'!BK27</f>
        <v/>
      </c>
    </row>
    <row r="29" spans="1:23" ht="18.5" hidden="1" x14ac:dyDescent="0.45">
      <c r="A29" s="100"/>
      <c r="B29" s="100">
        <f>'Student Basic Info'!A28</f>
        <v>727</v>
      </c>
      <c r="C29" s="100" t="str">
        <f>'Student Basic Info'!C28</f>
        <v>Fahmida Sultana</v>
      </c>
      <c r="D29" s="100">
        <f>Bangla!G28</f>
        <v>3.5</v>
      </c>
      <c r="E29" s="100">
        <f>English!F28</f>
        <v>1</v>
      </c>
      <c r="F29" s="100">
        <f>ICT!H28</f>
        <v>5</v>
      </c>
      <c r="G29" s="100">
        <f>Physics!H28</f>
        <v>3.5</v>
      </c>
      <c r="H29" s="100">
        <f>Chemistry!H28</f>
        <v>2</v>
      </c>
      <c r="I29" s="100">
        <f>Biology!H28</f>
        <v>2</v>
      </c>
      <c r="J29" s="100">
        <f>Math!H28</f>
        <v>0</v>
      </c>
      <c r="K29" s="100">
        <f t="shared" si="0"/>
        <v>1</v>
      </c>
      <c r="L29" s="100">
        <f t="shared" si="1"/>
        <v>1</v>
      </c>
      <c r="M29" s="100">
        <f t="shared" si="2"/>
        <v>1</v>
      </c>
      <c r="N29" s="100">
        <f t="shared" si="3"/>
        <v>1</v>
      </c>
      <c r="O29" s="100">
        <f t="shared" si="4"/>
        <v>1</v>
      </c>
      <c r="P29" s="100">
        <f t="shared" si="5"/>
        <v>1</v>
      </c>
      <c r="Q29" s="100">
        <f t="shared" si="6"/>
        <v>6</v>
      </c>
      <c r="R29" s="100">
        <f t="shared" si="7"/>
        <v>17</v>
      </c>
      <c r="S29" s="100">
        <f t="shared" si="8"/>
        <v>17</v>
      </c>
      <c r="T29" s="100">
        <f t="shared" si="9"/>
        <v>2.8333333333333335</v>
      </c>
      <c r="U29" s="100" t="str">
        <f t="shared" si="10"/>
        <v>Pass</v>
      </c>
      <c r="V29" s="100">
        <f t="shared" si="11"/>
        <v>2.8333333333333335</v>
      </c>
      <c r="W29" s="100">
        <f>'Detailed Summary'!BK28</f>
        <v>9</v>
      </c>
    </row>
    <row r="30" spans="1:23" ht="18.5" hidden="1" x14ac:dyDescent="0.45">
      <c r="A30" s="100"/>
      <c r="B30" s="100">
        <f>'Student Basic Info'!A29</f>
        <v>728</v>
      </c>
      <c r="C30" s="100" t="str">
        <f>'Student Basic Info'!C29</f>
        <v>Aditya Chandra Das (Akash)</v>
      </c>
      <c r="D30" s="100">
        <f>Bangla!G29</f>
        <v>2</v>
      </c>
      <c r="E30" s="100">
        <f>English!F29</f>
        <v>0</v>
      </c>
      <c r="F30" s="100">
        <f>ICT!H29</f>
        <v>0</v>
      </c>
      <c r="G30" s="100">
        <f>Physics!H29</f>
        <v>2</v>
      </c>
      <c r="H30" s="100">
        <f>Chemistry!H29</f>
        <v>3</v>
      </c>
      <c r="I30" s="100">
        <f>Biology!H29</f>
        <v>0</v>
      </c>
      <c r="J30" s="100">
        <f>Math!H29</f>
        <v>0</v>
      </c>
      <c r="K30" s="100">
        <f t="shared" si="0"/>
        <v>1</v>
      </c>
      <c r="L30" s="100">
        <f t="shared" si="1"/>
        <v>0</v>
      </c>
      <c r="M30" s="100">
        <f t="shared" si="2"/>
        <v>0</v>
      </c>
      <c r="N30" s="100">
        <f t="shared" si="3"/>
        <v>1</v>
      </c>
      <c r="O30" s="100">
        <f t="shared" si="4"/>
        <v>1</v>
      </c>
      <c r="P30" s="100">
        <f t="shared" si="5"/>
        <v>0</v>
      </c>
      <c r="Q30" s="100">
        <f t="shared" si="6"/>
        <v>3</v>
      </c>
      <c r="R30" s="100" t="str">
        <f t="shared" si="7"/>
        <v/>
      </c>
      <c r="S30" s="100" t="str">
        <f t="shared" si="8"/>
        <v/>
      </c>
      <c r="T30" s="100" t="str">
        <f t="shared" si="9"/>
        <v/>
      </c>
      <c r="U30" s="100" t="str">
        <f t="shared" si="10"/>
        <v>Failed in 3 Subjects</v>
      </c>
      <c r="V30" s="100" t="str">
        <f t="shared" si="11"/>
        <v/>
      </c>
      <c r="W30" s="100" t="str">
        <f>'Detailed Summary'!BK29</f>
        <v/>
      </c>
    </row>
    <row r="31" spans="1:23" ht="18.5" hidden="1" x14ac:dyDescent="0.45">
      <c r="A31" s="100"/>
      <c r="B31" s="100">
        <f>'Student Basic Info'!A30</f>
        <v>729</v>
      </c>
      <c r="C31" s="100" t="str">
        <f>'Student Basic Info'!C30</f>
        <v>Golam Kibriya</v>
      </c>
      <c r="D31" s="100">
        <f>Bangla!G30</f>
        <v>1</v>
      </c>
      <c r="E31" s="100">
        <f>English!F30</f>
        <v>0</v>
      </c>
      <c r="F31" s="100">
        <f>ICT!H30</f>
        <v>0</v>
      </c>
      <c r="G31" s="100">
        <f>Physics!H30</f>
        <v>0</v>
      </c>
      <c r="H31" s="100">
        <f>Chemistry!H30</f>
        <v>0</v>
      </c>
      <c r="I31" s="100">
        <f>Biology!H30</f>
        <v>0</v>
      </c>
      <c r="J31" s="100">
        <f>Math!H30</f>
        <v>0</v>
      </c>
      <c r="K31" s="100">
        <f t="shared" si="0"/>
        <v>1</v>
      </c>
      <c r="L31" s="100">
        <f t="shared" si="1"/>
        <v>0</v>
      </c>
      <c r="M31" s="100">
        <f t="shared" si="2"/>
        <v>0</v>
      </c>
      <c r="N31" s="100">
        <f t="shared" si="3"/>
        <v>0</v>
      </c>
      <c r="O31" s="100">
        <f t="shared" si="4"/>
        <v>0</v>
      </c>
      <c r="P31" s="100">
        <f t="shared" si="5"/>
        <v>0</v>
      </c>
      <c r="Q31" s="100">
        <f t="shared" si="6"/>
        <v>1</v>
      </c>
      <c r="R31" s="100" t="str">
        <f t="shared" si="7"/>
        <v/>
      </c>
      <c r="S31" s="100" t="str">
        <f t="shared" si="8"/>
        <v/>
      </c>
      <c r="T31" s="100" t="str">
        <f t="shared" si="9"/>
        <v/>
      </c>
      <c r="U31" s="100" t="str">
        <f t="shared" si="10"/>
        <v>Failed in 5 Subjects</v>
      </c>
      <c r="V31" s="100" t="str">
        <f t="shared" si="11"/>
        <v/>
      </c>
      <c r="W31" s="100" t="str">
        <f>'Detailed Summary'!BK30</f>
        <v/>
      </c>
    </row>
    <row r="32" spans="1:23" ht="18.5" hidden="1" x14ac:dyDescent="0.45">
      <c r="A32" s="100"/>
      <c r="B32" s="100">
        <f>'Student Basic Info'!A31</f>
        <v>730</v>
      </c>
      <c r="C32" s="100" t="str">
        <f>'Student Basic Info'!C31</f>
        <v>Fahmidul Alam Abhi</v>
      </c>
      <c r="D32" s="100">
        <f>Bangla!G31</f>
        <v>1</v>
      </c>
      <c r="E32" s="100">
        <f>English!F31</f>
        <v>0</v>
      </c>
      <c r="F32" s="100">
        <f>ICT!H31</f>
        <v>0</v>
      </c>
      <c r="G32" s="100">
        <f>Physics!H31</f>
        <v>0</v>
      </c>
      <c r="H32" s="100">
        <f>Chemistry!H31</f>
        <v>0</v>
      </c>
      <c r="I32" s="100">
        <f>Biology!H31</f>
        <v>0</v>
      </c>
      <c r="J32" s="100">
        <f>Math!H31</f>
        <v>0</v>
      </c>
      <c r="K32" s="100">
        <f t="shared" si="0"/>
        <v>1</v>
      </c>
      <c r="L32" s="100">
        <f t="shared" si="1"/>
        <v>0</v>
      </c>
      <c r="M32" s="100">
        <f t="shared" si="2"/>
        <v>0</v>
      </c>
      <c r="N32" s="100">
        <f t="shared" si="3"/>
        <v>0</v>
      </c>
      <c r="O32" s="100">
        <f t="shared" si="4"/>
        <v>0</v>
      </c>
      <c r="P32" s="100">
        <f t="shared" si="5"/>
        <v>0</v>
      </c>
      <c r="Q32" s="100">
        <f t="shared" si="6"/>
        <v>1</v>
      </c>
      <c r="R32" s="100" t="str">
        <f t="shared" si="7"/>
        <v/>
      </c>
      <c r="S32" s="100" t="str">
        <f t="shared" si="8"/>
        <v/>
      </c>
      <c r="T32" s="100" t="str">
        <f t="shared" si="9"/>
        <v/>
      </c>
      <c r="U32" s="100" t="str">
        <f t="shared" si="10"/>
        <v>Failed in 5 Subjects</v>
      </c>
      <c r="V32" s="100" t="str">
        <f t="shared" si="11"/>
        <v/>
      </c>
      <c r="W32" s="100" t="str">
        <f>'Detailed Summary'!BK31</f>
        <v/>
      </c>
    </row>
    <row r="33" spans="1:23" ht="18.5" hidden="1" x14ac:dyDescent="0.45">
      <c r="A33" s="100"/>
      <c r="B33" s="100">
        <f>'Student Basic Info'!A32</f>
        <v>731</v>
      </c>
      <c r="C33" s="100" t="str">
        <f>'Student Basic Info'!C32</f>
        <v>Lurpur Nahar</v>
      </c>
      <c r="D33" s="100">
        <f>Bangla!G32</f>
        <v>3</v>
      </c>
      <c r="E33" s="100">
        <f>English!F32</f>
        <v>0</v>
      </c>
      <c r="F33" s="100">
        <f>ICT!H32</f>
        <v>0</v>
      </c>
      <c r="G33" s="100">
        <f>Physics!H32</f>
        <v>3</v>
      </c>
      <c r="H33" s="100">
        <f>Chemistry!H32</f>
        <v>0</v>
      </c>
      <c r="I33" s="100">
        <f>Biology!H32</f>
        <v>0</v>
      </c>
      <c r="J33" s="100">
        <f>Math!H32</f>
        <v>0</v>
      </c>
      <c r="K33" s="100">
        <f t="shared" si="0"/>
        <v>1</v>
      </c>
      <c r="L33" s="100">
        <f t="shared" si="1"/>
        <v>0</v>
      </c>
      <c r="M33" s="100">
        <f t="shared" si="2"/>
        <v>0</v>
      </c>
      <c r="N33" s="100">
        <f t="shared" si="3"/>
        <v>1</v>
      </c>
      <c r="O33" s="100">
        <f t="shared" si="4"/>
        <v>0</v>
      </c>
      <c r="P33" s="100">
        <f t="shared" si="5"/>
        <v>0</v>
      </c>
      <c r="Q33" s="100">
        <f t="shared" si="6"/>
        <v>2</v>
      </c>
      <c r="R33" s="100" t="str">
        <f t="shared" si="7"/>
        <v/>
      </c>
      <c r="S33" s="100" t="str">
        <f t="shared" si="8"/>
        <v/>
      </c>
      <c r="T33" s="100" t="str">
        <f t="shared" si="9"/>
        <v/>
      </c>
      <c r="U33" s="100" t="str">
        <f t="shared" si="10"/>
        <v>Failed in 4 Subjects</v>
      </c>
      <c r="V33" s="100" t="str">
        <f t="shared" si="11"/>
        <v/>
      </c>
      <c r="W33" s="100" t="str">
        <f>'Detailed Summary'!BK32</f>
        <v/>
      </c>
    </row>
    <row r="34" spans="1:23" ht="18.5" hidden="1" x14ac:dyDescent="0.45">
      <c r="A34" s="100"/>
      <c r="B34" s="100">
        <f>'Student Basic Info'!A33</f>
        <v>732</v>
      </c>
      <c r="C34" s="100" t="str">
        <f>'Student Basic Info'!C33</f>
        <v>Shezanul Bahar Alvi</v>
      </c>
      <c r="D34" s="100">
        <f>Bangla!G33</f>
        <v>1</v>
      </c>
      <c r="E34" s="100">
        <f>English!F33</f>
        <v>0</v>
      </c>
      <c r="F34" s="100">
        <f>ICT!H33</f>
        <v>0</v>
      </c>
      <c r="G34" s="100" t="str">
        <f>Physics!H33</f>
        <v/>
      </c>
      <c r="H34" s="100">
        <f>Chemistry!H33</f>
        <v>1</v>
      </c>
      <c r="I34" s="100">
        <f>Biology!H33</f>
        <v>0</v>
      </c>
      <c r="J34" s="100">
        <f>Math!H33</f>
        <v>0</v>
      </c>
      <c r="K34" s="100">
        <f t="shared" si="0"/>
        <v>1</v>
      </c>
      <c r="L34" s="100">
        <f t="shared" si="1"/>
        <v>0</v>
      </c>
      <c r="M34" s="100">
        <f t="shared" si="2"/>
        <v>0</v>
      </c>
      <c r="N34" s="100">
        <f t="shared" si="3"/>
        <v>0</v>
      </c>
      <c r="O34" s="100">
        <f t="shared" si="4"/>
        <v>1</v>
      </c>
      <c r="P34" s="100">
        <f t="shared" si="5"/>
        <v>0</v>
      </c>
      <c r="Q34" s="100">
        <f t="shared" si="6"/>
        <v>2</v>
      </c>
      <c r="R34" s="100" t="str">
        <f t="shared" si="7"/>
        <v/>
      </c>
      <c r="S34" s="100" t="str">
        <f t="shared" si="8"/>
        <v/>
      </c>
      <c r="T34" s="100" t="str">
        <f t="shared" si="9"/>
        <v/>
      </c>
      <c r="U34" s="100" t="str">
        <f t="shared" si="10"/>
        <v>Failed in 4 Subjects</v>
      </c>
      <c r="V34" s="100" t="str">
        <f t="shared" si="11"/>
        <v/>
      </c>
      <c r="W34" s="100" t="str">
        <f>'Detailed Summary'!BK33</f>
        <v/>
      </c>
    </row>
    <row r="35" spans="1:23" ht="18.5" hidden="1" x14ac:dyDescent="0.45">
      <c r="A35" s="100"/>
      <c r="B35" s="100">
        <f>'Student Basic Info'!A34</f>
        <v>733</v>
      </c>
      <c r="C35" s="100" t="str">
        <f>'Student Basic Info'!C34</f>
        <v>Shadiya Bahar</v>
      </c>
      <c r="D35" s="100">
        <f>Bangla!G34</f>
        <v>2</v>
      </c>
      <c r="E35" s="100">
        <f>English!F34</f>
        <v>1</v>
      </c>
      <c r="F35" s="100">
        <f>ICT!H34</f>
        <v>0</v>
      </c>
      <c r="G35" s="100">
        <f>Physics!H34</f>
        <v>0</v>
      </c>
      <c r="H35" s="100">
        <f>Chemistry!H34</f>
        <v>0</v>
      </c>
      <c r="I35" s="100">
        <f>Biology!H34</f>
        <v>0</v>
      </c>
      <c r="J35" s="100">
        <f>Math!H34</f>
        <v>0</v>
      </c>
      <c r="K35" s="100">
        <f t="shared" ref="K35:K66" si="12">(IF(D35="",0,IF(D35=0,0,1)))</f>
        <v>1</v>
      </c>
      <c r="L35" s="100">
        <f t="shared" ref="L35:L66" si="13">(IF(E35="",0,IF(E35=0,0,1)))</f>
        <v>1</v>
      </c>
      <c r="M35" s="100">
        <f t="shared" ref="M35:M66" si="14">(IF(F35="",0,IF(F35=0,0,1)))</f>
        <v>0</v>
      </c>
      <c r="N35" s="100">
        <f t="shared" ref="N35:N66" si="15">(IF(G35="",0,IF(G35=0,0,1)))</f>
        <v>0</v>
      </c>
      <c r="O35" s="100">
        <f t="shared" ref="O35:O66" si="16">(IF(H35="",0,IF(H35=0,0,1)))</f>
        <v>0</v>
      </c>
      <c r="P35" s="100">
        <f t="shared" ref="P35:P66" si="17">(IF(I35="",0,IF(I35=0,0,1)))</f>
        <v>0</v>
      </c>
      <c r="Q35" s="100">
        <f t="shared" ref="Q35:Q66" si="18">SUM(K35:P35)</f>
        <v>2</v>
      </c>
      <c r="R35" s="100" t="str">
        <f t="shared" ref="R35:R66" si="19">IF(OR(D35=0,E35=0,F35=0,G35=0,H35=0,I35=0,D35="",E35="",F35="",G35="",H35="",I35=""),"",SUM(D35:I35))</f>
        <v/>
      </c>
      <c r="S35" s="100" t="str">
        <f t="shared" ref="S35:S66" si="20">IF(OR(D35=0,E35=0,F35=0,G35=0,H35=0,I35=0,D35="",E35="",F35="",G35="",H35="",I35=""),"",SUM(D35:J35))</f>
        <v/>
      </c>
      <c r="T35" s="100" t="str">
        <f t="shared" ref="T35:T66" si="21">IF(R35="","",IF(((R35/6)&gt;5),5,R35/6))</f>
        <v/>
      </c>
      <c r="U35" s="100" t="str">
        <f t="shared" ref="U35:U66" si="22">IF(Q35=0,"Failed in 6 Subjects",IF(Q35=1,"Failed in 5 Subjects",IF(Q35=2,"Failed in 4 Subjects",IF(Q35=3,"Failed in 3 Subjects",IF(Q35=4,"Failed in 2 Subjects",IF(Q35=5,"Failed in 1 Subject","Pass"))))))</f>
        <v>Failed in 4 Subjects</v>
      </c>
      <c r="V35" s="100" t="str">
        <f t="shared" ref="V35:V66" si="23">IF(S35="","",IF(((S35/6)&gt;5),5,S35/6))</f>
        <v/>
      </c>
      <c r="W35" s="100" t="str">
        <f>'Detailed Summary'!BK34</f>
        <v/>
      </c>
    </row>
    <row r="36" spans="1:23" ht="18.5" hidden="1" x14ac:dyDescent="0.45">
      <c r="A36" s="100">
        <v>2</v>
      </c>
      <c r="B36" s="100">
        <f>'Student Basic Info'!A35</f>
        <v>734</v>
      </c>
      <c r="C36" s="100" t="str">
        <f>'Student Basic Info'!C35</f>
        <v>Shayed Hasan</v>
      </c>
      <c r="D36" s="100">
        <f>Bangla!G35</f>
        <v>3</v>
      </c>
      <c r="E36" s="100">
        <f>English!F35</f>
        <v>1</v>
      </c>
      <c r="F36" s="100">
        <f>ICT!H35</f>
        <v>0</v>
      </c>
      <c r="G36" s="100">
        <f>Physics!H35</f>
        <v>3</v>
      </c>
      <c r="H36" s="100">
        <f>Chemistry!H35</f>
        <v>1</v>
      </c>
      <c r="I36" s="100">
        <f>Biology!H35</f>
        <v>0</v>
      </c>
      <c r="J36" s="100">
        <f>Math!H35</f>
        <v>0</v>
      </c>
      <c r="K36" s="100">
        <f t="shared" si="12"/>
        <v>1</v>
      </c>
      <c r="L36" s="100">
        <f t="shared" si="13"/>
        <v>1</v>
      </c>
      <c r="M36" s="100">
        <f t="shared" si="14"/>
        <v>0</v>
      </c>
      <c r="N36" s="100">
        <f t="shared" si="15"/>
        <v>1</v>
      </c>
      <c r="O36" s="100">
        <f t="shared" si="16"/>
        <v>1</v>
      </c>
      <c r="P36" s="100">
        <f t="shared" si="17"/>
        <v>0</v>
      </c>
      <c r="Q36" s="100">
        <f t="shared" si="18"/>
        <v>4</v>
      </c>
      <c r="R36" s="100" t="str">
        <f t="shared" si="19"/>
        <v/>
      </c>
      <c r="S36" s="100" t="str">
        <f t="shared" si="20"/>
        <v/>
      </c>
      <c r="T36" s="100" t="str">
        <f t="shared" si="21"/>
        <v/>
      </c>
      <c r="U36" s="100" t="str">
        <f t="shared" si="22"/>
        <v>Failed in 2 Subjects</v>
      </c>
      <c r="V36" s="100" t="str">
        <f t="shared" si="23"/>
        <v/>
      </c>
      <c r="W36" s="100" t="str">
        <f>'Detailed Summary'!BK35</f>
        <v/>
      </c>
    </row>
    <row r="37" spans="1:23" ht="18.5" hidden="1" x14ac:dyDescent="0.45">
      <c r="A37" s="100"/>
      <c r="B37" s="100">
        <f>'Student Basic Info'!A36</f>
        <v>735</v>
      </c>
      <c r="C37" s="100" t="str">
        <f>'Student Basic Info'!C36</f>
        <v>Sumaiya Zahan Tarin</v>
      </c>
      <c r="D37" s="100">
        <f>Bangla!G36</f>
        <v>3</v>
      </c>
      <c r="E37" s="100">
        <f>English!F36</f>
        <v>2</v>
      </c>
      <c r="F37" s="100">
        <f>ICT!H36</f>
        <v>0</v>
      </c>
      <c r="G37" s="100">
        <f>Physics!H36</f>
        <v>0</v>
      </c>
      <c r="H37" s="100" t="str">
        <f>Chemistry!H36</f>
        <v/>
      </c>
      <c r="I37" s="100">
        <f>Biology!H36</f>
        <v>0</v>
      </c>
      <c r="J37" s="100">
        <f>Math!H36</f>
        <v>0</v>
      </c>
      <c r="K37" s="100">
        <f t="shared" si="12"/>
        <v>1</v>
      </c>
      <c r="L37" s="100">
        <f t="shared" si="13"/>
        <v>1</v>
      </c>
      <c r="M37" s="100">
        <f t="shared" si="14"/>
        <v>0</v>
      </c>
      <c r="N37" s="100">
        <f t="shared" si="15"/>
        <v>0</v>
      </c>
      <c r="O37" s="100">
        <f t="shared" si="16"/>
        <v>0</v>
      </c>
      <c r="P37" s="100">
        <f t="shared" si="17"/>
        <v>0</v>
      </c>
      <c r="Q37" s="100">
        <f t="shared" si="18"/>
        <v>2</v>
      </c>
      <c r="R37" s="100" t="str">
        <f t="shared" si="19"/>
        <v/>
      </c>
      <c r="S37" s="100" t="str">
        <f t="shared" si="20"/>
        <v/>
      </c>
      <c r="T37" s="100" t="str">
        <f t="shared" si="21"/>
        <v/>
      </c>
      <c r="U37" s="100" t="str">
        <f t="shared" si="22"/>
        <v>Failed in 4 Subjects</v>
      </c>
      <c r="V37" s="100" t="str">
        <f t="shared" si="23"/>
        <v/>
      </c>
      <c r="W37" s="100" t="str">
        <f>'Detailed Summary'!BK36</f>
        <v/>
      </c>
    </row>
    <row r="38" spans="1:23" ht="18.5" hidden="1" x14ac:dyDescent="0.45">
      <c r="A38" s="100">
        <v>3</v>
      </c>
      <c r="B38" s="100">
        <f>'Student Basic Info'!A37</f>
        <v>736</v>
      </c>
      <c r="C38" s="100" t="str">
        <f>'Student Basic Info'!C37</f>
        <v>Nur Islam</v>
      </c>
      <c r="D38" s="100">
        <f>Bangla!G37</f>
        <v>2</v>
      </c>
      <c r="E38" s="100">
        <f>English!F37</f>
        <v>0</v>
      </c>
      <c r="F38" s="100">
        <f>ICT!H37</f>
        <v>0</v>
      </c>
      <c r="G38" s="100">
        <f>Physics!H37</f>
        <v>3</v>
      </c>
      <c r="H38" s="100">
        <f>Chemistry!H37</f>
        <v>0</v>
      </c>
      <c r="I38" s="100">
        <f>Biology!H37</f>
        <v>0</v>
      </c>
      <c r="J38" s="100" t="str">
        <f>Math!H37</f>
        <v/>
      </c>
      <c r="K38" s="100">
        <f t="shared" si="12"/>
        <v>1</v>
      </c>
      <c r="L38" s="100">
        <f t="shared" si="13"/>
        <v>0</v>
      </c>
      <c r="M38" s="100">
        <f t="shared" si="14"/>
        <v>0</v>
      </c>
      <c r="N38" s="100">
        <f t="shared" si="15"/>
        <v>1</v>
      </c>
      <c r="O38" s="100">
        <f t="shared" si="16"/>
        <v>0</v>
      </c>
      <c r="P38" s="100">
        <f t="shared" si="17"/>
        <v>0</v>
      </c>
      <c r="Q38" s="100">
        <f t="shared" si="18"/>
        <v>2</v>
      </c>
      <c r="R38" s="100" t="str">
        <f t="shared" si="19"/>
        <v/>
      </c>
      <c r="S38" s="100" t="str">
        <f t="shared" si="20"/>
        <v/>
      </c>
      <c r="T38" s="100" t="str">
        <f t="shared" si="21"/>
        <v/>
      </c>
      <c r="U38" s="100" t="str">
        <f t="shared" si="22"/>
        <v>Failed in 4 Subjects</v>
      </c>
      <c r="V38" s="100" t="str">
        <f t="shared" si="23"/>
        <v/>
      </c>
      <c r="W38" s="100" t="str">
        <f>'Detailed Summary'!BK37</f>
        <v/>
      </c>
    </row>
    <row r="39" spans="1:23" ht="18.5" x14ac:dyDescent="0.45">
      <c r="A39" s="117">
        <v>2</v>
      </c>
      <c r="B39" s="117">
        <f>'Student Basic Info'!A38</f>
        <v>737</v>
      </c>
      <c r="C39" s="117" t="str">
        <f>'Student Basic Info'!C38</f>
        <v>Nusrat Zahan</v>
      </c>
      <c r="D39" s="100">
        <f>Bangla!G38</f>
        <v>3</v>
      </c>
      <c r="E39" s="100">
        <f>English!F38</f>
        <v>2</v>
      </c>
      <c r="F39" s="100">
        <f>ICT!H38</f>
        <v>0</v>
      </c>
      <c r="G39" s="100">
        <f>Physics!H38</f>
        <v>3.5</v>
      </c>
      <c r="H39" s="100">
        <f>Chemistry!H38</f>
        <v>0</v>
      </c>
      <c r="I39" s="100">
        <f>Biology!H38</f>
        <v>0</v>
      </c>
      <c r="J39" s="100">
        <f>Math!H38</f>
        <v>0</v>
      </c>
      <c r="K39" s="100">
        <f t="shared" si="12"/>
        <v>1</v>
      </c>
      <c r="L39" s="100">
        <f t="shared" si="13"/>
        <v>1</v>
      </c>
      <c r="M39" s="100">
        <f t="shared" si="14"/>
        <v>0</v>
      </c>
      <c r="N39" s="100">
        <f t="shared" si="15"/>
        <v>1</v>
      </c>
      <c r="O39" s="100">
        <f t="shared" si="16"/>
        <v>0</v>
      </c>
      <c r="P39" s="100">
        <f t="shared" si="17"/>
        <v>0</v>
      </c>
      <c r="Q39" s="100">
        <f t="shared" si="18"/>
        <v>3</v>
      </c>
      <c r="R39" s="100" t="str">
        <f t="shared" si="19"/>
        <v/>
      </c>
      <c r="S39" s="100" t="str">
        <f t="shared" si="20"/>
        <v/>
      </c>
      <c r="T39" s="100" t="str">
        <f t="shared" si="21"/>
        <v/>
      </c>
      <c r="U39" s="117" t="str">
        <f t="shared" si="22"/>
        <v>Failed in 3 Subjects</v>
      </c>
      <c r="V39" s="117" t="str">
        <f t="shared" si="23"/>
        <v/>
      </c>
      <c r="W39" s="117" t="str">
        <f>'Detailed Summary'!BK38</f>
        <v/>
      </c>
    </row>
    <row r="40" spans="1:23" ht="18.5" x14ac:dyDescent="0.45">
      <c r="A40" s="117">
        <v>3</v>
      </c>
      <c r="B40" s="117">
        <f>'Student Basic Info'!A39</f>
        <v>738</v>
      </c>
      <c r="C40" s="117" t="str">
        <f>'Student Basic Info'!C39</f>
        <v>Arpita Rani Bhoumik</v>
      </c>
      <c r="D40" s="100">
        <f>Bangla!G39</f>
        <v>3</v>
      </c>
      <c r="E40" s="100">
        <f>English!F39</f>
        <v>2</v>
      </c>
      <c r="F40" s="100">
        <f>ICT!H39</f>
        <v>3</v>
      </c>
      <c r="G40" s="100">
        <f>Physics!H39</f>
        <v>0</v>
      </c>
      <c r="H40" s="100">
        <f>Chemistry!H39</f>
        <v>0</v>
      </c>
      <c r="I40" s="100">
        <f>Biology!H39</f>
        <v>0</v>
      </c>
      <c r="J40" s="100">
        <f>Math!H39</f>
        <v>0</v>
      </c>
      <c r="K40" s="100">
        <f t="shared" si="12"/>
        <v>1</v>
      </c>
      <c r="L40" s="100">
        <f t="shared" si="13"/>
        <v>1</v>
      </c>
      <c r="M40" s="100">
        <f t="shared" si="14"/>
        <v>1</v>
      </c>
      <c r="N40" s="100">
        <f t="shared" si="15"/>
        <v>0</v>
      </c>
      <c r="O40" s="100">
        <f t="shared" si="16"/>
        <v>0</v>
      </c>
      <c r="P40" s="100">
        <f t="shared" si="17"/>
        <v>0</v>
      </c>
      <c r="Q40" s="100">
        <f t="shared" si="18"/>
        <v>3</v>
      </c>
      <c r="R40" s="100" t="str">
        <f t="shared" si="19"/>
        <v/>
      </c>
      <c r="S40" s="100" t="str">
        <f t="shared" si="20"/>
        <v/>
      </c>
      <c r="T40" s="100" t="str">
        <f t="shared" si="21"/>
        <v/>
      </c>
      <c r="U40" s="117" t="str">
        <f t="shared" si="22"/>
        <v>Failed in 3 Subjects</v>
      </c>
      <c r="V40" s="117" t="str">
        <f t="shared" si="23"/>
        <v/>
      </c>
      <c r="W40" s="117" t="str">
        <f>'Detailed Summary'!BK39</f>
        <v/>
      </c>
    </row>
    <row r="41" spans="1:23" ht="18.5" hidden="1" x14ac:dyDescent="0.45">
      <c r="A41" s="100"/>
      <c r="B41" s="100">
        <f>'Student Basic Info'!A40</f>
        <v>739</v>
      </c>
      <c r="C41" s="100" t="str">
        <f>'Student Basic Info'!C40</f>
        <v xml:space="preserve">Israt Zahan Shrabonti </v>
      </c>
      <c r="D41" s="100">
        <f>Bangla!G40</f>
        <v>3</v>
      </c>
      <c r="E41" s="100">
        <f>English!F40</f>
        <v>1</v>
      </c>
      <c r="F41" s="100">
        <f>ICT!H40</f>
        <v>2</v>
      </c>
      <c r="G41" s="100">
        <f>Physics!H40</f>
        <v>3</v>
      </c>
      <c r="H41" s="100">
        <f>Chemistry!H40</f>
        <v>0</v>
      </c>
      <c r="I41" s="100">
        <f>Biology!H40</f>
        <v>0</v>
      </c>
      <c r="J41" s="100">
        <f>Math!H40</f>
        <v>0</v>
      </c>
      <c r="K41" s="100">
        <f t="shared" si="12"/>
        <v>1</v>
      </c>
      <c r="L41" s="100">
        <f t="shared" si="13"/>
        <v>1</v>
      </c>
      <c r="M41" s="100">
        <f t="shared" si="14"/>
        <v>1</v>
      </c>
      <c r="N41" s="100">
        <f t="shared" si="15"/>
        <v>1</v>
      </c>
      <c r="O41" s="100">
        <f t="shared" si="16"/>
        <v>0</v>
      </c>
      <c r="P41" s="100">
        <f t="shared" si="17"/>
        <v>0</v>
      </c>
      <c r="Q41" s="100">
        <f t="shared" si="18"/>
        <v>4</v>
      </c>
      <c r="R41" s="100" t="str">
        <f t="shared" si="19"/>
        <v/>
      </c>
      <c r="S41" s="100" t="str">
        <f t="shared" si="20"/>
        <v/>
      </c>
      <c r="T41" s="100" t="str">
        <f t="shared" si="21"/>
        <v/>
      </c>
      <c r="U41" s="100" t="str">
        <f t="shared" si="22"/>
        <v>Failed in 2 Subjects</v>
      </c>
      <c r="V41" s="100" t="str">
        <f t="shared" si="23"/>
        <v/>
      </c>
      <c r="W41" s="100" t="str">
        <f>'Detailed Summary'!BK40</f>
        <v/>
      </c>
    </row>
    <row r="42" spans="1:23" ht="18.5" hidden="1" x14ac:dyDescent="0.45">
      <c r="A42" s="100"/>
      <c r="B42" s="100">
        <f>'Student Basic Info'!A41</f>
        <v>740</v>
      </c>
      <c r="C42" s="100" t="str">
        <f>'Student Basic Info'!C41</f>
        <v>Fatema Zannat</v>
      </c>
      <c r="D42" s="100">
        <f>Bangla!G41</f>
        <v>3.5</v>
      </c>
      <c r="E42" s="100">
        <f>English!F41</f>
        <v>2</v>
      </c>
      <c r="F42" s="100">
        <f>ICT!H41</f>
        <v>0</v>
      </c>
      <c r="G42" s="100">
        <f>Physics!H41</f>
        <v>0</v>
      </c>
      <c r="H42" s="100">
        <f>Chemistry!H41</f>
        <v>2</v>
      </c>
      <c r="I42" s="100">
        <f>Biology!H41</f>
        <v>0</v>
      </c>
      <c r="J42" s="100">
        <f>Math!H41</f>
        <v>0</v>
      </c>
      <c r="K42" s="100">
        <f t="shared" si="12"/>
        <v>1</v>
      </c>
      <c r="L42" s="100">
        <f t="shared" si="13"/>
        <v>1</v>
      </c>
      <c r="M42" s="100">
        <f t="shared" si="14"/>
        <v>0</v>
      </c>
      <c r="N42" s="100">
        <f t="shared" si="15"/>
        <v>0</v>
      </c>
      <c r="O42" s="100">
        <f t="shared" si="16"/>
        <v>1</v>
      </c>
      <c r="P42" s="100">
        <f t="shared" si="17"/>
        <v>0</v>
      </c>
      <c r="Q42" s="100">
        <f t="shared" si="18"/>
        <v>3</v>
      </c>
      <c r="R42" s="100" t="str">
        <f t="shared" si="19"/>
        <v/>
      </c>
      <c r="S42" s="100" t="str">
        <f t="shared" si="20"/>
        <v/>
      </c>
      <c r="T42" s="100" t="str">
        <f t="shared" si="21"/>
        <v/>
      </c>
      <c r="U42" s="100" t="str">
        <f t="shared" si="22"/>
        <v>Failed in 3 Subjects</v>
      </c>
      <c r="V42" s="100" t="str">
        <f t="shared" si="23"/>
        <v/>
      </c>
      <c r="W42" s="100" t="str">
        <f>'Detailed Summary'!BK41</f>
        <v/>
      </c>
    </row>
    <row r="43" spans="1:23" ht="18.5" hidden="1" x14ac:dyDescent="0.45">
      <c r="A43" s="100"/>
      <c r="B43" s="100">
        <f>'Student Basic Info'!A42</f>
        <v>741</v>
      </c>
      <c r="C43" s="100" t="str">
        <f>'Student Basic Info'!C42</f>
        <v>Rezmin Aktar</v>
      </c>
      <c r="D43" s="100">
        <f>Bangla!G42</f>
        <v>3.5</v>
      </c>
      <c r="E43" s="100">
        <f>English!F42</f>
        <v>3</v>
      </c>
      <c r="F43" s="100">
        <f>ICT!H42</f>
        <v>3.5</v>
      </c>
      <c r="G43" s="100">
        <f>Physics!H42</f>
        <v>3</v>
      </c>
      <c r="H43" s="100">
        <f>Chemistry!H42</f>
        <v>0</v>
      </c>
      <c r="I43" s="100">
        <f>Biology!H42</f>
        <v>0</v>
      </c>
      <c r="J43" s="100">
        <f>Math!H42</f>
        <v>0</v>
      </c>
      <c r="K43" s="100">
        <f t="shared" si="12"/>
        <v>1</v>
      </c>
      <c r="L43" s="100">
        <f t="shared" si="13"/>
        <v>1</v>
      </c>
      <c r="M43" s="100">
        <f t="shared" si="14"/>
        <v>1</v>
      </c>
      <c r="N43" s="100">
        <f t="shared" si="15"/>
        <v>1</v>
      </c>
      <c r="O43" s="100">
        <f t="shared" si="16"/>
        <v>0</v>
      </c>
      <c r="P43" s="100">
        <f t="shared" si="17"/>
        <v>0</v>
      </c>
      <c r="Q43" s="100">
        <f t="shared" si="18"/>
        <v>4</v>
      </c>
      <c r="R43" s="100" t="str">
        <f t="shared" si="19"/>
        <v/>
      </c>
      <c r="S43" s="100" t="str">
        <f t="shared" si="20"/>
        <v/>
      </c>
      <c r="T43" s="100" t="str">
        <f t="shared" si="21"/>
        <v/>
      </c>
      <c r="U43" s="100" t="str">
        <f t="shared" si="22"/>
        <v>Failed in 2 Subjects</v>
      </c>
      <c r="V43" s="100" t="str">
        <f t="shared" si="23"/>
        <v/>
      </c>
      <c r="W43" s="100" t="str">
        <f>'Detailed Summary'!BK42</f>
        <v/>
      </c>
    </row>
    <row r="44" spans="1:23" ht="18.5" hidden="1" x14ac:dyDescent="0.45">
      <c r="A44" s="100"/>
      <c r="B44" s="100">
        <f>'Student Basic Info'!A43</f>
        <v>742</v>
      </c>
      <c r="C44" s="100" t="str">
        <f>'Student Basic Info'!C43</f>
        <v>Md. Shohrab Hosain</v>
      </c>
      <c r="D44" s="100" t="str">
        <f>Bangla!G43</f>
        <v/>
      </c>
      <c r="E44" s="100" t="str">
        <f>English!F43</f>
        <v/>
      </c>
      <c r="F44" s="100" t="str">
        <f>ICT!H43</f>
        <v/>
      </c>
      <c r="G44" s="100" t="str">
        <f>Physics!H43</f>
        <v/>
      </c>
      <c r="H44" s="100" t="str">
        <f>Chemistry!H43</f>
        <v/>
      </c>
      <c r="I44" s="100" t="str">
        <f>Biology!H43</f>
        <v/>
      </c>
      <c r="J44" s="100" t="str">
        <f>Math!H43</f>
        <v/>
      </c>
      <c r="K44" s="100">
        <f t="shared" si="12"/>
        <v>0</v>
      </c>
      <c r="L44" s="100">
        <f t="shared" si="13"/>
        <v>0</v>
      </c>
      <c r="M44" s="100">
        <f t="shared" si="14"/>
        <v>0</v>
      </c>
      <c r="N44" s="100">
        <f t="shared" si="15"/>
        <v>0</v>
      </c>
      <c r="O44" s="100">
        <f t="shared" si="16"/>
        <v>0</v>
      </c>
      <c r="P44" s="100">
        <f t="shared" si="17"/>
        <v>0</v>
      </c>
      <c r="Q44" s="100">
        <f t="shared" si="18"/>
        <v>0</v>
      </c>
      <c r="R44" s="100" t="str">
        <f t="shared" si="19"/>
        <v/>
      </c>
      <c r="S44" s="100" t="str">
        <f t="shared" si="20"/>
        <v/>
      </c>
      <c r="T44" s="100" t="str">
        <f t="shared" si="21"/>
        <v/>
      </c>
      <c r="U44" s="100" t="str">
        <f t="shared" si="22"/>
        <v>Failed in 6 Subjects</v>
      </c>
      <c r="V44" s="100" t="str">
        <f t="shared" si="23"/>
        <v/>
      </c>
      <c r="W44" s="100" t="str">
        <f>'Detailed Summary'!BK43</f>
        <v/>
      </c>
    </row>
    <row r="45" spans="1:23" ht="18.5" hidden="1" x14ac:dyDescent="0.45">
      <c r="A45" s="100"/>
      <c r="B45" s="100">
        <f>'Student Basic Info'!A44</f>
        <v>743</v>
      </c>
      <c r="C45" s="100" t="str">
        <f>'Student Basic Info'!C44</f>
        <v>Umme Habiba</v>
      </c>
      <c r="D45" s="100">
        <f>Bangla!G44</f>
        <v>0</v>
      </c>
      <c r="E45" s="100">
        <f>English!F44</f>
        <v>0</v>
      </c>
      <c r="F45" s="100">
        <f>ICT!H44</f>
        <v>0</v>
      </c>
      <c r="G45" s="100">
        <f>Physics!H44</f>
        <v>0</v>
      </c>
      <c r="H45" s="100">
        <f>Chemistry!H44</f>
        <v>0</v>
      </c>
      <c r="I45" s="100">
        <f>Biology!H44</f>
        <v>0</v>
      </c>
      <c r="J45" s="100">
        <f>Math!H44</f>
        <v>0</v>
      </c>
      <c r="K45" s="100">
        <f t="shared" si="12"/>
        <v>0</v>
      </c>
      <c r="L45" s="100">
        <f t="shared" si="13"/>
        <v>0</v>
      </c>
      <c r="M45" s="100">
        <f t="shared" si="14"/>
        <v>0</v>
      </c>
      <c r="N45" s="100">
        <f t="shared" si="15"/>
        <v>0</v>
      </c>
      <c r="O45" s="100">
        <f t="shared" si="16"/>
        <v>0</v>
      </c>
      <c r="P45" s="100">
        <f t="shared" si="17"/>
        <v>0</v>
      </c>
      <c r="Q45" s="100">
        <f t="shared" si="18"/>
        <v>0</v>
      </c>
      <c r="R45" s="100" t="str">
        <f t="shared" si="19"/>
        <v/>
      </c>
      <c r="S45" s="100" t="str">
        <f t="shared" si="20"/>
        <v/>
      </c>
      <c r="T45" s="100" t="str">
        <f t="shared" si="21"/>
        <v/>
      </c>
      <c r="U45" s="100" t="str">
        <f t="shared" si="22"/>
        <v>Failed in 6 Subjects</v>
      </c>
      <c r="V45" s="100" t="str">
        <f t="shared" si="23"/>
        <v/>
      </c>
      <c r="W45" s="100" t="str">
        <f>'Detailed Summary'!BK44</f>
        <v/>
      </c>
    </row>
    <row r="46" spans="1:23" ht="18.5" hidden="1" x14ac:dyDescent="0.45">
      <c r="A46" s="100"/>
      <c r="B46" s="100">
        <f>'Student Basic Info'!A45</f>
        <v>744</v>
      </c>
      <c r="C46" s="100" t="str">
        <f>'Student Basic Info'!C45</f>
        <v>Tarek Rahman Tamin</v>
      </c>
      <c r="D46" s="100">
        <f>Bangla!G45</f>
        <v>0</v>
      </c>
      <c r="E46" s="100">
        <f>English!F45</f>
        <v>0</v>
      </c>
      <c r="F46" s="100">
        <f>ICT!H45</f>
        <v>0</v>
      </c>
      <c r="G46" s="100">
        <f>Physics!H45</f>
        <v>2</v>
      </c>
      <c r="H46" s="100">
        <f>Chemistry!H45</f>
        <v>0</v>
      </c>
      <c r="I46" s="100">
        <f>Biology!H45</f>
        <v>0</v>
      </c>
      <c r="J46" s="100">
        <f>Math!H45</f>
        <v>0</v>
      </c>
      <c r="K46" s="100">
        <f t="shared" si="12"/>
        <v>0</v>
      </c>
      <c r="L46" s="100">
        <f t="shared" si="13"/>
        <v>0</v>
      </c>
      <c r="M46" s="100">
        <f t="shared" si="14"/>
        <v>0</v>
      </c>
      <c r="N46" s="100">
        <f t="shared" si="15"/>
        <v>1</v>
      </c>
      <c r="O46" s="100">
        <f t="shared" si="16"/>
        <v>0</v>
      </c>
      <c r="P46" s="100">
        <f t="shared" si="17"/>
        <v>0</v>
      </c>
      <c r="Q46" s="100">
        <f t="shared" si="18"/>
        <v>1</v>
      </c>
      <c r="R46" s="100" t="str">
        <f t="shared" si="19"/>
        <v/>
      </c>
      <c r="S46" s="100" t="str">
        <f t="shared" si="20"/>
        <v/>
      </c>
      <c r="T46" s="100" t="str">
        <f t="shared" si="21"/>
        <v/>
      </c>
      <c r="U46" s="100" t="str">
        <f t="shared" si="22"/>
        <v>Failed in 5 Subjects</v>
      </c>
      <c r="V46" s="100" t="str">
        <f t="shared" si="23"/>
        <v/>
      </c>
      <c r="W46" s="100" t="str">
        <f>'Detailed Summary'!BK45</f>
        <v/>
      </c>
    </row>
    <row r="47" spans="1:23" ht="18.5" hidden="1" x14ac:dyDescent="0.45">
      <c r="A47" s="100"/>
      <c r="B47" s="100">
        <f>'Student Basic Info'!A46</f>
        <v>745</v>
      </c>
      <c r="C47" s="100" t="str">
        <f>'Student Basic Info'!C46</f>
        <v>Nabiha Nusrat</v>
      </c>
      <c r="D47" s="100">
        <f>Bangla!G46</f>
        <v>4</v>
      </c>
      <c r="E47" s="100">
        <f>English!F46</f>
        <v>3.5</v>
      </c>
      <c r="F47" s="100">
        <f>ICT!H46</f>
        <v>5</v>
      </c>
      <c r="G47" s="100">
        <f>Physics!H46</f>
        <v>5</v>
      </c>
      <c r="H47" s="100">
        <f>Chemistry!H46</f>
        <v>0</v>
      </c>
      <c r="I47" s="100">
        <f>Biology!H46</f>
        <v>2</v>
      </c>
      <c r="J47" s="100">
        <f>Math!H46</f>
        <v>3.5</v>
      </c>
      <c r="K47" s="100">
        <f t="shared" si="12"/>
        <v>1</v>
      </c>
      <c r="L47" s="100">
        <f t="shared" si="13"/>
        <v>1</v>
      </c>
      <c r="M47" s="100">
        <f t="shared" si="14"/>
        <v>1</v>
      </c>
      <c r="N47" s="100">
        <f t="shared" si="15"/>
        <v>1</v>
      </c>
      <c r="O47" s="100">
        <f t="shared" si="16"/>
        <v>0</v>
      </c>
      <c r="P47" s="100">
        <f t="shared" si="17"/>
        <v>1</v>
      </c>
      <c r="Q47" s="100">
        <f t="shared" si="18"/>
        <v>5</v>
      </c>
      <c r="R47" s="100" t="str">
        <f t="shared" si="19"/>
        <v/>
      </c>
      <c r="S47" s="100" t="str">
        <f t="shared" si="20"/>
        <v/>
      </c>
      <c r="T47" s="100" t="str">
        <f t="shared" si="21"/>
        <v/>
      </c>
      <c r="U47" s="100" t="str">
        <f t="shared" si="22"/>
        <v>Failed in 1 Subject</v>
      </c>
      <c r="V47" s="100" t="str">
        <f t="shared" si="23"/>
        <v/>
      </c>
      <c r="W47" s="100" t="str">
        <f>'Detailed Summary'!BK46</f>
        <v/>
      </c>
    </row>
    <row r="48" spans="1:23" ht="18.5" x14ac:dyDescent="0.45">
      <c r="A48" s="117">
        <v>4</v>
      </c>
      <c r="B48" s="117">
        <f>'Student Basic Info'!A47</f>
        <v>746</v>
      </c>
      <c r="C48" s="117" t="str">
        <f>'Student Basic Info'!C47</f>
        <v>Sharika Mahzabin</v>
      </c>
      <c r="D48" s="100">
        <f>Bangla!G47</f>
        <v>3.5</v>
      </c>
      <c r="E48" s="100">
        <f>English!F47</f>
        <v>3.5</v>
      </c>
      <c r="F48" s="100">
        <f>ICT!H47</f>
        <v>3.5</v>
      </c>
      <c r="G48" s="100">
        <f>Physics!H47</f>
        <v>3.5</v>
      </c>
      <c r="H48" s="100">
        <f>Chemistry!H47</f>
        <v>0</v>
      </c>
      <c r="I48" s="100">
        <f>Biology!H47</f>
        <v>2</v>
      </c>
      <c r="J48" s="100">
        <f>Math!H47</f>
        <v>0</v>
      </c>
      <c r="K48" s="100">
        <f t="shared" si="12"/>
        <v>1</v>
      </c>
      <c r="L48" s="100">
        <f t="shared" si="13"/>
        <v>1</v>
      </c>
      <c r="M48" s="100">
        <f t="shared" si="14"/>
        <v>1</v>
      </c>
      <c r="N48" s="100">
        <f t="shared" si="15"/>
        <v>1</v>
      </c>
      <c r="O48" s="100">
        <f t="shared" si="16"/>
        <v>0</v>
      </c>
      <c r="P48" s="100">
        <f t="shared" si="17"/>
        <v>1</v>
      </c>
      <c r="Q48" s="100">
        <f t="shared" si="18"/>
        <v>5</v>
      </c>
      <c r="R48" s="100" t="str">
        <f t="shared" si="19"/>
        <v/>
      </c>
      <c r="S48" s="100" t="str">
        <f t="shared" si="20"/>
        <v/>
      </c>
      <c r="T48" s="100" t="str">
        <f t="shared" si="21"/>
        <v/>
      </c>
      <c r="U48" s="117" t="str">
        <f t="shared" si="22"/>
        <v>Failed in 1 Subject</v>
      </c>
      <c r="V48" s="117" t="str">
        <f t="shared" si="23"/>
        <v/>
      </c>
      <c r="W48" s="117" t="str">
        <f>'Detailed Summary'!BK47</f>
        <v/>
      </c>
    </row>
    <row r="49" spans="1:23" ht="18.5" hidden="1" x14ac:dyDescent="0.45">
      <c r="A49" s="100"/>
      <c r="B49" s="100">
        <f>'Student Basic Info'!A48</f>
        <v>747</v>
      </c>
      <c r="C49" s="100" t="str">
        <f>'Student Basic Info'!C48</f>
        <v>Jahedul Islam</v>
      </c>
      <c r="D49" s="100">
        <f>Bangla!G48</f>
        <v>2</v>
      </c>
      <c r="E49" s="100">
        <f>English!F48</f>
        <v>0</v>
      </c>
      <c r="F49" s="100">
        <f>ICT!H48</f>
        <v>0</v>
      </c>
      <c r="G49" s="100">
        <f>Physics!H48</f>
        <v>0</v>
      </c>
      <c r="H49" s="100">
        <f>Chemistry!H48</f>
        <v>0</v>
      </c>
      <c r="I49" s="100">
        <f>Biology!H48</f>
        <v>0</v>
      </c>
      <c r="J49" s="100">
        <f>Math!H48</f>
        <v>0</v>
      </c>
      <c r="K49" s="100">
        <f t="shared" si="12"/>
        <v>1</v>
      </c>
      <c r="L49" s="100">
        <f t="shared" si="13"/>
        <v>0</v>
      </c>
      <c r="M49" s="100">
        <f t="shared" si="14"/>
        <v>0</v>
      </c>
      <c r="N49" s="100">
        <f t="shared" si="15"/>
        <v>0</v>
      </c>
      <c r="O49" s="100">
        <f t="shared" si="16"/>
        <v>0</v>
      </c>
      <c r="P49" s="100">
        <f t="shared" si="17"/>
        <v>0</v>
      </c>
      <c r="Q49" s="100">
        <f t="shared" si="18"/>
        <v>1</v>
      </c>
      <c r="R49" s="100" t="str">
        <f t="shared" si="19"/>
        <v/>
      </c>
      <c r="S49" s="100" t="str">
        <f t="shared" si="20"/>
        <v/>
      </c>
      <c r="T49" s="100" t="str">
        <f t="shared" si="21"/>
        <v/>
      </c>
      <c r="U49" s="100" t="str">
        <f t="shared" si="22"/>
        <v>Failed in 5 Subjects</v>
      </c>
      <c r="V49" s="100" t="str">
        <f t="shared" si="23"/>
        <v/>
      </c>
      <c r="W49" s="100" t="str">
        <f>'Detailed Summary'!BK48</f>
        <v/>
      </c>
    </row>
    <row r="50" spans="1:23" ht="18.5" hidden="1" x14ac:dyDescent="0.45">
      <c r="A50" s="100"/>
      <c r="B50" s="100">
        <f>'Student Basic Info'!A49</f>
        <v>748</v>
      </c>
      <c r="C50" s="100" t="str">
        <f>'Student Basic Info'!C49</f>
        <v>Merina Parshi</v>
      </c>
      <c r="D50" s="100">
        <f>Bangla!G49</f>
        <v>2</v>
      </c>
      <c r="E50" s="100">
        <f>English!F49</f>
        <v>0</v>
      </c>
      <c r="F50" s="100">
        <f>ICT!H49</f>
        <v>0</v>
      </c>
      <c r="G50" s="100">
        <f>Physics!H49</f>
        <v>0</v>
      </c>
      <c r="H50" s="100">
        <f>Chemistry!H49</f>
        <v>0</v>
      </c>
      <c r="I50" s="100">
        <f>Biology!H49</f>
        <v>0</v>
      </c>
      <c r="J50" s="100">
        <f>Math!H49</f>
        <v>0</v>
      </c>
      <c r="K50" s="100">
        <f t="shared" si="12"/>
        <v>1</v>
      </c>
      <c r="L50" s="100">
        <f t="shared" si="13"/>
        <v>0</v>
      </c>
      <c r="M50" s="100">
        <f t="shared" si="14"/>
        <v>0</v>
      </c>
      <c r="N50" s="100">
        <f t="shared" si="15"/>
        <v>0</v>
      </c>
      <c r="O50" s="100">
        <f t="shared" si="16"/>
        <v>0</v>
      </c>
      <c r="P50" s="100">
        <f t="shared" si="17"/>
        <v>0</v>
      </c>
      <c r="Q50" s="100">
        <f t="shared" si="18"/>
        <v>1</v>
      </c>
      <c r="R50" s="100" t="str">
        <f t="shared" si="19"/>
        <v/>
      </c>
      <c r="S50" s="100" t="str">
        <f t="shared" si="20"/>
        <v/>
      </c>
      <c r="T50" s="100" t="str">
        <f t="shared" si="21"/>
        <v/>
      </c>
      <c r="U50" s="100" t="str">
        <f t="shared" si="22"/>
        <v>Failed in 5 Subjects</v>
      </c>
      <c r="V50" s="100" t="str">
        <f t="shared" si="23"/>
        <v/>
      </c>
      <c r="W50" s="100" t="str">
        <f>'Detailed Summary'!BK49</f>
        <v/>
      </c>
    </row>
    <row r="51" spans="1:23" ht="18.5" hidden="1" x14ac:dyDescent="0.45">
      <c r="A51" s="100"/>
      <c r="B51" s="100">
        <f>'Student Basic Info'!A50</f>
        <v>749</v>
      </c>
      <c r="C51" s="100" t="str">
        <f>'Student Basic Info'!C50</f>
        <v>Shekh Shohrab Hosain</v>
      </c>
      <c r="D51" s="100">
        <f>Bangla!G50</f>
        <v>1</v>
      </c>
      <c r="E51" s="100">
        <f>English!F50</f>
        <v>0</v>
      </c>
      <c r="F51" s="100">
        <f>ICT!H50</f>
        <v>0</v>
      </c>
      <c r="G51" s="100">
        <f>Physics!H50</f>
        <v>0</v>
      </c>
      <c r="H51" s="100">
        <f>Chemistry!H50</f>
        <v>0</v>
      </c>
      <c r="I51" s="100">
        <f>Biology!H50</f>
        <v>0</v>
      </c>
      <c r="J51" s="100">
        <f>Math!H50</f>
        <v>0</v>
      </c>
      <c r="K51" s="100">
        <f t="shared" si="12"/>
        <v>1</v>
      </c>
      <c r="L51" s="100">
        <f t="shared" si="13"/>
        <v>0</v>
      </c>
      <c r="M51" s="100">
        <f t="shared" si="14"/>
        <v>0</v>
      </c>
      <c r="N51" s="100">
        <f t="shared" si="15"/>
        <v>0</v>
      </c>
      <c r="O51" s="100">
        <f t="shared" si="16"/>
        <v>0</v>
      </c>
      <c r="P51" s="100">
        <f t="shared" si="17"/>
        <v>0</v>
      </c>
      <c r="Q51" s="100">
        <f t="shared" si="18"/>
        <v>1</v>
      </c>
      <c r="R51" s="100" t="str">
        <f t="shared" si="19"/>
        <v/>
      </c>
      <c r="S51" s="100" t="str">
        <f t="shared" si="20"/>
        <v/>
      </c>
      <c r="T51" s="100" t="str">
        <f t="shared" si="21"/>
        <v/>
      </c>
      <c r="U51" s="100" t="str">
        <f t="shared" si="22"/>
        <v>Failed in 5 Subjects</v>
      </c>
      <c r="V51" s="100" t="str">
        <f t="shared" si="23"/>
        <v/>
      </c>
      <c r="W51" s="100" t="str">
        <f>'Detailed Summary'!BK50</f>
        <v/>
      </c>
    </row>
    <row r="52" spans="1:23" ht="18.5" hidden="1" x14ac:dyDescent="0.45">
      <c r="A52" s="100">
        <v>5</v>
      </c>
      <c r="B52" s="100">
        <f>'Student Basic Info'!A51</f>
        <v>750</v>
      </c>
      <c r="C52" s="100" t="str">
        <f>'Student Basic Info'!C51</f>
        <v>Purnima Aktar</v>
      </c>
      <c r="D52" s="100" t="str">
        <f>Bangla!G51</f>
        <v/>
      </c>
      <c r="E52" s="100" t="str">
        <f>English!F51</f>
        <v/>
      </c>
      <c r="F52" s="100" t="str">
        <f>ICT!H51</f>
        <v/>
      </c>
      <c r="G52" s="100" t="str">
        <f>Physics!H51</f>
        <v/>
      </c>
      <c r="H52" s="100" t="str">
        <f>Chemistry!H51</f>
        <v/>
      </c>
      <c r="I52" s="100" t="str">
        <f>Biology!H51</f>
        <v/>
      </c>
      <c r="J52" s="100" t="str">
        <f>Math!H51</f>
        <v/>
      </c>
      <c r="K52" s="100">
        <f t="shared" si="12"/>
        <v>0</v>
      </c>
      <c r="L52" s="100">
        <f t="shared" si="13"/>
        <v>0</v>
      </c>
      <c r="M52" s="100">
        <f t="shared" si="14"/>
        <v>0</v>
      </c>
      <c r="N52" s="100">
        <f t="shared" si="15"/>
        <v>0</v>
      </c>
      <c r="O52" s="100">
        <f t="shared" si="16"/>
        <v>0</v>
      </c>
      <c r="P52" s="100">
        <f t="shared" si="17"/>
        <v>0</v>
      </c>
      <c r="Q52" s="100">
        <f t="shared" si="18"/>
        <v>0</v>
      </c>
      <c r="R52" s="100" t="str">
        <f t="shared" si="19"/>
        <v/>
      </c>
      <c r="S52" s="100" t="str">
        <f t="shared" si="20"/>
        <v/>
      </c>
      <c r="T52" s="100" t="str">
        <f t="shared" si="21"/>
        <v/>
      </c>
      <c r="U52" s="100" t="str">
        <f t="shared" si="22"/>
        <v>Failed in 6 Subjects</v>
      </c>
      <c r="V52" s="100" t="str">
        <f t="shared" si="23"/>
        <v/>
      </c>
      <c r="W52" s="100" t="str">
        <f>'Detailed Summary'!BK51</f>
        <v/>
      </c>
    </row>
    <row r="53" spans="1:23" ht="18.5" hidden="1" x14ac:dyDescent="0.45">
      <c r="A53" s="100"/>
      <c r="B53" s="100">
        <f>'Student Basic Info'!A52</f>
        <v>751</v>
      </c>
      <c r="C53" s="100" t="str">
        <f>'Student Basic Info'!C52</f>
        <v>Hridwal  Al Mahmul</v>
      </c>
      <c r="D53" s="100">
        <f>Bangla!G52</f>
        <v>2</v>
      </c>
      <c r="E53" s="100">
        <f>English!F52</f>
        <v>0</v>
      </c>
      <c r="F53" s="100">
        <f>ICT!H52</f>
        <v>0</v>
      </c>
      <c r="G53" s="100">
        <f>Physics!H52</f>
        <v>3.5</v>
      </c>
      <c r="H53" s="100">
        <f>Chemistry!H52</f>
        <v>0</v>
      </c>
      <c r="I53" s="100">
        <f>Biology!H52</f>
        <v>0</v>
      </c>
      <c r="J53" s="100" t="str">
        <f>Math!H52</f>
        <v/>
      </c>
      <c r="K53" s="100">
        <f t="shared" si="12"/>
        <v>1</v>
      </c>
      <c r="L53" s="100">
        <f t="shared" si="13"/>
        <v>0</v>
      </c>
      <c r="M53" s="100">
        <f t="shared" si="14"/>
        <v>0</v>
      </c>
      <c r="N53" s="100">
        <f t="shared" si="15"/>
        <v>1</v>
      </c>
      <c r="O53" s="100">
        <f t="shared" si="16"/>
        <v>0</v>
      </c>
      <c r="P53" s="100">
        <f t="shared" si="17"/>
        <v>0</v>
      </c>
      <c r="Q53" s="100">
        <f t="shared" si="18"/>
        <v>2</v>
      </c>
      <c r="R53" s="100" t="str">
        <f t="shared" si="19"/>
        <v/>
      </c>
      <c r="S53" s="100" t="str">
        <f t="shared" si="20"/>
        <v/>
      </c>
      <c r="T53" s="100" t="str">
        <f t="shared" si="21"/>
        <v/>
      </c>
      <c r="U53" s="100" t="str">
        <f t="shared" si="22"/>
        <v>Failed in 4 Subjects</v>
      </c>
      <c r="V53" s="100" t="str">
        <f t="shared" si="23"/>
        <v/>
      </c>
      <c r="W53" s="100" t="str">
        <f>'Detailed Summary'!BK52</f>
        <v/>
      </c>
    </row>
    <row r="54" spans="1:23" ht="18.5" hidden="1" x14ac:dyDescent="0.45">
      <c r="A54" s="100"/>
      <c r="B54" s="100">
        <f>'Student Basic Info'!A53</f>
        <v>752</v>
      </c>
      <c r="C54" s="100" t="str">
        <f>'Student Basic Info'!C53</f>
        <v>Sabbir Hosain</v>
      </c>
      <c r="D54" s="100" t="str">
        <f>Bangla!G53</f>
        <v/>
      </c>
      <c r="E54" s="100" t="str">
        <f>English!F53</f>
        <v/>
      </c>
      <c r="F54" s="100" t="str">
        <f>ICT!H53</f>
        <v/>
      </c>
      <c r="G54" s="100" t="str">
        <f>Physics!H53</f>
        <v/>
      </c>
      <c r="H54" s="100" t="str">
        <f>Chemistry!H53</f>
        <v/>
      </c>
      <c r="I54" s="100" t="str">
        <f>Biology!H53</f>
        <v/>
      </c>
      <c r="J54" s="100" t="str">
        <f>Math!H53</f>
        <v/>
      </c>
      <c r="K54" s="100">
        <f t="shared" si="12"/>
        <v>0</v>
      </c>
      <c r="L54" s="100">
        <f t="shared" si="13"/>
        <v>0</v>
      </c>
      <c r="M54" s="100">
        <f t="shared" si="14"/>
        <v>0</v>
      </c>
      <c r="N54" s="100">
        <f t="shared" si="15"/>
        <v>0</v>
      </c>
      <c r="O54" s="100">
        <f t="shared" si="16"/>
        <v>0</v>
      </c>
      <c r="P54" s="100">
        <f t="shared" si="17"/>
        <v>0</v>
      </c>
      <c r="Q54" s="100">
        <f t="shared" si="18"/>
        <v>0</v>
      </c>
      <c r="R54" s="100" t="str">
        <f t="shared" si="19"/>
        <v/>
      </c>
      <c r="S54" s="100" t="str">
        <f t="shared" si="20"/>
        <v/>
      </c>
      <c r="T54" s="100" t="str">
        <f t="shared" si="21"/>
        <v/>
      </c>
      <c r="U54" s="100" t="str">
        <f t="shared" si="22"/>
        <v>Failed in 6 Subjects</v>
      </c>
      <c r="V54" s="100" t="str">
        <f t="shared" si="23"/>
        <v/>
      </c>
      <c r="W54" s="100" t="str">
        <f>'Detailed Summary'!BK53</f>
        <v/>
      </c>
    </row>
    <row r="55" spans="1:23" ht="18.5" x14ac:dyDescent="0.45">
      <c r="A55" s="117">
        <v>5</v>
      </c>
      <c r="B55" s="117">
        <f>'Student Basic Info'!A54</f>
        <v>753</v>
      </c>
      <c r="C55" s="117" t="str">
        <f>'Student Basic Info'!C54</f>
        <v>Shohidul Islam</v>
      </c>
      <c r="D55" s="100">
        <f>Bangla!G54</f>
        <v>0</v>
      </c>
      <c r="E55" s="100">
        <f>English!F54</f>
        <v>1</v>
      </c>
      <c r="F55" s="100">
        <f>ICT!H54</f>
        <v>0</v>
      </c>
      <c r="G55" s="100">
        <f>Physics!H54</f>
        <v>0</v>
      </c>
      <c r="H55" s="100">
        <f>Chemistry!H54</f>
        <v>0</v>
      </c>
      <c r="I55" s="100">
        <f>Biology!H54</f>
        <v>3</v>
      </c>
      <c r="J55" s="100">
        <f>Math!H54</f>
        <v>0</v>
      </c>
      <c r="K55" s="100">
        <f t="shared" si="12"/>
        <v>0</v>
      </c>
      <c r="L55" s="100">
        <f t="shared" si="13"/>
        <v>1</v>
      </c>
      <c r="M55" s="100">
        <f t="shared" si="14"/>
        <v>0</v>
      </c>
      <c r="N55" s="100">
        <f t="shared" si="15"/>
        <v>0</v>
      </c>
      <c r="O55" s="100">
        <f t="shared" si="16"/>
        <v>0</v>
      </c>
      <c r="P55" s="100">
        <f t="shared" si="17"/>
        <v>1</v>
      </c>
      <c r="Q55" s="100">
        <f t="shared" si="18"/>
        <v>2</v>
      </c>
      <c r="R55" s="100" t="str">
        <f t="shared" si="19"/>
        <v/>
      </c>
      <c r="S55" s="100" t="str">
        <f t="shared" si="20"/>
        <v/>
      </c>
      <c r="T55" s="100" t="str">
        <f t="shared" si="21"/>
        <v/>
      </c>
      <c r="U55" s="117" t="str">
        <f t="shared" si="22"/>
        <v>Failed in 4 Subjects</v>
      </c>
      <c r="V55" s="117" t="str">
        <f t="shared" si="23"/>
        <v/>
      </c>
      <c r="W55" s="117" t="str">
        <f>'Detailed Summary'!BK54</f>
        <v/>
      </c>
    </row>
    <row r="56" spans="1:23" ht="18.5" hidden="1" x14ac:dyDescent="0.45">
      <c r="A56" s="100"/>
      <c r="B56" s="100">
        <f>'Student Basic Info'!A55</f>
        <v>754</v>
      </c>
      <c r="C56" s="100" t="str">
        <f>'Student Basic Info'!C55</f>
        <v>Shahriyar Nafiz</v>
      </c>
      <c r="D56" s="100">
        <f>Bangla!G55</f>
        <v>3</v>
      </c>
      <c r="E56" s="100">
        <f>English!F55</f>
        <v>0</v>
      </c>
      <c r="F56" s="100">
        <f>ICT!H55</f>
        <v>0</v>
      </c>
      <c r="G56" s="100">
        <f>Physics!H55</f>
        <v>0</v>
      </c>
      <c r="H56" s="100">
        <f>Chemistry!H55</f>
        <v>0</v>
      </c>
      <c r="I56" s="100">
        <f>Biology!H55</f>
        <v>0</v>
      </c>
      <c r="J56" s="100">
        <f>Math!H55</f>
        <v>0</v>
      </c>
      <c r="K56" s="100">
        <f t="shared" si="12"/>
        <v>1</v>
      </c>
      <c r="L56" s="100">
        <f t="shared" si="13"/>
        <v>0</v>
      </c>
      <c r="M56" s="100">
        <f t="shared" si="14"/>
        <v>0</v>
      </c>
      <c r="N56" s="100">
        <f t="shared" si="15"/>
        <v>0</v>
      </c>
      <c r="O56" s="100">
        <f t="shared" si="16"/>
        <v>0</v>
      </c>
      <c r="P56" s="100">
        <f t="shared" si="17"/>
        <v>0</v>
      </c>
      <c r="Q56" s="100">
        <f t="shared" si="18"/>
        <v>1</v>
      </c>
      <c r="R56" s="100" t="str">
        <f t="shared" si="19"/>
        <v/>
      </c>
      <c r="S56" s="100" t="str">
        <f t="shared" si="20"/>
        <v/>
      </c>
      <c r="T56" s="100" t="str">
        <f t="shared" si="21"/>
        <v/>
      </c>
      <c r="U56" s="100" t="str">
        <f t="shared" si="22"/>
        <v>Failed in 5 Subjects</v>
      </c>
      <c r="V56" s="100" t="str">
        <f t="shared" si="23"/>
        <v/>
      </c>
      <c r="W56" s="100" t="str">
        <f>'Detailed Summary'!BK55</f>
        <v/>
      </c>
    </row>
    <row r="57" spans="1:23" ht="18.5" hidden="1" x14ac:dyDescent="0.45">
      <c r="A57" s="100"/>
      <c r="B57" s="100">
        <f>'Student Basic Info'!A56</f>
        <v>755</v>
      </c>
      <c r="C57" s="100" t="str">
        <f>'Student Basic Info'!C56</f>
        <v xml:space="preserve">Md. Ibrahim </v>
      </c>
      <c r="D57" s="100">
        <f>Bangla!G56</f>
        <v>0</v>
      </c>
      <c r="E57" s="100">
        <f>English!F56</f>
        <v>0</v>
      </c>
      <c r="F57" s="100">
        <f>ICT!H56</f>
        <v>0</v>
      </c>
      <c r="G57" s="100">
        <f>Physics!H56</f>
        <v>0</v>
      </c>
      <c r="H57" s="100">
        <f>Chemistry!H56</f>
        <v>0</v>
      </c>
      <c r="I57" s="100">
        <f>Biology!H56</f>
        <v>0</v>
      </c>
      <c r="J57" s="100">
        <f>Math!H56</f>
        <v>0</v>
      </c>
      <c r="K57" s="100">
        <f t="shared" si="12"/>
        <v>0</v>
      </c>
      <c r="L57" s="100">
        <f t="shared" si="13"/>
        <v>0</v>
      </c>
      <c r="M57" s="100">
        <f t="shared" si="14"/>
        <v>0</v>
      </c>
      <c r="N57" s="100">
        <f t="shared" si="15"/>
        <v>0</v>
      </c>
      <c r="O57" s="100">
        <f t="shared" si="16"/>
        <v>0</v>
      </c>
      <c r="P57" s="100">
        <f t="shared" si="17"/>
        <v>0</v>
      </c>
      <c r="Q57" s="100">
        <f t="shared" si="18"/>
        <v>0</v>
      </c>
      <c r="R57" s="100" t="str">
        <f t="shared" si="19"/>
        <v/>
      </c>
      <c r="S57" s="100" t="str">
        <f t="shared" si="20"/>
        <v/>
      </c>
      <c r="T57" s="100" t="str">
        <f t="shared" si="21"/>
        <v/>
      </c>
      <c r="U57" s="100" t="str">
        <f t="shared" si="22"/>
        <v>Failed in 6 Subjects</v>
      </c>
      <c r="V57" s="100" t="str">
        <f t="shared" si="23"/>
        <v/>
      </c>
      <c r="W57" s="100" t="str">
        <f>'Detailed Summary'!BK56</f>
        <v/>
      </c>
    </row>
    <row r="58" spans="1:23" ht="18.5" hidden="1" x14ac:dyDescent="0.45">
      <c r="A58" s="100"/>
      <c r="B58" s="100">
        <f>'Student Basic Info'!A57</f>
        <v>756</v>
      </c>
      <c r="C58" s="100" t="str">
        <f>'Student Basic Info'!C57</f>
        <v>Fahmida Tabassum</v>
      </c>
      <c r="D58" s="100">
        <f>Bangla!G57</f>
        <v>3</v>
      </c>
      <c r="E58" s="100">
        <f>English!F57</f>
        <v>1</v>
      </c>
      <c r="F58" s="100">
        <f>ICT!H57</f>
        <v>0</v>
      </c>
      <c r="G58" s="100">
        <f>Physics!H57</f>
        <v>3</v>
      </c>
      <c r="H58" s="100">
        <f>Chemistry!H57</f>
        <v>0</v>
      </c>
      <c r="I58" s="100">
        <f>Biology!H57</f>
        <v>0</v>
      </c>
      <c r="J58" s="100">
        <f>Math!H57</f>
        <v>0</v>
      </c>
      <c r="K58" s="100">
        <f t="shared" si="12"/>
        <v>1</v>
      </c>
      <c r="L58" s="100">
        <f t="shared" si="13"/>
        <v>1</v>
      </c>
      <c r="M58" s="100">
        <f t="shared" si="14"/>
        <v>0</v>
      </c>
      <c r="N58" s="100">
        <f t="shared" si="15"/>
        <v>1</v>
      </c>
      <c r="O58" s="100">
        <f t="shared" si="16"/>
        <v>0</v>
      </c>
      <c r="P58" s="100">
        <f t="shared" si="17"/>
        <v>0</v>
      </c>
      <c r="Q58" s="100">
        <f t="shared" si="18"/>
        <v>3</v>
      </c>
      <c r="R58" s="100" t="str">
        <f t="shared" si="19"/>
        <v/>
      </c>
      <c r="S58" s="100" t="str">
        <f t="shared" si="20"/>
        <v/>
      </c>
      <c r="T58" s="100" t="str">
        <f t="shared" si="21"/>
        <v/>
      </c>
      <c r="U58" s="100" t="str">
        <f t="shared" si="22"/>
        <v>Failed in 3 Subjects</v>
      </c>
      <c r="V58" s="100" t="str">
        <f t="shared" si="23"/>
        <v/>
      </c>
      <c r="W58" s="100" t="str">
        <f>'Detailed Summary'!BK57</f>
        <v/>
      </c>
    </row>
    <row r="59" spans="1:23" ht="18.5" hidden="1" x14ac:dyDescent="0.45">
      <c r="A59" s="100"/>
      <c r="B59" s="100">
        <f>'Student Basic Info'!A58</f>
        <v>757</v>
      </c>
      <c r="C59" s="100" t="str">
        <f>'Student Basic Info'!C58</f>
        <v>Meheraj Uddin</v>
      </c>
      <c r="D59" s="100">
        <f>Bangla!G58</f>
        <v>0</v>
      </c>
      <c r="E59" s="100">
        <f>English!F58</f>
        <v>0</v>
      </c>
      <c r="F59" s="100">
        <f>ICT!H58</f>
        <v>0</v>
      </c>
      <c r="G59" s="100">
        <f>Physics!H58</f>
        <v>0</v>
      </c>
      <c r="H59" s="100">
        <f>Chemistry!H58</f>
        <v>0</v>
      </c>
      <c r="I59" s="100">
        <f>Biology!H58</f>
        <v>0</v>
      </c>
      <c r="J59" s="100">
        <f>Math!H58</f>
        <v>0</v>
      </c>
      <c r="K59" s="100">
        <f t="shared" si="12"/>
        <v>0</v>
      </c>
      <c r="L59" s="100">
        <f t="shared" si="13"/>
        <v>0</v>
      </c>
      <c r="M59" s="100">
        <f t="shared" si="14"/>
        <v>0</v>
      </c>
      <c r="N59" s="100">
        <f t="shared" si="15"/>
        <v>0</v>
      </c>
      <c r="O59" s="100">
        <f t="shared" si="16"/>
        <v>0</v>
      </c>
      <c r="P59" s="100">
        <f t="shared" si="17"/>
        <v>0</v>
      </c>
      <c r="Q59" s="100">
        <f t="shared" si="18"/>
        <v>0</v>
      </c>
      <c r="R59" s="100" t="str">
        <f t="shared" si="19"/>
        <v/>
      </c>
      <c r="S59" s="100" t="str">
        <f t="shared" si="20"/>
        <v/>
      </c>
      <c r="T59" s="100" t="str">
        <f t="shared" si="21"/>
        <v/>
      </c>
      <c r="U59" s="100" t="str">
        <f t="shared" si="22"/>
        <v>Failed in 6 Subjects</v>
      </c>
      <c r="V59" s="100" t="str">
        <f t="shared" si="23"/>
        <v/>
      </c>
      <c r="W59" s="100" t="str">
        <f>'Detailed Summary'!BK58</f>
        <v/>
      </c>
    </row>
    <row r="60" spans="1:23" ht="18.5" hidden="1" x14ac:dyDescent="0.45">
      <c r="A60" s="100"/>
      <c r="B60" s="100">
        <f>'Student Basic Info'!A59</f>
        <v>758</v>
      </c>
      <c r="C60" s="100" t="str">
        <f>'Student Basic Info'!C59</f>
        <v>Naimur Rahman</v>
      </c>
      <c r="D60" s="100">
        <f>Bangla!G59</f>
        <v>1</v>
      </c>
      <c r="E60" s="100">
        <f>English!F59</f>
        <v>2</v>
      </c>
      <c r="F60" s="100">
        <f>ICT!H59</f>
        <v>0</v>
      </c>
      <c r="G60" s="100">
        <f>Physics!H59</f>
        <v>0</v>
      </c>
      <c r="H60" s="100">
        <f>Chemistry!H59</f>
        <v>0</v>
      </c>
      <c r="I60" s="100">
        <f>Biology!H59</f>
        <v>0</v>
      </c>
      <c r="J60" s="100">
        <f>Math!H59</f>
        <v>0</v>
      </c>
      <c r="K60" s="100">
        <f t="shared" si="12"/>
        <v>1</v>
      </c>
      <c r="L60" s="100">
        <f t="shared" si="13"/>
        <v>1</v>
      </c>
      <c r="M60" s="100">
        <f t="shared" si="14"/>
        <v>0</v>
      </c>
      <c r="N60" s="100">
        <f t="shared" si="15"/>
        <v>0</v>
      </c>
      <c r="O60" s="100">
        <f t="shared" si="16"/>
        <v>0</v>
      </c>
      <c r="P60" s="100">
        <f t="shared" si="17"/>
        <v>0</v>
      </c>
      <c r="Q60" s="100">
        <f t="shared" si="18"/>
        <v>2</v>
      </c>
      <c r="R60" s="100" t="str">
        <f t="shared" si="19"/>
        <v/>
      </c>
      <c r="S60" s="100" t="str">
        <f t="shared" si="20"/>
        <v/>
      </c>
      <c r="T60" s="100" t="str">
        <f t="shared" si="21"/>
        <v/>
      </c>
      <c r="U60" s="100" t="str">
        <f t="shared" si="22"/>
        <v>Failed in 4 Subjects</v>
      </c>
      <c r="V60" s="100" t="str">
        <f t="shared" si="23"/>
        <v/>
      </c>
      <c r="W60" s="100" t="str">
        <f>'Detailed Summary'!BK59</f>
        <v/>
      </c>
    </row>
    <row r="61" spans="1:23" ht="18.5" hidden="1" x14ac:dyDescent="0.45">
      <c r="A61" s="100"/>
      <c r="B61" s="100">
        <f>'Student Basic Info'!A60</f>
        <v>759</v>
      </c>
      <c r="C61" s="100" t="str">
        <f>'Student Basic Info'!C60</f>
        <v>Amzad Hosain</v>
      </c>
      <c r="D61" s="100">
        <f>Bangla!G60</f>
        <v>3.5</v>
      </c>
      <c r="E61" s="100">
        <f>English!F60</f>
        <v>1</v>
      </c>
      <c r="F61" s="100">
        <f>ICT!H60</f>
        <v>5</v>
      </c>
      <c r="G61" s="100">
        <f>Physics!H60</f>
        <v>3.5</v>
      </c>
      <c r="H61" s="100">
        <f>Chemistry!H60</f>
        <v>5</v>
      </c>
      <c r="I61" s="100">
        <f>Biology!H60</f>
        <v>3</v>
      </c>
      <c r="J61" s="100">
        <f>Math!H60</f>
        <v>5</v>
      </c>
      <c r="K61" s="100">
        <f t="shared" si="12"/>
        <v>1</v>
      </c>
      <c r="L61" s="100">
        <f t="shared" si="13"/>
        <v>1</v>
      </c>
      <c r="M61" s="100">
        <f t="shared" si="14"/>
        <v>1</v>
      </c>
      <c r="N61" s="100">
        <f t="shared" si="15"/>
        <v>1</v>
      </c>
      <c r="O61" s="100">
        <f t="shared" si="16"/>
        <v>1</v>
      </c>
      <c r="P61" s="100">
        <f t="shared" si="17"/>
        <v>1</v>
      </c>
      <c r="Q61" s="100">
        <f t="shared" si="18"/>
        <v>6</v>
      </c>
      <c r="R61" s="100">
        <f t="shared" si="19"/>
        <v>21</v>
      </c>
      <c r="S61" s="100">
        <f t="shared" si="20"/>
        <v>26</v>
      </c>
      <c r="T61" s="100">
        <f t="shared" si="21"/>
        <v>3.5</v>
      </c>
      <c r="U61" s="100" t="str">
        <f t="shared" si="22"/>
        <v>Pass</v>
      </c>
      <c r="V61" s="100">
        <f t="shared" si="23"/>
        <v>4.333333333333333</v>
      </c>
      <c r="W61" s="100">
        <f>'Detailed Summary'!BK60</f>
        <v>2</v>
      </c>
    </row>
    <row r="62" spans="1:23" ht="18.5" hidden="1" x14ac:dyDescent="0.45">
      <c r="A62" s="100"/>
      <c r="B62" s="100">
        <f>'Student Basic Info'!A61</f>
        <v>760</v>
      </c>
      <c r="C62" s="100" t="str">
        <f>'Student Basic Info'!C61</f>
        <v>Imdadul Haque Zidan</v>
      </c>
      <c r="D62" s="100">
        <f>Bangla!G61</f>
        <v>1</v>
      </c>
      <c r="E62" s="100">
        <f>English!F61</f>
        <v>1</v>
      </c>
      <c r="F62" s="100" t="str">
        <f>ICT!H61</f>
        <v/>
      </c>
      <c r="G62" s="100">
        <f>Physics!H61</f>
        <v>0</v>
      </c>
      <c r="H62" s="100">
        <f>Chemistry!H61</f>
        <v>3</v>
      </c>
      <c r="I62" s="100">
        <f>Biology!H61</f>
        <v>0</v>
      </c>
      <c r="J62" s="100">
        <f>Math!H61</f>
        <v>0</v>
      </c>
      <c r="K62" s="100">
        <f t="shared" si="12"/>
        <v>1</v>
      </c>
      <c r="L62" s="100">
        <f t="shared" si="13"/>
        <v>1</v>
      </c>
      <c r="M62" s="100">
        <f t="shared" si="14"/>
        <v>0</v>
      </c>
      <c r="N62" s="100">
        <f t="shared" si="15"/>
        <v>0</v>
      </c>
      <c r="O62" s="100">
        <f t="shared" si="16"/>
        <v>1</v>
      </c>
      <c r="P62" s="100">
        <f t="shared" si="17"/>
        <v>0</v>
      </c>
      <c r="Q62" s="100">
        <f t="shared" si="18"/>
        <v>3</v>
      </c>
      <c r="R62" s="100" t="str">
        <f t="shared" si="19"/>
        <v/>
      </c>
      <c r="S62" s="100" t="str">
        <f t="shared" si="20"/>
        <v/>
      </c>
      <c r="T62" s="100" t="str">
        <f t="shared" si="21"/>
        <v/>
      </c>
      <c r="U62" s="100" t="str">
        <f t="shared" si="22"/>
        <v>Failed in 3 Subjects</v>
      </c>
      <c r="V62" s="100" t="str">
        <f t="shared" si="23"/>
        <v/>
      </c>
      <c r="W62" s="100" t="str">
        <f>'Detailed Summary'!BK61</f>
        <v/>
      </c>
    </row>
    <row r="63" spans="1:23" ht="18.5" hidden="1" x14ac:dyDescent="0.45">
      <c r="A63" s="100"/>
      <c r="B63" s="100">
        <f>'Student Basic Info'!A62</f>
        <v>761</v>
      </c>
      <c r="C63" s="100" t="str">
        <f>'Student Basic Info'!C62</f>
        <v>Nazmul Haque Sayem</v>
      </c>
      <c r="D63" s="100">
        <f>Bangla!G62</f>
        <v>1</v>
      </c>
      <c r="E63" s="100">
        <f>English!F62</f>
        <v>1</v>
      </c>
      <c r="F63" s="100">
        <f>ICT!H62</f>
        <v>3.5</v>
      </c>
      <c r="G63" s="100">
        <f>Physics!H62</f>
        <v>0</v>
      </c>
      <c r="H63" s="100" t="str">
        <f>Chemistry!H62</f>
        <v/>
      </c>
      <c r="I63" s="100">
        <f>Biology!H62</f>
        <v>0</v>
      </c>
      <c r="J63" s="100">
        <f>Math!H62</f>
        <v>0</v>
      </c>
      <c r="K63" s="100">
        <f t="shared" si="12"/>
        <v>1</v>
      </c>
      <c r="L63" s="100">
        <f t="shared" si="13"/>
        <v>1</v>
      </c>
      <c r="M63" s="100">
        <f t="shared" si="14"/>
        <v>1</v>
      </c>
      <c r="N63" s="100">
        <f t="shared" si="15"/>
        <v>0</v>
      </c>
      <c r="O63" s="100">
        <f t="shared" si="16"/>
        <v>0</v>
      </c>
      <c r="P63" s="100">
        <f t="shared" si="17"/>
        <v>0</v>
      </c>
      <c r="Q63" s="100">
        <f t="shared" si="18"/>
        <v>3</v>
      </c>
      <c r="R63" s="100" t="str">
        <f t="shared" si="19"/>
        <v/>
      </c>
      <c r="S63" s="100" t="str">
        <f t="shared" si="20"/>
        <v/>
      </c>
      <c r="T63" s="100" t="str">
        <f t="shared" si="21"/>
        <v/>
      </c>
      <c r="U63" s="100" t="str">
        <f t="shared" si="22"/>
        <v>Failed in 3 Subjects</v>
      </c>
      <c r="V63" s="100" t="str">
        <f t="shared" si="23"/>
        <v/>
      </c>
      <c r="W63" s="100" t="str">
        <f>'Detailed Summary'!BK62</f>
        <v/>
      </c>
    </row>
    <row r="64" spans="1:23" ht="18.5" hidden="1" x14ac:dyDescent="0.45">
      <c r="A64" s="100"/>
      <c r="B64" s="100">
        <f>'Student Basic Info'!A63</f>
        <v>762</v>
      </c>
      <c r="C64" s="100" t="str">
        <f>'Student Basic Info'!C63</f>
        <v>Sadbin Hasan Shourov</v>
      </c>
      <c r="D64" s="100">
        <f>Bangla!G63</f>
        <v>1</v>
      </c>
      <c r="E64" s="100">
        <f>English!F63</f>
        <v>2</v>
      </c>
      <c r="F64" s="100">
        <f>ICT!H63</f>
        <v>3.5</v>
      </c>
      <c r="G64" s="100">
        <f>Physics!H63</f>
        <v>0</v>
      </c>
      <c r="H64" s="100">
        <f>Chemistry!H63</f>
        <v>2</v>
      </c>
      <c r="I64" s="100">
        <f>Biology!H63</f>
        <v>0</v>
      </c>
      <c r="J64" s="100">
        <f>Math!H63</f>
        <v>0</v>
      </c>
      <c r="K64" s="100">
        <f t="shared" si="12"/>
        <v>1</v>
      </c>
      <c r="L64" s="100">
        <f t="shared" si="13"/>
        <v>1</v>
      </c>
      <c r="M64" s="100">
        <f t="shared" si="14"/>
        <v>1</v>
      </c>
      <c r="N64" s="100">
        <f t="shared" si="15"/>
        <v>0</v>
      </c>
      <c r="O64" s="100">
        <f t="shared" si="16"/>
        <v>1</v>
      </c>
      <c r="P64" s="100">
        <f t="shared" si="17"/>
        <v>0</v>
      </c>
      <c r="Q64" s="100">
        <f t="shared" si="18"/>
        <v>4</v>
      </c>
      <c r="R64" s="100" t="str">
        <f t="shared" si="19"/>
        <v/>
      </c>
      <c r="S64" s="100" t="str">
        <f t="shared" si="20"/>
        <v/>
      </c>
      <c r="T64" s="100" t="str">
        <f t="shared" si="21"/>
        <v/>
      </c>
      <c r="U64" s="100" t="str">
        <f t="shared" si="22"/>
        <v>Failed in 2 Subjects</v>
      </c>
      <c r="V64" s="100" t="str">
        <f t="shared" si="23"/>
        <v/>
      </c>
      <c r="W64" s="100" t="str">
        <f>'Detailed Summary'!BK63</f>
        <v/>
      </c>
    </row>
    <row r="65" spans="1:23" ht="18.5" hidden="1" x14ac:dyDescent="0.45">
      <c r="A65" s="100"/>
      <c r="B65" s="100">
        <f>'Student Basic Info'!A64</f>
        <v>763</v>
      </c>
      <c r="C65" s="100" t="str">
        <f>'Student Basic Info'!C64</f>
        <v>Sujayet Hosain</v>
      </c>
      <c r="D65" s="100">
        <f>Bangla!G64</f>
        <v>3</v>
      </c>
      <c r="E65" s="100">
        <f>English!F64</f>
        <v>1</v>
      </c>
      <c r="F65" s="100">
        <f>ICT!H64</f>
        <v>0</v>
      </c>
      <c r="G65" s="100">
        <f>Physics!H64</f>
        <v>0</v>
      </c>
      <c r="H65" s="100">
        <f>Chemistry!H64</f>
        <v>3</v>
      </c>
      <c r="I65" s="100">
        <f>Biology!H64</f>
        <v>3</v>
      </c>
      <c r="J65" s="100">
        <f>Math!H64</f>
        <v>0</v>
      </c>
      <c r="K65" s="100">
        <f t="shared" si="12"/>
        <v>1</v>
      </c>
      <c r="L65" s="100">
        <f t="shared" si="13"/>
        <v>1</v>
      </c>
      <c r="M65" s="100">
        <f t="shared" si="14"/>
        <v>0</v>
      </c>
      <c r="N65" s="100">
        <f t="shared" si="15"/>
        <v>0</v>
      </c>
      <c r="O65" s="100">
        <f t="shared" si="16"/>
        <v>1</v>
      </c>
      <c r="P65" s="100">
        <f t="shared" si="17"/>
        <v>1</v>
      </c>
      <c r="Q65" s="100">
        <f t="shared" si="18"/>
        <v>4</v>
      </c>
      <c r="R65" s="100" t="str">
        <f t="shared" si="19"/>
        <v/>
      </c>
      <c r="S65" s="100" t="str">
        <f t="shared" si="20"/>
        <v/>
      </c>
      <c r="T65" s="100" t="str">
        <f t="shared" si="21"/>
        <v/>
      </c>
      <c r="U65" s="100" t="str">
        <f t="shared" si="22"/>
        <v>Failed in 2 Subjects</v>
      </c>
      <c r="V65" s="100" t="str">
        <f t="shared" si="23"/>
        <v/>
      </c>
      <c r="W65" s="100" t="str">
        <f>'Detailed Summary'!BK64</f>
        <v/>
      </c>
    </row>
    <row r="66" spans="1:23" ht="18.5" hidden="1" x14ac:dyDescent="0.45">
      <c r="A66" s="100"/>
      <c r="B66" s="100">
        <f>'Student Basic Info'!A65</f>
        <v>764</v>
      </c>
      <c r="C66" s="100" t="str">
        <f>'Student Basic Info'!C65</f>
        <v>Kishor Chandra Nath</v>
      </c>
      <c r="D66" s="100">
        <f>Bangla!G65</f>
        <v>0</v>
      </c>
      <c r="E66" s="100">
        <f>English!F65</f>
        <v>0</v>
      </c>
      <c r="F66" s="100">
        <f>ICT!H65</f>
        <v>0</v>
      </c>
      <c r="G66" s="100">
        <f>Physics!H65</f>
        <v>0</v>
      </c>
      <c r="H66" s="100">
        <f>Chemistry!H65</f>
        <v>0</v>
      </c>
      <c r="I66" s="100">
        <f>Biology!H65</f>
        <v>0</v>
      </c>
      <c r="J66" s="100">
        <f>Math!H65</f>
        <v>0</v>
      </c>
      <c r="K66" s="100">
        <f t="shared" si="12"/>
        <v>0</v>
      </c>
      <c r="L66" s="100">
        <f t="shared" si="13"/>
        <v>0</v>
      </c>
      <c r="M66" s="100">
        <f t="shared" si="14"/>
        <v>0</v>
      </c>
      <c r="N66" s="100">
        <f t="shared" si="15"/>
        <v>0</v>
      </c>
      <c r="O66" s="100">
        <f t="shared" si="16"/>
        <v>0</v>
      </c>
      <c r="P66" s="100">
        <f t="shared" si="17"/>
        <v>0</v>
      </c>
      <c r="Q66" s="100">
        <f t="shared" si="18"/>
        <v>0</v>
      </c>
      <c r="R66" s="100" t="str">
        <f t="shared" si="19"/>
        <v/>
      </c>
      <c r="S66" s="100" t="str">
        <f t="shared" si="20"/>
        <v/>
      </c>
      <c r="T66" s="100" t="str">
        <f t="shared" si="21"/>
        <v/>
      </c>
      <c r="U66" s="100" t="str">
        <f t="shared" si="22"/>
        <v>Failed in 6 Subjects</v>
      </c>
      <c r="V66" s="100" t="str">
        <f t="shared" si="23"/>
        <v/>
      </c>
      <c r="W66" s="100" t="str">
        <f>'Detailed Summary'!BK65</f>
        <v/>
      </c>
    </row>
    <row r="67" spans="1:23" ht="18.5" hidden="1" x14ac:dyDescent="0.45">
      <c r="A67" s="100"/>
      <c r="B67" s="100">
        <f>'Student Basic Info'!A66</f>
        <v>765</v>
      </c>
      <c r="C67" s="100" t="str">
        <f>'Student Basic Info'!C66</f>
        <v>Apurbo Shorma Apu</v>
      </c>
      <c r="D67" s="100">
        <f>Bangla!G66</f>
        <v>3</v>
      </c>
      <c r="E67" s="100">
        <f>English!F66</f>
        <v>3</v>
      </c>
      <c r="F67" s="100">
        <f>ICT!H66</f>
        <v>4</v>
      </c>
      <c r="G67" s="100">
        <f>Physics!H66</f>
        <v>3</v>
      </c>
      <c r="H67" s="100">
        <f>Chemistry!H66</f>
        <v>4</v>
      </c>
      <c r="I67" s="100">
        <f>Biology!H66</f>
        <v>3</v>
      </c>
      <c r="J67" s="100">
        <f>Math!H66</f>
        <v>0</v>
      </c>
      <c r="K67" s="100">
        <f t="shared" ref="K67:K89" si="24">(IF(D67="",0,IF(D67=0,0,1)))</f>
        <v>1</v>
      </c>
      <c r="L67" s="100">
        <f t="shared" ref="L67:L89" si="25">(IF(E67="",0,IF(E67=0,0,1)))</f>
        <v>1</v>
      </c>
      <c r="M67" s="100">
        <f t="shared" ref="M67:M89" si="26">(IF(F67="",0,IF(F67=0,0,1)))</f>
        <v>1</v>
      </c>
      <c r="N67" s="100">
        <f t="shared" ref="N67:N89" si="27">(IF(G67="",0,IF(G67=0,0,1)))</f>
        <v>1</v>
      </c>
      <c r="O67" s="100">
        <f t="shared" ref="O67:O89" si="28">(IF(H67="",0,IF(H67=0,0,1)))</f>
        <v>1</v>
      </c>
      <c r="P67" s="100">
        <f t="shared" ref="P67:P89" si="29">(IF(I67="",0,IF(I67=0,0,1)))</f>
        <v>1</v>
      </c>
      <c r="Q67" s="100">
        <f t="shared" ref="Q67:Q89" si="30">SUM(K67:P67)</f>
        <v>6</v>
      </c>
      <c r="R67" s="100">
        <f t="shared" ref="R67:R89" si="31">IF(OR(D67=0,E67=0,F67=0,G67=0,H67=0,I67=0,D67="",E67="",F67="",G67="",H67="",I67=""),"",SUM(D67:I67))</f>
        <v>20</v>
      </c>
      <c r="S67" s="100">
        <f t="shared" ref="S67:S89" si="32">IF(OR(D67=0,E67=0,F67=0,G67=0,H67=0,I67=0,D67="",E67="",F67="",G67="",H67="",I67=""),"",SUM(D67:J67))</f>
        <v>20</v>
      </c>
      <c r="T67" s="100">
        <f t="shared" ref="T67:T89" si="33">IF(R67="","",IF(((R67/6)&gt;5),5,R67/6))</f>
        <v>3.3333333333333335</v>
      </c>
      <c r="U67" s="100" t="str">
        <f t="shared" ref="U67:U89" si="34">IF(Q67=0,"Failed in 6 Subjects",IF(Q67=1,"Failed in 5 Subjects",IF(Q67=2,"Failed in 4 Subjects",IF(Q67=3,"Failed in 3 Subjects",IF(Q67=4,"Failed in 2 Subjects",IF(Q67=5,"Failed in 1 Subject","Pass"))))))</f>
        <v>Pass</v>
      </c>
      <c r="V67" s="100">
        <f t="shared" ref="V67:V89" si="35">IF(S67="","",IF(((S67/6)&gt;5),5,S67/6))</f>
        <v>3.3333333333333335</v>
      </c>
      <c r="W67" s="100">
        <f>'Detailed Summary'!BK66</f>
        <v>5</v>
      </c>
    </row>
    <row r="68" spans="1:23" ht="18.5" hidden="1" x14ac:dyDescent="0.45">
      <c r="A68" s="100">
        <v>4</v>
      </c>
      <c r="B68" s="100">
        <f>'Student Basic Info'!A67</f>
        <v>766</v>
      </c>
      <c r="C68" s="100" t="str">
        <f>'Student Basic Info'!C67</f>
        <v xml:space="preserve">Md. Ibrahim Khalil </v>
      </c>
      <c r="D68" s="100">
        <f>Bangla!G67</f>
        <v>3</v>
      </c>
      <c r="E68" s="100">
        <f>English!F67</f>
        <v>2</v>
      </c>
      <c r="F68" s="100">
        <f>ICT!H67</f>
        <v>3.5</v>
      </c>
      <c r="G68" s="100">
        <f>Physics!H67</f>
        <v>4</v>
      </c>
      <c r="H68" s="100">
        <f>Chemistry!H67</f>
        <v>3.5</v>
      </c>
      <c r="I68" s="100">
        <f>Biology!H67</f>
        <v>3</v>
      </c>
      <c r="J68" s="100">
        <f>Math!H67</f>
        <v>0</v>
      </c>
      <c r="K68" s="100">
        <f t="shared" si="24"/>
        <v>1</v>
      </c>
      <c r="L68" s="100">
        <f t="shared" si="25"/>
        <v>1</v>
      </c>
      <c r="M68" s="100">
        <f t="shared" si="26"/>
        <v>1</v>
      </c>
      <c r="N68" s="100">
        <f t="shared" si="27"/>
        <v>1</v>
      </c>
      <c r="O68" s="100">
        <f t="shared" si="28"/>
        <v>1</v>
      </c>
      <c r="P68" s="100">
        <f t="shared" si="29"/>
        <v>1</v>
      </c>
      <c r="Q68" s="100">
        <f t="shared" si="30"/>
        <v>6</v>
      </c>
      <c r="R68" s="100">
        <f t="shared" si="31"/>
        <v>19</v>
      </c>
      <c r="S68" s="100">
        <f t="shared" si="32"/>
        <v>19</v>
      </c>
      <c r="T68" s="100">
        <f t="shared" si="33"/>
        <v>3.1666666666666665</v>
      </c>
      <c r="U68" s="100" t="str">
        <f t="shared" si="34"/>
        <v>Pass</v>
      </c>
      <c r="V68" s="100">
        <f t="shared" si="35"/>
        <v>3.1666666666666665</v>
      </c>
      <c r="W68" s="100">
        <f>'Detailed Summary'!BK67</f>
        <v>7</v>
      </c>
    </row>
    <row r="69" spans="1:23" ht="18.5" hidden="1" x14ac:dyDescent="0.45">
      <c r="A69" s="100">
        <v>5</v>
      </c>
      <c r="B69" s="100">
        <f>'Student Basic Info'!A68</f>
        <v>767</v>
      </c>
      <c r="C69" s="100" t="str">
        <f>'Student Basic Info'!C68</f>
        <v>Ayman Mahmud Tawsif</v>
      </c>
      <c r="D69" s="100">
        <f>Bangla!G68</f>
        <v>3.5</v>
      </c>
      <c r="E69" s="100">
        <f>English!F68</f>
        <v>3</v>
      </c>
      <c r="F69" s="100">
        <f>ICT!H68</f>
        <v>4</v>
      </c>
      <c r="G69" s="100">
        <f>Physics!H68</f>
        <v>4</v>
      </c>
      <c r="H69" s="100">
        <f>Chemistry!H68</f>
        <v>3</v>
      </c>
      <c r="I69" s="100">
        <f>Biology!H68</f>
        <v>3</v>
      </c>
      <c r="J69" s="100">
        <f>Math!H68</f>
        <v>0</v>
      </c>
      <c r="K69" s="100">
        <f t="shared" si="24"/>
        <v>1</v>
      </c>
      <c r="L69" s="100">
        <f t="shared" si="25"/>
        <v>1</v>
      </c>
      <c r="M69" s="100">
        <f t="shared" si="26"/>
        <v>1</v>
      </c>
      <c r="N69" s="100">
        <f t="shared" si="27"/>
        <v>1</v>
      </c>
      <c r="O69" s="100">
        <f t="shared" si="28"/>
        <v>1</v>
      </c>
      <c r="P69" s="100">
        <f t="shared" si="29"/>
        <v>1</v>
      </c>
      <c r="Q69" s="100">
        <f t="shared" si="30"/>
        <v>6</v>
      </c>
      <c r="R69" s="100">
        <f t="shared" si="31"/>
        <v>20.5</v>
      </c>
      <c r="S69" s="100">
        <f t="shared" si="32"/>
        <v>20.5</v>
      </c>
      <c r="T69" s="100">
        <f t="shared" si="33"/>
        <v>3.4166666666666665</v>
      </c>
      <c r="U69" s="100" t="str">
        <f t="shared" si="34"/>
        <v>Pass</v>
      </c>
      <c r="V69" s="100">
        <f t="shared" si="35"/>
        <v>3.4166666666666665</v>
      </c>
      <c r="W69" s="100">
        <f>'Detailed Summary'!BK68</f>
        <v>4</v>
      </c>
    </row>
    <row r="70" spans="1:23" ht="18.5" hidden="1" x14ac:dyDescent="0.45">
      <c r="A70" s="100"/>
      <c r="B70" s="100">
        <f>'Student Basic Info'!A69</f>
        <v>768</v>
      </c>
      <c r="C70" s="100" t="str">
        <f>'Student Basic Info'!C69</f>
        <v>Tanvir Hosain</v>
      </c>
      <c r="D70" s="100">
        <f>Bangla!G69</f>
        <v>2</v>
      </c>
      <c r="E70" s="100">
        <f>English!F69</f>
        <v>0</v>
      </c>
      <c r="F70" s="100">
        <f>ICT!H69</f>
        <v>3</v>
      </c>
      <c r="G70" s="100">
        <f>Physics!H69</f>
        <v>3</v>
      </c>
      <c r="H70" s="100">
        <f>Chemistry!H69</f>
        <v>0</v>
      </c>
      <c r="I70" s="100">
        <f>Biology!H69</f>
        <v>2</v>
      </c>
      <c r="J70" s="100">
        <f>Math!H69</f>
        <v>0</v>
      </c>
      <c r="K70" s="100">
        <f t="shared" si="24"/>
        <v>1</v>
      </c>
      <c r="L70" s="100">
        <f t="shared" si="25"/>
        <v>0</v>
      </c>
      <c r="M70" s="100">
        <f t="shared" si="26"/>
        <v>1</v>
      </c>
      <c r="N70" s="100">
        <f t="shared" si="27"/>
        <v>1</v>
      </c>
      <c r="O70" s="100">
        <f t="shared" si="28"/>
        <v>0</v>
      </c>
      <c r="P70" s="100">
        <f t="shared" si="29"/>
        <v>1</v>
      </c>
      <c r="Q70" s="100">
        <f t="shared" si="30"/>
        <v>4</v>
      </c>
      <c r="R70" s="100" t="str">
        <f t="shared" si="31"/>
        <v/>
      </c>
      <c r="S70" s="100" t="str">
        <f t="shared" si="32"/>
        <v/>
      </c>
      <c r="T70" s="100" t="str">
        <f t="shared" si="33"/>
        <v/>
      </c>
      <c r="U70" s="100" t="str">
        <f t="shared" si="34"/>
        <v>Failed in 2 Subjects</v>
      </c>
      <c r="V70" s="100" t="str">
        <f t="shared" si="35"/>
        <v/>
      </c>
      <c r="W70" s="100" t="str">
        <f>'Detailed Summary'!BK69</f>
        <v/>
      </c>
    </row>
    <row r="71" spans="1:23" ht="18.5" hidden="1" x14ac:dyDescent="0.45">
      <c r="A71" s="100"/>
      <c r="B71" s="100">
        <f>'Student Basic Info'!A70</f>
        <v>769</v>
      </c>
      <c r="C71" s="100" t="str">
        <f>'Student Basic Info'!C70</f>
        <v>Abdullah Al Noman</v>
      </c>
      <c r="D71" s="100" t="str">
        <f>Bangla!G70</f>
        <v/>
      </c>
      <c r="E71" s="100" t="str">
        <f>English!F70</f>
        <v/>
      </c>
      <c r="F71" s="100" t="str">
        <f>ICT!H70</f>
        <v/>
      </c>
      <c r="G71" s="100" t="str">
        <f>Physics!H70</f>
        <v/>
      </c>
      <c r="H71" s="100">
        <f>Chemistry!H70</f>
        <v>0</v>
      </c>
      <c r="I71" s="100" t="str">
        <f>Biology!H70</f>
        <v/>
      </c>
      <c r="J71" s="100">
        <f>Math!H70</f>
        <v>0</v>
      </c>
      <c r="K71" s="100">
        <f t="shared" si="24"/>
        <v>0</v>
      </c>
      <c r="L71" s="100">
        <f t="shared" si="25"/>
        <v>0</v>
      </c>
      <c r="M71" s="100">
        <f t="shared" si="26"/>
        <v>0</v>
      </c>
      <c r="N71" s="100">
        <f t="shared" si="27"/>
        <v>0</v>
      </c>
      <c r="O71" s="100">
        <f t="shared" si="28"/>
        <v>0</v>
      </c>
      <c r="P71" s="100">
        <f t="shared" si="29"/>
        <v>0</v>
      </c>
      <c r="Q71" s="100">
        <f t="shared" si="30"/>
        <v>0</v>
      </c>
      <c r="R71" s="100" t="str">
        <f t="shared" si="31"/>
        <v/>
      </c>
      <c r="S71" s="100" t="str">
        <f t="shared" si="32"/>
        <v/>
      </c>
      <c r="T71" s="100" t="str">
        <f t="shared" si="33"/>
        <v/>
      </c>
      <c r="U71" s="100" t="str">
        <f t="shared" si="34"/>
        <v>Failed in 6 Subjects</v>
      </c>
      <c r="V71" s="100" t="str">
        <f t="shared" si="35"/>
        <v/>
      </c>
      <c r="W71" s="100" t="str">
        <f>'Detailed Summary'!BK70</f>
        <v/>
      </c>
    </row>
    <row r="72" spans="1:23" ht="18.5" hidden="1" x14ac:dyDescent="0.45">
      <c r="A72" s="100"/>
      <c r="B72" s="100">
        <f>'Student Basic Info'!A71</f>
        <v>770</v>
      </c>
      <c r="C72" s="100" t="str">
        <f>'Student Basic Info'!C71</f>
        <v>Ashraf Uddal</v>
      </c>
      <c r="D72" s="100">
        <f>Bangla!G71</f>
        <v>0</v>
      </c>
      <c r="E72" s="100">
        <f>English!F71</f>
        <v>0</v>
      </c>
      <c r="F72" s="100">
        <f>ICT!H71</f>
        <v>0</v>
      </c>
      <c r="G72" s="100">
        <f>Physics!H71</f>
        <v>0</v>
      </c>
      <c r="H72" s="100" t="str">
        <f>Chemistry!H71</f>
        <v/>
      </c>
      <c r="I72" s="100">
        <f>Biology!H71</f>
        <v>0</v>
      </c>
      <c r="J72" s="100">
        <f>Math!H71</f>
        <v>0</v>
      </c>
      <c r="K72" s="100">
        <f t="shared" si="24"/>
        <v>0</v>
      </c>
      <c r="L72" s="100">
        <f t="shared" si="25"/>
        <v>0</v>
      </c>
      <c r="M72" s="100">
        <f t="shared" si="26"/>
        <v>0</v>
      </c>
      <c r="N72" s="100">
        <f t="shared" si="27"/>
        <v>0</v>
      </c>
      <c r="O72" s="100">
        <f t="shared" si="28"/>
        <v>0</v>
      </c>
      <c r="P72" s="100">
        <f t="shared" si="29"/>
        <v>0</v>
      </c>
      <c r="Q72" s="100">
        <f t="shared" si="30"/>
        <v>0</v>
      </c>
      <c r="R72" s="100" t="str">
        <f t="shared" si="31"/>
        <v/>
      </c>
      <c r="S72" s="100" t="str">
        <f t="shared" si="32"/>
        <v/>
      </c>
      <c r="T72" s="100" t="str">
        <f t="shared" si="33"/>
        <v/>
      </c>
      <c r="U72" s="100" t="str">
        <f t="shared" si="34"/>
        <v>Failed in 6 Subjects</v>
      </c>
      <c r="V72" s="100" t="str">
        <f t="shared" si="35"/>
        <v/>
      </c>
      <c r="W72" s="100" t="str">
        <f>'Detailed Summary'!BK71</f>
        <v/>
      </c>
    </row>
    <row r="73" spans="1:23" ht="18.5" hidden="1" x14ac:dyDescent="0.45">
      <c r="A73" s="100"/>
      <c r="B73" s="100">
        <f>'Student Basic Info'!A72</f>
        <v>771</v>
      </c>
      <c r="C73" s="100" t="str">
        <f>'Student Basic Info'!C72</f>
        <v>Mesfar Uddin Ripti</v>
      </c>
      <c r="D73" s="100" t="str">
        <f>Bangla!G72</f>
        <v/>
      </c>
      <c r="E73" s="100" t="str">
        <f>English!F72</f>
        <v/>
      </c>
      <c r="F73" s="100" t="str">
        <f>ICT!H72</f>
        <v/>
      </c>
      <c r="G73" s="100">
        <f>Physics!H72</f>
        <v>0</v>
      </c>
      <c r="H73" s="100" t="str">
        <f>Chemistry!H72</f>
        <v/>
      </c>
      <c r="I73" s="100">
        <f>Biology!H72</f>
        <v>0</v>
      </c>
      <c r="J73" s="100" t="str">
        <f>Math!H72</f>
        <v/>
      </c>
      <c r="K73" s="100">
        <f t="shared" si="24"/>
        <v>0</v>
      </c>
      <c r="L73" s="100">
        <f t="shared" si="25"/>
        <v>0</v>
      </c>
      <c r="M73" s="100">
        <f t="shared" si="26"/>
        <v>0</v>
      </c>
      <c r="N73" s="100">
        <f t="shared" si="27"/>
        <v>0</v>
      </c>
      <c r="O73" s="100">
        <f t="shared" si="28"/>
        <v>0</v>
      </c>
      <c r="P73" s="100">
        <f t="shared" si="29"/>
        <v>0</v>
      </c>
      <c r="Q73" s="100">
        <f t="shared" si="30"/>
        <v>0</v>
      </c>
      <c r="R73" s="100" t="str">
        <f t="shared" si="31"/>
        <v/>
      </c>
      <c r="S73" s="100" t="str">
        <f t="shared" si="32"/>
        <v/>
      </c>
      <c r="T73" s="100" t="str">
        <f t="shared" si="33"/>
        <v/>
      </c>
      <c r="U73" s="100" t="str">
        <f t="shared" si="34"/>
        <v>Failed in 6 Subjects</v>
      </c>
      <c r="V73" s="100" t="str">
        <f t="shared" si="35"/>
        <v/>
      </c>
      <c r="W73" s="100" t="str">
        <f>'Detailed Summary'!BK72</f>
        <v/>
      </c>
    </row>
    <row r="74" spans="1:23" ht="18.5" hidden="1" x14ac:dyDescent="0.45">
      <c r="A74" s="100"/>
      <c r="B74" s="100">
        <f>'Student Basic Info'!A73</f>
        <v>772</v>
      </c>
      <c r="C74" s="100" t="str">
        <f>'Student Basic Info'!C73</f>
        <v>Shoikot Chandra Shil</v>
      </c>
      <c r="D74" s="100">
        <f>Bangla!G73</f>
        <v>0</v>
      </c>
      <c r="E74" s="100">
        <f>English!F73</f>
        <v>0</v>
      </c>
      <c r="F74" s="100">
        <f>ICT!H73</f>
        <v>0</v>
      </c>
      <c r="G74" s="100">
        <f>Physics!H73</f>
        <v>0</v>
      </c>
      <c r="H74" s="100" t="str">
        <f>Chemistry!H73</f>
        <v/>
      </c>
      <c r="I74" s="100">
        <f>Biology!H73</f>
        <v>0</v>
      </c>
      <c r="J74" s="100">
        <f>Math!H73</f>
        <v>0</v>
      </c>
      <c r="K74" s="100">
        <f t="shared" si="24"/>
        <v>0</v>
      </c>
      <c r="L74" s="100">
        <f t="shared" si="25"/>
        <v>0</v>
      </c>
      <c r="M74" s="100">
        <f t="shared" si="26"/>
        <v>0</v>
      </c>
      <c r="N74" s="100">
        <f t="shared" si="27"/>
        <v>0</v>
      </c>
      <c r="O74" s="100">
        <f t="shared" si="28"/>
        <v>0</v>
      </c>
      <c r="P74" s="100">
        <f t="shared" si="29"/>
        <v>0</v>
      </c>
      <c r="Q74" s="100">
        <f t="shared" si="30"/>
        <v>0</v>
      </c>
      <c r="R74" s="100" t="str">
        <f t="shared" si="31"/>
        <v/>
      </c>
      <c r="S74" s="100" t="str">
        <f t="shared" si="32"/>
        <v/>
      </c>
      <c r="T74" s="100" t="str">
        <f t="shared" si="33"/>
        <v/>
      </c>
      <c r="U74" s="100" t="str">
        <f t="shared" si="34"/>
        <v>Failed in 6 Subjects</v>
      </c>
      <c r="V74" s="100" t="str">
        <f t="shared" si="35"/>
        <v/>
      </c>
      <c r="W74" s="100" t="str">
        <f>'Detailed Summary'!BK73</f>
        <v/>
      </c>
    </row>
    <row r="75" spans="1:23" ht="18.5" hidden="1" x14ac:dyDescent="0.45">
      <c r="A75" s="100"/>
      <c r="B75" s="100">
        <f>'Student Basic Info'!A74</f>
        <v>773</v>
      </c>
      <c r="C75" s="100" t="str">
        <f>'Student Basic Info'!C74</f>
        <v>Shourov Chandra Shil</v>
      </c>
      <c r="D75" s="100">
        <f>Bangla!G74</f>
        <v>0</v>
      </c>
      <c r="E75" s="100">
        <f>English!F74</f>
        <v>0</v>
      </c>
      <c r="F75" s="100">
        <f>ICT!H74</f>
        <v>0</v>
      </c>
      <c r="G75" s="100">
        <f>Physics!H74</f>
        <v>0</v>
      </c>
      <c r="H75" s="100" t="str">
        <f>Chemistry!H74</f>
        <v/>
      </c>
      <c r="I75" s="100">
        <f>Biology!H74</f>
        <v>0</v>
      </c>
      <c r="J75" s="100">
        <f>Math!H74</f>
        <v>0</v>
      </c>
      <c r="K75" s="100">
        <f t="shared" si="24"/>
        <v>0</v>
      </c>
      <c r="L75" s="100">
        <f t="shared" si="25"/>
        <v>0</v>
      </c>
      <c r="M75" s="100">
        <f t="shared" si="26"/>
        <v>0</v>
      </c>
      <c r="N75" s="100">
        <f t="shared" si="27"/>
        <v>0</v>
      </c>
      <c r="O75" s="100">
        <f t="shared" si="28"/>
        <v>0</v>
      </c>
      <c r="P75" s="100">
        <f t="shared" si="29"/>
        <v>0</v>
      </c>
      <c r="Q75" s="100">
        <f t="shared" si="30"/>
        <v>0</v>
      </c>
      <c r="R75" s="100" t="str">
        <f t="shared" si="31"/>
        <v/>
      </c>
      <c r="S75" s="100" t="str">
        <f t="shared" si="32"/>
        <v/>
      </c>
      <c r="T75" s="100" t="str">
        <f t="shared" si="33"/>
        <v/>
      </c>
      <c r="U75" s="100" t="str">
        <f t="shared" si="34"/>
        <v>Failed in 6 Subjects</v>
      </c>
      <c r="V75" s="100" t="str">
        <f t="shared" si="35"/>
        <v/>
      </c>
      <c r="W75" s="100" t="str">
        <f>'Detailed Summary'!BK74</f>
        <v/>
      </c>
    </row>
    <row r="76" spans="1:23" ht="18.5" hidden="1" x14ac:dyDescent="0.45">
      <c r="A76" s="100"/>
      <c r="B76" s="100">
        <f>'Student Basic Info'!A75</f>
        <v>774</v>
      </c>
      <c r="C76" s="100" t="str">
        <f>'Student Basic Info'!C75</f>
        <v>Nur Islam</v>
      </c>
      <c r="D76" s="100">
        <f>Bangla!G75</f>
        <v>3.5</v>
      </c>
      <c r="E76" s="100">
        <f>English!F75</f>
        <v>0</v>
      </c>
      <c r="F76" s="100">
        <f>ICT!H75</f>
        <v>3</v>
      </c>
      <c r="G76" s="100">
        <f>Physics!H75</f>
        <v>2</v>
      </c>
      <c r="H76" s="100">
        <f>Chemistry!H75</f>
        <v>0</v>
      </c>
      <c r="I76" s="100">
        <f>Biology!H75</f>
        <v>0</v>
      </c>
      <c r="J76" s="100">
        <f>Math!H75</f>
        <v>0</v>
      </c>
      <c r="K76" s="100">
        <f t="shared" si="24"/>
        <v>1</v>
      </c>
      <c r="L76" s="100">
        <f t="shared" si="25"/>
        <v>0</v>
      </c>
      <c r="M76" s="100">
        <f t="shared" si="26"/>
        <v>1</v>
      </c>
      <c r="N76" s="100">
        <f t="shared" si="27"/>
        <v>1</v>
      </c>
      <c r="O76" s="100">
        <f t="shared" si="28"/>
        <v>0</v>
      </c>
      <c r="P76" s="100">
        <f t="shared" si="29"/>
        <v>0</v>
      </c>
      <c r="Q76" s="100">
        <f t="shared" si="30"/>
        <v>3</v>
      </c>
      <c r="R76" s="100" t="str">
        <f t="shared" si="31"/>
        <v/>
      </c>
      <c r="S76" s="100" t="str">
        <f t="shared" si="32"/>
        <v/>
      </c>
      <c r="T76" s="100" t="str">
        <f t="shared" si="33"/>
        <v/>
      </c>
      <c r="U76" s="100" t="str">
        <f t="shared" si="34"/>
        <v>Failed in 3 Subjects</v>
      </c>
      <c r="V76" s="100" t="str">
        <f t="shared" si="35"/>
        <v/>
      </c>
      <c r="W76" s="100" t="str">
        <f>'Detailed Summary'!BK75</f>
        <v/>
      </c>
    </row>
    <row r="77" spans="1:23" ht="18.5" hidden="1" x14ac:dyDescent="0.45">
      <c r="A77" s="100"/>
      <c r="B77" s="100">
        <f>'Student Basic Info'!A76</f>
        <v>775</v>
      </c>
      <c r="C77" s="100" t="str">
        <f>'Student Basic Info'!C76</f>
        <v>Nur Mohammad Rimon</v>
      </c>
      <c r="D77" s="100">
        <f>Bangla!G76</f>
        <v>0</v>
      </c>
      <c r="E77" s="100">
        <f>English!F76</f>
        <v>0</v>
      </c>
      <c r="F77" s="100">
        <f>ICT!H76</f>
        <v>0</v>
      </c>
      <c r="G77" s="100">
        <f>Physics!H76</f>
        <v>0</v>
      </c>
      <c r="H77" s="100" t="str">
        <f>Chemistry!H76</f>
        <v/>
      </c>
      <c r="I77" s="100">
        <f>Biology!H76</f>
        <v>0</v>
      </c>
      <c r="J77" s="100" t="str">
        <f>Math!H76</f>
        <v/>
      </c>
      <c r="K77" s="100">
        <f t="shared" si="24"/>
        <v>0</v>
      </c>
      <c r="L77" s="100">
        <f t="shared" si="25"/>
        <v>0</v>
      </c>
      <c r="M77" s="100">
        <f t="shared" si="26"/>
        <v>0</v>
      </c>
      <c r="N77" s="100">
        <f t="shared" si="27"/>
        <v>0</v>
      </c>
      <c r="O77" s="100">
        <f t="shared" si="28"/>
        <v>0</v>
      </c>
      <c r="P77" s="100">
        <f t="shared" si="29"/>
        <v>0</v>
      </c>
      <c r="Q77" s="100">
        <f t="shared" si="30"/>
        <v>0</v>
      </c>
      <c r="R77" s="100" t="str">
        <f t="shared" si="31"/>
        <v/>
      </c>
      <c r="S77" s="100" t="str">
        <f t="shared" si="32"/>
        <v/>
      </c>
      <c r="T77" s="100" t="str">
        <f t="shared" si="33"/>
        <v/>
      </c>
      <c r="U77" s="100" t="str">
        <f t="shared" si="34"/>
        <v>Failed in 6 Subjects</v>
      </c>
      <c r="V77" s="100" t="str">
        <f t="shared" si="35"/>
        <v/>
      </c>
      <c r="W77" s="100" t="str">
        <f>'Detailed Summary'!BK76</f>
        <v/>
      </c>
    </row>
    <row r="78" spans="1:23" ht="18.5" hidden="1" x14ac:dyDescent="0.45">
      <c r="A78" s="100"/>
      <c r="B78" s="100">
        <f>'Student Basic Info'!A77</f>
        <v>776</v>
      </c>
      <c r="C78" s="100" t="str">
        <f>'Student Basic Info'!C77</f>
        <v>Saifullah Mansur</v>
      </c>
      <c r="D78" s="100">
        <f>Bangla!G77</f>
        <v>0</v>
      </c>
      <c r="E78" s="100">
        <f>English!F77</f>
        <v>0</v>
      </c>
      <c r="F78" s="100">
        <f>ICT!H77</f>
        <v>0</v>
      </c>
      <c r="G78" s="100">
        <f>Physics!H77</f>
        <v>0</v>
      </c>
      <c r="H78" s="100">
        <f>Chemistry!H77</f>
        <v>0</v>
      </c>
      <c r="I78" s="100">
        <f>Biology!H77</f>
        <v>0</v>
      </c>
      <c r="J78" s="100">
        <f>Math!H77</f>
        <v>0</v>
      </c>
      <c r="K78" s="100">
        <f t="shared" si="24"/>
        <v>0</v>
      </c>
      <c r="L78" s="100">
        <f t="shared" si="25"/>
        <v>0</v>
      </c>
      <c r="M78" s="100">
        <f t="shared" si="26"/>
        <v>0</v>
      </c>
      <c r="N78" s="100">
        <f t="shared" si="27"/>
        <v>0</v>
      </c>
      <c r="O78" s="100">
        <f t="shared" si="28"/>
        <v>0</v>
      </c>
      <c r="P78" s="100">
        <f t="shared" si="29"/>
        <v>0</v>
      </c>
      <c r="Q78" s="100">
        <f t="shared" si="30"/>
        <v>0</v>
      </c>
      <c r="R78" s="100" t="str">
        <f t="shared" si="31"/>
        <v/>
      </c>
      <c r="S78" s="100" t="str">
        <f t="shared" si="32"/>
        <v/>
      </c>
      <c r="T78" s="100" t="str">
        <f t="shared" si="33"/>
        <v/>
      </c>
      <c r="U78" s="100" t="str">
        <f t="shared" si="34"/>
        <v>Failed in 6 Subjects</v>
      </c>
      <c r="V78" s="100" t="str">
        <f t="shared" si="35"/>
        <v/>
      </c>
      <c r="W78" s="100" t="str">
        <f>'Detailed Summary'!BK77</f>
        <v/>
      </c>
    </row>
    <row r="79" spans="1:23" ht="18.5" hidden="1" x14ac:dyDescent="0.45">
      <c r="A79" s="100"/>
      <c r="B79" s="100">
        <f>'Student Basic Info'!A78</f>
        <v>777</v>
      </c>
      <c r="C79" s="100" t="str">
        <f>'Student Basic Info'!C78</f>
        <v>Zunayed Al Mamun</v>
      </c>
      <c r="D79" s="100" t="str">
        <f>Bangla!G78</f>
        <v/>
      </c>
      <c r="E79" s="100" t="str">
        <f>English!F78</f>
        <v/>
      </c>
      <c r="F79" s="100" t="str">
        <f>ICT!H78</f>
        <v/>
      </c>
      <c r="G79" s="100" t="str">
        <f>Physics!H78</f>
        <v/>
      </c>
      <c r="H79" s="100" t="str">
        <f>Chemistry!H78</f>
        <v/>
      </c>
      <c r="I79" s="100" t="str">
        <f>Biology!H78</f>
        <v/>
      </c>
      <c r="J79" s="100" t="str">
        <f>Math!H78</f>
        <v/>
      </c>
      <c r="K79" s="100">
        <f t="shared" si="24"/>
        <v>0</v>
      </c>
      <c r="L79" s="100">
        <f t="shared" si="25"/>
        <v>0</v>
      </c>
      <c r="M79" s="100">
        <f t="shared" si="26"/>
        <v>0</v>
      </c>
      <c r="N79" s="100">
        <f t="shared" si="27"/>
        <v>0</v>
      </c>
      <c r="O79" s="100">
        <f t="shared" si="28"/>
        <v>0</v>
      </c>
      <c r="P79" s="100">
        <f t="shared" si="29"/>
        <v>0</v>
      </c>
      <c r="Q79" s="100">
        <f t="shared" si="30"/>
        <v>0</v>
      </c>
      <c r="R79" s="100" t="str">
        <f t="shared" si="31"/>
        <v/>
      </c>
      <c r="S79" s="100" t="str">
        <f t="shared" si="32"/>
        <v/>
      </c>
      <c r="T79" s="100" t="str">
        <f t="shared" si="33"/>
        <v/>
      </c>
      <c r="U79" s="100" t="str">
        <f t="shared" si="34"/>
        <v>Failed in 6 Subjects</v>
      </c>
      <c r="V79" s="100" t="str">
        <f t="shared" si="35"/>
        <v/>
      </c>
      <c r="W79" s="100" t="str">
        <f>'Detailed Summary'!BK78</f>
        <v/>
      </c>
    </row>
    <row r="80" spans="1:23" ht="18.5" hidden="1" x14ac:dyDescent="0.45">
      <c r="A80" s="100"/>
      <c r="B80" s="100">
        <f>'Student Basic Info'!A79</f>
        <v>778</v>
      </c>
      <c r="C80" s="100" t="str">
        <f>'Student Basic Info'!C79</f>
        <v>Al Hosain</v>
      </c>
      <c r="D80" s="100" t="str">
        <f>Bangla!G79</f>
        <v/>
      </c>
      <c r="E80" s="100" t="str">
        <f>English!F79</f>
        <v/>
      </c>
      <c r="F80" s="100" t="str">
        <f>ICT!H79</f>
        <v/>
      </c>
      <c r="G80" s="100" t="str">
        <f>Physics!H79</f>
        <v/>
      </c>
      <c r="H80" s="100" t="str">
        <f>Chemistry!H79</f>
        <v/>
      </c>
      <c r="I80" s="100" t="str">
        <f>Biology!H79</f>
        <v/>
      </c>
      <c r="J80" s="100" t="str">
        <f>Math!H79</f>
        <v/>
      </c>
      <c r="K80" s="100">
        <f t="shared" si="24"/>
        <v>0</v>
      </c>
      <c r="L80" s="100">
        <f t="shared" si="25"/>
        <v>0</v>
      </c>
      <c r="M80" s="100">
        <f t="shared" si="26"/>
        <v>0</v>
      </c>
      <c r="N80" s="100">
        <f t="shared" si="27"/>
        <v>0</v>
      </c>
      <c r="O80" s="100">
        <f t="shared" si="28"/>
        <v>0</v>
      </c>
      <c r="P80" s="100">
        <f t="shared" si="29"/>
        <v>0</v>
      </c>
      <c r="Q80" s="100">
        <f t="shared" si="30"/>
        <v>0</v>
      </c>
      <c r="R80" s="100" t="str">
        <f t="shared" si="31"/>
        <v/>
      </c>
      <c r="S80" s="100" t="str">
        <f t="shared" si="32"/>
        <v/>
      </c>
      <c r="T80" s="100" t="str">
        <f t="shared" si="33"/>
        <v/>
      </c>
      <c r="U80" s="100" t="str">
        <f t="shared" si="34"/>
        <v>Failed in 6 Subjects</v>
      </c>
      <c r="V80" s="100" t="str">
        <f t="shared" si="35"/>
        <v/>
      </c>
      <c r="W80" s="100" t="str">
        <f>'Detailed Summary'!BK79</f>
        <v/>
      </c>
    </row>
    <row r="81" spans="1:23" ht="18.5" hidden="1" x14ac:dyDescent="0.45">
      <c r="A81" s="100"/>
      <c r="B81" s="100">
        <f>'Student Basic Info'!A80</f>
        <v>779</v>
      </c>
      <c r="C81" s="100" t="str">
        <f>'Student Basic Info'!C80</f>
        <v>Azizul Haque</v>
      </c>
      <c r="D81" s="100">
        <f>Bangla!G80</f>
        <v>0</v>
      </c>
      <c r="E81" s="100">
        <f>English!F80</f>
        <v>0</v>
      </c>
      <c r="F81" s="100">
        <f>ICT!H80</f>
        <v>0</v>
      </c>
      <c r="G81" s="100">
        <f>Physics!H80</f>
        <v>0</v>
      </c>
      <c r="H81" s="100">
        <f>Chemistry!H80</f>
        <v>0</v>
      </c>
      <c r="I81" s="100">
        <f>Biology!H80</f>
        <v>0</v>
      </c>
      <c r="J81" s="100">
        <f>Math!H80</f>
        <v>0</v>
      </c>
      <c r="K81" s="100">
        <f t="shared" si="24"/>
        <v>0</v>
      </c>
      <c r="L81" s="100">
        <f t="shared" si="25"/>
        <v>0</v>
      </c>
      <c r="M81" s="100">
        <f t="shared" si="26"/>
        <v>0</v>
      </c>
      <c r="N81" s="100">
        <f t="shared" si="27"/>
        <v>0</v>
      </c>
      <c r="O81" s="100">
        <f t="shared" si="28"/>
        <v>0</v>
      </c>
      <c r="P81" s="100">
        <f t="shared" si="29"/>
        <v>0</v>
      </c>
      <c r="Q81" s="100">
        <f t="shared" si="30"/>
        <v>0</v>
      </c>
      <c r="R81" s="100" t="str">
        <f t="shared" si="31"/>
        <v/>
      </c>
      <c r="S81" s="100" t="str">
        <f t="shared" si="32"/>
        <v/>
      </c>
      <c r="T81" s="100" t="str">
        <f t="shared" si="33"/>
        <v/>
      </c>
      <c r="U81" s="100" t="str">
        <f t="shared" si="34"/>
        <v>Failed in 6 Subjects</v>
      </c>
      <c r="V81" s="100" t="str">
        <f t="shared" si="35"/>
        <v/>
      </c>
      <c r="W81" s="100" t="str">
        <f>'Detailed Summary'!BK80</f>
        <v/>
      </c>
    </row>
    <row r="82" spans="1:23" ht="18.5" hidden="1" x14ac:dyDescent="0.45">
      <c r="A82" s="100"/>
      <c r="B82" s="100">
        <f>'Student Basic Info'!A81</f>
        <v>780</v>
      </c>
      <c r="C82" s="100" t="str">
        <f>'Student Basic Info'!C81</f>
        <v>Farjana Aktar</v>
      </c>
      <c r="D82" s="100">
        <f>Bangla!G81</f>
        <v>2</v>
      </c>
      <c r="E82" s="100">
        <f>English!F81</f>
        <v>0</v>
      </c>
      <c r="F82" s="100">
        <f>ICT!H81</f>
        <v>0</v>
      </c>
      <c r="G82" s="100">
        <f>Physics!H81</f>
        <v>0</v>
      </c>
      <c r="H82" s="100">
        <f>Chemistry!H81</f>
        <v>0</v>
      </c>
      <c r="I82" s="100">
        <f>Biology!H81</f>
        <v>0</v>
      </c>
      <c r="J82" s="100">
        <f>Math!H81</f>
        <v>0</v>
      </c>
      <c r="K82" s="100">
        <f t="shared" si="24"/>
        <v>1</v>
      </c>
      <c r="L82" s="100">
        <f t="shared" si="25"/>
        <v>0</v>
      </c>
      <c r="M82" s="100">
        <f t="shared" si="26"/>
        <v>0</v>
      </c>
      <c r="N82" s="100">
        <f t="shared" si="27"/>
        <v>0</v>
      </c>
      <c r="O82" s="100">
        <f t="shared" si="28"/>
        <v>0</v>
      </c>
      <c r="P82" s="100">
        <f t="shared" si="29"/>
        <v>0</v>
      </c>
      <c r="Q82" s="100">
        <f t="shared" si="30"/>
        <v>1</v>
      </c>
      <c r="R82" s="100" t="str">
        <f t="shared" si="31"/>
        <v/>
      </c>
      <c r="S82" s="100" t="str">
        <f t="shared" si="32"/>
        <v/>
      </c>
      <c r="T82" s="100" t="str">
        <f t="shared" si="33"/>
        <v/>
      </c>
      <c r="U82" s="100" t="str">
        <f t="shared" si="34"/>
        <v>Failed in 5 Subjects</v>
      </c>
      <c r="V82" s="100" t="str">
        <f t="shared" si="35"/>
        <v/>
      </c>
      <c r="W82" s="100" t="str">
        <f>'Detailed Summary'!BK81</f>
        <v/>
      </c>
    </row>
    <row r="83" spans="1:23" ht="18.5" hidden="1" x14ac:dyDescent="0.45">
      <c r="A83" s="100"/>
      <c r="B83" s="100">
        <f>'Student Basic Info'!A82</f>
        <v>781</v>
      </c>
      <c r="C83" s="100" t="str">
        <f>'Student Basic Info'!C82</f>
        <v>Imam Hosain</v>
      </c>
      <c r="D83" s="100" t="str">
        <f>Bangla!G82</f>
        <v/>
      </c>
      <c r="E83" s="100" t="str">
        <f>English!F82</f>
        <v/>
      </c>
      <c r="F83" s="100" t="str">
        <f>ICT!H82</f>
        <v/>
      </c>
      <c r="G83" s="100" t="str">
        <f>Physics!H82</f>
        <v/>
      </c>
      <c r="H83" s="100" t="str">
        <f>Chemistry!H82</f>
        <v/>
      </c>
      <c r="I83" s="100" t="str">
        <f>Biology!H82</f>
        <v/>
      </c>
      <c r="J83" s="100" t="str">
        <f>Math!H82</f>
        <v/>
      </c>
      <c r="K83" s="100">
        <f t="shared" si="24"/>
        <v>0</v>
      </c>
      <c r="L83" s="100">
        <f t="shared" si="25"/>
        <v>0</v>
      </c>
      <c r="M83" s="100">
        <f t="shared" si="26"/>
        <v>0</v>
      </c>
      <c r="N83" s="100">
        <f t="shared" si="27"/>
        <v>0</v>
      </c>
      <c r="O83" s="100">
        <f t="shared" si="28"/>
        <v>0</v>
      </c>
      <c r="P83" s="100">
        <f t="shared" si="29"/>
        <v>0</v>
      </c>
      <c r="Q83" s="100">
        <f t="shared" si="30"/>
        <v>0</v>
      </c>
      <c r="R83" s="100" t="str">
        <f t="shared" si="31"/>
        <v/>
      </c>
      <c r="S83" s="100" t="str">
        <f t="shared" si="32"/>
        <v/>
      </c>
      <c r="T83" s="100" t="str">
        <f t="shared" si="33"/>
        <v/>
      </c>
      <c r="U83" s="100" t="str">
        <f t="shared" si="34"/>
        <v>Failed in 6 Subjects</v>
      </c>
      <c r="V83" s="100" t="str">
        <f t="shared" si="35"/>
        <v/>
      </c>
      <c r="W83" s="100" t="str">
        <f>'Detailed Summary'!BK82</f>
        <v/>
      </c>
    </row>
    <row r="84" spans="1:23" ht="18.5" x14ac:dyDescent="0.45">
      <c r="A84" s="117">
        <v>6</v>
      </c>
      <c r="B84" s="117">
        <f>'Student Basic Info'!A83</f>
        <v>782</v>
      </c>
      <c r="C84" s="117" t="str">
        <f>'Student Basic Info'!C83</f>
        <v>Asiya Aktar Hira</v>
      </c>
      <c r="D84" s="100">
        <f>Bangla!G83</f>
        <v>3</v>
      </c>
      <c r="E84" s="100">
        <f>English!F83</f>
        <v>2</v>
      </c>
      <c r="F84" s="100">
        <f>ICT!H83</f>
        <v>0</v>
      </c>
      <c r="G84" s="100">
        <f>Physics!H83</f>
        <v>0</v>
      </c>
      <c r="H84" s="100">
        <f>Chemistry!H83</f>
        <v>0</v>
      </c>
      <c r="I84" s="100">
        <f>Biology!H83</f>
        <v>0</v>
      </c>
      <c r="J84" s="100">
        <f>Math!H83</f>
        <v>0</v>
      </c>
      <c r="K84" s="100">
        <f t="shared" si="24"/>
        <v>1</v>
      </c>
      <c r="L84" s="100">
        <f t="shared" si="25"/>
        <v>1</v>
      </c>
      <c r="M84" s="100">
        <f t="shared" si="26"/>
        <v>0</v>
      </c>
      <c r="N84" s="100">
        <f t="shared" si="27"/>
        <v>0</v>
      </c>
      <c r="O84" s="100">
        <f t="shared" si="28"/>
        <v>0</v>
      </c>
      <c r="P84" s="100">
        <f t="shared" si="29"/>
        <v>0</v>
      </c>
      <c r="Q84" s="100">
        <f t="shared" si="30"/>
        <v>2</v>
      </c>
      <c r="R84" s="100" t="str">
        <f t="shared" si="31"/>
        <v/>
      </c>
      <c r="S84" s="100" t="str">
        <f t="shared" si="32"/>
        <v/>
      </c>
      <c r="T84" s="100" t="str">
        <f t="shared" si="33"/>
        <v/>
      </c>
      <c r="U84" s="117" t="str">
        <f t="shared" si="34"/>
        <v>Failed in 4 Subjects</v>
      </c>
      <c r="V84" s="117" t="str">
        <f t="shared" si="35"/>
        <v/>
      </c>
      <c r="W84" s="117" t="str">
        <f>'Detailed Summary'!BK83</f>
        <v/>
      </c>
    </row>
    <row r="85" spans="1:23" hidden="1" x14ac:dyDescent="0.35">
      <c r="A85"/>
      <c r="B85" s="4">
        <f>'Student Basic Info'!A84</f>
        <v>783</v>
      </c>
      <c r="C85" s="4" t="str">
        <f>'Student Basic Info'!C84</f>
        <v>Abu Rayhan</v>
      </c>
      <c r="D85" s="4" t="str">
        <f>Bangla!G84</f>
        <v/>
      </c>
      <c r="E85" s="4" t="str">
        <f>English!F84</f>
        <v/>
      </c>
      <c r="F85" s="4" t="str">
        <f>ICT!H84</f>
        <v/>
      </c>
      <c r="G85" s="42" t="str">
        <f>Physics!H84</f>
        <v/>
      </c>
      <c r="H85" s="42" t="str">
        <f>Chemistry!H84</f>
        <v/>
      </c>
      <c r="I85" s="42" t="str">
        <f>Biology!H84</f>
        <v/>
      </c>
      <c r="J85" s="42" t="str">
        <f>Math!H84</f>
        <v/>
      </c>
      <c r="K85" s="30">
        <f t="shared" si="24"/>
        <v>0</v>
      </c>
      <c r="L85" s="30">
        <f t="shared" si="25"/>
        <v>0</v>
      </c>
      <c r="M85" s="30">
        <f t="shared" si="26"/>
        <v>0</v>
      </c>
      <c r="N85" s="30">
        <f t="shared" si="27"/>
        <v>0</v>
      </c>
      <c r="O85" s="30">
        <f t="shared" si="28"/>
        <v>0</v>
      </c>
      <c r="P85" s="30">
        <f t="shared" si="29"/>
        <v>0</v>
      </c>
      <c r="Q85" s="30">
        <f t="shared" si="30"/>
        <v>0</v>
      </c>
      <c r="R85" s="3" t="str">
        <f t="shared" si="31"/>
        <v/>
      </c>
      <c r="S85" s="3" t="str">
        <f t="shared" si="32"/>
        <v/>
      </c>
      <c r="T85" s="7" t="str">
        <f t="shared" si="33"/>
        <v/>
      </c>
      <c r="U85" s="3" t="str">
        <f t="shared" si="34"/>
        <v>Failed in 6 Subjects</v>
      </c>
      <c r="V85" s="7" t="str">
        <f t="shared" si="35"/>
        <v/>
      </c>
      <c r="W85" s="8" t="str">
        <f>'Detailed Summary'!BK84</f>
        <v/>
      </c>
    </row>
    <row r="86" spans="1:23" hidden="1" x14ac:dyDescent="0.35">
      <c r="A86"/>
      <c r="B86" s="4">
        <f>'Student Basic Info'!A85</f>
        <v>784</v>
      </c>
      <c r="C86" s="4" t="str">
        <f>'Student Basic Info'!C85</f>
        <v xml:space="preserve">Azizul Islam </v>
      </c>
      <c r="D86" s="4">
        <f>Bangla!G85</f>
        <v>0</v>
      </c>
      <c r="E86" s="4">
        <f>English!F85</f>
        <v>0</v>
      </c>
      <c r="F86" s="4">
        <f>ICT!H85</f>
        <v>0</v>
      </c>
      <c r="G86" s="42">
        <f>Physics!H85</f>
        <v>0</v>
      </c>
      <c r="H86" s="42">
        <f>Chemistry!H85</f>
        <v>0</v>
      </c>
      <c r="I86" s="42">
        <f>Biology!H85</f>
        <v>0</v>
      </c>
      <c r="J86" s="42">
        <f>Math!H85</f>
        <v>0</v>
      </c>
      <c r="K86" s="30">
        <f t="shared" si="24"/>
        <v>0</v>
      </c>
      <c r="L86" s="30">
        <f t="shared" si="25"/>
        <v>0</v>
      </c>
      <c r="M86" s="30">
        <f t="shared" si="26"/>
        <v>0</v>
      </c>
      <c r="N86" s="30">
        <f t="shared" si="27"/>
        <v>0</v>
      </c>
      <c r="O86" s="30">
        <f t="shared" si="28"/>
        <v>0</v>
      </c>
      <c r="P86" s="30">
        <f t="shared" si="29"/>
        <v>0</v>
      </c>
      <c r="Q86" s="30">
        <f t="shared" si="30"/>
        <v>0</v>
      </c>
      <c r="R86" s="3" t="str">
        <f t="shared" si="31"/>
        <v/>
      </c>
      <c r="S86" s="3" t="str">
        <f t="shared" si="32"/>
        <v/>
      </c>
      <c r="T86" s="7" t="str">
        <f t="shared" si="33"/>
        <v/>
      </c>
      <c r="U86" s="3" t="str">
        <f t="shared" si="34"/>
        <v>Failed in 6 Subjects</v>
      </c>
      <c r="V86" s="7" t="str">
        <f t="shared" si="35"/>
        <v/>
      </c>
      <c r="W86" s="8" t="str">
        <f>'Detailed Summary'!BK85</f>
        <v/>
      </c>
    </row>
    <row r="87" spans="1:23" hidden="1" x14ac:dyDescent="0.35">
      <c r="A87"/>
      <c r="B87" s="4">
        <f>'Student Basic Info'!A86</f>
        <v>785</v>
      </c>
      <c r="C87" s="4" t="str">
        <f>'Student Basic Info'!C86</f>
        <v>Muktaddi Al Saber</v>
      </c>
      <c r="D87" s="4">
        <f>Bangla!G86</f>
        <v>0</v>
      </c>
      <c r="E87" s="4">
        <f>English!F86</f>
        <v>0</v>
      </c>
      <c r="F87" s="4">
        <f>ICT!H86</f>
        <v>0</v>
      </c>
      <c r="G87" s="42">
        <f>Physics!H86</f>
        <v>0</v>
      </c>
      <c r="H87" s="42" t="str">
        <f>Chemistry!H86</f>
        <v/>
      </c>
      <c r="I87" s="42">
        <f>Biology!H86</f>
        <v>0</v>
      </c>
      <c r="J87" s="42">
        <f>Math!H86</f>
        <v>0</v>
      </c>
      <c r="K87" s="30">
        <f t="shared" si="24"/>
        <v>0</v>
      </c>
      <c r="L87" s="30">
        <f t="shared" si="25"/>
        <v>0</v>
      </c>
      <c r="M87" s="30">
        <f t="shared" si="26"/>
        <v>0</v>
      </c>
      <c r="N87" s="30">
        <f t="shared" si="27"/>
        <v>0</v>
      </c>
      <c r="O87" s="30">
        <f t="shared" si="28"/>
        <v>0</v>
      </c>
      <c r="P87" s="30">
        <f t="shared" si="29"/>
        <v>0</v>
      </c>
      <c r="Q87" s="30">
        <f t="shared" si="30"/>
        <v>0</v>
      </c>
      <c r="R87" s="3" t="str">
        <f t="shared" si="31"/>
        <v/>
      </c>
      <c r="S87" s="3" t="str">
        <f t="shared" si="32"/>
        <v/>
      </c>
      <c r="T87" s="7" t="str">
        <f t="shared" si="33"/>
        <v/>
      </c>
      <c r="U87" s="3" t="str">
        <f t="shared" si="34"/>
        <v>Failed in 6 Subjects</v>
      </c>
      <c r="V87" s="7" t="str">
        <f t="shared" si="35"/>
        <v/>
      </c>
      <c r="W87" s="8" t="str">
        <f>'Detailed Summary'!BK86</f>
        <v/>
      </c>
    </row>
    <row r="88" spans="1:23" hidden="1" x14ac:dyDescent="0.35">
      <c r="A88"/>
      <c r="B88" s="4">
        <f>'Student Basic Info'!A87</f>
        <v>786</v>
      </c>
      <c r="C88" s="4" t="str">
        <f>'Student Basic Info'!C87</f>
        <v>Farzana Aktar</v>
      </c>
      <c r="D88" s="4" t="str">
        <f>Bangla!G87</f>
        <v/>
      </c>
      <c r="E88" s="4">
        <f>English!F87</f>
        <v>0</v>
      </c>
      <c r="F88" s="4">
        <f>ICT!H87</f>
        <v>0</v>
      </c>
      <c r="G88" s="42" t="str">
        <f>Physics!H87</f>
        <v/>
      </c>
      <c r="H88" s="42">
        <f>Chemistry!H87</f>
        <v>0</v>
      </c>
      <c r="I88" s="42">
        <f>Biology!H87</f>
        <v>0</v>
      </c>
      <c r="J88" s="42">
        <f>Math!H87</f>
        <v>0</v>
      </c>
      <c r="K88" s="30">
        <f t="shared" si="24"/>
        <v>0</v>
      </c>
      <c r="L88" s="30">
        <f t="shared" si="25"/>
        <v>0</v>
      </c>
      <c r="M88" s="30">
        <f t="shared" si="26"/>
        <v>0</v>
      </c>
      <c r="N88" s="30">
        <f t="shared" si="27"/>
        <v>0</v>
      </c>
      <c r="O88" s="30">
        <f t="shared" si="28"/>
        <v>0</v>
      </c>
      <c r="P88" s="30">
        <f t="shared" si="29"/>
        <v>0</v>
      </c>
      <c r="Q88" s="30">
        <f t="shared" si="30"/>
        <v>0</v>
      </c>
      <c r="R88" s="3" t="str">
        <f t="shared" si="31"/>
        <v/>
      </c>
      <c r="S88" s="3" t="str">
        <f t="shared" si="32"/>
        <v/>
      </c>
      <c r="T88" s="7" t="str">
        <f t="shared" si="33"/>
        <v/>
      </c>
      <c r="U88" s="3" t="str">
        <f t="shared" si="34"/>
        <v>Failed in 6 Subjects</v>
      </c>
      <c r="V88" s="7" t="str">
        <f t="shared" si="35"/>
        <v/>
      </c>
      <c r="W88" s="8" t="str">
        <f>'Detailed Summary'!BK87</f>
        <v/>
      </c>
    </row>
    <row r="89" spans="1:23" ht="18.5" hidden="1" x14ac:dyDescent="0.45">
      <c r="A89" s="100">
        <v>6</v>
      </c>
      <c r="B89" s="101">
        <f>'Student Basic Info'!A88</f>
        <v>6812</v>
      </c>
      <c r="C89" s="101" t="str">
        <f>'Student Basic Info'!C88</f>
        <v>Jannatul Mawa Parvin</v>
      </c>
      <c r="D89" s="4">
        <f>Bangla!G88</f>
        <v>2</v>
      </c>
      <c r="E89" s="4">
        <f>English!F88</f>
        <v>0</v>
      </c>
      <c r="F89" s="4">
        <f>ICT!H88</f>
        <v>3</v>
      </c>
      <c r="G89" s="42">
        <f>Physics!H88</f>
        <v>3</v>
      </c>
      <c r="H89" s="42">
        <f>Chemistry!H88</f>
        <v>0</v>
      </c>
      <c r="I89" s="42">
        <f>Biology!H88</f>
        <v>0</v>
      </c>
      <c r="J89" s="42">
        <f>Math!H88</f>
        <v>0</v>
      </c>
      <c r="K89" s="30">
        <f t="shared" si="24"/>
        <v>1</v>
      </c>
      <c r="L89" s="30">
        <f t="shared" si="25"/>
        <v>0</v>
      </c>
      <c r="M89" s="30">
        <f t="shared" si="26"/>
        <v>1</v>
      </c>
      <c r="N89" s="30">
        <f t="shared" si="27"/>
        <v>1</v>
      </c>
      <c r="O89" s="30">
        <f t="shared" si="28"/>
        <v>0</v>
      </c>
      <c r="P89" s="30">
        <f t="shared" si="29"/>
        <v>0</v>
      </c>
      <c r="Q89" s="30">
        <f t="shared" si="30"/>
        <v>3</v>
      </c>
      <c r="R89" s="3" t="str">
        <f t="shared" si="31"/>
        <v/>
      </c>
      <c r="S89" s="3" t="str">
        <f t="shared" si="32"/>
        <v/>
      </c>
      <c r="T89" s="7" t="str">
        <f t="shared" si="33"/>
        <v/>
      </c>
      <c r="U89" s="100" t="str">
        <f t="shared" si="34"/>
        <v>Failed in 3 Subjects</v>
      </c>
      <c r="V89" s="102" t="str">
        <f t="shared" si="35"/>
        <v/>
      </c>
      <c r="W89" s="103" t="str">
        <f>'Detailed Summary'!BK88</f>
        <v/>
      </c>
    </row>
  </sheetData>
  <sheetProtection formatCells="0" formatColumns="0" formatRows="0" insertColumns="0" insertRows="0" insertHyperlinks="0" deleteColumns="0" deleteRows="0"/>
  <autoFilter ref="U2:U89">
    <filterColumn colId="0">
      <filters>
        <filter val="Failed in 2 Subjects"/>
      </filters>
    </filterColumn>
  </autoFilter>
  <mergeCells count="1">
    <mergeCell ref="A1:W1"/>
  </mergeCells>
  <conditionalFormatting sqref="T3:T89 V3:V89">
    <cfRule type="cellIs" dxfId="5" priority="1" operator="between">
      <formula>1</formula>
      <formula>5</formula>
    </cfRule>
  </conditionalFormatting>
  <pageMargins left="1.22" right="0.7" top="2.3199999999999998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89"/>
  <sheetViews>
    <sheetView workbookViewId="0">
      <selection activeCell="A90" sqref="A90"/>
    </sheetView>
  </sheetViews>
  <sheetFormatPr defaultRowHeight="14.5" x14ac:dyDescent="0.35"/>
  <cols>
    <col min="1" max="1" width="3.453125" style="1" customWidth="1"/>
    <col min="2" max="2" width="7" customWidth="1"/>
    <col min="3" max="3" width="28.81640625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" hidden="1" customWidth="1"/>
    <col min="19" max="19" width="8.08984375" style="1" hidden="1" customWidth="1"/>
    <col min="20" max="20" width="10.36328125" style="5" hidden="1" customWidth="1"/>
    <col min="21" max="21" width="20.81640625" bestFit="1" customWidth="1"/>
    <col min="22" max="22" width="5.54296875" bestFit="1" customWidth="1"/>
    <col min="23" max="23" width="16.1796875" style="1" bestFit="1" customWidth="1"/>
  </cols>
  <sheetData>
    <row r="1" spans="1:23" ht="139" customHeight="1" x14ac:dyDescent="0.45">
      <c r="A1" s="158" t="s">
        <v>455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 spans="1:23" x14ac:dyDescent="0.35">
      <c r="A2" s="13" t="s">
        <v>448</v>
      </c>
      <c r="B2" s="13" t="s">
        <v>0</v>
      </c>
      <c r="C2" s="13" t="s">
        <v>36</v>
      </c>
      <c r="D2" s="13" t="s">
        <v>12</v>
      </c>
      <c r="E2" s="13" t="s">
        <v>13</v>
      </c>
      <c r="F2" s="13" t="s">
        <v>14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93</v>
      </c>
      <c r="L2" s="13" t="s">
        <v>94</v>
      </c>
      <c r="M2" s="13" t="s">
        <v>95</v>
      </c>
      <c r="N2" s="13" t="s">
        <v>98</v>
      </c>
      <c r="O2" s="13" t="s">
        <v>99</v>
      </c>
      <c r="P2" s="13" t="s">
        <v>100</v>
      </c>
      <c r="Q2" s="13" t="s">
        <v>96</v>
      </c>
      <c r="R2" s="13" t="s">
        <v>16</v>
      </c>
      <c r="S2" s="13" t="s">
        <v>18</v>
      </c>
      <c r="T2" s="14" t="s">
        <v>17</v>
      </c>
      <c r="U2" s="43" t="s">
        <v>7</v>
      </c>
      <c r="V2" s="14" t="s">
        <v>9</v>
      </c>
      <c r="W2" s="85" t="s">
        <v>447</v>
      </c>
    </row>
    <row r="3" spans="1:23" hidden="1" x14ac:dyDescent="0.35">
      <c r="A3"/>
      <c r="B3" s="4">
        <f>'Student Basic Info'!A2</f>
        <v>701</v>
      </c>
      <c r="C3" s="4" t="str">
        <f>'Student Basic Info'!C2</f>
        <v>Tanjila Mostafa Tasnim</v>
      </c>
      <c r="D3" s="42">
        <f>Bangla!G2</f>
        <v>3.5</v>
      </c>
      <c r="E3" s="42">
        <f>English!F2</f>
        <v>2</v>
      </c>
      <c r="F3" s="42">
        <f>ICT!H2</f>
        <v>5</v>
      </c>
      <c r="G3" s="42">
        <f>Physics!H2</f>
        <v>3</v>
      </c>
      <c r="H3" s="42">
        <f>Chemistry!H2</f>
        <v>4</v>
      </c>
      <c r="I3" s="42">
        <f>Biology!H2</f>
        <v>3</v>
      </c>
      <c r="J3" s="42">
        <f>Math!H2</f>
        <v>4</v>
      </c>
      <c r="K3" s="30">
        <f t="shared" ref="K3:P34" si="0">(IF(D3="",0,IF(D3=0,0,1)))</f>
        <v>1</v>
      </c>
      <c r="L3" s="30">
        <f t="shared" si="0"/>
        <v>1</v>
      </c>
      <c r="M3" s="30">
        <f t="shared" si="0"/>
        <v>1</v>
      </c>
      <c r="N3" s="30">
        <f t="shared" si="0"/>
        <v>1</v>
      </c>
      <c r="O3" s="30">
        <f t="shared" si="0"/>
        <v>1</v>
      </c>
      <c r="P3" s="30">
        <f t="shared" si="0"/>
        <v>1</v>
      </c>
      <c r="Q3" s="30">
        <f t="shared" ref="Q3:Q66" si="1">SUM(K3:P3)</f>
        <v>6</v>
      </c>
      <c r="R3" s="3">
        <f t="shared" ref="R3:R34" si="2">IF(OR(D3=0,E3=0,F3=0,G3=0,H3=0,I3=0,D3="",E3="",F3="",G3="",H3="",I3=""),"",SUM(D3:I3))</f>
        <v>20.5</v>
      </c>
      <c r="S3" s="3">
        <f t="shared" ref="S3:S66" si="3">IF(OR(D3=0,E3=0,F3=0,G3=0,H3=0,I3=0,D3="",E3="",F3="",G3="",H3="",I3=""),"",SUM(D3:J3))</f>
        <v>24.5</v>
      </c>
      <c r="T3" s="7">
        <f t="shared" ref="T3:T66" si="4">IF(R3="","",IF(((R3/6)&gt;5),5,R3/6))</f>
        <v>3.4166666666666665</v>
      </c>
      <c r="U3" s="3" t="str">
        <f t="shared" ref="U3:U66" si="5">IF(Q3=0,"Failed in 6 Subjects",IF(Q3=1,"Failed in 5 Subjects",IF(Q3=2,"Failed in 4 Subjects",IF(Q3=3,"Failed in 3 Subjects",IF(Q3=4,"Failed in 2 Subjects",IF(Q3=5,"Failed in 1 Subject","Pass"))))))</f>
        <v>Pass</v>
      </c>
      <c r="V3" s="7">
        <f t="shared" ref="V3:V66" si="6">IF(S3="","",IF(((S3/6)&gt;5),5,S3/6))</f>
        <v>4.083333333333333</v>
      </c>
      <c r="W3" s="8">
        <f>'Detailed Summary'!BK2</f>
        <v>3</v>
      </c>
    </row>
    <row r="4" spans="1:23" hidden="1" x14ac:dyDescent="0.35">
      <c r="A4"/>
      <c r="B4" s="4">
        <f>'Student Basic Info'!A3</f>
        <v>702</v>
      </c>
      <c r="C4" s="4" t="str">
        <f>'Student Basic Info'!C3</f>
        <v>Foyez Ahmed</v>
      </c>
      <c r="D4" s="4" t="str">
        <f>Bangla!G3</f>
        <v/>
      </c>
      <c r="E4" s="4" t="str">
        <f>English!F3</f>
        <v/>
      </c>
      <c r="F4" s="4" t="str">
        <f>ICT!H3</f>
        <v/>
      </c>
      <c r="G4" s="42" t="str">
        <f>Physics!H3</f>
        <v/>
      </c>
      <c r="H4" s="42" t="str">
        <f>Chemistry!H3</f>
        <v/>
      </c>
      <c r="I4" s="42" t="str">
        <f>Biology!H3</f>
        <v/>
      </c>
      <c r="J4" s="42" t="str">
        <f>Math!H3</f>
        <v/>
      </c>
      <c r="K4" s="30">
        <f t="shared" si="0"/>
        <v>0</v>
      </c>
      <c r="L4" s="30">
        <f t="shared" si="0"/>
        <v>0</v>
      </c>
      <c r="M4" s="30">
        <f t="shared" si="0"/>
        <v>0</v>
      </c>
      <c r="N4" s="30">
        <f t="shared" si="0"/>
        <v>0</v>
      </c>
      <c r="O4" s="30">
        <f t="shared" si="0"/>
        <v>0</v>
      </c>
      <c r="P4" s="30">
        <f t="shared" si="0"/>
        <v>0</v>
      </c>
      <c r="Q4" s="30">
        <f t="shared" si="1"/>
        <v>0</v>
      </c>
      <c r="R4" s="3" t="str">
        <f t="shared" si="2"/>
        <v/>
      </c>
      <c r="S4" s="3" t="str">
        <f t="shared" si="3"/>
        <v/>
      </c>
      <c r="T4" s="7" t="str">
        <f t="shared" si="4"/>
        <v/>
      </c>
      <c r="U4" s="3" t="str">
        <f t="shared" si="5"/>
        <v>Failed in 6 Subjects</v>
      </c>
      <c r="V4" s="7" t="str">
        <f t="shared" si="6"/>
        <v/>
      </c>
      <c r="W4" s="8" t="str">
        <f>'Detailed Summary'!BK3</f>
        <v/>
      </c>
    </row>
    <row r="5" spans="1:23" hidden="1" x14ac:dyDescent="0.35">
      <c r="A5"/>
      <c r="B5" s="4">
        <f>'Student Basic Info'!A4</f>
        <v>703</v>
      </c>
      <c r="C5" s="4" t="str">
        <f>'Student Basic Info'!C4</f>
        <v>Zannatul Nayem</v>
      </c>
      <c r="D5" s="4" t="str">
        <f>Bangla!G4</f>
        <v/>
      </c>
      <c r="E5" s="4" t="str">
        <f>English!F4</f>
        <v/>
      </c>
      <c r="F5" s="4" t="str">
        <f>ICT!H4</f>
        <v/>
      </c>
      <c r="G5" s="42" t="str">
        <f>Physics!H4</f>
        <v/>
      </c>
      <c r="H5" s="42" t="str">
        <f>Chemistry!H4</f>
        <v/>
      </c>
      <c r="I5" s="42" t="str">
        <f>Biology!H4</f>
        <v/>
      </c>
      <c r="J5" s="42" t="str">
        <f>Math!H4</f>
        <v/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1"/>
        <v>0</v>
      </c>
      <c r="R5" s="3" t="str">
        <f t="shared" si="2"/>
        <v/>
      </c>
      <c r="S5" s="3" t="str">
        <f t="shared" si="3"/>
        <v/>
      </c>
      <c r="T5" s="7" t="str">
        <f t="shared" si="4"/>
        <v/>
      </c>
      <c r="U5" s="3" t="str">
        <f t="shared" si="5"/>
        <v>Failed in 6 Subjects</v>
      </c>
      <c r="V5" s="7" t="str">
        <f t="shared" si="6"/>
        <v/>
      </c>
      <c r="W5" s="8" t="str">
        <f>'Detailed Summary'!BK4</f>
        <v/>
      </c>
    </row>
    <row r="6" spans="1:23" ht="18.5" x14ac:dyDescent="0.45">
      <c r="A6" s="115">
        <v>1</v>
      </c>
      <c r="B6" s="115">
        <f>'Student Basic Info'!A5</f>
        <v>704</v>
      </c>
      <c r="C6" s="115" t="str">
        <f>'Student Basic Info'!C5</f>
        <v>Farmana Nusrat Chowdhury</v>
      </c>
      <c r="D6" s="100">
        <f>Bangla!G5</f>
        <v>3.5</v>
      </c>
      <c r="E6" s="100">
        <f>English!F5</f>
        <v>1</v>
      </c>
      <c r="F6" s="100">
        <f>ICT!H5</f>
        <v>0</v>
      </c>
      <c r="G6" s="100">
        <f>Physics!H5</f>
        <v>0</v>
      </c>
      <c r="H6" s="100">
        <f>Chemistry!H5</f>
        <v>0</v>
      </c>
      <c r="I6" s="100">
        <f>Biology!H5</f>
        <v>0</v>
      </c>
      <c r="J6" s="100">
        <f>Math!H5</f>
        <v>0</v>
      </c>
      <c r="K6" s="100">
        <f t="shared" si="0"/>
        <v>1</v>
      </c>
      <c r="L6" s="100">
        <f t="shared" si="0"/>
        <v>1</v>
      </c>
      <c r="M6" s="100">
        <f t="shared" si="0"/>
        <v>0</v>
      </c>
      <c r="N6" s="100">
        <f t="shared" si="0"/>
        <v>0</v>
      </c>
      <c r="O6" s="100">
        <f t="shared" si="0"/>
        <v>0</v>
      </c>
      <c r="P6" s="100">
        <f t="shared" si="0"/>
        <v>0</v>
      </c>
      <c r="Q6" s="100">
        <f t="shared" si="1"/>
        <v>2</v>
      </c>
      <c r="R6" s="100" t="str">
        <f t="shared" si="2"/>
        <v/>
      </c>
      <c r="S6" s="100" t="str">
        <f t="shared" si="3"/>
        <v/>
      </c>
      <c r="T6" s="100" t="str">
        <f t="shared" si="4"/>
        <v/>
      </c>
      <c r="U6" s="115" t="str">
        <f t="shared" si="5"/>
        <v>Failed in 4 Subjects</v>
      </c>
      <c r="V6" s="115" t="str">
        <f t="shared" si="6"/>
        <v/>
      </c>
      <c r="W6" s="115" t="str">
        <f>'Detailed Summary'!BK5</f>
        <v/>
      </c>
    </row>
    <row r="7" spans="1:23" ht="18.5" hidden="1" x14ac:dyDescent="0.45">
      <c r="A7" s="100"/>
      <c r="B7" s="100">
        <f>'Student Basic Info'!A6</f>
        <v>705</v>
      </c>
      <c r="C7" s="100" t="str">
        <f>'Student Basic Info'!C6</f>
        <v>Zannatul Ferdaus</v>
      </c>
      <c r="D7" s="100" t="str">
        <f>Bangla!G6</f>
        <v/>
      </c>
      <c r="E7" s="100" t="str">
        <f>English!F6</f>
        <v/>
      </c>
      <c r="F7" s="100">
        <f>ICT!H6</f>
        <v>0</v>
      </c>
      <c r="G7" s="100" t="str">
        <f>Physics!H6</f>
        <v/>
      </c>
      <c r="H7" s="100" t="str">
        <f>Chemistry!H6</f>
        <v/>
      </c>
      <c r="I7" s="100" t="str">
        <f>Biology!H6</f>
        <v/>
      </c>
      <c r="J7" s="100" t="str">
        <f>Math!H6</f>
        <v/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1"/>
        <v>0</v>
      </c>
      <c r="R7" s="100" t="str">
        <f t="shared" si="2"/>
        <v/>
      </c>
      <c r="S7" s="100" t="str">
        <f t="shared" si="3"/>
        <v/>
      </c>
      <c r="T7" s="100" t="str">
        <f t="shared" si="4"/>
        <v/>
      </c>
      <c r="U7" s="100" t="str">
        <f t="shared" si="5"/>
        <v>Failed in 6 Subjects</v>
      </c>
      <c r="V7" s="100" t="str">
        <f t="shared" si="6"/>
        <v/>
      </c>
      <c r="W7" s="100" t="str">
        <f>'Detailed Summary'!BK6</f>
        <v/>
      </c>
    </row>
    <row r="8" spans="1:23" ht="18.5" hidden="1" x14ac:dyDescent="0.45">
      <c r="A8" s="100"/>
      <c r="B8" s="100">
        <f>'Student Basic Info'!A7</f>
        <v>706</v>
      </c>
      <c r="C8" s="100" t="str">
        <f>'Student Basic Info'!C7</f>
        <v>Abdul Alim Shawon</v>
      </c>
      <c r="D8" s="100" t="str">
        <f>Bangla!G7</f>
        <v/>
      </c>
      <c r="E8" s="100" t="str">
        <f>English!F7</f>
        <v/>
      </c>
      <c r="F8" s="100" t="str">
        <f>ICT!H7</f>
        <v/>
      </c>
      <c r="G8" s="100" t="str">
        <f>Physics!H7</f>
        <v/>
      </c>
      <c r="H8" s="100" t="str">
        <f>Chemistry!H7</f>
        <v/>
      </c>
      <c r="I8" s="100" t="str">
        <f>Biology!H7</f>
        <v/>
      </c>
      <c r="J8" s="100" t="str">
        <f>Math!H7</f>
        <v/>
      </c>
      <c r="K8" s="100">
        <f t="shared" si="0"/>
        <v>0</v>
      </c>
      <c r="L8" s="100">
        <f t="shared" si="0"/>
        <v>0</v>
      </c>
      <c r="M8" s="100">
        <f t="shared" si="0"/>
        <v>0</v>
      </c>
      <c r="N8" s="100">
        <f t="shared" si="0"/>
        <v>0</v>
      </c>
      <c r="O8" s="100">
        <f t="shared" si="0"/>
        <v>0</v>
      </c>
      <c r="P8" s="100">
        <f t="shared" si="0"/>
        <v>0</v>
      </c>
      <c r="Q8" s="100">
        <f t="shared" si="1"/>
        <v>0</v>
      </c>
      <c r="R8" s="100" t="str">
        <f t="shared" si="2"/>
        <v/>
      </c>
      <c r="S8" s="100" t="str">
        <f t="shared" si="3"/>
        <v/>
      </c>
      <c r="T8" s="100" t="str">
        <f t="shared" si="4"/>
        <v/>
      </c>
      <c r="U8" s="100" t="str">
        <f t="shared" si="5"/>
        <v>Failed in 6 Subjects</v>
      </c>
      <c r="V8" s="100" t="str">
        <f t="shared" si="6"/>
        <v/>
      </c>
      <c r="W8" s="100" t="str">
        <f>'Detailed Summary'!BK7</f>
        <v/>
      </c>
    </row>
    <row r="9" spans="1:23" ht="18.5" hidden="1" x14ac:dyDescent="0.45">
      <c r="A9" s="100"/>
      <c r="B9" s="100">
        <f>'Student Basic Info'!A8</f>
        <v>707</v>
      </c>
      <c r="C9" s="100" t="str">
        <f>'Student Basic Info'!C8</f>
        <v>Sharmin Aktar</v>
      </c>
      <c r="D9" s="100" t="str">
        <f>Bangla!G8</f>
        <v/>
      </c>
      <c r="E9" s="100" t="str">
        <f>English!F8</f>
        <v/>
      </c>
      <c r="F9" s="100" t="str">
        <f>ICT!H8</f>
        <v/>
      </c>
      <c r="G9" s="100" t="str">
        <f>Physics!H8</f>
        <v/>
      </c>
      <c r="H9" s="100" t="str">
        <f>Chemistry!H8</f>
        <v/>
      </c>
      <c r="I9" s="100" t="str">
        <f>Biology!H8</f>
        <v/>
      </c>
      <c r="J9" s="100" t="str">
        <f>Math!H8</f>
        <v/>
      </c>
      <c r="K9" s="100">
        <f t="shared" si="0"/>
        <v>0</v>
      </c>
      <c r="L9" s="100">
        <f t="shared" si="0"/>
        <v>0</v>
      </c>
      <c r="M9" s="100">
        <f t="shared" si="0"/>
        <v>0</v>
      </c>
      <c r="N9" s="100">
        <f t="shared" si="0"/>
        <v>0</v>
      </c>
      <c r="O9" s="100">
        <f t="shared" si="0"/>
        <v>0</v>
      </c>
      <c r="P9" s="100">
        <f t="shared" si="0"/>
        <v>0</v>
      </c>
      <c r="Q9" s="100">
        <f t="shared" si="1"/>
        <v>0</v>
      </c>
      <c r="R9" s="100" t="str">
        <f t="shared" si="2"/>
        <v/>
      </c>
      <c r="S9" s="100" t="str">
        <f t="shared" si="3"/>
        <v/>
      </c>
      <c r="T9" s="100" t="str">
        <f t="shared" si="4"/>
        <v/>
      </c>
      <c r="U9" s="100" t="str">
        <f t="shared" si="5"/>
        <v>Failed in 6 Subjects</v>
      </c>
      <c r="V9" s="100" t="str">
        <f t="shared" si="6"/>
        <v/>
      </c>
      <c r="W9" s="100" t="str">
        <f>'Detailed Summary'!BK8</f>
        <v/>
      </c>
    </row>
    <row r="10" spans="1:23" ht="18.5" hidden="1" x14ac:dyDescent="0.45">
      <c r="A10" s="100">
        <v>1</v>
      </c>
      <c r="B10" s="100">
        <f>'Student Basic Info'!A9</f>
        <v>708</v>
      </c>
      <c r="C10" s="100" t="str">
        <f>'Student Basic Info'!C9</f>
        <v>Nafisa Aktar Prova</v>
      </c>
      <c r="D10" s="100">
        <f>Bangla!G9</f>
        <v>3.5</v>
      </c>
      <c r="E10" s="100">
        <f>English!F9</f>
        <v>1</v>
      </c>
      <c r="F10" s="100">
        <v>3</v>
      </c>
      <c r="G10" s="100">
        <f>Physics!H9</f>
        <v>0</v>
      </c>
      <c r="H10" s="100">
        <f>Chemistry!H9</f>
        <v>0</v>
      </c>
      <c r="I10" s="100">
        <f>Biology!H9</f>
        <v>0</v>
      </c>
      <c r="J10" s="100">
        <f>Math!H9</f>
        <v>0</v>
      </c>
      <c r="K10" s="100">
        <f t="shared" si="0"/>
        <v>1</v>
      </c>
      <c r="L10" s="100">
        <f t="shared" si="0"/>
        <v>1</v>
      </c>
      <c r="M10" s="100">
        <f t="shared" si="0"/>
        <v>1</v>
      </c>
      <c r="N10" s="100">
        <f t="shared" si="0"/>
        <v>0</v>
      </c>
      <c r="O10" s="100">
        <f t="shared" si="0"/>
        <v>0</v>
      </c>
      <c r="P10" s="100">
        <f t="shared" si="0"/>
        <v>0</v>
      </c>
      <c r="Q10" s="100">
        <f t="shared" si="1"/>
        <v>3</v>
      </c>
      <c r="R10" s="100" t="str">
        <f t="shared" si="2"/>
        <v/>
      </c>
      <c r="S10" s="100" t="str">
        <f t="shared" si="3"/>
        <v/>
      </c>
      <c r="T10" s="100" t="str">
        <f t="shared" si="4"/>
        <v/>
      </c>
      <c r="U10" s="100" t="str">
        <f t="shared" si="5"/>
        <v>Failed in 3 Subjects</v>
      </c>
      <c r="V10" s="100" t="str">
        <f t="shared" si="6"/>
        <v/>
      </c>
      <c r="W10" s="100" t="str">
        <f>'Detailed Summary'!BK9</f>
        <v/>
      </c>
    </row>
    <row r="11" spans="1:23" ht="18.5" hidden="1" x14ac:dyDescent="0.45">
      <c r="A11" s="100"/>
      <c r="B11" s="100">
        <f>'Student Basic Info'!A10</f>
        <v>709</v>
      </c>
      <c r="C11" s="100" t="str">
        <f>'Student Basic Info'!C10</f>
        <v>Nafisa Anjum Prena</v>
      </c>
      <c r="D11" s="100">
        <f>Bangla!G10</f>
        <v>3.5</v>
      </c>
      <c r="E11" s="100">
        <f>English!F10</f>
        <v>1</v>
      </c>
      <c r="F11" s="100">
        <f>ICT!H10</f>
        <v>0</v>
      </c>
      <c r="G11" s="100">
        <f>Physics!H10</f>
        <v>2</v>
      </c>
      <c r="H11" s="100">
        <f>Chemistry!H10</f>
        <v>0</v>
      </c>
      <c r="I11" s="100">
        <f>Biology!H10</f>
        <v>0</v>
      </c>
      <c r="J11" s="100">
        <f>Math!H10</f>
        <v>0</v>
      </c>
      <c r="K11" s="100">
        <f t="shared" si="0"/>
        <v>1</v>
      </c>
      <c r="L11" s="100">
        <f t="shared" si="0"/>
        <v>1</v>
      </c>
      <c r="M11" s="100">
        <f t="shared" si="0"/>
        <v>0</v>
      </c>
      <c r="N11" s="100">
        <f t="shared" si="0"/>
        <v>1</v>
      </c>
      <c r="O11" s="100">
        <f t="shared" si="0"/>
        <v>0</v>
      </c>
      <c r="P11" s="100">
        <f t="shared" si="0"/>
        <v>0</v>
      </c>
      <c r="Q11" s="100">
        <f t="shared" si="1"/>
        <v>3</v>
      </c>
      <c r="R11" s="100" t="str">
        <f t="shared" si="2"/>
        <v/>
      </c>
      <c r="S11" s="100" t="str">
        <f t="shared" si="3"/>
        <v/>
      </c>
      <c r="T11" s="100" t="str">
        <f t="shared" si="4"/>
        <v/>
      </c>
      <c r="U11" s="100" t="str">
        <f t="shared" si="5"/>
        <v>Failed in 3 Subjects</v>
      </c>
      <c r="V11" s="100" t="str">
        <f t="shared" si="6"/>
        <v/>
      </c>
      <c r="W11" s="100" t="str">
        <f>'Detailed Summary'!BK10</f>
        <v/>
      </c>
    </row>
    <row r="12" spans="1:23" ht="18.5" hidden="1" x14ac:dyDescent="0.45">
      <c r="A12" s="100"/>
      <c r="B12" s="100">
        <f>'Student Basic Info'!A11</f>
        <v>710</v>
      </c>
      <c r="C12" s="100" t="str">
        <f>'Student Basic Info'!C11</f>
        <v>Umme Tabassum Maisha</v>
      </c>
      <c r="D12" s="100">
        <f>Bangla!G11</f>
        <v>3</v>
      </c>
      <c r="E12" s="100">
        <f>English!F11</f>
        <v>0</v>
      </c>
      <c r="F12" s="100">
        <f>ICT!H11</f>
        <v>3</v>
      </c>
      <c r="G12" s="100">
        <f>Physics!H11</f>
        <v>2</v>
      </c>
      <c r="H12" s="100">
        <f>Chemistry!H11</f>
        <v>0</v>
      </c>
      <c r="I12" s="100">
        <f>Biology!H11</f>
        <v>0</v>
      </c>
      <c r="J12" s="100">
        <f>Math!H11</f>
        <v>0</v>
      </c>
      <c r="K12" s="100">
        <f t="shared" si="0"/>
        <v>1</v>
      </c>
      <c r="L12" s="100">
        <f t="shared" si="0"/>
        <v>0</v>
      </c>
      <c r="M12" s="100">
        <f t="shared" si="0"/>
        <v>1</v>
      </c>
      <c r="N12" s="100">
        <f t="shared" si="0"/>
        <v>1</v>
      </c>
      <c r="O12" s="100">
        <f t="shared" si="0"/>
        <v>0</v>
      </c>
      <c r="P12" s="100">
        <f t="shared" si="0"/>
        <v>0</v>
      </c>
      <c r="Q12" s="100">
        <f t="shared" si="1"/>
        <v>3</v>
      </c>
      <c r="R12" s="100" t="str">
        <f t="shared" si="2"/>
        <v/>
      </c>
      <c r="S12" s="100" t="str">
        <f t="shared" si="3"/>
        <v/>
      </c>
      <c r="T12" s="100" t="str">
        <f t="shared" si="4"/>
        <v/>
      </c>
      <c r="U12" s="100" t="str">
        <f t="shared" si="5"/>
        <v>Failed in 3 Subjects</v>
      </c>
      <c r="V12" s="100" t="str">
        <f t="shared" si="6"/>
        <v/>
      </c>
      <c r="W12" s="100" t="str">
        <f>'Detailed Summary'!BK11</f>
        <v/>
      </c>
    </row>
    <row r="13" spans="1:23" ht="18.5" hidden="1" x14ac:dyDescent="0.45">
      <c r="A13" s="100"/>
      <c r="B13" s="100">
        <f>'Student Basic Info'!A12</f>
        <v>711</v>
      </c>
      <c r="C13" s="100" t="str">
        <f>'Student Basic Info'!C12</f>
        <v>Rakhi Ahasan</v>
      </c>
      <c r="D13" s="100" t="str">
        <f>Bangla!G12</f>
        <v/>
      </c>
      <c r="E13" s="100" t="str">
        <f>English!F12</f>
        <v/>
      </c>
      <c r="F13" s="100" t="str">
        <f>ICT!H12</f>
        <v/>
      </c>
      <c r="G13" s="100" t="str">
        <f>Physics!H12</f>
        <v/>
      </c>
      <c r="H13" s="100" t="str">
        <f>Chemistry!H12</f>
        <v/>
      </c>
      <c r="I13" s="100" t="str">
        <f>Biology!H12</f>
        <v/>
      </c>
      <c r="J13" s="100" t="str">
        <f>Math!H12</f>
        <v/>
      </c>
      <c r="K13" s="100">
        <f t="shared" si="0"/>
        <v>0</v>
      </c>
      <c r="L13" s="100">
        <f t="shared" si="0"/>
        <v>0</v>
      </c>
      <c r="M13" s="100">
        <f t="shared" si="0"/>
        <v>0</v>
      </c>
      <c r="N13" s="100">
        <f t="shared" si="0"/>
        <v>0</v>
      </c>
      <c r="O13" s="100">
        <f t="shared" si="0"/>
        <v>0</v>
      </c>
      <c r="P13" s="100">
        <f t="shared" si="0"/>
        <v>0</v>
      </c>
      <c r="Q13" s="100">
        <f t="shared" si="1"/>
        <v>0</v>
      </c>
      <c r="R13" s="100" t="str">
        <f t="shared" si="2"/>
        <v/>
      </c>
      <c r="S13" s="100" t="str">
        <f t="shared" si="3"/>
        <v/>
      </c>
      <c r="T13" s="100" t="str">
        <f t="shared" si="4"/>
        <v/>
      </c>
      <c r="U13" s="100" t="str">
        <f t="shared" si="5"/>
        <v>Failed in 6 Subjects</v>
      </c>
      <c r="V13" s="100" t="str">
        <f t="shared" si="6"/>
        <v/>
      </c>
      <c r="W13" s="100" t="str">
        <f>'Detailed Summary'!BK12</f>
        <v/>
      </c>
    </row>
    <row r="14" spans="1:23" ht="18.5" x14ac:dyDescent="0.45">
      <c r="A14" s="115">
        <v>2</v>
      </c>
      <c r="B14" s="115">
        <f>'Student Basic Info'!A13</f>
        <v>712</v>
      </c>
      <c r="C14" s="115" t="str">
        <f>'Student Basic Info'!C13</f>
        <v>Nadiyatul Nayem</v>
      </c>
      <c r="D14" s="100">
        <f>Bangla!G13</f>
        <v>3</v>
      </c>
      <c r="E14" s="100">
        <f>English!F13</f>
        <v>1</v>
      </c>
      <c r="F14" s="100">
        <f>ICT!H13</f>
        <v>2</v>
      </c>
      <c r="G14" s="100">
        <f>Physics!H13</f>
        <v>3</v>
      </c>
      <c r="H14" s="100">
        <f>Chemistry!H13</f>
        <v>2</v>
      </c>
      <c r="I14" s="100">
        <f>Biology!H13</f>
        <v>0</v>
      </c>
      <c r="J14" s="100">
        <f>Math!H13</f>
        <v>0</v>
      </c>
      <c r="K14" s="100">
        <f t="shared" si="0"/>
        <v>1</v>
      </c>
      <c r="L14" s="100">
        <f t="shared" si="0"/>
        <v>1</v>
      </c>
      <c r="M14" s="100">
        <f t="shared" si="0"/>
        <v>1</v>
      </c>
      <c r="N14" s="100">
        <f t="shared" si="0"/>
        <v>1</v>
      </c>
      <c r="O14" s="100">
        <f t="shared" si="0"/>
        <v>1</v>
      </c>
      <c r="P14" s="100">
        <f t="shared" si="0"/>
        <v>0</v>
      </c>
      <c r="Q14" s="100">
        <f t="shared" si="1"/>
        <v>5</v>
      </c>
      <c r="R14" s="100" t="str">
        <f t="shared" si="2"/>
        <v/>
      </c>
      <c r="S14" s="100" t="str">
        <f t="shared" si="3"/>
        <v/>
      </c>
      <c r="T14" s="100" t="str">
        <f t="shared" si="4"/>
        <v/>
      </c>
      <c r="U14" s="115" t="str">
        <f t="shared" si="5"/>
        <v>Failed in 1 Subject</v>
      </c>
      <c r="V14" s="115" t="str">
        <f t="shared" si="6"/>
        <v/>
      </c>
      <c r="W14" s="115" t="str">
        <f>'Detailed Summary'!BK13</f>
        <v/>
      </c>
    </row>
    <row r="15" spans="1:23" ht="18.5" hidden="1" x14ac:dyDescent="0.45">
      <c r="A15" s="100"/>
      <c r="B15" s="100">
        <f>'Student Basic Info'!A14</f>
        <v>713</v>
      </c>
      <c r="C15" s="100" t="str">
        <f>'Student Basic Info'!C14</f>
        <v>Zannatul Ferdaus Fariha</v>
      </c>
      <c r="D15" s="100">
        <f>Bangla!G14</f>
        <v>3</v>
      </c>
      <c r="E15" s="100">
        <f>English!F14</f>
        <v>2</v>
      </c>
      <c r="F15" s="100">
        <f>ICT!H14</f>
        <v>3.5</v>
      </c>
      <c r="G15" s="100">
        <f>Physics!H14</f>
        <v>3.5</v>
      </c>
      <c r="H15" s="100">
        <f>Chemistry!H14</f>
        <v>3.5</v>
      </c>
      <c r="I15" s="100">
        <f>Biology!H14</f>
        <v>2</v>
      </c>
      <c r="J15" s="100">
        <f>Math!H14</f>
        <v>0</v>
      </c>
      <c r="K15" s="100">
        <f t="shared" si="0"/>
        <v>1</v>
      </c>
      <c r="L15" s="100">
        <f t="shared" si="0"/>
        <v>1</v>
      </c>
      <c r="M15" s="100">
        <f t="shared" si="0"/>
        <v>1</v>
      </c>
      <c r="N15" s="100">
        <f t="shared" si="0"/>
        <v>1</v>
      </c>
      <c r="O15" s="100">
        <f t="shared" si="0"/>
        <v>1</v>
      </c>
      <c r="P15" s="100">
        <f t="shared" si="0"/>
        <v>1</v>
      </c>
      <c r="Q15" s="100">
        <f t="shared" si="1"/>
        <v>6</v>
      </c>
      <c r="R15" s="100">
        <f t="shared" si="2"/>
        <v>17.5</v>
      </c>
      <c r="S15" s="100">
        <f t="shared" si="3"/>
        <v>17.5</v>
      </c>
      <c r="T15" s="100">
        <f t="shared" si="4"/>
        <v>2.9166666666666665</v>
      </c>
      <c r="U15" s="100" t="str">
        <f t="shared" si="5"/>
        <v>Pass</v>
      </c>
      <c r="V15" s="100">
        <f t="shared" si="6"/>
        <v>2.9166666666666665</v>
      </c>
      <c r="W15" s="100">
        <f>'Detailed Summary'!BK14</f>
        <v>8</v>
      </c>
    </row>
    <row r="16" spans="1:23" ht="18.5" hidden="1" x14ac:dyDescent="0.45">
      <c r="A16" s="100"/>
      <c r="B16" s="100">
        <f>'Student Basic Info'!A15</f>
        <v>714</v>
      </c>
      <c r="C16" s="100" t="str">
        <f>'Student Basic Info'!C15</f>
        <v>Khadijatul Kubra</v>
      </c>
      <c r="D16" s="100">
        <f>Bangla!G15</f>
        <v>3.5</v>
      </c>
      <c r="E16" s="100">
        <f>English!F15</f>
        <v>2</v>
      </c>
      <c r="F16" s="100">
        <f>ICT!H15</f>
        <v>4</v>
      </c>
      <c r="G16" s="100">
        <f>Physics!H15</f>
        <v>3</v>
      </c>
      <c r="H16" s="100">
        <f>Chemistry!H15</f>
        <v>4</v>
      </c>
      <c r="I16" s="100">
        <f>Biology!H15</f>
        <v>3</v>
      </c>
      <c r="J16" s="100">
        <f>Math!H15</f>
        <v>0</v>
      </c>
      <c r="K16" s="100">
        <f t="shared" si="0"/>
        <v>1</v>
      </c>
      <c r="L16" s="100">
        <f t="shared" si="0"/>
        <v>1</v>
      </c>
      <c r="M16" s="100">
        <f t="shared" si="0"/>
        <v>1</v>
      </c>
      <c r="N16" s="100">
        <f t="shared" si="0"/>
        <v>1</v>
      </c>
      <c r="O16" s="100">
        <f t="shared" si="0"/>
        <v>1</v>
      </c>
      <c r="P16" s="100">
        <f t="shared" si="0"/>
        <v>1</v>
      </c>
      <c r="Q16" s="100">
        <f t="shared" si="1"/>
        <v>6</v>
      </c>
      <c r="R16" s="100">
        <f t="shared" si="2"/>
        <v>19.5</v>
      </c>
      <c r="S16" s="100">
        <f t="shared" si="3"/>
        <v>19.5</v>
      </c>
      <c r="T16" s="100">
        <f t="shared" si="4"/>
        <v>3.25</v>
      </c>
      <c r="U16" s="100" t="str">
        <f t="shared" si="5"/>
        <v>Pass</v>
      </c>
      <c r="V16" s="100">
        <f t="shared" si="6"/>
        <v>3.25</v>
      </c>
      <c r="W16" s="100">
        <f>'Detailed Summary'!BK15</f>
        <v>6</v>
      </c>
    </row>
    <row r="17" spans="1:23" ht="18.5" hidden="1" x14ac:dyDescent="0.45">
      <c r="A17" s="100"/>
      <c r="B17" s="100">
        <f>'Student Basic Info'!A16</f>
        <v>715</v>
      </c>
      <c r="C17" s="100" t="str">
        <f>'Student Basic Info'!C16</f>
        <v>Tanjila Islam</v>
      </c>
      <c r="D17" s="100">
        <f>Bangla!G16</f>
        <v>2</v>
      </c>
      <c r="E17" s="100">
        <f>English!F16</f>
        <v>0</v>
      </c>
      <c r="F17" s="100">
        <f>ICT!H16</f>
        <v>0</v>
      </c>
      <c r="G17" s="100">
        <f>Physics!H16</f>
        <v>3</v>
      </c>
      <c r="H17" s="100">
        <f>Chemistry!H16</f>
        <v>3</v>
      </c>
      <c r="I17" s="100">
        <f>Biology!H16</f>
        <v>0</v>
      </c>
      <c r="J17" s="100">
        <f>Math!H16</f>
        <v>0</v>
      </c>
      <c r="K17" s="100">
        <f t="shared" si="0"/>
        <v>1</v>
      </c>
      <c r="L17" s="100">
        <f t="shared" si="0"/>
        <v>0</v>
      </c>
      <c r="M17" s="100">
        <f t="shared" si="0"/>
        <v>0</v>
      </c>
      <c r="N17" s="100">
        <f t="shared" si="0"/>
        <v>1</v>
      </c>
      <c r="O17" s="100">
        <f t="shared" si="0"/>
        <v>1</v>
      </c>
      <c r="P17" s="100">
        <f t="shared" si="0"/>
        <v>0</v>
      </c>
      <c r="Q17" s="100">
        <f t="shared" si="1"/>
        <v>3</v>
      </c>
      <c r="R17" s="100" t="str">
        <f t="shared" si="2"/>
        <v/>
      </c>
      <c r="S17" s="100" t="str">
        <f t="shared" si="3"/>
        <v/>
      </c>
      <c r="T17" s="100" t="str">
        <f t="shared" si="4"/>
        <v/>
      </c>
      <c r="U17" s="100" t="str">
        <f t="shared" si="5"/>
        <v>Failed in 3 Subjects</v>
      </c>
      <c r="V17" s="100" t="str">
        <f t="shared" si="6"/>
        <v/>
      </c>
      <c r="W17" s="100" t="str">
        <f>'Detailed Summary'!BK16</f>
        <v/>
      </c>
    </row>
    <row r="18" spans="1:23" ht="18.5" hidden="1" x14ac:dyDescent="0.45">
      <c r="A18" s="100"/>
      <c r="B18" s="100">
        <f>'Student Basic Info'!A17</f>
        <v>716</v>
      </c>
      <c r="C18" s="100" t="str">
        <f>'Student Basic Info'!C17</f>
        <v>Nazmun Nahar Rikha</v>
      </c>
      <c r="D18" s="100">
        <f>Bangla!G17</f>
        <v>2</v>
      </c>
      <c r="E18" s="100">
        <f>English!F17</f>
        <v>0</v>
      </c>
      <c r="F18" s="100">
        <f>ICT!H17</f>
        <v>0</v>
      </c>
      <c r="G18" s="100">
        <f>Physics!H17</f>
        <v>3</v>
      </c>
      <c r="H18" s="100">
        <f>Chemistry!H17</f>
        <v>3</v>
      </c>
      <c r="I18" s="100">
        <f>Biology!H17</f>
        <v>0</v>
      </c>
      <c r="J18" s="100">
        <f>Math!H17</f>
        <v>0</v>
      </c>
      <c r="K18" s="100">
        <f t="shared" si="0"/>
        <v>1</v>
      </c>
      <c r="L18" s="100">
        <f t="shared" si="0"/>
        <v>0</v>
      </c>
      <c r="M18" s="100">
        <f t="shared" si="0"/>
        <v>0</v>
      </c>
      <c r="N18" s="100">
        <f t="shared" si="0"/>
        <v>1</v>
      </c>
      <c r="O18" s="100">
        <f t="shared" si="0"/>
        <v>1</v>
      </c>
      <c r="P18" s="100">
        <f t="shared" si="0"/>
        <v>0</v>
      </c>
      <c r="Q18" s="100">
        <f t="shared" si="1"/>
        <v>3</v>
      </c>
      <c r="R18" s="100" t="str">
        <f t="shared" si="2"/>
        <v/>
      </c>
      <c r="S18" s="100" t="str">
        <f t="shared" si="3"/>
        <v/>
      </c>
      <c r="T18" s="100" t="str">
        <f t="shared" si="4"/>
        <v/>
      </c>
      <c r="U18" s="100" t="str">
        <f t="shared" si="5"/>
        <v>Failed in 3 Subjects</v>
      </c>
      <c r="V18" s="100" t="str">
        <f t="shared" si="6"/>
        <v/>
      </c>
      <c r="W18" s="100" t="str">
        <f>'Detailed Summary'!BK17</f>
        <v/>
      </c>
    </row>
    <row r="19" spans="1:23" ht="18.5" hidden="1" x14ac:dyDescent="0.45">
      <c r="A19" s="100"/>
      <c r="B19" s="100">
        <f>'Student Basic Info'!A18</f>
        <v>717</v>
      </c>
      <c r="C19" s="100" t="str">
        <f>'Student Basic Info'!C18</f>
        <v xml:space="preserve">Umme Rojina </v>
      </c>
      <c r="D19" s="100">
        <f>Bangla!G18</f>
        <v>3</v>
      </c>
      <c r="E19" s="100">
        <f>English!F18</f>
        <v>0</v>
      </c>
      <c r="F19" s="100">
        <f>ICT!H18</f>
        <v>0</v>
      </c>
      <c r="G19" s="100">
        <f>Physics!H18</f>
        <v>3.5</v>
      </c>
      <c r="H19" s="100">
        <f>Chemistry!H18</f>
        <v>2</v>
      </c>
      <c r="I19" s="100">
        <f>Biology!H18</f>
        <v>0</v>
      </c>
      <c r="J19" s="100" t="str">
        <f>Math!H18</f>
        <v/>
      </c>
      <c r="K19" s="100">
        <f t="shared" si="0"/>
        <v>1</v>
      </c>
      <c r="L19" s="100">
        <f t="shared" si="0"/>
        <v>0</v>
      </c>
      <c r="M19" s="100">
        <f t="shared" si="0"/>
        <v>0</v>
      </c>
      <c r="N19" s="100">
        <f t="shared" si="0"/>
        <v>1</v>
      </c>
      <c r="O19" s="100">
        <f t="shared" si="0"/>
        <v>1</v>
      </c>
      <c r="P19" s="100">
        <f t="shared" si="0"/>
        <v>0</v>
      </c>
      <c r="Q19" s="100">
        <f t="shared" si="1"/>
        <v>3</v>
      </c>
      <c r="R19" s="100" t="str">
        <f t="shared" si="2"/>
        <v/>
      </c>
      <c r="S19" s="100" t="str">
        <f t="shared" si="3"/>
        <v/>
      </c>
      <c r="T19" s="100" t="str">
        <f t="shared" si="4"/>
        <v/>
      </c>
      <c r="U19" s="100" t="str">
        <f t="shared" si="5"/>
        <v>Failed in 3 Subjects</v>
      </c>
      <c r="V19" s="100" t="str">
        <f t="shared" si="6"/>
        <v/>
      </c>
      <c r="W19" s="100" t="str">
        <f>'Detailed Summary'!BK18</f>
        <v/>
      </c>
    </row>
    <row r="20" spans="1:23" ht="18.5" hidden="1" x14ac:dyDescent="0.45">
      <c r="A20" s="100"/>
      <c r="B20" s="100">
        <f>'Student Basic Info'!A19</f>
        <v>718</v>
      </c>
      <c r="C20" s="100" t="str">
        <f>'Student Basic Info'!C19</f>
        <v>Zannatul Ferdaus</v>
      </c>
      <c r="D20" s="100" t="str">
        <f>Bangla!G19</f>
        <v/>
      </c>
      <c r="E20" s="100" t="str">
        <f>English!F19</f>
        <v/>
      </c>
      <c r="F20" s="100" t="str">
        <f>ICT!H19</f>
        <v/>
      </c>
      <c r="G20" s="100" t="str">
        <f>Physics!H19</f>
        <v/>
      </c>
      <c r="H20" s="100" t="str">
        <f>Chemistry!H19</f>
        <v/>
      </c>
      <c r="I20" s="100" t="str">
        <f>Biology!H19</f>
        <v/>
      </c>
      <c r="J20" s="100" t="str">
        <f>Math!H19</f>
        <v/>
      </c>
      <c r="K20" s="100">
        <f t="shared" si="0"/>
        <v>0</v>
      </c>
      <c r="L20" s="100">
        <f t="shared" si="0"/>
        <v>0</v>
      </c>
      <c r="M20" s="100">
        <f t="shared" si="0"/>
        <v>0</v>
      </c>
      <c r="N20" s="100">
        <f t="shared" si="0"/>
        <v>0</v>
      </c>
      <c r="O20" s="100">
        <f t="shared" si="0"/>
        <v>0</v>
      </c>
      <c r="P20" s="100">
        <f t="shared" si="0"/>
        <v>0</v>
      </c>
      <c r="Q20" s="100">
        <f t="shared" si="1"/>
        <v>0</v>
      </c>
      <c r="R20" s="100" t="str">
        <f t="shared" si="2"/>
        <v/>
      </c>
      <c r="S20" s="100" t="str">
        <f t="shared" si="3"/>
        <v/>
      </c>
      <c r="T20" s="100" t="str">
        <f t="shared" si="4"/>
        <v/>
      </c>
      <c r="U20" s="100" t="str">
        <f t="shared" si="5"/>
        <v>Failed in 6 Subjects</v>
      </c>
      <c r="V20" s="100" t="str">
        <f t="shared" si="6"/>
        <v/>
      </c>
      <c r="W20" s="100" t="str">
        <f>'Detailed Summary'!BK19</f>
        <v/>
      </c>
    </row>
    <row r="21" spans="1:23" ht="18.5" x14ac:dyDescent="0.45">
      <c r="A21" s="115">
        <v>3</v>
      </c>
      <c r="B21" s="115">
        <f>'Student Basic Info'!A20</f>
        <v>719</v>
      </c>
      <c r="C21" s="115" t="str">
        <f>'Student Basic Info'!C20</f>
        <v>Shazeda Amin Shuchi</v>
      </c>
      <c r="D21" s="100">
        <f>Bangla!G20</f>
        <v>3</v>
      </c>
      <c r="E21" s="100">
        <f>English!F20</f>
        <v>0</v>
      </c>
      <c r="F21" s="100">
        <f>ICT!H20</f>
        <v>0</v>
      </c>
      <c r="G21" s="100">
        <f>Physics!H20</f>
        <v>3.5</v>
      </c>
      <c r="H21" s="100">
        <f>Chemistry!H20</f>
        <v>3</v>
      </c>
      <c r="I21" s="100">
        <f>Biology!H20</f>
        <v>0</v>
      </c>
      <c r="J21" s="100">
        <f>Math!H20</f>
        <v>0</v>
      </c>
      <c r="K21" s="100">
        <f t="shared" si="0"/>
        <v>1</v>
      </c>
      <c r="L21" s="100">
        <f t="shared" si="0"/>
        <v>0</v>
      </c>
      <c r="M21" s="100">
        <f t="shared" si="0"/>
        <v>0</v>
      </c>
      <c r="N21" s="100">
        <f t="shared" si="0"/>
        <v>1</v>
      </c>
      <c r="O21" s="100">
        <f t="shared" si="0"/>
        <v>1</v>
      </c>
      <c r="P21" s="100">
        <f t="shared" si="0"/>
        <v>0</v>
      </c>
      <c r="Q21" s="100">
        <f t="shared" si="1"/>
        <v>3</v>
      </c>
      <c r="R21" s="100" t="str">
        <f t="shared" si="2"/>
        <v/>
      </c>
      <c r="S21" s="100" t="str">
        <f t="shared" si="3"/>
        <v/>
      </c>
      <c r="T21" s="100" t="str">
        <f t="shared" si="4"/>
        <v/>
      </c>
      <c r="U21" s="115" t="str">
        <f t="shared" si="5"/>
        <v>Failed in 3 Subjects</v>
      </c>
      <c r="V21" s="115" t="str">
        <f t="shared" si="6"/>
        <v/>
      </c>
      <c r="W21" s="115" t="str">
        <f>'Detailed Summary'!BK20</f>
        <v/>
      </c>
    </row>
    <row r="22" spans="1:23" ht="18.5" hidden="1" x14ac:dyDescent="0.45">
      <c r="A22" s="100"/>
      <c r="B22" s="100">
        <f>'Student Basic Info'!A21</f>
        <v>720</v>
      </c>
      <c r="C22" s="100" t="str">
        <f>'Student Basic Info'!C21</f>
        <v>Farzana Aktar</v>
      </c>
      <c r="D22" s="100">
        <f>Bangla!G21</f>
        <v>3</v>
      </c>
      <c r="E22" s="100">
        <f>English!F21</f>
        <v>0</v>
      </c>
      <c r="F22" s="100">
        <f>ICT!H21</f>
        <v>0</v>
      </c>
      <c r="G22" s="100">
        <f>Physics!H21</f>
        <v>3</v>
      </c>
      <c r="H22" s="100">
        <f>Chemistry!H21</f>
        <v>0</v>
      </c>
      <c r="I22" s="100">
        <f>Biology!H21</f>
        <v>0</v>
      </c>
      <c r="J22" s="100">
        <f>Math!H21</f>
        <v>0</v>
      </c>
      <c r="K22" s="100">
        <f t="shared" si="0"/>
        <v>1</v>
      </c>
      <c r="L22" s="100">
        <f t="shared" si="0"/>
        <v>0</v>
      </c>
      <c r="M22" s="100">
        <f t="shared" si="0"/>
        <v>0</v>
      </c>
      <c r="N22" s="100">
        <f t="shared" si="0"/>
        <v>1</v>
      </c>
      <c r="O22" s="100">
        <f t="shared" si="0"/>
        <v>0</v>
      </c>
      <c r="P22" s="100">
        <f t="shared" si="0"/>
        <v>0</v>
      </c>
      <c r="Q22" s="100">
        <f t="shared" si="1"/>
        <v>2</v>
      </c>
      <c r="R22" s="100" t="str">
        <f t="shared" si="2"/>
        <v/>
      </c>
      <c r="S22" s="100" t="str">
        <f t="shared" si="3"/>
        <v/>
      </c>
      <c r="T22" s="100" t="str">
        <f t="shared" si="4"/>
        <v/>
      </c>
      <c r="U22" s="100" t="str">
        <f t="shared" si="5"/>
        <v>Failed in 4 Subjects</v>
      </c>
      <c r="V22" s="100" t="str">
        <f t="shared" si="6"/>
        <v/>
      </c>
      <c r="W22" s="100" t="str">
        <f>'Detailed Summary'!BK21</f>
        <v/>
      </c>
    </row>
    <row r="23" spans="1:23" ht="18.5" hidden="1" x14ac:dyDescent="0.45">
      <c r="A23" s="100"/>
      <c r="B23" s="100">
        <f>'Student Basic Info'!A22</f>
        <v>721</v>
      </c>
      <c r="C23" s="100" t="str">
        <f>'Student Basic Info'!C22</f>
        <v>Nowrin Faiza Niduwa</v>
      </c>
      <c r="D23" s="100" t="str">
        <f>Bangla!G22</f>
        <v/>
      </c>
      <c r="E23" s="100" t="str">
        <f>English!F22</f>
        <v/>
      </c>
      <c r="F23" s="100" t="str">
        <f>ICT!H22</f>
        <v/>
      </c>
      <c r="G23" s="100" t="str">
        <f>Physics!H22</f>
        <v/>
      </c>
      <c r="H23" s="100" t="str">
        <f>Chemistry!H22</f>
        <v/>
      </c>
      <c r="I23" s="100" t="str">
        <f>Biology!H22</f>
        <v/>
      </c>
      <c r="J23" s="100" t="str">
        <f>Math!H22</f>
        <v/>
      </c>
      <c r="K23" s="100">
        <f t="shared" si="0"/>
        <v>0</v>
      </c>
      <c r="L23" s="100">
        <f t="shared" si="0"/>
        <v>0</v>
      </c>
      <c r="M23" s="100">
        <f t="shared" si="0"/>
        <v>0</v>
      </c>
      <c r="N23" s="100">
        <f t="shared" si="0"/>
        <v>0</v>
      </c>
      <c r="O23" s="100">
        <f t="shared" si="0"/>
        <v>0</v>
      </c>
      <c r="P23" s="100">
        <f t="shared" si="0"/>
        <v>0</v>
      </c>
      <c r="Q23" s="100">
        <f t="shared" si="1"/>
        <v>0</v>
      </c>
      <c r="R23" s="100" t="str">
        <f t="shared" si="2"/>
        <v/>
      </c>
      <c r="S23" s="100" t="str">
        <f t="shared" si="3"/>
        <v/>
      </c>
      <c r="T23" s="100" t="str">
        <f t="shared" si="4"/>
        <v/>
      </c>
      <c r="U23" s="100" t="str">
        <f t="shared" si="5"/>
        <v>Failed in 6 Subjects</v>
      </c>
      <c r="V23" s="100" t="str">
        <f t="shared" si="6"/>
        <v/>
      </c>
      <c r="W23" s="100" t="str">
        <f>'Detailed Summary'!BK22</f>
        <v/>
      </c>
    </row>
    <row r="24" spans="1:23" ht="18.5" x14ac:dyDescent="0.45">
      <c r="A24" s="115">
        <v>4</v>
      </c>
      <c r="B24" s="115">
        <f>'Student Basic Info'!A23</f>
        <v>722</v>
      </c>
      <c r="C24" s="115" t="str">
        <f>'Student Basic Info'!C23</f>
        <v>Mahmudau Rahman Munna</v>
      </c>
      <c r="D24" s="100">
        <f>Bangla!G23</f>
        <v>3</v>
      </c>
      <c r="E24" s="100">
        <f>English!F23</f>
        <v>2</v>
      </c>
      <c r="F24" s="100">
        <f>ICT!H23</f>
        <v>0</v>
      </c>
      <c r="G24" s="100">
        <f>Physics!H23</f>
        <v>0</v>
      </c>
      <c r="H24" s="100">
        <f>Chemistry!H23</f>
        <v>0</v>
      </c>
      <c r="I24" s="100">
        <f>Biology!H23</f>
        <v>0</v>
      </c>
      <c r="J24" s="100">
        <f>Math!H23</f>
        <v>0</v>
      </c>
      <c r="K24" s="100">
        <f t="shared" si="0"/>
        <v>1</v>
      </c>
      <c r="L24" s="100">
        <f t="shared" si="0"/>
        <v>1</v>
      </c>
      <c r="M24" s="100">
        <f t="shared" si="0"/>
        <v>0</v>
      </c>
      <c r="N24" s="100">
        <f t="shared" si="0"/>
        <v>0</v>
      </c>
      <c r="O24" s="100">
        <f t="shared" si="0"/>
        <v>0</v>
      </c>
      <c r="P24" s="100">
        <f t="shared" si="0"/>
        <v>0</v>
      </c>
      <c r="Q24" s="100">
        <f t="shared" si="1"/>
        <v>2</v>
      </c>
      <c r="R24" s="100" t="str">
        <f t="shared" si="2"/>
        <v/>
      </c>
      <c r="S24" s="100" t="str">
        <f t="shared" si="3"/>
        <v/>
      </c>
      <c r="T24" s="100" t="str">
        <f t="shared" si="4"/>
        <v/>
      </c>
      <c r="U24" s="115" t="str">
        <f t="shared" si="5"/>
        <v>Failed in 4 Subjects</v>
      </c>
      <c r="V24" s="115" t="str">
        <f t="shared" si="6"/>
        <v/>
      </c>
      <c r="W24" s="115" t="str">
        <f>'Detailed Summary'!BK23</f>
        <v/>
      </c>
    </row>
    <row r="25" spans="1:23" ht="18.5" hidden="1" x14ac:dyDescent="0.45">
      <c r="A25" s="100"/>
      <c r="B25" s="100">
        <f>'Student Basic Info'!A24</f>
        <v>723</v>
      </c>
      <c r="C25" s="100" t="str">
        <f>'Student Basic Info'!C24</f>
        <v>Shamsuzzaman</v>
      </c>
      <c r="D25" s="100">
        <f>Bangla!G24</f>
        <v>4</v>
      </c>
      <c r="E25" s="100">
        <f>English!F24</f>
        <v>3.5</v>
      </c>
      <c r="F25" s="100">
        <f>ICT!H24</f>
        <v>5</v>
      </c>
      <c r="G25" s="100">
        <f>Physics!H24</f>
        <v>5</v>
      </c>
      <c r="H25" s="100">
        <f>Chemistry!H24</f>
        <v>5</v>
      </c>
      <c r="I25" s="100">
        <f>Biology!H24</f>
        <v>4</v>
      </c>
      <c r="J25" s="100">
        <f>Math!H24</f>
        <v>5</v>
      </c>
      <c r="K25" s="100">
        <f t="shared" si="0"/>
        <v>1</v>
      </c>
      <c r="L25" s="100">
        <f t="shared" si="0"/>
        <v>1</v>
      </c>
      <c r="M25" s="100">
        <f t="shared" si="0"/>
        <v>1</v>
      </c>
      <c r="N25" s="100">
        <f t="shared" si="0"/>
        <v>1</v>
      </c>
      <c r="O25" s="100">
        <f t="shared" si="0"/>
        <v>1</v>
      </c>
      <c r="P25" s="100">
        <f t="shared" si="0"/>
        <v>1</v>
      </c>
      <c r="Q25" s="100">
        <f t="shared" si="1"/>
        <v>6</v>
      </c>
      <c r="R25" s="100">
        <f t="shared" si="2"/>
        <v>26.5</v>
      </c>
      <c r="S25" s="100">
        <f t="shared" si="3"/>
        <v>31.5</v>
      </c>
      <c r="T25" s="100">
        <f t="shared" si="4"/>
        <v>4.416666666666667</v>
      </c>
      <c r="U25" s="100" t="str">
        <f t="shared" si="5"/>
        <v>Pass</v>
      </c>
      <c r="V25" s="100">
        <f t="shared" si="6"/>
        <v>5</v>
      </c>
      <c r="W25" s="100">
        <f>'Detailed Summary'!BK24</f>
        <v>1</v>
      </c>
    </row>
    <row r="26" spans="1:23" ht="18.5" hidden="1" x14ac:dyDescent="0.45">
      <c r="A26" s="100"/>
      <c r="B26" s="100">
        <f>'Student Basic Info'!A25</f>
        <v>724</v>
      </c>
      <c r="C26" s="100" t="str">
        <f>'Student Basic Info'!C25</f>
        <v>Dipto Chandra Das</v>
      </c>
      <c r="D26" s="100">
        <f>Bangla!G25</f>
        <v>2</v>
      </c>
      <c r="E26" s="100">
        <f>English!F25</f>
        <v>1</v>
      </c>
      <c r="F26" s="100">
        <f>ICT!H25</f>
        <v>0</v>
      </c>
      <c r="G26" s="100">
        <f>Physics!H25</f>
        <v>2</v>
      </c>
      <c r="H26" s="100">
        <f>Chemistry!H25</f>
        <v>3</v>
      </c>
      <c r="I26" s="100">
        <f>Biology!H25</f>
        <v>0</v>
      </c>
      <c r="J26" s="100">
        <f>Math!H25</f>
        <v>0</v>
      </c>
      <c r="K26" s="100">
        <f t="shared" si="0"/>
        <v>1</v>
      </c>
      <c r="L26" s="100">
        <f t="shared" si="0"/>
        <v>1</v>
      </c>
      <c r="M26" s="100">
        <f t="shared" si="0"/>
        <v>0</v>
      </c>
      <c r="N26" s="100">
        <f t="shared" si="0"/>
        <v>1</v>
      </c>
      <c r="O26" s="100">
        <f t="shared" si="0"/>
        <v>1</v>
      </c>
      <c r="P26" s="100">
        <f t="shared" si="0"/>
        <v>0</v>
      </c>
      <c r="Q26" s="100">
        <f t="shared" si="1"/>
        <v>4</v>
      </c>
      <c r="R26" s="100" t="str">
        <f t="shared" si="2"/>
        <v/>
      </c>
      <c r="S26" s="100" t="str">
        <f t="shared" si="3"/>
        <v/>
      </c>
      <c r="T26" s="100" t="str">
        <f t="shared" si="4"/>
        <v/>
      </c>
      <c r="U26" s="100" t="str">
        <f t="shared" si="5"/>
        <v>Failed in 2 Subjects</v>
      </c>
      <c r="V26" s="100" t="str">
        <f t="shared" si="6"/>
        <v/>
      </c>
      <c r="W26" s="100" t="str">
        <f>'Detailed Summary'!BK25</f>
        <v/>
      </c>
    </row>
    <row r="27" spans="1:23" ht="18.5" x14ac:dyDescent="0.45">
      <c r="A27" s="115">
        <v>5</v>
      </c>
      <c r="B27" s="115">
        <f>'Student Basic Info'!A26</f>
        <v>725</v>
      </c>
      <c r="C27" s="115" t="str">
        <f>'Student Basic Info'!C26</f>
        <v>Shorfuddin Nayem</v>
      </c>
      <c r="D27" s="100">
        <f>Bangla!G26</f>
        <v>2</v>
      </c>
      <c r="E27" s="100">
        <f>English!F26</f>
        <v>1</v>
      </c>
      <c r="F27" s="100">
        <f>ICT!H26</f>
        <v>0</v>
      </c>
      <c r="G27" s="100">
        <f>Physics!H26</f>
        <v>2</v>
      </c>
      <c r="H27" s="100">
        <f>Chemistry!H26</f>
        <v>0</v>
      </c>
      <c r="I27" s="100">
        <f>Biology!H26</f>
        <v>0</v>
      </c>
      <c r="J27" s="100">
        <f>Math!H26</f>
        <v>0</v>
      </c>
      <c r="K27" s="100">
        <f t="shared" si="0"/>
        <v>1</v>
      </c>
      <c r="L27" s="100">
        <f t="shared" si="0"/>
        <v>1</v>
      </c>
      <c r="M27" s="100">
        <f t="shared" si="0"/>
        <v>0</v>
      </c>
      <c r="N27" s="100">
        <f t="shared" si="0"/>
        <v>1</v>
      </c>
      <c r="O27" s="100">
        <f t="shared" si="0"/>
        <v>0</v>
      </c>
      <c r="P27" s="100">
        <f t="shared" si="0"/>
        <v>0</v>
      </c>
      <c r="Q27" s="100">
        <f t="shared" si="1"/>
        <v>3</v>
      </c>
      <c r="R27" s="100" t="str">
        <f t="shared" si="2"/>
        <v/>
      </c>
      <c r="S27" s="100" t="str">
        <f t="shared" si="3"/>
        <v/>
      </c>
      <c r="T27" s="100" t="str">
        <f t="shared" si="4"/>
        <v/>
      </c>
      <c r="U27" s="115" t="str">
        <f t="shared" si="5"/>
        <v>Failed in 3 Subjects</v>
      </c>
      <c r="V27" s="115" t="str">
        <f t="shared" si="6"/>
        <v/>
      </c>
      <c r="W27" s="115" t="str">
        <f>'Detailed Summary'!BK26</f>
        <v/>
      </c>
    </row>
    <row r="28" spans="1:23" ht="18.5" hidden="1" x14ac:dyDescent="0.45">
      <c r="A28" s="100"/>
      <c r="B28" s="100">
        <f>'Student Basic Info'!A27</f>
        <v>726</v>
      </c>
      <c r="C28" s="100" t="str">
        <f>'Student Basic Info'!C27</f>
        <v>Mosaddek Ali</v>
      </c>
      <c r="D28" s="100" t="str">
        <f>Bangla!G27</f>
        <v/>
      </c>
      <c r="E28" s="100" t="str">
        <f>English!F27</f>
        <v/>
      </c>
      <c r="F28" s="100" t="str">
        <f>ICT!H27</f>
        <v/>
      </c>
      <c r="G28" s="100" t="str">
        <f>Physics!H27</f>
        <v/>
      </c>
      <c r="H28" s="100" t="str">
        <f>Chemistry!H27</f>
        <v/>
      </c>
      <c r="I28" s="100" t="str">
        <f>Biology!H27</f>
        <v/>
      </c>
      <c r="J28" s="100" t="str">
        <f>Math!H27</f>
        <v/>
      </c>
      <c r="K28" s="100">
        <f t="shared" si="0"/>
        <v>0</v>
      </c>
      <c r="L28" s="100">
        <f t="shared" si="0"/>
        <v>0</v>
      </c>
      <c r="M28" s="100">
        <f t="shared" si="0"/>
        <v>0</v>
      </c>
      <c r="N28" s="100">
        <f t="shared" si="0"/>
        <v>0</v>
      </c>
      <c r="O28" s="100">
        <f t="shared" si="0"/>
        <v>0</v>
      </c>
      <c r="P28" s="100">
        <f t="shared" si="0"/>
        <v>0</v>
      </c>
      <c r="Q28" s="100">
        <f t="shared" si="1"/>
        <v>0</v>
      </c>
      <c r="R28" s="100" t="str">
        <f t="shared" si="2"/>
        <v/>
      </c>
      <c r="S28" s="100" t="str">
        <f t="shared" si="3"/>
        <v/>
      </c>
      <c r="T28" s="100" t="str">
        <f t="shared" si="4"/>
        <v/>
      </c>
      <c r="U28" s="100" t="str">
        <f t="shared" si="5"/>
        <v>Failed in 6 Subjects</v>
      </c>
      <c r="V28" s="100" t="str">
        <f t="shared" si="6"/>
        <v/>
      </c>
      <c r="W28" s="100" t="str">
        <f>'Detailed Summary'!BK27</f>
        <v/>
      </c>
    </row>
    <row r="29" spans="1:23" ht="18.5" hidden="1" x14ac:dyDescent="0.45">
      <c r="A29" s="100"/>
      <c r="B29" s="100">
        <f>'Student Basic Info'!A28</f>
        <v>727</v>
      </c>
      <c r="C29" s="100" t="str">
        <f>'Student Basic Info'!C28</f>
        <v>Fahmida Sultana</v>
      </c>
      <c r="D29" s="100">
        <f>Bangla!G28</f>
        <v>3.5</v>
      </c>
      <c r="E29" s="100">
        <f>English!F28</f>
        <v>1</v>
      </c>
      <c r="F29" s="100">
        <f>ICT!H28</f>
        <v>5</v>
      </c>
      <c r="G29" s="100">
        <f>Physics!H28</f>
        <v>3.5</v>
      </c>
      <c r="H29" s="100">
        <f>Chemistry!H28</f>
        <v>2</v>
      </c>
      <c r="I29" s="100">
        <f>Biology!H28</f>
        <v>2</v>
      </c>
      <c r="J29" s="100">
        <f>Math!H28</f>
        <v>0</v>
      </c>
      <c r="K29" s="100">
        <f t="shared" si="0"/>
        <v>1</v>
      </c>
      <c r="L29" s="100">
        <f t="shared" si="0"/>
        <v>1</v>
      </c>
      <c r="M29" s="100">
        <f t="shared" si="0"/>
        <v>1</v>
      </c>
      <c r="N29" s="100">
        <f t="shared" si="0"/>
        <v>1</v>
      </c>
      <c r="O29" s="100">
        <f t="shared" si="0"/>
        <v>1</v>
      </c>
      <c r="P29" s="100">
        <f t="shared" si="0"/>
        <v>1</v>
      </c>
      <c r="Q29" s="100">
        <f t="shared" si="1"/>
        <v>6</v>
      </c>
      <c r="R29" s="100">
        <f t="shared" si="2"/>
        <v>17</v>
      </c>
      <c r="S29" s="100">
        <f t="shared" si="3"/>
        <v>17</v>
      </c>
      <c r="T29" s="100">
        <f t="shared" si="4"/>
        <v>2.8333333333333335</v>
      </c>
      <c r="U29" s="100" t="str">
        <f t="shared" si="5"/>
        <v>Pass</v>
      </c>
      <c r="V29" s="100">
        <f t="shared" si="6"/>
        <v>2.8333333333333335</v>
      </c>
      <c r="W29" s="100">
        <f>'Detailed Summary'!BK28</f>
        <v>9</v>
      </c>
    </row>
    <row r="30" spans="1:23" ht="18.5" hidden="1" x14ac:dyDescent="0.45">
      <c r="A30" s="100"/>
      <c r="B30" s="100">
        <f>'Student Basic Info'!A29</f>
        <v>728</v>
      </c>
      <c r="C30" s="100" t="str">
        <f>'Student Basic Info'!C29</f>
        <v>Aditya Chandra Das (Akash)</v>
      </c>
      <c r="D30" s="100">
        <f>Bangla!G29</f>
        <v>2</v>
      </c>
      <c r="E30" s="100">
        <f>English!F29</f>
        <v>0</v>
      </c>
      <c r="F30" s="100">
        <f>ICT!H29</f>
        <v>0</v>
      </c>
      <c r="G30" s="100">
        <f>Physics!H29</f>
        <v>2</v>
      </c>
      <c r="H30" s="100">
        <f>Chemistry!H29</f>
        <v>3</v>
      </c>
      <c r="I30" s="100">
        <f>Biology!H29</f>
        <v>0</v>
      </c>
      <c r="J30" s="100">
        <f>Math!H29</f>
        <v>0</v>
      </c>
      <c r="K30" s="100">
        <f t="shared" si="0"/>
        <v>1</v>
      </c>
      <c r="L30" s="100">
        <f t="shared" si="0"/>
        <v>0</v>
      </c>
      <c r="M30" s="100">
        <f t="shared" si="0"/>
        <v>0</v>
      </c>
      <c r="N30" s="100">
        <f t="shared" si="0"/>
        <v>1</v>
      </c>
      <c r="O30" s="100">
        <f t="shared" si="0"/>
        <v>1</v>
      </c>
      <c r="P30" s="100">
        <f t="shared" si="0"/>
        <v>0</v>
      </c>
      <c r="Q30" s="100">
        <f t="shared" si="1"/>
        <v>3</v>
      </c>
      <c r="R30" s="100" t="str">
        <f t="shared" si="2"/>
        <v/>
      </c>
      <c r="S30" s="100" t="str">
        <f t="shared" si="3"/>
        <v/>
      </c>
      <c r="T30" s="100" t="str">
        <f t="shared" si="4"/>
        <v/>
      </c>
      <c r="U30" s="100" t="str">
        <f t="shared" si="5"/>
        <v>Failed in 3 Subjects</v>
      </c>
      <c r="V30" s="100" t="str">
        <f t="shared" si="6"/>
        <v/>
      </c>
      <c r="W30" s="100" t="str">
        <f>'Detailed Summary'!BK29</f>
        <v/>
      </c>
    </row>
    <row r="31" spans="1:23" ht="18.5" hidden="1" x14ac:dyDescent="0.45">
      <c r="A31" s="100"/>
      <c r="B31" s="100">
        <f>'Student Basic Info'!A30</f>
        <v>729</v>
      </c>
      <c r="C31" s="100" t="str">
        <f>'Student Basic Info'!C30</f>
        <v>Golam Kibriya</v>
      </c>
      <c r="D31" s="100">
        <f>Bangla!G30</f>
        <v>1</v>
      </c>
      <c r="E31" s="100">
        <f>English!F30</f>
        <v>0</v>
      </c>
      <c r="F31" s="100">
        <f>ICT!H30</f>
        <v>0</v>
      </c>
      <c r="G31" s="100">
        <f>Physics!H30</f>
        <v>0</v>
      </c>
      <c r="H31" s="100">
        <f>Chemistry!H30</f>
        <v>0</v>
      </c>
      <c r="I31" s="100">
        <f>Biology!H30</f>
        <v>0</v>
      </c>
      <c r="J31" s="100">
        <f>Math!H30</f>
        <v>0</v>
      </c>
      <c r="K31" s="100">
        <f t="shared" si="0"/>
        <v>1</v>
      </c>
      <c r="L31" s="100">
        <f t="shared" si="0"/>
        <v>0</v>
      </c>
      <c r="M31" s="100">
        <f t="shared" si="0"/>
        <v>0</v>
      </c>
      <c r="N31" s="100">
        <f t="shared" si="0"/>
        <v>0</v>
      </c>
      <c r="O31" s="100">
        <f t="shared" si="0"/>
        <v>0</v>
      </c>
      <c r="P31" s="100">
        <f t="shared" si="0"/>
        <v>0</v>
      </c>
      <c r="Q31" s="100">
        <f t="shared" si="1"/>
        <v>1</v>
      </c>
      <c r="R31" s="100" t="str">
        <f t="shared" si="2"/>
        <v/>
      </c>
      <c r="S31" s="100" t="str">
        <f t="shared" si="3"/>
        <v/>
      </c>
      <c r="T31" s="100" t="str">
        <f t="shared" si="4"/>
        <v/>
      </c>
      <c r="U31" s="100" t="str">
        <f t="shared" si="5"/>
        <v>Failed in 5 Subjects</v>
      </c>
      <c r="V31" s="100" t="str">
        <f t="shared" si="6"/>
        <v/>
      </c>
      <c r="W31" s="100" t="str">
        <f>'Detailed Summary'!BK30</f>
        <v/>
      </c>
    </row>
    <row r="32" spans="1:23" ht="18.5" hidden="1" x14ac:dyDescent="0.45">
      <c r="A32" s="100"/>
      <c r="B32" s="100">
        <f>'Student Basic Info'!A31</f>
        <v>730</v>
      </c>
      <c r="C32" s="100" t="str">
        <f>'Student Basic Info'!C31</f>
        <v>Fahmidul Alam Abhi</v>
      </c>
      <c r="D32" s="100">
        <f>Bangla!G31</f>
        <v>1</v>
      </c>
      <c r="E32" s="100">
        <f>English!F31</f>
        <v>0</v>
      </c>
      <c r="F32" s="100">
        <f>ICT!H31</f>
        <v>0</v>
      </c>
      <c r="G32" s="100">
        <f>Physics!H31</f>
        <v>0</v>
      </c>
      <c r="H32" s="100">
        <f>Chemistry!H31</f>
        <v>0</v>
      </c>
      <c r="I32" s="100">
        <f>Biology!H31</f>
        <v>0</v>
      </c>
      <c r="J32" s="100">
        <f>Math!H31</f>
        <v>0</v>
      </c>
      <c r="K32" s="100">
        <f t="shared" si="0"/>
        <v>1</v>
      </c>
      <c r="L32" s="100">
        <f t="shared" si="0"/>
        <v>0</v>
      </c>
      <c r="M32" s="100">
        <f t="shared" si="0"/>
        <v>0</v>
      </c>
      <c r="N32" s="100">
        <f t="shared" si="0"/>
        <v>0</v>
      </c>
      <c r="O32" s="100">
        <f t="shared" si="0"/>
        <v>0</v>
      </c>
      <c r="P32" s="100">
        <f t="shared" si="0"/>
        <v>0</v>
      </c>
      <c r="Q32" s="100">
        <f t="shared" si="1"/>
        <v>1</v>
      </c>
      <c r="R32" s="100" t="str">
        <f t="shared" si="2"/>
        <v/>
      </c>
      <c r="S32" s="100" t="str">
        <f t="shared" si="3"/>
        <v/>
      </c>
      <c r="T32" s="100" t="str">
        <f t="shared" si="4"/>
        <v/>
      </c>
      <c r="U32" s="100" t="str">
        <f t="shared" si="5"/>
        <v>Failed in 5 Subjects</v>
      </c>
      <c r="V32" s="100" t="str">
        <f t="shared" si="6"/>
        <v/>
      </c>
      <c r="W32" s="100" t="str">
        <f>'Detailed Summary'!BK31</f>
        <v/>
      </c>
    </row>
    <row r="33" spans="1:23" ht="18.5" hidden="1" x14ac:dyDescent="0.45">
      <c r="A33" s="100"/>
      <c r="B33" s="100">
        <f>'Student Basic Info'!A32</f>
        <v>731</v>
      </c>
      <c r="C33" s="100" t="str">
        <f>'Student Basic Info'!C32</f>
        <v>Lurpur Nahar</v>
      </c>
      <c r="D33" s="100">
        <f>Bangla!G32</f>
        <v>3</v>
      </c>
      <c r="E33" s="100">
        <f>English!F32</f>
        <v>0</v>
      </c>
      <c r="F33" s="100">
        <f>ICT!H32</f>
        <v>0</v>
      </c>
      <c r="G33" s="100">
        <f>Physics!H32</f>
        <v>3</v>
      </c>
      <c r="H33" s="100">
        <f>Chemistry!H32</f>
        <v>0</v>
      </c>
      <c r="I33" s="100">
        <f>Biology!H32</f>
        <v>0</v>
      </c>
      <c r="J33" s="100">
        <f>Math!H32</f>
        <v>0</v>
      </c>
      <c r="K33" s="100">
        <f t="shared" si="0"/>
        <v>1</v>
      </c>
      <c r="L33" s="100">
        <f t="shared" si="0"/>
        <v>0</v>
      </c>
      <c r="M33" s="100">
        <f t="shared" si="0"/>
        <v>0</v>
      </c>
      <c r="N33" s="100">
        <f t="shared" si="0"/>
        <v>1</v>
      </c>
      <c r="O33" s="100">
        <f t="shared" si="0"/>
        <v>0</v>
      </c>
      <c r="P33" s="100">
        <f t="shared" si="0"/>
        <v>0</v>
      </c>
      <c r="Q33" s="100">
        <f t="shared" si="1"/>
        <v>2</v>
      </c>
      <c r="R33" s="100" t="str">
        <f t="shared" si="2"/>
        <v/>
      </c>
      <c r="S33" s="100" t="str">
        <f t="shared" si="3"/>
        <v/>
      </c>
      <c r="T33" s="100" t="str">
        <f t="shared" si="4"/>
        <v/>
      </c>
      <c r="U33" s="100" t="str">
        <f t="shared" si="5"/>
        <v>Failed in 4 Subjects</v>
      </c>
      <c r="V33" s="100" t="str">
        <f t="shared" si="6"/>
        <v/>
      </c>
      <c r="W33" s="100" t="str">
        <f>'Detailed Summary'!BK32</f>
        <v/>
      </c>
    </row>
    <row r="34" spans="1:23" ht="18.5" hidden="1" x14ac:dyDescent="0.45">
      <c r="A34" s="100"/>
      <c r="B34" s="100">
        <f>'Student Basic Info'!A33</f>
        <v>732</v>
      </c>
      <c r="C34" s="100" t="str">
        <f>'Student Basic Info'!C33</f>
        <v>Shezanul Bahar Alvi</v>
      </c>
      <c r="D34" s="100">
        <f>Bangla!G33</f>
        <v>1</v>
      </c>
      <c r="E34" s="100">
        <f>English!F33</f>
        <v>0</v>
      </c>
      <c r="F34" s="100">
        <f>ICT!H33</f>
        <v>0</v>
      </c>
      <c r="G34" s="100" t="str">
        <f>Physics!H33</f>
        <v/>
      </c>
      <c r="H34" s="100">
        <f>Chemistry!H33</f>
        <v>1</v>
      </c>
      <c r="I34" s="100">
        <f>Biology!H33</f>
        <v>0</v>
      </c>
      <c r="J34" s="100">
        <f>Math!H33</f>
        <v>0</v>
      </c>
      <c r="K34" s="100">
        <f t="shared" si="0"/>
        <v>1</v>
      </c>
      <c r="L34" s="100">
        <f t="shared" si="0"/>
        <v>0</v>
      </c>
      <c r="M34" s="100">
        <f t="shared" si="0"/>
        <v>0</v>
      </c>
      <c r="N34" s="100">
        <f t="shared" si="0"/>
        <v>0</v>
      </c>
      <c r="O34" s="100">
        <f t="shared" si="0"/>
        <v>1</v>
      </c>
      <c r="P34" s="100">
        <f t="shared" si="0"/>
        <v>0</v>
      </c>
      <c r="Q34" s="100">
        <f t="shared" si="1"/>
        <v>2</v>
      </c>
      <c r="R34" s="100" t="str">
        <f t="shared" si="2"/>
        <v/>
      </c>
      <c r="S34" s="100" t="str">
        <f t="shared" si="3"/>
        <v/>
      </c>
      <c r="T34" s="100" t="str">
        <f t="shared" si="4"/>
        <v/>
      </c>
      <c r="U34" s="100" t="str">
        <f t="shared" si="5"/>
        <v>Failed in 4 Subjects</v>
      </c>
      <c r="V34" s="100" t="str">
        <f t="shared" si="6"/>
        <v/>
      </c>
      <c r="W34" s="100" t="str">
        <f>'Detailed Summary'!BK33</f>
        <v/>
      </c>
    </row>
    <row r="35" spans="1:23" ht="18.5" hidden="1" x14ac:dyDescent="0.45">
      <c r="A35" s="100"/>
      <c r="B35" s="100">
        <f>'Student Basic Info'!A34</f>
        <v>733</v>
      </c>
      <c r="C35" s="100" t="str">
        <f>'Student Basic Info'!C34</f>
        <v>Shadiya Bahar</v>
      </c>
      <c r="D35" s="100">
        <f>Bangla!G34</f>
        <v>2</v>
      </c>
      <c r="E35" s="100">
        <f>English!F34</f>
        <v>1</v>
      </c>
      <c r="F35" s="100">
        <f>ICT!H34</f>
        <v>0</v>
      </c>
      <c r="G35" s="100">
        <f>Physics!H34</f>
        <v>0</v>
      </c>
      <c r="H35" s="100">
        <f>Chemistry!H34</f>
        <v>0</v>
      </c>
      <c r="I35" s="100">
        <f>Biology!H34</f>
        <v>0</v>
      </c>
      <c r="J35" s="100">
        <f>Math!H34</f>
        <v>0</v>
      </c>
      <c r="K35" s="100">
        <f t="shared" ref="K35:P66" si="7">(IF(D35="",0,IF(D35=0,0,1)))</f>
        <v>1</v>
      </c>
      <c r="L35" s="100">
        <f t="shared" si="7"/>
        <v>1</v>
      </c>
      <c r="M35" s="100">
        <f t="shared" si="7"/>
        <v>0</v>
      </c>
      <c r="N35" s="100">
        <f t="shared" si="7"/>
        <v>0</v>
      </c>
      <c r="O35" s="100">
        <f t="shared" si="7"/>
        <v>0</v>
      </c>
      <c r="P35" s="100">
        <f t="shared" si="7"/>
        <v>0</v>
      </c>
      <c r="Q35" s="100">
        <f t="shared" si="1"/>
        <v>2</v>
      </c>
      <c r="R35" s="100" t="str">
        <f t="shared" ref="R35:R66" si="8">IF(OR(D35=0,E35=0,F35=0,G35=0,H35=0,I35=0,D35="",E35="",F35="",G35="",H35="",I35=""),"",SUM(D35:I35))</f>
        <v/>
      </c>
      <c r="S35" s="100" t="str">
        <f t="shared" si="3"/>
        <v/>
      </c>
      <c r="T35" s="100" t="str">
        <f t="shared" si="4"/>
        <v/>
      </c>
      <c r="U35" s="100" t="str">
        <f t="shared" si="5"/>
        <v>Failed in 4 Subjects</v>
      </c>
      <c r="V35" s="100" t="str">
        <f t="shared" si="6"/>
        <v/>
      </c>
      <c r="W35" s="100" t="str">
        <f>'Detailed Summary'!BK34</f>
        <v/>
      </c>
    </row>
    <row r="36" spans="1:23" ht="18.5" x14ac:dyDescent="0.45">
      <c r="A36" s="115">
        <v>6</v>
      </c>
      <c r="B36" s="115">
        <f>'Student Basic Info'!A35</f>
        <v>734</v>
      </c>
      <c r="C36" s="115" t="str">
        <f>'Student Basic Info'!C35</f>
        <v>Shayed Hasan</v>
      </c>
      <c r="D36" s="100">
        <f>Bangla!G35</f>
        <v>3</v>
      </c>
      <c r="E36" s="100">
        <f>English!F35</f>
        <v>1</v>
      </c>
      <c r="F36" s="100">
        <f>ICT!H35</f>
        <v>0</v>
      </c>
      <c r="G36" s="100">
        <f>Physics!H35</f>
        <v>3</v>
      </c>
      <c r="H36" s="100">
        <f>Chemistry!H35</f>
        <v>1</v>
      </c>
      <c r="I36" s="100">
        <f>Biology!H35</f>
        <v>0</v>
      </c>
      <c r="J36" s="100">
        <f>Math!H35</f>
        <v>0</v>
      </c>
      <c r="K36" s="100">
        <f t="shared" si="7"/>
        <v>1</v>
      </c>
      <c r="L36" s="100">
        <f t="shared" si="7"/>
        <v>1</v>
      </c>
      <c r="M36" s="100">
        <f t="shared" si="7"/>
        <v>0</v>
      </c>
      <c r="N36" s="100">
        <f t="shared" si="7"/>
        <v>1</v>
      </c>
      <c r="O36" s="100">
        <f t="shared" si="7"/>
        <v>1</v>
      </c>
      <c r="P36" s="100">
        <f t="shared" si="7"/>
        <v>0</v>
      </c>
      <c r="Q36" s="100">
        <f t="shared" si="1"/>
        <v>4</v>
      </c>
      <c r="R36" s="100" t="str">
        <f t="shared" si="8"/>
        <v/>
      </c>
      <c r="S36" s="100" t="str">
        <f t="shared" si="3"/>
        <v/>
      </c>
      <c r="T36" s="100" t="str">
        <f t="shared" si="4"/>
        <v/>
      </c>
      <c r="U36" s="115" t="str">
        <f t="shared" si="5"/>
        <v>Failed in 2 Subjects</v>
      </c>
      <c r="V36" s="115" t="str">
        <f t="shared" si="6"/>
        <v/>
      </c>
      <c r="W36" s="115" t="str">
        <f>'Detailed Summary'!BK35</f>
        <v/>
      </c>
    </row>
    <row r="37" spans="1:23" ht="18.5" hidden="1" x14ac:dyDescent="0.45">
      <c r="A37" s="100"/>
      <c r="B37" s="100">
        <f>'Student Basic Info'!A36</f>
        <v>735</v>
      </c>
      <c r="C37" s="100" t="str">
        <f>'Student Basic Info'!C36</f>
        <v>Sumaiya Zahan Tarin</v>
      </c>
      <c r="D37" s="100">
        <f>Bangla!G36</f>
        <v>3</v>
      </c>
      <c r="E37" s="100">
        <f>English!F36</f>
        <v>2</v>
      </c>
      <c r="F37" s="100">
        <f>ICT!H36</f>
        <v>0</v>
      </c>
      <c r="G37" s="100">
        <f>Physics!H36</f>
        <v>0</v>
      </c>
      <c r="H37" s="100" t="str">
        <f>Chemistry!H36</f>
        <v/>
      </c>
      <c r="I37" s="100">
        <f>Biology!H36</f>
        <v>0</v>
      </c>
      <c r="J37" s="100">
        <f>Math!H36</f>
        <v>0</v>
      </c>
      <c r="K37" s="100">
        <f t="shared" si="7"/>
        <v>1</v>
      </c>
      <c r="L37" s="100">
        <f t="shared" si="7"/>
        <v>1</v>
      </c>
      <c r="M37" s="100">
        <f t="shared" si="7"/>
        <v>0</v>
      </c>
      <c r="N37" s="100">
        <f t="shared" si="7"/>
        <v>0</v>
      </c>
      <c r="O37" s="100">
        <f t="shared" si="7"/>
        <v>0</v>
      </c>
      <c r="P37" s="100">
        <f t="shared" si="7"/>
        <v>0</v>
      </c>
      <c r="Q37" s="100">
        <f t="shared" si="1"/>
        <v>2</v>
      </c>
      <c r="R37" s="100" t="str">
        <f t="shared" si="8"/>
        <v/>
      </c>
      <c r="S37" s="100" t="str">
        <f t="shared" si="3"/>
        <v/>
      </c>
      <c r="T37" s="100" t="str">
        <f t="shared" si="4"/>
        <v/>
      </c>
      <c r="U37" s="100" t="str">
        <f t="shared" si="5"/>
        <v>Failed in 4 Subjects</v>
      </c>
      <c r="V37" s="100" t="str">
        <f t="shared" si="6"/>
        <v/>
      </c>
      <c r="W37" s="100" t="str">
        <f>'Detailed Summary'!BK36</f>
        <v/>
      </c>
    </row>
    <row r="38" spans="1:23" ht="18.5" x14ac:dyDescent="0.45">
      <c r="A38" s="115">
        <v>7</v>
      </c>
      <c r="B38" s="115">
        <f>'Student Basic Info'!A37</f>
        <v>736</v>
      </c>
      <c r="C38" s="115" t="str">
        <f>'Student Basic Info'!C37</f>
        <v>Nur Islam</v>
      </c>
      <c r="D38" s="100">
        <f>Bangla!G37</f>
        <v>2</v>
      </c>
      <c r="E38" s="100">
        <f>English!F37</f>
        <v>0</v>
      </c>
      <c r="F38" s="100">
        <f>ICT!H37</f>
        <v>0</v>
      </c>
      <c r="G38" s="100">
        <f>Physics!H37</f>
        <v>3</v>
      </c>
      <c r="H38" s="100">
        <f>Chemistry!H37</f>
        <v>0</v>
      </c>
      <c r="I38" s="100">
        <f>Biology!H37</f>
        <v>0</v>
      </c>
      <c r="J38" s="100" t="str">
        <f>Math!H37</f>
        <v/>
      </c>
      <c r="K38" s="100">
        <f t="shared" si="7"/>
        <v>1</v>
      </c>
      <c r="L38" s="100">
        <f t="shared" si="7"/>
        <v>0</v>
      </c>
      <c r="M38" s="100">
        <f t="shared" si="7"/>
        <v>0</v>
      </c>
      <c r="N38" s="100">
        <f t="shared" si="7"/>
        <v>1</v>
      </c>
      <c r="O38" s="100">
        <f t="shared" si="7"/>
        <v>0</v>
      </c>
      <c r="P38" s="100">
        <f t="shared" si="7"/>
        <v>0</v>
      </c>
      <c r="Q38" s="100">
        <f t="shared" si="1"/>
        <v>2</v>
      </c>
      <c r="R38" s="100" t="str">
        <f t="shared" si="8"/>
        <v/>
      </c>
      <c r="S38" s="100" t="str">
        <f t="shared" si="3"/>
        <v/>
      </c>
      <c r="T38" s="100" t="str">
        <f t="shared" si="4"/>
        <v/>
      </c>
      <c r="U38" s="115" t="str">
        <f t="shared" si="5"/>
        <v>Failed in 4 Subjects</v>
      </c>
      <c r="V38" s="115" t="str">
        <f t="shared" si="6"/>
        <v/>
      </c>
      <c r="W38" s="115" t="str">
        <f>'Detailed Summary'!BK37</f>
        <v/>
      </c>
    </row>
    <row r="39" spans="1:23" ht="18.5" hidden="1" x14ac:dyDescent="0.45">
      <c r="A39" s="100">
        <v>4</v>
      </c>
      <c r="B39" s="100">
        <f>'Student Basic Info'!A38</f>
        <v>737</v>
      </c>
      <c r="C39" s="100" t="str">
        <f>'Student Basic Info'!C38</f>
        <v>Nusrat Zahan</v>
      </c>
      <c r="D39" s="100">
        <f>Bangla!G38</f>
        <v>3</v>
      </c>
      <c r="E39" s="100">
        <f>English!F38</f>
        <v>2</v>
      </c>
      <c r="F39" s="100">
        <f>ICT!H38</f>
        <v>0</v>
      </c>
      <c r="G39" s="100">
        <f>Physics!H38</f>
        <v>3.5</v>
      </c>
      <c r="H39" s="100">
        <f>Chemistry!H38</f>
        <v>0</v>
      </c>
      <c r="I39" s="100">
        <f>Biology!H38</f>
        <v>0</v>
      </c>
      <c r="J39" s="100">
        <f>Math!H38</f>
        <v>0</v>
      </c>
      <c r="K39" s="100">
        <f t="shared" si="7"/>
        <v>1</v>
      </c>
      <c r="L39" s="100">
        <f t="shared" si="7"/>
        <v>1</v>
      </c>
      <c r="M39" s="100">
        <f t="shared" si="7"/>
        <v>0</v>
      </c>
      <c r="N39" s="100">
        <f t="shared" si="7"/>
        <v>1</v>
      </c>
      <c r="O39" s="100">
        <f t="shared" si="7"/>
        <v>0</v>
      </c>
      <c r="P39" s="100">
        <f t="shared" si="7"/>
        <v>0</v>
      </c>
      <c r="Q39" s="100">
        <f t="shared" si="1"/>
        <v>3</v>
      </c>
      <c r="R39" s="100" t="str">
        <f t="shared" si="8"/>
        <v/>
      </c>
      <c r="S39" s="100" t="str">
        <f t="shared" si="3"/>
        <v/>
      </c>
      <c r="T39" s="100" t="str">
        <f t="shared" si="4"/>
        <v/>
      </c>
      <c r="U39" s="100" t="str">
        <f t="shared" si="5"/>
        <v>Failed in 3 Subjects</v>
      </c>
      <c r="V39" s="100" t="str">
        <f t="shared" si="6"/>
        <v/>
      </c>
      <c r="W39" s="100" t="str">
        <f>'Detailed Summary'!BK38</f>
        <v/>
      </c>
    </row>
    <row r="40" spans="1:23" ht="18.5" hidden="1" x14ac:dyDescent="0.45">
      <c r="A40" s="100">
        <v>8</v>
      </c>
      <c r="B40" s="100">
        <f>'Student Basic Info'!A39</f>
        <v>738</v>
      </c>
      <c r="C40" s="100" t="str">
        <f>'Student Basic Info'!C39</f>
        <v>Arpita Rani Bhoumik</v>
      </c>
      <c r="D40" s="100">
        <f>Bangla!G39</f>
        <v>3</v>
      </c>
      <c r="E40" s="100">
        <f>English!F39</f>
        <v>2</v>
      </c>
      <c r="F40" s="100">
        <f>ICT!H39</f>
        <v>3</v>
      </c>
      <c r="G40" s="100">
        <f>Physics!H39</f>
        <v>0</v>
      </c>
      <c r="H40" s="100">
        <f>Chemistry!H39</f>
        <v>0</v>
      </c>
      <c r="I40" s="100">
        <f>Biology!H39</f>
        <v>0</v>
      </c>
      <c r="J40" s="100">
        <f>Math!H39</f>
        <v>0</v>
      </c>
      <c r="K40" s="100">
        <f t="shared" si="7"/>
        <v>1</v>
      </c>
      <c r="L40" s="100">
        <f t="shared" si="7"/>
        <v>1</v>
      </c>
      <c r="M40" s="100">
        <f t="shared" si="7"/>
        <v>1</v>
      </c>
      <c r="N40" s="100">
        <f t="shared" si="7"/>
        <v>0</v>
      </c>
      <c r="O40" s="100">
        <f t="shared" si="7"/>
        <v>0</v>
      </c>
      <c r="P40" s="100">
        <f t="shared" si="7"/>
        <v>0</v>
      </c>
      <c r="Q40" s="100">
        <f t="shared" si="1"/>
        <v>3</v>
      </c>
      <c r="R40" s="100" t="str">
        <f t="shared" si="8"/>
        <v/>
      </c>
      <c r="S40" s="100" t="str">
        <f t="shared" si="3"/>
        <v/>
      </c>
      <c r="T40" s="100" t="str">
        <f t="shared" si="4"/>
        <v/>
      </c>
      <c r="U40" s="100" t="str">
        <f t="shared" si="5"/>
        <v>Failed in 3 Subjects</v>
      </c>
      <c r="V40" s="100" t="str">
        <f t="shared" si="6"/>
        <v/>
      </c>
      <c r="W40" s="100" t="str">
        <f>'Detailed Summary'!BK39</f>
        <v/>
      </c>
    </row>
    <row r="41" spans="1:23" ht="18.5" hidden="1" x14ac:dyDescent="0.45">
      <c r="A41" s="100"/>
      <c r="B41" s="100">
        <f>'Student Basic Info'!A40</f>
        <v>739</v>
      </c>
      <c r="C41" s="100" t="str">
        <f>'Student Basic Info'!C40</f>
        <v xml:space="preserve">Israt Zahan Shrabonti </v>
      </c>
      <c r="D41" s="100">
        <f>Bangla!G40</f>
        <v>3</v>
      </c>
      <c r="E41" s="100">
        <f>English!F40</f>
        <v>1</v>
      </c>
      <c r="F41" s="100">
        <f>ICT!H40</f>
        <v>2</v>
      </c>
      <c r="G41" s="100">
        <f>Physics!H40</f>
        <v>3</v>
      </c>
      <c r="H41" s="100">
        <f>Chemistry!H40</f>
        <v>0</v>
      </c>
      <c r="I41" s="100">
        <f>Biology!H40</f>
        <v>0</v>
      </c>
      <c r="J41" s="100">
        <f>Math!H40</f>
        <v>0</v>
      </c>
      <c r="K41" s="100">
        <f t="shared" si="7"/>
        <v>1</v>
      </c>
      <c r="L41" s="100">
        <f t="shared" si="7"/>
        <v>1</v>
      </c>
      <c r="M41" s="100">
        <f t="shared" si="7"/>
        <v>1</v>
      </c>
      <c r="N41" s="100">
        <f t="shared" si="7"/>
        <v>1</v>
      </c>
      <c r="O41" s="100">
        <f t="shared" si="7"/>
        <v>0</v>
      </c>
      <c r="P41" s="100">
        <f t="shared" si="7"/>
        <v>0</v>
      </c>
      <c r="Q41" s="100">
        <f t="shared" si="1"/>
        <v>4</v>
      </c>
      <c r="R41" s="100" t="str">
        <f t="shared" si="8"/>
        <v/>
      </c>
      <c r="S41" s="100" t="str">
        <f t="shared" si="3"/>
        <v/>
      </c>
      <c r="T41" s="100" t="str">
        <f t="shared" si="4"/>
        <v/>
      </c>
      <c r="U41" s="100" t="str">
        <f t="shared" si="5"/>
        <v>Failed in 2 Subjects</v>
      </c>
      <c r="V41" s="100" t="str">
        <f t="shared" si="6"/>
        <v/>
      </c>
      <c r="W41" s="100" t="str">
        <f>'Detailed Summary'!BK40</f>
        <v/>
      </c>
    </row>
    <row r="42" spans="1:23" ht="18.5" x14ac:dyDescent="0.45">
      <c r="A42" s="115">
        <v>9</v>
      </c>
      <c r="B42" s="115">
        <f>'Student Basic Info'!A41</f>
        <v>740</v>
      </c>
      <c r="C42" s="115" t="str">
        <f>'Student Basic Info'!C41</f>
        <v>Fatema Zannat</v>
      </c>
      <c r="D42" s="100">
        <f>Bangla!G41</f>
        <v>3.5</v>
      </c>
      <c r="E42" s="100">
        <f>English!F41</f>
        <v>2</v>
      </c>
      <c r="F42" s="100">
        <f>ICT!H41</f>
        <v>0</v>
      </c>
      <c r="G42" s="100">
        <f>Physics!H41</f>
        <v>0</v>
      </c>
      <c r="H42" s="100">
        <f>Chemistry!H41</f>
        <v>2</v>
      </c>
      <c r="I42" s="100">
        <f>Biology!H41</f>
        <v>0</v>
      </c>
      <c r="J42" s="100">
        <f>Math!H41</f>
        <v>0</v>
      </c>
      <c r="K42" s="100">
        <f t="shared" si="7"/>
        <v>1</v>
      </c>
      <c r="L42" s="100">
        <f t="shared" si="7"/>
        <v>1</v>
      </c>
      <c r="M42" s="100">
        <f t="shared" si="7"/>
        <v>0</v>
      </c>
      <c r="N42" s="100">
        <f t="shared" si="7"/>
        <v>0</v>
      </c>
      <c r="O42" s="100">
        <f t="shared" si="7"/>
        <v>1</v>
      </c>
      <c r="P42" s="100">
        <f t="shared" si="7"/>
        <v>0</v>
      </c>
      <c r="Q42" s="100">
        <f t="shared" si="1"/>
        <v>3</v>
      </c>
      <c r="R42" s="100" t="str">
        <f t="shared" si="8"/>
        <v/>
      </c>
      <c r="S42" s="100" t="str">
        <f t="shared" si="3"/>
        <v/>
      </c>
      <c r="T42" s="100" t="str">
        <f t="shared" si="4"/>
        <v/>
      </c>
      <c r="U42" s="115" t="str">
        <f t="shared" si="5"/>
        <v>Failed in 3 Subjects</v>
      </c>
      <c r="V42" s="115" t="str">
        <f t="shared" si="6"/>
        <v/>
      </c>
      <c r="W42" s="115" t="str">
        <f>'Detailed Summary'!BK41</f>
        <v/>
      </c>
    </row>
    <row r="43" spans="1:23" ht="18.5" hidden="1" x14ac:dyDescent="0.45">
      <c r="A43" s="100"/>
      <c r="B43" s="100">
        <f>'Student Basic Info'!A42</f>
        <v>741</v>
      </c>
      <c r="C43" s="100" t="str">
        <f>'Student Basic Info'!C42</f>
        <v>Rezmin Aktar</v>
      </c>
      <c r="D43" s="100">
        <f>Bangla!G42</f>
        <v>3.5</v>
      </c>
      <c r="E43" s="100">
        <f>English!F42</f>
        <v>3</v>
      </c>
      <c r="F43" s="100">
        <f>ICT!H42</f>
        <v>3.5</v>
      </c>
      <c r="G43" s="100">
        <f>Physics!H42</f>
        <v>3</v>
      </c>
      <c r="H43" s="100">
        <f>Chemistry!H42</f>
        <v>0</v>
      </c>
      <c r="I43" s="100">
        <f>Biology!H42</f>
        <v>0</v>
      </c>
      <c r="J43" s="100">
        <f>Math!H42</f>
        <v>0</v>
      </c>
      <c r="K43" s="100">
        <f t="shared" si="7"/>
        <v>1</v>
      </c>
      <c r="L43" s="100">
        <f t="shared" si="7"/>
        <v>1</v>
      </c>
      <c r="M43" s="100">
        <f t="shared" si="7"/>
        <v>1</v>
      </c>
      <c r="N43" s="100">
        <f t="shared" si="7"/>
        <v>1</v>
      </c>
      <c r="O43" s="100">
        <f t="shared" si="7"/>
        <v>0</v>
      </c>
      <c r="P43" s="100">
        <f t="shared" si="7"/>
        <v>0</v>
      </c>
      <c r="Q43" s="100">
        <f t="shared" si="1"/>
        <v>4</v>
      </c>
      <c r="R43" s="100" t="str">
        <f t="shared" si="8"/>
        <v/>
      </c>
      <c r="S43" s="100" t="str">
        <f t="shared" si="3"/>
        <v/>
      </c>
      <c r="T43" s="100" t="str">
        <f t="shared" si="4"/>
        <v/>
      </c>
      <c r="U43" s="100" t="str">
        <f t="shared" si="5"/>
        <v>Failed in 2 Subjects</v>
      </c>
      <c r="V43" s="100" t="str">
        <f t="shared" si="6"/>
        <v/>
      </c>
      <c r="W43" s="100" t="str">
        <f>'Detailed Summary'!BK42</f>
        <v/>
      </c>
    </row>
    <row r="44" spans="1:23" ht="18.5" hidden="1" x14ac:dyDescent="0.45">
      <c r="A44" s="100"/>
      <c r="B44" s="100">
        <f>'Student Basic Info'!A43</f>
        <v>742</v>
      </c>
      <c r="C44" s="100" t="str">
        <f>'Student Basic Info'!C43</f>
        <v>Md. Shohrab Hosain</v>
      </c>
      <c r="D44" s="100" t="str">
        <f>Bangla!G43</f>
        <v/>
      </c>
      <c r="E44" s="100" t="str">
        <f>English!F43</f>
        <v/>
      </c>
      <c r="F44" s="100" t="str">
        <f>ICT!H43</f>
        <v/>
      </c>
      <c r="G44" s="100" t="str">
        <f>Physics!H43</f>
        <v/>
      </c>
      <c r="H44" s="100" t="str">
        <f>Chemistry!H43</f>
        <v/>
      </c>
      <c r="I44" s="100" t="str">
        <f>Biology!H43</f>
        <v/>
      </c>
      <c r="J44" s="100" t="str">
        <f>Math!H43</f>
        <v/>
      </c>
      <c r="K44" s="100">
        <f t="shared" si="7"/>
        <v>0</v>
      </c>
      <c r="L44" s="100">
        <f t="shared" si="7"/>
        <v>0</v>
      </c>
      <c r="M44" s="100">
        <f t="shared" si="7"/>
        <v>0</v>
      </c>
      <c r="N44" s="100">
        <f t="shared" si="7"/>
        <v>0</v>
      </c>
      <c r="O44" s="100">
        <f t="shared" si="7"/>
        <v>0</v>
      </c>
      <c r="P44" s="100">
        <f t="shared" si="7"/>
        <v>0</v>
      </c>
      <c r="Q44" s="100">
        <f t="shared" si="1"/>
        <v>0</v>
      </c>
      <c r="R44" s="100" t="str">
        <f t="shared" si="8"/>
        <v/>
      </c>
      <c r="S44" s="100" t="str">
        <f t="shared" si="3"/>
        <v/>
      </c>
      <c r="T44" s="100" t="str">
        <f t="shared" si="4"/>
        <v/>
      </c>
      <c r="U44" s="100" t="str">
        <f t="shared" si="5"/>
        <v>Failed in 6 Subjects</v>
      </c>
      <c r="V44" s="100" t="str">
        <f t="shared" si="6"/>
        <v/>
      </c>
      <c r="W44" s="100" t="str">
        <f>'Detailed Summary'!BK43</f>
        <v/>
      </c>
    </row>
    <row r="45" spans="1:23" ht="18.5" hidden="1" x14ac:dyDescent="0.45">
      <c r="A45" s="100"/>
      <c r="B45" s="100">
        <f>'Student Basic Info'!A44</f>
        <v>743</v>
      </c>
      <c r="C45" s="100" t="str">
        <f>'Student Basic Info'!C44</f>
        <v>Umme Habiba</v>
      </c>
      <c r="D45" s="100">
        <f>Bangla!G44</f>
        <v>0</v>
      </c>
      <c r="E45" s="100">
        <f>English!F44</f>
        <v>0</v>
      </c>
      <c r="F45" s="100">
        <f>ICT!H44</f>
        <v>0</v>
      </c>
      <c r="G45" s="100">
        <f>Physics!H44</f>
        <v>0</v>
      </c>
      <c r="H45" s="100">
        <f>Chemistry!H44</f>
        <v>0</v>
      </c>
      <c r="I45" s="100">
        <f>Biology!H44</f>
        <v>0</v>
      </c>
      <c r="J45" s="100">
        <f>Math!H44</f>
        <v>0</v>
      </c>
      <c r="K45" s="100">
        <f t="shared" si="7"/>
        <v>0</v>
      </c>
      <c r="L45" s="100">
        <f t="shared" si="7"/>
        <v>0</v>
      </c>
      <c r="M45" s="100">
        <f t="shared" si="7"/>
        <v>0</v>
      </c>
      <c r="N45" s="100">
        <f t="shared" si="7"/>
        <v>0</v>
      </c>
      <c r="O45" s="100">
        <f t="shared" si="7"/>
        <v>0</v>
      </c>
      <c r="P45" s="100">
        <f t="shared" si="7"/>
        <v>0</v>
      </c>
      <c r="Q45" s="100">
        <f t="shared" si="1"/>
        <v>0</v>
      </c>
      <c r="R45" s="100" t="str">
        <f t="shared" si="8"/>
        <v/>
      </c>
      <c r="S45" s="100" t="str">
        <f t="shared" si="3"/>
        <v/>
      </c>
      <c r="T45" s="100" t="str">
        <f t="shared" si="4"/>
        <v/>
      </c>
      <c r="U45" s="100" t="str">
        <f t="shared" si="5"/>
        <v>Failed in 6 Subjects</v>
      </c>
      <c r="V45" s="100" t="str">
        <f t="shared" si="6"/>
        <v/>
      </c>
      <c r="W45" s="100" t="str">
        <f>'Detailed Summary'!BK44</f>
        <v/>
      </c>
    </row>
    <row r="46" spans="1:23" ht="18.5" x14ac:dyDescent="0.45">
      <c r="A46" s="115">
        <v>10</v>
      </c>
      <c r="B46" s="115">
        <f>'Student Basic Info'!A45</f>
        <v>744</v>
      </c>
      <c r="C46" s="115" t="str">
        <f>'Student Basic Info'!C45</f>
        <v>Tarek Rahman Tamin</v>
      </c>
      <c r="D46" s="100">
        <f>Bangla!G45</f>
        <v>0</v>
      </c>
      <c r="E46" s="100">
        <f>English!F45</f>
        <v>0</v>
      </c>
      <c r="F46" s="100">
        <f>ICT!H45</f>
        <v>0</v>
      </c>
      <c r="G46" s="100">
        <f>Physics!H45</f>
        <v>2</v>
      </c>
      <c r="H46" s="100">
        <f>Chemistry!H45</f>
        <v>0</v>
      </c>
      <c r="I46" s="100">
        <f>Biology!H45</f>
        <v>0</v>
      </c>
      <c r="J46" s="100">
        <f>Math!H45</f>
        <v>0</v>
      </c>
      <c r="K46" s="100">
        <f t="shared" si="7"/>
        <v>0</v>
      </c>
      <c r="L46" s="100">
        <f t="shared" si="7"/>
        <v>0</v>
      </c>
      <c r="M46" s="100">
        <f t="shared" si="7"/>
        <v>0</v>
      </c>
      <c r="N46" s="100">
        <f t="shared" si="7"/>
        <v>1</v>
      </c>
      <c r="O46" s="100">
        <f t="shared" si="7"/>
        <v>0</v>
      </c>
      <c r="P46" s="100">
        <f t="shared" si="7"/>
        <v>0</v>
      </c>
      <c r="Q46" s="100">
        <f t="shared" si="1"/>
        <v>1</v>
      </c>
      <c r="R46" s="100" t="str">
        <f t="shared" si="8"/>
        <v/>
      </c>
      <c r="S46" s="100" t="str">
        <f t="shared" si="3"/>
        <v/>
      </c>
      <c r="T46" s="100" t="str">
        <f t="shared" si="4"/>
        <v/>
      </c>
      <c r="U46" s="115" t="str">
        <f t="shared" si="5"/>
        <v>Failed in 5 Subjects</v>
      </c>
      <c r="V46" s="115" t="str">
        <f t="shared" si="6"/>
        <v/>
      </c>
      <c r="W46" s="115" t="str">
        <f>'Detailed Summary'!BK45</f>
        <v/>
      </c>
    </row>
    <row r="47" spans="1:23" ht="18.5" hidden="1" x14ac:dyDescent="0.45">
      <c r="A47" s="100"/>
      <c r="B47" s="100">
        <f>'Student Basic Info'!A46</f>
        <v>745</v>
      </c>
      <c r="C47" s="100" t="str">
        <f>'Student Basic Info'!C46</f>
        <v>Nabiha Nusrat</v>
      </c>
      <c r="D47" s="100">
        <f>Bangla!G46</f>
        <v>4</v>
      </c>
      <c r="E47" s="100">
        <f>English!F46</f>
        <v>3.5</v>
      </c>
      <c r="F47" s="100">
        <f>ICT!H46</f>
        <v>5</v>
      </c>
      <c r="G47" s="100">
        <f>Physics!H46</f>
        <v>5</v>
      </c>
      <c r="H47" s="100">
        <f>Chemistry!H46</f>
        <v>0</v>
      </c>
      <c r="I47" s="100">
        <f>Biology!H46</f>
        <v>2</v>
      </c>
      <c r="J47" s="100">
        <f>Math!H46</f>
        <v>3.5</v>
      </c>
      <c r="K47" s="100">
        <f t="shared" si="7"/>
        <v>1</v>
      </c>
      <c r="L47" s="100">
        <f t="shared" si="7"/>
        <v>1</v>
      </c>
      <c r="M47" s="100">
        <f t="shared" si="7"/>
        <v>1</v>
      </c>
      <c r="N47" s="100">
        <f t="shared" si="7"/>
        <v>1</v>
      </c>
      <c r="O47" s="100">
        <f t="shared" si="7"/>
        <v>0</v>
      </c>
      <c r="P47" s="100">
        <f t="shared" si="7"/>
        <v>1</v>
      </c>
      <c r="Q47" s="100">
        <f t="shared" si="1"/>
        <v>5</v>
      </c>
      <c r="R47" s="100" t="str">
        <f t="shared" si="8"/>
        <v/>
      </c>
      <c r="S47" s="100" t="str">
        <f t="shared" si="3"/>
        <v/>
      </c>
      <c r="T47" s="100" t="str">
        <f t="shared" si="4"/>
        <v/>
      </c>
      <c r="U47" s="100" t="str">
        <f t="shared" si="5"/>
        <v>Failed in 1 Subject</v>
      </c>
      <c r="V47" s="100" t="str">
        <f t="shared" si="6"/>
        <v/>
      </c>
      <c r="W47" s="100" t="str">
        <f>'Detailed Summary'!BK46</f>
        <v/>
      </c>
    </row>
    <row r="48" spans="1:23" ht="18.5" hidden="1" x14ac:dyDescent="0.45">
      <c r="A48" s="100">
        <v>11</v>
      </c>
      <c r="B48" s="100">
        <f>'Student Basic Info'!A47</f>
        <v>746</v>
      </c>
      <c r="C48" s="100" t="str">
        <f>'Student Basic Info'!C47</f>
        <v>Sharika Mahzabin</v>
      </c>
      <c r="D48" s="100">
        <f>Bangla!G47</f>
        <v>3.5</v>
      </c>
      <c r="E48" s="100">
        <f>English!F47</f>
        <v>3.5</v>
      </c>
      <c r="F48" s="100">
        <f>ICT!H47</f>
        <v>3.5</v>
      </c>
      <c r="G48" s="100">
        <f>Physics!H47</f>
        <v>3.5</v>
      </c>
      <c r="H48" s="100">
        <f>Chemistry!H47</f>
        <v>0</v>
      </c>
      <c r="I48" s="100">
        <f>Biology!H47</f>
        <v>2</v>
      </c>
      <c r="J48" s="100">
        <f>Math!H47</f>
        <v>0</v>
      </c>
      <c r="K48" s="100">
        <f t="shared" si="7"/>
        <v>1</v>
      </c>
      <c r="L48" s="100">
        <f t="shared" si="7"/>
        <v>1</v>
      </c>
      <c r="M48" s="100">
        <f t="shared" si="7"/>
        <v>1</v>
      </c>
      <c r="N48" s="100">
        <f t="shared" si="7"/>
        <v>1</v>
      </c>
      <c r="O48" s="100">
        <f t="shared" si="7"/>
        <v>0</v>
      </c>
      <c r="P48" s="100">
        <f t="shared" si="7"/>
        <v>1</v>
      </c>
      <c r="Q48" s="100">
        <f t="shared" si="1"/>
        <v>5</v>
      </c>
      <c r="R48" s="100" t="str">
        <f t="shared" si="8"/>
        <v/>
      </c>
      <c r="S48" s="100" t="str">
        <f t="shared" si="3"/>
        <v/>
      </c>
      <c r="T48" s="100" t="str">
        <f t="shared" si="4"/>
        <v/>
      </c>
      <c r="U48" s="100" t="str">
        <f t="shared" si="5"/>
        <v>Failed in 1 Subject</v>
      </c>
      <c r="V48" s="100" t="str">
        <f t="shared" si="6"/>
        <v/>
      </c>
      <c r="W48" s="100" t="str">
        <f>'Detailed Summary'!BK47</f>
        <v/>
      </c>
    </row>
    <row r="49" spans="1:23" ht="18.5" x14ac:dyDescent="0.45">
      <c r="A49" s="115">
        <v>11</v>
      </c>
      <c r="B49" s="115">
        <f>'Student Basic Info'!A48</f>
        <v>747</v>
      </c>
      <c r="C49" s="115" t="str">
        <f>'Student Basic Info'!C48</f>
        <v>Jahedul Islam</v>
      </c>
      <c r="D49" s="100">
        <f>Bangla!G48</f>
        <v>2</v>
      </c>
      <c r="E49" s="100">
        <f>English!F48</f>
        <v>0</v>
      </c>
      <c r="F49" s="100">
        <f>ICT!H48</f>
        <v>0</v>
      </c>
      <c r="G49" s="100">
        <f>Physics!H48</f>
        <v>0</v>
      </c>
      <c r="H49" s="100">
        <f>Chemistry!H48</f>
        <v>0</v>
      </c>
      <c r="I49" s="100">
        <f>Biology!H48</f>
        <v>0</v>
      </c>
      <c r="J49" s="100">
        <f>Math!H48</f>
        <v>0</v>
      </c>
      <c r="K49" s="100">
        <f t="shared" si="7"/>
        <v>1</v>
      </c>
      <c r="L49" s="100">
        <f t="shared" si="7"/>
        <v>0</v>
      </c>
      <c r="M49" s="100">
        <f t="shared" si="7"/>
        <v>0</v>
      </c>
      <c r="N49" s="100">
        <f t="shared" si="7"/>
        <v>0</v>
      </c>
      <c r="O49" s="100">
        <f t="shared" si="7"/>
        <v>0</v>
      </c>
      <c r="P49" s="100">
        <f t="shared" si="7"/>
        <v>0</v>
      </c>
      <c r="Q49" s="100">
        <f t="shared" si="1"/>
        <v>1</v>
      </c>
      <c r="R49" s="100" t="str">
        <f t="shared" si="8"/>
        <v/>
      </c>
      <c r="S49" s="100" t="str">
        <f t="shared" si="3"/>
        <v/>
      </c>
      <c r="T49" s="100" t="str">
        <f t="shared" si="4"/>
        <v/>
      </c>
      <c r="U49" s="115" t="str">
        <f t="shared" si="5"/>
        <v>Failed in 5 Subjects</v>
      </c>
      <c r="V49" s="115" t="str">
        <f t="shared" si="6"/>
        <v/>
      </c>
      <c r="W49" s="115" t="str">
        <f>'Detailed Summary'!BK48</f>
        <v/>
      </c>
    </row>
    <row r="50" spans="1:23" ht="18.5" hidden="1" x14ac:dyDescent="0.45">
      <c r="A50" s="100"/>
      <c r="B50" s="100">
        <f>'Student Basic Info'!A49</f>
        <v>748</v>
      </c>
      <c r="C50" s="100" t="str">
        <f>'Student Basic Info'!C49</f>
        <v>Merina Parshi</v>
      </c>
      <c r="D50" s="100">
        <f>Bangla!G49</f>
        <v>2</v>
      </c>
      <c r="E50" s="100">
        <f>English!F49</f>
        <v>0</v>
      </c>
      <c r="F50" s="100">
        <f>ICT!H49</f>
        <v>0</v>
      </c>
      <c r="G50" s="100">
        <f>Physics!H49</f>
        <v>0</v>
      </c>
      <c r="H50" s="100">
        <f>Chemistry!H49</f>
        <v>0</v>
      </c>
      <c r="I50" s="100">
        <f>Biology!H49</f>
        <v>0</v>
      </c>
      <c r="J50" s="100">
        <f>Math!H49</f>
        <v>0</v>
      </c>
      <c r="K50" s="100">
        <f t="shared" si="7"/>
        <v>1</v>
      </c>
      <c r="L50" s="100">
        <f t="shared" si="7"/>
        <v>0</v>
      </c>
      <c r="M50" s="100">
        <f t="shared" si="7"/>
        <v>0</v>
      </c>
      <c r="N50" s="100">
        <f t="shared" si="7"/>
        <v>0</v>
      </c>
      <c r="O50" s="100">
        <f t="shared" si="7"/>
        <v>0</v>
      </c>
      <c r="P50" s="100">
        <f t="shared" si="7"/>
        <v>0</v>
      </c>
      <c r="Q50" s="100">
        <f t="shared" si="1"/>
        <v>1</v>
      </c>
      <c r="R50" s="100" t="str">
        <f t="shared" si="8"/>
        <v/>
      </c>
      <c r="S50" s="100" t="str">
        <f t="shared" si="3"/>
        <v/>
      </c>
      <c r="T50" s="100" t="str">
        <f t="shared" si="4"/>
        <v/>
      </c>
      <c r="U50" s="100" t="str">
        <f t="shared" si="5"/>
        <v>Failed in 5 Subjects</v>
      </c>
      <c r="V50" s="100" t="str">
        <f t="shared" si="6"/>
        <v/>
      </c>
      <c r="W50" s="100" t="str">
        <f>'Detailed Summary'!BK49</f>
        <v/>
      </c>
    </row>
    <row r="51" spans="1:23" ht="18.5" hidden="1" x14ac:dyDescent="0.45">
      <c r="A51" s="100"/>
      <c r="B51" s="100">
        <f>'Student Basic Info'!A50</f>
        <v>749</v>
      </c>
      <c r="C51" s="100" t="str">
        <f>'Student Basic Info'!C50</f>
        <v>Shekh Shohrab Hosain</v>
      </c>
      <c r="D51" s="100">
        <f>Bangla!G50</f>
        <v>1</v>
      </c>
      <c r="E51" s="100">
        <f>English!F50</f>
        <v>0</v>
      </c>
      <c r="F51" s="100">
        <f>ICT!H50</f>
        <v>0</v>
      </c>
      <c r="G51" s="100">
        <f>Physics!H50</f>
        <v>0</v>
      </c>
      <c r="H51" s="100">
        <f>Chemistry!H50</f>
        <v>0</v>
      </c>
      <c r="I51" s="100">
        <f>Biology!H50</f>
        <v>0</v>
      </c>
      <c r="J51" s="100">
        <f>Math!H50</f>
        <v>0</v>
      </c>
      <c r="K51" s="100">
        <f t="shared" si="7"/>
        <v>1</v>
      </c>
      <c r="L51" s="100">
        <f t="shared" si="7"/>
        <v>0</v>
      </c>
      <c r="M51" s="100">
        <f t="shared" si="7"/>
        <v>0</v>
      </c>
      <c r="N51" s="100">
        <f t="shared" si="7"/>
        <v>0</v>
      </c>
      <c r="O51" s="100">
        <f t="shared" si="7"/>
        <v>0</v>
      </c>
      <c r="P51" s="100">
        <f t="shared" si="7"/>
        <v>0</v>
      </c>
      <c r="Q51" s="100">
        <f t="shared" si="1"/>
        <v>1</v>
      </c>
      <c r="R51" s="100" t="str">
        <f t="shared" si="8"/>
        <v/>
      </c>
      <c r="S51" s="100" t="str">
        <f t="shared" si="3"/>
        <v/>
      </c>
      <c r="T51" s="100" t="str">
        <f t="shared" si="4"/>
        <v/>
      </c>
      <c r="U51" s="100" t="str">
        <f t="shared" si="5"/>
        <v>Failed in 5 Subjects</v>
      </c>
      <c r="V51" s="100" t="str">
        <f t="shared" si="6"/>
        <v/>
      </c>
      <c r="W51" s="100" t="str">
        <f>'Detailed Summary'!BK50</f>
        <v/>
      </c>
    </row>
    <row r="52" spans="1:23" ht="18.5" x14ac:dyDescent="0.45">
      <c r="A52" s="115">
        <v>12</v>
      </c>
      <c r="B52" s="115">
        <f>'Student Basic Info'!A51</f>
        <v>750</v>
      </c>
      <c r="C52" s="115" t="str">
        <f>'Student Basic Info'!C51</f>
        <v>Purnima Aktar</v>
      </c>
      <c r="D52" s="100" t="str">
        <f>Bangla!G51</f>
        <v/>
      </c>
      <c r="E52" s="100" t="str">
        <f>English!F51</f>
        <v/>
      </c>
      <c r="F52" s="100" t="str">
        <f>ICT!H51</f>
        <v/>
      </c>
      <c r="G52" s="100" t="str">
        <f>Physics!H51</f>
        <v/>
      </c>
      <c r="H52" s="100" t="str">
        <f>Chemistry!H51</f>
        <v/>
      </c>
      <c r="I52" s="100" t="str">
        <f>Biology!H51</f>
        <v/>
      </c>
      <c r="J52" s="100" t="str">
        <f>Math!H51</f>
        <v/>
      </c>
      <c r="K52" s="100">
        <f t="shared" si="7"/>
        <v>0</v>
      </c>
      <c r="L52" s="100">
        <f t="shared" si="7"/>
        <v>0</v>
      </c>
      <c r="M52" s="100">
        <f t="shared" si="7"/>
        <v>0</v>
      </c>
      <c r="N52" s="100">
        <f t="shared" si="7"/>
        <v>0</v>
      </c>
      <c r="O52" s="100">
        <f t="shared" si="7"/>
        <v>0</v>
      </c>
      <c r="P52" s="100">
        <f t="shared" si="7"/>
        <v>0</v>
      </c>
      <c r="Q52" s="100">
        <f t="shared" si="1"/>
        <v>0</v>
      </c>
      <c r="R52" s="100" t="str">
        <f t="shared" si="8"/>
        <v/>
      </c>
      <c r="S52" s="100" t="str">
        <f t="shared" si="3"/>
        <v/>
      </c>
      <c r="T52" s="100" t="str">
        <f t="shared" si="4"/>
        <v/>
      </c>
      <c r="U52" s="115" t="str">
        <f t="shared" si="5"/>
        <v>Failed in 6 Subjects</v>
      </c>
      <c r="V52" s="115" t="str">
        <f t="shared" si="6"/>
        <v/>
      </c>
      <c r="W52" s="115" t="str">
        <f>'Detailed Summary'!BK51</f>
        <v/>
      </c>
    </row>
    <row r="53" spans="1:23" ht="18.5" hidden="1" x14ac:dyDescent="0.45">
      <c r="A53" s="100"/>
      <c r="B53" s="100">
        <f>'Student Basic Info'!A52</f>
        <v>751</v>
      </c>
      <c r="C53" s="100" t="str">
        <f>'Student Basic Info'!C52</f>
        <v>Hridwal  Al Mahmul</v>
      </c>
      <c r="D53" s="100">
        <f>Bangla!G52</f>
        <v>2</v>
      </c>
      <c r="E53" s="100">
        <f>English!F52</f>
        <v>0</v>
      </c>
      <c r="F53" s="100">
        <f>ICT!H52</f>
        <v>0</v>
      </c>
      <c r="G53" s="100">
        <f>Physics!H52</f>
        <v>3.5</v>
      </c>
      <c r="H53" s="100">
        <f>Chemistry!H52</f>
        <v>0</v>
      </c>
      <c r="I53" s="100">
        <f>Biology!H52</f>
        <v>0</v>
      </c>
      <c r="J53" s="100" t="str">
        <f>Math!H52</f>
        <v/>
      </c>
      <c r="K53" s="100">
        <f t="shared" si="7"/>
        <v>1</v>
      </c>
      <c r="L53" s="100">
        <f t="shared" si="7"/>
        <v>0</v>
      </c>
      <c r="M53" s="100">
        <f t="shared" si="7"/>
        <v>0</v>
      </c>
      <c r="N53" s="100">
        <f t="shared" si="7"/>
        <v>1</v>
      </c>
      <c r="O53" s="100">
        <f t="shared" si="7"/>
        <v>0</v>
      </c>
      <c r="P53" s="100">
        <f t="shared" si="7"/>
        <v>0</v>
      </c>
      <c r="Q53" s="100">
        <f t="shared" si="1"/>
        <v>2</v>
      </c>
      <c r="R53" s="100" t="str">
        <f t="shared" si="8"/>
        <v/>
      </c>
      <c r="S53" s="100" t="str">
        <f t="shared" si="3"/>
        <v/>
      </c>
      <c r="T53" s="100" t="str">
        <f t="shared" si="4"/>
        <v/>
      </c>
      <c r="U53" s="100" t="str">
        <f t="shared" si="5"/>
        <v>Failed in 4 Subjects</v>
      </c>
      <c r="V53" s="100" t="str">
        <f t="shared" si="6"/>
        <v/>
      </c>
      <c r="W53" s="100" t="str">
        <f>'Detailed Summary'!BK52</f>
        <v/>
      </c>
    </row>
    <row r="54" spans="1:23" ht="18.5" hidden="1" x14ac:dyDescent="0.45">
      <c r="A54" s="100"/>
      <c r="B54" s="100">
        <f>'Student Basic Info'!A53</f>
        <v>752</v>
      </c>
      <c r="C54" s="100" t="str">
        <f>'Student Basic Info'!C53</f>
        <v>Sabbir Hosain</v>
      </c>
      <c r="D54" s="100" t="str">
        <f>Bangla!G53</f>
        <v/>
      </c>
      <c r="E54" s="100" t="str">
        <f>English!F53</f>
        <v/>
      </c>
      <c r="F54" s="100" t="str">
        <f>ICT!H53</f>
        <v/>
      </c>
      <c r="G54" s="100" t="str">
        <f>Physics!H53</f>
        <v/>
      </c>
      <c r="H54" s="100" t="str">
        <f>Chemistry!H53</f>
        <v/>
      </c>
      <c r="I54" s="100" t="str">
        <f>Biology!H53</f>
        <v/>
      </c>
      <c r="J54" s="100" t="str">
        <f>Math!H53</f>
        <v/>
      </c>
      <c r="K54" s="100">
        <f t="shared" si="7"/>
        <v>0</v>
      </c>
      <c r="L54" s="100">
        <f t="shared" si="7"/>
        <v>0</v>
      </c>
      <c r="M54" s="100">
        <f t="shared" si="7"/>
        <v>0</v>
      </c>
      <c r="N54" s="100">
        <f t="shared" si="7"/>
        <v>0</v>
      </c>
      <c r="O54" s="100">
        <f t="shared" si="7"/>
        <v>0</v>
      </c>
      <c r="P54" s="100">
        <f t="shared" si="7"/>
        <v>0</v>
      </c>
      <c r="Q54" s="100">
        <f t="shared" si="1"/>
        <v>0</v>
      </c>
      <c r="R54" s="100" t="str">
        <f t="shared" si="8"/>
        <v/>
      </c>
      <c r="S54" s="100" t="str">
        <f t="shared" si="3"/>
        <v/>
      </c>
      <c r="T54" s="100" t="str">
        <f t="shared" si="4"/>
        <v/>
      </c>
      <c r="U54" s="100" t="str">
        <f t="shared" si="5"/>
        <v>Failed in 6 Subjects</v>
      </c>
      <c r="V54" s="100" t="str">
        <f t="shared" si="6"/>
        <v/>
      </c>
      <c r="W54" s="100" t="str">
        <f>'Detailed Summary'!BK53</f>
        <v/>
      </c>
    </row>
    <row r="55" spans="1:23" ht="18.5" hidden="1" x14ac:dyDescent="0.45">
      <c r="A55" s="100"/>
      <c r="B55" s="100">
        <f>'Student Basic Info'!A54</f>
        <v>753</v>
      </c>
      <c r="C55" s="100" t="str">
        <f>'Student Basic Info'!C54</f>
        <v>Shohidul Islam</v>
      </c>
      <c r="D55" s="100">
        <f>Bangla!G54</f>
        <v>0</v>
      </c>
      <c r="E55" s="100">
        <f>English!F54</f>
        <v>1</v>
      </c>
      <c r="F55" s="100">
        <f>ICT!H54</f>
        <v>0</v>
      </c>
      <c r="G55" s="100">
        <f>Physics!H54</f>
        <v>0</v>
      </c>
      <c r="H55" s="100">
        <f>Chemistry!H54</f>
        <v>0</v>
      </c>
      <c r="I55" s="100">
        <f>Biology!H54</f>
        <v>3</v>
      </c>
      <c r="J55" s="100">
        <f>Math!H54</f>
        <v>0</v>
      </c>
      <c r="K55" s="100">
        <f t="shared" si="7"/>
        <v>0</v>
      </c>
      <c r="L55" s="100">
        <f t="shared" si="7"/>
        <v>1</v>
      </c>
      <c r="M55" s="100">
        <f t="shared" si="7"/>
        <v>0</v>
      </c>
      <c r="N55" s="100">
        <f t="shared" si="7"/>
        <v>0</v>
      </c>
      <c r="O55" s="100">
        <f t="shared" si="7"/>
        <v>0</v>
      </c>
      <c r="P55" s="100">
        <f t="shared" si="7"/>
        <v>1</v>
      </c>
      <c r="Q55" s="100">
        <f t="shared" si="1"/>
        <v>2</v>
      </c>
      <c r="R55" s="100" t="str">
        <f t="shared" si="8"/>
        <v/>
      </c>
      <c r="S55" s="100" t="str">
        <f t="shared" si="3"/>
        <v/>
      </c>
      <c r="T55" s="100" t="str">
        <f t="shared" si="4"/>
        <v/>
      </c>
      <c r="U55" s="100" t="str">
        <f t="shared" si="5"/>
        <v>Failed in 4 Subjects</v>
      </c>
      <c r="V55" s="100" t="str">
        <f t="shared" si="6"/>
        <v/>
      </c>
      <c r="W55" s="100" t="str">
        <f>'Detailed Summary'!BK54</f>
        <v/>
      </c>
    </row>
    <row r="56" spans="1:23" ht="18.5" hidden="1" x14ac:dyDescent="0.45">
      <c r="A56" s="100"/>
      <c r="B56" s="100">
        <f>'Student Basic Info'!A55</f>
        <v>754</v>
      </c>
      <c r="C56" s="100" t="str">
        <f>'Student Basic Info'!C55</f>
        <v>Shahriyar Nafiz</v>
      </c>
      <c r="D56" s="100">
        <f>Bangla!G55</f>
        <v>3</v>
      </c>
      <c r="E56" s="100">
        <f>English!F55</f>
        <v>0</v>
      </c>
      <c r="F56" s="100">
        <f>ICT!H55</f>
        <v>0</v>
      </c>
      <c r="G56" s="100">
        <f>Physics!H55</f>
        <v>0</v>
      </c>
      <c r="H56" s="100">
        <f>Chemistry!H55</f>
        <v>0</v>
      </c>
      <c r="I56" s="100">
        <f>Biology!H55</f>
        <v>0</v>
      </c>
      <c r="J56" s="100">
        <f>Math!H55</f>
        <v>0</v>
      </c>
      <c r="K56" s="100">
        <f t="shared" si="7"/>
        <v>1</v>
      </c>
      <c r="L56" s="100">
        <f t="shared" si="7"/>
        <v>0</v>
      </c>
      <c r="M56" s="100">
        <f t="shared" si="7"/>
        <v>0</v>
      </c>
      <c r="N56" s="100">
        <f t="shared" si="7"/>
        <v>0</v>
      </c>
      <c r="O56" s="100">
        <f t="shared" si="7"/>
        <v>0</v>
      </c>
      <c r="P56" s="100">
        <f t="shared" si="7"/>
        <v>0</v>
      </c>
      <c r="Q56" s="100">
        <f t="shared" si="1"/>
        <v>1</v>
      </c>
      <c r="R56" s="100" t="str">
        <f t="shared" si="8"/>
        <v/>
      </c>
      <c r="S56" s="100" t="str">
        <f t="shared" si="3"/>
        <v/>
      </c>
      <c r="T56" s="100" t="str">
        <f t="shared" si="4"/>
        <v/>
      </c>
      <c r="U56" s="100" t="str">
        <f t="shared" si="5"/>
        <v>Failed in 5 Subjects</v>
      </c>
      <c r="V56" s="100" t="str">
        <f t="shared" si="6"/>
        <v/>
      </c>
      <c r="W56" s="100" t="str">
        <f>'Detailed Summary'!BK55</f>
        <v/>
      </c>
    </row>
    <row r="57" spans="1:23" ht="18.5" hidden="1" x14ac:dyDescent="0.45">
      <c r="A57" s="100"/>
      <c r="B57" s="100">
        <f>'Student Basic Info'!A56</f>
        <v>755</v>
      </c>
      <c r="C57" s="100" t="str">
        <f>'Student Basic Info'!C56</f>
        <v xml:space="preserve">Md. Ibrahim </v>
      </c>
      <c r="D57" s="100">
        <f>Bangla!G56</f>
        <v>0</v>
      </c>
      <c r="E57" s="100">
        <f>English!F56</f>
        <v>0</v>
      </c>
      <c r="F57" s="100">
        <f>ICT!H56</f>
        <v>0</v>
      </c>
      <c r="G57" s="100">
        <f>Physics!H56</f>
        <v>0</v>
      </c>
      <c r="H57" s="100">
        <f>Chemistry!H56</f>
        <v>0</v>
      </c>
      <c r="I57" s="100">
        <f>Biology!H56</f>
        <v>0</v>
      </c>
      <c r="J57" s="100">
        <f>Math!H56</f>
        <v>0</v>
      </c>
      <c r="K57" s="100">
        <f t="shared" si="7"/>
        <v>0</v>
      </c>
      <c r="L57" s="100">
        <f t="shared" si="7"/>
        <v>0</v>
      </c>
      <c r="M57" s="100">
        <f t="shared" si="7"/>
        <v>0</v>
      </c>
      <c r="N57" s="100">
        <f t="shared" si="7"/>
        <v>0</v>
      </c>
      <c r="O57" s="100">
        <f t="shared" si="7"/>
        <v>0</v>
      </c>
      <c r="P57" s="100">
        <f t="shared" si="7"/>
        <v>0</v>
      </c>
      <c r="Q57" s="100">
        <f t="shared" si="1"/>
        <v>0</v>
      </c>
      <c r="R57" s="100" t="str">
        <f t="shared" si="8"/>
        <v/>
      </c>
      <c r="S57" s="100" t="str">
        <f t="shared" si="3"/>
        <v/>
      </c>
      <c r="T57" s="100" t="str">
        <f t="shared" si="4"/>
        <v/>
      </c>
      <c r="U57" s="100" t="str">
        <f t="shared" si="5"/>
        <v>Failed in 6 Subjects</v>
      </c>
      <c r="V57" s="100" t="str">
        <f t="shared" si="6"/>
        <v/>
      </c>
      <c r="W57" s="100" t="str">
        <f>'Detailed Summary'!BK56</f>
        <v/>
      </c>
    </row>
    <row r="58" spans="1:23" ht="18.5" hidden="1" x14ac:dyDescent="0.45">
      <c r="A58" s="100"/>
      <c r="B58" s="100">
        <f>'Student Basic Info'!A57</f>
        <v>756</v>
      </c>
      <c r="C58" s="100" t="str">
        <f>'Student Basic Info'!C57</f>
        <v>Fahmida Tabassum</v>
      </c>
      <c r="D58" s="100">
        <f>Bangla!G57</f>
        <v>3</v>
      </c>
      <c r="E58" s="100">
        <f>English!F57</f>
        <v>1</v>
      </c>
      <c r="F58" s="100">
        <f>ICT!H57</f>
        <v>0</v>
      </c>
      <c r="G58" s="100">
        <f>Physics!H57</f>
        <v>3</v>
      </c>
      <c r="H58" s="100">
        <f>Chemistry!H57</f>
        <v>0</v>
      </c>
      <c r="I58" s="100">
        <f>Biology!H57</f>
        <v>0</v>
      </c>
      <c r="J58" s="100">
        <f>Math!H57</f>
        <v>0</v>
      </c>
      <c r="K58" s="100">
        <f t="shared" si="7"/>
        <v>1</v>
      </c>
      <c r="L58" s="100">
        <f t="shared" si="7"/>
        <v>1</v>
      </c>
      <c r="M58" s="100">
        <f t="shared" si="7"/>
        <v>0</v>
      </c>
      <c r="N58" s="100">
        <f t="shared" si="7"/>
        <v>1</v>
      </c>
      <c r="O58" s="100">
        <f t="shared" si="7"/>
        <v>0</v>
      </c>
      <c r="P58" s="100">
        <f t="shared" si="7"/>
        <v>0</v>
      </c>
      <c r="Q58" s="100">
        <f t="shared" si="1"/>
        <v>3</v>
      </c>
      <c r="R58" s="100" t="str">
        <f t="shared" si="8"/>
        <v/>
      </c>
      <c r="S58" s="100" t="str">
        <f t="shared" si="3"/>
        <v/>
      </c>
      <c r="T58" s="100" t="str">
        <f t="shared" si="4"/>
        <v/>
      </c>
      <c r="U58" s="100" t="str">
        <f t="shared" si="5"/>
        <v>Failed in 3 Subjects</v>
      </c>
      <c r="V58" s="100" t="str">
        <f t="shared" si="6"/>
        <v/>
      </c>
      <c r="W58" s="100" t="str">
        <f>'Detailed Summary'!BK57</f>
        <v/>
      </c>
    </row>
    <row r="59" spans="1:23" ht="18.5" hidden="1" x14ac:dyDescent="0.45">
      <c r="A59" s="100"/>
      <c r="B59" s="100">
        <f>'Student Basic Info'!A58</f>
        <v>757</v>
      </c>
      <c r="C59" s="100" t="str">
        <f>'Student Basic Info'!C58</f>
        <v>Meheraj Uddin</v>
      </c>
      <c r="D59" s="100">
        <f>Bangla!G58</f>
        <v>0</v>
      </c>
      <c r="E59" s="100">
        <f>English!F58</f>
        <v>0</v>
      </c>
      <c r="F59" s="100">
        <f>ICT!H58</f>
        <v>0</v>
      </c>
      <c r="G59" s="100">
        <f>Physics!H58</f>
        <v>0</v>
      </c>
      <c r="H59" s="100">
        <f>Chemistry!H58</f>
        <v>0</v>
      </c>
      <c r="I59" s="100">
        <f>Biology!H58</f>
        <v>0</v>
      </c>
      <c r="J59" s="100">
        <f>Math!H58</f>
        <v>0</v>
      </c>
      <c r="K59" s="100">
        <f t="shared" si="7"/>
        <v>0</v>
      </c>
      <c r="L59" s="100">
        <f t="shared" si="7"/>
        <v>0</v>
      </c>
      <c r="M59" s="100">
        <f t="shared" si="7"/>
        <v>0</v>
      </c>
      <c r="N59" s="100">
        <f t="shared" si="7"/>
        <v>0</v>
      </c>
      <c r="O59" s="100">
        <f t="shared" si="7"/>
        <v>0</v>
      </c>
      <c r="P59" s="100">
        <f t="shared" si="7"/>
        <v>0</v>
      </c>
      <c r="Q59" s="100">
        <f t="shared" si="1"/>
        <v>0</v>
      </c>
      <c r="R59" s="100" t="str">
        <f t="shared" si="8"/>
        <v/>
      </c>
      <c r="S59" s="100" t="str">
        <f t="shared" si="3"/>
        <v/>
      </c>
      <c r="T59" s="100" t="str">
        <f t="shared" si="4"/>
        <v/>
      </c>
      <c r="U59" s="100" t="str">
        <f t="shared" si="5"/>
        <v>Failed in 6 Subjects</v>
      </c>
      <c r="V59" s="100" t="str">
        <f t="shared" si="6"/>
        <v/>
      </c>
      <c r="W59" s="100" t="str">
        <f>'Detailed Summary'!BK58</f>
        <v/>
      </c>
    </row>
    <row r="60" spans="1:23" ht="18.5" hidden="1" x14ac:dyDescent="0.45">
      <c r="A60" s="100"/>
      <c r="B60" s="100">
        <f>'Student Basic Info'!A59</f>
        <v>758</v>
      </c>
      <c r="C60" s="100" t="str">
        <f>'Student Basic Info'!C59</f>
        <v>Naimur Rahman</v>
      </c>
      <c r="D60" s="100">
        <f>Bangla!G59</f>
        <v>1</v>
      </c>
      <c r="E60" s="100">
        <f>English!F59</f>
        <v>2</v>
      </c>
      <c r="F60" s="100">
        <f>ICT!H59</f>
        <v>0</v>
      </c>
      <c r="G60" s="100">
        <f>Physics!H59</f>
        <v>0</v>
      </c>
      <c r="H60" s="100">
        <f>Chemistry!H59</f>
        <v>0</v>
      </c>
      <c r="I60" s="100">
        <f>Biology!H59</f>
        <v>0</v>
      </c>
      <c r="J60" s="100">
        <f>Math!H59</f>
        <v>0</v>
      </c>
      <c r="K60" s="100">
        <f t="shared" si="7"/>
        <v>1</v>
      </c>
      <c r="L60" s="100">
        <f t="shared" si="7"/>
        <v>1</v>
      </c>
      <c r="M60" s="100">
        <f t="shared" si="7"/>
        <v>0</v>
      </c>
      <c r="N60" s="100">
        <f t="shared" si="7"/>
        <v>0</v>
      </c>
      <c r="O60" s="100">
        <f t="shared" si="7"/>
        <v>0</v>
      </c>
      <c r="P60" s="100">
        <f t="shared" si="7"/>
        <v>0</v>
      </c>
      <c r="Q60" s="100">
        <f t="shared" si="1"/>
        <v>2</v>
      </c>
      <c r="R60" s="100" t="str">
        <f t="shared" si="8"/>
        <v/>
      </c>
      <c r="S60" s="100" t="str">
        <f t="shared" si="3"/>
        <v/>
      </c>
      <c r="T60" s="100" t="str">
        <f t="shared" si="4"/>
        <v/>
      </c>
      <c r="U60" s="100" t="str">
        <f t="shared" si="5"/>
        <v>Failed in 4 Subjects</v>
      </c>
      <c r="V60" s="100" t="str">
        <f t="shared" si="6"/>
        <v/>
      </c>
      <c r="W60" s="100" t="str">
        <f>'Detailed Summary'!BK59</f>
        <v/>
      </c>
    </row>
    <row r="61" spans="1:23" ht="18.5" hidden="1" x14ac:dyDescent="0.45">
      <c r="A61" s="100"/>
      <c r="B61" s="100">
        <f>'Student Basic Info'!A60</f>
        <v>759</v>
      </c>
      <c r="C61" s="100" t="str">
        <f>'Student Basic Info'!C60</f>
        <v>Amzad Hosain</v>
      </c>
      <c r="D61" s="100">
        <f>Bangla!G60</f>
        <v>3.5</v>
      </c>
      <c r="E61" s="100">
        <f>English!F60</f>
        <v>1</v>
      </c>
      <c r="F61" s="100">
        <f>ICT!H60</f>
        <v>5</v>
      </c>
      <c r="G61" s="100">
        <f>Physics!H60</f>
        <v>3.5</v>
      </c>
      <c r="H61" s="100">
        <f>Chemistry!H60</f>
        <v>5</v>
      </c>
      <c r="I61" s="100">
        <f>Biology!H60</f>
        <v>3</v>
      </c>
      <c r="J61" s="100">
        <f>Math!H60</f>
        <v>5</v>
      </c>
      <c r="K61" s="100">
        <f t="shared" si="7"/>
        <v>1</v>
      </c>
      <c r="L61" s="100">
        <f t="shared" si="7"/>
        <v>1</v>
      </c>
      <c r="M61" s="100">
        <f t="shared" si="7"/>
        <v>1</v>
      </c>
      <c r="N61" s="100">
        <f t="shared" si="7"/>
        <v>1</v>
      </c>
      <c r="O61" s="100">
        <f t="shared" si="7"/>
        <v>1</v>
      </c>
      <c r="P61" s="100">
        <f t="shared" si="7"/>
        <v>1</v>
      </c>
      <c r="Q61" s="100">
        <f t="shared" si="1"/>
        <v>6</v>
      </c>
      <c r="R61" s="100">
        <f t="shared" si="8"/>
        <v>21</v>
      </c>
      <c r="S61" s="100">
        <f t="shared" si="3"/>
        <v>26</v>
      </c>
      <c r="T61" s="100">
        <f t="shared" si="4"/>
        <v>3.5</v>
      </c>
      <c r="U61" s="100" t="str">
        <f t="shared" si="5"/>
        <v>Pass</v>
      </c>
      <c r="V61" s="100">
        <f t="shared" si="6"/>
        <v>4.333333333333333</v>
      </c>
      <c r="W61" s="100">
        <f>'Detailed Summary'!BK60</f>
        <v>2</v>
      </c>
    </row>
    <row r="62" spans="1:23" ht="18.5" hidden="1" x14ac:dyDescent="0.45">
      <c r="A62" s="100"/>
      <c r="B62" s="100">
        <f>'Student Basic Info'!A61</f>
        <v>760</v>
      </c>
      <c r="C62" s="100" t="str">
        <f>'Student Basic Info'!C61</f>
        <v>Imdadul Haque Zidan</v>
      </c>
      <c r="D62" s="100">
        <f>Bangla!G61</f>
        <v>1</v>
      </c>
      <c r="E62" s="100">
        <f>English!F61</f>
        <v>1</v>
      </c>
      <c r="F62" s="100" t="str">
        <f>ICT!H61</f>
        <v/>
      </c>
      <c r="G62" s="100">
        <f>Physics!H61</f>
        <v>0</v>
      </c>
      <c r="H62" s="100">
        <f>Chemistry!H61</f>
        <v>3</v>
      </c>
      <c r="I62" s="100">
        <f>Biology!H61</f>
        <v>0</v>
      </c>
      <c r="J62" s="100">
        <f>Math!H61</f>
        <v>0</v>
      </c>
      <c r="K62" s="100">
        <f t="shared" si="7"/>
        <v>1</v>
      </c>
      <c r="L62" s="100">
        <f t="shared" si="7"/>
        <v>1</v>
      </c>
      <c r="M62" s="100">
        <f t="shared" si="7"/>
        <v>0</v>
      </c>
      <c r="N62" s="100">
        <f t="shared" si="7"/>
        <v>0</v>
      </c>
      <c r="O62" s="100">
        <f t="shared" si="7"/>
        <v>1</v>
      </c>
      <c r="P62" s="100">
        <f t="shared" si="7"/>
        <v>0</v>
      </c>
      <c r="Q62" s="100">
        <f t="shared" si="1"/>
        <v>3</v>
      </c>
      <c r="R62" s="100" t="str">
        <f t="shared" si="8"/>
        <v/>
      </c>
      <c r="S62" s="100" t="str">
        <f t="shared" si="3"/>
        <v/>
      </c>
      <c r="T62" s="100" t="str">
        <f t="shared" si="4"/>
        <v/>
      </c>
      <c r="U62" s="100" t="str">
        <f t="shared" si="5"/>
        <v>Failed in 3 Subjects</v>
      </c>
      <c r="V62" s="100" t="str">
        <f t="shared" si="6"/>
        <v/>
      </c>
      <c r="W62" s="100" t="str">
        <f>'Detailed Summary'!BK61</f>
        <v/>
      </c>
    </row>
    <row r="63" spans="1:23" ht="18.5" hidden="1" x14ac:dyDescent="0.45">
      <c r="A63" s="100"/>
      <c r="B63" s="100">
        <f>'Student Basic Info'!A62</f>
        <v>761</v>
      </c>
      <c r="C63" s="100" t="str">
        <f>'Student Basic Info'!C62</f>
        <v>Nazmul Haque Sayem</v>
      </c>
      <c r="D63" s="100">
        <f>Bangla!G62</f>
        <v>1</v>
      </c>
      <c r="E63" s="100">
        <f>English!F62</f>
        <v>1</v>
      </c>
      <c r="F63" s="100">
        <f>ICT!H62</f>
        <v>3.5</v>
      </c>
      <c r="G63" s="100">
        <f>Physics!H62</f>
        <v>0</v>
      </c>
      <c r="H63" s="100" t="str">
        <f>Chemistry!H62</f>
        <v/>
      </c>
      <c r="I63" s="100">
        <f>Biology!H62</f>
        <v>0</v>
      </c>
      <c r="J63" s="100">
        <f>Math!H62</f>
        <v>0</v>
      </c>
      <c r="K63" s="100">
        <f t="shared" si="7"/>
        <v>1</v>
      </c>
      <c r="L63" s="100">
        <f t="shared" si="7"/>
        <v>1</v>
      </c>
      <c r="M63" s="100">
        <f t="shared" si="7"/>
        <v>1</v>
      </c>
      <c r="N63" s="100">
        <f t="shared" si="7"/>
        <v>0</v>
      </c>
      <c r="O63" s="100">
        <f t="shared" si="7"/>
        <v>0</v>
      </c>
      <c r="P63" s="100">
        <f t="shared" si="7"/>
        <v>0</v>
      </c>
      <c r="Q63" s="100">
        <f t="shared" si="1"/>
        <v>3</v>
      </c>
      <c r="R63" s="100" t="str">
        <f t="shared" si="8"/>
        <v/>
      </c>
      <c r="S63" s="100" t="str">
        <f t="shared" si="3"/>
        <v/>
      </c>
      <c r="T63" s="100" t="str">
        <f t="shared" si="4"/>
        <v/>
      </c>
      <c r="U63" s="100" t="str">
        <f t="shared" si="5"/>
        <v>Failed in 3 Subjects</v>
      </c>
      <c r="V63" s="100" t="str">
        <f t="shared" si="6"/>
        <v/>
      </c>
      <c r="W63" s="100" t="str">
        <f>'Detailed Summary'!BK62</f>
        <v/>
      </c>
    </row>
    <row r="64" spans="1:23" ht="18.5" hidden="1" x14ac:dyDescent="0.45">
      <c r="A64" s="100"/>
      <c r="B64" s="100">
        <f>'Student Basic Info'!A63</f>
        <v>762</v>
      </c>
      <c r="C64" s="100" t="str">
        <f>'Student Basic Info'!C63</f>
        <v>Sadbin Hasan Shourov</v>
      </c>
      <c r="D64" s="100">
        <f>Bangla!G63</f>
        <v>1</v>
      </c>
      <c r="E64" s="100">
        <f>English!F63</f>
        <v>2</v>
      </c>
      <c r="F64" s="100">
        <f>ICT!H63</f>
        <v>3.5</v>
      </c>
      <c r="G64" s="100">
        <f>Physics!H63</f>
        <v>0</v>
      </c>
      <c r="H64" s="100">
        <f>Chemistry!H63</f>
        <v>2</v>
      </c>
      <c r="I64" s="100">
        <f>Biology!H63</f>
        <v>0</v>
      </c>
      <c r="J64" s="100">
        <f>Math!H63</f>
        <v>0</v>
      </c>
      <c r="K64" s="100">
        <f t="shared" si="7"/>
        <v>1</v>
      </c>
      <c r="L64" s="100">
        <f t="shared" si="7"/>
        <v>1</v>
      </c>
      <c r="M64" s="100">
        <f t="shared" si="7"/>
        <v>1</v>
      </c>
      <c r="N64" s="100">
        <f t="shared" si="7"/>
        <v>0</v>
      </c>
      <c r="O64" s="100">
        <f t="shared" si="7"/>
        <v>1</v>
      </c>
      <c r="P64" s="100">
        <f t="shared" si="7"/>
        <v>0</v>
      </c>
      <c r="Q64" s="100">
        <f t="shared" si="1"/>
        <v>4</v>
      </c>
      <c r="R64" s="100" t="str">
        <f t="shared" si="8"/>
        <v/>
      </c>
      <c r="S64" s="100" t="str">
        <f t="shared" si="3"/>
        <v/>
      </c>
      <c r="T64" s="100" t="str">
        <f t="shared" si="4"/>
        <v/>
      </c>
      <c r="U64" s="100" t="str">
        <f t="shared" si="5"/>
        <v>Failed in 2 Subjects</v>
      </c>
      <c r="V64" s="100" t="str">
        <f t="shared" si="6"/>
        <v/>
      </c>
      <c r="W64" s="100" t="str">
        <f>'Detailed Summary'!BK63</f>
        <v/>
      </c>
    </row>
    <row r="65" spans="1:23" ht="18.5" hidden="1" x14ac:dyDescent="0.45">
      <c r="A65" s="100"/>
      <c r="B65" s="100">
        <f>'Student Basic Info'!A64</f>
        <v>763</v>
      </c>
      <c r="C65" s="100" t="str">
        <f>'Student Basic Info'!C64</f>
        <v>Sujayet Hosain</v>
      </c>
      <c r="D65" s="100">
        <f>Bangla!G64</f>
        <v>3</v>
      </c>
      <c r="E65" s="100">
        <f>English!F64</f>
        <v>1</v>
      </c>
      <c r="F65" s="100">
        <f>ICT!H64</f>
        <v>0</v>
      </c>
      <c r="G65" s="100">
        <f>Physics!H64</f>
        <v>0</v>
      </c>
      <c r="H65" s="100">
        <f>Chemistry!H64</f>
        <v>3</v>
      </c>
      <c r="I65" s="100">
        <f>Biology!H64</f>
        <v>3</v>
      </c>
      <c r="J65" s="100">
        <f>Math!H64</f>
        <v>0</v>
      </c>
      <c r="K65" s="100">
        <f t="shared" si="7"/>
        <v>1</v>
      </c>
      <c r="L65" s="100">
        <f t="shared" si="7"/>
        <v>1</v>
      </c>
      <c r="M65" s="100">
        <f t="shared" si="7"/>
        <v>0</v>
      </c>
      <c r="N65" s="100">
        <f t="shared" si="7"/>
        <v>0</v>
      </c>
      <c r="O65" s="100">
        <f t="shared" si="7"/>
        <v>1</v>
      </c>
      <c r="P65" s="100">
        <f t="shared" si="7"/>
        <v>1</v>
      </c>
      <c r="Q65" s="100">
        <f t="shared" si="1"/>
        <v>4</v>
      </c>
      <c r="R65" s="100" t="str">
        <f t="shared" si="8"/>
        <v/>
      </c>
      <c r="S65" s="100" t="str">
        <f t="shared" si="3"/>
        <v/>
      </c>
      <c r="T65" s="100" t="str">
        <f t="shared" si="4"/>
        <v/>
      </c>
      <c r="U65" s="100" t="str">
        <f t="shared" si="5"/>
        <v>Failed in 2 Subjects</v>
      </c>
      <c r="V65" s="100" t="str">
        <f t="shared" si="6"/>
        <v/>
      </c>
      <c r="W65" s="100" t="str">
        <f>'Detailed Summary'!BK64</f>
        <v/>
      </c>
    </row>
    <row r="66" spans="1:23" ht="18.5" hidden="1" x14ac:dyDescent="0.45">
      <c r="A66" s="100"/>
      <c r="B66" s="100">
        <f>'Student Basic Info'!A65</f>
        <v>764</v>
      </c>
      <c r="C66" s="100" t="str">
        <f>'Student Basic Info'!C65</f>
        <v>Kishor Chandra Nath</v>
      </c>
      <c r="D66" s="100">
        <f>Bangla!G65</f>
        <v>0</v>
      </c>
      <c r="E66" s="100">
        <f>English!F65</f>
        <v>0</v>
      </c>
      <c r="F66" s="100">
        <f>ICT!H65</f>
        <v>0</v>
      </c>
      <c r="G66" s="100">
        <f>Physics!H65</f>
        <v>0</v>
      </c>
      <c r="H66" s="100">
        <f>Chemistry!H65</f>
        <v>0</v>
      </c>
      <c r="I66" s="100">
        <f>Biology!H65</f>
        <v>0</v>
      </c>
      <c r="J66" s="100">
        <f>Math!H65</f>
        <v>0</v>
      </c>
      <c r="K66" s="100">
        <f t="shared" si="7"/>
        <v>0</v>
      </c>
      <c r="L66" s="100">
        <f t="shared" si="7"/>
        <v>0</v>
      </c>
      <c r="M66" s="100">
        <f t="shared" si="7"/>
        <v>0</v>
      </c>
      <c r="N66" s="100">
        <f t="shared" si="7"/>
        <v>0</v>
      </c>
      <c r="O66" s="100">
        <f t="shared" si="7"/>
        <v>0</v>
      </c>
      <c r="P66" s="100">
        <f t="shared" si="7"/>
        <v>0</v>
      </c>
      <c r="Q66" s="100">
        <f t="shared" si="1"/>
        <v>0</v>
      </c>
      <c r="R66" s="100" t="str">
        <f t="shared" si="8"/>
        <v/>
      </c>
      <c r="S66" s="100" t="str">
        <f t="shared" si="3"/>
        <v/>
      </c>
      <c r="T66" s="100" t="str">
        <f t="shared" si="4"/>
        <v/>
      </c>
      <c r="U66" s="100" t="str">
        <f t="shared" si="5"/>
        <v>Failed in 6 Subjects</v>
      </c>
      <c r="V66" s="100" t="str">
        <f t="shared" si="6"/>
        <v/>
      </c>
      <c r="W66" s="100" t="str">
        <f>'Detailed Summary'!BK65</f>
        <v/>
      </c>
    </row>
    <row r="67" spans="1:23" ht="18.5" hidden="1" x14ac:dyDescent="0.45">
      <c r="A67" s="100"/>
      <c r="B67" s="100">
        <f>'Student Basic Info'!A66</f>
        <v>765</v>
      </c>
      <c r="C67" s="100" t="str">
        <f>'Student Basic Info'!C66</f>
        <v>Apurbo Shorma Apu</v>
      </c>
      <c r="D67" s="100">
        <f>Bangla!G66</f>
        <v>3</v>
      </c>
      <c r="E67" s="100">
        <f>English!F66</f>
        <v>3</v>
      </c>
      <c r="F67" s="100">
        <f>ICT!H66</f>
        <v>4</v>
      </c>
      <c r="G67" s="100">
        <f>Physics!H66</f>
        <v>3</v>
      </c>
      <c r="H67" s="100">
        <f>Chemistry!H66</f>
        <v>4</v>
      </c>
      <c r="I67" s="100">
        <f>Biology!H66</f>
        <v>3</v>
      </c>
      <c r="J67" s="100">
        <f>Math!H66</f>
        <v>0</v>
      </c>
      <c r="K67" s="100">
        <f t="shared" ref="K67:P89" si="9">(IF(D67="",0,IF(D67=0,0,1)))</f>
        <v>1</v>
      </c>
      <c r="L67" s="100">
        <f t="shared" si="9"/>
        <v>1</v>
      </c>
      <c r="M67" s="100">
        <f t="shared" si="9"/>
        <v>1</v>
      </c>
      <c r="N67" s="100">
        <f t="shared" si="9"/>
        <v>1</v>
      </c>
      <c r="O67" s="100">
        <f t="shared" si="9"/>
        <v>1</v>
      </c>
      <c r="P67" s="100">
        <f t="shared" si="9"/>
        <v>1</v>
      </c>
      <c r="Q67" s="100">
        <f t="shared" ref="Q67:Q89" si="10">SUM(K67:P67)</f>
        <v>6</v>
      </c>
      <c r="R67" s="100">
        <f t="shared" ref="R67:R89" si="11">IF(OR(D67=0,E67=0,F67=0,G67=0,H67=0,I67=0,D67="",E67="",F67="",G67="",H67="",I67=""),"",SUM(D67:I67))</f>
        <v>20</v>
      </c>
      <c r="S67" s="100">
        <f t="shared" ref="S67:S89" si="12">IF(OR(D67=0,E67=0,F67=0,G67=0,H67=0,I67=0,D67="",E67="",F67="",G67="",H67="",I67=""),"",SUM(D67:J67))</f>
        <v>20</v>
      </c>
      <c r="T67" s="100">
        <f t="shared" ref="T67:T89" si="13">IF(R67="","",IF(((R67/6)&gt;5),5,R67/6))</f>
        <v>3.3333333333333335</v>
      </c>
      <c r="U67" s="100" t="str">
        <f t="shared" ref="U67:U89" si="14">IF(Q67=0,"Failed in 6 Subjects",IF(Q67=1,"Failed in 5 Subjects",IF(Q67=2,"Failed in 4 Subjects",IF(Q67=3,"Failed in 3 Subjects",IF(Q67=4,"Failed in 2 Subjects",IF(Q67=5,"Failed in 1 Subject","Pass"))))))</f>
        <v>Pass</v>
      </c>
      <c r="V67" s="100">
        <f t="shared" ref="V67:V89" si="15">IF(S67="","",IF(((S67/6)&gt;5),5,S67/6))</f>
        <v>3.3333333333333335</v>
      </c>
      <c r="W67" s="100">
        <f>'Detailed Summary'!BK66</f>
        <v>5</v>
      </c>
    </row>
    <row r="68" spans="1:23" ht="18.5" hidden="1" x14ac:dyDescent="0.45">
      <c r="A68" s="100"/>
      <c r="B68" s="100">
        <f>'Student Basic Info'!A67</f>
        <v>766</v>
      </c>
      <c r="C68" s="100" t="str">
        <f>'Student Basic Info'!C67</f>
        <v xml:space="preserve">Md. Ibrahim Khalil </v>
      </c>
      <c r="D68" s="100">
        <f>Bangla!G67</f>
        <v>3</v>
      </c>
      <c r="E68" s="100">
        <f>English!F67</f>
        <v>2</v>
      </c>
      <c r="F68" s="100">
        <f>ICT!H67</f>
        <v>3.5</v>
      </c>
      <c r="G68" s="100">
        <f>Physics!H67</f>
        <v>4</v>
      </c>
      <c r="H68" s="100">
        <f>Chemistry!H67</f>
        <v>3.5</v>
      </c>
      <c r="I68" s="100">
        <f>Biology!H67</f>
        <v>3</v>
      </c>
      <c r="J68" s="100">
        <f>Math!H67</f>
        <v>0</v>
      </c>
      <c r="K68" s="100">
        <f t="shared" si="9"/>
        <v>1</v>
      </c>
      <c r="L68" s="100">
        <f t="shared" si="9"/>
        <v>1</v>
      </c>
      <c r="M68" s="100">
        <f t="shared" si="9"/>
        <v>1</v>
      </c>
      <c r="N68" s="100">
        <f t="shared" si="9"/>
        <v>1</v>
      </c>
      <c r="O68" s="100">
        <f t="shared" si="9"/>
        <v>1</v>
      </c>
      <c r="P68" s="100">
        <f t="shared" si="9"/>
        <v>1</v>
      </c>
      <c r="Q68" s="100">
        <f t="shared" si="10"/>
        <v>6</v>
      </c>
      <c r="R68" s="100">
        <f t="shared" si="11"/>
        <v>19</v>
      </c>
      <c r="S68" s="100">
        <f t="shared" si="12"/>
        <v>19</v>
      </c>
      <c r="T68" s="100">
        <f t="shared" si="13"/>
        <v>3.1666666666666665</v>
      </c>
      <c r="U68" s="100" t="str">
        <f t="shared" si="14"/>
        <v>Pass</v>
      </c>
      <c r="V68" s="100">
        <f t="shared" si="15"/>
        <v>3.1666666666666665</v>
      </c>
      <c r="W68" s="100">
        <f>'Detailed Summary'!BK67</f>
        <v>7</v>
      </c>
    </row>
    <row r="69" spans="1:23" ht="18.5" hidden="1" x14ac:dyDescent="0.45">
      <c r="A69" s="100"/>
      <c r="B69" s="100">
        <f>'Student Basic Info'!A68</f>
        <v>767</v>
      </c>
      <c r="C69" s="100" t="str">
        <f>'Student Basic Info'!C68</f>
        <v>Ayman Mahmud Tawsif</v>
      </c>
      <c r="D69" s="100">
        <f>Bangla!G68</f>
        <v>3.5</v>
      </c>
      <c r="E69" s="100">
        <f>English!F68</f>
        <v>3</v>
      </c>
      <c r="F69" s="100">
        <f>ICT!H68</f>
        <v>4</v>
      </c>
      <c r="G69" s="100">
        <f>Physics!H68</f>
        <v>4</v>
      </c>
      <c r="H69" s="100">
        <f>Chemistry!H68</f>
        <v>3</v>
      </c>
      <c r="I69" s="100">
        <f>Biology!H68</f>
        <v>3</v>
      </c>
      <c r="J69" s="100">
        <f>Math!H68</f>
        <v>0</v>
      </c>
      <c r="K69" s="100">
        <f t="shared" si="9"/>
        <v>1</v>
      </c>
      <c r="L69" s="100">
        <f t="shared" si="9"/>
        <v>1</v>
      </c>
      <c r="M69" s="100">
        <f t="shared" si="9"/>
        <v>1</v>
      </c>
      <c r="N69" s="100">
        <f t="shared" si="9"/>
        <v>1</v>
      </c>
      <c r="O69" s="100">
        <f t="shared" si="9"/>
        <v>1</v>
      </c>
      <c r="P69" s="100">
        <f t="shared" si="9"/>
        <v>1</v>
      </c>
      <c r="Q69" s="100">
        <f t="shared" si="10"/>
        <v>6</v>
      </c>
      <c r="R69" s="100">
        <f t="shared" si="11"/>
        <v>20.5</v>
      </c>
      <c r="S69" s="100">
        <f t="shared" si="12"/>
        <v>20.5</v>
      </c>
      <c r="T69" s="100">
        <f t="shared" si="13"/>
        <v>3.4166666666666665</v>
      </c>
      <c r="U69" s="100" t="str">
        <f t="shared" si="14"/>
        <v>Pass</v>
      </c>
      <c r="V69" s="100">
        <f t="shared" si="15"/>
        <v>3.4166666666666665</v>
      </c>
      <c r="W69" s="100">
        <f>'Detailed Summary'!BK68</f>
        <v>4</v>
      </c>
    </row>
    <row r="70" spans="1:23" ht="18.5" hidden="1" x14ac:dyDescent="0.45">
      <c r="A70" s="100"/>
      <c r="B70" s="100">
        <f>'Student Basic Info'!A69</f>
        <v>768</v>
      </c>
      <c r="C70" s="100" t="str">
        <f>'Student Basic Info'!C69</f>
        <v>Tanvir Hosain</v>
      </c>
      <c r="D70" s="100">
        <f>Bangla!G69</f>
        <v>2</v>
      </c>
      <c r="E70" s="100">
        <f>English!F69</f>
        <v>0</v>
      </c>
      <c r="F70" s="100">
        <f>ICT!H69</f>
        <v>3</v>
      </c>
      <c r="G70" s="100">
        <f>Physics!H69</f>
        <v>3</v>
      </c>
      <c r="H70" s="100">
        <f>Chemistry!H69</f>
        <v>0</v>
      </c>
      <c r="I70" s="100">
        <f>Biology!H69</f>
        <v>2</v>
      </c>
      <c r="J70" s="100">
        <f>Math!H69</f>
        <v>0</v>
      </c>
      <c r="K70" s="100">
        <f t="shared" si="9"/>
        <v>1</v>
      </c>
      <c r="L70" s="100">
        <f t="shared" si="9"/>
        <v>0</v>
      </c>
      <c r="M70" s="100">
        <f t="shared" si="9"/>
        <v>1</v>
      </c>
      <c r="N70" s="100">
        <f t="shared" si="9"/>
        <v>1</v>
      </c>
      <c r="O70" s="100">
        <f t="shared" si="9"/>
        <v>0</v>
      </c>
      <c r="P70" s="100">
        <f t="shared" si="9"/>
        <v>1</v>
      </c>
      <c r="Q70" s="100">
        <f t="shared" si="10"/>
        <v>4</v>
      </c>
      <c r="R70" s="100" t="str">
        <f t="shared" si="11"/>
        <v/>
      </c>
      <c r="S70" s="100" t="str">
        <f t="shared" si="12"/>
        <v/>
      </c>
      <c r="T70" s="100" t="str">
        <f t="shared" si="13"/>
        <v/>
      </c>
      <c r="U70" s="100" t="str">
        <f t="shared" si="14"/>
        <v>Failed in 2 Subjects</v>
      </c>
      <c r="V70" s="100" t="str">
        <f t="shared" si="15"/>
        <v/>
      </c>
      <c r="W70" s="100" t="str">
        <f>'Detailed Summary'!BK69</f>
        <v/>
      </c>
    </row>
    <row r="71" spans="1:23" ht="18.5" hidden="1" x14ac:dyDescent="0.45">
      <c r="A71" s="100"/>
      <c r="B71" s="100">
        <f>'Student Basic Info'!A70</f>
        <v>769</v>
      </c>
      <c r="C71" s="100" t="str">
        <f>'Student Basic Info'!C70</f>
        <v>Abdullah Al Noman</v>
      </c>
      <c r="D71" s="100" t="str">
        <f>Bangla!G70</f>
        <v/>
      </c>
      <c r="E71" s="100" t="str">
        <f>English!F70</f>
        <v/>
      </c>
      <c r="F71" s="100" t="str">
        <f>ICT!H70</f>
        <v/>
      </c>
      <c r="G71" s="100" t="str">
        <f>Physics!H70</f>
        <v/>
      </c>
      <c r="H71" s="100">
        <f>Chemistry!H70</f>
        <v>0</v>
      </c>
      <c r="I71" s="100" t="str">
        <f>Biology!H70</f>
        <v/>
      </c>
      <c r="J71" s="100">
        <f>Math!H70</f>
        <v>0</v>
      </c>
      <c r="K71" s="100">
        <f t="shared" si="9"/>
        <v>0</v>
      </c>
      <c r="L71" s="100">
        <f t="shared" si="9"/>
        <v>0</v>
      </c>
      <c r="M71" s="100">
        <f t="shared" si="9"/>
        <v>0</v>
      </c>
      <c r="N71" s="100">
        <f t="shared" si="9"/>
        <v>0</v>
      </c>
      <c r="O71" s="100">
        <f t="shared" si="9"/>
        <v>0</v>
      </c>
      <c r="P71" s="100">
        <f t="shared" si="9"/>
        <v>0</v>
      </c>
      <c r="Q71" s="100">
        <f t="shared" si="10"/>
        <v>0</v>
      </c>
      <c r="R71" s="100" t="str">
        <f t="shared" si="11"/>
        <v/>
      </c>
      <c r="S71" s="100" t="str">
        <f t="shared" si="12"/>
        <v/>
      </c>
      <c r="T71" s="100" t="str">
        <f t="shared" si="13"/>
        <v/>
      </c>
      <c r="U71" s="100" t="str">
        <f t="shared" si="14"/>
        <v>Failed in 6 Subjects</v>
      </c>
      <c r="V71" s="100" t="str">
        <f t="shared" si="15"/>
        <v/>
      </c>
      <c r="W71" s="100" t="str">
        <f>'Detailed Summary'!BK70</f>
        <v/>
      </c>
    </row>
    <row r="72" spans="1:23" ht="18.5" hidden="1" x14ac:dyDescent="0.45">
      <c r="A72" s="100"/>
      <c r="B72" s="100">
        <f>'Student Basic Info'!A71</f>
        <v>770</v>
      </c>
      <c r="C72" s="100" t="str">
        <f>'Student Basic Info'!C71</f>
        <v>Ashraf Uddal</v>
      </c>
      <c r="D72" s="100">
        <f>Bangla!G71</f>
        <v>0</v>
      </c>
      <c r="E72" s="100">
        <f>English!F71</f>
        <v>0</v>
      </c>
      <c r="F72" s="100">
        <f>ICT!H71</f>
        <v>0</v>
      </c>
      <c r="G72" s="100">
        <f>Physics!H71</f>
        <v>0</v>
      </c>
      <c r="H72" s="100" t="str">
        <f>Chemistry!H71</f>
        <v/>
      </c>
      <c r="I72" s="100">
        <f>Biology!H71</f>
        <v>0</v>
      </c>
      <c r="J72" s="100">
        <f>Math!H71</f>
        <v>0</v>
      </c>
      <c r="K72" s="100">
        <f t="shared" si="9"/>
        <v>0</v>
      </c>
      <c r="L72" s="100">
        <f t="shared" si="9"/>
        <v>0</v>
      </c>
      <c r="M72" s="100">
        <f t="shared" si="9"/>
        <v>0</v>
      </c>
      <c r="N72" s="100">
        <f t="shared" si="9"/>
        <v>0</v>
      </c>
      <c r="O72" s="100">
        <f t="shared" si="9"/>
        <v>0</v>
      </c>
      <c r="P72" s="100">
        <f t="shared" si="9"/>
        <v>0</v>
      </c>
      <c r="Q72" s="100">
        <f t="shared" si="10"/>
        <v>0</v>
      </c>
      <c r="R72" s="100" t="str">
        <f t="shared" si="11"/>
        <v/>
      </c>
      <c r="S72" s="100" t="str">
        <f t="shared" si="12"/>
        <v/>
      </c>
      <c r="T72" s="100" t="str">
        <f t="shared" si="13"/>
        <v/>
      </c>
      <c r="U72" s="100" t="str">
        <f t="shared" si="14"/>
        <v>Failed in 6 Subjects</v>
      </c>
      <c r="V72" s="100" t="str">
        <f t="shared" si="15"/>
        <v/>
      </c>
      <c r="W72" s="100" t="str">
        <f>'Detailed Summary'!BK71</f>
        <v/>
      </c>
    </row>
    <row r="73" spans="1:23" ht="18.5" hidden="1" x14ac:dyDescent="0.45">
      <c r="A73" s="100"/>
      <c r="B73" s="100">
        <f>'Student Basic Info'!A72</f>
        <v>771</v>
      </c>
      <c r="C73" s="100" t="str">
        <f>'Student Basic Info'!C72</f>
        <v>Mesfar Uddin Ripti</v>
      </c>
      <c r="D73" s="100" t="str">
        <f>Bangla!G72</f>
        <v/>
      </c>
      <c r="E73" s="100" t="str">
        <f>English!F72</f>
        <v/>
      </c>
      <c r="F73" s="100" t="str">
        <f>ICT!H72</f>
        <v/>
      </c>
      <c r="G73" s="100">
        <f>Physics!H72</f>
        <v>0</v>
      </c>
      <c r="H73" s="100" t="str">
        <f>Chemistry!H72</f>
        <v/>
      </c>
      <c r="I73" s="100">
        <f>Biology!H72</f>
        <v>0</v>
      </c>
      <c r="J73" s="100" t="str">
        <f>Math!H72</f>
        <v/>
      </c>
      <c r="K73" s="100">
        <f t="shared" si="9"/>
        <v>0</v>
      </c>
      <c r="L73" s="100">
        <f t="shared" si="9"/>
        <v>0</v>
      </c>
      <c r="M73" s="100">
        <f t="shared" si="9"/>
        <v>0</v>
      </c>
      <c r="N73" s="100">
        <f t="shared" si="9"/>
        <v>0</v>
      </c>
      <c r="O73" s="100">
        <f t="shared" si="9"/>
        <v>0</v>
      </c>
      <c r="P73" s="100">
        <f t="shared" si="9"/>
        <v>0</v>
      </c>
      <c r="Q73" s="100">
        <f t="shared" si="10"/>
        <v>0</v>
      </c>
      <c r="R73" s="100" t="str">
        <f t="shared" si="11"/>
        <v/>
      </c>
      <c r="S73" s="100" t="str">
        <f t="shared" si="12"/>
        <v/>
      </c>
      <c r="T73" s="100" t="str">
        <f t="shared" si="13"/>
        <v/>
      </c>
      <c r="U73" s="100" t="str">
        <f t="shared" si="14"/>
        <v>Failed in 6 Subjects</v>
      </c>
      <c r="V73" s="100" t="str">
        <f t="shared" si="15"/>
        <v/>
      </c>
      <c r="W73" s="100" t="str">
        <f>'Detailed Summary'!BK72</f>
        <v/>
      </c>
    </row>
    <row r="74" spans="1:23" ht="18.5" hidden="1" x14ac:dyDescent="0.45">
      <c r="A74" s="100"/>
      <c r="B74" s="100">
        <f>'Student Basic Info'!A73</f>
        <v>772</v>
      </c>
      <c r="C74" s="100" t="str">
        <f>'Student Basic Info'!C73</f>
        <v>Shoikot Chandra Shil</v>
      </c>
      <c r="D74" s="100">
        <f>Bangla!G73</f>
        <v>0</v>
      </c>
      <c r="E74" s="100">
        <f>English!F73</f>
        <v>0</v>
      </c>
      <c r="F74" s="100">
        <f>ICT!H73</f>
        <v>0</v>
      </c>
      <c r="G74" s="100">
        <f>Physics!H73</f>
        <v>0</v>
      </c>
      <c r="H74" s="100" t="str">
        <f>Chemistry!H73</f>
        <v/>
      </c>
      <c r="I74" s="100">
        <f>Biology!H73</f>
        <v>0</v>
      </c>
      <c r="J74" s="100">
        <f>Math!H73</f>
        <v>0</v>
      </c>
      <c r="K74" s="100">
        <f t="shared" si="9"/>
        <v>0</v>
      </c>
      <c r="L74" s="100">
        <f t="shared" si="9"/>
        <v>0</v>
      </c>
      <c r="M74" s="100">
        <f t="shared" si="9"/>
        <v>0</v>
      </c>
      <c r="N74" s="100">
        <f t="shared" si="9"/>
        <v>0</v>
      </c>
      <c r="O74" s="100">
        <f t="shared" si="9"/>
        <v>0</v>
      </c>
      <c r="P74" s="100">
        <f t="shared" si="9"/>
        <v>0</v>
      </c>
      <c r="Q74" s="100">
        <f t="shared" si="10"/>
        <v>0</v>
      </c>
      <c r="R74" s="100" t="str">
        <f t="shared" si="11"/>
        <v/>
      </c>
      <c r="S74" s="100" t="str">
        <f t="shared" si="12"/>
        <v/>
      </c>
      <c r="T74" s="100" t="str">
        <f t="shared" si="13"/>
        <v/>
      </c>
      <c r="U74" s="100" t="str">
        <f t="shared" si="14"/>
        <v>Failed in 6 Subjects</v>
      </c>
      <c r="V74" s="100" t="str">
        <f t="shared" si="15"/>
        <v/>
      </c>
      <c r="W74" s="100" t="str">
        <f>'Detailed Summary'!BK73</f>
        <v/>
      </c>
    </row>
    <row r="75" spans="1:23" ht="18.5" hidden="1" x14ac:dyDescent="0.45">
      <c r="A75" s="100"/>
      <c r="B75" s="100">
        <f>'Student Basic Info'!A74</f>
        <v>773</v>
      </c>
      <c r="C75" s="100" t="str">
        <f>'Student Basic Info'!C74</f>
        <v>Shourov Chandra Shil</v>
      </c>
      <c r="D75" s="100">
        <f>Bangla!G74</f>
        <v>0</v>
      </c>
      <c r="E75" s="100">
        <f>English!F74</f>
        <v>0</v>
      </c>
      <c r="F75" s="100">
        <f>ICT!H74</f>
        <v>0</v>
      </c>
      <c r="G75" s="100">
        <f>Physics!H74</f>
        <v>0</v>
      </c>
      <c r="H75" s="100" t="str">
        <f>Chemistry!H74</f>
        <v/>
      </c>
      <c r="I75" s="100">
        <f>Biology!H74</f>
        <v>0</v>
      </c>
      <c r="J75" s="100">
        <f>Math!H74</f>
        <v>0</v>
      </c>
      <c r="K75" s="100">
        <f t="shared" si="9"/>
        <v>0</v>
      </c>
      <c r="L75" s="100">
        <f t="shared" si="9"/>
        <v>0</v>
      </c>
      <c r="M75" s="100">
        <f t="shared" si="9"/>
        <v>0</v>
      </c>
      <c r="N75" s="100">
        <f t="shared" si="9"/>
        <v>0</v>
      </c>
      <c r="O75" s="100">
        <f t="shared" si="9"/>
        <v>0</v>
      </c>
      <c r="P75" s="100">
        <f t="shared" si="9"/>
        <v>0</v>
      </c>
      <c r="Q75" s="100">
        <f t="shared" si="10"/>
        <v>0</v>
      </c>
      <c r="R75" s="100" t="str">
        <f t="shared" si="11"/>
        <v/>
      </c>
      <c r="S75" s="100" t="str">
        <f t="shared" si="12"/>
        <v/>
      </c>
      <c r="T75" s="100" t="str">
        <f t="shared" si="13"/>
        <v/>
      </c>
      <c r="U75" s="100" t="str">
        <f t="shared" si="14"/>
        <v>Failed in 6 Subjects</v>
      </c>
      <c r="V75" s="100" t="str">
        <f t="shared" si="15"/>
        <v/>
      </c>
      <c r="W75" s="100" t="str">
        <f>'Detailed Summary'!BK74</f>
        <v/>
      </c>
    </row>
    <row r="76" spans="1:23" ht="18.5" hidden="1" x14ac:dyDescent="0.45">
      <c r="A76" s="100"/>
      <c r="B76" s="100">
        <f>'Student Basic Info'!A75</f>
        <v>774</v>
      </c>
      <c r="C76" s="100" t="str">
        <f>'Student Basic Info'!C75</f>
        <v>Nur Islam</v>
      </c>
      <c r="D76" s="100">
        <f>Bangla!G75</f>
        <v>3.5</v>
      </c>
      <c r="E76" s="100">
        <f>English!F75</f>
        <v>0</v>
      </c>
      <c r="F76" s="100">
        <f>ICT!H75</f>
        <v>3</v>
      </c>
      <c r="G76" s="100">
        <f>Physics!H75</f>
        <v>2</v>
      </c>
      <c r="H76" s="100">
        <f>Chemistry!H75</f>
        <v>0</v>
      </c>
      <c r="I76" s="100">
        <f>Biology!H75</f>
        <v>0</v>
      </c>
      <c r="J76" s="100">
        <f>Math!H75</f>
        <v>0</v>
      </c>
      <c r="K76" s="100">
        <f t="shared" si="9"/>
        <v>1</v>
      </c>
      <c r="L76" s="100">
        <f t="shared" si="9"/>
        <v>0</v>
      </c>
      <c r="M76" s="100">
        <f t="shared" si="9"/>
        <v>1</v>
      </c>
      <c r="N76" s="100">
        <f t="shared" si="9"/>
        <v>1</v>
      </c>
      <c r="O76" s="100">
        <f t="shared" si="9"/>
        <v>0</v>
      </c>
      <c r="P76" s="100">
        <f t="shared" si="9"/>
        <v>0</v>
      </c>
      <c r="Q76" s="100">
        <f t="shared" si="10"/>
        <v>3</v>
      </c>
      <c r="R76" s="100" t="str">
        <f t="shared" si="11"/>
        <v/>
      </c>
      <c r="S76" s="100" t="str">
        <f t="shared" si="12"/>
        <v/>
      </c>
      <c r="T76" s="100" t="str">
        <f t="shared" si="13"/>
        <v/>
      </c>
      <c r="U76" s="100" t="str">
        <f t="shared" si="14"/>
        <v>Failed in 3 Subjects</v>
      </c>
      <c r="V76" s="100" t="str">
        <f t="shared" si="15"/>
        <v/>
      </c>
      <c r="W76" s="100" t="str">
        <f>'Detailed Summary'!BK75</f>
        <v/>
      </c>
    </row>
    <row r="77" spans="1:23" ht="18.5" hidden="1" x14ac:dyDescent="0.45">
      <c r="A77" s="100"/>
      <c r="B77" s="100">
        <f>'Student Basic Info'!A76</f>
        <v>775</v>
      </c>
      <c r="C77" s="100" t="str">
        <f>'Student Basic Info'!C76</f>
        <v>Nur Mohammad Rimon</v>
      </c>
      <c r="D77" s="100">
        <f>Bangla!G76</f>
        <v>0</v>
      </c>
      <c r="E77" s="100">
        <f>English!F76</f>
        <v>0</v>
      </c>
      <c r="F77" s="100">
        <f>ICT!H76</f>
        <v>0</v>
      </c>
      <c r="G77" s="100">
        <f>Physics!H76</f>
        <v>0</v>
      </c>
      <c r="H77" s="100" t="str">
        <f>Chemistry!H76</f>
        <v/>
      </c>
      <c r="I77" s="100">
        <f>Biology!H76</f>
        <v>0</v>
      </c>
      <c r="J77" s="100" t="str">
        <f>Math!H76</f>
        <v/>
      </c>
      <c r="K77" s="100">
        <f t="shared" si="9"/>
        <v>0</v>
      </c>
      <c r="L77" s="100">
        <f t="shared" si="9"/>
        <v>0</v>
      </c>
      <c r="M77" s="100">
        <f t="shared" si="9"/>
        <v>0</v>
      </c>
      <c r="N77" s="100">
        <f t="shared" si="9"/>
        <v>0</v>
      </c>
      <c r="O77" s="100">
        <f t="shared" si="9"/>
        <v>0</v>
      </c>
      <c r="P77" s="100">
        <f t="shared" si="9"/>
        <v>0</v>
      </c>
      <c r="Q77" s="100">
        <f t="shared" si="10"/>
        <v>0</v>
      </c>
      <c r="R77" s="100" t="str">
        <f t="shared" si="11"/>
        <v/>
      </c>
      <c r="S77" s="100" t="str">
        <f t="shared" si="12"/>
        <v/>
      </c>
      <c r="T77" s="100" t="str">
        <f t="shared" si="13"/>
        <v/>
      </c>
      <c r="U77" s="100" t="str">
        <f t="shared" si="14"/>
        <v>Failed in 6 Subjects</v>
      </c>
      <c r="V77" s="100" t="str">
        <f t="shared" si="15"/>
        <v/>
      </c>
      <c r="W77" s="100" t="str">
        <f>'Detailed Summary'!BK76</f>
        <v/>
      </c>
    </row>
    <row r="78" spans="1:23" ht="18.5" hidden="1" x14ac:dyDescent="0.45">
      <c r="A78" s="100"/>
      <c r="B78" s="100">
        <f>'Student Basic Info'!A77</f>
        <v>776</v>
      </c>
      <c r="C78" s="100" t="str">
        <f>'Student Basic Info'!C77</f>
        <v>Saifullah Mansur</v>
      </c>
      <c r="D78" s="100">
        <f>Bangla!G77</f>
        <v>0</v>
      </c>
      <c r="E78" s="100">
        <f>English!F77</f>
        <v>0</v>
      </c>
      <c r="F78" s="100">
        <f>ICT!H77</f>
        <v>0</v>
      </c>
      <c r="G78" s="100">
        <f>Physics!H77</f>
        <v>0</v>
      </c>
      <c r="H78" s="100">
        <f>Chemistry!H77</f>
        <v>0</v>
      </c>
      <c r="I78" s="100">
        <f>Biology!H77</f>
        <v>0</v>
      </c>
      <c r="J78" s="100">
        <f>Math!H77</f>
        <v>0</v>
      </c>
      <c r="K78" s="100">
        <f t="shared" si="9"/>
        <v>0</v>
      </c>
      <c r="L78" s="100">
        <f t="shared" si="9"/>
        <v>0</v>
      </c>
      <c r="M78" s="100">
        <f t="shared" si="9"/>
        <v>0</v>
      </c>
      <c r="N78" s="100">
        <f t="shared" si="9"/>
        <v>0</v>
      </c>
      <c r="O78" s="100">
        <f t="shared" si="9"/>
        <v>0</v>
      </c>
      <c r="P78" s="100">
        <f t="shared" si="9"/>
        <v>0</v>
      </c>
      <c r="Q78" s="100">
        <f t="shared" si="10"/>
        <v>0</v>
      </c>
      <c r="R78" s="100" t="str">
        <f t="shared" si="11"/>
        <v/>
      </c>
      <c r="S78" s="100" t="str">
        <f t="shared" si="12"/>
        <v/>
      </c>
      <c r="T78" s="100" t="str">
        <f t="shared" si="13"/>
        <v/>
      </c>
      <c r="U78" s="100" t="str">
        <f t="shared" si="14"/>
        <v>Failed in 6 Subjects</v>
      </c>
      <c r="V78" s="100" t="str">
        <f t="shared" si="15"/>
        <v/>
      </c>
      <c r="W78" s="100" t="str">
        <f>'Detailed Summary'!BK77</f>
        <v/>
      </c>
    </row>
    <row r="79" spans="1:23" ht="18.5" hidden="1" x14ac:dyDescent="0.45">
      <c r="A79" s="100"/>
      <c r="B79" s="100">
        <f>'Student Basic Info'!A78</f>
        <v>777</v>
      </c>
      <c r="C79" s="100" t="str">
        <f>'Student Basic Info'!C78</f>
        <v>Zunayed Al Mamun</v>
      </c>
      <c r="D79" s="100" t="str">
        <f>Bangla!G78</f>
        <v/>
      </c>
      <c r="E79" s="100" t="str">
        <f>English!F78</f>
        <v/>
      </c>
      <c r="F79" s="100" t="str">
        <f>ICT!H78</f>
        <v/>
      </c>
      <c r="G79" s="100" t="str">
        <f>Physics!H78</f>
        <v/>
      </c>
      <c r="H79" s="100" t="str">
        <f>Chemistry!H78</f>
        <v/>
      </c>
      <c r="I79" s="100" t="str">
        <f>Biology!H78</f>
        <v/>
      </c>
      <c r="J79" s="100" t="str">
        <f>Math!H78</f>
        <v/>
      </c>
      <c r="K79" s="100">
        <f t="shared" si="9"/>
        <v>0</v>
      </c>
      <c r="L79" s="100">
        <f t="shared" si="9"/>
        <v>0</v>
      </c>
      <c r="M79" s="100">
        <f t="shared" si="9"/>
        <v>0</v>
      </c>
      <c r="N79" s="100">
        <f t="shared" si="9"/>
        <v>0</v>
      </c>
      <c r="O79" s="100">
        <f t="shared" si="9"/>
        <v>0</v>
      </c>
      <c r="P79" s="100">
        <f t="shared" si="9"/>
        <v>0</v>
      </c>
      <c r="Q79" s="100">
        <f t="shared" si="10"/>
        <v>0</v>
      </c>
      <c r="R79" s="100" t="str">
        <f t="shared" si="11"/>
        <v/>
      </c>
      <c r="S79" s="100" t="str">
        <f t="shared" si="12"/>
        <v/>
      </c>
      <c r="T79" s="100" t="str">
        <f t="shared" si="13"/>
        <v/>
      </c>
      <c r="U79" s="100" t="str">
        <f t="shared" si="14"/>
        <v>Failed in 6 Subjects</v>
      </c>
      <c r="V79" s="100" t="str">
        <f t="shared" si="15"/>
        <v/>
      </c>
      <c r="W79" s="100" t="str">
        <f>'Detailed Summary'!BK78</f>
        <v/>
      </c>
    </row>
    <row r="80" spans="1:23" ht="18.5" hidden="1" x14ac:dyDescent="0.45">
      <c r="A80" s="100"/>
      <c r="B80" s="100">
        <f>'Student Basic Info'!A79</f>
        <v>778</v>
      </c>
      <c r="C80" s="100" t="str">
        <f>'Student Basic Info'!C79</f>
        <v>Al Hosain</v>
      </c>
      <c r="D80" s="100" t="str">
        <f>Bangla!G79</f>
        <v/>
      </c>
      <c r="E80" s="100" t="str">
        <f>English!F79</f>
        <v/>
      </c>
      <c r="F80" s="100" t="str">
        <f>ICT!H79</f>
        <v/>
      </c>
      <c r="G80" s="100" t="str">
        <f>Physics!H79</f>
        <v/>
      </c>
      <c r="H80" s="100" t="str">
        <f>Chemistry!H79</f>
        <v/>
      </c>
      <c r="I80" s="100" t="str">
        <f>Biology!H79</f>
        <v/>
      </c>
      <c r="J80" s="100" t="str">
        <f>Math!H79</f>
        <v/>
      </c>
      <c r="K80" s="100">
        <f t="shared" si="9"/>
        <v>0</v>
      </c>
      <c r="L80" s="100">
        <f t="shared" si="9"/>
        <v>0</v>
      </c>
      <c r="M80" s="100">
        <f t="shared" si="9"/>
        <v>0</v>
      </c>
      <c r="N80" s="100">
        <f t="shared" si="9"/>
        <v>0</v>
      </c>
      <c r="O80" s="100">
        <f t="shared" si="9"/>
        <v>0</v>
      </c>
      <c r="P80" s="100">
        <f t="shared" si="9"/>
        <v>0</v>
      </c>
      <c r="Q80" s="100">
        <f t="shared" si="10"/>
        <v>0</v>
      </c>
      <c r="R80" s="100" t="str">
        <f t="shared" si="11"/>
        <v/>
      </c>
      <c r="S80" s="100" t="str">
        <f t="shared" si="12"/>
        <v/>
      </c>
      <c r="T80" s="100" t="str">
        <f t="shared" si="13"/>
        <v/>
      </c>
      <c r="U80" s="100" t="str">
        <f t="shared" si="14"/>
        <v>Failed in 6 Subjects</v>
      </c>
      <c r="V80" s="100" t="str">
        <f t="shared" si="15"/>
        <v/>
      </c>
      <c r="W80" s="100" t="str">
        <f>'Detailed Summary'!BK79</f>
        <v/>
      </c>
    </row>
    <row r="81" spans="1:23" ht="18.5" hidden="1" x14ac:dyDescent="0.45">
      <c r="A81" s="100"/>
      <c r="B81" s="100">
        <f>'Student Basic Info'!A80</f>
        <v>779</v>
      </c>
      <c r="C81" s="100" t="str">
        <f>'Student Basic Info'!C80</f>
        <v>Azizul Haque</v>
      </c>
      <c r="D81" s="100">
        <f>Bangla!G80</f>
        <v>0</v>
      </c>
      <c r="E81" s="100">
        <f>English!F80</f>
        <v>0</v>
      </c>
      <c r="F81" s="100">
        <f>ICT!H80</f>
        <v>0</v>
      </c>
      <c r="G81" s="100">
        <f>Physics!H80</f>
        <v>0</v>
      </c>
      <c r="H81" s="100">
        <f>Chemistry!H80</f>
        <v>0</v>
      </c>
      <c r="I81" s="100">
        <f>Biology!H80</f>
        <v>0</v>
      </c>
      <c r="J81" s="100">
        <f>Math!H80</f>
        <v>0</v>
      </c>
      <c r="K81" s="100">
        <f t="shared" si="9"/>
        <v>0</v>
      </c>
      <c r="L81" s="100">
        <f t="shared" si="9"/>
        <v>0</v>
      </c>
      <c r="M81" s="100">
        <f t="shared" si="9"/>
        <v>0</v>
      </c>
      <c r="N81" s="100">
        <f t="shared" si="9"/>
        <v>0</v>
      </c>
      <c r="O81" s="100">
        <f t="shared" si="9"/>
        <v>0</v>
      </c>
      <c r="P81" s="100">
        <f t="shared" si="9"/>
        <v>0</v>
      </c>
      <c r="Q81" s="100">
        <f t="shared" si="10"/>
        <v>0</v>
      </c>
      <c r="R81" s="100" t="str">
        <f t="shared" si="11"/>
        <v/>
      </c>
      <c r="S81" s="100" t="str">
        <f t="shared" si="12"/>
        <v/>
      </c>
      <c r="T81" s="100" t="str">
        <f t="shared" si="13"/>
        <v/>
      </c>
      <c r="U81" s="100" t="str">
        <f t="shared" si="14"/>
        <v>Failed in 6 Subjects</v>
      </c>
      <c r="V81" s="100" t="str">
        <f t="shared" si="15"/>
        <v/>
      </c>
      <c r="W81" s="100" t="str">
        <f>'Detailed Summary'!BK80</f>
        <v/>
      </c>
    </row>
    <row r="82" spans="1:23" ht="18.5" x14ac:dyDescent="0.45">
      <c r="A82" s="115">
        <v>13</v>
      </c>
      <c r="B82" s="115">
        <f>'Student Basic Info'!A81</f>
        <v>780</v>
      </c>
      <c r="C82" s="115" t="str">
        <f>'Student Basic Info'!C81</f>
        <v>Farjana Aktar</v>
      </c>
      <c r="D82" s="100">
        <f>Bangla!G81</f>
        <v>2</v>
      </c>
      <c r="E82" s="100">
        <f>English!F81</f>
        <v>0</v>
      </c>
      <c r="F82" s="100">
        <f>ICT!H81</f>
        <v>0</v>
      </c>
      <c r="G82" s="100">
        <f>Physics!H81</f>
        <v>0</v>
      </c>
      <c r="H82" s="100">
        <f>Chemistry!H81</f>
        <v>0</v>
      </c>
      <c r="I82" s="100">
        <f>Biology!H81</f>
        <v>0</v>
      </c>
      <c r="J82" s="100">
        <f>Math!H81</f>
        <v>0</v>
      </c>
      <c r="K82" s="100">
        <f t="shared" si="9"/>
        <v>1</v>
      </c>
      <c r="L82" s="100">
        <f t="shared" si="9"/>
        <v>0</v>
      </c>
      <c r="M82" s="100">
        <f t="shared" si="9"/>
        <v>0</v>
      </c>
      <c r="N82" s="100">
        <f t="shared" si="9"/>
        <v>0</v>
      </c>
      <c r="O82" s="100">
        <f t="shared" si="9"/>
        <v>0</v>
      </c>
      <c r="P82" s="100">
        <f t="shared" si="9"/>
        <v>0</v>
      </c>
      <c r="Q82" s="100">
        <f t="shared" si="10"/>
        <v>1</v>
      </c>
      <c r="R82" s="100" t="str">
        <f t="shared" si="11"/>
        <v/>
      </c>
      <c r="S82" s="100" t="str">
        <f t="shared" si="12"/>
        <v/>
      </c>
      <c r="T82" s="100" t="str">
        <f t="shared" si="13"/>
        <v/>
      </c>
      <c r="U82" s="115" t="str">
        <f t="shared" si="14"/>
        <v>Failed in 5 Subjects</v>
      </c>
      <c r="V82" s="115" t="str">
        <f t="shared" si="15"/>
        <v/>
      </c>
      <c r="W82" s="115" t="str">
        <f>'Detailed Summary'!BK81</f>
        <v/>
      </c>
    </row>
    <row r="83" spans="1:23" ht="18.5" hidden="1" x14ac:dyDescent="0.45">
      <c r="A83" s="100"/>
      <c r="B83" s="100">
        <f>'Student Basic Info'!A82</f>
        <v>781</v>
      </c>
      <c r="C83" s="100" t="str">
        <f>'Student Basic Info'!C82</f>
        <v>Imam Hosain</v>
      </c>
      <c r="D83" s="100" t="str">
        <f>Bangla!G82</f>
        <v/>
      </c>
      <c r="E83" s="100" t="str">
        <f>English!F82</f>
        <v/>
      </c>
      <c r="F83" s="100" t="str">
        <f>ICT!H82</f>
        <v/>
      </c>
      <c r="G83" s="100" t="str">
        <f>Physics!H82</f>
        <v/>
      </c>
      <c r="H83" s="100" t="str">
        <f>Chemistry!H82</f>
        <v/>
      </c>
      <c r="I83" s="100" t="str">
        <f>Biology!H82</f>
        <v/>
      </c>
      <c r="J83" s="100" t="str">
        <f>Math!H82</f>
        <v/>
      </c>
      <c r="K83" s="100">
        <f t="shared" si="9"/>
        <v>0</v>
      </c>
      <c r="L83" s="100">
        <f t="shared" si="9"/>
        <v>0</v>
      </c>
      <c r="M83" s="100">
        <f t="shared" si="9"/>
        <v>0</v>
      </c>
      <c r="N83" s="100">
        <f t="shared" si="9"/>
        <v>0</v>
      </c>
      <c r="O83" s="100">
        <f t="shared" si="9"/>
        <v>0</v>
      </c>
      <c r="P83" s="100">
        <f t="shared" si="9"/>
        <v>0</v>
      </c>
      <c r="Q83" s="100">
        <f t="shared" si="10"/>
        <v>0</v>
      </c>
      <c r="R83" s="100" t="str">
        <f t="shared" si="11"/>
        <v/>
      </c>
      <c r="S83" s="100" t="str">
        <f t="shared" si="12"/>
        <v/>
      </c>
      <c r="T83" s="100" t="str">
        <f t="shared" si="13"/>
        <v/>
      </c>
      <c r="U83" s="100" t="str">
        <f t="shared" si="14"/>
        <v>Failed in 6 Subjects</v>
      </c>
      <c r="V83" s="100" t="str">
        <f t="shared" si="15"/>
        <v/>
      </c>
      <c r="W83" s="100" t="str">
        <f>'Detailed Summary'!BK82</f>
        <v/>
      </c>
    </row>
    <row r="84" spans="1:23" ht="18.5" hidden="1" x14ac:dyDescent="0.45">
      <c r="A84" s="100"/>
      <c r="B84" s="100">
        <f>'Student Basic Info'!A83</f>
        <v>782</v>
      </c>
      <c r="C84" s="100" t="str">
        <f>'Student Basic Info'!C83</f>
        <v>Asiya Aktar Hira</v>
      </c>
      <c r="D84" s="100">
        <f>Bangla!G83</f>
        <v>3</v>
      </c>
      <c r="E84" s="100">
        <f>English!F83</f>
        <v>2</v>
      </c>
      <c r="F84" s="100">
        <f>ICT!H83</f>
        <v>0</v>
      </c>
      <c r="G84" s="100">
        <f>Physics!H83</f>
        <v>0</v>
      </c>
      <c r="H84" s="100">
        <f>Chemistry!H83</f>
        <v>0</v>
      </c>
      <c r="I84" s="100">
        <f>Biology!H83</f>
        <v>0</v>
      </c>
      <c r="J84" s="100">
        <f>Math!H83</f>
        <v>0</v>
      </c>
      <c r="K84" s="100">
        <f t="shared" si="9"/>
        <v>1</v>
      </c>
      <c r="L84" s="100">
        <f t="shared" si="9"/>
        <v>1</v>
      </c>
      <c r="M84" s="100">
        <f t="shared" si="9"/>
        <v>0</v>
      </c>
      <c r="N84" s="100">
        <f t="shared" si="9"/>
        <v>0</v>
      </c>
      <c r="O84" s="100">
        <f t="shared" si="9"/>
        <v>0</v>
      </c>
      <c r="P84" s="100">
        <f t="shared" si="9"/>
        <v>0</v>
      </c>
      <c r="Q84" s="100">
        <f t="shared" si="10"/>
        <v>2</v>
      </c>
      <c r="R84" s="100" t="str">
        <f t="shared" si="11"/>
        <v/>
      </c>
      <c r="S84" s="100" t="str">
        <f t="shared" si="12"/>
        <v/>
      </c>
      <c r="T84" s="100" t="str">
        <f t="shared" si="13"/>
        <v/>
      </c>
      <c r="U84" s="100" t="str">
        <f t="shared" si="14"/>
        <v>Failed in 4 Subjects</v>
      </c>
      <c r="V84" s="100" t="str">
        <f t="shared" si="15"/>
        <v/>
      </c>
      <c r="W84" s="100" t="str">
        <f>'Detailed Summary'!BK83</f>
        <v/>
      </c>
    </row>
    <row r="85" spans="1:23" ht="18.5" hidden="1" x14ac:dyDescent="0.45">
      <c r="A85" s="100"/>
      <c r="B85" s="100">
        <f>'Student Basic Info'!A84</f>
        <v>783</v>
      </c>
      <c r="C85" s="100" t="str">
        <f>'Student Basic Info'!C84</f>
        <v>Abu Rayhan</v>
      </c>
      <c r="D85" s="100" t="str">
        <f>Bangla!G84</f>
        <v/>
      </c>
      <c r="E85" s="100" t="str">
        <f>English!F84</f>
        <v/>
      </c>
      <c r="F85" s="100" t="str">
        <f>ICT!H84</f>
        <v/>
      </c>
      <c r="G85" s="100" t="str">
        <f>Physics!H84</f>
        <v/>
      </c>
      <c r="H85" s="100" t="str">
        <f>Chemistry!H84</f>
        <v/>
      </c>
      <c r="I85" s="100" t="str">
        <f>Biology!H84</f>
        <v/>
      </c>
      <c r="J85" s="100" t="str">
        <f>Math!H84</f>
        <v/>
      </c>
      <c r="K85" s="100">
        <f t="shared" si="9"/>
        <v>0</v>
      </c>
      <c r="L85" s="100">
        <f t="shared" si="9"/>
        <v>0</v>
      </c>
      <c r="M85" s="100">
        <f t="shared" si="9"/>
        <v>0</v>
      </c>
      <c r="N85" s="100">
        <f t="shared" si="9"/>
        <v>0</v>
      </c>
      <c r="O85" s="100">
        <f t="shared" si="9"/>
        <v>0</v>
      </c>
      <c r="P85" s="100">
        <f t="shared" si="9"/>
        <v>0</v>
      </c>
      <c r="Q85" s="100">
        <f t="shared" si="10"/>
        <v>0</v>
      </c>
      <c r="R85" s="100" t="str">
        <f t="shared" si="11"/>
        <v/>
      </c>
      <c r="S85" s="100" t="str">
        <f t="shared" si="12"/>
        <v/>
      </c>
      <c r="T85" s="100" t="str">
        <f t="shared" si="13"/>
        <v/>
      </c>
      <c r="U85" s="100" t="str">
        <f t="shared" si="14"/>
        <v>Failed in 6 Subjects</v>
      </c>
      <c r="V85" s="100" t="str">
        <f t="shared" si="15"/>
        <v/>
      </c>
      <c r="W85" s="100" t="str">
        <f>'Detailed Summary'!BK84</f>
        <v/>
      </c>
    </row>
    <row r="86" spans="1:23" ht="18.5" hidden="1" x14ac:dyDescent="0.45">
      <c r="A86" s="100"/>
      <c r="B86" s="100">
        <f>'Student Basic Info'!A85</f>
        <v>784</v>
      </c>
      <c r="C86" s="100" t="str">
        <f>'Student Basic Info'!C85</f>
        <v xml:space="preserve">Azizul Islam </v>
      </c>
      <c r="D86" s="100">
        <f>Bangla!G85</f>
        <v>0</v>
      </c>
      <c r="E86" s="100">
        <f>English!F85</f>
        <v>0</v>
      </c>
      <c r="F86" s="100">
        <f>ICT!H85</f>
        <v>0</v>
      </c>
      <c r="G86" s="100">
        <f>Physics!H85</f>
        <v>0</v>
      </c>
      <c r="H86" s="100">
        <f>Chemistry!H85</f>
        <v>0</v>
      </c>
      <c r="I86" s="100">
        <f>Biology!H85</f>
        <v>0</v>
      </c>
      <c r="J86" s="100">
        <f>Math!H85</f>
        <v>0</v>
      </c>
      <c r="K86" s="100">
        <f t="shared" si="9"/>
        <v>0</v>
      </c>
      <c r="L86" s="100">
        <f t="shared" si="9"/>
        <v>0</v>
      </c>
      <c r="M86" s="100">
        <f t="shared" si="9"/>
        <v>0</v>
      </c>
      <c r="N86" s="100">
        <f t="shared" si="9"/>
        <v>0</v>
      </c>
      <c r="O86" s="100">
        <f t="shared" si="9"/>
        <v>0</v>
      </c>
      <c r="P86" s="100">
        <f t="shared" si="9"/>
        <v>0</v>
      </c>
      <c r="Q86" s="100">
        <f t="shared" si="10"/>
        <v>0</v>
      </c>
      <c r="R86" s="100" t="str">
        <f t="shared" si="11"/>
        <v/>
      </c>
      <c r="S86" s="100" t="str">
        <f t="shared" si="12"/>
        <v/>
      </c>
      <c r="T86" s="100" t="str">
        <f t="shared" si="13"/>
        <v/>
      </c>
      <c r="U86" s="100" t="str">
        <f t="shared" si="14"/>
        <v>Failed in 6 Subjects</v>
      </c>
      <c r="V86" s="100" t="str">
        <f t="shared" si="15"/>
        <v/>
      </c>
      <c r="W86" s="100" t="str">
        <f>'Detailed Summary'!BK85</f>
        <v/>
      </c>
    </row>
    <row r="87" spans="1:23" ht="18.5" hidden="1" x14ac:dyDescent="0.45">
      <c r="A87" s="100"/>
      <c r="B87" s="100">
        <f>'Student Basic Info'!A86</f>
        <v>785</v>
      </c>
      <c r="C87" s="100" t="str">
        <f>'Student Basic Info'!C86</f>
        <v>Muktaddi Al Saber</v>
      </c>
      <c r="D87" s="100">
        <f>Bangla!G86</f>
        <v>0</v>
      </c>
      <c r="E87" s="100">
        <f>English!F86</f>
        <v>0</v>
      </c>
      <c r="F87" s="100">
        <f>ICT!H86</f>
        <v>0</v>
      </c>
      <c r="G87" s="100">
        <f>Physics!H86</f>
        <v>0</v>
      </c>
      <c r="H87" s="100" t="str">
        <f>Chemistry!H86</f>
        <v/>
      </c>
      <c r="I87" s="100">
        <f>Biology!H86</f>
        <v>0</v>
      </c>
      <c r="J87" s="100">
        <f>Math!H86</f>
        <v>0</v>
      </c>
      <c r="K87" s="100">
        <f t="shared" si="9"/>
        <v>0</v>
      </c>
      <c r="L87" s="100">
        <f t="shared" si="9"/>
        <v>0</v>
      </c>
      <c r="M87" s="100">
        <f t="shared" si="9"/>
        <v>0</v>
      </c>
      <c r="N87" s="100">
        <f t="shared" si="9"/>
        <v>0</v>
      </c>
      <c r="O87" s="100">
        <f t="shared" si="9"/>
        <v>0</v>
      </c>
      <c r="P87" s="100">
        <f t="shared" si="9"/>
        <v>0</v>
      </c>
      <c r="Q87" s="100">
        <f t="shared" si="10"/>
        <v>0</v>
      </c>
      <c r="R87" s="100" t="str">
        <f t="shared" si="11"/>
        <v/>
      </c>
      <c r="S87" s="100" t="str">
        <f t="shared" si="12"/>
        <v/>
      </c>
      <c r="T87" s="100" t="str">
        <f t="shared" si="13"/>
        <v/>
      </c>
      <c r="U87" s="100" t="str">
        <f t="shared" si="14"/>
        <v>Failed in 6 Subjects</v>
      </c>
      <c r="V87" s="100" t="str">
        <f t="shared" si="15"/>
        <v/>
      </c>
      <c r="W87" s="100" t="str">
        <f>'Detailed Summary'!BK86</f>
        <v/>
      </c>
    </row>
    <row r="88" spans="1:23" ht="18.5" hidden="1" x14ac:dyDescent="0.45">
      <c r="A88" s="100"/>
      <c r="B88" s="100">
        <f>'Student Basic Info'!A87</f>
        <v>786</v>
      </c>
      <c r="C88" s="100" t="str">
        <f>'Student Basic Info'!C87</f>
        <v>Farzana Aktar</v>
      </c>
      <c r="D88" s="100" t="str">
        <f>Bangla!G87</f>
        <v/>
      </c>
      <c r="E88" s="100">
        <f>English!F87</f>
        <v>0</v>
      </c>
      <c r="F88" s="100">
        <f>ICT!H87</f>
        <v>0</v>
      </c>
      <c r="G88" s="100" t="str">
        <f>Physics!H87</f>
        <v/>
      </c>
      <c r="H88" s="100">
        <f>Chemistry!H87</f>
        <v>0</v>
      </c>
      <c r="I88" s="100">
        <f>Biology!H87</f>
        <v>0</v>
      </c>
      <c r="J88" s="100">
        <f>Math!H87</f>
        <v>0</v>
      </c>
      <c r="K88" s="100">
        <f t="shared" si="9"/>
        <v>0</v>
      </c>
      <c r="L88" s="100">
        <f t="shared" si="9"/>
        <v>0</v>
      </c>
      <c r="M88" s="100">
        <f t="shared" si="9"/>
        <v>0</v>
      </c>
      <c r="N88" s="100">
        <f t="shared" si="9"/>
        <v>0</v>
      </c>
      <c r="O88" s="100">
        <f t="shared" si="9"/>
        <v>0</v>
      </c>
      <c r="P88" s="100">
        <f t="shared" si="9"/>
        <v>0</v>
      </c>
      <c r="Q88" s="100">
        <f t="shared" si="10"/>
        <v>0</v>
      </c>
      <c r="R88" s="100" t="str">
        <f t="shared" si="11"/>
        <v/>
      </c>
      <c r="S88" s="100" t="str">
        <f t="shared" si="12"/>
        <v/>
      </c>
      <c r="T88" s="100" t="str">
        <f t="shared" si="13"/>
        <v/>
      </c>
      <c r="U88" s="100" t="str">
        <f t="shared" si="14"/>
        <v>Failed in 6 Subjects</v>
      </c>
      <c r="V88" s="100" t="str">
        <f t="shared" si="15"/>
        <v/>
      </c>
      <c r="W88" s="100" t="str">
        <f>'Detailed Summary'!BK87</f>
        <v/>
      </c>
    </row>
    <row r="89" spans="1:23" ht="18.5" x14ac:dyDescent="0.45">
      <c r="A89" s="115">
        <v>14</v>
      </c>
      <c r="B89" s="115">
        <f>'Student Basic Info'!A88</f>
        <v>6812</v>
      </c>
      <c r="C89" s="115" t="str">
        <f>'Student Basic Info'!C88</f>
        <v>Jannatul Mawa Parvin</v>
      </c>
      <c r="D89" s="100">
        <f>Bangla!G88</f>
        <v>2</v>
      </c>
      <c r="E89" s="100">
        <f>English!F88</f>
        <v>0</v>
      </c>
      <c r="F89" s="100">
        <f>ICT!H88</f>
        <v>3</v>
      </c>
      <c r="G89" s="100">
        <f>Physics!H88</f>
        <v>3</v>
      </c>
      <c r="H89" s="100">
        <f>Chemistry!H88</f>
        <v>0</v>
      </c>
      <c r="I89" s="100">
        <f>Biology!H88</f>
        <v>0</v>
      </c>
      <c r="J89" s="100">
        <f>Math!H88</f>
        <v>0</v>
      </c>
      <c r="K89" s="100">
        <f t="shared" si="9"/>
        <v>1</v>
      </c>
      <c r="L89" s="100">
        <f t="shared" si="9"/>
        <v>0</v>
      </c>
      <c r="M89" s="100">
        <f t="shared" si="9"/>
        <v>1</v>
      </c>
      <c r="N89" s="100">
        <f t="shared" si="9"/>
        <v>1</v>
      </c>
      <c r="O89" s="100">
        <f t="shared" si="9"/>
        <v>0</v>
      </c>
      <c r="P89" s="100">
        <f t="shared" si="9"/>
        <v>0</v>
      </c>
      <c r="Q89" s="100">
        <f t="shared" si="10"/>
        <v>3</v>
      </c>
      <c r="R89" s="100" t="str">
        <f t="shared" si="11"/>
        <v/>
      </c>
      <c r="S89" s="100" t="str">
        <f t="shared" si="12"/>
        <v/>
      </c>
      <c r="T89" s="100" t="str">
        <f t="shared" si="13"/>
        <v/>
      </c>
      <c r="U89" s="115" t="str">
        <f t="shared" si="14"/>
        <v>Failed in 3 Subjects</v>
      </c>
      <c r="V89" s="115" t="str">
        <f t="shared" si="15"/>
        <v/>
      </c>
      <c r="W89" s="115" t="str">
        <f>'Detailed Summary'!BK88</f>
        <v/>
      </c>
    </row>
  </sheetData>
  <sheetProtection formatCells="0" formatColumns="0" formatRows="0" insertColumns="0" insertRows="0" insertHyperlinks="0" deleteColumns="0" deleteRows="0"/>
  <autoFilter ref="U2:U89">
    <filterColumn colId="0">
      <filters>
        <filter val="Failed in 3 Subjects"/>
      </filters>
    </filterColumn>
  </autoFilter>
  <mergeCells count="1">
    <mergeCell ref="A1:W1"/>
  </mergeCells>
  <conditionalFormatting sqref="T3:T89 V3:V89">
    <cfRule type="cellIs" dxfId="4" priority="1" operator="between">
      <formula>1</formula>
      <formula>5</formula>
    </cfRule>
  </conditionalFormatting>
  <pageMargins left="1.29" right="0.7" top="1.47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89"/>
  <sheetViews>
    <sheetView workbookViewId="0">
      <selection activeCell="Z18" sqref="Z18"/>
    </sheetView>
  </sheetViews>
  <sheetFormatPr defaultRowHeight="14.5" x14ac:dyDescent="0.35"/>
  <cols>
    <col min="1" max="1" width="3.453125" style="107" customWidth="1"/>
    <col min="2" max="2" width="7" customWidth="1"/>
    <col min="3" max="3" width="28.81640625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07" hidden="1" customWidth="1"/>
    <col min="19" max="19" width="8.08984375" style="107" hidden="1" customWidth="1"/>
    <col min="20" max="20" width="10.36328125" style="5" hidden="1" customWidth="1"/>
    <col min="21" max="21" width="20.81640625" bestFit="1" customWidth="1"/>
    <col min="22" max="22" width="5.54296875" bestFit="1" customWidth="1"/>
    <col min="23" max="23" width="16.1796875" style="107" bestFit="1" customWidth="1"/>
  </cols>
  <sheetData>
    <row r="1" spans="1:23" ht="137.5" customHeight="1" x14ac:dyDescent="0.45">
      <c r="A1" s="158" t="s">
        <v>456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 spans="1:23" ht="18.5" x14ac:dyDescent="0.45">
      <c r="A2" s="96" t="s">
        <v>448</v>
      </c>
      <c r="B2" s="96" t="s">
        <v>0</v>
      </c>
      <c r="C2" s="96" t="s">
        <v>36</v>
      </c>
      <c r="D2" s="13" t="s">
        <v>12</v>
      </c>
      <c r="E2" s="13" t="s">
        <v>13</v>
      </c>
      <c r="F2" s="13" t="s">
        <v>14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93</v>
      </c>
      <c r="L2" s="13" t="s">
        <v>94</v>
      </c>
      <c r="M2" s="13" t="s">
        <v>95</v>
      </c>
      <c r="N2" s="13" t="s">
        <v>98</v>
      </c>
      <c r="O2" s="13" t="s">
        <v>99</v>
      </c>
      <c r="P2" s="13" t="s">
        <v>100</v>
      </c>
      <c r="Q2" s="13" t="s">
        <v>96</v>
      </c>
      <c r="R2" s="13" t="s">
        <v>16</v>
      </c>
      <c r="S2" s="13" t="s">
        <v>18</v>
      </c>
      <c r="T2" s="14" t="s">
        <v>17</v>
      </c>
      <c r="U2" s="97" t="s">
        <v>7</v>
      </c>
      <c r="V2" s="98" t="s">
        <v>9</v>
      </c>
      <c r="W2" s="99" t="s">
        <v>447</v>
      </c>
    </row>
    <row r="3" spans="1:23" hidden="1" x14ac:dyDescent="0.35">
      <c r="A3"/>
      <c r="B3" s="4">
        <f>'Student Basic Info'!A2</f>
        <v>701</v>
      </c>
      <c r="C3" s="4" t="str">
        <f>'Student Basic Info'!C2</f>
        <v>Tanjila Mostafa Tasnim</v>
      </c>
      <c r="D3" s="42">
        <f>Bangla!G2</f>
        <v>3.5</v>
      </c>
      <c r="E3" s="42">
        <f>English!F2</f>
        <v>2</v>
      </c>
      <c r="F3" s="42">
        <f>ICT!H2</f>
        <v>5</v>
      </c>
      <c r="G3" s="42">
        <f>Physics!H2</f>
        <v>3</v>
      </c>
      <c r="H3" s="42">
        <f>Chemistry!H2</f>
        <v>4</v>
      </c>
      <c r="I3" s="42">
        <f>Biology!H2</f>
        <v>3</v>
      </c>
      <c r="J3" s="42">
        <f>Math!H2</f>
        <v>4</v>
      </c>
      <c r="K3" s="30">
        <f t="shared" ref="K3:P34" si="0">(IF(D3="",0,IF(D3=0,0,1)))</f>
        <v>1</v>
      </c>
      <c r="L3" s="30">
        <f t="shared" si="0"/>
        <v>1</v>
      </c>
      <c r="M3" s="30">
        <f t="shared" si="0"/>
        <v>1</v>
      </c>
      <c r="N3" s="30">
        <f t="shared" si="0"/>
        <v>1</v>
      </c>
      <c r="O3" s="30">
        <f t="shared" si="0"/>
        <v>1</v>
      </c>
      <c r="P3" s="30">
        <f t="shared" si="0"/>
        <v>1</v>
      </c>
      <c r="Q3" s="30">
        <f t="shared" ref="Q3:Q66" si="1">SUM(K3:P3)</f>
        <v>6</v>
      </c>
      <c r="R3" s="3">
        <f t="shared" ref="R3:R66" si="2">IF(OR(D3=0,E3=0,F3=0,G3=0,H3=0,I3=0,D3="",E3="",F3="",G3="",H3="",I3=""),"",SUM(D3:I3))</f>
        <v>20.5</v>
      </c>
      <c r="S3" s="3">
        <f t="shared" ref="S3:S66" si="3">IF(OR(D3=0,E3=0,F3=0,G3=0,H3=0,I3=0,D3="",E3="",F3="",G3="",H3="",I3=""),"",SUM(D3:J3))</f>
        <v>24.5</v>
      </c>
      <c r="T3" s="7">
        <f t="shared" ref="T3:T66" si="4">IF(R3="","",IF(((R3/6)&gt;5),5,R3/6))</f>
        <v>3.4166666666666665</v>
      </c>
      <c r="U3" s="3" t="str">
        <f t="shared" ref="U3:U66" si="5">IF(Q3=0,"Failed in 6 Subjects",IF(Q3=1,"Failed in 5 Subjects",IF(Q3=2,"Failed in 4 Subjects",IF(Q3=3,"Failed in 3 Subjects",IF(Q3=4,"Failed in 2 Subjects",IF(Q3=5,"Failed in 1 Subject","Pass"))))))</f>
        <v>Pass</v>
      </c>
      <c r="V3" s="7">
        <f t="shared" ref="V3:V66" si="6">IF(S3="","",IF(((S3/6)&gt;5),5,S3/6))</f>
        <v>4.083333333333333</v>
      </c>
      <c r="W3" s="8">
        <f>'Detailed Summary'!BK2</f>
        <v>3</v>
      </c>
    </row>
    <row r="4" spans="1:23" hidden="1" x14ac:dyDescent="0.35">
      <c r="A4"/>
      <c r="B4" s="4">
        <f>'Student Basic Info'!A3</f>
        <v>702</v>
      </c>
      <c r="C4" s="4" t="str">
        <f>'Student Basic Info'!C3</f>
        <v>Foyez Ahmed</v>
      </c>
      <c r="D4" s="4" t="str">
        <f>Bangla!G3</f>
        <v/>
      </c>
      <c r="E4" s="4" t="str">
        <f>English!F3</f>
        <v/>
      </c>
      <c r="F4" s="4" t="str">
        <f>ICT!H3</f>
        <v/>
      </c>
      <c r="G4" s="42" t="str">
        <f>Physics!H3</f>
        <v/>
      </c>
      <c r="H4" s="42" t="str">
        <f>Chemistry!H3</f>
        <v/>
      </c>
      <c r="I4" s="42" t="str">
        <f>Biology!H3</f>
        <v/>
      </c>
      <c r="J4" s="42" t="str">
        <f>Math!H3</f>
        <v/>
      </c>
      <c r="K4" s="30">
        <f t="shared" si="0"/>
        <v>0</v>
      </c>
      <c r="L4" s="30">
        <f t="shared" si="0"/>
        <v>0</v>
      </c>
      <c r="M4" s="30">
        <f t="shared" si="0"/>
        <v>0</v>
      </c>
      <c r="N4" s="30">
        <f t="shared" si="0"/>
        <v>0</v>
      </c>
      <c r="O4" s="30">
        <f t="shared" si="0"/>
        <v>0</v>
      </c>
      <c r="P4" s="30">
        <f t="shared" si="0"/>
        <v>0</v>
      </c>
      <c r="Q4" s="30">
        <f t="shared" si="1"/>
        <v>0</v>
      </c>
      <c r="R4" s="3" t="str">
        <f t="shared" si="2"/>
        <v/>
      </c>
      <c r="S4" s="3" t="str">
        <f t="shared" si="3"/>
        <v/>
      </c>
      <c r="T4" s="7" t="str">
        <f t="shared" si="4"/>
        <v/>
      </c>
      <c r="U4" s="3" t="str">
        <f t="shared" si="5"/>
        <v>Failed in 6 Subjects</v>
      </c>
      <c r="V4" s="7" t="str">
        <f t="shared" si="6"/>
        <v/>
      </c>
      <c r="W4" s="8" t="str">
        <f>'Detailed Summary'!BK3</f>
        <v/>
      </c>
    </row>
    <row r="5" spans="1:23" hidden="1" x14ac:dyDescent="0.35">
      <c r="A5"/>
      <c r="B5" s="4">
        <f>'Student Basic Info'!A4</f>
        <v>703</v>
      </c>
      <c r="C5" s="4" t="str">
        <f>'Student Basic Info'!C4</f>
        <v>Zannatul Nayem</v>
      </c>
      <c r="D5" s="4" t="str">
        <f>Bangla!G4</f>
        <v/>
      </c>
      <c r="E5" s="4" t="str">
        <f>English!F4</f>
        <v/>
      </c>
      <c r="F5" s="4" t="str">
        <f>ICT!H4</f>
        <v/>
      </c>
      <c r="G5" s="42" t="str">
        <f>Physics!H4</f>
        <v/>
      </c>
      <c r="H5" s="42" t="str">
        <f>Chemistry!H4</f>
        <v/>
      </c>
      <c r="I5" s="42" t="str">
        <f>Biology!H4</f>
        <v/>
      </c>
      <c r="J5" s="42" t="str">
        <f>Math!H4</f>
        <v/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1"/>
        <v>0</v>
      </c>
      <c r="R5" s="3" t="str">
        <f t="shared" si="2"/>
        <v/>
      </c>
      <c r="S5" s="3" t="str">
        <f t="shared" si="3"/>
        <v/>
      </c>
      <c r="T5" s="7" t="str">
        <f t="shared" si="4"/>
        <v/>
      </c>
      <c r="U5" s="3" t="str">
        <f t="shared" si="5"/>
        <v>Failed in 6 Subjects</v>
      </c>
      <c r="V5" s="7" t="str">
        <f t="shared" si="6"/>
        <v/>
      </c>
      <c r="W5" s="8" t="str">
        <f>'Detailed Summary'!BK4</f>
        <v/>
      </c>
    </row>
    <row r="6" spans="1:23" ht="18.5" hidden="1" x14ac:dyDescent="0.45">
      <c r="A6" s="100">
        <v>1</v>
      </c>
      <c r="B6" s="100">
        <f>'Student Basic Info'!A5</f>
        <v>704</v>
      </c>
      <c r="C6" s="100" t="str">
        <f>'Student Basic Info'!C5</f>
        <v>Farmana Nusrat Chowdhury</v>
      </c>
      <c r="D6" s="100">
        <f>Bangla!G5</f>
        <v>3.5</v>
      </c>
      <c r="E6" s="100">
        <f>English!F5</f>
        <v>1</v>
      </c>
      <c r="F6" s="100">
        <f>ICT!H5</f>
        <v>0</v>
      </c>
      <c r="G6" s="100">
        <f>Physics!H5</f>
        <v>0</v>
      </c>
      <c r="H6" s="100">
        <f>Chemistry!H5</f>
        <v>0</v>
      </c>
      <c r="I6" s="100">
        <f>Biology!H5</f>
        <v>0</v>
      </c>
      <c r="J6" s="100">
        <f>Math!H5</f>
        <v>0</v>
      </c>
      <c r="K6" s="100">
        <f t="shared" si="0"/>
        <v>1</v>
      </c>
      <c r="L6" s="100">
        <f t="shared" si="0"/>
        <v>1</v>
      </c>
      <c r="M6" s="100">
        <f t="shared" si="0"/>
        <v>0</v>
      </c>
      <c r="N6" s="100">
        <f t="shared" si="0"/>
        <v>0</v>
      </c>
      <c r="O6" s="100">
        <f t="shared" si="0"/>
        <v>0</v>
      </c>
      <c r="P6" s="100">
        <f t="shared" si="0"/>
        <v>0</v>
      </c>
      <c r="Q6" s="100">
        <f t="shared" si="1"/>
        <v>2</v>
      </c>
      <c r="R6" s="100" t="str">
        <f t="shared" si="2"/>
        <v/>
      </c>
      <c r="S6" s="100" t="str">
        <f t="shared" si="3"/>
        <v/>
      </c>
      <c r="T6" s="100" t="str">
        <f t="shared" si="4"/>
        <v/>
      </c>
      <c r="U6" s="100" t="str">
        <f t="shared" si="5"/>
        <v>Failed in 4 Subjects</v>
      </c>
      <c r="V6" s="100" t="str">
        <f t="shared" si="6"/>
        <v/>
      </c>
      <c r="W6" s="100" t="str">
        <f>'Detailed Summary'!BK5</f>
        <v/>
      </c>
    </row>
    <row r="7" spans="1:23" ht="18.5" hidden="1" x14ac:dyDescent="0.45">
      <c r="A7" s="100"/>
      <c r="B7" s="100">
        <f>'Student Basic Info'!A6</f>
        <v>705</v>
      </c>
      <c r="C7" s="100" t="str">
        <f>'Student Basic Info'!C6</f>
        <v>Zannatul Ferdaus</v>
      </c>
      <c r="D7" s="100" t="str">
        <f>Bangla!G6</f>
        <v/>
      </c>
      <c r="E7" s="100" t="str">
        <f>English!F6</f>
        <v/>
      </c>
      <c r="F7" s="100">
        <f>ICT!H6</f>
        <v>0</v>
      </c>
      <c r="G7" s="100" t="str">
        <f>Physics!H6</f>
        <v/>
      </c>
      <c r="H7" s="100" t="str">
        <f>Chemistry!H6</f>
        <v/>
      </c>
      <c r="I7" s="100" t="str">
        <f>Biology!H6</f>
        <v/>
      </c>
      <c r="J7" s="100" t="str">
        <f>Math!H6</f>
        <v/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1"/>
        <v>0</v>
      </c>
      <c r="R7" s="100" t="str">
        <f t="shared" si="2"/>
        <v/>
      </c>
      <c r="S7" s="100" t="str">
        <f t="shared" si="3"/>
        <v/>
      </c>
      <c r="T7" s="100" t="str">
        <f t="shared" si="4"/>
        <v/>
      </c>
      <c r="U7" s="100" t="str">
        <f t="shared" si="5"/>
        <v>Failed in 6 Subjects</v>
      </c>
      <c r="V7" s="100" t="str">
        <f t="shared" si="6"/>
        <v/>
      </c>
      <c r="W7" s="100" t="str">
        <f>'Detailed Summary'!BK6</f>
        <v/>
      </c>
    </row>
    <row r="8" spans="1:23" ht="18.5" hidden="1" x14ac:dyDescent="0.45">
      <c r="A8" s="100"/>
      <c r="B8" s="100">
        <f>'Student Basic Info'!A7</f>
        <v>706</v>
      </c>
      <c r="C8" s="100" t="str">
        <f>'Student Basic Info'!C7</f>
        <v>Abdul Alim Shawon</v>
      </c>
      <c r="D8" s="100" t="str">
        <f>Bangla!G7</f>
        <v/>
      </c>
      <c r="E8" s="100" t="str">
        <f>English!F7</f>
        <v/>
      </c>
      <c r="F8" s="100" t="str">
        <f>ICT!H7</f>
        <v/>
      </c>
      <c r="G8" s="100" t="str">
        <f>Physics!H7</f>
        <v/>
      </c>
      <c r="H8" s="100" t="str">
        <f>Chemistry!H7</f>
        <v/>
      </c>
      <c r="I8" s="100" t="str">
        <f>Biology!H7</f>
        <v/>
      </c>
      <c r="J8" s="100" t="str">
        <f>Math!H7</f>
        <v/>
      </c>
      <c r="K8" s="100">
        <f t="shared" si="0"/>
        <v>0</v>
      </c>
      <c r="L8" s="100">
        <f t="shared" si="0"/>
        <v>0</v>
      </c>
      <c r="M8" s="100">
        <f t="shared" si="0"/>
        <v>0</v>
      </c>
      <c r="N8" s="100">
        <f t="shared" si="0"/>
        <v>0</v>
      </c>
      <c r="O8" s="100">
        <f t="shared" si="0"/>
        <v>0</v>
      </c>
      <c r="P8" s="100">
        <f t="shared" si="0"/>
        <v>0</v>
      </c>
      <c r="Q8" s="100">
        <f t="shared" si="1"/>
        <v>0</v>
      </c>
      <c r="R8" s="100" t="str">
        <f t="shared" si="2"/>
        <v/>
      </c>
      <c r="S8" s="100" t="str">
        <f t="shared" si="3"/>
        <v/>
      </c>
      <c r="T8" s="100" t="str">
        <f t="shared" si="4"/>
        <v/>
      </c>
      <c r="U8" s="100" t="str">
        <f t="shared" si="5"/>
        <v>Failed in 6 Subjects</v>
      </c>
      <c r="V8" s="100" t="str">
        <f t="shared" si="6"/>
        <v/>
      </c>
      <c r="W8" s="100" t="str">
        <f>'Detailed Summary'!BK7</f>
        <v/>
      </c>
    </row>
    <row r="9" spans="1:23" ht="18.5" hidden="1" x14ac:dyDescent="0.45">
      <c r="A9" s="100"/>
      <c r="B9" s="100">
        <f>'Student Basic Info'!A8</f>
        <v>707</v>
      </c>
      <c r="C9" s="100" t="str">
        <f>'Student Basic Info'!C8</f>
        <v>Sharmin Aktar</v>
      </c>
      <c r="D9" s="100" t="str">
        <f>Bangla!G8</f>
        <v/>
      </c>
      <c r="E9" s="100" t="str">
        <f>English!F8</f>
        <v/>
      </c>
      <c r="F9" s="100" t="str">
        <f>ICT!H8</f>
        <v/>
      </c>
      <c r="G9" s="100" t="str">
        <f>Physics!H8</f>
        <v/>
      </c>
      <c r="H9" s="100" t="str">
        <f>Chemistry!H8</f>
        <v/>
      </c>
      <c r="I9" s="100" t="str">
        <f>Biology!H8</f>
        <v/>
      </c>
      <c r="J9" s="100" t="str">
        <f>Math!H8</f>
        <v/>
      </c>
      <c r="K9" s="100">
        <f t="shared" si="0"/>
        <v>0</v>
      </c>
      <c r="L9" s="100">
        <f t="shared" si="0"/>
        <v>0</v>
      </c>
      <c r="M9" s="100">
        <f t="shared" si="0"/>
        <v>0</v>
      </c>
      <c r="N9" s="100">
        <f t="shared" si="0"/>
        <v>0</v>
      </c>
      <c r="O9" s="100">
        <f t="shared" si="0"/>
        <v>0</v>
      </c>
      <c r="P9" s="100">
        <f t="shared" si="0"/>
        <v>0</v>
      </c>
      <c r="Q9" s="100">
        <f t="shared" si="1"/>
        <v>0</v>
      </c>
      <c r="R9" s="100" t="str">
        <f t="shared" si="2"/>
        <v/>
      </c>
      <c r="S9" s="100" t="str">
        <f t="shared" si="3"/>
        <v/>
      </c>
      <c r="T9" s="100" t="str">
        <f t="shared" si="4"/>
        <v/>
      </c>
      <c r="U9" s="100" t="str">
        <f t="shared" si="5"/>
        <v>Failed in 6 Subjects</v>
      </c>
      <c r="V9" s="100" t="str">
        <f t="shared" si="6"/>
        <v/>
      </c>
      <c r="W9" s="100" t="str">
        <f>'Detailed Summary'!BK8</f>
        <v/>
      </c>
    </row>
    <row r="10" spans="1:23" ht="18.5" hidden="1" x14ac:dyDescent="0.45">
      <c r="A10" s="100">
        <v>1</v>
      </c>
      <c r="B10" s="100">
        <f>'Student Basic Info'!A9</f>
        <v>708</v>
      </c>
      <c r="C10" s="100" t="str">
        <f>'Student Basic Info'!C9</f>
        <v>Nafisa Aktar Prova</v>
      </c>
      <c r="D10" s="100">
        <f>Bangla!G9</f>
        <v>3.5</v>
      </c>
      <c r="E10" s="100">
        <f>English!F9</f>
        <v>1</v>
      </c>
      <c r="F10" s="100">
        <v>3</v>
      </c>
      <c r="G10" s="100">
        <f>Physics!H9</f>
        <v>0</v>
      </c>
      <c r="H10" s="100">
        <f>Chemistry!H9</f>
        <v>0</v>
      </c>
      <c r="I10" s="100">
        <f>Biology!H9</f>
        <v>0</v>
      </c>
      <c r="J10" s="100">
        <f>Math!H9</f>
        <v>0</v>
      </c>
      <c r="K10" s="100">
        <f t="shared" si="0"/>
        <v>1</v>
      </c>
      <c r="L10" s="100">
        <f t="shared" si="0"/>
        <v>1</v>
      </c>
      <c r="M10" s="100">
        <f t="shared" si="0"/>
        <v>1</v>
      </c>
      <c r="N10" s="100">
        <f t="shared" si="0"/>
        <v>0</v>
      </c>
      <c r="O10" s="100">
        <f t="shared" si="0"/>
        <v>0</v>
      </c>
      <c r="P10" s="100">
        <f t="shared" si="0"/>
        <v>0</v>
      </c>
      <c r="Q10" s="100">
        <f t="shared" si="1"/>
        <v>3</v>
      </c>
      <c r="R10" s="100" t="str">
        <f t="shared" si="2"/>
        <v/>
      </c>
      <c r="S10" s="100" t="str">
        <f t="shared" si="3"/>
        <v/>
      </c>
      <c r="T10" s="100" t="str">
        <f t="shared" si="4"/>
        <v/>
      </c>
      <c r="U10" s="100" t="str">
        <f t="shared" si="5"/>
        <v>Failed in 3 Subjects</v>
      </c>
      <c r="V10" s="100" t="str">
        <f t="shared" si="6"/>
        <v/>
      </c>
      <c r="W10" s="100" t="str">
        <f>'Detailed Summary'!BK9</f>
        <v/>
      </c>
    </row>
    <row r="11" spans="1:23" ht="18.5" x14ac:dyDescent="0.45">
      <c r="A11" s="100"/>
      <c r="B11" s="100">
        <f>'Student Basic Info'!A10</f>
        <v>709</v>
      </c>
      <c r="C11" s="100" t="str">
        <f>'Student Basic Info'!C10</f>
        <v>Nafisa Anjum Prena</v>
      </c>
      <c r="D11" s="100">
        <f>Bangla!G10</f>
        <v>3.5</v>
      </c>
      <c r="E11" s="100">
        <f>English!F10</f>
        <v>1</v>
      </c>
      <c r="F11" s="100">
        <f>ICT!H10</f>
        <v>0</v>
      </c>
      <c r="G11" s="100">
        <f>Physics!H10</f>
        <v>2</v>
      </c>
      <c r="H11" s="100">
        <f>Chemistry!H10</f>
        <v>0</v>
      </c>
      <c r="I11" s="100">
        <f>Biology!H10</f>
        <v>0</v>
      </c>
      <c r="J11" s="100">
        <f>Math!H10</f>
        <v>0</v>
      </c>
      <c r="K11" s="100">
        <f t="shared" si="0"/>
        <v>1</v>
      </c>
      <c r="L11" s="100">
        <f t="shared" si="0"/>
        <v>1</v>
      </c>
      <c r="M11" s="100">
        <f t="shared" si="0"/>
        <v>0</v>
      </c>
      <c r="N11" s="100">
        <f t="shared" si="0"/>
        <v>1</v>
      </c>
      <c r="O11" s="100">
        <f t="shared" si="0"/>
        <v>0</v>
      </c>
      <c r="P11" s="100">
        <f t="shared" si="0"/>
        <v>0</v>
      </c>
      <c r="Q11" s="100">
        <f t="shared" si="1"/>
        <v>3</v>
      </c>
      <c r="R11" s="100" t="str">
        <f t="shared" si="2"/>
        <v/>
      </c>
      <c r="S11" s="100" t="str">
        <f t="shared" si="3"/>
        <v/>
      </c>
      <c r="T11" s="100" t="str">
        <f t="shared" si="4"/>
        <v/>
      </c>
      <c r="U11" s="100" t="str">
        <f t="shared" si="5"/>
        <v>Failed in 3 Subjects</v>
      </c>
      <c r="V11" s="100" t="str">
        <f t="shared" si="6"/>
        <v/>
      </c>
      <c r="W11" s="100" t="str">
        <f>'Detailed Summary'!BK10</f>
        <v/>
      </c>
    </row>
    <row r="12" spans="1:23" ht="18.5" hidden="1" x14ac:dyDescent="0.45">
      <c r="A12" s="100"/>
      <c r="B12" s="100">
        <f>'Student Basic Info'!A11</f>
        <v>710</v>
      </c>
      <c r="C12" s="100" t="str">
        <f>'Student Basic Info'!C11</f>
        <v>Umme Tabassum Maisha</v>
      </c>
      <c r="D12" s="100">
        <f>Bangla!G11</f>
        <v>3</v>
      </c>
      <c r="E12" s="100">
        <f>English!F11</f>
        <v>0</v>
      </c>
      <c r="F12" s="100">
        <f>ICT!H11</f>
        <v>3</v>
      </c>
      <c r="G12" s="100">
        <f>Physics!H11</f>
        <v>2</v>
      </c>
      <c r="H12" s="100">
        <f>Chemistry!H11</f>
        <v>0</v>
      </c>
      <c r="I12" s="100">
        <f>Biology!H11</f>
        <v>0</v>
      </c>
      <c r="J12" s="100">
        <f>Math!H11</f>
        <v>0</v>
      </c>
      <c r="K12" s="100">
        <f t="shared" si="0"/>
        <v>1</v>
      </c>
      <c r="L12" s="100">
        <f t="shared" si="0"/>
        <v>0</v>
      </c>
      <c r="M12" s="100">
        <f t="shared" si="0"/>
        <v>1</v>
      </c>
      <c r="N12" s="100">
        <f t="shared" si="0"/>
        <v>1</v>
      </c>
      <c r="O12" s="100">
        <f t="shared" si="0"/>
        <v>0</v>
      </c>
      <c r="P12" s="100">
        <f t="shared" si="0"/>
        <v>0</v>
      </c>
      <c r="Q12" s="100">
        <f t="shared" si="1"/>
        <v>3</v>
      </c>
      <c r="R12" s="100" t="str">
        <f t="shared" si="2"/>
        <v/>
      </c>
      <c r="S12" s="100" t="str">
        <f t="shared" si="3"/>
        <v/>
      </c>
      <c r="T12" s="100" t="str">
        <f t="shared" si="4"/>
        <v/>
      </c>
      <c r="U12" s="100" t="str">
        <f t="shared" si="5"/>
        <v>Failed in 3 Subjects</v>
      </c>
      <c r="V12" s="100" t="str">
        <f t="shared" si="6"/>
        <v/>
      </c>
      <c r="W12" s="100" t="str">
        <f>'Detailed Summary'!BK11</f>
        <v/>
      </c>
    </row>
    <row r="13" spans="1:23" ht="18.5" hidden="1" x14ac:dyDescent="0.45">
      <c r="A13" s="100"/>
      <c r="B13" s="100">
        <f>'Student Basic Info'!A12</f>
        <v>711</v>
      </c>
      <c r="C13" s="100" t="str">
        <f>'Student Basic Info'!C12</f>
        <v>Rakhi Ahasan</v>
      </c>
      <c r="D13" s="100" t="str">
        <f>Bangla!G12</f>
        <v/>
      </c>
      <c r="E13" s="100" t="str">
        <f>English!F12</f>
        <v/>
      </c>
      <c r="F13" s="100" t="str">
        <f>ICT!H12</f>
        <v/>
      </c>
      <c r="G13" s="100" t="str">
        <f>Physics!H12</f>
        <v/>
      </c>
      <c r="H13" s="100" t="str">
        <f>Chemistry!H12</f>
        <v/>
      </c>
      <c r="I13" s="100" t="str">
        <f>Biology!H12</f>
        <v/>
      </c>
      <c r="J13" s="100" t="str">
        <f>Math!H12</f>
        <v/>
      </c>
      <c r="K13" s="100">
        <f t="shared" si="0"/>
        <v>0</v>
      </c>
      <c r="L13" s="100">
        <f t="shared" si="0"/>
        <v>0</v>
      </c>
      <c r="M13" s="100">
        <f t="shared" si="0"/>
        <v>0</v>
      </c>
      <c r="N13" s="100">
        <f t="shared" si="0"/>
        <v>0</v>
      </c>
      <c r="O13" s="100">
        <f t="shared" si="0"/>
        <v>0</v>
      </c>
      <c r="P13" s="100">
        <f t="shared" si="0"/>
        <v>0</v>
      </c>
      <c r="Q13" s="100">
        <f t="shared" si="1"/>
        <v>0</v>
      </c>
      <c r="R13" s="100" t="str">
        <f t="shared" si="2"/>
        <v/>
      </c>
      <c r="S13" s="100" t="str">
        <f t="shared" si="3"/>
        <v/>
      </c>
      <c r="T13" s="100" t="str">
        <f t="shared" si="4"/>
        <v/>
      </c>
      <c r="U13" s="100" t="str">
        <f t="shared" si="5"/>
        <v>Failed in 6 Subjects</v>
      </c>
      <c r="V13" s="100" t="str">
        <f t="shared" si="6"/>
        <v/>
      </c>
      <c r="W13" s="100" t="str">
        <f>'Detailed Summary'!BK12</f>
        <v/>
      </c>
    </row>
    <row r="14" spans="1:23" ht="18.5" hidden="1" x14ac:dyDescent="0.45">
      <c r="A14" s="100">
        <v>2</v>
      </c>
      <c r="B14" s="100">
        <f>'Student Basic Info'!A13</f>
        <v>712</v>
      </c>
      <c r="C14" s="100" t="str">
        <f>'Student Basic Info'!C13</f>
        <v>Nadiyatul Nayem</v>
      </c>
      <c r="D14" s="100">
        <f>Bangla!G13</f>
        <v>3</v>
      </c>
      <c r="E14" s="100">
        <f>English!F13</f>
        <v>1</v>
      </c>
      <c r="F14" s="100">
        <f>ICT!H13</f>
        <v>2</v>
      </c>
      <c r="G14" s="100">
        <f>Physics!H13</f>
        <v>3</v>
      </c>
      <c r="H14" s="100">
        <f>Chemistry!H13</f>
        <v>2</v>
      </c>
      <c r="I14" s="100">
        <f>Biology!H13</f>
        <v>0</v>
      </c>
      <c r="J14" s="100">
        <f>Math!H13</f>
        <v>0</v>
      </c>
      <c r="K14" s="100">
        <f t="shared" si="0"/>
        <v>1</v>
      </c>
      <c r="L14" s="100">
        <f t="shared" si="0"/>
        <v>1</v>
      </c>
      <c r="M14" s="100">
        <f t="shared" si="0"/>
        <v>1</v>
      </c>
      <c r="N14" s="100">
        <f t="shared" si="0"/>
        <v>1</v>
      </c>
      <c r="O14" s="100">
        <f t="shared" si="0"/>
        <v>1</v>
      </c>
      <c r="P14" s="100">
        <f t="shared" si="0"/>
        <v>0</v>
      </c>
      <c r="Q14" s="100">
        <f t="shared" si="1"/>
        <v>5</v>
      </c>
      <c r="R14" s="100" t="str">
        <f t="shared" si="2"/>
        <v/>
      </c>
      <c r="S14" s="100" t="str">
        <f t="shared" si="3"/>
        <v/>
      </c>
      <c r="T14" s="100" t="str">
        <f t="shared" si="4"/>
        <v/>
      </c>
      <c r="U14" s="100" t="str">
        <f t="shared" si="5"/>
        <v>Failed in 1 Subject</v>
      </c>
      <c r="V14" s="100" t="str">
        <f t="shared" si="6"/>
        <v/>
      </c>
      <c r="W14" s="100" t="str">
        <f>'Detailed Summary'!BK13</f>
        <v/>
      </c>
    </row>
    <row r="15" spans="1:23" ht="18.5" hidden="1" x14ac:dyDescent="0.45">
      <c r="A15" s="100"/>
      <c r="B15" s="100">
        <f>'Student Basic Info'!A14</f>
        <v>713</v>
      </c>
      <c r="C15" s="100" t="str">
        <f>'Student Basic Info'!C14</f>
        <v>Zannatul Ferdaus Fariha</v>
      </c>
      <c r="D15" s="100">
        <f>Bangla!G14</f>
        <v>3</v>
      </c>
      <c r="E15" s="100">
        <f>English!F14</f>
        <v>2</v>
      </c>
      <c r="F15" s="100">
        <f>ICT!H14</f>
        <v>3.5</v>
      </c>
      <c r="G15" s="100">
        <f>Physics!H14</f>
        <v>3.5</v>
      </c>
      <c r="H15" s="100">
        <f>Chemistry!H14</f>
        <v>3.5</v>
      </c>
      <c r="I15" s="100">
        <f>Biology!H14</f>
        <v>2</v>
      </c>
      <c r="J15" s="100">
        <f>Math!H14</f>
        <v>0</v>
      </c>
      <c r="K15" s="100">
        <f t="shared" si="0"/>
        <v>1</v>
      </c>
      <c r="L15" s="100">
        <f t="shared" si="0"/>
        <v>1</v>
      </c>
      <c r="M15" s="100">
        <f t="shared" si="0"/>
        <v>1</v>
      </c>
      <c r="N15" s="100">
        <f t="shared" si="0"/>
        <v>1</v>
      </c>
      <c r="O15" s="100">
        <f t="shared" si="0"/>
        <v>1</v>
      </c>
      <c r="P15" s="100">
        <f t="shared" si="0"/>
        <v>1</v>
      </c>
      <c r="Q15" s="100">
        <f t="shared" si="1"/>
        <v>6</v>
      </c>
      <c r="R15" s="100">
        <f t="shared" si="2"/>
        <v>17.5</v>
      </c>
      <c r="S15" s="100">
        <f t="shared" si="3"/>
        <v>17.5</v>
      </c>
      <c r="T15" s="100">
        <f t="shared" si="4"/>
        <v>2.9166666666666665</v>
      </c>
      <c r="U15" s="100" t="str">
        <f t="shared" si="5"/>
        <v>Pass</v>
      </c>
      <c r="V15" s="100">
        <f t="shared" si="6"/>
        <v>2.9166666666666665</v>
      </c>
      <c r="W15" s="100">
        <f>'Detailed Summary'!BK14</f>
        <v>8</v>
      </c>
    </row>
    <row r="16" spans="1:23" ht="18.5" hidden="1" x14ac:dyDescent="0.45">
      <c r="A16" s="100"/>
      <c r="B16" s="100">
        <f>'Student Basic Info'!A15</f>
        <v>714</v>
      </c>
      <c r="C16" s="100" t="str">
        <f>'Student Basic Info'!C15</f>
        <v>Khadijatul Kubra</v>
      </c>
      <c r="D16" s="100">
        <f>Bangla!G15</f>
        <v>3.5</v>
      </c>
      <c r="E16" s="100">
        <f>English!F15</f>
        <v>2</v>
      </c>
      <c r="F16" s="100">
        <f>ICT!H15</f>
        <v>4</v>
      </c>
      <c r="G16" s="100">
        <f>Physics!H15</f>
        <v>3</v>
      </c>
      <c r="H16" s="100">
        <f>Chemistry!H15</f>
        <v>4</v>
      </c>
      <c r="I16" s="100">
        <f>Biology!H15</f>
        <v>3</v>
      </c>
      <c r="J16" s="100">
        <f>Math!H15</f>
        <v>0</v>
      </c>
      <c r="K16" s="100">
        <f t="shared" si="0"/>
        <v>1</v>
      </c>
      <c r="L16" s="100">
        <f t="shared" si="0"/>
        <v>1</v>
      </c>
      <c r="M16" s="100">
        <f t="shared" si="0"/>
        <v>1</v>
      </c>
      <c r="N16" s="100">
        <f t="shared" si="0"/>
        <v>1</v>
      </c>
      <c r="O16" s="100">
        <f t="shared" si="0"/>
        <v>1</v>
      </c>
      <c r="P16" s="100">
        <f t="shared" si="0"/>
        <v>1</v>
      </c>
      <c r="Q16" s="100">
        <f t="shared" si="1"/>
        <v>6</v>
      </c>
      <c r="R16" s="100">
        <f t="shared" si="2"/>
        <v>19.5</v>
      </c>
      <c r="S16" s="100">
        <f t="shared" si="3"/>
        <v>19.5</v>
      </c>
      <c r="T16" s="100">
        <f t="shared" si="4"/>
        <v>3.25</v>
      </c>
      <c r="U16" s="100" t="str">
        <f t="shared" si="5"/>
        <v>Pass</v>
      </c>
      <c r="V16" s="100">
        <f t="shared" si="6"/>
        <v>3.25</v>
      </c>
      <c r="W16" s="100">
        <f>'Detailed Summary'!BK15</f>
        <v>6</v>
      </c>
    </row>
    <row r="17" spans="1:23" ht="18.5" hidden="1" x14ac:dyDescent="0.45">
      <c r="A17" s="100"/>
      <c r="B17" s="100">
        <f>'Student Basic Info'!A16</f>
        <v>715</v>
      </c>
      <c r="C17" s="100" t="str">
        <f>'Student Basic Info'!C16</f>
        <v>Tanjila Islam</v>
      </c>
      <c r="D17" s="100">
        <f>Bangla!G16</f>
        <v>2</v>
      </c>
      <c r="E17" s="100">
        <f>English!F16</f>
        <v>0</v>
      </c>
      <c r="F17" s="100">
        <f>ICT!H16</f>
        <v>0</v>
      </c>
      <c r="G17" s="100">
        <f>Physics!H16</f>
        <v>3</v>
      </c>
      <c r="H17" s="100">
        <f>Chemistry!H16</f>
        <v>3</v>
      </c>
      <c r="I17" s="100">
        <f>Biology!H16</f>
        <v>0</v>
      </c>
      <c r="J17" s="100">
        <f>Math!H16</f>
        <v>0</v>
      </c>
      <c r="K17" s="100">
        <f t="shared" si="0"/>
        <v>1</v>
      </c>
      <c r="L17" s="100">
        <f t="shared" si="0"/>
        <v>0</v>
      </c>
      <c r="M17" s="100">
        <f t="shared" si="0"/>
        <v>0</v>
      </c>
      <c r="N17" s="100">
        <f t="shared" si="0"/>
        <v>1</v>
      </c>
      <c r="O17" s="100">
        <f t="shared" si="0"/>
        <v>1</v>
      </c>
      <c r="P17" s="100">
        <f t="shared" si="0"/>
        <v>0</v>
      </c>
      <c r="Q17" s="100">
        <f t="shared" si="1"/>
        <v>3</v>
      </c>
      <c r="R17" s="100" t="str">
        <f t="shared" si="2"/>
        <v/>
      </c>
      <c r="S17" s="100" t="str">
        <f t="shared" si="3"/>
        <v/>
      </c>
      <c r="T17" s="100" t="str">
        <f t="shared" si="4"/>
        <v/>
      </c>
      <c r="U17" s="100" t="str">
        <f t="shared" si="5"/>
        <v>Failed in 3 Subjects</v>
      </c>
      <c r="V17" s="100" t="str">
        <f t="shared" si="6"/>
        <v/>
      </c>
      <c r="W17" s="100" t="str">
        <f>'Detailed Summary'!BK16</f>
        <v/>
      </c>
    </row>
    <row r="18" spans="1:23" ht="18.5" x14ac:dyDescent="0.45">
      <c r="A18" s="100"/>
      <c r="B18" s="100">
        <f>'Student Basic Info'!A17</f>
        <v>716</v>
      </c>
      <c r="C18" s="100" t="str">
        <f>'Student Basic Info'!C17</f>
        <v>Nazmun Nahar Rikha</v>
      </c>
      <c r="D18" s="100">
        <f>Bangla!G17</f>
        <v>2</v>
      </c>
      <c r="E18" s="100">
        <f>English!F17</f>
        <v>0</v>
      </c>
      <c r="F18" s="100">
        <f>ICT!H17</f>
        <v>0</v>
      </c>
      <c r="G18" s="100">
        <f>Physics!H17</f>
        <v>3</v>
      </c>
      <c r="H18" s="100">
        <f>Chemistry!H17</f>
        <v>3</v>
      </c>
      <c r="I18" s="100">
        <f>Biology!H17</f>
        <v>0</v>
      </c>
      <c r="J18" s="100">
        <f>Math!H17</f>
        <v>0</v>
      </c>
      <c r="K18" s="100">
        <f t="shared" si="0"/>
        <v>1</v>
      </c>
      <c r="L18" s="100">
        <f t="shared" si="0"/>
        <v>0</v>
      </c>
      <c r="M18" s="100">
        <f t="shared" si="0"/>
        <v>0</v>
      </c>
      <c r="N18" s="100">
        <f t="shared" si="0"/>
        <v>1</v>
      </c>
      <c r="O18" s="100">
        <f t="shared" si="0"/>
        <v>1</v>
      </c>
      <c r="P18" s="100">
        <f t="shared" si="0"/>
        <v>0</v>
      </c>
      <c r="Q18" s="100">
        <f t="shared" si="1"/>
        <v>3</v>
      </c>
      <c r="R18" s="100" t="str">
        <f t="shared" si="2"/>
        <v/>
      </c>
      <c r="S18" s="100" t="str">
        <f t="shared" si="3"/>
        <v/>
      </c>
      <c r="T18" s="100" t="str">
        <f t="shared" si="4"/>
        <v/>
      </c>
      <c r="U18" s="100" t="str">
        <f t="shared" si="5"/>
        <v>Failed in 3 Subjects</v>
      </c>
      <c r="V18" s="100" t="str">
        <f t="shared" si="6"/>
        <v/>
      </c>
      <c r="W18" s="100" t="str">
        <f>'Detailed Summary'!BK17</f>
        <v/>
      </c>
    </row>
    <row r="19" spans="1:23" ht="18.5" x14ac:dyDescent="0.45">
      <c r="A19" s="100"/>
      <c r="B19" s="100">
        <f>'Student Basic Info'!A18</f>
        <v>717</v>
      </c>
      <c r="C19" s="100" t="str">
        <f>'Student Basic Info'!C18</f>
        <v xml:space="preserve">Umme Rojina </v>
      </c>
      <c r="D19" s="100">
        <f>Bangla!G18</f>
        <v>3</v>
      </c>
      <c r="E19" s="100">
        <f>English!F18</f>
        <v>0</v>
      </c>
      <c r="F19" s="100">
        <f>ICT!H18</f>
        <v>0</v>
      </c>
      <c r="G19" s="100">
        <f>Physics!H18</f>
        <v>3.5</v>
      </c>
      <c r="H19" s="100">
        <f>Chemistry!H18</f>
        <v>2</v>
      </c>
      <c r="I19" s="100">
        <f>Biology!H18</f>
        <v>0</v>
      </c>
      <c r="J19" s="100" t="str">
        <f>Math!H18</f>
        <v/>
      </c>
      <c r="K19" s="100">
        <f t="shared" si="0"/>
        <v>1</v>
      </c>
      <c r="L19" s="100">
        <f t="shared" si="0"/>
        <v>0</v>
      </c>
      <c r="M19" s="100">
        <f t="shared" si="0"/>
        <v>0</v>
      </c>
      <c r="N19" s="100">
        <f t="shared" si="0"/>
        <v>1</v>
      </c>
      <c r="O19" s="100">
        <f t="shared" si="0"/>
        <v>1</v>
      </c>
      <c r="P19" s="100">
        <f t="shared" si="0"/>
        <v>0</v>
      </c>
      <c r="Q19" s="100">
        <f t="shared" si="1"/>
        <v>3</v>
      </c>
      <c r="R19" s="100" t="str">
        <f t="shared" si="2"/>
        <v/>
      </c>
      <c r="S19" s="100" t="str">
        <f t="shared" si="3"/>
        <v/>
      </c>
      <c r="T19" s="100" t="str">
        <f t="shared" si="4"/>
        <v/>
      </c>
      <c r="U19" s="100" t="str">
        <f t="shared" si="5"/>
        <v>Failed in 3 Subjects</v>
      </c>
      <c r="V19" s="100" t="str">
        <f t="shared" si="6"/>
        <v/>
      </c>
      <c r="W19" s="100" t="str">
        <f>'Detailed Summary'!BK18</f>
        <v/>
      </c>
    </row>
    <row r="20" spans="1:23" ht="18.5" hidden="1" x14ac:dyDescent="0.45">
      <c r="A20" s="100"/>
      <c r="B20" s="100">
        <f>'Student Basic Info'!A19</f>
        <v>718</v>
      </c>
      <c r="C20" s="100" t="str">
        <f>'Student Basic Info'!C19</f>
        <v>Zannatul Ferdaus</v>
      </c>
      <c r="D20" s="100" t="str">
        <f>Bangla!G19</f>
        <v/>
      </c>
      <c r="E20" s="100" t="str">
        <f>English!F19</f>
        <v/>
      </c>
      <c r="F20" s="100" t="str">
        <f>ICT!H19</f>
        <v/>
      </c>
      <c r="G20" s="100" t="str">
        <f>Physics!H19</f>
        <v/>
      </c>
      <c r="H20" s="100" t="str">
        <f>Chemistry!H19</f>
        <v/>
      </c>
      <c r="I20" s="100" t="str">
        <f>Biology!H19</f>
        <v/>
      </c>
      <c r="J20" s="100" t="str">
        <f>Math!H19</f>
        <v/>
      </c>
      <c r="K20" s="100">
        <f t="shared" si="0"/>
        <v>0</v>
      </c>
      <c r="L20" s="100">
        <f t="shared" si="0"/>
        <v>0</v>
      </c>
      <c r="M20" s="100">
        <f t="shared" si="0"/>
        <v>0</v>
      </c>
      <c r="N20" s="100">
        <f t="shared" si="0"/>
        <v>0</v>
      </c>
      <c r="O20" s="100">
        <f t="shared" si="0"/>
        <v>0</v>
      </c>
      <c r="P20" s="100">
        <f t="shared" si="0"/>
        <v>0</v>
      </c>
      <c r="Q20" s="100">
        <f t="shared" si="1"/>
        <v>0</v>
      </c>
      <c r="R20" s="100" t="str">
        <f t="shared" si="2"/>
        <v/>
      </c>
      <c r="S20" s="100" t="str">
        <f t="shared" si="3"/>
        <v/>
      </c>
      <c r="T20" s="100" t="str">
        <f t="shared" si="4"/>
        <v/>
      </c>
      <c r="U20" s="100" t="str">
        <f t="shared" si="5"/>
        <v>Failed in 6 Subjects</v>
      </c>
      <c r="V20" s="100" t="str">
        <f t="shared" si="6"/>
        <v/>
      </c>
      <c r="W20" s="100" t="str">
        <f>'Detailed Summary'!BK19</f>
        <v/>
      </c>
    </row>
    <row r="21" spans="1:23" ht="18.5" hidden="1" x14ac:dyDescent="0.45">
      <c r="A21" s="100">
        <v>3</v>
      </c>
      <c r="B21" s="100">
        <f>'Student Basic Info'!A20</f>
        <v>719</v>
      </c>
      <c r="C21" s="100" t="str">
        <f>'Student Basic Info'!C20</f>
        <v>Shazeda Amin Shuchi</v>
      </c>
      <c r="D21" s="100">
        <f>Bangla!G20</f>
        <v>3</v>
      </c>
      <c r="E21" s="100">
        <f>English!F20</f>
        <v>0</v>
      </c>
      <c r="F21" s="100">
        <f>ICT!H20</f>
        <v>0</v>
      </c>
      <c r="G21" s="100">
        <f>Physics!H20</f>
        <v>3.5</v>
      </c>
      <c r="H21" s="100">
        <f>Chemistry!H20</f>
        <v>3</v>
      </c>
      <c r="I21" s="100">
        <f>Biology!H20</f>
        <v>0</v>
      </c>
      <c r="J21" s="100">
        <f>Math!H20</f>
        <v>0</v>
      </c>
      <c r="K21" s="100">
        <f t="shared" si="0"/>
        <v>1</v>
      </c>
      <c r="L21" s="100">
        <f t="shared" si="0"/>
        <v>0</v>
      </c>
      <c r="M21" s="100">
        <f t="shared" si="0"/>
        <v>0</v>
      </c>
      <c r="N21" s="100">
        <f t="shared" si="0"/>
        <v>1</v>
      </c>
      <c r="O21" s="100">
        <f t="shared" si="0"/>
        <v>1</v>
      </c>
      <c r="P21" s="100">
        <f t="shared" si="0"/>
        <v>0</v>
      </c>
      <c r="Q21" s="100">
        <f t="shared" si="1"/>
        <v>3</v>
      </c>
      <c r="R21" s="100" t="str">
        <f t="shared" si="2"/>
        <v/>
      </c>
      <c r="S21" s="100" t="str">
        <f t="shared" si="3"/>
        <v/>
      </c>
      <c r="T21" s="100" t="str">
        <f t="shared" si="4"/>
        <v/>
      </c>
      <c r="U21" s="100" t="str">
        <f t="shared" si="5"/>
        <v>Failed in 3 Subjects</v>
      </c>
      <c r="V21" s="100" t="str">
        <f t="shared" si="6"/>
        <v/>
      </c>
      <c r="W21" s="100" t="str">
        <f>'Detailed Summary'!BK20</f>
        <v/>
      </c>
    </row>
    <row r="22" spans="1:23" ht="18.5" hidden="1" x14ac:dyDescent="0.45">
      <c r="A22" s="100"/>
      <c r="B22" s="100">
        <f>'Student Basic Info'!A21</f>
        <v>720</v>
      </c>
      <c r="C22" s="100" t="str">
        <f>'Student Basic Info'!C21</f>
        <v>Farzana Aktar</v>
      </c>
      <c r="D22" s="100">
        <f>Bangla!G21</f>
        <v>3</v>
      </c>
      <c r="E22" s="100">
        <f>English!F21</f>
        <v>0</v>
      </c>
      <c r="F22" s="100">
        <f>ICT!H21</f>
        <v>0</v>
      </c>
      <c r="G22" s="100">
        <f>Physics!H21</f>
        <v>3</v>
      </c>
      <c r="H22" s="100">
        <f>Chemistry!H21</f>
        <v>0</v>
      </c>
      <c r="I22" s="100">
        <f>Biology!H21</f>
        <v>0</v>
      </c>
      <c r="J22" s="100">
        <f>Math!H21</f>
        <v>0</v>
      </c>
      <c r="K22" s="100">
        <f t="shared" si="0"/>
        <v>1</v>
      </c>
      <c r="L22" s="100">
        <f t="shared" si="0"/>
        <v>0</v>
      </c>
      <c r="M22" s="100">
        <f t="shared" si="0"/>
        <v>0</v>
      </c>
      <c r="N22" s="100">
        <f t="shared" si="0"/>
        <v>1</v>
      </c>
      <c r="O22" s="100">
        <f t="shared" si="0"/>
        <v>0</v>
      </c>
      <c r="P22" s="100">
        <f t="shared" si="0"/>
        <v>0</v>
      </c>
      <c r="Q22" s="100">
        <f t="shared" si="1"/>
        <v>2</v>
      </c>
      <c r="R22" s="100" t="str">
        <f t="shared" si="2"/>
        <v/>
      </c>
      <c r="S22" s="100" t="str">
        <f t="shared" si="3"/>
        <v/>
      </c>
      <c r="T22" s="100" t="str">
        <f t="shared" si="4"/>
        <v/>
      </c>
      <c r="U22" s="100" t="str">
        <f t="shared" si="5"/>
        <v>Failed in 4 Subjects</v>
      </c>
      <c r="V22" s="100" t="str">
        <f t="shared" si="6"/>
        <v/>
      </c>
      <c r="W22" s="100" t="str">
        <f>'Detailed Summary'!BK21</f>
        <v/>
      </c>
    </row>
    <row r="23" spans="1:23" ht="18.5" hidden="1" x14ac:dyDescent="0.45">
      <c r="A23" s="100"/>
      <c r="B23" s="100">
        <f>'Student Basic Info'!A22</f>
        <v>721</v>
      </c>
      <c r="C23" s="100" t="str">
        <f>'Student Basic Info'!C22</f>
        <v>Nowrin Faiza Niduwa</v>
      </c>
      <c r="D23" s="100" t="str">
        <f>Bangla!G22</f>
        <v/>
      </c>
      <c r="E23" s="100" t="str">
        <f>English!F22</f>
        <v/>
      </c>
      <c r="F23" s="100" t="str">
        <f>ICT!H22</f>
        <v/>
      </c>
      <c r="G23" s="100" t="str">
        <f>Physics!H22</f>
        <v/>
      </c>
      <c r="H23" s="100" t="str">
        <f>Chemistry!H22</f>
        <v/>
      </c>
      <c r="I23" s="100" t="str">
        <f>Biology!H22</f>
        <v/>
      </c>
      <c r="J23" s="100" t="str">
        <f>Math!H22</f>
        <v/>
      </c>
      <c r="K23" s="100">
        <f t="shared" si="0"/>
        <v>0</v>
      </c>
      <c r="L23" s="100">
        <f t="shared" si="0"/>
        <v>0</v>
      </c>
      <c r="M23" s="100">
        <f t="shared" si="0"/>
        <v>0</v>
      </c>
      <c r="N23" s="100">
        <f t="shared" si="0"/>
        <v>0</v>
      </c>
      <c r="O23" s="100">
        <f t="shared" si="0"/>
        <v>0</v>
      </c>
      <c r="P23" s="100">
        <f t="shared" si="0"/>
        <v>0</v>
      </c>
      <c r="Q23" s="100">
        <f t="shared" si="1"/>
        <v>0</v>
      </c>
      <c r="R23" s="100" t="str">
        <f t="shared" si="2"/>
        <v/>
      </c>
      <c r="S23" s="100" t="str">
        <f t="shared" si="3"/>
        <v/>
      </c>
      <c r="T23" s="100" t="str">
        <f t="shared" si="4"/>
        <v/>
      </c>
      <c r="U23" s="100" t="str">
        <f t="shared" si="5"/>
        <v>Failed in 6 Subjects</v>
      </c>
      <c r="V23" s="100" t="str">
        <f t="shared" si="6"/>
        <v/>
      </c>
      <c r="W23" s="100" t="str">
        <f>'Detailed Summary'!BK22</f>
        <v/>
      </c>
    </row>
    <row r="24" spans="1:23" ht="18.5" hidden="1" x14ac:dyDescent="0.45">
      <c r="A24" s="100">
        <v>4</v>
      </c>
      <c r="B24" s="100">
        <f>'Student Basic Info'!A23</f>
        <v>722</v>
      </c>
      <c r="C24" s="100" t="str">
        <f>'Student Basic Info'!C23</f>
        <v>Mahmudau Rahman Munna</v>
      </c>
      <c r="D24" s="100">
        <f>Bangla!G23</f>
        <v>3</v>
      </c>
      <c r="E24" s="100">
        <f>English!F23</f>
        <v>2</v>
      </c>
      <c r="F24" s="100">
        <f>ICT!H23</f>
        <v>0</v>
      </c>
      <c r="G24" s="100">
        <f>Physics!H23</f>
        <v>0</v>
      </c>
      <c r="H24" s="100">
        <f>Chemistry!H23</f>
        <v>0</v>
      </c>
      <c r="I24" s="100">
        <f>Biology!H23</f>
        <v>0</v>
      </c>
      <c r="J24" s="100">
        <f>Math!H23</f>
        <v>0</v>
      </c>
      <c r="K24" s="100">
        <f t="shared" si="0"/>
        <v>1</v>
      </c>
      <c r="L24" s="100">
        <f t="shared" si="0"/>
        <v>1</v>
      </c>
      <c r="M24" s="100">
        <f t="shared" si="0"/>
        <v>0</v>
      </c>
      <c r="N24" s="100">
        <f t="shared" si="0"/>
        <v>0</v>
      </c>
      <c r="O24" s="100">
        <f t="shared" si="0"/>
        <v>0</v>
      </c>
      <c r="P24" s="100">
        <f t="shared" si="0"/>
        <v>0</v>
      </c>
      <c r="Q24" s="100">
        <f t="shared" si="1"/>
        <v>2</v>
      </c>
      <c r="R24" s="100" t="str">
        <f t="shared" si="2"/>
        <v/>
      </c>
      <c r="S24" s="100" t="str">
        <f t="shared" si="3"/>
        <v/>
      </c>
      <c r="T24" s="100" t="str">
        <f t="shared" si="4"/>
        <v/>
      </c>
      <c r="U24" s="100" t="str">
        <f t="shared" si="5"/>
        <v>Failed in 4 Subjects</v>
      </c>
      <c r="V24" s="100" t="str">
        <f t="shared" si="6"/>
        <v/>
      </c>
      <c r="W24" s="100" t="str">
        <f>'Detailed Summary'!BK23</f>
        <v/>
      </c>
    </row>
    <row r="25" spans="1:23" ht="18.5" hidden="1" x14ac:dyDescent="0.45">
      <c r="A25" s="100"/>
      <c r="B25" s="100">
        <f>'Student Basic Info'!A24</f>
        <v>723</v>
      </c>
      <c r="C25" s="100" t="str">
        <f>'Student Basic Info'!C24</f>
        <v>Shamsuzzaman</v>
      </c>
      <c r="D25" s="100">
        <f>Bangla!G24</f>
        <v>4</v>
      </c>
      <c r="E25" s="100">
        <f>English!F24</f>
        <v>3.5</v>
      </c>
      <c r="F25" s="100">
        <f>ICT!H24</f>
        <v>5</v>
      </c>
      <c r="G25" s="100">
        <f>Physics!H24</f>
        <v>5</v>
      </c>
      <c r="H25" s="100">
        <f>Chemistry!H24</f>
        <v>5</v>
      </c>
      <c r="I25" s="100">
        <f>Biology!H24</f>
        <v>4</v>
      </c>
      <c r="J25" s="100">
        <f>Math!H24</f>
        <v>5</v>
      </c>
      <c r="K25" s="100">
        <f t="shared" si="0"/>
        <v>1</v>
      </c>
      <c r="L25" s="100">
        <f t="shared" si="0"/>
        <v>1</v>
      </c>
      <c r="M25" s="100">
        <f t="shared" si="0"/>
        <v>1</v>
      </c>
      <c r="N25" s="100">
        <f t="shared" si="0"/>
        <v>1</v>
      </c>
      <c r="O25" s="100">
        <f t="shared" si="0"/>
        <v>1</v>
      </c>
      <c r="P25" s="100">
        <f t="shared" si="0"/>
        <v>1</v>
      </c>
      <c r="Q25" s="100">
        <f t="shared" si="1"/>
        <v>6</v>
      </c>
      <c r="R25" s="100">
        <f t="shared" si="2"/>
        <v>26.5</v>
      </c>
      <c r="S25" s="100">
        <f t="shared" si="3"/>
        <v>31.5</v>
      </c>
      <c r="T25" s="100">
        <f t="shared" si="4"/>
        <v>4.416666666666667</v>
      </c>
      <c r="U25" s="100" t="str">
        <f t="shared" si="5"/>
        <v>Pass</v>
      </c>
      <c r="V25" s="100">
        <f t="shared" si="6"/>
        <v>5</v>
      </c>
      <c r="W25" s="100">
        <f>'Detailed Summary'!BK24</f>
        <v>1</v>
      </c>
    </row>
    <row r="26" spans="1:23" ht="18.5" hidden="1" x14ac:dyDescent="0.45">
      <c r="A26" s="100"/>
      <c r="B26" s="100">
        <f>'Student Basic Info'!A25</f>
        <v>724</v>
      </c>
      <c r="C26" s="100" t="str">
        <f>'Student Basic Info'!C25</f>
        <v>Dipto Chandra Das</v>
      </c>
      <c r="D26" s="100">
        <f>Bangla!G25</f>
        <v>2</v>
      </c>
      <c r="E26" s="100">
        <f>English!F25</f>
        <v>1</v>
      </c>
      <c r="F26" s="100">
        <f>ICT!H25</f>
        <v>0</v>
      </c>
      <c r="G26" s="100">
        <f>Physics!H25</f>
        <v>2</v>
      </c>
      <c r="H26" s="100">
        <f>Chemistry!H25</f>
        <v>3</v>
      </c>
      <c r="I26" s="100">
        <f>Biology!H25</f>
        <v>0</v>
      </c>
      <c r="J26" s="100">
        <f>Math!H25</f>
        <v>0</v>
      </c>
      <c r="K26" s="100">
        <f t="shared" si="0"/>
        <v>1</v>
      </c>
      <c r="L26" s="100">
        <f t="shared" si="0"/>
        <v>1</v>
      </c>
      <c r="M26" s="100">
        <f t="shared" si="0"/>
        <v>0</v>
      </c>
      <c r="N26" s="100">
        <f t="shared" si="0"/>
        <v>1</v>
      </c>
      <c r="O26" s="100">
        <f t="shared" si="0"/>
        <v>1</v>
      </c>
      <c r="P26" s="100">
        <f t="shared" si="0"/>
        <v>0</v>
      </c>
      <c r="Q26" s="100">
        <f t="shared" si="1"/>
        <v>4</v>
      </c>
      <c r="R26" s="100" t="str">
        <f t="shared" si="2"/>
        <v/>
      </c>
      <c r="S26" s="100" t="str">
        <f t="shared" si="3"/>
        <v/>
      </c>
      <c r="T26" s="100" t="str">
        <f t="shared" si="4"/>
        <v/>
      </c>
      <c r="U26" s="100" t="str">
        <f t="shared" si="5"/>
        <v>Failed in 2 Subjects</v>
      </c>
      <c r="V26" s="100" t="str">
        <f t="shared" si="6"/>
        <v/>
      </c>
      <c r="W26" s="100" t="str">
        <f>'Detailed Summary'!BK25</f>
        <v/>
      </c>
    </row>
    <row r="27" spans="1:23" ht="18.5" hidden="1" x14ac:dyDescent="0.45">
      <c r="A27" s="100">
        <v>5</v>
      </c>
      <c r="B27" s="100">
        <f>'Student Basic Info'!A26</f>
        <v>725</v>
      </c>
      <c r="C27" s="100" t="str">
        <f>'Student Basic Info'!C26</f>
        <v>Shorfuddin Nayem</v>
      </c>
      <c r="D27" s="100">
        <f>Bangla!G26</f>
        <v>2</v>
      </c>
      <c r="E27" s="100">
        <f>English!F26</f>
        <v>1</v>
      </c>
      <c r="F27" s="100">
        <f>ICT!H26</f>
        <v>0</v>
      </c>
      <c r="G27" s="100">
        <f>Physics!H26</f>
        <v>2</v>
      </c>
      <c r="H27" s="100">
        <f>Chemistry!H26</f>
        <v>0</v>
      </c>
      <c r="I27" s="100">
        <f>Biology!H26</f>
        <v>0</v>
      </c>
      <c r="J27" s="100">
        <f>Math!H26</f>
        <v>0</v>
      </c>
      <c r="K27" s="100">
        <f t="shared" si="0"/>
        <v>1</v>
      </c>
      <c r="L27" s="100">
        <f t="shared" si="0"/>
        <v>1</v>
      </c>
      <c r="M27" s="100">
        <f t="shared" si="0"/>
        <v>0</v>
      </c>
      <c r="N27" s="100">
        <f t="shared" si="0"/>
        <v>1</v>
      </c>
      <c r="O27" s="100">
        <f t="shared" si="0"/>
        <v>0</v>
      </c>
      <c r="P27" s="100">
        <f t="shared" si="0"/>
        <v>0</v>
      </c>
      <c r="Q27" s="100">
        <f t="shared" si="1"/>
        <v>3</v>
      </c>
      <c r="R27" s="100" t="str">
        <f t="shared" si="2"/>
        <v/>
      </c>
      <c r="S27" s="100" t="str">
        <f t="shared" si="3"/>
        <v/>
      </c>
      <c r="T27" s="100" t="str">
        <f t="shared" si="4"/>
        <v/>
      </c>
      <c r="U27" s="100" t="str">
        <f t="shared" si="5"/>
        <v>Failed in 3 Subjects</v>
      </c>
      <c r="V27" s="100" t="str">
        <f t="shared" si="6"/>
        <v/>
      </c>
      <c r="W27" s="100" t="str">
        <f>'Detailed Summary'!BK26</f>
        <v/>
      </c>
    </row>
    <row r="28" spans="1:23" ht="18.5" hidden="1" x14ac:dyDescent="0.45">
      <c r="A28" s="100"/>
      <c r="B28" s="100">
        <f>'Student Basic Info'!A27</f>
        <v>726</v>
      </c>
      <c r="C28" s="100" t="str">
        <f>'Student Basic Info'!C27</f>
        <v>Mosaddek Ali</v>
      </c>
      <c r="D28" s="100" t="str">
        <f>Bangla!G27</f>
        <v/>
      </c>
      <c r="E28" s="100" t="str">
        <f>English!F27</f>
        <v/>
      </c>
      <c r="F28" s="100" t="str">
        <f>ICT!H27</f>
        <v/>
      </c>
      <c r="G28" s="100" t="str">
        <f>Physics!H27</f>
        <v/>
      </c>
      <c r="H28" s="100" t="str">
        <f>Chemistry!H27</f>
        <v/>
      </c>
      <c r="I28" s="100" t="str">
        <f>Biology!H27</f>
        <v/>
      </c>
      <c r="J28" s="100" t="str">
        <f>Math!H27</f>
        <v/>
      </c>
      <c r="K28" s="100">
        <f t="shared" si="0"/>
        <v>0</v>
      </c>
      <c r="L28" s="100">
        <f t="shared" si="0"/>
        <v>0</v>
      </c>
      <c r="M28" s="100">
        <f t="shared" si="0"/>
        <v>0</v>
      </c>
      <c r="N28" s="100">
        <f t="shared" si="0"/>
        <v>0</v>
      </c>
      <c r="O28" s="100">
        <f t="shared" si="0"/>
        <v>0</v>
      </c>
      <c r="P28" s="100">
        <f t="shared" si="0"/>
        <v>0</v>
      </c>
      <c r="Q28" s="100">
        <f t="shared" si="1"/>
        <v>0</v>
      </c>
      <c r="R28" s="100" t="str">
        <f t="shared" si="2"/>
        <v/>
      </c>
      <c r="S28" s="100" t="str">
        <f t="shared" si="3"/>
        <v/>
      </c>
      <c r="T28" s="100" t="str">
        <f t="shared" si="4"/>
        <v/>
      </c>
      <c r="U28" s="100" t="str">
        <f t="shared" si="5"/>
        <v>Failed in 6 Subjects</v>
      </c>
      <c r="V28" s="100" t="str">
        <f t="shared" si="6"/>
        <v/>
      </c>
      <c r="W28" s="100" t="str">
        <f>'Detailed Summary'!BK27</f>
        <v/>
      </c>
    </row>
    <row r="29" spans="1:23" ht="18.5" hidden="1" x14ac:dyDescent="0.45">
      <c r="A29" s="100"/>
      <c r="B29" s="100">
        <f>'Student Basic Info'!A28</f>
        <v>727</v>
      </c>
      <c r="C29" s="100" t="str">
        <f>'Student Basic Info'!C28</f>
        <v>Fahmida Sultana</v>
      </c>
      <c r="D29" s="100">
        <f>Bangla!G28</f>
        <v>3.5</v>
      </c>
      <c r="E29" s="100">
        <f>English!F28</f>
        <v>1</v>
      </c>
      <c r="F29" s="100">
        <f>ICT!H28</f>
        <v>5</v>
      </c>
      <c r="G29" s="100">
        <f>Physics!H28</f>
        <v>3.5</v>
      </c>
      <c r="H29" s="100">
        <f>Chemistry!H28</f>
        <v>2</v>
      </c>
      <c r="I29" s="100">
        <f>Biology!H28</f>
        <v>2</v>
      </c>
      <c r="J29" s="100">
        <f>Math!H28</f>
        <v>0</v>
      </c>
      <c r="K29" s="100">
        <f t="shared" si="0"/>
        <v>1</v>
      </c>
      <c r="L29" s="100">
        <f t="shared" si="0"/>
        <v>1</v>
      </c>
      <c r="M29" s="100">
        <f t="shared" si="0"/>
        <v>1</v>
      </c>
      <c r="N29" s="100">
        <f t="shared" si="0"/>
        <v>1</v>
      </c>
      <c r="O29" s="100">
        <f t="shared" si="0"/>
        <v>1</v>
      </c>
      <c r="P29" s="100">
        <f t="shared" si="0"/>
        <v>1</v>
      </c>
      <c r="Q29" s="100">
        <f t="shared" si="1"/>
        <v>6</v>
      </c>
      <c r="R29" s="100">
        <f t="shared" si="2"/>
        <v>17</v>
      </c>
      <c r="S29" s="100">
        <f t="shared" si="3"/>
        <v>17</v>
      </c>
      <c r="T29" s="100">
        <f t="shared" si="4"/>
        <v>2.8333333333333335</v>
      </c>
      <c r="U29" s="100" t="str">
        <f t="shared" si="5"/>
        <v>Pass</v>
      </c>
      <c r="V29" s="100">
        <f t="shared" si="6"/>
        <v>2.8333333333333335</v>
      </c>
      <c r="W29" s="100">
        <f>'Detailed Summary'!BK28</f>
        <v>9</v>
      </c>
    </row>
    <row r="30" spans="1:23" ht="18.5" x14ac:dyDescent="0.45">
      <c r="A30" s="100"/>
      <c r="B30" s="100">
        <f>'Student Basic Info'!A29</f>
        <v>728</v>
      </c>
      <c r="C30" s="100" t="str">
        <f>'Student Basic Info'!C29</f>
        <v>Aditya Chandra Das (Akash)</v>
      </c>
      <c r="D30" s="100">
        <f>Bangla!G29</f>
        <v>2</v>
      </c>
      <c r="E30" s="100">
        <f>English!F29</f>
        <v>0</v>
      </c>
      <c r="F30" s="100">
        <f>ICT!H29</f>
        <v>0</v>
      </c>
      <c r="G30" s="100">
        <f>Physics!H29</f>
        <v>2</v>
      </c>
      <c r="H30" s="100">
        <f>Chemistry!H29</f>
        <v>3</v>
      </c>
      <c r="I30" s="100">
        <f>Biology!H29</f>
        <v>0</v>
      </c>
      <c r="J30" s="100">
        <f>Math!H29</f>
        <v>0</v>
      </c>
      <c r="K30" s="100">
        <f t="shared" si="0"/>
        <v>1</v>
      </c>
      <c r="L30" s="100">
        <f t="shared" si="0"/>
        <v>0</v>
      </c>
      <c r="M30" s="100">
        <f t="shared" si="0"/>
        <v>0</v>
      </c>
      <c r="N30" s="100">
        <f t="shared" si="0"/>
        <v>1</v>
      </c>
      <c r="O30" s="100">
        <f t="shared" si="0"/>
        <v>1</v>
      </c>
      <c r="P30" s="100">
        <f t="shared" si="0"/>
        <v>0</v>
      </c>
      <c r="Q30" s="100">
        <f t="shared" si="1"/>
        <v>3</v>
      </c>
      <c r="R30" s="100" t="str">
        <f t="shared" si="2"/>
        <v/>
      </c>
      <c r="S30" s="100" t="str">
        <f t="shared" si="3"/>
        <v/>
      </c>
      <c r="T30" s="100" t="str">
        <f t="shared" si="4"/>
        <v/>
      </c>
      <c r="U30" s="100" t="str">
        <f t="shared" si="5"/>
        <v>Failed in 3 Subjects</v>
      </c>
      <c r="V30" s="100" t="str">
        <f t="shared" si="6"/>
        <v/>
      </c>
      <c r="W30" s="100" t="str">
        <f>'Detailed Summary'!BK29</f>
        <v/>
      </c>
    </row>
    <row r="31" spans="1:23" ht="18.5" hidden="1" x14ac:dyDescent="0.45">
      <c r="A31" s="100"/>
      <c r="B31" s="100">
        <f>'Student Basic Info'!A30</f>
        <v>729</v>
      </c>
      <c r="C31" s="100" t="str">
        <f>'Student Basic Info'!C30</f>
        <v>Golam Kibriya</v>
      </c>
      <c r="D31" s="100">
        <f>Bangla!G30</f>
        <v>1</v>
      </c>
      <c r="E31" s="100">
        <f>English!F30</f>
        <v>0</v>
      </c>
      <c r="F31" s="100">
        <f>ICT!H30</f>
        <v>0</v>
      </c>
      <c r="G31" s="100">
        <f>Physics!H30</f>
        <v>0</v>
      </c>
      <c r="H31" s="100">
        <f>Chemistry!H30</f>
        <v>0</v>
      </c>
      <c r="I31" s="100">
        <f>Biology!H30</f>
        <v>0</v>
      </c>
      <c r="J31" s="100">
        <f>Math!H30</f>
        <v>0</v>
      </c>
      <c r="K31" s="100">
        <f t="shared" si="0"/>
        <v>1</v>
      </c>
      <c r="L31" s="100">
        <f t="shared" si="0"/>
        <v>0</v>
      </c>
      <c r="M31" s="100">
        <f t="shared" si="0"/>
        <v>0</v>
      </c>
      <c r="N31" s="100">
        <f t="shared" si="0"/>
        <v>0</v>
      </c>
      <c r="O31" s="100">
        <f t="shared" si="0"/>
        <v>0</v>
      </c>
      <c r="P31" s="100">
        <f t="shared" si="0"/>
        <v>0</v>
      </c>
      <c r="Q31" s="100">
        <f t="shared" si="1"/>
        <v>1</v>
      </c>
      <c r="R31" s="100" t="str">
        <f t="shared" si="2"/>
        <v/>
      </c>
      <c r="S31" s="100" t="str">
        <f t="shared" si="3"/>
        <v/>
      </c>
      <c r="T31" s="100" t="str">
        <f t="shared" si="4"/>
        <v/>
      </c>
      <c r="U31" s="100" t="str">
        <f t="shared" si="5"/>
        <v>Failed in 5 Subjects</v>
      </c>
      <c r="V31" s="100" t="str">
        <f t="shared" si="6"/>
        <v/>
      </c>
      <c r="W31" s="100" t="str">
        <f>'Detailed Summary'!BK30</f>
        <v/>
      </c>
    </row>
    <row r="32" spans="1:23" ht="18.5" hidden="1" x14ac:dyDescent="0.45">
      <c r="A32" s="100"/>
      <c r="B32" s="100">
        <f>'Student Basic Info'!A31</f>
        <v>730</v>
      </c>
      <c r="C32" s="100" t="str">
        <f>'Student Basic Info'!C31</f>
        <v>Fahmidul Alam Abhi</v>
      </c>
      <c r="D32" s="100">
        <f>Bangla!G31</f>
        <v>1</v>
      </c>
      <c r="E32" s="100">
        <f>English!F31</f>
        <v>0</v>
      </c>
      <c r="F32" s="100">
        <f>ICT!H31</f>
        <v>0</v>
      </c>
      <c r="G32" s="100">
        <f>Physics!H31</f>
        <v>0</v>
      </c>
      <c r="H32" s="100">
        <f>Chemistry!H31</f>
        <v>0</v>
      </c>
      <c r="I32" s="100">
        <f>Biology!H31</f>
        <v>0</v>
      </c>
      <c r="J32" s="100">
        <f>Math!H31</f>
        <v>0</v>
      </c>
      <c r="K32" s="100">
        <f t="shared" si="0"/>
        <v>1</v>
      </c>
      <c r="L32" s="100">
        <f t="shared" si="0"/>
        <v>0</v>
      </c>
      <c r="M32" s="100">
        <f t="shared" si="0"/>
        <v>0</v>
      </c>
      <c r="N32" s="100">
        <f t="shared" si="0"/>
        <v>0</v>
      </c>
      <c r="O32" s="100">
        <f t="shared" si="0"/>
        <v>0</v>
      </c>
      <c r="P32" s="100">
        <f t="shared" si="0"/>
        <v>0</v>
      </c>
      <c r="Q32" s="100">
        <f t="shared" si="1"/>
        <v>1</v>
      </c>
      <c r="R32" s="100" t="str">
        <f t="shared" si="2"/>
        <v/>
      </c>
      <c r="S32" s="100" t="str">
        <f t="shared" si="3"/>
        <v/>
      </c>
      <c r="T32" s="100" t="str">
        <f t="shared" si="4"/>
        <v/>
      </c>
      <c r="U32" s="100" t="str">
        <f t="shared" si="5"/>
        <v>Failed in 5 Subjects</v>
      </c>
      <c r="V32" s="100" t="str">
        <f t="shared" si="6"/>
        <v/>
      </c>
      <c r="W32" s="100" t="str">
        <f>'Detailed Summary'!BK31</f>
        <v/>
      </c>
    </row>
    <row r="33" spans="1:27" ht="18.5" x14ac:dyDescent="0.45">
      <c r="A33" s="100"/>
      <c r="B33" s="100">
        <f>'Student Basic Info'!A32</f>
        <v>731</v>
      </c>
      <c r="C33" s="100" t="str">
        <f>'Student Basic Info'!C32</f>
        <v>Lurpur Nahar</v>
      </c>
      <c r="D33" s="100">
        <f>Bangla!G32</f>
        <v>3</v>
      </c>
      <c r="E33" s="100">
        <f>English!F32</f>
        <v>0</v>
      </c>
      <c r="F33" s="100">
        <f>ICT!H32</f>
        <v>0</v>
      </c>
      <c r="G33" s="100">
        <f>Physics!H32</f>
        <v>3</v>
      </c>
      <c r="H33" s="100">
        <f>Chemistry!H32</f>
        <v>0</v>
      </c>
      <c r="I33" s="100">
        <f>Biology!H32</f>
        <v>0</v>
      </c>
      <c r="J33" s="100">
        <f>Math!H32</f>
        <v>0</v>
      </c>
      <c r="K33" s="100">
        <f t="shared" si="0"/>
        <v>1</v>
      </c>
      <c r="L33" s="100">
        <f t="shared" si="0"/>
        <v>0</v>
      </c>
      <c r="M33" s="100">
        <f t="shared" si="0"/>
        <v>0</v>
      </c>
      <c r="N33" s="100">
        <f t="shared" si="0"/>
        <v>1</v>
      </c>
      <c r="O33" s="100">
        <f t="shared" si="0"/>
        <v>0</v>
      </c>
      <c r="P33" s="100">
        <f t="shared" si="0"/>
        <v>0</v>
      </c>
      <c r="Q33" s="100">
        <f t="shared" si="1"/>
        <v>2</v>
      </c>
      <c r="R33" s="100" t="str">
        <f t="shared" si="2"/>
        <v/>
      </c>
      <c r="S33" s="100" t="str">
        <f t="shared" si="3"/>
        <v/>
      </c>
      <c r="T33" s="100" t="str">
        <f t="shared" si="4"/>
        <v/>
      </c>
      <c r="U33" s="100" t="str">
        <f t="shared" si="5"/>
        <v>Failed in 4 Subjects</v>
      </c>
      <c r="V33" s="100" t="str">
        <f t="shared" si="6"/>
        <v/>
      </c>
      <c r="W33" s="100" t="str">
        <f>'Detailed Summary'!BK32</f>
        <v/>
      </c>
    </row>
    <row r="34" spans="1:27" ht="18.5" hidden="1" x14ac:dyDescent="0.45">
      <c r="A34" s="100"/>
      <c r="B34" s="100">
        <f>'Student Basic Info'!A33</f>
        <v>732</v>
      </c>
      <c r="C34" s="100" t="str">
        <f>'Student Basic Info'!C33</f>
        <v>Shezanul Bahar Alvi</v>
      </c>
      <c r="D34" s="100">
        <f>Bangla!G33</f>
        <v>1</v>
      </c>
      <c r="E34" s="100">
        <f>English!F33</f>
        <v>0</v>
      </c>
      <c r="F34" s="100">
        <f>ICT!H33</f>
        <v>0</v>
      </c>
      <c r="G34" s="100" t="str">
        <f>Physics!H33</f>
        <v/>
      </c>
      <c r="H34" s="100">
        <f>Chemistry!H33</f>
        <v>1</v>
      </c>
      <c r="I34" s="100">
        <f>Biology!H33</f>
        <v>0</v>
      </c>
      <c r="J34" s="100">
        <f>Math!H33</f>
        <v>0</v>
      </c>
      <c r="K34" s="100">
        <f t="shared" si="0"/>
        <v>1</v>
      </c>
      <c r="L34" s="100">
        <f t="shared" si="0"/>
        <v>0</v>
      </c>
      <c r="M34" s="100">
        <f t="shared" si="0"/>
        <v>0</v>
      </c>
      <c r="N34" s="100">
        <f t="shared" si="0"/>
        <v>0</v>
      </c>
      <c r="O34" s="100">
        <f t="shared" si="0"/>
        <v>1</v>
      </c>
      <c r="P34" s="100">
        <f t="shared" si="0"/>
        <v>0</v>
      </c>
      <c r="Q34" s="100">
        <f t="shared" si="1"/>
        <v>2</v>
      </c>
      <c r="R34" s="100" t="str">
        <f t="shared" si="2"/>
        <v/>
      </c>
      <c r="S34" s="100" t="str">
        <f t="shared" si="3"/>
        <v/>
      </c>
      <c r="T34" s="100" t="str">
        <f t="shared" si="4"/>
        <v/>
      </c>
      <c r="U34" s="100" t="str">
        <f t="shared" si="5"/>
        <v>Failed in 4 Subjects</v>
      </c>
      <c r="V34" s="100" t="str">
        <f t="shared" si="6"/>
        <v/>
      </c>
      <c r="W34" s="100" t="str">
        <f>'Detailed Summary'!BK33</f>
        <v/>
      </c>
    </row>
    <row r="35" spans="1:27" ht="18.5" hidden="1" x14ac:dyDescent="0.45">
      <c r="A35" s="100"/>
      <c r="B35" s="100">
        <f>'Student Basic Info'!A34</f>
        <v>733</v>
      </c>
      <c r="C35" s="100" t="str">
        <f>'Student Basic Info'!C34</f>
        <v>Shadiya Bahar</v>
      </c>
      <c r="D35" s="100">
        <f>Bangla!G34</f>
        <v>2</v>
      </c>
      <c r="E35" s="100">
        <f>English!F34</f>
        <v>1</v>
      </c>
      <c r="F35" s="100">
        <f>ICT!H34</f>
        <v>0</v>
      </c>
      <c r="G35" s="100">
        <f>Physics!H34</f>
        <v>0</v>
      </c>
      <c r="H35" s="100">
        <f>Chemistry!H34</f>
        <v>0</v>
      </c>
      <c r="I35" s="100">
        <f>Biology!H34</f>
        <v>0</v>
      </c>
      <c r="J35" s="100">
        <f>Math!H34</f>
        <v>0</v>
      </c>
      <c r="K35" s="100">
        <f t="shared" ref="K35:P66" si="7">(IF(D35="",0,IF(D35=0,0,1)))</f>
        <v>1</v>
      </c>
      <c r="L35" s="100">
        <f t="shared" si="7"/>
        <v>1</v>
      </c>
      <c r="M35" s="100">
        <f t="shared" si="7"/>
        <v>0</v>
      </c>
      <c r="N35" s="100">
        <f t="shared" si="7"/>
        <v>0</v>
      </c>
      <c r="O35" s="100">
        <f t="shared" si="7"/>
        <v>0</v>
      </c>
      <c r="P35" s="100">
        <f t="shared" si="7"/>
        <v>0</v>
      </c>
      <c r="Q35" s="100">
        <f t="shared" si="1"/>
        <v>2</v>
      </c>
      <c r="R35" s="100" t="str">
        <f t="shared" si="2"/>
        <v/>
      </c>
      <c r="S35" s="100" t="str">
        <f t="shared" si="3"/>
        <v/>
      </c>
      <c r="T35" s="100" t="str">
        <f t="shared" si="4"/>
        <v/>
      </c>
      <c r="U35" s="100" t="str">
        <f t="shared" si="5"/>
        <v>Failed in 4 Subjects</v>
      </c>
      <c r="V35" s="100" t="str">
        <f t="shared" si="6"/>
        <v/>
      </c>
      <c r="W35" s="100" t="str">
        <f>'Detailed Summary'!BK34</f>
        <v/>
      </c>
    </row>
    <row r="36" spans="1:27" ht="18.5" hidden="1" x14ac:dyDescent="0.45">
      <c r="A36" s="100">
        <v>6</v>
      </c>
      <c r="B36" s="100">
        <f>'Student Basic Info'!A35</f>
        <v>734</v>
      </c>
      <c r="C36" s="100" t="str">
        <f>'Student Basic Info'!C35</f>
        <v>Shayed Hasan</v>
      </c>
      <c r="D36" s="100">
        <f>Bangla!G35</f>
        <v>3</v>
      </c>
      <c r="E36" s="100">
        <f>English!F35</f>
        <v>1</v>
      </c>
      <c r="F36" s="100">
        <f>ICT!H35</f>
        <v>0</v>
      </c>
      <c r="G36" s="100">
        <f>Physics!H35</f>
        <v>3</v>
      </c>
      <c r="H36" s="100">
        <f>Chemistry!H35</f>
        <v>1</v>
      </c>
      <c r="I36" s="100">
        <f>Biology!H35</f>
        <v>0</v>
      </c>
      <c r="J36" s="100">
        <f>Math!H35</f>
        <v>0</v>
      </c>
      <c r="K36" s="100">
        <f t="shared" si="7"/>
        <v>1</v>
      </c>
      <c r="L36" s="100">
        <f t="shared" si="7"/>
        <v>1</v>
      </c>
      <c r="M36" s="100">
        <f t="shared" si="7"/>
        <v>0</v>
      </c>
      <c r="N36" s="100">
        <f t="shared" si="7"/>
        <v>1</v>
      </c>
      <c r="O36" s="100">
        <f t="shared" si="7"/>
        <v>1</v>
      </c>
      <c r="P36" s="100">
        <f t="shared" si="7"/>
        <v>0</v>
      </c>
      <c r="Q36" s="100">
        <f t="shared" si="1"/>
        <v>4</v>
      </c>
      <c r="R36" s="100" t="str">
        <f t="shared" si="2"/>
        <v/>
      </c>
      <c r="S36" s="100" t="str">
        <f t="shared" si="3"/>
        <v/>
      </c>
      <c r="T36" s="100" t="str">
        <f t="shared" si="4"/>
        <v/>
      </c>
      <c r="U36" s="100" t="str">
        <f t="shared" si="5"/>
        <v>Failed in 2 Subjects</v>
      </c>
      <c r="V36" s="100" t="str">
        <f t="shared" si="6"/>
        <v/>
      </c>
      <c r="W36" s="100" t="str">
        <f>'Detailed Summary'!BK35</f>
        <v/>
      </c>
    </row>
    <row r="37" spans="1:27" ht="18.5" hidden="1" x14ac:dyDescent="0.45">
      <c r="A37" s="100"/>
      <c r="B37" s="100">
        <f>'Student Basic Info'!A36</f>
        <v>735</v>
      </c>
      <c r="C37" s="100" t="str">
        <f>'Student Basic Info'!C36</f>
        <v>Sumaiya Zahan Tarin</v>
      </c>
      <c r="D37" s="100">
        <f>Bangla!G36</f>
        <v>3</v>
      </c>
      <c r="E37" s="100">
        <f>English!F36</f>
        <v>2</v>
      </c>
      <c r="F37" s="100">
        <f>ICT!H36</f>
        <v>0</v>
      </c>
      <c r="G37" s="100">
        <f>Physics!H36</f>
        <v>0</v>
      </c>
      <c r="H37" s="100" t="str">
        <f>Chemistry!H36</f>
        <v/>
      </c>
      <c r="I37" s="100">
        <f>Biology!H36</f>
        <v>0</v>
      </c>
      <c r="J37" s="100">
        <f>Math!H36</f>
        <v>0</v>
      </c>
      <c r="K37" s="100">
        <f t="shared" si="7"/>
        <v>1</v>
      </c>
      <c r="L37" s="100">
        <f t="shared" si="7"/>
        <v>1</v>
      </c>
      <c r="M37" s="100">
        <f t="shared" si="7"/>
        <v>0</v>
      </c>
      <c r="N37" s="100">
        <f t="shared" si="7"/>
        <v>0</v>
      </c>
      <c r="O37" s="100">
        <f t="shared" si="7"/>
        <v>0</v>
      </c>
      <c r="P37" s="100">
        <f t="shared" si="7"/>
        <v>0</v>
      </c>
      <c r="Q37" s="100">
        <f t="shared" si="1"/>
        <v>2</v>
      </c>
      <c r="R37" s="100" t="str">
        <f t="shared" si="2"/>
        <v/>
      </c>
      <c r="S37" s="100" t="str">
        <f t="shared" si="3"/>
        <v/>
      </c>
      <c r="T37" s="100" t="str">
        <f t="shared" si="4"/>
        <v/>
      </c>
      <c r="U37" s="100" t="str">
        <f t="shared" si="5"/>
        <v>Failed in 4 Subjects</v>
      </c>
      <c r="V37" s="100" t="str">
        <f t="shared" si="6"/>
        <v/>
      </c>
      <c r="W37" s="100" t="str">
        <f>'Detailed Summary'!BK36</f>
        <v/>
      </c>
    </row>
    <row r="38" spans="1:27" ht="18.5" hidden="1" x14ac:dyDescent="0.45">
      <c r="A38" s="100">
        <v>7</v>
      </c>
      <c r="B38" s="100">
        <f>'Student Basic Info'!A37</f>
        <v>736</v>
      </c>
      <c r="C38" s="100" t="str">
        <f>'Student Basic Info'!C37</f>
        <v>Nur Islam</v>
      </c>
      <c r="D38" s="100">
        <f>Bangla!G37</f>
        <v>2</v>
      </c>
      <c r="E38" s="100">
        <f>English!F37</f>
        <v>0</v>
      </c>
      <c r="F38" s="100">
        <f>ICT!H37</f>
        <v>0</v>
      </c>
      <c r="G38" s="100">
        <f>Physics!H37</f>
        <v>3</v>
      </c>
      <c r="H38" s="100">
        <f>Chemistry!H37</f>
        <v>0</v>
      </c>
      <c r="I38" s="100">
        <f>Biology!H37</f>
        <v>0</v>
      </c>
      <c r="J38" s="100" t="str">
        <f>Math!H37</f>
        <v/>
      </c>
      <c r="K38" s="100">
        <f t="shared" si="7"/>
        <v>1</v>
      </c>
      <c r="L38" s="100">
        <f t="shared" si="7"/>
        <v>0</v>
      </c>
      <c r="M38" s="100">
        <f t="shared" si="7"/>
        <v>0</v>
      </c>
      <c r="N38" s="100">
        <f t="shared" si="7"/>
        <v>1</v>
      </c>
      <c r="O38" s="100">
        <f t="shared" si="7"/>
        <v>0</v>
      </c>
      <c r="P38" s="100">
        <f t="shared" si="7"/>
        <v>0</v>
      </c>
      <c r="Q38" s="100">
        <f t="shared" si="1"/>
        <v>2</v>
      </c>
      <c r="R38" s="100" t="str">
        <f t="shared" si="2"/>
        <v/>
      </c>
      <c r="S38" s="100" t="str">
        <f t="shared" si="3"/>
        <v/>
      </c>
      <c r="T38" s="100" t="str">
        <f t="shared" si="4"/>
        <v/>
      </c>
      <c r="U38" s="100" t="str">
        <f t="shared" si="5"/>
        <v>Failed in 4 Subjects</v>
      </c>
      <c r="V38" s="100" t="str">
        <f t="shared" si="6"/>
        <v/>
      </c>
      <c r="W38" s="100" t="str">
        <f>'Detailed Summary'!BK37</f>
        <v/>
      </c>
      <c r="AA38" t="s">
        <v>452</v>
      </c>
    </row>
    <row r="39" spans="1:27" ht="18.5" hidden="1" x14ac:dyDescent="0.45">
      <c r="A39" s="100">
        <v>4</v>
      </c>
      <c r="B39" s="100">
        <f>'Student Basic Info'!A38</f>
        <v>737</v>
      </c>
      <c r="C39" s="100" t="str">
        <f>'Student Basic Info'!C38</f>
        <v>Nusrat Zahan</v>
      </c>
      <c r="D39" s="100">
        <f>Bangla!G38</f>
        <v>3</v>
      </c>
      <c r="E39" s="100">
        <f>English!F38</f>
        <v>2</v>
      </c>
      <c r="F39" s="100">
        <f>ICT!H38</f>
        <v>0</v>
      </c>
      <c r="G39" s="100">
        <f>Physics!H38</f>
        <v>3.5</v>
      </c>
      <c r="H39" s="100">
        <f>Chemistry!H38</f>
        <v>0</v>
      </c>
      <c r="I39" s="100">
        <f>Biology!H38</f>
        <v>0</v>
      </c>
      <c r="J39" s="100">
        <f>Math!H38</f>
        <v>0</v>
      </c>
      <c r="K39" s="100">
        <f t="shared" si="7"/>
        <v>1</v>
      </c>
      <c r="L39" s="100">
        <f t="shared" si="7"/>
        <v>1</v>
      </c>
      <c r="M39" s="100">
        <f t="shared" si="7"/>
        <v>0</v>
      </c>
      <c r="N39" s="100">
        <f t="shared" si="7"/>
        <v>1</v>
      </c>
      <c r="O39" s="100">
        <f t="shared" si="7"/>
        <v>0</v>
      </c>
      <c r="P39" s="100">
        <f t="shared" si="7"/>
        <v>0</v>
      </c>
      <c r="Q39" s="100">
        <f t="shared" si="1"/>
        <v>3</v>
      </c>
      <c r="R39" s="100" t="str">
        <f t="shared" si="2"/>
        <v/>
      </c>
      <c r="S39" s="100" t="str">
        <f t="shared" si="3"/>
        <v/>
      </c>
      <c r="T39" s="100" t="str">
        <f t="shared" si="4"/>
        <v/>
      </c>
      <c r="U39" s="100" t="str">
        <f t="shared" si="5"/>
        <v>Failed in 3 Subjects</v>
      </c>
      <c r="V39" s="100" t="str">
        <f t="shared" si="6"/>
        <v/>
      </c>
      <c r="W39" s="100" t="str">
        <f>'Detailed Summary'!BK38</f>
        <v/>
      </c>
    </row>
    <row r="40" spans="1:27" ht="18.5" hidden="1" x14ac:dyDescent="0.45">
      <c r="A40" s="100">
        <v>8</v>
      </c>
      <c r="B40" s="100">
        <f>'Student Basic Info'!A39</f>
        <v>738</v>
      </c>
      <c r="C40" s="100" t="str">
        <f>'Student Basic Info'!C39</f>
        <v>Arpita Rani Bhoumik</v>
      </c>
      <c r="D40" s="100">
        <f>Bangla!G39</f>
        <v>3</v>
      </c>
      <c r="E40" s="100">
        <f>English!F39</f>
        <v>2</v>
      </c>
      <c r="F40" s="100">
        <f>ICT!H39</f>
        <v>3</v>
      </c>
      <c r="G40" s="100">
        <f>Physics!H39</f>
        <v>0</v>
      </c>
      <c r="H40" s="100">
        <f>Chemistry!H39</f>
        <v>0</v>
      </c>
      <c r="I40" s="100">
        <f>Biology!H39</f>
        <v>0</v>
      </c>
      <c r="J40" s="100">
        <f>Math!H39</f>
        <v>0</v>
      </c>
      <c r="K40" s="100">
        <f t="shared" si="7"/>
        <v>1</v>
      </c>
      <c r="L40" s="100">
        <f t="shared" si="7"/>
        <v>1</v>
      </c>
      <c r="M40" s="100">
        <f t="shared" si="7"/>
        <v>1</v>
      </c>
      <c r="N40" s="100">
        <f t="shared" si="7"/>
        <v>0</v>
      </c>
      <c r="O40" s="100">
        <f t="shared" si="7"/>
        <v>0</v>
      </c>
      <c r="P40" s="100">
        <f t="shared" si="7"/>
        <v>0</v>
      </c>
      <c r="Q40" s="100">
        <f t="shared" si="1"/>
        <v>3</v>
      </c>
      <c r="R40" s="100" t="str">
        <f t="shared" si="2"/>
        <v/>
      </c>
      <c r="S40" s="100" t="str">
        <f t="shared" si="3"/>
        <v/>
      </c>
      <c r="T40" s="100" t="str">
        <f t="shared" si="4"/>
        <v/>
      </c>
      <c r="U40" s="100" t="str">
        <f t="shared" si="5"/>
        <v>Failed in 3 Subjects</v>
      </c>
      <c r="V40" s="100" t="str">
        <f t="shared" si="6"/>
        <v/>
      </c>
      <c r="W40" s="100" t="str">
        <f>'Detailed Summary'!BK39</f>
        <v/>
      </c>
    </row>
    <row r="41" spans="1:27" ht="18.5" x14ac:dyDescent="0.45">
      <c r="A41" s="100"/>
      <c r="B41" s="100">
        <f>'Student Basic Info'!A40</f>
        <v>739</v>
      </c>
      <c r="C41" s="100" t="str">
        <f>'Student Basic Info'!C40</f>
        <v xml:space="preserve">Israt Zahan Shrabonti </v>
      </c>
      <c r="D41" s="100">
        <f>Bangla!G40</f>
        <v>3</v>
      </c>
      <c r="E41" s="100">
        <f>English!F40</f>
        <v>1</v>
      </c>
      <c r="F41" s="100">
        <f>ICT!H40</f>
        <v>2</v>
      </c>
      <c r="G41" s="100">
        <f>Physics!H40</f>
        <v>3</v>
      </c>
      <c r="H41" s="100">
        <f>Chemistry!H40</f>
        <v>0</v>
      </c>
      <c r="I41" s="100">
        <f>Biology!H40</f>
        <v>0</v>
      </c>
      <c r="J41" s="100">
        <f>Math!H40</f>
        <v>0</v>
      </c>
      <c r="K41" s="100">
        <f t="shared" si="7"/>
        <v>1</v>
      </c>
      <c r="L41" s="100">
        <f t="shared" si="7"/>
        <v>1</v>
      </c>
      <c r="M41" s="100">
        <f t="shared" si="7"/>
        <v>1</v>
      </c>
      <c r="N41" s="100">
        <f t="shared" si="7"/>
        <v>1</v>
      </c>
      <c r="O41" s="100">
        <f t="shared" si="7"/>
        <v>0</v>
      </c>
      <c r="P41" s="100">
        <f t="shared" si="7"/>
        <v>0</v>
      </c>
      <c r="Q41" s="100">
        <f t="shared" si="1"/>
        <v>4</v>
      </c>
      <c r="R41" s="100" t="str">
        <f t="shared" si="2"/>
        <v/>
      </c>
      <c r="S41" s="100" t="str">
        <f t="shared" si="3"/>
        <v/>
      </c>
      <c r="T41" s="100" t="str">
        <f t="shared" si="4"/>
        <v/>
      </c>
      <c r="U41" s="100" t="str">
        <f t="shared" si="5"/>
        <v>Failed in 2 Subjects</v>
      </c>
      <c r="V41" s="100" t="str">
        <f t="shared" si="6"/>
        <v/>
      </c>
      <c r="W41" s="100" t="str">
        <f>'Detailed Summary'!BK40</f>
        <v/>
      </c>
    </row>
    <row r="42" spans="1:27" ht="18.5" hidden="1" x14ac:dyDescent="0.45">
      <c r="A42" s="100">
        <v>9</v>
      </c>
      <c r="B42" s="100">
        <f>'Student Basic Info'!A41</f>
        <v>740</v>
      </c>
      <c r="C42" s="100" t="str">
        <f>'Student Basic Info'!C41</f>
        <v>Fatema Zannat</v>
      </c>
      <c r="D42" s="100">
        <f>Bangla!G41</f>
        <v>3.5</v>
      </c>
      <c r="E42" s="100">
        <f>English!F41</f>
        <v>2</v>
      </c>
      <c r="F42" s="100">
        <f>ICT!H41</f>
        <v>0</v>
      </c>
      <c r="G42" s="100">
        <f>Physics!H41</f>
        <v>0</v>
      </c>
      <c r="H42" s="100">
        <f>Chemistry!H41</f>
        <v>2</v>
      </c>
      <c r="I42" s="100">
        <f>Biology!H41</f>
        <v>0</v>
      </c>
      <c r="J42" s="100">
        <f>Math!H41</f>
        <v>0</v>
      </c>
      <c r="K42" s="100">
        <f t="shared" si="7"/>
        <v>1</v>
      </c>
      <c r="L42" s="100">
        <f t="shared" si="7"/>
        <v>1</v>
      </c>
      <c r="M42" s="100">
        <f t="shared" si="7"/>
        <v>0</v>
      </c>
      <c r="N42" s="100">
        <f t="shared" si="7"/>
        <v>0</v>
      </c>
      <c r="O42" s="100">
        <f t="shared" si="7"/>
        <v>1</v>
      </c>
      <c r="P42" s="100">
        <f t="shared" si="7"/>
        <v>0</v>
      </c>
      <c r="Q42" s="100">
        <f t="shared" si="1"/>
        <v>3</v>
      </c>
      <c r="R42" s="100" t="str">
        <f t="shared" si="2"/>
        <v/>
      </c>
      <c r="S42" s="100" t="str">
        <f t="shared" si="3"/>
        <v/>
      </c>
      <c r="T42" s="100" t="str">
        <f t="shared" si="4"/>
        <v/>
      </c>
      <c r="U42" s="100" t="str">
        <f t="shared" si="5"/>
        <v>Failed in 3 Subjects</v>
      </c>
      <c r="V42" s="100" t="str">
        <f t="shared" si="6"/>
        <v/>
      </c>
      <c r="W42" s="100" t="str">
        <f>'Detailed Summary'!BK41</f>
        <v/>
      </c>
    </row>
    <row r="43" spans="1:27" ht="18.5" hidden="1" x14ac:dyDescent="0.45">
      <c r="A43" s="100"/>
      <c r="B43" s="100">
        <f>'Student Basic Info'!A42</f>
        <v>741</v>
      </c>
      <c r="C43" s="100" t="str">
        <f>'Student Basic Info'!C42</f>
        <v>Rezmin Aktar</v>
      </c>
      <c r="D43" s="100">
        <f>Bangla!G42</f>
        <v>3.5</v>
      </c>
      <c r="E43" s="100">
        <f>English!F42</f>
        <v>3</v>
      </c>
      <c r="F43" s="100">
        <f>ICT!H42</f>
        <v>3.5</v>
      </c>
      <c r="G43" s="100">
        <f>Physics!H42</f>
        <v>3</v>
      </c>
      <c r="H43" s="100">
        <f>Chemistry!H42</f>
        <v>0</v>
      </c>
      <c r="I43" s="100">
        <f>Biology!H42</f>
        <v>0</v>
      </c>
      <c r="J43" s="100">
        <f>Math!H42</f>
        <v>0</v>
      </c>
      <c r="K43" s="100">
        <f t="shared" si="7"/>
        <v>1</v>
      </c>
      <c r="L43" s="100">
        <f t="shared" si="7"/>
        <v>1</v>
      </c>
      <c r="M43" s="100">
        <f t="shared" si="7"/>
        <v>1</v>
      </c>
      <c r="N43" s="100">
        <f t="shared" si="7"/>
        <v>1</v>
      </c>
      <c r="O43" s="100">
        <f t="shared" si="7"/>
        <v>0</v>
      </c>
      <c r="P43" s="100">
        <f t="shared" si="7"/>
        <v>0</v>
      </c>
      <c r="Q43" s="100">
        <f t="shared" si="1"/>
        <v>4</v>
      </c>
      <c r="R43" s="100" t="str">
        <f t="shared" si="2"/>
        <v/>
      </c>
      <c r="S43" s="100" t="str">
        <f t="shared" si="3"/>
        <v/>
      </c>
      <c r="T43" s="100" t="str">
        <f t="shared" si="4"/>
        <v/>
      </c>
      <c r="U43" s="100" t="str">
        <f t="shared" si="5"/>
        <v>Failed in 2 Subjects</v>
      </c>
      <c r="V43" s="100" t="str">
        <f t="shared" si="6"/>
        <v/>
      </c>
      <c r="W43" s="100" t="str">
        <f>'Detailed Summary'!BK42</f>
        <v/>
      </c>
    </row>
    <row r="44" spans="1:27" ht="18.5" hidden="1" x14ac:dyDescent="0.45">
      <c r="A44" s="100"/>
      <c r="B44" s="100">
        <f>'Student Basic Info'!A43</f>
        <v>742</v>
      </c>
      <c r="C44" s="100" t="str">
        <f>'Student Basic Info'!C43</f>
        <v>Md. Shohrab Hosain</v>
      </c>
      <c r="D44" s="100" t="str">
        <f>Bangla!G43</f>
        <v/>
      </c>
      <c r="E44" s="100" t="str">
        <f>English!F43</f>
        <v/>
      </c>
      <c r="F44" s="100" t="str">
        <f>ICT!H43</f>
        <v/>
      </c>
      <c r="G44" s="100" t="str">
        <f>Physics!H43</f>
        <v/>
      </c>
      <c r="H44" s="100" t="str">
        <f>Chemistry!H43</f>
        <v/>
      </c>
      <c r="I44" s="100" t="str">
        <f>Biology!H43</f>
        <v/>
      </c>
      <c r="J44" s="100" t="str">
        <f>Math!H43</f>
        <v/>
      </c>
      <c r="K44" s="100">
        <f t="shared" si="7"/>
        <v>0</v>
      </c>
      <c r="L44" s="100">
        <f t="shared" si="7"/>
        <v>0</v>
      </c>
      <c r="M44" s="100">
        <f t="shared" si="7"/>
        <v>0</v>
      </c>
      <c r="N44" s="100">
        <f t="shared" si="7"/>
        <v>0</v>
      </c>
      <c r="O44" s="100">
        <f t="shared" si="7"/>
        <v>0</v>
      </c>
      <c r="P44" s="100">
        <f t="shared" si="7"/>
        <v>0</v>
      </c>
      <c r="Q44" s="100">
        <f t="shared" si="1"/>
        <v>0</v>
      </c>
      <c r="R44" s="100" t="str">
        <f t="shared" si="2"/>
        <v/>
      </c>
      <c r="S44" s="100" t="str">
        <f t="shared" si="3"/>
        <v/>
      </c>
      <c r="T44" s="100" t="str">
        <f t="shared" si="4"/>
        <v/>
      </c>
      <c r="U44" s="100" t="str">
        <f t="shared" si="5"/>
        <v>Failed in 6 Subjects</v>
      </c>
      <c r="V44" s="100" t="str">
        <f t="shared" si="6"/>
        <v/>
      </c>
      <c r="W44" s="100" t="str">
        <f>'Detailed Summary'!BK43</f>
        <v/>
      </c>
    </row>
    <row r="45" spans="1:27" ht="18.5" hidden="1" x14ac:dyDescent="0.45">
      <c r="A45" s="100"/>
      <c r="B45" s="100">
        <f>'Student Basic Info'!A44</f>
        <v>743</v>
      </c>
      <c r="C45" s="100" t="str">
        <f>'Student Basic Info'!C44</f>
        <v>Umme Habiba</v>
      </c>
      <c r="D45" s="100">
        <f>Bangla!G44</f>
        <v>0</v>
      </c>
      <c r="E45" s="100">
        <f>English!F44</f>
        <v>0</v>
      </c>
      <c r="F45" s="100">
        <f>ICT!H44</f>
        <v>0</v>
      </c>
      <c r="G45" s="100">
        <f>Physics!H44</f>
        <v>0</v>
      </c>
      <c r="H45" s="100">
        <f>Chemistry!H44</f>
        <v>0</v>
      </c>
      <c r="I45" s="100">
        <f>Biology!H44</f>
        <v>0</v>
      </c>
      <c r="J45" s="100">
        <f>Math!H44</f>
        <v>0</v>
      </c>
      <c r="K45" s="100">
        <f t="shared" si="7"/>
        <v>0</v>
      </c>
      <c r="L45" s="100">
        <f t="shared" si="7"/>
        <v>0</v>
      </c>
      <c r="M45" s="100">
        <f t="shared" si="7"/>
        <v>0</v>
      </c>
      <c r="N45" s="100">
        <f t="shared" si="7"/>
        <v>0</v>
      </c>
      <c r="O45" s="100">
        <f t="shared" si="7"/>
        <v>0</v>
      </c>
      <c r="P45" s="100">
        <f t="shared" si="7"/>
        <v>0</v>
      </c>
      <c r="Q45" s="100">
        <f t="shared" si="1"/>
        <v>0</v>
      </c>
      <c r="R45" s="100" t="str">
        <f t="shared" si="2"/>
        <v/>
      </c>
      <c r="S45" s="100" t="str">
        <f t="shared" si="3"/>
        <v/>
      </c>
      <c r="T45" s="100" t="str">
        <f t="shared" si="4"/>
        <v/>
      </c>
      <c r="U45" s="100" t="str">
        <f t="shared" si="5"/>
        <v>Failed in 6 Subjects</v>
      </c>
      <c r="V45" s="100" t="str">
        <f t="shared" si="6"/>
        <v/>
      </c>
      <c r="W45" s="100" t="str">
        <f>'Detailed Summary'!BK44</f>
        <v/>
      </c>
    </row>
    <row r="46" spans="1:27" ht="18.5" hidden="1" x14ac:dyDescent="0.45">
      <c r="A46" s="100">
        <v>10</v>
      </c>
      <c r="B46" s="100">
        <f>'Student Basic Info'!A45</f>
        <v>744</v>
      </c>
      <c r="C46" s="100" t="str">
        <f>'Student Basic Info'!C45</f>
        <v>Tarek Rahman Tamin</v>
      </c>
      <c r="D46" s="100">
        <f>Bangla!G45</f>
        <v>0</v>
      </c>
      <c r="E46" s="100">
        <f>English!F45</f>
        <v>0</v>
      </c>
      <c r="F46" s="100">
        <f>ICT!H45</f>
        <v>0</v>
      </c>
      <c r="G46" s="100">
        <f>Physics!H45</f>
        <v>2</v>
      </c>
      <c r="H46" s="100">
        <f>Chemistry!H45</f>
        <v>0</v>
      </c>
      <c r="I46" s="100">
        <f>Biology!H45</f>
        <v>0</v>
      </c>
      <c r="J46" s="100">
        <f>Math!H45</f>
        <v>0</v>
      </c>
      <c r="K46" s="100">
        <f t="shared" si="7"/>
        <v>0</v>
      </c>
      <c r="L46" s="100">
        <f t="shared" si="7"/>
        <v>0</v>
      </c>
      <c r="M46" s="100">
        <f t="shared" si="7"/>
        <v>0</v>
      </c>
      <c r="N46" s="100">
        <f t="shared" si="7"/>
        <v>1</v>
      </c>
      <c r="O46" s="100">
        <f t="shared" si="7"/>
        <v>0</v>
      </c>
      <c r="P46" s="100">
        <f t="shared" si="7"/>
        <v>0</v>
      </c>
      <c r="Q46" s="100">
        <f t="shared" si="1"/>
        <v>1</v>
      </c>
      <c r="R46" s="100" t="str">
        <f t="shared" si="2"/>
        <v/>
      </c>
      <c r="S46" s="100" t="str">
        <f t="shared" si="3"/>
        <v/>
      </c>
      <c r="T46" s="100" t="str">
        <f t="shared" si="4"/>
        <v/>
      </c>
      <c r="U46" s="100" t="str">
        <f t="shared" si="5"/>
        <v>Failed in 5 Subjects</v>
      </c>
      <c r="V46" s="100" t="str">
        <f t="shared" si="6"/>
        <v/>
      </c>
      <c r="W46" s="100" t="str">
        <f>'Detailed Summary'!BK45</f>
        <v/>
      </c>
    </row>
    <row r="47" spans="1:27" ht="18.5" hidden="1" x14ac:dyDescent="0.45">
      <c r="A47" s="100"/>
      <c r="B47" s="100">
        <f>'Student Basic Info'!A46</f>
        <v>745</v>
      </c>
      <c r="C47" s="100" t="str">
        <f>'Student Basic Info'!C46</f>
        <v>Nabiha Nusrat</v>
      </c>
      <c r="D47" s="100">
        <f>Bangla!G46</f>
        <v>4</v>
      </c>
      <c r="E47" s="100">
        <f>English!F46</f>
        <v>3.5</v>
      </c>
      <c r="F47" s="100">
        <f>ICT!H46</f>
        <v>5</v>
      </c>
      <c r="G47" s="100">
        <f>Physics!H46</f>
        <v>5</v>
      </c>
      <c r="H47" s="100">
        <f>Chemistry!H46</f>
        <v>0</v>
      </c>
      <c r="I47" s="100">
        <f>Biology!H46</f>
        <v>2</v>
      </c>
      <c r="J47" s="100">
        <f>Math!H46</f>
        <v>3.5</v>
      </c>
      <c r="K47" s="100">
        <f t="shared" si="7"/>
        <v>1</v>
      </c>
      <c r="L47" s="100">
        <f t="shared" si="7"/>
        <v>1</v>
      </c>
      <c r="M47" s="100">
        <f t="shared" si="7"/>
        <v>1</v>
      </c>
      <c r="N47" s="100">
        <f t="shared" si="7"/>
        <v>1</v>
      </c>
      <c r="O47" s="100">
        <f t="shared" si="7"/>
        <v>0</v>
      </c>
      <c r="P47" s="100">
        <f t="shared" si="7"/>
        <v>1</v>
      </c>
      <c r="Q47" s="100">
        <f t="shared" si="1"/>
        <v>5</v>
      </c>
      <c r="R47" s="100" t="str">
        <f t="shared" si="2"/>
        <v/>
      </c>
      <c r="S47" s="100" t="str">
        <f t="shared" si="3"/>
        <v/>
      </c>
      <c r="T47" s="100" t="str">
        <f t="shared" si="4"/>
        <v/>
      </c>
      <c r="U47" s="100" t="str">
        <f t="shared" si="5"/>
        <v>Failed in 1 Subject</v>
      </c>
      <c r="V47" s="100" t="str">
        <f t="shared" si="6"/>
        <v/>
      </c>
      <c r="W47" s="100" t="str">
        <f>'Detailed Summary'!BK46</f>
        <v/>
      </c>
    </row>
    <row r="48" spans="1:27" ht="18.5" hidden="1" x14ac:dyDescent="0.45">
      <c r="A48" s="100">
        <v>11</v>
      </c>
      <c r="B48" s="100">
        <f>'Student Basic Info'!A47</f>
        <v>746</v>
      </c>
      <c r="C48" s="100" t="str">
        <f>'Student Basic Info'!C47</f>
        <v>Sharika Mahzabin</v>
      </c>
      <c r="D48" s="100">
        <f>Bangla!G47</f>
        <v>3.5</v>
      </c>
      <c r="E48" s="100">
        <f>English!F47</f>
        <v>3.5</v>
      </c>
      <c r="F48" s="100">
        <f>ICT!H47</f>
        <v>3.5</v>
      </c>
      <c r="G48" s="100">
        <f>Physics!H47</f>
        <v>3.5</v>
      </c>
      <c r="H48" s="100">
        <f>Chemistry!H47</f>
        <v>0</v>
      </c>
      <c r="I48" s="100">
        <f>Biology!H47</f>
        <v>2</v>
      </c>
      <c r="J48" s="100">
        <f>Math!H47</f>
        <v>0</v>
      </c>
      <c r="K48" s="100">
        <f t="shared" si="7"/>
        <v>1</v>
      </c>
      <c r="L48" s="100">
        <f t="shared" si="7"/>
        <v>1</v>
      </c>
      <c r="M48" s="100">
        <f t="shared" si="7"/>
        <v>1</v>
      </c>
      <c r="N48" s="100">
        <f t="shared" si="7"/>
        <v>1</v>
      </c>
      <c r="O48" s="100">
        <f t="shared" si="7"/>
        <v>0</v>
      </c>
      <c r="P48" s="100">
        <f t="shared" si="7"/>
        <v>1</v>
      </c>
      <c r="Q48" s="100">
        <f t="shared" si="1"/>
        <v>5</v>
      </c>
      <c r="R48" s="100" t="str">
        <f t="shared" si="2"/>
        <v/>
      </c>
      <c r="S48" s="100" t="str">
        <f t="shared" si="3"/>
        <v/>
      </c>
      <c r="T48" s="100" t="str">
        <f t="shared" si="4"/>
        <v/>
      </c>
      <c r="U48" s="100" t="str">
        <f t="shared" si="5"/>
        <v>Failed in 1 Subject</v>
      </c>
      <c r="V48" s="100" t="str">
        <f t="shared" si="6"/>
        <v/>
      </c>
      <c r="W48" s="100" t="str">
        <f>'Detailed Summary'!BK47</f>
        <v/>
      </c>
    </row>
    <row r="49" spans="1:23" ht="18.5" hidden="1" x14ac:dyDescent="0.45">
      <c r="A49" s="100">
        <v>12</v>
      </c>
      <c r="B49" s="100">
        <f>'Student Basic Info'!A48</f>
        <v>747</v>
      </c>
      <c r="C49" s="100" t="str">
        <f>'Student Basic Info'!C48</f>
        <v>Jahedul Islam</v>
      </c>
      <c r="D49" s="100">
        <f>Bangla!G48</f>
        <v>2</v>
      </c>
      <c r="E49" s="100">
        <f>English!F48</f>
        <v>0</v>
      </c>
      <c r="F49" s="100">
        <f>ICT!H48</f>
        <v>0</v>
      </c>
      <c r="G49" s="100">
        <f>Physics!H48</f>
        <v>0</v>
      </c>
      <c r="H49" s="100">
        <f>Chemistry!H48</f>
        <v>0</v>
      </c>
      <c r="I49" s="100">
        <f>Biology!H48</f>
        <v>0</v>
      </c>
      <c r="J49" s="100">
        <f>Math!H48</f>
        <v>0</v>
      </c>
      <c r="K49" s="100">
        <f t="shared" si="7"/>
        <v>1</v>
      </c>
      <c r="L49" s="100">
        <f t="shared" si="7"/>
        <v>0</v>
      </c>
      <c r="M49" s="100">
        <f t="shared" si="7"/>
        <v>0</v>
      </c>
      <c r="N49" s="100">
        <f t="shared" si="7"/>
        <v>0</v>
      </c>
      <c r="O49" s="100">
        <f t="shared" si="7"/>
        <v>0</v>
      </c>
      <c r="P49" s="100">
        <f t="shared" si="7"/>
        <v>0</v>
      </c>
      <c r="Q49" s="100">
        <f t="shared" si="1"/>
        <v>1</v>
      </c>
      <c r="R49" s="100" t="str">
        <f t="shared" si="2"/>
        <v/>
      </c>
      <c r="S49" s="100" t="str">
        <f t="shared" si="3"/>
        <v/>
      </c>
      <c r="T49" s="100" t="str">
        <f t="shared" si="4"/>
        <v/>
      </c>
      <c r="U49" s="100" t="str">
        <f t="shared" si="5"/>
        <v>Failed in 5 Subjects</v>
      </c>
      <c r="V49" s="100" t="str">
        <f t="shared" si="6"/>
        <v/>
      </c>
      <c r="W49" s="100" t="str">
        <f>'Detailed Summary'!BK48</f>
        <v/>
      </c>
    </row>
    <row r="50" spans="1:23" ht="18.5" hidden="1" x14ac:dyDescent="0.45">
      <c r="A50" s="100"/>
      <c r="B50" s="100">
        <f>'Student Basic Info'!A49</f>
        <v>748</v>
      </c>
      <c r="C50" s="100" t="str">
        <f>'Student Basic Info'!C49</f>
        <v>Merina Parshi</v>
      </c>
      <c r="D50" s="100">
        <f>Bangla!G49</f>
        <v>2</v>
      </c>
      <c r="E50" s="100">
        <f>English!F49</f>
        <v>0</v>
      </c>
      <c r="F50" s="100">
        <f>ICT!H49</f>
        <v>0</v>
      </c>
      <c r="G50" s="100">
        <f>Physics!H49</f>
        <v>0</v>
      </c>
      <c r="H50" s="100">
        <f>Chemistry!H49</f>
        <v>0</v>
      </c>
      <c r="I50" s="100">
        <f>Biology!H49</f>
        <v>0</v>
      </c>
      <c r="J50" s="100">
        <f>Math!H49</f>
        <v>0</v>
      </c>
      <c r="K50" s="100">
        <f t="shared" si="7"/>
        <v>1</v>
      </c>
      <c r="L50" s="100">
        <f t="shared" si="7"/>
        <v>0</v>
      </c>
      <c r="M50" s="100">
        <f t="shared" si="7"/>
        <v>0</v>
      </c>
      <c r="N50" s="100">
        <f t="shared" si="7"/>
        <v>0</v>
      </c>
      <c r="O50" s="100">
        <f t="shared" si="7"/>
        <v>0</v>
      </c>
      <c r="P50" s="100">
        <f t="shared" si="7"/>
        <v>0</v>
      </c>
      <c r="Q50" s="100">
        <f t="shared" si="1"/>
        <v>1</v>
      </c>
      <c r="R50" s="100" t="str">
        <f t="shared" si="2"/>
        <v/>
      </c>
      <c r="S50" s="100" t="str">
        <f t="shared" si="3"/>
        <v/>
      </c>
      <c r="T50" s="100" t="str">
        <f t="shared" si="4"/>
        <v/>
      </c>
      <c r="U50" s="100" t="str">
        <f t="shared" si="5"/>
        <v>Failed in 5 Subjects</v>
      </c>
      <c r="V50" s="100" t="str">
        <f t="shared" si="6"/>
        <v/>
      </c>
      <c r="W50" s="100" t="str">
        <f>'Detailed Summary'!BK49</f>
        <v/>
      </c>
    </row>
    <row r="51" spans="1:23" ht="18.5" hidden="1" x14ac:dyDescent="0.45">
      <c r="A51" s="100"/>
      <c r="B51" s="100">
        <f>'Student Basic Info'!A50</f>
        <v>749</v>
      </c>
      <c r="C51" s="100" t="str">
        <f>'Student Basic Info'!C50</f>
        <v>Shekh Shohrab Hosain</v>
      </c>
      <c r="D51" s="100">
        <f>Bangla!G50</f>
        <v>1</v>
      </c>
      <c r="E51" s="100">
        <f>English!F50</f>
        <v>0</v>
      </c>
      <c r="F51" s="100">
        <f>ICT!H50</f>
        <v>0</v>
      </c>
      <c r="G51" s="100">
        <f>Physics!H50</f>
        <v>0</v>
      </c>
      <c r="H51" s="100">
        <f>Chemistry!H50</f>
        <v>0</v>
      </c>
      <c r="I51" s="100">
        <f>Biology!H50</f>
        <v>0</v>
      </c>
      <c r="J51" s="100">
        <f>Math!H50</f>
        <v>0</v>
      </c>
      <c r="K51" s="100">
        <f t="shared" si="7"/>
        <v>1</v>
      </c>
      <c r="L51" s="100">
        <f t="shared" si="7"/>
        <v>0</v>
      </c>
      <c r="M51" s="100">
        <f t="shared" si="7"/>
        <v>0</v>
      </c>
      <c r="N51" s="100">
        <f t="shared" si="7"/>
        <v>0</v>
      </c>
      <c r="O51" s="100">
        <f t="shared" si="7"/>
        <v>0</v>
      </c>
      <c r="P51" s="100">
        <f t="shared" si="7"/>
        <v>0</v>
      </c>
      <c r="Q51" s="100">
        <f t="shared" si="1"/>
        <v>1</v>
      </c>
      <c r="R51" s="100" t="str">
        <f t="shared" si="2"/>
        <v/>
      </c>
      <c r="S51" s="100" t="str">
        <f t="shared" si="3"/>
        <v/>
      </c>
      <c r="T51" s="100" t="str">
        <f t="shared" si="4"/>
        <v/>
      </c>
      <c r="U51" s="100" t="str">
        <f t="shared" si="5"/>
        <v>Failed in 5 Subjects</v>
      </c>
      <c r="V51" s="100" t="str">
        <f t="shared" si="6"/>
        <v/>
      </c>
      <c r="W51" s="100" t="str">
        <f>'Detailed Summary'!BK50</f>
        <v/>
      </c>
    </row>
    <row r="52" spans="1:23" ht="18.5" hidden="1" x14ac:dyDescent="0.45">
      <c r="A52" s="100">
        <v>13</v>
      </c>
      <c r="B52" s="100">
        <f>'Student Basic Info'!A51</f>
        <v>750</v>
      </c>
      <c r="C52" s="100" t="str">
        <f>'Student Basic Info'!C51</f>
        <v>Purnima Aktar</v>
      </c>
      <c r="D52" s="100" t="str">
        <f>Bangla!G51</f>
        <v/>
      </c>
      <c r="E52" s="100" t="str">
        <f>English!F51</f>
        <v/>
      </c>
      <c r="F52" s="100" t="str">
        <f>ICT!H51</f>
        <v/>
      </c>
      <c r="G52" s="100" t="str">
        <f>Physics!H51</f>
        <v/>
      </c>
      <c r="H52" s="100" t="str">
        <f>Chemistry!H51</f>
        <v/>
      </c>
      <c r="I52" s="100" t="str">
        <f>Biology!H51</f>
        <v/>
      </c>
      <c r="J52" s="100" t="str">
        <f>Math!H51</f>
        <v/>
      </c>
      <c r="K52" s="100">
        <f t="shared" si="7"/>
        <v>0</v>
      </c>
      <c r="L52" s="100">
        <f t="shared" si="7"/>
        <v>0</v>
      </c>
      <c r="M52" s="100">
        <f t="shared" si="7"/>
        <v>0</v>
      </c>
      <c r="N52" s="100">
        <f t="shared" si="7"/>
        <v>0</v>
      </c>
      <c r="O52" s="100">
        <f t="shared" si="7"/>
        <v>0</v>
      </c>
      <c r="P52" s="100">
        <f t="shared" si="7"/>
        <v>0</v>
      </c>
      <c r="Q52" s="100">
        <f t="shared" si="1"/>
        <v>0</v>
      </c>
      <c r="R52" s="100" t="str">
        <f t="shared" si="2"/>
        <v/>
      </c>
      <c r="S52" s="100" t="str">
        <f t="shared" si="3"/>
        <v/>
      </c>
      <c r="T52" s="100" t="str">
        <f t="shared" si="4"/>
        <v/>
      </c>
      <c r="U52" s="100" t="str">
        <f t="shared" si="5"/>
        <v>Failed in 6 Subjects</v>
      </c>
      <c r="V52" s="100" t="str">
        <f t="shared" si="6"/>
        <v/>
      </c>
      <c r="W52" s="100" t="str">
        <f>'Detailed Summary'!BK51</f>
        <v/>
      </c>
    </row>
    <row r="53" spans="1:23" ht="18.5" hidden="1" x14ac:dyDescent="0.45">
      <c r="A53" s="100"/>
      <c r="B53" s="100">
        <f>'Student Basic Info'!A52</f>
        <v>751</v>
      </c>
      <c r="C53" s="100" t="str">
        <f>'Student Basic Info'!C52</f>
        <v>Hridwal  Al Mahmul</v>
      </c>
      <c r="D53" s="100">
        <f>Bangla!G52</f>
        <v>2</v>
      </c>
      <c r="E53" s="100">
        <f>English!F52</f>
        <v>0</v>
      </c>
      <c r="F53" s="100">
        <f>ICT!H52</f>
        <v>0</v>
      </c>
      <c r="G53" s="100">
        <f>Physics!H52</f>
        <v>3.5</v>
      </c>
      <c r="H53" s="100">
        <f>Chemistry!H52</f>
        <v>0</v>
      </c>
      <c r="I53" s="100">
        <f>Biology!H52</f>
        <v>0</v>
      </c>
      <c r="J53" s="100" t="str">
        <f>Math!H52</f>
        <v/>
      </c>
      <c r="K53" s="100">
        <f t="shared" si="7"/>
        <v>1</v>
      </c>
      <c r="L53" s="100">
        <f t="shared" si="7"/>
        <v>0</v>
      </c>
      <c r="M53" s="100">
        <f t="shared" si="7"/>
        <v>0</v>
      </c>
      <c r="N53" s="100">
        <f t="shared" si="7"/>
        <v>1</v>
      </c>
      <c r="O53" s="100">
        <f t="shared" si="7"/>
        <v>0</v>
      </c>
      <c r="P53" s="100">
        <f t="shared" si="7"/>
        <v>0</v>
      </c>
      <c r="Q53" s="100">
        <f t="shared" si="1"/>
        <v>2</v>
      </c>
      <c r="R53" s="100" t="str">
        <f t="shared" si="2"/>
        <v/>
      </c>
      <c r="S53" s="100" t="str">
        <f t="shared" si="3"/>
        <v/>
      </c>
      <c r="T53" s="100" t="str">
        <f t="shared" si="4"/>
        <v/>
      </c>
      <c r="U53" s="100" t="str">
        <f t="shared" si="5"/>
        <v>Failed in 4 Subjects</v>
      </c>
      <c r="V53" s="100" t="str">
        <f t="shared" si="6"/>
        <v/>
      </c>
      <c r="W53" s="100" t="str">
        <f>'Detailed Summary'!BK52</f>
        <v/>
      </c>
    </row>
    <row r="54" spans="1:23" ht="18.5" hidden="1" x14ac:dyDescent="0.45">
      <c r="A54" s="100"/>
      <c r="B54" s="100">
        <f>'Student Basic Info'!A53</f>
        <v>752</v>
      </c>
      <c r="C54" s="100" t="str">
        <f>'Student Basic Info'!C53</f>
        <v>Sabbir Hosain</v>
      </c>
      <c r="D54" s="100" t="str">
        <f>Bangla!G53</f>
        <v/>
      </c>
      <c r="E54" s="100" t="str">
        <f>English!F53</f>
        <v/>
      </c>
      <c r="F54" s="100" t="str">
        <f>ICT!H53</f>
        <v/>
      </c>
      <c r="G54" s="100" t="str">
        <f>Physics!H53</f>
        <v/>
      </c>
      <c r="H54" s="100" t="str">
        <f>Chemistry!H53</f>
        <v/>
      </c>
      <c r="I54" s="100" t="str">
        <f>Biology!H53</f>
        <v/>
      </c>
      <c r="J54" s="100" t="str">
        <f>Math!H53</f>
        <v/>
      </c>
      <c r="K54" s="100">
        <f t="shared" si="7"/>
        <v>0</v>
      </c>
      <c r="L54" s="100">
        <f t="shared" si="7"/>
        <v>0</v>
      </c>
      <c r="M54" s="100">
        <f t="shared" si="7"/>
        <v>0</v>
      </c>
      <c r="N54" s="100">
        <f t="shared" si="7"/>
        <v>0</v>
      </c>
      <c r="O54" s="100">
        <f t="shared" si="7"/>
        <v>0</v>
      </c>
      <c r="P54" s="100">
        <f t="shared" si="7"/>
        <v>0</v>
      </c>
      <c r="Q54" s="100">
        <f t="shared" si="1"/>
        <v>0</v>
      </c>
      <c r="R54" s="100" t="str">
        <f t="shared" si="2"/>
        <v/>
      </c>
      <c r="S54" s="100" t="str">
        <f t="shared" si="3"/>
        <v/>
      </c>
      <c r="T54" s="100" t="str">
        <f t="shared" si="4"/>
        <v/>
      </c>
      <c r="U54" s="100" t="str">
        <f t="shared" si="5"/>
        <v>Failed in 6 Subjects</v>
      </c>
      <c r="V54" s="100" t="str">
        <f t="shared" si="6"/>
        <v/>
      </c>
      <c r="W54" s="100" t="str">
        <f>'Detailed Summary'!BK53</f>
        <v/>
      </c>
    </row>
    <row r="55" spans="1:23" ht="18.5" hidden="1" x14ac:dyDescent="0.45">
      <c r="A55" s="100"/>
      <c r="B55" s="100">
        <f>'Student Basic Info'!A54</f>
        <v>753</v>
      </c>
      <c r="C55" s="100" t="str">
        <f>'Student Basic Info'!C54</f>
        <v>Shohidul Islam</v>
      </c>
      <c r="D55" s="100">
        <f>Bangla!G54</f>
        <v>0</v>
      </c>
      <c r="E55" s="100">
        <f>English!F54</f>
        <v>1</v>
      </c>
      <c r="F55" s="100">
        <f>ICT!H54</f>
        <v>0</v>
      </c>
      <c r="G55" s="100">
        <f>Physics!H54</f>
        <v>0</v>
      </c>
      <c r="H55" s="100">
        <f>Chemistry!H54</f>
        <v>0</v>
      </c>
      <c r="I55" s="100">
        <f>Biology!H54</f>
        <v>3</v>
      </c>
      <c r="J55" s="100">
        <f>Math!H54</f>
        <v>0</v>
      </c>
      <c r="K55" s="100">
        <f t="shared" si="7"/>
        <v>0</v>
      </c>
      <c r="L55" s="100">
        <f t="shared" si="7"/>
        <v>1</v>
      </c>
      <c r="M55" s="100">
        <f t="shared" si="7"/>
        <v>0</v>
      </c>
      <c r="N55" s="100">
        <f t="shared" si="7"/>
        <v>0</v>
      </c>
      <c r="O55" s="100">
        <f t="shared" si="7"/>
        <v>0</v>
      </c>
      <c r="P55" s="100">
        <f t="shared" si="7"/>
        <v>1</v>
      </c>
      <c r="Q55" s="100">
        <f t="shared" si="1"/>
        <v>2</v>
      </c>
      <c r="R55" s="100" t="str">
        <f t="shared" si="2"/>
        <v/>
      </c>
      <c r="S55" s="100" t="str">
        <f t="shared" si="3"/>
        <v/>
      </c>
      <c r="T55" s="100" t="str">
        <f t="shared" si="4"/>
        <v/>
      </c>
      <c r="U55" s="100" t="str">
        <f t="shared" si="5"/>
        <v>Failed in 4 Subjects</v>
      </c>
      <c r="V55" s="100" t="str">
        <f t="shared" si="6"/>
        <v/>
      </c>
      <c r="W55" s="100" t="str">
        <f>'Detailed Summary'!BK54</f>
        <v/>
      </c>
    </row>
    <row r="56" spans="1:23" ht="18.5" hidden="1" x14ac:dyDescent="0.45">
      <c r="A56" s="100"/>
      <c r="B56" s="100">
        <f>'Student Basic Info'!A55</f>
        <v>754</v>
      </c>
      <c r="C56" s="100" t="str">
        <f>'Student Basic Info'!C55</f>
        <v>Shahriyar Nafiz</v>
      </c>
      <c r="D56" s="100">
        <f>Bangla!G55</f>
        <v>3</v>
      </c>
      <c r="E56" s="100">
        <f>English!F55</f>
        <v>0</v>
      </c>
      <c r="F56" s="100">
        <f>ICT!H55</f>
        <v>0</v>
      </c>
      <c r="G56" s="100">
        <f>Physics!H55</f>
        <v>0</v>
      </c>
      <c r="H56" s="100">
        <f>Chemistry!H55</f>
        <v>0</v>
      </c>
      <c r="I56" s="100">
        <f>Biology!H55</f>
        <v>0</v>
      </c>
      <c r="J56" s="100">
        <f>Math!H55</f>
        <v>0</v>
      </c>
      <c r="K56" s="100">
        <f t="shared" si="7"/>
        <v>1</v>
      </c>
      <c r="L56" s="100">
        <f t="shared" si="7"/>
        <v>0</v>
      </c>
      <c r="M56" s="100">
        <f t="shared" si="7"/>
        <v>0</v>
      </c>
      <c r="N56" s="100">
        <f t="shared" si="7"/>
        <v>0</v>
      </c>
      <c r="O56" s="100">
        <f t="shared" si="7"/>
        <v>0</v>
      </c>
      <c r="P56" s="100">
        <f t="shared" si="7"/>
        <v>0</v>
      </c>
      <c r="Q56" s="100">
        <f t="shared" si="1"/>
        <v>1</v>
      </c>
      <c r="R56" s="100" t="str">
        <f t="shared" si="2"/>
        <v/>
      </c>
      <c r="S56" s="100" t="str">
        <f t="shared" si="3"/>
        <v/>
      </c>
      <c r="T56" s="100" t="str">
        <f t="shared" si="4"/>
        <v/>
      </c>
      <c r="U56" s="100" t="str">
        <f t="shared" si="5"/>
        <v>Failed in 5 Subjects</v>
      </c>
      <c r="V56" s="100" t="str">
        <f t="shared" si="6"/>
        <v/>
      </c>
      <c r="W56" s="100" t="str">
        <f>'Detailed Summary'!BK55</f>
        <v/>
      </c>
    </row>
    <row r="57" spans="1:23" ht="18.5" hidden="1" x14ac:dyDescent="0.45">
      <c r="A57" s="100"/>
      <c r="B57" s="100">
        <f>'Student Basic Info'!A56</f>
        <v>755</v>
      </c>
      <c r="C57" s="100" t="str">
        <f>'Student Basic Info'!C56</f>
        <v xml:space="preserve">Md. Ibrahim </v>
      </c>
      <c r="D57" s="100">
        <f>Bangla!G56</f>
        <v>0</v>
      </c>
      <c r="E57" s="100">
        <f>English!F56</f>
        <v>0</v>
      </c>
      <c r="F57" s="100">
        <f>ICT!H56</f>
        <v>0</v>
      </c>
      <c r="G57" s="100">
        <f>Physics!H56</f>
        <v>0</v>
      </c>
      <c r="H57" s="100">
        <f>Chemistry!H56</f>
        <v>0</v>
      </c>
      <c r="I57" s="100">
        <f>Biology!H56</f>
        <v>0</v>
      </c>
      <c r="J57" s="100">
        <f>Math!H56</f>
        <v>0</v>
      </c>
      <c r="K57" s="100">
        <f t="shared" si="7"/>
        <v>0</v>
      </c>
      <c r="L57" s="100">
        <f t="shared" si="7"/>
        <v>0</v>
      </c>
      <c r="M57" s="100">
        <f t="shared" si="7"/>
        <v>0</v>
      </c>
      <c r="N57" s="100">
        <f t="shared" si="7"/>
        <v>0</v>
      </c>
      <c r="O57" s="100">
        <f t="shared" si="7"/>
        <v>0</v>
      </c>
      <c r="P57" s="100">
        <f t="shared" si="7"/>
        <v>0</v>
      </c>
      <c r="Q57" s="100">
        <f t="shared" si="1"/>
        <v>0</v>
      </c>
      <c r="R57" s="100" t="str">
        <f t="shared" si="2"/>
        <v/>
      </c>
      <c r="S57" s="100" t="str">
        <f t="shared" si="3"/>
        <v/>
      </c>
      <c r="T57" s="100" t="str">
        <f t="shared" si="4"/>
        <v/>
      </c>
      <c r="U57" s="100" t="str">
        <f t="shared" si="5"/>
        <v>Failed in 6 Subjects</v>
      </c>
      <c r="V57" s="100" t="str">
        <f t="shared" si="6"/>
        <v/>
      </c>
      <c r="W57" s="100" t="str">
        <f>'Detailed Summary'!BK56</f>
        <v/>
      </c>
    </row>
    <row r="58" spans="1:23" ht="18.5" x14ac:dyDescent="0.45">
      <c r="A58" s="100"/>
      <c r="B58" s="100">
        <f>'Student Basic Info'!A57</f>
        <v>756</v>
      </c>
      <c r="C58" s="100" t="str">
        <f>'Student Basic Info'!C57</f>
        <v>Fahmida Tabassum</v>
      </c>
      <c r="D58" s="100">
        <f>Bangla!G57</f>
        <v>3</v>
      </c>
      <c r="E58" s="100">
        <f>English!F57</f>
        <v>1</v>
      </c>
      <c r="F58" s="100">
        <f>ICT!H57</f>
        <v>0</v>
      </c>
      <c r="G58" s="100">
        <f>Physics!H57</f>
        <v>3</v>
      </c>
      <c r="H58" s="100">
        <f>Chemistry!H57</f>
        <v>0</v>
      </c>
      <c r="I58" s="100">
        <f>Biology!H57</f>
        <v>0</v>
      </c>
      <c r="J58" s="100">
        <f>Math!H57</f>
        <v>0</v>
      </c>
      <c r="K58" s="100">
        <f t="shared" si="7"/>
        <v>1</v>
      </c>
      <c r="L58" s="100">
        <f t="shared" si="7"/>
        <v>1</v>
      </c>
      <c r="M58" s="100">
        <f t="shared" si="7"/>
        <v>0</v>
      </c>
      <c r="N58" s="100">
        <f t="shared" si="7"/>
        <v>1</v>
      </c>
      <c r="O58" s="100">
        <f t="shared" si="7"/>
        <v>0</v>
      </c>
      <c r="P58" s="100">
        <f t="shared" si="7"/>
        <v>0</v>
      </c>
      <c r="Q58" s="100">
        <f t="shared" si="1"/>
        <v>3</v>
      </c>
      <c r="R58" s="100" t="str">
        <f t="shared" si="2"/>
        <v/>
      </c>
      <c r="S58" s="100" t="str">
        <f t="shared" si="3"/>
        <v/>
      </c>
      <c r="T58" s="100" t="str">
        <f t="shared" si="4"/>
        <v/>
      </c>
      <c r="U58" s="100" t="str">
        <f t="shared" si="5"/>
        <v>Failed in 3 Subjects</v>
      </c>
      <c r="V58" s="100" t="str">
        <f t="shared" si="6"/>
        <v/>
      </c>
      <c r="W58" s="100" t="str">
        <f>'Detailed Summary'!BK57</f>
        <v/>
      </c>
    </row>
    <row r="59" spans="1:23" ht="18.5" x14ac:dyDescent="0.45">
      <c r="A59" s="100"/>
      <c r="B59" s="100">
        <f>'Student Basic Info'!A58</f>
        <v>757</v>
      </c>
      <c r="C59" s="100" t="str">
        <f>'Student Basic Info'!C58</f>
        <v>Meheraj Uddin</v>
      </c>
      <c r="D59" s="100">
        <f>Bangla!G58</f>
        <v>0</v>
      </c>
      <c r="E59" s="100">
        <f>English!F58</f>
        <v>0</v>
      </c>
      <c r="F59" s="100">
        <f>ICT!H58</f>
        <v>0</v>
      </c>
      <c r="G59" s="100">
        <f>Physics!H58</f>
        <v>0</v>
      </c>
      <c r="H59" s="100">
        <f>Chemistry!H58</f>
        <v>0</v>
      </c>
      <c r="I59" s="100">
        <f>Biology!H58</f>
        <v>0</v>
      </c>
      <c r="J59" s="100">
        <f>Math!H58</f>
        <v>0</v>
      </c>
      <c r="K59" s="100">
        <f t="shared" si="7"/>
        <v>0</v>
      </c>
      <c r="L59" s="100">
        <f t="shared" si="7"/>
        <v>0</v>
      </c>
      <c r="M59" s="100">
        <f t="shared" si="7"/>
        <v>0</v>
      </c>
      <c r="N59" s="100">
        <f t="shared" si="7"/>
        <v>0</v>
      </c>
      <c r="O59" s="100">
        <f t="shared" si="7"/>
        <v>0</v>
      </c>
      <c r="P59" s="100">
        <f t="shared" si="7"/>
        <v>0</v>
      </c>
      <c r="Q59" s="100">
        <f t="shared" si="1"/>
        <v>0</v>
      </c>
      <c r="R59" s="100" t="str">
        <f t="shared" si="2"/>
        <v/>
      </c>
      <c r="S59" s="100" t="str">
        <f t="shared" si="3"/>
        <v/>
      </c>
      <c r="T59" s="100" t="str">
        <f t="shared" si="4"/>
        <v/>
      </c>
      <c r="U59" s="100" t="str">
        <f t="shared" si="5"/>
        <v>Failed in 6 Subjects</v>
      </c>
      <c r="V59" s="100" t="str">
        <f t="shared" si="6"/>
        <v/>
      </c>
      <c r="W59" s="100" t="str">
        <f>'Detailed Summary'!BK58</f>
        <v/>
      </c>
    </row>
    <row r="60" spans="1:23" ht="18.5" x14ac:dyDescent="0.45">
      <c r="A60" s="100"/>
      <c r="B60" s="100">
        <f>'Student Basic Info'!A59</f>
        <v>758</v>
      </c>
      <c r="C60" s="100" t="str">
        <f>'Student Basic Info'!C59</f>
        <v>Naimur Rahman</v>
      </c>
      <c r="D60" s="100">
        <f>Bangla!G59</f>
        <v>1</v>
      </c>
      <c r="E60" s="100">
        <f>English!F59</f>
        <v>2</v>
      </c>
      <c r="F60" s="100">
        <f>ICT!H59</f>
        <v>0</v>
      </c>
      <c r="G60" s="100">
        <f>Physics!H59</f>
        <v>0</v>
      </c>
      <c r="H60" s="100">
        <f>Chemistry!H59</f>
        <v>0</v>
      </c>
      <c r="I60" s="100">
        <f>Biology!H59</f>
        <v>0</v>
      </c>
      <c r="J60" s="100">
        <f>Math!H59</f>
        <v>0</v>
      </c>
      <c r="K60" s="100">
        <f t="shared" si="7"/>
        <v>1</v>
      </c>
      <c r="L60" s="100">
        <f t="shared" si="7"/>
        <v>1</v>
      </c>
      <c r="M60" s="100">
        <f t="shared" si="7"/>
        <v>0</v>
      </c>
      <c r="N60" s="100">
        <f t="shared" si="7"/>
        <v>0</v>
      </c>
      <c r="O60" s="100">
        <f t="shared" si="7"/>
        <v>0</v>
      </c>
      <c r="P60" s="100">
        <f t="shared" si="7"/>
        <v>0</v>
      </c>
      <c r="Q60" s="100">
        <f t="shared" si="1"/>
        <v>2</v>
      </c>
      <c r="R60" s="100" t="str">
        <f t="shared" si="2"/>
        <v/>
      </c>
      <c r="S60" s="100" t="str">
        <f t="shared" si="3"/>
        <v/>
      </c>
      <c r="T60" s="100" t="str">
        <f t="shared" si="4"/>
        <v/>
      </c>
      <c r="U60" s="100" t="str">
        <f t="shared" si="5"/>
        <v>Failed in 4 Subjects</v>
      </c>
      <c r="V60" s="100" t="str">
        <f t="shared" si="6"/>
        <v/>
      </c>
      <c r="W60" s="100" t="str">
        <f>'Detailed Summary'!BK59</f>
        <v/>
      </c>
    </row>
    <row r="61" spans="1:23" ht="18.5" hidden="1" x14ac:dyDescent="0.45">
      <c r="A61" s="100"/>
      <c r="B61" s="100">
        <f>'Student Basic Info'!A60</f>
        <v>759</v>
      </c>
      <c r="C61" s="100" t="str">
        <f>'Student Basic Info'!C60</f>
        <v>Amzad Hosain</v>
      </c>
      <c r="D61" s="100">
        <f>Bangla!G60</f>
        <v>3.5</v>
      </c>
      <c r="E61" s="100">
        <f>English!F60</f>
        <v>1</v>
      </c>
      <c r="F61" s="100">
        <f>ICT!H60</f>
        <v>5</v>
      </c>
      <c r="G61" s="100">
        <f>Physics!H60</f>
        <v>3.5</v>
      </c>
      <c r="H61" s="100">
        <f>Chemistry!H60</f>
        <v>5</v>
      </c>
      <c r="I61" s="100">
        <f>Biology!H60</f>
        <v>3</v>
      </c>
      <c r="J61" s="100">
        <f>Math!H60</f>
        <v>5</v>
      </c>
      <c r="K61" s="100">
        <f t="shared" si="7"/>
        <v>1</v>
      </c>
      <c r="L61" s="100">
        <f t="shared" si="7"/>
        <v>1</v>
      </c>
      <c r="M61" s="100">
        <f t="shared" si="7"/>
        <v>1</v>
      </c>
      <c r="N61" s="100">
        <f t="shared" si="7"/>
        <v>1</v>
      </c>
      <c r="O61" s="100">
        <f t="shared" si="7"/>
        <v>1</v>
      </c>
      <c r="P61" s="100">
        <f t="shared" si="7"/>
        <v>1</v>
      </c>
      <c r="Q61" s="100">
        <f t="shared" si="1"/>
        <v>6</v>
      </c>
      <c r="R61" s="100">
        <f t="shared" si="2"/>
        <v>21</v>
      </c>
      <c r="S61" s="100">
        <f t="shared" si="3"/>
        <v>26</v>
      </c>
      <c r="T61" s="100">
        <f t="shared" si="4"/>
        <v>3.5</v>
      </c>
      <c r="U61" s="100" t="str">
        <f t="shared" si="5"/>
        <v>Pass</v>
      </c>
      <c r="V61" s="100">
        <f t="shared" si="6"/>
        <v>4.333333333333333</v>
      </c>
      <c r="W61" s="100">
        <f>'Detailed Summary'!BK60</f>
        <v>2</v>
      </c>
    </row>
    <row r="62" spans="1:23" ht="18.5" x14ac:dyDescent="0.45">
      <c r="A62" s="100"/>
      <c r="B62" s="100">
        <f>'Student Basic Info'!A61</f>
        <v>760</v>
      </c>
      <c r="C62" s="100" t="str">
        <f>'Student Basic Info'!C61</f>
        <v>Imdadul Haque Zidan</v>
      </c>
      <c r="D62" s="100">
        <f>Bangla!G61</f>
        <v>1</v>
      </c>
      <c r="E62" s="100">
        <f>English!F61</f>
        <v>1</v>
      </c>
      <c r="F62" s="100" t="str">
        <f>ICT!H61</f>
        <v/>
      </c>
      <c r="G62" s="100">
        <f>Physics!H61</f>
        <v>0</v>
      </c>
      <c r="H62" s="100">
        <f>Chemistry!H61</f>
        <v>3</v>
      </c>
      <c r="I62" s="100">
        <f>Biology!H61</f>
        <v>0</v>
      </c>
      <c r="J62" s="100">
        <f>Math!H61</f>
        <v>0</v>
      </c>
      <c r="K62" s="100">
        <f t="shared" si="7"/>
        <v>1</v>
      </c>
      <c r="L62" s="100">
        <f t="shared" si="7"/>
        <v>1</v>
      </c>
      <c r="M62" s="100">
        <f t="shared" si="7"/>
        <v>0</v>
      </c>
      <c r="N62" s="100">
        <f t="shared" si="7"/>
        <v>0</v>
      </c>
      <c r="O62" s="100">
        <f t="shared" si="7"/>
        <v>1</v>
      </c>
      <c r="P62" s="100">
        <f t="shared" si="7"/>
        <v>0</v>
      </c>
      <c r="Q62" s="100">
        <f t="shared" si="1"/>
        <v>3</v>
      </c>
      <c r="R62" s="100" t="str">
        <f t="shared" si="2"/>
        <v/>
      </c>
      <c r="S62" s="100" t="str">
        <f t="shared" si="3"/>
        <v/>
      </c>
      <c r="T62" s="100" t="str">
        <f t="shared" si="4"/>
        <v/>
      </c>
      <c r="U62" s="100" t="str">
        <f t="shared" si="5"/>
        <v>Failed in 3 Subjects</v>
      </c>
      <c r="V62" s="100" t="str">
        <f t="shared" si="6"/>
        <v/>
      </c>
      <c r="W62" s="100" t="str">
        <f>'Detailed Summary'!BK61</f>
        <v/>
      </c>
    </row>
    <row r="63" spans="1:23" ht="18.5" x14ac:dyDescent="0.45">
      <c r="A63" s="100"/>
      <c r="B63" s="100">
        <f>'Student Basic Info'!A62</f>
        <v>761</v>
      </c>
      <c r="C63" s="100" t="str">
        <f>'Student Basic Info'!C62</f>
        <v>Nazmul Haque Sayem</v>
      </c>
      <c r="D63" s="100">
        <f>Bangla!G62</f>
        <v>1</v>
      </c>
      <c r="E63" s="100">
        <f>English!F62</f>
        <v>1</v>
      </c>
      <c r="F63" s="100">
        <f>ICT!H62</f>
        <v>3.5</v>
      </c>
      <c r="G63" s="100">
        <f>Physics!H62</f>
        <v>0</v>
      </c>
      <c r="H63" s="100" t="str">
        <f>Chemistry!H62</f>
        <v/>
      </c>
      <c r="I63" s="100">
        <f>Biology!H62</f>
        <v>0</v>
      </c>
      <c r="J63" s="100">
        <f>Math!H62</f>
        <v>0</v>
      </c>
      <c r="K63" s="100">
        <f t="shared" si="7"/>
        <v>1</v>
      </c>
      <c r="L63" s="100">
        <f t="shared" si="7"/>
        <v>1</v>
      </c>
      <c r="M63" s="100">
        <f t="shared" si="7"/>
        <v>1</v>
      </c>
      <c r="N63" s="100">
        <f t="shared" si="7"/>
        <v>0</v>
      </c>
      <c r="O63" s="100">
        <f t="shared" si="7"/>
        <v>0</v>
      </c>
      <c r="P63" s="100">
        <f t="shared" si="7"/>
        <v>0</v>
      </c>
      <c r="Q63" s="100">
        <f t="shared" si="1"/>
        <v>3</v>
      </c>
      <c r="R63" s="100" t="str">
        <f t="shared" si="2"/>
        <v/>
      </c>
      <c r="S63" s="100" t="str">
        <f t="shared" si="3"/>
        <v/>
      </c>
      <c r="T63" s="100" t="str">
        <f t="shared" si="4"/>
        <v/>
      </c>
      <c r="U63" s="100" t="str">
        <f t="shared" si="5"/>
        <v>Failed in 3 Subjects</v>
      </c>
      <c r="V63" s="100" t="str">
        <f t="shared" si="6"/>
        <v/>
      </c>
      <c r="W63" s="100" t="str">
        <f>'Detailed Summary'!BK62</f>
        <v/>
      </c>
    </row>
    <row r="64" spans="1:23" ht="18.5" x14ac:dyDescent="0.45">
      <c r="A64" s="100"/>
      <c r="B64" s="100">
        <f>'Student Basic Info'!A63</f>
        <v>762</v>
      </c>
      <c r="C64" s="100" t="str">
        <f>'Student Basic Info'!C63</f>
        <v>Sadbin Hasan Shourov</v>
      </c>
      <c r="D64" s="100">
        <f>Bangla!G63</f>
        <v>1</v>
      </c>
      <c r="E64" s="100">
        <f>English!F63</f>
        <v>2</v>
      </c>
      <c r="F64" s="100">
        <f>ICT!H63</f>
        <v>3.5</v>
      </c>
      <c r="G64" s="100">
        <f>Physics!H63</f>
        <v>0</v>
      </c>
      <c r="H64" s="100">
        <f>Chemistry!H63</f>
        <v>2</v>
      </c>
      <c r="I64" s="100">
        <f>Biology!H63</f>
        <v>0</v>
      </c>
      <c r="J64" s="100">
        <f>Math!H63</f>
        <v>0</v>
      </c>
      <c r="K64" s="100">
        <f t="shared" si="7"/>
        <v>1</v>
      </c>
      <c r="L64" s="100">
        <f t="shared" si="7"/>
        <v>1</v>
      </c>
      <c r="M64" s="100">
        <f t="shared" si="7"/>
        <v>1</v>
      </c>
      <c r="N64" s="100">
        <f t="shared" si="7"/>
        <v>0</v>
      </c>
      <c r="O64" s="100">
        <f t="shared" si="7"/>
        <v>1</v>
      </c>
      <c r="P64" s="100">
        <f t="shared" si="7"/>
        <v>0</v>
      </c>
      <c r="Q64" s="100">
        <f t="shared" si="1"/>
        <v>4</v>
      </c>
      <c r="R64" s="100" t="str">
        <f t="shared" si="2"/>
        <v/>
      </c>
      <c r="S64" s="100" t="str">
        <f t="shared" si="3"/>
        <v/>
      </c>
      <c r="T64" s="100" t="str">
        <f t="shared" si="4"/>
        <v/>
      </c>
      <c r="U64" s="100" t="str">
        <f t="shared" si="5"/>
        <v>Failed in 2 Subjects</v>
      </c>
      <c r="V64" s="100" t="str">
        <f t="shared" si="6"/>
        <v/>
      </c>
      <c r="W64" s="100" t="str">
        <f>'Detailed Summary'!BK63</f>
        <v/>
      </c>
    </row>
    <row r="65" spans="1:23" ht="18.5" hidden="1" x14ac:dyDescent="0.45">
      <c r="A65" s="100"/>
      <c r="B65" s="100">
        <f>'Student Basic Info'!A64</f>
        <v>763</v>
      </c>
      <c r="C65" s="100" t="str">
        <f>'Student Basic Info'!C64</f>
        <v>Sujayet Hosain</v>
      </c>
      <c r="D65" s="100">
        <f>Bangla!G64</f>
        <v>3</v>
      </c>
      <c r="E65" s="100">
        <f>English!F64</f>
        <v>1</v>
      </c>
      <c r="F65" s="100">
        <f>ICT!H64</f>
        <v>0</v>
      </c>
      <c r="G65" s="100">
        <f>Physics!H64</f>
        <v>0</v>
      </c>
      <c r="H65" s="100">
        <f>Chemistry!H64</f>
        <v>3</v>
      </c>
      <c r="I65" s="100">
        <f>Biology!H64</f>
        <v>3</v>
      </c>
      <c r="J65" s="100">
        <f>Math!H64</f>
        <v>0</v>
      </c>
      <c r="K65" s="100">
        <f t="shared" si="7"/>
        <v>1</v>
      </c>
      <c r="L65" s="100">
        <f t="shared" si="7"/>
        <v>1</v>
      </c>
      <c r="M65" s="100">
        <f t="shared" si="7"/>
        <v>0</v>
      </c>
      <c r="N65" s="100">
        <f t="shared" si="7"/>
        <v>0</v>
      </c>
      <c r="O65" s="100">
        <f t="shared" si="7"/>
        <v>1</v>
      </c>
      <c r="P65" s="100">
        <f t="shared" si="7"/>
        <v>1</v>
      </c>
      <c r="Q65" s="100">
        <f t="shared" si="1"/>
        <v>4</v>
      </c>
      <c r="R65" s="100" t="str">
        <f t="shared" si="2"/>
        <v/>
      </c>
      <c r="S65" s="100" t="str">
        <f t="shared" si="3"/>
        <v/>
      </c>
      <c r="T65" s="100" t="str">
        <f t="shared" si="4"/>
        <v/>
      </c>
      <c r="U65" s="100" t="str">
        <f t="shared" si="5"/>
        <v>Failed in 2 Subjects</v>
      </c>
      <c r="V65" s="100" t="str">
        <f t="shared" si="6"/>
        <v/>
      </c>
      <c r="W65" s="100" t="str">
        <f>'Detailed Summary'!BK64</f>
        <v/>
      </c>
    </row>
    <row r="66" spans="1:23" ht="18.5" x14ac:dyDescent="0.45">
      <c r="A66" s="100"/>
      <c r="B66" s="100">
        <f>'Student Basic Info'!A65</f>
        <v>764</v>
      </c>
      <c r="C66" s="100" t="str">
        <f>'Student Basic Info'!C65</f>
        <v>Kishor Chandra Nath</v>
      </c>
      <c r="D66" s="100">
        <f>Bangla!G65</f>
        <v>0</v>
      </c>
      <c r="E66" s="100">
        <f>English!F65</f>
        <v>0</v>
      </c>
      <c r="F66" s="100">
        <f>ICT!H65</f>
        <v>0</v>
      </c>
      <c r="G66" s="100">
        <f>Physics!H65</f>
        <v>0</v>
      </c>
      <c r="H66" s="100">
        <f>Chemistry!H65</f>
        <v>0</v>
      </c>
      <c r="I66" s="100">
        <f>Biology!H65</f>
        <v>0</v>
      </c>
      <c r="J66" s="100">
        <f>Math!H65</f>
        <v>0</v>
      </c>
      <c r="K66" s="100">
        <f t="shared" si="7"/>
        <v>0</v>
      </c>
      <c r="L66" s="100">
        <f t="shared" si="7"/>
        <v>0</v>
      </c>
      <c r="M66" s="100">
        <f t="shared" si="7"/>
        <v>0</v>
      </c>
      <c r="N66" s="100">
        <f t="shared" si="7"/>
        <v>0</v>
      </c>
      <c r="O66" s="100">
        <f t="shared" si="7"/>
        <v>0</v>
      </c>
      <c r="P66" s="100">
        <f t="shared" si="7"/>
        <v>0</v>
      </c>
      <c r="Q66" s="100">
        <f t="shared" si="1"/>
        <v>0</v>
      </c>
      <c r="R66" s="100" t="str">
        <f t="shared" si="2"/>
        <v/>
      </c>
      <c r="S66" s="100" t="str">
        <f t="shared" si="3"/>
        <v/>
      </c>
      <c r="T66" s="100" t="str">
        <f t="shared" si="4"/>
        <v/>
      </c>
      <c r="U66" s="100" t="str">
        <f t="shared" si="5"/>
        <v>Failed in 6 Subjects</v>
      </c>
      <c r="V66" s="100" t="str">
        <f t="shared" si="6"/>
        <v/>
      </c>
      <c r="W66" s="100" t="str">
        <f>'Detailed Summary'!BK65</f>
        <v/>
      </c>
    </row>
    <row r="67" spans="1:23" ht="18.5" hidden="1" x14ac:dyDescent="0.45">
      <c r="A67" s="100"/>
      <c r="B67" s="100">
        <f>'Student Basic Info'!A66</f>
        <v>765</v>
      </c>
      <c r="C67" s="100" t="str">
        <f>'Student Basic Info'!C66</f>
        <v>Apurbo Shorma Apu</v>
      </c>
      <c r="D67" s="100">
        <f>Bangla!G66</f>
        <v>3</v>
      </c>
      <c r="E67" s="100">
        <f>English!F66</f>
        <v>3</v>
      </c>
      <c r="F67" s="100">
        <f>ICT!H66</f>
        <v>4</v>
      </c>
      <c r="G67" s="100">
        <f>Physics!H66</f>
        <v>3</v>
      </c>
      <c r="H67" s="100">
        <f>Chemistry!H66</f>
        <v>4</v>
      </c>
      <c r="I67" s="100">
        <f>Biology!H66</f>
        <v>3</v>
      </c>
      <c r="J67" s="100">
        <f>Math!H66</f>
        <v>0</v>
      </c>
      <c r="K67" s="100">
        <f t="shared" ref="K67:P89" si="8">(IF(D67="",0,IF(D67=0,0,1)))</f>
        <v>1</v>
      </c>
      <c r="L67" s="100">
        <f t="shared" si="8"/>
        <v>1</v>
      </c>
      <c r="M67" s="100">
        <f t="shared" si="8"/>
        <v>1</v>
      </c>
      <c r="N67" s="100">
        <f t="shared" si="8"/>
        <v>1</v>
      </c>
      <c r="O67" s="100">
        <f t="shared" si="8"/>
        <v>1</v>
      </c>
      <c r="P67" s="100">
        <f t="shared" si="8"/>
        <v>1</v>
      </c>
      <c r="Q67" s="100">
        <f t="shared" ref="Q67:Q89" si="9">SUM(K67:P67)</f>
        <v>6</v>
      </c>
      <c r="R67" s="100">
        <f t="shared" ref="R67:R89" si="10">IF(OR(D67=0,E67=0,F67=0,G67=0,H67=0,I67=0,D67="",E67="",F67="",G67="",H67="",I67=""),"",SUM(D67:I67))</f>
        <v>20</v>
      </c>
      <c r="S67" s="100">
        <f t="shared" ref="S67:S89" si="11">IF(OR(D67=0,E67=0,F67=0,G67=0,H67=0,I67=0,D67="",E67="",F67="",G67="",H67="",I67=""),"",SUM(D67:J67))</f>
        <v>20</v>
      </c>
      <c r="T67" s="100">
        <f t="shared" ref="T67:T89" si="12">IF(R67="","",IF(((R67/6)&gt;5),5,R67/6))</f>
        <v>3.3333333333333335</v>
      </c>
      <c r="U67" s="100" t="str">
        <f t="shared" ref="U67:U89" si="13">IF(Q67=0,"Failed in 6 Subjects",IF(Q67=1,"Failed in 5 Subjects",IF(Q67=2,"Failed in 4 Subjects",IF(Q67=3,"Failed in 3 Subjects",IF(Q67=4,"Failed in 2 Subjects",IF(Q67=5,"Failed in 1 Subject","Pass"))))))</f>
        <v>Pass</v>
      </c>
      <c r="V67" s="100">
        <f t="shared" ref="V67:V89" si="14">IF(S67="","",IF(((S67/6)&gt;5),5,S67/6))</f>
        <v>3.3333333333333335</v>
      </c>
      <c r="W67" s="100">
        <f>'Detailed Summary'!BK66</f>
        <v>5</v>
      </c>
    </row>
    <row r="68" spans="1:23" ht="18.5" hidden="1" x14ac:dyDescent="0.45">
      <c r="A68" s="100"/>
      <c r="B68" s="100">
        <f>'Student Basic Info'!A67</f>
        <v>766</v>
      </c>
      <c r="C68" s="100" t="str">
        <f>'Student Basic Info'!C67</f>
        <v xml:space="preserve">Md. Ibrahim Khalil </v>
      </c>
      <c r="D68" s="100">
        <f>Bangla!G67</f>
        <v>3</v>
      </c>
      <c r="E68" s="100">
        <f>English!F67</f>
        <v>2</v>
      </c>
      <c r="F68" s="100">
        <f>ICT!H67</f>
        <v>3.5</v>
      </c>
      <c r="G68" s="100">
        <f>Physics!H67</f>
        <v>4</v>
      </c>
      <c r="H68" s="100">
        <f>Chemistry!H67</f>
        <v>3.5</v>
      </c>
      <c r="I68" s="100">
        <f>Biology!H67</f>
        <v>3</v>
      </c>
      <c r="J68" s="100">
        <f>Math!H67</f>
        <v>0</v>
      </c>
      <c r="K68" s="100">
        <f t="shared" si="8"/>
        <v>1</v>
      </c>
      <c r="L68" s="100">
        <f t="shared" si="8"/>
        <v>1</v>
      </c>
      <c r="M68" s="100">
        <f t="shared" si="8"/>
        <v>1</v>
      </c>
      <c r="N68" s="100">
        <f t="shared" si="8"/>
        <v>1</v>
      </c>
      <c r="O68" s="100">
        <f t="shared" si="8"/>
        <v>1</v>
      </c>
      <c r="P68" s="100">
        <f t="shared" si="8"/>
        <v>1</v>
      </c>
      <c r="Q68" s="100">
        <f t="shared" si="9"/>
        <v>6</v>
      </c>
      <c r="R68" s="100">
        <f t="shared" si="10"/>
        <v>19</v>
      </c>
      <c r="S68" s="100">
        <f t="shared" si="11"/>
        <v>19</v>
      </c>
      <c r="T68" s="100">
        <f t="shared" si="12"/>
        <v>3.1666666666666665</v>
      </c>
      <c r="U68" s="100" t="str">
        <f t="shared" si="13"/>
        <v>Pass</v>
      </c>
      <c r="V68" s="100">
        <f t="shared" si="14"/>
        <v>3.1666666666666665</v>
      </c>
      <c r="W68" s="100">
        <f>'Detailed Summary'!BK67</f>
        <v>7</v>
      </c>
    </row>
    <row r="69" spans="1:23" ht="18.5" hidden="1" x14ac:dyDescent="0.45">
      <c r="A69" s="100"/>
      <c r="B69" s="100">
        <f>'Student Basic Info'!A68</f>
        <v>767</v>
      </c>
      <c r="C69" s="100" t="str">
        <f>'Student Basic Info'!C68</f>
        <v>Ayman Mahmud Tawsif</v>
      </c>
      <c r="D69" s="100">
        <f>Bangla!G68</f>
        <v>3.5</v>
      </c>
      <c r="E69" s="100">
        <f>English!F68</f>
        <v>3</v>
      </c>
      <c r="F69" s="100">
        <f>ICT!H68</f>
        <v>4</v>
      </c>
      <c r="G69" s="100">
        <f>Physics!H68</f>
        <v>4</v>
      </c>
      <c r="H69" s="100">
        <f>Chemistry!H68</f>
        <v>3</v>
      </c>
      <c r="I69" s="100">
        <f>Biology!H68</f>
        <v>3</v>
      </c>
      <c r="J69" s="100">
        <f>Math!H68</f>
        <v>0</v>
      </c>
      <c r="K69" s="100">
        <f t="shared" si="8"/>
        <v>1</v>
      </c>
      <c r="L69" s="100">
        <f t="shared" si="8"/>
        <v>1</v>
      </c>
      <c r="M69" s="100">
        <f t="shared" si="8"/>
        <v>1</v>
      </c>
      <c r="N69" s="100">
        <f t="shared" si="8"/>
        <v>1</v>
      </c>
      <c r="O69" s="100">
        <f t="shared" si="8"/>
        <v>1</v>
      </c>
      <c r="P69" s="100">
        <f t="shared" si="8"/>
        <v>1</v>
      </c>
      <c r="Q69" s="100">
        <f t="shared" si="9"/>
        <v>6</v>
      </c>
      <c r="R69" s="100">
        <f t="shared" si="10"/>
        <v>20.5</v>
      </c>
      <c r="S69" s="100">
        <f t="shared" si="11"/>
        <v>20.5</v>
      </c>
      <c r="T69" s="100">
        <f t="shared" si="12"/>
        <v>3.4166666666666665</v>
      </c>
      <c r="U69" s="100" t="str">
        <f t="shared" si="13"/>
        <v>Pass</v>
      </c>
      <c r="V69" s="100">
        <f t="shared" si="14"/>
        <v>3.4166666666666665</v>
      </c>
      <c r="W69" s="100">
        <f>'Detailed Summary'!BK68</f>
        <v>4</v>
      </c>
    </row>
    <row r="70" spans="1:23" ht="18.5" x14ac:dyDescent="0.45">
      <c r="A70" s="100"/>
      <c r="B70" s="100">
        <f>'Student Basic Info'!A69</f>
        <v>768</v>
      </c>
      <c r="C70" s="100" t="str">
        <f>'Student Basic Info'!C69</f>
        <v>Tanvir Hosain</v>
      </c>
      <c r="D70" s="100">
        <f>Bangla!G69</f>
        <v>2</v>
      </c>
      <c r="E70" s="100">
        <f>English!F69</f>
        <v>0</v>
      </c>
      <c r="F70" s="100">
        <f>ICT!H69</f>
        <v>3</v>
      </c>
      <c r="G70" s="100">
        <f>Physics!H69</f>
        <v>3</v>
      </c>
      <c r="H70" s="100">
        <f>Chemistry!H69</f>
        <v>0</v>
      </c>
      <c r="I70" s="100">
        <f>Biology!H69</f>
        <v>2</v>
      </c>
      <c r="J70" s="100">
        <f>Math!H69</f>
        <v>0</v>
      </c>
      <c r="K70" s="100">
        <f t="shared" si="8"/>
        <v>1</v>
      </c>
      <c r="L70" s="100">
        <f t="shared" si="8"/>
        <v>0</v>
      </c>
      <c r="M70" s="100">
        <f t="shared" si="8"/>
        <v>1</v>
      </c>
      <c r="N70" s="100">
        <f t="shared" si="8"/>
        <v>1</v>
      </c>
      <c r="O70" s="100">
        <f t="shared" si="8"/>
        <v>0</v>
      </c>
      <c r="P70" s="100">
        <f t="shared" si="8"/>
        <v>1</v>
      </c>
      <c r="Q70" s="100">
        <f t="shared" si="9"/>
        <v>4</v>
      </c>
      <c r="R70" s="100" t="str">
        <f t="shared" si="10"/>
        <v/>
      </c>
      <c r="S70" s="100" t="str">
        <f t="shared" si="11"/>
        <v/>
      </c>
      <c r="T70" s="100" t="str">
        <f t="shared" si="12"/>
        <v/>
      </c>
      <c r="U70" s="100" t="str">
        <f t="shared" si="13"/>
        <v>Failed in 2 Subjects</v>
      </c>
      <c r="V70" s="100" t="str">
        <f t="shared" si="14"/>
        <v/>
      </c>
      <c r="W70" s="100" t="str">
        <f>'Detailed Summary'!BK69</f>
        <v/>
      </c>
    </row>
    <row r="71" spans="1:23" ht="18.5" hidden="1" x14ac:dyDescent="0.45">
      <c r="A71" s="100"/>
      <c r="B71" s="100">
        <f>'Student Basic Info'!A70</f>
        <v>769</v>
      </c>
      <c r="C71" s="100" t="str">
        <f>'Student Basic Info'!C70</f>
        <v>Abdullah Al Noman</v>
      </c>
      <c r="D71" s="100" t="str">
        <f>Bangla!G70</f>
        <v/>
      </c>
      <c r="E71" s="100" t="str">
        <f>English!F70</f>
        <v/>
      </c>
      <c r="F71" s="100" t="str">
        <f>ICT!H70</f>
        <v/>
      </c>
      <c r="G71" s="100" t="str">
        <f>Physics!H70</f>
        <v/>
      </c>
      <c r="H71" s="100">
        <f>Chemistry!H70</f>
        <v>0</v>
      </c>
      <c r="I71" s="100" t="str">
        <f>Biology!H70</f>
        <v/>
      </c>
      <c r="J71" s="100">
        <f>Math!H70</f>
        <v>0</v>
      </c>
      <c r="K71" s="100">
        <f t="shared" si="8"/>
        <v>0</v>
      </c>
      <c r="L71" s="100">
        <f t="shared" si="8"/>
        <v>0</v>
      </c>
      <c r="M71" s="100">
        <f t="shared" si="8"/>
        <v>0</v>
      </c>
      <c r="N71" s="100">
        <f t="shared" si="8"/>
        <v>0</v>
      </c>
      <c r="O71" s="100">
        <f t="shared" si="8"/>
        <v>0</v>
      </c>
      <c r="P71" s="100">
        <f t="shared" si="8"/>
        <v>0</v>
      </c>
      <c r="Q71" s="100">
        <f t="shared" si="9"/>
        <v>0</v>
      </c>
      <c r="R71" s="100" t="str">
        <f t="shared" si="10"/>
        <v/>
      </c>
      <c r="S71" s="100" t="str">
        <f t="shared" si="11"/>
        <v/>
      </c>
      <c r="T71" s="100" t="str">
        <f t="shared" si="12"/>
        <v/>
      </c>
      <c r="U71" s="100" t="str">
        <f t="shared" si="13"/>
        <v>Failed in 6 Subjects</v>
      </c>
      <c r="V71" s="100" t="str">
        <f t="shared" si="14"/>
        <v/>
      </c>
      <c r="W71" s="100" t="str">
        <f>'Detailed Summary'!BK70</f>
        <v/>
      </c>
    </row>
    <row r="72" spans="1:23" ht="18.5" hidden="1" x14ac:dyDescent="0.45">
      <c r="A72" s="100"/>
      <c r="B72" s="100">
        <f>'Student Basic Info'!A71</f>
        <v>770</v>
      </c>
      <c r="C72" s="100" t="str">
        <f>'Student Basic Info'!C71</f>
        <v>Ashraf Uddal</v>
      </c>
      <c r="D72" s="100">
        <f>Bangla!G71</f>
        <v>0</v>
      </c>
      <c r="E72" s="100">
        <f>English!F71</f>
        <v>0</v>
      </c>
      <c r="F72" s="100">
        <f>ICT!H71</f>
        <v>0</v>
      </c>
      <c r="G72" s="100">
        <f>Physics!H71</f>
        <v>0</v>
      </c>
      <c r="H72" s="100" t="str">
        <f>Chemistry!H71</f>
        <v/>
      </c>
      <c r="I72" s="100">
        <f>Biology!H71</f>
        <v>0</v>
      </c>
      <c r="J72" s="100">
        <f>Math!H71</f>
        <v>0</v>
      </c>
      <c r="K72" s="100">
        <f t="shared" si="8"/>
        <v>0</v>
      </c>
      <c r="L72" s="100">
        <f t="shared" si="8"/>
        <v>0</v>
      </c>
      <c r="M72" s="100">
        <f t="shared" si="8"/>
        <v>0</v>
      </c>
      <c r="N72" s="100">
        <f t="shared" si="8"/>
        <v>0</v>
      </c>
      <c r="O72" s="100">
        <f t="shared" si="8"/>
        <v>0</v>
      </c>
      <c r="P72" s="100">
        <f t="shared" si="8"/>
        <v>0</v>
      </c>
      <c r="Q72" s="100">
        <f t="shared" si="9"/>
        <v>0</v>
      </c>
      <c r="R72" s="100" t="str">
        <f t="shared" si="10"/>
        <v/>
      </c>
      <c r="S72" s="100" t="str">
        <f t="shared" si="11"/>
        <v/>
      </c>
      <c r="T72" s="100" t="str">
        <f t="shared" si="12"/>
        <v/>
      </c>
      <c r="U72" s="100" t="str">
        <f t="shared" si="13"/>
        <v>Failed in 6 Subjects</v>
      </c>
      <c r="V72" s="100" t="str">
        <f t="shared" si="14"/>
        <v/>
      </c>
      <c r="W72" s="100" t="str">
        <f>'Detailed Summary'!BK71</f>
        <v/>
      </c>
    </row>
    <row r="73" spans="1:23" ht="18.5" hidden="1" x14ac:dyDescent="0.45">
      <c r="A73" s="100"/>
      <c r="B73" s="100">
        <f>'Student Basic Info'!A72</f>
        <v>771</v>
      </c>
      <c r="C73" s="100" t="str">
        <f>'Student Basic Info'!C72</f>
        <v>Mesfar Uddin Ripti</v>
      </c>
      <c r="D73" s="100" t="str">
        <f>Bangla!G72</f>
        <v/>
      </c>
      <c r="E73" s="100" t="str">
        <f>English!F72</f>
        <v/>
      </c>
      <c r="F73" s="100" t="str">
        <f>ICT!H72</f>
        <v/>
      </c>
      <c r="G73" s="100">
        <f>Physics!H72</f>
        <v>0</v>
      </c>
      <c r="H73" s="100" t="str">
        <f>Chemistry!H72</f>
        <v/>
      </c>
      <c r="I73" s="100">
        <f>Biology!H72</f>
        <v>0</v>
      </c>
      <c r="J73" s="100" t="str">
        <f>Math!H72</f>
        <v/>
      </c>
      <c r="K73" s="100">
        <f t="shared" si="8"/>
        <v>0</v>
      </c>
      <c r="L73" s="100">
        <f t="shared" si="8"/>
        <v>0</v>
      </c>
      <c r="M73" s="100">
        <f t="shared" si="8"/>
        <v>0</v>
      </c>
      <c r="N73" s="100">
        <f t="shared" si="8"/>
        <v>0</v>
      </c>
      <c r="O73" s="100">
        <f t="shared" si="8"/>
        <v>0</v>
      </c>
      <c r="P73" s="100">
        <f t="shared" si="8"/>
        <v>0</v>
      </c>
      <c r="Q73" s="100">
        <f t="shared" si="9"/>
        <v>0</v>
      </c>
      <c r="R73" s="100" t="str">
        <f t="shared" si="10"/>
        <v/>
      </c>
      <c r="S73" s="100" t="str">
        <f t="shared" si="11"/>
        <v/>
      </c>
      <c r="T73" s="100" t="str">
        <f t="shared" si="12"/>
        <v/>
      </c>
      <c r="U73" s="100" t="str">
        <f t="shared" si="13"/>
        <v>Failed in 6 Subjects</v>
      </c>
      <c r="V73" s="100" t="str">
        <f t="shared" si="14"/>
        <v/>
      </c>
      <c r="W73" s="100" t="str">
        <f>'Detailed Summary'!BK72</f>
        <v/>
      </c>
    </row>
    <row r="74" spans="1:23" ht="18.5" hidden="1" x14ac:dyDescent="0.45">
      <c r="A74" s="100"/>
      <c r="B74" s="100">
        <f>'Student Basic Info'!A73</f>
        <v>772</v>
      </c>
      <c r="C74" s="100" t="str">
        <f>'Student Basic Info'!C73</f>
        <v>Shoikot Chandra Shil</v>
      </c>
      <c r="D74" s="100">
        <f>Bangla!G73</f>
        <v>0</v>
      </c>
      <c r="E74" s="100">
        <f>English!F73</f>
        <v>0</v>
      </c>
      <c r="F74" s="100">
        <f>ICT!H73</f>
        <v>0</v>
      </c>
      <c r="G74" s="100">
        <f>Physics!H73</f>
        <v>0</v>
      </c>
      <c r="H74" s="100" t="str">
        <f>Chemistry!H73</f>
        <v/>
      </c>
      <c r="I74" s="100">
        <f>Biology!H73</f>
        <v>0</v>
      </c>
      <c r="J74" s="100">
        <f>Math!H73</f>
        <v>0</v>
      </c>
      <c r="K74" s="100">
        <f t="shared" si="8"/>
        <v>0</v>
      </c>
      <c r="L74" s="100">
        <f t="shared" si="8"/>
        <v>0</v>
      </c>
      <c r="M74" s="100">
        <f t="shared" si="8"/>
        <v>0</v>
      </c>
      <c r="N74" s="100">
        <f t="shared" si="8"/>
        <v>0</v>
      </c>
      <c r="O74" s="100">
        <f t="shared" si="8"/>
        <v>0</v>
      </c>
      <c r="P74" s="100">
        <f t="shared" si="8"/>
        <v>0</v>
      </c>
      <c r="Q74" s="100">
        <f t="shared" si="9"/>
        <v>0</v>
      </c>
      <c r="R74" s="100" t="str">
        <f t="shared" si="10"/>
        <v/>
      </c>
      <c r="S74" s="100" t="str">
        <f t="shared" si="11"/>
        <v/>
      </c>
      <c r="T74" s="100" t="str">
        <f t="shared" si="12"/>
        <v/>
      </c>
      <c r="U74" s="100" t="str">
        <f t="shared" si="13"/>
        <v>Failed in 6 Subjects</v>
      </c>
      <c r="V74" s="100" t="str">
        <f t="shared" si="14"/>
        <v/>
      </c>
      <c r="W74" s="100" t="str">
        <f>'Detailed Summary'!BK73</f>
        <v/>
      </c>
    </row>
    <row r="75" spans="1:23" ht="18.5" hidden="1" x14ac:dyDescent="0.45">
      <c r="A75" s="100"/>
      <c r="B75" s="100">
        <f>'Student Basic Info'!A74</f>
        <v>773</v>
      </c>
      <c r="C75" s="100" t="str">
        <f>'Student Basic Info'!C74</f>
        <v>Shourov Chandra Shil</v>
      </c>
      <c r="D75" s="100">
        <f>Bangla!G74</f>
        <v>0</v>
      </c>
      <c r="E75" s="100">
        <f>English!F74</f>
        <v>0</v>
      </c>
      <c r="F75" s="100">
        <f>ICT!H74</f>
        <v>0</v>
      </c>
      <c r="G75" s="100">
        <f>Physics!H74</f>
        <v>0</v>
      </c>
      <c r="H75" s="100" t="str">
        <f>Chemistry!H74</f>
        <v/>
      </c>
      <c r="I75" s="100">
        <f>Biology!H74</f>
        <v>0</v>
      </c>
      <c r="J75" s="100">
        <f>Math!H74</f>
        <v>0</v>
      </c>
      <c r="K75" s="100">
        <f t="shared" si="8"/>
        <v>0</v>
      </c>
      <c r="L75" s="100">
        <f t="shared" si="8"/>
        <v>0</v>
      </c>
      <c r="M75" s="100">
        <f t="shared" si="8"/>
        <v>0</v>
      </c>
      <c r="N75" s="100">
        <f t="shared" si="8"/>
        <v>0</v>
      </c>
      <c r="O75" s="100">
        <f t="shared" si="8"/>
        <v>0</v>
      </c>
      <c r="P75" s="100">
        <f t="shared" si="8"/>
        <v>0</v>
      </c>
      <c r="Q75" s="100">
        <f t="shared" si="9"/>
        <v>0</v>
      </c>
      <c r="R75" s="100" t="str">
        <f t="shared" si="10"/>
        <v/>
      </c>
      <c r="S75" s="100" t="str">
        <f t="shared" si="11"/>
        <v/>
      </c>
      <c r="T75" s="100" t="str">
        <f t="shared" si="12"/>
        <v/>
      </c>
      <c r="U75" s="100" t="str">
        <f t="shared" si="13"/>
        <v>Failed in 6 Subjects</v>
      </c>
      <c r="V75" s="100" t="str">
        <f t="shared" si="14"/>
        <v/>
      </c>
      <c r="W75" s="100" t="str">
        <f>'Detailed Summary'!BK74</f>
        <v/>
      </c>
    </row>
    <row r="76" spans="1:23" ht="18.5" hidden="1" x14ac:dyDescent="0.45">
      <c r="A76" s="100"/>
      <c r="B76" s="100">
        <f>'Student Basic Info'!A75</f>
        <v>774</v>
      </c>
      <c r="C76" s="100" t="str">
        <f>'Student Basic Info'!C75</f>
        <v>Nur Islam</v>
      </c>
      <c r="D76" s="100">
        <f>Bangla!G75</f>
        <v>3.5</v>
      </c>
      <c r="E76" s="100">
        <f>English!F75</f>
        <v>0</v>
      </c>
      <c r="F76" s="100">
        <f>ICT!H75</f>
        <v>3</v>
      </c>
      <c r="G76" s="100">
        <f>Physics!H75</f>
        <v>2</v>
      </c>
      <c r="H76" s="100">
        <f>Chemistry!H75</f>
        <v>0</v>
      </c>
      <c r="I76" s="100">
        <f>Biology!H75</f>
        <v>0</v>
      </c>
      <c r="J76" s="100">
        <f>Math!H75</f>
        <v>0</v>
      </c>
      <c r="K76" s="100">
        <f t="shared" si="8"/>
        <v>1</v>
      </c>
      <c r="L76" s="100">
        <f t="shared" si="8"/>
        <v>0</v>
      </c>
      <c r="M76" s="100">
        <f t="shared" si="8"/>
        <v>1</v>
      </c>
      <c r="N76" s="100">
        <f t="shared" si="8"/>
        <v>1</v>
      </c>
      <c r="O76" s="100">
        <f t="shared" si="8"/>
        <v>0</v>
      </c>
      <c r="P76" s="100">
        <f t="shared" si="8"/>
        <v>0</v>
      </c>
      <c r="Q76" s="100">
        <f t="shared" si="9"/>
        <v>3</v>
      </c>
      <c r="R76" s="100" t="str">
        <f t="shared" si="10"/>
        <v/>
      </c>
      <c r="S76" s="100" t="str">
        <f t="shared" si="11"/>
        <v/>
      </c>
      <c r="T76" s="100" t="str">
        <f t="shared" si="12"/>
        <v/>
      </c>
      <c r="U76" s="100" t="str">
        <f t="shared" si="13"/>
        <v>Failed in 3 Subjects</v>
      </c>
      <c r="V76" s="100" t="str">
        <f t="shared" si="14"/>
        <v/>
      </c>
      <c r="W76" s="100" t="str">
        <f>'Detailed Summary'!BK75</f>
        <v/>
      </c>
    </row>
    <row r="77" spans="1:23" ht="18.5" hidden="1" x14ac:dyDescent="0.45">
      <c r="A77" s="100"/>
      <c r="B77" s="100">
        <f>'Student Basic Info'!A76</f>
        <v>775</v>
      </c>
      <c r="C77" s="100" t="str">
        <f>'Student Basic Info'!C76</f>
        <v>Nur Mohammad Rimon</v>
      </c>
      <c r="D77" s="100">
        <f>Bangla!G76</f>
        <v>0</v>
      </c>
      <c r="E77" s="100">
        <f>English!F76</f>
        <v>0</v>
      </c>
      <c r="F77" s="100">
        <f>ICT!H76</f>
        <v>0</v>
      </c>
      <c r="G77" s="100">
        <f>Physics!H76</f>
        <v>0</v>
      </c>
      <c r="H77" s="100" t="str">
        <f>Chemistry!H76</f>
        <v/>
      </c>
      <c r="I77" s="100">
        <f>Biology!H76</f>
        <v>0</v>
      </c>
      <c r="J77" s="100" t="str">
        <f>Math!H76</f>
        <v/>
      </c>
      <c r="K77" s="100">
        <f t="shared" si="8"/>
        <v>0</v>
      </c>
      <c r="L77" s="100">
        <f t="shared" si="8"/>
        <v>0</v>
      </c>
      <c r="M77" s="100">
        <f t="shared" si="8"/>
        <v>0</v>
      </c>
      <c r="N77" s="100">
        <f t="shared" si="8"/>
        <v>0</v>
      </c>
      <c r="O77" s="100">
        <f t="shared" si="8"/>
        <v>0</v>
      </c>
      <c r="P77" s="100">
        <f t="shared" si="8"/>
        <v>0</v>
      </c>
      <c r="Q77" s="100">
        <f t="shared" si="9"/>
        <v>0</v>
      </c>
      <c r="R77" s="100" t="str">
        <f t="shared" si="10"/>
        <v/>
      </c>
      <c r="S77" s="100" t="str">
        <f t="shared" si="11"/>
        <v/>
      </c>
      <c r="T77" s="100" t="str">
        <f t="shared" si="12"/>
        <v/>
      </c>
      <c r="U77" s="100" t="str">
        <f t="shared" si="13"/>
        <v>Failed in 6 Subjects</v>
      </c>
      <c r="V77" s="100" t="str">
        <f t="shared" si="14"/>
        <v/>
      </c>
      <c r="W77" s="100" t="str">
        <f>'Detailed Summary'!BK76</f>
        <v/>
      </c>
    </row>
    <row r="78" spans="1:23" ht="18.5" hidden="1" x14ac:dyDescent="0.45">
      <c r="A78" s="100"/>
      <c r="B78" s="100">
        <f>'Student Basic Info'!A77</f>
        <v>776</v>
      </c>
      <c r="C78" s="100" t="str">
        <f>'Student Basic Info'!C77</f>
        <v>Saifullah Mansur</v>
      </c>
      <c r="D78" s="100">
        <f>Bangla!G77</f>
        <v>0</v>
      </c>
      <c r="E78" s="100">
        <f>English!F77</f>
        <v>0</v>
      </c>
      <c r="F78" s="100">
        <f>ICT!H77</f>
        <v>0</v>
      </c>
      <c r="G78" s="100">
        <f>Physics!H77</f>
        <v>0</v>
      </c>
      <c r="H78" s="100">
        <f>Chemistry!H77</f>
        <v>0</v>
      </c>
      <c r="I78" s="100">
        <f>Biology!H77</f>
        <v>0</v>
      </c>
      <c r="J78" s="100">
        <f>Math!H77</f>
        <v>0</v>
      </c>
      <c r="K78" s="100">
        <f t="shared" si="8"/>
        <v>0</v>
      </c>
      <c r="L78" s="100">
        <f t="shared" si="8"/>
        <v>0</v>
      </c>
      <c r="M78" s="100">
        <f t="shared" si="8"/>
        <v>0</v>
      </c>
      <c r="N78" s="100">
        <f t="shared" si="8"/>
        <v>0</v>
      </c>
      <c r="O78" s="100">
        <f t="shared" si="8"/>
        <v>0</v>
      </c>
      <c r="P78" s="100">
        <f t="shared" si="8"/>
        <v>0</v>
      </c>
      <c r="Q78" s="100">
        <f t="shared" si="9"/>
        <v>0</v>
      </c>
      <c r="R78" s="100" t="str">
        <f t="shared" si="10"/>
        <v/>
      </c>
      <c r="S78" s="100" t="str">
        <f t="shared" si="11"/>
        <v/>
      </c>
      <c r="T78" s="100" t="str">
        <f t="shared" si="12"/>
        <v/>
      </c>
      <c r="U78" s="100" t="str">
        <f t="shared" si="13"/>
        <v>Failed in 6 Subjects</v>
      </c>
      <c r="V78" s="100" t="str">
        <f t="shared" si="14"/>
        <v/>
      </c>
      <c r="W78" s="100" t="str">
        <f>'Detailed Summary'!BK77</f>
        <v/>
      </c>
    </row>
    <row r="79" spans="1:23" ht="18.5" hidden="1" x14ac:dyDescent="0.45">
      <c r="A79" s="100"/>
      <c r="B79" s="100">
        <f>'Student Basic Info'!A78</f>
        <v>777</v>
      </c>
      <c r="C79" s="100" t="str">
        <f>'Student Basic Info'!C78</f>
        <v>Zunayed Al Mamun</v>
      </c>
      <c r="D79" s="100" t="str">
        <f>Bangla!G78</f>
        <v/>
      </c>
      <c r="E79" s="100" t="str">
        <f>English!F78</f>
        <v/>
      </c>
      <c r="F79" s="100" t="str">
        <f>ICT!H78</f>
        <v/>
      </c>
      <c r="G79" s="100" t="str">
        <f>Physics!H78</f>
        <v/>
      </c>
      <c r="H79" s="100" t="str">
        <f>Chemistry!H78</f>
        <v/>
      </c>
      <c r="I79" s="100" t="str">
        <f>Biology!H78</f>
        <v/>
      </c>
      <c r="J79" s="100" t="str">
        <f>Math!H78</f>
        <v/>
      </c>
      <c r="K79" s="100">
        <f t="shared" si="8"/>
        <v>0</v>
      </c>
      <c r="L79" s="100">
        <f t="shared" si="8"/>
        <v>0</v>
      </c>
      <c r="M79" s="100">
        <f t="shared" si="8"/>
        <v>0</v>
      </c>
      <c r="N79" s="100">
        <f t="shared" si="8"/>
        <v>0</v>
      </c>
      <c r="O79" s="100">
        <f t="shared" si="8"/>
        <v>0</v>
      </c>
      <c r="P79" s="100">
        <f t="shared" si="8"/>
        <v>0</v>
      </c>
      <c r="Q79" s="100">
        <f t="shared" si="9"/>
        <v>0</v>
      </c>
      <c r="R79" s="100" t="str">
        <f t="shared" si="10"/>
        <v/>
      </c>
      <c r="S79" s="100" t="str">
        <f t="shared" si="11"/>
        <v/>
      </c>
      <c r="T79" s="100" t="str">
        <f t="shared" si="12"/>
        <v/>
      </c>
      <c r="U79" s="100" t="str">
        <f t="shared" si="13"/>
        <v>Failed in 6 Subjects</v>
      </c>
      <c r="V79" s="100" t="str">
        <f t="shared" si="14"/>
        <v/>
      </c>
      <c r="W79" s="100" t="str">
        <f>'Detailed Summary'!BK78</f>
        <v/>
      </c>
    </row>
    <row r="80" spans="1:23" ht="18.5" hidden="1" x14ac:dyDescent="0.45">
      <c r="A80" s="100"/>
      <c r="B80" s="100">
        <f>'Student Basic Info'!A79</f>
        <v>778</v>
      </c>
      <c r="C80" s="100" t="str">
        <f>'Student Basic Info'!C79</f>
        <v>Al Hosain</v>
      </c>
      <c r="D80" s="100" t="str">
        <f>Bangla!G79</f>
        <v/>
      </c>
      <c r="E80" s="100" t="str">
        <f>English!F79</f>
        <v/>
      </c>
      <c r="F80" s="100" t="str">
        <f>ICT!H79</f>
        <v/>
      </c>
      <c r="G80" s="100" t="str">
        <f>Physics!H79</f>
        <v/>
      </c>
      <c r="H80" s="100" t="str">
        <f>Chemistry!H79</f>
        <v/>
      </c>
      <c r="I80" s="100" t="str">
        <f>Biology!H79</f>
        <v/>
      </c>
      <c r="J80" s="100" t="str">
        <f>Math!H79</f>
        <v/>
      </c>
      <c r="K80" s="100">
        <f t="shared" si="8"/>
        <v>0</v>
      </c>
      <c r="L80" s="100">
        <f t="shared" si="8"/>
        <v>0</v>
      </c>
      <c r="M80" s="100">
        <f t="shared" si="8"/>
        <v>0</v>
      </c>
      <c r="N80" s="100">
        <f t="shared" si="8"/>
        <v>0</v>
      </c>
      <c r="O80" s="100">
        <f t="shared" si="8"/>
        <v>0</v>
      </c>
      <c r="P80" s="100">
        <f t="shared" si="8"/>
        <v>0</v>
      </c>
      <c r="Q80" s="100">
        <f t="shared" si="9"/>
        <v>0</v>
      </c>
      <c r="R80" s="100" t="str">
        <f t="shared" si="10"/>
        <v/>
      </c>
      <c r="S80" s="100" t="str">
        <f t="shared" si="11"/>
        <v/>
      </c>
      <c r="T80" s="100" t="str">
        <f t="shared" si="12"/>
        <v/>
      </c>
      <c r="U80" s="100" t="str">
        <f t="shared" si="13"/>
        <v>Failed in 6 Subjects</v>
      </c>
      <c r="V80" s="100" t="str">
        <f t="shared" si="14"/>
        <v/>
      </c>
      <c r="W80" s="100" t="str">
        <f>'Detailed Summary'!BK79</f>
        <v/>
      </c>
    </row>
    <row r="81" spans="1:23" ht="18.5" hidden="1" x14ac:dyDescent="0.45">
      <c r="A81" s="100"/>
      <c r="B81" s="100">
        <f>'Student Basic Info'!A80</f>
        <v>779</v>
      </c>
      <c r="C81" s="100" t="str">
        <f>'Student Basic Info'!C80</f>
        <v>Azizul Haque</v>
      </c>
      <c r="D81" s="100">
        <f>Bangla!G80</f>
        <v>0</v>
      </c>
      <c r="E81" s="100">
        <f>English!F80</f>
        <v>0</v>
      </c>
      <c r="F81" s="100">
        <f>ICT!H80</f>
        <v>0</v>
      </c>
      <c r="G81" s="100">
        <f>Physics!H80</f>
        <v>0</v>
      </c>
      <c r="H81" s="100">
        <f>Chemistry!H80</f>
        <v>0</v>
      </c>
      <c r="I81" s="100">
        <f>Biology!H80</f>
        <v>0</v>
      </c>
      <c r="J81" s="100">
        <f>Math!H80</f>
        <v>0</v>
      </c>
      <c r="K81" s="100">
        <f t="shared" si="8"/>
        <v>0</v>
      </c>
      <c r="L81" s="100">
        <f t="shared" si="8"/>
        <v>0</v>
      </c>
      <c r="M81" s="100">
        <f t="shared" si="8"/>
        <v>0</v>
      </c>
      <c r="N81" s="100">
        <f t="shared" si="8"/>
        <v>0</v>
      </c>
      <c r="O81" s="100">
        <f t="shared" si="8"/>
        <v>0</v>
      </c>
      <c r="P81" s="100">
        <f t="shared" si="8"/>
        <v>0</v>
      </c>
      <c r="Q81" s="100">
        <f t="shared" si="9"/>
        <v>0</v>
      </c>
      <c r="R81" s="100" t="str">
        <f t="shared" si="10"/>
        <v/>
      </c>
      <c r="S81" s="100" t="str">
        <f t="shared" si="11"/>
        <v/>
      </c>
      <c r="T81" s="100" t="str">
        <f t="shared" si="12"/>
        <v/>
      </c>
      <c r="U81" s="100" t="str">
        <f t="shared" si="13"/>
        <v>Failed in 6 Subjects</v>
      </c>
      <c r="V81" s="100" t="str">
        <f t="shared" si="14"/>
        <v/>
      </c>
      <c r="W81" s="100" t="str">
        <f>'Detailed Summary'!BK80</f>
        <v/>
      </c>
    </row>
    <row r="82" spans="1:23" ht="18.5" hidden="1" x14ac:dyDescent="0.45">
      <c r="A82" s="100">
        <v>14</v>
      </c>
      <c r="B82" s="100">
        <f>'Student Basic Info'!A81</f>
        <v>780</v>
      </c>
      <c r="C82" s="100" t="str">
        <f>'Student Basic Info'!C81</f>
        <v>Farjana Aktar</v>
      </c>
      <c r="D82" s="100">
        <f>Bangla!G81</f>
        <v>2</v>
      </c>
      <c r="E82" s="100">
        <f>English!F81</f>
        <v>0</v>
      </c>
      <c r="F82" s="100">
        <f>ICT!H81</f>
        <v>0</v>
      </c>
      <c r="G82" s="100">
        <f>Physics!H81</f>
        <v>0</v>
      </c>
      <c r="H82" s="100">
        <f>Chemistry!H81</f>
        <v>0</v>
      </c>
      <c r="I82" s="100">
        <f>Biology!H81</f>
        <v>0</v>
      </c>
      <c r="J82" s="100">
        <f>Math!H81</f>
        <v>0</v>
      </c>
      <c r="K82" s="100">
        <f t="shared" si="8"/>
        <v>1</v>
      </c>
      <c r="L82" s="100">
        <f t="shared" si="8"/>
        <v>0</v>
      </c>
      <c r="M82" s="100">
        <f t="shared" si="8"/>
        <v>0</v>
      </c>
      <c r="N82" s="100">
        <f t="shared" si="8"/>
        <v>0</v>
      </c>
      <c r="O82" s="100">
        <f t="shared" si="8"/>
        <v>0</v>
      </c>
      <c r="P82" s="100">
        <f t="shared" si="8"/>
        <v>0</v>
      </c>
      <c r="Q82" s="100">
        <f t="shared" si="9"/>
        <v>1</v>
      </c>
      <c r="R82" s="100" t="str">
        <f t="shared" si="10"/>
        <v/>
      </c>
      <c r="S82" s="100" t="str">
        <f t="shared" si="11"/>
        <v/>
      </c>
      <c r="T82" s="100" t="str">
        <f t="shared" si="12"/>
        <v/>
      </c>
      <c r="U82" s="100" t="str">
        <f t="shared" si="13"/>
        <v>Failed in 5 Subjects</v>
      </c>
      <c r="V82" s="100" t="str">
        <f t="shared" si="14"/>
        <v/>
      </c>
      <c r="W82" s="100" t="str">
        <f>'Detailed Summary'!BK81</f>
        <v/>
      </c>
    </row>
    <row r="83" spans="1:23" ht="18.5" hidden="1" x14ac:dyDescent="0.45">
      <c r="A83" s="100"/>
      <c r="B83" s="100">
        <f>'Student Basic Info'!A82</f>
        <v>781</v>
      </c>
      <c r="C83" s="100" t="str">
        <f>'Student Basic Info'!C82</f>
        <v>Imam Hosain</v>
      </c>
      <c r="D83" s="100" t="str">
        <f>Bangla!G82</f>
        <v/>
      </c>
      <c r="E83" s="100" t="str">
        <f>English!F82</f>
        <v/>
      </c>
      <c r="F83" s="100" t="str">
        <f>ICT!H82</f>
        <v/>
      </c>
      <c r="G83" s="100" t="str">
        <f>Physics!H82</f>
        <v/>
      </c>
      <c r="H83" s="100" t="str">
        <f>Chemistry!H82</f>
        <v/>
      </c>
      <c r="I83" s="100" t="str">
        <f>Biology!H82</f>
        <v/>
      </c>
      <c r="J83" s="100" t="str">
        <f>Math!H82</f>
        <v/>
      </c>
      <c r="K83" s="100">
        <f t="shared" si="8"/>
        <v>0</v>
      </c>
      <c r="L83" s="100">
        <f t="shared" si="8"/>
        <v>0</v>
      </c>
      <c r="M83" s="100">
        <f t="shared" si="8"/>
        <v>0</v>
      </c>
      <c r="N83" s="100">
        <f t="shared" si="8"/>
        <v>0</v>
      </c>
      <c r="O83" s="100">
        <f t="shared" si="8"/>
        <v>0</v>
      </c>
      <c r="P83" s="100">
        <f t="shared" si="8"/>
        <v>0</v>
      </c>
      <c r="Q83" s="100">
        <f t="shared" si="9"/>
        <v>0</v>
      </c>
      <c r="R83" s="100" t="str">
        <f t="shared" si="10"/>
        <v/>
      </c>
      <c r="S83" s="100" t="str">
        <f t="shared" si="11"/>
        <v/>
      </c>
      <c r="T83" s="100" t="str">
        <f t="shared" si="12"/>
        <v/>
      </c>
      <c r="U83" s="100" t="str">
        <f t="shared" si="13"/>
        <v>Failed in 6 Subjects</v>
      </c>
      <c r="V83" s="100" t="str">
        <f t="shared" si="14"/>
        <v/>
      </c>
      <c r="W83" s="100" t="str">
        <f>'Detailed Summary'!BK82</f>
        <v/>
      </c>
    </row>
    <row r="84" spans="1:23" ht="18.5" hidden="1" x14ac:dyDescent="0.45">
      <c r="A84" s="100"/>
      <c r="B84" s="100">
        <f>'Student Basic Info'!A83</f>
        <v>782</v>
      </c>
      <c r="C84" s="100" t="str">
        <f>'Student Basic Info'!C83</f>
        <v>Asiya Aktar Hira</v>
      </c>
      <c r="D84" s="100">
        <f>Bangla!G83</f>
        <v>3</v>
      </c>
      <c r="E84" s="100">
        <f>English!F83</f>
        <v>2</v>
      </c>
      <c r="F84" s="100">
        <f>ICT!H83</f>
        <v>0</v>
      </c>
      <c r="G84" s="100">
        <f>Physics!H83</f>
        <v>0</v>
      </c>
      <c r="H84" s="100">
        <f>Chemistry!H83</f>
        <v>0</v>
      </c>
      <c r="I84" s="100">
        <f>Biology!H83</f>
        <v>0</v>
      </c>
      <c r="J84" s="100">
        <f>Math!H83</f>
        <v>0</v>
      </c>
      <c r="K84" s="100">
        <f t="shared" si="8"/>
        <v>1</v>
      </c>
      <c r="L84" s="100">
        <f t="shared" si="8"/>
        <v>1</v>
      </c>
      <c r="M84" s="100">
        <f t="shared" si="8"/>
        <v>0</v>
      </c>
      <c r="N84" s="100">
        <f t="shared" si="8"/>
        <v>0</v>
      </c>
      <c r="O84" s="100">
        <f t="shared" si="8"/>
        <v>0</v>
      </c>
      <c r="P84" s="100">
        <f t="shared" si="8"/>
        <v>0</v>
      </c>
      <c r="Q84" s="100">
        <f t="shared" si="9"/>
        <v>2</v>
      </c>
      <c r="R84" s="100" t="str">
        <f t="shared" si="10"/>
        <v/>
      </c>
      <c r="S84" s="100" t="str">
        <f t="shared" si="11"/>
        <v/>
      </c>
      <c r="T84" s="100" t="str">
        <f t="shared" si="12"/>
        <v/>
      </c>
      <c r="U84" s="100" t="str">
        <f t="shared" si="13"/>
        <v>Failed in 4 Subjects</v>
      </c>
      <c r="V84" s="100" t="str">
        <f t="shared" si="14"/>
        <v/>
      </c>
      <c r="W84" s="100" t="str">
        <f>'Detailed Summary'!BK83</f>
        <v/>
      </c>
    </row>
    <row r="85" spans="1:23" ht="18.5" hidden="1" x14ac:dyDescent="0.45">
      <c r="A85" s="100"/>
      <c r="B85" s="100">
        <f>'Student Basic Info'!A84</f>
        <v>783</v>
      </c>
      <c r="C85" s="100" t="str">
        <f>'Student Basic Info'!C84</f>
        <v>Abu Rayhan</v>
      </c>
      <c r="D85" s="100" t="str">
        <f>Bangla!G84</f>
        <v/>
      </c>
      <c r="E85" s="100" t="str">
        <f>English!F84</f>
        <v/>
      </c>
      <c r="F85" s="100" t="str">
        <f>ICT!H84</f>
        <v/>
      </c>
      <c r="G85" s="100" t="str">
        <f>Physics!H84</f>
        <v/>
      </c>
      <c r="H85" s="100" t="str">
        <f>Chemistry!H84</f>
        <v/>
      </c>
      <c r="I85" s="100" t="str">
        <f>Biology!H84</f>
        <v/>
      </c>
      <c r="J85" s="100" t="str">
        <f>Math!H84</f>
        <v/>
      </c>
      <c r="K85" s="100">
        <f t="shared" si="8"/>
        <v>0</v>
      </c>
      <c r="L85" s="100">
        <f t="shared" si="8"/>
        <v>0</v>
      </c>
      <c r="M85" s="100">
        <f t="shared" si="8"/>
        <v>0</v>
      </c>
      <c r="N85" s="100">
        <f t="shared" si="8"/>
        <v>0</v>
      </c>
      <c r="O85" s="100">
        <f t="shared" si="8"/>
        <v>0</v>
      </c>
      <c r="P85" s="100">
        <f t="shared" si="8"/>
        <v>0</v>
      </c>
      <c r="Q85" s="100">
        <f t="shared" si="9"/>
        <v>0</v>
      </c>
      <c r="R85" s="100" t="str">
        <f t="shared" si="10"/>
        <v/>
      </c>
      <c r="S85" s="100" t="str">
        <f t="shared" si="11"/>
        <v/>
      </c>
      <c r="T85" s="100" t="str">
        <f t="shared" si="12"/>
        <v/>
      </c>
      <c r="U85" s="100" t="str">
        <f t="shared" si="13"/>
        <v>Failed in 6 Subjects</v>
      </c>
      <c r="V85" s="100" t="str">
        <f t="shared" si="14"/>
        <v/>
      </c>
      <c r="W85" s="100" t="str">
        <f>'Detailed Summary'!BK84</f>
        <v/>
      </c>
    </row>
    <row r="86" spans="1:23" ht="18.5" hidden="1" x14ac:dyDescent="0.45">
      <c r="A86" s="100"/>
      <c r="B86" s="100">
        <f>'Student Basic Info'!A85</f>
        <v>784</v>
      </c>
      <c r="C86" s="100" t="str">
        <f>'Student Basic Info'!C85</f>
        <v xml:space="preserve">Azizul Islam </v>
      </c>
      <c r="D86" s="100">
        <f>Bangla!G85</f>
        <v>0</v>
      </c>
      <c r="E86" s="100">
        <f>English!F85</f>
        <v>0</v>
      </c>
      <c r="F86" s="100">
        <f>ICT!H85</f>
        <v>0</v>
      </c>
      <c r="G86" s="100">
        <f>Physics!H85</f>
        <v>0</v>
      </c>
      <c r="H86" s="100">
        <f>Chemistry!H85</f>
        <v>0</v>
      </c>
      <c r="I86" s="100">
        <f>Biology!H85</f>
        <v>0</v>
      </c>
      <c r="J86" s="100">
        <f>Math!H85</f>
        <v>0</v>
      </c>
      <c r="K86" s="100">
        <f t="shared" si="8"/>
        <v>0</v>
      </c>
      <c r="L86" s="100">
        <f t="shared" si="8"/>
        <v>0</v>
      </c>
      <c r="M86" s="100">
        <f t="shared" si="8"/>
        <v>0</v>
      </c>
      <c r="N86" s="100">
        <f t="shared" si="8"/>
        <v>0</v>
      </c>
      <c r="O86" s="100">
        <f t="shared" si="8"/>
        <v>0</v>
      </c>
      <c r="P86" s="100">
        <f t="shared" si="8"/>
        <v>0</v>
      </c>
      <c r="Q86" s="100">
        <f t="shared" si="9"/>
        <v>0</v>
      </c>
      <c r="R86" s="100" t="str">
        <f t="shared" si="10"/>
        <v/>
      </c>
      <c r="S86" s="100" t="str">
        <f t="shared" si="11"/>
        <v/>
      </c>
      <c r="T86" s="100" t="str">
        <f t="shared" si="12"/>
        <v/>
      </c>
      <c r="U86" s="100" t="str">
        <f t="shared" si="13"/>
        <v>Failed in 6 Subjects</v>
      </c>
      <c r="V86" s="100" t="str">
        <f t="shared" si="14"/>
        <v/>
      </c>
      <c r="W86" s="100" t="str">
        <f>'Detailed Summary'!BK85</f>
        <v/>
      </c>
    </row>
    <row r="87" spans="1:23" ht="18.5" hidden="1" x14ac:dyDescent="0.45">
      <c r="A87" s="100"/>
      <c r="B87" s="100">
        <f>'Student Basic Info'!A86</f>
        <v>785</v>
      </c>
      <c r="C87" s="100" t="str">
        <f>'Student Basic Info'!C86</f>
        <v>Muktaddi Al Saber</v>
      </c>
      <c r="D87" s="100">
        <f>Bangla!G86</f>
        <v>0</v>
      </c>
      <c r="E87" s="100">
        <f>English!F86</f>
        <v>0</v>
      </c>
      <c r="F87" s="100">
        <f>ICT!H86</f>
        <v>0</v>
      </c>
      <c r="G87" s="100">
        <f>Physics!H86</f>
        <v>0</v>
      </c>
      <c r="H87" s="100" t="str">
        <f>Chemistry!H86</f>
        <v/>
      </c>
      <c r="I87" s="100">
        <f>Biology!H86</f>
        <v>0</v>
      </c>
      <c r="J87" s="100">
        <f>Math!H86</f>
        <v>0</v>
      </c>
      <c r="K87" s="100">
        <f t="shared" si="8"/>
        <v>0</v>
      </c>
      <c r="L87" s="100">
        <f t="shared" si="8"/>
        <v>0</v>
      </c>
      <c r="M87" s="100">
        <f t="shared" si="8"/>
        <v>0</v>
      </c>
      <c r="N87" s="100">
        <f t="shared" si="8"/>
        <v>0</v>
      </c>
      <c r="O87" s="100">
        <f t="shared" si="8"/>
        <v>0</v>
      </c>
      <c r="P87" s="100">
        <f t="shared" si="8"/>
        <v>0</v>
      </c>
      <c r="Q87" s="100">
        <f t="shared" si="9"/>
        <v>0</v>
      </c>
      <c r="R87" s="100" t="str">
        <f t="shared" si="10"/>
        <v/>
      </c>
      <c r="S87" s="100" t="str">
        <f t="shared" si="11"/>
        <v/>
      </c>
      <c r="T87" s="100" t="str">
        <f t="shared" si="12"/>
        <v/>
      </c>
      <c r="U87" s="100" t="str">
        <f t="shared" si="13"/>
        <v>Failed in 6 Subjects</v>
      </c>
      <c r="V87" s="100" t="str">
        <f t="shared" si="14"/>
        <v/>
      </c>
      <c r="W87" s="100" t="str">
        <f>'Detailed Summary'!BK86</f>
        <v/>
      </c>
    </row>
    <row r="88" spans="1:23" ht="18.5" hidden="1" x14ac:dyDescent="0.45">
      <c r="A88" s="100"/>
      <c r="B88" s="100">
        <f>'Student Basic Info'!A87</f>
        <v>786</v>
      </c>
      <c r="C88" s="100" t="str">
        <f>'Student Basic Info'!C87</f>
        <v>Farzana Aktar</v>
      </c>
      <c r="D88" s="100" t="str">
        <f>Bangla!G87</f>
        <v/>
      </c>
      <c r="E88" s="100">
        <f>English!F87</f>
        <v>0</v>
      </c>
      <c r="F88" s="100">
        <f>ICT!H87</f>
        <v>0</v>
      </c>
      <c r="G88" s="100" t="str">
        <f>Physics!H87</f>
        <v/>
      </c>
      <c r="H88" s="100">
        <f>Chemistry!H87</f>
        <v>0</v>
      </c>
      <c r="I88" s="100">
        <f>Biology!H87</f>
        <v>0</v>
      </c>
      <c r="J88" s="100">
        <f>Math!H87</f>
        <v>0</v>
      </c>
      <c r="K88" s="100">
        <f t="shared" si="8"/>
        <v>0</v>
      </c>
      <c r="L88" s="100">
        <f t="shared" si="8"/>
        <v>0</v>
      </c>
      <c r="M88" s="100">
        <f t="shared" si="8"/>
        <v>0</v>
      </c>
      <c r="N88" s="100">
        <f t="shared" si="8"/>
        <v>0</v>
      </c>
      <c r="O88" s="100">
        <f t="shared" si="8"/>
        <v>0</v>
      </c>
      <c r="P88" s="100">
        <f t="shared" si="8"/>
        <v>0</v>
      </c>
      <c r="Q88" s="100">
        <f t="shared" si="9"/>
        <v>0</v>
      </c>
      <c r="R88" s="100" t="str">
        <f t="shared" si="10"/>
        <v/>
      </c>
      <c r="S88" s="100" t="str">
        <f t="shared" si="11"/>
        <v/>
      </c>
      <c r="T88" s="100" t="str">
        <f t="shared" si="12"/>
        <v/>
      </c>
      <c r="U88" s="100" t="str">
        <f t="shared" si="13"/>
        <v>Failed in 6 Subjects</v>
      </c>
      <c r="V88" s="100" t="str">
        <f t="shared" si="14"/>
        <v/>
      </c>
      <c r="W88" s="100" t="str">
        <f>'Detailed Summary'!BK87</f>
        <v/>
      </c>
    </row>
    <row r="89" spans="1:23" ht="18.5" hidden="1" x14ac:dyDescent="0.45">
      <c r="A89" s="100">
        <v>15</v>
      </c>
      <c r="B89" s="100">
        <f>'Student Basic Info'!A88</f>
        <v>6812</v>
      </c>
      <c r="C89" s="100" t="str">
        <f>'Student Basic Info'!C88</f>
        <v>Jannatul Mawa Parvin</v>
      </c>
      <c r="D89" s="100">
        <f>Bangla!G88</f>
        <v>2</v>
      </c>
      <c r="E89" s="100">
        <f>English!F88</f>
        <v>0</v>
      </c>
      <c r="F89" s="100">
        <f>ICT!H88</f>
        <v>3</v>
      </c>
      <c r="G89" s="100">
        <f>Physics!H88</f>
        <v>3</v>
      </c>
      <c r="H89" s="100">
        <f>Chemistry!H88</f>
        <v>0</v>
      </c>
      <c r="I89" s="100">
        <f>Biology!H88</f>
        <v>0</v>
      </c>
      <c r="J89" s="100">
        <f>Math!H88</f>
        <v>0</v>
      </c>
      <c r="K89" s="100">
        <f t="shared" si="8"/>
        <v>1</v>
      </c>
      <c r="L89" s="100">
        <f t="shared" si="8"/>
        <v>0</v>
      </c>
      <c r="M89" s="100">
        <f t="shared" si="8"/>
        <v>1</v>
      </c>
      <c r="N89" s="100">
        <f t="shared" si="8"/>
        <v>1</v>
      </c>
      <c r="O89" s="100">
        <f t="shared" si="8"/>
        <v>0</v>
      </c>
      <c r="P89" s="100">
        <f t="shared" si="8"/>
        <v>0</v>
      </c>
      <c r="Q89" s="100">
        <f t="shared" si="9"/>
        <v>3</v>
      </c>
      <c r="R89" s="100" t="str">
        <f t="shared" si="10"/>
        <v/>
      </c>
      <c r="S89" s="100" t="str">
        <f t="shared" si="11"/>
        <v/>
      </c>
      <c r="T89" s="100" t="str">
        <f t="shared" si="12"/>
        <v/>
      </c>
      <c r="U89" s="100" t="str">
        <f t="shared" si="13"/>
        <v>Failed in 3 Subjects</v>
      </c>
      <c r="V89" s="100" t="str">
        <f t="shared" si="14"/>
        <v/>
      </c>
      <c r="W89" s="100" t="str">
        <f>'Detailed Summary'!BK88</f>
        <v/>
      </c>
    </row>
  </sheetData>
  <sheetProtection formatCells="0" formatColumns="0" formatRows="0" insertColumns="0" insertRows="0" insertHyperlinks="0" deleteColumns="0" deleteRows="0"/>
  <autoFilter ref="U2:U89">
    <filterColumn colId="0">
      <filters>
        <filter val="Failed in 4 Subjects"/>
      </filters>
    </filterColumn>
  </autoFilter>
  <mergeCells count="1">
    <mergeCell ref="A1:W1"/>
  </mergeCells>
  <conditionalFormatting sqref="T3:T89 V3:V89">
    <cfRule type="cellIs" dxfId="3" priority="1" operator="between">
      <formula>1</formula>
      <formula>5</formula>
    </cfRule>
  </conditionalFormatting>
  <printOptions gridLines="1"/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89"/>
  <sheetViews>
    <sheetView zoomScaleNormal="100" workbookViewId="0">
      <selection activeCell="AA50" sqref="AA50"/>
    </sheetView>
  </sheetViews>
  <sheetFormatPr defaultRowHeight="14.5" x14ac:dyDescent="0.35"/>
  <cols>
    <col min="1" max="1" width="3.453125" style="107" customWidth="1"/>
    <col min="2" max="2" width="7" customWidth="1"/>
    <col min="3" max="3" width="28.81640625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07" hidden="1" customWidth="1"/>
    <col min="19" max="19" width="8.08984375" style="107" hidden="1" customWidth="1"/>
    <col min="20" max="20" width="10.36328125" style="5" hidden="1" customWidth="1"/>
    <col min="21" max="21" width="20.81640625" bestFit="1" customWidth="1"/>
    <col min="22" max="22" width="5.54296875" bestFit="1" customWidth="1"/>
    <col min="23" max="23" width="16.1796875" style="107" bestFit="1" customWidth="1"/>
  </cols>
  <sheetData>
    <row r="1" spans="1:23" ht="145" customHeight="1" x14ac:dyDescent="0.45">
      <c r="A1" s="158" t="s">
        <v>457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 spans="1:23" ht="18.5" x14ac:dyDescent="0.45">
      <c r="A2" s="96" t="s">
        <v>448</v>
      </c>
      <c r="B2" s="96" t="s">
        <v>0</v>
      </c>
      <c r="C2" s="96" t="s">
        <v>36</v>
      </c>
      <c r="D2" s="13" t="s">
        <v>12</v>
      </c>
      <c r="E2" s="13" t="s">
        <v>13</v>
      </c>
      <c r="F2" s="13" t="s">
        <v>14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93</v>
      </c>
      <c r="L2" s="13" t="s">
        <v>94</v>
      </c>
      <c r="M2" s="13" t="s">
        <v>95</v>
      </c>
      <c r="N2" s="13" t="s">
        <v>98</v>
      </c>
      <c r="O2" s="13" t="s">
        <v>99</v>
      </c>
      <c r="P2" s="13" t="s">
        <v>100</v>
      </c>
      <c r="Q2" s="13" t="s">
        <v>96</v>
      </c>
      <c r="R2" s="13" t="s">
        <v>16</v>
      </c>
      <c r="S2" s="13" t="s">
        <v>18</v>
      </c>
      <c r="T2" s="14" t="s">
        <v>17</v>
      </c>
      <c r="U2" s="97" t="s">
        <v>7</v>
      </c>
      <c r="V2" s="98" t="s">
        <v>9</v>
      </c>
      <c r="W2" s="99" t="s">
        <v>447</v>
      </c>
    </row>
    <row r="3" spans="1:23" hidden="1" x14ac:dyDescent="0.35">
      <c r="A3"/>
      <c r="B3" s="4">
        <f>'Student Basic Info'!A2</f>
        <v>701</v>
      </c>
      <c r="C3" s="4" t="str">
        <f>'Student Basic Info'!C2</f>
        <v>Tanjila Mostafa Tasnim</v>
      </c>
      <c r="D3" s="42">
        <f>Bangla!G2</f>
        <v>3.5</v>
      </c>
      <c r="E3" s="42">
        <f>English!F2</f>
        <v>2</v>
      </c>
      <c r="F3" s="42">
        <f>ICT!H2</f>
        <v>5</v>
      </c>
      <c r="G3" s="42">
        <f>Physics!H2</f>
        <v>3</v>
      </c>
      <c r="H3" s="42">
        <f>Chemistry!H2</f>
        <v>4</v>
      </c>
      <c r="I3" s="42">
        <f>Biology!H2</f>
        <v>3</v>
      </c>
      <c r="J3" s="42">
        <f>Math!H2</f>
        <v>4</v>
      </c>
      <c r="K3" s="30">
        <f t="shared" ref="K3:P34" si="0">(IF(D3="",0,IF(D3=0,0,1)))</f>
        <v>1</v>
      </c>
      <c r="L3" s="30">
        <f t="shared" si="0"/>
        <v>1</v>
      </c>
      <c r="M3" s="30">
        <f t="shared" si="0"/>
        <v>1</v>
      </c>
      <c r="N3" s="30">
        <f t="shared" si="0"/>
        <v>1</v>
      </c>
      <c r="O3" s="30">
        <f t="shared" si="0"/>
        <v>1</v>
      </c>
      <c r="P3" s="30">
        <f t="shared" si="0"/>
        <v>1</v>
      </c>
      <c r="Q3" s="30">
        <f t="shared" ref="Q3:Q66" si="1">SUM(K3:P3)</f>
        <v>6</v>
      </c>
      <c r="R3" s="3">
        <f t="shared" ref="R3:R66" si="2">IF(OR(D3=0,E3=0,F3=0,G3=0,H3=0,I3=0,D3="",E3="",F3="",G3="",H3="",I3=""),"",SUM(D3:I3))</f>
        <v>20.5</v>
      </c>
      <c r="S3" s="3">
        <f t="shared" ref="S3:S66" si="3">IF(OR(D3=0,E3=0,F3=0,G3=0,H3=0,I3=0,D3="",E3="",F3="",G3="",H3="",I3=""),"",SUM(D3:J3))</f>
        <v>24.5</v>
      </c>
      <c r="T3" s="7">
        <f t="shared" ref="T3:T66" si="4">IF(R3="","",IF(((R3/6)&gt;5),5,R3/6))</f>
        <v>3.4166666666666665</v>
      </c>
      <c r="U3" s="3" t="str">
        <f t="shared" ref="U3:U66" si="5">IF(Q3=0,"Failed in 6 Subjects",IF(Q3=1,"Failed in 5 Subjects",IF(Q3=2,"Failed in 4 Subjects",IF(Q3=3,"Failed in 3 Subjects",IF(Q3=4,"Failed in 2 Subjects",IF(Q3=5,"Failed in 1 Subject","Pass"))))))</f>
        <v>Pass</v>
      </c>
      <c r="V3" s="7">
        <f t="shared" ref="V3:V66" si="6">IF(S3="","",IF(((S3/6)&gt;5),5,S3/6))</f>
        <v>4.083333333333333</v>
      </c>
      <c r="W3" s="8">
        <f>'Detailed Summary'!BK2</f>
        <v>3</v>
      </c>
    </row>
    <row r="4" spans="1:23" hidden="1" x14ac:dyDescent="0.35">
      <c r="A4"/>
      <c r="B4" s="4">
        <f>'Student Basic Info'!A3</f>
        <v>702</v>
      </c>
      <c r="C4" s="4" t="str">
        <f>'Student Basic Info'!C3</f>
        <v>Foyez Ahmed</v>
      </c>
      <c r="D4" s="4" t="str">
        <f>Bangla!G3</f>
        <v/>
      </c>
      <c r="E4" s="4" t="str">
        <f>English!F3</f>
        <v/>
      </c>
      <c r="F4" s="4" t="str">
        <f>ICT!H3</f>
        <v/>
      </c>
      <c r="G4" s="42" t="str">
        <f>Physics!H3</f>
        <v/>
      </c>
      <c r="H4" s="42" t="str">
        <f>Chemistry!H3</f>
        <v/>
      </c>
      <c r="I4" s="42" t="str">
        <f>Biology!H3</f>
        <v/>
      </c>
      <c r="J4" s="42" t="str">
        <f>Math!H3</f>
        <v/>
      </c>
      <c r="K4" s="30">
        <f t="shared" si="0"/>
        <v>0</v>
      </c>
      <c r="L4" s="30">
        <f t="shared" si="0"/>
        <v>0</v>
      </c>
      <c r="M4" s="30">
        <f t="shared" si="0"/>
        <v>0</v>
      </c>
      <c r="N4" s="30">
        <f t="shared" si="0"/>
        <v>0</v>
      </c>
      <c r="O4" s="30">
        <f t="shared" si="0"/>
        <v>0</v>
      </c>
      <c r="P4" s="30">
        <f t="shared" si="0"/>
        <v>0</v>
      </c>
      <c r="Q4" s="30">
        <f t="shared" si="1"/>
        <v>0</v>
      </c>
      <c r="R4" s="3" t="str">
        <f t="shared" si="2"/>
        <v/>
      </c>
      <c r="S4" s="3" t="str">
        <f t="shared" si="3"/>
        <v/>
      </c>
      <c r="T4" s="7" t="str">
        <f t="shared" si="4"/>
        <v/>
      </c>
      <c r="U4" s="3" t="str">
        <f t="shared" si="5"/>
        <v>Failed in 6 Subjects</v>
      </c>
      <c r="V4" s="7" t="str">
        <f t="shared" si="6"/>
        <v/>
      </c>
      <c r="W4" s="8" t="str">
        <f>'Detailed Summary'!BK3</f>
        <v/>
      </c>
    </row>
    <row r="5" spans="1:23" hidden="1" x14ac:dyDescent="0.35">
      <c r="A5"/>
      <c r="B5" s="4">
        <f>'Student Basic Info'!A4</f>
        <v>703</v>
      </c>
      <c r="C5" s="4" t="str">
        <f>'Student Basic Info'!C4</f>
        <v>Zannatul Nayem</v>
      </c>
      <c r="D5" s="4" t="str">
        <f>Bangla!G4</f>
        <v/>
      </c>
      <c r="E5" s="4" t="str">
        <f>English!F4</f>
        <v/>
      </c>
      <c r="F5" s="4" t="str">
        <f>ICT!H4</f>
        <v/>
      </c>
      <c r="G5" s="42" t="str">
        <f>Physics!H4</f>
        <v/>
      </c>
      <c r="H5" s="42" t="str">
        <f>Chemistry!H4</f>
        <v/>
      </c>
      <c r="I5" s="42" t="str">
        <f>Biology!H4</f>
        <v/>
      </c>
      <c r="J5" s="42" t="str">
        <f>Math!H4</f>
        <v/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1"/>
        <v>0</v>
      </c>
      <c r="R5" s="3" t="str">
        <f t="shared" si="2"/>
        <v/>
      </c>
      <c r="S5" s="3" t="str">
        <f t="shared" si="3"/>
        <v/>
      </c>
      <c r="T5" s="7" t="str">
        <f t="shared" si="4"/>
        <v/>
      </c>
      <c r="U5" s="3" t="str">
        <f t="shared" si="5"/>
        <v>Failed in 6 Subjects</v>
      </c>
      <c r="V5" s="7" t="str">
        <f t="shared" si="6"/>
        <v/>
      </c>
      <c r="W5" s="8" t="str">
        <f>'Detailed Summary'!BK4</f>
        <v/>
      </c>
    </row>
    <row r="6" spans="1:23" ht="18.5" hidden="1" x14ac:dyDescent="0.45">
      <c r="A6" s="100">
        <v>1</v>
      </c>
      <c r="B6" s="100">
        <f>'Student Basic Info'!A5</f>
        <v>704</v>
      </c>
      <c r="C6" s="100" t="str">
        <f>'Student Basic Info'!C5</f>
        <v>Farmana Nusrat Chowdhury</v>
      </c>
      <c r="D6" s="100">
        <f>Bangla!G5</f>
        <v>3.5</v>
      </c>
      <c r="E6" s="100">
        <f>English!F5</f>
        <v>1</v>
      </c>
      <c r="F6" s="100">
        <f>ICT!H5</f>
        <v>0</v>
      </c>
      <c r="G6" s="100">
        <f>Physics!H5</f>
        <v>0</v>
      </c>
      <c r="H6" s="100">
        <f>Chemistry!H5</f>
        <v>0</v>
      </c>
      <c r="I6" s="100">
        <f>Biology!H5</f>
        <v>0</v>
      </c>
      <c r="J6" s="100">
        <f>Math!H5</f>
        <v>0</v>
      </c>
      <c r="K6" s="100">
        <f t="shared" si="0"/>
        <v>1</v>
      </c>
      <c r="L6" s="100">
        <f t="shared" si="0"/>
        <v>1</v>
      </c>
      <c r="M6" s="100">
        <f t="shared" si="0"/>
        <v>0</v>
      </c>
      <c r="N6" s="100">
        <f t="shared" si="0"/>
        <v>0</v>
      </c>
      <c r="O6" s="100">
        <f t="shared" si="0"/>
        <v>0</v>
      </c>
      <c r="P6" s="100">
        <f t="shared" si="0"/>
        <v>0</v>
      </c>
      <c r="Q6" s="100">
        <f t="shared" si="1"/>
        <v>2</v>
      </c>
      <c r="R6" s="100" t="str">
        <f t="shared" si="2"/>
        <v/>
      </c>
      <c r="S6" s="100" t="str">
        <f t="shared" si="3"/>
        <v/>
      </c>
      <c r="T6" s="100" t="str">
        <f t="shared" si="4"/>
        <v/>
      </c>
      <c r="U6" s="100" t="str">
        <f t="shared" si="5"/>
        <v>Failed in 4 Subjects</v>
      </c>
      <c r="V6" s="100" t="str">
        <f t="shared" si="6"/>
        <v/>
      </c>
      <c r="W6" s="100" t="str">
        <f>'Detailed Summary'!BK5</f>
        <v/>
      </c>
    </row>
    <row r="7" spans="1:23" ht="18.5" hidden="1" x14ac:dyDescent="0.45">
      <c r="A7" s="100"/>
      <c r="B7" s="100">
        <f>'Student Basic Info'!A6</f>
        <v>705</v>
      </c>
      <c r="C7" s="100" t="str">
        <f>'Student Basic Info'!C6</f>
        <v>Zannatul Ferdaus</v>
      </c>
      <c r="D7" s="100" t="str">
        <f>Bangla!G6</f>
        <v/>
      </c>
      <c r="E7" s="100" t="str">
        <f>English!F6</f>
        <v/>
      </c>
      <c r="F7" s="100">
        <f>ICT!H6</f>
        <v>0</v>
      </c>
      <c r="G7" s="100" t="str">
        <f>Physics!H6</f>
        <v/>
      </c>
      <c r="H7" s="100" t="str">
        <f>Chemistry!H6</f>
        <v/>
      </c>
      <c r="I7" s="100" t="str">
        <f>Biology!H6</f>
        <v/>
      </c>
      <c r="J7" s="100" t="str">
        <f>Math!H6</f>
        <v/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1"/>
        <v>0</v>
      </c>
      <c r="R7" s="100" t="str">
        <f t="shared" si="2"/>
        <v/>
      </c>
      <c r="S7" s="100" t="str">
        <f t="shared" si="3"/>
        <v/>
      </c>
      <c r="T7" s="100" t="str">
        <f t="shared" si="4"/>
        <v/>
      </c>
      <c r="U7" s="100" t="str">
        <f t="shared" si="5"/>
        <v>Failed in 6 Subjects</v>
      </c>
      <c r="V7" s="100" t="str">
        <f t="shared" si="6"/>
        <v/>
      </c>
      <c r="W7" s="100" t="str">
        <f>'Detailed Summary'!BK6</f>
        <v/>
      </c>
    </row>
    <row r="8" spans="1:23" ht="18.5" hidden="1" x14ac:dyDescent="0.45">
      <c r="A8" s="100"/>
      <c r="B8" s="100">
        <f>'Student Basic Info'!A7</f>
        <v>706</v>
      </c>
      <c r="C8" s="100" t="str">
        <f>'Student Basic Info'!C7</f>
        <v>Abdul Alim Shawon</v>
      </c>
      <c r="D8" s="100" t="str">
        <f>Bangla!G7</f>
        <v/>
      </c>
      <c r="E8" s="100" t="str">
        <f>English!F7</f>
        <v/>
      </c>
      <c r="F8" s="100" t="str">
        <f>ICT!H7</f>
        <v/>
      </c>
      <c r="G8" s="100" t="str">
        <f>Physics!H7</f>
        <v/>
      </c>
      <c r="H8" s="100" t="str">
        <f>Chemistry!H7</f>
        <v/>
      </c>
      <c r="I8" s="100" t="str">
        <f>Biology!H7</f>
        <v/>
      </c>
      <c r="J8" s="100" t="str">
        <f>Math!H7</f>
        <v/>
      </c>
      <c r="K8" s="100">
        <f t="shared" si="0"/>
        <v>0</v>
      </c>
      <c r="L8" s="100">
        <f t="shared" si="0"/>
        <v>0</v>
      </c>
      <c r="M8" s="100">
        <f t="shared" si="0"/>
        <v>0</v>
      </c>
      <c r="N8" s="100">
        <f t="shared" si="0"/>
        <v>0</v>
      </c>
      <c r="O8" s="100">
        <f t="shared" si="0"/>
        <v>0</v>
      </c>
      <c r="P8" s="100">
        <f t="shared" si="0"/>
        <v>0</v>
      </c>
      <c r="Q8" s="100">
        <f t="shared" si="1"/>
        <v>0</v>
      </c>
      <c r="R8" s="100" t="str">
        <f t="shared" si="2"/>
        <v/>
      </c>
      <c r="S8" s="100" t="str">
        <f t="shared" si="3"/>
        <v/>
      </c>
      <c r="T8" s="100" t="str">
        <f t="shared" si="4"/>
        <v/>
      </c>
      <c r="U8" s="100" t="str">
        <f t="shared" si="5"/>
        <v>Failed in 6 Subjects</v>
      </c>
      <c r="V8" s="100" t="str">
        <f t="shared" si="6"/>
        <v/>
      </c>
      <c r="W8" s="100" t="str">
        <f>'Detailed Summary'!BK7</f>
        <v/>
      </c>
    </row>
    <row r="9" spans="1:23" ht="18.5" hidden="1" x14ac:dyDescent="0.45">
      <c r="A9" s="100"/>
      <c r="B9" s="100">
        <f>'Student Basic Info'!A8</f>
        <v>707</v>
      </c>
      <c r="C9" s="100" t="str">
        <f>'Student Basic Info'!C8</f>
        <v>Sharmin Aktar</v>
      </c>
      <c r="D9" s="100" t="str">
        <f>Bangla!G8</f>
        <v/>
      </c>
      <c r="E9" s="100" t="str">
        <f>English!F8</f>
        <v/>
      </c>
      <c r="F9" s="100" t="str">
        <f>ICT!H8</f>
        <v/>
      </c>
      <c r="G9" s="100" t="str">
        <f>Physics!H8</f>
        <v/>
      </c>
      <c r="H9" s="100" t="str">
        <f>Chemistry!H8</f>
        <v/>
      </c>
      <c r="I9" s="100" t="str">
        <f>Biology!H8</f>
        <v/>
      </c>
      <c r="J9" s="100" t="str">
        <f>Math!H8</f>
        <v/>
      </c>
      <c r="K9" s="100">
        <f t="shared" si="0"/>
        <v>0</v>
      </c>
      <c r="L9" s="100">
        <f t="shared" si="0"/>
        <v>0</v>
      </c>
      <c r="M9" s="100">
        <f t="shared" si="0"/>
        <v>0</v>
      </c>
      <c r="N9" s="100">
        <f t="shared" si="0"/>
        <v>0</v>
      </c>
      <c r="O9" s="100">
        <f t="shared" si="0"/>
        <v>0</v>
      </c>
      <c r="P9" s="100">
        <f t="shared" si="0"/>
        <v>0</v>
      </c>
      <c r="Q9" s="100">
        <f t="shared" si="1"/>
        <v>0</v>
      </c>
      <c r="R9" s="100" t="str">
        <f t="shared" si="2"/>
        <v/>
      </c>
      <c r="S9" s="100" t="str">
        <f t="shared" si="3"/>
        <v/>
      </c>
      <c r="T9" s="100" t="str">
        <f t="shared" si="4"/>
        <v/>
      </c>
      <c r="U9" s="100" t="str">
        <f t="shared" si="5"/>
        <v>Failed in 6 Subjects</v>
      </c>
      <c r="V9" s="100" t="str">
        <f t="shared" si="6"/>
        <v/>
      </c>
      <c r="W9" s="100" t="str">
        <f>'Detailed Summary'!BK8</f>
        <v/>
      </c>
    </row>
    <row r="10" spans="1:23" ht="18.5" hidden="1" x14ac:dyDescent="0.45">
      <c r="A10" s="100">
        <v>1</v>
      </c>
      <c r="B10" s="100">
        <f>'Student Basic Info'!A9</f>
        <v>708</v>
      </c>
      <c r="C10" s="100" t="str">
        <f>'Student Basic Info'!C9</f>
        <v>Nafisa Aktar Prova</v>
      </c>
      <c r="D10" s="100">
        <f>Bangla!G9</f>
        <v>3.5</v>
      </c>
      <c r="E10" s="100">
        <f>English!F9</f>
        <v>1</v>
      </c>
      <c r="F10" s="100">
        <v>3</v>
      </c>
      <c r="G10" s="100">
        <f>Physics!H9</f>
        <v>0</v>
      </c>
      <c r="H10" s="100">
        <f>Chemistry!H9</f>
        <v>0</v>
      </c>
      <c r="I10" s="100">
        <f>Biology!H9</f>
        <v>0</v>
      </c>
      <c r="J10" s="100">
        <f>Math!H9</f>
        <v>0</v>
      </c>
      <c r="K10" s="100">
        <f t="shared" si="0"/>
        <v>1</v>
      </c>
      <c r="L10" s="100">
        <f t="shared" si="0"/>
        <v>1</v>
      </c>
      <c r="M10" s="100">
        <f t="shared" si="0"/>
        <v>1</v>
      </c>
      <c r="N10" s="100">
        <f t="shared" si="0"/>
        <v>0</v>
      </c>
      <c r="O10" s="100">
        <f t="shared" si="0"/>
        <v>0</v>
      </c>
      <c r="P10" s="100">
        <f t="shared" si="0"/>
        <v>0</v>
      </c>
      <c r="Q10" s="100">
        <f t="shared" si="1"/>
        <v>3</v>
      </c>
      <c r="R10" s="100" t="str">
        <f t="shared" si="2"/>
        <v/>
      </c>
      <c r="S10" s="100" t="str">
        <f t="shared" si="3"/>
        <v/>
      </c>
      <c r="T10" s="100" t="str">
        <f t="shared" si="4"/>
        <v/>
      </c>
      <c r="U10" s="100" t="str">
        <f t="shared" si="5"/>
        <v>Failed in 3 Subjects</v>
      </c>
      <c r="V10" s="100" t="str">
        <f t="shared" si="6"/>
        <v/>
      </c>
      <c r="W10" s="100" t="str">
        <f>'Detailed Summary'!BK9</f>
        <v/>
      </c>
    </row>
    <row r="11" spans="1:23" ht="18.5" hidden="1" x14ac:dyDescent="0.45">
      <c r="A11" s="100"/>
      <c r="B11" s="100">
        <f>'Student Basic Info'!A10</f>
        <v>709</v>
      </c>
      <c r="C11" s="100" t="str">
        <f>'Student Basic Info'!C10</f>
        <v>Nafisa Anjum Prena</v>
      </c>
      <c r="D11" s="100">
        <f>Bangla!G10</f>
        <v>3.5</v>
      </c>
      <c r="E11" s="100">
        <f>English!F10</f>
        <v>1</v>
      </c>
      <c r="F11" s="100">
        <f>ICT!H10</f>
        <v>0</v>
      </c>
      <c r="G11" s="100">
        <f>Physics!H10</f>
        <v>2</v>
      </c>
      <c r="H11" s="100">
        <f>Chemistry!H10</f>
        <v>0</v>
      </c>
      <c r="I11" s="100">
        <f>Biology!H10</f>
        <v>0</v>
      </c>
      <c r="J11" s="100">
        <f>Math!H10</f>
        <v>0</v>
      </c>
      <c r="K11" s="100">
        <f t="shared" si="0"/>
        <v>1</v>
      </c>
      <c r="L11" s="100">
        <f t="shared" si="0"/>
        <v>1</v>
      </c>
      <c r="M11" s="100">
        <f t="shared" si="0"/>
        <v>0</v>
      </c>
      <c r="N11" s="100">
        <f t="shared" si="0"/>
        <v>1</v>
      </c>
      <c r="O11" s="100">
        <f t="shared" si="0"/>
        <v>0</v>
      </c>
      <c r="P11" s="100">
        <f t="shared" si="0"/>
        <v>0</v>
      </c>
      <c r="Q11" s="100">
        <f t="shared" si="1"/>
        <v>3</v>
      </c>
      <c r="R11" s="100" t="str">
        <f t="shared" si="2"/>
        <v/>
      </c>
      <c r="S11" s="100" t="str">
        <f t="shared" si="3"/>
        <v/>
      </c>
      <c r="T11" s="100" t="str">
        <f t="shared" si="4"/>
        <v/>
      </c>
      <c r="U11" s="100" t="str">
        <f t="shared" si="5"/>
        <v>Failed in 3 Subjects</v>
      </c>
      <c r="V11" s="100" t="str">
        <f t="shared" si="6"/>
        <v/>
      </c>
      <c r="W11" s="100" t="str">
        <f>'Detailed Summary'!BK10</f>
        <v/>
      </c>
    </row>
    <row r="12" spans="1:23" ht="18.5" hidden="1" x14ac:dyDescent="0.45">
      <c r="A12" s="100"/>
      <c r="B12" s="100">
        <f>'Student Basic Info'!A11</f>
        <v>710</v>
      </c>
      <c r="C12" s="100" t="str">
        <f>'Student Basic Info'!C11</f>
        <v>Umme Tabassum Maisha</v>
      </c>
      <c r="D12" s="100">
        <f>Bangla!G11</f>
        <v>3</v>
      </c>
      <c r="E12" s="100">
        <f>English!F11</f>
        <v>0</v>
      </c>
      <c r="F12" s="100">
        <f>ICT!H11</f>
        <v>3</v>
      </c>
      <c r="G12" s="100">
        <f>Physics!H11</f>
        <v>2</v>
      </c>
      <c r="H12" s="100">
        <f>Chemistry!H11</f>
        <v>0</v>
      </c>
      <c r="I12" s="100">
        <f>Biology!H11</f>
        <v>0</v>
      </c>
      <c r="J12" s="100">
        <f>Math!H11</f>
        <v>0</v>
      </c>
      <c r="K12" s="100">
        <f t="shared" si="0"/>
        <v>1</v>
      </c>
      <c r="L12" s="100">
        <f t="shared" si="0"/>
        <v>0</v>
      </c>
      <c r="M12" s="100">
        <f t="shared" si="0"/>
        <v>1</v>
      </c>
      <c r="N12" s="100">
        <f t="shared" si="0"/>
        <v>1</v>
      </c>
      <c r="O12" s="100">
        <f t="shared" si="0"/>
        <v>0</v>
      </c>
      <c r="P12" s="100">
        <f t="shared" si="0"/>
        <v>0</v>
      </c>
      <c r="Q12" s="100">
        <f t="shared" si="1"/>
        <v>3</v>
      </c>
      <c r="R12" s="100" t="str">
        <f t="shared" si="2"/>
        <v/>
      </c>
      <c r="S12" s="100" t="str">
        <f t="shared" si="3"/>
        <v/>
      </c>
      <c r="T12" s="100" t="str">
        <f t="shared" si="4"/>
        <v/>
      </c>
      <c r="U12" s="100" t="str">
        <f t="shared" si="5"/>
        <v>Failed in 3 Subjects</v>
      </c>
      <c r="V12" s="100" t="str">
        <f t="shared" si="6"/>
        <v/>
      </c>
      <c r="W12" s="100" t="str">
        <f>'Detailed Summary'!BK11</f>
        <v/>
      </c>
    </row>
    <row r="13" spans="1:23" ht="18.5" hidden="1" x14ac:dyDescent="0.45">
      <c r="A13" s="100"/>
      <c r="B13" s="100">
        <f>'Student Basic Info'!A12</f>
        <v>711</v>
      </c>
      <c r="C13" s="100" t="str">
        <f>'Student Basic Info'!C12</f>
        <v>Rakhi Ahasan</v>
      </c>
      <c r="D13" s="100" t="str">
        <f>Bangla!G12</f>
        <v/>
      </c>
      <c r="E13" s="100" t="str">
        <f>English!F12</f>
        <v/>
      </c>
      <c r="F13" s="100" t="str">
        <f>ICT!H12</f>
        <v/>
      </c>
      <c r="G13" s="100" t="str">
        <f>Physics!H12</f>
        <v/>
      </c>
      <c r="H13" s="100" t="str">
        <f>Chemistry!H12</f>
        <v/>
      </c>
      <c r="I13" s="100" t="str">
        <f>Biology!H12</f>
        <v/>
      </c>
      <c r="J13" s="100" t="str">
        <f>Math!H12</f>
        <v/>
      </c>
      <c r="K13" s="100">
        <f t="shared" si="0"/>
        <v>0</v>
      </c>
      <c r="L13" s="100">
        <f t="shared" si="0"/>
        <v>0</v>
      </c>
      <c r="M13" s="100">
        <f t="shared" si="0"/>
        <v>0</v>
      </c>
      <c r="N13" s="100">
        <f t="shared" si="0"/>
        <v>0</v>
      </c>
      <c r="O13" s="100">
        <f t="shared" si="0"/>
        <v>0</v>
      </c>
      <c r="P13" s="100">
        <f t="shared" si="0"/>
        <v>0</v>
      </c>
      <c r="Q13" s="100">
        <f t="shared" si="1"/>
        <v>0</v>
      </c>
      <c r="R13" s="100" t="str">
        <f t="shared" si="2"/>
        <v/>
      </c>
      <c r="S13" s="100" t="str">
        <f t="shared" si="3"/>
        <v/>
      </c>
      <c r="T13" s="100" t="str">
        <f t="shared" si="4"/>
        <v/>
      </c>
      <c r="U13" s="100" t="str">
        <f t="shared" si="5"/>
        <v>Failed in 6 Subjects</v>
      </c>
      <c r="V13" s="100" t="str">
        <f t="shared" si="6"/>
        <v/>
      </c>
      <c r="W13" s="100" t="str">
        <f>'Detailed Summary'!BK12</f>
        <v/>
      </c>
    </row>
    <row r="14" spans="1:23" ht="18.5" hidden="1" x14ac:dyDescent="0.45">
      <c r="A14" s="100">
        <v>2</v>
      </c>
      <c r="B14" s="100">
        <f>'Student Basic Info'!A13</f>
        <v>712</v>
      </c>
      <c r="C14" s="100" t="str">
        <f>'Student Basic Info'!C13</f>
        <v>Nadiyatul Nayem</v>
      </c>
      <c r="D14" s="100">
        <f>Bangla!G13</f>
        <v>3</v>
      </c>
      <c r="E14" s="100">
        <f>English!F13</f>
        <v>1</v>
      </c>
      <c r="F14" s="100">
        <f>ICT!H13</f>
        <v>2</v>
      </c>
      <c r="G14" s="100">
        <f>Physics!H13</f>
        <v>3</v>
      </c>
      <c r="H14" s="100">
        <f>Chemistry!H13</f>
        <v>2</v>
      </c>
      <c r="I14" s="100">
        <f>Biology!H13</f>
        <v>0</v>
      </c>
      <c r="J14" s="100">
        <f>Math!H13</f>
        <v>0</v>
      </c>
      <c r="K14" s="100">
        <f t="shared" si="0"/>
        <v>1</v>
      </c>
      <c r="L14" s="100">
        <f t="shared" si="0"/>
        <v>1</v>
      </c>
      <c r="M14" s="100">
        <f t="shared" si="0"/>
        <v>1</v>
      </c>
      <c r="N14" s="100">
        <f t="shared" si="0"/>
        <v>1</v>
      </c>
      <c r="O14" s="100">
        <f t="shared" si="0"/>
        <v>1</v>
      </c>
      <c r="P14" s="100">
        <f t="shared" si="0"/>
        <v>0</v>
      </c>
      <c r="Q14" s="100">
        <f t="shared" si="1"/>
        <v>5</v>
      </c>
      <c r="R14" s="100" t="str">
        <f t="shared" si="2"/>
        <v/>
      </c>
      <c r="S14" s="100" t="str">
        <f t="shared" si="3"/>
        <v/>
      </c>
      <c r="T14" s="100" t="str">
        <f t="shared" si="4"/>
        <v/>
      </c>
      <c r="U14" s="100" t="str">
        <f t="shared" si="5"/>
        <v>Failed in 1 Subject</v>
      </c>
      <c r="V14" s="100" t="str">
        <f t="shared" si="6"/>
        <v/>
      </c>
      <c r="W14" s="100" t="str">
        <f>'Detailed Summary'!BK13</f>
        <v/>
      </c>
    </row>
    <row r="15" spans="1:23" ht="18.5" hidden="1" x14ac:dyDescent="0.45">
      <c r="A15" s="100"/>
      <c r="B15" s="100">
        <f>'Student Basic Info'!A14</f>
        <v>713</v>
      </c>
      <c r="C15" s="100" t="str">
        <f>'Student Basic Info'!C14</f>
        <v>Zannatul Ferdaus Fariha</v>
      </c>
      <c r="D15" s="100">
        <f>Bangla!G14</f>
        <v>3</v>
      </c>
      <c r="E15" s="100">
        <f>English!F14</f>
        <v>2</v>
      </c>
      <c r="F15" s="100">
        <f>ICT!H14</f>
        <v>3.5</v>
      </c>
      <c r="G15" s="100">
        <f>Physics!H14</f>
        <v>3.5</v>
      </c>
      <c r="H15" s="100">
        <f>Chemistry!H14</f>
        <v>3.5</v>
      </c>
      <c r="I15" s="100">
        <f>Biology!H14</f>
        <v>2</v>
      </c>
      <c r="J15" s="100">
        <f>Math!H14</f>
        <v>0</v>
      </c>
      <c r="K15" s="100">
        <f t="shared" si="0"/>
        <v>1</v>
      </c>
      <c r="L15" s="100">
        <f t="shared" si="0"/>
        <v>1</v>
      </c>
      <c r="M15" s="100">
        <f t="shared" si="0"/>
        <v>1</v>
      </c>
      <c r="N15" s="100">
        <f t="shared" si="0"/>
        <v>1</v>
      </c>
      <c r="O15" s="100">
        <f t="shared" si="0"/>
        <v>1</v>
      </c>
      <c r="P15" s="100">
        <f t="shared" si="0"/>
        <v>1</v>
      </c>
      <c r="Q15" s="100">
        <f t="shared" si="1"/>
        <v>6</v>
      </c>
      <c r="R15" s="100">
        <f t="shared" si="2"/>
        <v>17.5</v>
      </c>
      <c r="S15" s="100">
        <f t="shared" si="3"/>
        <v>17.5</v>
      </c>
      <c r="T15" s="100">
        <f t="shared" si="4"/>
        <v>2.9166666666666665</v>
      </c>
      <c r="U15" s="100" t="str">
        <f t="shared" si="5"/>
        <v>Pass</v>
      </c>
      <c r="V15" s="100">
        <f t="shared" si="6"/>
        <v>2.9166666666666665</v>
      </c>
      <c r="W15" s="100">
        <f>'Detailed Summary'!BK14</f>
        <v>8</v>
      </c>
    </row>
    <row r="16" spans="1:23" ht="18.5" hidden="1" x14ac:dyDescent="0.45">
      <c r="A16" s="100"/>
      <c r="B16" s="100">
        <f>'Student Basic Info'!A15</f>
        <v>714</v>
      </c>
      <c r="C16" s="100" t="str">
        <f>'Student Basic Info'!C15</f>
        <v>Khadijatul Kubra</v>
      </c>
      <c r="D16" s="100">
        <f>Bangla!G15</f>
        <v>3.5</v>
      </c>
      <c r="E16" s="100">
        <f>English!F15</f>
        <v>2</v>
      </c>
      <c r="F16" s="100">
        <f>ICT!H15</f>
        <v>4</v>
      </c>
      <c r="G16" s="100">
        <f>Physics!H15</f>
        <v>3</v>
      </c>
      <c r="H16" s="100">
        <f>Chemistry!H15</f>
        <v>4</v>
      </c>
      <c r="I16" s="100">
        <f>Biology!H15</f>
        <v>3</v>
      </c>
      <c r="J16" s="100">
        <f>Math!H15</f>
        <v>0</v>
      </c>
      <c r="K16" s="100">
        <f t="shared" si="0"/>
        <v>1</v>
      </c>
      <c r="L16" s="100">
        <f t="shared" si="0"/>
        <v>1</v>
      </c>
      <c r="M16" s="100">
        <f t="shared" si="0"/>
        <v>1</v>
      </c>
      <c r="N16" s="100">
        <f t="shared" si="0"/>
        <v>1</v>
      </c>
      <c r="O16" s="100">
        <f t="shared" si="0"/>
        <v>1</v>
      </c>
      <c r="P16" s="100">
        <f t="shared" si="0"/>
        <v>1</v>
      </c>
      <c r="Q16" s="100">
        <f t="shared" si="1"/>
        <v>6</v>
      </c>
      <c r="R16" s="100">
        <f t="shared" si="2"/>
        <v>19.5</v>
      </c>
      <c r="S16" s="100">
        <f t="shared" si="3"/>
        <v>19.5</v>
      </c>
      <c r="T16" s="100">
        <f t="shared" si="4"/>
        <v>3.25</v>
      </c>
      <c r="U16" s="100" t="str">
        <f t="shared" si="5"/>
        <v>Pass</v>
      </c>
      <c r="V16" s="100">
        <f t="shared" si="6"/>
        <v>3.25</v>
      </c>
      <c r="W16" s="100">
        <f>'Detailed Summary'!BK15</f>
        <v>6</v>
      </c>
    </row>
    <row r="17" spans="1:23" ht="18.5" hidden="1" x14ac:dyDescent="0.45">
      <c r="A17" s="100"/>
      <c r="B17" s="100">
        <f>'Student Basic Info'!A16</f>
        <v>715</v>
      </c>
      <c r="C17" s="100" t="str">
        <f>'Student Basic Info'!C16</f>
        <v>Tanjila Islam</v>
      </c>
      <c r="D17" s="100">
        <f>Bangla!G16</f>
        <v>2</v>
      </c>
      <c r="E17" s="100">
        <f>English!F16</f>
        <v>0</v>
      </c>
      <c r="F17" s="100">
        <f>ICT!H16</f>
        <v>0</v>
      </c>
      <c r="G17" s="100">
        <f>Physics!H16</f>
        <v>3</v>
      </c>
      <c r="H17" s="100">
        <f>Chemistry!H16</f>
        <v>3</v>
      </c>
      <c r="I17" s="100">
        <f>Biology!H16</f>
        <v>0</v>
      </c>
      <c r="J17" s="100">
        <f>Math!H16</f>
        <v>0</v>
      </c>
      <c r="K17" s="100">
        <f t="shared" si="0"/>
        <v>1</v>
      </c>
      <c r="L17" s="100">
        <f t="shared" si="0"/>
        <v>0</v>
      </c>
      <c r="M17" s="100">
        <f t="shared" si="0"/>
        <v>0</v>
      </c>
      <c r="N17" s="100">
        <f t="shared" si="0"/>
        <v>1</v>
      </c>
      <c r="O17" s="100">
        <f t="shared" si="0"/>
        <v>1</v>
      </c>
      <c r="P17" s="100">
        <f t="shared" si="0"/>
        <v>0</v>
      </c>
      <c r="Q17" s="100">
        <f t="shared" si="1"/>
        <v>3</v>
      </c>
      <c r="R17" s="100" t="str">
        <f t="shared" si="2"/>
        <v/>
      </c>
      <c r="S17" s="100" t="str">
        <f t="shared" si="3"/>
        <v/>
      </c>
      <c r="T17" s="100" t="str">
        <f t="shared" si="4"/>
        <v/>
      </c>
      <c r="U17" s="100" t="str">
        <f t="shared" si="5"/>
        <v>Failed in 3 Subjects</v>
      </c>
      <c r="V17" s="100" t="str">
        <f t="shared" si="6"/>
        <v/>
      </c>
      <c r="W17" s="100" t="str">
        <f>'Detailed Summary'!BK16</f>
        <v/>
      </c>
    </row>
    <row r="18" spans="1:23" ht="18.5" hidden="1" x14ac:dyDescent="0.45">
      <c r="A18" s="100"/>
      <c r="B18" s="100">
        <f>'Student Basic Info'!A17</f>
        <v>716</v>
      </c>
      <c r="C18" s="100" t="str">
        <f>'Student Basic Info'!C17</f>
        <v>Nazmun Nahar Rikha</v>
      </c>
      <c r="D18" s="100">
        <f>Bangla!G17</f>
        <v>2</v>
      </c>
      <c r="E18" s="100">
        <f>English!F17</f>
        <v>0</v>
      </c>
      <c r="F18" s="100">
        <f>ICT!H17</f>
        <v>0</v>
      </c>
      <c r="G18" s="100">
        <f>Physics!H17</f>
        <v>3</v>
      </c>
      <c r="H18" s="100">
        <f>Chemistry!H17</f>
        <v>3</v>
      </c>
      <c r="I18" s="100">
        <f>Biology!H17</f>
        <v>0</v>
      </c>
      <c r="J18" s="100">
        <f>Math!H17</f>
        <v>0</v>
      </c>
      <c r="K18" s="100">
        <f t="shared" si="0"/>
        <v>1</v>
      </c>
      <c r="L18" s="100">
        <f t="shared" si="0"/>
        <v>0</v>
      </c>
      <c r="M18" s="100">
        <f t="shared" si="0"/>
        <v>0</v>
      </c>
      <c r="N18" s="100">
        <f t="shared" si="0"/>
        <v>1</v>
      </c>
      <c r="O18" s="100">
        <f t="shared" si="0"/>
        <v>1</v>
      </c>
      <c r="P18" s="100">
        <f t="shared" si="0"/>
        <v>0</v>
      </c>
      <c r="Q18" s="100">
        <f t="shared" si="1"/>
        <v>3</v>
      </c>
      <c r="R18" s="100" t="str">
        <f t="shared" si="2"/>
        <v/>
      </c>
      <c r="S18" s="100" t="str">
        <f t="shared" si="3"/>
        <v/>
      </c>
      <c r="T18" s="100" t="str">
        <f t="shared" si="4"/>
        <v/>
      </c>
      <c r="U18" s="100" t="str">
        <f t="shared" si="5"/>
        <v>Failed in 3 Subjects</v>
      </c>
      <c r="V18" s="100" t="str">
        <f t="shared" si="6"/>
        <v/>
      </c>
      <c r="W18" s="100" t="str">
        <f>'Detailed Summary'!BK17</f>
        <v/>
      </c>
    </row>
    <row r="19" spans="1:23" ht="18.5" hidden="1" x14ac:dyDescent="0.45">
      <c r="A19" s="100"/>
      <c r="B19" s="100">
        <f>'Student Basic Info'!A18</f>
        <v>717</v>
      </c>
      <c r="C19" s="100" t="str">
        <f>'Student Basic Info'!C18</f>
        <v xml:space="preserve">Umme Rojina </v>
      </c>
      <c r="D19" s="100">
        <f>Bangla!G18</f>
        <v>3</v>
      </c>
      <c r="E19" s="100">
        <f>English!F18</f>
        <v>0</v>
      </c>
      <c r="F19" s="100">
        <f>ICT!H18</f>
        <v>0</v>
      </c>
      <c r="G19" s="100">
        <f>Physics!H18</f>
        <v>3.5</v>
      </c>
      <c r="H19" s="100">
        <f>Chemistry!H18</f>
        <v>2</v>
      </c>
      <c r="I19" s="100">
        <f>Biology!H18</f>
        <v>0</v>
      </c>
      <c r="J19" s="100" t="str">
        <f>Math!H18</f>
        <v/>
      </c>
      <c r="K19" s="100">
        <f t="shared" si="0"/>
        <v>1</v>
      </c>
      <c r="L19" s="100">
        <f t="shared" si="0"/>
        <v>0</v>
      </c>
      <c r="M19" s="100">
        <f t="shared" si="0"/>
        <v>0</v>
      </c>
      <c r="N19" s="100">
        <f t="shared" si="0"/>
        <v>1</v>
      </c>
      <c r="O19" s="100">
        <f t="shared" si="0"/>
        <v>1</v>
      </c>
      <c r="P19" s="100">
        <f t="shared" si="0"/>
        <v>0</v>
      </c>
      <c r="Q19" s="100">
        <f t="shared" si="1"/>
        <v>3</v>
      </c>
      <c r="R19" s="100" t="str">
        <f t="shared" si="2"/>
        <v/>
      </c>
      <c r="S19" s="100" t="str">
        <f t="shared" si="3"/>
        <v/>
      </c>
      <c r="T19" s="100" t="str">
        <f t="shared" si="4"/>
        <v/>
      </c>
      <c r="U19" s="100" t="str">
        <f t="shared" si="5"/>
        <v>Failed in 3 Subjects</v>
      </c>
      <c r="V19" s="100" t="str">
        <f t="shared" si="6"/>
        <v/>
      </c>
      <c r="W19" s="100" t="str">
        <f>'Detailed Summary'!BK18</f>
        <v/>
      </c>
    </row>
    <row r="20" spans="1:23" ht="18.5" hidden="1" x14ac:dyDescent="0.45">
      <c r="A20" s="100"/>
      <c r="B20" s="100">
        <f>'Student Basic Info'!A19</f>
        <v>718</v>
      </c>
      <c r="C20" s="100" t="str">
        <f>'Student Basic Info'!C19</f>
        <v>Zannatul Ferdaus</v>
      </c>
      <c r="D20" s="100" t="str">
        <f>Bangla!G19</f>
        <v/>
      </c>
      <c r="E20" s="100" t="str">
        <f>English!F19</f>
        <v/>
      </c>
      <c r="F20" s="100" t="str">
        <f>ICT!H19</f>
        <v/>
      </c>
      <c r="G20" s="100" t="str">
        <f>Physics!H19</f>
        <v/>
      </c>
      <c r="H20" s="100" t="str">
        <f>Chemistry!H19</f>
        <v/>
      </c>
      <c r="I20" s="100" t="str">
        <f>Biology!H19</f>
        <v/>
      </c>
      <c r="J20" s="100" t="str">
        <f>Math!H19</f>
        <v/>
      </c>
      <c r="K20" s="100">
        <f t="shared" si="0"/>
        <v>0</v>
      </c>
      <c r="L20" s="100">
        <f t="shared" si="0"/>
        <v>0</v>
      </c>
      <c r="M20" s="100">
        <f t="shared" si="0"/>
        <v>0</v>
      </c>
      <c r="N20" s="100">
        <f t="shared" si="0"/>
        <v>0</v>
      </c>
      <c r="O20" s="100">
        <f t="shared" si="0"/>
        <v>0</v>
      </c>
      <c r="P20" s="100">
        <f t="shared" si="0"/>
        <v>0</v>
      </c>
      <c r="Q20" s="100">
        <f t="shared" si="1"/>
        <v>0</v>
      </c>
      <c r="R20" s="100" t="str">
        <f t="shared" si="2"/>
        <v/>
      </c>
      <c r="S20" s="100" t="str">
        <f t="shared" si="3"/>
        <v/>
      </c>
      <c r="T20" s="100" t="str">
        <f t="shared" si="4"/>
        <v/>
      </c>
      <c r="U20" s="100" t="str">
        <f t="shared" si="5"/>
        <v>Failed in 6 Subjects</v>
      </c>
      <c r="V20" s="100" t="str">
        <f t="shared" si="6"/>
        <v/>
      </c>
      <c r="W20" s="100" t="str">
        <f>'Detailed Summary'!BK19</f>
        <v/>
      </c>
    </row>
    <row r="21" spans="1:23" ht="18.5" hidden="1" x14ac:dyDescent="0.45">
      <c r="A21" s="100">
        <v>3</v>
      </c>
      <c r="B21" s="100">
        <f>'Student Basic Info'!A20</f>
        <v>719</v>
      </c>
      <c r="C21" s="100" t="str">
        <f>'Student Basic Info'!C20</f>
        <v>Shazeda Amin Shuchi</v>
      </c>
      <c r="D21" s="100">
        <f>Bangla!G20</f>
        <v>3</v>
      </c>
      <c r="E21" s="100">
        <f>English!F20</f>
        <v>0</v>
      </c>
      <c r="F21" s="100">
        <f>ICT!H20</f>
        <v>0</v>
      </c>
      <c r="G21" s="100">
        <f>Physics!H20</f>
        <v>3.5</v>
      </c>
      <c r="H21" s="100">
        <f>Chemistry!H20</f>
        <v>3</v>
      </c>
      <c r="I21" s="100">
        <f>Biology!H20</f>
        <v>0</v>
      </c>
      <c r="J21" s="100">
        <f>Math!H20</f>
        <v>0</v>
      </c>
      <c r="K21" s="100">
        <f t="shared" si="0"/>
        <v>1</v>
      </c>
      <c r="L21" s="100">
        <f t="shared" si="0"/>
        <v>0</v>
      </c>
      <c r="M21" s="100">
        <f t="shared" si="0"/>
        <v>0</v>
      </c>
      <c r="N21" s="100">
        <f t="shared" si="0"/>
        <v>1</v>
      </c>
      <c r="O21" s="100">
        <f t="shared" si="0"/>
        <v>1</v>
      </c>
      <c r="P21" s="100">
        <f t="shared" si="0"/>
        <v>0</v>
      </c>
      <c r="Q21" s="100">
        <f t="shared" si="1"/>
        <v>3</v>
      </c>
      <c r="R21" s="100" t="str">
        <f t="shared" si="2"/>
        <v/>
      </c>
      <c r="S21" s="100" t="str">
        <f t="shared" si="3"/>
        <v/>
      </c>
      <c r="T21" s="100" t="str">
        <f t="shared" si="4"/>
        <v/>
      </c>
      <c r="U21" s="100" t="str">
        <f t="shared" si="5"/>
        <v>Failed in 3 Subjects</v>
      </c>
      <c r="V21" s="100" t="str">
        <f t="shared" si="6"/>
        <v/>
      </c>
      <c r="W21" s="100" t="str">
        <f>'Detailed Summary'!BK20</f>
        <v/>
      </c>
    </row>
    <row r="22" spans="1:23" ht="18.5" x14ac:dyDescent="0.45">
      <c r="A22" s="100"/>
      <c r="B22" s="100">
        <f>'Student Basic Info'!A21</f>
        <v>720</v>
      </c>
      <c r="C22" s="100" t="str">
        <f>'Student Basic Info'!C21</f>
        <v>Farzana Aktar</v>
      </c>
      <c r="D22" s="100">
        <f>Bangla!G21</f>
        <v>3</v>
      </c>
      <c r="E22" s="100">
        <f>English!F21</f>
        <v>0</v>
      </c>
      <c r="F22" s="100">
        <f>ICT!H21</f>
        <v>0</v>
      </c>
      <c r="G22" s="100">
        <f>Physics!H21</f>
        <v>3</v>
      </c>
      <c r="H22" s="100">
        <f>Chemistry!H21</f>
        <v>0</v>
      </c>
      <c r="I22" s="100">
        <f>Biology!H21</f>
        <v>0</v>
      </c>
      <c r="J22" s="100">
        <f>Math!H21</f>
        <v>0</v>
      </c>
      <c r="K22" s="100">
        <f t="shared" si="0"/>
        <v>1</v>
      </c>
      <c r="L22" s="100">
        <f t="shared" si="0"/>
        <v>0</v>
      </c>
      <c r="M22" s="100">
        <f t="shared" si="0"/>
        <v>0</v>
      </c>
      <c r="N22" s="100">
        <f t="shared" si="0"/>
        <v>1</v>
      </c>
      <c r="O22" s="100">
        <f t="shared" si="0"/>
        <v>0</v>
      </c>
      <c r="P22" s="100">
        <f t="shared" si="0"/>
        <v>0</v>
      </c>
      <c r="Q22" s="100">
        <f t="shared" si="1"/>
        <v>2</v>
      </c>
      <c r="R22" s="100" t="str">
        <f t="shared" si="2"/>
        <v/>
      </c>
      <c r="S22" s="100" t="str">
        <f t="shared" si="3"/>
        <v/>
      </c>
      <c r="T22" s="100" t="str">
        <f t="shared" si="4"/>
        <v/>
      </c>
      <c r="U22" s="100" t="str">
        <f t="shared" si="5"/>
        <v>Failed in 4 Subjects</v>
      </c>
      <c r="V22" s="100" t="str">
        <f t="shared" si="6"/>
        <v/>
      </c>
      <c r="W22" s="100" t="str">
        <f>'Detailed Summary'!BK21</f>
        <v/>
      </c>
    </row>
    <row r="23" spans="1:23" ht="18.5" hidden="1" x14ac:dyDescent="0.45">
      <c r="A23" s="100"/>
      <c r="B23" s="100">
        <f>'Student Basic Info'!A22</f>
        <v>721</v>
      </c>
      <c r="C23" s="100" t="str">
        <f>'Student Basic Info'!C22</f>
        <v>Nowrin Faiza Niduwa</v>
      </c>
      <c r="D23" s="100" t="str">
        <f>Bangla!G22</f>
        <v/>
      </c>
      <c r="E23" s="100" t="str">
        <f>English!F22</f>
        <v/>
      </c>
      <c r="F23" s="100" t="str">
        <f>ICT!H22</f>
        <v/>
      </c>
      <c r="G23" s="100" t="str">
        <f>Physics!H22</f>
        <v/>
      </c>
      <c r="H23" s="100" t="str">
        <f>Chemistry!H22</f>
        <v/>
      </c>
      <c r="I23" s="100" t="str">
        <f>Biology!H22</f>
        <v/>
      </c>
      <c r="J23" s="100" t="str">
        <f>Math!H22</f>
        <v/>
      </c>
      <c r="K23" s="100">
        <f t="shared" si="0"/>
        <v>0</v>
      </c>
      <c r="L23" s="100">
        <f t="shared" si="0"/>
        <v>0</v>
      </c>
      <c r="M23" s="100">
        <f t="shared" si="0"/>
        <v>0</v>
      </c>
      <c r="N23" s="100">
        <f t="shared" si="0"/>
        <v>0</v>
      </c>
      <c r="O23" s="100">
        <f t="shared" si="0"/>
        <v>0</v>
      </c>
      <c r="P23" s="100">
        <f t="shared" si="0"/>
        <v>0</v>
      </c>
      <c r="Q23" s="100">
        <f t="shared" si="1"/>
        <v>0</v>
      </c>
      <c r="R23" s="100" t="str">
        <f t="shared" si="2"/>
        <v/>
      </c>
      <c r="S23" s="100" t="str">
        <f t="shared" si="3"/>
        <v/>
      </c>
      <c r="T23" s="100" t="str">
        <f t="shared" si="4"/>
        <v/>
      </c>
      <c r="U23" s="100" t="str">
        <f t="shared" si="5"/>
        <v>Failed in 6 Subjects</v>
      </c>
      <c r="V23" s="100" t="str">
        <f t="shared" si="6"/>
        <v/>
      </c>
      <c r="W23" s="100" t="str">
        <f>'Detailed Summary'!BK22</f>
        <v/>
      </c>
    </row>
    <row r="24" spans="1:23" ht="18.5" hidden="1" x14ac:dyDescent="0.45">
      <c r="A24" s="100">
        <v>4</v>
      </c>
      <c r="B24" s="100">
        <f>'Student Basic Info'!A23</f>
        <v>722</v>
      </c>
      <c r="C24" s="100" t="str">
        <f>'Student Basic Info'!C23</f>
        <v>Mahmudau Rahman Munna</v>
      </c>
      <c r="D24" s="100">
        <f>Bangla!G23</f>
        <v>3</v>
      </c>
      <c r="E24" s="100">
        <f>English!F23</f>
        <v>2</v>
      </c>
      <c r="F24" s="100">
        <f>ICT!H23</f>
        <v>0</v>
      </c>
      <c r="G24" s="100">
        <f>Physics!H23</f>
        <v>0</v>
      </c>
      <c r="H24" s="100">
        <f>Chemistry!H23</f>
        <v>0</v>
      </c>
      <c r="I24" s="100">
        <f>Biology!H23</f>
        <v>0</v>
      </c>
      <c r="J24" s="100">
        <f>Math!H23</f>
        <v>0</v>
      </c>
      <c r="K24" s="100">
        <f t="shared" si="0"/>
        <v>1</v>
      </c>
      <c r="L24" s="100">
        <f t="shared" si="0"/>
        <v>1</v>
      </c>
      <c r="M24" s="100">
        <f t="shared" si="0"/>
        <v>0</v>
      </c>
      <c r="N24" s="100">
        <f t="shared" si="0"/>
        <v>0</v>
      </c>
      <c r="O24" s="100">
        <f t="shared" si="0"/>
        <v>0</v>
      </c>
      <c r="P24" s="100">
        <f t="shared" si="0"/>
        <v>0</v>
      </c>
      <c r="Q24" s="100">
        <f t="shared" si="1"/>
        <v>2</v>
      </c>
      <c r="R24" s="100" t="str">
        <f t="shared" si="2"/>
        <v/>
      </c>
      <c r="S24" s="100" t="str">
        <f t="shared" si="3"/>
        <v/>
      </c>
      <c r="T24" s="100" t="str">
        <f t="shared" si="4"/>
        <v/>
      </c>
      <c r="U24" s="100" t="str">
        <f t="shared" si="5"/>
        <v>Failed in 4 Subjects</v>
      </c>
      <c r="V24" s="100" t="str">
        <f t="shared" si="6"/>
        <v/>
      </c>
      <c r="W24" s="100" t="str">
        <f>'Detailed Summary'!BK23</f>
        <v/>
      </c>
    </row>
    <row r="25" spans="1:23" ht="18.5" hidden="1" x14ac:dyDescent="0.45">
      <c r="A25" s="100"/>
      <c r="B25" s="100">
        <f>'Student Basic Info'!A24</f>
        <v>723</v>
      </c>
      <c r="C25" s="100" t="str">
        <f>'Student Basic Info'!C24</f>
        <v>Shamsuzzaman</v>
      </c>
      <c r="D25" s="100">
        <f>Bangla!G24</f>
        <v>4</v>
      </c>
      <c r="E25" s="100">
        <f>English!F24</f>
        <v>3.5</v>
      </c>
      <c r="F25" s="100">
        <f>ICT!H24</f>
        <v>5</v>
      </c>
      <c r="G25" s="100">
        <f>Physics!H24</f>
        <v>5</v>
      </c>
      <c r="H25" s="100">
        <f>Chemistry!H24</f>
        <v>5</v>
      </c>
      <c r="I25" s="100">
        <f>Biology!H24</f>
        <v>4</v>
      </c>
      <c r="J25" s="100">
        <f>Math!H24</f>
        <v>5</v>
      </c>
      <c r="K25" s="100">
        <f t="shared" si="0"/>
        <v>1</v>
      </c>
      <c r="L25" s="100">
        <f t="shared" si="0"/>
        <v>1</v>
      </c>
      <c r="M25" s="100">
        <f t="shared" si="0"/>
        <v>1</v>
      </c>
      <c r="N25" s="100">
        <f t="shared" si="0"/>
        <v>1</v>
      </c>
      <c r="O25" s="100">
        <f t="shared" si="0"/>
        <v>1</v>
      </c>
      <c r="P25" s="100">
        <f t="shared" si="0"/>
        <v>1</v>
      </c>
      <c r="Q25" s="100">
        <f t="shared" si="1"/>
        <v>6</v>
      </c>
      <c r="R25" s="100">
        <f t="shared" si="2"/>
        <v>26.5</v>
      </c>
      <c r="S25" s="100">
        <f t="shared" si="3"/>
        <v>31.5</v>
      </c>
      <c r="T25" s="100">
        <f t="shared" si="4"/>
        <v>4.416666666666667</v>
      </c>
      <c r="U25" s="100" t="str">
        <f t="shared" si="5"/>
        <v>Pass</v>
      </c>
      <c r="V25" s="100">
        <f t="shared" si="6"/>
        <v>5</v>
      </c>
      <c r="W25" s="100">
        <f>'Detailed Summary'!BK24</f>
        <v>1</v>
      </c>
    </row>
    <row r="26" spans="1:23" ht="18.5" hidden="1" x14ac:dyDescent="0.45">
      <c r="A26" s="100"/>
      <c r="B26" s="100">
        <f>'Student Basic Info'!A25</f>
        <v>724</v>
      </c>
      <c r="C26" s="100" t="str">
        <f>'Student Basic Info'!C25</f>
        <v>Dipto Chandra Das</v>
      </c>
      <c r="D26" s="100">
        <f>Bangla!G25</f>
        <v>2</v>
      </c>
      <c r="E26" s="100">
        <f>English!F25</f>
        <v>1</v>
      </c>
      <c r="F26" s="100">
        <f>ICT!H25</f>
        <v>0</v>
      </c>
      <c r="G26" s="100">
        <f>Physics!H25</f>
        <v>2</v>
      </c>
      <c r="H26" s="100">
        <f>Chemistry!H25</f>
        <v>3</v>
      </c>
      <c r="I26" s="100">
        <f>Biology!H25</f>
        <v>0</v>
      </c>
      <c r="J26" s="100">
        <f>Math!H25</f>
        <v>0</v>
      </c>
      <c r="K26" s="100">
        <f t="shared" si="0"/>
        <v>1</v>
      </c>
      <c r="L26" s="100">
        <f t="shared" si="0"/>
        <v>1</v>
      </c>
      <c r="M26" s="100">
        <f t="shared" si="0"/>
        <v>0</v>
      </c>
      <c r="N26" s="100">
        <f t="shared" si="0"/>
        <v>1</v>
      </c>
      <c r="O26" s="100">
        <f t="shared" si="0"/>
        <v>1</v>
      </c>
      <c r="P26" s="100">
        <f t="shared" si="0"/>
        <v>0</v>
      </c>
      <c r="Q26" s="100">
        <f t="shared" si="1"/>
        <v>4</v>
      </c>
      <c r="R26" s="100" t="str">
        <f t="shared" si="2"/>
        <v/>
      </c>
      <c r="S26" s="100" t="str">
        <f t="shared" si="3"/>
        <v/>
      </c>
      <c r="T26" s="100" t="str">
        <f t="shared" si="4"/>
        <v/>
      </c>
      <c r="U26" s="100" t="str">
        <f t="shared" si="5"/>
        <v>Failed in 2 Subjects</v>
      </c>
      <c r="V26" s="100" t="str">
        <f t="shared" si="6"/>
        <v/>
      </c>
      <c r="W26" s="100" t="str">
        <f>'Detailed Summary'!BK25</f>
        <v/>
      </c>
    </row>
    <row r="27" spans="1:23" ht="18.5" hidden="1" x14ac:dyDescent="0.45">
      <c r="A27" s="100">
        <v>5</v>
      </c>
      <c r="B27" s="100">
        <f>'Student Basic Info'!A26</f>
        <v>725</v>
      </c>
      <c r="C27" s="100" t="str">
        <f>'Student Basic Info'!C26</f>
        <v>Shorfuddin Nayem</v>
      </c>
      <c r="D27" s="100">
        <f>Bangla!G26</f>
        <v>2</v>
      </c>
      <c r="E27" s="100">
        <f>English!F26</f>
        <v>1</v>
      </c>
      <c r="F27" s="100">
        <f>ICT!H26</f>
        <v>0</v>
      </c>
      <c r="G27" s="100">
        <f>Physics!H26</f>
        <v>2</v>
      </c>
      <c r="H27" s="100">
        <f>Chemistry!H26</f>
        <v>0</v>
      </c>
      <c r="I27" s="100">
        <f>Biology!H26</f>
        <v>0</v>
      </c>
      <c r="J27" s="100">
        <f>Math!H26</f>
        <v>0</v>
      </c>
      <c r="K27" s="100">
        <f t="shared" si="0"/>
        <v>1</v>
      </c>
      <c r="L27" s="100">
        <f t="shared" si="0"/>
        <v>1</v>
      </c>
      <c r="M27" s="100">
        <f t="shared" si="0"/>
        <v>0</v>
      </c>
      <c r="N27" s="100">
        <f t="shared" si="0"/>
        <v>1</v>
      </c>
      <c r="O27" s="100">
        <f t="shared" si="0"/>
        <v>0</v>
      </c>
      <c r="P27" s="100">
        <f t="shared" si="0"/>
        <v>0</v>
      </c>
      <c r="Q27" s="100">
        <f t="shared" si="1"/>
        <v>3</v>
      </c>
      <c r="R27" s="100" t="str">
        <f t="shared" si="2"/>
        <v/>
      </c>
      <c r="S27" s="100" t="str">
        <f t="shared" si="3"/>
        <v/>
      </c>
      <c r="T27" s="100" t="str">
        <f t="shared" si="4"/>
        <v/>
      </c>
      <c r="U27" s="100" t="str">
        <f t="shared" si="5"/>
        <v>Failed in 3 Subjects</v>
      </c>
      <c r="V27" s="100" t="str">
        <f t="shared" si="6"/>
        <v/>
      </c>
      <c r="W27" s="100" t="str">
        <f>'Detailed Summary'!BK26</f>
        <v/>
      </c>
    </row>
    <row r="28" spans="1:23" ht="18.5" hidden="1" x14ac:dyDescent="0.45">
      <c r="A28" s="100"/>
      <c r="B28" s="100">
        <f>'Student Basic Info'!A27</f>
        <v>726</v>
      </c>
      <c r="C28" s="100" t="str">
        <f>'Student Basic Info'!C27</f>
        <v>Mosaddek Ali</v>
      </c>
      <c r="D28" s="100" t="str">
        <f>Bangla!G27</f>
        <v/>
      </c>
      <c r="E28" s="100" t="str">
        <f>English!F27</f>
        <v/>
      </c>
      <c r="F28" s="100" t="str">
        <f>ICT!H27</f>
        <v/>
      </c>
      <c r="G28" s="100" t="str">
        <f>Physics!H27</f>
        <v/>
      </c>
      <c r="H28" s="100" t="str">
        <f>Chemistry!H27</f>
        <v/>
      </c>
      <c r="I28" s="100" t="str">
        <f>Biology!H27</f>
        <v/>
      </c>
      <c r="J28" s="100" t="str">
        <f>Math!H27</f>
        <v/>
      </c>
      <c r="K28" s="100">
        <f t="shared" si="0"/>
        <v>0</v>
      </c>
      <c r="L28" s="100">
        <f t="shared" si="0"/>
        <v>0</v>
      </c>
      <c r="M28" s="100">
        <f t="shared" si="0"/>
        <v>0</v>
      </c>
      <c r="N28" s="100">
        <f t="shared" si="0"/>
        <v>0</v>
      </c>
      <c r="O28" s="100">
        <f t="shared" si="0"/>
        <v>0</v>
      </c>
      <c r="P28" s="100">
        <f t="shared" si="0"/>
        <v>0</v>
      </c>
      <c r="Q28" s="100">
        <f t="shared" si="1"/>
        <v>0</v>
      </c>
      <c r="R28" s="100" t="str">
        <f t="shared" si="2"/>
        <v/>
      </c>
      <c r="S28" s="100" t="str">
        <f t="shared" si="3"/>
        <v/>
      </c>
      <c r="T28" s="100" t="str">
        <f t="shared" si="4"/>
        <v/>
      </c>
      <c r="U28" s="100" t="str">
        <f t="shared" si="5"/>
        <v>Failed in 6 Subjects</v>
      </c>
      <c r="V28" s="100" t="str">
        <f t="shared" si="6"/>
        <v/>
      </c>
      <c r="W28" s="100" t="str">
        <f>'Detailed Summary'!BK27</f>
        <v/>
      </c>
    </row>
    <row r="29" spans="1:23" ht="18.5" hidden="1" x14ac:dyDescent="0.45">
      <c r="A29" s="100"/>
      <c r="B29" s="100">
        <f>'Student Basic Info'!A28</f>
        <v>727</v>
      </c>
      <c r="C29" s="100" t="str">
        <f>'Student Basic Info'!C28</f>
        <v>Fahmida Sultana</v>
      </c>
      <c r="D29" s="100">
        <f>Bangla!G28</f>
        <v>3.5</v>
      </c>
      <c r="E29" s="100">
        <f>English!F28</f>
        <v>1</v>
      </c>
      <c r="F29" s="100">
        <f>ICT!H28</f>
        <v>5</v>
      </c>
      <c r="G29" s="100">
        <f>Physics!H28</f>
        <v>3.5</v>
      </c>
      <c r="H29" s="100">
        <f>Chemistry!H28</f>
        <v>2</v>
      </c>
      <c r="I29" s="100">
        <f>Biology!H28</f>
        <v>2</v>
      </c>
      <c r="J29" s="100">
        <f>Math!H28</f>
        <v>0</v>
      </c>
      <c r="K29" s="100">
        <f t="shared" si="0"/>
        <v>1</v>
      </c>
      <c r="L29" s="100">
        <f t="shared" si="0"/>
        <v>1</v>
      </c>
      <c r="M29" s="100">
        <f t="shared" si="0"/>
        <v>1</v>
      </c>
      <c r="N29" s="100">
        <f t="shared" si="0"/>
        <v>1</v>
      </c>
      <c r="O29" s="100">
        <f t="shared" si="0"/>
        <v>1</v>
      </c>
      <c r="P29" s="100">
        <f t="shared" si="0"/>
        <v>1</v>
      </c>
      <c r="Q29" s="100">
        <f t="shared" si="1"/>
        <v>6</v>
      </c>
      <c r="R29" s="100">
        <f t="shared" si="2"/>
        <v>17</v>
      </c>
      <c r="S29" s="100">
        <f t="shared" si="3"/>
        <v>17</v>
      </c>
      <c r="T29" s="100">
        <f t="shared" si="4"/>
        <v>2.8333333333333335</v>
      </c>
      <c r="U29" s="100" t="str">
        <f t="shared" si="5"/>
        <v>Pass</v>
      </c>
      <c r="V29" s="100">
        <f t="shared" si="6"/>
        <v>2.8333333333333335</v>
      </c>
      <c r="W29" s="100">
        <f>'Detailed Summary'!BK28</f>
        <v>9</v>
      </c>
    </row>
    <row r="30" spans="1:23" ht="18.5" hidden="1" x14ac:dyDescent="0.45">
      <c r="A30" s="100"/>
      <c r="B30" s="100">
        <f>'Student Basic Info'!A29</f>
        <v>728</v>
      </c>
      <c r="C30" s="100" t="str">
        <f>'Student Basic Info'!C29</f>
        <v>Aditya Chandra Das (Akash)</v>
      </c>
      <c r="D30" s="100">
        <f>Bangla!G29</f>
        <v>2</v>
      </c>
      <c r="E30" s="100">
        <f>English!F29</f>
        <v>0</v>
      </c>
      <c r="F30" s="100">
        <f>ICT!H29</f>
        <v>0</v>
      </c>
      <c r="G30" s="100">
        <f>Physics!H29</f>
        <v>2</v>
      </c>
      <c r="H30" s="100">
        <f>Chemistry!H29</f>
        <v>3</v>
      </c>
      <c r="I30" s="100">
        <f>Biology!H29</f>
        <v>0</v>
      </c>
      <c r="J30" s="100">
        <f>Math!H29</f>
        <v>0</v>
      </c>
      <c r="K30" s="100">
        <f t="shared" si="0"/>
        <v>1</v>
      </c>
      <c r="L30" s="100">
        <f t="shared" si="0"/>
        <v>0</v>
      </c>
      <c r="M30" s="100">
        <f t="shared" si="0"/>
        <v>0</v>
      </c>
      <c r="N30" s="100">
        <f t="shared" si="0"/>
        <v>1</v>
      </c>
      <c r="O30" s="100">
        <f t="shared" si="0"/>
        <v>1</v>
      </c>
      <c r="P30" s="100">
        <f t="shared" si="0"/>
        <v>0</v>
      </c>
      <c r="Q30" s="100">
        <f t="shared" si="1"/>
        <v>3</v>
      </c>
      <c r="R30" s="100" t="str">
        <f t="shared" si="2"/>
        <v/>
      </c>
      <c r="S30" s="100" t="str">
        <f t="shared" si="3"/>
        <v/>
      </c>
      <c r="T30" s="100" t="str">
        <f t="shared" si="4"/>
        <v/>
      </c>
      <c r="U30" s="100" t="str">
        <f t="shared" si="5"/>
        <v>Failed in 3 Subjects</v>
      </c>
      <c r="V30" s="100" t="str">
        <f t="shared" si="6"/>
        <v/>
      </c>
      <c r="W30" s="100" t="str">
        <f>'Detailed Summary'!BK29</f>
        <v/>
      </c>
    </row>
    <row r="31" spans="1:23" ht="18.5" hidden="1" x14ac:dyDescent="0.45">
      <c r="A31" s="100"/>
      <c r="B31" s="100">
        <f>'Student Basic Info'!A30</f>
        <v>729</v>
      </c>
      <c r="C31" s="100" t="str">
        <f>'Student Basic Info'!C30</f>
        <v>Golam Kibriya</v>
      </c>
      <c r="D31" s="100">
        <f>Bangla!G30</f>
        <v>1</v>
      </c>
      <c r="E31" s="100">
        <f>English!F30</f>
        <v>0</v>
      </c>
      <c r="F31" s="100">
        <f>ICT!H30</f>
        <v>0</v>
      </c>
      <c r="G31" s="100">
        <f>Physics!H30</f>
        <v>0</v>
      </c>
      <c r="H31" s="100">
        <f>Chemistry!H30</f>
        <v>0</v>
      </c>
      <c r="I31" s="100">
        <f>Biology!H30</f>
        <v>0</v>
      </c>
      <c r="J31" s="100">
        <f>Math!H30</f>
        <v>0</v>
      </c>
      <c r="K31" s="100">
        <f t="shared" si="0"/>
        <v>1</v>
      </c>
      <c r="L31" s="100">
        <f t="shared" si="0"/>
        <v>0</v>
      </c>
      <c r="M31" s="100">
        <f t="shared" si="0"/>
        <v>0</v>
      </c>
      <c r="N31" s="100">
        <f t="shared" si="0"/>
        <v>0</v>
      </c>
      <c r="O31" s="100">
        <f t="shared" si="0"/>
        <v>0</v>
      </c>
      <c r="P31" s="100">
        <f t="shared" si="0"/>
        <v>0</v>
      </c>
      <c r="Q31" s="100">
        <f t="shared" si="1"/>
        <v>1</v>
      </c>
      <c r="R31" s="100" t="str">
        <f t="shared" si="2"/>
        <v/>
      </c>
      <c r="S31" s="100" t="str">
        <f t="shared" si="3"/>
        <v/>
      </c>
      <c r="T31" s="100" t="str">
        <f t="shared" si="4"/>
        <v/>
      </c>
      <c r="U31" s="100" t="str">
        <f t="shared" si="5"/>
        <v>Failed in 5 Subjects</v>
      </c>
      <c r="V31" s="100" t="str">
        <f t="shared" si="6"/>
        <v/>
      </c>
      <c r="W31" s="100" t="str">
        <f>'Detailed Summary'!BK30</f>
        <v/>
      </c>
    </row>
    <row r="32" spans="1:23" ht="18.5" x14ac:dyDescent="0.45">
      <c r="A32" s="100"/>
      <c r="B32" s="100">
        <f>'Student Basic Info'!A31</f>
        <v>730</v>
      </c>
      <c r="C32" s="100" t="str">
        <f>'Student Basic Info'!C31</f>
        <v>Fahmidul Alam Abhi</v>
      </c>
      <c r="D32" s="100">
        <f>Bangla!G31</f>
        <v>1</v>
      </c>
      <c r="E32" s="100">
        <f>English!F31</f>
        <v>0</v>
      </c>
      <c r="F32" s="100">
        <f>ICT!H31</f>
        <v>0</v>
      </c>
      <c r="G32" s="100">
        <f>Physics!H31</f>
        <v>0</v>
      </c>
      <c r="H32" s="100">
        <f>Chemistry!H31</f>
        <v>0</v>
      </c>
      <c r="I32" s="100">
        <f>Biology!H31</f>
        <v>0</v>
      </c>
      <c r="J32" s="100">
        <f>Math!H31</f>
        <v>0</v>
      </c>
      <c r="K32" s="100">
        <f t="shared" si="0"/>
        <v>1</v>
      </c>
      <c r="L32" s="100">
        <f t="shared" si="0"/>
        <v>0</v>
      </c>
      <c r="M32" s="100">
        <f t="shared" si="0"/>
        <v>0</v>
      </c>
      <c r="N32" s="100">
        <f t="shared" si="0"/>
        <v>0</v>
      </c>
      <c r="O32" s="100">
        <f t="shared" si="0"/>
        <v>0</v>
      </c>
      <c r="P32" s="100">
        <f t="shared" si="0"/>
        <v>0</v>
      </c>
      <c r="Q32" s="100">
        <f t="shared" si="1"/>
        <v>1</v>
      </c>
      <c r="R32" s="100" t="str">
        <f t="shared" si="2"/>
        <v/>
      </c>
      <c r="S32" s="100" t="str">
        <f t="shared" si="3"/>
        <v/>
      </c>
      <c r="T32" s="100" t="str">
        <f t="shared" si="4"/>
        <v/>
      </c>
      <c r="U32" s="100" t="str">
        <f t="shared" si="5"/>
        <v>Failed in 5 Subjects</v>
      </c>
      <c r="V32" s="100" t="str">
        <f t="shared" si="6"/>
        <v/>
      </c>
      <c r="W32" s="100" t="str">
        <f>'Detailed Summary'!BK31</f>
        <v/>
      </c>
    </row>
    <row r="33" spans="1:23" ht="18.5" hidden="1" x14ac:dyDescent="0.45">
      <c r="A33" s="100"/>
      <c r="B33" s="100">
        <f>'Student Basic Info'!A32</f>
        <v>731</v>
      </c>
      <c r="C33" s="100" t="str">
        <f>'Student Basic Info'!C32</f>
        <v>Lurpur Nahar</v>
      </c>
      <c r="D33" s="100">
        <f>Bangla!G32</f>
        <v>3</v>
      </c>
      <c r="E33" s="100">
        <f>English!F32</f>
        <v>0</v>
      </c>
      <c r="F33" s="100">
        <f>ICT!H32</f>
        <v>0</v>
      </c>
      <c r="G33" s="100">
        <f>Physics!H32</f>
        <v>3</v>
      </c>
      <c r="H33" s="100">
        <f>Chemistry!H32</f>
        <v>0</v>
      </c>
      <c r="I33" s="100">
        <f>Biology!H32</f>
        <v>0</v>
      </c>
      <c r="J33" s="100">
        <f>Math!H32</f>
        <v>0</v>
      </c>
      <c r="K33" s="100">
        <f t="shared" si="0"/>
        <v>1</v>
      </c>
      <c r="L33" s="100">
        <f t="shared" si="0"/>
        <v>0</v>
      </c>
      <c r="M33" s="100">
        <f t="shared" si="0"/>
        <v>0</v>
      </c>
      <c r="N33" s="100">
        <f t="shared" si="0"/>
        <v>1</v>
      </c>
      <c r="O33" s="100">
        <f t="shared" si="0"/>
        <v>0</v>
      </c>
      <c r="P33" s="100">
        <f t="shared" si="0"/>
        <v>0</v>
      </c>
      <c r="Q33" s="100">
        <f t="shared" si="1"/>
        <v>2</v>
      </c>
      <c r="R33" s="100" t="str">
        <f t="shared" si="2"/>
        <v/>
      </c>
      <c r="S33" s="100" t="str">
        <f t="shared" si="3"/>
        <v/>
      </c>
      <c r="T33" s="100" t="str">
        <f t="shared" si="4"/>
        <v/>
      </c>
      <c r="U33" s="100" t="str">
        <f t="shared" si="5"/>
        <v>Failed in 4 Subjects</v>
      </c>
      <c r="V33" s="100" t="str">
        <f t="shared" si="6"/>
        <v/>
      </c>
      <c r="W33" s="100" t="str">
        <f>'Detailed Summary'!BK32</f>
        <v/>
      </c>
    </row>
    <row r="34" spans="1:23" ht="18.5" hidden="1" x14ac:dyDescent="0.45">
      <c r="A34" s="100"/>
      <c r="B34" s="100">
        <f>'Student Basic Info'!A33</f>
        <v>732</v>
      </c>
      <c r="C34" s="100" t="str">
        <f>'Student Basic Info'!C33</f>
        <v>Shezanul Bahar Alvi</v>
      </c>
      <c r="D34" s="100">
        <f>Bangla!G33</f>
        <v>1</v>
      </c>
      <c r="E34" s="100">
        <f>English!F33</f>
        <v>0</v>
      </c>
      <c r="F34" s="100">
        <f>ICT!H33</f>
        <v>0</v>
      </c>
      <c r="G34" s="100" t="str">
        <f>Physics!H33</f>
        <v/>
      </c>
      <c r="H34" s="100">
        <f>Chemistry!H33</f>
        <v>1</v>
      </c>
      <c r="I34" s="100">
        <f>Biology!H33</f>
        <v>0</v>
      </c>
      <c r="J34" s="100">
        <f>Math!H33</f>
        <v>0</v>
      </c>
      <c r="K34" s="100">
        <f t="shared" si="0"/>
        <v>1</v>
      </c>
      <c r="L34" s="100">
        <f t="shared" si="0"/>
        <v>0</v>
      </c>
      <c r="M34" s="100">
        <f t="shared" si="0"/>
        <v>0</v>
      </c>
      <c r="N34" s="100">
        <f t="shared" si="0"/>
        <v>0</v>
      </c>
      <c r="O34" s="100">
        <f t="shared" si="0"/>
        <v>1</v>
      </c>
      <c r="P34" s="100">
        <f t="shared" si="0"/>
        <v>0</v>
      </c>
      <c r="Q34" s="100">
        <f t="shared" si="1"/>
        <v>2</v>
      </c>
      <c r="R34" s="100" t="str">
        <f t="shared" si="2"/>
        <v/>
      </c>
      <c r="S34" s="100" t="str">
        <f t="shared" si="3"/>
        <v/>
      </c>
      <c r="T34" s="100" t="str">
        <f t="shared" si="4"/>
        <v/>
      </c>
      <c r="U34" s="100" t="str">
        <f t="shared" si="5"/>
        <v>Failed in 4 Subjects</v>
      </c>
      <c r="V34" s="100" t="str">
        <f t="shared" si="6"/>
        <v/>
      </c>
      <c r="W34" s="100" t="str">
        <f>'Detailed Summary'!BK33</f>
        <v/>
      </c>
    </row>
    <row r="35" spans="1:23" ht="18.5" hidden="1" x14ac:dyDescent="0.45">
      <c r="A35" s="100"/>
      <c r="B35" s="100">
        <f>'Student Basic Info'!A34</f>
        <v>733</v>
      </c>
      <c r="C35" s="100" t="str">
        <f>'Student Basic Info'!C34</f>
        <v>Shadiya Bahar</v>
      </c>
      <c r="D35" s="100">
        <f>Bangla!G34</f>
        <v>2</v>
      </c>
      <c r="E35" s="100">
        <f>English!F34</f>
        <v>1</v>
      </c>
      <c r="F35" s="100">
        <f>ICT!H34</f>
        <v>0</v>
      </c>
      <c r="G35" s="100">
        <f>Physics!H34</f>
        <v>0</v>
      </c>
      <c r="H35" s="100">
        <f>Chemistry!H34</f>
        <v>0</v>
      </c>
      <c r="I35" s="100">
        <f>Biology!H34</f>
        <v>0</v>
      </c>
      <c r="J35" s="100">
        <f>Math!H34</f>
        <v>0</v>
      </c>
      <c r="K35" s="100">
        <f t="shared" ref="K35:P66" si="7">(IF(D35="",0,IF(D35=0,0,1)))</f>
        <v>1</v>
      </c>
      <c r="L35" s="100">
        <f t="shared" si="7"/>
        <v>1</v>
      </c>
      <c r="M35" s="100">
        <f t="shared" si="7"/>
        <v>0</v>
      </c>
      <c r="N35" s="100">
        <f t="shared" si="7"/>
        <v>0</v>
      </c>
      <c r="O35" s="100">
        <f t="shared" si="7"/>
        <v>0</v>
      </c>
      <c r="P35" s="100">
        <f t="shared" si="7"/>
        <v>0</v>
      </c>
      <c r="Q35" s="100">
        <f t="shared" si="1"/>
        <v>2</v>
      </c>
      <c r="R35" s="100" t="str">
        <f t="shared" si="2"/>
        <v/>
      </c>
      <c r="S35" s="100" t="str">
        <f t="shared" si="3"/>
        <v/>
      </c>
      <c r="T35" s="100" t="str">
        <f t="shared" si="4"/>
        <v/>
      </c>
      <c r="U35" s="100" t="str">
        <f t="shared" si="5"/>
        <v>Failed in 4 Subjects</v>
      </c>
      <c r="V35" s="100" t="str">
        <f t="shared" si="6"/>
        <v/>
      </c>
      <c r="W35" s="100" t="str">
        <f>'Detailed Summary'!BK34</f>
        <v/>
      </c>
    </row>
    <row r="36" spans="1:23" ht="18.5" hidden="1" x14ac:dyDescent="0.45">
      <c r="A36" s="100">
        <v>6</v>
      </c>
      <c r="B36" s="100">
        <f>'Student Basic Info'!A35</f>
        <v>734</v>
      </c>
      <c r="C36" s="100" t="str">
        <f>'Student Basic Info'!C35</f>
        <v>Shayed Hasan</v>
      </c>
      <c r="D36" s="100">
        <f>Bangla!G35</f>
        <v>3</v>
      </c>
      <c r="E36" s="100">
        <f>English!F35</f>
        <v>1</v>
      </c>
      <c r="F36" s="100">
        <f>ICT!H35</f>
        <v>0</v>
      </c>
      <c r="G36" s="100">
        <f>Physics!H35</f>
        <v>3</v>
      </c>
      <c r="H36" s="100">
        <f>Chemistry!H35</f>
        <v>1</v>
      </c>
      <c r="I36" s="100">
        <f>Biology!H35</f>
        <v>0</v>
      </c>
      <c r="J36" s="100">
        <f>Math!H35</f>
        <v>0</v>
      </c>
      <c r="K36" s="100">
        <f t="shared" si="7"/>
        <v>1</v>
      </c>
      <c r="L36" s="100">
        <f t="shared" si="7"/>
        <v>1</v>
      </c>
      <c r="M36" s="100">
        <f t="shared" si="7"/>
        <v>0</v>
      </c>
      <c r="N36" s="100">
        <f t="shared" si="7"/>
        <v>1</v>
      </c>
      <c r="O36" s="100">
        <f t="shared" si="7"/>
        <v>1</v>
      </c>
      <c r="P36" s="100">
        <f t="shared" si="7"/>
        <v>0</v>
      </c>
      <c r="Q36" s="100">
        <f t="shared" si="1"/>
        <v>4</v>
      </c>
      <c r="R36" s="100" t="str">
        <f t="shared" si="2"/>
        <v/>
      </c>
      <c r="S36" s="100" t="str">
        <f t="shared" si="3"/>
        <v/>
      </c>
      <c r="T36" s="100" t="str">
        <f t="shared" si="4"/>
        <v/>
      </c>
      <c r="U36" s="100" t="str">
        <f t="shared" si="5"/>
        <v>Failed in 2 Subjects</v>
      </c>
      <c r="V36" s="100" t="str">
        <f t="shared" si="6"/>
        <v/>
      </c>
      <c r="W36" s="100" t="str">
        <f>'Detailed Summary'!BK35</f>
        <v/>
      </c>
    </row>
    <row r="37" spans="1:23" ht="18.5" x14ac:dyDescent="0.45">
      <c r="A37" s="100"/>
      <c r="B37" s="100">
        <f>'Student Basic Info'!A36</f>
        <v>735</v>
      </c>
      <c r="C37" s="100" t="str">
        <f>'Student Basic Info'!C36</f>
        <v>Sumaiya Zahan Tarin</v>
      </c>
      <c r="D37" s="100">
        <f>Bangla!G36</f>
        <v>3</v>
      </c>
      <c r="E37" s="100">
        <f>English!F36</f>
        <v>2</v>
      </c>
      <c r="F37" s="100">
        <f>ICT!H36</f>
        <v>0</v>
      </c>
      <c r="G37" s="100">
        <f>Physics!H36</f>
        <v>0</v>
      </c>
      <c r="H37" s="100" t="str">
        <f>Chemistry!H36</f>
        <v/>
      </c>
      <c r="I37" s="100">
        <f>Biology!H36</f>
        <v>0</v>
      </c>
      <c r="J37" s="100">
        <f>Math!H36</f>
        <v>0</v>
      </c>
      <c r="K37" s="100">
        <f t="shared" si="7"/>
        <v>1</v>
      </c>
      <c r="L37" s="100">
        <f t="shared" si="7"/>
        <v>1</v>
      </c>
      <c r="M37" s="100">
        <f t="shared" si="7"/>
        <v>0</v>
      </c>
      <c r="N37" s="100">
        <f t="shared" si="7"/>
        <v>0</v>
      </c>
      <c r="O37" s="100">
        <f t="shared" si="7"/>
        <v>0</v>
      </c>
      <c r="P37" s="100">
        <f t="shared" si="7"/>
        <v>0</v>
      </c>
      <c r="Q37" s="100">
        <f t="shared" si="1"/>
        <v>2</v>
      </c>
      <c r="R37" s="100" t="str">
        <f t="shared" si="2"/>
        <v/>
      </c>
      <c r="S37" s="100" t="str">
        <f t="shared" si="3"/>
        <v/>
      </c>
      <c r="T37" s="100" t="str">
        <f t="shared" si="4"/>
        <v/>
      </c>
      <c r="U37" s="100" t="str">
        <f t="shared" si="5"/>
        <v>Failed in 4 Subjects</v>
      </c>
      <c r="V37" s="100" t="str">
        <f t="shared" si="6"/>
        <v/>
      </c>
      <c r="W37" s="100" t="str">
        <f>'Detailed Summary'!BK36</f>
        <v/>
      </c>
    </row>
    <row r="38" spans="1:23" ht="18.5" hidden="1" x14ac:dyDescent="0.45">
      <c r="A38" s="100">
        <v>7</v>
      </c>
      <c r="B38" s="100">
        <f>'Student Basic Info'!A37</f>
        <v>736</v>
      </c>
      <c r="C38" s="100" t="str">
        <f>'Student Basic Info'!C37</f>
        <v>Nur Islam</v>
      </c>
      <c r="D38" s="100">
        <f>Bangla!G37</f>
        <v>2</v>
      </c>
      <c r="E38" s="100">
        <f>English!F37</f>
        <v>0</v>
      </c>
      <c r="F38" s="100">
        <f>ICT!H37</f>
        <v>0</v>
      </c>
      <c r="G38" s="100">
        <f>Physics!H37</f>
        <v>3</v>
      </c>
      <c r="H38" s="100">
        <f>Chemistry!H37</f>
        <v>0</v>
      </c>
      <c r="I38" s="100">
        <f>Biology!H37</f>
        <v>0</v>
      </c>
      <c r="J38" s="100" t="str">
        <f>Math!H37</f>
        <v/>
      </c>
      <c r="K38" s="100">
        <f t="shared" si="7"/>
        <v>1</v>
      </c>
      <c r="L38" s="100">
        <f t="shared" si="7"/>
        <v>0</v>
      </c>
      <c r="M38" s="100">
        <f t="shared" si="7"/>
        <v>0</v>
      </c>
      <c r="N38" s="100">
        <f t="shared" si="7"/>
        <v>1</v>
      </c>
      <c r="O38" s="100">
        <f t="shared" si="7"/>
        <v>0</v>
      </c>
      <c r="P38" s="100">
        <f t="shared" si="7"/>
        <v>0</v>
      </c>
      <c r="Q38" s="100">
        <f t="shared" si="1"/>
        <v>2</v>
      </c>
      <c r="R38" s="100" t="str">
        <f t="shared" si="2"/>
        <v/>
      </c>
      <c r="S38" s="100" t="str">
        <f t="shared" si="3"/>
        <v/>
      </c>
      <c r="T38" s="100" t="str">
        <f t="shared" si="4"/>
        <v/>
      </c>
      <c r="U38" s="100" t="str">
        <f t="shared" si="5"/>
        <v>Failed in 4 Subjects</v>
      </c>
      <c r="V38" s="100" t="str">
        <f t="shared" si="6"/>
        <v/>
      </c>
      <c r="W38" s="100" t="str">
        <f>'Detailed Summary'!BK37</f>
        <v/>
      </c>
    </row>
    <row r="39" spans="1:23" ht="18.5" hidden="1" x14ac:dyDescent="0.45">
      <c r="A39" s="100">
        <v>4</v>
      </c>
      <c r="B39" s="100">
        <f>'Student Basic Info'!A38</f>
        <v>737</v>
      </c>
      <c r="C39" s="100" t="str">
        <f>'Student Basic Info'!C38</f>
        <v>Nusrat Zahan</v>
      </c>
      <c r="D39" s="100">
        <f>Bangla!G38</f>
        <v>3</v>
      </c>
      <c r="E39" s="100">
        <f>English!F38</f>
        <v>2</v>
      </c>
      <c r="F39" s="100">
        <f>ICT!H38</f>
        <v>0</v>
      </c>
      <c r="G39" s="100">
        <f>Physics!H38</f>
        <v>3.5</v>
      </c>
      <c r="H39" s="100">
        <f>Chemistry!H38</f>
        <v>0</v>
      </c>
      <c r="I39" s="100">
        <f>Biology!H38</f>
        <v>0</v>
      </c>
      <c r="J39" s="100">
        <f>Math!H38</f>
        <v>0</v>
      </c>
      <c r="K39" s="100">
        <f t="shared" si="7"/>
        <v>1</v>
      </c>
      <c r="L39" s="100">
        <f t="shared" si="7"/>
        <v>1</v>
      </c>
      <c r="M39" s="100">
        <f t="shared" si="7"/>
        <v>0</v>
      </c>
      <c r="N39" s="100">
        <f t="shared" si="7"/>
        <v>1</v>
      </c>
      <c r="O39" s="100">
        <f t="shared" si="7"/>
        <v>0</v>
      </c>
      <c r="P39" s="100">
        <f t="shared" si="7"/>
        <v>0</v>
      </c>
      <c r="Q39" s="100">
        <f t="shared" si="1"/>
        <v>3</v>
      </c>
      <c r="R39" s="100" t="str">
        <f t="shared" si="2"/>
        <v/>
      </c>
      <c r="S39" s="100" t="str">
        <f t="shared" si="3"/>
        <v/>
      </c>
      <c r="T39" s="100" t="str">
        <f t="shared" si="4"/>
        <v/>
      </c>
      <c r="U39" s="100" t="str">
        <f t="shared" si="5"/>
        <v>Failed in 3 Subjects</v>
      </c>
      <c r="V39" s="100" t="str">
        <f t="shared" si="6"/>
        <v/>
      </c>
      <c r="W39" s="100" t="str">
        <f>'Detailed Summary'!BK38</f>
        <v/>
      </c>
    </row>
    <row r="40" spans="1:23" ht="18.5" hidden="1" x14ac:dyDescent="0.45">
      <c r="A40" s="100">
        <v>8</v>
      </c>
      <c r="B40" s="100">
        <f>'Student Basic Info'!A39</f>
        <v>738</v>
      </c>
      <c r="C40" s="100" t="str">
        <f>'Student Basic Info'!C39</f>
        <v>Arpita Rani Bhoumik</v>
      </c>
      <c r="D40" s="100">
        <f>Bangla!G39</f>
        <v>3</v>
      </c>
      <c r="E40" s="100">
        <f>English!F39</f>
        <v>2</v>
      </c>
      <c r="F40" s="100">
        <f>ICT!H39</f>
        <v>3</v>
      </c>
      <c r="G40" s="100">
        <f>Physics!H39</f>
        <v>0</v>
      </c>
      <c r="H40" s="100">
        <f>Chemistry!H39</f>
        <v>0</v>
      </c>
      <c r="I40" s="100">
        <f>Biology!H39</f>
        <v>0</v>
      </c>
      <c r="J40" s="100">
        <f>Math!H39</f>
        <v>0</v>
      </c>
      <c r="K40" s="100">
        <f t="shared" si="7"/>
        <v>1</v>
      </c>
      <c r="L40" s="100">
        <f t="shared" si="7"/>
        <v>1</v>
      </c>
      <c r="M40" s="100">
        <f t="shared" si="7"/>
        <v>1</v>
      </c>
      <c r="N40" s="100">
        <f t="shared" si="7"/>
        <v>0</v>
      </c>
      <c r="O40" s="100">
        <f t="shared" si="7"/>
        <v>0</v>
      </c>
      <c r="P40" s="100">
        <f t="shared" si="7"/>
        <v>0</v>
      </c>
      <c r="Q40" s="100">
        <f t="shared" si="1"/>
        <v>3</v>
      </c>
      <c r="R40" s="100" t="str">
        <f t="shared" si="2"/>
        <v/>
      </c>
      <c r="S40" s="100" t="str">
        <f t="shared" si="3"/>
        <v/>
      </c>
      <c r="T40" s="100" t="str">
        <f t="shared" si="4"/>
        <v/>
      </c>
      <c r="U40" s="100" t="str">
        <f t="shared" si="5"/>
        <v>Failed in 3 Subjects</v>
      </c>
      <c r="V40" s="100" t="str">
        <f t="shared" si="6"/>
        <v/>
      </c>
      <c r="W40" s="100" t="str">
        <f>'Detailed Summary'!BK39</f>
        <v/>
      </c>
    </row>
    <row r="41" spans="1:23" ht="18.5" hidden="1" x14ac:dyDescent="0.45">
      <c r="A41" s="100"/>
      <c r="B41" s="100">
        <f>'Student Basic Info'!A40</f>
        <v>739</v>
      </c>
      <c r="C41" s="100" t="str">
        <f>'Student Basic Info'!C40</f>
        <v xml:space="preserve">Israt Zahan Shrabonti </v>
      </c>
      <c r="D41" s="100">
        <f>Bangla!G40</f>
        <v>3</v>
      </c>
      <c r="E41" s="100">
        <f>English!F40</f>
        <v>1</v>
      </c>
      <c r="F41" s="100">
        <f>ICT!H40</f>
        <v>2</v>
      </c>
      <c r="G41" s="100">
        <f>Physics!H40</f>
        <v>3</v>
      </c>
      <c r="H41" s="100">
        <f>Chemistry!H40</f>
        <v>0</v>
      </c>
      <c r="I41" s="100">
        <f>Biology!H40</f>
        <v>0</v>
      </c>
      <c r="J41" s="100">
        <f>Math!H40</f>
        <v>0</v>
      </c>
      <c r="K41" s="100">
        <f t="shared" si="7"/>
        <v>1</v>
      </c>
      <c r="L41" s="100">
        <f t="shared" si="7"/>
        <v>1</v>
      </c>
      <c r="M41" s="100">
        <f t="shared" si="7"/>
        <v>1</v>
      </c>
      <c r="N41" s="100">
        <f t="shared" si="7"/>
        <v>1</v>
      </c>
      <c r="O41" s="100">
        <f t="shared" si="7"/>
        <v>0</v>
      </c>
      <c r="P41" s="100">
        <f t="shared" si="7"/>
        <v>0</v>
      </c>
      <c r="Q41" s="100">
        <f t="shared" si="1"/>
        <v>4</v>
      </c>
      <c r="R41" s="100" t="str">
        <f t="shared" si="2"/>
        <v/>
      </c>
      <c r="S41" s="100" t="str">
        <f t="shared" si="3"/>
        <v/>
      </c>
      <c r="T41" s="100" t="str">
        <f t="shared" si="4"/>
        <v/>
      </c>
      <c r="U41" s="100" t="str">
        <f t="shared" si="5"/>
        <v>Failed in 2 Subjects</v>
      </c>
      <c r="V41" s="100" t="str">
        <f t="shared" si="6"/>
        <v/>
      </c>
      <c r="W41" s="100" t="str">
        <f>'Detailed Summary'!BK40</f>
        <v/>
      </c>
    </row>
    <row r="42" spans="1:23" ht="18.5" hidden="1" x14ac:dyDescent="0.45">
      <c r="A42" s="100">
        <v>9</v>
      </c>
      <c r="B42" s="100">
        <f>'Student Basic Info'!A41</f>
        <v>740</v>
      </c>
      <c r="C42" s="100" t="str">
        <f>'Student Basic Info'!C41</f>
        <v>Fatema Zannat</v>
      </c>
      <c r="D42" s="100">
        <f>Bangla!G41</f>
        <v>3.5</v>
      </c>
      <c r="E42" s="100">
        <f>English!F41</f>
        <v>2</v>
      </c>
      <c r="F42" s="100">
        <f>ICT!H41</f>
        <v>0</v>
      </c>
      <c r="G42" s="100">
        <f>Physics!H41</f>
        <v>0</v>
      </c>
      <c r="H42" s="100">
        <f>Chemistry!H41</f>
        <v>2</v>
      </c>
      <c r="I42" s="100">
        <f>Biology!H41</f>
        <v>0</v>
      </c>
      <c r="J42" s="100">
        <f>Math!H41</f>
        <v>0</v>
      </c>
      <c r="K42" s="100">
        <f t="shared" si="7"/>
        <v>1</v>
      </c>
      <c r="L42" s="100">
        <f t="shared" si="7"/>
        <v>1</v>
      </c>
      <c r="M42" s="100">
        <f t="shared" si="7"/>
        <v>0</v>
      </c>
      <c r="N42" s="100">
        <f t="shared" si="7"/>
        <v>0</v>
      </c>
      <c r="O42" s="100">
        <f t="shared" si="7"/>
        <v>1</v>
      </c>
      <c r="P42" s="100">
        <f t="shared" si="7"/>
        <v>0</v>
      </c>
      <c r="Q42" s="100">
        <f t="shared" si="1"/>
        <v>3</v>
      </c>
      <c r="R42" s="100" t="str">
        <f t="shared" si="2"/>
        <v/>
      </c>
      <c r="S42" s="100" t="str">
        <f t="shared" si="3"/>
        <v/>
      </c>
      <c r="T42" s="100" t="str">
        <f t="shared" si="4"/>
        <v/>
      </c>
      <c r="U42" s="100" t="str">
        <f t="shared" si="5"/>
        <v>Failed in 3 Subjects</v>
      </c>
      <c r="V42" s="100" t="str">
        <f t="shared" si="6"/>
        <v/>
      </c>
      <c r="W42" s="100" t="str">
        <f>'Detailed Summary'!BK41</f>
        <v/>
      </c>
    </row>
    <row r="43" spans="1:23" ht="18.5" hidden="1" x14ac:dyDescent="0.45">
      <c r="A43" s="100"/>
      <c r="B43" s="100">
        <f>'Student Basic Info'!A42</f>
        <v>741</v>
      </c>
      <c r="C43" s="100" t="str">
        <f>'Student Basic Info'!C42</f>
        <v>Rezmin Aktar</v>
      </c>
      <c r="D43" s="100">
        <f>Bangla!G42</f>
        <v>3.5</v>
      </c>
      <c r="E43" s="100">
        <f>English!F42</f>
        <v>3</v>
      </c>
      <c r="F43" s="100">
        <f>ICT!H42</f>
        <v>3.5</v>
      </c>
      <c r="G43" s="100">
        <f>Physics!H42</f>
        <v>3</v>
      </c>
      <c r="H43" s="100">
        <f>Chemistry!H42</f>
        <v>0</v>
      </c>
      <c r="I43" s="100">
        <f>Biology!H42</f>
        <v>0</v>
      </c>
      <c r="J43" s="100">
        <f>Math!H42</f>
        <v>0</v>
      </c>
      <c r="K43" s="100">
        <f t="shared" si="7"/>
        <v>1</v>
      </c>
      <c r="L43" s="100">
        <f t="shared" si="7"/>
        <v>1</v>
      </c>
      <c r="M43" s="100">
        <f t="shared" si="7"/>
        <v>1</v>
      </c>
      <c r="N43" s="100">
        <f t="shared" si="7"/>
        <v>1</v>
      </c>
      <c r="O43" s="100">
        <f t="shared" si="7"/>
        <v>0</v>
      </c>
      <c r="P43" s="100">
        <f t="shared" si="7"/>
        <v>0</v>
      </c>
      <c r="Q43" s="100">
        <f t="shared" si="1"/>
        <v>4</v>
      </c>
      <c r="R43" s="100" t="str">
        <f t="shared" si="2"/>
        <v/>
      </c>
      <c r="S43" s="100" t="str">
        <f t="shared" si="3"/>
        <v/>
      </c>
      <c r="T43" s="100" t="str">
        <f t="shared" si="4"/>
        <v/>
      </c>
      <c r="U43" s="100" t="str">
        <f t="shared" si="5"/>
        <v>Failed in 2 Subjects</v>
      </c>
      <c r="V43" s="100" t="str">
        <f t="shared" si="6"/>
        <v/>
      </c>
      <c r="W43" s="100" t="str">
        <f>'Detailed Summary'!BK42</f>
        <v/>
      </c>
    </row>
    <row r="44" spans="1:23" ht="18.5" hidden="1" x14ac:dyDescent="0.45">
      <c r="A44" s="100"/>
      <c r="B44" s="100">
        <f>'Student Basic Info'!A43</f>
        <v>742</v>
      </c>
      <c r="C44" s="100" t="str">
        <f>'Student Basic Info'!C43</f>
        <v>Md. Shohrab Hosain</v>
      </c>
      <c r="D44" s="100" t="str">
        <f>Bangla!G43</f>
        <v/>
      </c>
      <c r="E44" s="100" t="str">
        <f>English!F43</f>
        <v/>
      </c>
      <c r="F44" s="100" t="str">
        <f>ICT!H43</f>
        <v/>
      </c>
      <c r="G44" s="100" t="str">
        <f>Physics!H43</f>
        <v/>
      </c>
      <c r="H44" s="100" t="str">
        <f>Chemistry!H43</f>
        <v/>
      </c>
      <c r="I44" s="100" t="str">
        <f>Biology!H43</f>
        <v/>
      </c>
      <c r="J44" s="100" t="str">
        <f>Math!H43</f>
        <v/>
      </c>
      <c r="K44" s="100">
        <f t="shared" si="7"/>
        <v>0</v>
      </c>
      <c r="L44" s="100">
        <f t="shared" si="7"/>
        <v>0</v>
      </c>
      <c r="M44" s="100">
        <f t="shared" si="7"/>
        <v>0</v>
      </c>
      <c r="N44" s="100">
        <f t="shared" si="7"/>
        <v>0</v>
      </c>
      <c r="O44" s="100">
        <f t="shared" si="7"/>
        <v>0</v>
      </c>
      <c r="P44" s="100">
        <f t="shared" si="7"/>
        <v>0</v>
      </c>
      <c r="Q44" s="100">
        <f t="shared" si="1"/>
        <v>0</v>
      </c>
      <c r="R44" s="100" t="str">
        <f t="shared" si="2"/>
        <v/>
      </c>
      <c r="S44" s="100" t="str">
        <f t="shared" si="3"/>
        <v/>
      </c>
      <c r="T44" s="100" t="str">
        <f t="shared" si="4"/>
        <v/>
      </c>
      <c r="U44" s="100" t="str">
        <f t="shared" si="5"/>
        <v>Failed in 6 Subjects</v>
      </c>
      <c r="V44" s="100" t="str">
        <f t="shared" si="6"/>
        <v/>
      </c>
      <c r="W44" s="100" t="str">
        <f>'Detailed Summary'!BK43</f>
        <v/>
      </c>
    </row>
    <row r="45" spans="1:23" ht="18.5" x14ac:dyDescent="0.45">
      <c r="A45" s="100"/>
      <c r="B45" s="100">
        <f>'Student Basic Info'!A44</f>
        <v>743</v>
      </c>
      <c r="C45" s="100" t="str">
        <f>'Student Basic Info'!C44</f>
        <v>Umme Habiba</v>
      </c>
      <c r="D45" s="100">
        <f>Bangla!G44</f>
        <v>0</v>
      </c>
      <c r="E45" s="100">
        <f>English!F44</f>
        <v>0</v>
      </c>
      <c r="F45" s="100">
        <f>ICT!H44</f>
        <v>0</v>
      </c>
      <c r="G45" s="100">
        <f>Physics!H44</f>
        <v>0</v>
      </c>
      <c r="H45" s="100">
        <f>Chemistry!H44</f>
        <v>0</v>
      </c>
      <c r="I45" s="100">
        <f>Biology!H44</f>
        <v>0</v>
      </c>
      <c r="J45" s="100">
        <f>Math!H44</f>
        <v>0</v>
      </c>
      <c r="K45" s="100">
        <f t="shared" si="7"/>
        <v>0</v>
      </c>
      <c r="L45" s="100">
        <f t="shared" si="7"/>
        <v>0</v>
      </c>
      <c r="M45" s="100">
        <f t="shared" si="7"/>
        <v>0</v>
      </c>
      <c r="N45" s="100">
        <f t="shared" si="7"/>
        <v>0</v>
      </c>
      <c r="O45" s="100">
        <f t="shared" si="7"/>
        <v>0</v>
      </c>
      <c r="P45" s="100">
        <f t="shared" si="7"/>
        <v>0</v>
      </c>
      <c r="Q45" s="100">
        <f t="shared" si="1"/>
        <v>0</v>
      </c>
      <c r="R45" s="100" t="str">
        <f t="shared" si="2"/>
        <v/>
      </c>
      <c r="S45" s="100" t="str">
        <f t="shared" si="3"/>
        <v/>
      </c>
      <c r="T45" s="100" t="str">
        <f t="shared" si="4"/>
        <v/>
      </c>
      <c r="U45" s="100" t="str">
        <f t="shared" si="5"/>
        <v>Failed in 6 Subjects</v>
      </c>
      <c r="V45" s="100" t="str">
        <f t="shared" si="6"/>
        <v/>
      </c>
      <c r="W45" s="100" t="str">
        <f>'Detailed Summary'!BK44</f>
        <v/>
      </c>
    </row>
    <row r="46" spans="1:23" ht="18.5" hidden="1" x14ac:dyDescent="0.45">
      <c r="A46" s="100">
        <v>10</v>
      </c>
      <c r="B46" s="100">
        <f>'Student Basic Info'!A45</f>
        <v>744</v>
      </c>
      <c r="C46" s="100" t="str">
        <f>'Student Basic Info'!C45</f>
        <v>Tarek Rahman Tamin</v>
      </c>
      <c r="D46" s="100">
        <f>Bangla!G45</f>
        <v>0</v>
      </c>
      <c r="E46" s="100">
        <f>English!F45</f>
        <v>0</v>
      </c>
      <c r="F46" s="100">
        <f>ICT!H45</f>
        <v>0</v>
      </c>
      <c r="G46" s="100">
        <f>Physics!H45</f>
        <v>2</v>
      </c>
      <c r="H46" s="100">
        <f>Chemistry!H45</f>
        <v>0</v>
      </c>
      <c r="I46" s="100">
        <f>Biology!H45</f>
        <v>0</v>
      </c>
      <c r="J46" s="100">
        <f>Math!H45</f>
        <v>0</v>
      </c>
      <c r="K46" s="100">
        <f t="shared" si="7"/>
        <v>0</v>
      </c>
      <c r="L46" s="100">
        <f t="shared" si="7"/>
        <v>0</v>
      </c>
      <c r="M46" s="100">
        <f t="shared" si="7"/>
        <v>0</v>
      </c>
      <c r="N46" s="100">
        <f t="shared" si="7"/>
        <v>1</v>
      </c>
      <c r="O46" s="100">
        <f t="shared" si="7"/>
        <v>0</v>
      </c>
      <c r="P46" s="100">
        <f t="shared" si="7"/>
        <v>0</v>
      </c>
      <c r="Q46" s="100">
        <f t="shared" si="1"/>
        <v>1</v>
      </c>
      <c r="R46" s="100" t="str">
        <f t="shared" si="2"/>
        <v/>
      </c>
      <c r="S46" s="100" t="str">
        <f t="shared" si="3"/>
        <v/>
      </c>
      <c r="T46" s="100" t="str">
        <f t="shared" si="4"/>
        <v/>
      </c>
      <c r="U46" s="100" t="str">
        <f t="shared" si="5"/>
        <v>Failed in 5 Subjects</v>
      </c>
      <c r="V46" s="100" t="str">
        <f t="shared" si="6"/>
        <v/>
      </c>
      <c r="W46" s="100" t="str">
        <f>'Detailed Summary'!BK45</f>
        <v/>
      </c>
    </row>
    <row r="47" spans="1:23" ht="18.5" hidden="1" x14ac:dyDescent="0.45">
      <c r="A47" s="100"/>
      <c r="B47" s="100">
        <f>'Student Basic Info'!A46</f>
        <v>745</v>
      </c>
      <c r="C47" s="100" t="str">
        <f>'Student Basic Info'!C46</f>
        <v>Nabiha Nusrat</v>
      </c>
      <c r="D47" s="100">
        <f>Bangla!G46</f>
        <v>4</v>
      </c>
      <c r="E47" s="100">
        <f>English!F46</f>
        <v>3.5</v>
      </c>
      <c r="F47" s="100">
        <f>ICT!H46</f>
        <v>5</v>
      </c>
      <c r="G47" s="100">
        <f>Physics!H46</f>
        <v>5</v>
      </c>
      <c r="H47" s="100">
        <f>Chemistry!H46</f>
        <v>0</v>
      </c>
      <c r="I47" s="100">
        <f>Biology!H46</f>
        <v>2</v>
      </c>
      <c r="J47" s="100">
        <f>Math!H46</f>
        <v>3.5</v>
      </c>
      <c r="K47" s="100">
        <f t="shared" si="7"/>
        <v>1</v>
      </c>
      <c r="L47" s="100">
        <f t="shared" si="7"/>
        <v>1</v>
      </c>
      <c r="M47" s="100">
        <f t="shared" si="7"/>
        <v>1</v>
      </c>
      <c r="N47" s="100">
        <f t="shared" si="7"/>
        <v>1</v>
      </c>
      <c r="O47" s="100">
        <f t="shared" si="7"/>
        <v>0</v>
      </c>
      <c r="P47" s="100">
        <f t="shared" si="7"/>
        <v>1</v>
      </c>
      <c r="Q47" s="100">
        <f t="shared" si="1"/>
        <v>5</v>
      </c>
      <c r="R47" s="100" t="str">
        <f t="shared" si="2"/>
        <v/>
      </c>
      <c r="S47" s="100" t="str">
        <f t="shared" si="3"/>
        <v/>
      </c>
      <c r="T47" s="100" t="str">
        <f t="shared" si="4"/>
        <v/>
      </c>
      <c r="U47" s="100" t="str">
        <f t="shared" si="5"/>
        <v>Failed in 1 Subject</v>
      </c>
      <c r="V47" s="100" t="str">
        <f t="shared" si="6"/>
        <v/>
      </c>
      <c r="W47" s="100" t="str">
        <f>'Detailed Summary'!BK46</f>
        <v/>
      </c>
    </row>
    <row r="48" spans="1:23" ht="18.5" hidden="1" x14ac:dyDescent="0.45">
      <c r="A48" s="100">
        <v>11</v>
      </c>
      <c r="B48" s="100">
        <f>'Student Basic Info'!A47</f>
        <v>746</v>
      </c>
      <c r="C48" s="100" t="str">
        <f>'Student Basic Info'!C47</f>
        <v>Sharika Mahzabin</v>
      </c>
      <c r="D48" s="100">
        <f>Bangla!G47</f>
        <v>3.5</v>
      </c>
      <c r="E48" s="100">
        <f>English!F47</f>
        <v>3.5</v>
      </c>
      <c r="F48" s="100">
        <f>ICT!H47</f>
        <v>3.5</v>
      </c>
      <c r="G48" s="100">
        <f>Physics!H47</f>
        <v>3.5</v>
      </c>
      <c r="H48" s="100">
        <f>Chemistry!H47</f>
        <v>0</v>
      </c>
      <c r="I48" s="100">
        <f>Biology!H47</f>
        <v>2</v>
      </c>
      <c r="J48" s="100">
        <f>Math!H47</f>
        <v>0</v>
      </c>
      <c r="K48" s="100">
        <f t="shared" si="7"/>
        <v>1</v>
      </c>
      <c r="L48" s="100">
        <f t="shared" si="7"/>
        <v>1</v>
      </c>
      <c r="M48" s="100">
        <f t="shared" si="7"/>
        <v>1</v>
      </c>
      <c r="N48" s="100">
        <f t="shared" si="7"/>
        <v>1</v>
      </c>
      <c r="O48" s="100">
        <f t="shared" si="7"/>
        <v>0</v>
      </c>
      <c r="P48" s="100">
        <f t="shared" si="7"/>
        <v>1</v>
      </c>
      <c r="Q48" s="100">
        <f t="shared" si="1"/>
        <v>5</v>
      </c>
      <c r="R48" s="100" t="str">
        <f t="shared" si="2"/>
        <v/>
      </c>
      <c r="S48" s="100" t="str">
        <f t="shared" si="3"/>
        <v/>
      </c>
      <c r="T48" s="100" t="str">
        <f t="shared" si="4"/>
        <v/>
      </c>
      <c r="U48" s="100" t="str">
        <f t="shared" si="5"/>
        <v>Failed in 1 Subject</v>
      </c>
      <c r="V48" s="100" t="str">
        <f t="shared" si="6"/>
        <v/>
      </c>
      <c r="W48" s="100" t="str">
        <f>'Detailed Summary'!BK47</f>
        <v/>
      </c>
    </row>
    <row r="49" spans="1:23" ht="18.5" hidden="1" x14ac:dyDescent="0.45">
      <c r="A49" s="100">
        <v>12</v>
      </c>
      <c r="B49" s="100">
        <f>'Student Basic Info'!A48</f>
        <v>747</v>
      </c>
      <c r="C49" s="100" t="str">
        <f>'Student Basic Info'!C48</f>
        <v>Jahedul Islam</v>
      </c>
      <c r="D49" s="100">
        <f>Bangla!G48</f>
        <v>2</v>
      </c>
      <c r="E49" s="100">
        <f>English!F48</f>
        <v>0</v>
      </c>
      <c r="F49" s="100">
        <f>ICT!H48</f>
        <v>0</v>
      </c>
      <c r="G49" s="100">
        <f>Physics!H48</f>
        <v>0</v>
      </c>
      <c r="H49" s="100">
        <f>Chemistry!H48</f>
        <v>0</v>
      </c>
      <c r="I49" s="100">
        <f>Biology!H48</f>
        <v>0</v>
      </c>
      <c r="J49" s="100">
        <f>Math!H48</f>
        <v>0</v>
      </c>
      <c r="K49" s="100">
        <f t="shared" si="7"/>
        <v>1</v>
      </c>
      <c r="L49" s="100">
        <f t="shared" si="7"/>
        <v>0</v>
      </c>
      <c r="M49" s="100">
        <f t="shared" si="7"/>
        <v>0</v>
      </c>
      <c r="N49" s="100">
        <f t="shared" si="7"/>
        <v>0</v>
      </c>
      <c r="O49" s="100">
        <f t="shared" si="7"/>
        <v>0</v>
      </c>
      <c r="P49" s="100">
        <f t="shared" si="7"/>
        <v>0</v>
      </c>
      <c r="Q49" s="100">
        <f t="shared" si="1"/>
        <v>1</v>
      </c>
      <c r="R49" s="100" t="str">
        <f t="shared" si="2"/>
        <v/>
      </c>
      <c r="S49" s="100" t="str">
        <f t="shared" si="3"/>
        <v/>
      </c>
      <c r="T49" s="100" t="str">
        <f t="shared" si="4"/>
        <v/>
      </c>
      <c r="U49" s="100" t="str">
        <f t="shared" si="5"/>
        <v>Failed in 5 Subjects</v>
      </c>
      <c r="V49" s="100" t="str">
        <f t="shared" si="6"/>
        <v/>
      </c>
      <c r="W49" s="100" t="str">
        <f>'Detailed Summary'!BK48</f>
        <v/>
      </c>
    </row>
    <row r="50" spans="1:23" ht="18.5" x14ac:dyDescent="0.45">
      <c r="A50" s="100"/>
      <c r="B50" s="100">
        <f>'Student Basic Info'!A49</f>
        <v>748</v>
      </c>
      <c r="C50" s="100" t="str">
        <f>'Student Basic Info'!C49</f>
        <v>Merina Parshi</v>
      </c>
      <c r="D50" s="100">
        <f>Bangla!G49</f>
        <v>2</v>
      </c>
      <c r="E50" s="100">
        <f>English!F49</f>
        <v>0</v>
      </c>
      <c r="F50" s="100">
        <f>ICT!H49</f>
        <v>0</v>
      </c>
      <c r="G50" s="100">
        <f>Physics!H49</f>
        <v>0</v>
      </c>
      <c r="H50" s="100">
        <f>Chemistry!H49</f>
        <v>0</v>
      </c>
      <c r="I50" s="100">
        <f>Biology!H49</f>
        <v>0</v>
      </c>
      <c r="J50" s="100">
        <f>Math!H49</f>
        <v>0</v>
      </c>
      <c r="K50" s="100">
        <f t="shared" si="7"/>
        <v>1</v>
      </c>
      <c r="L50" s="100">
        <f t="shared" si="7"/>
        <v>0</v>
      </c>
      <c r="M50" s="100">
        <f t="shared" si="7"/>
        <v>0</v>
      </c>
      <c r="N50" s="100">
        <f t="shared" si="7"/>
        <v>0</v>
      </c>
      <c r="O50" s="100">
        <f t="shared" si="7"/>
        <v>0</v>
      </c>
      <c r="P50" s="100">
        <f t="shared" si="7"/>
        <v>0</v>
      </c>
      <c r="Q50" s="100">
        <f t="shared" si="1"/>
        <v>1</v>
      </c>
      <c r="R50" s="100" t="str">
        <f t="shared" si="2"/>
        <v/>
      </c>
      <c r="S50" s="100" t="str">
        <f t="shared" si="3"/>
        <v/>
      </c>
      <c r="T50" s="100" t="str">
        <f t="shared" si="4"/>
        <v/>
      </c>
      <c r="U50" s="100" t="str">
        <f t="shared" si="5"/>
        <v>Failed in 5 Subjects</v>
      </c>
      <c r="V50" s="100" t="str">
        <f t="shared" si="6"/>
        <v/>
      </c>
      <c r="W50" s="100" t="str">
        <f>'Detailed Summary'!BK49</f>
        <v/>
      </c>
    </row>
    <row r="51" spans="1:23" ht="18.5" x14ac:dyDescent="0.45">
      <c r="A51" s="100"/>
      <c r="B51" s="100">
        <f>'Student Basic Info'!A50</f>
        <v>749</v>
      </c>
      <c r="C51" s="100" t="str">
        <f>'Student Basic Info'!C50</f>
        <v>Shekh Shohrab Hosain</v>
      </c>
      <c r="D51" s="100">
        <f>Bangla!G50</f>
        <v>1</v>
      </c>
      <c r="E51" s="100">
        <f>English!F50</f>
        <v>0</v>
      </c>
      <c r="F51" s="100">
        <f>ICT!H50</f>
        <v>0</v>
      </c>
      <c r="G51" s="100">
        <f>Physics!H50</f>
        <v>0</v>
      </c>
      <c r="H51" s="100">
        <f>Chemistry!H50</f>
        <v>0</v>
      </c>
      <c r="I51" s="100">
        <f>Biology!H50</f>
        <v>0</v>
      </c>
      <c r="J51" s="100">
        <f>Math!H50</f>
        <v>0</v>
      </c>
      <c r="K51" s="100">
        <f t="shared" si="7"/>
        <v>1</v>
      </c>
      <c r="L51" s="100">
        <f t="shared" si="7"/>
        <v>0</v>
      </c>
      <c r="M51" s="100">
        <f t="shared" si="7"/>
        <v>0</v>
      </c>
      <c r="N51" s="100">
        <f t="shared" si="7"/>
        <v>0</v>
      </c>
      <c r="O51" s="100">
        <f t="shared" si="7"/>
        <v>0</v>
      </c>
      <c r="P51" s="100">
        <f t="shared" si="7"/>
        <v>0</v>
      </c>
      <c r="Q51" s="100">
        <f t="shared" si="1"/>
        <v>1</v>
      </c>
      <c r="R51" s="100" t="str">
        <f t="shared" si="2"/>
        <v/>
      </c>
      <c r="S51" s="100" t="str">
        <f t="shared" si="3"/>
        <v/>
      </c>
      <c r="T51" s="100" t="str">
        <f t="shared" si="4"/>
        <v/>
      </c>
      <c r="U51" s="100" t="str">
        <f t="shared" si="5"/>
        <v>Failed in 5 Subjects</v>
      </c>
      <c r="V51" s="100" t="str">
        <f t="shared" si="6"/>
        <v/>
      </c>
      <c r="W51" s="100" t="str">
        <f>'Detailed Summary'!BK50</f>
        <v/>
      </c>
    </row>
    <row r="52" spans="1:23" ht="18.5" hidden="1" x14ac:dyDescent="0.45">
      <c r="A52" s="100">
        <v>13</v>
      </c>
      <c r="B52" s="100">
        <f>'Student Basic Info'!A51</f>
        <v>750</v>
      </c>
      <c r="C52" s="100" t="str">
        <f>'Student Basic Info'!C51</f>
        <v>Purnima Aktar</v>
      </c>
      <c r="D52" s="100" t="str">
        <f>Bangla!G51</f>
        <v/>
      </c>
      <c r="E52" s="100" t="str">
        <f>English!F51</f>
        <v/>
      </c>
      <c r="F52" s="100" t="str">
        <f>ICT!H51</f>
        <v/>
      </c>
      <c r="G52" s="100" t="str">
        <f>Physics!H51</f>
        <v/>
      </c>
      <c r="H52" s="100" t="str">
        <f>Chemistry!H51</f>
        <v/>
      </c>
      <c r="I52" s="100" t="str">
        <f>Biology!H51</f>
        <v/>
      </c>
      <c r="J52" s="100" t="str">
        <f>Math!H51</f>
        <v/>
      </c>
      <c r="K52" s="100">
        <f t="shared" si="7"/>
        <v>0</v>
      </c>
      <c r="L52" s="100">
        <f t="shared" si="7"/>
        <v>0</v>
      </c>
      <c r="M52" s="100">
        <f t="shared" si="7"/>
        <v>0</v>
      </c>
      <c r="N52" s="100">
        <f t="shared" si="7"/>
        <v>0</v>
      </c>
      <c r="O52" s="100">
        <f t="shared" si="7"/>
        <v>0</v>
      </c>
      <c r="P52" s="100">
        <f t="shared" si="7"/>
        <v>0</v>
      </c>
      <c r="Q52" s="100">
        <f t="shared" si="1"/>
        <v>0</v>
      </c>
      <c r="R52" s="100" t="str">
        <f t="shared" si="2"/>
        <v/>
      </c>
      <c r="S52" s="100" t="str">
        <f t="shared" si="3"/>
        <v/>
      </c>
      <c r="T52" s="100" t="str">
        <f t="shared" si="4"/>
        <v/>
      </c>
      <c r="U52" s="100" t="str">
        <f t="shared" si="5"/>
        <v>Failed in 6 Subjects</v>
      </c>
      <c r="V52" s="100" t="str">
        <f t="shared" si="6"/>
        <v/>
      </c>
      <c r="W52" s="100" t="str">
        <f>'Detailed Summary'!BK51</f>
        <v/>
      </c>
    </row>
    <row r="53" spans="1:23" ht="18.5" hidden="1" x14ac:dyDescent="0.45">
      <c r="A53" s="100"/>
      <c r="B53" s="100">
        <f>'Student Basic Info'!A52</f>
        <v>751</v>
      </c>
      <c r="C53" s="100" t="str">
        <f>'Student Basic Info'!C52</f>
        <v>Hridwal  Al Mahmul</v>
      </c>
      <c r="D53" s="100">
        <f>Bangla!G52</f>
        <v>2</v>
      </c>
      <c r="E53" s="100">
        <f>English!F52</f>
        <v>0</v>
      </c>
      <c r="F53" s="100">
        <f>ICT!H52</f>
        <v>0</v>
      </c>
      <c r="G53" s="100">
        <f>Physics!H52</f>
        <v>3.5</v>
      </c>
      <c r="H53" s="100">
        <f>Chemistry!H52</f>
        <v>0</v>
      </c>
      <c r="I53" s="100">
        <f>Biology!H52</f>
        <v>0</v>
      </c>
      <c r="J53" s="100" t="str">
        <f>Math!H52</f>
        <v/>
      </c>
      <c r="K53" s="100">
        <f t="shared" si="7"/>
        <v>1</v>
      </c>
      <c r="L53" s="100">
        <f t="shared" si="7"/>
        <v>0</v>
      </c>
      <c r="M53" s="100">
        <f t="shared" si="7"/>
        <v>0</v>
      </c>
      <c r="N53" s="100">
        <f t="shared" si="7"/>
        <v>1</v>
      </c>
      <c r="O53" s="100">
        <f t="shared" si="7"/>
        <v>0</v>
      </c>
      <c r="P53" s="100">
        <f t="shared" si="7"/>
        <v>0</v>
      </c>
      <c r="Q53" s="100">
        <f t="shared" si="1"/>
        <v>2</v>
      </c>
      <c r="R53" s="100" t="str">
        <f t="shared" si="2"/>
        <v/>
      </c>
      <c r="S53" s="100" t="str">
        <f t="shared" si="3"/>
        <v/>
      </c>
      <c r="T53" s="100" t="str">
        <f t="shared" si="4"/>
        <v/>
      </c>
      <c r="U53" s="100" t="str">
        <f t="shared" si="5"/>
        <v>Failed in 4 Subjects</v>
      </c>
      <c r="V53" s="100" t="str">
        <f t="shared" si="6"/>
        <v/>
      </c>
      <c r="W53" s="100" t="str">
        <f>'Detailed Summary'!BK52</f>
        <v/>
      </c>
    </row>
    <row r="54" spans="1:23" ht="18.5" hidden="1" x14ac:dyDescent="0.45">
      <c r="A54" s="100"/>
      <c r="B54" s="100">
        <f>'Student Basic Info'!A53</f>
        <v>752</v>
      </c>
      <c r="C54" s="100" t="str">
        <f>'Student Basic Info'!C53</f>
        <v>Sabbir Hosain</v>
      </c>
      <c r="D54" s="100" t="str">
        <f>Bangla!G53</f>
        <v/>
      </c>
      <c r="E54" s="100" t="str">
        <f>English!F53</f>
        <v/>
      </c>
      <c r="F54" s="100" t="str">
        <f>ICT!H53</f>
        <v/>
      </c>
      <c r="G54" s="100" t="str">
        <f>Physics!H53</f>
        <v/>
      </c>
      <c r="H54" s="100" t="str">
        <f>Chemistry!H53</f>
        <v/>
      </c>
      <c r="I54" s="100" t="str">
        <f>Biology!H53</f>
        <v/>
      </c>
      <c r="J54" s="100" t="str">
        <f>Math!H53</f>
        <v/>
      </c>
      <c r="K54" s="100">
        <f t="shared" si="7"/>
        <v>0</v>
      </c>
      <c r="L54" s="100">
        <f t="shared" si="7"/>
        <v>0</v>
      </c>
      <c r="M54" s="100">
        <f t="shared" si="7"/>
        <v>0</v>
      </c>
      <c r="N54" s="100">
        <f t="shared" si="7"/>
        <v>0</v>
      </c>
      <c r="O54" s="100">
        <f t="shared" si="7"/>
        <v>0</v>
      </c>
      <c r="P54" s="100">
        <f t="shared" si="7"/>
        <v>0</v>
      </c>
      <c r="Q54" s="100">
        <f t="shared" si="1"/>
        <v>0</v>
      </c>
      <c r="R54" s="100" t="str">
        <f t="shared" si="2"/>
        <v/>
      </c>
      <c r="S54" s="100" t="str">
        <f t="shared" si="3"/>
        <v/>
      </c>
      <c r="T54" s="100" t="str">
        <f t="shared" si="4"/>
        <v/>
      </c>
      <c r="U54" s="100" t="str">
        <f t="shared" si="5"/>
        <v>Failed in 6 Subjects</v>
      </c>
      <c r="V54" s="100" t="str">
        <f t="shared" si="6"/>
        <v/>
      </c>
      <c r="W54" s="100" t="str">
        <f>'Detailed Summary'!BK53</f>
        <v/>
      </c>
    </row>
    <row r="55" spans="1:23" ht="18.5" hidden="1" x14ac:dyDescent="0.45">
      <c r="A55" s="100"/>
      <c r="B55" s="100">
        <f>'Student Basic Info'!A54</f>
        <v>753</v>
      </c>
      <c r="C55" s="100" t="str">
        <f>'Student Basic Info'!C54</f>
        <v>Shohidul Islam</v>
      </c>
      <c r="D55" s="100">
        <f>Bangla!G54</f>
        <v>0</v>
      </c>
      <c r="E55" s="100">
        <f>English!F54</f>
        <v>1</v>
      </c>
      <c r="F55" s="100">
        <f>ICT!H54</f>
        <v>0</v>
      </c>
      <c r="G55" s="100">
        <f>Physics!H54</f>
        <v>0</v>
      </c>
      <c r="H55" s="100">
        <f>Chemistry!H54</f>
        <v>0</v>
      </c>
      <c r="I55" s="100">
        <f>Biology!H54</f>
        <v>3</v>
      </c>
      <c r="J55" s="100">
        <f>Math!H54</f>
        <v>0</v>
      </c>
      <c r="K55" s="100">
        <f t="shared" si="7"/>
        <v>0</v>
      </c>
      <c r="L55" s="100">
        <f t="shared" si="7"/>
        <v>1</v>
      </c>
      <c r="M55" s="100">
        <f t="shared" si="7"/>
        <v>0</v>
      </c>
      <c r="N55" s="100">
        <f t="shared" si="7"/>
        <v>0</v>
      </c>
      <c r="O55" s="100">
        <f t="shared" si="7"/>
        <v>0</v>
      </c>
      <c r="P55" s="100">
        <f t="shared" si="7"/>
        <v>1</v>
      </c>
      <c r="Q55" s="100">
        <f t="shared" si="1"/>
        <v>2</v>
      </c>
      <c r="R55" s="100" t="str">
        <f t="shared" si="2"/>
        <v/>
      </c>
      <c r="S55" s="100" t="str">
        <f t="shared" si="3"/>
        <v/>
      </c>
      <c r="T55" s="100" t="str">
        <f t="shared" si="4"/>
        <v/>
      </c>
      <c r="U55" s="100" t="str">
        <f t="shared" si="5"/>
        <v>Failed in 4 Subjects</v>
      </c>
      <c r="V55" s="100" t="str">
        <f t="shared" si="6"/>
        <v/>
      </c>
      <c r="W55" s="100" t="str">
        <f>'Detailed Summary'!BK54</f>
        <v/>
      </c>
    </row>
    <row r="56" spans="1:23" ht="18.5" x14ac:dyDescent="0.45">
      <c r="A56" s="100"/>
      <c r="B56" s="100">
        <f>'Student Basic Info'!A55</f>
        <v>754</v>
      </c>
      <c r="C56" s="100" t="str">
        <f>'Student Basic Info'!C55</f>
        <v>Shahriyar Nafiz</v>
      </c>
      <c r="D56" s="100">
        <f>Bangla!G55</f>
        <v>3</v>
      </c>
      <c r="E56" s="100">
        <f>English!F55</f>
        <v>0</v>
      </c>
      <c r="F56" s="100">
        <f>ICT!H55</f>
        <v>0</v>
      </c>
      <c r="G56" s="100">
        <f>Physics!H55</f>
        <v>0</v>
      </c>
      <c r="H56" s="100">
        <f>Chemistry!H55</f>
        <v>0</v>
      </c>
      <c r="I56" s="100">
        <f>Biology!H55</f>
        <v>0</v>
      </c>
      <c r="J56" s="100">
        <f>Math!H55</f>
        <v>0</v>
      </c>
      <c r="K56" s="100">
        <f t="shared" si="7"/>
        <v>1</v>
      </c>
      <c r="L56" s="100">
        <f t="shared" si="7"/>
        <v>0</v>
      </c>
      <c r="M56" s="100">
        <f t="shared" si="7"/>
        <v>0</v>
      </c>
      <c r="N56" s="100">
        <f t="shared" si="7"/>
        <v>0</v>
      </c>
      <c r="O56" s="100">
        <f t="shared" si="7"/>
        <v>0</v>
      </c>
      <c r="P56" s="100">
        <f t="shared" si="7"/>
        <v>0</v>
      </c>
      <c r="Q56" s="100">
        <f t="shared" si="1"/>
        <v>1</v>
      </c>
      <c r="R56" s="100" t="str">
        <f t="shared" si="2"/>
        <v/>
      </c>
      <c r="S56" s="100" t="str">
        <f t="shared" si="3"/>
        <v/>
      </c>
      <c r="T56" s="100" t="str">
        <f t="shared" si="4"/>
        <v/>
      </c>
      <c r="U56" s="100" t="str">
        <f t="shared" si="5"/>
        <v>Failed in 5 Subjects</v>
      </c>
      <c r="V56" s="100" t="str">
        <f t="shared" si="6"/>
        <v/>
      </c>
      <c r="W56" s="100" t="str">
        <f>'Detailed Summary'!BK55</f>
        <v/>
      </c>
    </row>
    <row r="57" spans="1:23" ht="18.5" x14ac:dyDescent="0.45">
      <c r="A57" s="100"/>
      <c r="B57" s="100">
        <f>'Student Basic Info'!A56</f>
        <v>755</v>
      </c>
      <c r="C57" s="100" t="str">
        <f>'Student Basic Info'!C56</f>
        <v xml:space="preserve">Md. Ibrahim </v>
      </c>
      <c r="D57" s="100">
        <f>Bangla!G56</f>
        <v>0</v>
      </c>
      <c r="E57" s="100">
        <f>English!F56</f>
        <v>0</v>
      </c>
      <c r="F57" s="100">
        <f>ICT!H56</f>
        <v>0</v>
      </c>
      <c r="G57" s="100">
        <f>Physics!H56</f>
        <v>0</v>
      </c>
      <c r="H57" s="100">
        <f>Chemistry!H56</f>
        <v>0</v>
      </c>
      <c r="I57" s="100">
        <f>Biology!H56</f>
        <v>0</v>
      </c>
      <c r="J57" s="100">
        <f>Math!H56</f>
        <v>0</v>
      </c>
      <c r="K57" s="100">
        <f t="shared" si="7"/>
        <v>0</v>
      </c>
      <c r="L57" s="100">
        <f t="shared" si="7"/>
        <v>0</v>
      </c>
      <c r="M57" s="100">
        <f t="shared" si="7"/>
        <v>0</v>
      </c>
      <c r="N57" s="100">
        <f t="shared" si="7"/>
        <v>0</v>
      </c>
      <c r="O57" s="100">
        <f t="shared" si="7"/>
        <v>0</v>
      </c>
      <c r="P57" s="100">
        <f t="shared" si="7"/>
        <v>0</v>
      </c>
      <c r="Q57" s="100">
        <f t="shared" si="1"/>
        <v>0</v>
      </c>
      <c r="R57" s="100" t="str">
        <f t="shared" si="2"/>
        <v/>
      </c>
      <c r="S57" s="100" t="str">
        <f t="shared" si="3"/>
        <v/>
      </c>
      <c r="T57" s="100" t="str">
        <f t="shared" si="4"/>
        <v/>
      </c>
      <c r="U57" s="100" t="str">
        <f t="shared" si="5"/>
        <v>Failed in 6 Subjects</v>
      </c>
      <c r="V57" s="100" t="str">
        <f t="shared" si="6"/>
        <v/>
      </c>
      <c r="W57" s="100" t="str">
        <f>'Detailed Summary'!BK56</f>
        <v/>
      </c>
    </row>
    <row r="58" spans="1:23" ht="18.5" hidden="1" x14ac:dyDescent="0.45">
      <c r="A58" s="100"/>
      <c r="B58" s="100">
        <f>'Student Basic Info'!A57</f>
        <v>756</v>
      </c>
      <c r="C58" s="100" t="str">
        <f>'Student Basic Info'!C57</f>
        <v>Fahmida Tabassum</v>
      </c>
      <c r="D58" s="100">
        <f>Bangla!G57</f>
        <v>3</v>
      </c>
      <c r="E58" s="100">
        <f>English!F57</f>
        <v>1</v>
      </c>
      <c r="F58" s="100">
        <f>ICT!H57</f>
        <v>0</v>
      </c>
      <c r="G58" s="100">
        <f>Physics!H57</f>
        <v>3</v>
      </c>
      <c r="H58" s="100">
        <f>Chemistry!H57</f>
        <v>0</v>
      </c>
      <c r="I58" s="100">
        <f>Biology!H57</f>
        <v>0</v>
      </c>
      <c r="J58" s="100">
        <f>Math!H57</f>
        <v>0</v>
      </c>
      <c r="K58" s="100">
        <f t="shared" si="7"/>
        <v>1</v>
      </c>
      <c r="L58" s="100">
        <f t="shared" si="7"/>
        <v>1</v>
      </c>
      <c r="M58" s="100">
        <f t="shared" si="7"/>
        <v>0</v>
      </c>
      <c r="N58" s="100">
        <f t="shared" si="7"/>
        <v>1</v>
      </c>
      <c r="O58" s="100">
        <f t="shared" si="7"/>
        <v>0</v>
      </c>
      <c r="P58" s="100">
        <f t="shared" si="7"/>
        <v>0</v>
      </c>
      <c r="Q58" s="100">
        <f t="shared" si="1"/>
        <v>3</v>
      </c>
      <c r="R58" s="100" t="str">
        <f t="shared" si="2"/>
        <v/>
      </c>
      <c r="S58" s="100" t="str">
        <f t="shared" si="3"/>
        <v/>
      </c>
      <c r="T58" s="100" t="str">
        <f t="shared" si="4"/>
        <v/>
      </c>
      <c r="U58" s="100" t="str">
        <f t="shared" si="5"/>
        <v>Failed in 3 Subjects</v>
      </c>
      <c r="V58" s="100" t="str">
        <f t="shared" si="6"/>
        <v/>
      </c>
      <c r="W58" s="100" t="str">
        <f>'Detailed Summary'!BK57</f>
        <v/>
      </c>
    </row>
    <row r="59" spans="1:23" ht="18.5" hidden="1" x14ac:dyDescent="0.45">
      <c r="A59" s="100"/>
      <c r="B59" s="100">
        <f>'Student Basic Info'!A58</f>
        <v>757</v>
      </c>
      <c r="C59" s="100" t="str">
        <f>'Student Basic Info'!C58</f>
        <v>Meheraj Uddin</v>
      </c>
      <c r="D59" s="100">
        <f>Bangla!G58</f>
        <v>0</v>
      </c>
      <c r="E59" s="100">
        <f>English!F58</f>
        <v>0</v>
      </c>
      <c r="F59" s="100">
        <f>ICT!H58</f>
        <v>0</v>
      </c>
      <c r="G59" s="100">
        <f>Physics!H58</f>
        <v>0</v>
      </c>
      <c r="H59" s="100">
        <f>Chemistry!H58</f>
        <v>0</v>
      </c>
      <c r="I59" s="100">
        <f>Biology!H58</f>
        <v>0</v>
      </c>
      <c r="J59" s="100">
        <f>Math!H58</f>
        <v>0</v>
      </c>
      <c r="K59" s="100">
        <f t="shared" si="7"/>
        <v>0</v>
      </c>
      <c r="L59" s="100">
        <f t="shared" si="7"/>
        <v>0</v>
      </c>
      <c r="M59" s="100">
        <f t="shared" si="7"/>
        <v>0</v>
      </c>
      <c r="N59" s="100">
        <f t="shared" si="7"/>
        <v>0</v>
      </c>
      <c r="O59" s="100">
        <f t="shared" si="7"/>
        <v>0</v>
      </c>
      <c r="P59" s="100">
        <f t="shared" si="7"/>
        <v>0</v>
      </c>
      <c r="Q59" s="100">
        <f t="shared" si="1"/>
        <v>0</v>
      </c>
      <c r="R59" s="100" t="str">
        <f t="shared" si="2"/>
        <v/>
      </c>
      <c r="S59" s="100" t="str">
        <f t="shared" si="3"/>
        <v/>
      </c>
      <c r="T59" s="100" t="str">
        <f t="shared" si="4"/>
        <v/>
      </c>
      <c r="U59" s="100" t="str">
        <f t="shared" si="5"/>
        <v>Failed in 6 Subjects</v>
      </c>
      <c r="V59" s="100" t="str">
        <f t="shared" si="6"/>
        <v/>
      </c>
      <c r="W59" s="100" t="str">
        <f>'Detailed Summary'!BK58</f>
        <v/>
      </c>
    </row>
    <row r="60" spans="1:23" ht="18.5" hidden="1" x14ac:dyDescent="0.45">
      <c r="A60" s="100"/>
      <c r="B60" s="100">
        <f>'Student Basic Info'!A59</f>
        <v>758</v>
      </c>
      <c r="C60" s="100" t="str">
        <f>'Student Basic Info'!C59</f>
        <v>Naimur Rahman</v>
      </c>
      <c r="D60" s="100">
        <f>Bangla!G59</f>
        <v>1</v>
      </c>
      <c r="E60" s="100">
        <f>English!F59</f>
        <v>2</v>
      </c>
      <c r="F60" s="100">
        <f>ICT!H59</f>
        <v>0</v>
      </c>
      <c r="G60" s="100">
        <f>Physics!H59</f>
        <v>0</v>
      </c>
      <c r="H60" s="100">
        <f>Chemistry!H59</f>
        <v>0</v>
      </c>
      <c r="I60" s="100">
        <f>Biology!H59</f>
        <v>0</v>
      </c>
      <c r="J60" s="100">
        <f>Math!H59</f>
        <v>0</v>
      </c>
      <c r="K60" s="100">
        <f t="shared" si="7"/>
        <v>1</v>
      </c>
      <c r="L60" s="100">
        <f t="shared" si="7"/>
        <v>1</v>
      </c>
      <c r="M60" s="100">
        <f t="shared" si="7"/>
        <v>0</v>
      </c>
      <c r="N60" s="100">
        <f t="shared" si="7"/>
        <v>0</v>
      </c>
      <c r="O60" s="100">
        <f t="shared" si="7"/>
        <v>0</v>
      </c>
      <c r="P60" s="100">
        <f t="shared" si="7"/>
        <v>0</v>
      </c>
      <c r="Q60" s="100">
        <f t="shared" si="1"/>
        <v>2</v>
      </c>
      <c r="R60" s="100" t="str">
        <f t="shared" si="2"/>
        <v/>
      </c>
      <c r="S60" s="100" t="str">
        <f t="shared" si="3"/>
        <v/>
      </c>
      <c r="T60" s="100" t="str">
        <f t="shared" si="4"/>
        <v/>
      </c>
      <c r="U60" s="100" t="str">
        <f t="shared" si="5"/>
        <v>Failed in 4 Subjects</v>
      </c>
      <c r="V60" s="100" t="str">
        <f t="shared" si="6"/>
        <v/>
      </c>
      <c r="W60" s="100" t="str">
        <f>'Detailed Summary'!BK59</f>
        <v/>
      </c>
    </row>
    <row r="61" spans="1:23" ht="18.5" hidden="1" x14ac:dyDescent="0.45">
      <c r="A61" s="100"/>
      <c r="B61" s="100">
        <f>'Student Basic Info'!A60</f>
        <v>759</v>
      </c>
      <c r="C61" s="100" t="str">
        <f>'Student Basic Info'!C60</f>
        <v>Amzad Hosain</v>
      </c>
      <c r="D61" s="100">
        <f>Bangla!G60</f>
        <v>3.5</v>
      </c>
      <c r="E61" s="100">
        <f>English!F60</f>
        <v>1</v>
      </c>
      <c r="F61" s="100">
        <f>ICT!H60</f>
        <v>5</v>
      </c>
      <c r="G61" s="100">
        <f>Physics!H60</f>
        <v>3.5</v>
      </c>
      <c r="H61" s="100">
        <f>Chemistry!H60</f>
        <v>5</v>
      </c>
      <c r="I61" s="100">
        <f>Biology!H60</f>
        <v>3</v>
      </c>
      <c r="J61" s="100">
        <f>Math!H60</f>
        <v>5</v>
      </c>
      <c r="K61" s="100">
        <f t="shared" si="7"/>
        <v>1</v>
      </c>
      <c r="L61" s="100">
        <f t="shared" si="7"/>
        <v>1</v>
      </c>
      <c r="M61" s="100">
        <f t="shared" si="7"/>
        <v>1</v>
      </c>
      <c r="N61" s="100">
        <f t="shared" si="7"/>
        <v>1</v>
      </c>
      <c r="O61" s="100">
        <f t="shared" si="7"/>
        <v>1</v>
      </c>
      <c r="P61" s="100">
        <f t="shared" si="7"/>
        <v>1</v>
      </c>
      <c r="Q61" s="100">
        <f t="shared" si="1"/>
        <v>6</v>
      </c>
      <c r="R61" s="100">
        <f t="shared" si="2"/>
        <v>21</v>
      </c>
      <c r="S61" s="100">
        <f t="shared" si="3"/>
        <v>26</v>
      </c>
      <c r="T61" s="100">
        <f t="shared" si="4"/>
        <v>3.5</v>
      </c>
      <c r="U61" s="100" t="str">
        <f t="shared" si="5"/>
        <v>Pass</v>
      </c>
      <c r="V61" s="100">
        <f t="shared" si="6"/>
        <v>4.333333333333333</v>
      </c>
      <c r="W61" s="100">
        <f>'Detailed Summary'!BK60</f>
        <v>2</v>
      </c>
    </row>
    <row r="62" spans="1:23" ht="18.5" hidden="1" x14ac:dyDescent="0.45">
      <c r="A62" s="100"/>
      <c r="B62" s="100">
        <f>'Student Basic Info'!A61</f>
        <v>760</v>
      </c>
      <c r="C62" s="100" t="str">
        <f>'Student Basic Info'!C61</f>
        <v>Imdadul Haque Zidan</v>
      </c>
      <c r="D62" s="100">
        <f>Bangla!G61</f>
        <v>1</v>
      </c>
      <c r="E62" s="100">
        <f>English!F61</f>
        <v>1</v>
      </c>
      <c r="F62" s="100" t="str">
        <f>ICT!H61</f>
        <v/>
      </c>
      <c r="G62" s="100">
        <f>Physics!H61</f>
        <v>0</v>
      </c>
      <c r="H62" s="100">
        <f>Chemistry!H61</f>
        <v>3</v>
      </c>
      <c r="I62" s="100">
        <f>Biology!H61</f>
        <v>0</v>
      </c>
      <c r="J62" s="100">
        <f>Math!H61</f>
        <v>0</v>
      </c>
      <c r="K62" s="100">
        <f t="shared" si="7"/>
        <v>1</v>
      </c>
      <c r="L62" s="100">
        <f t="shared" si="7"/>
        <v>1</v>
      </c>
      <c r="M62" s="100">
        <f t="shared" si="7"/>
        <v>0</v>
      </c>
      <c r="N62" s="100">
        <f t="shared" si="7"/>
        <v>0</v>
      </c>
      <c r="O62" s="100">
        <f t="shared" si="7"/>
        <v>1</v>
      </c>
      <c r="P62" s="100">
        <f t="shared" si="7"/>
        <v>0</v>
      </c>
      <c r="Q62" s="100">
        <f t="shared" si="1"/>
        <v>3</v>
      </c>
      <c r="R62" s="100" t="str">
        <f t="shared" si="2"/>
        <v/>
      </c>
      <c r="S62" s="100" t="str">
        <f t="shared" si="3"/>
        <v/>
      </c>
      <c r="T62" s="100" t="str">
        <f t="shared" si="4"/>
        <v/>
      </c>
      <c r="U62" s="100" t="str">
        <f t="shared" si="5"/>
        <v>Failed in 3 Subjects</v>
      </c>
      <c r="V62" s="100" t="str">
        <f t="shared" si="6"/>
        <v/>
      </c>
      <c r="W62" s="100" t="str">
        <f>'Detailed Summary'!BK61</f>
        <v/>
      </c>
    </row>
    <row r="63" spans="1:23" ht="18.5" hidden="1" x14ac:dyDescent="0.45">
      <c r="A63" s="100"/>
      <c r="B63" s="100">
        <f>'Student Basic Info'!A62</f>
        <v>761</v>
      </c>
      <c r="C63" s="100" t="str">
        <f>'Student Basic Info'!C62</f>
        <v>Nazmul Haque Sayem</v>
      </c>
      <c r="D63" s="100">
        <f>Bangla!G62</f>
        <v>1</v>
      </c>
      <c r="E63" s="100">
        <f>English!F62</f>
        <v>1</v>
      </c>
      <c r="F63" s="100">
        <f>ICT!H62</f>
        <v>3.5</v>
      </c>
      <c r="G63" s="100">
        <f>Physics!H62</f>
        <v>0</v>
      </c>
      <c r="H63" s="100" t="str">
        <f>Chemistry!H62</f>
        <v/>
      </c>
      <c r="I63" s="100">
        <f>Biology!H62</f>
        <v>0</v>
      </c>
      <c r="J63" s="100">
        <f>Math!H62</f>
        <v>0</v>
      </c>
      <c r="K63" s="100">
        <f t="shared" si="7"/>
        <v>1</v>
      </c>
      <c r="L63" s="100">
        <f t="shared" si="7"/>
        <v>1</v>
      </c>
      <c r="M63" s="100">
        <f t="shared" si="7"/>
        <v>1</v>
      </c>
      <c r="N63" s="100">
        <f t="shared" si="7"/>
        <v>0</v>
      </c>
      <c r="O63" s="100">
        <f t="shared" si="7"/>
        <v>0</v>
      </c>
      <c r="P63" s="100">
        <f t="shared" si="7"/>
        <v>0</v>
      </c>
      <c r="Q63" s="100">
        <f t="shared" si="1"/>
        <v>3</v>
      </c>
      <c r="R63" s="100" t="str">
        <f t="shared" si="2"/>
        <v/>
      </c>
      <c r="S63" s="100" t="str">
        <f t="shared" si="3"/>
        <v/>
      </c>
      <c r="T63" s="100" t="str">
        <f t="shared" si="4"/>
        <v/>
      </c>
      <c r="U63" s="100" t="str">
        <f t="shared" si="5"/>
        <v>Failed in 3 Subjects</v>
      </c>
      <c r="V63" s="100" t="str">
        <f t="shared" si="6"/>
        <v/>
      </c>
      <c r="W63" s="100" t="str">
        <f>'Detailed Summary'!BK62</f>
        <v/>
      </c>
    </row>
    <row r="64" spans="1:23" ht="18.5" hidden="1" x14ac:dyDescent="0.45">
      <c r="A64" s="100"/>
      <c r="B64" s="100">
        <f>'Student Basic Info'!A63</f>
        <v>762</v>
      </c>
      <c r="C64" s="100" t="str">
        <f>'Student Basic Info'!C63</f>
        <v>Sadbin Hasan Shourov</v>
      </c>
      <c r="D64" s="100">
        <f>Bangla!G63</f>
        <v>1</v>
      </c>
      <c r="E64" s="100">
        <f>English!F63</f>
        <v>2</v>
      </c>
      <c r="F64" s="100">
        <f>ICT!H63</f>
        <v>3.5</v>
      </c>
      <c r="G64" s="100">
        <f>Physics!H63</f>
        <v>0</v>
      </c>
      <c r="H64" s="100">
        <f>Chemistry!H63</f>
        <v>2</v>
      </c>
      <c r="I64" s="100">
        <f>Biology!H63</f>
        <v>0</v>
      </c>
      <c r="J64" s="100">
        <f>Math!H63</f>
        <v>0</v>
      </c>
      <c r="K64" s="100">
        <f t="shared" si="7"/>
        <v>1</v>
      </c>
      <c r="L64" s="100">
        <f t="shared" si="7"/>
        <v>1</v>
      </c>
      <c r="M64" s="100">
        <f t="shared" si="7"/>
        <v>1</v>
      </c>
      <c r="N64" s="100">
        <f t="shared" si="7"/>
        <v>0</v>
      </c>
      <c r="O64" s="100">
        <f t="shared" si="7"/>
        <v>1</v>
      </c>
      <c r="P64" s="100">
        <f t="shared" si="7"/>
        <v>0</v>
      </c>
      <c r="Q64" s="100">
        <f t="shared" si="1"/>
        <v>4</v>
      </c>
      <c r="R64" s="100" t="str">
        <f t="shared" si="2"/>
        <v/>
      </c>
      <c r="S64" s="100" t="str">
        <f t="shared" si="3"/>
        <v/>
      </c>
      <c r="T64" s="100" t="str">
        <f t="shared" si="4"/>
        <v/>
      </c>
      <c r="U64" s="100" t="str">
        <f t="shared" si="5"/>
        <v>Failed in 2 Subjects</v>
      </c>
      <c r="V64" s="100" t="str">
        <f t="shared" si="6"/>
        <v/>
      </c>
      <c r="W64" s="100" t="str">
        <f>'Detailed Summary'!BK63</f>
        <v/>
      </c>
    </row>
    <row r="65" spans="1:23" ht="18.5" hidden="1" x14ac:dyDescent="0.45">
      <c r="A65" s="100"/>
      <c r="B65" s="100">
        <f>'Student Basic Info'!A64</f>
        <v>763</v>
      </c>
      <c r="C65" s="100" t="str">
        <f>'Student Basic Info'!C64</f>
        <v>Sujayet Hosain</v>
      </c>
      <c r="D65" s="100">
        <f>Bangla!G64</f>
        <v>3</v>
      </c>
      <c r="E65" s="100">
        <f>English!F64</f>
        <v>1</v>
      </c>
      <c r="F65" s="100">
        <f>ICT!H64</f>
        <v>0</v>
      </c>
      <c r="G65" s="100">
        <f>Physics!H64</f>
        <v>0</v>
      </c>
      <c r="H65" s="100">
        <f>Chemistry!H64</f>
        <v>3</v>
      </c>
      <c r="I65" s="100">
        <f>Biology!H64</f>
        <v>3</v>
      </c>
      <c r="J65" s="100">
        <f>Math!H64</f>
        <v>0</v>
      </c>
      <c r="K65" s="100">
        <f t="shared" si="7"/>
        <v>1</v>
      </c>
      <c r="L65" s="100">
        <f t="shared" si="7"/>
        <v>1</v>
      </c>
      <c r="M65" s="100">
        <f t="shared" si="7"/>
        <v>0</v>
      </c>
      <c r="N65" s="100">
        <f t="shared" si="7"/>
        <v>0</v>
      </c>
      <c r="O65" s="100">
        <f t="shared" si="7"/>
        <v>1</v>
      </c>
      <c r="P65" s="100">
        <f t="shared" si="7"/>
        <v>1</v>
      </c>
      <c r="Q65" s="100">
        <f t="shared" si="1"/>
        <v>4</v>
      </c>
      <c r="R65" s="100" t="str">
        <f t="shared" si="2"/>
        <v/>
      </c>
      <c r="S65" s="100" t="str">
        <f t="shared" si="3"/>
        <v/>
      </c>
      <c r="T65" s="100" t="str">
        <f t="shared" si="4"/>
        <v/>
      </c>
      <c r="U65" s="100" t="str">
        <f t="shared" si="5"/>
        <v>Failed in 2 Subjects</v>
      </c>
      <c r="V65" s="100" t="str">
        <f t="shared" si="6"/>
        <v/>
      </c>
      <c r="W65" s="100" t="str">
        <f>'Detailed Summary'!BK64</f>
        <v/>
      </c>
    </row>
    <row r="66" spans="1:23" ht="18.5" hidden="1" x14ac:dyDescent="0.45">
      <c r="A66" s="100"/>
      <c r="B66" s="100">
        <f>'Student Basic Info'!A65</f>
        <v>764</v>
      </c>
      <c r="C66" s="100" t="str">
        <f>'Student Basic Info'!C65</f>
        <v>Kishor Chandra Nath</v>
      </c>
      <c r="D66" s="100">
        <f>Bangla!G65</f>
        <v>0</v>
      </c>
      <c r="E66" s="100">
        <f>English!F65</f>
        <v>0</v>
      </c>
      <c r="F66" s="100">
        <f>ICT!H65</f>
        <v>0</v>
      </c>
      <c r="G66" s="100">
        <f>Physics!H65</f>
        <v>0</v>
      </c>
      <c r="H66" s="100">
        <f>Chemistry!H65</f>
        <v>0</v>
      </c>
      <c r="I66" s="100">
        <f>Biology!H65</f>
        <v>0</v>
      </c>
      <c r="J66" s="100">
        <f>Math!H65</f>
        <v>0</v>
      </c>
      <c r="K66" s="100">
        <f t="shared" si="7"/>
        <v>0</v>
      </c>
      <c r="L66" s="100">
        <f t="shared" si="7"/>
        <v>0</v>
      </c>
      <c r="M66" s="100">
        <f t="shared" si="7"/>
        <v>0</v>
      </c>
      <c r="N66" s="100">
        <f t="shared" si="7"/>
        <v>0</v>
      </c>
      <c r="O66" s="100">
        <f t="shared" si="7"/>
        <v>0</v>
      </c>
      <c r="P66" s="100">
        <f t="shared" si="7"/>
        <v>0</v>
      </c>
      <c r="Q66" s="100">
        <f t="shared" si="1"/>
        <v>0</v>
      </c>
      <c r="R66" s="100" t="str">
        <f t="shared" si="2"/>
        <v/>
      </c>
      <c r="S66" s="100" t="str">
        <f t="shared" si="3"/>
        <v/>
      </c>
      <c r="T66" s="100" t="str">
        <f t="shared" si="4"/>
        <v/>
      </c>
      <c r="U66" s="100" t="str">
        <f t="shared" si="5"/>
        <v>Failed in 6 Subjects</v>
      </c>
      <c r="V66" s="100" t="str">
        <f t="shared" si="6"/>
        <v/>
      </c>
      <c r="W66" s="100" t="str">
        <f>'Detailed Summary'!BK65</f>
        <v/>
      </c>
    </row>
    <row r="67" spans="1:23" ht="18.5" hidden="1" x14ac:dyDescent="0.45">
      <c r="A67" s="100"/>
      <c r="B67" s="100">
        <f>'Student Basic Info'!A66</f>
        <v>765</v>
      </c>
      <c r="C67" s="100" t="str">
        <f>'Student Basic Info'!C66</f>
        <v>Apurbo Shorma Apu</v>
      </c>
      <c r="D67" s="100">
        <f>Bangla!G66</f>
        <v>3</v>
      </c>
      <c r="E67" s="100">
        <f>English!F66</f>
        <v>3</v>
      </c>
      <c r="F67" s="100">
        <f>ICT!H66</f>
        <v>4</v>
      </c>
      <c r="G67" s="100">
        <f>Physics!H66</f>
        <v>3</v>
      </c>
      <c r="H67" s="100">
        <f>Chemistry!H66</f>
        <v>4</v>
      </c>
      <c r="I67" s="100">
        <f>Biology!H66</f>
        <v>3</v>
      </c>
      <c r="J67" s="100">
        <f>Math!H66</f>
        <v>0</v>
      </c>
      <c r="K67" s="100">
        <f t="shared" ref="K67:P89" si="8">(IF(D67="",0,IF(D67=0,0,1)))</f>
        <v>1</v>
      </c>
      <c r="L67" s="100">
        <f t="shared" si="8"/>
        <v>1</v>
      </c>
      <c r="M67" s="100">
        <f t="shared" si="8"/>
        <v>1</v>
      </c>
      <c r="N67" s="100">
        <f t="shared" si="8"/>
        <v>1</v>
      </c>
      <c r="O67" s="100">
        <f t="shared" si="8"/>
        <v>1</v>
      </c>
      <c r="P67" s="100">
        <f t="shared" si="8"/>
        <v>1</v>
      </c>
      <c r="Q67" s="100">
        <f t="shared" ref="Q67:Q89" si="9">SUM(K67:P67)</f>
        <v>6</v>
      </c>
      <c r="R67" s="100">
        <f t="shared" ref="R67:R89" si="10">IF(OR(D67=0,E67=0,F67=0,G67=0,H67=0,I67=0,D67="",E67="",F67="",G67="",H67="",I67=""),"",SUM(D67:I67))</f>
        <v>20</v>
      </c>
      <c r="S67" s="100">
        <f t="shared" ref="S67:S89" si="11">IF(OR(D67=0,E67=0,F67=0,G67=0,H67=0,I67=0,D67="",E67="",F67="",G67="",H67="",I67=""),"",SUM(D67:J67))</f>
        <v>20</v>
      </c>
      <c r="T67" s="100">
        <f t="shared" ref="T67:T89" si="12">IF(R67="","",IF(((R67/6)&gt;5),5,R67/6))</f>
        <v>3.3333333333333335</v>
      </c>
      <c r="U67" s="100" t="str">
        <f t="shared" ref="U67:U89" si="13">IF(Q67=0,"Failed in 6 Subjects",IF(Q67=1,"Failed in 5 Subjects",IF(Q67=2,"Failed in 4 Subjects",IF(Q67=3,"Failed in 3 Subjects",IF(Q67=4,"Failed in 2 Subjects",IF(Q67=5,"Failed in 1 Subject","Pass"))))))</f>
        <v>Pass</v>
      </c>
      <c r="V67" s="100">
        <f t="shared" ref="V67:V89" si="14">IF(S67="","",IF(((S67/6)&gt;5),5,S67/6))</f>
        <v>3.3333333333333335</v>
      </c>
      <c r="W67" s="100">
        <f>'Detailed Summary'!BK66</f>
        <v>5</v>
      </c>
    </row>
    <row r="68" spans="1:23" ht="18.5" hidden="1" x14ac:dyDescent="0.45">
      <c r="A68" s="100"/>
      <c r="B68" s="100">
        <f>'Student Basic Info'!A67</f>
        <v>766</v>
      </c>
      <c r="C68" s="100" t="str">
        <f>'Student Basic Info'!C67</f>
        <v xml:space="preserve">Md. Ibrahim Khalil </v>
      </c>
      <c r="D68" s="100">
        <f>Bangla!G67</f>
        <v>3</v>
      </c>
      <c r="E68" s="100">
        <f>English!F67</f>
        <v>2</v>
      </c>
      <c r="F68" s="100">
        <f>ICT!H67</f>
        <v>3.5</v>
      </c>
      <c r="G68" s="100">
        <f>Physics!H67</f>
        <v>4</v>
      </c>
      <c r="H68" s="100">
        <f>Chemistry!H67</f>
        <v>3.5</v>
      </c>
      <c r="I68" s="100">
        <f>Biology!H67</f>
        <v>3</v>
      </c>
      <c r="J68" s="100">
        <f>Math!H67</f>
        <v>0</v>
      </c>
      <c r="K68" s="100">
        <f t="shared" si="8"/>
        <v>1</v>
      </c>
      <c r="L68" s="100">
        <f t="shared" si="8"/>
        <v>1</v>
      </c>
      <c r="M68" s="100">
        <f t="shared" si="8"/>
        <v>1</v>
      </c>
      <c r="N68" s="100">
        <f t="shared" si="8"/>
        <v>1</v>
      </c>
      <c r="O68" s="100">
        <f t="shared" si="8"/>
        <v>1</v>
      </c>
      <c r="P68" s="100">
        <f t="shared" si="8"/>
        <v>1</v>
      </c>
      <c r="Q68" s="100">
        <f t="shared" si="9"/>
        <v>6</v>
      </c>
      <c r="R68" s="100">
        <f t="shared" si="10"/>
        <v>19</v>
      </c>
      <c r="S68" s="100">
        <f t="shared" si="11"/>
        <v>19</v>
      </c>
      <c r="T68" s="100">
        <f t="shared" si="12"/>
        <v>3.1666666666666665</v>
      </c>
      <c r="U68" s="100" t="str">
        <f t="shared" si="13"/>
        <v>Pass</v>
      </c>
      <c r="V68" s="100">
        <f t="shared" si="14"/>
        <v>3.1666666666666665</v>
      </c>
      <c r="W68" s="100">
        <f>'Detailed Summary'!BK67</f>
        <v>7</v>
      </c>
    </row>
    <row r="69" spans="1:23" ht="18.5" hidden="1" x14ac:dyDescent="0.45">
      <c r="A69" s="100"/>
      <c r="B69" s="100">
        <f>'Student Basic Info'!A68</f>
        <v>767</v>
      </c>
      <c r="C69" s="100" t="str">
        <f>'Student Basic Info'!C68</f>
        <v>Ayman Mahmud Tawsif</v>
      </c>
      <c r="D69" s="100">
        <f>Bangla!G68</f>
        <v>3.5</v>
      </c>
      <c r="E69" s="100">
        <f>English!F68</f>
        <v>3</v>
      </c>
      <c r="F69" s="100">
        <f>ICT!H68</f>
        <v>4</v>
      </c>
      <c r="G69" s="100">
        <f>Physics!H68</f>
        <v>4</v>
      </c>
      <c r="H69" s="100">
        <f>Chemistry!H68</f>
        <v>3</v>
      </c>
      <c r="I69" s="100">
        <f>Biology!H68</f>
        <v>3</v>
      </c>
      <c r="J69" s="100">
        <f>Math!H68</f>
        <v>0</v>
      </c>
      <c r="K69" s="100">
        <f t="shared" si="8"/>
        <v>1</v>
      </c>
      <c r="L69" s="100">
        <f t="shared" si="8"/>
        <v>1</v>
      </c>
      <c r="M69" s="100">
        <f t="shared" si="8"/>
        <v>1</v>
      </c>
      <c r="N69" s="100">
        <f t="shared" si="8"/>
        <v>1</v>
      </c>
      <c r="O69" s="100">
        <f t="shared" si="8"/>
        <v>1</v>
      </c>
      <c r="P69" s="100">
        <f t="shared" si="8"/>
        <v>1</v>
      </c>
      <c r="Q69" s="100">
        <f t="shared" si="9"/>
        <v>6</v>
      </c>
      <c r="R69" s="100">
        <f t="shared" si="10"/>
        <v>20.5</v>
      </c>
      <c r="S69" s="100">
        <f t="shared" si="11"/>
        <v>20.5</v>
      </c>
      <c r="T69" s="100">
        <f t="shared" si="12"/>
        <v>3.4166666666666665</v>
      </c>
      <c r="U69" s="100" t="str">
        <f t="shared" si="13"/>
        <v>Pass</v>
      </c>
      <c r="V69" s="100">
        <f t="shared" si="14"/>
        <v>3.4166666666666665</v>
      </c>
      <c r="W69" s="100">
        <f>'Detailed Summary'!BK68</f>
        <v>4</v>
      </c>
    </row>
    <row r="70" spans="1:23" ht="18.5" hidden="1" x14ac:dyDescent="0.45">
      <c r="A70" s="100"/>
      <c r="B70" s="100">
        <f>'Student Basic Info'!A69</f>
        <v>768</v>
      </c>
      <c r="C70" s="100" t="str">
        <f>'Student Basic Info'!C69</f>
        <v>Tanvir Hosain</v>
      </c>
      <c r="D70" s="100">
        <f>Bangla!G69</f>
        <v>2</v>
      </c>
      <c r="E70" s="100">
        <f>English!F69</f>
        <v>0</v>
      </c>
      <c r="F70" s="100">
        <f>ICT!H69</f>
        <v>3</v>
      </c>
      <c r="G70" s="100">
        <f>Physics!H69</f>
        <v>3</v>
      </c>
      <c r="H70" s="100">
        <f>Chemistry!H69</f>
        <v>0</v>
      </c>
      <c r="I70" s="100">
        <f>Biology!H69</f>
        <v>2</v>
      </c>
      <c r="J70" s="100">
        <f>Math!H69</f>
        <v>0</v>
      </c>
      <c r="K70" s="100">
        <f t="shared" si="8"/>
        <v>1</v>
      </c>
      <c r="L70" s="100">
        <f t="shared" si="8"/>
        <v>0</v>
      </c>
      <c r="M70" s="100">
        <f t="shared" si="8"/>
        <v>1</v>
      </c>
      <c r="N70" s="100">
        <f t="shared" si="8"/>
        <v>1</v>
      </c>
      <c r="O70" s="100">
        <f t="shared" si="8"/>
        <v>0</v>
      </c>
      <c r="P70" s="100">
        <f t="shared" si="8"/>
        <v>1</v>
      </c>
      <c r="Q70" s="100">
        <f t="shared" si="9"/>
        <v>4</v>
      </c>
      <c r="R70" s="100" t="str">
        <f t="shared" si="10"/>
        <v/>
      </c>
      <c r="S70" s="100" t="str">
        <f t="shared" si="11"/>
        <v/>
      </c>
      <c r="T70" s="100" t="str">
        <f t="shared" si="12"/>
        <v/>
      </c>
      <c r="U70" s="100" t="str">
        <f t="shared" si="13"/>
        <v>Failed in 2 Subjects</v>
      </c>
      <c r="V70" s="100" t="str">
        <f t="shared" si="14"/>
        <v/>
      </c>
      <c r="W70" s="100" t="str">
        <f>'Detailed Summary'!BK69</f>
        <v/>
      </c>
    </row>
    <row r="71" spans="1:23" ht="18.5" hidden="1" x14ac:dyDescent="0.45">
      <c r="A71" s="100"/>
      <c r="B71" s="100">
        <f>'Student Basic Info'!A70</f>
        <v>769</v>
      </c>
      <c r="C71" s="100" t="str">
        <f>'Student Basic Info'!C70</f>
        <v>Abdullah Al Noman</v>
      </c>
      <c r="D71" s="100" t="str">
        <f>Bangla!G70</f>
        <v/>
      </c>
      <c r="E71" s="100" t="str">
        <f>English!F70</f>
        <v/>
      </c>
      <c r="F71" s="100" t="str">
        <f>ICT!H70</f>
        <v/>
      </c>
      <c r="G71" s="100" t="str">
        <f>Physics!H70</f>
        <v/>
      </c>
      <c r="H71" s="100">
        <f>Chemistry!H70</f>
        <v>0</v>
      </c>
      <c r="I71" s="100" t="str">
        <f>Biology!H70</f>
        <v/>
      </c>
      <c r="J71" s="100">
        <f>Math!H70</f>
        <v>0</v>
      </c>
      <c r="K71" s="100">
        <f t="shared" si="8"/>
        <v>0</v>
      </c>
      <c r="L71" s="100">
        <f t="shared" si="8"/>
        <v>0</v>
      </c>
      <c r="M71" s="100">
        <f t="shared" si="8"/>
        <v>0</v>
      </c>
      <c r="N71" s="100">
        <f t="shared" si="8"/>
        <v>0</v>
      </c>
      <c r="O71" s="100">
        <f t="shared" si="8"/>
        <v>0</v>
      </c>
      <c r="P71" s="100">
        <f t="shared" si="8"/>
        <v>0</v>
      </c>
      <c r="Q71" s="100">
        <f t="shared" si="9"/>
        <v>0</v>
      </c>
      <c r="R71" s="100" t="str">
        <f t="shared" si="10"/>
        <v/>
      </c>
      <c r="S71" s="100" t="str">
        <f t="shared" si="11"/>
        <v/>
      </c>
      <c r="T71" s="100" t="str">
        <f t="shared" si="12"/>
        <v/>
      </c>
      <c r="U71" s="100" t="str">
        <f t="shared" si="13"/>
        <v>Failed in 6 Subjects</v>
      </c>
      <c r="V71" s="100" t="str">
        <f t="shared" si="14"/>
        <v/>
      </c>
      <c r="W71" s="100" t="str">
        <f>'Detailed Summary'!BK70</f>
        <v/>
      </c>
    </row>
    <row r="72" spans="1:23" ht="18.5" hidden="1" x14ac:dyDescent="0.45">
      <c r="A72" s="100"/>
      <c r="B72" s="100">
        <f>'Student Basic Info'!A71</f>
        <v>770</v>
      </c>
      <c r="C72" s="100" t="str">
        <f>'Student Basic Info'!C71</f>
        <v>Ashraf Uddal</v>
      </c>
      <c r="D72" s="100">
        <f>Bangla!G71</f>
        <v>0</v>
      </c>
      <c r="E72" s="100">
        <f>English!F71</f>
        <v>0</v>
      </c>
      <c r="F72" s="100">
        <f>ICT!H71</f>
        <v>0</v>
      </c>
      <c r="G72" s="100">
        <f>Physics!H71</f>
        <v>0</v>
      </c>
      <c r="H72" s="100" t="str">
        <f>Chemistry!H71</f>
        <v/>
      </c>
      <c r="I72" s="100">
        <f>Biology!H71</f>
        <v>0</v>
      </c>
      <c r="J72" s="100">
        <f>Math!H71</f>
        <v>0</v>
      </c>
      <c r="K72" s="100">
        <f t="shared" si="8"/>
        <v>0</v>
      </c>
      <c r="L72" s="100">
        <f t="shared" si="8"/>
        <v>0</v>
      </c>
      <c r="M72" s="100">
        <f t="shared" si="8"/>
        <v>0</v>
      </c>
      <c r="N72" s="100">
        <f t="shared" si="8"/>
        <v>0</v>
      </c>
      <c r="O72" s="100">
        <f t="shared" si="8"/>
        <v>0</v>
      </c>
      <c r="P72" s="100">
        <f t="shared" si="8"/>
        <v>0</v>
      </c>
      <c r="Q72" s="100">
        <f t="shared" si="9"/>
        <v>0</v>
      </c>
      <c r="R72" s="100" t="str">
        <f t="shared" si="10"/>
        <v/>
      </c>
      <c r="S72" s="100" t="str">
        <f t="shared" si="11"/>
        <v/>
      </c>
      <c r="T72" s="100" t="str">
        <f t="shared" si="12"/>
        <v/>
      </c>
      <c r="U72" s="100" t="str">
        <f t="shared" si="13"/>
        <v>Failed in 6 Subjects</v>
      </c>
      <c r="V72" s="100" t="str">
        <f t="shared" si="14"/>
        <v/>
      </c>
      <c r="W72" s="100" t="str">
        <f>'Detailed Summary'!BK71</f>
        <v/>
      </c>
    </row>
    <row r="73" spans="1:23" ht="18.5" hidden="1" x14ac:dyDescent="0.45">
      <c r="A73" s="100"/>
      <c r="B73" s="100">
        <f>'Student Basic Info'!A72</f>
        <v>771</v>
      </c>
      <c r="C73" s="100" t="str">
        <f>'Student Basic Info'!C72</f>
        <v>Mesfar Uddin Ripti</v>
      </c>
      <c r="D73" s="100" t="str">
        <f>Bangla!G72</f>
        <v/>
      </c>
      <c r="E73" s="100" t="str">
        <f>English!F72</f>
        <v/>
      </c>
      <c r="F73" s="100" t="str">
        <f>ICT!H72</f>
        <v/>
      </c>
      <c r="G73" s="100">
        <f>Physics!H72</f>
        <v>0</v>
      </c>
      <c r="H73" s="100" t="str">
        <f>Chemistry!H72</f>
        <v/>
      </c>
      <c r="I73" s="100">
        <f>Biology!H72</f>
        <v>0</v>
      </c>
      <c r="J73" s="100" t="str">
        <f>Math!H72</f>
        <v/>
      </c>
      <c r="K73" s="100">
        <f t="shared" si="8"/>
        <v>0</v>
      </c>
      <c r="L73" s="100">
        <f t="shared" si="8"/>
        <v>0</v>
      </c>
      <c r="M73" s="100">
        <f t="shared" si="8"/>
        <v>0</v>
      </c>
      <c r="N73" s="100">
        <f t="shared" si="8"/>
        <v>0</v>
      </c>
      <c r="O73" s="100">
        <f t="shared" si="8"/>
        <v>0</v>
      </c>
      <c r="P73" s="100">
        <f t="shared" si="8"/>
        <v>0</v>
      </c>
      <c r="Q73" s="100">
        <f t="shared" si="9"/>
        <v>0</v>
      </c>
      <c r="R73" s="100" t="str">
        <f t="shared" si="10"/>
        <v/>
      </c>
      <c r="S73" s="100" t="str">
        <f t="shared" si="11"/>
        <v/>
      </c>
      <c r="T73" s="100" t="str">
        <f t="shared" si="12"/>
        <v/>
      </c>
      <c r="U73" s="100" t="str">
        <f t="shared" si="13"/>
        <v>Failed in 6 Subjects</v>
      </c>
      <c r="V73" s="100" t="str">
        <f t="shared" si="14"/>
        <v/>
      </c>
      <c r="W73" s="100" t="str">
        <f>'Detailed Summary'!BK72</f>
        <v/>
      </c>
    </row>
    <row r="74" spans="1:23" ht="18.5" hidden="1" x14ac:dyDescent="0.45">
      <c r="A74" s="100"/>
      <c r="B74" s="100">
        <f>'Student Basic Info'!A73</f>
        <v>772</v>
      </c>
      <c r="C74" s="100" t="str">
        <f>'Student Basic Info'!C73</f>
        <v>Shoikot Chandra Shil</v>
      </c>
      <c r="D74" s="100">
        <f>Bangla!G73</f>
        <v>0</v>
      </c>
      <c r="E74" s="100">
        <f>English!F73</f>
        <v>0</v>
      </c>
      <c r="F74" s="100">
        <f>ICT!H73</f>
        <v>0</v>
      </c>
      <c r="G74" s="100">
        <f>Physics!H73</f>
        <v>0</v>
      </c>
      <c r="H74" s="100" t="str">
        <f>Chemistry!H73</f>
        <v/>
      </c>
      <c r="I74" s="100">
        <f>Biology!H73</f>
        <v>0</v>
      </c>
      <c r="J74" s="100">
        <f>Math!H73</f>
        <v>0</v>
      </c>
      <c r="K74" s="100">
        <f t="shared" si="8"/>
        <v>0</v>
      </c>
      <c r="L74" s="100">
        <f t="shared" si="8"/>
        <v>0</v>
      </c>
      <c r="M74" s="100">
        <f t="shared" si="8"/>
        <v>0</v>
      </c>
      <c r="N74" s="100">
        <f t="shared" si="8"/>
        <v>0</v>
      </c>
      <c r="O74" s="100">
        <f t="shared" si="8"/>
        <v>0</v>
      </c>
      <c r="P74" s="100">
        <f t="shared" si="8"/>
        <v>0</v>
      </c>
      <c r="Q74" s="100">
        <f t="shared" si="9"/>
        <v>0</v>
      </c>
      <c r="R74" s="100" t="str">
        <f t="shared" si="10"/>
        <v/>
      </c>
      <c r="S74" s="100" t="str">
        <f t="shared" si="11"/>
        <v/>
      </c>
      <c r="T74" s="100" t="str">
        <f t="shared" si="12"/>
        <v/>
      </c>
      <c r="U74" s="100" t="str">
        <f t="shared" si="13"/>
        <v>Failed in 6 Subjects</v>
      </c>
      <c r="V74" s="100" t="str">
        <f t="shared" si="14"/>
        <v/>
      </c>
      <c r="W74" s="100" t="str">
        <f>'Detailed Summary'!BK73</f>
        <v/>
      </c>
    </row>
    <row r="75" spans="1:23" ht="18.5" hidden="1" x14ac:dyDescent="0.45">
      <c r="A75" s="100"/>
      <c r="B75" s="100">
        <f>'Student Basic Info'!A74</f>
        <v>773</v>
      </c>
      <c r="C75" s="100" t="str">
        <f>'Student Basic Info'!C74</f>
        <v>Shourov Chandra Shil</v>
      </c>
      <c r="D75" s="100">
        <f>Bangla!G74</f>
        <v>0</v>
      </c>
      <c r="E75" s="100">
        <f>English!F74</f>
        <v>0</v>
      </c>
      <c r="F75" s="100">
        <f>ICT!H74</f>
        <v>0</v>
      </c>
      <c r="G75" s="100">
        <f>Physics!H74</f>
        <v>0</v>
      </c>
      <c r="H75" s="100" t="str">
        <f>Chemistry!H74</f>
        <v/>
      </c>
      <c r="I75" s="100">
        <f>Biology!H74</f>
        <v>0</v>
      </c>
      <c r="J75" s="100">
        <f>Math!H74</f>
        <v>0</v>
      </c>
      <c r="K75" s="100">
        <f t="shared" si="8"/>
        <v>0</v>
      </c>
      <c r="L75" s="100">
        <f t="shared" si="8"/>
        <v>0</v>
      </c>
      <c r="M75" s="100">
        <f t="shared" si="8"/>
        <v>0</v>
      </c>
      <c r="N75" s="100">
        <f t="shared" si="8"/>
        <v>0</v>
      </c>
      <c r="O75" s="100">
        <f t="shared" si="8"/>
        <v>0</v>
      </c>
      <c r="P75" s="100">
        <f t="shared" si="8"/>
        <v>0</v>
      </c>
      <c r="Q75" s="100">
        <f t="shared" si="9"/>
        <v>0</v>
      </c>
      <c r="R75" s="100" t="str">
        <f t="shared" si="10"/>
        <v/>
      </c>
      <c r="S75" s="100" t="str">
        <f t="shared" si="11"/>
        <v/>
      </c>
      <c r="T75" s="100" t="str">
        <f t="shared" si="12"/>
        <v/>
      </c>
      <c r="U75" s="100" t="str">
        <f t="shared" si="13"/>
        <v>Failed in 6 Subjects</v>
      </c>
      <c r="V75" s="100" t="str">
        <f t="shared" si="14"/>
        <v/>
      </c>
      <c r="W75" s="100" t="str">
        <f>'Detailed Summary'!BK74</f>
        <v/>
      </c>
    </row>
    <row r="76" spans="1:23" ht="18.5" x14ac:dyDescent="0.45">
      <c r="A76" s="100"/>
      <c r="B76" s="100">
        <f>'Student Basic Info'!A75</f>
        <v>774</v>
      </c>
      <c r="C76" s="100" t="str">
        <f>'Student Basic Info'!C75</f>
        <v>Nur Islam</v>
      </c>
      <c r="D76" s="100">
        <f>Bangla!G75</f>
        <v>3.5</v>
      </c>
      <c r="E76" s="100">
        <f>English!F75</f>
        <v>0</v>
      </c>
      <c r="F76" s="100">
        <f>ICT!H75</f>
        <v>3</v>
      </c>
      <c r="G76" s="100">
        <f>Physics!H75</f>
        <v>2</v>
      </c>
      <c r="H76" s="100">
        <f>Chemistry!H75</f>
        <v>0</v>
      </c>
      <c r="I76" s="100">
        <f>Biology!H75</f>
        <v>0</v>
      </c>
      <c r="J76" s="100">
        <f>Math!H75</f>
        <v>0</v>
      </c>
      <c r="K76" s="100">
        <f t="shared" si="8"/>
        <v>1</v>
      </c>
      <c r="L76" s="100">
        <f t="shared" si="8"/>
        <v>0</v>
      </c>
      <c r="M76" s="100">
        <f t="shared" si="8"/>
        <v>1</v>
      </c>
      <c r="N76" s="100">
        <f t="shared" si="8"/>
        <v>1</v>
      </c>
      <c r="O76" s="100">
        <f t="shared" si="8"/>
        <v>0</v>
      </c>
      <c r="P76" s="100">
        <f t="shared" si="8"/>
        <v>0</v>
      </c>
      <c r="Q76" s="100">
        <f t="shared" si="9"/>
        <v>3</v>
      </c>
      <c r="R76" s="100" t="str">
        <f t="shared" si="10"/>
        <v/>
      </c>
      <c r="S76" s="100" t="str">
        <f t="shared" si="11"/>
        <v/>
      </c>
      <c r="T76" s="100" t="str">
        <f t="shared" si="12"/>
        <v/>
      </c>
      <c r="U76" s="100" t="str">
        <f t="shared" si="13"/>
        <v>Failed in 3 Subjects</v>
      </c>
      <c r="V76" s="100" t="str">
        <f t="shared" si="14"/>
        <v/>
      </c>
      <c r="W76" s="100" t="str">
        <f>'Detailed Summary'!BK75</f>
        <v/>
      </c>
    </row>
    <row r="77" spans="1:23" ht="18.5" x14ac:dyDescent="0.45">
      <c r="A77" s="100"/>
      <c r="B77" s="100">
        <f>'Student Basic Info'!A76</f>
        <v>775</v>
      </c>
      <c r="C77" s="100" t="str">
        <f>'Student Basic Info'!C76</f>
        <v>Nur Mohammad Rimon</v>
      </c>
      <c r="D77" s="100">
        <f>Bangla!G76</f>
        <v>0</v>
      </c>
      <c r="E77" s="100">
        <f>English!F76</f>
        <v>0</v>
      </c>
      <c r="F77" s="100">
        <f>ICT!H76</f>
        <v>0</v>
      </c>
      <c r="G77" s="100">
        <f>Physics!H76</f>
        <v>0</v>
      </c>
      <c r="H77" s="100" t="str">
        <f>Chemistry!H76</f>
        <v/>
      </c>
      <c r="I77" s="100">
        <f>Biology!H76</f>
        <v>0</v>
      </c>
      <c r="J77" s="100" t="str">
        <f>Math!H76</f>
        <v/>
      </c>
      <c r="K77" s="100">
        <f t="shared" si="8"/>
        <v>0</v>
      </c>
      <c r="L77" s="100">
        <f t="shared" si="8"/>
        <v>0</v>
      </c>
      <c r="M77" s="100">
        <f t="shared" si="8"/>
        <v>0</v>
      </c>
      <c r="N77" s="100">
        <f t="shared" si="8"/>
        <v>0</v>
      </c>
      <c r="O77" s="100">
        <f t="shared" si="8"/>
        <v>0</v>
      </c>
      <c r="P77" s="100">
        <f t="shared" si="8"/>
        <v>0</v>
      </c>
      <c r="Q77" s="100">
        <f t="shared" si="9"/>
        <v>0</v>
      </c>
      <c r="R77" s="100" t="str">
        <f t="shared" si="10"/>
        <v/>
      </c>
      <c r="S77" s="100" t="str">
        <f t="shared" si="11"/>
        <v/>
      </c>
      <c r="T77" s="100" t="str">
        <f t="shared" si="12"/>
        <v/>
      </c>
      <c r="U77" s="100" t="str">
        <f t="shared" si="13"/>
        <v>Failed in 6 Subjects</v>
      </c>
      <c r="V77" s="100" t="str">
        <f t="shared" si="14"/>
        <v/>
      </c>
      <c r="W77" s="100" t="str">
        <f>'Detailed Summary'!BK76</f>
        <v/>
      </c>
    </row>
    <row r="78" spans="1:23" ht="18.5" hidden="1" x14ac:dyDescent="0.45">
      <c r="A78" s="100"/>
      <c r="B78" s="100">
        <f>'Student Basic Info'!A77</f>
        <v>776</v>
      </c>
      <c r="C78" s="100" t="str">
        <f>'Student Basic Info'!C77</f>
        <v>Saifullah Mansur</v>
      </c>
      <c r="D78" s="100">
        <f>Bangla!G77</f>
        <v>0</v>
      </c>
      <c r="E78" s="100">
        <f>English!F77</f>
        <v>0</v>
      </c>
      <c r="F78" s="100">
        <f>ICT!H77</f>
        <v>0</v>
      </c>
      <c r="G78" s="100">
        <f>Physics!H77</f>
        <v>0</v>
      </c>
      <c r="H78" s="100">
        <f>Chemistry!H77</f>
        <v>0</v>
      </c>
      <c r="I78" s="100">
        <f>Biology!H77</f>
        <v>0</v>
      </c>
      <c r="J78" s="100">
        <f>Math!H77</f>
        <v>0</v>
      </c>
      <c r="K78" s="100">
        <f t="shared" si="8"/>
        <v>0</v>
      </c>
      <c r="L78" s="100">
        <f t="shared" si="8"/>
        <v>0</v>
      </c>
      <c r="M78" s="100">
        <f t="shared" si="8"/>
        <v>0</v>
      </c>
      <c r="N78" s="100">
        <f t="shared" si="8"/>
        <v>0</v>
      </c>
      <c r="O78" s="100">
        <f t="shared" si="8"/>
        <v>0</v>
      </c>
      <c r="P78" s="100">
        <f t="shared" si="8"/>
        <v>0</v>
      </c>
      <c r="Q78" s="100">
        <f t="shared" si="9"/>
        <v>0</v>
      </c>
      <c r="R78" s="100" t="str">
        <f t="shared" si="10"/>
        <v/>
      </c>
      <c r="S78" s="100" t="str">
        <f t="shared" si="11"/>
        <v/>
      </c>
      <c r="T78" s="100" t="str">
        <f t="shared" si="12"/>
        <v/>
      </c>
      <c r="U78" s="100" t="str">
        <f t="shared" si="13"/>
        <v>Failed in 6 Subjects</v>
      </c>
      <c r="V78" s="100" t="str">
        <f t="shared" si="14"/>
        <v/>
      </c>
      <c r="W78" s="100" t="str">
        <f>'Detailed Summary'!BK77</f>
        <v/>
      </c>
    </row>
    <row r="79" spans="1:23" ht="18.5" hidden="1" x14ac:dyDescent="0.45">
      <c r="A79" s="100"/>
      <c r="B79" s="100">
        <f>'Student Basic Info'!A78</f>
        <v>777</v>
      </c>
      <c r="C79" s="100" t="str">
        <f>'Student Basic Info'!C78</f>
        <v>Zunayed Al Mamun</v>
      </c>
      <c r="D79" s="100" t="str">
        <f>Bangla!G78</f>
        <v/>
      </c>
      <c r="E79" s="100" t="str">
        <f>English!F78</f>
        <v/>
      </c>
      <c r="F79" s="100" t="str">
        <f>ICT!H78</f>
        <v/>
      </c>
      <c r="G79" s="100" t="str">
        <f>Physics!H78</f>
        <v/>
      </c>
      <c r="H79" s="100" t="str">
        <f>Chemistry!H78</f>
        <v/>
      </c>
      <c r="I79" s="100" t="str">
        <f>Biology!H78</f>
        <v/>
      </c>
      <c r="J79" s="100" t="str">
        <f>Math!H78</f>
        <v/>
      </c>
      <c r="K79" s="100">
        <f t="shared" si="8"/>
        <v>0</v>
      </c>
      <c r="L79" s="100">
        <f t="shared" si="8"/>
        <v>0</v>
      </c>
      <c r="M79" s="100">
        <f t="shared" si="8"/>
        <v>0</v>
      </c>
      <c r="N79" s="100">
        <f t="shared" si="8"/>
        <v>0</v>
      </c>
      <c r="O79" s="100">
        <f t="shared" si="8"/>
        <v>0</v>
      </c>
      <c r="P79" s="100">
        <f t="shared" si="8"/>
        <v>0</v>
      </c>
      <c r="Q79" s="100">
        <f t="shared" si="9"/>
        <v>0</v>
      </c>
      <c r="R79" s="100" t="str">
        <f t="shared" si="10"/>
        <v/>
      </c>
      <c r="S79" s="100" t="str">
        <f t="shared" si="11"/>
        <v/>
      </c>
      <c r="T79" s="100" t="str">
        <f t="shared" si="12"/>
        <v/>
      </c>
      <c r="U79" s="100" t="str">
        <f t="shared" si="13"/>
        <v>Failed in 6 Subjects</v>
      </c>
      <c r="V79" s="100" t="str">
        <f t="shared" si="14"/>
        <v/>
      </c>
      <c r="W79" s="100" t="str">
        <f>'Detailed Summary'!BK78</f>
        <v/>
      </c>
    </row>
    <row r="80" spans="1:23" ht="18.5" hidden="1" x14ac:dyDescent="0.45">
      <c r="A80" s="100"/>
      <c r="B80" s="100">
        <f>'Student Basic Info'!A79</f>
        <v>778</v>
      </c>
      <c r="C80" s="100" t="str">
        <f>'Student Basic Info'!C79</f>
        <v>Al Hosain</v>
      </c>
      <c r="D80" s="100" t="str">
        <f>Bangla!G79</f>
        <v/>
      </c>
      <c r="E80" s="100" t="str">
        <f>English!F79</f>
        <v/>
      </c>
      <c r="F80" s="100" t="str">
        <f>ICT!H79</f>
        <v/>
      </c>
      <c r="G80" s="100" t="str">
        <f>Physics!H79</f>
        <v/>
      </c>
      <c r="H80" s="100" t="str">
        <f>Chemistry!H79</f>
        <v/>
      </c>
      <c r="I80" s="100" t="str">
        <f>Biology!H79</f>
        <v/>
      </c>
      <c r="J80" s="100" t="str">
        <f>Math!H79</f>
        <v/>
      </c>
      <c r="K80" s="100">
        <f t="shared" si="8"/>
        <v>0</v>
      </c>
      <c r="L80" s="100">
        <f t="shared" si="8"/>
        <v>0</v>
      </c>
      <c r="M80" s="100">
        <f t="shared" si="8"/>
        <v>0</v>
      </c>
      <c r="N80" s="100">
        <f t="shared" si="8"/>
        <v>0</v>
      </c>
      <c r="O80" s="100">
        <f t="shared" si="8"/>
        <v>0</v>
      </c>
      <c r="P80" s="100">
        <f t="shared" si="8"/>
        <v>0</v>
      </c>
      <c r="Q80" s="100">
        <f t="shared" si="9"/>
        <v>0</v>
      </c>
      <c r="R80" s="100" t="str">
        <f t="shared" si="10"/>
        <v/>
      </c>
      <c r="S80" s="100" t="str">
        <f t="shared" si="11"/>
        <v/>
      </c>
      <c r="T80" s="100" t="str">
        <f t="shared" si="12"/>
        <v/>
      </c>
      <c r="U80" s="100" t="str">
        <f t="shared" si="13"/>
        <v>Failed in 6 Subjects</v>
      </c>
      <c r="V80" s="100" t="str">
        <f t="shared" si="14"/>
        <v/>
      </c>
      <c r="W80" s="100" t="str">
        <f>'Detailed Summary'!BK79</f>
        <v/>
      </c>
    </row>
    <row r="81" spans="1:23" ht="18.5" x14ac:dyDescent="0.45">
      <c r="A81" s="100"/>
      <c r="B81" s="100">
        <f>'Student Basic Info'!A80</f>
        <v>779</v>
      </c>
      <c r="C81" s="100" t="str">
        <f>'Student Basic Info'!C80</f>
        <v>Azizul Haque</v>
      </c>
      <c r="D81" s="100">
        <f>Bangla!G80</f>
        <v>0</v>
      </c>
      <c r="E81" s="100">
        <f>English!F80</f>
        <v>0</v>
      </c>
      <c r="F81" s="100">
        <f>ICT!H80</f>
        <v>0</v>
      </c>
      <c r="G81" s="100">
        <f>Physics!H80</f>
        <v>0</v>
      </c>
      <c r="H81" s="100">
        <f>Chemistry!H80</f>
        <v>0</v>
      </c>
      <c r="I81" s="100">
        <f>Biology!H80</f>
        <v>0</v>
      </c>
      <c r="J81" s="100">
        <f>Math!H80</f>
        <v>0</v>
      </c>
      <c r="K81" s="100">
        <f t="shared" si="8"/>
        <v>0</v>
      </c>
      <c r="L81" s="100">
        <f t="shared" si="8"/>
        <v>0</v>
      </c>
      <c r="M81" s="100">
        <f t="shared" si="8"/>
        <v>0</v>
      </c>
      <c r="N81" s="100">
        <f t="shared" si="8"/>
        <v>0</v>
      </c>
      <c r="O81" s="100">
        <f t="shared" si="8"/>
        <v>0</v>
      </c>
      <c r="P81" s="100">
        <f t="shared" si="8"/>
        <v>0</v>
      </c>
      <c r="Q81" s="100">
        <f t="shared" si="9"/>
        <v>0</v>
      </c>
      <c r="R81" s="100" t="str">
        <f t="shared" si="10"/>
        <v/>
      </c>
      <c r="S81" s="100" t="str">
        <f t="shared" si="11"/>
        <v/>
      </c>
      <c r="T81" s="100" t="str">
        <f t="shared" si="12"/>
        <v/>
      </c>
      <c r="U81" s="100" t="str">
        <f t="shared" si="13"/>
        <v>Failed in 6 Subjects</v>
      </c>
      <c r="V81" s="100" t="str">
        <f t="shared" si="14"/>
        <v/>
      </c>
      <c r="W81" s="100" t="str">
        <f>'Detailed Summary'!BK80</f>
        <v/>
      </c>
    </row>
    <row r="82" spans="1:23" ht="18.5" hidden="1" x14ac:dyDescent="0.45">
      <c r="A82" s="100">
        <v>14</v>
      </c>
      <c r="B82" s="100">
        <f>'Student Basic Info'!A81</f>
        <v>780</v>
      </c>
      <c r="C82" s="100" t="str">
        <f>'Student Basic Info'!C81</f>
        <v>Farjana Aktar</v>
      </c>
      <c r="D82" s="100">
        <f>Bangla!G81</f>
        <v>2</v>
      </c>
      <c r="E82" s="100">
        <f>English!F81</f>
        <v>0</v>
      </c>
      <c r="F82" s="100">
        <f>ICT!H81</f>
        <v>0</v>
      </c>
      <c r="G82" s="100">
        <f>Physics!H81</f>
        <v>0</v>
      </c>
      <c r="H82" s="100">
        <f>Chemistry!H81</f>
        <v>0</v>
      </c>
      <c r="I82" s="100">
        <f>Biology!H81</f>
        <v>0</v>
      </c>
      <c r="J82" s="100">
        <f>Math!H81</f>
        <v>0</v>
      </c>
      <c r="K82" s="100">
        <f t="shared" si="8"/>
        <v>1</v>
      </c>
      <c r="L82" s="100">
        <f t="shared" si="8"/>
        <v>0</v>
      </c>
      <c r="M82" s="100">
        <f t="shared" si="8"/>
        <v>0</v>
      </c>
      <c r="N82" s="100">
        <f t="shared" si="8"/>
        <v>0</v>
      </c>
      <c r="O82" s="100">
        <f t="shared" si="8"/>
        <v>0</v>
      </c>
      <c r="P82" s="100">
        <f t="shared" si="8"/>
        <v>0</v>
      </c>
      <c r="Q82" s="100">
        <f t="shared" si="9"/>
        <v>1</v>
      </c>
      <c r="R82" s="100" t="str">
        <f t="shared" si="10"/>
        <v/>
      </c>
      <c r="S82" s="100" t="str">
        <f t="shared" si="11"/>
        <v/>
      </c>
      <c r="T82" s="100" t="str">
        <f t="shared" si="12"/>
        <v/>
      </c>
      <c r="U82" s="100" t="str">
        <f t="shared" si="13"/>
        <v>Failed in 5 Subjects</v>
      </c>
      <c r="V82" s="100" t="str">
        <f t="shared" si="14"/>
        <v/>
      </c>
      <c r="W82" s="100" t="str">
        <f>'Detailed Summary'!BK81</f>
        <v/>
      </c>
    </row>
    <row r="83" spans="1:23" ht="18.5" hidden="1" x14ac:dyDescent="0.45">
      <c r="A83" s="100"/>
      <c r="B83" s="100">
        <f>'Student Basic Info'!A82</f>
        <v>781</v>
      </c>
      <c r="C83" s="100" t="str">
        <f>'Student Basic Info'!C82</f>
        <v>Imam Hosain</v>
      </c>
      <c r="D83" s="100" t="str">
        <f>Bangla!G82</f>
        <v/>
      </c>
      <c r="E83" s="100" t="str">
        <f>English!F82</f>
        <v/>
      </c>
      <c r="F83" s="100" t="str">
        <f>ICT!H82</f>
        <v/>
      </c>
      <c r="G83" s="100" t="str">
        <f>Physics!H82</f>
        <v/>
      </c>
      <c r="H83" s="100" t="str">
        <f>Chemistry!H82</f>
        <v/>
      </c>
      <c r="I83" s="100" t="str">
        <f>Biology!H82</f>
        <v/>
      </c>
      <c r="J83" s="100" t="str">
        <f>Math!H82</f>
        <v/>
      </c>
      <c r="K83" s="100">
        <f t="shared" si="8"/>
        <v>0</v>
      </c>
      <c r="L83" s="100">
        <f t="shared" si="8"/>
        <v>0</v>
      </c>
      <c r="M83" s="100">
        <f t="shared" si="8"/>
        <v>0</v>
      </c>
      <c r="N83" s="100">
        <f t="shared" si="8"/>
        <v>0</v>
      </c>
      <c r="O83" s="100">
        <f t="shared" si="8"/>
        <v>0</v>
      </c>
      <c r="P83" s="100">
        <f t="shared" si="8"/>
        <v>0</v>
      </c>
      <c r="Q83" s="100">
        <f t="shared" si="9"/>
        <v>0</v>
      </c>
      <c r="R83" s="100" t="str">
        <f t="shared" si="10"/>
        <v/>
      </c>
      <c r="S83" s="100" t="str">
        <f t="shared" si="11"/>
        <v/>
      </c>
      <c r="T83" s="100" t="str">
        <f t="shared" si="12"/>
        <v/>
      </c>
      <c r="U83" s="100" t="str">
        <f t="shared" si="13"/>
        <v>Failed in 6 Subjects</v>
      </c>
      <c r="V83" s="100" t="str">
        <f t="shared" si="14"/>
        <v/>
      </c>
      <c r="W83" s="100" t="str">
        <f>'Detailed Summary'!BK82</f>
        <v/>
      </c>
    </row>
    <row r="84" spans="1:23" ht="18.5" hidden="1" x14ac:dyDescent="0.45">
      <c r="A84" s="100"/>
      <c r="B84" s="100">
        <f>'Student Basic Info'!A83</f>
        <v>782</v>
      </c>
      <c r="C84" s="100" t="str">
        <f>'Student Basic Info'!C83</f>
        <v>Asiya Aktar Hira</v>
      </c>
      <c r="D84" s="100">
        <f>Bangla!G83</f>
        <v>3</v>
      </c>
      <c r="E84" s="100">
        <f>English!F83</f>
        <v>2</v>
      </c>
      <c r="F84" s="100">
        <f>ICT!H83</f>
        <v>0</v>
      </c>
      <c r="G84" s="100">
        <f>Physics!H83</f>
        <v>0</v>
      </c>
      <c r="H84" s="100">
        <f>Chemistry!H83</f>
        <v>0</v>
      </c>
      <c r="I84" s="100">
        <f>Biology!H83</f>
        <v>0</v>
      </c>
      <c r="J84" s="100">
        <f>Math!H83</f>
        <v>0</v>
      </c>
      <c r="K84" s="100">
        <f t="shared" si="8"/>
        <v>1</v>
      </c>
      <c r="L84" s="100">
        <f t="shared" si="8"/>
        <v>1</v>
      </c>
      <c r="M84" s="100">
        <f t="shared" si="8"/>
        <v>0</v>
      </c>
      <c r="N84" s="100">
        <f t="shared" si="8"/>
        <v>0</v>
      </c>
      <c r="O84" s="100">
        <f t="shared" si="8"/>
        <v>0</v>
      </c>
      <c r="P84" s="100">
        <f t="shared" si="8"/>
        <v>0</v>
      </c>
      <c r="Q84" s="100">
        <f t="shared" si="9"/>
        <v>2</v>
      </c>
      <c r="R84" s="100" t="str">
        <f t="shared" si="10"/>
        <v/>
      </c>
      <c r="S84" s="100" t="str">
        <f t="shared" si="11"/>
        <v/>
      </c>
      <c r="T84" s="100" t="str">
        <f t="shared" si="12"/>
        <v/>
      </c>
      <c r="U84" s="100" t="str">
        <f t="shared" si="13"/>
        <v>Failed in 4 Subjects</v>
      </c>
      <c r="V84" s="100" t="str">
        <f t="shared" si="14"/>
        <v/>
      </c>
      <c r="W84" s="100" t="str">
        <f>'Detailed Summary'!BK83</f>
        <v/>
      </c>
    </row>
    <row r="85" spans="1:23" ht="18.5" hidden="1" x14ac:dyDescent="0.45">
      <c r="A85" s="100"/>
      <c r="B85" s="100">
        <f>'Student Basic Info'!A84</f>
        <v>783</v>
      </c>
      <c r="C85" s="100" t="str">
        <f>'Student Basic Info'!C84</f>
        <v>Abu Rayhan</v>
      </c>
      <c r="D85" s="100" t="str">
        <f>Bangla!G84</f>
        <v/>
      </c>
      <c r="E85" s="100" t="str">
        <f>English!F84</f>
        <v/>
      </c>
      <c r="F85" s="100" t="str">
        <f>ICT!H84</f>
        <v/>
      </c>
      <c r="G85" s="100" t="str">
        <f>Physics!H84</f>
        <v/>
      </c>
      <c r="H85" s="100" t="str">
        <f>Chemistry!H84</f>
        <v/>
      </c>
      <c r="I85" s="100" t="str">
        <f>Biology!H84</f>
        <v/>
      </c>
      <c r="J85" s="100" t="str">
        <f>Math!H84</f>
        <v/>
      </c>
      <c r="K85" s="100">
        <f t="shared" si="8"/>
        <v>0</v>
      </c>
      <c r="L85" s="100">
        <f t="shared" si="8"/>
        <v>0</v>
      </c>
      <c r="M85" s="100">
        <f t="shared" si="8"/>
        <v>0</v>
      </c>
      <c r="N85" s="100">
        <f t="shared" si="8"/>
        <v>0</v>
      </c>
      <c r="O85" s="100">
        <f t="shared" si="8"/>
        <v>0</v>
      </c>
      <c r="P85" s="100">
        <f t="shared" si="8"/>
        <v>0</v>
      </c>
      <c r="Q85" s="100">
        <f t="shared" si="9"/>
        <v>0</v>
      </c>
      <c r="R85" s="100" t="str">
        <f t="shared" si="10"/>
        <v/>
      </c>
      <c r="S85" s="100" t="str">
        <f t="shared" si="11"/>
        <v/>
      </c>
      <c r="T85" s="100" t="str">
        <f t="shared" si="12"/>
        <v/>
      </c>
      <c r="U85" s="100" t="str">
        <f t="shared" si="13"/>
        <v>Failed in 6 Subjects</v>
      </c>
      <c r="V85" s="100" t="str">
        <f t="shared" si="14"/>
        <v/>
      </c>
      <c r="W85" s="100" t="str">
        <f>'Detailed Summary'!BK84</f>
        <v/>
      </c>
    </row>
    <row r="86" spans="1:23" ht="18.5" hidden="1" x14ac:dyDescent="0.45">
      <c r="A86" s="100"/>
      <c r="B86" s="100">
        <f>'Student Basic Info'!A85</f>
        <v>784</v>
      </c>
      <c r="C86" s="100" t="str">
        <f>'Student Basic Info'!C85</f>
        <v xml:space="preserve">Azizul Islam </v>
      </c>
      <c r="D86" s="100">
        <f>Bangla!G85</f>
        <v>0</v>
      </c>
      <c r="E86" s="100">
        <f>English!F85</f>
        <v>0</v>
      </c>
      <c r="F86" s="100">
        <f>ICT!H85</f>
        <v>0</v>
      </c>
      <c r="G86" s="100">
        <f>Physics!H85</f>
        <v>0</v>
      </c>
      <c r="H86" s="100">
        <f>Chemistry!H85</f>
        <v>0</v>
      </c>
      <c r="I86" s="100">
        <f>Biology!H85</f>
        <v>0</v>
      </c>
      <c r="J86" s="100">
        <f>Math!H85</f>
        <v>0</v>
      </c>
      <c r="K86" s="100">
        <f t="shared" si="8"/>
        <v>0</v>
      </c>
      <c r="L86" s="100">
        <f t="shared" si="8"/>
        <v>0</v>
      </c>
      <c r="M86" s="100">
        <f t="shared" si="8"/>
        <v>0</v>
      </c>
      <c r="N86" s="100">
        <f t="shared" si="8"/>
        <v>0</v>
      </c>
      <c r="O86" s="100">
        <f t="shared" si="8"/>
        <v>0</v>
      </c>
      <c r="P86" s="100">
        <f t="shared" si="8"/>
        <v>0</v>
      </c>
      <c r="Q86" s="100">
        <f t="shared" si="9"/>
        <v>0</v>
      </c>
      <c r="R86" s="100" t="str">
        <f t="shared" si="10"/>
        <v/>
      </c>
      <c r="S86" s="100" t="str">
        <f t="shared" si="11"/>
        <v/>
      </c>
      <c r="T86" s="100" t="str">
        <f t="shared" si="12"/>
        <v/>
      </c>
      <c r="U86" s="100" t="str">
        <f t="shared" si="13"/>
        <v>Failed in 6 Subjects</v>
      </c>
      <c r="V86" s="100" t="str">
        <f t="shared" si="14"/>
        <v/>
      </c>
      <c r="W86" s="100" t="str">
        <f>'Detailed Summary'!BK85</f>
        <v/>
      </c>
    </row>
    <row r="87" spans="1:23" ht="18.5" hidden="1" x14ac:dyDescent="0.45">
      <c r="A87" s="100"/>
      <c r="B87" s="100">
        <f>'Student Basic Info'!A86</f>
        <v>785</v>
      </c>
      <c r="C87" s="100" t="str">
        <f>'Student Basic Info'!C86</f>
        <v>Muktaddi Al Saber</v>
      </c>
      <c r="D87" s="100">
        <f>Bangla!G86</f>
        <v>0</v>
      </c>
      <c r="E87" s="100">
        <f>English!F86</f>
        <v>0</v>
      </c>
      <c r="F87" s="100">
        <f>ICT!H86</f>
        <v>0</v>
      </c>
      <c r="G87" s="100">
        <f>Physics!H86</f>
        <v>0</v>
      </c>
      <c r="H87" s="100" t="str">
        <f>Chemistry!H86</f>
        <v/>
      </c>
      <c r="I87" s="100">
        <f>Biology!H86</f>
        <v>0</v>
      </c>
      <c r="J87" s="100">
        <f>Math!H86</f>
        <v>0</v>
      </c>
      <c r="K87" s="100">
        <f t="shared" si="8"/>
        <v>0</v>
      </c>
      <c r="L87" s="100">
        <f t="shared" si="8"/>
        <v>0</v>
      </c>
      <c r="M87" s="100">
        <f t="shared" si="8"/>
        <v>0</v>
      </c>
      <c r="N87" s="100">
        <f t="shared" si="8"/>
        <v>0</v>
      </c>
      <c r="O87" s="100">
        <f t="shared" si="8"/>
        <v>0</v>
      </c>
      <c r="P87" s="100">
        <f t="shared" si="8"/>
        <v>0</v>
      </c>
      <c r="Q87" s="100">
        <f t="shared" si="9"/>
        <v>0</v>
      </c>
      <c r="R87" s="100" t="str">
        <f t="shared" si="10"/>
        <v/>
      </c>
      <c r="S87" s="100" t="str">
        <f t="shared" si="11"/>
        <v/>
      </c>
      <c r="T87" s="100" t="str">
        <f t="shared" si="12"/>
        <v/>
      </c>
      <c r="U87" s="100" t="str">
        <f t="shared" si="13"/>
        <v>Failed in 6 Subjects</v>
      </c>
      <c r="V87" s="100" t="str">
        <f t="shared" si="14"/>
        <v/>
      </c>
      <c r="W87" s="100" t="str">
        <f>'Detailed Summary'!BK86</f>
        <v/>
      </c>
    </row>
    <row r="88" spans="1:23" ht="18.5" hidden="1" x14ac:dyDescent="0.45">
      <c r="A88" s="100"/>
      <c r="B88" s="100">
        <f>'Student Basic Info'!A87</f>
        <v>786</v>
      </c>
      <c r="C88" s="100" t="str">
        <f>'Student Basic Info'!C87</f>
        <v>Farzana Aktar</v>
      </c>
      <c r="D88" s="100" t="str">
        <f>Bangla!G87</f>
        <v/>
      </c>
      <c r="E88" s="100">
        <f>English!F87</f>
        <v>0</v>
      </c>
      <c r="F88" s="100">
        <f>ICT!H87</f>
        <v>0</v>
      </c>
      <c r="G88" s="100" t="str">
        <f>Physics!H87</f>
        <v/>
      </c>
      <c r="H88" s="100">
        <f>Chemistry!H87</f>
        <v>0</v>
      </c>
      <c r="I88" s="100">
        <f>Biology!H87</f>
        <v>0</v>
      </c>
      <c r="J88" s="100">
        <f>Math!H87</f>
        <v>0</v>
      </c>
      <c r="K88" s="100">
        <f t="shared" si="8"/>
        <v>0</v>
      </c>
      <c r="L88" s="100">
        <f t="shared" si="8"/>
        <v>0</v>
      </c>
      <c r="M88" s="100">
        <f t="shared" si="8"/>
        <v>0</v>
      </c>
      <c r="N88" s="100">
        <f t="shared" si="8"/>
        <v>0</v>
      </c>
      <c r="O88" s="100">
        <f t="shared" si="8"/>
        <v>0</v>
      </c>
      <c r="P88" s="100">
        <f t="shared" si="8"/>
        <v>0</v>
      </c>
      <c r="Q88" s="100">
        <f t="shared" si="9"/>
        <v>0</v>
      </c>
      <c r="R88" s="100" t="str">
        <f t="shared" si="10"/>
        <v/>
      </c>
      <c r="S88" s="100" t="str">
        <f t="shared" si="11"/>
        <v/>
      </c>
      <c r="T88" s="100" t="str">
        <f t="shared" si="12"/>
        <v/>
      </c>
      <c r="U88" s="100" t="str">
        <f t="shared" si="13"/>
        <v>Failed in 6 Subjects</v>
      </c>
      <c r="V88" s="100" t="str">
        <f t="shared" si="14"/>
        <v/>
      </c>
      <c r="W88" s="100" t="str">
        <f>'Detailed Summary'!BK87</f>
        <v/>
      </c>
    </row>
    <row r="89" spans="1:23" ht="18.5" hidden="1" x14ac:dyDescent="0.45">
      <c r="A89" s="100">
        <v>15</v>
      </c>
      <c r="B89" s="100">
        <f>'Student Basic Info'!A88</f>
        <v>6812</v>
      </c>
      <c r="C89" s="100" t="str">
        <f>'Student Basic Info'!C88</f>
        <v>Jannatul Mawa Parvin</v>
      </c>
      <c r="D89" s="100">
        <f>Bangla!G88</f>
        <v>2</v>
      </c>
      <c r="E89" s="100">
        <f>English!F88</f>
        <v>0</v>
      </c>
      <c r="F89" s="100">
        <f>ICT!H88</f>
        <v>3</v>
      </c>
      <c r="G89" s="100">
        <f>Physics!H88</f>
        <v>3</v>
      </c>
      <c r="H89" s="100">
        <f>Chemistry!H88</f>
        <v>0</v>
      </c>
      <c r="I89" s="100">
        <f>Biology!H88</f>
        <v>0</v>
      </c>
      <c r="J89" s="100">
        <f>Math!H88</f>
        <v>0</v>
      </c>
      <c r="K89" s="100">
        <f t="shared" si="8"/>
        <v>1</v>
      </c>
      <c r="L89" s="100">
        <f t="shared" si="8"/>
        <v>0</v>
      </c>
      <c r="M89" s="100">
        <f t="shared" si="8"/>
        <v>1</v>
      </c>
      <c r="N89" s="100">
        <f t="shared" si="8"/>
        <v>1</v>
      </c>
      <c r="O89" s="100">
        <f t="shared" si="8"/>
        <v>0</v>
      </c>
      <c r="P89" s="100">
        <f t="shared" si="8"/>
        <v>0</v>
      </c>
      <c r="Q89" s="100">
        <f t="shared" si="9"/>
        <v>3</v>
      </c>
      <c r="R89" s="100" t="str">
        <f t="shared" si="10"/>
        <v/>
      </c>
      <c r="S89" s="100" t="str">
        <f t="shared" si="11"/>
        <v/>
      </c>
      <c r="T89" s="100" t="str">
        <f t="shared" si="12"/>
        <v/>
      </c>
      <c r="U89" s="100" t="str">
        <f t="shared" si="13"/>
        <v>Failed in 3 Subjects</v>
      </c>
      <c r="V89" s="100" t="str">
        <f t="shared" si="14"/>
        <v/>
      </c>
      <c r="W89" s="100" t="str">
        <f>'Detailed Summary'!BK88</f>
        <v/>
      </c>
    </row>
  </sheetData>
  <sheetProtection formatCells="0" formatColumns="0" formatRows="0" insertColumns="0" insertRows="0" insertHyperlinks="0" deleteColumns="0" deleteRows="0"/>
  <autoFilter ref="U2:U89">
    <filterColumn colId="0">
      <filters>
        <filter val="Failed in 5 Subjects"/>
      </filters>
    </filterColumn>
  </autoFilter>
  <mergeCells count="1">
    <mergeCell ref="A1:W1"/>
  </mergeCells>
  <conditionalFormatting sqref="T3:T89 V3:V89">
    <cfRule type="cellIs" dxfId="2" priority="1" operator="between">
      <formula>1</formula>
      <formula>5</formula>
    </cfRule>
  </conditionalFormatting>
  <printOptions gridLines="1"/>
  <pageMargins left="1.1499999999999999" right="0.7" top="2.21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89"/>
  <sheetViews>
    <sheetView workbookViewId="0">
      <selection activeCell="Y12" sqref="Y12"/>
    </sheetView>
  </sheetViews>
  <sheetFormatPr defaultRowHeight="14.5" x14ac:dyDescent="0.35"/>
  <cols>
    <col min="1" max="1" width="3.453125" style="107" customWidth="1"/>
    <col min="2" max="2" width="7" customWidth="1"/>
    <col min="3" max="3" width="28.81640625" customWidth="1"/>
    <col min="4" max="4" width="6.36328125" hidden="1" customWidth="1"/>
    <col min="5" max="5" width="6.6328125" hidden="1" customWidth="1"/>
    <col min="6" max="6" width="5.08984375" hidden="1" customWidth="1"/>
    <col min="7" max="7" width="6.81640625" hidden="1" customWidth="1"/>
    <col min="8" max="8" width="9.26953125" hidden="1" customWidth="1"/>
    <col min="9" max="9" width="6.81640625" hidden="1" customWidth="1"/>
    <col min="10" max="10" width="5.36328125" hidden="1" customWidth="1"/>
    <col min="11" max="11" width="6.1796875" hidden="1" customWidth="1"/>
    <col min="12" max="12" width="6.08984375" hidden="1" customWidth="1"/>
    <col min="13" max="13" width="5.6328125" hidden="1" customWidth="1"/>
    <col min="14" max="16" width="7" hidden="1" customWidth="1"/>
    <col min="17" max="17" width="9.36328125" hidden="1" customWidth="1"/>
    <col min="18" max="18" width="6.453125" style="107" hidden="1" customWidth="1"/>
    <col min="19" max="19" width="8.08984375" style="107" hidden="1" customWidth="1"/>
    <col min="20" max="20" width="10.36328125" style="5" hidden="1" customWidth="1"/>
    <col min="21" max="21" width="20.81640625" bestFit="1" customWidth="1"/>
    <col min="22" max="22" width="5.54296875" bestFit="1" customWidth="1"/>
    <col min="23" max="23" width="16.1796875" style="107" bestFit="1" customWidth="1"/>
  </cols>
  <sheetData>
    <row r="1" spans="1:23" ht="136" customHeight="1" x14ac:dyDescent="0.45">
      <c r="A1" s="158" t="s">
        <v>458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 spans="1:23" ht="18.5" x14ac:dyDescent="0.45">
      <c r="A2" s="96" t="s">
        <v>448</v>
      </c>
      <c r="B2" s="96" t="s">
        <v>0</v>
      </c>
      <c r="C2" s="96" t="s">
        <v>36</v>
      </c>
      <c r="D2" s="13" t="s">
        <v>12</v>
      </c>
      <c r="E2" s="13" t="s">
        <v>13</v>
      </c>
      <c r="F2" s="13" t="s">
        <v>14</v>
      </c>
      <c r="G2" s="13" t="s">
        <v>46</v>
      </c>
      <c r="H2" s="13" t="s">
        <v>47</v>
      </c>
      <c r="I2" s="13" t="s">
        <v>48</v>
      </c>
      <c r="J2" s="13" t="s">
        <v>49</v>
      </c>
      <c r="K2" s="13" t="s">
        <v>93</v>
      </c>
      <c r="L2" s="13" t="s">
        <v>94</v>
      </c>
      <c r="M2" s="13" t="s">
        <v>95</v>
      </c>
      <c r="N2" s="13" t="s">
        <v>98</v>
      </c>
      <c r="O2" s="13" t="s">
        <v>99</v>
      </c>
      <c r="P2" s="13" t="s">
        <v>100</v>
      </c>
      <c r="Q2" s="13" t="s">
        <v>96</v>
      </c>
      <c r="R2" s="13" t="s">
        <v>16</v>
      </c>
      <c r="S2" s="13" t="s">
        <v>18</v>
      </c>
      <c r="T2" s="14" t="s">
        <v>17</v>
      </c>
      <c r="U2" s="97" t="s">
        <v>7</v>
      </c>
      <c r="V2" s="98" t="s">
        <v>9</v>
      </c>
      <c r="W2" s="99" t="s">
        <v>447</v>
      </c>
    </row>
    <row r="3" spans="1:23" hidden="1" x14ac:dyDescent="0.35">
      <c r="A3"/>
      <c r="B3" s="4">
        <f>'Student Basic Info'!A2</f>
        <v>701</v>
      </c>
      <c r="C3" s="4" t="str">
        <f>'Student Basic Info'!C2</f>
        <v>Tanjila Mostafa Tasnim</v>
      </c>
      <c r="D3" s="42">
        <f>Bangla!G2</f>
        <v>3.5</v>
      </c>
      <c r="E3" s="42">
        <f>English!F2</f>
        <v>2</v>
      </c>
      <c r="F3" s="42">
        <f>ICT!H2</f>
        <v>5</v>
      </c>
      <c r="G3" s="42">
        <f>Physics!H2</f>
        <v>3</v>
      </c>
      <c r="H3" s="42">
        <f>Chemistry!H2</f>
        <v>4</v>
      </c>
      <c r="I3" s="42">
        <f>Biology!H2</f>
        <v>3</v>
      </c>
      <c r="J3" s="42">
        <f>Math!H2</f>
        <v>4</v>
      </c>
      <c r="K3" s="30">
        <f t="shared" ref="K3:P34" si="0">(IF(D3="",0,IF(D3=0,0,1)))</f>
        <v>1</v>
      </c>
      <c r="L3" s="30">
        <f t="shared" si="0"/>
        <v>1</v>
      </c>
      <c r="M3" s="30">
        <f t="shared" si="0"/>
        <v>1</v>
      </c>
      <c r="N3" s="30">
        <f t="shared" si="0"/>
        <v>1</v>
      </c>
      <c r="O3" s="30">
        <f t="shared" si="0"/>
        <v>1</v>
      </c>
      <c r="P3" s="30">
        <f t="shared" si="0"/>
        <v>1</v>
      </c>
      <c r="Q3" s="30">
        <f t="shared" ref="Q3:Q66" si="1">SUM(K3:P3)</f>
        <v>6</v>
      </c>
      <c r="R3" s="3">
        <f t="shared" ref="R3:R66" si="2">IF(OR(D3=0,E3=0,F3=0,G3=0,H3=0,I3=0,D3="",E3="",F3="",G3="",H3="",I3=""),"",SUM(D3:I3))</f>
        <v>20.5</v>
      </c>
      <c r="S3" s="3">
        <f t="shared" ref="S3:S66" si="3">IF(OR(D3=0,E3=0,F3=0,G3=0,H3=0,I3=0,D3="",E3="",F3="",G3="",H3="",I3=""),"",SUM(D3:J3))</f>
        <v>24.5</v>
      </c>
      <c r="T3" s="7">
        <f t="shared" ref="T3:T66" si="4">IF(R3="","",IF(((R3/6)&gt;5),5,R3/6))</f>
        <v>3.4166666666666665</v>
      </c>
      <c r="U3" s="3" t="str">
        <f t="shared" ref="U3:U66" si="5">IF(Q3=0,"Failed in 6 Subjects",IF(Q3=1,"Failed in 5 Subjects",IF(Q3=2,"Failed in 4 Subjects",IF(Q3=3,"Failed in 3 Subjects",IF(Q3=4,"Failed in 2 Subjects",IF(Q3=5,"Failed in 1 Subject","Pass"))))))</f>
        <v>Pass</v>
      </c>
      <c r="V3" s="7">
        <f t="shared" ref="V3:V66" si="6">IF(S3="","",IF(((S3/6)&gt;5),5,S3/6))</f>
        <v>4.083333333333333</v>
      </c>
      <c r="W3" s="8">
        <f>'Detailed Summary'!BK2</f>
        <v>3</v>
      </c>
    </row>
    <row r="4" spans="1:23" ht="18.5" x14ac:dyDescent="0.45">
      <c r="A4" s="100"/>
      <c r="B4" s="100">
        <f>'Student Basic Info'!A3</f>
        <v>702</v>
      </c>
      <c r="C4" s="100" t="str">
        <f>'Student Basic Info'!C3</f>
        <v>Foyez Ahmed</v>
      </c>
      <c r="D4" s="100" t="str">
        <f>Bangla!G3</f>
        <v/>
      </c>
      <c r="E4" s="100" t="str">
        <f>English!F3</f>
        <v/>
      </c>
      <c r="F4" s="100" t="str">
        <f>ICT!H3</f>
        <v/>
      </c>
      <c r="G4" s="100" t="str">
        <f>Physics!H3</f>
        <v/>
      </c>
      <c r="H4" s="100" t="str">
        <f>Chemistry!H3</f>
        <v/>
      </c>
      <c r="I4" s="100" t="str">
        <f>Biology!H3</f>
        <v/>
      </c>
      <c r="J4" s="100" t="str">
        <f>Math!H3</f>
        <v/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1"/>
        <v>0</v>
      </c>
      <c r="R4" s="100" t="str">
        <f t="shared" si="2"/>
        <v/>
      </c>
      <c r="S4" s="100" t="str">
        <f t="shared" si="3"/>
        <v/>
      </c>
      <c r="T4" s="100" t="str">
        <f t="shared" si="4"/>
        <v/>
      </c>
      <c r="U4" s="100" t="str">
        <f t="shared" si="5"/>
        <v>Failed in 6 Subjects</v>
      </c>
      <c r="V4" s="100" t="str">
        <f t="shared" si="6"/>
        <v/>
      </c>
      <c r="W4" s="100" t="str">
        <f>'Detailed Summary'!BK3</f>
        <v/>
      </c>
    </row>
    <row r="5" spans="1:23" ht="18.5" x14ac:dyDescent="0.45">
      <c r="A5" s="100"/>
      <c r="B5" s="100">
        <f>'Student Basic Info'!A4</f>
        <v>703</v>
      </c>
      <c r="C5" s="100" t="str">
        <f>'Student Basic Info'!C4</f>
        <v>Zannatul Nayem</v>
      </c>
      <c r="D5" s="100" t="str">
        <f>Bangla!G4</f>
        <v/>
      </c>
      <c r="E5" s="100" t="str">
        <f>English!F4</f>
        <v/>
      </c>
      <c r="F5" s="100" t="str">
        <f>ICT!H4</f>
        <v/>
      </c>
      <c r="G5" s="100" t="str">
        <f>Physics!H4</f>
        <v/>
      </c>
      <c r="H5" s="100" t="str">
        <f>Chemistry!H4</f>
        <v/>
      </c>
      <c r="I5" s="100" t="str">
        <f>Biology!H4</f>
        <v/>
      </c>
      <c r="J5" s="100" t="str">
        <f>Math!H4</f>
        <v/>
      </c>
      <c r="K5" s="100">
        <f t="shared" si="0"/>
        <v>0</v>
      </c>
      <c r="L5" s="100">
        <f t="shared" si="0"/>
        <v>0</v>
      </c>
      <c r="M5" s="100">
        <f t="shared" si="0"/>
        <v>0</v>
      </c>
      <c r="N5" s="100">
        <f t="shared" si="0"/>
        <v>0</v>
      </c>
      <c r="O5" s="100">
        <f t="shared" si="0"/>
        <v>0</v>
      </c>
      <c r="P5" s="100">
        <f t="shared" si="0"/>
        <v>0</v>
      </c>
      <c r="Q5" s="100">
        <f t="shared" si="1"/>
        <v>0</v>
      </c>
      <c r="R5" s="100" t="str">
        <f t="shared" si="2"/>
        <v/>
      </c>
      <c r="S5" s="100" t="str">
        <f t="shared" si="3"/>
        <v/>
      </c>
      <c r="T5" s="100" t="str">
        <f t="shared" si="4"/>
        <v/>
      </c>
      <c r="U5" s="100" t="str">
        <f t="shared" si="5"/>
        <v>Failed in 6 Subjects</v>
      </c>
      <c r="V5" s="100" t="str">
        <f t="shared" si="6"/>
        <v/>
      </c>
      <c r="W5" s="100" t="str">
        <f>'Detailed Summary'!BK4</f>
        <v/>
      </c>
    </row>
    <row r="6" spans="1:23" ht="18.5" hidden="1" x14ac:dyDescent="0.45">
      <c r="A6" s="100">
        <v>1</v>
      </c>
      <c r="B6" s="100">
        <f>'Student Basic Info'!A5</f>
        <v>704</v>
      </c>
      <c r="C6" s="100" t="str">
        <f>'Student Basic Info'!C5</f>
        <v>Farmana Nusrat Chowdhury</v>
      </c>
      <c r="D6" s="100">
        <f>Bangla!G5</f>
        <v>3.5</v>
      </c>
      <c r="E6" s="100">
        <f>English!F5</f>
        <v>1</v>
      </c>
      <c r="F6" s="100">
        <f>ICT!H5</f>
        <v>0</v>
      </c>
      <c r="G6" s="100">
        <f>Physics!H5</f>
        <v>0</v>
      </c>
      <c r="H6" s="100">
        <f>Chemistry!H5</f>
        <v>0</v>
      </c>
      <c r="I6" s="100">
        <f>Biology!H5</f>
        <v>0</v>
      </c>
      <c r="J6" s="100">
        <f>Math!H5</f>
        <v>0</v>
      </c>
      <c r="K6" s="100">
        <f t="shared" si="0"/>
        <v>1</v>
      </c>
      <c r="L6" s="100">
        <f t="shared" si="0"/>
        <v>1</v>
      </c>
      <c r="M6" s="100">
        <f t="shared" si="0"/>
        <v>0</v>
      </c>
      <c r="N6" s="100">
        <f t="shared" si="0"/>
        <v>0</v>
      </c>
      <c r="O6" s="100">
        <f t="shared" si="0"/>
        <v>0</v>
      </c>
      <c r="P6" s="100">
        <f t="shared" si="0"/>
        <v>0</v>
      </c>
      <c r="Q6" s="100">
        <f t="shared" si="1"/>
        <v>2</v>
      </c>
      <c r="R6" s="100" t="str">
        <f t="shared" si="2"/>
        <v/>
      </c>
      <c r="S6" s="100" t="str">
        <f t="shared" si="3"/>
        <v/>
      </c>
      <c r="T6" s="100" t="str">
        <f t="shared" si="4"/>
        <v/>
      </c>
      <c r="U6" s="100" t="str">
        <f t="shared" si="5"/>
        <v>Failed in 4 Subjects</v>
      </c>
      <c r="V6" s="100" t="str">
        <f t="shared" si="6"/>
        <v/>
      </c>
      <c r="W6" s="100" t="str">
        <f>'Detailed Summary'!BK5</f>
        <v/>
      </c>
    </row>
    <row r="7" spans="1:23" ht="18.5" x14ac:dyDescent="0.45">
      <c r="A7" s="100"/>
      <c r="B7" s="100">
        <f>'Student Basic Info'!A6</f>
        <v>705</v>
      </c>
      <c r="C7" s="100" t="str">
        <f>'Student Basic Info'!C6</f>
        <v>Zannatul Ferdaus</v>
      </c>
      <c r="D7" s="100" t="str">
        <f>Bangla!G6</f>
        <v/>
      </c>
      <c r="E7" s="100" t="str">
        <f>English!F6</f>
        <v/>
      </c>
      <c r="F7" s="100">
        <f>ICT!H6</f>
        <v>0</v>
      </c>
      <c r="G7" s="100" t="str">
        <f>Physics!H6</f>
        <v/>
      </c>
      <c r="H7" s="100" t="str">
        <f>Chemistry!H6</f>
        <v/>
      </c>
      <c r="I7" s="100" t="str">
        <f>Biology!H6</f>
        <v/>
      </c>
      <c r="J7" s="100" t="str">
        <f>Math!H6</f>
        <v/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1"/>
        <v>0</v>
      </c>
      <c r="R7" s="100" t="str">
        <f t="shared" si="2"/>
        <v/>
      </c>
      <c r="S7" s="100" t="str">
        <f t="shared" si="3"/>
        <v/>
      </c>
      <c r="T7" s="100" t="str">
        <f t="shared" si="4"/>
        <v/>
      </c>
      <c r="U7" s="100" t="str">
        <f t="shared" si="5"/>
        <v>Failed in 6 Subjects</v>
      </c>
      <c r="V7" s="100" t="str">
        <f t="shared" si="6"/>
        <v/>
      </c>
      <c r="W7" s="100" t="str">
        <f>'Detailed Summary'!BK6</f>
        <v/>
      </c>
    </row>
    <row r="8" spans="1:23" ht="18.5" x14ac:dyDescent="0.45">
      <c r="A8" s="100"/>
      <c r="B8" s="100">
        <f>'Student Basic Info'!A7</f>
        <v>706</v>
      </c>
      <c r="C8" s="100" t="str">
        <f>'Student Basic Info'!C7</f>
        <v>Abdul Alim Shawon</v>
      </c>
      <c r="D8" s="100" t="str">
        <f>Bangla!G7</f>
        <v/>
      </c>
      <c r="E8" s="100" t="str">
        <f>English!F7</f>
        <v/>
      </c>
      <c r="F8" s="100" t="str">
        <f>ICT!H7</f>
        <v/>
      </c>
      <c r="G8" s="100" t="str">
        <f>Physics!H7</f>
        <v/>
      </c>
      <c r="H8" s="100" t="str">
        <f>Chemistry!H7</f>
        <v/>
      </c>
      <c r="I8" s="100" t="str">
        <f>Biology!H7</f>
        <v/>
      </c>
      <c r="J8" s="100" t="str">
        <f>Math!H7</f>
        <v/>
      </c>
      <c r="K8" s="100">
        <f t="shared" si="0"/>
        <v>0</v>
      </c>
      <c r="L8" s="100">
        <f t="shared" si="0"/>
        <v>0</v>
      </c>
      <c r="M8" s="100">
        <f t="shared" si="0"/>
        <v>0</v>
      </c>
      <c r="N8" s="100">
        <f t="shared" si="0"/>
        <v>0</v>
      </c>
      <c r="O8" s="100">
        <f t="shared" si="0"/>
        <v>0</v>
      </c>
      <c r="P8" s="100">
        <f t="shared" si="0"/>
        <v>0</v>
      </c>
      <c r="Q8" s="100">
        <f t="shared" si="1"/>
        <v>0</v>
      </c>
      <c r="R8" s="100" t="str">
        <f t="shared" si="2"/>
        <v/>
      </c>
      <c r="S8" s="100" t="str">
        <f t="shared" si="3"/>
        <v/>
      </c>
      <c r="T8" s="100" t="str">
        <f t="shared" si="4"/>
        <v/>
      </c>
      <c r="U8" s="100" t="str">
        <f t="shared" si="5"/>
        <v>Failed in 6 Subjects</v>
      </c>
      <c r="V8" s="100" t="str">
        <f t="shared" si="6"/>
        <v/>
      </c>
      <c r="W8" s="100" t="str">
        <f>'Detailed Summary'!BK7</f>
        <v/>
      </c>
    </row>
    <row r="9" spans="1:23" ht="18.5" x14ac:dyDescent="0.45">
      <c r="A9" s="100"/>
      <c r="B9" s="100">
        <f>'Student Basic Info'!A8</f>
        <v>707</v>
      </c>
      <c r="C9" s="100" t="str">
        <f>'Student Basic Info'!C8</f>
        <v>Sharmin Aktar</v>
      </c>
      <c r="D9" s="100" t="str">
        <f>Bangla!G8</f>
        <v/>
      </c>
      <c r="E9" s="100" t="str">
        <f>English!F8</f>
        <v/>
      </c>
      <c r="F9" s="100" t="str">
        <f>ICT!H8</f>
        <v/>
      </c>
      <c r="G9" s="100" t="str">
        <f>Physics!H8</f>
        <v/>
      </c>
      <c r="H9" s="100" t="str">
        <f>Chemistry!H8</f>
        <v/>
      </c>
      <c r="I9" s="100" t="str">
        <f>Biology!H8</f>
        <v/>
      </c>
      <c r="J9" s="100" t="str">
        <f>Math!H8</f>
        <v/>
      </c>
      <c r="K9" s="100">
        <f t="shared" si="0"/>
        <v>0</v>
      </c>
      <c r="L9" s="100">
        <f t="shared" si="0"/>
        <v>0</v>
      </c>
      <c r="M9" s="100">
        <f t="shared" si="0"/>
        <v>0</v>
      </c>
      <c r="N9" s="100">
        <f t="shared" si="0"/>
        <v>0</v>
      </c>
      <c r="O9" s="100">
        <f t="shared" si="0"/>
        <v>0</v>
      </c>
      <c r="P9" s="100">
        <f t="shared" si="0"/>
        <v>0</v>
      </c>
      <c r="Q9" s="100">
        <f t="shared" si="1"/>
        <v>0</v>
      </c>
      <c r="R9" s="100" t="str">
        <f t="shared" si="2"/>
        <v/>
      </c>
      <c r="S9" s="100" t="str">
        <f t="shared" si="3"/>
        <v/>
      </c>
      <c r="T9" s="100" t="str">
        <f t="shared" si="4"/>
        <v/>
      </c>
      <c r="U9" s="100" t="str">
        <f t="shared" si="5"/>
        <v>Failed in 6 Subjects</v>
      </c>
      <c r="V9" s="100" t="str">
        <f t="shared" si="6"/>
        <v/>
      </c>
      <c r="W9" s="100" t="str">
        <f>'Detailed Summary'!BK8</f>
        <v/>
      </c>
    </row>
    <row r="10" spans="1:23" ht="18.5" hidden="1" x14ac:dyDescent="0.45">
      <c r="A10" s="100">
        <v>1</v>
      </c>
      <c r="B10" s="100">
        <f>'Student Basic Info'!A9</f>
        <v>708</v>
      </c>
      <c r="C10" s="100" t="str">
        <f>'Student Basic Info'!C9</f>
        <v>Nafisa Aktar Prova</v>
      </c>
      <c r="D10" s="100">
        <f>Bangla!G9</f>
        <v>3.5</v>
      </c>
      <c r="E10" s="100">
        <f>English!F9</f>
        <v>1</v>
      </c>
      <c r="F10" s="100">
        <v>3</v>
      </c>
      <c r="G10" s="100">
        <f>Physics!H9</f>
        <v>0</v>
      </c>
      <c r="H10" s="100">
        <f>Chemistry!H9</f>
        <v>0</v>
      </c>
      <c r="I10" s="100">
        <f>Biology!H9</f>
        <v>0</v>
      </c>
      <c r="J10" s="100">
        <f>Math!H9</f>
        <v>0</v>
      </c>
      <c r="K10" s="100">
        <f t="shared" si="0"/>
        <v>1</v>
      </c>
      <c r="L10" s="100">
        <f t="shared" si="0"/>
        <v>1</v>
      </c>
      <c r="M10" s="100">
        <f t="shared" si="0"/>
        <v>1</v>
      </c>
      <c r="N10" s="100">
        <f t="shared" si="0"/>
        <v>0</v>
      </c>
      <c r="O10" s="100">
        <f t="shared" si="0"/>
        <v>0</v>
      </c>
      <c r="P10" s="100">
        <f t="shared" si="0"/>
        <v>0</v>
      </c>
      <c r="Q10" s="100">
        <f t="shared" si="1"/>
        <v>3</v>
      </c>
      <c r="R10" s="100" t="str">
        <f t="shared" si="2"/>
        <v/>
      </c>
      <c r="S10" s="100" t="str">
        <f t="shared" si="3"/>
        <v/>
      </c>
      <c r="T10" s="100" t="str">
        <f t="shared" si="4"/>
        <v/>
      </c>
      <c r="U10" s="100" t="str">
        <f t="shared" si="5"/>
        <v>Failed in 3 Subjects</v>
      </c>
      <c r="V10" s="100" t="str">
        <f t="shared" si="6"/>
        <v/>
      </c>
      <c r="W10" s="100" t="str">
        <f>'Detailed Summary'!BK9</f>
        <v/>
      </c>
    </row>
    <row r="11" spans="1:23" ht="18.5" hidden="1" x14ac:dyDescent="0.45">
      <c r="A11" s="100"/>
      <c r="B11" s="100">
        <f>'Student Basic Info'!A10</f>
        <v>709</v>
      </c>
      <c r="C11" s="100" t="str">
        <f>'Student Basic Info'!C10</f>
        <v>Nafisa Anjum Prena</v>
      </c>
      <c r="D11" s="100">
        <f>Bangla!G10</f>
        <v>3.5</v>
      </c>
      <c r="E11" s="100">
        <f>English!F10</f>
        <v>1</v>
      </c>
      <c r="F11" s="100">
        <f>ICT!H10</f>
        <v>0</v>
      </c>
      <c r="G11" s="100">
        <f>Physics!H10</f>
        <v>2</v>
      </c>
      <c r="H11" s="100">
        <f>Chemistry!H10</f>
        <v>0</v>
      </c>
      <c r="I11" s="100">
        <f>Biology!H10</f>
        <v>0</v>
      </c>
      <c r="J11" s="100">
        <f>Math!H10</f>
        <v>0</v>
      </c>
      <c r="K11" s="100">
        <f t="shared" si="0"/>
        <v>1</v>
      </c>
      <c r="L11" s="100">
        <f t="shared" si="0"/>
        <v>1</v>
      </c>
      <c r="M11" s="100">
        <f t="shared" si="0"/>
        <v>0</v>
      </c>
      <c r="N11" s="100">
        <f t="shared" si="0"/>
        <v>1</v>
      </c>
      <c r="O11" s="100">
        <f t="shared" si="0"/>
        <v>0</v>
      </c>
      <c r="P11" s="100">
        <f t="shared" si="0"/>
        <v>0</v>
      </c>
      <c r="Q11" s="100">
        <f t="shared" si="1"/>
        <v>3</v>
      </c>
      <c r="R11" s="100" t="str">
        <f t="shared" si="2"/>
        <v/>
      </c>
      <c r="S11" s="100" t="str">
        <f t="shared" si="3"/>
        <v/>
      </c>
      <c r="T11" s="100" t="str">
        <f t="shared" si="4"/>
        <v/>
      </c>
      <c r="U11" s="100" t="str">
        <f t="shared" si="5"/>
        <v>Failed in 3 Subjects</v>
      </c>
      <c r="V11" s="100" t="str">
        <f t="shared" si="6"/>
        <v/>
      </c>
      <c r="W11" s="100" t="str">
        <f>'Detailed Summary'!BK10</f>
        <v/>
      </c>
    </row>
    <row r="12" spans="1:23" ht="18.5" x14ac:dyDescent="0.45">
      <c r="A12" s="100"/>
      <c r="B12" s="100">
        <f>'Student Basic Info'!A11</f>
        <v>710</v>
      </c>
      <c r="C12" s="100" t="str">
        <f>'Student Basic Info'!C11</f>
        <v>Umme Tabassum Maisha</v>
      </c>
      <c r="D12" s="100">
        <f>Bangla!G11</f>
        <v>3</v>
      </c>
      <c r="E12" s="100">
        <f>English!F11</f>
        <v>0</v>
      </c>
      <c r="F12" s="100">
        <f>ICT!H11</f>
        <v>3</v>
      </c>
      <c r="G12" s="100">
        <f>Physics!H11</f>
        <v>2</v>
      </c>
      <c r="H12" s="100">
        <f>Chemistry!H11</f>
        <v>0</v>
      </c>
      <c r="I12" s="100">
        <f>Biology!H11</f>
        <v>0</v>
      </c>
      <c r="J12" s="100">
        <f>Math!H11</f>
        <v>0</v>
      </c>
      <c r="K12" s="100">
        <f t="shared" si="0"/>
        <v>1</v>
      </c>
      <c r="L12" s="100">
        <f t="shared" si="0"/>
        <v>0</v>
      </c>
      <c r="M12" s="100">
        <f t="shared" si="0"/>
        <v>1</v>
      </c>
      <c r="N12" s="100">
        <f t="shared" si="0"/>
        <v>1</v>
      </c>
      <c r="O12" s="100">
        <f t="shared" si="0"/>
        <v>0</v>
      </c>
      <c r="P12" s="100">
        <f t="shared" si="0"/>
        <v>0</v>
      </c>
      <c r="Q12" s="100">
        <f t="shared" si="1"/>
        <v>3</v>
      </c>
      <c r="R12" s="100" t="str">
        <f t="shared" si="2"/>
        <v/>
      </c>
      <c r="S12" s="100" t="str">
        <f t="shared" si="3"/>
        <v/>
      </c>
      <c r="T12" s="100" t="str">
        <f t="shared" si="4"/>
        <v/>
      </c>
      <c r="U12" s="100" t="str">
        <f t="shared" si="5"/>
        <v>Failed in 3 Subjects</v>
      </c>
      <c r="V12" s="100" t="str">
        <f t="shared" si="6"/>
        <v/>
      </c>
      <c r="W12" s="100" t="str">
        <f>'Detailed Summary'!BK11</f>
        <v/>
      </c>
    </row>
    <row r="13" spans="1:23" ht="18.5" x14ac:dyDescent="0.45">
      <c r="A13" s="100"/>
      <c r="B13" s="100">
        <f>'Student Basic Info'!A12</f>
        <v>711</v>
      </c>
      <c r="C13" s="100" t="str">
        <f>'Student Basic Info'!C12</f>
        <v>Rakhi Ahasan</v>
      </c>
      <c r="D13" s="100" t="str">
        <f>Bangla!G12</f>
        <v/>
      </c>
      <c r="E13" s="100" t="str">
        <f>English!F12</f>
        <v/>
      </c>
      <c r="F13" s="100" t="str">
        <f>ICT!H12</f>
        <v/>
      </c>
      <c r="G13" s="100" t="str">
        <f>Physics!H12</f>
        <v/>
      </c>
      <c r="H13" s="100" t="str">
        <f>Chemistry!H12</f>
        <v/>
      </c>
      <c r="I13" s="100" t="str">
        <f>Biology!H12</f>
        <v/>
      </c>
      <c r="J13" s="100" t="str">
        <f>Math!H12</f>
        <v/>
      </c>
      <c r="K13" s="100">
        <f t="shared" si="0"/>
        <v>0</v>
      </c>
      <c r="L13" s="100">
        <f t="shared" si="0"/>
        <v>0</v>
      </c>
      <c r="M13" s="100">
        <f t="shared" si="0"/>
        <v>0</v>
      </c>
      <c r="N13" s="100">
        <f t="shared" si="0"/>
        <v>0</v>
      </c>
      <c r="O13" s="100">
        <f t="shared" si="0"/>
        <v>0</v>
      </c>
      <c r="P13" s="100">
        <f t="shared" si="0"/>
        <v>0</v>
      </c>
      <c r="Q13" s="100">
        <f t="shared" si="1"/>
        <v>0</v>
      </c>
      <c r="R13" s="100" t="str">
        <f t="shared" si="2"/>
        <v/>
      </c>
      <c r="S13" s="100" t="str">
        <f t="shared" si="3"/>
        <v/>
      </c>
      <c r="T13" s="100" t="str">
        <f t="shared" si="4"/>
        <v/>
      </c>
      <c r="U13" s="100" t="str">
        <f t="shared" si="5"/>
        <v>Failed in 6 Subjects</v>
      </c>
      <c r="V13" s="100" t="str">
        <f t="shared" si="6"/>
        <v/>
      </c>
      <c r="W13" s="100" t="str">
        <f>'Detailed Summary'!BK12</f>
        <v/>
      </c>
    </row>
    <row r="14" spans="1:23" ht="18.5" hidden="1" x14ac:dyDescent="0.45">
      <c r="A14" s="100">
        <v>2</v>
      </c>
      <c r="B14" s="100">
        <f>'Student Basic Info'!A13</f>
        <v>712</v>
      </c>
      <c r="C14" s="100" t="str">
        <f>'Student Basic Info'!C13</f>
        <v>Nadiyatul Nayem</v>
      </c>
      <c r="D14" s="100">
        <f>Bangla!G13</f>
        <v>3</v>
      </c>
      <c r="E14" s="100">
        <f>English!F13</f>
        <v>1</v>
      </c>
      <c r="F14" s="100">
        <f>ICT!H13</f>
        <v>2</v>
      </c>
      <c r="G14" s="100">
        <f>Physics!H13</f>
        <v>3</v>
      </c>
      <c r="H14" s="100">
        <f>Chemistry!H13</f>
        <v>2</v>
      </c>
      <c r="I14" s="100">
        <f>Biology!H13</f>
        <v>0</v>
      </c>
      <c r="J14" s="100">
        <f>Math!H13</f>
        <v>0</v>
      </c>
      <c r="K14" s="100">
        <f t="shared" si="0"/>
        <v>1</v>
      </c>
      <c r="L14" s="100">
        <f t="shared" si="0"/>
        <v>1</v>
      </c>
      <c r="M14" s="100">
        <f t="shared" si="0"/>
        <v>1</v>
      </c>
      <c r="N14" s="100">
        <f t="shared" si="0"/>
        <v>1</v>
      </c>
      <c r="O14" s="100">
        <f t="shared" si="0"/>
        <v>1</v>
      </c>
      <c r="P14" s="100">
        <f t="shared" si="0"/>
        <v>0</v>
      </c>
      <c r="Q14" s="100">
        <f t="shared" si="1"/>
        <v>5</v>
      </c>
      <c r="R14" s="100" t="str">
        <f t="shared" si="2"/>
        <v/>
      </c>
      <c r="S14" s="100" t="str">
        <f t="shared" si="3"/>
        <v/>
      </c>
      <c r="T14" s="100" t="str">
        <f t="shared" si="4"/>
        <v/>
      </c>
      <c r="U14" s="100" t="str">
        <f t="shared" si="5"/>
        <v>Failed in 1 Subject</v>
      </c>
      <c r="V14" s="100" t="str">
        <f t="shared" si="6"/>
        <v/>
      </c>
      <c r="W14" s="100" t="str">
        <f>'Detailed Summary'!BK13</f>
        <v/>
      </c>
    </row>
    <row r="15" spans="1:23" ht="18.5" hidden="1" x14ac:dyDescent="0.45">
      <c r="A15" s="100"/>
      <c r="B15" s="100">
        <f>'Student Basic Info'!A14</f>
        <v>713</v>
      </c>
      <c r="C15" s="100" t="str">
        <f>'Student Basic Info'!C14</f>
        <v>Zannatul Ferdaus Fariha</v>
      </c>
      <c r="D15" s="100">
        <f>Bangla!G14</f>
        <v>3</v>
      </c>
      <c r="E15" s="100">
        <f>English!F14</f>
        <v>2</v>
      </c>
      <c r="F15" s="100">
        <f>ICT!H14</f>
        <v>3.5</v>
      </c>
      <c r="G15" s="100">
        <f>Physics!H14</f>
        <v>3.5</v>
      </c>
      <c r="H15" s="100">
        <f>Chemistry!H14</f>
        <v>3.5</v>
      </c>
      <c r="I15" s="100">
        <f>Biology!H14</f>
        <v>2</v>
      </c>
      <c r="J15" s="100">
        <f>Math!H14</f>
        <v>0</v>
      </c>
      <c r="K15" s="100">
        <f t="shared" si="0"/>
        <v>1</v>
      </c>
      <c r="L15" s="100">
        <f t="shared" si="0"/>
        <v>1</v>
      </c>
      <c r="M15" s="100">
        <f t="shared" si="0"/>
        <v>1</v>
      </c>
      <c r="N15" s="100">
        <f t="shared" si="0"/>
        <v>1</v>
      </c>
      <c r="O15" s="100">
        <f t="shared" si="0"/>
        <v>1</v>
      </c>
      <c r="P15" s="100">
        <f t="shared" si="0"/>
        <v>1</v>
      </c>
      <c r="Q15" s="100">
        <f t="shared" si="1"/>
        <v>6</v>
      </c>
      <c r="R15" s="100">
        <f t="shared" si="2"/>
        <v>17.5</v>
      </c>
      <c r="S15" s="100">
        <f t="shared" si="3"/>
        <v>17.5</v>
      </c>
      <c r="T15" s="100">
        <f t="shared" si="4"/>
        <v>2.9166666666666665</v>
      </c>
      <c r="U15" s="100" t="str">
        <f t="shared" si="5"/>
        <v>Pass</v>
      </c>
      <c r="V15" s="100">
        <f t="shared" si="6"/>
        <v>2.9166666666666665</v>
      </c>
      <c r="W15" s="100">
        <f>'Detailed Summary'!BK14</f>
        <v>8</v>
      </c>
    </row>
    <row r="16" spans="1:23" ht="18.5" hidden="1" x14ac:dyDescent="0.45">
      <c r="A16" s="100"/>
      <c r="B16" s="100">
        <f>'Student Basic Info'!A15</f>
        <v>714</v>
      </c>
      <c r="C16" s="100" t="str">
        <f>'Student Basic Info'!C15</f>
        <v>Khadijatul Kubra</v>
      </c>
      <c r="D16" s="100">
        <f>Bangla!G15</f>
        <v>3.5</v>
      </c>
      <c r="E16" s="100">
        <f>English!F15</f>
        <v>2</v>
      </c>
      <c r="F16" s="100">
        <f>ICT!H15</f>
        <v>4</v>
      </c>
      <c r="G16" s="100">
        <f>Physics!H15</f>
        <v>3</v>
      </c>
      <c r="H16" s="100">
        <f>Chemistry!H15</f>
        <v>4</v>
      </c>
      <c r="I16" s="100">
        <f>Biology!H15</f>
        <v>3</v>
      </c>
      <c r="J16" s="100">
        <f>Math!H15</f>
        <v>0</v>
      </c>
      <c r="K16" s="100">
        <f t="shared" si="0"/>
        <v>1</v>
      </c>
      <c r="L16" s="100">
        <f t="shared" si="0"/>
        <v>1</v>
      </c>
      <c r="M16" s="100">
        <f t="shared" si="0"/>
        <v>1</v>
      </c>
      <c r="N16" s="100">
        <f t="shared" si="0"/>
        <v>1</v>
      </c>
      <c r="O16" s="100">
        <f t="shared" si="0"/>
        <v>1</v>
      </c>
      <c r="P16" s="100">
        <f t="shared" si="0"/>
        <v>1</v>
      </c>
      <c r="Q16" s="100">
        <f t="shared" si="1"/>
        <v>6</v>
      </c>
      <c r="R16" s="100">
        <f t="shared" si="2"/>
        <v>19.5</v>
      </c>
      <c r="S16" s="100">
        <f t="shared" si="3"/>
        <v>19.5</v>
      </c>
      <c r="T16" s="100">
        <f t="shared" si="4"/>
        <v>3.25</v>
      </c>
      <c r="U16" s="100" t="str">
        <f t="shared" si="5"/>
        <v>Pass</v>
      </c>
      <c r="V16" s="100">
        <f t="shared" si="6"/>
        <v>3.25</v>
      </c>
      <c r="W16" s="100">
        <f>'Detailed Summary'!BK15</f>
        <v>6</v>
      </c>
    </row>
    <row r="17" spans="1:23" ht="18.5" x14ac:dyDescent="0.45">
      <c r="A17" s="100"/>
      <c r="B17" s="100">
        <f>'Student Basic Info'!A16</f>
        <v>715</v>
      </c>
      <c r="C17" s="100" t="str">
        <f>'Student Basic Info'!C16</f>
        <v>Tanjila Islam</v>
      </c>
      <c r="D17" s="100">
        <f>Bangla!G16</f>
        <v>2</v>
      </c>
      <c r="E17" s="100">
        <f>English!F16</f>
        <v>0</v>
      </c>
      <c r="F17" s="100">
        <f>ICT!H16</f>
        <v>0</v>
      </c>
      <c r="G17" s="100">
        <f>Physics!H16</f>
        <v>3</v>
      </c>
      <c r="H17" s="100">
        <f>Chemistry!H16</f>
        <v>3</v>
      </c>
      <c r="I17" s="100">
        <f>Biology!H16</f>
        <v>0</v>
      </c>
      <c r="J17" s="100">
        <f>Math!H16</f>
        <v>0</v>
      </c>
      <c r="K17" s="100">
        <f t="shared" si="0"/>
        <v>1</v>
      </c>
      <c r="L17" s="100">
        <f t="shared" si="0"/>
        <v>0</v>
      </c>
      <c r="M17" s="100">
        <f t="shared" si="0"/>
        <v>0</v>
      </c>
      <c r="N17" s="100">
        <f t="shared" si="0"/>
        <v>1</v>
      </c>
      <c r="O17" s="100">
        <f t="shared" si="0"/>
        <v>1</v>
      </c>
      <c r="P17" s="100">
        <f t="shared" si="0"/>
        <v>0</v>
      </c>
      <c r="Q17" s="100">
        <f t="shared" si="1"/>
        <v>3</v>
      </c>
      <c r="R17" s="100" t="str">
        <f t="shared" si="2"/>
        <v/>
      </c>
      <c r="S17" s="100" t="str">
        <f t="shared" si="3"/>
        <v/>
      </c>
      <c r="T17" s="100" t="str">
        <f t="shared" si="4"/>
        <v/>
      </c>
      <c r="U17" s="100" t="str">
        <f t="shared" si="5"/>
        <v>Failed in 3 Subjects</v>
      </c>
      <c r="V17" s="100" t="str">
        <f t="shared" si="6"/>
        <v/>
      </c>
      <c r="W17" s="100" t="str">
        <f>'Detailed Summary'!BK16</f>
        <v/>
      </c>
    </row>
    <row r="18" spans="1:23" ht="18.5" hidden="1" x14ac:dyDescent="0.45">
      <c r="A18" s="100"/>
      <c r="B18" s="100">
        <f>'Student Basic Info'!A17</f>
        <v>716</v>
      </c>
      <c r="C18" s="100" t="str">
        <f>'Student Basic Info'!C17</f>
        <v>Nazmun Nahar Rikha</v>
      </c>
      <c r="D18" s="100">
        <f>Bangla!G17</f>
        <v>2</v>
      </c>
      <c r="E18" s="100">
        <f>English!F17</f>
        <v>0</v>
      </c>
      <c r="F18" s="100">
        <f>ICT!H17</f>
        <v>0</v>
      </c>
      <c r="G18" s="100">
        <f>Physics!H17</f>
        <v>3</v>
      </c>
      <c r="H18" s="100">
        <f>Chemistry!H17</f>
        <v>3</v>
      </c>
      <c r="I18" s="100">
        <f>Biology!H17</f>
        <v>0</v>
      </c>
      <c r="J18" s="100">
        <f>Math!H17</f>
        <v>0</v>
      </c>
      <c r="K18" s="100">
        <f t="shared" si="0"/>
        <v>1</v>
      </c>
      <c r="L18" s="100">
        <f t="shared" si="0"/>
        <v>0</v>
      </c>
      <c r="M18" s="100">
        <f t="shared" si="0"/>
        <v>0</v>
      </c>
      <c r="N18" s="100">
        <f t="shared" si="0"/>
        <v>1</v>
      </c>
      <c r="O18" s="100">
        <f t="shared" si="0"/>
        <v>1</v>
      </c>
      <c r="P18" s="100">
        <f t="shared" si="0"/>
        <v>0</v>
      </c>
      <c r="Q18" s="100">
        <f t="shared" si="1"/>
        <v>3</v>
      </c>
      <c r="R18" s="100" t="str">
        <f t="shared" si="2"/>
        <v/>
      </c>
      <c r="S18" s="100" t="str">
        <f t="shared" si="3"/>
        <v/>
      </c>
      <c r="T18" s="100" t="str">
        <f t="shared" si="4"/>
        <v/>
      </c>
      <c r="U18" s="100" t="str">
        <f t="shared" si="5"/>
        <v>Failed in 3 Subjects</v>
      </c>
      <c r="V18" s="100" t="str">
        <f t="shared" si="6"/>
        <v/>
      </c>
      <c r="W18" s="100" t="str">
        <f>'Detailed Summary'!BK17</f>
        <v/>
      </c>
    </row>
    <row r="19" spans="1:23" ht="18.5" hidden="1" x14ac:dyDescent="0.45">
      <c r="A19" s="100"/>
      <c r="B19" s="100">
        <f>'Student Basic Info'!A18</f>
        <v>717</v>
      </c>
      <c r="C19" s="100" t="str">
        <f>'Student Basic Info'!C18</f>
        <v xml:space="preserve">Umme Rojina </v>
      </c>
      <c r="D19" s="100">
        <f>Bangla!G18</f>
        <v>3</v>
      </c>
      <c r="E19" s="100">
        <f>English!F18</f>
        <v>0</v>
      </c>
      <c r="F19" s="100">
        <f>ICT!H18</f>
        <v>0</v>
      </c>
      <c r="G19" s="100">
        <f>Physics!H18</f>
        <v>3.5</v>
      </c>
      <c r="H19" s="100">
        <f>Chemistry!H18</f>
        <v>2</v>
      </c>
      <c r="I19" s="100">
        <f>Biology!H18</f>
        <v>0</v>
      </c>
      <c r="J19" s="100" t="str">
        <f>Math!H18</f>
        <v/>
      </c>
      <c r="K19" s="100">
        <f t="shared" si="0"/>
        <v>1</v>
      </c>
      <c r="L19" s="100">
        <f t="shared" si="0"/>
        <v>0</v>
      </c>
      <c r="M19" s="100">
        <f t="shared" si="0"/>
        <v>0</v>
      </c>
      <c r="N19" s="100">
        <f t="shared" si="0"/>
        <v>1</v>
      </c>
      <c r="O19" s="100">
        <f t="shared" si="0"/>
        <v>1</v>
      </c>
      <c r="P19" s="100">
        <f t="shared" si="0"/>
        <v>0</v>
      </c>
      <c r="Q19" s="100">
        <f t="shared" si="1"/>
        <v>3</v>
      </c>
      <c r="R19" s="100" t="str">
        <f t="shared" si="2"/>
        <v/>
      </c>
      <c r="S19" s="100" t="str">
        <f t="shared" si="3"/>
        <v/>
      </c>
      <c r="T19" s="100" t="str">
        <f t="shared" si="4"/>
        <v/>
      </c>
      <c r="U19" s="100" t="str">
        <f t="shared" si="5"/>
        <v>Failed in 3 Subjects</v>
      </c>
      <c r="V19" s="100" t="str">
        <f t="shared" si="6"/>
        <v/>
      </c>
      <c r="W19" s="100" t="str">
        <f>'Detailed Summary'!BK18</f>
        <v/>
      </c>
    </row>
    <row r="20" spans="1:23" ht="18.5" x14ac:dyDescent="0.45">
      <c r="A20" s="100"/>
      <c r="B20" s="100">
        <f>'Student Basic Info'!A19</f>
        <v>718</v>
      </c>
      <c r="C20" s="100" t="str">
        <f>'Student Basic Info'!C19</f>
        <v>Zannatul Ferdaus</v>
      </c>
      <c r="D20" s="100" t="str">
        <f>Bangla!G19</f>
        <v/>
      </c>
      <c r="E20" s="100" t="str">
        <f>English!F19</f>
        <v/>
      </c>
      <c r="F20" s="100" t="str">
        <f>ICT!H19</f>
        <v/>
      </c>
      <c r="G20" s="100" t="str">
        <f>Physics!H19</f>
        <v/>
      </c>
      <c r="H20" s="100" t="str">
        <f>Chemistry!H19</f>
        <v/>
      </c>
      <c r="I20" s="100" t="str">
        <f>Biology!H19</f>
        <v/>
      </c>
      <c r="J20" s="100" t="str">
        <f>Math!H19</f>
        <v/>
      </c>
      <c r="K20" s="100">
        <f t="shared" si="0"/>
        <v>0</v>
      </c>
      <c r="L20" s="100">
        <f t="shared" si="0"/>
        <v>0</v>
      </c>
      <c r="M20" s="100">
        <f t="shared" si="0"/>
        <v>0</v>
      </c>
      <c r="N20" s="100">
        <f t="shared" si="0"/>
        <v>0</v>
      </c>
      <c r="O20" s="100">
        <f t="shared" si="0"/>
        <v>0</v>
      </c>
      <c r="P20" s="100">
        <f t="shared" si="0"/>
        <v>0</v>
      </c>
      <c r="Q20" s="100">
        <f t="shared" si="1"/>
        <v>0</v>
      </c>
      <c r="R20" s="100" t="str">
        <f t="shared" si="2"/>
        <v/>
      </c>
      <c r="S20" s="100" t="str">
        <f t="shared" si="3"/>
        <v/>
      </c>
      <c r="T20" s="100" t="str">
        <f t="shared" si="4"/>
        <v/>
      </c>
      <c r="U20" s="100" t="str">
        <f t="shared" si="5"/>
        <v>Failed in 6 Subjects</v>
      </c>
      <c r="V20" s="100" t="str">
        <f t="shared" si="6"/>
        <v/>
      </c>
      <c r="W20" s="100" t="str">
        <f>'Detailed Summary'!BK19</f>
        <v/>
      </c>
    </row>
    <row r="21" spans="1:23" ht="18.5" hidden="1" x14ac:dyDescent="0.45">
      <c r="A21" s="100">
        <v>3</v>
      </c>
      <c r="B21" s="100">
        <f>'Student Basic Info'!A20</f>
        <v>719</v>
      </c>
      <c r="C21" s="100" t="str">
        <f>'Student Basic Info'!C20</f>
        <v>Shazeda Amin Shuchi</v>
      </c>
      <c r="D21" s="100">
        <f>Bangla!G20</f>
        <v>3</v>
      </c>
      <c r="E21" s="100">
        <f>English!F20</f>
        <v>0</v>
      </c>
      <c r="F21" s="100">
        <f>ICT!H20</f>
        <v>0</v>
      </c>
      <c r="G21" s="100">
        <f>Physics!H20</f>
        <v>3.5</v>
      </c>
      <c r="H21" s="100">
        <f>Chemistry!H20</f>
        <v>3</v>
      </c>
      <c r="I21" s="100">
        <f>Biology!H20</f>
        <v>0</v>
      </c>
      <c r="J21" s="100">
        <f>Math!H20</f>
        <v>0</v>
      </c>
      <c r="K21" s="100">
        <f t="shared" si="0"/>
        <v>1</v>
      </c>
      <c r="L21" s="100">
        <f t="shared" si="0"/>
        <v>0</v>
      </c>
      <c r="M21" s="100">
        <f t="shared" si="0"/>
        <v>0</v>
      </c>
      <c r="N21" s="100">
        <f t="shared" si="0"/>
        <v>1</v>
      </c>
      <c r="O21" s="100">
        <f t="shared" si="0"/>
        <v>1</v>
      </c>
      <c r="P21" s="100">
        <f t="shared" si="0"/>
        <v>0</v>
      </c>
      <c r="Q21" s="100">
        <f t="shared" si="1"/>
        <v>3</v>
      </c>
      <c r="R21" s="100" t="str">
        <f t="shared" si="2"/>
        <v/>
      </c>
      <c r="S21" s="100" t="str">
        <f t="shared" si="3"/>
        <v/>
      </c>
      <c r="T21" s="100" t="str">
        <f t="shared" si="4"/>
        <v/>
      </c>
      <c r="U21" s="100" t="str">
        <f t="shared" si="5"/>
        <v>Failed in 3 Subjects</v>
      </c>
      <c r="V21" s="100" t="str">
        <f t="shared" si="6"/>
        <v/>
      </c>
      <c r="W21" s="100" t="str">
        <f>'Detailed Summary'!BK20</f>
        <v/>
      </c>
    </row>
    <row r="22" spans="1:23" ht="18.5" hidden="1" x14ac:dyDescent="0.45">
      <c r="A22" s="100"/>
      <c r="B22" s="100">
        <f>'Student Basic Info'!A21</f>
        <v>720</v>
      </c>
      <c r="C22" s="100" t="str">
        <f>'Student Basic Info'!C21</f>
        <v>Farzana Aktar</v>
      </c>
      <c r="D22" s="100">
        <f>Bangla!G21</f>
        <v>3</v>
      </c>
      <c r="E22" s="100">
        <f>English!F21</f>
        <v>0</v>
      </c>
      <c r="F22" s="100">
        <f>ICT!H21</f>
        <v>0</v>
      </c>
      <c r="G22" s="100">
        <f>Physics!H21</f>
        <v>3</v>
      </c>
      <c r="H22" s="100">
        <f>Chemistry!H21</f>
        <v>0</v>
      </c>
      <c r="I22" s="100">
        <f>Biology!H21</f>
        <v>0</v>
      </c>
      <c r="J22" s="100">
        <f>Math!H21</f>
        <v>0</v>
      </c>
      <c r="K22" s="100">
        <f t="shared" si="0"/>
        <v>1</v>
      </c>
      <c r="L22" s="100">
        <f t="shared" si="0"/>
        <v>0</v>
      </c>
      <c r="M22" s="100">
        <f t="shared" si="0"/>
        <v>0</v>
      </c>
      <c r="N22" s="100">
        <f t="shared" si="0"/>
        <v>1</v>
      </c>
      <c r="O22" s="100">
        <f t="shared" si="0"/>
        <v>0</v>
      </c>
      <c r="P22" s="100">
        <f t="shared" si="0"/>
        <v>0</v>
      </c>
      <c r="Q22" s="100">
        <f t="shared" si="1"/>
        <v>2</v>
      </c>
      <c r="R22" s="100" t="str">
        <f t="shared" si="2"/>
        <v/>
      </c>
      <c r="S22" s="100" t="str">
        <f t="shared" si="3"/>
        <v/>
      </c>
      <c r="T22" s="100" t="str">
        <f t="shared" si="4"/>
        <v/>
      </c>
      <c r="U22" s="100" t="str">
        <f t="shared" si="5"/>
        <v>Failed in 4 Subjects</v>
      </c>
      <c r="V22" s="100" t="str">
        <f t="shared" si="6"/>
        <v/>
      </c>
      <c r="W22" s="100" t="str">
        <f>'Detailed Summary'!BK21</f>
        <v/>
      </c>
    </row>
    <row r="23" spans="1:23" ht="18.5" x14ac:dyDescent="0.45">
      <c r="A23" s="100"/>
      <c r="B23" s="100">
        <f>'Student Basic Info'!A22</f>
        <v>721</v>
      </c>
      <c r="C23" s="100" t="str">
        <f>'Student Basic Info'!C22</f>
        <v>Nowrin Faiza Niduwa</v>
      </c>
      <c r="D23" s="100" t="str">
        <f>Bangla!G22</f>
        <v/>
      </c>
      <c r="E23" s="100" t="str">
        <f>English!F22</f>
        <v/>
      </c>
      <c r="F23" s="100" t="str">
        <f>ICT!H22</f>
        <v/>
      </c>
      <c r="G23" s="100" t="str">
        <f>Physics!H22</f>
        <v/>
      </c>
      <c r="H23" s="100" t="str">
        <f>Chemistry!H22</f>
        <v/>
      </c>
      <c r="I23" s="100" t="str">
        <f>Biology!H22</f>
        <v/>
      </c>
      <c r="J23" s="100" t="str">
        <f>Math!H22</f>
        <v/>
      </c>
      <c r="K23" s="100">
        <f t="shared" si="0"/>
        <v>0</v>
      </c>
      <c r="L23" s="100">
        <f t="shared" si="0"/>
        <v>0</v>
      </c>
      <c r="M23" s="100">
        <f t="shared" si="0"/>
        <v>0</v>
      </c>
      <c r="N23" s="100">
        <f t="shared" si="0"/>
        <v>0</v>
      </c>
      <c r="O23" s="100">
        <f t="shared" si="0"/>
        <v>0</v>
      </c>
      <c r="P23" s="100">
        <f t="shared" si="0"/>
        <v>0</v>
      </c>
      <c r="Q23" s="100">
        <f t="shared" si="1"/>
        <v>0</v>
      </c>
      <c r="R23" s="100" t="str">
        <f t="shared" si="2"/>
        <v/>
      </c>
      <c r="S23" s="100" t="str">
        <f t="shared" si="3"/>
        <v/>
      </c>
      <c r="T23" s="100" t="str">
        <f t="shared" si="4"/>
        <v/>
      </c>
      <c r="U23" s="100" t="str">
        <f t="shared" si="5"/>
        <v>Failed in 6 Subjects</v>
      </c>
      <c r="V23" s="100" t="str">
        <f t="shared" si="6"/>
        <v/>
      </c>
      <c r="W23" s="100" t="str">
        <f>'Detailed Summary'!BK22</f>
        <v/>
      </c>
    </row>
    <row r="24" spans="1:23" ht="18.5" hidden="1" x14ac:dyDescent="0.45">
      <c r="A24" s="100">
        <v>4</v>
      </c>
      <c r="B24" s="100">
        <f>'Student Basic Info'!A23</f>
        <v>722</v>
      </c>
      <c r="C24" s="100" t="str">
        <f>'Student Basic Info'!C23</f>
        <v>Mahmudau Rahman Munna</v>
      </c>
      <c r="D24" s="100">
        <f>Bangla!G23</f>
        <v>3</v>
      </c>
      <c r="E24" s="100">
        <f>English!F23</f>
        <v>2</v>
      </c>
      <c r="F24" s="100">
        <f>ICT!H23</f>
        <v>0</v>
      </c>
      <c r="G24" s="100">
        <f>Physics!H23</f>
        <v>0</v>
      </c>
      <c r="H24" s="100">
        <f>Chemistry!H23</f>
        <v>0</v>
      </c>
      <c r="I24" s="100">
        <f>Biology!H23</f>
        <v>0</v>
      </c>
      <c r="J24" s="100">
        <f>Math!H23</f>
        <v>0</v>
      </c>
      <c r="K24" s="100">
        <f t="shared" si="0"/>
        <v>1</v>
      </c>
      <c r="L24" s="100">
        <f t="shared" si="0"/>
        <v>1</v>
      </c>
      <c r="M24" s="100">
        <f t="shared" si="0"/>
        <v>0</v>
      </c>
      <c r="N24" s="100">
        <f t="shared" si="0"/>
        <v>0</v>
      </c>
      <c r="O24" s="100">
        <f t="shared" si="0"/>
        <v>0</v>
      </c>
      <c r="P24" s="100">
        <f t="shared" si="0"/>
        <v>0</v>
      </c>
      <c r="Q24" s="100">
        <f t="shared" si="1"/>
        <v>2</v>
      </c>
      <c r="R24" s="100" t="str">
        <f t="shared" si="2"/>
        <v/>
      </c>
      <c r="S24" s="100" t="str">
        <f t="shared" si="3"/>
        <v/>
      </c>
      <c r="T24" s="100" t="str">
        <f t="shared" si="4"/>
        <v/>
      </c>
      <c r="U24" s="100" t="str">
        <f t="shared" si="5"/>
        <v>Failed in 4 Subjects</v>
      </c>
      <c r="V24" s="100" t="str">
        <f t="shared" si="6"/>
        <v/>
      </c>
      <c r="W24" s="100" t="str">
        <f>'Detailed Summary'!BK23</f>
        <v/>
      </c>
    </row>
    <row r="25" spans="1:23" ht="18.5" hidden="1" x14ac:dyDescent="0.45">
      <c r="A25" s="100"/>
      <c r="B25" s="100">
        <f>'Student Basic Info'!A24</f>
        <v>723</v>
      </c>
      <c r="C25" s="100" t="str">
        <f>'Student Basic Info'!C24</f>
        <v>Shamsuzzaman</v>
      </c>
      <c r="D25" s="100">
        <f>Bangla!G24</f>
        <v>4</v>
      </c>
      <c r="E25" s="100">
        <f>English!F24</f>
        <v>3.5</v>
      </c>
      <c r="F25" s="100">
        <f>ICT!H24</f>
        <v>5</v>
      </c>
      <c r="G25" s="100">
        <f>Physics!H24</f>
        <v>5</v>
      </c>
      <c r="H25" s="100">
        <f>Chemistry!H24</f>
        <v>5</v>
      </c>
      <c r="I25" s="100">
        <f>Biology!H24</f>
        <v>4</v>
      </c>
      <c r="J25" s="100">
        <f>Math!H24</f>
        <v>5</v>
      </c>
      <c r="K25" s="100">
        <f t="shared" si="0"/>
        <v>1</v>
      </c>
      <c r="L25" s="100">
        <f t="shared" si="0"/>
        <v>1</v>
      </c>
      <c r="M25" s="100">
        <f t="shared" si="0"/>
        <v>1</v>
      </c>
      <c r="N25" s="100">
        <f t="shared" si="0"/>
        <v>1</v>
      </c>
      <c r="O25" s="100">
        <f t="shared" si="0"/>
        <v>1</v>
      </c>
      <c r="P25" s="100">
        <f t="shared" si="0"/>
        <v>1</v>
      </c>
      <c r="Q25" s="100">
        <f t="shared" si="1"/>
        <v>6</v>
      </c>
      <c r="R25" s="100">
        <f t="shared" si="2"/>
        <v>26.5</v>
      </c>
      <c r="S25" s="100">
        <f t="shared" si="3"/>
        <v>31.5</v>
      </c>
      <c r="T25" s="100">
        <f t="shared" si="4"/>
        <v>4.416666666666667</v>
      </c>
      <c r="U25" s="100" t="str">
        <f t="shared" si="5"/>
        <v>Pass</v>
      </c>
      <c r="V25" s="100">
        <f t="shared" si="6"/>
        <v>5</v>
      </c>
      <c r="W25" s="100">
        <f>'Detailed Summary'!BK24</f>
        <v>1</v>
      </c>
    </row>
    <row r="26" spans="1:23" ht="18.5" x14ac:dyDescent="0.45">
      <c r="A26" s="100"/>
      <c r="B26" s="100">
        <f>'Student Basic Info'!A25</f>
        <v>724</v>
      </c>
      <c r="C26" s="100" t="str">
        <f>'Student Basic Info'!C25</f>
        <v>Dipto Chandra Das</v>
      </c>
      <c r="D26" s="100">
        <f>Bangla!G25</f>
        <v>2</v>
      </c>
      <c r="E26" s="100">
        <f>English!F25</f>
        <v>1</v>
      </c>
      <c r="F26" s="100">
        <f>ICT!H25</f>
        <v>0</v>
      </c>
      <c r="G26" s="100">
        <f>Physics!H25</f>
        <v>2</v>
      </c>
      <c r="H26" s="100">
        <f>Chemistry!H25</f>
        <v>3</v>
      </c>
      <c r="I26" s="100">
        <f>Biology!H25</f>
        <v>0</v>
      </c>
      <c r="J26" s="100">
        <f>Math!H25</f>
        <v>0</v>
      </c>
      <c r="K26" s="100">
        <f t="shared" si="0"/>
        <v>1</v>
      </c>
      <c r="L26" s="100">
        <f t="shared" si="0"/>
        <v>1</v>
      </c>
      <c r="M26" s="100">
        <f t="shared" si="0"/>
        <v>0</v>
      </c>
      <c r="N26" s="100">
        <f t="shared" si="0"/>
        <v>1</v>
      </c>
      <c r="O26" s="100">
        <f t="shared" si="0"/>
        <v>1</v>
      </c>
      <c r="P26" s="100">
        <f t="shared" si="0"/>
        <v>0</v>
      </c>
      <c r="Q26" s="100">
        <f t="shared" si="1"/>
        <v>4</v>
      </c>
      <c r="R26" s="100" t="str">
        <f t="shared" si="2"/>
        <v/>
      </c>
      <c r="S26" s="100" t="str">
        <f t="shared" si="3"/>
        <v/>
      </c>
      <c r="T26" s="100" t="str">
        <f t="shared" si="4"/>
        <v/>
      </c>
      <c r="U26" s="100" t="str">
        <f t="shared" si="5"/>
        <v>Failed in 2 Subjects</v>
      </c>
      <c r="V26" s="100" t="str">
        <f t="shared" si="6"/>
        <v/>
      </c>
      <c r="W26" s="100" t="str">
        <f>'Detailed Summary'!BK25</f>
        <v/>
      </c>
    </row>
    <row r="27" spans="1:23" ht="18.5" hidden="1" x14ac:dyDescent="0.45">
      <c r="A27" s="100">
        <v>5</v>
      </c>
      <c r="B27" s="100">
        <f>'Student Basic Info'!A26</f>
        <v>725</v>
      </c>
      <c r="C27" s="100" t="str">
        <f>'Student Basic Info'!C26</f>
        <v>Shorfuddin Nayem</v>
      </c>
      <c r="D27" s="100">
        <f>Bangla!G26</f>
        <v>2</v>
      </c>
      <c r="E27" s="100">
        <f>English!F26</f>
        <v>1</v>
      </c>
      <c r="F27" s="100">
        <f>ICT!H26</f>
        <v>0</v>
      </c>
      <c r="G27" s="100">
        <f>Physics!H26</f>
        <v>2</v>
      </c>
      <c r="H27" s="100">
        <f>Chemistry!H26</f>
        <v>0</v>
      </c>
      <c r="I27" s="100">
        <f>Biology!H26</f>
        <v>0</v>
      </c>
      <c r="J27" s="100">
        <f>Math!H26</f>
        <v>0</v>
      </c>
      <c r="K27" s="100">
        <f t="shared" si="0"/>
        <v>1</v>
      </c>
      <c r="L27" s="100">
        <f t="shared" si="0"/>
        <v>1</v>
      </c>
      <c r="M27" s="100">
        <f t="shared" si="0"/>
        <v>0</v>
      </c>
      <c r="N27" s="100">
        <f t="shared" si="0"/>
        <v>1</v>
      </c>
      <c r="O27" s="100">
        <f t="shared" si="0"/>
        <v>0</v>
      </c>
      <c r="P27" s="100">
        <f t="shared" si="0"/>
        <v>0</v>
      </c>
      <c r="Q27" s="100">
        <f t="shared" si="1"/>
        <v>3</v>
      </c>
      <c r="R27" s="100" t="str">
        <f t="shared" si="2"/>
        <v/>
      </c>
      <c r="S27" s="100" t="str">
        <f t="shared" si="3"/>
        <v/>
      </c>
      <c r="T27" s="100" t="str">
        <f t="shared" si="4"/>
        <v/>
      </c>
      <c r="U27" s="100" t="str">
        <f t="shared" si="5"/>
        <v>Failed in 3 Subjects</v>
      </c>
      <c r="V27" s="100" t="str">
        <f t="shared" si="6"/>
        <v/>
      </c>
      <c r="W27" s="100" t="str">
        <f>'Detailed Summary'!BK26</f>
        <v/>
      </c>
    </row>
    <row r="28" spans="1:23" ht="18.5" x14ac:dyDescent="0.45">
      <c r="A28" s="100"/>
      <c r="B28" s="100">
        <f>'Student Basic Info'!A27</f>
        <v>726</v>
      </c>
      <c r="C28" s="100" t="str">
        <f>'Student Basic Info'!C27</f>
        <v>Mosaddek Ali</v>
      </c>
      <c r="D28" s="100" t="str">
        <f>Bangla!G27</f>
        <v/>
      </c>
      <c r="E28" s="100" t="str">
        <f>English!F27</f>
        <v/>
      </c>
      <c r="F28" s="100" t="str">
        <f>ICT!H27</f>
        <v/>
      </c>
      <c r="G28" s="100" t="str">
        <f>Physics!H27</f>
        <v/>
      </c>
      <c r="H28" s="100" t="str">
        <f>Chemistry!H27</f>
        <v/>
      </c>
      <c r="I28" s="100" t="str">
        <f>Biology!H27</f>
        <v/>
      </c>
      <c r="J28" s="100" t="str">
        <f>Math!H27</f>
        <v/>
      </c>
      <c r="K28" s="100">
        <f t="shared" si="0"/>
        <v>0</v>
      </c>
      <c r="L28" s="100">
        <f t="shared" si="0"/>
        <v>0</v>
      </c>
      <c r="M28" s="100">
        <f t="shared" si="0"/>
        <v>0</v>
      </c>
      <c r="N28" s="100">
        <f t="shared" si="0"/>
        <v>0</v>
      </c>
      <c r="O28" s="100">
        <f t="shared" si="0"/>
        <v>0</v>
      </c>
      <c r="P28" s="100">
        <f t="shared" si="0"/>
        <v>0</v>
      </c>
      <c r="Q28" s="100">
        <f t="shared" si="1"/>
        <v>0</v>
      </c>
      <c r="R28" s="100" t="str">
        <f t="shared" si="2"/>
        <v/>
      </c>
      <c r="S28" s="100" t="str">
        <f t="shared" si="3"/>
        <v/>
      </c>
      <c r="T28" s="100" t="str">
        <f t="shared" si="4"/>
        <v/>
      </c>
      <c r="U28" s="100" t="str">
        <f t="shared" si="5"/>
        <v>Failed in 6 Subjects</v>
      </c>
      <c r="V28" s="100" t="str">
        <f t="shared" si="6"/>
        <v/>
      </c>
      <c r="W28" s="100" t="str">
        <f>'Detailed Summary'!BK27</f>
        <v/>
      </c>
    </row>
    <row r="29" spans="1:23" ht="18.5" hidden="1" x14ac:dyDescent="0.45">
      <c r="A29" s="100"/>
      <c r="B29" s="100">
        <f>'Student Basic Info'!A28</f>
        <v>727</v>
      </c>
      <c r="C29" s="100" t="str">
        <f>'Student Basic Info'!C28</f>
        <v>Fahmida Sultana</v>
      </c>
      <c r="D29" s="100">
        <f>Bangla!G28</f>
        <v>3.5</v>
      </c>
      <c r="E29" s="100">
        <f>English!F28</f>
        <v>1</v>
      </c>
      <c r="F29" s="100">
        <f>ICT!H28</f>
        <v>5</v>
      </c>
      <c r="G29" s="100">
        <f>Physics!H28</f>
        <v>3.5</v>
      </c>
      <c r="H29" s="100">
        <f>Chemistry!H28</f>
        <v>2</v>
      </c>
      <c r="I29" s="100">
        <f>Biology!H28</f>
        <v>2</v>
      </c>
      <c r="J29" s="100">
        <f>Math!H28</f>
        <v>0</v>
      </c>
      <c r="K29" s="100">
        <f t="shared" si="0"/>
        <v>1</v>
      </c>
      <c r="L29" s="100">
        <f t="shared" si="0"/>
        <v>1</v>
      </c>
      <c r="M29" s="100">
        <f t="shared" si="0"/>
        <v>1</v>
      </c>
      <c r="N29" s="100">
        <f t="shared" si="0"/>
        <v>1</v>
      </c>
      <c r="O29" s="100">
        <f t="shared" si="0"/>
        <v>1</v>
      </c>
      <c r="P29" s="100">
        <f t="shared" si="0"/>
        <v>1</v>
      </c>
      <c r="Q29" s="100">
        <f t="shared" si="1"/>
        <v>6</v>
      </c>
      <c r="R29" s="100">
        <f t="shared" si="2"/>
        <v>17</v>
      </c>
      <c r="S29" s="100">
        <f t="shared" si="3"/>
        <v>17</v>
      </c>
      <c r="T29" s="100">
        <f t="shared" si="4"/>
        <v>2.8333333333333335</v>
      </c>
      <c r="U29" s="100" t="str">
        <f t="shared" si="5"/>
        <v>Pass</v>
      </c>
      <c r="V29" s="100">
        <f t="shared" si="6"/>
        <v>2.8333333333333335</v>
      </c>
      <c r="W29" s="100">
        <f>'Detailed Summary'!BK28</f>
        <v>9</v>
      </c>
    </row>
    <row r="30" spans="1:23" ht="18.5" hidden="1" x14ac:dyDescent="0.45">
      <c r="A30" s="100"/>
      <c r="B30" s="100">
        <f>'Student Basic Info'!A29</f>
        <v>728</v>
      </c>
      <c r="C30" s="100" t="str">
        <f>'Student Basic Info'!C29</f>
        <v>Aditya Chandra Das (Akash)</v>
      </c>
      <c r="D30" s="100">
        <f>Bangla!G29</f>
        <v>2</v>
      </c>
      <c r="E30" s="100">
        <f>English!F29</f>
        <v>0</v>
      </c>
      <c r="F30" s="100">
        <f>ICT!H29</f>
        <v>0</v>
      </c>
      <c r="G30" s="100">
        <f>Physics!H29</f>
        <v>2</v>
      </c>
      <c r="H30" s="100">
        <f>Chemistry!H29</f>
        <v>3</v>
      </c>
      <c r="I30" s="100">
        <f>Biology!H29</f>
        <v>0</v>
      </c>
      <c r="J30" s="100">
        <f>Math!H29</f>
        <v>0</v>
      </c>
      <c r="K30" s="100">
        <f t="shared" si="0"/>
        <v>1</v>
      </c>
      <c r="L30" s="100">
        <f t="shared" si="0"/>
        <v>0</v>
      </c>
      <c r="M30" s="100">
        <f t="shared" si="0"/>
        <v>0</v>
      </c>
      <c r="N30" s="100">
        <f t="shared" si="0"/>
        <v>1</v>
      </c>
      <c r="O30" s="100">
        <f t="shared" si="0"/>
        <v>1</v>
      </c>
      <c r="P30" s="100">
        <f t="shared" si="0"/>
        <v>0</v>
      </c>
      <c r="Q30" s="100">
        <f t="shared" si="1"/>
        <v>3</v>
      </c>
      <c r="R30" s="100" t="str">
        <f t="shared" si="2"/>
        <v/>
      </c>
      <c r="S30" s="100" t="str">
        <f t="shared" si="3"/>
        <v/>
      </c>
      <c r="T30" s="100" t="str">
        <f t="shared" si="4"/>
        <v/>
      </c>
      <c r="U30" s="100" t="str">
        <f t="shared" si="5"/>
        <v>Failed in 3 Subjects</v>
      </c>
      <c r="V30" s="100" t="str">
        <f t="shared" si="6"/>
        <v/>
      </c>
      <c r="W30" s="100" t="str">
        <f>'Detailed Summary'!BK29</f>
        <v/>
      </c>
    </row>
    <row r="31" spans="1:23" ht="18.5" x14ac:dyDescent="0.45">
      <c r="A31" s="100"/>
      <c r="B31" s="100">
        <f>'Student Basic Info'!A30</f>
        <v>729</v>
      </c>
      <c r="C31" s="100" t="str">
        <f>'Student Basic Info'!C30</f>
        <v>Golam Kibriya</v>
      </c>
      <c r="D31" s="100">
        <f>Bangla!G30</f>
        <v>1</v>
      </c>
      <c r="E31" s="100">
        <f>English!F30</f>
        <v>0</v>
      </c>
      <c r="F31" s="100">
        <f>ICT!H30</f>
        <v>0</v>
      </c>
      <c r="G31" s="100">
        <f>Physics!H30</f>
        <v>0</v>
      </c>
      <c r="H31" s="100">
        <f>Chemistry!H30</f>
        <v>0</v>
      </c>
      <c r="I31" s="100">
        <f>Biology!H30</f>
        <v>0</v>
      </c>
      <c r="J31" s="100">
        <f>Math!H30</f>
        <v>0</v>
      </c>
      <c r="K31" s="100">
        <f t="shared" si="0"/>
        <v>1</v>
      </c>
      <c r="L31" s="100">
        <f t="shared" si="0"/>
        <v>0</v>
      </c>
      <c r="M31" s="100">
        <f t="shared" si="0"/>
        <v>0</v>
      </c>
      <c r="N31" s="100">
        <f t="shared" si="0"/>
        <v>0</v>
      </c>
      <c r="O31" s="100">
        <f t="shared" si="0"/>
        <v>0</v>
      </c>
      <c r="P31" s="100">
        <f t="shared" si="0"/>
        <v>0</v>
      </c>
      <c r="Q31" s="100">
        <f t="shared" si="1"/>
        <v>1</v>
      </c>
      <c r="R31" s="100" t="str">
        <f t="shared" si="2"/>
        <v/>
      </c>
      <c r="S31" s="100" t="str">
        <f t="shared" si="3"/>
        <v/>
      </c>
      <c r="T31" s="100" t="str">
        <f t="shared" si="4"/>
        <v/>
      </c>
      <c r="U31" s="100" t="str">
        <f t="shared" si="5"/>
        <v>Failed in 5 Subjects</v>
      </c>
      <c r="V31" s="100" t="str">
        <f t="shared" si="6"/>
        <v/>
      </c>
      <c r="W31" s="100" t="str">
        <f>'Detailed Summary'!BK30</f>
        <v/>
      </c>
    </row>
    <row r="32" spans="1:23" ht="18.5" hidden="1" x14ac:dyDescent="0.45">
      <c r="A32" s="100"/>
      <c r="B32" s="100">
        <f>'Student Basic Info'!A31</f>
        <v>730</v>
      </c>
      <c r="C32" s="100" t="str">
        <f>'Student Basic Info'!C31</f>
        <v>Fahmidul Alam Abhi</v>
      </c>
      <c r="D32" s="100">
        <f>Bangla!G31</f>
        <v>1</v>
      </c>
      <c r="E32" s="100">
        <f>English!F31</f>
        <v>0</v>
      </c>
      <c r="F32" s="100">
        <f>ICT!H31</f>
        <v>0</v>
      </c>
      <c r="G32" s="100">
        <f>Physics!H31</f>
        <v>0</v>
      </c>
      <c r="H32" s="100">
        <f>Chemistry!H31</f>
        <v>0</v>
      </c>
      <c r="I32" s="100">
        <f>Biology!H31</f>
        <v>0</v>
      </c>
      <c r="J32" s="100">
        <f>Math!H31</f>
        <v>0</v>
      </c>
      <c r="K32" s="100">
        <f t="shared" si="0"/>
        <v>1</v>
      </c>
      <c r="L32" s="100">
        <f t="shared" si="0"/>
        <v>0</v>
      </c>
      <c r="M32" s="100">
        <f t="shared" si="0"/>
        <v>0</v>
      </c>
      <c r="N32" s="100">
        <f t="shared" si="0"/>
        <v>0</v>
      </c>
      <c r="O32" s="100">
        <f t="shared" si="0"/>
        <v>0</v>
      </c>
      <c r="P32" s="100">
        <f t="shared" si="0"/>
        <v>0</v>
      </c>
      <c r="Q32" s="100">
        <f t="shared" si="1"/>
        <v>1</v>
      </c>
      <c r="R32" s="100" t="str">
        <f t="shared" si="2"/>
        <v/>
      </c>
      <c r="S32" s="100" t="str">
        <f t="shared" si="3"/>
        <v/>
      </c>
      <c r="T32" s="100" t="str">
        <f t="shared" si="4"/>
        <v/>
      </c>
      <c r="U32" s="100" t="str">
        <f t="shared" si="5"/>
        <v>Failed in 5 Subjects</v>
      </c>
      <c r="V32" s="100" t="str">
        <f t="shared" si="6"/>
        <v/>
      </c>
      <c r="W32" s="100" t="str">
        <f>'Detailed Summary'!BK31</f>
        <v/>
      </c>
    </row>
    <row r="33" spans="1:27" ht="18.5" hidden="1" x14ac:dyDescent="0.45">
      <c r="A33" s="100"/>
      <c r="B33" s="100">
        <f>'Student Basic Info'!A32</f>
        <v>731</v>
      </c>
      <c r="C33" s="100" t="str">
        <f>'Student Basic Info'!C32</f>
        <v>Lurpur Nahar</v>
      </c>
      <c r="D33" s="100">
        <f>Bangla!G32</f>
        <v>3</v>
      </c>
      <c r="E33" s="100">
        <f>English!F32</f>
        <v>0</v>
      </c>
      <c r="F33" s="100">
        <f>ICT!H32</f>
        <v>0</v>
      </c>
      <c r="G33" s="100">
        <f>Physics!H32</f>
        <v>3</v>
      </c>
      <c r="H33" s="100">
        <f>Chemistry!H32</f>
        <v>0</v>
      </c>
      <c r="I33" s="100">
        <f>Biology!H32</f>
        <v>0</v>
      </c>
      <c r="J33" s="100">
        <f>Math!H32</f>
        <v>0</v>
      </c>
      <c r="K33" s="100">
        <f t="shared" si="0"/>
        <v>1</v>
      </c>
      <c r="L33" s="100">
        <f t="shared" si="0"/>
        <v>0</v>
      </c>
      <c r="M33" s="100">
        <f t="shared" si="0"/>
        <v>0</v>
      </c>
      <c r="N33" s="100">
        <f t="shared" si="0"/>
        <v>1</v>
      </c>
      <c r="O33" s="100">
        <f t="shared" si="0"/>
        <v>0</v>
      </c>
      <c r="P33" s="100">
        <f t="shared" si="0"/>
        <v>0</v>
      </c>
      <c r="Q33" s="100">
        <f t="shared" si="1"/>
        <v>2</v>
      </c>
      <c r="R33" s="100" t="str">
        <f t="shared" si="2"/>
        <v/>
      </c>
      <c r="S33" s="100" t="str">
        <f t="shared" si="3"/>
        <v/>
      </c>
      <c r="T33" s="100" t="str">
        <f t="shared" si="4"/>
        <v/>
      </c>
      <c r="U33" s="100" t="str">
        <f t="shared" si="5"/>
        <v>Failed in 4 Subjects</v>
      </c>
      <c r="V33" s="100" t="str">
        <f t="shared" si="6"/>
        <v/>
      </c>
      <c r="W33" s="100" t="str">
        <f>'Detailed Summary'!BK32</f>
        <v/>
      </c>
    </row>
    <row r="34" spans="1:27" ht="18.5" hidden="1" x14ac:dyDescent="0.45">
      <c r="A34" s="100"/>
      <c r="B34" s="100">
        <f>'Student Basic Info'!A33</f>
        <v>732</v>
      </c>
      <c r="C34" s="100" t="str">
        <f>'Student Basic Info'!C33</f>
        <v>Shezanul Bahar Alvi</v>
      </c>
      <c r="D34" s="100">
        <f>Bangla!G33</f>
        <v>1</v>
      </c>
      <c r="E34" s="100">
        <f>English!F33</f>
        <v>0</v>
      </c>
      <c r="F34" s="100">
        <f>ICT!H33</f>
        <v>0</v>
      </c>
      <c r="G34" s="100" t="str">
        <f>Physics!H33</f>
        <v/>
      </c>
      <c r="H34" s="100">
        <f>Chemistry!H33</f>
        <v>1</v>
      </c>
      <c r="I34" s="100">
        <f>Biology!H33</f>
        <v>0</v>
      </c>
      <c r="J34" s="100">
        <f>Math!H33</f>
        <v>0</v>
      </c>
      <c r="K34" s="100">
        <f t="shared" si="0"/>
        <v>1</v>
      </c>
      <c r="L34" s="100">
        <f t="shared" si="0"/>
        <v>0</v>
      </c>
      <c r="M34" s="100">
        <f t="shared" si="0"/>
        <v>0</v>
      </c>
      <c r="N34" s="100">
        <f t="shared" si="0"/>
        <v>0</v>
      </c>
      <c r="O34" s="100">
        <f t="shared" si="0"/>
        <v>1</v>
      </c>
      <c r="P34" s="100">
        <f t="shared" si="0"/>
        <v>0</v>
      </c>
      <c r="Q34" s="100">
        <f t="shared" si="1"/>
        <v>2</v>
      </c>
      <c r="R34" s="100" t="str">
        <f t="shared" si="2"/>
        <v/>
      </c>
      <c r="S34" s="100" t="str">
        <f t="shared" si="3"/>
        <v/>
      </c>
      <c r="T34" s="100" t="str">
        <f t="shared" si="4"/>
        <v/>
      </c>
      <c r="U34" s="100" t="str">
        <f t="shared" si="5"/>
        <v>Failed in 4 Subjects</v>
      </c>
      <c r="V34" s="100" t="str">
        <f t="shared" si="6"/>
        <v/>
      </c>
      <c r="W34" s="100" t="str">
        <f>'Detailed Summary'!BK33</f>
        <v/>
      </c>
    </row>
    <row r="35" spans="1:27" ht="18.5" hidden="1" x14ac:dyDescent="0.45">
      <c r="A35" s="100"/>
      <c r="B35" s="100">
        <f>'Student Basic Info'!A34</f>
        <v>733</v>
      </c>
      <c r="C35" s="100" t="str">
        <f>'Student Basic Info'!C34</f>
        <v>Shadiya Bahar</v>
      </c>
      <c r="D35" s="100">
        <f>Bangla!G34</f>
        <v>2</v>
      </c>
      <c r="E35" s="100">
        <f>English!F34</f>
        <v>1</v>
      </c>
      <c r="F35" s="100">
        <f>ICT!H34</f>
        <v>0</v>
      </c>
      <c r="G35" s="100">
        <f>Physics!H34</f>
        <v>0</v>
      </c>
      <c r="H35" s="100">
        <f>Chemistry!H34</f>
        <v>0</v>
      </c>
      <c r="I35" s="100">
        <f>Biology!H34</f>
        <v>0</v>
      </c>
      <c r="J35" s="100">
        <f>Math!H34</f>
        <v>0</v>
      </c>
      <c r="K35" s="100">
        <f t="shared" ref="K35:P66" si="7">(IF(D35="",0,IF(D35=0,0,1)))</f>
        <v>1</v>
      </c>
      <c r="L35" s="100">
        <f t="shared" si="7"/>
        <v>1</v>
      </c>
      <c r="M35" s="100">
        <f t="shared" si="7"/>
        <v>0</v>
      </c>
      <c r="N35" s="100">
        <f t="shared" si="7"/>
        <v>0</v>
      </c>
      <c r="O35" s="100">
        <f t="shared" si="7"/>
        <v>0</v>
      </c>
      <c r="P35" s="100">
        <f t="shared" si="7"/>
        <v>0</v>
      </c>
      <c r="Q35" s="100">
        <f t="shared" si="1"/>
        <v>2</v>
      </c>
      <c r="R35" s="100" t="str">
        <f t="shared" si="2"/>
        <v/>
      </c>
      <c r="S35" s="100" t="str">
        <f t="shared" si="3"/>
        <v/>
      </c>
      <c r="T35" s="100" t="str">
        <f t="shared" si="4"/>
        <v/>
      </c>
      <c r="U35" s="100" t="str">
        <f t="shared" si="5"/>
        <v>Failed in 4 Subjects</v>
      </c>
      <c r="V35" s="100" t="str">
        <f t="shared" si="6"/>
        <v/>
      </c>
      <c r="W35" s="100" t="str">
        <f>'Detailed Summary'!BK34</f>
        <v/>
      </c>
    </row>
    <row r="36" spans="1:27" ht="18.5" hidden="1" x14ac:dyDescent="0.45">
      <c r="A36" s="100">
        <v>6</v>
      </c>
      <c r="B36" s="100">
        <f>'Student Basic Info'!A35</f>
        <v>734</v>
      </c>
      <c r="C36" s="100" t="str">
        <f>'Student Basic Info'!C35</f>
        <v>Shayed Hasan</v>
      </c>
      <c r="D36" s="100">
        <f>Bangla!G35</f>
        <v>3</v>
      </c>
      <c r="E36" s="100">
        <f>English!F35</f>
        <v>1</v>
      </c>
      <c r="F36" s="100">
        <f>ICT!H35</f>
        <v>0</v>
      </c>
      <c r="G36" s="100">
        <f>Physics!H35</f>
        <v>3</v>
      </c>
      <c r="H36" s="100">
        <f>Chemistry!H35</f>
        <v>1</v>
      </c>
      <c r="I36" s="100">
        <f>Biology!H35</f>
        <v>0</v>
      </c>
      <c r="J36" s="100">
        <f>Math!H35</f>
        <v>0</v>
      </c>
      <c r="K36" s="100">
        <f t="shared" si="7"/>
        <v>1</v>
      </c>
      <c r="L36" s="100">
        <f t="shared" si="7"/>
        <v>1</v>
      </c>
      <c r="M36" s="100">
        <f t="shared" si="7"/>
        <v>0</v>
      </c>
      <c r="N36" s="100">
        <f t="shared" si="7"/>
        <v>1</v>
      </c>
      <c r="O36" s="100">
        <f t="shared" si="7"/>
        <v>1</v>
      </c>
      <c r="P36" s="100">
        <f t="shared" si="7"/>
        <v>0</v>
      </c>
      <c r="Q36" s="100">
        <f t="shared" si="1"/>
        <v>4</v>
      </c>
      <c r="R36" s="100" t="str">
        <f t="shared" si="2"/>
        <v/>
      </c>
      <c r="S36" s="100" t="str">
        <f t="shared" si="3"/>
        <v/>
      </c>
      <c r="T36" s="100" t="str">
        <f t="shared" si="4"/>
        <v/>
      </c>
      <c r="U36" s="100" t="str">
        <f t="shared" si="5"/>
        <v>Failed in 2 Subjects</v>
      </c>
      <c r="V36" s="100" t="str">
        <f t="shared" si="6"/>
        <v/>
      </c>
      <c r="W36" s="100" t="str">
        <f>'Detailed Summary'!BK35</f>
        <v/>
      </c>
    </row>
    <row r="37" spans="1:27" ht="18.5" hidden="1" x14ac:dyDescent="0.45">
      <c r="A37" s="100"/>
      <c r="B37" s="100">
        <f>'Student Basic Info'!A36</f>
        <v>735</v>
      </c>
      <c r="C37" s="100" t="str">
        <f>'Student Basic Info'!C36</f>
        <v>Sumaiya Zahan Tarin</v>
      </c>
      <c r="D37" s="100">
        <f>Bangla!G36</f>
        <v>3</v>
      </c>
      <c r="E37" s="100">
        <f>English!F36</f>
        <v>2</v>
      </c>
      <c r="F37" s="100">
        <f>ICT!H36</f>
        <v>0</v>
      </c>
      <c r="G37" s="100">
        <f>Physics!H36</f>
        <v>0</v>
      </c>
      <c r="H37" s="100" t="str">
        <f>Chemistry!H36</f>
        <v/>
      </c>
      <c r="I37" s="100">
        <f>Biology!H36</f>
        <v>0</v>
      </c>
      <c r="J37" s="100">
        <f>Math!H36</f>
        <v>0</v>
      </c>
      <c r="K37" s="100">
        <f t="shared" si="7"/>
        <v>1</v>
      </c>
      <c r="L37" s="100">
        <f t="shared" si="7"/>
        <v>1</v>
      </c>
      <c r="M37" s="100">
        <f t="shared" si="7"/>
        <v>0</v>
      </c>
      <c r="N37" s="100">
        <f t="shared" si="7"/>
        <v>0</v>
      </c>
      <c r="O37" s="100">
        <f t="shared" si="7"/>
        <v>0</v>
      </c>
      <c r="P37" s="100">
        <f t="shared" si="7"/>
        <v>0</v>
      </c>
      <c r="Q37" s="100">
        <f t="shared" si="1"/>
        <v>2</v>
      </c>
      <c r="R37" s="100" t="str">
        <f t="shared" si="2"/>
        <v/>
      </c>
      <c r="S37" s="100" t="str">
        <f t="shared" si="3"/>
        <v/>
      </c>
      <c r="T37" s="100" t="str">
        <f t="shared" si="4"/>
        <v/>
      </c>
      <c r="U37" s="100" t="str">
        <f t="shared" si="5"/>
        <v>Failed in 4 Subjects</v>
      </c>
      <c r="V37" s="100" t="str">
        <f t="shared" si="6"/>
        <v/>
      </c>
      <c r="W37" s="100" t="str">
        <f>'Detailed Summary'!BK36</f>
        <v/>
      </c>
    </row>
    <row r="38" spans="1:27" ht="18.5" hidden="1" x14ac:dyDescent="0.45">
      <c r="A38" s="100">
        <v>7</v>
      </c>
      <c r="B38" s="100">
        <f>'Student Basic Info'!A37</f>
        <v>736</v>
      </c>
      <c r="C38" s="100" t="str">
        <f>'Student Basic Info'!C37</f>
        <v>Nur Islam</v>
      </c>
      <c r="D38" s="100">
        <f>Bangla!G37</f>
        <v>2</v>
      </c>
      <c r="E38" s="100">
        <f>English!F37</f>
        <v>0</v>
      </c>
      <c r="F38" s="100">
        <f>ICT!H37</f>
        <v>0</v>
      </c>
      <c r="G38" s="100">
        <f>Physics!H37</f>
        <v>3</v>
      </c>
      <c r="H38" s="100">
        <f>Chemistry!H37</f>
        <v>0</v>
      </c>
      <c r="I38" s="100">
        <f>Biology!H37</f>
        <v>0</v>
      </c>
      <c r="J38" s="100" t="str">
        <f>Math!H37</f>
        <v/>
      </c>
      <c r="K38" s="100">
        <f t="shared" si="7"/>
        <v>1</v>
      </c>
      <c r="L38" s="100">
        <f t="shared" si="7"/>
        <v>0</v>
      </c>
      <c r="M38" s="100">
        <f t="shared" si="7"/>
        <v>0</v>
      </c>
      <c r="N38" s="100">
        <f t="shared" si="7"/>
        <v>1</v>
      </c>
      <c r="O38" s="100">
        <f t="shared" si="7"/>
        <v>0</v>
      </c>
      <c r="P38" s="100">
        <f t="shared" si="7"/>
        <v>0</v>
      </c>
      <c r="Q38" s="100">
        <f t="shared" si="1"/>
        <v>2</v>
      </c>
      <c r="R38" s="100" t="str">
        <f t="shared" si="2"/>
        <v/>
      </c>
      <c r="S38" s="100" t="str">
        <f t="shared" si="3"/>
        <v/>
      </c>
      <c r="T38" s="100" t="str">
        <f t="shared" si="4"/>
        <v/>
      </c>
      <c r="U38" s="100" t="str">
        <f t="shared" si="5"/>
        <v>Failed in 4 Subjects</v>
      </c>
      <c r="V38" s="100" t="str">
        <f t="shared" si="6"/>
        <v/>
      </c>
      <c r="W38" s="100" t="str">
        <f>'Detailed Summary'!BK37</f>
        <v/>
      </c>
      <c r="AA38" t="s">
        <v>446</v>
      </c>
    </row>
    <row r="39" spans="1:27" ht="18.5" hidden="1" x14ac:dyDescent="0.45">
      <c r="A39" s="100">
        <v>4</v>
      </c>
      <c r="B39" s="100">
        <f>'Student Basic Info'!A38</f>
        <v>737</v>
      </c>
      <c r="C39" s="100" t="str">
        <f>'Student Basic Info'!C38</f>
        <v>Nusrat Zahan</v>
      </c>
      <c r="D39" s="100">
        <f>Bangla!G38</f>
        <v>3</v>
      </c>
      <c r="E39" s="100">
        <f>English!F38</f>
        <v>2</v>
      </c>
      <c r="F39" s="100">
        <f>ICT!H38</f>
        <v>0</v>
      </c>
      <c r="G39" s="100">
        <f>Physics!H38</f>
        <v>3.5</v>
      </c>
      <c r="H39" s="100">
        <f>Chemistry!H38</f>
        <v>0</v>
      </c>
      <c r="I39" s="100">
        <f>Biology!H38</f>
        <v>0</v>
      </c>
      <c r="J39" s="100">
        <f>Math!H38</f>
        <v>0</v>
      </c>
      <c r="K39" s="100">
        <f t="shared" si="7"/>
        <v>1</v>
      </c>
      <c r="L39" s="100">
        <f t="shared" si="7"/>
        <v>1</v>
      </c>
      <c r="M39" s="100">
        <f t="shared" si="7"/>
        <v>0</v>
      </c>
      <c r="N39" s="100">
        <f t="shared" si="7"/>
        <v>1</v>
      </c>
      <c r="O39" s="100">
        <f t="shared" si="7"/>
        <v>0</v>
      </c>
      <c r="P39" s="100">
        <f t="shared" si="7"/>
        <v>0</v>
      </c>
      <c r="Q39" s="100">
        <f t="shared" si="1"/>
        <v>3</v>
      </c>
      <c r="R39" s="100" t="str">
        <f t="shared" si="2"/>
        <v/>
      </c>
      <c r="S39" s="100" t="str">
        <f t="shared" si="3"/>
        <v/>
      </c>
      <c r="T39" s="100" t="str">
        <f t="shared" si="4"/>
        <v/>
      </c>
      <c r="U39" s="100" t="str">
        <f t="shared" si="5"/>
        <v>Failed in 3 Subjects</v>
      </c>
      <c r="V39" s="100" t="str">
        <f t="shared" si="6"/>
        <v/>
      </c>
      <c r="W39" s="100" t="str">
        <f>'Detailed Summary'!BK38</f>
        <v/>
      </c>
    </row>
    <row r="40" spans="1:27" ht="18.5" hidden="1" x14ac:dyDescent="0.45">
      <c r="A40" s="100">
        <v>8</v>
      </c>
      <c r="B40" s="100">
        <f>'Student Basic Info'!A39</f>
        <v>738</v>
      </c>
      <c r="C40" s="100" t="str">
        <f>'Student Basic Info'!C39</f>
        <v>Arpita Rani Bhoumik</v>
      </c>
      <c r="D40" s="100">
        <f>Bangla!G39</f>
        <v>3</v>
      </c>
      <c r="E40" s="100">
        <f>English!F39</f>
        <v>2</v>
      </c>
      <c r="F40" s="100">
        <f>ICT!H39</f>
        <v>3</v>
      </c>
      <c r="G40" s="100">
        <f>Physics!H39</f>
        <v>0</v>
      </c>
      <c r="H40" s="100">
        <f>Chemistry!H39</f>
        <v>0</v>
      </c>
      <c r="I40" s="100">
        <f>Biology!H39</f>
        <v>0</v>
      </c>
      <c r="J40" s="100">
        <f>Math!H39</f>
        <v>0</v>
      </c>
      <c r="K40" s="100">
        <f t="shared" si="7"/>
        <v>1</v>
      </c>
      <c r="L40" s="100">
        <f t="shared" si="7"/>
        <v>1</v>
      </c>
      <c r="M40" s="100">
        <f t="shared" si="7"/>
        <v>1</v>
      </c>
      <c r="N40" s="100">
        <f t="shared" si="7"/>
        <v>0</v>
      </c>
      <c r="O40" s="100">
        <f t="shared" si="7"/>
        <v>0</v>
      </c>
      <c r="P40" s="100">
        <f t="shared" si="7"/>
        <v>0</v>
      </c>
      <c r="Q40" s="100">
        <f t="shared" si="1"/>
        <v>3</v>
      </c>
      <c r="R40" s="100" t="str">
        <f t="shared" si="2"/>
        <v/>
      </c>
      <c r="S40" s="100" t="str">
        <f t="shared" si="3"/>
        <v/>
      </c>
      <c r="T40" s="100" t="str">
        <f t="shared" si="4"/>
        <v/>
      </c>
      <c r="U40" s="100" t="str">
        <f t="shared" si="5"/>
        <v>Failed in 3 Subjects</v>
      </c>
      <c r="V40" s="100" t="str">
        <f t="shared" si="6"/>
        <v/>
      </c>
      <c r="W40" s="100" t="str">
        <f>'Detailed Summary'!BK39</f>
        <v/>
      </c>
    </row>
    <row r="41" spans="1:27" ht="18.5" hidden="1" x14ac:dyDescent="0.45">
      <c r="A41" s="100"/>
      <c r="B41" s="100">
        <f>'Student Basic Info'!A40</f>
        <v>739</v>
      </c>
      <c r="C41" s="100" t="str">
        <f>'Student Basic Info'!C40</f>
        <v xml:space="preserve">Israt Zahan Shrabonti </v>
      </c>
      <c r="D41" s="100">
        <f>Bangla!G40</f>
        <v>3</v>
      </c>
      <c r="E41" s="100">
        <f>English!F40</f>
        <v>1</v>
      </c>
      <c r="F41" s="100">
        <f>ICT!H40</f>
        <v>2</v>
      </c>
      <c r="G41" s="100">
        <f>Physics!H40</f>
        <v>3</v>
      </c>
      <c r="H41" s="100">
        <f>Chemistry!H40</f>
        <v>0</v>
      </c>
      <c r="I41" s="100">
        <f>Biology!H40</f>
        <v>0</v>
      </c>
      <c r="J41" s="100">
        <f>Math!H40</f>
        <v>0</v>
      </c>
      <c r="K41" s="100">
        <f t="shared" si="7"/>
        <v>1</v>
      </c>
      <c r="L41" s="100">
        <f t="shared" si="7"/>
        <v>1</v>
      </c>
      <c r="M41" s="100">
        <f t="shared" si="7"/>
        <v>1</v>
      </c>
      <c r="N41" s="100">
        <f t="shared" si="7"/>
        <v>1</v>
      </c>
      <c r="O41" s="100">
        <f t="shared" si="7"/>
        <v>0</v>
      </c>
      <c r="P41" s="100">
        <f t="shared" si="7"/>
        <v>0</v>
      </c>
      <c r="Q41" s="100">
        <f t="shared" si="1"/>
        <v>4</v>
      </c>
      <c r="R41" s="100" t="str">
        <f t="shared" si="2"/>
        <v/>
      </c>
      <c r="S41" s="100" t="str">
        <f t="shared" si="3"/>
        <v/>
      </c>
      <c r="T41" s="100" t="str">
        <f t="shared" si="4"/>
        <v/>
      </c>
      <c r="U41" s="100" t="str">
        <f t="shared" si="5"/>
        <v>Failed in 2 Subjects</v>
      </c>
      <c r="V41" s="100" t="str">
        <f t="shared" si="6"/>
        <v/>
      </c>
      <c r="W41" s="100" t="str">
        <f>'Detailed Summary'!BK40</f>
        <v/>
      </c>
    </row>
    <row r="42" spans="1:27" ht="18.5" hidden="1" x14ac:dyDescent="0.45">
      <c r="A42" s="100">
        <v>9</v>
      </c>
      <c r="B42" s="100">
        <f>'Student Basic Info'!A41</f>
        <v>740</v>
      </c>
      <c r="C42" s="100" t="str">
        <f>'Student Basic Info'!C41</f>
        <v>Fatema Zannat</v>
      </c>
      <c r="D42" s="100">
        <f>Bangla!G41</f>
        <v>3.5</v>
      </c>
      <c r="E42" s="100">
        <f>English!F41</f>
        <v>2</v>
      </c>
      <c r="F42" s="100">
        <f>ICT!H41</f>
        <v>0</v>
      </c>
      <c r="G42" s="100">
        <f>Physics!H41</f>
        <v>0</v>
      </c>
      <c r="H42" s="100">
        <f>Chemistry!H41</f>
        <v>2</v>
      </c>
      <c r="I42" s="100">
        <f>Biology!H41</f>
        <v>0</v>
      </c>
      <c r="J42" s="100">
        <f>Math!H41</f>
        <v>0</v>
      </c>
      <c r="K42" s="100">
        <f t="shared" si="7"/>
        <v>1</v>
      </c>
      <c r="L42" s="100">
        <f t="shared" si="7"/>
        <v>1</v>
      </c>
      <c r="M42" s="100">
        <f t="shared" si="7"/>
        <v>0</v>
      </c>
      <c r="N42" s="100">
        <f t="shared" si="7"/>
        <v>0</v>
      </c>
      <c r="O42" s="100">
        <f t="shared" si="7"/>
        <v>1</v>
      </c>
      <c r="P42" s="100">
        <f t="shared" si="7"/>
        <v>0</v>
      </c>
      <c r="Q42" s="100">
        <f t="shared" si="1"/>
        <v>3</v>
      </c>
      <c r="R42" s="100" t="str">
        <f t="shared" si="2"/>
        <v/>
      </c>
      <c r="S42" s="100" t="str">
        <f t="shared" si="3"/>
        <v/>
      </c>
      <c r="T42" s="100" t="str">
        <f t="shared" si="4"/>
        <v/>
      </c>
      <c r="U42" s="100" t="str">
        <f t="shared" si="5"/>
        <v>Failed in 3 Subjects</v>
      </c>
      <c r="V42" s="100" t="str">
        <f t="shared" si="6"/>
        <v/>
      </c>
      <c r="W42" s="100" t="str">
        <f>'Detailed Summary'!BK41</f>
        <v/>
      </c>
    </row>
    <row r="43" spans="1:27" ht="18.5" hidden="1" x14ac:dyDescent="0.45">
      <c r="A43" s="100"/>
      <c r="B43" s="100">
        <f>'Student Basic Info'!A42</f>
        <v>741</v>
      </c>
      <c r="C43" s="100" t="str">
        <f>'Student Basic Info'!C42</f>
        <v>Rezmin Aktar</v>
      </c>
      <c r="D43" s="100">
        <f>Bangla!G42</f>
        <v>3.5</v>
      </c>
      <c r="E43" s="100">
        <f>English!F42</f>
        <v>3</v>
      </c>
      <c r="F43" s="100">
        <f>ICT!H42</f>
        <v>3.5</v>
      </c>
      <c r="G43" s="100">
        <f>Physics!H42</f>
        <v>3</v>
      </c>
      <c r="H43" s="100">
        <f>Chemistry!H42</f>
        <v>0</v>
      </c>
      <c r="I43" s="100">
        <f>Biology!H42</f>
        <v>0</v>
      </c>
      <c r="J43" s="100">
        <f>Math!H42</f>
        <v>0</v>
      </c>
      <c r="K43" s="100">
        <f t="shared" si="7"/>
        <v>1</v>
      </c>
      <c r="L43" s="100">
        <f t="shared" si="7"/>
        <v>1</v>
      </c>
      <c r="M43" s="100">
        <f t="shared" si="7"/>
        <v>1</v>
      </c>
      <c r="N43" s="100">
        <f t="shared" si="7"/>
        <v>1</v>
      </c>
      <c r="O43" s="100">
        <f t="shared" si="7"/>
        <v>0</v>
      </c>
      <c r="P43" s="100">
        <f t="shared" si="7"/>
        <v>0</v>
      </c>
      <c r="Q43" s="100">
        <f t="shared" si="1"/>
        <v>4</v>
      </c>
      <c r="R43" s="100" t="str">
        <f t="shared" si="2"/>
        <v/>
      </c>
      <c r="S43" s="100" t="str">
        <f t="shared" si="3"/>
        <v/>
      </c>
      <c r="T43" s="100" t="str">
        <f t="shared" si="4"/>
        <v/>
      </c>
      <c r="U43" s="100" t="str">
        <f t="shared" si="5"/>
        <v>Failed in 2 Subjects</v>
      </c>
      <c r="V43" s="100" t="str">
        <f t="shared" si="6"/>
        <v/>
      </c>
      <c r="W43" s="100" t="str">
        <f>'Detailed Summary'!BK42</f>
        <v/>
      </c>
    </row>
    <row r="44" spans="1:27" ht="18.5" x14ac:dyDescent="0.45">
      <c r="A44" s="100"/>
      <c r="B44" s="100">
        <f>'Student Basic Info'!A43</f>
        <v>742</v>
      </c>
      <c r="C44" s="100" t="str">
        <f>'Student Basic Info'!C43</f>
        <v>Md. Shohrab Hosain</v>
      </c>
      <c r="D44" s="100" t="str">
        <f>Bangla!G43</f>
        <v/>
      </c>
      <c r="E44" s="100" t="str">
        <f>English!F43</f>
        <v/>
      </c>
      <c r="F44" s="100" t="str">
        <f>ICT!H43</f>
        <v/>
      </c>
      <c r="G44" s="100" t="str">
        <f>Physics!H43</f>
        <v/>
      </c>
      <c r="H44" s="100" t="str">
        <f>Chemistry!H43</f>
        <v/>
      </c>
      <c r="I44" s="100" t="str">
        <f>Biology!H43</f>
        <v/>
      </c>
      <c r="J44" s="100" t="str">
        <f>Math!H43</f>
        <v/>
      </c>
      <c r="K44" s="100">
        <f t="shared" si="7"/>
        <v>0</v>
      </c>
      <c r="L44" s="100">
        <f t="shared" si="7"/>
        <v>0</v>
      </c>
      <c r="M44" s="100">
        <f t="shared" si="7"/>
        <v>0</v>
      </c>
      <c r="N44" s="100">
        <f t="shared" si="7"/>
        <v>0</v>
      </c>
      <c r="O44" s="100">
        <f t="shared" si="7"/>
        <v>0</v>
      </c>
      <c r="P44" s="100">
        <f t="shared" si="7"/>
        <v>0</v>
      </c>
      <c r="Q44" s="100">
        <f t="shared" si="1"/>
        <v>0</v>
      </c>
      <c r="R44" s="100" t="str">
        <f t="shared" si="2"/>
        <v/>
      </c>
      <c r="S44" s="100" t="str">
        <f t="shared" si="3"/>
        <v/>
      </c>
      <c r="T44" s="100" t="str">
        <f t="shared" si="4"/>
        <v/>
      </c>
      <c r="U44" s="100" t="str">
        <f t="shared" si="5"/>
        <v>Failed in 6 Subjects</v>
      </c>
      <c r="V44" s="100" t="str">
        <f t="shared" si="6"/>
        <v/>
      </c>
      <c r="W44" s="100" t="str">
        <f>'Detailed Summary'!BK43</f>
        <v/>
      </c>
    </row>
    <row r="45" spans="1:27" ht="18.5" hidden="1" x14ac:dyDescent="0.45">
      <c r="A45" s="100"/>
      <c r="B45" s="100">
        <f>'Student Basic Info'!A44</f>
        <v>743</v>
      </c>
      <c r="C45" s="100" t="str">
        <f>'Student Basic Info'!C44</f>
        <v>Umme Habiba</v>
      </c>
      <c r="D45" s="100">
        <f>Bangla!G44</f>
        <v>0</v>
      </c>
      <c r="E45" s="100">
        <f>English!F44</f>
        <v>0</v>
      </c>
      <c r="F45" s="100">
        <f>ICT!H44</f>
        <v>0</v>
      </c>
      <c r="G45" s="100">
        <f>Physics!H44</f>
        <v>0</v>
      </c>
      <c r="H45" s="100">
        <f>Chemistry!H44</f>
        <v>0</v>
      </c>
      <c r="I45" s="100">
        <f>Biology!H44</f>
        <v>0</v>
      </c>
      <c r="J45" s="100">
        <f>Math!H44</f>
        <v>0</v>
      </c>
      <c r="K45" s="100">
        <f t="shared" si="7"/>
        <v>0</v>
      </c>
      <c r="L45" s="100">
        <f t="shared" si="7"/>
        <v>0</v>
      </c>
      <c r="M45" s="100">
        <f t="shared" si="7"/>
        <v>0</v>
      </c>
      <c r="N45" s="100">
        <f t="shared" si="7"/>
        <v>0</v>
      </c>
      <c r="O45" s="100">
        <f t="shared" si="7"/>
        <v>0</v>
      </c>
      <c r="P45" s="100">
        <f t="shared" si="7"/>
        <v>0</v>
      </c>
      <c r="Q45" s="100">
        <f t="shared" si="1"/>
        <v>0</v>
      </c>
      <c r="R45" s="100" t="str">
        <f t="shared" si="2"/>
        <v/>
      </c>
      <c r="S45" s="100" t="str">
        <f t="shared" si="3"/>
        <v/>
      </c>
      <c r="T45" s="100" t="str">
        <f t="shared" si="4"/>
        <v/>
      </c>
      <c r="U45" s="100" t="str">
        <f t="shared" si="5"/>
        <v>Failed in 6 Subjects</v>
      </c>
      <c r="V45" s="100" t="str">
        <f t="shared" si="6"/>
        <v/>
      </c>
      <c r="W45" s="100" t="str">
        <f>'Detailed Summary'!BK44</f>
        <v/>
      </c>
    </row>
    <row r="46" spans="1:27" ht="18.5" hidden="1" x14ac:dyDescent="0.45">
      <c r="A46" s="100">
        <v>10</v>
      </c>
      <c r="B46" s="100">
        <f>'Student Basic Info'!A45</f>
        <v>744</v>
      </c>
      <c r="C46" s="100" t="str">
        <f>'Student Basic Info'!C45</f>
        <v>Tarek Rahman Tamin</v>
      </c>
      <c r="D46" s="100">
        <f>Bangla!G45</f>
        <v>0</v>
      </c>
      <c r="E46" s="100">
        <f>English!F45</f>
        <v>0</v>
      </c>
      <c r="F46" s="100">
        <f>ICT!H45</f>
        <v>0</v>
      </c>
      <c r="G46" s="100">
        <f>Physics!H45</f>
        <v>2</v>
      </c>
      <c r="H46" s="100">
        <f>Chemistry!H45</f>
        <v>0</v>
      </c>
      <c r="I46" s="100">
        <f>Biology!H45</f>
        <v>0</v>
      </c>
      <c r="J46" s="100">
        <f>Math!H45</f>
        <v>0</v>
      </c>
      <c r="K46" s="100">
        <f t="shared" si="7"/>
        <v>0</v>
      </c>
      <c r="L46" s="100">
        <f t="shared" si="7"/>
        <v>0</v>
      </c>
      <c r="M46" s="100">
        <f t="shared" si="7"/>
        <v>0</v>
      </c>
      <c r="N46" s="100">
        <f t="shared" si="7"/>
        <v>1</v>
      </c>
      <c r="O46" s="100">
        <f t="shared" si="7"/>
        <v>0</v>
      </c>
      <c r="P46" s="100">
        <f t="shared" si="7"/>
        <v>0</v>
      </c>
      <c r="Q46" s="100">
        <f t="shared" si="1"/>
        <v>1</v>
      </c>
      <c r="R46" s="100" t="str">
        <f t="shared" si="2"/>
        <v/>
      </c>
      <c r="S46" s="100" t="str">
        <f t="shared" si="3"/>
        <v/>
      </c>
      <c r="T46" s="100" t="str">
        <f t="shared" si="4"/>
        <v/>
      </c>
      <c r="U46" s="100" t="str">
        <f t="shared" si="5"/>
        <v>Failed in 5 Subjects</v>
      </c>
      <c r="V46" s="100" t="str">
        <f t="shared" si="6"/>
        <v/>
      </c>
      <c r="W46" s="100" t="str">
        <f>'Detailed Summary'!BK45</f>
        <v/>
      </c>
    </row>
    <row r="47" spans="1:27" ht="18.5" hidden="1" x14ac:dyDescent="0.45">
      <c r="A47" s="100"/>
      <c r="B47" s="100">
        <f>'Student Basic Info'!A46</f>
        <v>745</v>
      </c>
      <c r="C47" s="100" t="str">
        <f>'Student Basic Info'!C46</f>
        <v>Nabiha Nusrat</v>
      </c>
      <c r="D47" s="100">
        <f>Bangla!G46</f>
        <v>4</v>
      </c>
      <c r="E47" s="100">
        <f>English!F46</f>
        <v>3.5</v>
      </c>
      <c r="F47" s="100">
        <f>ICT!H46</f>
        <v>5</v>
      </c>
      <c r="G47" s="100">
        <f>Physics!H46</f>
        <v>5</v>
      </c>
      <c r="H47" s="100">
        <f>Chemistry!H46</f>
        <v>0</v>
      </c>
      <c r="I47" s="100">
        <f>Biology!H46</f>
        <v>2</v>
      </c>
      <c r="J47" s="100">
        <f>Math!H46</f>
        <v>3.5</v>
      </c>
      <c r="K47" s="100">
        <f t="shared" si="7"/>
        <v>1</v>
      </c>
      <c r="L47" s="100">
        <f t="shared" si="7"/>
        <v>1</v>
      </c>
      <c r="M47" s="100">
        <f t="shared" si="7"/>
        <v>1</v>
      </c>
      <c r="N47" s="100">
        <f t="shared" si="7"/>
        <v>1</v>
      </c>
      <c r="O47" s="100">
        <f t="shared" si="7"/>
        <v>0</v>
      </c>
      <c r="P47" s="100">
        <f t="shared" si="7"/>
        <v>1</v>
      </c>
      <c r="Q47" s="100">
        <f t="shared" si="1"/>
        <v>5</v>
      </c>
      <c r="R47" s="100" t="str">
        <f t="shared" si="2"/>
        <v/>
      </c>
      <c r="S47" s="100" t="str">
        <f t="shared" si="3"/>
        <v/>
      </c>
      <c r="T47" s="100" t="str">
        <f t="shared" si="4"/>
        <v/>
      </c>
      <c r="U47" s="100" t="str">
        <f t="shared" si="5"/>
        <v>Failed in 1 Subject</v>
      </c>
      <c r="V47" s="100" t="str">
        <f t="shared" si="6"/>
        <v/>
      </c>
      <c r="W47" s="100" t="str">
        <f>'Detailed Summary'!BK46</f>
        <v/>
      </c>
    </row>
    <row r="48" spans="1:27" ht="18.5" hidden="1" x14ac:dyDescent="0.45">
      <c r="A48" s="100">
        <v>11</v>
      </c>
      <c r="B48" s="100">
        <f>'Student Basic Info'!A47</f>
        <v>746</v>
      </c>
      <c r="C48" s="100" t="str">
        <f>'Student Basic Info'!C47</f>
        <v>Sharika Mahzabin</v>
      </c>
      <c r="D48" s="100">
        <f>Bangla!G47</f>
        <v>3.5</v>
      </c>
      <c r="E48" s="100">
        <f>English!F47</f>
        <v>3.5</v>
      </c>
      <c r="F48" s="100">
        <f>ICT!H47</f>
        <v>3.5</v>
      </c>
      <c r="G48" s="100">
        <f>Physics!H47</f>
        <v>3.5</v>
      </c>
      <c r="H48" s="100">
        <f>Chemistry!H47</f>
        <v>0</v>
      </c>
      <c r="I48" s="100">
        <f>Biology!H47</f>
        <v>2</v>
      </c>
      <c r="J48" s="100">
        <f>Math!H47</f>
        <v>0</v>
      </c>
      <c r="K48" s="100">
        <f t="shared" si="7"/>
        <v>1</v>
      </c>
      <c r="L48" s="100">
        <f t="shared" si="7"/>
        <v>1</v>
      </c>
      <c r="M48" s="100">
        <f t="shared" si="7"/>
        <v>1</v>
      </c>
      <c r="N48" s="100">
        <f t="shared" si="7"/>
        <v>1</v>
      </c>
      <c r="O48" s="100">
        <f t="shared" si="7"/>
        <v>0</v>
      </c>
      <c r="P48" s="100">
        <f t="shared" si="7"/>
        <v>1</v>
      </c>
      <c r="Q48" s="100">
        <f t="shared" si="1"/>
        <v>5</v>
      </c>
      <c r="R48" s="100" t="str">
        <f t="shared" si="2"/>
        <v/>
      </c>
      <c r="S48" s="100" t="str">
        <f t="shared" si="3"/>
        <v/>
      </c>
      <c r="T48" s="100" t="str">
        <f t="shared" si="4"/>
        <v/>
      </c>
      <c r="U48" s="100" t="str">
        <f t="shared" si="5"/>
        <v>Failed in 1 Subject</v>
      </c>
      <c r="V48" s="100" t="str">
        <f t="shared" si="6"/>
        <v/>
      </c>
      <c r="W48" s="100" t="str">
        <f>'Detailed Summary'!BK47</f>
        <v/>
      </c>
    </row>
    <row r="49" spans="1:23" ht="18.5" hidden="1" x14ac:dyDescent="0.45">
      <c r="A49" s="100">
        <v>12</v>
      </c>
      <c r="B49" s="100">
        <f>'Student Basic Info'!A48</f>
        <v>747</v>
      </c>
      <c r="C49" s="100" t="str">
        <f>'Student Basic Info'!C48</f>
        <v>Jahedul Islam</v>
      </c>
      <c r="D49" s="100">
        <f>Bangla!G48</f>
        <v>2</v>
      </c>
      <c r="E49" s="100">
        <f>English!F48</f>
        <v>0</v>
      </c>
      <c r="F49" s="100">
        <f>ICT!H48</f>
        <v>0</v>
      </c>
      <c r="G49" s="100">
        <f>Physics!H48</f>
        <v>0</v>
      </c>
      <c r="H49" s="100">
        <f>Chemistry!H48</f>
        <v>0</v>
      </c>
      <c r="I49" s="100">
        <f>Biology!H48</f>
        <v>0</v>
      </c>
      <c r="J49" s="100">
        <f>Math!H48</f>
        <v>0</v>
      </c>
      <c r="K49" s="100">
        <f t="shared" si="7"/>
        <v>1</v>
      </c>
      <c r="L49" s="100">
        <f t="shared" si="7"/>
        <v>0</v>
      </c>
      <c r="M49" s="100">
        <f t="shared" si="7"/>
        <v>0</v>
      </c>
      <c r="N49" s="100">
        <f t="shared" si="7"/>
        <v>0</v>
      </c>
      <c r="O49" s="100">
        <f t="shared" si="7"/>
        <v>0</v>
      </c>
      <c r="P49" s="100">
        <f t="shared" si="7"/>
        <v>0</v>
      </c>
      <c r="Q49" s="100">
        <f t="shared" si="1"/>
        <v>1</v>
      </c>
      <c r="R49" s="100" t="str">
        <f t="shared" si="2"/>
        <v/>
      </c>
      <c r="S49" s="100" t="str">
        <f t="shared" si="3"/>
        <v/>
      </c>
      <c r="T49" s="100" t="str">
        <f t="shared" si="4"/>
        <v/>
      </c>
      <c r="U49" s="100" t="str">
        <f t="shared" si="5"/>
        <v>Failed in 5 Subjects</v>
      </c>
      <c r="V49" s="100" t="str">
        <f t="shared" si="6"/>
        <v/>
      </c>
      <c r="W49" s="100" t="str">
        <f>'Detailed Summary'!BK48</f>
        <v/>
      </c>
    </row>
    <row r="50" spans="1:23" ht="18.5" hidden="1" x14ac:dyDescent="0.45">
      <c r="A50" s="100"/>
      <c r="B50" s="100">
        <f>'Student Basic Info'!A49</f>
        <v>748</v>
      </c>
      <c r="C50" s="100" t="str">
        <f>'Student Basic Info'!C49</f>
        <v>Merina Parshi</v>
      </c>
      <c r="D50" s="100">
        <f>Bangla!G49</f>
        <v>2</v>
      </c>
      <c r="E50" s="100">
        <f>English!F49</f>
        <v>0</v>
      </c>
      <c r="F50" s="100">
        <f>ICT!H49</f>
        <v>0</v>
      </c>
      <c r="G50" s="100">
        <f>Physics!H49</f>
        <v>0</v>
      </c>
      <c r="H50" s="100">
        <f>Chemistry!H49</f>
        <v>0</v>
      </c>
      <c r="I50" s="100">
        <f>Biology!H49</f>
        <v>0</v>
      </c>
      <c r="J50" s="100">
        <f>Math!H49</f>
        <v>0</v>
      </c>
      <c r="K50" s="100">
        <f t="shared" si="7"/>
        <v>1</v>
      </c>
      <c r="L50" s="100">
        <f t="shared" si="7"/>
        <v>0</v>
      </c>
      <c r="M50" s="100">
        <f t="shared" si="7"/>
        <v>0</v>
      </c>
      <c r="N50" s="100">
        <f t="shared" si="7"/>
        <v>0</v>
      </c>
      <c r="O50" s="100">
        <f t="shared" si="7"/>
        <v>0</v>
      </c>
      <c r="P50" s="100">
        <f t="shared" si="7"/>
        <v>0</v>
      </c>
      <c r="Q50" s="100">
        <f t="shared" si="1"/>
        <v>1</v>
      </c>
      <c r="R50" s="100" t="str">
        <f t="shared" si="2"/>
        <v/>
      </c>
      <c r="S50" s="100" t="str">
        <f t="shared" si="3"/>
        <v/>
      </c>
      <c r="T50" s="100" t="str">
        <f t="shared" si="4"/>
        <v/>
      </c>
      <c r="U50" s="100" t="str">
        <f t="shared" si="5"/>
        <v>Failed in 5 Subjects</v>
      </c>
      <c r="V50" s="100" t="str">
        <f t="shared" si="6"/>
        <v/>
      </c>
      <c r="W50" s="100" t="str">
        <f>'Detailed Summary'!BK49</f>
        <v/>
      </c>
    </row>
    <row r="51" spans="1:23" ht="18.5" hidden="1" x14ac:dyDescent="0.45">
      <c r="A51" s="100"/>
      <c r="B51" s="100">
        <f>'Student Basic Info'!A50</f>
        <v>749</v>
      </c>
      <c r="C51" s="100" t="str">
        <f>'Student Basic Info'!C50</f>
        <v>Shekh Shohrab Hosain</v>
      </c>
      <c r="D51" s="100">
        <f>Bangla!G50</f>
        <v>1</v>
      </c>
      <c r="E51" s="100">
        <f>English!F50</f>
        <v>0</v>
      </c>
      <c r="F51" s="100">
        <f>ICT!H50</f>
        <v>0</v>
      </c>
      <c r="G51" s="100">
        <f>Physics!H50</f>
        <v>0</v>
      </c>
      <c r="H51" s="100">
        <f>Chemistry!H50</f>
        <v>0</v>
      </c>
      <c r="I51" s="100">
        <f>Biology!H50</f>
        <v>0</v>
      </c>
      <c r="J51" s="100">
        <f>Math!H50</f>
        <v>0</v>
      </c>
      <c r="K51" s="100">
        <f t="shared" si="7"/>
        <v>1</v>
      </c>
      <c r="L51" s="100">
        <f t="shared" si="7"/>
        <v>0</v>
      </c>
      <c r="M51" s="100">
        <f t="shared" si="7"/>
        <v>0</v>
      </c>
      <c r="N51" s="100">
        <f t="shared" si="7"/>
        <v>0</v>
      </c>
      <c r="O51" s="100">
        <f t="shared" si="7"/>
        <v>0</v>
      </c>
      <c r="P51" s="100">
        <f t="shared" si="7"/>
        <v>0</v>
      </c>
      <c r="Q51" s="100">
        <f t="shared" si="1"/>
        <v>1</v>
      </c>
      <c r="R51" s="100" t="str">
        <f t="shared" si="2"/>
        <v/>
      </c>
      <c r="S51" s="100" t="str">
        <f t="shared" si="3"/>
        <v/>
      </c>
      <c r="T51" s="100" t="str">
        <f t="shared" si="4"/>
        <v/>
      </c>
      <c r="U51" s="100" t="str">
        <f t="shared" si="5"/>
        <v>Failed in 5 Subjects</v>
      </c>
      <c r="V51" s="100" t="str">
        <f t="shared" si="6"/>
        <v/>
      </c>
      <c r="W51" s="100" t="str">
        <f>'Detailed Summary'!BK50</f>
        <v/>
      </c>
    </row>
    <row r="52" spans="1:23" ht="18.5" hidden="1" x14ac:dyDescent="0.45">
      <c r="A52" s="100">
        <v>13</v>
      </c>
      <c r="B52" s="100">
        <f>'Student Basic Info'!A51</f>
        <v>750</v>
      </c>
      <c r="C52" s="100" t="str">
        <f>'Student Basic Info'!C51</f>
        <v>Purnima Aktar</v>
      </c>
      <c r="D52" s="100" t="str">
        <f>Bangla!G51</f>
        <v/>
      </c>
      <c r="E52" s="100" t="str">
        <f>English!F51</f>
        <v/>
      </c>
      <c r="F52" s="100" t="str">
        <f>ICT!H51</f>
        <v/>
      </c>
      <c r="G52" s="100" t="str">
        <f>Physics!H51</f>
        <v/>
      </c>
      <c r="H52" s="100" t="str">
        <f>Chemistry!H51</f>
        <v/>
      </c>
      <c r="I52" s="100" t="str">
        <f>Biology!H51</f>
        <v/>
      </c>
      <c r="J52" s="100" t="str">
        <f>Math!H51</f>
        <v/>
      </c>
      <c r="K52" s="100">
        <f t="shared" si="7"/>
        <v>0</v>
      </c>
      <c r="L52" s="100">
        <f t="shared" si="7"/>
        <v>0</v>
      </c>
      <c r="M52" s="100">
        <f t="shared" si="7"/>
        <v>0</v>
      </c>
      <c r="N52" s="100">
        <f t="shared" si="7"/>
        <v>0</v>
      </c>
      <c r="O52" s="100">
        <f t="shared" si="7"/>
        <v>0</v>
      </c>
      <c r="P52" s="100">
        <f t="shared" si="7"/>
        <v>0</v>
      </c>
      <c r="Q52" s="100">
        <f t="shared" si="1"/>
        <v>0</v>
      </c>
      <c r="R52" s="100" t="str">
        <f t="shared" si="2"/>
        <v/>
      </c>
      <c r="S52" s="100" t="str">
        <f t="shared" si="3"/>
        <v/>
      </c>
      <c r="T52" s="100" t="str">
        <f t="shared" si="4"/>
        <v/>
      </c>
      <c r="U52" s="100" t="str">
        <f t="shared" si="5"/>
        <v>Failed in 6 Subjects</v>
      </c>
      <c r="V52" s="100" t="str">
        <f t="shared" si="6"/>
        <v/>
      </c>
      <c r="W52" s="100" t="str">
        <f>'Detailed Summary'!BK51</f>
        <v/>
      </c>
    </row>
    <row r="53" spans="1:23" ht="18.5" x14ac:dyDescent="0.45">
      <c r="A53" s="100"/>
      <c r="B53" s="100">
        <f>'Student Basic Info'!A52</f>
        <v>751</v>
      </c>
      <c r="C53" s="100" t="str">
        <f>'Student Basic Info'!C52</f>
        <v>Hridwal  Al Mahmul</v>
      </c>
      <c r="D53" s="100">
        <f>Bangla!G52</f>
        <v>2</v>
      </c>
      <c r="E53" s="100">
        <f>English!F52</f>
        <v>0</v>
      </c>
      <c r="F53" s="100">
        <f>ICT!H52</f>
        <v>0</v>
      </c>
      <c r="G53" s="100">
        <f>Physics!H52</f>
        <v>3.5</v>
      </c>
      <c r="H53" s="100">
        <f>Chemistry!H52</f>
        <v>0</v>
      </c>
      <c r="I53" s="100">
        <f>Biology!H52</f>
        <v>0</v>
      </c>
      <c r="J53" s="100" t="str">
        <f>Math!H52</f>
        <v/>
      </c>
      <c r="K53" s="100">
        <f t="shared" si="7"/>
        <v>1</v>
      </c>
      <c r="L53" s="100">
        <f t="shared" si="7"/>
        <v>0</v>
      </c>
      <c r="M53" s="100">
        <f t="shared" si="7"/>
        <v>0</v>
      </c>
      <c r="N53" s="100">
        <f t="shared" si="7"/>
        <v>1</v>
      </c>
      <c r="O53" s="100">
        <f t="shared" si="7"/>
        <v>0</v>
      </c>
      <c r="P53" s="100">
        <f t="shared" si="7"/>
        <v>0</v>
      </c>
      <c r="Q53" s="100">
        <f t="shared" si="1"/>
        <v>2</v>
      </c>
      <c r="R53" s="100" t="str">
        <f t="shared" si="2"/>
        <v/>
      </c>
      <c r="S53" s="100" t="str">
        <f t="shared" si="3"/>
        <v/>
      </c>
      <c r="T53" s="100" t="str">
        <f t="shared" si="4"/>
        <v/>
      </c>
      <c r="U53" s="100" t="str">
        <f t="shared" si="5"/>
        <v>Failed in 4 Subjects</v>
      </c>
      <c r="V53" s="100" t="str">
        <f t="shared" si="6"/>
        <v/>
      </c>
      <c r="W53" s="100" t="str">
        <f>'Detailed Summary'!BK52</f>
        <v/>
      </c>
    </row>
    <row r="54" spans="1:23" ht="18.5" x14ac:dyDescent="0.45">
      <c r="A54" s="100"/>
      <c r="B54" s="100">
        <f>'Student Basic Info'!A53</f>
        <v>752</v>
      </c>
      <c r="C54" s="100" t="str">
        <f>'Student Basic Info'!C53</f>
        <v>Sabbir Hosain</v>
      </c>
      <c r="D54" s="100" t="str">
        <f>Bangla!G53</f>
        <v/>
      </c>
      <c r="E54" s="100" t="str">
        <f>English!F53</f>
        <v/>
      </c>
      <c r="F54" s="100" t="str">
        <f>ICT!H53</f>
        <v/>
      </c>
      <c r="G54" s="100" t="str">
        <f>Physics!H53</f>
        <v/>
      </c>
      <c r="H54" s="100" t="str">
        <f>Chemistry!H53</f>
        <v/>
      </c>
      <c r="I54" s="100" t="str">
        <f>Biology!H53</f>
        <v/>
      </c>
      <c r="J54" s="100" t="str">
        <f>Math!H53</f>
        <v/>
      </c>
      <c r="K54" s="100">
        <f t="shared" si="7"/>
        <v>0</v>
      </c>
      <c r="L54" s="100">
        <f t="shared" si="7"/>
        <v>0</v>
      </c>
      <c r="M54" s="100">
        <f t="shared" si="7"/>
        <v>0</v>
      </c>
      <c r="N54" s="100">
        <f t="shared" si="7"/>
        <v>0</v>
      </c>
      <c r="O54" s="100">
        <f t="shared" si="7"/>
        <v>0</v>
      </c>
      <c r="P54" s="100">
        <f t="shared" si="7"/>
        <v>0</v>
      </c>
      <c r="Q54" s="100">
        <f t="shared" si="1"/>
        <v>0</v>
      </c>
      <c r="R54" s="100" t="str">
        <f t="shared" si="2"/>
        <v/>
      </c>
      <c r="S54" s="100" t="str">
        <f t="shared" si="3"/>
        <v/>
      </c>
      <c r="T54" s="100" t="str">
        <f t="shared" si="4"/>
        <v/>
      </c>
      <c r="U54" s="100" t="str">
        <f t="shared" si="5"/>
        <v>Failed in 6 Subjects</v>
      </c>
      <c r="V54" s="100" t="str">
        <f t="shared" si="6"/>
        <v/>
      </c>
      <c r="W54" s="100" t="str">
        <f>'Detailed Summary'!BK53</f>
        <v/>
      </c>
    </row>
    <row r="55" spans="1:23" ht="18.5" hidden="1" x14ac:dyDescent="0.45">
      <c r="A55" s="100"/>
      <c r="B55" s="100">
        <f>'Student Basic Info'!A54</f>
        <v>753</v>
      </c>
      <c r="C55" s="100" t="str">
        <f>'Student Basic Info'!C54</f>
        <v>Shohidul Islam</v>
      </c>
      <c r="D55" s="100">
        <f>Bangla!G54</f>
        <v>0</v>
      </c>
      <c r="E55" s="100">
        <f>English!F54</f>
        <v>1</v>
      </c>
      <c r="F55" s="100">
        <f>ICT!H54</f>
        <v>0</v>
      </c>
      <c r="G55" s="100">
        <f>Physics!H54</f>
        <v>0</v>
      </c>
      <c r="H55" s="100">
        <f>Chemistry!H54</f>
        <v>0</v>
      </c>
      <c r="I55" s="100">
        <f>Biology!H54</f>
        <v>3</v>
      </c>
      <c r="J55" s="100">
        <f>Math!H54</f>
        <v>0</v>
      </c>
      <c r="K55" s="100">
        <f t="shared" si="7"/>
        <v>0</v>
      </c>
      <c r="L55" s="100">
        <f t="shared" si="7"/>
        <v>1</v>
      </c>
      <c r="M55" s="100">
        <f t="shared" si="7"/>
        <v>0</v>
      </c>
      <c r="N55" s="100">
        <f t="shared" si="7"/>
        <v>0</v>
      </c>
      <c r="O55" s="100">
        <f t="shared" si="7"/>
        <v>0</v>
      </c>
      <c r="P55" s="100">
        <f t="shared" si="7"/>
        <v>1</v>
      </c>
      <c r="Q55" s="100">
        <f t="shared" si="1"/>
        <v>2</v>
      </c>
      <c r="R55" s="100" t="str">
        <f t="shared" si="2"/>
        <v/>
      </c>
      <c r="S55" s="100" t="str">
        <f t="shared" si="3"/>
        <v/>
      </c>
      <c r="T55" s="100" t="str">
        <f t="shared" si="4"/>
        <v/>
      </c>
      <c r="U55" s="100" t="str">
        <f t="shared" si="5"/>
        <v>Failed in 4 Subjects</v>
      </c>
      <c r="V55" s="100" t="str">
        <f t="shared" si="6"/>
        <v/>
      </c>
      <c r="W55" s="100" t="str">
        <f>'Detailed Summary'!BK54</f>
        <v/>
      </c>
    </row>
    <row r="56" spans="1:23" ht="18.5" hidden="1" x14ac:dyDescent="0.45">
      <c r="A56" s="100"/>
      <c r="B56" s="100">
        <f>'Student Basic Info'!A55</f>
        <v>754</v>
      </c>
      <c r="C56" s="100" t="str">
        <f>'Student Basic Info'!C55</f>
        <v>Shahriyar Nafiz</v>
      </c>
      <c r="D56" s="100">
        <f>Bangla!G55</f>
        <v>3</v>
      </c>
      <c r="E56" s="100">
        <f>English!F55</f>
        <v>0</v>
      </c>
      <c r="F56" s="100">
        <f>ICT!H55</f>
        <v>0</v>
      </c>
      <c r="G56" s="100">
        <f>Physics!H55</f>
        <v>0</v>
      </c>
      <c r="H56" s="100">
        <f>Chemistry!H55</f>
        <v>0</v>
      </c>
      <c r="I56" s="100">
        <f>Biology!H55</f>
        <v>0</v>
      </c>
      <c r="J56" s="100">
        <f>Math!H55</f>
        <v>0</v>
      </c>
      <c r="K56" s="100">
        <f t="shared" si="7"/>
        <v>1</v>
      </c>
      <c r="L56" s="100">
        <f t="shared" si="7"/>
        <v>0</v>
      </c>
      <c r="M56" s="100">
        <f t="shared" si="7"/>
        <v>0</v>
      </c>
      <c r="N56" s="100">
        <f t="shared" si="7"/>
        <v>0</v>
      </c>
      <c r="O56" s="100">
        <f t="shared" si="7"/>
        <v>0</v>
      </c>
      <c r="P56" s="100">
        <f t="shared" si="7"/>
        <v>0</v>
      </c>
      <c r="Q56" s="100">
        <f t="shared" si="1"/>
        <v>1</v>
      </c>
      <c r="R56" s="100" t="str">
        <f t="shared" si="2"/>
        <v/>
      </c>
      <c r="S56" s="100" t="str">
        <f t="shared" si="3"/>
        <v/>
      </c>
      <c r="T56" s="100" t="str">
        <f t="shared" si="4"/>
        <v/>
      </c>
      <c r="U56" s="100" t="str">
        <f t="shared" si="5"/>
        <v>Failed in 5 Subjects</v>
      </c>
      <c r="V56" s="100" t="str">
        <f t="shared" si="6"/>
        <v/>
      </c>
      <c r="W56" s="100" t="str">
        <f>'Detailed Summary'!BK55</f>
        <v/>
      </c>
    </row>
    <row r="57" spans="1:23" ht="18.5" hidden="1" x14ac:dyDescent="0.45">
      <c r="A57" s="100"/>
      <c r="B57" s="100">
        <f>'Student Basic Info'!A56</f>
        <v>755</v>
      </c>
      <c r="C57" s="100" t="str">
        <f>'Student Basic Info'!C56</f>
        <v xml:space="preserve">Md. Ibrahim </v>
      </c>
      <c r="D57" s="100">
        <f>Bangla!G56</f>
        <v>0</v>
      </c>
      <c r="E57" s="100">
        <f>English!F56</f>
        <v>0</v>
      </c>
      <c r="F57" s="100">
        <f>ICT!H56</f>
        <v>0</v>
      </c>
      <c r="G57" s="100">
        <f>Physics!H56</f>
        <v>0</v>
      </c>
      <c r="H57" s="100">
        <f>Chemistry!H56</f>
        <v>0</v>
      </c>
      <c r="I57" s="100">
        <f>Biology!H56</f>
        <v>0</v>
      </c>
      <c r="J57" s="100">
        <f>Math!H56</f>
        <v>0</v>
      </c>
      <c r="K57" s="100">
        <f t="shared" si="7"/>
        <v>0</v>
      </c>
      <c r="L57" s="100">
        <f t="shared" si="7"/>
        <v>0</v>
      </c>
      <c r="M57" s="100">
        <f t="shared" si="7"/>
        <v>0</v>
      </c>
      <c r="N57" s="100">
        <f t="shared" si="7"/>
        <v>0</v>
      </c>
      <c r="O57" s="100">
        <f t="shared" si="7"/>
        <v>0</v>
      </c>
      <c r="P57" s="100">
        <f t="shared" si="7"/>
        <v>0</v>
      </c>
      <c r="Q57" s="100">
        <f t="shared" si="1"/>
        <v>0</v>
      </c>
      <c r="R57" s="100" t="str">
        <f t="shared" si="2"/>
        <v/>
      </c>
      <c r="S57" s="100" t="str">
        <f t="shared" si="3"/>
        <v/>
      </c>
      <c r="T57" s="100" t="str">
        <f t="shared" si="4"/>
        <v/>
      </c>
      <c r="U57" s="100" t="str">
        <f t="shared" si="5"/>
        <v>Failed in 6 Subjects</v>
      </c>
      <c r="V57" s="100" t="str">
        <f t="shared" si="6"/>
        <v/>
      </c>
      <c r="W57" s="100" t="str">
        <f>'Detailed Summary'!BK56</f>
        <v/>
      </c>
    </row>
    <row r="58" spans="1:23" ht="18.5" hidden="1" x14ac:dyDescent="0.45">
      <c r="A58" s="100"/>
      <c r="B58" s="100">
        <f>'Student Basic Info'!A57</f>
        <v>756</v>
      </c>
      <c r="C58" s="100" t="str">
        <f>'Student Basic Info'!C57</f>
        <v>Fahmida Tabassum</v>
      </c>
      <c r="D58" s="100">
        <f>Bangla!G57</f>
        <v>3</v>
      </c>
      <c r="E58" s="100">
        <f>English!F57</f>
        <v>1</v>
      </c>
      <c r="F58" s="100">
        <f>ICT!H57</f>
        <v>0</v>
      </c>
      <c r="G58" s="100">
        <f>Physics!H57</f>
        <v>3</v>
      </c>
      <c r="H58" s="100">
        <f>Chemistry!H57</f>
        <v>0</v>
      </c>
      <c r="I58" s="100">
        <f>Biology!H57</f>
        <v>0</v>
      </c>
      <c r="J58" s="100">
        <f>Math!H57</f>
        <v>0</v>
      </c>
      <c r="K58" s="100">
        <f t="shared" si="7"/>
        <v>1</v>
      </c>
      <c r="L58" s="100">
        <f t="shared" si="7"/>
        <v>1</v>
      </c>
      <c r="M58" s="100">
        <f t="shared" si="7"/>
        <v>0</v>
      </c>
      <c r="N58" s="100">
        <f t="shared" si="7"/>
        <v>1</v>
      </c>
      <c r="O58" s="100">
        <f t="shared" si="7"/>
        <v>0</v>
      </c>
      <c r="P58" s="100">
        <f t="shared" si="7"/>
        <v>0</v>
      </c>
      <c r="Q58" s="100">
        <f t="shared" si="1"/>
        <v>3</v>
      </c>
      <c r="R58" s="100" t="str">
        <f t="shared" si="2"/>
        <v/>
      </c>
      <c r="S58" s="100" t="str">
        <f t="shared" si="3"/>
        <v/>
      </c>
      <c r="T58" s="100" t="str">
        <f t="shared" si="4"/>
        <v/>
      </c>
      <c r="U58" s="100" t="str">
        <f t="shared" si="5"/>
        <v>Failed in 3 Subjects</v>
      </c>
      <c r="V58" s="100" t="str">
        <f t="shared" si="6"/>
        <v/>
      </c>
      <c r="W58" s="100" t="str">
        <f>'Detailed Summary'!BK57</f>
        <v/>
      </c>
    </row>
    <row r="59" spans="1:23" ht="18.5" hidden="1" x14ac:dyDescent="0.45">
      <c r="A59" s="100"/>
      <c r="B59" s="100">
        <f>'Student Basic Info'!A58</f>
        <v>757</v>
      </c>
      <c r="C59" s="100" t="str">
        <f>'Student Basic Info'!C58</f>
        <v>Meheraj Uddin</v>
      </c>
      <c r="D59" s="100">
        <f>Bangla!G58</f>
        <v>0</v>
      </c>
      <c r="E59" s="100">
        <f>English!F58</f>
        <v>0</v>
      </c>
      <c r="F59" s="100">
        <f>ICT!H58</f>
        <v>0</v>
      </c>
      <c r="G59" s="100">
        <f>Physics!H58</f>
        <v>0</v>
      </c>
      <c r="H59" s="100">
        <f>Chemistry!H58</f>
        <v>0</v>
      </c>
      <c r="I59" s="100">
        <f>Biology!H58</f>
        <v>0</v>
      </c>
      <c r="J59" s="100">
        <f>Math!H58</f>
        <v>0</v>
      </c>
      <c r="K59" s="100">
        <f t="shared" si="7"/>
        <v>0</v>
      </c>
      <c r="L59" s="100">
        <f t="shared" si="7"/>
        <v>0</v>
      </c>
      <c r="M59" s="100">
        <f t="shared" si="7"/>
        <v>0</v>
      </c>
      <c r="N59" s="100">
        <f t="shared" si="7"/>
        <v>0</v>
      </c>
      <c r="O59" s="100">
        <f t="shared" si="7"/>
        <v>0</v>
      </c>
      <c r="P59" s="100">
        <f t="shared" si="7"/>
        <v>0</v>
      </c>
      <c r="Q59" s="100">
        <f t="shared" si="1"/>
        <v>0</v>
      </c>
      <c r="R59" s="100" t="str">
        <f t="shared" si="2"/>
        <v/>
      </c>
      <c r="S59" s="100" t="str">
        <f t="shared" si="3"/>
        <v/>
      </c>
      <c r="T59" s="100" t="str">
        <f t="shared" si="4"/>
        <v/>
      </c>
      <c r="U59" s="100" t="str">
        <f t="shared" si="5"/>
        <v>Failed in 6 Subjects</v>
      </c>
      <c r="V59" s="100" t="str">
        <f t="shared" si="6"/>
        <v/>
      </c>
      <c r="W59" s="100" t="str">
        <f>'Detailed Summary'!BK58</f>
        <v/>
      </c>
    </row>
    <row r="60" spans="1:23" ht="18.5" hidden="1" x14ac:dyDescent="0.45">
      <c r="A60" s="100"/>
      <c r="B60" s="100">
        <f>'Student Basic Info'!A59</f>
        <v>758</v>
      </c>
      <c r="C60" s="100" t="str">
        <f>'Student Basic Info'!C59</f>
        <v>Naimur Rahman</v>
      </c>
      <c r="D60" s="100">
        <f>Bangla!G59</f>
        <v>1</v>
      </c>
      <c r="E60" s="100">
        <f>English!F59</f>
        <v>2</v>
      </c>
      <c r="F60" s="100">
        <f>ICT!H59</f>
        <v>0</v>
      </c>
      <c r="G60" s="100">
        <f>Physics!H59</f>
        <v>0</v>
      </c>
      <c r="H60" s="100">
        <f>Chemistry!H59</f>
        <v>0</v>
      </c>
      <c r="I60" s="100">
        <f>Biology!H59</f>
        <v>0</v>
      </c>
      <c r="J60" s="100">
        <f>Math!H59</f>
        <v>0</v>
      </c>
      <c r="K60" s="100">
        <f t="shared" si="7"/>
        <v>1</v>
      </c>
      <c r="L60" s="100">
        <f t="shared" si="7"/>
        <v>1</v>
      </c>
      <c r="M60" s="100">
        <f t="shared" si="7"/>
        <v>0</v>
      </c>
      <c r="N60" s="100">
        <f t="shared" si="7"/>
        <v>0</v>
      </c>
      <c r="O60" s="100">
        <f t="shared" si="7"/>
        <v>0</v>
      </c>
      <c r="P60" s="100">
        <f t="shared" si="7"/>
        <v>0</v>
      </c>
      <c r="Q60" s="100">
        <f t="shared" si="1"/>
        <v>2</v>
      </c>
      <c r="R60" s="100" t="str">
        <f t="shared" si="2"/>
        <v/>
      </c>
      <c r="S60" s="100" t="str">
        <f t="shared" si="3"/>
        <v/>
      </c>
      <c r="T60" s="100" t="str">
        <f t="shared" si="4"/>
        <v/>
      </c>
      <c r="U60" s="100" t="str">
        <f t="shared" si="5"/>
        <v>Failed in 4 Subjects</v>
      </c>
      <c r="V60" s="100" t="str">
        <f t="shared" si="6"/>
        <v/>
      </c>
      <c r="W60" s="100" t="str">
        <f>'Detailed Summary'!BK59</f>
        <v/>
      </c>
    </row>
    <row r="61" spans="1:23" ht="18.5" hidden="1" x14ac:dyDescent="0.45">
      <c r="A61" s="100"/>
      <c r="B61" s="100">
        <f>'Student Basic Info'!A60</f>
        <v>759</v>
      </c>
      <c r="C61" s="100" t="str">
        <f>'Student Basic Info'!C60</f>
        <v>Amzad Hosain</v>
      </c>
      <c r="D61" s="100">
        <f>Bangla!G60</f>
        <v>3.5</v>
      </c>
      <c r="E61" s="100">
        <f>English!F60</f>
        <v>1</v>
      </c>
      <c r="F61" s="100">
        <f>ICT!H60</f>
        <v>5</v>
      </c>
      <c r="G61" s="100">
        <f>Physics!H60</f>
        <v>3.5</v>
      </c>
      <c r="H61" s="100">
        <f>Chemistry!H60</f>
        <v>5</v>
      </c>
      <c r="I61" s="100">
        <f>Biology!H60</f>
        <v>3</v>
      </c>
      <c r="J61" s="100">
        <f>Math!H60</f>
        <v>5</v>
      </c>
      <c r="K61" s="100">
        <f t="shared" si="7"/>
        <v>1</v>
      </c>
      <c r="L61" s="100">
        <f t="shared" si="7"/>
        <v>1</v>
      </c>
      <c r="M61" s="100">
        <f t="shared" si="7"/>
        <v>1</v>
      </c>
      <c r="N61" s="100">
        <f t="shared" si="7"/>
        <v>1</v>
      </c>
      <c r="O61" s="100">
        <f t="shared" si="7"/>
        <v>1</v>
      </c>
      <c r="P61" s="100">
        <f t="shared" si="7"/>
        <v>1</v>
      </c>
      <c r="Q61" s="100">
        <f t="shared" si="1"/>
        <v>6</v>
      </c>
      <c r="R61" s="100">
        <f t="shared" si="2"/>
        <v>21</v>
      </c>
      <c r="S61" s="100">
        <f t="shared" si="3"/>
        <v>26</v>
      </c>
      <c r="T61" s="100">
        <f t="shared" si="4"/>
        <v>3.5</v>
      </c>
      <c r="U61" s="100" t="str">
        <f t="shared" si="5"/>
        <v>Pass</v>
      </c>
      <c r="V61" s="100">
        <f t="shared" si="6"/>
        <v>4.333333333333333</v>
      </c>
      <c r="W61" s="100">
        <f>'Detailed Summary'!BK60</f>
        <v>2</v>
      </c>
    </row>
    <row r="62" spans="1:23" ht="18.5" hidden="1" x14ac:dyDescent="0.45">
      <c r="A62" s="100"/>
      <c r="B62" s="100">
        <f>'Student Basic Info'!A61</f>
        <v>760</v>
      </c>
      <c r="C62" s="100" t="str">
        <f>'Student Basic Info'!C61</f>
        <v>Imdadul Haque Zidan</v>
      </c>
      <c r="D62" s="100">
        <f>Bangla!G61</f>
        <v>1</v>
      </c>
      <c r="E62" s="100">
        <f>English!F61</f>
        <v>1</v>
      </c>
      <c r="F62" s="100" t="str">
        <f>ICT!H61</f>
        <v/>
      </c>
      <c r="G62" s="100">
        <f>Physics!H61</f>
        <v>0</v>
      </c>
      <c r="H62" s="100">
        <f>Chemistry!H61</f>
        <v>3</v>
      </c>
      <c r="I62" s="100">
        <f>Biology!H61</f>
        <v>0</v>
      </c>
      <c r="J62" s="100">
        <f>Math!H61</f>
        <v>0</v>
      </c>
      <c r="K62" s="100">
        <f t="shared" si="7"/>
        <v>1</v>
      </c>
      <c r="L62" s="100">
        <f t="shared" si="7"/>
        <v>1</v>
      </c>
      <c r="M62" s="100">
        <f t="shared" si="7"/>
        <v>0</v>
      </c>
      <c r="N62" s="100">
        <f t="shared" si="7"/>
        <v>0</v>
      </c>
      <c r="O62" s="100">
        <f t="shared" si="7"/>
        <v>1</v>
      </c>
      <c r="P62" s="100">
        <f t="shared" si="7"/>
        <v>0</v>
      </c>
      <c r="Q62" s="100">
        <f t="shared" si="1"/>
        <v>3</v>
      </c>
      <c r="R62" s="100" t="str">
        <f t="shared" si="2"/>
        <v/>
      </c>
      <c r="S62" s="100" t="str">
        <f t="shared" si="3"/>
        <v/>
      </c>
      <c r="T62" s="100" t="str">
        <f t="shared" si="4"/>
        <v/>
      </c>
      <c r="U62" s="100" t="str">
        <f t="shared" si="5"/>
        <v>Failed in 3 Subjects</v>
      </c>
      <c r="V62" s="100" t="str">
        <f t="shared" si="6"/>
        <v/>
      </c>
      <c r="W62" s="100" t="str">
        <f>'Detailed Summary'!BK61</f>
        <v/>
      </c>
    </row>
    <row r="63" spans="1:23" ht="18.5" hidden="1" x14ac:dyDescent="0.45">
      <c r="A63" s="100"/>
      <c r="B63" s="100">
        <f>'Student Basic Info'!A62</f>
        <v>761</v>
      </c>
      <c r="C63" s="100" t="str">
        <f>'Student Basic Info'!C62</f>
        <v>Nazmul Haque Sayem</v>
      </c>
      <c r="D63" s="100">
        <f>Bangla!G62</f>
        <v>1</v>
      </c>
      <c r="E63" s="100">
        <f>English!F62</f>
        <v>1</v>
      </c>
      <c r="F63" s="100">
        <f>ICT!H62</f>
        <v>3.5</v>
      </c>
      <c r="G63" s="100">
        <f>Physics!H62</f>
        <v>0</v>
      </c>
      <c r="H63" s="100" t="str">
        <f>Chemistry!H62</f>
        <v/>
      </c>
      <c r="I63" s="100">
        <f>Biology!H62</f>
        <v>0</v>
      </c>
      <c r="J63" s="100">
        <f>Math!H62</f>
        <v>0</v>
      </c>
      <c r="K63" s="100">
        <f t="shared" si="7"/>
        <v>1</v>
      </c>
      <c r="L63" s="100">
        <f t="shared" si="7"/>
        <v>1</v>
      </c>
      <c r="M63" s="100">
        <f t="shared" si="7"/>
        <v>1</v>
      </c>
      <c r="N63" s="100">
        <f t="shared" si="7"/>
        <v>0</v>
      </c>
      <c r="O63" s="100">
        <f t="shared" si="7"/>
        <v>0</v>
      </c>
      <c r="P63" s="100">
        <f t="shared" si="7"/>
        <v>0</v>
      </c>
      <c r="Q63" s="100">
        <f t="shared" si="1"/>
        <v>3</v>
      </c>
      <c r="R63" s="100" t="str">
        <f t="shared" si="2"/>
        <v/>
      </c>
      <c r="S63" s="100" t="str">
        <f t="shared" si="3"/>
        <v/>
      </c>
      <c r="T63" s="100" t="str">
        <f t="shared" si="4"/>
        <v/>
      </c>
      <c r="U63" s="100" t="str">
        <f t="shared" si="5"/>
        <v>Failed in 3 Subjects</v>
      </c>
      <c r="V63" s="100" t="str">
        <f t="shared" si="6"/>
        <v/>
      </c>
      <c r="W63" s="100" t="str">
        <f>'Detailed Summary'!BK62</f>
        <v/>
      </c>
    </row>
    <row r="64" spans="1:23" ht="18.5" hidden="1" x14ac:dyDescent="0.45">
      <c r="A64" s="100"/>
      <c r="B64" s="100">
        <f>'Student Basic Info'!A63</f>
        <v>762</v>
      </c>
      <c r="C64" s="100" t="str">
        <f>'Student Basic Info'!C63</f>
        <v>Sadbin Hasan Shourov</v>
      </c>
      <c r="D64" s="100">
        <f>Bangla!G63</f>
        <v>1</v>
      </c>
      <c r="E64" s="100">
        <f>English!F63</f>
        <v>2</v>
      </c>
      <c r="F64" s="100">
        <f>ICT!H63</f>
        <v>3.5</v>
      </c>
      <c r="G64" s="100">
        <f>Physics!H63</f>
        <v>0</v>
      </c>
      <c r="H64" s="100">
        <f>Chemistry!H63</f>
        <v>2</v>
      </c>
      <c r="I64" s="100">
        <f>Biology!H63</f>
        <v>0</v>
      </c>
      <c r="J64" s="100">
        <f>Math!H63</f>
        <v>0</v>
      </c>
      <c r="K64" s="100">
        <f t="shared" si="7"/>
        <v>1</v>
      </c>
      <c r="L64" s="100">
        <f t="shared" si="7"/>
        <v>1</v>
      </c>
      <c r="M64" s="100">
        <f t="shared" si="7"/>
        <v>1</v>
      </c>
      <c r="N64" s="100">
        <f t="shared" si="7"/>
        <v>0</v>
      </c>
      <c r="O64" s="100">
        <f t="shared" si="7"/>
        <v>1</v>
      </c>
      <c r="P64" s="100">
        <f t="shared" si="7"/>
        <v>0</v>
      </c>
      <c r="Q64" s="100">
        <f t="shared" si="1"/>
        <v>4</v>
      </c>
      <c r="R64" s="100" t="str">
        <f t="shared" si="2"/>
        <v/>
      </c>
      <c r="S64" s="100" t="str">
        <f t="shared" si="3"/>
        <v/>
      </c>
      <c r="T64" s="100" t="str">
        <f t="shared" si="4"/>
        <v/>
      </c>
      <c r="U64" s="100" t="str">
        <f t="shared" si="5"/>
        <v>Failed in 2 Subjects</v>
      </c>
      <c r="V64" s="100" t="str">
        <f t="shared" si="6"/>
        <v/>
      </c>
      <c r="W64" s="100" t="str">
        <f>'Detailed Summary'!BK63</f>
        <v/>
      </c>
    </row>
    <row r="65" spans="1:23" ht="18.5" x14ac:dyDescent="0.45">
      <c r="A65" s="100"/>
      <c r="B65" s="100">
        <f>'Student Basic Info'!A64</f>
        <v>763</v>
      </c>
      <c r="C65" s="100" t="str">
        <f>'Student Basic Info'!C64</f>
        <v>Sujayet Hosain</v>
      </c>
      <c r="D65" s="100">
        <f>Bangla!G64</f>
        <v>3</v>
      </c>
      <c r="E65" s="100">
        <f>English!F64</f>
        <v>1</v>
      </c>
      <c r="F65" s="100">
        <f>ICT!H64</f>
        <v>0</v>
      </c>
      <c r="G65" s="100">
        <f>Physics!H64</f>
        <v>0</v>
      </c>
      <c r="H65" s="100">
        <f>Chemistry!H64</f>
        <v>3</v>
      </c>
      <c r="I65" s="100">
        <f>Biology!H64</f>
        <v>3</v>
      </c>
      <c r="J65" s="100">
        <f>Math!H64</f>
        <v>0</v>
      </c>
      <c r="K65" s="100">
        <f t="shared" si="7"/>
        <v>1</v>
      </c>
      <c r="L65" s="100">
        <f t="shared" si="7"/>
        <v>1</v>
      </c>
      <c r="M65" s="100">
        <f t="shared" si="7"/>
        <v>0</v>
      </c>
      <c r="N65" s="100">
        <f t="shared" si="7"/>
        <v>0</v>
      </c>
      <c r="O65" s="100">
        <f t="shared" si="7"/>
        <v>1</v>
      </c>
      <c r="P65" s="100">
        <f t="shared" si="7"/>
        <v>1</v>
      </c>
      <c r="Q65" s="100">
        <f t="shared" si="1"/>
        <v>4</v>
      </c>
      <c r="R65" s="100" t="str">
        <f t="shared" si="2"/>
        <v/>
      </c>
      <c r="S65" s="100" t="str">
        <f t="shared" si="3"/>
        <v/>
      </c>
      <c r="T65" s="100" t="str">
        <f t="shared" si="4"/>
        <v/>
      </c>
      <c r="U65" s="100" t="str">
        <f t="shared" si="5"/>
        <v>Failed in 2 Subjects</v>
      </c>
      <c r="V65" s="100" t="str">
        <f t="shared" si="6"/>
        <v/>
      </c>
      <c r="W65" s="100" t="str">
        <f>'Detailed Summary'!BK64</f>
        <v/>
      </c>
    </row>
    <row r="66" spans="1:23" ht="18.5" hidden="1" x14ac:dyDescent="0.45">
      <c r="A66" s="100"/>
      <c r="B66" s="100">
        <f>'Student Basic Info'!A65</f>
        <v>764</v>
      </c>
      <c r="C66" s="100" t="str">
        <f>'Student Basic Info'!C65</f>
        <v>Kishor Chandra Nath</v>
      </c>
      <c r="D66" s="100">
        <f>Bangla!G65</f>
        <v>0</v>
      </c>
      <c r="E66" s="100">
        <f>English!F65</f>
        <v>0</v>
      </c>
      <c r="F66" s="100">
        <f>ICT!H65</f>
        <v>0</v>
      </c>
      <c r="G66" s="100">
        <f>Physics!H65</f>
        <v>0</v>
      </c>
      <c r="H66" s="100">
        <f>Chemistry!H65</f>
        <v>0</v>
      </c>
      <c r="I66" s="100">
        <f>Biology!H65</f>
        <v>0</v>
      </c>
      <c r="J66" s="100">
        <f>Math!H65</f>
        <v>0</v>
      </c>
      <c r="K66" s="100">
        <f t="shared" si="7"/>
        <v>0</v>
      </c>
      <c r="L66" s="100">
        <f t="shared" si="7"/>
        <v>0</v>
      </c>
      <c r="M66" s="100">
        <f t="shared" si="7"/>
        <v>0</v>
      </c>
      <c r="N66" s="100">
        <f t="shared" si="7"/>
        <v>0</v>
      </c>
      <c r="O66" s="100">
        <f t="shared" si="7"/>
        <v>0</v>
      </c>
      <c r="P66" s="100">
        <f t="shared" si="7"/>
        <v>0</v>
      </c>
      <c r="Q66" s="100">
        <f t="shared" si="1"/>
        <v>0</v>
      </c>
      <c r="R66" s="100" t="str">
        <f t="shared" si="2"/>
        <v/>
      </c>
      <c r="S66" s="100" t="str">
        <f t="shared" si="3"/>
        <v/>
      </c>
      <c r="T66" s="100" t="str">
        <f t="shared" si="4"/>
        <v/>
      </c>
      <c r="U66" s="100" t="str">
        <f t="shared" si="5"/>
        <v>Failed in 6 Subjects</v>
      </c>
      <c r="V66" s="100" t="str">
        <f t="shared" si="6"/>
        <v/>
      </c>
      <c r="W66" s="100" t="str">
        <f>'Detailed Summary'!BK65</f>
        <v/>
      </c>
    </row>
    <row r="67" spans="1:23" ht="18.5" hidden="1" x14ac:dyDescent="0.45">
      <c r="A67" s="100"/>
      <c r="B67" s="100">
        <f>'Student Basic Info'!A66</f>
        <v>765</v>
      </c>
      <c r="C67" s="100" t="str">
        <f>'Student Basic Info'!C66</f>
        <v>Apurbo Shorma Apu</v>
      </c>
      <c r="D67" s="100">
        <f>Bangla!G66</f>
        <v>3</v>
      </c>
      <c r="E67" s="100">
        <f>English!F66</f>
        <v>3</v>
      </c>
      <c r="F67" s="100">
        <f>ICT!H66</f>
        <v>4</v>
      </c>
      <c r="G67" s="100">
        <f>Physics!H66</f>
        <v>3</v>
      </c>
      <c r="H67" s="100">
        <f>Chemistry!H66</f>
        <v>4</v>
      </c>
      <c r="I67" s="100">
        <f>Biology!H66</f>
        <v>3</v>
      </c>
      <c r="J67" s="100">
        <f>Math!H66</f>
        <v>0</v>
      </c>
      <c r="K67" s="100">
        <f t="shared" ref="K67:P89" si="8">(IF(D67="",0,IF(D67=0,0,1)))</f>
        <v>1</v>
      </c>
      <c r="L67" s="100">
        <f t="shared" si="8"/>
        <v>1</v>
      </c>
      <c r="M67" s="100">
        <f t="shared" si="8"/>
        <v>1</v>
      </c>
      <c r="N67" s="100">
        <f t="shared" si="8"/>
        <v>1</v>
      </c>
      <c r="O67" s="100">
        <f t="shared" si="8"/>
        <v>1</v>
      </c>
      <c r="P67" s="100">
        <f t="shared" si="8"/>
        <v>1</v>
      </c>
      <c r="Q67" s="100">
        <f t="shared" ref="Q67:Q89" si="9">SUM(K67:P67)</f>
        <v>6</v>
      </c>
      <c r="R67" s="100">
        <f t="shared" ref="R67:R89" si="10">IF(OR(D67=0,E67=0,F67=0,G67=0,H67=0,I67=0,D67="",E67="",F67="",G67="",H67="",I67=""),"",SUM(D67:I67))</f>
        <v>20</v>
      </c>
      <c r="S67" s="100">
        <f t="shared" ref="S67:S89" si="11">IF(OR(D67=0,E67=0,F67=0,G67=0,H67=0,I67=0,D67="",E67="",F67="",G67="",H67="",I67=""),"",SUM(D67:J67))</f>
        <v>20</v>
      </c>
      <c r="T67" s="100">
        <f t="shared" ref="T67:T89" si="12">IF(R67="","",IF(((R67/6)&gt;5),5,R67/6))</f>
        <v>3.3333333333333335</v>
      </c>
      <c r="U67" s="100" t="str">
        <f t="shared" ref="U67:U89" si="13">IF(Q67=0,"Failed in 6 Subjects",IF(Q67=1,"Failed in 5 Subjects",IF(Q67=2,"Failed in 4 Subjects",IF(Q67=3,"Failed in 3 Subjects",IF(Q67=4,"Failed in 2 Subjects",IF(Q67=5,"Failed in 1 Subject","Pass"))))))</f>
        <v>Pass</v>
      </c>
      <c r="V67" s="100">
        <f t="shared" ref="V67:V89" si="14">IF(S67="","",IF(((S67/6)&gt;5),5,S67/6))</f>
        <v>3.3333333333333335</v>
      </c>
      <c r="W67" s="100">
        <f>'Detailed Summary'!BK66</f>
        <v>5</v>
      </c>
    </row>
    <row r="68" spans="1:23" ht="18.5" hidden="1" x14ac:dyDescent="0.45">
      <c r="A68" s="100"/>
      <c r="B68" s="100">
        <f>'Student Basic Info'!A67</f>
        <v>766</v>
      </c>
      <c r="C68" s="100" t="str">
        <f>'Student Basic Info'!C67</f>
        <v xml:space="preserve">Md. Ibrahim Khalil </v>
      </c>
      <c r="D68" s="100">
        <f>Bangla!G67</f>
        <v>3</v>
      </c>
      <c r="E68" s="100">
        <f>English!F67</f>
        <v>2</v>
      </c>
      <c r="F68" s="100">
        <f>ICT!H67</f>
        <v>3.5</v>
      </c>
      <c r="G68" s="100">
        <f>Physics!H67</f>
        <v>4</v>
      </c>
      <c r="H68" s="100">
        <f>Chemistry!H67</f>
        <v>3.5</v>
      </c>
      <c r="I68" s="100">
        <f>Biology!H67</f>
        <v>3</v>
      </c>
      <c r="J68" s="100">
        <f>Math!H67</f>
        <v>0</v>
      </c>
      <c r="K68" s="100">
        <f t="shared" si="8"/>
        <v>1</v>
      </c>
      <c r="L68" s="100">
        <f t="shared" si="8"/>
        <v>1</v>
      </c>
      <c r="M68" s="100">
        <f t="shared" si="8"/>
        <v>1</v>
      </c>
      <c r="N68" s="100">
        <f t="shared" si="8"/>
        <v>1</v>
      </c>
      <c r="O68" s="100">
        <f t="shared" si="8"/>
        <v>1</v>
      </c>
      <c r="P68" s="100">
        <f t="shared" si="8"/>
        <v>1</v>
      </c>
      <c r="Q68" s="100">
        <f t="shared" si="9"/>
        <v>6</v>
      </c>
      <c r="R68" s="100">
        <f t="shared" si="10"/>
        <v>19</v>
      </c>
      <c r="S68" s="100">
        <f t="shared" si="11"/>
        <v>19</v>
      </c>
      <c r="T68" s="100">
        <f t="shared" si="12"/>
        <v>3.1666666666666665</v>
      </c>
      <c r="U68" s="100" t="str">
        <f t="shared" si="13"/>
        <v>Pass</v>
      </c>
      <c r="V68" s="100">
        <f t="shared" si="14"/>
        <v>3.1666666666666665</v>
      </c>
      <c r="W68" s="100">
        <f>'Detailed Summary'!BK67</f>
        <v>7</v>
      </c>
    </row>
    <row r="69" spans="1:23" ht="18.5" hidden="1" x14ac:dyDescent="0.45">
      <c r="A69" s="100"/>
      <c r="B69" s="100">
        <f>'Student Basic Info'!A68</f>
        <v>767</v>
      </c>
      <c r="C69" s="100" t="str">
        <f>'Student Basic Info'!C68</f>
        <v>Ayman Mahmud Tawsif</v>
      </c>
      <c r="D69" s="100">
        <f>Bangla!G68</f>
        <v>3.5</v>
      </c>
      <c r="E69" s="100">
        <f>English!F68</f>
        <v>3</v>
      </c>
      <c r="F69" s="100">
        <f>ICT!H68</f>
        <v>4</v>
      </c>
      <c r="G69" s="100">
        <f>Physics!H68</f>
        <v>4</v>
      </c>
      <c r="H69" s="100">
        <f>Chemistry!H68</f>
        <v>3</v>
      </c>
      <c r="I69" s="100">
        <f>Biology!H68</f>
        <v>3</v>
      </c>
      <c r="J69" s="100">
        <f>Math!H68</f>
        <v>0</v>
      </c>
      <c r="K69" s="100">
        <f t="shared" si="8"/>
        <v>1</v>
      </c>
      <c r="L69" s="100">
        <f t="shared" si="8"/>
        <v>1</v>
      </c>
      <c r="M69" s="100">
        <f t="shared" si="8"/>
        <v>1</v>
      </c>
      <c r="N69" s="100">
        <f t="shared" si="8"/>
        <v>1</v>
      </c>
      <c r="O69" s="100">
        <f t="shared" si="8"/>
        <v>1</v>
      </c>
      <c r="P69" s="100">
        <f t="shared" si="8"/>
        <v>1</v>
      </c>
      <c r="Q69" s="100">
        <f t="shared" si="9"/>
        <v>6</v>
      </c>
      <c r="R69" s="100">
        <f t="shared" si="10"/>
        <v>20.5</v>
      </c>
      <c r="S69" s="100">
        <f t="shared" si="11"/>
        <v>20.5</v>
      </c>
      <c r="T69" s="100">
        <f t="shared" si="12"/>
        <v>3.4166666666666665</v>
      </c>
      <c r="U69" s="100" t="str">
        <f t="shared" si="13"/>
        <v>Pass</v>
      </c>
      <c r="V69" s="100">
        <f t="shared" si="14"/>
        <v>3.4166666666666665</v>
      </c>
      <c r="W69" s="100">
        <f>'Detailed Summary'!BK68</f>
        <v>4</v>
      </c>
    </row>
    <row r="70" spans="1:23" ht="18.5" hidden="1" x14ac:dyDescent="0.45">
      <c r="A70" s="100"/>
      <c r="B70" s="100">
        <f>'Student Basic Info'!A69</f>
        <v>768</v>
      </c>
      <c r="C70" s="100" t="str">
        <f>'Student Basic Info'!C69</f>
        <v>Tanvir Hosain</v>
      </c>
      <c r="D70" s="100">
        <f>Bangla!G69</f>
        <v>2</v>
      </c>
      <c r="E70" s="100">
        <f>English!F69</f>
        <v>0</v>
      </c>
      <c r="F70" s="100">
        <f>ICT!H69</f>
        <v>3</v>
      </c>
      <c r="G70" s="100">
        <f>Physics!H69</f>
        <v>3</v>
      </c>
      <c r="H70" s="100">
        <f>Chemistry!H69</f>
        <v>0</v>
      </c>
      <c r="I70" s="100">
        <f>Biology!H69</f>
        <v>2</v>
      </c>
      <c r="J70" s="100">
        <f>Math!H69</f>
        <v>0</v>
      </c>
      <c r="K70" s="100">
        <f t="shared" si="8"/>
        <v>1</v>
      </c>
      <c r="L70" s="100">
        <f t="shared" si="8"/>
        <v>0</v>
      </c>
      <c r="M70" s="100">
        <f t="shared" si="8"/>
        <v>1</v>
      </c>
      <c r="N70" s="100">
        <f t="shared" si="8"/>
        <v>1</v>
      </c>
      <c r="O70" s="100">
        <f t="shared" si="8"/>
        <v>0</v>
      </c>
      <c r="P70" s="100">
        <f t="shared" si="8"/>
        <v>1</v>
      </c>
      <c r="Q70" s="100">
        <f t="shared" si="9"/>
        <v>4</v>
      </c>
      <c r="R70" s="100" t="str">
        <f t="shared" si="10"/>
        <v/>
      </c>
      <c r="S70" s="100" t="str">
        <f t="shared" si="11"/>
        <v/>
      </c>
      <c r="T70" s="100" t="str">
        <f t="shared" si="12"/>
        <v/>
      </c>
      <c r="U70" s="100" t="str">
        <f t="shared" si="13"/>
        <v>Failed in 2 Subjects</v>
      </c>
      <c r="V70" s="100" t="str">
        <f t="shared" si="14"/>
        <v/>
      </c>
      <c r="W70" s="100" t="str">
        <f>'Detailed Summary'!BK69</f>
        <v/>
      </c>
    </row>
    <row r="71" spans="1:23" ht="18.5" x14ac:dyDescent="0.45">
      <c r="A71" s="100"/>
      <c r="B71" s="100">
        <f>'Student Basic Info'!A70</f>
        <v>769</v>
      </c>
      <c r="C71" s="100" t="str">
        <f>'Student Basic Info'!C70</f>
        <v>Abdullah Al Noman</v>
      </c>
      <c r="D71" s="100" t="str">
        <f>Bangla!G70</f>
        <v/>
      </c>
      <c r="E71" s="100" t="str">
        <f>English!F70</f>
        <v/>
      </c>
      <c r="F71" s="100" t="str">
        <f>ICT!H70</f>
        <v/>
      </c>
      <c r="G71" s="100" t="str">
        <f>Physics!H70</f>
        <v/>
      </c>
      <c r="H71" s="100">
        <f>Chemistry!H70</f>
        <v>0</v>
      </c>
      <c r="I71" s="100" t="str">
        <f>Biology!H70</f>
        <v/>
      </c>
      <c r="J71" s="100">
        <f>Math!H70</f>
        <v>0</v>
      </c>
      <c r="K71" s="100">
        <f t="shared" si="8"/>
        <v>0</v>
      </c>
      <c r="L71" s="100">
        <f t="shared" si="8"/>
        <v>0</v>
      </c>
      <c r="M71" s="100">
        <f t="shared" si="8"/>
        <v>0</v>
      </c>
      <c r="N71" s="100">
        <f t="shared" si="8"/>
        <v>0</v>
      </c>
      <c r="O71" s="100">
        <f t="shared" si="8"/>
        <v>0</v>
      </c>
      <c r="P71" s="100">
        <f t="shared" si="8"/>
        <v>0</v>
      </c>
      <c r="Q71" s="100">
        <f t="shared" si="9"/>
        <v>0</v>
      </c>
      <c r="R71" s="100" t="str">
        <f t="shared" si="10"/>
        <v/>
      </c>
      <c r="S71" s="100" t="str">
        <f t="shared" si="11"/>
        <v/>
      </c>
      <c r="T71" s="100" t="str">
        <f t="shared" si="12"/>
        <v/>
      </c>
      <c r="U71" s="100" t="str">
        <f t="shared" si="13"/>
        <v>Failed in 6 Subjects</v>
      </c>
      <c r="V71" s="100" t="str">
        <f t="shared" si="14"/>
        <v/>
      </c>
      <c r="W71" s="100" t="str">
        <f>'Detailed Summary'!BK70</f>
        <v/>
      </c>
    </row>
    <row r="72" spans="1:23" ht="18.5" x14ac:dyDescent="0.45">
      <c r="A72" s="100"/>
      <c r="B72" s="100">
        <f>'Student Basic Info'!A71</f>
        <v>770</v>
      </c>
      <c r="C72" s="100" t="str">
        <f>'Student Basic Info'!C71</f>
        <v>Ashraf Uddal</v>
      </c>
      <c r="D72" s="100">
        <f>Bangla!G71</f>
        <v>0</v>
      </c>
      <c r="E72" s="100">
        <f>English!F71</f>
        <v>0</v>
      </c>
      <c r="F72" s="100">
        <f>ICT!H71</f>
        <v>0</v>
      </c>
      <c r="G72" s="100">
        <f>Physics!H71</f>
        <v>0</v>
      </c>
      <c r="H72" s="100" t="str">
        <f>Chemistry!H71</f>
        <v/>
      </c>
      <c r="I72" s="100">
        <f>Biology!H71</f>
        <v>0</v>
      </c>
      <c r="J72" s="100">
        <f>Math!H71</f>
        <v>0</v>
      </c>
      <c r="K72" s="100">
        <f t="shared" si="8"/>
        <v>0</v>
      </c>
      <c r="L72" s="100">
        <f t="shared" si="8"/>
        <v>0</v>
      </c>
      <c r="M72" s="100">
        <f t="shared" si="8"/>
        <v>0</v>
      </c>
      <c r="N72" s="100">
        <f t="shared" si="8"/>
        <v>0</v>
      </c>
      <c r="O72" s="100">
        <f t="shared" si="8"/>
        <v>0</v>
      </c>
      <c r="P72" s="100">
        <f t="shared" si="8"/>
        <v>0</v>
      </c>
      <c r="Q72" s="100">
        <f t="shared" si="9"/>
        <v>0</v>
      </c>
      <c r="R72" s="100" t="str">
        <f t="shared" si="10"/>
        <v/>
      </c>
      <c r="S72" s="100" t="str">
        <f t="shared" si="11"/>
        <v/>
      </c>
      <c r="T72" s="100" t="str">
        <f t="shared" si="12"/>
        <v/>
      </c>
      <c r="U72" s="100" t="str">
        <f t="shared" si="13"/>
        <v>Failed in 6 Subjects</v>
      </c>
      <c r="V72" s="100" t="str">
        <f t="shared" si="14"/>
        <v/>
      </c>
      <c r="W72" s="100" t="str">
        <f>'Detailed Summary'!BK71</f>
        <v/>
      </c>
    </row>
    <row r="73" spans="1:23" ht="18.5" x14ac:dyDescent="0.45">
      <c r="A73" s="100"/>
      <c r="B73" s="100">
        <f>'Student Basic Info'!A72</f>
        <v>771</v>
      </c>
      <c r="C73" s="100" t="str">
        <f>'Student Basic Info'!C72</f>
        <v>Mesfar Uddin Ripti</v>
      </c>
      <c r="D73" s="100" t="str">
        <f>Bangla!G72</f>
        <v/>
      </c>
      <c r="E73" s="100" t="str">
        <f>English!F72</f>
        <v/>
      </c>
      <c r="F73" s="100" t="str">
        <f>ICT!H72</f>
        <v/>
      </c>
      <c r="G73" s="100">
        <f>Physics!H72</f>
        <v>0</v>
      </c>
      <c r="H73" s="100" t="str">
        <f>Chemistry!H72</f>
        <v/>
      </c>
      <c r="I73" s="100">
        <f>Biology!H72</f>
        <v>0</v>
      </c>
      <c r="J73" s="100" t="str">
        <f>Math!H72</f>
        <v/>
      </c>
      <c r="K73" s="100">
        <f t="shared" si="8"/>
        <v>0</v>
      </c>
      <c r="L73" s="100">
        <f t="shared" si="8"/>
        <v>0</v>
      </c>
      <c r="M73" s="100">
        <f t="shared" si="8"/>
        <v>0</v>
      </c>
      <c r="N73" s="100">
        <f t="shared" si="8"/>
        <v>0</v>
      </c>
      <c r="O73" s="100">
        <f t="shared" si="8"/>
        <v>0</v>
      </c>
      <c r="P73" s="100">
        <f t="shared" si="8"/>
        <v>0</v>
      </c>
      <c r="Q73" s="100">
        <f t="shared" si="9"/>
        <v>0</v>
      </c>
      <c r="R73" s="100" t="str">
        <f t="shared" si="10"/>
        <v/>
      </c>
      <c r="S73" s="100" t="str">
        <f t="shared" si="11"/>
        <v/>
      </c>
      <c r="T73" s="100" t="str">
        <f t="shared" si="12"/>
        <v/>
      </c>
      <c r="U73" s="100" t="str">
        <f t="shared" si="13"/>
        <v>Failed in 6 Subjects</v>
      </c>
      <c r="V73" s="100" t="str">
        <f t="shared" si="14"/>
        <v/>
      </c>
      <c r="W73" s="100" t="str">
        <f>'Detailed Summary'!BK72</f>
        <v/>
      </c>
    </row>
    <row r="74" spans="1:23" ht="18.5" x14ac:dyDescent="0.45">
      <c r="A74" s="100"/>
      <c r="B74" s="100">
        <f>'Student Basic Info'!A73</f>
        <v>772</v>
      </c>
      <c r="C74" s="100" t="str">
        <f>'Student Basic Info'!C73</f>
        <v>Shoikot Chandra Shil</v>
      </c>
      <c r="D74" s="100">
        <f>Bangla!G73</f>
        <v>0</v>
      </c>
      <c r="E74" s="100">
        <f>English!F73</f>
        <v>0</v>
      </c>
      <c r="F74" s="100">
        <f>ICT!H73</f>
        <v>0</v>
      </c>
      <c r="G74" s="100">
        <f>Physics!H73</f>
        <v>0</v>
      </c>
      <c r="H74" s="100" t="str">
        <f>Chemistry!H73</f>
        <v/>
      </c>
      <c r="I74" s="100">
        <f>Biology!H73</f>
        <v>0</v>
      </c>
      <c r="J74" s="100">
        <f>Math!H73</f>
        <v>0</v>
      </c>
      <c r="K74" s="100">
        <f t="shared" si="8"/>
        <v>0</v>
      </c>
      <c r="L74" s="100">
        <f t="shared" si="8"/>
        <v>0</v>
      </c>
      <c r="M74" s="100">
        <f t="shared" si="8"/>
        <v>0</v>
      </c>
      <c r="N74" s="100">
        <f t="shared" si="8"/>
        <v>0</v>
      </c>
      <c r="O74" s="100">
        <f t="shared" si="8"/>
        <v>0</v>
      </c>
      <c r="P74" s="100">
        <f t="shared" si="8"/>
        <v>0</v>
      </c>
      <c r="Q74" s="100">
        <f t="shared" si="9"/>
        <v>0</v>
      </c>
      <c r="R74" s="100" t="str">
        <f t="shared" si="10"/>
        <v/>
      </c>
      <c r="S74" s="100" t="str">
        <f t="shared" si="11"/>
        <v/>
      </c>
      <c r="T74" s="100" t="str">
        <f t="shared" si="12"/>
        <v/>
      </c>
      <c r="U74" s="100" t="str">
        <f t="shared" si="13"/>
        <v>Failed in 6 Subjects</v>
      </c>
      <c r="V74" s="100" t="str">
        <f t="shared" si="14"/>
        <v/>
      </c>
      <c r="W74" s="100" t="str">
        <f>'Detailed Summary'!BK73</f>
        <v/>
      </c>
    </row>
    <row r="75" spans="1:23" ht="18.5" x14ac:dyDescent="0.45">
      <c r="A75" s="100"/>
      <c r="B75" s="100">
        <f>'Student Basic Info'!A74</f>
        <v>773</v>
      </c>
      <c r="C75" s="100" t="str">
        <f>'Student Basic Info'!C74</f>
        <v>Shourov Chandra Shil</v>
      </c>
      <c r="D75" s="100">
        <f>Bangla!G74</f>
        <v>0</v>
      </c>
      <c r="E75" s="100">
        <f>English!F74</f>
        <v>0</v>
      </c>
      <c r="F75" s="100">
        <f>ICT!H74</f>
        <v>0</v>
      </c>
      <c r="G75" s="100">
        <f>Physics!H74</f>
        <v>0</v>
      </c>
      <c r="H75" s="100" t="str">
        <f>Chemistry!H74</f>
        <v/>
      </c>
      <c r="I75" s="100">
        <f>Biology!H74</f>
        <v>0</v>
      </c>
      <c r="J75" s="100">
        <f>Math!H74</f>
        <v>0</v>
      </c>
      <c r="K75" s="100">
        <f t="shared" si="8"/>
        <v>0</v>
      </c>
      <c r="L75" s="100">
        <f t="shared" si="8"/>
        <v>0</v>
      </c>
      <c r="M75" s="100">
        <f t="shared" si="8"/>
        <v>0</v>
      </c>
      <c r="N75" s="100">
        <f t="shared" si="8"/>
        <v>0</v>
      </c>
      <c r="O75" s="100">
        <f t="shared" si="8"/>
        <v>0</v>
      </c>
      <c r="P75" s="100">
        <f t="shared" si="8"/>
        <v>0</v>
      </c>
      <c r="Q75" s="100">
        <f t="shared" si="9"/>
        <v>0</v>
      </c>
      <c r="R75" s="100" t="str">
        <f t="shared" si="10"/>
        <v/>
      </c>
      <c r="S75" s="100" t="str">
        <f t="shared" si="11"/>
        <v/>
      </c>
      <c r="T75" s="100" t="str">
        <f t="shared" si="12"/>
        <v/>
      </c>
      <c r="U75" s="100" t="str">
        <f t="shared" si="13"/>
        <v>Failed in 6 Subjects</v>
      </c>
      <c r="V75" s="100" t="str">
        <f t="shared" si="14"/>
        <v/>
      </c>
      <c r="W75" s="100" t="str">
        <f>'Detailed Summary'!BK74</f>
        <v/>
      </c>
    </row>
    <row r="76" spans="1:23" ht="18.5" hidden="1" x14ac:dyDescent="0.45">
      <c r="A76" s="100"/>
      <c r="B76" s="100">
        <f>'Student Basic Info'!A75</f>
        <v>774</v>
      </c>
      <c r="C76" s="100" t="str">
        <f>'Student Basic Info'!C75</f>
        <v>Nur Islam</v>
      </c>
      <c r="D76" s="100">
        <f>Bangla!G75</f>
        <v>3.5</v>
      </c>
      <c r="E76" s="100">
        <f>English!F75</f>
        <v>0</v>
      </c>
      <c r="F76" s="100">
        <f>ICT!H75</f>
        <v>3</v>
      </c>
      <c r="G76" s="100">
        <f>Physics!H75</f>
        <v>2</v>
      </c>
      <c r="H76" s="100">
        <f>Chemistry!H75</f>
        <v>0</v>
      </c>
      <c r="I76" s="100">
        <f>Biology!H75</f>
        <v>0</v>
      </c>
      <c r="J76" s="100">
        <f>Math!H75</f>
        <v>0</v>
      </c>
      <c r="K76" s="100">
        <f t="shared" si="8"/>
        <v>1</v>
      </c>
      <c r="L76" s="100">
        <f t="shared" si="8"/>
        <v>0</v>
      </c>
      <c r="M76" s="100">
        <f t="shared" si="8"/>
        <v>1</v>
      </c>
      <c r="N76" s="100">
        <f t="shared" si="8"/>
        <v>1</v>
      </c>
      <c r="O76" s="100">
        <f t="shared" si="8"/>
        <v>0</v>
      </c>
      <c r="P76" s="100">
        <f t="shared" si="8"/>
        <v>0</v>
      </c>
      <c r="Q76" s="100">
        <f t="shared" si="9"/>
        <v>3</v>
      </c>
      <c r="R76" s="100" t="str">
        <f t="shared" si="10"/>
        <v/>
      </c>
      <c r="S76" s="100" t="str">
        <f t="shared" si="11"/>
        <v/>
      </c>
      <c r="T76" s="100" t="str">
        <f t="shared" si="12"/>
        <v/>
      </c>
      <c r="U76" s="100" t="str">
        <f t="shared" si="13"/>
        <v>Failed in 3 Subjects</v>
      </c>
      <c r="V76" s="100" t="str">
        <f t="shared" si="14"/>
        <v/>
      </c>
      <c r="W76" s="100" t="str">
        <f>'Detailed Summary'!BK75</f>
        <v/>
      </c>
    </row>
    <row r="77" spans="1:23" ht="18.5" hidden="1" x14ac:dyDescent="0.45">
      <c r="A77" s="100"/>
      <c r="B77" s="100">
        <f>'Student Basic Info'!A76</f>
        <v>775</v>
      </c>
      <c r="C77" s="100" t="str">
        <f>'Student Basic Info'!C76</f>
        <v>Nur Mohammad Rimon</v>
      </c>
      <c r="D77" s="100">
        <f>Bangla!G76</f>
        <v>0</v>
      </c>
      <c r="E77" s="100">
        <f>English!F76</f>
        <v>0</v>
      </c>
      <c r="F77" s="100">
        <f>ICT!H76</f>
        <v>0</v>
      </c>
      <c r="G77" s="100">
        <f>Physics!H76</f>
        <v>0</v>
      </c>
      <c r="H77" s="100" t="str">
        <f>Chemistry!H76</f>
        <v/>
      </c>
      <c r="I77" s="100">
        <f>Biology!H76</f>
        <v>0</v>
      </c>
      <c r="J77" s="100" t="str">
        <f>Math!H76</f>
        <v/>
      </c>
      <c r="K77" s="100">
        <f t="shared" si="8"/>
        <v>0</v>
      </c>
      <c r="L77" s="100">
        <f t="shared" si="8"/>
        <v>0</v>
      </c>
      <c r="M77" s="100">
        <f t="shared" si="8"/>
        <v>0</v>
      </c>
      <c r="N77" s="100">
        <f t="shared" si="8"/>
        <v>0</v>
      </c>
      <c r="O77" s="100">
        <f t="shared" si="8"/>
        <v>0</v>
      </c>
      <c r="P77" s="100">
        <f t="shared" si="8"/>
        <v>0</v>
      </c>
      <c r="Q77" s="100">
        <f t="shared" si="9"/>
        <v>0</v>
      </c>
      <c r="R77" s="100" t="str">
        <f t="shared" si="10"/>
        <v/>
      </c>
      <c r="S77" s="100" t="str">
        <f t="shared" si="11"/>
        <v/>
      </c>
      <c r="T77" s="100" t="str">
        <f t="shared" si="12"/>
        <v/>
      </c>
      <c r="U77" s="100" t="str">
        <f t="shared" si="13"/>
        <v>Failed in 6 Subjects</v>
      </c>
      <c r="V77" s="100" t="str">
        <f t="shared" si="14"/>
        <v/>
      </c>
      <c r="W77" s="100" t="str">
        <f>'Detailed Summary'!BK76</f>
        <v/>
      </c>
    </row>
    <row r="78" spans="1:23" ht="18.5" x14ac:dyDescent="0.45">
      <c r="A78" s="100"/>
      <c r="B78" s="100">
        <f>'Student Basic Info'!A77</f>
        <v>776</v>
      </c>
      <c r="C78" s="100" t="str">
        <f>'Student Basic Info'!C77</f>
        <v>Saifullah Mansur</v>
      </c>
      <c r="D78" s="100">
        <f>Bangla!G77</f>
        <v>0</v>
      </c>
      <c r="E78" s="100">
        <f>English!F77</f>
        <v>0</v>
      </c>
      <c r="F78" s="100">
        <f>ICT!H77</f>
        <v>0</v>
      </c>
      <c r="G78" s="100">
        <f>Physics!H77</f>
        <v>0</v>
      </c>
      <c r="H78" s="100">
        <f>Chemistry!H77</f>
        <v>0</v>
      </c>
      <c r="I78" s="100">
        <f>Biology!H77</f>
        <v>0</v>
      </c>
      <c r="J78" s="100">
        <f>Math!H77</f>
        <v>0</v>
      </c>
      <c r="K78" s="100">
        <f t="shared" si="8"/>
        <v>0</v>
      </c>
      <c r="L78" s="100">
        <f t="shared" si="8"/>
        <v>0</v>
      </c>
      <c r="M78" s="100">
        <f t="shared" si="8"/>
        <v>0</v>
      </c>
      <c r="N78" s="100">
        <f t="shared" si="8"/>
        <v>0</v>
      </c>
      <c r="O78" s="100">
        <f t="shared" si="8"/>
        <v>0</v>
      </c>
      <c r="P78" s="100">
        <f t="shared" si="8"/>
        <v>0</v>
      </c>
      <c r="Q78" s="100">
        <f t="shared" si="9"/>
        <v>0</v>
      </c>
      <c r="R78" s="100" t="str">
        <f t="shared" si="10"/>
        <v/>
      </c>
      <c r="S78" s="100" t="str">
        <f t="shared" si="11"/>
        <v/>
      </c>
      <c r="T78" s="100" t="str">
        <f t="shared" si="12"/>
        <v/>
      </c>
      <c r="U78" s="100" t="str">
        <f t="shared" si="13"/>
        <v>Failed in 6 Subjects</v>
      </c>
      <c r="V78" s="100" t="str">
        <f t="shared" si="14"/>
        <v/>
      </c>
      <c r="W78" s="100" t="str">
        <f>'Detailed Summary'!BK77</f>
        <v/>
      </c>
    </row>
    <row r="79" spans="1:23" ht="18.5" x14ac:dyDescent="0.45">
      <c r="A79" s="100"/>
      <c r="B79" s="100">
        <f>'Student Basic Info'!A78</f>
        <v>777</v>
      </c>
      <c r="C79" s="100" t="str">
        <f>'Student Basic Info'!C78</f>
        <v>Zunayed Al Mamun</v>
      </c>
      <c r="D79" s="100" t="str">
        <f>Bangla!G78</f>
        <v/>
      </c>
      <c r="E79" s="100" t="str">
        <f>English!F78</f>
        <v/>
      </c>
      <c r="F79" s="100" t="str">
        <f>ICT!H78</f>
        <v/>
      </c>
      <c r="G79" s="100" t="str">
        <f>Physics!H78</f>
        <v/>
      </c>
      <c r="H79" s="100" t="str">
        <f>Chemistry!H78</f>
        <v/>
      </c>
      <c r="I79" s="100" t="str">
        <f>Biology!H78</f>
        <v/>
      </c>
      <c r="J79" s="100" t="str">
        <f>Math!H78</f>
        <v/>
      </c>
      <c r="K79" s="100">
        <f t="shared" si="8"/>
        <v>0</v>
      </c>
      <c r="L79" s="100">
        <f t="shared" si="8"/>
        <v>0</v>
      </c>
      <c r="M79" s="100">
        <f t="shared" si="8"/>
        <v>0</v>
      </c>
      <c r="N79" s="100">
        <f t="shared" si="8"/>
        <v>0</v>
      </c>
      <c r="O79" s="100">
        <f t="shared" si="8"/>
        <v>0</v>
      </c>
      <c r="P79" s="100">
        <f t="shared" si="8"/>
        <v>0</v>
      </c>
      <c r="Q79" s="100">
        <f t="shared" si="9"/>
        <v>0</v>
      </c>
      <c r="R79" s="100" t="str">
        <f t="shared" si="10"/>
        <v/>
      </c>
      <c r="S79" s="100" t="str">
        <f t="shared" si="11"/>
        <v/>
      </c>
      <c r="T79" s="100" t="str">
        <f t="shared" si="12"/>
        <v/>
      </c>
      <c r="U79" s="100" t="str">
        <f t="shared" si="13"/>
        <v>Failed in 6 Subjects</v>
      </c>
      <c r="V79" s="100" t="str">
        <f t="shared" si="14"/>
        <v/>
      </c>
      <c r="W79" s="100" t="str">
        <f>'Detailed Summary'!BK78</f>
        <v/>
      </c>
    </row>
    <row r="80" spans="1:23" ht="18.5" x14ac:dyDescent="0.45">
      <c r="A80" s="100"/>
      <c r="B80" s="100">
        <f>'Student Basic Info'!A79</f>
        <v>778</v>
      </c>
      <c r="C80" s="100" t="str">
        <f>'Student Basic Info'!C79</f>
        <v>Al Hosain</v>
      </c>
      <c r="D80" s="100" t="str">
        <f>Bangla!G79</f>
        <v/>
      </c>
      <c r="E80" s="100" t="str">
        <f>English!F79</f>
        <v/>
      </c>
      <c r="F80" s="100" t="str">
        <f>ICT!H79</f>
        <v/>
      </c>
      <c r="G80" s="100" t="str">
        <f>Physics!H79</f>
        <v/>
      </c>
      <c r="H80" s="100" t="str">
        <f>Chemistry!H79</f>
        <v/>
      </c>
      <c r="I80" s="100" t="str">
        <f>Biology!H79</f>
        <v/>
      </c>
      <c r="J80" s="100" t="str">
        <f>Math!H79</f>
        <v/>
      </c>
      <c r="K80" s="100">
        <f t="shared" si="8"/>
        <v>0</v>
      </c>
      <c r="L80" s="100">
        <f t="shared" si="8"/>
        <v>0</v>
      </c>
      <c r="M80" s="100">
        <f t="shared" si="8"/>
        <v>0</v>
      </c>
      <c r="N80" s="100">
        <f t="shared" si="8"/>
        <v>0</v>
      </c>
      <c r="O80" s="100">
        <f t="shared" si="8"/>
        <v>0</v>
      </c>
      <c r="P80" s="100">
        <f t="shared" si="8"/>
        <v>0</v>
      </c>
      <c r="Q80" s="100">
        <f t="shared" si="9"/>
        <v>0</v>
      </c>
      <c r="R80" s="100" t="str">
        <f t="shared" si="10"/>
        <v/>
      </c>
      <c r="S80" s="100" t="str">
        <f t="shared" si="11"/>
        <v/>
      </c>
      <c r="T80" s="100" t="str">
        <f t="shared" si="12"/>
        <v/>
      </c>
      <c r="U80" s="100" t="str">
        <f t="shared" si="13"/>
        <v>Failed in 6 Subjects</v>
      </c>
      <c r="V80" s="100" t="str">
        <f t="shared" si="14"/>
        <v/>
      </c>
      <c r="W80" s="100" t="str">
        <f>'Detailed Summary'!BK79</f>
        <v/>
      </c>
    </row>
    <row r="81" spans="1:23" ht="18.5" hidden="1" x14ac:dyDescent="0.45">
      <c r="A81" s="100"/>
      <c r="B81" s="100">
        <f>'Student Basic Info'!A80</f>
        <v>779</v>
      </c>
      <c r="C81" s="100" t="str">
        <f>'Student Basic Info'!C80</f>
        <v>Azizul Haque</v>
      </c>
      <c r="D81" s="100">
        <f>Bangla!G80</f>
        <v>0</v>
      </c>
      <c r="E81" s="100">
        <f>English!F80</f>
        <v>0</v>
      </c>
      <c r="F81" s="100">
        <f>ICT!H80</f>
        <v>0</v>
      </c>
      <c r="G81" s="100">
        <f>Physics!H80</f>
        <v>0</v>
      </c>
      <c r="H81" s="100">
        <f>Chemistry!H80</f>
        <v>0</v>
      </c>
      <c r="I81" s="100">
        <f>Biology!H80</f>
        <v>0</v>
      </c>
      <c r="J81" s="100">
        <f>Math!H80</f>
        <v>0</v>
      </c>
      <c r="K81" s="100">
        <f t="shared" si="8"/>
        <v>0</v>
      </c>
      <c r="L81" s="100">
        <f t="shared" si="8"/>
        <v>0</v>
      </c>
      <c r="M81" s="100">
        <f t="shared" si="8"/>
        <v>0</v>
      </c>
      <c r="N81" s="100">
        <f t="shared" si="8"/>
        <v>0</v>
      </c>
      <c r="O81" s="100">
        <f t="shared" si="8"/>
        <v>0</v>
      </c>
      <c r="P81" s="100">
        <f t="shared" si="8"/>
        <v>0</v>
      </c>
      <c r="Q81" s="100">
        <f t="shared" si="9"/>
        <v>0</v>
      </c>
      <c r="R81" s="100" t="str">
        <f t="shared" si="10"/>
        <v/>
      </c>
      <c r="S81" s="100" t="str">
        <f t="shared" si="11"/>
        <v/>
      </c>
      <c r="T81" s="100" t="str">
        <f t="shared" si="12"/>
        <v/>
      </c>
      <c r="U81" s="100" t="str">
        <f t="shared" si="13"/>
        <v>Failed in 6 Subjects</v>
      </c>
      <c r="V81" s="100" t="str">
        <f t="shared" si="14"/>
        <v/>
      </c>
      <c r="W81" s="100" t="str">
        <f>'Detailed Summary'!BK80</f>
        <v/>
      </c>
    </row>
    <row r="82" spans="1:23" ht="18.5" hidden="1" x14ac:dyDescent="0.45">
      <c r="A82" s="100">
        <v>14</v>
      </c>
      <c r="B82" s="100">
        <f>'Student Basic Info'!A81</f>
        <v>780</v>
      </c>
      <c r="C82" s="100" t="str">
        <f>'Student Basic Info'!C81</f>
        <v>Farjana Aktar</v>
      </c>
      <c r="D82" s="100">
        <f>Bangla!G81</f>
        <v>2</v>
      </c>
      <c r="E82" s="100">
        <f>English!F81</f>
        <v>0</v>
      </c>
      <c r="F82" s="100">
        <f>ICT!H81</f>
        <v>0</v>
      </c>
      <c r="G82" s="100">
        <f>Physics!H81</f>
        <v>0</v>
      </c>
      <c r="H82" s="100">
        <f>Chemistry!H81</f>
        <v>0</v>
      </c>
      <c r="I82" s="100">
        <f>Biology!H81</f>
        <v>0</v>
      </c>
      <c r="J82" s="100">
        <f>Math!H81</f>
        <v>0</v>
      </c>
      <c r="K82" s="100">
        <f t="shared" si="8"/>
        <v>1</v>
      </c>
      <c r="L82" s="100">
        <f t="shared" si="8"/>
        <v>0</v>
      </c>
      <c r="M82" s="100">
        <f t="shared" si="8"/>
        <v>0</v>
      </c>
      <c r="N82" s="100">
        <f t="shared" si="8"/>
        <v>0</v>
      </c>
      <c r="O82" s="100">
        <f t="shared" si="8"/>
        <v>0</v>
      </c>
      <c r="P82" s="100">
        <f t="shared" si="8"/>
        <v>0</v>
      </c>
      <c r="Q82" s="100">
        <f t="shared" si="9"/>
        <v>1</v>
      </c>
      <c r="R82" s="100" t="str">
        <f t="shared" si="10"/>
        <v/>
      </c>
      <c r="S82" s="100" t="str">
        <f t="shared" si="11"/>
        <v/>
      </c>
      <c r="T82" s="100" t="str">
        <f t="shared" si="12"/>
        <v/>
      </c>
      <c r="U82" s="100" t="str">
        <f t="shared" si="13"/>
        <v>Failed in 5 Subjects</v>
      </c>
      <c r="V82" s="100" t="str">
        <f t="shared" si="14"/>
        <v/>
      </c>
      <c r="W82" s="100" t="str">
        <f>'Detailed Summary'!BK81</f>
        <v/>
      </c>
    </row>
    <row r="83" spans="1:23" ht="18.5" x14ac:dyDescent="0.45">
      <c r="A83" s="100"/>
      <c r="B83" s="100">
        <f>'Student Basic Info'!A82</f>
        <v>781</v>
      </c>
      <c r="C83" s="100" t="str">
        <f>'Student Basic Info'!C82</f>
        <v>Imam Hosain</v>
      </c>
      <c r="D83" s="100" t="str">
        <f>Bangla!G82</f>
        <v/>
      </c>
      <c r="E83" s="100" t="str">
        <f>English!F82</f>
        <v/>
      </c>
      <c r="F83" s="100" t="str">
        <f>ICT!H82</f>
        <v/>
      </c>
      <c r="G83" s="100" t="str">
        <f>Physics!H82</f>
        <v/>
      </c>
      <c r="H83" s="100" t="str">
        <f>Chemistry!H82</f>
        <v/>
      </c>
      <c r="I83" s="100" t="str">
        <f>Biology!H82</f>
        <v/>
      </c>
      <c r="J83" s="100" t="str">
        <f>Math!H82</f>
        <v/>
      </c>
      <c r="K83" s="100">
        <f t="shared" si="8"/>
        <v>0</v>
      </c>
      <c r="L83" s="100">
        <f t="shared" si="8"/>
        <v>0</v>
      </c>
      <c r="M83" s="100">
        <f t="shared" si="8"/>
        <v>0</v>
      </c>
      <c r="N83" s="100">
        <f t="shared" si="8"/>
        <v>0</v>
      </c>
      <c r="O83" s="100">
        <f t="shared" si="8"/>
        <v>0</v>
      </c>
      <c r="P83" s="100">
        <f t="shared" si="8"/>
        <v>0</v>
      </c>
      <c r="Q83" s="100">
        <f t="shared" si="9"/>
        <v>0</v>
      </c>
      <c r="R83" s="100" t="str">
        <f t="shared" si="10"/>
        <v/>
      </c>
      <c r="S83" s="100" t="str">
        <f t="shared" si="11"/>
        <v/>
      </c>
      <c r="T83" s="100" t="str">
        <f t="shared" si="12"/>
        <v/>
      </c>
      <c r="U83" s="100" t="str">
        <f t="shared" si="13"/>
        <v>Failed in 6 Subjects</v>
      </c>
      <c r="V83" s="100" t="str">
        <f t="shared" si="14"/>
        <v/>
      </c>
      <c r="W83" s="100" t="str">
        <f>'Detailed Summary'!BK82</f>
        <v/>
      </c>
    </row>
    <row r="84" spans="1:23" ht="18.5" hidden="1" x14ac:dyDescent="0.45">
      <c r="A84" s="100"/>
      <c r="B84" s="100">
        <f>'Student Basic Info'!A83</f>
        <v>782</v>
      </c>
      <c r="C84" s="100" t="str">
        <f>'Student Basic Info'!C83</f>
        <v>Asiya Aktar Hira</v>
      </c>
      <c r="D84" s="100">
        <f>Bangla!G83</f>
        <v>3</v>
      </c>
      <c r="E84" s="100">
        <f>English!F83</f>
        <v>2</v>
      </c>
      <c r="F84" s="100">
        <f>ICT!H83</f>
        <v>0</v>
      </c>
      <c r="G84" s="100">
        <f>Physics!H83</f>
        <v>0</v>
      </c>
      <c r="H84" s="100">
        <f>Chemistry!H83</f>
        <v>0</v>
      </c>
      <c r="I84" s="100">
        <f>Biology!H83</f>
        <v>0</v>
      </c>
      <c r="J84" s="100">
        <f>Math!H83</f>
        <v>0</v>
      </c>
      <c r="K84" s="100">
        <f t="shared" si="8"/>
        <v>1</v>
      </c>
      <c r="L84" s="100">
        <f t="shared" si="8"/>
        <v>1</v>
      </c>
      <c r="M84" s="100">
        <f t="shared" si="8"/>
        <v>0</v>
      </c>
      <c r="N84" s="100">
        <f t="shared" si="8"/>
        <v>0</v>
      </c>
      <c r="O84" s="100">
        <f t="shared" si="8"/>
        <v>0</v>
      </c>
      <c r="P84" s="100">
        <f t="shared" si="8"/>
        <v>0</v>
      </c>
      <c r="Q84" s="100">
        <f t="shared" si="9"/>
        <v>2</v>
      </c>
      <c r="R84" s="100" t="str">
        <f t="shared" si="10"/>
        <v/>
      </c>
      <c r="S84" s="100" t="str">
        <f t="shared" si="11"/>
        <v/>
      </c>
      <c r="T84" s="100" t="str">
        <f t="shared" si="12"/>
        <v/>
      </c>
      <c r="U84" s="100" t="str">
        <f t="shared" si="13"/>
        <v>Failed in 4 Subjects</v>
      </c>
      <c r="V84" s="100" t="str">
        <f t="shared" si="14"/>
        <v/>
      </c>
      <c r="W84" s="100" t="str">
        <f>'Detailed Summary'!BK83</f>
        <v/>
      </c>
    </row>
    <row r="85" spans="1:23" ht="18.5" x14ac:dyDescent="0.45">
      <c r="A85" s="100"/>
      <c r="B85" s="100">
        <f>'Student Basic Info'!A84</f>
        <v>783</v>
      </c>
      <c r="C85" s="100" t="str">
        <f>'Student Basic Info'!C84</f>
        <v>Abu Rayhan</v>
      </c>
      <c r="D85" s="100" t="str">
        <f>Bangla!G84</f>
        <v/>
      </c>
      <c r="E85" s="100" t="str">
        <f>English!F84</f>
        <v/>
      </c>
      <c r="F85" s="100" t="str">
        <f>ICT!H84</f>
        <v/>
      </c>
      <c r="G85" s="100" t="str">
        <f>Physics!H84</f>
        <v/>
      </c>
      <c r="H85" s="100" t="str">
        <f>Chemistry!H84</f>
        <v/>
      </c>
      <c r="I85" s="100" t="str">
        <f>Biology!H84</f>
        <v/>
      </c>
      <c r="J85" s="100" t="str">
        <f>Math!H84</f>
        <v/>
      </c>
      <c r="K85" s="100">
        <f t="shared" si="8"/>
        <v>0</v>
      </c>
      <c r="L85" s="100">
        <f t="shared" si="8"/>
        <v>0</v>
      </c>
      <c r="M85" s="100">
        <f t="shared" si="8"/>
        <v>0</v>
      </c>
      <c r="N85" s="100">
        <f t="shared" si="8"/>
        <v>0</v>
      </c>
      <c r="O85" s="100">
        <f t="shared" si="8"/>
        <v>0</v>
      </c>
      <c r="P85" s="100">
        <f t="shared" si="8"/>
        <v>0</v>
      </c>
      <c r="Q85" s="100">
        <f t="shared" si="9"/>
        <v>0</v>
      </c>
      <c r="R85" s="100" t="str">
        <f t="shared" si="10"/>
        <v/>
      </c>
      <c r="S85" s="100" t="str">
        <f t="shared" si="11"/>
        <v/>
      </c>
      <c r="T85" s="100" t="str">
        <f t="shared" si="12"/>
        <v/>
      </c>
      <c r="U85" s="100" t="str">
        <f t="shared" si="13"/>
        <v>Failed in 6 Subjects</v>
      </c>
      <c r="V85" s="100" t="str">
        <f t="shared" si="14"/>
        <v/>
      </c>
      <c r="W85" s="100" t="str">
        <f>'Detailed Summary'!BK84</f>
        <v/>
      </c>
    </row>
    <row r="86" spans="1:23" ht="18.5" x14ac:dyDescent="0.45">
      <c r="A86" s="100"/>
      <c r="B86" s="100">
        <f>'Student Basic Info'!A85</f>
        <v>784</v>
      </c>
      <c r="C86" s="100" t="str">
        <f>'Student Basic Info'!C85</f>
        <v xml:space="preserve">Azizul Islam </v>
      </c>
      <c r="D86" s="100">
        <f>Bangla!G85</f>
        <v>0</v>
      </c>
      <c r="E86" s="100">
        <f>English!F85</f>
        <v>0</v>
      </c>
      <c r="F86" s="100">
        <f>ICT!H85</f>
        <v>0</v>
      </c>
      <c r="G86" s="100">
        <f>Physics!H85</f>
        <v>0</v>
      </c>
      <c r="H86" s="100">
        <f>Chemistry!H85</f>
        <v>0</v>
      </c>
      <c r="I86" s="100">
        <f>Biology!H85</f>
        <v>0</v>
      </c>
      <c r="J86" s="100">
        <f>Math!H85</f>
        <v>0</v>
      </c>
      <c r="K86" s="100">
        <f t="shared" si="8"/>
        <v>0</v>
      </c>
      <c r="L86" s="100">
        <f t="shared" si="8"/>
        <v>0</v>
      </c>
      <c r="M86" s="100">
        <f t="shared" si="8"/>
        <v>0</v>
      </c>
      <c r="N86" s="100">
        <f t="shared" si="8"/>
        <v>0</v>
      </c>
      <c r="O86" s="100">
        <f t="shared" si="8"/>
        <v>0</v>
      </c>
      <c r="P86" s="100">
        <f t="shared" si="8"/>
        <v>0</v>
      </c>
      <c r="Q86" s="100">
        <f t="shared" si="9"/>
        <v>0</v>
      </c>
      <c r="R86" s="100" t="str">
        <f t="shared" si="10"/>
        <v/>
      </c>
      <c r="S86" s="100" t="str">
        <f t="shared" si="11"/>
        <v/>
      </c>
      <c r="T86" s="100" t="str">
        <f t="shared" si="12"/>
        <v/>
      </c>
      <c r="U86" s="100" t="str">
        <f t="shared" si="13"/>
        <v>Failed in 6 Subjects</v>
      </c>
      <c r="V86" s="100" t="str">
        <f t="shared" si="14"/>
        <v/>
      </c>
      <c r="W86" s="100" t="str">
        <f>'Detailed Summary'!BK85</f>
        <v/>
      </c>
    </row>
    <row r="87" spans="1:23" ht="18.5" x14ac:dyDescent="0.45">
      <c r="A87" s="100"/>
      <c r="B87" s="100">
        <f>'Student Basic Info'!A86</f>
        <v>785</v>
      </c>
      <c r="C87" s="100" t="str">
        <f>'Student Basic Info'!C86</f>
        <v>Muktaddi Al Saber</v>
      </c>
      <c r="D87" s="100">
        <f>Bangla!G86</f>
        <v>0</v>
      </c>
      <c r="E87" s="100">
        <f>English!F86</f>
        <v>0</v>
      </c>
      <c r="F87" s="100">
        <f>ICT!H86</f>
        <v>0</v>
      </c>
      <c r="G87" s="100">
        <f>Physics!H86</f>
        <v>0</v>
      </c>
      <c r="H87" s="100" t="str">
        <f>Chemistry!H86</f>
        <v/>
      </c>
      <c r="I87" s="100">
        <f>Biology!H86</f>
        <v>0</v>
      </c>
      <c r="J87" s="100">
        <f>Math!H86</f>
        <v>0</v>
      </c>
      <c r="K87" s="100">
        <f t="shared" si="8"/>
        <v>0</v>
      </c>
      <c r="L87" s="100">
        <f t="shared" si="8"/>
        <v>0</v>
      </c>
      <c r="M87" s="100">
        <f t="shared" si="8"/>
        <v>0</v>
      </c>
      <c r="N87" s="100">
        <f t="shared" si="8"/>
        <v>0</v>
      </c>
      <c r="O87" s="100">
        <f t="shared" si="8"/>
        <v>0</v>
      </c>
      <c r="P87" s="100">
        <f t="shared" si="8"/>
        <v>0</v>
      </c>
      <c r="Q87" s="100">
        <f t="shared" si="9"/>
        <v>0</v>
      </c>
      <c r="R87" s="100" t="str">
        <f t="shared" si="10"/>
        <v/>
      </c>
      <c r="S87" s="100" t="str">
        <f t="shared" si="11"/>
        <v/>
      </c>
      <c r="T87" s="100" t="str">
        <f t="shared" si="12"/>
        <v/>
      </c>
      <c r="U87" s="100" t="str">
        <f t="shared" si="13"/>
        <v>Failed in 6 Subjects</v>
      </c>
      <c r="V87" s="100" t="str">
        <f t="shared" si="14"/>
        <v/>
      </c>
      <c r="W87" s="100" t="str">
        <f>'Detailed Summary'!BK86</f>
        <v/>
      </c>
    </row>
    <row r="88" spans="1:23" ht="18.5" x14ac:dyDescent="0.45">
      <c r="A88" s="100"/>
      <c r="B88" s="100">
        <f>'Student Basic Info'!A87</f>
        <v>786</v>
      </c>
      <c r="C88" s="100" t="str">
        <f>'Student Basic Info'!C87</f>
        <v>Farzana Aktar</v>
      </c>
      <c r="D88" s="100" t="str">
        <f>Bangla!G87</f>
        <v/>
      </c>
      <c r="E88" s="100">
        <f>English!F87</f>
        <v>0</v>
      </c>
      <c r="F88" s="100">
        <f>ICT!H87</f>
        <v>0</v>
      </c>
      <c r="G88" s="100" t="str">
        <f>Physics!H87</f>
        <v/>
      </c>
      <c r="H88" s="100">
        <f>Chemistry!H87</f>
        <v>0</v>
      </c>
      <c r="I88" s="100">
        <f>Biology!H87</f>
        <v>0</v>
      </c>
      <c r="J88" s="100">
        <f>Math!H87</f>
        <v>0</v>
      </c>
      <c r="K88" s="100">
        <f t="shared" si="8"/>
        <v>0</v>
      </c>
      <c r="L88" s="100">
        <f t="shared" si="8"/>
        <v>0</v>
      </c>
      <c r="M88" s="100">
        <f t="shared" si="8"/>
        <v>0</v>
      </c>
      <c r="N88" s="100">
        <f t="shared" si="8"/>
        <v>0</v>
      </c>
      <c r="O88" s="100">
        <f t="shared" si="8"/>
        <v>0</v>
      </c>
      <c r="P88" s="100">
        <f t="shared" si="8"/>
        <v>0</v>
      </c>
      <c r="Q88" s="100">
        <f t="shared" si="9"/>
        <v>0</v>
      </c>
      <c r="R88" s="100" t="str">
        <f t="shared" si="10"/>
        <v/>
      </c>
      <c r="S88" s="100" t="str">
        <f t="shared" si="11"/>
        <v/>
      </c>
      <c r="T88" s="100" t="str">
        <f t="shared" si="12"/>
        <v/>
      </c>
      <c r="U88" s="100" t="str">
        <f t="shared" si="13"/>
        <v>Failed in 6 Subjects</v>
      </c>
      <c r="V88" s="100" t="str">
        <f t="shared" si="14"/>
        <v/>
      </c>
      <c r="W88" s="100" t="str">
        <f>'Detailed Summary'!BK87</f>
        <v/>
      </c>
    </row>
    <row r="89" spans="1:23" ht="18.5" hidden="1" x14ac:dyDescent="0.45">
      <c r="A89" s="100">
        <v>15</v>
      </c>
      <c r="B89" s="100">
        <f>'Student Basic Info'!A88</f>
        <v>6812</v>
      </c>
      <c r="C89" s="100" t="str">
        <f>'Student Basic Info'!C88</f>
        <v>Jannatul Mawa Parvin</v>
      </c>
      <c r="D89" s="100">
        <f>Bangla!G88</f>
        <v>2</v>
      </c>
      <c r="E89" s="100">
        <f>English!F88</f>
        <v>0</v>
      </c>
      <c r="F89" s="100">
        <f>ICT!H88</f>
        <v>3</v>
      </c>
      <c r="G89" s="100">
        <f>Physics!H88</f>
        <v>3</v>
      </c>
      <c r="H89" s="100">
        <f>Chemistry!H88</f>
        <v>0</v>
      </c>
      <c r="I89" s="100">
        <f>Biology!H88</f>
        <v>0</v>
      </c>
      <c r="J89" s="100">
        <f>Math!H88</f>
        <v>0</v>
      </c>
      <c r="K89" s="100">
        <f t="shared" si="8"/>
        <v>1</v>
      </c>
      <c r="L89" s="100">
        <f t="shared" si="8"/>
        <v>0</v>
      </c>
      <c r="M89" s="100">
        <f t="shared" si="8"/>
        <v>1</v>
      </c>
      <c r="N89" s="100">
        <f t="shared" si="8"/>
        <v>1</v>
      </c>
      <c r="O89" s="100">
        <f t="shared" si="8"/>
        <v>0</v>
      </c>
      <c r="P89" s="100">
        <f t="shared" si="8"/>
        <v>0</v>
      </c>
      <c r="Q89" s="100">
        <f t="shared" si="9"/>
        <v>3</v>
      </c>
      <c r="R89" s="100" t="str">
        <f t="shared" si="10"/>
        <v/>
      </c>
      <c r="S89" s="100" t="str">
        <f t="shared" si="11"/>
        <v/>
      </c>
      <c r="T89" s="100" t="str">
        <f t="shared" si="12"/>
        <v/>
      </c>
      <c r="U89" s="100" t="str">
        <f t="shared" si="13"/>
        <v>Failed in 3 Subjects</v>
      </c>
      <c r="V89" s="100" t="str">
        <f t="shared" si="14"/>
        <v/>
      </c>
      <c r="W89" s="100" t="str">
        <f>'Detailed Summary'!BK88</f>
        <v/>
      </c>
    </row>
  </sheetData>
  <sheetProtection formatCells="0" formatColumns="0" formatRows="0" insertColumns="0" insertRows="0" insertHyperlinks="0" deleteColumns="0" deleteRows="0"/>
  <autoFilter ref="U2:U89">
    <filterColumn colId="0">
      <filters>
        <filter val="Failed in 6 Subjects"/>
      </filters>
    </filterColumn>
  </autoFilter>
  <mergeCells count="1">
    <mergeCell ref="A1:W1"/>
  </mergeCells>
  <conditionalFormatting sqref="T3:T89 V3:V89">
    <cfRule type="cellIs" dxfId="1" priority="1" operator="between">
      <formula>1</formula>
      <formula>5</formula>
    </cfRule>
  </conditionalFormatting>
  <printOptions gridLines="1"/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8"/>
  <sheetViews>
    <sheetView topLeftCell="A37" zoomScaleNormal="100" workbookViewId="0">
      <selection activeCell="E1" sqref="E1:E1048576"/>
    </sheetView>
  </sheetViews>
  <sheetFormatPr defaultRowHeight="14.5" x14ac:dyDescent="0.35"/>
  <cols>
    <col min="1" max="1" width="3.54296875" style="130" bestFit="1" customWidth="1"/>
    <col min="2" max="2" width="17.26953125" style="130" hidden="1" customWidth="1"/>
    <col min="3" max="3" width="8.1796875" style="130" hidden="1" customWidth="1"/>
    <col min="4" max="4" width="6.90625" style="130" hidden="1" customWidth="1"/>
    <col min="5" max="5" width="3.36328125" style="136" bestFit="1" customWidth="1"/>
    <col min="6" max="6" width="3.26953125" style="136" bestFit="1" customWidth="1"/>
    <col min="7" max="7" width="2.7265625" style="130" bestFit="1" customWidth="1"/>
    <col min="8" max="8" width="2.1796875" style="130" bestFit="1" customWidth="1"/>
    <col min="9" max="9" width="2.81640625" style="130" bestFit="1" customWidth="1"/>
    <col min="10" max="10" width="2.453125" style="136" bestFit="1" customWidth="1"/>
    <col min="11" max="11" width="3.1796875" style="130" bestFit="1" customWidth="1"/>
    <col min="12" max="12" width="2.6328125" style="130" bestFit="1" customWidth="1"/>
    <col min="13" max="13" width="3.26953125" style="130" bestFit="1" customWidth="1"/>
    <col min="14" max="14" width="3.08984375" style="136" bestFit="1" customWidth="1"/>
    <col min="15" max="15" width="3.08984375" style="131" bestFit="1" customWidth="1"/>
    <col min="16" max="16" width="2.54296875" style="131" bestFit="1" customWidth="1"/>
    <col min="17" max="17" width="3.1796875" style="131" bestFit="1" customWidth="1"/>
    <col min="18" max="18" width="3" style="138" bestFit="1" customWidth="1"/>
    <col min="19" max="19" width="3.81640625" style="131" bestFit="1" customWidth="1"/>
    <col min="20" max="20" width="3.26953125" style="131" bestFit="1" customWidth="1"/>
    <col min="21" max="21" width="3.90625" style="131" bestFit="1" customWidth="1"/>
    <col min="22" max="22" width="3.81640625" style="138" bestFit="1" customWidth="1"/>
    <col min="23" max="23" width="3.81640625" style="131" bestFit="1" customWidth="1"/>
    <col min="24" max="24" width="3.26953125" style="131" bestFit="1" customWidth="1"/>
    <col min="25" max="25" width="3.90625" style="131" bestFit="1" customWidth="1"/>
    <col min="26" max="26" width="3.81640625" style="138" bestFit="1" customWidth="1"/>
    <col min="27" max="27" width="2.08984375" style="132" customWidth="1"/>
    <col min="28" max="28" width="2.54296875" style="132" customWidth="1"/>
    <col min="29" max="29" width="8.90625" style="131" hidden="1" customWidth="1"/>
    <col min="30" max="30" width="9.08984375" style="130" hidden="1" customWidth="1"/>
    <col min="31" max="31" width="6.54296875" style="130" hidden="1" customWidth="1"/>
    <col min="32" max="32" width="9.1796875" style="130" hidden="1" customWidth="1"/>
    <col min="33" max="33" width="10.90625" style="130" hidden="1" customWidth="1"/>
    <col min="34" max="35" width="10.08984375" style="130" hidden="1" customWidth="1"/>
    <col min="36" max="40" width="3.1796875" style="130" bestFit="1" customWidth="1"/>
    <col min="41" max="41" width="3.36328125" style="130" bestFit="1" customWidth="1"/>
    <col min="42" max="42" width="9.7265625" style="130" hidden="1" customWidth="1"/>
    <col min="43" max="43" width="3.36328125" style="130" bestFit="1" customWidth="1"/>
    <col min="44" max="44" width="3.1796875" style="130" bestFit="1" customWidth="1"/>
    <col min="45" max="45" width="8.90625" style="130" hidden="1" customWidth="1"/>
    <col min="46" max="46" width="4.36328125" style="130" bestFit="1" customWidth="1"/>
    <col min="47" max="47" width="3.1796875" style="130" bestFit="1" customWidth="1"/>
    <col min="48" max="48" width="3.26953125" style="130" bestFit="1" customWidth="1"/>
    <col min="49" max="49" width="14.7265625" style="130" hidden="1" customWidth="1"/>
    <col min="50" max="50" width="4.6328125" style="133" hidden="1" customWidth="1"/>
    <col min="51" max="51" width="4.54296875" style="133" hidden="1" customWidth="1"/>
    <col min="52" max="52" width="4.1796875" style="133" hidden="1" customWidth="1"/>
    <col min="53" max="55" width="5.26953125" style="133" hidden="1" customWidth="1"/>
    <col min="56" max="56" width="7" style="133" hidden="1" customWidth="1"/>
    <col min="57" max="57" width="3.36328125" style="133" bestFit="1" customWidth="1"/>
    <col min="58" max="58" width="3.7265625" style="133" bestFit="1" customWidth="1"/>
    <col min="59" max="59" width="4.36328125" style="133" bestFit="1" customWidth="1"/>
  </cols>
  <sheetData>
    <row r="1" spans="1:59" x14ac:dyDescent="0.35">
      <c r="A1" s="134" t="s">
        <v>0</v>
      </c>
      <c r="B1" s="134" t="s">
        <v>36</v>
      </c>
      <c r="C1" s="134" t="s">
        <v>59</v>
      </c>
      <c r="D1" s="134" t="s">
        <v>485</v>
      </c>
      <c r="E1" s="134" t="s">
        <v>462</v>
      </c>
      <c r="F1" s="134" t="s">
        <v>463</v>
      </c>
      <c r="G1" s="134" t="s">
        <v>464</v>
      </c>
      <c r="H1" s="134" t="s">
        <v>465</v>
      </c>
      <c r="I1" s="134" t="s">
        <v>466</v>
      </c>
      <c r="J1" s="134" t="s">
        <v>14</v>
      </c>
      <c r="K1" s="134" t="s">
        <v>467</v>
      </c>
      <c r="L1" s="134" t="s">
        <v>468</v>
      </c>
      <c r="M1" s="134" t="s">
        <v>469</v>
      </c>
      <c r="N1" s="134" t="s">
        <v>470</v>
      </c>
      <c r="O1" s="134" t="s">
        <v>471</v>
      </c>
      <c r="P1" s="134" t="s">
        <v>472</v>
      </c>
      <c r="Q1" s="134" t="s">
        <v>473</v>
      </c>
      <c r="R1" s="134" t="s">
        <v>474</v>
      </c>
      <c r="S1" s="134" t="s">
        <v>475</v>
      </c>
      <c r="T1" s="134" t="s">
        <v>476</v>
      </c>
      <c r="U1" s="134" t="s">
        <v>477</v>
      </c>
      <c r="V1" s="134" t="s">
        <v>478</v>
      </c>
      <c r="W1" s="134" t="s">
        <v>479</v>
      </c>
      <c r="X1" s="134" t="s">
        <v>480</v>
      </c>
      <c r="Y1" s="134" t="s">
        <v>481</v>
      </c>
      <c r="Z1" s="134" t="s">
        <v>482</v>
      </c>
      <c r="AA1" s="139" t="s">
        <v>483</v>
      </c>
      <c r="AB1" s="139" t="s">
        <v>484</v>
      </c>
      <c r="AC1" s="134" t="s">
        <v>76</v>
      </c>
      <c r="AD1" s="134" t="s">
        <v>77</v>
      </c>
      <c r="AE1" s="134" t="s">
        <v>78</v>
      </c>
      <c r="AF1" s="134" t="s">
        <v>79</v>
      </c>
      <c r="AG1" s="134" t="s">
        <v>80</v>
      </c>
      <c r="AH1" s="134" t="s">
        <v>109</v>
      </c>
      <c r="AI1" s="134" t="s">
        <v>110</v>
      </c>
      <c r="AJ1" s="134" t="s">
        <v>486</v>
      </c>
      <c r="AK1" s="134" t="s">
        <v>487</v>
      </c>
      <c r="AL1" s="134" t="s">
        <v>488</v>
      </c>
      <c r="AM1" s="134" t="s">
        <v>489</v>
      </c>
      <c r="AN1" s="134" t="s">
        <v>490</v>
      </c>
      <c r="AO1" s="134" t="s">
        <v>491</v>
      </c>
      <c r="AP1" s="134" t="s">
        <v>492</v>
      </c>
      <c r="AQ1" s="134" t="s">
        <v>492</v>
      </c>
      <c r="AR1" s="134">
        <v>-2</v>
      </c>
      <c r="AS1" s="134" t="s">
        <v>90</v>
      </c>
      <c r="AT1" s="134" t="s">
        <v>493</v>
      </c>
      <c r="AU1" s="134" t="s">
        <v>494</v>
      </c>
      <c r="AV1" s="134" t="s">
        <v>9</v>
      </c>
      <c r="AW1" s="134" t="s">
        <v>124</v>
      </c>
      <c r="AX1" s="134" t="s">
        <v>93</v>
      </c>
      <c r="AY1" s="134" t="s">
        <v>94</v>
      </c>
      <c r="AZ1" s="134" t="s">
        <v>95</v>
      </c>
      <c r="BA1" s="134" t="s">
        <v>98</v>
      </c>
      <c r="BB1" s="134" t="s">
        <v>99</v>
      </c>
      <c r="BC1" s="134" t="s">
        <v>100</v>
      </c>
      <c r="BD1" s="134" t="s">
        <v>96</v>
      </c>
      <c r="BE1" s="134" t="s">
        <v>495</v>
      </c>
      <c r="BF1" s="134" t="s">
        <v>123</v>
      </c>
      <c r="BG1" s="134" t="s">
        <v>8</v>
      </c>
    </row>
    <row r="2" spans="1:59" x14ac:dyDescent="0.35">
      <c r="A2" s="125">
        <f>'Student Basic Info'!A2</f>
        <v>701</v>
      </c>
      <c r="B2" s="125" t="str">
        <f>'Student Basic Info'!C2</f>
        <v>Tanjila Mostafa Tasnim</v>
      </c>
      <c r="C2" s="126" t="str">
        <f>IF(Bangla!B2="","",Bangla!B2)</f>
        <v/>
      </c>
      <c r="D2" s="126">
        <f>IF(Bangla!C2="","",Bangla!C2)</f>
        <v>60</v>
      </c>
      <c r="E2" s="135">
        <f>IF(Bangla!D2="","",Bangla!D2)</f>
        <v>60</v>
      </c>
      <c r="F2" s="135">
        <f>IF(English!C2="","",English!C2)</f>
        <v>45</v>
      </c>
      <c r="G2" s="125">
        <f>IF(ICT!B2="","",ICT!B2)</f>
        <v>17</v>
      </c>
      <c r="H2" s="125">
        <f>IF(ICT!C2="","",ICT!C2)</f>
        <v>40</v>
      </c>
      <c r="I2" s="125">
        <f>IF(ICT!D2="","",ICT!D2)</f>
        <v>25</v>
      </c>
      <c r="J2" s="137">
        <f>IF(ICT!E2="","",ICT!E2)</f>
        <v>82</v>
      </c>
      <c r="K2" s="125">
        <f>IF(Physics!B2="","",Physics!B2)</f>
        <v>14</v>
      </c>
      <c r="L2" s="125">
        <f>IF(Physics!C2="","",Physics!C2)</f>
        <v>23</v>
      </c>
      <c r="M2" s="125">
        <f>IF(Physics!D2="","",Physics!D2)</f>
        <v>16</v>
      </c>
      <c r="N2" s="137">
        <f>IF(Physics!E2="","",Physics!E2)</f>
        <v>53</v>
      </c>
      <c r="O2" s="125">
        <f>IF(Chemistry!B2="","",Chemistry!B2)</f>
        <v>16</v>
      </c>
      <c r="P2" s="125">
        <f>IF(Chemistry!C2="","",Chemistry!C2)</f>
        <v>33</v>
      </c>
      <c r="Q2" s="125">
        <f>IF(Chemistry!D2="","",Chemistry!D2)</f>
        <v>21</v>
      </c>
      <c r="R2" s="137">
        <f>IF(Chemistry!E2="","",Chemistry!E2)</f>
        <v>70</v>
      </c>
      <c r="S2" s="125">
        <f>IF(SubjectList!G2="Math", IF(Math!B2="","",Math!B2), IF(Biology!B2="","",Biology!B2))</f>
        <v>11</v>
      </c>
      <c r="T2" s="125">
        <f>IF(SubjectList!G2="Math", IF(Math!C2="","",Math!C2), IF(Biology!C2="","",Biology!C2))</f>
        <v>23</v>
      </c>
      <c r="U2" s="125">
        <f>IF(SubjectList!G2="Math", IF(Math!D2="","",Math!D2), IF(Biology!D2="","",Biology!D2))</f>
        <v>16</v>
      </c>
      <c r="V2" s="137">
        <f>IF(SubjectList!G2="Math", IF(Math!E2="","",Math!E2), IF(Biology!E2="","",Biology!E2))</f>
        <v>50</v>
      </c>
      <c r="W2" s="125">
        <f>IF(SubjectList!I2="Biology", IF(Biology!B2="","",Biology!B2), IF(Math!B2="","",Math!B2))</f>
        <v>18</v>
      </c>
      <c r="X2" s="125">
        <f>IF(SubjectList!J2="Biology", IF(Biology!C2="","",Biology!C2), IF(Math!C2="","",Math!C2))</f>
        <v>34</v>
      </c>
      <c r="Y2" s="125">
        <f>IF(SubjectList!K2="Biology", IF(Biology!D2="","",Biology!D2), IF(Math!D2="","",Math!D2))</f>
        <v>20</v>
      </c>
      <c r="Z2" s="137">
        <f>IF(SubjectList!L2="Biology", IF(Biology!E2="","",Biology!E2), IF(Math!E2="","",Math!E2))</f>
        <v>72</v>
      </c>
      <c r="AA2" s="127" t="str">
        <f>IF(SubjectList!G2="","", SubjectList!G2)</f>
        <v>Biology</v>
      </c>
      <c r="AB2" s="127" t="str">
        <f>IF(SubjectList!I2="","", SubjectList!I2)</f>
        <v>Math</v>
      </c>
      <c r="AC2" s="125" t="str">
        <f>Bangla!F2</f>
        <v>A-</v>
      </c>
      <c r="AD2" s="125" t="str">
        <f>English!E2</f>
        <v>C</v>
      </c>
      <c r="AE2" s="125" t="str">
        <f>ICT!G2</f>
        <v>A+</v>
      </c>
      <c r="AF2" s="125" t="str">
        <f>Physics!G2</f>
        <v>B</v>
      </c>
      <c r="AG2" s="125" t="str">
        <f>Chemistry!G2</f>
        <v>A</v>
      </c>
      <c r="AH2" s="125" t="str">
        <f>IF(SubjectList!G2="Math", IF(Math!G2="","",Math!G2), IF(Biology!G2="","",Biology!G2))</f>
        <v>B</v>
      </c>
      <c r="AI2" s="125" t="str">
        <f>IF(SubjectList!H2="Math", IF(Math!G2="","",Math!G2), IF(Biology!G2="","",Biology!G2))</f>
        <v>A</v>
      </c>
      <c r="AJ2" s="140">
        <f>Bangla!G2</f>
        <v>3.5</v>
      </c>
      <c r="AK2" s="140">
        <f>English!F2</f>
        <v>2</v>
      </c>
      <c r="AL2" s="140">
        <f>ICT!H2</f>
        <v>5</v>
      </c>
      <c r="AM2" s="140">
        <f>Physics!H2</f>
        <v>3</v>
      </c>
      <c r="AN2" s="140">
        <f>Chemistry!H2</f>
        <v>4</v>
      </c>
      <c r="AO2" s="140">
        <f>IF(SubjectList!G2="Math", IF(Math!H2="","",Math!H2), IF(Biology!H2="","",Biology!H2))</f>
        <v>3</v>
      </c>
      <c r="AP2" s="140">
        <f>IF(SubjectList!I2="Math", IF(Math!H2="","",Math!H2), IF(Biology!H2="","",Biology!H2))</f>
        <v>4</v>
      </c>
      <c r="AQ2" s="140">
        <f>Optional!I2</f>
        <v>4</v>
      </c>
      <c r="AR2" s="140">
        <f>Optional!J2</f>
        <v>2</v>
      </c>
      <c r="AS2" s="140">
        <f t="shared" ref="AS2:AS65" si="0">IF(BD2=0, "", SUM(AJ2:AO2))</f>
        <v>20.5</v>
      </c>
      <c r="AT2" s="140">
        <f>IF(SUM(AR2:AS2)="","",SUM(AR2:AS2))</f>
        <v>22.5</v>
      </c>
      <c r="AU2" s="128">
        <f t="shared" ref="AU2:AU65" si="1">IF(BD2=6,IF(AT2&gt;=30,5,(AT2-AR2)/6),"")</f>
        <v>3.4166666666666665</v>
      </c>
      <c r="AV2" s="128">
        <f t="shared" ref="AV2:AV65" si="2">IF(BD2=6, IF(AT2&gt;=30,5,(AT2)/6), "")</f>
        <v>3.75</v>
      </c>
      <c r="AW2" s="128">
        <f>IF(E2="",0,E2)+IF(F2="",0,F2)+IF(J2="",0,J2)+IF(N2="",0,N2)+IF(R2="",0,R2)+IF(V2="",0,V2)+IF(Z2="",0,Z2)</f>
        <v>432</v>
      </c>
      <c r="AX2" s="129">
        <f t="shared" ref="AX2:BC17" si="3">(IF(AJ2="","",IF(AJ2=0,0,1)))</f>
        <v>1</v>
      </c>
      <c r="AY2" s="129">
        <f t="shared" si="3"/>
        <v>1</v>
      </c>
      <c r="AZ2" s="129">
        <f t="shared" si="3"/>
        <v>1</v>
      </c>
      <c r="BA2" s="129">
        <f t="shared" si="3"/>
        <v>1</v>
      </c>
      <c r="BB2" s="129">
        <f t="shared" si="3"/>
        <v>1</v>
      </c>
      <c r="BC2" s="129">
        <f t="shared" si="3"/>
        <v>1</v>
      </c>
      <c r="BD2" s="125">
        <f>IF(SUM(AX2:BC2)="","ABS",SUM(AX2:BC2))</f>
        <v>6</v>
      </c>
      <c r="BE2" s="125" t="str">
        <f>IF(BD2=0,"F6",IF(BD2=1,"F5",IF(BD2=2,"F4",IF(BD2=3,"F3",IF(BD2=4,"F2",IF(BD2=5,"F1",IF(BD2=6,"Pass")))))))</f>
        <v>Pass</v>
      </c>
      <c r="BF2" s="125">
        <f>IF(AV2="","",RANK(AV2,AV$2:AV88,0))</f>
        <v>3</v>
      </c>
      <c r="BG2" s="125" t="str">
        <f>IF(AV2&gt;=5,"",IF(AV2&gt;=4,"A",IF(AV2&gt;=3.5,"A-",IF(AV2&gt;=3,"B",IF(AV2&gt;=2,"C",IF(AV2&gt;=1,"D","F"))))))</f>
        <v>A-</v>
      </c>
    </row>
    <row r="3" spans="1:59" x14ac:dyDescent="0.35">
      <c r="A3" s="125">
        <f>'Student Basic Info'!A3</f>
        <v>702</v>
      </c>
      <c r="B3" s="125" t="str">
        <f>'Student Basic Info'!C3</f>
        <v>Foyez Ahmed</v>
      </c>
      <c r="C3" s="126" t="str">
        <f>IF(Bangla!B3="","",Bangla!B3)</f>
        <v/>
      </c>
      <c r="D3" s="126" t="str">
        <f>IF(Bangla!C3="","",Bangla!C3)</f>
        <v/>
      </c>
      <c r="E3" s="135" t="str">
        <f>IF(Bangla!D3="","",Bangla!D3)</f>
        <v/>
      </c>
      <c r="F3" s="135" t="str">
        <f>IF(English!C3="","",English!C3)</f>
        <v/>
      </c>
      <c r="G3" s="125" t="str">
        <f>IF(ICT!B3="","",ICT!B3)</f>
        <v/>
      </c>
      <c r="H3" s="125" t="str">
        <f>IF(ICT!C3="","",ICT!C3)</f>
        <v/>
      </c>
      <c r="I3" s="125" t="str">
        <f>IF(ICT!D3="","",ICT!D3)</f>
        <v/>
      </c>
      <c r="J3" s="137" t="str">
        <f>IF(ICT!E3="","",ICT!E3)</f>
        <v/>
      </c>
      <c r="K3" s="125" t="str">
        <f>IF(Physics!B3="","",Physics!B3)</f>
        <v/>
      </c>
      <c r="L3" s="125" t="str">
        <f>IF(Physics!C3="","",Physics!C3)</f>
        <v/>
      </c>
      <c r="M3" s="125" t="str">
        <f>IF(Physics!D3="","",Physics!D3)</f>
        <v/>
      </c>
      <c r="N3" s="137" t="str">
        <f>IF(Physics!E3="","",Physics!E3)</f>
        <v/>
      </c>
      <c r="O3" s="125" t="str">
        <f>IF(Chemistry!B3="","",Chemistry!B3)</f>
        <v/>
      </c>
      <c r="P3" s="125" t="str">
        <f>IF(Chemistry!C3="","",Chemistry!C3)</f>
        <v/>
      </c>
      <c r="Q3" s="125" t="str">
        <f>IF(Chemistry!D3="","",Chemistry!D3)</f>
        <v/>
      </c>
      <c r="R3" s="137" t="str">
        <f>IF(Chemistry!E3="","",Chemistry!E3)</f>
        <v/>
      </c>
      <c r="S3" s="125" t="str">
        <f>IF(SubjectList!G3="Math", IF(Math!B3="","",Math!B3), IF(Biology!B3="","",Biology!B3))</f>
        <v/>
      </c>
      <c r="T3" s="125" t="str">
        <f>IF(SubjectList!G3="Math", IF(Math!C3="","",Math!C3), IF(Biology!C3="","",Biology!C3))</f>
        <v/>
      </c>
      <c r="U3" s="125" t="str">
        <f>IF(SubjectList!G3="Math", IF(Math!D3="","",Math!D3), IF(Biology!D3="","",Biology!D3))</f>
        <v/>
      </c>
      <c r="V3" s="137" t="str">
        <f>IF(SubjectList!G3="Math", IF(Math!E3="","",Math!E3), IF(Biology!E3="","",Biology!E3))</f>
        <v/>
      </c>
      <c r="W3" s="125" t="str">
        <f>IF(SubjectList!I3="Biology", IF(Biology!B3="","",Biology!B3), IF(Math!B3="","",Math!B3))</f>
        <v/>
      </c>
      <c r="X3" s="125" t="str">
        <f>Optional!D3</f>
        <v/>
      </c>
      <c r="Y3" s="125" t="str">
        <f>Optional!E3</f>
        <v/>
      </c>
      <c r="Z3" s="137" t="str">
        <f>Optional!F3</f>
        <v/>
      </c>
      <c r="AA3" s="127" t="str">
        <f>IF(SubjectList!G3="","", SubjectList!G3)</f>
        <v>Biology</v>
      </c>
      <c r="AB3" s="127" t="str">
        <f>IF(SubjectList!I3="","", SubjectList!I3)</f>
        <v>Math</v>
      </c>
      <c r="AC3" s="125" t="str">
        <f>Bangla!F3</f>
        <v/>
      </c>
      <c r="AD3" s="125" t="str">
        <f>English!E3</f>
        <v/>
      </c>
      <c r="AE3" s="125" t="str">
        <f>ICT!G3</f>
        <v/>
      </c>
      <c r="AF3" s="125" t="str">
        <f>Physics!G3</f>
        <v/>
      </c>
      <c r="AG3" s="125" t="str">
        <f>Chemistry!G3</f>
        <v/>
      </c>
      <c r="AH3" s="125" t="str">
        <f>IF(SubjectList!G3="Math", IF(Math!G3="","",Math!G3), IF(Biology!G3="","",Biology!G3))</f>
        <v/>
      </c>
      <c r="AI3" s="125" t="str">
        <f>IF(SubjectList!H3="Math", IF(Math!G3="","",Math!G3), IF(Biology!G3="","",Biology!G3))</f>
        <v/>
      </c>
      <c r="AJ3" s="140" t="str">
        <f>Bangla!G3</f>
        <v/>
      </c>
      <c r="AK3" s="140" t="str">
        <f>English!F3</f>
        <v/>
      </c>
      <c r="AL3" s="140" t="str">
        <f>ICT!H3</f>
        <v/>
      </c>
      <c r="AM3" s="140" t="str">
        <f>Physics!H3</f>
        <v/>
      </c>
      <c r="AN3" s="140" t="str">
        <f>Chemistry!H3</f>
        <v/>
      </c>
      <c r="AO3" s="140" t="str">
        <f>IF(SubjectList!G3="Math", IF(Math!H3="","",Math!H3), IF(Biology!H3="","",Biology!H3))</f>
        <v/>
      </c>
      <c r="AP3" s="140" t="str">
        <f>IF(SubjectList!I3="Math", IF(Math!H3="","",Math!H3), IF(Biology!H3="","",Biology!H3))</f>
        <v/>
      </c>
      <c r="AQ3" s="140" t="str">
        <f>Optional!I3</f>
        <v/>
      </c>
      <c r="AR3" s="140" t="str">
        <f>Optional!J3</f>
        <v/>
      </c>
      <c r="AS3" s="140" t="str">
        <f t="shared" si="0"/>
        <v/>
      </c>
      <c r="AT3" s="140" t="str">
        <f>IF(SUM(AR3:AS3)=0,"",SUM(AR3:AS3))</f>
        <v/>
      </c>
      <c r="AU3" s="128" t="str">
        <f t="shared" si="1"/>
        <v/>
      </c>
      <c r="AV3" s="128" t="str">
        <f t="shared" si="2"/>
        <v/>
      </c>
      <c r="AW3" s="128">
        <f t="shared" ref="AW3:AW10" si="4">IF(E3="",0,E3)+IF(F3="",0,F3)+IF(J3="",0,J3)+IF(N3="",0,N3)+IF(R3="",0,R3)+IF(V3="",0,V3)+IF(Z3="",0,Z3)</f>
        <v>0</v>
      </c>
      <c r="AX3" s="129" t="str">
        <f>(IF(AJ3="","",IF(AJ3=0,0,1)))</f>
        <v/>
      </c>
      <c r="AY3" s="129" t="str">
        <f t="shared" si="3"/>
        <v/>
      </c>
      <c r="AZ3" s="129" t="str">
        <f t="shared" si="3"/>
        <v/>
      </c>
      <c r="BA3" s="129" t="str">
        <f t="shared" si="3"/>
        <v/>
      </c>
      <c r="BB3" s="129" t="str">
        <f t="shared" si="3"/>
        <v/>
      </c>
      <c r="BC3" s="129" t="str">
        <f t="shared" si="3"/>
        <v/>
      </c>
      <c r="BD3" s="125">
        <f t="shared" ref="BD3:BD5" si="5">IF(SUM(AX3:BC3)="","ABS",SUM(AX3:BC3))</f>
        <v>0</v>
      </c>
      <c r="BE3" s="125" t="str">
        <f t="shared" ref="BE3:BE66" si="6">IF(BD3=0,"F6",IF(BD3=1,"F5",IF(BD3=2,"F4",IF(BD3=3,"F3",IF(BD3=4,"F2",IF(BD3=5,"F1",IF(BD3=6,"Pass")))))))</f>
        <v>F6</v>
      </c>
      <c r="BF3" s="125" t="str">
        <f>IF(AV3="","",RANK(AV3,AV$2:AV88,0))</f>
        <v/>
      </c>
      <c r="BG3" s="125" t="str">
        <f t="shared" ref="BG3:BG66" si="7">IF(AV3&gt;=5,"",IF(AV3&gt;=4,"A",IF(AV3&gt;=3.5,"A-",IF(AV3&gt;=3,"B",IF(AV3&gt;=2,"C",IF(AV3&gt;=1,"D","F"))))))</f>
        <v/>
      </c>
    </row>
    <row r="4" spans="1:59" x14ac:dyDescent="0.35">
      <c r="A4" s="125">
        <f>'Student Basic Info'!A4</f>
        <v>703</v>
      </c>
      <c r="B4" s="125" t="str">
        <f>'Student Basic Info'!C4</f>
        <v>Zannatul Nayem</v>
      </c>
      <c r="C4" s="126" t="str">
        <f>IF(Bangla!B4="","",Bangla!B4)</f>
        <v/>
      </c>
      <c r="D4" s="126" t="str">
        <f>IF(Bangla!C4="","",Bangla!C4)</f>
        <v/>
      </c>
      <c r="E4" s="135" t="str">
        <f>IF(Bangla!D4="","",Bangla!D4)</f>
        <v/>
      </c>
      <c r="F4" s="135" t="str">
        <f>IF(English!C4="","",English!C4)</f>
        <v/>
      </c>
      <c r="G4" s="125" t="str">
        <f>IF(ICT!B4="","",ICT!B4)</f>
        <v/>
      </c>
      <c r="H4" s="125" t="str">
        <f>IF(ICT!C4="","",ICT!C4)</f>
        <v/>
      </c>
      <c r="I4" s="125" t="str">
        <f>IF(ICT!D4="","",ICT!D4)</f>
        <v/>
      </c>
      <c r="J4" s="137" t="str">
        <f>IF(ICT!E4="","",ICT!E4)</f>
        <v/>
      </c>
      <c r="K4" s="125" t="str">
        <f>IF(Physics!B4="","",Physics!B4)</f>
        <v/>
      </c>
      <c r="L4" s="125" t="str">
        <f>IF(Physics!C4="","",Physics!C4)</f>
        <v/>
      </c>
      <c r="M4" s="125" t="str">
        <f>IF(Physics!D4="","",Physics!D4)</f>
        <v/>
      </c>
      <c r="N4" s="137" t="str">
        <f>IF(Physics!E4="","",Physics!E4)</f>
        <v/>
      </c>
      <c r="O4" s="125" t="str">
        <f>IF(Chemistry!B4="","",Chemistry!B4)</f>
        <v/>
      </c>
      <c r="P4" s="125" t="str">
        <f>IF(Chemistry!C4="","",Chemistry!C4)</f>
        <v/>
      </c>
      <c r="Q4" s="125" t="str">
        <f>IF(Chemistry!D4="","",Chemistry!D4)</f>
        <v/>
      </c>
      <c r="R4" s="137" t="str">
        <f>IF(Chemistry!E4="","",Chemistry!E4)</f>
        <v/>
      </c>
      <c r="S4" s="125" t="str">
        <f>IF(SubjectList!G4="Math", IF(Math!B4="","",Math!B4), IF(Biology!B4="","",Biology!B4))</f>
        <v/>
      </c>
      <c r="T4" s="125" t="str">
        <f>IF(SubjectList!G4="Math", IF(Math!C4="","",Math!C4), IF(Biology!C4="","",Biology!C4))</f>
        <v/>
      </c>
      <c r="U4" s="125" t="str">
        <f>IF(SubjectList!G4="Math", IF(Math!D4="","",Math!D4), IF(Biology!D4="","",Biology!D4))</f>
        <v/>
      </c>
      <c r="V4" s="137" t="str">
        <f>IF(SubjectList!G4="Math", IF(Math!E4="","",Math!E4), IF(Biology!E4="","",Biology!E4))</f>
        <v/>
      </c>
      <c r="W4" s="125" t="str">
        <f>IF(SubjectList!I4="Biology", IF(Biology!B4="","",Biology!B4), IF(Math!B4="","",Math!B4))</f>
        <v/>
      </c>
      <c r="X4" s="125" t="str">
        <f>Optional!D4</f>
        <v/>
      </c>
      <c r="Y4" s="125" t="str">
        <f>Optional!E4</f>
        <v/>
      </c>
      <c r="Z4" s="137" t="str">
        <f>Optional!F4</f>
        <v/>
      </c>
      <c r="AA4" s="127" t="str">
        <f>IF(SubjectList!G4="","", SubjectList!G4)</f>
        <v>Biology</v>
      </c>
      <c r="AB4" s="127" t="str">
        <f>IF(SubjectList!I4="","", SubjectList!I4)</f>
        <v>Math</v>
      </c>
      <c r="AC4" s="125" t="str">
        <f>Bangla!F4</f>
        <v/>
      </c>
      <c r="AD4" s="125" t="str">
        <f>English!E4</f>
        <v/>
      </c>
      <c r="AE4" s="125" t="str">
        <f>ICT!G4</f>
        <v/>
      </c>
      <c r="AF4" s="125" t="str">
        <f>Physics!G4</f>
        <v/>
      </c>
      <c r="AG4" s="125" t="str">
        <f>Chemistry!G4</f>
        <v/>
      </c>
      <c r="AH4" s="125" t="str">
        <f>IF(SubjectList!G4="Math", IF(Math!G4="","",Math!G4), IF(Biology!G4="","",Biology!G4))</f>
        <v/>
      </c>
      <c r="AI4" s="125" t="str">
        <f>IF(SubjectList!H4="Math", IF(Math!G4="","",Math!G4), IF(Biology!G4="","",Biology!G4))</f>
        <v/>
      </c>
      <c r="AJ4" s="140" t="str">
        <f>Bangla!G4</f>
        <v/>
      </c>
      <c r="AK4" s="140" t="str">
        <f>English!F4</f>
        <v/>
      </c>
      <c r="AL4" s="140" t="str">
        <f>ICT!H4</f>
        <v/>
      </c>
      <c r="AM4" s="140" t="str">
        <f>Physics!H4</f>
        <v/>
      </c>
      <c r="AN4" s="140" t="str">
        <f>Chemistry!H4</f>
        <v/>
      </c>
      <c r="AO4" s="140" t="str">
        <f>IF(SubjectList!G4="Math", IF(Math!H4="","",Math!H4), IF(Biology!H4="","",Biology!H4))</f>
        <v/>
      </c>
      <c r="AP4" s="140" t="str">
        <f>IF(SubjectList!I4="Math", IF(Math!H4="","",Math!H4), IF(Biology!H4="","",Biology!H4))</f>
        <v/>
      </c>
      <c r="AQ4" s="140" t="str">
        <f>Optional!I4</f>
        <v/>
      </c>
      <c r="AR4" s="140" t="str">
        <f>Optional!J4</f>
        <v/>
      </c>
      <c r="AS4" s="140" t="str">
        <f t="shared" si="0"/>
        <v/>
      </c>
      <c r="AT4" s="140" t="str">
        <f t="shared" ref="AT4:AT67" si="8">IF(SUM(AR4:AS4)=0,"",SUM(AR4:AS4))</f>
        <v/>
      </c>
      <c r="AU4" s="128" t="str">
        <f t="shared" si="1"/>
        <v/>
      </c>
      <c r="AV4" s="128" t="str">
        <f t="shared" si="2"/>
        <v/>
      </c>
      <c r="AW4" s="128">
        <f t="shared" si="4"/>
        <v>0</v>
      </c>
      <c r="AX4" s="129" t="str">
        <f t="shared" ref="AX4:BC58" si="9">(IF(AJ4="","",IF(AJ4=0,0,1)))</f>
        <v/>
      </c>
      <c r="AY4" s="129" t="str">
        <f t="shared" si="3"/>
        <v/>
      </c>
      <c r="AZ4" s="129" t="str">
        <f t="shared" si="3"/>
        <v/>
      </c>
      <c r="BA4" s="129" t="str">
        <f t="shared" si="3"/>
        <v/>
      </c>
      <c r="BB4" s="129" t="str">
        <f>(IF(AN4="","",IF(AN4=0,0,1)))</f>
        <v/>
      </c>
      <c r="BC4" s="129" t="str">
        <f t="shared" si="3"/>
        <v/>
      </c>
      <c r="BD4" s="125">
        <f t="shared" si="5"/>
        <v>0</v>
      </c>
      <c r="BE4" s="125" t="str">
        <f t="shared" si="6"/>
        <v>F6</v>
      </c>
      <c r="BF4" s="125" t="str">
        <f>IF(AV4="","",RANK(AV4,AV$2:AV88,0))</f>
        <v/>
      </c>
      <c r="BG4" s="125" t="str">
        <f t="shared" si="7"/>
        <v/>
      </c>
    </row>
    <row r="5" spans="1:59" x14ac:dyDescent="0.35">
      <c r="A5" s="125">
        <f>'Student Basic Info'!A5</f>
        <v>704</v>
      </c>
      <c r="B5" s="125" t="str">
        <f>'Student Basic Info'!C5</f>
        <v>Farmana Nusrat Chowdhury</v>
      </c>
      <c r="C5" s="126" t="str">
        <f>IF(Bangla!B5="","",Bangla!B5)</f>
        <v/>
      </c>
      <c r="D5" s="126">
        <f>IF(Bangla!C5="","",Bangla!C5)</f>
        <v>62</v>
      </c>
      <c r="E5" s="135">
        <f>IF(Bangla!D5="","",Bangla!D5)</f>
        <v>62</v>
      </c>
      <c r="F5" s="135">
        <f>IF(English!C5="","",English!C5)</f>
        <v>38</v>
      </c>
      <c r="G5" s="125">
        <f>IF(ICT!B5="","",ICT!B5)</f>
        <v>14</v>
      </c>
      <c r="H5" s="125">
        <f>IF(ICT!C5="","",ICT!C5)</f>
        <v>12</v>
      </c>
      <c r="I5" s="125">
        <f>IF(ICT!D5="","",ICT!D5)</f>
        <v>22</v>
      </c>
      <c r="J5" s="137">
        <f>IF(ICT!E5="","",ICT!E5)</f>
        <v>48</v>
      </c>
      <c r="K5" s="125">
        <f>IF(Physics!B5="","",Physics!B5)</f>
        <v>8</v>
      </c>
      <c r="L5" s="125">
        <f>IF(Physics!C5="","",Physics!C5)</f>
        <v>4</v>
      </c>
      <c r="M5" s="125">
        <f>IF(Physics!D5="","",Physics!D5)</f>
        <v>10</v>
      </c>
      <c r="N5" s="137">
        <f>IF(Physics!E5="","",Physics!E5)</f>
        <v>22</v>
      </c>
      <c r="O5" s="125">
        <f>IF(Chemistry!B5="","",Chemistry!B5)</f>
        <v>15</v>
      </c>
      <c r="P5" s="125">
        <f>IF(Chemistry!C5="","",Chemistry!C5)</f>
        <v>14</v>
      </c>
      <c r="Q5" s="125">
        <f>IF(Chemistry!D5="","",Chemistry!D5)</f>
        <v>10</v>
      </c>
      <c r="R5" s="137">
        <f>IF(Chemistry!E5="","",Chemistry!E5)</f>
        <v>39</v>
      </c>
      <c r="S5" s="125">
        <f>IF(SubjectList!G5="Math", IF(Math!B5="","",Math!B5), IF(Biology!B5="","",Biology!B5))</f>
        <v>7</v>
      </c>
      <c r="T5" s="125">
        <f>IF(SubjectList!G5="Math", IF(Math!C5="","",Math!C5), IF(Biology!C5="","",Biology!C5))</f>
        <v>10</v>
      </c>
      <c r="U5" s="125">
        <f>IF(SubjectList!G5="Math", IF(Math!D5="","",Math!D5), IF(Biology!D5="","",Biology!D5))</f>
        <v>10</v>
      </c>
      <c r="V5" s="137">
        <f>IF(SubjectList!G5="Math", IF(Math!E5="","",Math!E5), IF(Biology!E5="","",Biology!E5))</f>
        <v>27</v>
      </c>
      <c r="W5" s="125">
        <f>IF(SubjectList!I5="Biology", IF(Biology!B5="","",Biology!B5), IF(Math!B5="","",Math!B5))</f>
        <v>18</v>
      </c>
      <c r="X5" s="125">
        <f>Optional!D5</f>
        <v>0</v>
      </c>
      <c r="Y5" s="125">
        <f>Optional!E5</f>
        <v>9</v>
      </c>
      <c r="Z5" s="137">
        <f>Optional!F5</f>
        <v>27</v>
      </c>
      <c r="AA5" s="127" t="str">
        <f>IF(SubjectList!G5="","", SubjectList!G5)</f>
        <v>Biology</v>
      </c>
      <c r="AB5" s="127" t="str">
        <f>IF(SubjectList!I5="","", SubjectList!I5)</f>
        <v>Math</v>
      </c>
      <c r="AC5" s="125" t="str">
        <f>Bangla!F5</f>
        <v>A-</v>
      </c>
      <c r="AD5" s="125" t="str">
        <f>English!E5</f>
        <v>D</v>
      </c>
      <c r="AE5" s="125" t="str">
        <f>ICT!G5</f>
        <v>F</v>
      </c>
      <c r="AF5" s="125" t="str">
        <f>Physics!G5</f>
        <v>F</v>
      </c>
      <c r="AG5" s="125" t="str">
        <f>Chemistry!G5</f>
        <v>F</v>
      </c>
      <c r="AH5" s="125" t="str">
        <f>IF(SubjectList!G5="Math", IF(Math!G5="","",Math!G5), IF(Biology!G5="","",Biology!G5))</f>
        <v>F</v>
      </c>
      <c r="AI5" s="125" t="str">
        <f>IF(SubjectList!H5="Math", IF(Math!G5="","",Math!G5), IF(Biology!G5="","",Biology!G5))</f>
        <v>F</v>
      </c>
      <c r="AJ5" s="140">
        <f>Bangla!G5</f>
        <v>3.5</v>
      </c>
      <c r="AK5" s="140">
        <f>English!F5</f>
        <v>1</v>
      </c>
      <c r="AL5" s="140">
        <f>ICT!H5</f>
        <v>0</v>
      </c>
      <c r="AM5" s="140">
        <f>Physics!H5</f>
        <v>0</v>
      </c>
      <c r="AN5" s="140">
        <f>Chemistry!H5</f>
        <v>0</v>
      </c>
      <c r="AO5" s="140">
        <f>IF(SubjectList!G5="Math", IF(Math!H5="","",Math!H5), IF(Biology!H5="","",Biology!H5))</f>
        <v>0</v>
      </c>
      <c r="AP5" s="140">
        <f>IF(SubjectList!I5="Math", IF(Math!H5="","",Math!H5), IF(Biology!H5="","",Biology!H5))</f>
        <v>0</v>
      </c>
      <c r="AQ5" s="140">
        <f>Optional!I5</f>
        <v>0</v>
      </c>
      <c r="AR5" s="140">
        <f>Optional!J5</f>
        <v>0</v>
      </c>
      <c r="AS5" s="140">
        <f t="shared" si="0"/>
        <v>4.5</v>
      </c>
      <c r="AT5" s="140">
        <f t="shared" si="8"/>
        <v>4.5</v>
      </c>
      <c r="AU5" s="128" t="str">
        <f t="shared" si="1"/>
        <v/>
      </c>
      <c r="AV5" s="128" t="str">
        <f t="shared" si="2"/>
        <v/>
      </c>
      <c r="AW5" s="128">
        <f t="shared" si="4"/>
        <v>263</v>
      </c>
      <c r="AX5" s="129">
        <f t="shared" si="9"/>
        <v>1</v>
      </c>
      <c r="AY5" s="129">
        <f t="shared" si="3"/>
        <v>1</v>
      </c>
      <c r="AZ5" s="129">
        <f t="shared" si="3"/>
        <v>0</v>
      </c>
      <c r="BA5" s="129">
        <f t="shared" si="3"/>
        <v>0</v>
      </c>
      <c r="BB5" s="129">
        <f t="shared" si="3"/>
        <v>0</v>
      </c>
      <c r="BC5" s="129">
        <f t="shared" si="3"/>
        <v>0</v>
      </c>
      <c r="BD5" s="125">
        <f t="shared" si="5"/>
        <v>2</v>
      </c>
      <c r="BE5" s="125" t="str">
        <f t="shared" si="6"/>
        <v>F4</v>
      </c>
      <c r="BF5" s="125" t="str">
        <f>IF(AV5="","",RANK(AV5,AV$2:AV88,0))</f>
        <v/>
      </c>
      <c r="BG5" s="125" t="str">
        <f t="shared" si="7"/>
        <v/>
      </c>
    </row>
    <row r="6" spans="1:59" x14ac:dyDescent="0.35">
      <c r="A6" s="125">
        <f>'Student Basic Info'!A6</f>
        <v>705</v>
      </c>
      <c r="B6" s="125" t="str">
        <f>'Student Basic Info'!C6</f>
        <v>Zannatul Ferdaus</v>
      </c>
      <c r="C6" s="126" t="str">
        <f>IF(Bangla!B6="","",Bangla!B6)</f>
        <v/>
      </c>
      <c r="D6" s="126" t="str">
        <f>IF(Bangla!C6="","",Bangla!C6)</f>
        <v/>
      </c>
      <c r="E6" s="135" t="str">
        <f>IF(Bangla!D6="","",Bangla!D6)</f>
        <v/>
      </c>
      <c r="F6" s="135" t="str">
        <f>IF(English!C6="","",English!C6)</f>
        <v/>
      </c>
      <c r="G6" s="125">
        <f>IF(ICT!B6="","",ICT!B6)</f>
        <v>7</v>
      </c>
      <c r="H6" s="125">
        <f>IF(ICT!C6="","",ICT!C6)</f>
        <v>12</v>
      </c>
      <c r="I6" s="125">
        <f>IF(ICT!D6="","",ICT!D6)</f>
        <v>8</v>
      </c>
      <c r="J6" s="137">
        <f>IF(ICT!E6="","",ICT!E6)</f>
        <v>27</v>
      </c>
      <c r="K6" s="125" t="str">
        <f>IF(Physics!B6="","",Physics!B6)</f>
        <v/>
      </c>
      <c r="L6" s="125" t="str">
        <f>IF(Physics!C6="","",Physics!C6)</f>
        <v/>
      </c>
      <c r="M6" s="125" t="str">
        <f>IF(Physics!D6="","",Physics!D6)</f>
        <v/>
      </c>
      <c r="N6" s="137" t="str">
        <f>IF(Physics!E6="","",Physics!E6)</f>
        <v/>
      </c>
      <c r="O6" s="125" t="str">
        <f>IF(Chemistry!B6="","",Chemistry!B6)</f>
        <v/>
      </c>
      <c r="P6" s="125" t="str">
        <f>IF(Chemistry!C6="","",Chemistry!C6)</f>
        <v/>
      </c>
      <c r="Q6" s="125" t="str">
        <f>IF(Chemistry!D6="","",Chemistry!D6)</f>
        <v/>
      </c>
      <c r="R6" s="137" t="str">
        <f>IF(Chemistry!E6="","",Chemistry!E6)</f>
        <v/>
      </c>
      <c r="S6" s="125" t="str">
        <f>IF(SubjectList!G6="Math", IF(Math!B6="","",Math!B6), IF(Biology!B6="","",Biology!B6))</f>
        <v/>
      </c>
      <c r="T6" s="125" t="str">
        <f>IF(SubjectList!G6="Math", IF(Math!C6="","",Math!C6), IF(Biology!C6="","",Biology!C6))</f>
        <v/>
      </c>
      <c r="U6" s="125" t="str">
        <f>IF(SubjectList!G6="Math", IF(Math!D6="","",Math!D6), IF(Biology!D6="","",Biology!D6))</f>
        <v/>
      </c>
      <c r="V6" s="137" t="str">
        <f>IF(SubjectList!G6="Math", IF(Math!E6="","",Math!E6), IF(Biology!E6="","",Biology!E6))</f>
        <v/>
      </c>
      <c r="W6" s="125" t="str">
        <f>IF(SubjectList!I6="Biology", IF(Biology!B6="","",Biology!B6), IF(Math!B6="","",Math!B6))</f>
        <v/>
      </c>
      <c r="X6" s="125" t="str">
        <f>Optional!D6</f>
        <v/>
      </c>
      <c r="Y6" s="125" t="str">
        <f>Optional!E6</f>
        <v/>
      </c>
      <c r="Z6" s="137" t="str">
        <f>Optional!F6</f>
        <v/>
      </c>
      <c r="AA6" s="127" t="str">
        <f>IF(SubjectList!G6="","", SubjectList!G6)</f>
        <v>Biology</v>
      </c>
      <c r="AB6" s="127" t="str">
        <f>IF(SubjectList!I6="","", SubjectList!I6)</f>
        <v>Math</v>
      </c>
      <c r="AC6" s="125" t="str">
        <f>Bangla!F6</f>
        <v/>
      </c>
      <c r="AD6" s="125" t="str">
        <f>English!E6</f>
        <v/>
      </c>
      <c r="AE6" s="125" t="str">
        <f>ICT!G6</f>
        <v>F</v>
      </c>
      <c r="AF6" s="125" t="str">
        <f>Physics!G6</f>
        <v/>
      </c>
      <c r="AG6" s="125" t="str">
        <f>Chemistry!G6</f>
        <v/>
      </c>
      <c r="AH6" s="125" t="str">
        <f>IF(SubjectList!G6="Math", IF(Math!G6="","",Math!G6), IF(Biology!G6="","",Biology!G6))</f>
        <v/>
      </c>
      <c r="AI6" s="125" t="str">
        <f>IF(SubjectList!H6="Math", IF(Math!G6="","",Math!G6), IF(Biology!G6="","",Biology!G6))</f>
        <v/>
      </c>
      <c r="AJ6" s="140" t="str">
        <f>Bangla!G6</f>
        <v/>
      </c>
      <c r="AK6" s="140" t="str">
        <f>English!F6</f>
        <v/>
      </c>
      <c r="AL6" s="140">
        <f>ICT!H6</f>
        <v>0</v>
      </c>
      <c r="AM6" s="140" t="str">
        <f>Physics!H6</f>
        <v/>
      </c>
      <c r="AN6" s="140" t="str">
        <f>Chemistry!H6</f>
        <v/>
      </c>
      <c r="AO6" s="140" t="str">
        <f>IF(SubjectList!G6="Math", IF(Math!H6="","",Math!H6), IF(Biology!H6="","",Biology!H6))</f>
        <v/>
      </c>
      <c r="AP6" s="140" t="str">
        <f>IF(SubjectList!I6="Math", IF(Math!H6="","",Math!H6), IF(Biology!H6="","",Biology!H6))</f>
        <v/>
      </c>
      <c r="AQ6" s="140" t="str">
        <f>Optional!I6</f>
        <v/>
      </c>
      <c r="AR6" s="140" t="str">
        <f>Optional!J6</f>
        <v/>
      </c>
      <c r="AS6" s="140" t="str">
        <f t="shared" si="0"/>
        <v/>
      </c>
      <c r="AT6" s="140" t="str">
        <f t="shared" si="8"/>
        <v/>
      </c>
      <c r="AU6" s="128" t="str">
        <f t="shared" si="1"/>
        <v/>
      </c>
      <c r="AV6" s="128" t="str">
        <f t="shared" si="2"/>
        <v/>
      </c>
      <c r="AW6" s="128">
        <f>IF(E6="",0,E6)+IF(F6="",0,F6)+IF(J6="",0,J6)+IF(N6="",0,N6)+IF(R6="",0,R6)+IF(V6="",0,V6)+IF(Z6="",0,Z6)</f>
        <v>27</v>
      </c>
      <c r="AX6" s="129" t="str">
        <f t="shared" si="9"/>
        <v/>
      </c>
      <c r="AY6" s="129" t="str">
        <f t="shared" si="3"/>
        <v/>
      </c>
      <c r="AZ6" s="129">
        <f t="shared" si="3"/>
        <v>0</v>
      </c>
      <c r="BA6" s="129" t="str">
        <f t="shared" si="3"/>
        <v/>
      </c>
      <c r="BB6" s="129" t="str">
        <f t="shared" si="3"/>
        <v/>
      </c>
      <c r="BC6" s="129" t="str">
        <f t="shared" si="3"/>
        <v/>
      </c>
      <c r="BD6" s="125">
        <f t="shared" ref="BD6:BD69" si="10">SUM(AX6:BC6)</f>
        <v>0</v>
      </c>
      <c r="BE6" s="125" t="str">
        <f t="shared" si="6"/>
        <v>F6</v>
      </c>
      <c r="BF6" s="125" t="str">
        <f>IF(AV6="","",RANK(AV6,AV$2:AV88,0))</f>
        <v/>
      </c>
      <c r="BG6" s="125" t="str">
        <f t="shared" si="7"/>
        <v/>
      </c>
    </row>
    <row r="7" spans="1:59" x14ac:dyDescent="0.35">
      <c r="A7" s="125">
        <f>'Student Basic Info'!A7</f>
        <v>706</v>
      </c>
      <c r="B7" s="125" t="str">
        <f>'Student Basic Info'!C7</f>
        <v>Abdul Alim Shawon</v>
      </c>
      <c r="C7" s="126" t="str">
        <f>IF(Bangla!B7="","",Bangla!B7)</f>
        <v/>
      </c>
      <c r="D7" s="126" t="str">
        <f>IF(Bangla!C7="","",Bangla!C7)</f>
        <v/>
      </c>
      <c r="E7" s="135" t="str">
        <f>IF(Bangla!D7="","",Bangla!D7)</f>
        <v/>
      </c>
      <c r="F7" s="135" t="str">
        <f>IF(English!C7="","",English!C7)</f>
        <v/>
      </c>
      <c r="G7" s="125" t="str">
        <f>IF(ICT!B7="","",ICT!B7)</f>
        <v/>
      </c>
      <c r="H7" s="125" t="str">
        <f>IF(ICT!C7="","",ICT!C7)</f>
        <v/>
      </c>
      <c r="I7" s="125" t="str">
        <f>IF(ICT!D7="","",ICT!D7)</f>
        <v/>
      </c>
      <c r="J7" s="137" t="str">
        <f>IF(ICT!E7="","",ICT!E7)</f>
        <v/>
      </c>
      <c r="K7" s="125" t="str">
        <f>IF(Physics!B7="","",Physics!B7)</f>
        <v/>
      </c>
      <c r="L7" s="125" t="str">
        <f>IF(Physics!C7="","",Physics!C7)</f>
        <v/>
      </c>
      <c r="M7" s="125" t="str">
        <f>IF(Physics!D7="","",Physics!D7)</f>
        <v/>
      </c>
      <c r="N7" s="137" t="str">
        <f>IF(Physics!E7="","",Physics!E7)</f>
        <v/>
      </c>
      <c r="O7" s="125" t="str">
        <f>IF(Chemistry!B7="","",Chemistry!B7)</f>
        <v/>
      </c>
      <c r="P7" s="125" t="str">
        <f>IF(Chemistry!C7="","",Chemistry!C7)</f>
        <v/>
      </c>
      <c r="Q7" s="125" t="str">
        <f>IF(Chemistry!D7="","",Chemistry!D7)</f>
        <v/>
      </c>
      <c r="R7" s="137" t="str">
        <f>IF(Chemistry!E7="","",Chemistry!E7)</f>
        <v/>
      </c>
      <c r="S7" s="125" t="str">
        <f>IF(SubjectList!G7="Math", IF(Math!B7="","",Math!B7), IF(Biology!B7="","",Biology!B7))</f>
        <v/>
      </c>
      <c r="T7" s="125" t="str">
        <f>IF(SubjectList!G7="Math", IF(Math!C7="","",Math!C7), IF(Biology!C7="","",Biology!C7))</f>
        <v/>
      </c>
      <c r="U7" s="125" t="str">
        <f>IF(SubjectList!G7="Math", IF(Math!D7="","",Math!D7), IF(Biology!D7="","",Biology!D7))</f>
        <v/>
      </c>
      <c r="V7" s="137" t="str">
        <f>IF(SubjectList!G7="Math", IF(Math!E7="","",Math!E7), IF(Biology!E7="","",Biology!E7))</f>
        <v/>
      </c>
      <c r="W7" s="125" t="str">
        <f>IF(SubjectList!I7="Biology", IF(Biology!B7="","",Biology!B7), IF(Math!B7="","",Math!B7))</f>
        <v/>
      </c>
      <c r="X7" s="125" t="str">
        <f>Optional!D7</f>
        <v/>
      </c>
      <c r="Y7" s="125" t="str">
        <f>Optional!E7</f>
        <v/>
      </c>
      <c r="Z7" s="137" t="str">
        <f>Optional!F7</f>
        <v/>
      </c>
      <c r="AA7" s="127" t="str">
        <f>IF(SubjectList!G7="","", SubjectList!G7)</f>
        <v>Biology</v>
      </c>
      <c r="AB7" s="127" t="str">
        <f>IF(SubjectList!I7="","", SubjectList!I7)</f>
        <v>Math</v>
      </c>
      <c r="AC7" s="125" t="str">
        <f>Bangla!F7</f>
        <v/>
      </c>
      <c r="AD7" s="125" t="str">
        <f>English!E7</f>
        <v/>
      </c>
      <c r="AE7" s="125" t="str">
        <f>ICT!G7</f>
        <v/>
      </c>
      <c r="AF7" s="125" t="str">
        <f>Physics!G7</f>
        <v/>
      </c>
      <c r="AG7" s="125" t="str">
        <f>Chemistry!G7</f>
        <v/>
      </c>
      <c r="AH7" s="125" t="str">
        <f>IF(SubjectList!G7="Math", IF(Math!G7="","",Math!G7), IF(Biology!G7="","",Biology!G7))</f>
        <v/>
      </c>
      <c r="AI7" s="125" t="str">
        <f>IF(SubjectList!H7="Math", IF(Math!G7="","",Math!G7), IF(Biology!G7="","",Biology!G7))</f>
        <v/>
      </c>
      <c r="AJ7" s="140" t="str">
        <f>Bangla!G7</f>
        <v/>
      </c>
      <c r="AK7" s="140" t="str">
        <f>English!F7</f>
        <v/>
      </c>
      <c r="AL7" s="140" t="str">
        <f>ICT!H7</f>
        <v/>
      </c>
      <c r="AM7" s="140" t="str">
        <f>Physics!H7</f>
        <v/>
      </c>
      <c r="AN7" s="140" t="str">
        <f>Chemistry!H7</f>
        <v/>
      </c>
      <c r="AO7" s="140" t="str">
        <f>IF(SubjectList!G7="Math", IF(Math!H7="","",Math!H7), IF(Biology!H7="","",Biology!H7))</f>
        <v/>
      </c>
      <c r="AP7" s="140" t="str">
        <f>IF(SubjectList!I7="Math", IF(Math!H7="","",Math!H7), IF(Biology!H7="","",Biology!H7))</f>
        <v/>
      </c>
      <c r="AQ7" s="140" t="str">
        <f>Optional!I7</f>
        <v/>
      </c>
      <c r="AR7" s="140" t="str">
        <f>Optional!J7</f>
        <v/>
      </c>
      <c r="AS7" s="140" t="str">
        <f t="shared" si="0"/>
        <v/>
      </c>
      <c r="AT7" s="140" t="str">
        <f t="shared" si="8"/>
        <v/>
      </c>
      <c r="AU7" s="128" t="str">
        <f t="shared" si="1"/>
        <v/>
      </c>
      <c r="AV7" s="128" t="str">
        <f t="shared" si="2"/>
        <v/>
      </c>
      <c r="AW7" s="128">
        <f t="shared" si="4"/>
        <v>0</v>
      </c>
      <c r="AX7" s="129" t="str">
        <f t="shared" si="9"/>
        <v/>
      </c>
      <c r="AY7" s="129" t="str">
        <f t="shared" si="3"/>
        <v/>
      </c>
      <c r="AZ7" s="129" t="str">
        <f t="shared" si="3"/>
        <v/>
      </c>
      <c r="BA7" s="129" t="str">
        <f t="shared" si="3"/>
        <v/>
      </c>
      <c r="BB7" s="129" t="str">
        <f t="shared" si="3"/>
        <v/>
      </c>
      <c r="BC7" s="129" t="str">
        <f t="shared" si="3"/>
        <v/>
      </c>
      <c r="BD7" s="125">
        <f t="shared" si="10"/>
        <v>0</v>
      </c>
      <c r="BE7" s="125" t="str">
        <f t="shared" si="6"/>
        <v>F6</v>
      </c>
      <c r="BF7" s="125" t="str">
        <f>IF(AV7="","",RANK(AV7,AV$2:AV88,0))</f>
        <v/>
      </c>
      <c r="BG7" s="125" t="str">
        <f t="shared" si="7"/>
        <v/>
      </c>
    </row>
    <row r="8" spans="1:59" x14ac:dyDescent="0.35">
      <c r="A8" s="125">
        <f>'Student Basic Info'!A8</f>
        <v>707</v>
      </c>
      <c r="B8" s="125" t="str">
        <f>'Student Basic Info'!C8</f>
        <v>Sharmin Aktar</v>
      </c>
      <c r="C8" s="126" t="str">
        <f>IF(Bangla!B8="","",Bangla!B8)</f>
        <v/>
      </c>
      <c r="D8" s="126" t="str">
        <f>IF(Bangla!C8="","",Bangla!C8)</f>
        <v/>
      </c>
      <c r="E8" s="135" t="str">
        <f>IF(Bangla!D8="","",Bangla!D8)</f>
        <v/>
      </c>
      <c r="F8" s="135" t="str">
        <f>IF(English!C8="","",English!C8)</f>
        <v/>
      </c>
      <c r="G8" s="125" t="str">
        <f>IF(ICT!B8="","",ICT!B8)</f>
        <v/>
      </c>
      <c r="H8" s="125" t="str">
        <f>IF(ICT!C8="","",ICT!C8)</f>
        <v/>
      </c>
      <c r="I8" s="125" t="str">
        <f>IF(ICT!D8="","",ICT!D8)</f>
        <v/>
      </c>
      <c r="J8" s="137" t="str">
        <f>IF(ICT!E8="","",ICT!E8)</f>
        <v/>
      </c>
      <c r="K8" s="125" t="str">
        <f>IF(Physics!B8="","",Physics!B8)</f>
        <v/>
      </c>
      <c r="L8" s="125" t="str">
        <f>IF(Physics!C8="","",Physics!C8)</f>
        <v/>
      </c>
      <c r="M8" s="125" t="str">
        <f>IF(Physics!D8="","",Physics!D8)</f>
        <v/>
      </c>
      <c r="N8" s="137" t="str">
        <f>IF(Physics!E8="","",Physics!E8)</f>
        <v/>
      </c>
      <c r="O8" s="125" t="str">
        <f>IF(Chemistry!B8="","",Chemistry!B8)</f>
        <v/>
      </c>
      <c r="P8" s="125" t="str">
        <f>IF(Chemistry!C8="","",Chemistry!C8)</f>
        <v/>
      </c>
      <c r="Q8" s="125" t="str">
        <f>IF(Chemistry!D8="","",Chemistry!D8)</f>
        <v/>
      </c>
      <c r="R8" s="137" t="str">
        <f>IF(Chemistry!E8="","",Chemistry!E8)</f>
        <v/>
      </c>
      <c r="S8" s="125" t="str">
        <f>IF(SubjectList!G8="Math", IF(Math!B8="","",Math!B8), IF(Biology!B8="","",Biology!B8))</f>
        <v/>
      </c>
      <c r="T8" s="125" t="str">
        <f>IF(SubjectList!G8="Math", IF(Math!C8="","",Math!C8), IF(Biology!C8="","",Biology!C8))</f>
        <v/>
      </c>
      <c r="U8" s="125" t="str">
        <f>IF(SubjectList!G8="Math", IF(Math!D8="","",Math!D8), IF(Biology!D8="","",Biology!D8))</f>
        <v/>
      </c>
      <c r="V8" s="137" t="str">
        <f>IF(SubjectList!G8="Math", IF(Math!E8="","",Math!E8), IF(Biology!E8="","",Biology!E8))</f>
        <v/>
      </c>
      <c r="W8" s="125" t="str">
        <f>IF(SubjectList!I8="Biology", IF(Biology!B8="","",Biology!B8), IF(Math!B8="","",Math!B8))</f>
        <v/>
      </c>
      <c r="X8" s="125" t="str">
        <f>Optional!D8</f>
        <v/>
      </c>
      <c r="Y8" s="125" t="str">
        <f>Optional!E8</f>
        <v/>
      </c>
      <c r="Z8" s="137" t="str">
        <f>Optional!F8</f>
        <v/>
      </c>
      <c r="AA8" s="127" t="str">
        <f>IF(SubjectList!G8="","", SubjectList!G8)</f>
        <v>Biology</v>
      </c>
      <c r="AB8" s="127" t="str">
        <f>IF(SubjectList!I8="","", SubjectList!I8)</f>
        <v>Math</v>
      </c>
      <c r="AC8" s="125" t="str">
        <f>Bangla!F8</f>
        <v/>
      </c>
      <c r="AD8" s="125" t="str">
        <f>English!E8</f>
        <v/>
      </c>
      <c r="AE8" s="125" t="str">
        <f>ICT!G8</f>
        <v/>
      </c>
      <c r="AF8" s="125" t="str">
        <f>Physics!G8</f>
        <v/>
      </c>
      <c r="AG8" s="125" t="str">
        <f>Chemistry!G8</f>
        <v/>
      </c>
      <c r="AH8" s="125" t="str">
        <f>IF(SubjectList!G8="Math", IF(Math!G8="","",Math!G8), IF(Biology!G8="","",Biology!G8))</f>
        <v/>
      </c>
      <c r="AI8" s="125" t="str">
        <f>IF(SubjectList!H8="Math", IF(Math!G8="","",Math!G8), IF(Biology!G8="","",Biology!G8))</f>
        <v/>
      </c>
      <c r="AJ8" s="140" t="str">
        <f>Bangla!G8</f>
        <v/>
      </c>
      <c r="AK8" s="140" t="str">
        <f>English!F8</f>
        <v/>
      </c>
      <c r="AL8" s="140" t="str">
        <f>ICT!H8</f>
        <v/>
      </c>
      <c r="AM8" s="140" t="str">
        <f>Physics!H8</f>
        <v/>
      </c>
      <c r="AN8" s="140" t="str">
        <f>Chemistry!H8</f>
        <v/>
      </c>
      <c r="AO8" s="140" t="str">
        <f>IF(SubjectList!G8="Math", IF(Math!H8="","",Math!H8), IF(Biology!H8="","",Biology!H8))</f>
        <v/>
      </c>
      <c r="AP8" s="140" t="str">
        <f>IF(SubjectList!I8="Math", IF(Math!H8="","",Math!H8), IF(Biology!H8="","",Biology!H8))</f>
        <v/>
      </c>
      <c r="AQ8" s="140" t="str">
        <f>Optional!I8</f>
        <v/>
      </c>
      <c r="AR8" s="140" t="str">
        <f>Optional!J8</f>
        <v/>
      </c>
      <c r="AS8" s="140" t="str">
        <f t="shared" si="0"/>
        <v/>
      </c>
      <c r="AT8" s="140" t="str">
        <f t="shared" si="8"/>
        <v/>
      </c>
      <c r="AU8" s="128" t="str">
        <f t="shared" si="1"/>
        <v/>
      </c>
      <c r="AV8" s="128" t="str">
        <f t="shared" si="2"/>
        <v/>
      </c>
      <c r="AW8" s="128">
        <f t="shared" si="4"/>
        <v>0</v>
      </c>
      <c r="AX8" s="129" t="str">
        <f t="shared" si="9"/>
        <v/>
      </c>
      <c r="AY8" s="129" t="str">
        <f t="shared" si="3"/>
        <v/>
      </c>
      <c r="AZ8" s="129" t="str">
        <f t="shared" si="3"/>
        <v/>
      </c>
      <c r="BA8" s="129" t="str">
        <f t="shared" si="3"/>
        <v/>
      </c>
      <c r="BB8" s="129" t="str">
        <f t="shared" si="3"/>
        <v/>
      </c>
      <c r="BC8" s="129" t="str">
        <f t="shared" si="3"/>
        <v/>
      </c>
      <c r="BD8" s="125">
        <f t="shared" si="10"/>
        <v>0</v>
      </c>
      <c r="BE8" s="125" t="str">
        <f t="shared" si="6"/>
        <v>F6</v>
      </c>
      <c r="BF8" s="125" t="str">
        <f>IF(AV8="","",RANK(AV8,AV$2:AV88,0))</f>
        <v/>
      </c>
      <c r="BG8" s="125" t="str">
        <f t="shared" si="7"/>
        <v/>
      </c>
    </row>
    <row r="9" spans="1:59" x14ac:dyDescent="0.35">
      <c r="A9" s="125">
        <f>'Student Basic Info'!A9</f>
        <v>708</v>
      </c>
      <c r="B9" s="125" t="str">
        <f>'Student Basic Info'!C9</f>
        <v>Nafisa Aktar Prova</v>
      </c>
      <c r="C9" s="126" t="str">
        <f>IF(Bangla!B9="","",Bangla!B9)</f>
        <v/>
      </c>
      <c r="D9" s="126">
        <f>IF(Bangla!C9="","",Bangla!C9)</f>
        <v>62</v>
      </c>
      <c r="E9" s="135">
        <f>IF(Bangla!D9="","",Bangla!D9)</f>
        <v>62</v>
      </c>
      <c r="F9" s="135">
        <f>IF(English!C9="","",English!C9)</f>
        <v>33</v>
      </c>
      <c r="G9" s="125">
        <f>IF(ICT!B9="","",ICT!B9)</f>
        <v>15</v>
      </c>
      <c r="H9" s="125">
        <f>IF(ICT!C9="","",ICT!C9)</f>
        <v>8</v>
      </c>
      <c r="I9" s="125">
        <f>IF(ICT!D9="","",ICT!D9)</f>
        <v>20</v>
      </c>
      <c r="J9" s="137">
        <f>IF(ICT!E9="","",ICT!E9)</f>
        <v>43</v>
      </c>
      <c r="K9" s="125">
        <f>IF(Physics!B9="","",Physics!B9)</f>
        <v>7</v>
      </c>
      <c r="L9" s="125">
        <f>IF(Physics!C9="","",Physics!C9)</f>
        <v>11</v>
      </c>
      <c r="M9" s="125">
        <f>IF(Physics!D9="","",Physics!D9)</f>
        <v>10</v>
      </c>
      <c r="N9" s="137">
        <f>IF(Physics!E9="","",Physics!E9)</f>
        <v>28</v>
      </c>
      <c r="O9" s="125">
        <f>IF(Chemistry!B9="","",Chemistry!B9)</f>
        <v>16</v>
      </c>
      <c r="P9" s="125">
        <f>IF(Chemistry!C9="","",Chemistry!C9)</f>
        <v>13</v>
      </c>
      <c r="Q9" s="125">
        <f>IF(Chemistry!D9="","",Chemistry!D9)</f>
        <v>8</v>
      </c>
      <c r="R9" s="137">
        <f>IF(Chemistry!E9="","",Chemistry!E9)</f>
        <v>37</v>
      </c>
      <c r="S9" s="125">
        <f>IF(SubjectList!G9="Math", IF(Math!B9="","",Math!B9), IF(Biology!B9="","",Biology!B9))</f>
        <v>8</v>
      </c>
      <c r="T9" s="125">
        <f>IF(SubjectList!G9="Math", IF(Math!C9="","",Math!C9), IF(Biology!C9="","",Biology!C9))</f>
        <v>11</v>
      </c>
      <c r="U9" s="125">
        <f>IF(SubjectList!G9="Math", IF(Math!D9="","",Math!D9), IF(Biology!D9="","",Biology!D9))</f>
        <v>10</v>
      </c>
      <c r="V9" s="137">
        <f>IF(SubjectList!G9="Math", IF(Math!E9="","",Math!E9), IF(Biology!E9="","",Biology!E9))</f>
        <v>29</v>
      </c>
      <c r="W9" s="125">
        <f>IF(SubjectList!I9="Biology", IF(Biology!B9="","",Biology!B9), IF(Math!B9="","",Math!B9))</f>
        <v>16</v>
      </c>
      <c r="X9" s="125">
        <f>Optional!D9</f>
        <v>0</v>
      </c>
      <c r="Y9" s="125">
        <f>Optional!E9</f>
        <v>9</v>
      </c>
      <c r="Z9" s="137">
        <f>Optional!F9</f>
        <v>25</v>
      </c>
      <c r="AA9" s="127" t="str">
        <f>IF(SubjectList!G9="","", SubjectList!G9)</f>
        <v>Biology</v>
      </c>
      <c r="AB9" s="127" t="str">
        <f>IF(SubjectList!I9="","", SubjectList!I9)</f>
        <v>Math</v>
      </c>
      <c r="AC9" s="125" t="str">
        <f>Bangla!F9</f>
        <v>A-</v>
      </c>
      <c r="AD9" s="125" t="str">
        <f>English!E9</f>
        <v>D</v>
      </c>
      <c r="AE9" s="125" t="str">
        <f>ICT!G9</f>
        <v>F</v>
      </c>
      <c r="AF9" s="125" t="str">
        <f>Physics!G9</f>
        <v>F</v>
      </c>
      <c r="AG9" s="125" t="str">
        <f>Chemistry!G9</f>
        <v>F</v>
      </c>
      <c r="AH9" s="125" t="str">
        <f>IF(SubjectList!G9="Math", IF(Math!G9="","",Math!G9), IF(Biology!G9="","",Biology!G9))</f>
        <v>F</v>
      </c>
      <c r="AI9" s="125" t="str">
        <f>IF(SubjectList!H9="Math", IF(Math!G9="","",Math!G9), IF(Biology!G9="","",Biology!G9))</f>
        <v>F</v>
      </c>
      <c r="AJ9" s="140">
        <f>Bangla!G9</f>
        <v>3.5</v>
      </c>
      <c r="AK9" s="140">
        <f>English!F9</f>
        <v>1</v>
      </c>
      <c r="AL9" s="140">
        <f>ICT!H9</f>
        <v>0</v>
      </c>
      <c r="AM9" s="140">
        <f>Physics!H9</f>
        <v>0</v>
      </c>
      <c r="AN9" s="140">
        <f>Chemistry!H9</f>
        <v>0</v>
      </c>
      <c r="AO9" s="140">
        <f>IF(SubjectList!G9="Math", IF(Math!H9="","",Math!H9), IF(Biology!H9="","",Biology!H9))</f>
        <v>0</v>
      </c>
      <c r="AP9" s="140">
        <f>IF(SubjectList!I9="Math", IF(Math!H9="","",Math!H9), IF(Biology!H9="","",Biology!H9))</f>
        <v>0</v>
      </c>
      <c r="AQ9" s="140">
        <f>Optional!I9</f>
        <v>0</v>
      </c>
      <c r="AR9" s="140">
        <f>Optional!J9</f>
        <v>0</v>
      </c>
      <c r="AS9" s="140">
        <f t="shared" si="0"/>
        <v>4.5</v>
      </c>
      <c r="AT9" s="140">
        <f t="shared" si="8"/>
        <v>4.5</v>
      </c>
      <c r="AU9" s="128" t="str">
        <f t="shared" si="1"/>
        <v/>
      </c>
      <c r="AV9" s="128" t="str">
        <f t="shared" si="2"/>
        <v/>
      </c>
      <c r="AW9" s="128">
        <f t="shared" si="4"/>
        <v>257</v>
      </c>
      <c r="AX9" s="129">
        <f t="shared" si="9"/>
        <v>1</v>
      </c>
      <c r="AY9" s="129">
        <f t="shared" si="3"/>
        <v>1</v>
      </c>
      <c r="AZ9" s="129">
        <f t="shared" si="3"/>
        <v>0</v>
      </c>
      <c r="BA9" s="129">
        <f t="shared" si="3"/>
        <v>0</v>
      </c>
      <c r="BB9" s="129">
        <f t="shared" si="3"/>
        <v>0</v>
      </c>
      <c r="BC9" s="129">
        <f t="shared" si="3"/>
        <v>0</v>
      </c>
      <c r="BD9" s="125">
        <f t="shared" si="10"/>
        <v>2</v>
      </c>
      <c r="BE9" s="125" t="str">
        <f t="shared" si="6"/>
        <v>F4</v>
      </c>
      <c r="BF9" s="125" t="str">
        <f>IF(AV9="","",RANK(AV9,AV$2:AV88,0))</f>
        <v/>
      </c>
      <c r="BG9" s="125" t="str">
        <f t="shared" si="7"/>
        <v/>
      </c>
    </row>
    <row r="10" spans="1:59" x14ac:dyDescent="0.35">
      <c r="A10" s="125">
        <f>'Student Basic Info'!A10</f>
        <v>709</v>
      </c>
      <c r="B10" s="125" t="str">
        <f>'Student Basic Info'!C10</f>
        <v>Nafisa Anjum Prena</v>
      </c>
      <c r="C10" s="126" t="str">
        <f>IF(Bangla!B10="","",Bangla!B10)</f>
        <v/>
      </c>
      <c r="D10" s="126">
        <f>IF(Bangla!C10="","",Bangla!C10)</f>
        <v>63</v>
      </c>
      <c r="E10" s="135">
        <f>IF(Bangla!D10="","",Bangla!D10)</f>
        <v>63</v>
      </c>
      <c r="F10" s="135">
        <f>IF(English!C10="","",English!C10)</f>
        <v>33</v>
      </c>
      <c r="G10" s="125">
        <f>IF(ICT!B10="","",ICT!B10)</f>
        <v>12</v>
      </c>
      <c r="H10" s="125">
        <f>IF(ICT!C10="","",ICT!C10)</f>
        <v>7</v>
      </c>
      <c r="I10" s="125">
        <f>IF(ICT!D10="","",ICT!D10)</f>
        <v>18</v>
      </c>
      <c r="J10" s="137">
        <f>IF(ICT!E10="","",ICT!E10)</f>
        <v>37</v>
      </c>
      <c r="K10" s="125">
        <f>IF(Physics!B10="","",Physics!B10)</f>
        <v>9</v>
      </c>
      <c r="L10" s="125">
        <f>IF(Physics!C10="","",Physics!C10)</f>
        <v>18</v>
      </c>
      <c r="M10" s="125">
        <f>IF(Physics!D10="","",Physics!D10)</f>
        <v>13</v>
      </c>
      <c r="N10" s="137">
        <f>IF(Physics!E10="","",Physics!E10)</f>
        <v>40</v>
      </c>
      <c r="O10" s="125">
        <f>IF(Chemistry!B10="","",Chemistry!B10)</f>
        <v>15</v>
      </c>
      <c r="P10" s="125">
        <f>IF(Chemistry!C10="","",Chemistry!C10)</f>
        <v>11</v>
      </c>
      <c r="Q10" s="125">
        <f>IF(Chemistry!D10="","",Chemistry!D10)</f>
        <v>8</v>
      </c>
      <c r="R10" s="137">
        <f>IF(Chemistry!E10="","",Chemistry!E10)</f>
        <v>34</v>
      </c>
      <c r="S10" s="125">
        <f>IF(SubjectList!G10="Math", IF(Math!B10="","",Math!B10), IF(Biology!B10="","",Biology!B10))</f>
        <v>8</v>
      </c>
      <c r="T10" s="125">
        <f>IF(SubjectList!G10="Math", IF(Math!C10="","",Math!C10), IF(Biology!C10="","",Biology!C10))</f>
        <v>10</v>
      </c>
      <c r="U10" s="125">
        <f>IF(SubjectList!G10="Math", IF(Math!D10="","",Math!D10), IF(Biology!D10="","",Biology!D10))</f>
        <v>10</v>
      </c>
      <c r="V10" s="137">
        <f>IF(SubjectList!G10="Math", IF(Math!E10="","",Math!E10), IF(Biology!E10="","",Biology!E10))</f>
        <v>28</v>
      </c>
      <c r="W10" s="125">
        <f>IF(SubjectList!I10="Biology", IF(Biology!B10="","",Biology!B10), IF(Math!B10="","",Math!B10))</f>
        <v>13</v>
      </c>
      <c r="X10" s="125">
        <f>Optional!D10</f>
        <v>1</v>
      </c>
      <c r="Y10" s="125">
        <f>Optional!E10</f>
        <v>9</v>
      </c>
      <c r="Z10" s="137">
        <f>Optional!F10</f>
        <v>23</v>
      </c>
      <c r="AA10" s="127" t="str">
        <f>IF(SubjectList!G10="","", SubjectList!G10)</f>
        <v>Biology</v>
      </c>
      <c r="AB10" s="127" t="str">
        <f>IF(SubjectList!I10="","", SubjectList!I10)</f>
        <v>Math</v>
      </c>
      <c r="AC10" s="125" t="str">
        <f>Bangla!F10</f>
        <v>A-</v>
      </c>
      <c r="AD10" s="125" t="str">
        <f>English!E10</f>
        <v>D</v>
      </c>
      <c r="AE10" s="125" t="str">
        <f>ICT!G10</f>
        <v>F</v>
      </c>
      <c r="AF10" s="125" t="str">
        <f>Physics!G10</f>
        <v>C</v>
      </c>
      <c r="AG10" s="125" t="str">
        <f>Chemistry!G10</f>
        <v>F</v>
      </c>
      <c r="AH10" s="125" t="str">
        <f>IF(SubjectList!G10="Math", IF(Math!G10="","",Math!G10), IF(Biology!G10="","",Biology!G10))</f>
        <v>F</v>
      </c>
      <c r="AI10" s="125" t="str">
        <f>IF(SubjectList!H10="Math", IF(Math!G10="","",Math!G10), IF(Biology!G10="","",Biology!G10))</f>
        <v>F</v>
      </c>
      <c r="AJ10" s="140">
        <f>Bangla!G10</f>
        <v>3.5</v>
      </c>
      <c r="AK10" s="140">
        <f>English!F10</f>
        <v>1</v>
      </c>
      <c r="AL10" s="140">
        <f>ICT!H10</f>
        <v>0</v>
      </c>
      <c r="AM10" s="140">
        <f>Physics!H10</f>
        <v>2</v>
      </c>
      <c r="AN10" s="140">
        <f>Chemistry!H10</f>
        <v>0</v>
      </c>
      <c r="AO10" s="140">
        <f>IF(SubjectList!G10="Math", IF(Math!H10="","",Math!H10), IF(Biology!H10="","",Biology!H10))</f>
        <v>0</v>
      </c>
      <c r="AP10" s="140">
        <f>IF(SubjectList!I10="Math", IF(Math!H10="","",Math!H10), IF(Biology!H10="","",Biology!H10))</f>
        <v>0</v>
      </c>
      <c r="AQ10" s="140">
        <f>Optional!I10</f>
        <v>0</v>
      </c>
      <c r="AR10" s="140">
        <f>Optional!J10</f>
        <v>0</v>
      </c>
      <c r="AS10" s="140">
        <f t="shared" si="0"/>
        <v>6.5</v>
      </c>
      <c r="AT10" s="140">
        <f t="shared" si="8"/>
        <v>6.5</v>
      </c>
      <c r="AU10" s="128" t="str">
        <f t="shared" si="1"/>
        <v/>
      </c>
      <c r="AV10" s="128" t="str">
        <f t="shared" si="2"/>
        <v/>
      </c>
      <c r="AW10" s="128">
        <f t="shared" si="4"/>
        <v>258</v>
      </c>
      <c r="AX10" s="129">
        <f t="shared" si="9"/>
        <v>1</v>
      </c>
      <c r="AY10" s="129">
        <f t="shared" si="3"/>
        <v>1</v>
      </c>
      <c r="AZ10" s="129">
        <f t="shared" si="3"/>
        <v>0</v>
      </c>
      <c r="BA10" s="129">
        <f t="shared" si="3"/>
        <v>1</v>
      </c>
      <c r="BB10" s="129">
        <f t="shared" si="3"/>
        <v>0</v>
      </c>
      <c r="BC10" s="129">
        <f t="shared" si="3"/>
        <v>0</v>
      </c>
      <c r="BD10" s="125">
        <f t="shared" si="10"/>
        <v>3</v>
      </c>
      <c r="BE10" s="125" t="str">
        <f t="shared" si="6"/>
        <v>F3</v>
      </c>
      <c r="BF10" s="125" t="str">
        <f>IF(AV10="","",RANK(AV10,AV$2:AV88,0))</f>
        <v/>
      </c>
      <c r="BG10" s="125" t="str">
        <f t="shared" si="7"/>
        <v/>
      </c>
    </row>
    <row r="11" spans="1:59" x14ac:dyDescent="0.35">
      <c r="A11" s="125">
        <f>'Student Basic Info'!A11</f>
        <v>710</v>
      </c>
      <c r="B11" s="125" t="str">
        <f>'Student Basic Info'!C11</f>
        <v>Umme Tabassum Maisha</v>
      </c>
      <c r="C11" s="126" t="str">
        <f>IF(Bangla!B11="","",Bangla!B11)</f>
        <v/>
      </c>
      <c r="D11" s="126">
        <f>IF(Bangla!C11="","",Bangla!C11)</f>
        <v>56</v>
      </c>
      <c r="E11" s="135">
        <f>IF(Bangla!D11="","",Bangla!D11)</f>
        <v>56</v>
      </c>
      <c r="F11" s="135">
        <f>IF(English!C11="","",English!C11)</f>
        <v>27</v>
      </c>
      <c r="G11" s="125">
        <f>IF(ICT!B11="","",ICT!B11)</f>
        <v>9</v>
      </c>
      <c r="H11" s="125">
        <f>IF(ICT!C11="","",ICT!C11)</f>
        <v>17</v>
      </c>
      <c r="I11" s="125">
        <f>IF(ICT!D11="","",ICT!D11)</f>
        <v>24</v>
      </c>
      <c r="J11" s="137">
        <f>IF(ICT!E11="","",ICT!E11)</f>
        <v>50</v>
      </c>
      <c r="K11" s="125">
        <f>IF(Physics!B11="","",Physics!B11)</f>
        <v>13</v>
      </c>
      <c r="L11" s="125">
        <f>IF(Physics!C11="","",Physics!C11)</f>
        <v>17</v>
      </c>
      <c r="M11" s="125">
        <f>IF(Physics!D11="","",Physics!D11)</f>
        <v>13</v>
      </c>
      <c r="N11" s="137">
        <f>IF(Physics!E11="","",Physics!E11)</f>
        <v>43</v>
      </c>
      <c r="O11" s="125">
        <f>IF(Chemistry!B11="","",Chemistry!B11)</f>
        <v>8</v>
      </c>
      <c r="P11" s="125">
        <f>IF(Chemistry!C11="","",Chemistry!C11)</f>
        <v>12</v>
      </c>
      <c r="Q11" s="125">
        <f>IF(Chemistry!D11="","",Chemistry!D11)</f>
        <v>9</v>
      </c>
      <c r="R11" s="137">
        <f>IF(Chemistry!E11="","",Chemistry!E11)</f>
        <v>29</v>
      </c>
      <c r="S11" s="125">
        <f>IF(SubjectList!G11="Math", IF(Math!B11="","",Math!B11), IF(Biology!B11="","",Biology!B11))</f>
        <v>12</v>
      </c>
      <c r="T11" s="125">
        <f>IF(SubjectList!G11="Math", IF(Math!C11="","",Math!C11), IF(Biology!C11="","",Biology!C11))</f>
        <v>8</v>
      </c>
      <c r="U11" s="125">
        <f>IF(SubjectList!G11="Math", IF(Math!D11="","",Math!D11), IF(Biology!D11="","",Biology!D11))</f>
        <v>11</v>
      </c>
      <c r="V11" s="137">
        <f>IF(SubjectList!G11="Math", IF(Math!E11="","",Math!E11), IF(Biology!E11="","",Biology!E11))</f>
        <v>31</v>
      </c>
      <c r="W11" s="125">
        <f>IF(SubjectList!I11="Biology", IF(Biology!B11="","",Biology!B11), IF(Math!B11="","",Math!B11))</f>
        <v>6</v>
      </c>
      <c r="X11" s="125">
        <f>Optional!D11</f>
        <v>8</v>
      </c>
      <c r="Y11" s="125">
        <f>Optional!E11</f>
        <v>10</v>
      </c>
      <c r="Z11" s="137">
        <f>Optional!F11</f>
        <v>24</v>
      </c>
      <c r="AA11" s="127" t="str">
        <f>IF(SubjectList!G11="","", SubjectList!G11)</f>
        <v>Biology</v>
      </c>
      <c r="AB11" s="127" t="str">
        <f>IF(SubjectList!I11="","", SubjectList!I11)</f>
        <v>Math</v>
      </c>
      <c r="AC11" s="125" t="str">
        <f>Bangla!F11</f>
        <v>B</v>
      </c>
      <c r="AD11" s="125" t="str">
        <f>English!E11</f>
        <v>F</v>
      </c>
      <c r="AE11" s="125" t="str">
        <f>ICT!G11</f>
        <v>B</v>
      </c>
      <c r="AF11" s="125" t="str">
        <f>Physics!G11</f>
        <v>C</v>
      </c>
      <c r="AG11" s="125" t="str">
        <f>Chemistry!G11</f>
        <v>F</v>
      </c>
      <c r="AH11" s="125" t="str">
        <f>IF(SubjectList!G11="Math", IF(Math!G11="","",Math!G11), IF(Biology!G11="","",Biology!G11))</f>
        <v>F</v>
      </c>
      <c r="AI11" s="125" t="str">
        <f>IF(SubjectList!H11="Math", IF(Math!G11="","",Math!G11), IF(Biology!G11="","",Biology!G11))</f>
        <v>F</v>
      </c>
      <c r="AJ11" s="140">
        <f>Bangla!G11</f>
        <v>3</v>
      </c>
      <c r="AK11" s="140">
        <f>English!F11</f>
        <v>0</v>
      </c>
      <c r="AL11" s="140">
        <f>ICT!H11</f>
        <v>3</v>
      </c>
      <c r="AM11" s="140">
        <f>Physics!H11</f>
        <v>2</v>
      </c>
      <c r="AN11" s="140">
        <f>Chemistry!H11</f>
        <v>0</v>
      </c>
      <c r="AO11" s="140">
        <f>IF(SubjectList!G11="Math", IF(Math!H11="","",Math!H11), IF(Biology!H11="","",Biology!H11))</f>
        <v>0</v>
      </c>
      <c r="AP11" s="140">
        <f>IF(SubjectList!I11="Math", IF(Math!H11="","",Math!H11), IF(Biology!H11="","",Biology!H11))</f>
        <v>0</v>
      </c>
      <c r="AQ11" s="140">
        <f>Optional!I11</f>
        <v>0</v>
      </c>
      <c r="AR11" s="140">
        <f>Optional!J11</f>
        <v>0</v>
      </c>
      <c r="AS11" s="140">
        <f t="shared" si="0"/>
        <v>8</v>
      </c>
      <c r="AT11" s="140">
        <f t="shared" si="8"/>
        <v>8</v>
      </c>
      <c r="AU11" s="128" t="str">
        <f t="shared" si="1"/>
        <v/>
      </c>
      <c r="AV11" s="128" t="str">
        <f t="shared" si="2"/>
        <v/>
      </c>
      <c r="AW11" s="128">
        <f>IF(E11="",0,E11)+IF(F11="",0,F11)+IF(J11="",0,J11)+IF(N11="",0,N11)+IF(R11="",0,R11)+IF(V11="",0,V11)+IF(Z11="",0,Z11)</f>
        <v>260</v>
      </c>
      <c r="AX11" s="129">
        <f t="shared" si="9"/>
        <v>1</v>
      </c>
      <c r="AY11" s="129">
        <f t="shared" si="3"/>
        <v>0</v>
      </c>
      <c r="AZ11" s="129">
        <f t="shared" si="3"/>
        <v>1</v>
      </c>
      <c r="BA11" s="129">
        <f t="shared" si="3"/>
        <v>1</v>
      </c>
      <c r="BB11" s="129">
        <f t="shared" si="3"/>
        <v>0</v>
      </c>
      <c r="BC11" s="129">
        <f t="shared" si="3"/>
        <v>0</v>
      </c>
      <c r="BD11" s="125">
        <f t="shared" si="10"/>
        <v>3</v>
      </c>
      <c r="BE11" s="125" t="str">
        <f t="shared" si="6"/>
        <v>F3</v>
      </c>
      <c r="BF11" s="125" t="str">
        <f>IF(AV11="","",RANK(AV11,AV$2:AV88,0))</f>
        <v/>
      </c>
      <c r="BG11" s="125" t="str">
        <f t="shared" si="7"/>
        <v/>
      </c>
    </row>
    <row r="12" spans="1:59" x14ac:dyDescent="0.35">
      <c r="A12" s="125">
        <f>'Student Basic Info'!A12</f>
        <v>711</v>
      </c>
      <c r="B12" s="125" t="str">
        <f>'Student Basic Info'!C12</f>
        <v>Rakhi Ahasan</v>
      </c>
      <c r="C12" s="126" t="str">
        <f>IF(Bangla!B12="","",Bangla!B12)</f>
        <v/>
      </c>
      <c r="D12" s="126" t="str">
        <f>IF(Bangla!C12="","",Bangla!C12)</f>
        <v/>
      </c>
      <c r="E12" s="135" t="str">
        <f>IF(Bangla!D12="","",Bangla!D12)</f>
        <v/>
      </c>
      <c r="F12" s="135" t="str">
        <f>IF(English!C12="","",English!C12)</f>
        <v/>
      </c>
      <c r="G12" s="125" t="str">
        <f>IF(ICT!B12="","",ICT!B12)</f>
        <v/>
      </c>
      <c r="H12" s="125" t="str">
        <f>IF(ICT!C12="","",ICT!C12)</f>
        <v/>
      </c>
      <c r="I12" s="125" t="str">
        <f>IF(ICT!D12="","",ICT!D12)</f>
        <v/>
      </c>
      <c r="J12" s="137" t="str">
        <f>IF(ICT!E12="","",ICT!E12)</f>
        <v/>
      </c>
      <c r="K12" s="125" t="str">
        <f>IF(Physics!B12="","",Physics!B12)</f>
        <v/>
      </c>
      <c r="L12" s="125" t="str">
        <f>IF(Physics!C12="","",Physics!C12)</f>
        <v/>
      </c>
      <c r="M12" s="125" t="str">
        <f>IF(Physics!D12="","",Physics!D12)</f>
        <v/>
      </c>
      <c r="N12" s="137" t="str">
        <f>IF(Physics!E12="","",Physics!E12)</f>
        <v/>
      </c>
      <c r="O12" s="125" t="str">
        <f>IF(Chemistry!B12="","",Chemistry!B12)</f>
        <v/>
      </c>
      <c r="P12" s="125" t="str">
        <f>IF(Chemistry!C12="","",Chemistry!C12)</f>
        <v/>
      </c>
      <c r="Q12" s="125" t="str">
        <f>IF(Chemistry!D12="","",Chemistry!D12)</f>
        <v/>
      </c>
      <c r="R12" s="137" t="str">
        <f>IF(Chemistry!E12="","",Chemistry!E12)</f>
        <v/>
      </c>
      <c r="S12" s="125" t="str">
        <f>IF(SubjectList!G12="Math", IF(Math!B12="","",Math!B12), IF(Biology!B12="","",Biology!B12))</f>
        <v/>
      </c>
      <c r="T12" s="125" t="str">
        <f>IF(SubjectList!G12="Math", IF(Math!C12="","",Math!C12), IF(Biology!C12="","",Biology!C12))</f>
        <v/>
      </c>
      <c r="U12" s="125" t="str">
        <f>IF(SubjectList!G12="Math", IF(Math!D12="","",Math!D12), IF(Biology!D12="","",Biology!D12))</f>
        <v/>
      </c>
      <c r="V12" s="137" t="str">
        <f>IF(SubjectList!G12="Math", IF(Math!E12="","",Math!E12), IF(Biology!E12="","",Biology!E12))</f>
        <v/>
      </c>
      <c r="W12" s="125" t="str">
        <f>IF(SubjectList!I12="Biology", IF(Biology!B12="","",Biology!B12), IF(Math!B12="","",Math!B12))</f>
        <v/>
      </c>
      <c r="X12" s="125" t="str">
        <f>Optional!D12</f>
        <v/>
      </c>
      <c r="Y12" s="125" t="str">
        <f>Optional!E12</f>
        <v/>
      </c>
      <c r="Z12" s="137" t="str">
        <f>Optional!F12</f>
        <v/>
      </c>
      <c r="AA12" s="127" t="str">
        <f>IF(SubjectList!G12="","", SubjectList!G12)</f>
        <v>Biology</v>
      </c>
      <c r="AB12" s="127" t="str">
        <f>IF(SubjectList!I12="","", SubjectList!I12)</f>
        <v>Math</v>
      </c>
      <c r="AC12" s="125" t="str">
        <f>Bangla!F12</f>
        <v/>
      </c>
      <c r="AD12" s="125" t="str">
        <f>English!E12</f>
        <v/>
      </c>
      <c r="AE12" s="125" t="str">
        <f>ICT!G12</f>
        <v/>
      </c>
      <c r="AF12" s="125" t="str">
        <f>Physics!G12</f>
        <v/>
      </c>
      <c r="AG12" s="125" t="str">
        <f>Chemistry!G12</f>
        <v/>
      </c>
      <c r="AH12" s="125" t="str">
        <f>IF(SubjectList!G12="Math", IF(Math!G12="","",Math!G12), IF(Biology!G12="","",Biology!G12))</f>
        <v/>
      </c>
      <c r="AI12" s="125" t="str">
        <f>IF(SubjectList!H12="Math", IF(Math!G12="","",Math!G12), IF(Biology!G12="","",Biology!G12))</f>
        <v/>
      </c>
      <c r="AJ12" s="140" t="str">
        <f>Bangla!G12</f>
        <v/>
      </c>
      <c r="AK12" s="140" t="str">
        <f>English!F12</f>
        <v/>
      </c>
      <c r="AL12" s="140" t="str">
        <f>ICT!H12</f>
        <v/>
      </c>
      <c r="AM12" s="140" t="str">
        <f>Physics!H12</f>
        <v/>
      </c>
      <c r="AN12" s="140" t="str">
        <f>Chemistry!H12</f>
        <v/>
      </c>
      <c r="AO12" s="140" t="str">
        <f>IF(SubjectList!G12="Math", IF(Math!H12="","",Math!H12), IF(Biology!H12="","",Biology!H12))</f>
        <v/>
      </c>
      <c r="AP12" s="140" t="str">
        <f>IF(SubjectList!I12="Math", IF(Math!H12="","",Math!H12), IF(Biology!H12="","",Biology!H12))</f>
        <v/>
      </c>
      <c r="AQ12" s="140" t="str">
        <f>Optional!I12</f>
        <v/>
      </c>
      <c r="AR12" s="140" t="str">
        <f>Optional!J12</f>
        <v/>
      </c>
      <c r="AS12" s="140" t="str">
        <f t="shared" si="0"/>
        <v/>
      </c>
      <c r="AT12" s="140" t="str">
        <f t="shared" si="8"/>
        <v/>
      </c>
      <c r="AU12" s="128" t="str">
        <f t="shared" si="1"/>
        <v/>
      </c>
      <c r="AV12" s="128" t="str">
        <f t="shared" si="2"/>
        <v/>
      </c>
      <c r="AW12" s="128">
        <f t="shared" ref="AW12:AW75" si="11">IF(E12="",0,E12)+IF(F12="",0,F12)+IF(J12="",0,J12)+IF(N12="",0,N12)+IF(R12="",0,R12)+IF(V12="",0,V12)+IF(Z12="",0,Z12)</f>
        <v>0</v>
      </c>
      <c r="AX12" s="129" t="str">
        <f t="shared" si="9"/>
        <v/>
      </c>
      <c r="AY12" s="129" t="str">
        <f t="shared" si="3"/>
        <v/>
      </c>
      <c r="AZ12" s="129" t="str">
        <f t="shared" si="3"/>
        <v/>
      </c>
      <c r="BA12" s="129" t="str">
        <f t="shared" si="3"/>
        <v/>
      </c>
      <c r="BB12" s="129" t="str">
        <f t="shared" si="3"/>
        <v/>
      </c>
      <c r="BC12" s="129" t="str">
        <f t="shared" si="3"/>
        <v/>
      </c>
      <c r="BD12" s="125">
        <f t="shared" si="10"/>
        <v>0</v>
      </c>
      <c r="BE12" s="125" t="str">
        <f t="shared" si="6"/>
        <v>F6</v>
      </c>
      <c r="BF12" s="125" t="str">
        <f>IF(AV12="","",RANK(AV12,AV$2:AV88,0))</f>
        <v/>
      </c>
      <c r="BG12" s="125" t="str">
        <f t="shared" si="7"/>
        <v/>
      </c>
    </row>
    <row r="13" spans="1:59" x14ac:dyDescent="0.35">
      <c r="A13" s="125">
        <f>'Student Basic Info'!A13</f>
        <v>712</v>
      </c>
      <c r="B13" s="125" t="str">
        <f>'Student Basic Info'!C13</f>
        <v>Nadiyatul Nayem</v>
      </c>
      <c r="C13" s="126" t="str">
        <f>IF(Bangla!B13="","",Bangla!B13)</f>
        <v/>
      </c>
      <c r="D13" s="126">
        <f>IF(Bangla!C13="","",Bangla!C13)</f>
        <v>50</v>
      </c>
      <c r="E13" s="135">
        <f>IF(Bangla!D13="","",Bangla!D13)</f>
        <v>50</v>
      </c>
      <c r="F13" s="135">
        <f>IF(English!C13="","",English!C13)</f>
        <v>33</v>
      </c>
      <c r="G13" s="125">
        <f>IF(ICT!B13="","",ICT!B13)</f>
        <v>10</v>
      </c>
      <c r="H13" s="125">
        <f>IF(ICT!C13="","",ICT!C13)</f>
        <v>17</v>
      </c>
      <c r="I13" s="125">
        <f>IF(ICT!D13="","",ICT!D13)</f>
        <v>20</v>
      </c>
      <c r="J13" s="137">
        <f>IF(ICT!E13="","",ICT!E13)</f>
        <v>47</v>
      </c>
      <c r="K13" s="125">
        <f>IF(Physics!B13="","",Physics!B13)</f>
        <v>9</v>
      </c>
      <c r="L13" s="125">
        <f>IF(Physics!C13="","",Physics!C13)</f>
        <v>27</v>
      </c>
      <c r="M13" s="125">
        <f>IF(Physics!D13="","",Physics!D13)</f>
        <v>16</v>
      </c>
      <c r="N13" s="137">
        <f>IF(Physics!E13="","",Physics!E13)</f>
        <v>52</v>
      </c>
      <c r="O13" s="125">
        <f>IF(Chemistry!B13="","",Chemistry!B13)</f>
        <v>16</v>
      </c>
      <c r="P13" s="125">
        <f>IF(Chemistry!C13="","",Chemistry!C13)</f>
        <v>18</v>
      </c>
      <c r="Q13" s="125">
        <f>IF(Chemistry!D13="","",Chemistry!D13)</f>
        <v>15</v>
      </c>
      <c r="R13" s="137">
        <f>IF(Chemistry!E13="","",Chemistry!E13)</f>
        <v>49</v>
      </c>
      <c r="S13" s="125">
        <f>IF(SubjectList!G13="Math", IF(Math!B13="","",Math!B13), IF(Biology!B13="","",Biology!B13))</f>
        <v>6</v>
      </c>
      <c r="T13" s="125">
        <f>IF(SubjectList!G13="Math", IF(Math!C13="","",Math!C13), IF(Biology!C13="","",Biology!C13))</f>
        <v>12</v>
      </c>
      <c r="U13" s="125">
        <f>IF(SubjectList!G13="Math", IF(Math!D13="","",Math!D13), IF(Biology!D13="","",Biology!D13))</f>
        <v>12</v>
      </c>
      <c r="V13" s="137">
        <f>IF(SubjectList!G13="Math", IF(Math!E13="","",Math!E13), IF(Biology!E13="","",Biology!E13))</f>
        <v>30</v>
      </c>
      <c r="W13" s="125">
        <f>IF(SubjectList!I13="Biology", IF(Biology!B13="","",Biology!B13), IF(Math!B13="","",Math!B13))</f>
        <v>11</v>
      </c>
      <c r="X13" s="125">
        <f>Optional!D13</f>
        <v>8</v>
      </c>
      <c r="Y13" s="125">
        <f>Optional!E13</f>
        <v>10</v>
      </c>
      <c r="Z13" s="137">
        <f>Optional!F13</f>
        <v>29</v>
      </c>
      <c r="AA13" s="127" t="str">
        <f>IF(SubjectList!G13="","", SubjectList!G13)</f>
        <v>Biology</v>
      </c>
      <c r="AB13" s="127" t="str">
        <f>IF(SubjectList!I13="","", SubjectList!I13)</f>
        <v>Math</v>
      </c>
      <c r="AC13" s="125" t="str">
        <f>Bangla!F13</f>
        <v>B</v>
      </c>
      <c r="AD13" s="125" t="str">
        <f>English!E13</f>
        <v>D</v>
      </c>
      <c r="AE13" s="125" t="str">
        <f>ICT!G13</f>
        <v>C</v>
      </c>
      <c r="AF13" s="125" t="str">
        <f>Physics!G13</f>
        <v>B</v>
      </c>
      <c r="AG13" s="125" t="str">
        <f>Chemistry!G13</f>
        <v>C</v>
      </c>
      <c r="AH13" s="125" t="str">
        <f>IF(SubjectList!G13="Math", IF(Math!G13="","",Math!G13), IF(Biology!G13="","",Biology!G13))</f>
        <v>F</v>
      </c>
      <c r="AI13" s="125" t="str">
        <f>IF(SubjectList!H13="Math", IF(Math!G13="","",Math!G13), IF(Biology!G13="","",Biology!G13))</f>
        <v>F</v>
      </c>
      <c r="AJ13" s="140">
        <f>Bangla!G13</f>
        <v>3</v>
      </c>
      <c r="AK13" s="140">
        <f>English!F13</f>
        <v>1</v>
      </c>
      <c r="AL13" s="140">
        <f>ICT!H13</f>
        <v>2</v>
      </c>
      <c r="AM13" s="140">
        <f>Physics!H13</f>
        <v>3</v>
      </c>
      <c r="AN13" s="140">
        <f>Chemistry!H13</f>
        <v>2</v>
      </c>
      <c r="AO13" s="140">
        <f>IF(SubjectList!G13="Math", IF(Math!H13="","",Math!H13), IF(Biology!H13="","",Biology!H13))</f>
        <v>0</v>
      </c>
      <c r="AP13" s="140">
        <f>IF(SubjectList!I13="Math", IF(Math!H13="","",Math!H13), IF(Biology!H13="","",Biology!H13))</f>
        <v>0</v>
      </c>
      <c r="AQ13" s="140">
        <f>Optional!I13</f>
        <v>0</v>
      </c>
      <c r="AR13" s="140">
        <f>Optional!J13</f>
        <v>0</v>
      </c>
      <c r="AS13" s="140">
        <f t="shared" si="0"/>
        <v>11</v>
      </c>
      <c r="AT13" s="140">
        <f t="shared" si="8"/>
        <v>11</v>
      </c>
      <c r="AU13" s="128" t="str">
        <f t="shared" si="1"/>
        <v/>
      </c>
      <c r="AV13" s="128" t="str">
        <f t="shared" si="2"/>
        <v/>
      </c>
      <c r="AW13" s="128">
        <f t="shared" si="11"/>
        <v>290</v>
      </c>
      <c r="AX13" s="129">
        <f t="shared" si="9"/>
        <v>1</v>
      </c>
      <c r="AY13" s="129">
        <f t="shared" si="3"/>
        <v>1</v>
      </c>
      <c r="AZ13" s="129">
        <f t="shared" si="3"/>
        <v>1</v>
      </c>
      <c r="BA13" s="129">
        <f t="shared" si="3"/>
        <v>1</v>
      </c>
      <c r="BB13" s="129">
        <f t="shared" si="3"/>
        <v>1</v>
      </c>
      <c r="BC13" s="129">
        <f t="shared" si="3"/>
        <v>0</v>
      </c>
      <c r="BD13" s="125">
        <f t="shared" si="10"/>
        <v>5</v>
      </c>
      <c r="BE13" s="125" t="str">
        <f t="shared" si="6"/>
        <v>F1</v>
      </c>
      <c r="BF13" s="125" t="str">
        <f>IF(AV13="","",RANK(AV13,AV$2:AV88,0))</f>
        <v/>
      </c>
      <c r="BG13" s="125" t="str">
        <f t="shared" si="7"/>
        <v/>
      </c>
    </row>
    <row r="14" spans="1:59" x14ac:dyDescent="0.35">
      <c r="A14" s="125">
        <f>'Student Basic Info'!A14</f>
        <v>713</v>
      </c>
      <c r="B14" s="125" t="str">
        <f>'Student Basic Info'!C14</f>
        <v>Zannatul Ferdaus Fariha</v>
      </c>
      <c r="C14" s="126" t="str">
        <f>IF(Bangla!B14="","",Bangla!B14)</f>
        <v/>
      </c>
      <c r="D14" s="126">
        <f>IF(Bangla!C14="","",Bangla!C14)</f>
        <v>57</v>
      </c>
      <c r="E14" s="135">
        <f>IF(Bangla!D14="","",Bangla!D14)</f>
        <v>57</v>
      </c>
      <c r="F14" s="135">
        <f>IF(English!C14="","",English!C14)</f>
        <v>44</v>
      </c>
      <c r="G14" s="125">
        <f>IF(ICT!B14="","",ICT!B14)</f>
        <v>16</v>
      </c>
      <c r="H14" s="125">
        <f>IF(ICT!C14="","",ICT!C14)</f>
        <v>21</v>
      </c>
      <c r="I14" s="125">
        <f>IF(ICT!D14="","",ICT!D14)</f>
        <v>25</v>
      </c>
      <c r="J14" s="137">
        <f>IF(ICT!E14="","",ICT!E14)</f>
        <v>62</v>
      </c>
      <c r="K14" s="125">
        <f>IF(Physics!B14="","",Physics!B14)</f>
        <v>11</v>
      </c>
      <c r="L14" s="125">
        <f>IF(Physics!C14="","",Physics!C14)</f>
        <v>32</v>
      </c>
      <c r="M14" s="125">
        <f>IF(Physics!D14="","",Physics!D14)</f>
        <v>18</v>
      </c>
      <c r="N14" s="137">
        <f>IF(Physics!E14="","",Physics!E14)</f>
        <v>61</v>
      </c>
      <c r="O14" s="125">
        <f>IF(Chemistry!B14="","",Chemistry!B14)</f>
        <v>16</v>
      </c>
      <c r="P14" s="125">
        <f>IF(Chemistry!C14="","",Chemistry!C14)</f>
        <v>24</v>
      </c>
      <c r="Q14" s="125">
        <f>IF(Chemistry!D14="","",Chemistry!D14)</f>
        <v>20</v>
      </c>
      <c r="R14" s="137">
        <f>IF(Chemistry!E14="","",Chemistry!E14)</f>
        <v>60</v>
      </c>
      <c r="S14" s="125">
        <f>IF(SubjectList!G14="Math", IF(Math!B14="","",Math!B14), IF(Biology!B14="","",Biology!B14))</f>
        <v>8</v>
      </c>
      <c r="T14" s="125">
        <f>IF(SubjectList!G14="Math", IF(Math!C14="","",Math!C14), IF(Biology!C14="","",Biology!C14))</f>
        <v>17</v>
      </c>
      <c r="U14" s="125">
        <f>IF(SubjectList!G14="Math", IF(Math!D14="","",Math!D14), IF(Biology!D14="","",Biology!D14))</f>
        <v>15</v>
      </c>
      <c r="V14" s="137">
        <f>IF(SubjectList!G14="Math", IF(Math!E14="","",Math!E14), IF(Biology!E14="","",Biology!E14))</f>
        <v>40</v>
      </c>
      <c r="W14" s="125">
        <f>IF(SubjectList!I14="Biology", IF(Biology!B14="","",Biology!B14), IF(Math!B14="","",Math!B14))</f>
        <v>13</v>
      </c>
      <c r="X14" s="125">
        <f>Optional!D14</f>
        <v>3</v>
      </c>
      <c r="Y14" s="125">
        <f>Optional!E14</f>
        <v>10</v>
      </c>
      <c r="Z14" s="137">
        <f>Optional!F14</f>
        <v>26</v>
      </c>
      <c r="AA14" s="127" t="str">
        <f>IF(SubjectList!G14="","", SubjectList!G14)</f>
        <v>Biology</v>
      </c>
      <c r="AB14" s="127" t="str">
        <f>IF(SubjectList!I14="","", SubjectList!I14)</f>
        <v>Math</v>
      </c>
      <c r="AC14" s="125" t="str">
        <f>Bangla!F14</f>
        <v>B</v>
      </c>
      <c r="AD14" s="125" t="str">
        <f>English!E14</f>
        <v>C</v>
      </c>
      <c r="AE14" s="125" t="str">
        <f>ICT!G14</f>
        <v>A-</v>
      </c>
      <c r="AF14" s="125" t="str">
        <f>Physics!G14</f>
        <v>A-</v>
      </c>
      <c r="AG14" s="125" t="str">
        <f>Chemistry!G14</f>
        <v>A-</v>
      </c>
      <c r="AH14" s="125" t="str">
        <f>IF(SubjectList!G14="Math", IF(Math!G14="","",Math!G14), IF(Biology!G14="","",Biology!G14))</f>
        <v>C</v>
      </c>
      <c r="AI14" s="125" t="str">
        <f>IF(SubjectList!H14="Math", IF(Math!G14="","",Math!G14), IF(Biology!G14="","",Biology!G14))</f>
        <v>F</v>
      </c>
      <c r="AJ14" s="140">
        <f>Bangla!G14</f>
        <v>3</v>
      </c>
      <c r="AK14" s="140">
        <f>English!F14</f>
        <v>2</v>
      </c>
      <c r="AL14" s="140">
        <f>ICT!H14</f>
        <v>3.5</v>
      </c>
      <c r="AM14" s="140">
        <f>Physics!H14</f>
        <v>3.5</v>
      </c>
      <c r="AN14" s="140">
        <f>Chemistry!H14</f>
        <v>3.5</v>
      </c>
      <c r="AO14" s="140">
        <f>IF(SubjectList!G14="Math", IF(Math!H14="","",Math!H14), IF(Biology!H14="","",Biology!H14))</f>
        <v>2</v>
      </c>
      <c r="AP14" s="140">
        <f>IF(SubjectList!I14="Math", IF(Math!H14="","",Math!H14), IF(Biology!H14="","",Biology!H14))</f>
        <v>0</v>
      </c>
      <c r="AQ14" s="140">
        <f>Optional!I14</f>
        <v>0</v>
      </c>
      <c r="AR14" s="140">
        <f>Optional!J14</f>
        <v>0</v>
      </c>
      <c r="AS14" s="140">
        <f t="shared" si="0"/>
        <v>17.5</v>
      </c>
      <c r="AT14" s="140">
        <f t="shared" si="8"/>
        <v>17.5</v>
      </c>
      <c r="AU14" s="128">
        <f t="shared" si="1"/>
        <v>2.9166666666666665</v>
      </c>
      <c r="AV14" s="128">
        <f t="shared" si="2"/>
        <v>2.9166666666666665</v>
      </c>
      <c r="AW14" s="128">
        <f t="shared" si="11"/>
        <v>350</v>
      </c>
      <c r="AX14" s="129">
        <f t="shared" si="9"/>
        <v>1</v>
      </c>
      <c r="AY14" s="129">
        <f t="shared" si="3"/>
        <v>1</v>
      </c>
      <c r="AZ14" s="129">
        <f t="shared" si="3"/>
        <v>1</v>
      </c>
      <c r="BA14" s="129">
        <f t="shared" si="3"/>
        <v>1</v>
      </c>
      <c r="BB14" s="129">
        <f t="shared" si="3"/>
        <v>1</v>
      </c>
      <c r="BC14" s="129">
        <f t="shared" si="3"/>
        <v>1</v>
      </c>
      <c r="BD14" s="125">
        <f t="shared" si="10"/>
        <v>6</v>
      </c>
      <c r="BE14" s="125" t="str">
        <f t="shared" si="6"/>
        <v>Pass</v>
      </c>
      <c r="BF14" s="125">
        <f>IF(AV14="","",RANK(AV14,AV$2:AV88,0))</f>
        <v>8</v>
      </c>
      <c r="BG14" s="125" t="str">
        <f t="shared" si="7"/>
        <v>C</v>
      </c>
    </row>
    <row r="15" spans="1:59" x14ac:dyDescent="0.35">
      <c r="A15" s="125">
        <f>'Student Basic Info'!A15</f>
        <v>714</v>
      </c>
      <c r="B15" s="125" t="str">
        <f>'Student Basic Info'!C15</f>
        <v>Khadijatul Kubra</v>
      </c>
      <c r="C15" s="126" t="str">
        <f>IF(Bangla!B15="","",Bangla!B15)</f>
        <v/>
      </c>
      <c r="D15" s="126">
        <f>IF(Bangla!C15="","",Bangla!C15)</f>
        <v>64</v>
      </c>
      <c r="E15" s="135">
        <f>IF(Bangla!D15="","",Bangla!D15)</f>
        <v>64</v>
      </c>
      <c r="F15" s="135">
        <f>IF(English!C15="","",English!C15)</f>
        <v>47</v>
      </c>
      <c r="G15" s="125">
        <f>IF(ICT!B15="","",ICT!B15)</f>
        <v>19</v>
      </c>
      <c r="H15" s="125">
        <f>IF(ICT!C15="","",ICT!C15)</f>
        <v>31</v>
      </c>
      <c r="I15" s="125">
        <f>IF(ICT!D15="","",ICT!D15)</f>
        <v>22</v>
      </c>
      <c r="J15" s="137">
        <f>IF(ICT!E15="","",ICT!E15)</f>
        <v>72</v>
      </c>
      <c r="K15" s="125">
        <f>IF(Physics!B15="","",Physics!B15)</f>
        <v>10</v>
      </c>
      <c r="L15" s="125">
        <f>IF(Physics!C15="","",Physics!C15)</f>
        <v>23</v>
      </c>
      <c r="M15" s="125">
        <f>IF(Physics!D15="","",Physics!D15)</f>
        <v>17</v>
      </c>
      <c r="N15" s="137">
        <f>IF(Physics!E15="","",Physics!E15)</f>
        <v>50</v>
      </c>
      <c r="O15" s="125">
        <f>IF(Chemistry!B15="","",Chemistry!B15)</f>
        <v>16</v>
      </c>
      <c r="P15" s="125">
        <f>IF(Chemistry!C15="","",Chemistry!C15)</f>
        <v>34</v>
      </c>
      <c r="Q15" s="125">
        <f>IF(Chemistry!D15="","",Chemistry!D15)</f>
        <v>20</v>
      </c>
      <c r="R15" s="137">
        <f>IF(Chemistry!E15="","",Chemistry!E15)</f>
        <v>70</v>
      </c>
      <c r="S15" s="125">
        <f>IF(SubjectList!G15="Math", IF(Math!B15="","",Math!B15), IF(Biology!B15="","",Biology!B15))</f>
        <v>8</v>
      </c>
      <c r="T15" s="125">
        <f>IF(SubjectList!G15="Math", IF(Math!C15="","",Math!C15), IF(Biology!C15="","",Biology!C15))</f>
        <v>23</v>
      </c>
      <c r="U15" s="125">
        <f>IF(SubjectList!G15="Math", IF(Math!D15="","",Math!D15), IF(Biology!D15="","",Biology!D15))</f>
        <v>19</v>
      </c>
      <c r="V15" s="137">
        <f>IF(SubjectList!G15="Math", IF(Math!E15="","",Math!E15), IF(Biology!E15="","",Biology!E15))</f>
        <v>50</v>
      </c>
      <c r="W15" s="125">
        <f>IF(SubjectList!I15="Biology", IF(Biology!B15="","",Biology!B15), IF(Math!B15="","",Math!B15))</f>
        <v>13</v>
      </c>
      <c r="X15" s="125">
        <f>Optional!D15</f>
        <v>6</v>
      </c>
      <c r="Y15" s="125">
        <f>Optional!E15</f>
        <v>10</v>
      </c>
      <c r="Z15" s="137">
        <f>Optional!F15</f>
        <v>29</v>
      </c>
      <c r="AA15" s="127" t="str">
        <f>IF(SubjectList!G15="","", SubjectList!G15)</f>
        <v>Biology</v>
      </c>
      <c r="AB15" s="127" t="str">
        <f>IF(SubjectList!I15="","", SubjectList!I15)</f>
        <v>Math</v>
      </c>
      <c r="AC15" s="125" t="str">
        <f>Bangla!F15</f>
        <v>A-</v>
      </c>
      <c r="AD15" s="125" t="str">
        <f>English!E15</f>
        <v>C</v>
      </c>
      <c r="AE15" s="125" t="str">
        <f>ICT!G15</f>
        <v>A</v>
      </c>
      <c r="AF15" s="125" t="str">
        <f>Physics!G15</f>
        <v>B</v>
      </c>
      <c r="AG15" s="125" t="str">
        <f>Chemistry!G15</f>
        <v>A</v>
      </c>
      <c r="AH15" s="125" t="str">
        <f>IF(SubjectList!G15="Math", IF(Math!G15="","",Math!G15), IF(Biology!G15="","",Biology!G15))</f>
        <v>B</v>
      </c>
      <c r="AI15" s="125" t="str">
        <f>IF(SubjectList!H15="Math", IF(Math!G15="","",Math!G15), IF(Biology!G15="","",Biology!G15))</f>
        <v>F</v>
      </c>
      <c r="AJ15" s="140">
        <f>Bangla!G15</f>
        <v>3.5</v>
      </c>
      <c r="AK15" s="140">
        <f>English!F15</f>
        <v>2</v>
      </c>
      <c r="AL15" s="140">
        <f>ICT!H15</f>
        <v>4</v>
      </c>
      <c r="AM15" s="140">
        <f>Physics!H15</f>
        <v>3</v>
      </c>
      <c r="AN15" s="140">
        <f>Chemistry!H15</f>
        <v>4</v>
      </c>
      <c r="AO15" s="140">
        <f>IF(SubjectList!G15="Math", IF(Math!H15="","",Math!H15), IF(Biology!H15="","",Biology!H15))</f>
        <v>3</v>
      </c>
      <c r="AP15" s="140">
        <f>IF(SubjectList!I15="Math", IF(Math!H15="","",Math!H15), IF(Biology!H15="","",Biology!H15))</f>
        <v>0</v>
      </c>
      <c r="AQ15" s="140">
        <f>Optional!I15</f>
        <v>0</v>
      </c>
      <c r="AR15" s="140">
        <f>Optional!J15</f>
        <v>0</v>
      </c>
      <c r="AS15" s="140">
        <f t="shared" si="0"/>
        <v>19.5</v>
      </c>
      <c r="AT15" s="140">
        <f t="shared" si="8"/>
        <v>19.5</v>
      </c>
      <c r="AU15" s="128">
        <f t="shared" si="1"/>
        <v>3.25</v>
      </c>
      <c r="AV15" s="128">
        <f t="shared" si="2"/>
        <v>3.25</v>
      </c>
      <c r="AW15" s="128">
        <f t="shared" si="11"/>
        <v>382</v>
      </c>
      <c r="AX15" s="129">
        <f t="shared" si="9"/>
        <v>1</v>
      </c>
      <c r="AY15" s="129">
        <f t="shared" si="3"/>
        <v>1</v>
      </c>
      <c r="AZ15" s="129">
        <f t="shared" si="3"/>
        <v>1</v>
      </c>
      <c r="BA15" s="129">
        <f t="shared" si="3"/>
        <v>1</v>
      </c>
      <c r="BB15" s="129">
        <f t="shared" si="3"/>
        <v>1</v>
      </c>
      <c r="BC15" s="129">
        <f t="shared" si="3"/>
        <v>1</v>
      </c>
      <c r="BD15" s="125">
        <f t="shared" si="10"/>
        <v>6</v>
      </c>
      <c r="BE15" s="125" t="str">
        <f t="shared" si="6"/>
        <v>Pass</v>
      </c>
      <c r="BF15" s="125">
        <f>IF(AV15="","",RANK(AV15,AV$2:AV88,0))</f>
        <v>6</v>
      </c>
      <c r="BG15" s="125" t="str">
        <f t="shared" si="7"/>
        <v>B</v>
      </c>
    </row>
    <row r="16" spans="1:59" x14ac:dyDescent="0.35">
      <c r="A16" s="125">
        <f>'Student Basic Info'!A16</f>
        <v>715</v>
      </c>
      <c r="B16" s="125" t="str">
        <f>'Student Basic Info'!C16</f>
        <v>Tanjila Islam</v>
      </c>
      <c r="C16" s="126" t="str">
        <f>IF(Bangla!B16="","",Bangla!B16)</f>
        <v/>
      </c>
      <c r="D16" s="126">
        <f>IF(Bangla!C16="","",Bangla!C16)</f>
        <v>41</v>
      </c>
      <c r="E16" s="135">
        <f>IF(Bangla!D16="","",Bangla!D16)</f>
        <v>41</v>
      </c>
      <c r="F16" s="135">
        <f>IF(English!C16="","",English!C16)</f>
        <v>17</v>
      </c>
      <c r="G16" s="125">
        <f>IF(ICT!B16="","",ICT!B16)</f>
        <v>13</v>
      </c>
      <c r="H16" s="125">
        <f>IF(ICT!C16="","",ICT!C16)</f>
        <v>8</v>
      </c>
      <c r="I16" s="125">
        <f>IF(ICT!D16="","",ICT!D16)</f>
        <v>18</v>
      </c>
      <c r="J16" s="137">
        <f>IF(ICT!E16="","",ICT!E16)</f>
        <v>39</v>
      </c>
      <c r="K16" s="125">
        <f>IF(Physics!B16="","",Physics!B16)</f>
        <v>11</v>
      </c>
      <c r="L16" s="125">
        <f>IF(Physics!C16="","",Physics!C16)</f>
        <v>23</v>
      </c>
      <c r="M16" s="125">
        <f>IF(Physics!D16="","",Physics!D16)</f>
        <v>17</v>
      </c>
      <c r="N16" s="137">
        <f>IF(Physics!E16="","",Physics!E16)</f>
        <v>51</v>
      </c>
      <c r="O16" s="125">
        <f>IF(Chemistry!B16="","",Chemistry!B16)</f>
        <v>15</v>
      </c>
      <c r="P16" s="125">
        <f>IF(Chemistry!C16="","",Chemistry!C16)</f>
        <v>24</v>
      </c>
      <c r="Q16" s="125">
        <f>IF(Chemistry!D16="","",Chemistry!D16)</f>
        <v>15</v>
      </c>
      <c r="R16" s="137">
        <f>IF(Chemistry!E16="","",Chemistry!E16)</f>
        <v>54</v>
      </c>
      <c r="S16" s="125">
        <f>IF(SubjectList!G16="Math", IF(Math!B16="","",Math!B16), IF(Biology!B16="","",Biology!B16))</f>
        <v>10</v>
      </c>
      <c r="T16" s="125">
        <f>IF(SubjectList!G16="Math", IF(Math!C16="","",Math!C16), IF(Biology!C16="","",Biology!C16))</f>
        <v>6</v>
      </c>
      <c r="U16" s="125">
        <f>IF(SubjectList!G16="Math", IF(Math!D16="","",Math!D16), IF(Biology!D16="","",Biology!D16))</f>
        <v>10</v>
      </c>
      <c r="V16" s="137">
        <f>IF(SubjectList!G16="Math", IF(Math!E16="","",Math!E16), IF(Biology!E16="","",Biology!E16))</f>
        <v>26</v>
      </c>
      <c r="W16" s="125">
        <f>IF(SubjectList!I16="Biology", IF(Biology!B16="","",Biology!B16), IF(Math!B16="","",Math!B16))</f>
        <v>11</v>
      </c>
      <c r="X16" s="125">
        <f>Optional!D16</f>
        <v>1</v>
      </c>
      <c r="Y16" s="125">
        <f>Optional!E16</f>
        <v>10</v>
      </c>
      <c r="Z16" s="137">
        <f>Optional!F16</f>
        <v>22</v>
      </c>
      <c r="AA16" s="127" t="str">
        <f>IF(SubjectList!G16="","", SubjectList!G16)</f>
        <v>Biology</v>
      </c>
      <c r="AB16" s="127" t="str">
        <f>IF(SubjectList!I16="","", SubjectList!I16)</f>
        <v>Math</v>
      </c>
      <c r="AC16" s="125" t="str">
        <f>Bangla!F16</f>
        <v>C</v>
      </c>
      <c r="AD16" s="125" t="str">
        <f>English!E16</f>
        <v>F</v>
      </c>
      <c r="AE16" s="125" t="str">
        <f>ICT!G16</f>
        <v>F</v>
      </c>
      <c r="AF16" s="125" t="str">
        <f>Physics!G16</f>
        <v>B</v>
      </c>
      <c r="AG16" s="125" t="str">
        <f>Chemistry!G16</f>
        <v>B</v>
      </c>
      <c r="AH16" s="125" t="str">
        <f>IF(SubjectList!G16="Math", IF(Math!G16="","",Math!G16), IF(Biology!G16="","",Biology!G16))</f>
        <v>F</v>
      </c>
      <c r="AI16" s="125" t="str">
        <f>IF(SubjectList!H16="Math", IF(Math!G16="","",Math!G16), IF(Biology!G16="","",Biology!G16))</f>
        <v>F</v>
      </c>
      <c r="AJ16" s="140">
        <f>Bangla!G16</f>
        <v>2</v>
      </c>
      <c r="AK16" s="140">
        <f>English!F16</f>
        <v>0</v>
      </c>
      <c r="AL16" s="140">
        <f>ICT!H16</f>
        <v>0</v>
      </c>
      <c r="AM16" s="140">
        <f>Physics!H16</f>
        <v>3</v>
      </c>
      <c r="AN16" s="140">
        <f>Chemistry!H16</f>
        <v>3</v>
      </c>
      <c r="AO16" s="140">
        <f>IF(SubjectList!G16="Math", IF(Math!H16="","",Math!H16), IF(Biology!H16="","",Biology!H16))</f>
        <v>0</v>
      </c>
      <c r="AP16" s="140">
        <f>IF(SubjectList!I16="Math", IF(Math!H16="","",Math!H16), IF(Biology!H16="","",Biology!H16))</f>
        <v>0</v>
      </c>
      <c r="AQ16" s="140">
        <f>Optional!I16</f>
        <v>0</v>
      </c>
      <c r="AR16" s="140">
        <f>Optional!J16</f>
        <v>0</v>
      </c>
      <c r="AS16" s="140">
        <f t="shared" si="0"/>
        <v>8</v>
      </c>
      <c r="AT16" s="140">
        <f t="shared" si="8"/>
        <v>8</v>
      </c>
      <c r="AU16" s="128" t="str">
        <f t="shared" si="1"/>
        <v/>
      </c>
      <c r="AV16" s="128" t="str">
        <f t="shared" si="2"/>
        <v/>
      </c>
      <c r="AW16" s="128">
        <f t="shared" si="11"/>
        <v>250</v>
      </c>
      <c r="AX16" s="129">
        <f t="shared" si="9"/>
        <v>1</v>
      </c>
      <c r="AY16" s="129">
        <f t="shared" si="3"/>
        <v>0</v>
      </c>
      <c r="AZ16" s="129">
        <f t="shared" si="3"/>
        <v>0</v>
      </c>
      <c r="BA16" s="129">
        <f t="shared" si="3"/>
        <v>1</v>
      </c>
      <c r="BB16" s="129">
        <f t="shared" si="3"/>
        <v>1</v>
      </c>
      <c r="BC16" s="129">
        <f t="shared" si="3"/>
        <v>0</v>
      </c>
      <c r="BD16" s="125">
        <f t="shared" si="10"/>
        <v>3</v>
      </c>
      <c r="BE16" s="125" t="str">
        <f t="shared" si="6"/>
        <v>F3</v>
      </c>
      <c r="BF16" s="125" t="str">
        <f>IF(AV16="","",RANK(AV16,AV$2:AV88,0))</f>
        <v/>
      </c>
      <c r="BG16" s="125" t="str">
        <f t="shared" si="7"/>
        <v/>
      </c>
    </row>
    <row r="17" spans="1:59" x14ac:dyDescent="0.35">
      <c r="A17" s="125">
        <f>'Student Basic Info'!A17</f>
        <v>716</v>
      </c>
      <c r="B17" s="125" t="str">
        <f>'Student Basic Info'!C17</f>
        <v>Nazmun Nahar Rikha</v>
      </c>
      <c r="C17" s="126" t="str">
        <f>IF(Bangla!B17="","",Bangla!B17)</f>
        <v/>
      </c>
      <c r="D17" s="126">
        <f>IF(Bangla!C17="","",Bangla!C17)</f>
        <v>40</v>
      </c>
      <c r="E17" s="135">
        <f>IF(Bangla!D17="","",Bangla!D17)</f>
        <v>40</v>
      </c>
      <c r="F17" s="135">
        <f>IF(English!C17="","",English!C17)</f>
        <v>23</v>
      </c>
      <c r="G17" s="125">
        <f>IF(ICT!B17="","",ICT!B17)</f>
        <v>9</v>
      </c>
      <c r="H17" s="125">
        <f>IF(ICT!C17="","",ICT!C17)</f>
        <v>10</v>
      </c>
      <c r="I17" s="125">
        <f>IF(ICT!D17="","",ICT!D17)</f>
        <v>20</v>
      </c>
      <c r="J17" s="137">
        <f>IF(ICT!E17="","",ICT!E17)</f>
        <v>39</v>
      </c>
      <c r="K17" s="125">
        <f>IF(Physics!B17="","",Physics!B17)</f>
        <v>12</v>
      </c>
      <c r="L17" s="125">
        <f>IF(Physics!C17="","",Physics!C17)</f>
        <v>21</v>
      </c>
      <c r="M17" s="125">
        <f>IF(Physics!D17="","",Physics!D17)</f>
        <v>17</v>
      </c>
      <c r="N17" s="137">
        <f>IF(Physics!E17="","",Physics!E17)</f>
        <v>50</v>
      </c>
      <c r="O17" s="125">
        <f>IF(Chemistry!B17="","",Chemistry!B17)</f>
        <v>18</v>
      </c>
      <c r="P17" s="125">
        <f>IF(Chemistry!C17="","",Chemistry!C17)</f>
        <v>24</v>
      </c>
      <c r="Q17" s="125">
        <f>IF(Chemistry!D17="","",Chemistry!D17)</f>
        <v>15</v>
      </c>
      <c r="R17" s="137">
        <f>IF(Chemistry!E17="","",Chemistry!E17)</f>
        <v>57</v>
      </c>
      <c r="S17" s="125">
        <f>IF(SubjectList!G17="Math", IF(Math!B17="","",Math!B17), IF(Biology!B17="","",Biology!B17))</f>
        <v>9</v>
      </c>
      <c r="T17" s="125">
        <f>IF(SubjectList!G17="Math", IF(Math!C17="","",Math!C17), IF(Biology!C17="","",Biology!C17))</f>
        <v>9</v>
      </c>
      <c r="U17" s="125">
        <f>IF(SubjectList!G17="Math", IF(Math!D17="","",Math!D17), IF(Biology!D17="","",Biology!D17))</f>
        <v>10</v>
      </c>
      <c r="V17" s="137">
        <f>IF(SubjectList!G17="Math", IF(Math!E17="","",Math!E17), IF(Biology!E17="","",Biology!E17))</f>
        <v>28</v>
      </c>
      <c r="W17" s="125">
        <f>IF(SubjectList!I17="Biology", IF(Biology!B17="","",Biology!B17), IF(Math!B17="","",Math!B17))</f>
        <v>10</v>
      </c>
      <c r="X17" s="125">
        <f>Optional!D17</f>
        <v>1</v>
      </c>
      <c r="Y17" s="125">
        <f>Optional!E17</f>
        <v>10</v>
      </c>
      <c r="Z17" s="137">
        <f>Optional!F17</f>
        <v>21</v>
      </c>
      <c r="AA17" s="127" t="str">
        <f>IF(SubjectList!G17="","", SubjectList!G17)</f>
        <v>Biology</v>
      </c>
      <c r="AB17" s="127" t="str">
        <f>IF(SubjectList!I17="","", SubjectList!I17)</f>
        <v>Math</v>
      </c>
      <c r="AC17" s="125" t="str">
        <f>Bangla!F17</f>
        <v>C</v>
      </c>
      <c r="AD17" s="125" t="str">
        <f>English!E17</f>
        <v>F</v>
      </c>
      <c r="AE17" s="125" t="str">
        <f>ICT!G17</f>
        <v>F</v>
      </c>
      <c r="AF17" s="125" t="str">
        <f>Physics!G17</f>
        <v>B</v>
      </c>
      <c r="AG17" s="125" t="str">
        <f>Chemistry!G17</f>
        <v>B</v>
      </c>
      <c r="AH17" s="125" t="str">
        <f>IF(SubjectList!G17="Math", IF(Math!G17="","",Math!G17), IF(Biology!G17="","",Biology!G17))</f>
        <v>F</v>
      </c>
      <c r="AI17" s="125" t="str">
        <f>IF(SubjectList!H17="Math", IF(Math!G17="","",Math!G17), IF(Biology!G17="","",Biology!G17))</f>
        <v>F</v>
      </c>
      <c r="AJ17" s="140">
        <f>Bangla!G17</f>
        <v>2</v>
      </c>
      <c r="AK17" s="140">
        <f>English!F17</f>
        <v>0</v>
      </c>
      <c r="AL17" s="140">
        <f>ICT!H17</f>
        <v>0</v>
      </c>
      <c r="AM17" s="140">
        <f>Physics!H17</f>
        <v>3</v>
      </c>
      <c r="AN17" s="140">
        <f>Chemistry!H17</f>
        <v>3</v>
      </c>
      <c r="AO17" s="140">
        <f>IF(SubjectList!G17="Math", IF(Math!H17="","",Math!H17), IF(Biology!H17="","",Biology!H17))</f>
        <v>0</v>
      </c>
      <c r="AP17" s="140">
        <f>IF(SubjectList!I17="Math", IF(Math!H17="","",Math!H17), IF(Biology!H17="","",Biology!H17))</f>
        <v>0</v>
      </c>
      <c r="AQ17" s="140">
        <f>Optional!I17</f>
        <v>0</v>
      </c>
      <c r="AR17" s="140">
        <f>Optional!J17</f>
        <v>0</v>
      </c>
      <c r="AS17" s="140">
        <f t="shared" si="0"/>
        <v>8</v>
      </c>
      <c r="AT17" s="140">
        <f t="shared" si="8"/>
        <v>8</v>
      </c>
      <c r="AU17" s="128" t="str">
        <f t="shared" si="1"/>
        <v/>
      </c>
      <c r="AV17" s="128" t="str">
        <f t="shared" si="2"/>
        <v/>
      </c>
      <c r="AW17" s="128">
        <f t="shared" si="11"/>
        <v>258</v>
      </c>
      <c r="AX17" s="129">
        <f t="shared" si="9"/>
        <v>1</v>
      </c>
      <c r="AY17" s="129">
        <f t="shared" si="3"/>
        <v>0</v>
      </c>
      <c r="AZ17" s="129">
        <f t="shared" si="3"/>
        <v>0</v>
      </c>
      <c r="BA17" s="129">
        <f t="shared" si="3"/>
        <v>1</v>
      </c>
      <c r="BB17" s="129">
        <f t="shared" si="3"/>
        <v>1</v>
      </c>
      <c r="BC17" s="129">
        <f t="shared" si="3"/>
        <v>0</v>
      </c>
      <c r="BD17" s="125">
        <f t="shared" si="10"/>
        <v>3</v>
      </c>
      <c r="BE17" s="125" t="str">
        <f t="shared" si="6"/>
        <v>F3</v>
      </c>
      <c r="BF17" s="125" t="str">
        <f>IF(AV17="","",RANK(AV17,AV$2:AV88,0))</f>
        <v/>
      </c>
      <c r="BG17" s="125" t="str">
        <f t="shared" si="7"/>
        <v/>
      </c>
    </row>
    <row r="18" spans="1:59" x14ac:dyDescent="0.35">
      <c r="A18" s="125">
        <f>'Student Basic Info'!A18</f>
        <v>717</v>
      </c>
      <c r="B18" s="125" t="str">
        <f>'Student Basic Info'!C18</f>
        <v xml:space="preserve">Umme Rojina </v>
      </c>
      <c r="C18" s="126" t="str">
        <f>IF(Bangla!B18="","",Bangla!B18)</f>
        <v/>
      </c>
      <c r="D18" s="126">
        <f>IF(Bangla!C18="","",Bangla!C18)</f>
        <v>50</v>
      </c>
      <c r="E18" s="135">
        <f>IF(Bangla!D18="","",Bangla!D18)</f>
        <v>50</v>
      </c>
      <c r="F18" s="135">
        <f>IF(English!C18="","",English!C18)</f>
        <v>24</v>
      </c>
      <c r="G18" s="125">
        <f>IF(ICT!B18="","",ICT!B18)</f>
        <v>10</v>
      </c>
      <c r="H18" s="125">
        <f>IF(ICT!C18="","",ICT!C18)</f>
        <v>9</v>
      </c>
      <c r="I18" s="125">
        <f>IF(ICT!D18="","",ICT!D18)</f>
        <v>8</v>
      </c>
      <c r="J18" s="137">
        <f>IF(ICT!E18="","",ICT!E18)</f>
        <v>27</v>
      </c>
      <c r="K18" s="125">
        <f>IF(Physics!B18="","",Physics!B18)</f>
        <v>13</v>
      </c>
      <c r="L18" s="125">
        <f>IF(Physics!C18="","",Physics!C18)</f>
        <v>26</v>
      </c>
      <c r="M18" s="125">
        <f>IF(Physics!D18="","",Physics!D18)</f>
        <v>21</v>
      </c>
      <c r="N18" s="137">
        <f>IF(Physics!E18="","",Physics!E18)</f>
        <v>60</v>
      </c>
      <c r="O18" s="125">
        <f>IF(Chemistry!B18="","",Chemistry!B18)</f>
        <v>13</v>
      </c>
      <c r="P18" s="125">
        <f>IF(Chemistry!C18="","",Chemistry!C18)</f>
        <v>21</v>
      </c>
      <c r="Q18" s="125">
        <f>IF(Chemistry!D18="","",Chemistry!D18)</f>
        <v>9</v>
      </c>
      <c r="R18" s="137">
        <f>IF(Chemistry!E18="","",Chemistry!E18)</f>
        <v>43</v>
      </c>
      <c r="S18" s="125">
        <f>IF(SubjectList!G18="Math", IF(Math!B18="","",Math!B18), IF(Biology!B18="","",Biology!B18))</f>
        <v>6</v>
      </c>
      <c r="T18" s="125">
        <f>IF(SubjectList!G18="Math", IF(Math!C18="","",Math!C18), IF(Biology!C18="","",Biology!C18))</f>
        <v>3</v>
      </c>
      <c r="U18" s="125">
        <f>IF(SubjectList!G18="Math", IF(Math!D18="","",Math!D18), IF(Biology!D18="","",Biology!D18))</f>
        <v>8</v>
      </c>
      <c r="V18" s="137">
        <f>IF(SubjectList!G18="Math", IF(Math!E18="","",Math!E18), IF(Biology!E18="","",Biology!E18))</f>
        <v>17</v>
      </c>
      <c r="W18" s="125" t="str">
        <f>IF(SubjectList!I18="Biology", IF(Biology!B18="","",Biology!B18), IF(Math!B18="","",Math!B18))</f>
        <v/>
      </c>
      <c r="X18" s="125" t="str">
        <f>Optional!D18</f>
        <v/>
      </c>
      <c r="Y18" s="125" t="str">
        <f>Optional!E18</f>
        <v/>
      </c>
      <c r="Z18" s="137" t="str">
        <f>Optional!F18</f>
        <v/>
      </c>
      <c r="AA18" s="127" t="str">
        <f>IF(SubjectList!G18="","", SubjectList!G18)</f>
        <v>Biology</v>
      </c>
      <c r="AB18" s="127" t="str">
        <f>IF(SubjectList!I18="","", SubjectList!I18)</f>
        <v>Math</v>
      </c>
      <c r="AC18" s="125" t="str">
        <f>Bangla!F18</f>
        <v>B</v>
      </c>
      <c r="AD18" s="125" t="str">
        <f>English!E18</f>
        <v>F</v>
      </c>
      <c r="AE18" s="125" t="str">
        <f>ICT!G18</f>
        <v>F</v>
      </c>
      <c r="AF18" s="125" t="str">
        <f>Physics!G18</f>
        <v>A-</v>
      </c>
      <c r="AG18" s="125" t="str">
        <f>Chemistry!G18</f>
        <v>C</v>
      </c>
      <c r="AH18" s="125" t="str">
        <f>IF(SubjectList!G18="Math", IF(Math!G18="","",Math!G18), IF(Biology!G18="","",Biology!G18))</f>
        <v>F</v>
      </c>
      <c r="AI18" s="125" t="str">
        <f>IF(SubjectList!H18="Math", IF(Math!G18="","",Math!G18), IF(Biology!G18="","",Biology!G18))</f>
        <v/>
      </c>
      <c r="AJ18" s="140">
        <f>Bangla!G18</f>
        <v>3</v>
      </c>
      <c r="AK18" s="140">
        <f>English!F18</f>
        <v>0</v>
      </c>
      <c r="AL18" s="140">
        <f>ICT!H18</f>
        <v>0</v>
      </c>
      <c r="AM18" s="140">
        <f>Physics!H18</f>
        <v>3.5</v>
      </c>
      <c r="AN18" s="140">
        <f>Chemistry!H18</f>
        <v>2</v>
      </c>
      <c r="AO18" s="140">
        <f>IF(SubjectList!G18="Math", IF(Math!H18="","",Math!H18), IF(Biology!H18="","",Biology!H18))</f>
        <v>0</v>
      </c>
      <c r="AP18" s="140" t="str">
        <f>IF(SubjectList!I18="Math", IF(Math!H18="","",Math!H18), IF(Biology!H18="","",Biology!H18))</f>
        <v/>
      </c>
      <c r="AQ18" s="140" t="str">
        <f>Optional!I18</f>
        <v/>
      </c>
      <c r="AR18" s="140" t="str">
        <f>Optional!J18</f>
        <v/>
      </c>
      <c r="AS18" s="140">
        <f t="shared" si="0"/>
        <v>8.5</v>
      </c>
      <c r="AT18" s="140">
        <f t="shared" si="8"/>
        <v>8.5</v>
      </c>
      <c r="AU18" s="128" t="str">
        <f t="shared" si="1"/>
        <v/>
      </c>
      <c r="AV18" s="128" t="str">
        <f t="shared" si="2"/>
        <v/>
      </c>
      <c r="AW18" s="128">
        <f t="shared" si="11"/>
        <v>221</v>
      </c>
      <c r="AX18" s="129">
        <f t="shared" si="9"/>
        <v>1</v>
      </c>
      <c r="AY18" s="129">
        <f t="shared" si="9"/>
        <v>0</v>
      </c>
      <c r="AZ18" s="129">
        <f t="shared" si="9"/>
        <v>0</v>
      </c>
      <c r="BA18" s="129">
        <f t="shared" si="9"/>
        <v>1</v>
      </c>
      <c r="BB18" s="129">
        <f t="shared" si="9"/>
        <v>1</v>
      </c>
      <c r="BC18" s="129">
        <f t="shared" si="9"/>
        <v>0</v>
      </c>
      <c r="BD18" s="125">
        <f t="shared" si="10"/>
        <v>3</v>
      </c>
      <c r="BE18" s="125" t="str">
        <f t="shared" si="6"/>
        <v>F3</v>
      </c>
      <c r="BF18" s="125" t="str">
        <f>IF(AV18="","",RANK(AV18,AV$2:AV88,0))</f>
        <v/>
      </c>
      <c r="BG18" s="125" t="str">
        <f t="shared" si="7"/>
        <v/>
      </c>
    </row>
    <row r="19" spans="1:59" x14ac:dyDescent="0.35">
      <c r="A19" s="125">
        <f>'Student Basic Info'!A19</f>
        <v>718</v>
      </c>
      <c r="B19" s="125" t="str">
        <f>'Student Basic Info'!C19</f>
        <v>Zannatul Ferdaus</v>
      </c>
      <c r="C19" s="126" t="str">
        <f>IF(Bangla!B19="","",Bangla!B19)</f>
        <v/>
      </c>
      <c r="D19" s="126" t="str">
        <f>IF(Bangla!C19="","",Bangla!C19)</f>
        <v/>
      </c>
      <c r="E19" s="135" t="str">
        <f>IF(Bangla!D19="","",Bangla!D19)</f>
        <v/>
      </c>
      <c r="F19" s="135" t="str">
        <f>IF(English!C19="","",English!C19)</f>
        <v/>
      </c>
      <c r="G19" s="125" t="str">
        <f>IF(ICT!B19="","",ICT!B19)</f>
        <v/>
      </c>
      <c r="H19" s="125" t="str">
        <f>IF(ICT!C19="","",ICT!C19)</f>
        <v/>
      </c>
      <c r="I19" s="125" t="str">
        <f>IF(ICT!D19="","",ICT!D19)</f>
        <v/>
      </c>
      <c r="J19" s="137" t="str">
        <f>IF(ICT!E19="","",ICT!E19)</f>
        <v/>
      </c>
      <c r="K19" s="125" t="str">
        <f>IF(Physics!B19="","",Physics!B19)</f>
        <v/>
      </c>
      <c r="L19" s="125" t="str">
        <f>IF(Physics!C19="","",Physics!C19)</f>
        <v/>
      </c>
      <c r="M19" s="125" t="str">
        <f>IF(Physics!D19="","",Physics!D19)</f>
        <v/>
      </c>
      <c r="N19" s="137" t="str">
        <f>IF(Physics!E19="","",Physics!E19)</f>
        <v/>
      </c>
      <c r="O19" s="125" t="str">
        <f>IF(Chemistry!B19="","",Chemistry!B19)</f>
        <v/>
      </c>
      <c r="P19" s="125" t="str">
        <f>IF(Chemistry!C19="","",Chemistry!C19)</f>
        <v/>
      </c>
      <c r="Q19" s="125" t="str">
        <f>IF(Chemistry!D19="","",Chemistry!D19)</f>
        <v/>
      </c>
      <c r="R19" s="137" t="str">
        <f>IF(Chemistry!E19="","",Chemistry!E19)</f>
        <v/>
      </c>
      <c r="S19" s="125" t="str">
        <f>IF(SubjectList!G19="Math", IF(Math!B19="","",Math!B19), IF(Biology!B19="","",Biology!B19))</f>
        <v/>
      </c>
      <c r="T19" s="125" t="str">
        <f>IF(SubjectList!G19="Math", IF(Math!C19="","",Math!C19), IF(Biology!C19="","",Biology!C19))</f>
        <v/>
      </c>
      <c r="U19" s="125" t="str">
        <f>IF(SubjectList!G19="Math", IF(Math!D19="","",Math!D19), IF(Biology!D19="","",Biology!D19))</f>
        <v/>
      </c>
      <c r="V19" s="137" t="str">
        <f>IF(SubjectList!G19="Math", IF(Math!E19="","",Math!E19), IF(Biology!E19="","",Biology!E19))</f>
        <v/>
      </c>
      <c r="W19" s="125" t="str">
        <f>IF(SubjectList!I19="Biology", IF(Biology!B19="","",Biology!B19), IF(Math!B19="","",Math!B19))</f>
        <v/>
      </c>
      <c r="X19" s="125" t="str">
        <f>Optional!D19</f>
        <v/>
      </c>
      <c r="Y19" s="125" t="str">
        <f>Optional!E19</f>
        <v/>
      </c>
      <c r="Z19" s="137" t="str">
        <f>Optional!F19</f>
        <v/>
      </c>
      <c r="AA19" s="127" t="str">
        <f>IF(SubjectList!G19="","", SubjectList!G19)</f>
        <v>Biology</v>
      </c>
      <c r="AB19" s="127" t="str">
        <f>IF(SubjectList!I19="","", SubjectList!I19)</f>
        <v>Math</v>
      </c>
      <c r="AC19" s="125" t="str">
        <f>Bangla!F19</f>
        <v/>
      </c>
      <c r="AD19" s="125" t="str">
        <f>English!E19</f>
        <v/>
      </c>
      <c r="AE19" s="125" t="str">
        <f>ICT!G19</f>
        <v/>
      </c>
      <c r="AF19" s="125" t="str">
        <f>Physics!G19</f>
        <v/>
      </c>
      <c r="AG19" s="125" t="str">
        <f>Chemistry!G19</f>
        <v/>
      </c>
      <c r="AH19" s="125" t="str">
        <f>IF(SubjectList!G19="Math", IF(Math!G19="","",Math!G19), IF(Biology!G19="","",Biology!G19))</f>
        <v/>
      </c>
      <c r="AI19" s="125" t="str">
        <f>IF(SubjectList!H19="Math", IF(Math!G19="","",Math!G19), IF(Biology!G19="","",Biology!G19))</f>
        <v/>
      </c>
      <c r="AJ19" s="140" t="str">
        <f>Bangla!G19</f>
        <v/>
      </c>
      <c r="AK19" s="140" t="str">
        <f>English!F19</f>
        <v/>
      </c>
      <c r="AL19" s="140" t="str">
        <f>ICT!H19</f>
        <v/>
      </c>
      <c r="AM19" s="140" t="str">
        <f>Physics!H19</f>
        <v/>
      </c>
      <c r="AN19" s="140" t="str">
        <f>Chemistry!H19</f>
        <v/>
      </c>
      <c r="AO19" s="140" t="str">
        <f>IF(SubjectList!G19="Math", IF(Math!H19="","",Math!H19), IF(Biology!H19="","",Biology!H19))</f>
        <v/>
      </c>
      <c r="AP19" s="140" t="str">
        <f>IF(SubjectList!I19="Math", IF(Math!H19="","",Math!H19), IF(Biology!H19="","",Biology!H19))</f>
        <v/>
      </c>
      <c r="AQ19" s="140" t="str">
        <f>Optional!I19</f>
        <v/>
      </c>
      <c r="AR19" s="140" t="str">
        <f>Optional!J19</f>
        <v/>
      </c>
      <c r="AS19" s="140" t="str">
        <f t="shared" si="0"/>
        <v/>
      </c>
      <c r="AT19" s="140" t="str">
        <f t="shared" si="8"/>
        <v/>
      </c>
      <c r="AU19" s="128" t="str">
        <f t="shared" si="1"/>
        <v/>
      </c>
      <c r="AV19" s="128" t="str">
        <f t="shared" si="2"/>
        <v/>
      </c>
      <c r="AW19" s="128">
        <f t="shared" si="11"/>
        <v>0</v>
      </c>
      <c r="AX19" s="129" t="str">
        <f t="shared" si="9"/>
        <v/>
      </c>
      <c r="AY19" s="129" t="str">
        <f t="shared" si="9"/>
        <v/>
      </c>
      <c r="AZ19" s="129" t="str">
        <f t="shared" si="9"/>
        <v/>
      </c>
      <c r="BA19" s="129" t="str">
        <f t="shared" si="9"/>
        <v/>
      </c>
      <c r="BB19" s="129" t="str">
        <f t="shared" si="9"/>
        <v/>
      </c>
      <c r="BC19" s="129" t="str">
        <f t="shared" si="9"/>
        <v/>
      </c>
      <c r="BD19" s="125">
        <f t="shared" si="10"/>
        <v>0</v>
      </c>
      <c r="BE19" s="125" t="str">
        <f t="shared" si="6"/>
        <v>F6</v>
      </c>
      <c r="BF19" s="125" t="str">
        <f>IF(AV19="","",RANK(AV19,AV$2:AV88,0))</f>
        <v/>
      </c>
      <c r="BG19" s="125" t="str">
        <f t="shared" si="7"/>
        <v/>
      </c>
    </row>
    <row r="20" spans="1:59" x14ac:dyDescent="0.35">
      <c r="A20" s="125">
        <f>'Student Basic Info'!A20</f>
        <v>719</v>
      </c>
      <c r="B20" s="125" t="str">
        <f>'Student Basic Info'!C20</f>
        <v>Shazeda Amin Shuchi</v>
      </c>
      <c r="C20" s="126" t="str">
        <f>IF(Bangla!B20="","",Bangla!B20)</f>
        <v/>
      </c>
      <c r="D20" s="126">
        <f>IF(Bangla!C20="","",Bangla!C20)</f>
        <v>55</v>
      </c>
      <c r="E20" s="135">
        <f>IF(Bangla!D20="","",Bangla!D20)</f>
        <v>55</v>
      </c>
      <c r="F20" s="135">
        <f>IF(English!C20="","",English!C20)</f>
        <v>25</v>
      </c>
      <c r="G20" s="125">
        <f>IF(ICT!B20="","",ICT!B20)</f>
        <v>12</v>
      </c>
      <c r="H20" s="125">
        <f>IF(ICT!C20="","",ICT!C20)</f>
        <v>11</v>
      </c>
      <c r="I20" s="125">
        <f>IF(ICT!D20="","",ICT!D20)</f>
        <v>18</v>
      </c>
      <c r="J20" s="137">
        <f>IF(ICT!E20="","",ICT!E20)</f>
        <v>41</v>
      </c>
      <c r="K20" s="125">
        <f>IF(Physics!B20="","",Physics!B20)</f>
        <v>8</v>
      </c>
      <c r="L20" s="125">
        <f>IF(Physics!C20="","",Physics!C20)</f>
        <v>32</v>
      </c>
      <c r="M20" s="125">
        <f>IF(Physics!D20="","",Physics!D20)</f>
        <v>21</v>
      </c>
      <c r="N20" s="137">
        <f>IF(Physics!E20="","",Physics!E20)</f>
        <v>61</v>
      </c>
      <c r="O20" s="125">
        <f>IF(Chemistry!B20="","",Chemistry!B20)</f>
        <v>15</v>
      </c>
      <c r="P20" s="125">
        <f>IF(Chemistry!C20="","",Chemistry!C20)</f>
        <v>21</v>
      </c>
      <c r="Q20" s="125">
        <f>IF(Chemistry!D20="","",Chemistry!D20)</f>
        <v>15</v>
      </c>
      <c r="R20" s="137">
        <f>IF(Chemistry!E20="","",Chemistry!E20)</f>
        <v>51</v>
      </c>
      <c r="S20" s="125">
        <f>IF(SubjectList!G20="Math", IF(Math!B20="","",Math!B20), IF(Biology!B20="","",Biology!B20))</f>
        <v>9</v>
      </c>
      <c r="T20" s="125">
        <f>IF(SubjectList!G20="Math", IF(Math!C20="","",Math!C20), IF(Biology!C20="","",Biology!C20))</f>
        <v>8</v>
      </c>
      <c r="U20" s="125">
        <f>IF(SubjectList!G20="Math", IF(Math!D20="","",Math!D20), IF(Biology!D20="","",Biology!D20))</f>
        <v>9</v>
      </c>
      <c r="V20" s="137">
        <f>IF(SubjectList!G20="Math", IF(Math!E20="","",Math!E20), IF(Biology!E20="","",Biology!E20))</f>
        <v>26</v>
      </c>
      <c r="W20" s="125">
        <f>IF(SubjectList!I20="Biology", IF(Biology!B20="","",Biology!B20), IF(Math!B20="","",Math!B20))</f>
        <v>11</v>
      </c>
      <c r="X20" s="125">
        <f>Optional!D20</f>
        <v>2</v>
      </c>
      <c r="Y20" s="125">
        <f>Optional!E20</f>
        <v>11</v>
      </c>
      <c r="Z20" s="137">
        <f>Optional!F20</f>
        <v>24</v>
      </c>
      <c r="AA20" s="127" t="str">
        <f>IF(SubjectList!G20="","", SubjectList!G20)</f>
        <v>Biology</v>
      </c>
      <c r="AB20" s="127" t="str">
        <f>IF(SubjectList!I20="","", SubjectList!I20)</f>
        <v>Math</v>
      </c>
      <c r="AC20" s="125" t="str">
        <f>Bangla!F20</f>
        <v>B</v>
      </c>
      <c r="AD20" s="125" t="str">
        <f>English!E20</f>
        <v>F</v>
      </c>
      <c r="AE20" s="125" t="str">
        <f>ICT!G20</f>
        <v>F</v>
      </c>
      <c r="AF20" s="125" t="str">
        <f>Physics!G20</f>
        <v>A-</v>
      </c>
      <c r="AG20" s="125" t="str">
        <f>Chemistry!G20</f>
        <v>B</v>
      </c>
      <c r="AH20" s="125" t="str">
        <f>IF(SubjectList!G20="Math", IF(Math!G20="","",Math!G20), IF(Biology!G20="","",Biology!G20))</f>
        <v>F</v>
      </c>
      <c r="AI20" s="125" t="str">
        <f>IF(SubjectList!H20="Math", IF(Math!G20="","",Math!G20), IF(Biology!G20="","",Biology!G20))</f>
        <v>F</v>
      </c>
      <c r="AJ20" s="140">
        <f>Bangla!G20</f>
        <v>3</v>
      </c>
      <c r="AK20" s="140">
        <f>English!F20</f>
        <v>0</v>
      </c>
      <c r="AL20" s="140">
        <f>ICT!H20</f>
        <v>0</v>
      </c>
      <c r="AM20" s="140">
        <f>Physics!H20</f>
        <v>3.5</v>
      </c>
      <c r="AN20" s="140">
        <f>Chemistry!H20</f>
        <v>3</v>
      </c>
      <c r="AO20" s="140">
        <f>IF(SubjectList!G20="Math", IF(Math!H20="","",Math!H20), IF(Biology!H20="","",Biology!H20))</f>
        <v>0</v>
      </c>
      <c r="AP20" s="140">
        <f>IF(SubjectList!I20="Math", IF(Math!H20="","",Math!H20), IF(Biology!H20="","",Biology!H20))</f>
        <v>0</v>
      </c>
      <c r="AQ20" s="140">
        <f>Optional!I20</f>
        <v>0</v>
      </c>
      <c r="AR20" s="140">
        <f>Optional!J20</f>
        <v>0</v>
      </c>
      <c r="AS20" s="140">
        <f t="shared" si="0"/>
        <v>9.5</v>
      </c>
      <c r="AT20" s="140">
        <f t="shared" si="8"/>
        <v>9.5</v>
      </c>
      <c r="AU20" s="128" t="str">
        <f t="shared" si="1"/>
        <v/>
      </c>
      <c r="AV20" s="128" t="str">
        <f t="shared" si="2"/>
        <v/>
      </c>
      <c r="AW20" s="128">
        <f t="shared" si="11"/>
        <v>283</v>
      </c>
      <c r="AX20" s="129">
        <f t="shared" si="9"/>
        <v>1</v>
      </c>
      <c r="AY20" s="129">
        <f t="shared" si="9"/>
        <v>0</v>
      </c>
      <c r="AZ20" s="129">
        <f t="shared" si="9"/>
        <v>0</v>
      </c>
      <c r="BA20" s="129">
        <f t="shared" si="9"/>
        <v>1</v>
      </c>
      <c r="BB20" s="129">
        <f t="shared" si="9"/>
        <v>1</v>
      </c>
      <c r="BC20" s="129">
        <f t="shared" si="9"/>
        <v>0</v>
      </c>
      <c r="BD20" s="125">
        <f t="shared" si="10"/>
        <v>3</v>
      </c>
      <c r="BE20" s="125" t="str">
        <f t="shared" si="6"/>
        <v>F3</v>
      </c>
      <c r="BF20" s="125" t="str">
        <f>IF(AV20="","",RANK(AV20,AV$2:AV88,0))</f>
        <v/>
      </c>
      <c r="BG20" s="125" t="str">
        <f t="shared" si="7"/>
        <v/>
      </c>
    </row>
    <row r="21" spans="1:59" x14ac:dyDescent="0.35">
      <c r="A21" s="125">
        <f>'Student Basic Info'!A21</f>
        <v>720</v>
      </c>
      <c r="B21" s="125" t="str">
        <f>'Student Basic Info'!C21</f>
        <v>Farzana Aktar</v>
      </c>
      <c r="C21" s="126" t="str">
        <f>IF(Bangla!B21="","",Bangla!B21)</f>
        <v/>
      </c>
      <c r="D21" s="126">
        <f>IF(Bangla!C21="","",Bangla!C21)</f>
        <v>50</v>
      </c>
      <c r="E21" s="135">
        <f>IF(Bangla!D21="","",Bangla!D21)</f>
        <v>50</v>
      </c>
      <c r="F21" s="135">
        <f>IF(English!C21="","",English!C21)</f>
        <v>29</v>
      </c>
      <c r="G21" s="125">
        <f>IF(ICT!B21="","",ICT!B21)</f>
        <v>9</v>
      </c>
      <c r="H21" s="125">
        <f>IF(ICT!C21="","",ICT!C21)</f>
        <v>8</v>
      </c>
      <c r="I21" s="125">
        <f>IF(ICT!D21="","",ICT!D21)</f>
        <v>20</v>
      </c>
      <c r="J21" s="137">
        <f>IF(ICT!E21="","",ICT!E21)</f>
        <v>37</v>
      </c>
      <c r="K21" s="125">
        <f>IF(Physics!B21="","",Physics!B21)</f>
        <v>10</v>
      </c>
      <c r="L21" s="125">
        <f>IF(Physics!C21="","",Physics!C21)</f>
        <v>23</v>
      </c>
      <c r="M21" s="125">
        <f>IF(Physics!D21="","",Physics!D21)</f>
        <v>17</v>
      </c>
      <c r="N21" s="137">
        <f>IF(Physics!E21="","",Physics!E21)</f>
        <v>50</v>
      </c>
      <c r="O21" s="125">
        <f>IF(Chemistry!B21="","",Chemistry!B21)</f>
        <v>10</v>
      </c>
      <c r="P21" s="125">
        <f>IF(Chemistry!C21="","",Chemistry!C21)</f>
        <v>15</v>
      </c>
      <c r="Q21" s="125">
        <f>IF(Chemistry!D21="","",Chemistry!D21)</f>
        <v>10</v>
      </c>
      <c r="R21" s="137">
        <f>IF(Chemistry!E21="","",Chemistry!E21)</f>
        <v>35</v>
      </c>
      <c r="S21" s="125">
        <f>IF(SubjectList!G21="Math", IF(Math!B21="","",Math!B21), IF(Biology!B21="","",Biology!B21))</f>
        <v>11</v>
      </c>
      <c r="T21" s="125">
        <f>IF(SubjectList!G21="Math", IF(Math!C21="","",Math!C21), IF(Biology!C21="","",Biology!C21))</f>
        <v>8</v>
      </c>
      <c r="U21" s="125">
        <f>IF(SubjectList!G21="Math", IF(Math!D21="","",Math!D21), IF(Biology!D21="","",Biology!D21))</f>
        <v>10</v>
      </c>
      <c r="V21" s="137">
        <f>IF(SubjectList!G21="Math", IF(Math!E21="","",Math!E21), IF(Biology!E21="","",Biology!E21))</f>
        <v>29</v>
      </c>
      <c r="W21" s="125">
        <f>IF(SubjectList!I21="Biology", IF(Biology!B21="","",Biology!B21), IF(Math!B21="","",Math!B21))</f>
        <v>7</v>
      </c>
      <c r="X21" s="125">
        <f>Optional!D21</f>
        <v>2</v>
      </c>
      <c r="Y21" s="125">
        <f>Optional!E21</f>
        <v>8</v>
      </c>
      <c r="Z21" s="137">
        <f>Optional!F21</f>
        <v>17</v>
      </c>
      <c r="AA21" s="127" t="str">
        <f>IF(SubjectList!G21="","", SubjectList!G21)</f>
        <v>Biology</v>
      </c>
      <c r="AB21" s="127" t="str">
        <f>IF(SubjectList!I21="","", SubjectList!I21)</f>
        <v>Math</v>
      </c>
      <c r="AC21" s="125" t="str">
        <f>Bangla!F21</f>
        <v>B</v>
      </c>
      <c r="AD21" s="125" t="str">
        <f>English!E21</f>
        <v>F</v>
      </c>
      <c r="AE21" s="125" t="str">
        <f>ICT!G21</f>
        <v>F</v>
      </c>
      <c r="AF21" s="125" t="str">
        <f>Physics!G21</f>
        <v>B</v>
      </c>
      <c r="AG21" s="125" t="str">
        <f>Chemistry!G21</f>
        <v>F</v>
      </c>
      <c r="AH21" s="125" t="str">
        <f>IF(SubjectList!G21="Math", IF(Math!G21="","",Math!G21), IF(Biology!G21="","",Biology!G21))</f>
        <v>F</v>
      </c>
      <c r="AI21" s="125" t="str">
        <f>IF(SubjectList!H21="Math", IF(Math!G21="","",Math!G21), IF(Biology!G21="","",Biology!G21))</f>
        <v>F</v>
      </c>
      <c r="AJ21" s="140">
        <f>Bangla!G21</f>
        <v>3</v>
      </c>
      <c r="AK21" s="140">
        <f>English!F21</f>
        <v>0</v>
      </c>
      <c r="AL21" s="140">
        <f>ICT!H21</f>
        <v>0</v>
      </c>
      <c r="AM21" s="140">
        <f>Physics!H21</f>
        <v>3</v>
      </c>
      <c r="AN21" s="140">
        <f>Chemistry!H21</f>
        <v>0</v>
      </c>
      <c r="AO21" s="140">
        <f>IF(SubjectList!G21="Math", IF(Math!H21="","",Math!H21), IF(Biology!H21="","",Biology!H21))</f>
        <v>0</v>
      </c>
      <c r="AP21" s="140">
        <f>IF(SubjectList!I21="Math", IF(Math!H21="","",Math!H21), IF(Biology!H21="","",Biology!H21))</f>
        <v>0</v>
      </c>
      <c r="AQ21" s="140">
        <f>Optional!I21</f>
        <v>0</v>
      </c>
      <c r="AR21" s="140">
        <f>Optional!J21</f>
        <v>0</v>
      </c>
      <c r="AS21" s="140">
        <f t="shared" si="0"/>
        <v>6</v>
      </c>
      <c r="AT21" s="140">
        <f t="shared" si="8"/>
        <v>6</v>
      </c>
      <c r="AU21" s="128" t="str">
        <f t="shared" si="1"/>
        <v/>
      </c>
      <c r="AV21" s="128" t="str">
        <f t="shared" si="2"/>
        <v/>
      </c>
      <c r="AW21" s="128">
        <f t="shared" si="11"/>
        <v>247</v>
      </c>
      <c r="AX21" s="129">
        <f t="shared" si="9"/>
        <v>1</v>
      </c>
      <c r="AY21" s="129">
        <f t="shared" si="9"/>
        <v>0</v>
      </c>
      <c r="AZ21" s="129">
        <f t="shared" si="9"/>
        <v>0</v>
      </c>
      <c r="BA21" s="129">
        <f t="shared" si="9"/>
        <v>1</v>
      </c>
      <c r="BB21" s="129">
        <f t="shared" si="9"/>
        <v>0</v>
      </c>
      <c r="BC21" s="129">
        <f t="shared" si="9"/>
        <v>0</v>
      </c>
      <c r="BD21" s="125">
        <f t="shared" si="10"/>
        <v>2</v>
      </c>
      <c r="BE21" s="125" t="str">
        <f t="shared" si="6"/>
        <v>F4</v>
      </c>
      <c r="BF21" s="125" t="str">
        <f>IF(AV21="","",RANK(AV21,AV$2:AV88,0))</f>
        <v/>
      </c>
      <c r="BG21" s="125" t="str">
        <f t="shared" si="7"/>
        <v/>
      </c>
    </row>
    <row r="22" spans="1:59" x14ac:dyDescent="0.35">
      <c r="A22" s="125">
        <f>'Student Basic Info'!A22</f>
        <v>721</v>
      </c>
      <c r="B22" s="125" t="str">
        <f>'Student Basic Info'!C22</f>
        <v>Nowrin Faiza Niduwa</v>
      </c>
      <c r="C22" s="126" t="str">
        <f>IF(Bangla!B22="","",Bangla!B22)</f>
        <v/>
      </c>
      <c r="D22" s="126" t="str">
        <f>IF(Bangla!C22="","",Bangla!C22)</f>
        <v/>
      </c>
      <c r="E22" s="135" t="str">
        <f>IF(Bangla!D22="","",Bangla!D22)</f>
        <v/>
      </c>
      <c r="F22" s="135" t="str">
        <f>IF(English!C22="","",English!C22)</f>
        <v/>
      </c>
      <c r="G22" s="125" t="str">
        <f>IF(ICT!B22="","",ICT!B22)</f>
        <v/>
      </c>
      <c r="H22" s="125" t="str">
        <f>IF(ICT!C22="","",ICT!C22)</f>
        <v/>
      </c>
      <c r="I22" s="125" t="str">
        <f>IF(ICT!D22="","",ICT!D22)</f>
        <v/>
      </c>
      <c r="J22" s="137" t="str">
        <f>IF(ICT!E22="","",ICT!E22)</f>
        <v/>
      </c>
      <c r="K22" s="125" t="str">
        <f>IF(Physics!B22="","",Physics!B22)</f>
        <v/>
      </c>
      <c r="L22" s="125" t="str">
        <f>IF(Physics!C22="","",Physics!C22)</f>
        <v/>
      </c>
      <c r="M22" s="125" t="str">
        <f>IF(Physics!D22="","",Physics!D22)</f>
        <v/>
      </c>
      <c r="N22" s="137" t="str">
        <f>IF(Physics!E22="","",Physics!E22)</f>
        <v/>
      </c>
      <c r="O22" s="125" t="str">
        <f>IF(Chemistry!B22="","",Chemistry!B22)</f>
        <v/>
      </c>
      <c r="P22" s="125" t="str">
        <f>IF(Chemistry!C22="","",Chemistry!C22)</f>
        <v/>
      </c>
      <c r="Q22" s="125" t="str">
        <f>IF(Chemistry!D22="","",Chemistry!D22)</f>
        <v/>
      </c>
      <c r="R22" s="137" t="str">
        <f>IF(Chemistry!E22="","",Chemistry!E22)</f>
        <v/>
      </c>
      <c r="S22" s="125" t="str">
        <f>IF(SubjectList!G22="Math", IF(Math!B22="","",Math!B22), IF(Biology!B22="","",Biology!B22))</f>
        <v/>
      </c>
      <c r="T22" s="125" t="str">
        <f>IF(SubjectList!G22="Math", IF(Math!C22="","",Math!C22), IF(Biology!C22="","",Biology!C22))</f>
        <v/>
      </c>
      <c r="U22" s="125" t="str">
        <f>IF(SubjectList!G22="Math", IF(Math!D22="","",Math!D22), IF(Biology!D22="","",Biology!D22))</f>
        <v/>
      </c>
      <c r="V22" s="137" t="str">
        <f>IF(SubjectList!G22="Math", IF(Math!E22="","",Math!E22), IF(Biology!E22="","",Biology!E22))</f>
        <v/>
      </c>
      <c r="W22" s="125" t="str">
        <f>IF(SubjectList!I22="Biology", IF(Biology!B22="","",Biology!B22), IF(Math!B22="","",Math!B22))</f>
        <v/>
      </c>
      <c r="X22" s="125" t="str">
        <f>Optional!D22</f>
        <v/>
      </c>
      <c r="Y22" s="125" t="str">
        <f>Optional!E22</f>
        <v/>
      </c>
      <c r="Z22" s="137" t="str">
        <f>Optional!F22</f>
        <v/>
      </c>
      <c r="AA22" s="127" t="str">
        <f>IF(SubjectList!G22="","", SubjectList!G22)</f>
        <v>Biology</v>
      </c>
      <c r="AB22" s="127" t="str">
        <f>IF(SubjectList!I22="","", SubjectList!I22)</f>
        <v>Math</v>
      </c>
      <c r="AC22" s="125" t="str">
        <f>Bangla!F22</f>
        <v/>
      </c>
      <c r="AD22" s="125" t="str">
        <f>English!E22</f>
        <v/>
      </c>
      <c r="AE22" s="125" t="str">
        <f>ICT!G22</f>
        <v/>
      </c>
      <c r="AF22" s="125" t="str">
        <f>Physics!G22</f>
        <v/>
      </c>
      <c r="AG22" s="125" t="str">
        <f>Chemistry!G22</f>
        <v/>
      </c>
      <c r="AH22" s="125" t="str">
        <f>IF(SubjectList!G22="Math", IF(Math!G22="","",Math!G22), IF(Biology!G22="","",Biology!G22))</f>
        <v/>
      </c>
      <c r="AI22" s="125" t="str">
        <f>IF(SubjectList!H22="Math", IF(Math!G22="","",Math!G22), IF(Biology!G22="","",Biology!G22))</f>
        <v/>
      </c>
      <c r="AJ22" s="140" t="str">
        <f>Bangla!G22</f>
        <v/>
      </c>
      <c r="AK22" s="140" t="str">
        <f>English!F22</f>
        <v/>
      </c>
      <c r="AL22" s="140" t="str">
        <f>ICT!H22</f>
        <v/>
      </c>
      <c r="AM22" s="140" t="str">
        <f>Physics!H22</f>
        <v/>
      </c>
      <c r="AN22" s="140" t="str">
        <f>Chemistry!H22</f>
        <v/>
      </c>
      <c r="AO22" s="140" t="str">
        <f>IF(SubjectList!G22="Math", IF(Math!H22="","",Math!H22), IF(Biology!H22="","",Biology!H22))</f>
        <v/>
      </c>
      <c r="AP22" s="140" t="str">
        <f>IF(SubjectList!I22="Math", IF(Math!H22="","",Math!H22), IF(Biology!H22="","",Biology!H22))</f>
        <v/>
      </c>
      <c r="AQ22" s="140" t="str">
        <f>Optional!I22</f>
        <v/>
      </c>
      <c r="AR22" s="140" t="str">
        <f>Optional!J22</f>
        <v/>
      </c>
      <c r="AS22" s="140" t="str">
        <f t="shared" si="0"/>
        <v/>
      </c>
      <c r="AT22" s="140" t="str">
        <f t="shared" si="8"/>
        <v/>
      </c>
      <c r="AU22" s="128" t="str">
        <f t="shared" si="1"/>
        <v/>
      </c>
      <c r="AV22" s="128" t="str">
        <f t="shared" si="2"/>
        <v/>
      </c>
      <c r="AW22" s="128">
        <f t="shared" si="11"/>
        <v>0</v>
      </c>
      <c r="AX22" s="129" t="str">
        <f t="shared" si="9"/>
        <v/>
      </c>
      <c r="AY22" s="129" t="str">
        <f t="shared" si="9"/>
        <v/>
      </c>
      <c r="AZ22" s="129" t="str">
        <f t="shared" si="9"/>
        <v/>
      </c>
      <c r="BA22" s="129" t="str">
        <f t="shared" si="9"/>
        <v/>
      </c>
      <c r="BB22" s="129" t="str">
        <f t="shared" si="9"/>
        <v/>
      </c>
      <c r="BC22" s="129" t="str">
        <f t="shared" si="9"/>
        <v/>
      </c>
      <c r="BD22" s="125">
        <f t="shared" si="10"/>
        <v>0</v>
      </c>
      <c r="BE22" s="125" t="str">
        <f t="shared" si="6"/>
        <v>F6</v>
      </c>
      <c r="BF22" s="125" t="str">
        <f>IF(AV22="","",RANK(AV22,AV$2:AV88,0))</f>
        <v/>
      </c>
      <c r="BG22" s="125" t="str">
        <f t="shared" si="7"/>
        <v/>
      </c>
    </row>
    <row r="23" spans="1:59" x14ac:dyDescent="0.35">
      <c r="A23" s="125">
        <f>'Student Basic Info'!A23</f>
        <v>722</v>
      </c>
      <c r="B23" s="125" t="str">
        <f>'Student Basic Info'!C23</f>
        <v>Mahmudau Rahman Munna</v>
      </c>
      <c r="C23" s="126" t="str">
        <f>IF(Bangla!B23="","",Bangla!B23)</f>
        <v/>
      </c>
      <c r="D23" s="126">
        <f>IF(Bangla!C23="","",Bangla!C23)</f>
        <v>57</v>
      </c>
      <c r="E23" s="135">
        <f>IF(Bangla!D23="","",Bangla!D23)</f>
        <v>57</v>
      </c>
      <c r="F23" s="135">
        <f>IF(English!C23="","",English!C23)</f>
        <v>41</v>
      </c>
      <c r="G23" s="125">
        <f>IF(ICT!B23="","",ICT!B23)</f>
        <v>12</v>
      </c>
      <c r="H23" s="125">
        <f>IF(ICT!C23="","",ICT!C23)</f>
        <v>2</v>
      </c>
      <c r="I23" s="125">
        <f>IF(ICT!D23="","",ICT!D23)</f>
        <v>22</v>
      </c>
      <c r="J23" s="137">
        <f>IF(ICT!E23="","",ICT!E23)</f>
        <v>36</v>
      </c>
      <c r="K23" s="125">
        <f>IF(Physics!B23="","",Physics!B23)</f>
        <v>14</v>
      </c>
      <c r="L23" s="125">
        <f>IF(Physics!C23="","",Physics!C23)</f>
        <v>3</v>
      </c>
      <c r="M23" s="125">
        <f>IF(Physics!D23="","",Physics!D23)</f>
        <v>12</v>
      </c>
      <c r="N23" s="137">
        <f>IF(Physics!E23="","",Physics!E23)</f>
        <v>29</v>
      </c>
      <c r="O23" s="125">
        <f>IF(Chemistry!B23="","",Chemistry!B23)</f>
        <v>14</v>
      </c>
      <c r="P23" s="125">
        <f>IF(Chemistry!C23="","",Chemistry!C23)</f>
        <v>12</v>
      </c>
      <c r="Q23" s="125">
        <f>IF(Chemistry!D23="","",Chemistry!D23)</f>
        <v>8</v>
      </c>
      <c r="R23" s="137">
        <f>IF(Chemistry!E23="","",Chemistry!E23)</f>
        <v>34</v>
      </c>
      <c r="S23" s="125">
        <f>IF(SubjectList!G23="Math", IF(Math!B23="","",Math!B23), IF(Biology!B23="","",Biology!B23))</f>
        <v>16</v>
      </c>
      <c r="T23" s="125">
        <f>IF(SubjectList!G23="Math", IF(Math!C23="","",Math!C23), IF(Biology!C23="","",Biology!C23))</f>
        <v>12</v>
      </c>
      <c r="U23" s="125">
        <f>IF(SubjectList!G23="Math", IF(Math!D23="","",Math!D23), IF(Biology!D23="","",Biology!D23))</f>
        <v>12</v>
      </c>
      <c r="V23" s="137">
        <f>IF(SubjectList!G23="Math", IF(Math!E23="","",Math!E23), IF(Biology!E23="","",Biology!E23))</f>
        <v>40</v>
      </c>
      <c r="W23" s="125">
        <f>IF(SubjectList!I23="Biology", IF(Biology!B23="","",Biology!B23), IF(Math!B23="","",Math!B23))</f>
        <v>17</v>
      </c>
      <c r="X23" s="125">
        <f>Optional!D23</f>
        <v>0</v>
      </c>
      <c r="Y23" s="125">
        <f>Optional!E23</f>
        <v>10</v>
      </c>
      <c r="Z23" s="137">
        <f>Optional!F23</f>
        <v>27</v>
      </c>
      <c r="AA23" s="127" t="str">
        <f>IF(SubjectList!G23="","", SubjectList!G23)</f>
        <v>Biology</v>
      </c>
      <c r="AB23" s="127" t="str">
        <f>IF(SubjectList!I23="","", SubjectList!I23)</f>
        <v>Math</v>
      </c>
      <c r="AC23" s="125" t="str">
        <f>Bangla!F23</f>
        <v>B</v>
      </c>
      <c r="AD23" s="125" t="str">
        <f>English!E23</f>
        <v>C</v>
      </c>
      <c r="AE23" s="125" t="str">
        <f>ICT!G23</f>
        <v>F</v>
      </c>
      <c r="AF23" s="125" t="str">
        <f>Physics!G23</f>
        <v>F</v>
      </c>
      <c r="AG23" s="125" t="str">
        <f>Chemistry!G23</f>
        <v>F</v>
      </c>
      <c r="AH23" s="125" t="str">
        <f>IF(SubjectList!G23="Math", IF(Math!G23="","",Math!G23), IF(Biology!G23="","",Biology!G23))</f>
        <v>F</v>
      </c>
      <c r="AI23" s="125" t="str">
        <f>IF(SubjectList!H23="Math", IF(Math!G23="","",Math!G23), IF(Biology!G23="","",Biology!G23))</f>
        <v>F</v>
      </c>
      <c r="AJ23" s="140">
        <f>Bangla!G23</f>
        <v>3</v>
      </c>
      <c r="AK23" s="140">
        <f>English!F23</f>
        <v>2</v>
      </c>
      <c r="AL23" s="140">
        <f>ICT!H23</f>
        <v>0</v>
      </c>
      <c r="AM23" s="140">
        <f>Physics!H23</f>
        <v>0</v>
      </c>
      <c r="AN23" s="140">
        <f>Chemistry!H23</f>
        <v>0</v>
      </c>
      <c r="AO23" s="140">
        <f>IF(SubjectList!G23="Math", IF(Math!H23="","",Math!H23), IF(Biology!H23="","",Biology!H23))</f>
        <v>0</v>
      </c>
      <c r="AP23" s="140">
        <f>IF(SubjectList!I23="Math", IF(Math!H23="","",Math!H23), IF(Biology!H23="","",Biology!H23))</f>
        <v>0</v>
      </c>
      <c r="AQ23" s="140">
        <f>Optional!I23</f>
        <v>0</v>
      </c>
      <c r="AR23" s="140">
        <f>Optional!J23</f>
        <v>0</v>
      </c>
      <c r="AS23" s="140">
        <f t="shared" si="0"/>
        <v>5</v>
      </c>
      <c r="AT23" s="140">
        <f t="shared" si="8"/>
        <v>5</v>
      </c>
      <c r="AU23" s="128" t="str">
        <f t="shared" si="1"/>
        <v/>
      </c>
      <c r="AV23" s="128" t="str">
        <f t="shared" si="2"/>
        <v/>
      </c>
      <c r="AW23" s="128">
        <f t="shared" si="11"/>
        <v>264</v>
      </c>
      <c r="AX23" s="129">
        <f t="shared" si="9"/>
        <v>1</v>
      </c>
      <c r="AY23" s="129">
        <f t="shared" si="9"/>
        <v>1</v>
      </c>
      <c r="AZ23" s="129">
        <f t="shared" si="9"/>
        <v>0</v>
      </c>
      <c r="BA23" s="129">
        <f t="shared" si="9"/>
        <v>0</v>
      </c>
      <c r="BB23" s="129">
        <f t="shared" si="9"/>
        <v>0</v>
      </c>
      <c r="BC23" s="129">
        <f t="shared" si="9"/>
        <v>0</v>
      </c>
      <c r="BD23" s="125">
        <f t="shared" si="10"/>
        <v>2</v>
      </c>
      <c r="BE23" s="125" t="str">
        <f t="shared" si="6"/>
        <v>F4</v>
      </c>
      <c r="BF23" s="125" t="str">
        <f>IF(AV23="","",RANK(AV23,AV$2:AV88,0))</f>
        <v/>
      </c>
      <c r="BG23" s="125" t="str">
        <f t="shared" si="7"/>
        <v/>
      </c>
    </row>
    <row r="24" spans="1:59" x14ac:dyDescent="0.35">
      <c r="A24" s="125">
        <f>'Student Basic Info'!A24</f>
        <v>723</v>
      </c>
      <c r="B24" s="125" t="str">
        <f>'Student Basic Info'!C24</f>
        <v>Shamsuzzaman</v>
      </c>
      <c r="C24" s="126" t="str">
        <f>IF(Bangla!B24="","",Bangla!B24)</f>
        <v/>
      </c>
      <c r="D24" s="126">
        <f>IF(Bangla!C24="","",Bangla!C24)</f>
        <v>72</v>
      </c>
      <c r="E24" s="135">
        <f>IF(Bangla!D24="","",Bangla!D24)</f>
        <v>72</v>
      </c>
      <c r="F24" s="135">
        <f>IF(English!C24="","",English!C24)</f>
        <v>64</v>
      </c>
      <c r="G24" s="125">
        <f>IF(ICT!B24="","",ICT!B24)</f>
        <v>23</v>
      </c>
      <c r="H24" s="125">
        <f>IF(ICT!C24="","",ICT!C24)</f>
        <v>43</v>
      </c>
      <c r="I24" s="125">
        <f>IF(ICT!D24="","",ICT!D24)</f>
        <v>25</v>
      </c>
      <c r="J24" s="137">
        <f>IF(ICT!E24="","",ICT!E24)</f>
        <v>91</v>
      </c>
      <c r="K24" s="125">
        <f>IF(Physics!B24="","",Physics!B24)</f>
        <v>19</v>
      </c>
      <c r="L24" s="125">
        <f>IF(Physics!C24="","",Physics!C24)</f>
        <v>50</v>
      </c>
      <c r="M24" s="125">
        <f>IF(Physics!D24="","",Physics!D24)</f>
        <v>21</v>
      </c>
      <c r="N24" s="137">
        <f>IF(Physics!E24="","",Physics!E24)</f>
        <v>90</v>
      </c>
      <c r="O24" s="125">
        <f>IF(Chemistry!B24="","",Chemistry!B24)</f>
        <v>19</v>
      </c>
      <c r="P24" s="125">
        <f>IF(Chemistry!C24="","",Chemistry!C24)</f>
        <v>46</v>
      </c>
      <c r="Q24" s="125">
        <f>IF(Chemistry!D24="","",Chemistry!D24)</f>
        <v>25</v>
      </c>
      <c r="R24" s="137">
        <f>IF(Chemistry!E24="","",Chemistry!E24)</f>
        <v>90</v>
      </c>
      <c r="S24" s="125">
        <f>IF(SubjectList!G24="Math", IF(Math!B24="","",Math!B24), IF(Biology!B24="","",Biology!B24))</f>
        <v>16</v>
      </c>
      <c r="T24" s="125">
        <f>IF(SubjectList!G24="Math", IF(Math!C24="","",Math!C24), IF(Biology!C24="","",Biology!C24))</f>
        <v>37</v>
      </c>
      <c r="U24" s="125">
        <f>IF(SubjectList!G24="Math", IF(Math!D24="","",Math!D24), IF(Biology!D24="","",Biology!D24))</f>
        <v>18</v>
      </c>
      <c r="V24" s="137">
        <f>IF(SubjectList!G24="Math", IF(Math!E24="","",Math!E24), IF(Biology!E24="","",Biology!E24))</f>
        <v>71</v>
      </c>
      <c r="W24" s="125">
        <f>IF(SubjectList!I24="Biology", IF(Biology!B24="","",Biology!B24), IF(Math!B24="","",Math!B24))</f>
        <v>18</v>
      </c>
      <c r="X24" s="125">
        <f>Optional!D24</f>
        <v>38</v>
      </c>
      <c r="Y24" s="125">
        <f>Optional!E24</f>
        <v>24</v>
      </c>
      <c r="Z24" s="137">
        <f>Optional!F24</f>
        <v>80</v>
      </c>
      <c r="AA24" s="127" t="str">
        <f>IF(SubjectList!G24="","", SubjectList!G24)</f>
        <v>Biology</v>
      </c>
      <c r="AB24" s="127" t="str">
        <f>IF(SubjectList!I24="","", SubjectList!I24)</f>
        <v>Math</v>
      </c>
      <c r="AC24" s="125" t="str">
        <f>Bangla!F24</f>
        <v>A</v>
      </c>
      <c r="AD24" s="125" t="str">
        <f>English!E24</f>
        <v>A-</v>
      </c>
      <c r="AE24" s="125" t="str">
        <f>ICT!G24</f>
        <v>A+</v>
      </c>
      <c r="AF24" s="125" t="str">
        <f>Physics!G24</f>
        <v>A+</v>
      </c>
      <c r="AG24" s="125" t="str">
        <f>Chemistry!G24</f>
        <v>A+</v>
      </c>
      <c r="AH24" s="125" t="str">
        <f>IF(SubjectList!G24="Math", IF(Math!G24="","",Math!G24), IF(Biology!G24="","",Biology!G24))</f>
        <v>A</v>
      </c>
      <c r="AI24" s="125" t="str">
        <f>IF(SubjectList!H24="Math", IF(Math!G24="","",Math!G24), IF(Biology!G24="","",Biology!G24))</f>
        <v>A+</v>
      </c>
      <c r="AJ24" s="140">
        <f>Bangla!G24</f>
        <v>4</v>
      </c>
      <c r="AK24" s="140">
        <f>English!F24</f>
        <v>3.5</v>
      </c>
      <c r="AL24" s="140">
        <f>ICT!H24</f>
        <v>5</v>
      </c>
      <c r="AM24" s="140">
        <f>Physics!H24</f>
        <v>5</v>
      </c>
      <c r="AN24" s="140">
        <f>Chemistry!H24</f>
        <v>5</v>
      </c>
      <c r="AO24" s="140">
        <f>IF(SubjectList!G24="Math", IF(Math!H24="","",Math!H24), IF(Biology!H24="","",Biology!H24))</f>
        <v>4</v>
      </c>
      <c r="AP24" s="140">
        <f>IF(SubjectList!I24="Math", IF(Math!H24="","",Math!H24), IF(Biology!H24="","",Biology!H24))</f>
        <v>5</v>
      </c>
      <c r="AQ24" s="140">
        <f>Optional!I24</f>
        <v>5</v>
      </c>
      <c r="AR24" s="140">
        <f>Optional!J24</f>
        <v>3</v>
      </c>
      <c r="AS24" s="140">
        <f t="shared" si="0"/>
        <v>26.5</v>
      </c>
      <c r="AT24" s="140">
        <f t="shared" si="8"/>
        <v>29.5</v>
      </c>
      <c r="AU24" s="128">
        <f t="shared" si="1"/>
        <v>4.416666666666667</v>
      </c>
      <c r="AV24" s="128">
        <f t="shared" si="2"/>
        <v>4.916666666666667</v>
      </c>
      <c r="AW24" s="128">
        <f t="shared" si="11"/>
        <v>558</v>
      </c>
      <c r="AX24" s="129">
        <f t="shared" si="9"/>
        <v>1</v>
      </c>
      <c r="AY24" s="129">
        <f t="shared" si="9"/>
        <v>1</v>
      </c>
      <c r="AZ24" s="129">
        <f t="shared" si="9"/>
        <v>1</v>
      </c>
      <c r="BA24" s="129">
        <f t="shared" si="9"/>
        <v>1</v>
      </c>
      <c r="BB24" s="129">
        <f t="shared" si="9"/>
        <v>1</v>
      </c>
      <c r="BC24" s="129">
        <f t="shared" si="9"/>
        <v>1</v>
      </c>
      <c r="BD24" s="125">
        <f t="shared" si="10"/>
        <v>6</v>
      </c>
      <c r="BE24" s="125" t="str">
        <f t="shared" si="6"/>
        <v>Pass</v>
      </c>
      <c r="BF24" s="125">
        <f>IF(AV24="","",RANK(AV24,AV$2:AV88,0))</f>
        <v>1</v>
      </c>
      <c r="BG24" s="125" t="str">
        <f t="shared" si="7"/>
        <v>A</v>
      </c>
    </row>
    <row r="25" spans="1:59" x14ac:dyDescent="0.35">
      <c r="A25" s="125">
        <f>'Student Basic Info'!A25</f>
        <v>724</v>
      </c>
      <c r="B25" s="125" t="str">
        <f>'Student Basic Info'!C25</f>
        <v>Dipto Chandra Das</v>
      </c>
      <c r="C25" s="126" t="str">
        <f>IF(Bangla!B25="","",Bangla!B25)</f>
        <v/>
      </c>
      <c r="D25" s="126">
        <f>IF(Bangla!C25="","",Bangla!C25)</f>
        <v>46</v>
      </c>
      <c r="E25" s="135">
        <f>IF(Bangla!D25="","",Bangla!D25)</f>
        <v>46</v>
      </c>
      <c r="F25" s="135">
        <f>IF(English!C25="","",English!C25)</f>
        <v>34</v>
      </c>
      <c r="G25" s="125">
        <f>IF(ICT!B25="","",ICT!B25)</f>
        <v>22</v>
      </c>
      <c r="H25" s="125">
        <f>IF(ICT!C25="","",ICT!C25)</f>
        <v>9</v>
      </c>
      <c r="I25" s="125">
        <f>IF(ICT!D25="","",ICT!D25)</f>
        <v>25</v>
      </c>
      <c r="J25" s="137">
        <f>IF(ICT!E25="","",ICT!E25)</f>
        <v>56</v>
      </c>
      <c r="K25" s="125">
        <f>IF(Physics!B25="","",Physics!B25)</f>
        <v>13</v>
      </c>
      <c r="L25" s="125">
        <f>IF(Physics!C25="","",Physics!C25)</f>
        <v>17</v>
      </c>
      <c r="M25" s="125">
        <f>IF(Physics!D25="","",Physics!D25)</f>
        <v>15</v>
      </c>
      <c r="N25" s="137">
        <f>IF(Physics!E25="","",Physics!E25)</f>
        <v>45</v>
      </c>
      <c r="O25" s="125">
        <f>IF(Chemistry!B25="","",Chemistry!B25)</f>
        <v>10</v>
      </c>
      <c r="P25" s="125">
        <f>IF(Chemistry!C25="","",Chemistry!C25)</f>
        <v>26</v>
      </c>
      <c r="Q25" s="125">
        <f>IF(Chemistry!D25="","",Chemistry!D25)</f>
        <v>15</v>
      </c>
      <c r="R25" s="137">
        <f>IF(Chemistry!E25="","",Chemistry!E25)</f>
        <v>51</v>
      </c>
      <c r="S25" s="125">
        <f>IF(SubjectList!G25="Math", IF(Math!B25="","",Math!B25), IF(Biology!B25="","",Biology!B25))</f>
        <v>16</v>
      </c>
      <c r="T25" s="125">
        <f>IF(SubjectList!G25="Math", IF(Math!C25="","",Math!C25), IF(Biology!C25="","",Biology!C25))</f>
        <v>13</v>
      </c>
      <c r="U25" s="125">
        <f>IF(SubjectList!G25="Math", IF(Math!D25="","",Math!D25), IF(Biology!D25="","",Biology!D25))</f>
        <v>15</v>
      </c>
      <c r="V25" s="137">
        <f>IF(SubjectList!G25="Math", IF(Math!E25="","",Math!E25), IF(Biology!E25="","",Biology!E25))</f>
        <v>44</v>
      </c>
      <c r="W25" s="125">
        <f>IF(SubjectList!I25="Biology", IF(Biology!B25="","",Biology!B25), IF(Math!B25="","",Math!B25))</f>
        <v>16</v>
      </c>
      <c r="X25" s="125">
        <f>Optional!D25</f>
        <v>1</v>
      </c>
      <c r="Y25" s="125">
        <f>Optional!E25</f>
        <v>11</v>
      </c>
      <c r="Z25" s="137">
        <f>Optional!F25</f>
        <v>28</v>
      </c>
      <c r="AA25" s="127" t="str">
        <f>IF(SubjectList!G25="","", SubjectList!G25)</f>
        <v>Biology</v>
      </c>
      <c r="AB25" s="127" t="str">
        <f>IF(SubjectList!I25="","", SubjectList!I25)</f>
        <v>Math</v>
      </c>
      <c r="AC25" s="125" t="str">
        <f>Bangla!F25</f>
        <v>C</v>
      </c>
      <c r="AD25" s="125" t="str">
        <f>English!E25</f>
        <v>D</v>
      </c>
      <c r="AE25" s="125" t="str">
        <f>ICT!G25</f>
        <v>F</v>
      </c>
      <c r="AF25" s="125" t="str">
        <f>Physics!G25</f>
        <v>C</v>
      </c>
      <c r="AG25" s="125" t="str">
        <f>Chemistry!G25</f>
        <v>B</v>
      </c>
      <c r="AH25" s="125" t="str">
        <f>IF(SubjectList!G25="Math", IF(Math!G25="","",Math!G25), IF(Biology!G25="","",Biology!G25))</f>
        <v>F</v>
      </c>
      <c r="AI25" s="125" t="str">
        <f>IF(SubjectList!H25="Math", IF(Math!G25="","",Math!G25), IF(Biology!G25="","",Biology!G25))</f>
        <v>F</v>
      </c>
      <c r="AJ25" s="140">
        <f>Bangla!G25</f>
        <v>2</v>
      </c>
      <c r="AK25" s="140">
        <f>English!F25</f>
        <v>1</v>
      </c>
      <c r="AL25" s="140">
        <f>ICT!H25</f>
        <v>0</v>
      </c>
      <c r="AM25" s="140">
        <f>Physics!H25</f>
        <v>2</v>
      </c>
      <c r="AN25" s="140">
        <f>Chemistry!H25</f>
        <v>3</v>
      </c>
      <c r="AO25" s="140">
        <f>IF(SubjectList!G25="Math", IF(Math!H25="","",Math!H25), IF(Biology!H25="","",Biology!H25))</f>
        <v>0</v>
      </c>
      <c r="AP25" s="140">
        <f>IF(SubjectList!I25="Math", IF(Math!H25="","",Math!H25), IF(Biology!H25="","",Biology!H25))</f>
        <v>0</v>
      </c>
      <c r="AQ25" s="140">
        <f>Optional!I25</f>
        <v>0</v>
      </c>
      <c r="AR25" s="140">
        <f>Optional!J25</f>
        <v>0</v>
      </c>
      <c r="AS25" s="140">
        <f t="shared" si="0"/>
        <v>8</v>
      </c>
      <c r="AT25" s="140">
        <f t="shared" si="8"/>
        <v>8</v>
      </c>
      <c r="AU25" s="128" t="str">
        <f t="shared" si="1"/>
        <v/>
      </c>
      <c r="AV25" s="128" t="str">
        <f t="shared" si="2"/>
        <v/>
      </c>
      <c r="AW25" s="128">
        <f t="shared" si="11"/>
        <v>304</v>
      </c>
      <c r="AX25" s="129">
        <f t="shared" si="9"/>
        <v>1</v>
      </c>
      <c r="AY25" s="129">
        <f t="shared" si="9"/>
        <v>1</v>
      </c>
      <c r="AZ25" s="129">
        <f t="shared" si="9"/>
        <v>0</v>
      </c>
      <c r="BA25" s="129">
        <f t="shared" si="9"/>
        <v>1</v>
      </c>
      <c r="BB25" s="129">
        <f t="shared" si="9"/>
        <v>1</v>
      </c>
      <c r="BC25" s="129">
        <f t="shared" si="9"/>
        <v>0</v>
      </c>
      <c r="BD25" s="125">
        <f t="shared" si="10"/>
        <v>4</v>
      </c>
      <c r="BE25" s="125" t="str">
        <f t="shared" si="6"/>
        <v>F2</v>
      </c>
      <c r="BF25" s="125" t="str">
        <f>IF(AV25="","",RANK(AV25,AV$2:AV88,0))</f>
        <v/>
      </c>
      <c r="BG25" s="125" t="str">
        <f t="shared" si="7"/>
        <v/>
      </c>
    </row>
    <row r="26" spans="1:59" x14ac:dyDescent="0.35">
      <c r="A26" s="125">
        <f>'Student Basic Info'!A26</f>
        <v>725</v>
      </c>
      <c r="B26" s="125" t="str">
        <f>'Student Basic Info'!C26</f>
        <v>Shorfuddin Nayem</v>
      </c>
      <c r="C26" s="126" t="str">
        <f>IF(Bangla!B26="","",Bangla!B26)</f>
        <v/>
      </c>
      <c r="D26" s="126">
        <f>IF(Bangla!C26="","",Bangla!C26)</f>
        <v>41</v>
      </c>
      <c r="E26" s="135">
        <f>IF(Bangla!D26="","",Bangla!D26)</f>
        <v>41</v>
      </c>
      <c r="F26" s="135">
        <f>IF(English!C26="","",English!C26)</f>
        <v>34</v>
      </c>
      <c r="G26" s="125">
        <f>IF(ICT!B26="","",ICT!B26)</f>
        <v>11</v>
      </c>
      <c r="H26" s="125">
        <f>IF(ICT!C26="","",ICT!C26)</f>
        <v>8</v>
      </c>
      <c r="I26" s="125">
        <f>IF(ICT!D26="","",ICT!D26)</f>
        <v>8</v>
      </c>
      <c r="J26" s="137">
        <f>IF(ICT!E26="","",ICT!E26)</f>
        <v>27</v>
      </c>
      <c r="K26" s="125">
        <f>IF(Physics!B26="","",Physics!B26)</f>
        <v>8</v>
      </c>
      <c r="L26" s="125">
        <f>IF(Physics!C26="","",Physics!C26)</f>
        <v>20</v>
      </c>
      <c r="M26" s="125">
        <f>IF(Physics!D26="","",Physics!D26)</f>
        <v>14</v>
      </c>
      <c r="N26" s="137">
        <f>IF(Physics!E26="","",Physics!E26)</f>
        <v>42</v>
      </c>
      <c r="O26" s="125">
        <f>IF(Chemistry!B26="","",Chemistry!B26)</f>
        <v>14</v>
      </c>
      <c r="P26" s="125">
        <f>IF(Chemistry!C26="","",Chemistry!C26)</f>
        <v>13</v>
      </c>
      <c r="Q26" s="125">
        <f>IF(Chemistry!D26="","",Chemistry!D26)</f>
        <v>10</v>
      </c>
      <c r="R26" s="137">
        <f>IF(Chemistry!E26="","",Chemistry!E26)</f>
        <v>37</v>
      </c>
      <c r="S26" s="125">
        <f>IF(SubjectList!G26="Math", IF(Math!B26="","",Math!B26), IF(Biology!B26="","",Biology!B26))</f>
        <v>15</v>
      </c>
      <c r="T26" s="125">
        <f>IF(SubjectList!G26="Math", IF(Math!C26="","",Math!C26), IF(Biology!C26="","",Biology!C26))</f>
        <v>10</v>
      </c>
      <c r="U26" s="125">
        <f>IF(SubjectList!G26="Math", IF(Math!D26="","",Math!D26), IF(Biology!D26="","",Biology!D26))</f>
        <v>12</v>
      </c>
      <c r="V26" s="137">
        <f>IF(SubjectList!G26="Math", IF(Math!E26="","",Math!E26), IF(Biology!E26="","",Biology!E26))</f>
        <v>37</v>
      </c>
      <c r="W26" s="125">
        <f>IF(SubjectList!I26="Biology", IF(Biology!B26="","",Biology!B26), IF(Math!B26="","",Math!B26))</f>
        <v>18</v>
      </c>
      <c r="X26" s="125">
        <f>Optional!D26</f>
        <v>1</v>
      </c>
      <c r="Y26" s="125">
        <f>Optional!E26</f>
        <v>12</v>
      </c>
      <c r="Z26" s="137">
        <f>Optional!F26</f>
        <v>31</v>
      </c>
      <c r="AA26" s="127" t="str">
        <f>IF(SubjectList!G26="","", SubjectList!G26)</f>
        <v>Biology</v>
      </c>
      <c r="AB26" s="127" t="str">
        <f>IF(SubjectList!I26="","", SubjectList!I26)</f>
        <v>Math</v>
      </c>
      <c r="AC26" s="125" t="str">
        <f>Bangla!F26</f>
        <v>C</v>
      </c>
      <c r="AD26" s="125" t="str">
        <f>English!E26</f>
        <v>D</v>
      </c>
      <c r="AE26" s="125" t="str">
        <f>ICT!G26</f>
        <v>F</v>
      </c>
      <c r="AF26" s="125" t="str">
        <f>Physics!G26</f>
        <v>C</v>
      </c>
      <c r="AG26" s="125" t="str">
        <f>Chemistry!G26</f>
        <v>F</v>
      </c>
      <c r="AH26" s="125" t="str">
        <f>IF(SubjectList!G26="Math", IF(Math!G26="","",Math!G26), IF(Biology!G26="","",Biology!G26))</f>
        <v>F</v>
      </c>
      <c r="AI26" s="125" t="str">
        <f>IF(SubjectList!H26="Math", IF(Math!G26="","",Math!G26), IF(Biology!G26="","",Biology!G26))</f>
        <v>F</v>
      </c>
      <c r="AJ26" s="140">
        <f>Bangla!G26</f>
        <v>2</v>
      </c>
      <c r="AK26" s="140">
        <f>English!F26</f>
        <v>1</v>
      </c>
      <c r="AL26" s="140">
        <f>ICT!H26</f>
        <v>0</v>
      </c>
      <c r="AM26" s="140">
        <f>Physics!H26</f>
        <v>2</v>
      </c>
      <c r="AN26" s="140">
        <f>Chemistry!H26</f>
        <v>0</v>
      </c>
      <c r="AO26" s="140">
        <f>IF(SubjectList!G26="Math", IF(Math!H26="","",Math!H26), IF(Biology!H26="","",Biology!H26))</f>
        <v>0</v>
      </c>
      <c r="AP26" s="140">
        <f>IF(SubjectList!I26="Math", IF(Math!H26="","",Math!H26), IF(Biology!H26="","",Biology!H26))</f>
        <v>0</v>
      </c>
      <c r="AQ26" s="140">
        <f>Optional!I26</f>
        <v>0</v>
      </c>
      <c r="AR26" s="140">
        <f>Optional!J26</f>
        <v>0</v>
      </c>
      <c r="AS26" s="140">
        <f t="shared" si="0"/>
        <v>5</v>
      </c>
      <c r="AT26" s="140">
        <f t="shared" si="8"/>
        <v>5</v>
      </c>
      <c r="AU26" s="128" t="str">
        <f t="shared" si="1"/>
        <v/>
      </c>
      <c r="AV26" s="128" t="str">
        <f t="shared" si="2"/>
        <v/>
      </c>
      <c r="AW26" s="128">
        <f t="shared" si="11"/>
        <v>249</v>
      </c>
      <c r="AX26" s="129">
        <f t="shared" si="9"/>
        <v>1</v>
      </c>
      <c r="AY26" s="129">
        <f t="shared" si="9"/>
        <v>1</v>
      </c>
      <c r="AZ26" s="129">
        <f t="shared" si="9"/>
        <v>0</v>
      </c>
      <c r="BA26" s="129">
        <f t="shared" si="9"/>
        <v>1</v>
      </c>
      <c r="BB26" s="129">
        <f t="shared" si="9"/>
        <v>0</v>
      </c>
      <c r="BC26" s="129">
        <f t="shared" si="9"/>
        <v>0</v>
      </c>
      <c r="BD26" s="125">
        <f t="shared" si="10"/>
        <v>3</v>
      </c>
      <c r="BE26" s="125" t="str">
        <f t="shared" si="6"/>
        <v>F3</v>
      </c>
      <c r="BF26" s="125" t="str">
        <f>IF(AV26="","",RANK(AV26,AV$2:AV88,0))</f>
        <v/>
      </c>
      <c r="BG26" s="125" t="str">
        <f t="shared" si="7"/>
        <v/>
      </c>
    </row>
    <row r="27" spans="1:59" x14ac:dyDescent="0.35">
      <c r="A27" s="125">
        <f>'Student Basic Info'!A27</f>
        <v>726</v>
      </c>
      <c r="B27" s="125" t="str">
        <f>'Student Basic Info'!C27</f>
        <v>Mosaddek Ali</v>
      </c>
      <c r="C27" s="126" t="str">
        <f>IF(Bangla!B27="","",Bangla!B27)</f>
        <v/>
      </c>
      <c r="D27" s="126" t="str">
        <f>IF(Bangla!C27="","",Bangla!C27)</f>
        <v/>
      </c>
      <c r="E27" s="135" t="str">
        <f>IF(Bangla!D27="","",Bangla!D27)</f>
        <v/>
      </c>
      <c r="F27" s="135" t="str">
        <f>IF(English!C27="","",English!C27)</f>
        <v/>
      </c>
      <c r="G27" s="125" t="str">
        <f>IF(ICT!B27="","",ICT!B27)</f>
        <v/>
      </c>
      <c r="H27" s="125" t="str">
        <f>IF(ICT!C27="","",ICT!C27)</f>
        <v/>
      </c>
      <c r="I27" s="125" t="str">
        <f>IF(ICT!D27="","",ICT!D27)</f>
        <v/>
      </c>
      <c r="J27" s="137" t="str">
        <f>IF(ICT!E27="","",ICT!E27)</f>
        <v/>
      </c>
      <c r="K27" s="125" t="str">
        <f>IF(Physics!B27="","",Physics!B27)</f>
        <v/>
      </c>
      <c r="L27" s="125" t="str">
        <f>IF(Physics!C27="","",Physics!C27)</f>
        <v/>
      </c>
      <c r="M27" s="125" t="str">
        <f>IF(Physics!D27="","",Physics!D27)</f>
        <v/>
      </c>
      <c r="N27" s="137" t="str">
        <f>IF(Physics!E27="","",Physics!E27)</f>
        <v/>
      </c>
      <c r="O27" s="125" t="str">
        <f>IF(Chemistry!B27="","",Chemistry!B27)</f>
        <v/>
      </c>
      <c r="P27" s="125" t="str">
        <f>IF(Chemistry!C27="","",Chemistry!C27)</f>
        <v/>
      </c>
      <c r="Q27" s="125" t="str">
        <f>IF(Chemistry!D27="","",Chemistry!D27)</f>
        <v/>
      </c>
      <c r="R27" s="137" t="str">
        <f>IF(Chemistry!E27="","",Chemistry!E27)</f>
        <v/>
      </c>
      <c r="S27" s="125" t="str">
        <f>IF(SubjectList!G27="Math", IF(Math!B27="","",Math!B27), IF(Biology!B27="","",Biology!B27))</f>
        <v/>
      </c>
      <c r="T27" s="125" t="str">
        <f>IF(SubjectList!G27="Math", IF(Math!C27="","",Math!C27), IF(Biology!C27="","",Biology!C27))</f>
        <v/>
      </c>
      <c r="U27" s="125" t="str">
        <f>IF(SubjectList!G27="Math", IF(Math!D27="","",Math!D27), IF(Biology!D27="","",Biology!D27))</f>
        <v/>
      </c>
      <c r="V27" s="137" t="str">
        <f>IF(SubjectList!G27="Math", IF(Math!E27="","",Math!E27), IF(Biology!E27="","",Biology!E27))</f>
        <v/>
      </c>
      <c r="W27" s="125" t="str">
        <f>IF(SubjectList!I27="Biology", IF(Biology!B27="","",Biology!B27), IF(Math!B27="","",Math!B27))</f>
        <v/>
      </c>
      <c r="X27" s="125" t="str">
        <f>Optional!D27</f>
        <v/>
      </c>
      <c r="Y27" s="125" t="str">
        <f>Optional!E27</f>
        <v/>
      </c>
      <c r="Z27" s="137" t="str">
        <f>Optional!F27</f>
        <v/>
      </c>
      <c r="AA27" s="127" t="str">
        <f>IF(SubjectList!G27="","", SubjectList!G27)</f>
        <v>Biology</v>
      </c>
      <c r="AB27" s="127" t="str">
        <f>IF(SubjectList!I27="","", SubjectList!I27)</f>
        <v>Math</v>
      </c>
      <c r="AC27" s="125" t="str">
        <f>Bangla!F27</f>
        <v/>
      </c>
      <c r="AD27" s="125" t="str">
        <f>English!E27</f>
        <v/>
      </c>
      <c r="AE27" s="125" t="str">
        <f>ICT!G27</f>
        <v/>
      </c>
      <c r="AF27" s="125" t="str">
        <f>Physics!G27</f>
        <v/>
      </c>
      <c r="AG27" s="125" t="str">
        <f>Chemistry!G27</f>
        <v/>
      </c>
      <c r="AH27" s="125" t="str">
        <f>IF(SubjectList!G27="Math", IF(Math!G27="","",Math!G27), IF(Biology!G27="","",Biology!G27))</f>
        <v/>
      </c>
      <c r="AI27" s="125" t="str">
        <f>IF(SubjectList!H27="Math", IF(Math!G27="","",Math!G27), IF(Biology!G27="","",Biology!G27))</f>
        <v/>
      </c>
      <c r="AJ27" s="140" t="str">
        <f>Bangla!G27</f>
        <v/>
      </c>
      <c r="AK27" s="140" t="str">
        <f>English!F27</f>
        <v/>
      </c>
      <c r="AL27" s="140" t="str">
        <f>ICT!H27</f>
        <v/>
      </c>
      <c r="AM27" s="140" t="str">
        <f>Physics!H27</f>
        <v/>
      </c>
      <c r="AN27" s="140" t="str">
        <f>Chemistry!H27</f>
        <v/>
      </c>
      <c r="AO27" s="140" t="str">
        <f>IF(SubjectList!G27="Math", IF(Math!H27="","",Math!H27), IF(Biology!H27="","",Biology!H27))</f>
        <v/>
      </c>
      <c r="AP27" s="140" t="str">
        <f>IF(SubjectList!I27="Math", IF(Math!H27="","",Math!H27), IF(Biology!H27="","",Biology!H27))</f>
        <v/>
      </c>
      <c r="AQ27" s="140" t="str">
        <f>Optional!I27</f>
        <v/>
      </c>
      <c r="AR27" s="140" t="str">
        <f>Optional!J27</f>
        <v/>
      </c>
      <c r="AS27" s="140" t="str">
        <f t="shared" si="0"/>
        <v/>
      </c>
      <c r="AT27" s="140" t="str">
        <f t="shared" si="8"/>
        <v/>
      </c>
      <c r="AU27" s="128" t="str">
        <f t="shared" si="1"/>
        <v/>
      </c>
      <c r="AV27" s="128" t="str">
        <f t="shared" si="2"/>
        <v/>
      </c>
      <c r="AW27" s="128">
        <f t="shared" si="11"/>
        <v>0</v>
      </c>
      <c r="AX27" s="129" t="str">
        <f t="shared" si="9"/>
        <v/>
      </c>
      <c r="AY27" s="129" t="str">
        <f t="shared" si="9"/>
        <v/>
      </c>
      <c r="AZ27" s="129" t="str">
        <f t="shared" si="9"/>
        <v/>
      </c>
      <c r="BA27" s="129" t="str">
        <f t="shared" si="9"/>
        <v/>
      </c>
      <c r="BB27" s="129" t="str">
        <f t="shared" si="9"/>
        <v/>
      </c>
      <c r="BC27" s="129" t="str">
        <f t="shared" si="9"/>
        <v/>
      </c>
      <c r="BD27" s="125">
        <f t="shared" si="10"/>
        <v>0</v>
      </c>
      <c r="BE27" s="125" t="str">
        <f t="shared" si="6"/>
        <v>F6</v>
      </c>
      <c r="BF27" s="125" t="str">
        <f>IF(AV27="","",RANK(AV27,AV$2:AV88,0))</f>
        <v/>
      </c>
      <c r="BG27" s="125" t="str">
        <f t="shared" si="7"/>
        <v/>
      </c>
    </row>
    <row r="28" spans="1:59" x14ac:dyDescent="0.35">
      <c r="A28" s="125">
        <f>'Student Basic Info'!A28</f>
        <v>727</v>
      </c>
      <c r="B28" s="125" t="str">
        <f>'Student Basic Info'!C28</f>
        <v>Fahmida Sultana</v>
      </c>
      <c r="C28" s="126" t="str">
        <f>IF(Bangla!B28="","",Bangla!B28)</f>
        <v/>
      </c>
      <c r="D28" s="126">
        <f>IF(Bangla!C28="","",Bangla!C28)</f>
        <v>62</v>
      </c>
      <c r="E28" s="135">
        <f>IF(Bangla!D28="","",Bangla!D28)</f>
        <v>62</v>
      </c>
      <c r="F28" s="135">
        <f>IF(English!C28="","",English!C28)</f>
        <v>37</v>
      </c>
      <c r="G28" s="125">
        <f>IF(ICT!B28="","",ICT!B28)</f>
        <v>21</v>
      </c>
      <c r="H28" s="125">
        <f>IF(ICT!C28="","",ICT!C28)</f>
        <v>38</v>
      </c>
      <c r="I28" s="125">
        <f>IF(ICT!D28="","",ICT!D28)</f>
        <v>25</v>
      </c>
      <c r="J28" s="137">
        <f>IF(ICT!E28="","",ICT!E28)</f>
        <v>84</v>
      </c>
      <c r="K28" s="125">
        <f>IF(Physics!B28="","",Physics!B28)</f>
        <v>12</v>
      </c>
      <c r="L28" s="125">
        <f>IF(Physics!C28="","",Physics!C28)</f>
        <v>36</v>
      </c>
      <c r="M28" s="125">
        <f>IF(Physics!D28="","",Physics!D28)</f>
        <v>20</v>
      </c>
      <c r="N28" s="137">
        <f>IF(Physics!E28="","",Physics!E28)</f>
        <v>68</v>
      </c>
      <c r="O28" s="125">
        <f>IF(Chemistry!B28="","",Chemistry!B28)</f>
        <v>12</v>
      </c>
      <c r="P28" s="125">
        <f>IF(Chemistry!C28="","",Chemistry!C28)</f>
        <v>17</v>
      </c>
      <c r="Q28" s="125">
        <f>IF(Chemistry!D28="","",Chemistry!D28)</f>
        <v>15</v>
      </c>
      <c r="R28" s="137">
        <f>IF(Chemistry!E28="","",Chemistry!E28)</f>
        <v>44</v>
      </c>
      <c r="S28" s="125">
        <f>IF(SubjectList!G28="Math", IF(Math!B28="","",Math!B28), IF(Biology!B28="","",Biology!B28))</f>
        <v>8</v>
      </c>
      <c r="T28" s="125">
        <f>IF(SubjectList!G28="Math", IF(Math!C28="","",Math!C28), IF(Biology!C28="","",Biology!C28))</f>
        <v>17</v>
      </c>
      <c r="U28" s="125">
        <f>IF(SubjectList!G28="Math", IF(Math!D28="","",Math!D28), IF(Biology!D28="","",Biology!D28))</f>
        <v>15</v>
      </c>
      <c r="V28" s="137">
        <f>IF(SubjectList!G28="Math", IF(Math!E28="","",Math!E28), IF(Biology!E28="","",Biology!E28))</f>
        <v>40</v>
      </c>
      <c r="W28" s="125">
        <f>IF(SubjectList!I28="Biology", IF(Biology!B28="","",Biology!B28), IF(Math!B28="","",Math!B28))</f>
        <v>9</v>
      </c>
      <c r="X28" s="125">
        <f>Optional!D28</f>
        <v>5</v>
      </c>
      <c r="Y28" s="125">
        <f>Optional!E28</f>
        <v>10</v>
      </c>
      <c r="Z28" s="137">
        <f>Optional!F28</f>
        <v>24</v>
      </c>
      <c r="AA28" s="127" t="str">
        <f>IF(SubjectList!G28="","", SubjectList!G28)</f>
        <v>Biology</v>
      </c>
      <c r="AB28" s="127" t="str">
        <f>IF(SubjectList!I28="","", SubjectList!I28)</f>
        <v>Math</v>
      </c>
      <c r="AC28" s="125" t="str">
        <f>Bangla!F28</f>
        <v>A-</v>
      </c>
      <c r="AD28" s="125" t="str">
        <f>English!E28</f>
        <v>D</v>
      </c>
      <c r="AE28" s="125" t="str">
        <f>ICT!G28</f>
        <v>A+</v>
      </c>
      <c r="AF28" s="125" t="str">
        <f>Physics!G28</f>
        <v>A-</v>
      </c>
      <c r="AG28" s="125" t="str">
        <f>Chemistry!G28</f>
        <v>C</v>
      </c>
      <c r="AH28" s="125" t="str">
        <f>IF(SubjectList!G28="Math", IF(Math!G28="","",Math!G28), IF(Biology!G28="","",Biology!G28))</f>
        <v>C</v>
      </c>
      <c r="AI28" s="125" t="str">
        <f>IF(SubjectList!H28="Math", IF(Math!G28="","",Math!G28), IF(Biology!G28="","",Biology!G28))</f>
        <v>F</v>
      </c>
      <c r="AJ28" s="140">
        <f>Bangla!G28</f>
        <v>3.5</v>
      </c>
      <c r="AK28" s="140">
        <f>English!F28</f>
        <v>1</v>
      </c>
      <c r="AL28" s="140">
        <f>ICT!H28</f>
        <v>5</v>
      </c>
      <c r="AM28" s="140">
        <f>Physics!H28</f>
        <v>3.5</v>
      </c>
      <c r="AN28" s="140">
        <f>Chemistry!H28</f>
        <v>2</v>
      </c>
      <c r="AO28" s="140">
        <f>IF(SubjectList!G28="Math", IF(Math!H28="","",Math!H28), IF(Biology!H28="","",Biology!H28))</f>
        <v>2</v>
      </c>
      <c r="AP28" s="140">
        <f>IF(SubjectList!I28="Math", IF(Math!H28="","",Math!H28), IF(Biology!H28="","",Biology!H28))</f>
        <v>0</v>
      </c>
      <c r="AQ28" s="140">
        <f>Optional!I28</f>
        <v>0</v>
      </c>
      <c r="AR28" s="140">
        <f>Optional!J28</f>
        <v>0</v>
      </c>
      <c r="AS28" s="140">
        <f t="shared" si="0"/>
        <v>17</v>
      </c>
      <c r="AT28" s="140">
        <f t="shared" si="8"/>
        <v>17</v>
      </c>
      <c r="AU28" s="128">
        <f t="shared" si="1"/>
        <v>2.8333333333333335</v>
      </c>
      <c r="AV28" s="128">
        <f t="shared" si="2"/>
        <v>2.8333333333333335</v>
      </c>
      <c r="AW28" s="128">
        <f t="shared" si="11"/>
        <v>359</v>
      </c>
      <c r="AX28" s="129">
        <f t="shared" si="9"/>
        <v>1</v>
      </c>
      <c r="AY28" s="129">
        <f t="shared" si="9"/>
        <v>1</v>
      </c>
      <c r="AZ28" s="129">
        <f t="shared" si="9"/>
        <v>1</v>
      </c>
      <c r="BA28" s="129">
        <f t="shared" si="9"/>
        <v>1</v>
      </c>
      <c r="BB28" s="129">
        <f t="shared" si="9"/>
        <v>1</v>
      </c>
      <c r="BC28" s="129">
        <f t="shared" si="9"/>
        <v>1</v>
      </c>
      <c r="BD28" s="125">
        <f t="shared" si="10"/>
        <v>6</v>
      </c>
      <c r="BE28" s="125" t="str">
        <f t="shared" si="6"/>
        <v>Pass</v>
      </c>
      <c r="BF28" s="125">
        <f>IF(AV28="","",RANK(AV28,AV$2:AV88,0))</f>
        <v>9</v>
      </c>
      <c r="BG28" s="125" t="str">
        <f t="shared" si="7"/>
        <v>C</v>
      </c>
    </row>
    <row r="29" spans="1:59" x14ac:dyDescent="0.35">
      <c r="A29" s="125">
        <f>'Student Basic Info'!A29</f>
        <v>728</v>
      </c>
      <c r="B29" s="125" t="str">
        <f>'Student Basic Info'!C29</f>
        <v>Aditya Chandra Das (Akash)</v>
      </c>
      <c r="C29" s="126" t="str">
        <f>IF(Bangla!B29="","",Bangla!B29)</f>
        <v/>
      </c>
      <c r="D29" s="126">
        <f>IF(Bangla!C29="","",Bangla!C29)</f>
        <v>40</v>
      </c>
      <c r="E29" s="135">
        <f>IF(Bangla!D29="","",Bangla!D29)</f>
        <v>40</v>
      </c>
      <c r="F29" s="135">
        <f>IF(English!C29="","",English!C29)</f>
        <v>29</v>
      </c>
      <c r="G29" s="125">
        <f>IF(ICT!B29="","",ICT!B29)</f>
        <v>13</v>
      </c>
      <c r="H29" s="125">
        <f>IF(ICT!C29="","",ICT!C29)</f>
        <v>6</v>
      </c>
      <c r="I29" s="125">
        <f>IF(ICT!D29="","",ICT!D29)</f>
        <v>24</v>
      </c>
      <c r="J29" s="137">
        <f>IF(ICT!E29="","",ICT!E29)</f>
        <v>43</v>
      </c>
      <c r="K29" s="125">
        <f>IF(Physics!B29="","",Physics!B29)</f>
        <v>10</v>
      </c>
      <c r="L29" s="125">
        <f>IF(Physics!C29="","",Physics!C29)</f>
        <v>19</v>
      </c>
      <c r="M29" s="125">
        <f>IF(Physics!D29="","",Physics!D29)</f>
        <v>15</v>
      </c>
      <c r="N29" s="137">
        <f>IF(Physics!E29="","",Physics!E29)</f>
        <v>44</v>
      </c>
      <c r="O29" s="125">
        <f>IF(Chemistry!B29="","",Chemistry!B29)</f>
        <v>9</v>
      </c>
      <c r="P29" s="125">
        <f>IF(Chemistry!C29="","",Chemistry!C29)</f>
        <v>27</v>
      </c>
      <c r="Q29" s="125">
        <f>IF(Chemistry!D29="","",Chemistry!D29)</f>
        <v>16</v>
      </c>
      <c r="R29" s="137">
        <f>IF(Chemistry!E29="","",Chemistry!E29)</f>
        <v>52</v>
      </c>
      <c r="S29" s="125">
        <f>IF(SubjectList!G29="Math", IF(Math!B29="","",Math!B29), IF(Biology!B29="","",Biology!B29))</f>
        <v>15</v>
      </c>
      <c r="T29" s="125">
        <f>IF(SubjectList!G29="Math", IF(Math!C29="","",Math!C29), IF(Biology!C29="","",Biology!C29))</f>
        <v>14</v>
      </c>
      <c r="U29" s="125">
        <f>IF(SubjectList!G29="Math", IF(Math!D29="","",Math!D29), IF(Biology!D29="","",Biology!D29))</f>
        <v>16</v>
      </c>
      <c r="V29" s="137">
        <f>IF(SubjectList!G29="Math", IF(Math!E29="","",Math!E29), IF(Biology!E29="","",Biology!E29))</f>
        <v>45</v>
      </c>
      <c r="W29" s="125">
        <f>IF(SubjectList!I29="Biology", IF(Biology!B29="","",Biology!B29), IF(Math!B29="","",Math!B29))</f>
        <v>15</v>
      </c>
      <c r="X29" s="125">
        <f>Optional!D29</f>
        <v>0</v>
      </c>
      <c r="Y29" s="125">
        <f>Optional!E29</f>
        <v>10</v>
      </c>
      <c r="Z29" s="137">
        <f>Optional!F29</f>
        <v>25</v>
      </c>
      <c r="AA29" s="127" t="str">
        <f>IF(SubjectList!G29="","", SubjectList!G29)</f>
        <v>Biology</v>
      </c>
      <c r="AB29" s="127" t="str">
        <f>IF(SubjectList!I29="","", SubjectList!I29)</f>
        <v>Math</v>
      </c>
      <c r="AC29" s="125" t="str">
        <f>Bangla!F29</f>
        <v>C</v>
      </c>
      <c r="AD29" s="125" t="str">
        <f>English!E29</f>
        <v>F</v>
      </c>
      <c r="AE29" s="125" t="str">
        <f>ICT!G29</f>
        <v>F</v>
      </c>
      <c r="AF29" s="125" t="str">
        <f>Physics!G29</f>
        <v>C</v>
      </c>
      <c r="AG29" s="125" t="str">
        <f>Chemistry!G29</f>
        <v>B</v>
      </c>
      <c r="AH29" s="125" t="str">
        <f>IF(SubjectList!G29="Math", IF(Math!G29="","",Math!G29), IF(Biology!G29="","",Biology!G29))</f>
        <v>F</v>
      </c>
      <c r="AI29" s="125" t="str">
        <f>IF(SubjectList!H29="Math", IF(Math!G29="","",Math!G29), IF(Biology!G29="","",Biology!G29))</f>
        <v>F</v>
      </c>
      <c r="AJ29" s="140">
        <f>Bangla!G29</f>
        <v>2</v>
      </c>
      <c r="AK29" s="140">
        <f>English!F29</f>
        <v>0</v>
      </c>
      <c r="AL29" s="140">
        <f>ICT!H29</f>
        <v>0</v>
      </c>
      <c r="AM29" s="140">
        <f>Physics!H29</f>
        <v>2</v>
      </c>
      <c r="AN29" s="140">
        <f>Chemistry!H29</f>
        <v>3</v>
      </c>
      <c r="AO29" s="140">
        <f>IF(SubjectList!G29="Math", IF(Math!H29="","",Math!H29), IF(Biology!H29="","",Biology!H29))</f>
        <v>0</v>
      </c>
      <c r="AP29" s="140">
        <f>IF(SubjectList!I29="Math", IF(Math!H29="","",Math!H29), IF(Biology!H29="","",Biology!H29))</f>
        <v>0</v>
      </c>
      <c r="AQ29" s="140">
        <f>Optional!I29</f>
        <v>0</v>
      </c>
      <c r="AR29" s="140">
        <f>Optional!J29</f>
        <v>0</v>
      </c>
      <c r="AS29" s="140">
        <f t="shared" si="0"/>
        <v>7</v>
      </c>
      <c r="AT29" s="140">
        <f t="shared" si="8"/>
        <v>7</v>
      </c>
      <c r="AU29" s="128" t="str">
        <f t="shared" si="1"/>
        <v/>
      </c>
      <c r="AV29" s="128" t="str">
        <f t="shared" si="2"/>
        <v/>
      </c>
      <c r="AW29" s="128">
        <f t="shared" si="11"/>
        <v>278</v>
      </c>
      <c r="AX29" s="129">
        <f t="shared" si="9"/>
        <v>1</v>
      </c>
      <c r="AY29" s="129">
        <f t="shared" si="9"/>
        <v>0</v>
      </c>
      <c r="AZ29" s="129">
        <f t="shared" si="9"/>
        <v>0</v>
      </c>
      <c r="BA29" s="129">
        <f t="shared" si="9"/>
        <v>1</v>
      </c>
      <c r="BB29" s="129">
        <f t="shared" si="9"/>
        <v>1</v>
      </c>
      <c r="BC29" s="129">
        <f t="shared" si="9"/>
        <v>0</v>
      </c>
      <c r="BD29" s="125">
        <f t="shared" si="10"/>
        <v>3</v>
      </c>
      <c r="BE29" s="125" t="str">
        <f t="shared" si="6"/>
        <v>F3</v>
      </c>
      <c r="BF29" s="125" t="str">
        <f>IF(AV29="","",RANK(AV29,AV$2:AV88,0))</f>
        <v/>
      </c>
      <c r="BG29" s="125" t="str">
        <f t="shared" si="7"/>
        <v/>
      </c>
    </row>
    <row r="30" spans="1:59" x14ac:dyDescent="0.35">
      <c r="A30" s="125">
        <f>'Student Basic Info'!A30</f>
        <v>729</v>
      </c>
      <c r="B30" s="125" t="str">
        <f>'Student Basic Info'!C30</f>
        <v>Golam Kibriya</v>
      </c>
      <c r="C30" s="126" t="str">
        <f>IF(Bangla!B30="","",Bangla!B30)</f>
        <v/>
      </c>
      <c r="D30" s="126">
        <f>IF(Bangla!C30="","",Bangla!C30)</f>
        <v>35</v>
      </c>
      <c r="E30" s="135">
        <f>IF(Bangla!D30="","",Bangla!D30)</f>
        <v>35</v>
      </c>
      <c r="F30" s="135">
        <f>IF(English!C30="","",English!C30)</f>
        <v>18</v>
      </c>
      <c r="G30" s="125">
        <f>IF(ICT!B30="","",ICT!B30)</f>
        <v>13</v>
      </c>
      <c r="H30" s="125">
        <f>IF(ICT!C30="","",ICT!C30)</f>
        <v>8</v>
      </c>
      <c r="I30" s="125">
        <f>IF(ICT!D30="","",ICT!D30)</f>
        <v>24</v>
      </c>
      <c r="J30" s="137">
        <f>IF(ICT!E30="","",ICT!E30)</f>
        <v>45</v>
      </c>
      <c r="K30" s="125">
        <f>IF(Physics!B30="","",Physics!B30)</f>
        <v>7</v>
      </c>
      <c r="L30" s="125">
        <f>IF(Physics!C30="","",Physics!C30)</f>
        <v>6</v>
      </c>
      <c r="M30" s="125">
        <f>IF(Physics!D30="","",Physics!D30)</f>
        <v>10</v>
      </c>
      <c r="N30" s="137">
        <f>IF(Physics!E30="","",Physics!E30)</f>
        <v>23</v>
      </c>
      <c r="O30" s="125">
        <f>IF(Chemistry!B30="","",Chemistry!B30)</f>
        <v>8</v>
      </c>
      <c r="P30" s="125">
        <f>IF(Chemistry!C30="","",Chemistry!C30)</f>
        <v>11</v>
      </c>
      <c r="Q30" s="125">
        <f>IF(Chemistry!D30="","",Chemistry!D30)</f>
        <v>8</v>
      </c>
      <c r="R30" s="137">
        <f>IF(Chemistry!E30="","",Chemistry!E30)</f>
        <v>27</v>
      </c>
      <c r="S30" s="125">
        <f>IF(SubjectList!G30="Math", IF(Math!B30="","",Math!B30), IF(Biology!B30="","",Biology!B30))</f>
        <v>16</v>
      </c>
      <c r="T30" s="125">
        <f>IF(SubjectList!G30="Math", IF(Math!C30="","",Math!C30), IF(Biology!C30="","",Biology!C30))</f>
        <v>4</v>
      </c>
      <c r="U30" s="125">
        <f>IF(SubjectList!G30="Math", IF(Math!D30="","",Math!D30), IF(Biology!D30="","",Biology!D30))</f>
        <v>10</v>
      </c>
      <c r="V30" s="137">
        <f>IF(SubjectList!G30="Math", IF(Math!E30="","",Math!E30), IF(Biology!E30="","",Biology!E30))</f>
        <v>30</v>
      </c>
      <c r="W30" s="125">
        <f>IF(SubjectList!I30="Biology", IF(Biology!B30="","",Biology!B30), IF(Math!B30="","",Math!B30))</f>
        <v>13</v>
      </c>
      <c r="X30" s="125">
        <f>Optional!D30</f>
        <v>1</v>
      </c>
      <c r="Y30" s="125">
        <f>Optional!E30</f>
        <v>10</v>
      </c>
      <c r="Z30" s="137">
        <f>Optional!F30</f>
        <v>24</v>
      </c>
      <c r="AA30" s="127" t="str">
        <f>IF(SubjectList!G30="","", SubjectList!G30)</f>
        <v>Biology</v>
      </c>
      <c r="AB30" s="127" t="str">
        <f>IF(SubjectList!I30="","", SubjectList!I30)</f>
        <v>Math</v>
      </c>
      <c r="AC30" s="125" t="str">
        <f>Bangla!F30</f>
        <v>D</v>
      </c>
      <c r="AD30" s="125" t="str">
        <f>English!E30</f>
        <v>F</v>
      </c>
      <c r="AE30" s="125" t="str">
        <f>ICT!G30</f>
        <v>F</v>
      </c>
      <c r="AF30" s="125" t="str">
        <f>Physics!G30</f>
        <v>F</v>
      </c>
      <c r="AG30" s="125" t="str">
        <f>Chemistry!G30</f>
        <v>F</v>
      </c>
      <c r="AH30" s="125" t="str">
        <f>IF(SubjectList!G30="Math", IF(Math!G30="","",Math!G30), IF(Biology!G30="","",Biology!G30))</f>
        <v>F</v>
      </c>
      <c r="AI30" s="125" t="str">
        <f>IF(SubjectList!H30="Math", IF(Math!G30="","",Math!G30), IF(Biology!G30="","",Biology!G30))</f>
        <v>F</v>
      </c>
      <c r="AJ30" s="140">
        <f>Bangla!G30</f>
        <v>1</v>
      </c>
      <c r="AK30" s="140">
        <f>English!F30</f>
        <v>0</v>
      </c>
      <c r="AL30" s="140">
        <f>ICT!H30</f>
        <v>0</v>
      </c>
      <c r="AM30" s="140">
        <f>Physics!H30</f>
        <v>0</v>
      </c>
      <c r="AN30" s="140">
        <f>Chemistry!H30</f>
        <v>0</v>
      </c>
      <c r="AO30" s="140">
        <f>IF(SubjectList!G30="Math", IF(Math!H30="","",Math!H30), IF(Biology!H30="","",Biology!H30))</f>
        <v>0</v>
      </c>
      <c r="AP30" s="140">
        <f>IF(SubjectList!I30="Math", IF(Math!H30="","",Math!H30), IF(Biology!H30="","",Biology!H30))</f>
        <v>0</v>
      </c>
      <c r="AQ30" s="140">
        <f>Optional!I30</f>
        <v>0</v>
      </c>
      <c r="AR30" s="140">
        <f>Optional!J30</f>
        <v>0</v>
      </c>
      <c r="AS30" s="140">
        <f t="shared" si="0"/>
        <v>1</v>
      </c>
      <c r="AT30" s="140">
        <f t="shared" si="8"/>
        <v>1</v>
      </c>
      <c r="AU30" s="128" t="str">
        <f t="shared" si="1"/>
        <v/>
      </c>
      <c r="AV30" s="128" t="str">
        <f t="shared" si="2"/>
        <v/>
      </c>
      <c r="AW30" s="128">
        <f t="shared" si="11"/>
        <v>202</v>
      </c>
      <c r="AX30" s="129">
        <f t="shared" si="9"/>
        <v>1</v>
      </c>
      <c r="AY30" s="129">
        <f t="shared" si="9"/>
        <v>0</v>
      </c>
      <c r="AZ30" s="129">
        <f t="shared" si="9"/>
        <v>0</v>
      </c>
      <c r="BA30" s="129">
        <f t="shared" si="9"/>
        <v>0</v>
      </c>
      <c r="BB30" s="129">
        <f t="shared" si="9"/>
        <v>0</v>
      </c>
      <c r="BC30" s="129">
        <f t="shared" si="9"/>
        <v>0</v>
      </c>
      <c r="BD30" s="125">
        <f t="shared" si="10"/>
        <v>1</v>
      </c>
      <c r="BE30" s="125" t="str">
        <f t="shared" si="6"/>
        <v>F5</v>
      </c>
      <c r="BF30" s="125" t="str">
        <f>IF(AV30="","",RANK(AV30,AV$2:AV88,0))</f>
        <v/>
      </c>
      <c r="BG30" s="125" t="str">
        <f t="shared" si="7"/>
        <v/>
      </c>
    </row>
    <row r="31" spans="1:59" x14ac:dyDescent="0.35">
      <c r="A31" s="125">
        <f>'Student Basic Info'!A31</f>
        <v>730</v>
      </c>
      <c r="B31" s="125" t="str">
        <f>'Student Basic Info'!C31</f>
        <v>Fahmidul Alam Abhi</v>
      </c>
      <c r="C31" s="126" t="str">
        <f>IF(Bangla!B31="","",Bangla!B31)</f>
        <v/>
      </c>
      <c r="D31" s="126">
        <f>IF(Bangla!C31="","",Bangla!C31)</f>
        <v>36</v>
      </c>
      <c r="E31" s="135">
        <f>IF(Bangla!D31="","",Bangla!D31)</f>
        <v>36</v>
      </c>
      <c r="F31" s="135">
        <f>IF(English!C31="","",English!C31)</f>
        <v>23</v>
      </c>
      <c r="G31" s="125">
        <f>IF(ICT!B31="","",ICT!B31)</f>
        <v>8</v>
      </c>
      <c r="H31" s="125">
        <f>IF(ICT!C31="","",ICT!C31)</f>
        <v>1</v>
      </c>
      <c r="I31" s="125">
        <f>IF(ICT!D31="","",ICT!D31)</f>
        <v>24</v>
      </c>
      <c r="J31" s="137">
        <f>IF(ICT!E31="","",ICT!E31)</f>
        <v>33</v>
      </c>
      <c r="K31" s="125">
        <f>IF(Physics!B31="","",Physics!B31)</f>
        <v>10</v>
      </c>
      <c r="L31" s="125">
        <f>IF(Physics!C31="","",Physics!C31)</f>
        <v>9</v>
      </c>
      <c r="M31" s="125">
        <f>IF(Physics!D31="","",Physics!D31)</f>
        <v>12</v>
      </c>
      <c r="N31" s="137">
        <f>IF(Physics!E31="","",Physics!E31)</f>
        <v>31</v>
      </c>
      <c r="O31" s="125">
        <f>IF(Chemistry!B31="","",Chemistry!B31)</f>
        <v>11</v>
      </c>
      <c r="P31" s="125">
        <f>IF(Chemistry!C31="","",Chemistry!C31)</f>
        <v>14</v>
      </c>
      <c r="Q31" s="125">
        <f>IF(Chemistry!D31="","",Chemistry!D31)</f>
        <v>8</v>
      </c>
      <c r="R31" s="137">
        <f>IF(Chemistry!E31="","",Chemistry!E31)</f>
        <v>33</v>
      </c>
      <c r="S31" s="125">
        <f>IF(SubjectList!G31="Math", IF(Math!B31="","",Math!B31), IF(Biology!B31="","",Biology!B31))</f>
        <v>16</v>
      </c>
      <c r="T31" s="125">
        <f>IF(SubjectList!G31="Math", IF(Math!C31="","",Math!C31), IF(Biology!C31="","",Biology!C31))</f>
        <v>7</v>
      </c>
      <c r="U31" s="125">
        <f>IF(SubjectList!G31="Math", IF(Math!D31="","",Math!D31), IF(Biology!D31="","",Biology!D31))</f>
        <v>10</v>
      </c>
      <c r="V31" s="137">
        <f>IF(SubjectList!G31="Math", IF(Math!E31="","",Math!E31), IF(Biology!E31="","",Biology!E31))</f>
        <v>33</v>
      </c>
      <c r="W31" s="125">
        <f>IF(SubjectList!I31="Biology", IF(Biology!B31="","",Biology!B31), IF(Math!B31="","",Math!B31))</f>
        <v>13</v>
      </c>
      <c r="X31" s="125">
        <f>Optional!D31</f>
        <v>0</v>
      </c>
      <c r="Y31" s="125">
        <f>Optional!E31</f>
        <v>10</v>
      </c>
      <c r="Z31" s="137">
        <f>Optional!F31</f>
        <v>23</v>
      </c>
      <c r="AA31" s="127" t="str">
        <f>IF(SubjectList!G31="","", SubjectList!G31)</f>
        <v>Biology</v>
      </c>
      <c r="AB31" s="127" t="str">
        <f>IF(SubjectList!I31="","", SubjectList!I31)</f>
        <v>Math</v>
      </c>
      <c r="AC31" s="125" t="str">
        <f>Bangla!F31</f>
        <v>D</v>
      </c>
      <c r="AD31" s="125" t="str">
        <f>English!E31</f>
        <v>F</v>
      </c>
      <c r="AE31" s="125" t="str">
        <f>ICT!G31</f>
        <v>F</v>
      </c>
      <c r="AF31" s="125" t="str">
        <f>Physics!G31</f>
        <v>F</v>
      </c>
      <c r="AG31" s="125" t="str">
        <f>Chemistry!G31</f>
        <v>F</v>
      </c>
      <c r="AH31" s="125" t="str">
        <f>IF(SubjectList!G31="Math", IF(Math!G31="","",Math!G31), IF(Biology!G31="","",Biology!G31))</f>
        <v>F</v>
      </c>
      <c r="AI31" s="125" t="str">
        <f>IF(SubjectList!H31="Math", IF(Math!G31="","",Math!G31), IF(Biology!G31="","",Biology!G31))</f>
        <v>F</v>
      </c>
      <c r="AJ31" s="140">
        <f>Bangla!G31</f>
        <v>1</v>
      </c>
      <c r="AK31" s="140">
        <f>English!F31</f>
        <v>0</v>
      </c>
      <c r="AL31" s="140">
        <f>ICT!H31</f>
        <v>0</v>
      </c>
      <c r="AM31" s="140">
        <f>Physics!H31</f>
        <v>0</v>
      </c>
      <c r="AN31" s="140">
        <f>Chemistry!H31</f>
        <v>0</v>
      </c>
      <c r="AO31" s="140">
        <f>IF(SubjectList!G31="Math", IF(Math!H31="","",Math!H31), IF(Biology!H31="","",Biology!H31))</f>
        <v>0</v>
      </c>
      <c r="AP31" s="140">
        <f>IF(SubjectList!I31="Math", IF(Math!H31="","",Math!H31), IF(Biology!H31="","",Biology!H31))</f>
        <v>0</v>
      </c>
      <c r="AQ31" s="140">
        <f>Optional!I31</f>
        <v>0</v>
      </c>
      <c r="AR31" s="140">
        <f>Optional!J31</f>
        <v>0</v>
      </c>
      <c r="AS31" s="140">
        <f t="shared" si="0"/>
        <v>1</v>
      </c>
      <c r="AT31" s="140">
        <f t="shared" si="8"/>
        <v>1</v>
      </c>
      <c r="AU31" s="128" t="str">
        <f t="shared" si="1"/>
        <v/>
      </c>
      <c r="AV31" s="128" t="str">
        <f t="shared" si="2"/>
        <v/>
      </c>
      <c r="AW31" s="128">
        <f t="shared" si="11"/>
        <v>212</v>
      </c>
      <c r="AX31" s="129">
        <f t="shared" si="9"/>
        <v>1</v>
      </c>
      <c r="AY31" s="129">
        <f t="shared" si="9"/>
        <v>0</v>
      </c>
      <c r="AZ31" s="129">
        <f t="shared" si="9"/>
        <v>0</v>
      </c>
      <c r="BA31" s="129">
        <f t="shared" si="9"/>
        <v>0</v>
      </c>
      <c r="BB31" s="129">
        <f t="shared" si="9"/>
        <v>0</v>
      </c>
      <c r="BC31" s="129">
        <f t="shared" si="9"/>
        <v>0</v>
      </c>
      <c r="BD31" s="125">
        <f t="shared" si="10"/>
        <v>1</v>
      </c>
      <c r="BE31" s="125" t="str">
        <f t="shared" si="6"/>
        <v>F5</v>
      </c>
      <c r="BF31" s="125" t="str">
        <f>IF(AV31="","",RANK(AV31,AV$2:AV88,0))</f>
        <v/>
      </c>
      <c r="BG31" s="125" t="str">
        <f t="shared" si="7"/>
        <v/>
      </c>
    </row>
    <row r="32" spans="1:59" x14ac:dyDescent="0.35">
      <c r="A32" s="125">
        <f>'Student Basic Info'!A32</f>
        <v>731</v>
      </c>
      <c r="B32" s="125" t="str">
        <f>'Student Basic Info'!C32</f>
        <v>Lurpur Nahar</v>
      </c>
      <c r="C32" s="126" t="str">
        <f>IF(Bangla!B32="","",Bangla!B32)</f>
        <v/>
      </c>
      <c r="D32" s="126">
        <f>IF(Bangla!C32="","",Bangla!C32)</f>
        <v>51</v>
      </c>
      <c r="E32" s="135">
        <f>IF(Bangla!D32="","",Bangla!D32)</f>
        <v>51</v>
      </c>
      <c r="F32" s="135">
        <f>IF(English!C32="","",English!C32)</f>
        <v>24</v>
      </c>
      <c r="G32" s="125">
        <f>IF(ICT!B32="","",ICT!B32)</f>
        <v>8</v>
      </c>
      <c r="H32" s="125">
        <f>IF(ICT!C32="","",ICT!C32)</f>
        <v>8</v>
      </c>
      <c r="I32" s="125">
        <f>IF(ICT!D32="","",ICT!D32)</f>
        <v>20</v>
      </c>
      <c r="J32" s="137">
        <f>IF(ICT!E32="","",ICT!E32)</f>
        <v>36</v>
      </c>
      <c r="K32" s="125">
        <f>IF(Physics!B32="","",Physics!B32)</f>
        <v>10</v>
      </c>
      <c r="L32" s="125">
        <f>IF(Physics!C32="","",Physics!C32)</f>
        <v>23</v>
      </c>
      <c r="M32" s="125">
        <f>IF(Physics!D32="","",Physics!D32)</f>
        <v>17</v>
      </c>
      <c r="N32" s="137">
        <f>IF(Physics!E32="","",Physics!E32)</f>
        <v>50</v>
      </c>
      <c r="O32" s="125">
        <f>IF(Chemistry!B32="","",Chemistry!B32)</f>
        <v>11</v>
      </c>
      <c r="P32" s="125">
        <f>IF(Chemistry!C32="","",Chemistry!C32)</f>
        <v>12</v>
      </c>
      <c r="Q32" s="125">
        <f>IF(Chemistry!D32="","",Chemistry!D32)</f>
        <v>8</v>
      </c>
      <c r="R32" s="137">
        <f>IF(Chemistry!E32="","",Chemistry!E32)</f>
        <v>31</v>
      </c>
      <c r="S32" s="125">
        <f>IF(SubjectList!G32="Math", IF(Math!B32="","",Math!B32), IF(Biology!B32="","",Biology!B32))</f>
        <v>7</v>
      </c>
      <c r="T32" s="125">
        <f>IF(SubjectList!G32="Math", IF(Math!C32="","",Math!C32), IF(Biology!C32="","",Biology!C32))</f>
        <v>3</v>
      </c>
      <c r="U32" s="125">
        <f>IF(SubjectList!G32="Math", IF(Math!D32="","",Math!D32), IF(Biology!D32="","",Biology!D32))</f>
        <v>8</v>
      </c>
      <c r="V32" s="137">
        <f>IF(SubjectList!G32="Math", IF(Math!E32="","",Math!E32), IF(Biology!E32="","",Biology!E32))</f>
        <v>18</v>
      </c>
      <c r="W32" s="125">
        <f>IF(SubjectList!I32="Biology", IF(Biology!B32="","",Biology!B32), IF(Math!B32="","",Math!B32))</f>
        <v>9</v>
      </c>
      <c r="X32" s="125">
        <f>Optional!D32</f>
        <v>2</v>
      </c>
      <c r="Y32" s="125">
        <f>Optional!E32</f>
        <v>10</v>
      </c>
      <c r="Z32" s="137">
        <f>Optional!F32</f>
        <v>21</v>
      </c>
      <c r="AA32" s="127" t="str">
        <f>IF(SubjectList!G32="","", SubjectList!G32)</f>
        <v>Biology</v>
      </c>
      <c r="AB32" s="127" t="str">
        <f>IF(SubjectList!I32="","", SubjectList!I32)</f>
        <v>Math</v>
      </c>
      <c r="AC32" s="125" t="str">
        <f>Bangla!F32</f>
        <v>B</v>
      </c>
      <c r="AD32" s="125" t="str">
        <f>English!E32</f>
        <v>F</v>
      </c>
      <c r="AE32" s="125" t="str">
        <f>ICT!G32</f>
        <v>F</v>
      </c>
      <c r="AF32" s="125" t="str">
        <f>Physics!G32</f>
        <v>B</v>
      </c>
      <c r="AG32" s="125" t="str">
        <f>Chemistry!G32</f>
        <v>F</v>
      </c>
      <c r="AH32" s="125" t="str">
        <f>IF(SubjectList!G32="Math", IF(Math!G32="","",Math!G32), IF(Biology!G32="","",Biology!G32))</f>
        <v>F</v>
      </c>
      <c r="AI32" s="125" t="str">
        <f>IF(SubjectList!H32="Math", IF(Math!G32="","",Math!G32), IF(Biology!G32="","",Biology!G32))</f>
        <v>F</v>
      </c>
      <c r="AJ32" s="140">
        <f>Bangla!G32</f>
        <v>3</v>
      </c>
      <c r="AK32" s="140">
        <f>English!F32</f>
        <v>0</v>
      </c>
      <c r="AL32" s="140">
        <f>ICT!H32</f>
        <v>0</v>
      </c>
      <c r="AM32" s="140">
        <f>Physics!H32</f>
        <v>3</v>
      </c>
      <c r="AN32" s="140">
        <f>Chemistry!H32</f>
        <v>0</v>
      </c>
      <c r="AO32" s="140">
        <f>IF(SubjectList!G32="Math", IF(Math!H32="","",Math!H32), IF(Biology!H32="","",Biology!H32))</f>
        <v>0</v>
      </c>
      <c r="AP32" s="140">
        <f>IF(SubjectList!I32="Math", IF(Math!H32="","",Math!H32), IF(Biology!H32="","",Biology!H32))</f>
        <v>0</v>
      </c>
      <c r="AQ32" s="140">
        <f>Optional!I32</f>
        <v>0</v>
      </c>
      <c r="AR32" s="140">
        <f>Optional!J32</f>
        <v>0</v>
      </c>
      <c r="AS32" s="140">
        <f t="shared" si="0"/>
        <v>6</v>
      </c>
      <c r="AT32" s="140">
        <f t="shared" si="8"/>
        <v>6</v>
      </c>
      <c r="AU32" s="128" t="str">
        <f t="shared" si="1"/>
        <v/>
      </c>
      <c r="AV32" s="128" t="str">
        <f t="shared" si="2"/>
        <v/>
      </c>
      <c r="AW32" s="128">
        <f t="shared" si="11"/>
        <v>231</v>
      </c>
      <c r="AX32" s="129">
        <f t="shared" si="9"/>
        <v>1</v>
      </c>
      <c r="AY32" s="129">
        <f t="shared" si="9"/>
        <v>0</v>
      </c>
      <c r="AZ32" s="129">
        <f t="shared" si="9"/>
        <v>0</v>
      </c>
      <c r="BA32" s="129">
        <f t="shared" si="9"/>
        <v>1</v>
      </c>
      <c r="BB32" s="129">
        <f t="shared" si="9"/>
        <v>0</v>
      </c>
      <c r="BC32" s="129">
        <f t="shared" si="9"/>
        <v>0</v>
      </c>
      <c r="BD32" s="125">
        <f t="shared" si="10"/>
        <v>2</v>
      </c>
      <c r="BE32" s="125" t="str">
        <f t="shared" si="6"/>
        <v>F4</v>
      </c>
      <c r="BF32" s="125" t="str">
        <f>IF(AV32="","",RANK(AV32,AV$2:AV88,0))</f>
        <v/>
      </c>
      <c r="BG32" s="125" t="str">
        <f t="shared" si="7"/>
        <v/>
      </c>
    </row>
    <row r="33" spans="1:59" x14ac:dyDescent="0.35">
      <c r="A33" s="125">
        <f>'Student Basic Info'!A33</f>
        <v>732</v>
      </c>
      <c r="B33" s="125" t="str">
        <f>'Student Basic Info'!C33</f>
        <v>Shezanul Bahar Alvi</v>
      </c>
      <c r="C33" s="126" t="str">
        <f>IF(Bangla!B33="","",Bangla!B33)</f>
        <v/>
      </c>
      <c r="D33" s="126">
        <f>IF(Bangla!C33="","",Bangla!C33)</f>
        <v>33</v>
      </c>
      <c r="E33" s="135">
        <f>IF(Bangla!D33="","",Bangla!D33)</f>
        <v>33</v>
      </c>
      <c r="F33" s="135">
        <f>IF(English!C33="","",English!C33)</f>
        <v>17</v>
      </c>
      <c r="G33" s="125">
        <f>IF(ICT!B33="","",ICT!B33)</f>
        <v>12</v>
      </c>
      <c r="H33" s="125">
        <f>IF(ICT!C33="","",ICT!C33)</f>
        <v>12</v>
      </c>
      <c r="I33" s="125">
        <f>IF(ICT!D33="","",ICT!D33)</f>
        <v>22</v>
      </c>
      <c r="J33" s="137">
        <f>IF(ICT!E33="","",ICT!E33)</f>
        <v>46</v>
      </c>
      <c r="K33" s="125" t="str">
        <f>IF(Physics!B33="","",Physics!B33)</f>
        <v/>
      </c>
      <c r="L33" s="125" t="str">
        <f>IF(Physics!C33="","",Physics!C33)</f>
        <v/>
      </c>
      <c r="M33" s="125" t="str">
        <f>IF(Physics!D33="","",Physics!D33)</f>
        <v/>
      </c>
      <c r="N33" s="137" t="str">
        <f>IF(Physics!E33="","",Physics!E33)</f>
        <v/>
      </c>
      <c r="O33" s="125">
        <f>IF(Chemistry!B33="","",Chemistry!B33)</f>
        <v>9</v>
      </c>
      <c r="P33" s="125">
        <f>IF(Chemistry!C33="","",Chemistry!C33)</f>
        <v>17</v>
      </c>
      <c r="Q33" s="125">
        <f>IF(Chemistry!D33="","",Chemistry!D33)</f>
        <v>12</v>
      </c>
      <c r="R33" s="137">
        <f>IF(Chemistry!E33="","",Chemistry!E33)</f>
        <v>38</v>
      </c>
      <c r="S33" s="125">
        <f>IF(SubjectList!G33="Math", IF(Math!B33="","",Math!B33), IF(Biology!B33="","",Biology!B33))</f>
        <v>15</v>
      </c>
      <c r="T33" s="125">
        <f>IF(SubjectList!G33="Math", IF(Math!C33="","",Math!C33), IF(Biology!C33="","",Biology!C33))</f>
        <v>7</v>
      </c>
      <c r="U33" s="125">
        <f>IF(SubjectList!G33="Math", IF(Math!D33="","",Math!D33), IF(Biology!D33="","",Biology!D33))</f>
        <v>12</v>
      </c>
      <c r="V33" s="137">
        <f>IF(SubjectList!G33="Math", IF(Math!E33="","",Math!E33), IF(Biology!E33="","",Biology!E33))</f>
        <v>34</v>
      </c>
      <c r="W33" s="125">
        <f>IF(SubjectList!I33="Biology", IF(Biology!B33="","",Biology!B33), IF(Math!B33="","",Math!B33))</f>
        <v>16</v>
      </c>
      <c r="X33" s="125">
        <f>Optional!D33</f>
        <v>0</v>
      </c>
      <c r="Y33" s="125">
        <f>Optional!E33</f>
        <v>10</v>
      </c>
      <c r="Z33" s="137">
        <f>Optional!F33</f>
        <v>26</v>
      </c>
      <c r="AA33" s="127" t="str">
        <f>IF(SubjectList!G33="","", SubjectList!G33)</f>
        <v>Biology</v>
      </c>
      <c r="AB33" s="127" t="str">
        <f>IF(SubjectList!I33="","", SubjectList!I33)</f>
        <v>Math</v>
      </c>
      <c r="AC33" s="125" t="str">
        <f>Bangla!F33</f>
        <v>D</v>
      </c>
      <c r="AD33" s="125" t="str">
        <f>English!E33</f>
        <v>F</v>
      </c>
      <c r="AE33" s="125" t="str">
        <f>ICT!G33</f>
        <v>F</v>
      </c>
      <c r="AF33" s="125" t="str">
        <f>Physics!G33</f>
        <v/>
      </c>
      <c r="AG33" s="125" t="str">
        <f>Chemistry!G33</f>
        <v>D</v>
      </c>
      <c r="AH33" s="125" t="str">
        <f>IF(SubjectList!G33="Math", IF(Math!G33="","",Math!G33), IF(Biology!G33="","",Biology!G33))</f>
        <v>F</v>
      </c>
      <c r="AI33" s="125" t="str">
        <f>IF(SubjectList!H33="Math", IF(Math!G33="","",Math!G33), IF(Biology!G33="","",Biology!G33))</f>
        <v>F</v>
      </c>
      <c r="AJ33" s="140">
        <f>Bangla!G33</f>
        <v>1</v>
      </c>
      <c r="AK33" s="140">
        <f>English!F33</f>
        <v>0</v>
      </c>
      <c r="AL33" s="140">
        <f>ICT!H33</f>
        <v>0</v>
      </c>
      <c r="AM33" s="140" t="str">
        <f>Physics!H33</f>
        <v/>
      </c>
      <c r="AN33" s="140">
        <f>Chemistry!H33</f>
        <v>1</v>
      </c>
      <c r="AO33" s="140">
        <f>IF(SubjectList!G33="Math", IF(Math!H33="","",Math!H33), IF(Biology!H33="","",Biology!H33))</f>
        <v>0</v>
      </c>
      <c r="AP33" s="140">
        <f>IF(SubjectList!I33="Math", IF(Math!H33="","",Math!H33), IF(Biology!H33="","",Biology!H33))</f>
        <v>0</v>
      </c>
      <c r="AQ33" s="140">
        <f>Optional!I33</f>
        <v>0</v>
      </c>
      <c r="AR33" s="140">
        <f>Optional!J33</f>
        <v>0</v>
      </c>
      <c r="AS33" s="140">
        <f t="shared" si="0"/>
        <v>2</v>
      </c>
      <c r="AT33" s="140">
        <f t="shared" si="8"/>
        <v>2</v>
      </c>
      <c r="AU33" s="128" t="str">
        <f t="shared" si="1"/>
        <v/>
      </c>
      <c r="AV33" s="128" t="str">
        <f t="shared" si="2"/>
        <v/>
      </c>
      <c r="AW33" s="128">
        <f t="shared" si="11"/>
        <v>194</v>
      </c>
      <c r="AX33" s="129">
        <f t="shared" si="9"/>
        <v>1</v>
      </c>
      <c r="AY33" s="129">
        <f t="shared" si="9"/>
        <v>0</v>
      </c>
      <c r="AZ33" s="129">
        <f t="shared" si="9"/>
        <v>0</v>
      </c>
      <c r="BA33" s="129" t="str">
        <f t="shared" si="9"/>
        <v/>
      </c>
      <c r="BB33" s="129">
        <f t="shared" si="9"/>
        <v>1</v>
      </c>
      <c r="BC33" s="129">
        <f t="shared" si="9"/>
        <v>0</v>
      </c>
      <c r="BD33" s="125">
        <f t="shared" si="10"/>
        <v>2</v>
      </c>
      <c r="BE33" s="125" t="str">
        <f t="shared" si="6"/>
        <v>F4</v>
      </c>
      <c r="BF33" s="125" t="str">
        <f>IF(AV33="","",RANK(AV33,AV$2:AV88,0))</f>
        <v/>
      </c>
      <c r="BG33" s="125" t="str">
        <f t="shared" si="7"/>
        <v/>
      </c>
    </row>
    <row r="34" spans="1:59" x14ac:dyDescent="0.35">
      <c r="A34" s="125">
        <f>'Student Basic Info'!A34</f>
        <v>733</v>
      </c>
      <c r="B34" s="125" t="str">
        <f>'Student Basic Info'!C34</f>
        <v>Shadiya Bahar</v>
      </c>
      <c r="C34" s="126" t="str">
        <f>IF(Bangla!B34="","",Bangla!B34)</f>
        <v/>
      </c>
      <c r="D34" s="126">
        <f>IF(Bangla!C34="","",Bangla!C34)</f>
        <v>45</v>
      </c>
      <c r="E34" s="135">
        <f>IF(Bangla!D34="","",Bangla!D34)</f>
        <v>45</v>
      </c>
      <c r="F34" s="135">
        <f>IF(English!C34="","",English!C34)</f>
        <v>34</v>
      </c>
      <c r="G34" s="125">
        <f>IF(ICT!B34="","",ICT!B34)</f>
        <v>7</v>
      </c>
      <c r="H34" s="125">
        <f>IF(ICT!C34="","",ICT!C34)</f>
        <v>8</v>
      </c>
      <c r="I34" s="125">
        <f>IF(ICT!D34="","",ICT!D34)</f>
        <v>20</v>
      </c>
      <c r="J34" s="137">
        <f>IF(ICT!E34="","",ICT!E34)</f>
        <v>35</v>
      </c>
      <c r="K34" s="125">
        <f>IF(Physics!B34="","",Physics!B34)</f>
        <v>6</v>
      </c>
      <c r="L34" s="125">
        <f>IF(Physics!C34="","",Physics!C34)</f>
        <v>13</v>
      </c>
      <c r="M34" s="125">
        <f>IF(Physics!D34="","",Physics!D34)</f>
        <v>10</v>
      </c>
      <c r="N34" s="137">
        <f>IF(Physics!E34="","",Physics!E34)</f>
        <v>29</v>
      </c>
      <c r="O34" s="125">
        <f>IF(Chemistry!B34="","",Chemistry!B34)</f>
        <v>12</v>
      </c>
      <c r="P34" s="125">
        <f>IF(Chemistry!C34="","",Chemistry!C34)</f>
        <v>13</v>
      </c>
      <c r="Q34" s="125">
        <f>IF(Chemistry!D34="","",Chemistry!D34)</f>
        <v>10</v>
      </c>
      <c r="R34" s="137">
        <f>IF(Chemistry!E34="","",Chemistry!E34)</f>
        <v>35</v>
      </c>
      <c r="S34" s="125">
        <f>IF(SubjectList!G34="Math", IF(Math!B34="","",Math!B34), IF(Biology!B34="","",Biology!B34))</f>
        <v>8</v>
      </c>
      <c r="T34" s="125">
        <f>IF(SubjectList!G34="Math", IF(Math!C34="","",Math!C34), IF(Biology!C34="","",Biology!C34))</f>
        <v>3</v>
      </c>
      <c r="U34" s="125">
        <f>IF(SubjectList!G34="Math", IF(Math!D34="","",Math!D34), IF(Biology!D34="","",Biology!D34))</f>
        <v>9</v>
      </c>
      <c r="V34" s="137">
        <f>IF(SubjectList!G34="Math", IF(Math!E34="","",Math!E34), IF(Biology!E34="","",Biology!E34))</f>
        <v>20</v>
      </c>
      <c r="W34" s="125">
        <f>IF(SubjectList!I34="Biology", IF(Biology!B34="","",Biology!B34), IF(Math!B34="","",Math!B34))</f>
        <v>6</v>
      </c>
      <c r="X34" s="125">
        <f>Optional!D34</f>
        <v>1</v>
      </c>
      <c r="Y34" s="125">
        <f>Optional!E34</f>
        <v>9</v>
      </c>
      <c r="Z34" s="137">
        <f>Optional!F34</f>
        <v>16</v>
      </c>
      <c r="AA34" s="127" t="str">
        <f>IF(SubjectList!G34="","", SubjectList!G34)</f>
        <v>Biology</v>
      </c>
      <c r="AB34" s="127" t="str">
        <f>IF(SubjectList!I34="","", SubjectList!I34)</f>
        <v>Math</v>
      </c>
      <c r="AC34" s="125" t="str">
        <f>Bangla!F34</f>
        <v>C</v>
      </c>
      <c r="AD34" s="125" t="str">
        <f>English!E34</f>
        <v>D</v>
      </c>
      <c r="AE34" s="125" t="str">
        <f>ICT!G34</f>
        <v>F</v>
      </c>
      <c r="AF34" s="125" t="str">
        <f>Physics!G34</f>
        <v>F</v>
      </c>
      <c r="AG34" s="125" t="str">
        <f>Chemistry!G34</f>
        <v>F</v>
      </c>
      <c r="AH34" s="125" t="str">
        <f>IF(SubjectList!G34="Math", IF(Math!G34="","",Math!G34), IF(Biology!G34="","",Biology!G34))</f>
        <v>F</v>
      </c>
      <c r="AI34" s="125" t="str">
        <f>IF(SubjectList!H34="Math", IF(Math!G34="","",Math!G34), IF(Biology!G34="","",Biology!G34))</f>
        <v>F</v>
      </c>
      <c r="AJ34" s="140">
        <f>Bangla!G34</f>
        <v>2</v>
      </c>
      <c r="AK34" s="140">
        <f>English!F34</f>
        <v>1</v>
      </c>
      <c r="AL34" s="140">
        <f>ICT!H34</f>
        <v>0</v>
      </c>
      <c r="AM34" s="140">
        <f>Physics!H34</f>
        <v>0</v>
      </c>
      <c r="AN34" s="140">
        <f>Chemistry!H34</f>
        <v>0</v>
      </c>
      <c r="AO34" s="140">
        <f>IF(SubjectList!G34="Math", IF(Math!H34="","",Math!H34), IF(Biology!H34="","",Biology!H34))</f>
        <v>0</v>
      </c>
      <c r="AP34" s="140">
        <f>IF(SubjectList!I34="Math", IF(Math!H34="","",Math!H34), IF(Biology!H34="","",Biology!H34))</f>
        <v>0</v>
      </c>
      <c r="AQ34" s="140">
        <f>Optional!I34</f>
        <v>0</v>
      </c>
      <c r="AR34" s="140">
        <f>Optional!J34</f>
        <v>0</v>
      </c>
      <c r="AS34" s="140">
        <f t="shared" si="0"/>
        <v>3</v>
      </c>
      <c r="AT34" s="140">
        <f t="shared" si="8"/>
        <v>3</v>
      </c>
      <c r="AU34" s="128" t="str">
        <f t="shared" si="1"/>
        <v/>
      </c>
      <c r="AV34" s="128" t="str">
        <f t="shared" si="2"/>
        <v/>
      </c>
      <c r="AW34" s="128">
        <f t="shared" si="11"/>
        <v>214</v>
      </c>
      <c r="AX34" s="129">
        <f t="shared" si="9"/>
        <v>1</v>
      </c>
      <c r="AY34" s="129">
        <f t="shared" si="9"/>
        <v>1</v>
      </c>
      <c r="AZ34" s="129">
        <f t="shared" si="9"/>
        <v>0</v>
      </c>
      <c r="BA34" s="129">
        <f t="shared" si="9"/>
        <v>0</v>
      </c>
      <c r="BB34" s="129">
        <f t="shared" si="9"/>
        <v>0</v>
      </c>
      <c r="BC34" s="129">
        <f t="shared" si="9"/>
        <v>0</v>
      </c>
      <c r="BD34" s="125">
        <f t="shared" si="10"/>
        <v>2</v>
      </c>
      <c r="BE34" s="125" t="str">
        <f t="shared" si="6"/>
        <v>F4</v>
      </c>
      <c r="BF34" s="125" t="str">
        <f>IF(AV34="","",RANK(AV34,AV$2:AV88,0))</f>
        <v/>
      </c>
      <c r="BG34" s="125" t="str">
        <f t="shared" si="7"/>
        <v/>
      </c>
    </row>
    <row r="35" spans="1:59" x14ac:dyDescent="0.35">
      <c r="A35" s="125">
        <f>'Student Basic Info'!A35</f>
        <v>734</v>
      </c>
      <c r="B35" s="125" t="str">
        <f>'Student Basic Info'!C35</f>
        <v>Shayed Hasan</v>
      </c>
      <c r="C35" s="126" t="str">
        <f>IF(Bangla!B35="","",Bangla!B35)</f>
        <v/>
      </c>
      <c r="D35" s="126">
        <f>IF(Bangla!C35="","",Bangla!C35)</f>
        <v>52</v>
      </c>
      <c r="E35" s="135">
        <f>IF(Bangla!D35="","",Bangla!D35)</f>
        <v>52</v>
      </c>
      <c r="F35" s="135">
        <f>IF(English!C35="","",English!C35)</f>
        <v>33</v>
      </c>
      <c r="G35" s="125">
        <f>IF(ICT!B35="","",ICT!B35)</f>
        <v>12</v>
      </c>
      <c r="H35" s="125">
        <f>IF(ICT!C35="","",ICT!C35)</f>
        <v>10</v>
      </c>
      <c r="I35" s="125">
        <f>IF(ICT!D35="","",ICT!D35)</f>
        <v>20</v>
      </c>
      <c r="J35" s="137">
        <f>IF(ICT!E35="","",ICT!E35)</f>
        <v>42</v>
      </c>
      <c r="K35" s="125">
        <f>IF(Physics!B35="","",Physics!B35)</f>
        <v>8</v>
      </c>
      <c r="L35" s="125">
        <f>IF(Physics!C35="","",Physics!C35)</f>
        <v>27</v>
      </c>
      <c r="M35" s="125">
        <f>IF(Physics!D35="","",Physics!D35)</f>
        <v>17</v>
      </c>
      <c r="N35" s="137">
        <f>IF(Physics!E35="","",Physics!E35)</f>
        <v>52</v>
      </c>
      <c r="O35" s="125">
        <f>IF(Chemistry!B35="","",Chemistry!B35)</f>
        <v>9</v>
      </c>
      <c r="P35" s="125">
        <f>IF(Chemistry!C35="","",Chemistry!C35)</f>
        <v>18</v>
      </c>
      <c r="Q35" s="125">
        <f>IF(Chemistry!D35="","",Chemistry!D35)</f>
        <v>12</v>
      </c>
      <c r="R35" s="137">
        <f>IF(Chemistry!E35="","",Chemistry!E35)</f>
        <v>39</v>
      </c>
      <c r="S35" s="125">
        <f>IF(SubjectList!G35="Math", IF(Math!B35="","",Math!B35), IF(Biology!B35="","",Biology!B35))</f>
        <v>13</v>
      </c>
      <c r="T35" s="125">
        <f>IF(SubjectList!G35="Math", IF(Math!C35="","",Math!C35), IF(Biology!C35="","",Biology!C35))</f>
        <v>4</v>
      </c>
      <c r="U35" s="125">
        <f>IF(SubjectList!G35="Math", IF(Math!D35="","",Math!D35), IF(Biology!D35="","",Biology!D35))</f>
        <v>10</v>
      </c>
      <c r="V35" s="137">
        <f>IF(SubjectList!G35="Math", IF(Math!E35="","",Math!E35), IF(Biology!E35="","",Biology!E35))</f>
        <v>27</v>
      </c>
      <c r="W35" s="125">
        <f>IF(SubjectList!I35="Biology", IF(Biology!B35="","",Biology!B35), IF(Math!B35="","",Math!B35))</f>
        <v>16</v>
      </c>
      <c r="X35" s="125">
        <f>Optional!D35</f>
        <v>0</v>
      </c>
      <c r="Y35" s="125">
        <f>Optional!E35</f>
        <v>10</v>
      </c>
      <c r="Z35" s="137">
        <f>Optional!F35</f>
        <v>26</v>
      </c>
      <c r="AA35" s="127" t="str">
        <f>IF(SubjectList!G35="","", SubjectList!G35)</f>
        <v>Biology</v>
      </c>
      <c r="AB35" s="127" t="str">
        <f>IF(SubjectList!I35="","", SubjectList!I35)</f>
        <v>Math</v>
      </c>
      <c r="AC35" s="125" t="str">
        <f>Bangla!F35</f>
        <v>B</v>
      </c>
      <c r="AD35" s="125" t="str">
        <f>English!E35</f>
        <v>D</v>
      </c>
      <c r="AE35" s="125" t="str">
        <f>ICT!G35</f>
        <v>F</v>
      </c>
      <c r="AF35" s="125" t="str">
        <f>Physics!G35</f>
        <v>B</v>
      </c>
      <c r="AG35" s="125" t="str">
        <f>Chemistry!G35</f>
        <v>D</v>
      </c>
      <c r="AH35" s="125" t="str">
        <f>IF(SubjectList!G35="Math", IF(Math!G35="","",Math!G35), IF(Biology!G35="","",Biology!G35))</f>
        <v>F</v>
      </c>
      <c r="AI35" s="125" t="str">
        <f>IF(SubjectList!H35="Math", IF(Math!G35="","",Math!G35), IF(Biology!G35="","",Biology!G35))</f>
        <v>F</v>
      </c>
      <c r="AJ35" s="140">
        <f>Bangla!G35</f>
        <v>3</v>
      </c>
      <c r="AK35" s="140">
        <f>English!F35</f>
        <v>1</v>
      </c>
      <c r="AL35" s="140">
        <f>ICT!H35</f>
        <v>0</v>
      </c>
      <c r="AM35" s="140">
        <f>Physics!H35</f>
        <v>3</v>
      </c>
      <c r="AN35" s="140">
        <f>Chemistry!H35</f>
        <v>1</v>
      </c>
      <c r="AO35" s="140">
        <f>IF(SubjectList!G35="Math", IF(Math!H35="","",Math!H35), IF(Biology!H35="","",Biology!H35))</f>
        <v>0</v>
      </c>
      <c r="AP35" s="140">
        <f>IF(SubjectList!I35="Math", IF(Math!H35="","",Math!H35), IF(Biology!H35="","",Biology!H35))</f>
        <v>0</v>
      </c>
      <c r="AQ35" s="140">
        <f>Optional!I35</f>
        <v>0</v>
      </c>
      <c r="AR35" s="140">
        <f>Optional!J35</f>
        <v>0</v>
      </c>
      <c r="AS35" s="140">
        <f t="shared" si="0"/>
        <v>8</v>
      </c>
      <c r="AT35" s="140">
        <f t="shared" si="8"/>
        <v>8</v>
      </c>
      <c r="AU35" s="128" t="str">
        <f t="shared" si="1"/>
        <v/>
      </c>
      <c r="AV35" s="128" t="str">
        <f t="shared" si="2"/>
        <v/>
      </c>
      <c r="AW35" s="128">
        <f t="shared" si="11"/>
        <v>271</v>
      </c>
      <c r="AX35" s="129">
        <f t="shared" si="9"/>
        <v>1</v>
      </c>
      <c r="AY35" s="129">
        <f t="shared" si="9"/>
        <v>1</v>
      </c>
      <c r="AZ35" s="129">
        <f t="shared" si="9"/>
        <v>0</v>
      </c>
      <c r="BA35" s="129">
        <f t="shared" si="9"/>
        <v>1</v>
      </c>
      <c r="BB35" s="129">
        <f t="shared" si="9"/>
        <v>1</v>
      </c>
      <c r="BC35" s="129">
        <f t="shared" si="9"/>
        <v>0</v>
      </c>
      <c r="BD35" s="125">
        <f t="shared" si="10"/>
        <v>4</v>
      </c>
      <c r="BE35" s="125" t="str">
        <f t="shared" si="6"/>
        <v>F2</v>
      </c>
      <c r="BF35" s="125" t="str">
        <f>IF(AV35="","",RANK(AV35,AV$2:AV88,0))</f>
        <v/>
      </c>
      <c r="BG35" s="125" t="str">
        <f t="shared" si="7"/>
        <v/>
      </c>
    </row>
    <row r="36" spans="1:59" x14ac:dyDescent="0.35">
      <c r="A36" s="125">
        <f>'Student Basic Info'!A36</f>
        <v>735</v>
      </c>
      <c r="B36" s="125" t="str">
        <f>'Student Basic Info'!C36</f>
        <v>Sumaiya Zahan Tarin</v>
      </c>
      <c r="C36" s="126" t="str">
        <f>IF(Bangla!B36="","",Bangla!B36)</f>
        <v/>
      </c>
      <c r="D36" s="126">
        <f>IF(Bangla!C36="","",Bangla!C36)</f>
        <v>50</v>
      </c>
      <c r="E36" s="135">
        <f>IF(Bangla!D36="","",Bangla!D36)</f>
        <v>50</v>
      </c>
      <c r="F36" s="135">
        <f>IF(English!C36="","",English!C36)</f>
        <v>44</v>
      </c>
      <c r="G36" s="125">
        <f>IF(ICT!B36="","",ICT!B36)</f>
        <v>6</v>
      </c>
      <c r="H36" s="125" t="str">
        <f>IF(ICT!C36="","",ICT!C36)</f>
        <v/>
      </c>
      <c r="I36" s="125">
        <f>IF(ICT!D36="","",ICT!D36)</f>
        <v>25</v>
      </c>
      <c r="J36" s="137">
        <f>IF(ICT!E36="","",ICT!E36)</f>
        <v>31</v>
      </c>
      <c r="K36" s="125">
        <f>IF(Physics!B36="","",Physics!B36)</f>
        <v>8</v>
      </c>
      <c r="L36" s="125">
        <f>IF(Physics!C36="","",Physics!C36)</f>
        <v>11</v>
      </c>
      <c r="M36" s="125">
        <f>IF(Physics!D36="","",Physics!D36)</f>
        <v>10</v>
      </c>
      <c r="N36" s="137">
        <f>IF(Physics!E36="","",Physics!E36)</f>
        <v>29</v>
      </c>
      <c r="O36" s="125" t="str">
        <f>IF(Chemistry!B36="","",Chemistry!B36)</f>
        <v/>
      </c>
      <c r="P36" s="125" t="str">
        <f>IF(Chemistry!C36="","",Chemistry!C36)</f>
        <v/>
      </c>
      <c r="Q36" s="125" t="str">
        <f>IF(Chemistry!D36="","",Chemistry!D36)</f>
        <v/>
      </c>
      <c r="R36" s="137" t="str">
        <f>IF(Chemistry!E36="","",Chemistry!E36)</f>
        <v/>
      </c>
      <c r="S36" s="125">
        <f>IF(SubjectList!G36="Math", IF(Math!B36="","",Math!B36), IF(Biology!B36="","",Biology!B36))</f>
        <v>4</v>
      </c>
      <c r="T36" s="125">
        <f>IF(SubjectList!G36="Math", IF(Math!C36="","",Math!C36), IF(Biology!C36="","",Biology!C36))</f>
        <v>6</v>
      </c>
      <c r="U36" s="125">
        <f>IF(SubjectList!G36="Math", IF(Math!D36="","",Math!D36), IF(Biology!D36="","",Biology!D36))</f>
        <v>8</v>
      </c>
      <c r="V36" s="137">
        <f>IF(SubjectList!G36="Math", IF(Math!E36="","",Math!E36), IF(Biology!E36="","",Biology!E36))</f>
        <v>18</v>
      </c>
      <c r="W36" s="125">
        <f>IF(SubjectList!I36="Biology", IF(Biology!B36="","",Biology!B36), IF(Math!B36="","",Math!B36))</f>
        <v>7</v>
      </c>
      <c r="X36" s="125">
        <f>Optional!D36</f>
        <v>1</v>
      </c>
      <c r="Y36" s="125">
        <f>Optional!E36</f>
        <v>10</v>
      </c>
      <c r="Z36" s="137">
        <f>Optional!F36</f>
        <v>18</v>
      </c>
      <c r="AA36" s="127" t="str">
        <f>IF(SubjectList!G36="","", SubjectList!G36)</f>
        <v>Biology</v>
      </c>
      <c r="AB36" s="127" t="str">
        <f>IF(SubjectList!I36="","", SubjectList!I36)</f>
        <v>Math</v>
      </c>
      <c r="AC36" s="125" t="str">
        <f>Bangla!F36</f>
        <v>B</v>
      </c>
      <c r="AD36" s="125" t="str">
        <f>English!E36</f>
        <v>C</v>
      </c>
      <c r="AE36" s="125" t="str">
        <f>ICT!G36</f>
        <v>F</v>
      </c>
      <c r="AF36" s="125" t="str">
        <f>Physics!G36</f>
        <v>F</v>
      </c>
      <c r="AG36" s="125" t="str">
        <f>Chemistry!G36</f>
        <v/>
      </c>
      <c r="AH36" s="125" t="str">
        <f>IF(SubjectList!G36="Math", IF(Math!G36="","",Math!G36), IF(Biology!G36="","",Biology!G36))</f>
        <v>F</v>
      </c>
      <c r="AI36" s="125" t="str">
        <f>IF(SubjectList!H36="Math", IF(Math!G36="","",Math!G36), IF(Biology!G36="","",Biology!G36))</f>
        <v>F</v>
      </c>
      <c r="AJ36" s="140">
        <f>Bangla!G36</f>
        <v>3</v>
      </c>
      <c r="AK36" s="140">
        <f>English!F36</f>
        <v>2</v>
      </c>
      <c r="AL36" s="140">
        <f>ICT!H36</f>
        <v>0</v>
      </c>
      <c r="AM36" s="140">
        <f>Physics!H36</f>
        <v>0</v>
      </c>
      <c r="AN36" s="140" t="str">
        <f>Chemistry!H36</f>
        <v/>
      </c>
      <c r="AO36" s="140">
        <f>IF(SubjectList!G36="Math", IF(Math!H36="","",Math!H36), IF(Biology!H36="","",Biology!H36))</f>
        <v>0</v>
      </c>
      <c r="AP36" s="140">
        <f>IF(SubjectList!I36="Math", IF(Math!H36="","",Math!H36), IF(Biology!H36="","",Biology!H36))</f>
        <v>0</v>
      </c>
      <c r="AQ36" s="140">
        <f>Optional!I36</f>
        <v>0</v>
      </c>
      <c r="AR36" s="140">
        <f>Optional!J36</f>
        <v>0</v>
      </c>
      <c r="AS36" s="140">
        <f t="shared" si="0"/>
        <v>5</v>
      </c>
      <c r="AT36" s="140">
        <f t="shared" si="8"/>
        <v>5</v>
      </c>
      <c r="AU36" s="128" t="str">
        <f t="shared" si="1"/>
        <v/>
      </c>
      <c r="AV36" s="128" t="str">
        <f t="shared" si="2"/>
        <v/>
      </c>
      <c r="AW36" s="128">
        <f t="shared" si="11"/>
        <v>190</v>
      </c>
      <c r="AX36" s="129">
        <f t="shared" si="9"/>
        <v>1</v>
      </c>
      <c r="AY36" s="129">
        <f t="shared" si="9"/>
        <v>1</v>
      </c>
      <c r="AZ36" s="129">
        <f t="shared" si="9"/>
        <v>0</v>
      </c>
      <c r="BA36" s="129">
        <f t="shared" si="9"/>
        <v>0</v>
      </c>
      <c r="BB36" s="129" t="str">
        <f t="shared" si="9"/>
        <v/>
      </c>
      <c r="BC36" s="129">
        <f t="shared" si="9"/>
        <v>0</v>
      </c>
      <c r="BD36" s="125">
        <f t="shared" si="10"/>
        <v>2</v>
      </c>
      <c r="BE36" s="125" t="str">
        <f t="shared" si="6"/>
        <v>F4</v>
      </c>
      <c r="BF36" s="125" t="str">
        <f>IF(AV36="","",RANK(AV36,AV$2:AV88,0))</f>
        <v/>
      </c>
      <c r="BG36" s="125" t="str">
        <f t="shared" si="7"/>
        <v/>
      </c>
    </row>
    <row r="37" spans="1:59" x14ac:dyDescent="0.35">
      <c r="A37" s="125">
        <f>'Student Basic Info'!A37</f>
        <v>736</v>
      </c>
      <c r="B37" s="125" t="str">
        <f>'Student Basic Info'!C37</f>
        <v>Nur Islam</v>
      </c>
      <c r="C37" s="126" t="str">
        <f>IF(Bangla!B37="","",Bangla!B37)</f>
        <v/>
      </c>
      <c r="D37" s="126">
        <f>IF(Bangla!C37="","",Bangla!C37)</f>
        <v>40</v>
      </c>
      <c r="E37" s="135">
        <f>IF(Bangla!D37="","",Bangla!D37)</f>
        <v>40</v>
      </c>
      <c r="F37" s="135">
        <f>IF(English!C37="","",English!C37)</f>
        <v>16</v>
      </c>
      <c r="G37" s="125">
        <f>IF(ICT!B37="","",ICT!B37)</f>
        <v>10</v>
      </c>
      <c r="H37" s="125">
        <f>IF(ICT!C37="","",ICT!C37)</f>
        <v>5</v>
      </c>
      <c r="I37" s="125">
        <f>IF(ICT!D37="","",ICT!D37)</f>
        <v>8</v>
      </c>
      <c r="J37" s="137">
        <f>IF(ICT!E37="","",ICT!E37)</f>
        <v>23</v>
      </c>
      <c r="K37" s="125">
        <f>IF(Physics!B37="","",Physics!B37)</f>
        <v>10</v>
      </c>
      <c r="L37" s="125">
        <f>IF(Physics!C37="","",Physics!C37)</f>
        <v>28</v>
      </c>
      <c r="M37" s="125">
        <f>IF(Physics!D37="","",Physics!D37)</f>
        <v>16</v>
      </c>
      <c r="N37" s="137">
        <f>IF(Physics!E37="","",Physics!E37)</f>
        <v>54</v>
      </c>
      <c r="O37" s="125">
        <f>IF(Chemistry!B37="","",Chemistry!B37)</f>
        <v>9</v>
      </c>
      <c r="P37" s="125">
        <f>IF(Chemistry!C37="","",Chemistry!C37)</f>
        <v>15</v>
      </c>
      <c r="Q37" s="125">
        <f>IF(Chemistry!D37="","",Chemistry!D37)</f>
        <v>10</v>
      </c>
      <c r="R37" s="137">
        <f>IF(Chemistry!E37="","",Chemistry!E37)</f>
        <v>34</v>
      </c>
      <c r="S37" s="125">
        <f>IF(SubjectList!G37="Math", IF(Math!B37="","",Math!B37), IF(Biology!B37="","",Biology!B37))</f>
        <v>10</v>
      </c>
      <c r="T37" s="125">
        <f>IF(SubjectList!G37="Math", IF(Math!C37="","",Math!C37), IF(Biology!C37="","",Biology!C37))</f>
        <v>4</v>
      </c>
      <c r="U37" s="125">
        <f>IF(SubjectList!G37="Math", IF(Math!D37="","",Math!D37), IF(Biology!D37="","",Biology!D37))</f>
        <v>10</v>
      </c>
      <c r="V37" s="137">
        <f>IF(SubjectList!G37="Math", IF(Math!E37="","",Math!E37), IF(Biology!E37="","",Biology!E37))</f>
        <v>24</v>
      </c>
      <c r="W37" s="125" t="str">
        <f>IF(SubjectList!I37="Biology", IF(Biology!B37="","",Biology!B37), IF(Math!B37="","",Math!B37))</f>
        <v/>
      </c>
      <c r="X37" s="125" t="str">
        <f>Optional!D37</f>
        <v/>
      </c>
      <c r="Y37" s="125" t="str">
        <f>Optional!E37</f>
        <v/>
      </c>
      <c r="Z37" s="137" t="str">
        <f>Optional!F37</f>
        <v/>
      </c>
      <c r="AA37" s="127" t="str">
        <f>IF(SubjectList!G37="","", SubjectList!G37)</f>
        <v>Biology</v>
      </c>
      <c r="AB37" s="127" t="str">
        <f>IF(SubjectList!I37="","", SubjectList!I37)</f>
        <v>Math</v>
      </c>
      <c r="AC37" s="125" t="str">
        <f>Bangla!F37</f>
        <v>C</v>
      </c>
      <c r="AD37" s="125" t="str">
        <f>English!E37</f>
        <v>F</v>
      </c>
      <c r="AE37" s="125" t="str">
        <f>ICT!G37</f>
        <v>F</v>
      </c>
      <c r="AF37" s="125" t="str">
        <f>Physics!G37</f>
        <v>B</v>
      </c>
      <c r="AG37" s="125" t="str">
        <f>Chemistry!G37</f>
        <v>F</v>
      </c>
      <c r="AH37" s="125" t="str">
        <f>IF(SubjectList!G37="Math", IF(Math!G37="","",Math!G37), IF(Biology!G37="","",Biology!G37))</f>
        <v>F</v>
      </c>
      <c r="AI37" s="125" t="str">
        <f>IF(SubjectList!H37="Math", IF(Math!G37="","",Math!G37), IF(Biology!G37="","",Biology!G37))</f>
        <v/>
      </c>
      <c r="AJ37" s="140">
        <f>Bangla!G37</f>
        <v>2</v>
      </c>
      <c r="AK37" s="140">
        <f>English!F37</f>
        <v>0</v>
      </c>
      <c r="AL37" s="140">
        <f>ICT!H37</f>
        <v>0</v>
      </c>
      <c r="AM37" s="140">
        <f>Physics!H37</f>
        <v>3</v>
      </c>
      <c r="AN37" s="140">
        <f>Chemistry!H37</f>
        <v>0</v>
      </c>
      <c r="AO37" s="140">
        <f>IF(SubjectList!G37="Math", IF(Math!H37="","",Math!H37), IF(Biology!H37="","",Biology!H37))</f>
        <v>0</v>
      </c>
      <c r="AP37" s="140" t="str">
        <f>IF(SubjectList!I37="Math", IF(Math!H37="","",Math!H37), IF(Biology!H37="","",Biology!H37))</f>
        <v/>
      </c>
      <c r="AQ37" s="140" t="str">
        <f>Optional!I37</f>
        <v/>
      </c>
      <c r="AR37" s="140" t="str">
        <f>Optional!J37</f>
        <v/>
      </c>
      <c r="AS37" s="140">
        <f t="shared" si="0"/>
        <v>5</v>
      </c>
      <c r="AT37" s="140">
        <f t="shared" si="8"/>
        <v>5</v>
      </c>
      <c r="AU37" s="128" t="str">
        <f t="shared" si="1"/>
        <v/>
      </c>
      <c r="AV37" s="128" t="str">
        <f t="shared" si="2"/>
        <v/>
      </c>
      <c r="AW37" s="128">
        <f t="shared" si="11"/>
        <v>191</v>
      </c>
      <c r="AX37" s="129">
        <f t="shared" si="9"/>
        <v>1</v>
      </c>
      <c r="AY37" s="129">
        <f t="shared" si="9"/>
        <v>0</v>
      </c>
      <c r="AZ37" s="129">
        <f t="shared" si="9"/>
        <v>0</v>
      </c>
      <c r="BA37" s="129">
        <f t="shared" si="9"/>
        <v>1</v>
      </c>
      <c r="BB37" s="129">
        <f t="shared" si="9"/>
        <v>0</v>
      </c>
      <c r="BC37" s="129">
        <f t="shared" si="9"/>
        <v>0</v>
      </c>
      <c r="BD37" s="125">
        <f t="shared" si="10"/>
        <v>2</v>
      </c>
      <c r="BE37" s="125" t="str">
        <f t="shared" si="6"/>
        <v>F4</v>
      </c>
      <c r="BF37" s="125" t="str">
        <f>IF(AV37="","",RANK(AV37,AV$2:AV88,0))</f>
        <v/>
      </c>
      <c r="BG37" s="125" t="str">
        <f t="shared" si="7"/>
        <v/>
      </c>
    </row>
    <row r="38" spans="1:59" x14ac:dyDescent="0.35">
      <c r="A38" s="125">
        <f>'Student Basic Info'!A38</f>
        <v>737</v>
      </c>
      <c r="B38" s="125" t="str">
        <f>'Student Basic Info'!C38</f>
        <v>Nusrat Zahan</v>
      </c>
      <c r="C38" s="126" t="str">
        <f>IF(Bangla!B38="","",Bangla!B38)</f>
        <v/>
      </c>
      <c r="D38" s="126">
        <f>IF(Bangla!C38="","",Bangla!C38)</f>
        <v>57</v>
      </c>
      <c r="E38" s="135">
        <f>IF(Bangla!D38="","",Bangla!D38)</f>
        <v>57</v>
      </c>
      <c r="F38" s="135">
        <f>IF(English!C38="","",English!C38)</f>
        <v>47</v>
      </c>
      <c r="G38" s="125">
        <f>IF(ICT!B38="","",ICT!B38)</f>
        <v>14</v>
      </c>
      <c r="H38" s="125">
        <f>IF(ICT!C38="","",ICT!C38)</f>
        <v>12</v>
      </c>
      <c r="I38" s="125">
        <f>IF(ICT!D38="","",ICT!D38)</f>
        <v>22</v>
      </c>
      <c r="J38" s="137">
        <f>IF(ICT!E38="","",ICT!E38)</f>
        <v>48</v>
      </c>
      <c r="K38" s="125">
        <f>IF(Physics!B38="","",Physics!B38)</f>
        <v>8</v>
      </c>
      <c r="L38" s="125">
        <f>IF(Physics!C38="","",Physics!C38)</f>
        <v>33</v>
      </c>
      <c r="M38" s="125">
        <f>IF(Physics!D38="","",Physics!D38)</f>
        <v>19</v>
      </c>
      <c r="N38" s="137">
        <f>IF(Physics!E38="","",Physics!E38)</f>
        <v>60</v>
      </c>
      <c r="O38" s="125">
        <f>IF(Chemistry!B38="","",Chemistry!B38)</f>
        <v>15</v>
      </c>
      <c r="P38" s="125">
        <f>IF(Chemistry!C38="","",Chemistry!C38)</f>
        <v>14</v>
      </c>
      <c r="Q38" s="125">
        <f>IF(Chemistry!D38="","",Chemistry!D38)</f>
        <v>9</v>
      </c>
      <c r="R38" s="137">
        <f>IF(Chemistry!E38="","",Chemistry!E38)</f>
        <v>38</v>
      </c>
      <c r="S38" s="125">
        <f>IF(SubjectList!G38="Math", IF(Math!B38="","",Math!B38), IF(Biology!B38="","",Biology!B38))</f>
        <v>8</v>
      </c>
      <c r="T38" s="125">
        <f>IF(SubjectList!G38="Math", IF(Math!C38="","",Math!C38), IF(Biology!C38="","",Biology!C38))</f>
        <v>10</v>
      </c>
      <c r="U38" s="125">
        <f>IF(SubjectList!G38="Math", IF(Math!D38="","",Math!D38), IF(Biology!D38="","",Biology!D38))</f>
        <v>11</v>
      </c>
      <c r="V38" s="137">
        <f>IF(SubjectList!G38="Math", IF(Math!E38="","",Math!E38), IF(Biology!E38="","",Biology!E38))</f>
        <v>29</v>
      </c>
      <c r="W38" s="125">
        <f>IF(SubjectList!I38="Biology", IF(Biology!B38="","",Biology!B38), IF(Math!B38="","",Math!B38))</f>
        <v>4</v>
      </c>
      <c r="X38" s="125">
        <f>Optional!D38</f>
        <v>4</v>
      </c>
      <c r="Y38" s="125">
        <f>Optional!E38</f>
        <v>9</v>
      </c>
      <c r="Z38" s="137">
        <f>Optional!F38</f>
        <v>17</v>
      </c>
      <c r="AA38" s="127" t="str">
        <f>IF(SubjectList!G38="","", SubjectList!G38)</f>
        <v>Biology</v>
      </c>
      <c r="AB38" s="127" t="str">
        <f>IF(SubjectList!I38="","", SubjectList!I38)</f>
        <v>Math</v>
      </c>
      <c r="AC38" s="125" t="str">
        <f>Bangla!F38</f>
        <v>B</v>
      </c>
      <c r="AD38" s="125" t="str">
        <f>English!E38</f>
        <v>C</v>
      </c>
      <c r="AE38" s="125" t="str">
        <f>ICT!G38</f>
        <v>F</v>
      </c>
      <c r="AF38" s="125" t="str">
        <f>Physics!G38</f>
        <v>A-</v>
      </c>
      <c r="AG38" s="125" t="str">
        <f>Chemistry!G38</f>
        <v>F</v>
      </c>
      <c r="AH38" s="125" t="str">
        <f>IF(SubjectList!G38="Math", IF(Math!G38="","",Math!G38), IF(Biology!G38="","",Biology!G38))</f>
        <v>F</v>
      </c>
      <c r="AI38" s="125" t="str">
        <f>IF(SubjectList!H38="Math", IF(Math!G38="","",Math!G38), IF(Biology!G38="","",Biology!G38))</f>
        <v>F</v>
      </c>
      <c r="AJ38" s="140">
        <f>Bangla!G38</f>
        <v>3</v>
      </c>
      <c r="AK38" s="140">
        <f>English!F38</f>
        <v>2</v>
      </c>
      <c r="AL38" s="140">
        <f>ICT!H38</f>
        <v>0</v>
      </c>
      <c r="AM38" s="140">
        <f>Physics!H38</f>
        <v>3.5</v>
      </c>
      <c r="AN38" s="140">
        <f>Chemistry!H38</f>
        <v>0</v>
      </c>
      <c r="AO38" s="140">
        <f>IF(SubjectList!G38="Math", IF(Math!H38="","",Math!H38), IF(Biology!H38="","",Biology!H38))</f>
        <v>0</v>
      </c>
      <c r="AP38" s="140">
        <f>IF(SubjectList!I38="Math", IF(Math!H38="","",Math!H38), IF(Biology!H38="","",Biology!H38))</f>
        <v>0</v>
      </c>
      <c r="AQ38" s="140">
        <f>Optional!I38</f>
        <v>0</v>
      </c>
      <c r="AR38" s="140">
        <f>Optional!J38</f>
        <v>0</v>
      </c>
      <c r="AS38" s="140">
        <f t="shared" si="0"/>
        <v>8.5</v>
      </c>
      <c r="AT38" s="140">
        <f t="shared" si="8"/>
        <v>8.5</v>
      </c>
      <c r="AU38" s="128" t="str">
        <f t="shared" si="1"/>
        <v/>
      </c>
      <c r="AV38" s="128" t="str">
        <f t="shared" si="2"/>
        <v/>
      </c>
      <c r="AW38" s="128">
        <f t="shared" si="11"/>
        <v>296</v>
      </c>
      <c r="AX38" s="129">
        <f t="shared" si="9"/>
        <v>1</v>
      </c>
      <c r="AY38" s="129">
        <f t="shared" si="9"/>
        <v>1</v>
      </c>
      <c r="AZ38" s="129">
        <f t="shared" si="9"/>
        <v>0</v>
      </c>
      <c r="BA38" s="129">
        <f t="shared" si="9"/>
        <v>1</v>
      </c>
      <c r="BB38" s="129">
        <f t="shared" si="9"/>
        <v>0</v>
      </c>
      <c r="BC38" s="129">
        <f t="shared" si="9"/>
        <v>0</v>
      </c>
      <c r="BD38" s="125">
        <f t="shared" si="10"/>
        <v>3</v>
      </c>
      <c r="BE38" s="125" t="str">
        <f t="shared" si="6"/>
        <v>F3</v>
      </c>
      <c r="BF38" s="125" t="str">
        <f>IF(AV38="","",RANK(AV38,AV$2:AV88,0))</f>
        <v/>
      </c>
      <c r="BG38" s="125" t="str">
        <f t="shared" si="7"/>
        <v/>
      </c>
    </row>
    <row r="39" spans="1:59" x14ac:dyDescent="0.35">
      <c r="A39" s="125">
        <f>'Student Basic Info'!A39</f>
        <v>738</v>
      </c>
      <c r="B39" s="125" t="str">
        <f>'Student Basic Info'!C39</f>
        <v>Arpita Rani Bhoumik</v>
      </c>
      <c r="C39" s="126" t="str">
        <f>IF(Bangla!B39="","",Bangla!B39)</f>
        <v/>
      </c>
      <c r="D39" s="126">
        <f>IF(Bangla!C39="","",Bangla!C39)</f>
        <v>54</v>
      </c>
      <c r="E39" s="135">
        <f>IF(Bangla!D39="","",Bangla!D39)</f>
        <v>54</v>
      </c>
      <c r="F39" s="135">
        <f>IF(English!C39="","",English!C39)</f>
        <v>44</v>
      </c>
      <c r="G39" s="125">
        <f>IF(ICT!B39="","",ICT!B39)</f>
        <v>13</v>
      </c>
      <c r="H39" s="125">
        <f>IF(ICT!C39="","",ICT!C39)</f>
        <v>17</v>
      </c>
      <c r="I39" s="125">
        <f>IF(ICT!D39="","",ICT!D39)</f>
        <v>24</v>
      </c>
      <c r="J39" s="137">
        <f>IF(ICT!E39="","",ICT!E39)</f>
        <v>54</v>
      </c>
      <c r="K39" s="125">
        <f>IF(Physics!B39="","",Physics!B39)</f>
        <v>10</v>
      </c>
      <c r="L39" s="125">
        <f>IF(Physics!C39="","",Physics!C39)</f>
        <v>12</v>
      </c>
      <c r="M39" s="125">
        <f>IF(Physics!D39="","",Physics!D39)</f>
        <v>15</v>
      </c>
      <c r="N39" s="137">
        <f>IF(Physics!E39="","",Physics!E39)</f>
        <v>37</v>
      </c>
      <c r="O39" s="125">
        <f>IF(Chemistry!B39="","",Chemistry!B39)</f>
        <v>12</v>
      </c>
      <c r="P39" s="125">
        <f>IF(Chemistry!C39="","",Chemistry!C39)</f>
        <v>13</v>
      </c>
      <c r="Q39" s="125">
        <f>IF(Chemistry!D39="","",Chemistry!D39)</f>
        <v>9</v>
      </c>
      <c r="R39" s="137">
        <f>IF(Chemistry!E39="","",Chemistry!E39)</f>
        <v>34</v>
      </c>
      <c r="S39" s="125">
        <f>IF(SubjectList!G39="Math", IF(Math!B39="","",Math!B39), IF(Biology!B39="","",Biology!B39))</f>
        <v>9</v>
      </c>
      <c r="T39" s="125">
        <f>IF(SubjectList!G39="Math", IF(Math!C39="","",Math!C39), IF(Biology!C39="","",Biology!C39))</f>
        <v>10</v>
      </c>
      <c r="U39" s="125">
        <f>IF(SubjectList!G39="Math", IF(Math!D39="","",Math!D39), IF(Biology!D39="","",Biology!D39))</f>
        <v>11</v>
      </c>
      <c r="V39" s="137">
        <f>IF(SubjectList!G39="Math", IF(Math!E39="","",Math!E39), IF(Biology!E39="","",Biology!E39))</f>
        <v>30</v>
      </c>
      <c r="W39" s="125">
        <f>IF(SubjectList!I39="Biology", IF(Biology!B39="","",Biology!B39), IF(Math!B39="","",Math!B39))</f>
        <v>6</v>
      </c>
      <c r="X39" s="125">
        <f>Optional!D39</f>
        <v>1</v>
      </c>
      <c r="Y39" s="125">
        <f>Optional!E39</f>
        <v>8</v>
      </c>
      <c r="Z39" s="137">
        <f>Optional!F39</f>
        <v>15</v>
      </c>
      <c r="AA39" s="127" t="str">
        <f>IF(SubjectList!G39="","", SubjectList!G39)</f>
        <v>Biology</v>
      </c>
      <c r="AB39" s="127" t="str">
        <f>IF(SubjectList!I39="","", SubjectList!I39)</f>
        <v>Math</v>
      </c>
      <c r="AC39" s="125" t="str">
        <f>Bangla!F39</f>
        <v>B</v>
      </c>
      <c r="AD39" s="125" t="str">
        <f>English!E39</f>
        <v>C</v>
      </c>
      <c r="AE39" s="125" t="str">
        <f>ICT!G39</f>
        <v>B</v>
      </c>
      <c r="AF39" s="125" t="str">
        <f>Physics!G39</f>
        <v>F</v>
      </c>
      <c r="AG39" s="125" t="str">
        <f>Chemistry!G39</f>
        <v>F</v>
      </c>
      <c r="AH39" s="125" t="str">
        <f>IF(SubjectList!G39="Math", IF(Math!G39="","",Math!G39), IF(Biology!G39="","",Biology!G39))</f>
        <v>F</v>
      </c>
      <c r="AI39" s="125" t="str">
        <f>IF(SubjectList!H39="Math", IF(Math!G39="","",Math!G39), IF(Biology!G39="","",Biology!G39))</f>
        <v>F</v>
      </c>
      <c r="AJ39" s="140">
        <f>Bangla!G39</f>
        <v>3</v>
      </c>
      <c r="AK39" s="140">
        <f>English!F39</f>
        <v>2</v>
      </c>
      <c r="AL39" s="140">
        <f>ICT!H39</f>
        <v>3</v>
      </c>
      <c r="AM39" s="140">
        <f>Physics!H39</f>
        <v>0</v>
      </c>
      <c r="AN39" s="140">
        <f>Chemistry!H39</f>
        <v>0</v>
      </c>
      <c r="AO39" s="140">
        <f>IF(SubjectList!G39="Math", IF(Math!H39="","",Math!H39), IF(Biology!H39="","",Biology!H39))</f>
        <v>0</v>
      </c>
      <c r="AP39" s="140">
        <f>IF(SubjectList!I39="Math", IF(Math!H39="","",Math!H39), IF(Biology!H39="","",Biology!H39))</f>
        <v>0</v>
      </c>
      <c r="AQ39" s="140">
        <f>Optional!I39</f>
        <v>0</v>
      </c>
      <c r="AR39" s="140">
        <f>Optional!J39</f>
        <v>0</v>
      </c>
      <c r="AS39" s="140">
        <f t="shared" si="0"/>
        <v>8</v>
      </c>
      <c r="AT39" s="140">
        <f t="shared" si="8"/>
        <v>8</v>
      </c>
      <c r="AU39" s="128" t="str">
        <f t="shared" si="1"/>
        <v/>
      </c>
      <c r="AV39" s="128" t="str">
        <f t="shared" si="2"/>
        <v/>
      </c>
      <c r="AW39" s="128">
        <f t="shared" si="11"/>
        <v>268</v>
      </c>
      <c r="AX39" s="129">
        <f t="shared" si="9"/>
        <v>1</v>
      </c>
      <c r="AY39" s="129">
        <f t="shared" si="9"/>
        <v>1</v>
      </c>
      <c r="AZ39" s="129">
        <f t="shared" si="9"/>
        <v>1</v>
      </c>
      <c r="BA39" s="129">
        <f t="shared" si="9"/>
        <v>0</v>
      </c>
      <c r="BB39" s="129">
        <f t="shared" si="9"/>
        <v>0</v>
      </c>
      <c r="BC39" s="129">
        <f t="shared" si="9"/>
        <v>0</v>
      </c>
      <c r="BD39" s="125">
        <f t="shared" si="10"/>
        <v>3</v>
      </c>
      <c r="BE39" s="125" t="str">
        <f t="shared" si="6"/>
        <v>F3</v>
      </c>
      <c r="BF39" s="125" t="str">
        <f>IF(AV39="","",RANK(AV39,AV$2:AV88,0))</f>
        <v/>
      </c>
      <c r="BG39" s="125" t="str">
        <f t="shared" si="7"/>
        <v/>
      </c>
    </row>
    <row r="40" spans="1:59" x14ac:dyDescent="0.35">
      <c r="A40" s="125">
        <f>'Student Basic Info'!A40</f>
        <v>739</v>
      </c>
      <c r="B40" s="125" t="str">
        <f>'Student Basic Info'!C40</f>
        <v xml:space="preserve">Israt Zahan Shrabonti </v>
      </c>
      <c r="C40" s="126" t="str">
        <f>IF(Bangla!B40="","",Bangla!B40)</f>
        <v/>
      </c>
      <c r="D40" s="126">
        <f>IF(Bangla!C40="","",Bangla!C40)</f>
        <v>52</v>
      </c>
      <c r="E40" s="135">
        <f>IF(Bangla!D40="","",Bangla!D40)</f>
        <v>52</v>
      </c>
      <c r="F40" s="135">
        <f>IF(English!C40="","",English!C40)</f>
        <v>35</v>
      </c>
      <c r="G40" s="125">
        <f>IF(ICT!B40="","",ICT!B40)</f>
        <v>13</v>
      </c>
      <c r="H40" s="125">
        <f>IF(ICT!C40="","",ICT!C40)</f>
        <v>17</v>
      </c>
      <c r="I40" s="125">
        <f>IF(ICT!D40="","",ICT!D40)</f>
        <v>18</v>
      </c>
      <c r="J40" s="137">
        <f>IF(ICT!E40="","",ICT!E40)</f>
        <v>48</v>
      </c>
      <c r="K40" s="125">
        <f>IF(Physics!B40="","",Physics!B40)</f>
        <v>9</v>
      </c>
      <c r="L40" s="125">
        <f>IF(Physics!C40="","",Physics!C40)</f>
        <v>25</v>
      </c>
      <c r="M40" s="125">
        <f>IF(Physics!D40="","",Physics!D40)</f>
        <v>16</v>
      </c>
      <c r="N40" s="137">
        <f>IF(Physics!E40="","",Physics!E40)</f>
        <v>50</v>
      </c>
      <c r="O40" s="125">
        <f>IF(Chemistry!B40="","",Chemistry!B40)</f>
        <v>12</v>
      </c>
      <c r="P40" s="125">
        <f>IF(Chemistry!C40="","",Chemistry!C40)</f>
        <v>12</v>
      </c>
      <c r="Q40" s="125">
        <f>IF(Chemistry!D40="","",Chemistry!D40)</f>
        <v>9</v>
      </c>
      <c r="R40" s="137">
        <f>IF(Chemistry!E40="","",Chemistry!E40)</f>
        <v>33</v>
      </c>
      <c r="S40" s="125">
        <f>IF(SubjectList!G40="Math", IF(Math!B40="","",Math!B40), IF(Biology!B40="","",Biology!B40))</f>
        <v>8</v>
      </c>
      <c r="T40" s="125">
        <f>IF(SubjectList!G40="Math", IF(Math!C40="","",Math!C40), IF(Biology!C40="","",Biology!C40))</f>
        <v>10</v>
      </c>
      <c r="U40" s="125">
        <f>IF(SubjectList!G40="Math", IF(Math!D40="","",Math!D40), IF(Biology!D40="","",Biology!D40))</f>
        <v>11</v>
      </c>
      <c r="V40" s="137">
        <f>IF(SubjectList!G40="Math", IF(Math!E40="","",Math!E40), IF(Biology!E40="","",Biology!E40))</f>
        <v>29</v>
      </c>
      <c r="W40" s="125">
        <f>IF(SubjectList!I40="Biology", IF(Biology!B40="","",Biology!B40), IF(Math!B40="","",Math!B40))</f>
        <v>6</v>
      </c>
      <c r="X40" s="125">
        <f>Optional!D40</f>
        <v>1</v>
      </c>
      <c r="Y40" s="125">
        <f>Optional!E40</f>
        <v>8</v>
      </c>
      <c r="Z40" s="137">
        <f>Optional!F40</f>
        <v>15</v>
      </c>
      <c r="AA40" s="127" t="str">
        <f>IF(SubjectList!G40="","", SubjectList!G40)</f>
        <v>Biology</v>
      </c>
      <c r="AB40" s="127" t="str">
        <f>IF(SubjectList!I40="","", SubjectList!I40)</f>
        <v>Math</v>
      </c>
      <c r="AC40" s="125" t="str">
        <f>Bangla!F40</f>
        <v>B</v>
      </c>
      <c r="AD40" s="125" t="str">
        <f>English!E40</f>
        <v>D</v>
      </c>
      <c r="AE40" s="125" t="str">
        <f>ICT!G40</f>
        <v>C</v>
      </c>
      <c r="AF40" s="125" t="str">
        <f>Physics!G40</f>
        <v>B</v>
      </c>
      <c r="AG40" s="125" t="str">
        <f>Chemistry!G40</f>
        <v>F</v>
      </c>
      <c r="AH40" s="125" t="str">
        <f>IF(SubjectList!G40="Math", IF(Math!G40="","",Math!G40), IF(Biology!G40="","",Biology!G40))</f>
        <v>F</v>
      </c>
      <c r="AI40" s="125" t="str">
        <f>IF(SubjectList!H40="Math", IF(Math!G40="","",Math!G40), IF(Biology!G40="","",Biology!G40))</f>
        <v>F</v>
      </c>
      <c r="AJ40" s="140">
        <f>Bangla!G40</f>
        <v>3</v>
      </c>
      <c r="AK40" s="140">
        <f>English!F40</f>
        <v>1</v>
      </c>
      <c r="AL40" s="140">
        <f>ICT!H40</f>
        <v>2</v>
      </c>
      <c r="AM40" s="140">
        <f>Physics!H40</f>
        <v>3</v>
      </c>
      <c r="AN40" s="140">
        <f>Chemistry!H40</f>
        <v>0</v>
      </c>
      <c r="AO40" s="140">
        <f>IF(SubjectList!G40="Math", IF(Math!H40="","",Math!H40), IF(Biology!H40="","",Biology!H40))</f>
        <v>0</v>
      </c>
      <c r="AP40" s="140">
        <f>IF(SubjectList!I40="Math", IF(Math!H40="","",Math!H40), IF(Biology!H40="","",Biology!H40))</f>
        <v>0</v>
      </c>
      <c r="AQ40" s="140">
        <f>Optional!I40</f>
        <v>0</v>
      </c>
      <c r="AR40" s="140">
        <f>Optional!J40</f>
        <v>0</v>
      </c>
      <c r="AS40" s="140">
        <f t="shared" si="0"/>
        <v>9</v>
      </c>
      <c r="AT40" s="140">
        <f t="shared" si="8"/>
        <v>9</v>
      </c>
      <c r="AU40" s="128" t="str">
        <f t="shared" si="1"/>
        <v/>
      </c>
      <c r="AV40" s="128" t="str">
        <f t="shared" si="2"/>
        <v/>
      </c>
      <c r="AW40" s="128">
        <f t="shared" si="11"/>
        <v>262</v>
      </c>
      <c r="AX40" s="129">
        <f t="shared" si="9"/>
        <v>1</v>
      </c>
      <c r="AY40" s="129">
        <f t="shared" si="9"/>
        <v>1</v>
      </c>
      <c r="AZ40" s="129">
        <f t="shared" si="9"/>
        <v>1</v>
      </c>
      <c r="BA40" s="129">
        <f t="shared" si="9"/>
        <v>1</v>
      </c>
      <c r="BB40" s="129">
        <f t="shared" si="9"/>
        <v>0</v>
      </c>
      <c r="BC40" s="129">
        <f t="shared" si="9"/>
        <v>0</v>
      </c>
      <c r="BD40" s="125">
        <f t="shared" si="10"/>
        <v>4</v>
      </c>
      <c r="BE40" s="125" t="str">
        <f t="shared" si="6"/>
        <v>F2</v>
      </c>
      <c r="BF40" s="125" t="str">
        <f>IF(AV40="","",RANK(AV40,AV$2:AV88,0))</f>
        <v/>
      </c>
      <c r="BG40" s="125" t="str">
        <f t="shared" si="7"/>
        <v/>
      </c>
    </row>
    <row r="41" spans="1:59" x14ac:dyDescent="0.35">
      <c r="A41" s="125">
        <f>'Student Basic Info'!A41</f>
        <v>740</v>
      </c>
      <c r="B41" s="125" t="str">
        <f>'Student Basic Info'!C41</f>
        <v>Fatema Zannat</v>
      </c>
      <c r="C41" s="126" t="str">
        <f>IF(Bangla!B41="","",Bangla!B41)</f>
        <v/>
      </c>
      <c r="D41" s="126">
        <f>IF(Bangla!C41="","",Bangla!C41)</f>
        <v>60</v>
      </c>
      <c r="E41" s="135">
        <f>IF(Bangla!D41="","",Bangla!D41)</f>
        <v>60</v>
      </c>
      <c r="F41" s="135">
        <f>IF(English!C41="","",English!C41)</f>
        <v>41</v>
      </c>
      <c r="G41" s="125">
        <f>IF(ICT!B41="","",ICT!B41)</f>
        <v>11</v>
      </c>
      <c r="H41" s="125">
        <f>IF(ICT!C41="","",ICT!C41)</f>
        <v>13</v>
      </c>
      <c r="I41" s="125">
        <f>IF(ICT!D41="","",ICT!D41)</f>
        <v>24</v>
      </c>
      <c r="J41" s="137">
        <f>IF(ICT!E41="","",ICT!E41)</f>
        <v>48</v>
      </c>
      <c r="K41" s="125">
        <f>IF(Physics!B41="","",Physics!B41)</f>
        <v>10</v>
      </c>
      <c r="L41" s="125">
        <f>IF(Physics!C41="","",Physics!C41)</f>
        <v>15</v>
      </c>
      <c r="M41" s="125">
        <f>IF(Physics!D41="","",Physics!D41)</f>
        <v>15</v>
      </c>
      <c r="N41" s="137">
        <f>IF(Physics!E41="","",Physics!E41)</f>
        <v>40</v>
      </c>
      <c r="O41" s="125">
        <f>IF(Chemistry!B41="","",Chemistry!B41)</f>
        <v>13</v>
      </c>
      <c r="P41" s="125">
        <f>IF(Chemistry!C41="","",Chemistry!C41)</f>
        <v>20</v>
      </c>
      <c r="Q41" s="125">
        <f>IF(Chemistry!D41="","",Chemistry!D41)</f>
        <v>12</v>
      </c>
      <c r="R41" s="137">
        <f>IF(Chemistry!E41="","",Chemistry!E41)</f>
        <v>45</v>
      </c>
      <c r="S41" s="125">
        <f>IF(SubjectList!G41="Math", IF(Math!B41="","",Math!B41), IF(Biology!B41="","",Biology!B41))</f>
        <v>5</v>
      </c>
      <c r="T41" s="125">
        <f>IF(SubjectList!G41="Math", IF(Math!C41="","",Math!C41), IF(Biology!C41="","",Biology!C41))</f>
        <v>7</v>
      </c>
      <c r="U41" s="125">
        <f>IF(SubjectList!G41="Math", IF(Math!D41="","",Math!D41), IF(Biology!D41="","",Biology!D41))</f>
        <v>8</v>
      </c>
      <c r="V41" s="137">
        <f>IF(SubjectList!G41="Math", IF(Math!E41="","",Math!E41), IF(Biology!E41="","",Biology!E41))</f>
        <v>20</v>
      </c>
      <c r="W41" s="125">
        <f>IF(SubjectList!I41="Biology", IF(Biology!B41="","",Biology!B41), IF(Math!B41="","",Math!B41))</f>
        <v>8</v>
      </c>
      <c r="X41" s="125">
        <f>Optional!D41</f>
        <v>1</v>
      </c>
      <c r="Y41" s="125">
        <f>Optional!E41</f>
        <v>8</v>
      </c>
      <c r="Z41" s="137">
        <f>Optional!F41</f>
        <v>17</v>
      </c>
      <c r="AA41" s="127" t="str">
        <f>IF(SubjectList!G41="","", SubjectList!G41)</f>
        <v>Biology</v>
      </c>
      <c r="AB41" s="127" t="str">
        <f>IF(SubjectList!I41="","", SubjectList!I41)</f>
        <v>Math</v>
      </c>
      <c r="AC41" s="125" t="str">
        <f>Bangla!F41</f>
        <v>A-</v>
      </c>
      <c r="AD41" s="125" t="str">
        <f>English!E41</f>
        <v>C</v>
      </c>
      <c r="AE41" s="125" t="str">
        <f>ICT!G41</f>
        <v>F</v>
      </c>
      <c r="AF41" s="125" t="str">
        <f>Physics!G41</f>
        <v>F</v>
      </c>
      <c r="AG41" s="125" t="str">
        <f>Chemistry!G41</f>
        <v>C</v>
      </c>
      <c r="AH41" s="125" t="str">
        <f>IF(SubjectList!G41="Math", IF(Math!G41="","",Math!G41), IF(Biology!G41="","",Biology!G41))</f>
        <v>F</v>
      </c>
      <c r="AI41" s="125" t="str">
        <f>IF(SubjectList!H41="Math", IF(Math!G41="","",Math!G41), IF(Biology!G41="","",Biology!G41))</f>
        <v>F</v>
      </c>
      <c r="AJ41" s="140">
        <f>Bangla!G41</f>
        <v>3.5</v>
      </c>
      <c r="AK41" s="140">
        <f>English!F41</f>
        <v>2</v>
      </c>
      <c r="AL41" s="140">
        <f>ICT!H41</f>
        <v>0</v>
      </c>
      <c r="AM41" s="140">
        <f>Physics!H41</f>
        <v>0</v>
      </c>
      <c r="AN41" s="140">
        <f>Chemistry!H41</f>
        <v>2</v>
      </c>
      <c r="AO41" s="140">
        <f>IF(SubjectList!G41="Math", IF(Math!H41="","",Math!H41), IF(Biology!H41="","",Biology!H41))</f>
        <v>0</v>
      </c>
      <c r="AP41" s="140">
        <f>IF(SubjectList!I41="Math", IF(Math!H41="","",Math!H41), IF(Biology!H41="","",Biology!H41))</f>
        <v>0</v>
      </c>
      <c r="AQ41" s="140">
        <f>Optional!I41</f>
        <v>0</v>
      </c>
      <c r="AR41" s="140">
        <f>Optional!J41</f>
        <v>0</v>
      </c>
      <c r="AS41" s="140">
        <f t="shared" si="0"/>
        <v>7.5</v>
      </c>
      <c r="AT41" s="140">
        <f t="shared" si="8"/>
        <v>7.5</v>
      </c>
      <c r="AU41" s="128" t="str">
        <f t="shared" si="1"/>
        <v/>
      </c>
      <c r="AV41" s="128" t="str">
        <f t="shared" si="2"/>
        <v/>
      </c>
      <c r="AW41" s="128">
        <f t="shared" si="11"/>
        <v>271</v>
      </c>
      <c r="AX41" s="129">
        <f t="shared" si="9"/>
        <v>1</v>
      </c>
      <c r="AY41" s="129">
        <f t="shared" si="9"/>
        <v>1</v>
      </c>
      <c r="AZ41" s="129">
        <f t="shared" si="9"/>
        <v>0</v>
      </c>
      <c r="BA41" s="129">
        <f t="shared" si="9"/>
        <v>0</v>
      </c>
      <c r="BB41" s="129">
        <f t="shared" si="9"/>
        <v>1</v>
      </c>
      <c r="BC41" s="129">
        <f t="shared" si="9"/>
        <v>0</v>
      </c>
      <c r="BD41" s="125">
        <f t="shared" si="10"/>
        <v>3</v>
      </c>
      <c r="BE41" s="125" t="str">
        <f t="shared" si="6"/>
        <v>F3</v>
      </c>
      <c r="BF41" s="125" t="str">
        <f>IF(AV41="","",RANK(AV41,AV$2:AV88,0))</f>
        <v/>
      </c>
      <c r="BG41" s="125" t="str">
        <f t="shared" si="7"/>
        <v/>
      </c>
    </row>
    <row r="42" spans="1:59" x14ac:dyDescent="0.35">
      <c r="A42" s="125">
        <f>'Student Basic Info'!A42</f>
        <v>741</v>
      </c>
      <c r="B42" s="125" t="str">
        <f>'Student Basic Info'!C42</f>
        <v>Rezmin Aktar</v>
      </c>
      <c r="C42" s="126" t="str">
        <f>IF(Bangla!B42="","",Bangla!B42)</f>
        <v/>
      </c>
      <c r="D42" s="126">
        <f>IF(Bangla!C42="","",Bangla!C42)</f>
        <v>60</v>
      </c>
      <c r="E42" s="135">
        <f>IF(Bangla!D42="","",Bangla!D42)</f>
        <v>60</v>
      </c>
      <c r="F42" s="135">
        <f>IF(English!C42="","",English!C42)</f>
        <v>54</v>
      </c>
      <c r="G42" s="125">
        <f>IF(ICT!B42="","",ICT!B42)</f>
        <v>19</v>
      </c>
      <c r="H42" s="125">
        <f>IF(ICT!C42="","",ICT!C42)</f>
        <v>22</v>
      </c>
      <c r="I42" s="125">
        <f>IF(ICT!D42="","",ICT!D42)</f>
        <v>25</v>
      </c>
      <c r="J42" s="137">
        <f>IF(ICT!E42="","",ICT!E42)</f>
        <v>66</v>
      </c>
      <c r="K42" s="125">
        <f>IF(Physics!B42="","",Physics!B42)</f>
        <v>8</v>
      </c>
      <c r="L42" s="125">
        <f>IF(Physics!C42="","",Physics!C42)</f>
        <v>30</v>
      </c>
      <c r="M42" s="125">
        <f>IF(Physics!D42="","",Physics!D42)</f>
        <v>16</v>
      </c>
      <c r="N42" s="137">
        <f>IF(Physics!E42="","",Physics!E42)</f>
        <v>54</v>
      </c>
      <c r="O42" s="125">
        <f>IF(Chemistry!B42="","",Chemistry!B42)</f>
        <v>20</v>
      </c>
      <c r="P42" s="125">
        <f>IF(Chemistry!C42="","",Chemistry!C42)</f>
        <v>12</v>
      </c>
      <c r="Q42" s="125">
        <f>IF(Chemistry!D42="","",Chemistry!D42)</f>
        <v>20</v>
      </c>
      <c r="R42" s="137">
        <f>IF(Chemistry!E42="","",Chemistry!E42)</f>
        <v>52</v>
      </c>
      <c r="S42" s="125">
        <f>IF(SubjectList!G42="Math", IF(Math!B42="","",Math!B42), IF(Biology!B42="","",Biology!B42))</f>
        <v>9</v>
      </c>
      <c r="T42" s="125">
        <f>IF(SubjectList!G42="Math", IF(Math!C42="","",Math!C42), IF(Biology!C42="","",Biology!C42))</f>
        <v>11</v>
      </c>
      <c r="U42" s="125">
        <f>IF(SubjectList!G42="Math", IF(Math!D42="","",Math!D42), IF(Biology!D42="","",Biology!D42))</f>
        <v>12</v>
      </c>
      <c r="V42" s="137">
        <f>IF(SubjectList!G42="Math", IF(Math!E42="","",Math!E42), IF(Biology!E42="","",Biology!E42))</f>
        <v>32</v>
      </c>
      <c r="W42" s="125">
        <f>IF(SubjectList!I42="Biology", IF(Biology!B42="","",Biology!B42), IF(Math!B42="","",Math!B42))</f>
        <v>7</v>
      </c>
      <c r="X42" s="125">
        <f>Optional!D42</f>
        <v>3</v>
      </c>
      <c r="Y42" s="125">
        <f>Optional!E42</f>
        <v>10</v>
      </c>
      <c r="Z42" s="137">
        <f>Optional!F42</f>
        <v>20</v>
      </c>
      <c r="AA42" s="127" t="str">
        <f>IF(SubjectList!G42="","", SubjectList!G42)</f>
        <v>Biology</v>
      </c>
      <c r="AB42" s="127" t="str">
        <f>IF(SubjectList!I42="","", SubjectList!I42)</f>
        <v>Math</v>
      </c>
      <c r="AC42" s="125" t="str">
        <f>Bangla!F42</f>
        <v>A-</v>
      </c>
      <c r="AD42" s="125" t="str">
        <f>English!E42</f>
        <v>B</v>
      </c>
      <c r="AE42" s="125" t="str">
        <f>ICT!G42</f>
        <v>A-</v>
      </c>
      <c r="AF42" s="125" t="str">
        <f>Physics!G42</f>
        <v>B</v>
      </c>
      <c r="AG42" s="125" t="str">
        <f>Chemistry!G42</f>
        <v>F</v>
      </c>
      <c r="AH42" s="125" t="str">
        <f>IF(SubjectList!G42="Math", IF(Math!G42="","",Math!G42), IF(Biology!G42="","",Biology!G42))</f>
        <v>F</v>
      </c>
      <c r="AI42" s="125" t="str">
        <f>IF(SubjectList!H42="Math", IF(Math!G42="","",Math!G42), IF(Biology!G42="","",Biology!G42))</f>
        <v>F</v>
      </c>
      <c r="AJ42" s="140">
        <f>Bangla!G42</f>
        <v>3.5</v>
      </c>
      <c r="AK42" s="140">
        <f>English!F42</f>
        <v>3</v>
      </c>
      <c r="AL42" s="140">
        <f>ICT!H42</f>
        <v>3.5</v>
      </c>
      <c r="AM42" s="140">
        <f>Physics!H42</f>
        <v>3</v>
      </c>
      <c r="AN42" s="140">
        <f>Chemistry!H42</f>
        <v>0</v>
      </c>
      <c r="AO42" s="140">
        <f>IF(SubjectList!G42="Math", IF(Math!H42="","",Math!H42), IF(Biology!H42="","",Biology!H42))</f>
        <v>0</v>
      </c>
      <c r="AP42" s="140">
        <f>IF(SubjectList!I42="Math", IF(Math!H42="","",Math!H42), IF(Biology!H42="","",Biology!H42))</f>
        <v>0</v>
      </c>
      <c r="AQ42" s="140">
        <f>Optional!I42</f>
        <v>0</v>
      </c>
      <c r="AR42" s="140">
        <f>Optional!J42</f>
        <v>0</v>
      </c>
      <c r="AS42" s="140">
        <f t="shared" si="0"/>
        <v>13</v>
      </c>
      <c r="AT42" s="140">
        <f t="shared" si="8"/>
        <v>13</v>
      </c>
      <c r="AU42" s="128" t="str">
        <f t="shared" si="1"/>
        <v/>
      </c>
      <c r="AV42" s="128" t="str">
        <f t="shared" si="2"/>
        <v/>
      </c>
      <c r="AW42" s="128">
        <f t="shared" si="11"/>
        <v>338</v>
      </c>
      <c r="AX42" s="129">
        <f t="shared" si="9"/>
        <v>1</v>
      </c>
      <c r="AY42" s="129">
        <f t="shared" si="9"/>
        <v>1</v>
      </c>
      <c r="AZ42" s="129">
        <f t="shared" si="9"/>
        <v>1</v>
      </c>
      <c r="BA42" s="129">
        <f t="shared" si="9"/>
        <v>1</v>
      </c>
      <c r="BB42" s="129">
        <f t="shared" si="9"/>
        <v>0</v>
      </c>
      <c r="BC42" s="129">
        <f t="shared" si="9"/>
        <v>0</v>
      </c>
      <c r="BD42" s="125">
        <f t="shared" si="10"/>
        <v>4</v>
      </c>
      <c r="BE42" s="125" t="str">
        <f t="shared" si="6"/>
        <v>F2</v>
      </c>
      <c r="BF42" s="125" t="str">
        <f>IF(AV42="","",RANK(AV42,AV$2:AV88,0))</f>
        <v/>
      </c>
      <c r="BG42" s="125" t="str">
        <f t="shared" si="7"/>
        <v/>
      </c>
    </row>
    <row r="43" spans="1:59" x14ac:dyDescent="0.35">
      <c r="A43" s="125">
        <f>'Student Basic Info'!A43</f>
        <v>742</v>
      </c>
      <c r="B43" s="125" t="str">
        <f>'Student Basic Info'!C43</f>
        <v>Md. Shohrab Hosain</v>
      </c>
      <c r="C43" s="126" t="str">
        <f>IF(Bangla!B43="","",Bangla!B43)</f>
        <v/>
      </c>
      <c r="D43" s="126" t="str">
        <f>IF(Bangla!C43="","",Bangla!C43)</f>
        <v/>
      </c>
      <c r="E43" s="135" t="str">
        <f>IF(Bangla!D43="","",Bangla!D43)</f>
        <v/>
      </c>
      <c r="F43" s="135" t="str">
        <f>IF(English!C43="","",English!C43)</f>
        <v/>
      </c>
      <c r="G43" s="125" t="str">
        <f>IF(ICT!B43="","",ICT!B43)</f>
        <v/>
      </c>
      <c r="H43" s="125" t="str">
        <f>IF(ICT!C43="","",ICT!C43)</f>
        <v/>
      </c>
      <c r="I43" s="125" t="str">
        <f>IF(ICT!D43="","",ICT!D43)</f>
        <v/>
      </c>
      <c r="J43" s="137" t="str">
        <f>IF(ICT!E43="","",ICT!E43)</f>
        <v/>
      </c>
      <c r="K43" s="125" t="str">
        <f>IF(Physics!B43="","",Physics!B43)</f>
        <v/>
      </c>
      <c r="L43" s="125" t="str">
        <f>IF(Physics!C43="","",Physics!C43)</f>
        <v/>
      </c>
      <c r="M43" s="125" t="str">
        <f>IF(Physics!D43="","",Physics!D43)</f>
        <v/>
      </c>
      <c r="N43" s="137" t="str">
        <f>IF(Physics!E43="","",Physics!E43)</f>
        <v/>
      </c>
      <c r="O43" s="125" t="str">
        <f>IF(Chemistry!B43="","",Chemistry!B43)</f>
        <v/>
      </c>
      <c r="P43" s="125" t="str">
        <f>IF(Chemistry!C43="","",Chemistry!C43)</f>
        <v/>
      </c>
      <c r="Q43" s="125" t="str">
        <f>IF(Chemistry!D43="","",Chemistry!D43)</f>
        <v/>
      </c>
      <c r="R43" s="137" t="str">
        <f>IF(Chemistry!E43="","",Chemistry!E43)</f>
        <v/>
      </c>
      <c r="S43" s="125" t="str">
        <f>IF(SubjectList!G43="Math", IF(Math!B43="","",Math!B43), IF(Biology!B43="","",Biology!B43))</f>
        <v/>
      </c>
      <c r="T43" s="125" t="str">
        <f>IF(SubjectList!G43="Math", IF(Math!C43="","",Math!C43), IF(Biology!C43="","",Biology!C43))</f>
        <v/>
      </c>
      <c r="U43" s="125" t="str">
        <f>IF(SubjectList!G43="Math", IF(Math!D43="","",Math!D43), IF(Biology!D43="","",Biology!D43))</f>
        <v/>
      </c>
      <c r="V43" s="137" t="str">
        <f>IF(SubjectList!G43="Math", IF(Math!E43="","",Math!E43), IF(Biology!E43="","",Biology!E43))</f>
        <v/>
      </c>
      <c r="W43" s="125" t="str">
        <f>IF(SubjectList!I43="Biology", IF(Biology!B43="","",Biology!B43), IF(Math!B43="","",Math!B43))</f>
        <v/>
      </c>
      <c r="X43" s="125" t="str">
        <f>Optional!D43</f>
        <v/>
      </c>
      <c r="Y43" s="125" t="str">
        <f>Optional!E43</f>
        <v/>
      </c>
      <c r="Z43" s="137" t="str">
        <f>Optional!F43</f>
        <v/>
      </c>
      <c r="AA43" s="127" t="str">
        <f>IF(SubjectList!G43="","", SubjectList!G43)</f>
        <v>Biology</v>
      </c>
      <c r="AB43" s="127" t="str">
        <f>IF(SubjectList!I43="","", SubjectList!I43)</f>
        <v>Math</v>
      </c>
      <c r="AC43" s="125" t="str">
        <f>Bangla!F43</f>
        <v/>
      </c>
      <c r="AD43" s="125" t="str">
        <f>English!E43</f>
        <v/>
      </c>
      <c r="AE43" s="125" t="str">
        <f>ICT!G43</f>
        <v/>
      </c>
      <c r="AF43" s="125" t="str">
        <f>Physics!G43</f>
        <v/>
      </c>
      <c r="AG43" s="125" t="str">
        <f>Chemistry!G43</f>
        <v/>
      </c>
      <c r="AH43" s="125" t="str">
        <f>IF(SubjectList!G43="Math", IF(Math!G43="","",Math!G43), IF(Biology!G43="","",Biology!G43))</f>
        <v/>
      </c>
      <c r="AI43" s="125" t="str">
        <f>IF(SubjectList!H43="Math", IF(Math!G43="","",Math!G43), IF(Biology!G43="","",Biology!G43))</f>
        <v/>
      </c>
      <c r="AJ43" s="140" t="str">
        <f>Bangla!G43</f>
        <v/>
      </c>
      <c r="AK43" s="140" t="str">
        <f>English!F43</f>
        <v/>
      </c>
      <c r="AL43" s="140" t="str">
        <f>ICT!H43</f>
        <v/>
      </c>
      <c r="AM43" s="140" t="str">
        <f>Physics!H43</f>
        <v/>
      </c>
      <c r="AN43" s="140" t="str">
        <f>Chemistry!H43</f>
        <v/>
      </c>
      <c r="AO43" s="140" t="str">
        <f>IF(SubjectList!G43="Math", IF(Math!H43="","",Math!H43), IF(Biology!H43="","",Biology!H43))</f>
        <v/>
      </c>
      <c r="AP43" s="140" t="str">
        <f>IF(SubjectList!I43="Math", IF(Math!H43="","",Math!H43), IF(Biology!H43="","",Biology!H43))</f>
        <v/>
      </c>
      <c r="AQ43" s="140" t="str">
        <f>Optional!I43</f>
        <v/>
      </c>
      <c r="AR43" s="140" t="str">
        <f>Optional!J43</f>
        <v/>
      </c>
      <c r="AS43" s="140" t="str">
        <f t="shared" si="0"/>
        <v/>
      </c>
      <c r="AT43" s="140" t="str">
        <f t="shared" si="8"/>
        <v/>
      </c>
      <c r="AU43" s="128" t="str">
        <f t="shared" si="1"/>
        <v/>
      </c>
      <c r="AV43" s="128" t="str">
        <f t="shared" si="2"/>
        <v/>
      </c>
      <c r="AW43" s="128">
        <f t="shared" si="11"/>
        <v>0</v>
      </c>
      <c r="AX43" s="129" t="str">
        <f t="shared" si="9"/>
        <v/>
      </c>
      <c r="AY43" s="129" t="str">
        <f t="shared" si="9"/>
        <v/>
      </c>
      <c r="AZ43" s="129" t="str">
        <f t="shared" si="9"/>
        <v/>
      </c>
      <c r="BA43" s="129" t="str">
        <f t="shared" si="9"/>
        <v/>
      </c>
      <c r="BB43" s="129" t="str">
        <f t="shared" si="9"/>
        <v/>
      </c>
      <c r="BC43" s="129" t="str">
        <f t="shared" si="9"/>
        <v/>
      </c>
      <c r="BD43" s="125">
        <f t="shared" si="10"/>
        <v>0</v>
      </c>
      <c r="BE43" s="125" t="str">
        <f t="shared" si="6"/>
        <v>F6</v>
      </c>
      <c r="BF43" s="125" t="str">
        <f>IF(AV43="","",RANK(AV43,AV$2:AV88,0))</f>
        <v/>
      </c>
      <c r="BG43" s="125" t="str">
        <f t="shared" si="7"/>
        <v/>
      </c>
    </row>
    <row r="44" spans="1:59" x14ac:dyDescent="0.35">
      <c r="A44" s="125">
        <f>'Student Basic Info'!A44</f>
        <v>743</v>
      </c>
      <c r="B44" s="125" t="str">
        <f>'Student Basic Info'!C44</f>
        <v>Umme Habiba</v>
      </c>
      <c r="C44" s="126" t="str">
        <f>IF(Bangla!B44="","",Bangla!B44)</f>
        <v/>
      </c>
      <c r="D44" s="126">
        <f>IF(Bangla!C44="","",Bangla!C44)</f>
        <v>21</v>
      </c>
      <c r="E44" s="135">
        <f>IF(Bangla!D44="","",Bangla!D44)</f>
        <v>21</v>
      </c>
      <c r="F44" s="135">
        <f>IF(English!C44="","",English!C44)</f>
        <v>11</v>
      </c>
      <c r="G44" s="125">
        <f>IF(ICT!B44="","",ICT!B44)</f>
        <v>7</v>
      </c>
      <c r="H44" s="125">
        <f>IF(ICT!C44="","",ICT!C44)</f>
        <v>9</v>
      </c>
      <c r="I44" s="125">
        <f>IF(ICT!D44="","",ICT!D44)</f>
        <v>22</v>
      </c>
      <c r="J44" s="137">
        <f>IF(ICT!E44="","",ICT!E44)</f>
        <v>38</v>
      </c>
      <c r="K44" s="125">
        <f>IF(Physics!B44="","",Physics!B44)</f>
        <v>9</v>
      </c>
      <c r="L44" s="125">
        <f>IF(Physics!C44="","",Physics!C44)</f>
        <v>0</v>
      </c>
      <c r="M44" s="125">
        <f>IF(Physics!D44="","",Physics!D44)</f>
        <v>8</v>
      </c>
      <c r="N44" s="137">
        <f>IF(Physics!E44="","",Physics!E44)</f>
        <v>17</v>
      </c>
      <c r="O44" s="125">
        <f>IF(Chemistry!B44="","",Chemistry!B44)</f>
        <v>10</v>
      </c>
      <c r="P44" s="125">
        <f>IF(Chemistry!C44="","",Chemistry!C44)</f>
        <v>8</v>
      </c>
      <c r="Q44" s="125">
        <f>IF(Chemistry!D44="","",Chemistry!D44)</f>
        <v>10</v>
      </c>
      <c r="R44" s="137">
        <f>IF(Chemistry!E44="","",Chemistry!E44)</f>
        <v>28</v>
      </c>
      <c r="S44" s="125">
        <f>IF(SubjectList!G44="Math", IF(Math!B44="","",Math!B44), IF(Biology!B44="","",Biology!B44))</f>
        <v>10</v>
      </c>
      <c r="T44" s="125">
        <f>IF(SubjectList!G44="Math", IF(Math!C44="","",Math!C44), IF(Biology!C44="","",Biology!C44))</f>
        <v>1</v>
      </c>
      <c r="U44" s="125">
        <f>IF(SubjectList!G44="Math", IF(Math!D44="","",Math!D44), IF(Biology!D44="","",Biology!D44))</f>
        <v>9</v>
      </c>
      <c r="V44" s="137">
        <f>IF(SubjectList!G44="Math", IF(Math!E44="","",Math!E44), IF(Biology!E44="","",Biology!E44))</f>
        <v>20</v>
      </c>
      <c r="W44" s="125">
        <f>IF(SubjectList!I44="Biology", IF(Biology!B44="","",Biology!B44), IF(Math!B44="","",Math!B44))</f>
        <v>6</v>
      </c>
      <c r="X44" s="125">
        <f>Optional!D44</f>
        <v>1</v>
      </c>
      <c r="Y44" s="125">
        <f>Optional!E44</f>
        <v>8</v>
      </c>
      <c r="Z44" s="137">
        <f>Optional!F44</f>
        <v>15</v>
      </c>
      <c r="AA44" s="127" t="str">
        <f>IF(SubjectList!G44="","", SubjectList!G44)</f>
        <v>Biology</v>
      </c>
      <c r="AB44" s="127" t="str">
        <f>IF(SubjectList!I44="","", SubjectList!I44)</f>
        <v>Math</v>
      </c>
      <c r="AC44" s="125" t="str">
        <f>Bangla!F44</f>
        <v>F</v>
      </c>
      <c r="AD44" s="125" t="str">
        <f>English!E44</f>
        <v>F</v>
      </c>
      <c r="AE44" s="125" t="str">
        <f>ICT!G44</f>
        <v>F</v>
      </c>
      <c r="AF44" s="125" t="str">
        <f>Physics!G44</f>
        <v>F</v>
      </c>
      <c r="AG44" s="125" t="str">
        <f>Chemistry!G44</f>
        <v>F</v>
      </c>
      <c r="AH44" s="125" t="str">
        <f>IF(SubjectList!G44="Math", IF(Math!G44="","",Math!G44), IF(Biology!G44="","",Biology!G44))</f>
        <v>F</v>
      </c>
      <c r="AI44" s="125" t="str">
        <f>IF(SubjectList!H44="Math", IF(Math!G44="","",Math!G44), IF(Biology!G44="","",Biology!G44))</f>
        <v>F</v>
      </c>
      <c r="AJ44" s="140">
        <f>Bangla!G44</f>
        <v>0</v>
      </c>
      <c r="AK44" s="140">
        <f>English!F44</f>
        <v>0</v>
      </c>
      <c r="AL44" s="140">
        <f>ICT!H44</f>
        <v>0</v>
      </c>
      <c r="AM44" s="140">
        <f>Physics!H44</f>
        <v>0</v>
      </c>
      <c r="AN44" s="140">
        <f>Chemistry!H44</f>
        <v>0</v>
      </c>
      <c r="AO44" s="140">
        <f>IF(SubjectList!G44="Math", IF(Math!H44="","",Math!H44), IF(Biology!H44="","",Biology!H44))</f>
        <v>0</v>
      </c>
      <c r="AP44" s="140">
        <f>IF(SubjectList!I44="Math", IF(Math!H44="","",Math!H44), IF(Biology!H44="","",Biology!H44))</f>
        <v>0</v>
      </c>
      <c r="AQ44" s="140">
        <f>Optional!I44</f>
        <v>0</v>
      </c>
      <c r="AR44" s="140">
        <f>Optional!J44</f>
        <v>0</v>
      </c>
      <c r="AS44" s="140" t="str">
        <f t="shared" si="0"/>
        <v/>
      </c>
      <c r="AT44" s="140" t="str">
        <f t="shared" si="8"/>
        <v/>
      </c>
      <c r="AU44" s="128" t="str">
        <f t="shared" si="1"/>
        <v/>
      </c>
      <c r="AV44" s="128" t="str">
        <f t="shared" si="2"/>
        <v/>
      </c>
      <c r="AW44" s="128">
        <f t="shared" si="11"/>
        <v>150</v>
      </c>
      <c r="AX44" s="129">
        <f t="shared" si="9"/>
        <v>0</v>
      </c>
      <c r="AY44" s="129">
        <f t="shared" si="9"/>
        <v>0</v>
      </c>
      <c r="AZ44" s="129">
        <f t="shared" si="9"/>
        <v>0</v>
      </c>
      <c r="BA44" s="129">
        <f t="shared" si="9"/>
        <v>0</v>
      </c>
      <c r="BB44" s="129">
        <f t="shared" si="9"/>
        <v>0</v>
      </c>
      <c r="BC44" s="129">
        <f t="shared" si="9"/>
        <v>0</v>
      </c>
      <c r="BD44" s="125">
        <f t="shared" si="10"/>
        <v>0</v>
      </c>
      <c r="BE44" s="125" t="str">
        <f t="shared" si="6"/>
        <v>F6</v>
      </c>
      <c r="BF44" s="125" t="str">
        <f>IF(AV44="","",RANK(AV44,AV$2:AV88,0))</f>
        <v/>
      </c>
      <c r="BG44" s="125" t="str">
        <f t="shared" si="7"/>
        <v/>
      </c>
    </row>
    <row r="45" spans="1:59" x14ac:dyDescent="0.35">
      <c r="A45" s="125">
        <f>'Student Basic Info'!A45</f>
        <v>744</v>
      </c>
      <c r="B45" s="125" t="str">
        <f>'Student Basic Info'!C45</f>
        <v>Tarek Rahman Tamin</v>
      </c>
      <c r="C45" s="126" t="str">
        <f>IF(Bangla!B45="","",Bangla!B45)</f>
        <v/>
      </c>
      <c r="D45" s="126">
        <f>IF(Bangla!C45="","",Bangla!C45)</f>
        <v>25</v>
      </c>
      <c r="E45" s="135">
        <f>IF(Bangla!D45="","",Bangla!D45)</f>
        <v>25</v>
      </c>
      <c r="F45" s="135">
        <f>IF(English!C45="","",English!C45)</f>
        <v>25</v>
      </c>
      <c r="G45" s="125">
        <f>IF(ICT!B45="","",ICT!B45)</f>
        <v>13</v>
      </c>
      <c r="H45" s="125">
        <f>IF(ICT!C45="","",ICT!C45)</f>
        <v>1</v>
      </c>
      <c r="I45" s="125">
        <f>IF(ICT!D45="","",ICT!D45)</f>
        <v>8</v>
      </c>
      <c r="J45" s="137">
        <f>IF(ICT!E45="","",ICT!E45)</f>
        <v>22</v>
      </c>
      <c r="K45" s="125">
        <f>IF(Physics!B45="","",Physics!B45)</f>
        <v>9</v>
      </c>
      <c r="L45" s="125">
        <f>IF(Physics!C45="","",Physics!C45)</f>
        <v>17</v>
      </c>
      <c r="M45" s="125">
        <f>IF(Physics!D45="","",Physics!D45)</f>
        <v>15</v>
      </c>
      <c r="N45" s="137">
        <f>IF(Physics!E45="","",Physics!E45)</f>
        <v>41</v>
      </c>
      <c r="O45" s="125">
        <f>IF(Chemistry!B45="","",Chemistry!B45)</f>
        <v>8</v>
      </c>
      <c r="P45" s="125">
        <f>IF(Chemistry!C45="","",Chemistry!C45)</f>
        <v>9</v>
      </c>
      <c r="Q45" s="125">
        <f>IF(Chemistry!D45="","",Chemistry!D45)</f>
        <v>8</v>
      </c>
      <c r="R45" s="137">
        <f>IF(Chemistry!E45="","",Chemistry!E45)</f>
        <v>25</v>
      </c>
      <c r="S45" s="125">
        <f>IF(SubjectList!G45="Math", IF(Math!B45="","",Math!B45), IF(Biology!B45="","",Biology!B45))</f>
        <v>12</v>
      </c>
      <c r="T45" s="125">
        <f>IF(SubjectList!G45="Math", IF(Math!C45="","",Math!C45), IF(Biology!C45="","",Biology!C45))</f>
        <v>2</v>
      </c>
      <c r="U45" s="125">
        <f>IF(SubjectList!G45="Math", IF(Math!D45="","",Math!D45), IF(Biology!D45="","",Biology!D45))</f>
        <v>9</v>
      </c>
      <c r="V45" s="137">
        <f>IF(SubjectList!G45="Math", IF(Math!E45="","",Math!E45), IF(Biology!E45="","",Biology!E45))</f>
        <v>23</v>
      </c>
      <c r="W45" s="125">
        <f>IF(SubjectList!I45="Biology", IF(Biology!B45="","",Biology!B45), IF(Math!B45="","",Math!B45))</f>
        <v>11</v>
      </c>
      <c r="X45" s="125">
        <f>Optional!D45</f>
        <v>0</v>
      </c>
      <c r="Y45" s="125">
        <f>Optional!E45</f>
        <v>9</v>
      </c>
      <c r="Z45" s="137">
        <f>Optional!F45</f>
        <v>20</v>
      </c>
      <c r="AA45" s="127" t="str">
        <f>IF(SubjectList!G45="","", SubjectList!G45)</f>
        <v>Biology</v>
      </c>
      <c r="AB45" s="127" t="str">
        <f>IF(SubjectList!I45="","", SubjectList!I45)</f>
        <v>Math</v>
      </c>
      <c r="AC45" s="125" t="str">
        <f>Bangla!F45</f>
        <v>F</v>
      </c>
      <c r="AD45" s="125" t="str">
        <f>English!E45</f>
        <v>F</v>
      </c>
      <c r="AE45" s="125" t="str">
        <f>ICT!G45</f>
        <v>F</v>
      </c>
      <c r="AF45" s="125" t="str">
        <f>Physics!G45</f>
        <v>C</v>
      </c>
      <c r="AG45" s="125" t="str">
        <f>Chemistry!G45</f>
        <v>F</v>
      </c>
      <c r="AH45" s="125" t="str">
        <f>IF(SubjectList!G45="Math", IF(Math!G45="","",Math!G45), IF(Biology!G45="","",Biology!G45))</f>
        <v>F</v>
      </c>
      <c r="AI45" s="125" t="str">
        <f>IF(SubjectList!H45="Math", IF(Math!G45="","",Math!G45), IF(Biology!G45="","",Biology!G45))</f>
        <v>F</v>
      </c>
      <c r="AJ45" s="140">
        <f>Bangla!G45</f>
        <v>0</v>
      </c>
      <c r="AK45" s="140">
        <f>English!F45</f>
        <v>0</v>
      </c>
      <c r="AL45" s="140">
        <f>ICT!H45</f>
        <v>0</v>
      </c>
      <c r="AM45" s="140">
        <f>Physics!H45</f>
        <v>2</v>
      </c>
      <c r="AN45" s="140">
        <f>Chemistry!H45</f>
        <v>0</v>
      </c>
      <c r="AO45" s="140">
        <f>IF(SubjectList!G45="Math", IF(Math!H45="","",Math!H45), IF(Biology!H45="","",Biology!H45))</f>
        <v>0</v>
      </c>
      <c r="AP45" s="140">
        <f>IF(SubjectList!I45="Math", IF(Math!H45="","",Math!H45), IF(Biology!H45="","",Biology!H45))</f>
        <v>0</v>
      </c>
      <c r="AQ45" s="140">
        <f>Optional!I45</f>
        <v>0</v>
      </c>
      <c r="AR45" s="140">
        <f>Optional!J45</f>
        <v>0</v>
      </c>
      <c r="AS45" s="140">
        <f t="shared" si="0"/>
        <v>2</v>
      </c>
      <c r="AT45" s="140">
        <f t="shared" si="8"/>
        <v>2</v>
      </c>
      <c r="AU45" s="128" t="str">
        <f t="shared" si="1"/>
        <v/>
      </c>
      <c r="AV45" s="128" t="str">
        <f t="shared" si="2"/>
        <v/>
      </c>
      <c r="AW45" s="128">
        <f t="shared" si="11"/>
        <v>181</v>
      </c>
      <c r="AX45" s="129">
        <f t="shared" si="9"/>
        <v>0</v>
      </c>
      <c r="AY45" s="129">
        <f t="shared" si="9"/>
        <v>0</v>
      </c>
      <c r="AZ45" s="129">
        <f t="shared" si="9"/>
        <v>0</v>
      </c>
      <c r="BA45" s="129">
        <f t="shared" si="9"/>
        <v>1</v>
      </c>
      <c r="BB45" s="129">
        <f t="shared" si="9"/>
        <v>0</v>
      </c>
      <c r="BC45" s="129">
        <f t="shared" si="9"/>
        <v>0</v>
      </c>
      <c r="BD45" s="125">
        <f t="shared" si="10"/>
        <v>1</v>
      </c>
      <c r="BE45" s="125" t="str">
        <f t="shared" si="6"/>
        <v>F5</v>
      </c>
      <c r="BF45" s="125" t="str">
        <f>IF(AV45="","",RANK(AV45,AV$2:AV88,0))</f>
        <v/>
      </c>
      <c r="BG45" s="125" t="str">
        <f t="shared" si="7"/>
        <v/>
      </c>
    </row>
    <row r="46" spans="1:59" x14ac:dyDescent="0.35">
      <c r="A46" s="125">
        <f>'Student Basic Info'!A46</f>
        <v>745</v>
      </c>
      <c r="B46" s="125" t="str">
        <f>'Student Basic Info'!C46</f>
        <v>Nabiha Nusrat</v>
      </c>
      <c r="C46" s="126" t="str">
        <f>IF(Bangla!B46="","",Bangla!B46)</f>
        <v/>
      </c>
      <c r="D46" s="126">
        <f>IF(Bangla!C46="","",Bangla!C46)</f>
        <v>75</v>
      </c>
      <c r="E46" s="135">
        <f>IF(Bangla!D46="","",Bangla!D46)</f>
        <v>75</v>
      </c>
      <c r="F46" s="135">
        <f>IF(English!C46="","",English!C46)</f>
        <v>66</v>
      </c>
      <c r="G46" s="125">
        <f>IF(ICT!B46="","",ICT!B46)</f>
        <v>22</v>
      </c>
      <c r="H46" s="125">
        <f>IF(ICT!C46="","",ICT!C46)</f>
        <v>41</v>
      </c>
      <c r="I46" s="125">
        <f>IF(ICT!D46="","",ICT!D46)</f>
        <v>22</v>
      </c>
      <c r="J46" s="137">
        <f>IF(ICT!E46="","",ICT!E46)</f>
        <v>85</v>
      </c>
      <c r="K46" s="125">
        <f>IF(Physics!B46="","",Physics!B46)</f>
        <v>16</v>
      </c>
      <c r="L46" s="125">
        <f>IF(Physics!C46="","",Physics!C46)</f>
        <v>42</v>
      </c>
      <c r="M46" s="125">
        <f>IF(Physics!D46="","",Physics!D46)</f>
        <v>22</v>
      </c>
      <c r="N46" s="137">
        <f>IF(Physics!E46="","",Physics!E46)</f>
        <v>80</v>
      </c>
      <c r="O46" s="125">
        <f>IF(Chemistry!B46="","",Chemistry!B46)</f>
        <v>9</v>
      </c>
      <c r="P46" s="125">
        <f>IF(Chemistry!C46="","",Chemistry!C46)</f>
        <v>15</v>
      </c>
      <c r="Q46" s="125">
        <f>IF(Chemistry!D46="","",Chemistry!D46)</f>
        <v>8</v>
      </c>
      <c r="R46" s="137">
        <f>IF(Chemistry!E46="","",Chemistry!E46)</f>
        <v>32</v>
      </c>
      <c r="S46" s="125">
        <f>IF(SubjectList!G46="Math", IF(Math!B46="","",Math!B46), IF(Biology!B46="","",Biology!B46))</f>
        <v>11</v>
      </c>
      <c r="T46" s="125">
        <f>IF(SubjectList!G46="Math", IF(Math!C46="","",Math!C46), IF(Biology!C46="","",Biology!C46))</f>
        <v>30</v>
      </c>
      <c r="U46" s="125">
        <f>IF(SubjectList!G46="Math", IF(Math!D46="","",Math!D46), IF(Biology!D46="","",Biology!D46))</f>
        <v>19</v>
      </c>
      <c r="V46" s="137">
        <f>IF(SubjectList!G46="Math", IF(Math!E46="","",Math!E46), IF(Biology!E46="","",Biology!E46))</f>
        <v>60</v>
      </c>
      <c r="W46" s="125">
        <f>IF(SubjectList!I46="Biology", IF(Biology!B46="","",Biology!B46), IF(Math!B46="","",Math!B46))</f>
        <v>8</v>
      </c>
      <c r="X46" s="125">
        <f>Optional!D46</f>
        <v>21</v>
      </c>
      <c r="Y46" s="125">
        <f>Optional!E46</f>
        <v>15</v>
      </c>
      <c r="Z46" s="137">
        <f>Optional!F46</f>
        <v>44</v>
      </c>
      <c r="AA46" s="127" t="str">
        <f>IF(SubjectList!G46="","", SubjectList!G46)</f>
        <v>Math</v>
      </c>
      <c r="AB46" s="127" t="str">
        <f>IF(SubjectList!I46="","", SubjectList!I46)</f>
        <v>Biology</v>
      </c>
      <c r="AC46" s="125" t="str">
        <f>Bangla!F46</f>
        <v>A</v>
      </c>
      <c r="AD46" s="125" t="str">
        <f>English!E46</f>
        <v>A-</v>
      </c>
      <c r="AE46" s="125" t="str">
        <f>ICT!G46</f>
        <v>A+</v>
      </c>
      <c r="AF46" s="125" t="str">
        <f>Physics!G46</f>
        <v>A+</v>
      </c>
      <c r="AG46" s="125" t="str">
        <f>Chemistry!G46</f>
        <v>F</v>
      </c>
      <c r="AH46" s="125" t="str">
        <f>IF(SubjectList!G46="Math", IF(Math!G46="","",Math!G46), IF(Biology!G46="","",Biology!G46))</f>
        <v>A-</v>
      </c>
      <c r="AI46" s="125" t="str">
        <f>IF(SubjectList!H46="Math", IF(Math!G46="","",Math!G46), IF(Biology!G46="","",Biology!G46))</f>
        <v>C</v>
      </c>
      <c r="AJ46" s="140">
        <f>Bangla!G46</f>
        <v>4</v>
      </c>
      <c r="AK46" s="140">
        <f>English!F46</f>
        <v>3.5</v>
      </c>
      <c r="AL46" s="140">
        <f>ICT!H46</f>
        <v>5</v>
      </c>
      <c r="AM46" s="140">
        <f>Physics!H46</f>
        <v>5</v>
      </c>
      <c r="AN46" s="140">
        <f>Chemistry!H46</f>
        <v>0</v>
      </c>
      <c r="AO46" s="140">
        <f>IF(SubjectList!G46="Math", IF(Math!H46="","",Math!H46), IF(Biology!H46="","",Biology!H46))</f>
        <v>3.5</v>
      </c>
      <c r="AP46" s="140">
        <f>IF(SubjectList!I46="Math", IF(Math!H46="","",Math!H46), IF(Biology!H46="","",Biology!H46))</f>
        <v>2</v>
      </c>
      <c r="AQ46" s="140">
        <f>Optional!I46</f>
        <v>2</v>
      </c>
      <c r="AR46" s="140">
        <f>Optional!J46</f>
        <v>0</v>
      </c>
      <c r="AS46" s="140">
        <f t="shared" si="0"/>
        <v>21</v>
      </c>
      <c r="AT46" s="140">
        <f t="shared" si="8"/>
        <v>21</v>
      </c>
      <c r="AU46" s="128" t="str">
        <f t="shared" si="1"/>
        <v/>
      </c>
      <c r="AV46" s="128" t="str">
        <f t="shared" si="2"/>
        <v/>
      </c>
      <c r="AW46" s="128">
        <f t="shared" si="11"/>
        <v>442</v>
      </c>
      <c r="AX46" s="129">
        <f t="shared" si="9"/>
        <v>1</v>
      </c>
      <c r="AY46" s="129">
        <f t="shared" si="9"/>
        <v>1</v>
      </c>
      <c r="AZ46" s="129">
        <f t="shared" si="9"/>
        <v>1</v>
      </c>
      <c r="BA46" s="129">
        <f t="shared" si="9"/>
        <v>1</v>
      </c>
      <c r="BB46" s="129">
        <f t="shared" si="9"/>
        <v>0</v>
      </c>
      <c r="BC46" s="129">
        <f t="shared" si="9"/>
        <v>1</v>
      </c>
      <c r="BD46" s="125">
        <f t="shared" si="10"/>
        <v>5</v>
      </c>
      <c r="BE46" s="125" t="str">
        <f t="shared" si="6"/>
        <v>F1</v>
      </c>
      <c r="BF46" s="125" t="str">
        <f>IF(AV46="","",RANK(AV46,AV$2:AV88,0))</f>
        <v/>
      </c>
      <c r="BG46" s="125" t="str">
        <f t="shared" si="7"/>
        <v/>
      </c>
    </row>
    <row r="47" spans="1:59" x14ac:dyDescent="0.35">
      <c r="A47" s="125">
        <f>'Student Basic Info'!A47</f>
        <v>746</v>
      </c>
      <c r="B47" s="125" t="str">
        <f>'Student Basic Info'!C47</f>
        <v>Sharika Mahzabin</v>
      </c>
      <c r="C47" s="126" t="str">
        <f>IF(Bangla!B47="","",Bangla!B47)</f>
        <v/>
      </c>
      <c r="D47" s="126">
        <f>IF(Bangla!C47="","",Bangla!C47)</f>
        <v>60</v>
      </c>
      <c r="E47" s="135">
        <f>IF(Bangla!D47="","",Bangla!D47)</f>
        <v>60</v>
      </c>
      <c r="F47" s="135">
        <f>IF(English!C47="","",English!C47)</f>
        <v>66</v>
      </c>
      <c r="G47" s="125">
        <f>IF(ICT!B47="","",ICT!B47)</f>
        <v>19</v>
      </c>
      <c r="H47" s="125">
        <f>IF(ICT!C47="","",ICT!C47)</f>
        <v>28</v>
      </c>
      <c r="I47" s="125">
        <f>IF(ICT!D47="","",ICT!D47)</f>
        <v>20</v>
      </c>
      <c r="J47" s="137">
        <f>IF(ICT!E47="","",ICT!E47)</f>
        <v>67</v>
      </c>
      <c r="K47" s="125">
        <f>IF(Physics!B47="","",Physics!B47)</f>
        <v>11</v>
      </c>
      <c r="L47" s="125">
        <f>IF(Physics!C47="","",Physics!C47)</f>
        <v>33</v>
      </c>
      <c r="M47" s="125">
        <f>IF(Physics!D47="","",Physics!D47)</f>
        <v>17</v>
      </c>
      <c r="N47" s="137">
        <f>IF(Physics!E47="","",Physics!E47)</f>
        <v>61</v>
      </c>
      <c r="O47" s="125">
        <f>IF(Chemistry!B47="","",Chemistry!B47)</f>
        <v>10</v>
      </c>
      <c r="P47" s="125">
        <f>IF(Chemistry!C47="","",Chemistry!C47)</f>
        <v>7</v>
      </c>
      <c r="Q47" s="125">
        <f>IF(Chemistry!D47="","",Chemistry!D47)</f>
        <v>9</v>
      </c>
      <c r="R47" s="137">
        <f>IF(Chemistry!E47="","",Chemistry!E47)</f>
        <v>26</v>
      </c>
      <c r="S47" s="125">
        <f>IF(SubjectList!G47="Math", IF(Math!B47="","",Math!B47), IF(Biology!B47="","",Biology!B47))</f>
        <v>8</v>
      </c>
      <c r="T47" s="125">
        <f>IF(SubjectList!G47="Math", IF(Math!C47="","",Math!C47), IF(Biology!C47="","",Biology!C47))</f>
        <v>19</v>
      </c>
      <c r="U47" s="125">
        <f>IF(SubjectList!G47="Math", IF(Math!D47="","",Math!D47), IF(Biology!D47="","",Biology!D47))</f>
        <v>13</v>
      </c>
      <c r="V47" s="137">
        <f>IF(SubjectList!G47="Math", IF(Math!E47="","",Math!E47), IF(Biology!E47="","",Biology!E47))</f>
        <v>40</v>
      </c>
      <c r="W47" s="125">
        <f>IF(SubjectList!I47="Biology", IF(Biology!B47="","",Biology!B47), IF(Math!B47="","",Math!B47))</f>
        <v>8</v>
      </c>
      <c r="X47" s="125">
        <f>Optional!D47</f>
        <v>12</v>
      </c>
      <c r="Y47" s="125">
        <f>Optional!E47</f>
        <v>15</v>
      </c>
      <c r="Z47" s="137">
        <f>Optional!F47</f>
        <v>35</v>
      </c>
      <c r="AA47" s="127" t="str">
        <f>IF(SubjectList!G47="","", SubjectList!G47)</f>
        <v>Biology</v>
      </c>
      <c r="AB47" s="127" t="str">
        <f>IF(SubjectList!I47="","", SubjectList!I47)</f>
        <v>Math</v>
      </c>
      <c r="AC47" s="125" t="str">
        <f>Bangla!F47</f>
        <v>A-</v>
      </c>
      <c r="AD47" s="125" t="str">
        <f>English!E47</f>
        <v>A-</v>
      </c>
      <c r="AE47" s="125" t="str">
        <f>ICT!G47</f>
        <v>A-</v>
      </c>
      <c r="AF47" s="125" t="str">
        <f>Physics!G47</f>
        <v>A-</v>
      </c>
      <c r="AG47" s="125" t="str">
        <f>Chemistry!G47</f>
        <v>F</v>
      </c>
      <c r="AH47" s="125" t="str">
        <f>IF(SubjectList!G47="Math", IF(Math!G47="","",Math!G47), IF(Biology!G47="","",Biology!G47))</f>
        <v>C</v>
      </c>
      <c r="AI47" s="125" t="str">
        <f>IF(SubjectList!H47="Math", IF(Math!G47="","",Math!G47), IF(Biology!G47="","",Biology!G47))</f>
        <v>F</v>
      </c>
      <c r="AJ47" s="140">
        <f>Bangla!G47</f>
        <v>3.5</v>
      </c>
      <c r="AK47" s="140">
        <f>English!F47</f>
        <v>3.5</v>
      </c>
      <c r="AL47" s="140">
        <f>ICT!H47</f>
        <v>3.5</v>
      </c>
      <c r="AM47" s="140">
        <f>Physics!H47</f>
        <v>3.5</v>
      </c>
      <c r="AN47" s="140">
        <f>Chemistry!H47</f>
        <v>0</v>
      </c>
      <c r="AO47" s="140">
        <f>IF(SubjectList!G47="Math", IF(Math!H47="","",Math!H47), IF(Biology!H47="","",Biology!H47))</f>
        <v>2</v>
      </c>
      <c r="AP47" s="140">
        <f>IF(SubjectList!I47="Math", IF(Math!H47="","",Math!H47), IF(Biology!H47="","",Biology!H47))</f>
        <v>0</v>
      </c>
      <c r="AQ47" s="140">
        <f>Optional!I47</f>
        <v>0</v>
      </c>
      <c r="AR47" s="140">
        <f>Optional!J47</f>
        <v>0</v>
      </c>
      <c r="AS47" s="140">
        <f t="shared" si="0"/>
        <v>16</v>
      </c>
      <c r="AT47" s="140">
        <f t="shared" si="8"/>
        <v>16</v>
      </c>
      <c r="AU47" s="128" t="str">
        <f t="shared" si="1"/>
        <v/>
      </c>
      <c r="AV47" s="128" t="str">
        <f t="shared" si="2"/>
        <v/>
      </c>
      <c r="AW47" s="128">
        <f t="shared" si="11"/>
        <v>355</v>
      </c>
      <c r="AX47" s="129">
        <f t="shared" si="9"/>
        <v>1</v>
      </c>
      <c r="AY47" s="129">
        <f t="shared" si="9"/>
        <v>1</v>
      </c>
      <c r="AZ47" s="129">
        <f t="shared" si="9"/>
        <v>1</v>
      </c>
      <c r="BA47" s="129">
        <f t="shared" si="9"/>
        <v>1</v>
      </c>
      <c r="BB47" s="129">
        <f t="shared" si="9"/>
        <v>0</v>
      </c>
      <c r="BC47" s="129">
        <f t="shared" si="9"/>
        <v>1</v>
      </c>
      <c r="BD47" s="125">
        <f t="shared" si="10"/>
        <v>5</v>
      </c>
      <c r="BE47" s="125" t="str">
        <f t="shared" si="6"/>
        <v>F1</v>
      </c>
      <c r="BF47" s="125" t="str">
        <f>IF(AV47="","",RANK(AV47,AV$2:AV88,0))</f>
        <v/>
      </c>
      <c r="BG47" s="125" t="str">
        <f t="shared" si="7"/>
        <v/>
      </c>
    </row>
    <row r="48" spans="1:59" x14ac:dyDescent="0.35">
      <c r="A48" s="125">
        <f>'Student Basic Info'!A48</f>
        <v>747</v>
      </c>
      <c r="B48" s="125" t="str">
        <f>'Student Basic Info'!C48</f>
        <v>Jahedul Islam</v>
      </c>
      <c r="C48" s="126" t="str">
        <f>IF(Bangla!B48="","",Bangla!B48)</f>
        <v/>
      </c>
      <c r="D48" s="126">
        <f>IF(Bangla!C48="","",Bangla!C48)</f>
        <v>40</v>
      </c>
      <c r="E48" s="135">
        <f>IF(Bangla!D48="","",Bangla!D48)</f>
        <v>40</v>
      </c>
      <c r="F48" s="135">
        <f>IF(English!C48="","",English!C48)</f>
        <v>19</v>
      </c>
      <c r="G48" s="125">
        <f>IF(ICT!B48="","",ICT!B48)</f>
        <v>9</v>
      </c>
      <c r="H48" s="125">
        <f>IF(ICT!C48="","",ICT!C48)</f>
        <v>2</v>
      </c>
      <c r="I48" s="125">
        <f>IF(ICT!D48="","",ICT!D48)</f>
        <v>18</v>
      </c>
      <c r="J48" s="137">
        <f>IF(ICT!E48="","",ICT!E48)</f>
        <v>29</v>
      </c>
      <c r="K48" s="125">
        <f>IF(Physics!B48="","",Physics!B48)</f>
        <v>13</v>
      </c>
      <c r="L48" s="125">
        <f>IF(Physics!C48="","",Physics!C48)</f>
        <v>6</v>
      </c>
      <c r="M48" s="125">
        <f>IF(Physics!D48="","",Physics!D48)</f>
        <v>12</v>
      </c>
      <c r="N48" s="137">
        <f>IF(Physics!E48="","",Physics!E48)</f>
        <v>31</v>
      </c>
      <c r="O48" s="125">
        <f>IF(Chemistry!B48="","",Chemistry!B48)</f>
        <v>9</v>
      </c>
      <c r="P48" s="125">
        <f>IF(Chemistry!C48="","",Chemistry!C48)</f>
        <v>11</v>
      </c>
      <c r="Q48" s="125">
        <f>IF(Chemistry!D48="","",Chemistry!D48)</f>
        <v>9</v>
      </c>
      <c r="R48" s="137">
        <f>IF(Chemistry!E48="","",Chemistry!E48)</f>
        <v>29</v>
      </c>
      <c r="S48" s="125">
        <f>IF(SubjectList!G48="Math", IF(Math!B48="","",Math!B48), IF(Biology!B48="","",Biology!B48))</f>
        <v>7</v>
      </c>
      <c r="T48" s="125">
        <f>IF(SubjectList!G48="Math", IF(Math!C48="","",Math!C48), IF(Biology!C48="","",Biology!C48))</f>
        <v>2</v>
      </c>
      <c r="U48" s="125">
        <f>IF(SubjectList!G48="Math", IF(Math!D48="","",Math!D48), IF(Biology!D48="","",Biology!D48))</f>
        <v>8</v>
      </c>
      <c r="V48" s="137">
        <f>IF(SubjectList!G48="Math", IF(Math!E48="","",Math!E48), IF(Biology!E48="","",Biology!E48))</f>
        <v>17</v>
      </c>
      <c r="W48" s="125">
        <f>IF(SubjectList!I48="Biology", IF(Biology!B48="","",Biology!B48), IF(Math!B48="","",Math!B48))</f>
        <v>14</v>
      </c>
      <c r="X48" s="125">
        <f>Optional!D48</f>
        <v>1</v>
      </c>
      <c r="Y48" s="125">
        <f>Optional!E48</f>
        <v>10</v>
      </c>
      <c r="Z48" s="137">
        <f>Optional!F48</f>
        <v>25</v>
      </c>
      <c r="AA48" s="127" t="str">
        <f>IF(SubjectList!G48="","", SubjectList!G48)</f>
        <v>Biology</v>
      </c>
      <c r="AB48" s="127" t="str">
        <f>IF(SubjectList!I48="","", SubjectList!I48)</f>
        <v>Math</v>
      </c>
      <c r="AC48" s="125" t="str">
        <f>Bangla!F48</f>
        <v>C</v>
      </c>
      <c r="AD48" s="125" t="str">
        <f>English!E48</f>
        <v>F</v>
      </c>
      <c r="AE48" s="125" t="str">
        <f>ICT!G48</f>
        <v>F</v>
      </c>
      <c r="AF48" s="125" t="str">
        <f>Physics!G48</f>
        <v>F</v>
      </c>
      <c r="AG48" s="125" t="str">
        <f>Chemistry!G48</f>
        <v>F</v>
      </c>
      <c r="AH48" s="125" t="str">
        <f>IF(SubjectList!G48="Math", IF(Math!G48="","",Math!G48), IF(Biology!G48="","",Biology!G48))</f>
        <v>F</v>
      </c>
      <c r="AI48" s="125" t="str">
        <f>IF(SubjectList!H48="Math", IF(Math!G48="","",Math!G48), IF(Biology!G48="","",Biology!G48))</f>
        <v>F</v>
      </c>
      <c r="AJ48" s="140">
        <f>Bangla!G48</f>
        <v>2</v>
      </c>
      <c r="AK48" s="140">
        <f>English!F48</f>
        <v>0</v>
      </c>
      <c r="AL48" s="140">
        <f>ICT!H48</f>
        <v>0</v>
      </c>
      <c r="AM48" s="140">
        <f>Physics!H48</f>
        <v>0</v>
      </c>
      <c r="AN48" s="140">
        <f>Chemistry!H48</f>
        <v>0</v>
      </c>
      <c r="AO48" s="140">
        <f>IF(SubjectList!G48="Math", IF(Math!H48="","",Math!H48), IF(Biology!H48="","",Biology!H48))</f>
        <v>0</v>
      </c>
      <c r="AP48" s="140">
        <f>IF(SubjectList!I48="Math", IF(Math!H48="","",Math!H48), IF(Biology!H48="","",Biology!H48))</f>
        <v>0</v>
      </c>
      <c r="AQ48" s="140">
        <f>Optional!I48</f>
        <v>0</v>
      </c>
      <c r="AR48" s="140">
        <f>Optional!J48</f>
        <v>0</v>
      </c>
      <c r="AS48" s="140">
        <f t="shared" si="0"/>
        <v>2</v>
      </c>
      <c r="AT48" s="140">
        <f t="shared" si="8"/>
        <v>2</v>
      </c>
      <c r="AU48" s="128" t="str">
        <f t="shared" si="1"/>
        <v/>
      </c>
      <c r="AV48" s="128" t="str">
        <f t="shared" si="2"/>
        <v/>
      </c>
      <c r="AW48" s="128">
        <f t="shared" si="11"/>
        <v>190</v>
      </c>
      <c r="AX48" s="129">
        <f t="shared" si="9"/>
        <v>1</v>
      </c>
      <c r="AY48" s="129">
        <f t="shared" si="9"/>
        <v>0</v>
      </c>
      <c r="AZ48" s="129">
        <f t="shared" si="9"/>
        <v>0</v>
      </c>
      <c r="BA48" s="129">
        <f t="shared" si="9"/>
        <v>0</v>
      </c>
      <c r="BB48" s="129">
        <f t="shared" si="9"/>
        <v>0</v>
      </c>
      <c r="BC48" s="129">
        <f t="shared" si="9"/>
        <v>0</v>
      </c>
      <c r="BD48" s="125">
        <f t="shared" si="10"/>
        <v>1</v>
      </c>
      <c r="BE48" s="125" t="str">
        <f t="shared" si="6"/>
        <v>F5</v>
      </c>
      <c r="BF48" s="125" t="str">
        <f>IF(AV48="","",RANK(AV48,AV$2:AV88,0))</f>
        <v/>
      </c>
      <c r="BG48" s="125" t="str">
        <f t="shared" si="7"/>
        <v/>
      </c>
    </row>
    <row r="49" spans="1:59" x14ac:dyDescent="0.35">
      <c r="A49" s="125">
        <f>'Student Basic Info'!A49</f>
        <v>748</v>
      </c>
      <c r="B49" s="125" t="str">
        <f>'Student Basic Info'!C49</f>
        <v>Merina Parshi</v>
      </c>
      <c r="C49" s="126" t="str">
        <f>IF(Bangla!B49="","",Bangla!B49)</f>
        <v/>
      </c>
      <c r="D49" s="126">
        <f>IF(Bangla!C49="","",Bangla!C49)</f>
        <v>40</v>
      </c>
      <c r="E49" s="135">
        <f>IF(Bangla!D49="","",Bangla!D49)</f>
        <v>40</v>
      </c>
      <c r="F49" s="135">
        <f>IF(English!C49="","",English!C49)</f>
        <v>15</v>
      </c>
      <c r="G49" s="125">
        <f>IF(ICT!B49="","",ICT!B49)</f>
        <v>7</v>
      </c>
      <c r="H49" s="125">
        <f>IF(ICT!C49="","",ICT!C49)</f>
        <v>3</v>
      </c>
      <c r="I49" s="125">
        <f>IF(ICT!D49="","",ICT!D49)</f>
        <v>18</v>
      </c>
      <c r="J49" s="137">
        <f>IF(ICT!E49="","",ICT!E49)</f>
        <v>28</v>
      </c>
      <c r="K49" s="125">
        <f>IF(Physics!B49="","",Physics!B49)</f>
        <v>5</v>
      </c>
      <c r="L49" s="125">
        <f>IF(Physics!C49="","",Physics!C49)</f>
        <v>0</v>
      </c>
      <c r="M49" s="125">
        <f>IF(Physics!D49="","",Physics!D49)</f>
        <v>8</v>
      </c>
      <c r="N49" s="137">
        <f>IF(Physics!E49="","",Physics!E49)</f>
        <v>13</v>
      </c>
      <c r="O49" s="125">
        <f>IF(Chemistry!B49="","",Chemistry!B49)</f>
        <v>10</v>
      </c>
      <c r="P49" s="125">
        <f>IF(Chemistry!C49="","",Chemistry!C49)</f>
        <v>9</v>
      </c>
      <c r="Q49" s="125">
        <f>IF(Chemistry!D49="","",Chemistry!D49)</f>
        <v>10</v>
      </c>
      <c r="R49" s="137">
        <f>IF(Chemistry!E49="","",Chemistry!E49)</f>
        <v>29</v>
      </c>
      <c r="S49" s="125">
        <f>IF(SubjectList!G49="Math", IF(Math!B49="","",Math!B49), IF(Biology!B49="","",Biology!B49))</f>
        <v>7</v>
      </c>
      <c r="T49" s="125">
        <f>IF(SubjectList!G49="Math", IF(Math!C49="","",Math!C49), IF(Biology!C49="","",Biology!C49))</f>
        <v>3</v>
      </c>
      <c r="U49" s="125">
        <f>IF(SubjectList!G49="Math", IF(Math!D49="","",Math!D49), IF(Biology!D49="","",Biology!D49))</f>
        <v>8</v>
      </c>
      <c r="V49" s="137">
        <f>IF(SubjectList!G49="Math", IF(Math!E49="","",Math!E49), IF(Biology!E49="","",Biology!E49))</f>
        <v>18</v>
      </c>
      <c r="W49" s="125">
        <f>IF(SubjectList!I49="Biology", IF(Biology!B49="","",Biology!B49), IF(Math!B49="","",Math!B49))</f>
        <v>4</v>
      </c>
      <c r="X49" s="125">
        <f>Optional!D49</f>
        <v>1</v>
      </c>
      <c r="Y49" s="125">
        <f>Optional!E49</f>
        <v>8</v>
      </c>
      <c r="Z49" s="137">
        <f>Optional!F49</f>
        <v>13</v>
      </c>
      <c r="AA49" s="127" t="str">
        <f>IF(SubjectList!G49="","", SubjectList!G49)</f>
        <v>Biology</v>
      </c>
      <c r="AB49" s="127" t="str">
        <f>IF(SubjectList!I49="","", SubjectList!I49)</f>
        <v>Math</v>
      </c>
      <c r="AC49" s="125" t="str">
        <f>Bangla!F49</f>
        <v>C</v>
      </c>
      <c r="AD49" s="125" t="str">
        <f>English!E49</f>
        <v>F</v>
      </c>
      <c r="AE49" s="125" t="str">
        <f>ICT!G49</f>
        <v>F</v>
      </c>
      <c r="AF49" s="125" t="str">
        <f>Physics!G49</f>
        <v>F</v>
      </c>
      <c r="AG49" s="125" t="str">
        <f>Chemistry!G49</f>
        <v>F</v>
      </c>
      <c r="AH49" s="125" t="str">
        <f>IF(SubjectList!G49="Math", IF(Math!G49="","",Math!G49), IF(Biology!G49="","",Biology!G49))</f>
        <v>F</v>
      </c>
      <c r="AI49" s="125" t="str">
        <f>IF(SubjectList!H49="Math", IF(Math!G49="","",Math!G49), IF(Biology!G49="","",Biology!G49))</f>
        <v>F</v>
      </c>
      <c r="AJ49" s="140">
        <f>Bangla!G49</f>
        <v>2</v>
      </c>
      <c r="AK49" s="140">
        <f>English!F49</f>
        <v>0</v>
      </c>
      <c r="AL49" s="140">
        <f>ICT!H49</f>
        <v>0</v>
      </c>
      <c r="AM49" s="140">
        <f>Physics!H49</f>
        <v>0</v>
      </c>
      <c r="AN49" s="140">
        <f>Chemistry!H49</f>
        <v>0</v>
      </c>
      <c r="AO49" s="140">
        <f>IF(SubjectList!G49="Math", IF(Math!H49="","",Math!H49), IF(Biology!H49="","",Biology!H49))</f>
        <v>0</v>
      </c>
      <c r="AP49" s="140">
        <f>IF(SubjectList!I49="Math", IF(Math!H49="","",Math!H49), IF(Biology!H49="","",Biology!H49))</f>
        <v>0</v>
      </c>
      <c r="AQ49" s="140">
        <f>Optional!I49</f>
        <v>0</v>
      </c>
      <c r="AR49" s="140">
        <f>Optional!J49</f>
        <v>0</v>
      </c>
      <c r="AS49" s="140">
        <f t="shared" si="0"/>
        <v>2</v>
      </c>
      <c r="AT49" s="140">
        <f t="shared" si="8"/>
        <v>2</v>
      </c>
      <c r="AU49" s="128" t="str">
        <f t="shared" si="1"/>
        <v/>
      </c>
      <c r="AV49" s="128" t="str">
        <f t="shared" si="2"/>
        <v/>
      </c>
      <c r="AW49" s="128">
        <f t="shared" si="11"/>
        <v>156</v>
      </c>
      <c r="AX49" s="129">
        <f t="shared" si="9"/>
        <v>1</v>
      </c>
      <c r="AY49" s="129">
        <f t="shared" si="9"/>
        <v>0</v>
      </c>
      <c r="AZ49" s="129">
        <f t="shared" si="9"/>
        <v>0</v>
      </c>
      <c r="BA49" s="129">
        <f t="shared" si="9"/>
        <v>0</v>
      </c>
      <c r="BB49" s="129">
        <f t="shared" si="9"/>
        <v>0</v>
      </c>
      <c r="BC49" s="129">
        <f t="shared" si="9"/>
        <v>0</v>
      </c>
      <c r="BD49" s="125">
        <f t="shared" si="10"/>
        <v>1</v>
      </c>
      <c r="BE49" s="125" t="str">
        <f t="shared" si="6"/>
        <v>F5</v>
      </c>
      <c r="BF49" s="125" t="str">
        <f>IF(AV49="","",RANK(AV49,AV$2:AV88,0))</f>
        <v/>
      </c>
      <c r="BG49" s="125" t="str">
        <f t="shared" si="7"/>
        <v/>
      </c>
    </row>
    <row r="50" spans="1:59" x14ac:dyDescent="0.35">
      <c r="A50" s="125">
        <f>'Student Basic Info'!A50</f>
        <v>749</v>
      </c>
      <c r="B50" s="125" t="str">
        <f>'Student Basic Info'!C50</f>
        <v>Shekh Shohrab Hosain</v>
      </c>
      <c r="C50" s="126" t="str">
        <f>IF(Bangla!B50="","",Bangla!B50)</f>
        <v/>
      </c>
      <c r="D50" s="126">
        <f>IF(Bangla!C50="","",Bangla!C50)</f>
        <v>35</v>
      </c>
      <c r="E50" s="135">
        <f>IF(Bangla!D50="","",Bangla!D50)</f>
        <v>35</v>
      </c>
      <c r="F50" s="135">
        <f>IF(English!C50="","",English!C50)</f>
        <v>20</v>
      </c>
      <c r="G50" s="125">
        <f>IF(ICT!B50="","",ICT!B50)</f>
        <v>7</v>
      </c>
      <c r="H50" s="125">
        <f>IF(ICT!C50="","",ICT!C50)</f>
        <v>1</v>
      </c>
      <c r="I50" s="125">
        <f>IF(ICT!D50="","",ICT!D50)</f>
        <v>8</v>
      </c>
      <c r="J50" s="137">
        <f>IF(ICT!E50="","",ICT!E50)</f>
        <v>16</v>
      </c>
      <c r="K50" s="125">
        <f>IF(Physics!B50="","",Physics!B50)</f>
        <v>8</v>
      </c>
      <c r="L50" s="125">
        <f>IF(Physics!C50="","",Physics!C50)</f>
        <v>2</v>
      </c>
      <c r="M50" s="125">
        <f>IF(Physics!D50="","",Physics!D50)</f>
        <v>8</v>
      </c>
      <c r="N50" s="137">
        <f>IF(Physics!E50="","",Physics!E50)</f>
        <v>18</v>
      </c>
      <c r="O50" s="125">
        <f>IF(Chemistry!B50="","",Chemistry!B50)</f>
        <v>10</v>
      </c>
      <c r="P50" s="125">
        <f>IF(Chemistry!C50="","",Chemistry!C50)</f>
        <v>1</v>
      </c>
      <c r="Q50" s="125">
        <f>IF(Chemistry!D50="","",Chemistry!D50)</f>
        <v>11</v>
      </c>
      <c r="R50" s="137">
        <f>IF(Chemistry!E50="","",Chemistry!E50)</f>
        <v>22</v>
      </c>
      <c r="S50" s="125">
        <f>IF(SubjectList!G50="Math", IF(Math!B50="","",Math!B50), IF(Biology!B50="","",Biology!B50))</f>
        <v>6</v>
      </c>
      <c r="T50" s="125">
        <f>IF(SubjectList!G50="Math", IF(Math!C50="","",Math!C50), IF(Biology!C50="","",Biology!C50))</f>
        <v>0</v>
      </c>
      <c r="U50" s="125">
        <f>IF(SubjectList!G50="Math", IF(Math!D50="","",Math!D50), IF(Biology!D50="","",Biology!D50))</f>
        <v>8</v>
      </c>
      <c r="V50" s="137">
        <f>IF(SubjectList!G50="Math", IF(Math!E50="","",Math!E50), IF(Biology!E50="","",Biology!E50))</f>
        <v>14</v>
      </c>
      <c r="W50" s="125">
        <f>IF(SubjectList!I50="Biology", IF(Biology!B50="","",Biology!B50), IF(Math!B50="","",Math!B50))</f>
        <v>6</v>
      </c>
      <c r="X50" s="125">
        <f>Optional!D50</f>
        <v>0</v>
      </c>
      <c r="Y50" s="125">
        <f>Optional!E50</f>
        <v>8</v>
      </c>
      <c r="Z50" s="137">
        <f>Optional!F50</f>
        <v>14</v>
      </c>
      <c r="AA50" s="127" t="str">
        <f>IF(SubjectList!G50="","", SubjectList!G50)</f>
        <v>Biology</v>
      </c>
      <c r="AB50" s="127" t="str">
        <f>IF(SubjectList!I50="","", SubjectList!I50)</f>
        <v>Math</v>
      </c>
      <c r="AC50" s="125" t="str">
        <f>Bangla!F50</f>
        <v>D</v>
      </c>
      <c r="AD50" s="125" t="str">
        <f>English!E50</f>
        <v>F</v>
      </c>
      <c r="AE50" s="125" t="str">
        <f>ICT!G50</f>
        <v>F</v>
      </c>
      <c r="AF50" s="125" t="str">
        <f>Physics!G50</f>
        <v>F</v>
      </c>
      <c r="AG50" s="125" t="str">
        <f>Chemistry!G50</f>
        <v>F</v>
      </c>
      <c r="AH50" s="125" t="str">
        <f>IF(SubjectList!G50="Math", IF(Math!G50="","",Math!G50), IF(Biology!G50="","",Biology!G50))</f>
        <v>F</v>
      </c>
      <c r="AI50" s="125" t="str">
        <f>IF(SubjectList!H50="Math", IF(Math!G50="","",Math!G50), IF(Biology!G50="","",Biology!G50))</f>
        <v>F</v>
      </c>
      <c r="AJ50" s="140">
        <f>Bangla!G50</f>
        <v>1</v>
      </c>
      <c r="AK50" s="140">
        <f>English!F50</f>
        <v>0</v>
      </c>
      <c r="AL50" s="140">
        <f>ICT!H50</f>
        <v>0</v>
      </c>
      <c r="AM50" s="140">
        <f>Physics!H50</f>
        <v>0</v>
      </c>
      <c r="AN50" s="140">
        <f>Chemistry!H50</f>
        <v>0</v>
      </c>
      <c r="AO50" s="140">
        <f>IF(SubjectList!G50="Math", IF(Math!H50="","",Math!H50), IF(Biology!H50="","",Biology!H50))</f>
        <v>0</v>
      </c>
      <c r="AP50" s="140">
        <f>IF(SubjectList!I50="Math", IF(Math!H50="","",Math!H50), IF(Biology!H50="","",Biology!H50))</f>
        <v>0</v>
      </c>
      <c r="AQ50" s="140">
        <f>Optional!I50</f>
        <v>0</v>
      </c>
      <c r="AR50" s="140">
        <f>Optional!J50</f>
        <v>0</v>
      </c>
      <c r="AS50" s="140">
        <f t="shared" si="0"/>
        <v>1</v>
      </c>
      <c r="AT50" s="140">
        <f t="shared" si="8"/>
        <v>1</v>
      </c>
      <c r="AU50" s="128" t="str">
        <f t="shared" si="1"/>
        <v/>
      </c>
      <c r="AV50" s="128" t="str">
        <f t="shared" si="2"/>
        <v/>
      </c>
      <c r="AW50" s="128">
        <f t="shared" si="11"/>
        <v>139</v>
      </c>
      <c r="AX50" s="129">
        <f t="shared" si="9"/>
        <v>1</v>
      </c>
      <c r="AY50" s="129">
        <f t="shared" si="9"/>
        <v>0</v>
      </c>
      <c r="AZ50" s="129">
        <f t="shared" si="9"/>
        <v>0</v>
      </c>
      <c r="BA50" s="129">
        <f t="shared" si="9"/>
        <v>0</v>
      </c>
      <c r="BB50" s="129">
        <f t="shared" si="9"/>
        <v>0</v>
      </c>
      <c r="BC50" s="129">
        <f t="shared" si="9"/>
        <v>0</v>
      </c>
      <c r="BD50" s="125">
        <f t="shared" si="10"/>
        <v>1</v>
      </c>
      <c r="BE50" s="125" t="str">
        <f t="shared" si="6"/>
        <v>F5</v>
      </c>
      <c r="BF50" s="125" t="str">
        <f>IF(AV50="","",RANK(AV50,AV$2:AV88,0))</f>
        <v/>
      </c>
      <c r="BG50" s="125" t="str">
        <f t="shared" si="7"/>
        <v/>
      </c>
    </row>
    <row r="51" spans="1:59" x14ac:dyDescent="0.35">
      <c r="A51" s="125">
        <f>'Student Basic Info'!A51</f>
        <v>750</v>
      </c>
      <c r="B51" s="125" t="str">
        <f>'Student Basic Info'!C51</f>
        <v>Purnima Aktar</v>
      </c>
      <c r="C51" s="126" t="str">
        <f>IF(Bangla!B51="","",Bangla!B51)</f>
        <v/>
      </c>
      <c r="D51" s="126" t="str">
        <f>IF(Bangla!C51="","",Bangla!C51)</f>
        <v/>
      </c>
      <c r="E51" s="135" t="str">
        <f>IF(Bangla!D51="","",Bangla!D51)</f>
        <v/>
      </c>
      <c r="F51" s="135" t="str">
        <f>IF(English!C51="","",English!C51)</f>
        <v/>
      </c>
      <c r="G51" s="125" t="str">
        <f>IF(ICT!B51="","",ICT!B51)</f>
        <v/>
      </c>
      <c r="H51" s="125" t="str">
        <f>IF(ICT!C51="","",ICT!C51)</f>
        <v/>
      </c>
      <c r="I51" s="125" t="str">
        <f>IF(ICT!D51="","",ICT!D51)</f>
        <v/>
      </c>
      <c r="J51" s="137" t="str">
        <f>IF(ICT!E51="","",ICT!E51)</f>
        <v/>
      </c>
      <c r="K51" s="125" t="str">
        <f>IF(Physics!B51="","",Physics!B51)</f>
        <v/>
      </c>
      <c r="L51" s="125" t="str">
        <f>IF(Physics!C51="","",Physics!C51)</f>
        <v/>
      </c>
      <c r="M51" s="125" t="str">
        <f>IF(Physics!D51="","",Physics!D51)</f>
        <v/>
      </c>
      <c r="N51" s="137" t="str">
        <f>IF(Physics!E51="","",Physics!E51)</f>
        <v/>
      </c>
      <c r="O51" s="125" t="str">
        <f>IF(Chemistry!B51="","",Chemistry!B51)</f>
        <v/>
      </c>
      <c r="P51" s="125" t="str">
        <f>IF(Chemistry!C51="","",Chemistry!C51)</f>
        <v/>
      </c>
      <c r="Q51" s="125" t="str">
        <f>IF(Chemistry!D51="","",Chemistry!D51)</f>
        <v/>
      </c>
      <c r="R51" s="137" t="str">
        <f>IF(Chemistry!E51="","",Chemistry!E51)</f>
        <v/>
      </c>
      <c r="S51" s="125" t="str">
        <f>IF(SubjectList!G51="Math", IF(Math!B51="","",Math!B51), IF(Biology!B51="","",Biology!B51))</f>
        <v/>
      </c>
      <c r="T51" s="125" t="str">
        <f>IF(SubjectList!G51="Math", IF(Math!C51="","",Math!C51), IF(Biology!C51="","",Biology!C51))</f>
        <v/>
      </c>
      <c r="U51" s="125" t="str">
        <f>IF(SubjectList!G51="Math", IF(Math!D51="","",Math!D51), IF(Biology!D51="","",Biology!D51))</f>
        <v/>
      </c>
      <c r="V51" s="137" t="str">
        <f>IF(SubjectList!G51="Math", IF(Math!E51="","",Math!E51), IF(Biology!E51="","",Biology!E51))</f>
        <v/>
      </c>
      <c r="W51" s="125" t="str">
        <f>IF(SubjectList!I51="Biology", IF(Biology!B51="","",Biology!B51), IF(Math!B51="","",Math!B51))</f>
        <v/>
      </c>
      <c r="X51" s="125" t="str">
        <f>Optional!D51</f>
        <v/>
      </c>
      <c r="Y51" s="125" t="str">
        <f>Optional!E51</f>
        <v/>
      </c>
      <c r="Z51" s="137" t="str">
        <f>Optional!F51</f>
        <v/>
      </c>
      <c r="AA51" s="127" t="str">
        <f>IF(SubjectList!G51="","", SubjectList!G51)</f>
        <v>Math</v>
      </c>
      <c r="AB51" s="127" t="str">
        <f>IF(SubjectList!I51="","", SubjectList!I51)</f>
        <v>Biology</v>
      </c>
      <c r="AC51" s="125" t="str">
        <f>Bangla!F51</f>
        <v/>
      </c>
      <c r="AD51" s="125" t="str">
        <f>English!E51</f>
        <v/>
      </c>
      <c r="AE51" s="125" t="str">
        <f>ICT!G51</f>
        <v/>
      </c>
      <c r="AF51" s="125" t="str">
        <f>Physics!G51</f>
        <v/>
      </c>
      <c r="AG51" s="125" t="str">
        <f>Chemistry!G51</f>
        <v/>
      </c>
      <c r="AH51" s="125" t="str">
        <f>IF(SubjectList!G51="Math", IF(Math!G51="","",Math!G51), IF(Biology!G51="","",Biology!G51))</f>
        <v/>
      </c>
      <c r="AI51" s="125" t="str">
        <f>IF(SubjectList!H51="Math", IF(Math!G51="","",Math!G51), IF(Biology!G51="","",Biology!G51))</f>
        <v/>
      </c>
      <c r="AJ51" s="140" t="str">
        <f>Bangla!G51</f>
        <v/>
      </c>
      <c r="AK51" s="140" t="str">
        <f>English!F51</f>
        <v/>
      </c>
      <c r="AL51" s="140" t="str">
        <f>ICT!H51</f>
        <v/>
      </c>
      <c r="AM51" s="140" t="str">
        <f>Physics!H51</f>
        <v/>
      </c>
      <c r="AN51" s="140" t="str">
        <f>Chemistry!H51</f>
        <v/>
      </c>
      <c r="AO51" s="140" t="str">
        <f>IF(SubjectList!G51="Math", IF(Math!H51="","",Math!H51), IF(Biology!H51="","",Biology!H51))</f>
        <v/>
      </c>
      <c r="AP51" s="140" t="str">
        <f>IF(SubjectList!I51="Math", IF(Math!H51="","",Math!H51), IF(Biology!H51="","",Biology!H51))</f>
        <v/>
      </c>
      <c r="AQ51" s="140" t="str">
        <f>Optional!I51</f>
        <v/>
      </c>
      <c r="AR51" s="140" t="str">
        <f>Optional!J51</f>
        <v/>
      </c>
      <c r="AS51" s="140" t="str">
        <f t="shared" si="0"/>
        <v/>
      </c>
      <c r="AT51" s="140" t="str">
        <f t="shared" si="8"/>
        <v/>
      </c>
      <c r="AU51" s="128" t="str">
        <f t="shared" si="1"/>
        <v/>
      </c>
      <c r="AV51" s="128" t="str">
        <f t="shared" si="2"/>
        <v/>
      </c>
      <c r="AW51" s="128">
        <f t="shared" si="11"/>
        <v>0</v>
      </c>
      <c r="AX51" s="129" t="str">
        <f t="shared" si="9"/>
        <v/>
      </c>
      <c r="AY51" s="129" t="str">
        <f t="shared" si="9"/>
        <v/>
      </c>
      <c r="AZ51" s="129" t="str">
        <f t="shared" si="9"/>
        <v/>
      </c>
      <c r="BA51" s="129" t="str">
        <f t="shared" si="9"/>
        <v/>
      </c>
      <c r="BB51" s="129" t="str">
        <f t="shared" si="9"/>
        <v/>
      </c>
      <c r="BC51" s="129" t="str">
        <f t="shared" si="9"/>
        <v/>
      </c>
      <c r="BD51" s="125">
        <f t="shared" si="10"/>
        <v>0</v>
      </c>
      <c r="BE51" s="125" t="str">
        <f t="shared" si="6"/>
        <v>F6</v>
      </c>
      <c r="BF51" s="125" t="str">
        <f>IF(AV51="","",RANK(AV51,AV$2:AV88,0))</f>
        <v/>
      </c>
      <c r="BG51" s="125" t="str">
        <f t="shared" si="7"/>
        <v/>
      </c>
    </row>
    <row r="52" spans="1:59" x14ac:dyDescent="0.35">
      <c r="A52" s="125">
        <f>'Student Basic Info'!A52</f>
        <v>751</v>
      </c>
      <c r="B52" s="125" t="str">
        <f>'Student Basic Info'!C52</f>
        <v>Hridwal  Al Mahmul</v>
      </c>
      <c r="C52" s="126" t="str">
        <f>IF(Bangla!B52="","",Bangla!B52)</f>
        <v/>
      </c>
      <c r="D52" s="126">
        <f>IF(Bangla!C52="","",Bangla!C52)</f>
        <v>40</v>
      </c>
      <c r="E52" s="135">
        <f>IF(Bangla!D52="","",Bangla!D52)</f>
        <v>40</v>
      </c>
      <c r="F52" s="135">
        <f>IF(English!C52="","",English!C52)</f>
        <v>27</v>
      </c>
      <c r="G52" s="125">
        <f>IF(ICT!B52="","",ICT!B52)</f>
        <v>13</v>
      </c>
      <c r="H52" s="125">
        <f>IF(ICT!C52="","",ICT!C52)</f>
        <v>5</v>
      </c>
      <c r="I52" s="125">
        <f>IF(ICT!D52="","",ICT!D52)</f>
        <v>8</v>
      </c>
      <c r="J52" s="137">
        <f>IF(ICT!E52="","",ICT!E52)</f>
        <v>26</v>
      </c>
      <c r="K52" s="125">
        <f>IF(Physics!B52="","",Physics!B52)</f>
        <v>9</v>
      </c>
      <c r="L52" s="125">
        <f>IF(Physics!C52="","",Physics!C52)</f>
        <v>32</v>
      </c>
      <c r="M52" s="125">
        <f>IF(Physics!D52="","",Physics!D52)</f>
        <v>19</v>
      </c>
      <c r="N52" s="137">
        <f>IF(Physics!E52="","",Physics!E52)</f>
        <v>60</v>
      </c>
      <c r="O52" s="125">
        <f>IF(Chemistry!B52="","",Chemistry!B52)</f>
        <v>11</v>
      </c>
      <c r="P52" s="125">
        <f>IF(Chemistry!C52="","",Chemistry!C52)</f>
        <v>11</v>
      </c>
      <c r="Q52" s="125">
        <f>IF(Chemistry!D52="","",Chemistry!D52)</f>
        <v>10</v>
      </c>
      <c r="R52" s="137">
        <f>IF(Chemistry!E52="","",Chemistry!E52)</f>
        <v>32</v>
      </c>
      <c r="S52" s="125">
        <f>IF(SubjectList!G52="Math", IF(Math!B52="","",Math!B52), IF(Biology!B52="","",Biology!B52))</f>
        <v>11</v>
      </c>
      <c r="T52" s="125">
        <f>IF(SubjectList!G52="Math", IF(Math!C52="","",Math!C52), IF(Biology!C52="","",Biology!C52))</f>
        <v>2</v>
      </c>
      <c r="U52" s="125">
        <f>IF(SubjectList!G52="Math", IF(Math!D52="","",Math!D52), IF(Biology!D52="","",Biology!D52))</f>
        <v>9</v>
      </c>
      <c r="V52" s="137">
        <f>IF(SubjectList!G52="Math", IF(Math!E52="","",Math!E52), IF(Biology!E52="","",Biology!E52))</f>
        <v>22</v>
      </c>
      <c r="W52" s="125" t="str">
        <f>IF(SubjectList!I52="Biology", IF(Biology!B52="","",Biology!B52), IF(Math!B52="","",Math!B52))</f>
        <v/>
      </c>
      <c r="X52" s="125" t="str">
        <f>Optional!D52</f>
        <v/>
      </c>
      <c r="Y52" s="125" t="str">
        <f>Optional!E52</f>
        <v/>
      </c>
      <c r="Z52" s="137" t="str">
        <f>Optional!F52</f>
        <v/>
      </c>
      <c r="AA52" s="127" t="str">
        <f>IF(SubjectList!G52="","", SubjectList!G52)</f>
        <v>Biology</v>
      </c>
      <c r="AB52" s="127" t="str">
        <f>IF(SubjectList!I52="","", SubjectList!I52)</f>
        <v>Math</v>
      </c>
      <c r="AC52" s="125" t="str">
        <f>Bangla!F52</f>
        <v>C</v>
      </c>
      <c r="AD52" s="125" t="str">
        <f>English!E52</f>
        <v>F</v>
      </c>
      <c r="AE52" s="125" t="str">
        <f>ICT!G52</f>
        <v>F</v>
      </c>
      <c r="AF52" s="125" t="str">
        <f>Physics!G52</f>
        <v>A-</v>
      </c>
      <c r="AG52" s="125" t="str">
        <f>Chemistry!G52</f>
        <v>F</v>
      </c>
      <c r="AH52" s="125" t="str">
        <f>IF(SubjectList!G52="Math", IF(Math!G52="","",Math!G52), IF(Biology!G52="","",Biology!G52))</f>
        <v>F</v>
      </c>
      <c r="AI52" s="125" t="str">
        <f>IF(SubjectList!H52="Math", IF(Math!G52="","",Math!G52), IF(Biology!G52="","",Biology!G52))</f>
        <v/>
      </c>
      <c r="AJ52" s="140">
        <f>Bangla!G52</f>
        <v>2</v>
      </c>
      <c r="AK52" s="140">
        <f>English!F52</f>
        <v>0</v>
      </c>
      <c r="AL52" s="140">
        <f>ICT!H52</f>
        <v>0</v>
      </c>
      <c r="AM52" s="140">
        <f>Physics!H52</f>
        <v>3.5</v>
      </c>
      <c r="AN52" s="140">
        <f>Chemistry!H52</f>
        <v>0</v>
      </c>
      <c r="AO52" s="140">
        <f>IF(SubjectList!G52="Math", IF(Math!H52="","",Math!H52), IF(Biology!H52="","",Biology!H52))</f>
        <v>0</v>
      </c>
      <c r="AP52" s="140" t="str">
        <f>IF(SubjectList!I52="Math", IF(Math!H52="","",Math!H52), IF(Biology!H52="","",Biology!H52))</f>
        <v/>
      </c>
      <c r="AQ52" s="140" t="str">
        <f>Optional!I52</f>
        <v/>
      </c>
      <c r="AR52" s="140" t="str">
        <f>Optional!J52</f>
        <v/>
      </c>
      <c r="AS52" s="140">
        <f t="shared" si="0"/>
        <v>5.5</v>
      </c>
      <c r="AT52" s="140">
        <f t="shared" si="8"/>
        <v>5.5</v>
      </c>
      <c r="AU52" s="128" t="str">
        <f t="shared" si="1"/>
        <v/>
      </c>
      <c r="AV52" s="128" t="str">
        <f t="shared" si="2"/>
        <v/>
      </c>
      <c r="AW52" s="128">
        <f t="shared" si="11"/>
        <v>207</v>
      </c>
      <c r="AX52" s="129">
        <f t="shared" si="9"/>
        <v>1</v>
      </c>
      <c r="AY52" s="129">
        <f t="shared" si="9"/>
        <v>0</v>
      </c>
      <c r="AZ52" s="129">
        <f t="shared" si="9"/>
        <v>0</v>
      </c>
      <c r="BA52" s="129">
        <f t="shared" si="9"/>
        <v>1</v>
      </c>
      <c r="BB52" s="129">
        <f t="shared" si="9"/>
        <v>0</v>
      </c>
      <c r="BC52" s="129">
        <f t="shared" si="9"/>
        <v>0</v>
      </c>
      <c r="BD52" s="125">
        <f t="shared" si="10"/>
        <v>2</v>
      </c>
      <c r="BE52" s="125" t="str">
        <f t="shared" si="6"/>
        <v>F4</v>
      </c>
      <c r="BF52" s="125" t="str">
        <f>IF(AV52="","",RANK(AV52,AV$2:AV88,0))</f>
        <v/>
      </c>
      <c r="BG52" s="125" t="str">
        <f t="shared" si="7"/>
        <v/>
      </c>
    </row>
    <row r="53" spans="1:59" x14ac:dyDescent="0.35">
      <c r="A53" s="125">
        <f>'Student Basic Info'!A53</f>
        <v>752</v>
      </c>
      <c r="B53" s="125" t="str">
        <f>'Student Basic Info'!C53</f>
        <v>Sabbir Hosain</v>
      </c>
      <c r="C53" s="126" t="str">
        <f>IF(Bangla!B53="","",Bangla!B53)</f>
        <v/>
      </c>
      <c r="D53" s="126" t="str">
        <f>IF(Bangla!C53="","",Bangla!C53)</f>
        <v/>
      </c>
      <c r="E53" s="135" t="str">
        <f>IF(Bangla!D53="","",Bangla!D53)</f>
        <v/>
      </c>
      <c r="F53" s="135" t="str">
        <f>IF(English!C53="","",English!C53)</f>
        <v/>
      </c>
      <c r="G53" s="125" t="str">
        <f>IF(ICT!B53="","",ICT!B53)</f>
        <v/>
      </c>
      <c r="H53" s="125" t="str">
        <f>IF(ICT!C53="","",ICT!C53)</f>
        <v/>
      </c>
      <c r="I53" s="125" t="str">
        <f>IF(ICT!D53="","",ICT!D53)</f>
        <v/>
      </c>
      <c r="J53" s="137" t="str">
        <f>IF(ICT!E53="","",ICT!E53)</f>
        <v/>
      </c>
      <c r="K53" s="125" t="str">
        <f>IF(Physics!B53="","",Physics!B53)</f>
        <v/>
      </c>
      <c r="L53" s="125" t="str">
        <f>IF(Physics!C53="","",Physics!C53)</f>
        <v/>
      </c>
      <c r="M53" s="125" t="str">
        <f>IF(Physics!D53="","",Physics!D53)</f>
        <v/>
      </c>
      <c r="N53" s="137" t="str">
        <f>IF(Physics!E53="","",Physics!E53)</f>
        <v/>
      </c>
      <c r="O53" s="125" t="str">
        <f>IF(Chemistry!B53="","",Chemistry!B53)</f>
        <v/>
      </c>
      <c r="P53" s="125" t="str">
        <f>IF(Chemistry!C53="","",Chemistry!C53)</f>
        <v/>
      </c>
      <c r="Q53" s="125" t="str">
        <f>IF(Chemistry!D53="","",Chemistry!D53)</f>
        <v/>
      </c>
      <c r="R53" s="137" t="str">
        <f>IF(Chemistry!E53="","",Chemistry!E53)</f>
        <v/>
      </c>
      <c r="S53" s="125" t="str">
        <f>IF(SubjectList!G53="Math", IF(Math!B53="","",Math!B53), IF(Biology!B53="","",Biology!B53))</f>
        <v/>
      </c>
      <c r="T53" s="125" t="str">
        <f>IF(SubjectList!G53="Math", IF(Math!C53="","",Math!C53), IF(Biology!C53="","",Biology!C53))</f>
        <v/>
      </c>
      <c r="U53" s="125" t="str">
        <f>IF(SubjectList!G53="Math", IF(Math!D53="","",Math!D53), IF(Biology!D53="","",Biology!D53))</f>
        <v/>
      </c>
      <c r="V53" s="137" t="str">
        <f>IF(SubjectList!G53="Math", IF(Math!E53="","",Math!E53), IF(Biology!E53="","",Biology!E53))</f>
        <v/>
      </c>
      <c r="W53" s="125" t="str">
        <f>IF(SubjectList!I53="Biology", IF(Biology!B53="","",Biology!B53), IF(Math!B53="","",Math!B53))</f>
        <v/>
      </c>
      <c r="X53" s="125" t="str">
        <f>Optional!D53</f>
        <v/>
      </c>
      <c r="Y53" s="125" t="str">
        <f>Optional!E53</f>
        <v/>
      </c>
      <c r="Z53" s="137" t="str">
        <f>Optional!F53</f>
        <v/>
      </c>
      <c r="AA53" s="127" t="str">
        <f>IF(SubjectList!G53="","", SubjectList!G53)</f>
        <v>Biology</v>
      </c>
      <c r="AB53" s="127" t="str">
        <f>IF(SubjectList!I53="","", SubjectList!I53)</f>
        <v>Math</v>
      </c>
      <c r="AC53" s="125" t="str">
        <f>Bangla!F53</f>
        <v/>
      </c>
      <c r="AD53" s="125" t="str">
        <f>English!E53</f>
        <v/>
      </c>
      <c r="AE53" s="125" t="str">
        <f>ICT!G53</f>
        <v/>
      </c>
      <c r="AF53" s="125" t="str">
        <f>Physics!G53</f>
        <v/>
      </c>
      <c r="AG53" s="125" t="str">
        <f>Chemistry!G53</f>
        <v/>
      </c>
      <c r="AH53" s="125" t="str">
        <f>IF(SubjectList!G53="Math", IF(Math!G53="","",Math!G53), IF(Biology!G53="","",Biology!G53))</f>
        <v/>
      </c>
      <c r="AI53" s="125" t="str">
        <f>IF(SubjectList!H53="Math", IF(Math!G53="","",Math!G53), IF(Biology!G53="","",Biology!G53))</f>
        <v/>
      </c>
      <c r="AJ53" s="140" t="str">
        <f>Bangla!G53</f>
        <v/>
      </c>
      <c r="AK53" s="140" t="str">
        <f>English!F53</f>
        <v/>
      </c>
      <c r="AL53" s="140" t="str">
        <f>ICT!H53</f>
        <v/>
      </c>
      <c r="AM53" s="140" t="str">
        <f>Physics!H53</f>
        <v/>
      </c>
      <c r="AN53" s="140" t="str">
        <f>Chemistry!H53</f>
        <v/>
      </c>
      <c r="AO53" s="140" t="str">
        <f>IF(SubjectList!G53="Math", IF(Math!H53="","",Math!H53), IF(Biology!H53="","",Biology!H53))</f>
        <v/>
      </c>
      <c r="AP53" s="140" t="str">
        <f>IF(SubjectList!I53="Math", IF(Math!H53="","",Math!H53), IF(Biology!H53="","",Biology!H53))</f>
        <v/>
      </c>
      <c r="AQ53" s="140" t="str">
        <f>Optional!I53</f>
        <v/>
      </c>
      <c r="AR53" s="140" t="str">
        <f>Optional!J53</f>
        <v/>
      </c>
      <c r="AS53" s="140" t="str">
        <f t="shared" si="0"/>
        <v/>
      </c>
      <c r="AT53" s="140" t="str">
        <f t="shared" si="8"/>
        <v/>
      </c>
      <c r="AU53" s="128" t="str">
        <f t="shared" si="1"/>
        <v/>
      </c>
      <c r="AV53" s="128" t="str">
        <f t="shared" si="2"/>
        <v/>
      </c>
      <c r="AW53" s="128">
        <f t="shared" si="11"/>
        <v>0</v>
      </c>
      <c r="AX53" s="129" t="str">
        <f t="shared" si="9"/>
        <v/>
      </c>
      <c r="AY53" s="129" t="str">
        <f t="shared" si="9"/>
        <v/>
      </c>
      <c r="AZ53" s="129" t="str">
        <f t="shared" si="9"/>
        <v/>
      </c>
      <c r="BA53" s="129" t="str">
        <f t="shared" si="9"/>
        <v/>
      </c>
      <c r="BB53" s="129" t="str">
        <f t="shared" si="9"/>
        <v/>
      </c>
      <c r="BC53" s="129" t="str">
        <f t="shared" si="9"/>
        <v/>
      </c>
      <c r="BD53" s="125">
        <f t="shared" si="10"/>
        <v>0</v>
      </c>
      <c r="BE53" s="125" t="str">
        <f t="shared" si="6"/>
        <v>F6</v>
      </c>
      <c r="BF53" s="125" t="str">
        <f>IF(AV53="","",RANK(AV53,AV$2:AV88,0))</f>
        <v/>
      </c>
      <c r="BG53" s="125" t="str">
        <f t="shared" si="7"/>
        <v/>
      </c>
    </row>
    <row r="54" spans="1:59" x14ac:dyDescent="0.35">
      <c r="A54" s="125">
        <f>'Student Basic Info'!A54</f>
        <v>753</v>
      </c>
      <c r="B54" s="125" t="str">
        <f>'Student Basic Info'!C54</f>
        <v>Shohidul Islam</v>
      </c>
      <c r="C54" s="126" t="str">
        <f>IF(Bangla!B54="","",Bangla!B54)</f>
        <v/>
      </c>
      <c r="D54" s="126">
        <f>IF(Bangla!C54="","",Bangla!C54)</f>
        <v>19</v>
      </c>
      <c r="E54" s="135">
        <f>IF(Bangla!D54="","",Bangla!D54)</f>
        <v>19</v>
      </c>
      <c r="F54" s="135">
        <f>IF(English!C54="","",English!C54)</f>
        <v>33</v>
      </c>
      <c r="G54" s="125">
        <f>IF(ICT!B54="","",ICT!B54)</f>
        <v>7</v>
      </c>
      <c r="H54" s="125">
        <f>IF(ICT!C54="","",ICT!C54)</f>
        <v>2</v>
      </c>
      <c r="I54" s="125">
        <f>IF(ICT!D54="","",ICT!D54)</f>
        <v>8</v>
      </c>
      <c r="J54" s="137">
        <f>IF(ICT!E54="","",ICT!E54)</f>
        <v>17</v>
      </c>
      <c r="K54" s="125">
        <f>IF(Physics!B54="","",Physics!B54)</f>
        <v>11</v>
      </c>
      <c r="L54" s="125">
        <f>IF(Physics!C54="","",Physics!C54)</f>
        <v>4</v>
      </c>
      <c r="M54" s="125">
        <f>IF(Physics!D54="","",Physics!D54)</f>
        <v>10</v>
      </c>
      <c r="N54" s="137">
        <f>IF(Physics!E54="","",Physics!E54)</f>
        <v>25</v>
      </c>
      <c r="O54" s="125">
        <f>IF(Chemistry!B54="","",Chemistry!B54)</f>
        <v>16</v>
      </c>
      <c r="P54" s="125">
        <f>IF(Chemistry!C54="","",Chemistry!C54)</f>
        <v>11</v>
      </c>
      <c r="Q54" s="125">
        <f>IF(Chemistry!D54="","",Chemistry!D54)</f>
        <v>8</v>
      </c>
      <c r="R54" s="137">
        <f>IF(Chemistry!E54="","",Chemistry!E54)</f>
        <v>35</v>
      </c>
      <c r="S54" s="125">
        <f>IF(SubjectList!G54="Math", IF(Math!B54="","",Math!B54), IF(Biology!B54="","",Biology!B54))</f>
        <v>15</v>
      </c>
      <c r="T54" s="125">
        <f>IF(SubjectList!G54="Math", IF(Math!C54="","",Math!C54), IF(Biology!C54="","",Biology!C54))</f>
        <v>20</v>
      </c>
      <c r="U54" s="125">
        <f>IF(SubjectList!G54="Math", IF(Math!D54="","",Math!D54), IF(Biology!D54="","",Biology!D54))</f>
        <v>15</v>
      </c>
      <c r="V54" s="137">
        <f>IF(SubjectList!G54="Math", IF(Math!E54="","",Math!E54), IF(Biology!E54="","",Biology!E54))</f>
        <v>50</v>
      </c>
      <c r="W54" s="125">
        <f>IF(SubjectList!I54="Biology", IF(Biology!B54="","",Biology!B54), IF(Math!B54="","",Math!B54))</f>
        <v>17</v>
      </c>
      <c r="X54" s="125">
        <f>Optional!D54</f>
        <v>0</v>
      </c>
      <c r="Y54" s="125">
        <f>Optional!E54</f>
        <v>12</v>
      </c>
      <c r="Z54" s="137">
        <f>Optional!F54</f>
        <v>29</v>
      </c>
      <c r="AA54" s="127" t="str">
        <f>IF(SubjectList!G54="","", SubjectList!G54)</f>
        <v>Biology</v>
      </c>
      <c r="AB54" s="127" t="str">
        <f>IF(SubjectList!I54="","", SubjectList!I54)</f>
        <v>Math</v>
      </c>
      <c r="AC54" s="125" t="str">
        <f>Bangla!F54</f>
        <v>F</v>
      </c>
      <c r="AD54" s="125" t="str">
        <f>English!E54</f>
        <v>D</v>
      </c>
      <c r="AE54" s="125" t="str">
        <f>ICT!G54</f>
        <v>F</v>
      </c>
      <c r="AF54" s="125" t="str">
        <f>Physics!G54</f>
        <v>F</v>
      </c>
      <c r="AG54" s="125" t="str">
        <f>Chemistry!G54</f>
        <v>F</v>
      </c>
      <c r="AH54" s="125" t="str">
        <f>IF(SubjectList!G54="Math", IF(Math!G54="","",Math!G54), IF(Biology!G54="","",Biology!G54))</f>
        <v>B</v>
      </c>
      <c r="AI54" s="125" t="str">
        <f>IF(SubjectList!H54="Math", IF(Math!G54="","",Math!G54), IF(Biology!G54="","",Biology!G54))</f>
        <v>F</v>
      </c>
      <c r="AJ54" s="140">
        <f>Bangla!G54</f>
        <v>0</v>
      </c>
      <c r="AK54" s="140">
        <f>English!F54</f>
        <v>1</v>
      </c>
      <c r="AL54" s="140">
        <f>ICT!H54</f>
        <v>0</v>
      </c>
      <c r="AM54" s="140">
        <f>Physics!H54</f>
        <v>0</v>
      </c>
      <c r="AN54" s="140">
        <f>Chemistry!H54</f>
        <v>0</v>
      </c>
      <c r="AO54" s="140">
        <f>IF(SubjectList!G54="Math", IF(Math!H54="","",Math!H54), IF(Biology!H54="","",Biology!H54))</f>
        <v>3</v>
      </c>
      <c r="AP54" s="140">
        <f>IF(SubjectList!I54="Math", IF(Math!H54="","",Math!H54), IF(Biology!H54="","",Biology!H54))</f>
        <v>0</v>
      </c>
      <c r="AQ54" s="140">
        <f>Optional!I54</f>
        <v>0</v>
      </c>
      <c r="AR54" s="140">
        <f>Optional!J54</f>
        <v>0</v>
      </c>
      <c r="AS54" s="140">
        <f t="shared" si="0"/>
        <v>4</v>
      </c>
      <c r="AT54" s="140">
        <f t="shared" si="8"/>
        <v>4</v>
      </c>
      <c r="AU54" s="128" t="str">
        <f t="shared" si="1"/>
        <v/>
      </c>
      <c r="AV54" s="128" t="str">
        <f t="shared" si="2"/>
        <v/>
      </c>
      <c r="AW54" s="128">
        <f t="shared" si="11"/>
        <v>208</v>
      </c>
      <c r="AX54" s="129">
        <f t="shared" si="9"/>
        <v>0</v>
      </c>
      <c r="AY54" s="129">
        <f t="shared" si="9"/>
        <v>1</v>
      </c>
      <c r="AZ54" s="129">
        <f t="shared" si="9"/>
        <v>0</v>
      </c>
      <c r="BA54" s="129">
        <f t="shared" si="9"/>
        <v>0</v>
      </c>
      <c r="BB54" s="129">
        <f t="shared" si="9"/>
        <v>0</v>
      </c>
      <c r="BC54" s="129">
        <f t="shared" si="9"/>
        <v>1</v>
      </c>
      <c r="BD54" s="125">
        <f t="shared" si="10"/>
        <v>2</v>
      </c>
      <c r="BE54" s="125" t="str">
        <f t="shared" si="6"/>
        <v>F4</v>
      </c>
      <c r="BF54" s="125" t="str">
        <f>IF(AV54="","",RANK(AV54,AV$2:AV88,0))</f>
        <v/>
      </c>
      <c r="BG54" s="125" t="str">
        <f t="shared" si="7"/>
        <v/>
      </c>
    </row>
    <row r="55" spans="1:59" x14ac:dyDescent="0.35">
      <c r="A55" s="125">
        <f>'Student Basic Info'!A55</f>
        <v>754</v>
      </c>
      <c r="B55" s="125" t="str">
        <f>'Student Basic Info'!C55</f>
        <v>Shahriyar Nafiz</v>
      </c>
      <c r="C55" s="126" t="str">
        <f>IF(Bangla!B55="","",Bangla!B55)</f>
        <v/>
      </c>
      <c r="D55" s="126">
        <f>IF(Bangla!C55="","",Bangla!C55)</f>
        <v>53</v>
      </c>
      <c r="E55" s="135">
        <f>IF(Bangla!D55="","",Bangla!D55)</f>
        <v>53</v>
      </c>
      <c r="F55" s="135">
        <f>IF(English!C55="","",English!C55)</f>
        <v>23</v>
      </c>
      <c r="G55" s="125">
        <f>IF(ICT!B55="","",ICT!B55)</f>
        <v>15</v>
      </c>
      <c r="H55" s="125">
        <f>IF(ICT!C55="","",ICT!C55)</f>
        <v>2</v>
      </c>
      <c r="I55" s="125">
        <f>IF(ICT!D55="","",ICT!D55)</f>
        <v>24</v>
      </c>
      <c r="J55" s="137">
        <f>IF(ICT!E55="","",ICT!E55)</f>
        <v>41</v>
      </c>
      <c r="K55" s="125">
        <f>IF(Physics!B55="","",Physics!B55)</f>
        <v>7</v>
      </c>
      <c r="L55" s="125">
        <f>IF(Physics!C55="","",Physics!C55)</f>
        <v>1</v>
      </c>
      <c r="M55" s="125">
        <f>IF(Physics!D55="","",Physics!D55)</f>
        <v>8</v>
      </c>
      <c r="N55" s="137">
        <f>IF(Physics!E55="","",Physics!E55)</f>
        <v>16</v>
      </c>
      <c r="O55" s="125">
        <f>IF(Chemistry!B55="","",Chemistry!B55)</f>
        <v>14</v>
      </c>
      <c r="P55" s="125">
        <f>IF(Chemistry!C55="","",Chemistry!C55)</f>
        <v>13</v>
      </c>
      <c r="Q55" s="125">
        <f>IF(Chemistry!D55="","",Chemistry!D55)</f>
        <v>8</v>
      </c>
      <c r="R55" s="137">
        <f>IF(Chemistry!E55="","",Chemistry!E55)</f>
        <v>35</v>
      </c>
      <c r="S55" s="125">
        <f>IF(SubjectList!G55="Math", IF(Math!B55="","",Math!B55), IF(Biology!B55="","",Biology!B55))</f>
        <v>9</v>
      </c>
      <c r="T55" s="125">
        <f>IF(SubjectList!G55="Math", IF(Math!C55="","",Math!C55), IF(Biology!C55="","",Biology!C55))</f>
        <v>3</v>
      </c>
      <c r="U55" s="125">
        <f>IF(SubjectList!G55="Math", IF(Math!D55="","",Math!D55), IF(Biology!D55="","",Biology!D55))</f>
        <v>8</v>
      </c>
      <c r="V55" s="137">
        <f>IF(SubjectList!G55="Math", IF(Math!E55="","",Math!E55), IF(Biology!E55="","",Biology!E55))</f>
        <v>20</v>
      </c>
      <c r="W55" s="125">
        <f>IF(SubjectList!I55="Biology", IF(Biology!B55="","",Biology!B55), IF(Math!B55="","",Math!B55))</f>
        <v>8</v>
      </c>
      <c r="X55" s="125">
        <f>Optional!D55</f>
        <v>0</v>
      </c>
      <c r="Y55" s="125">
        <f>Optional!E55</f>
        <v>8</v>
      </c>
      <c r="Z55" s="137">
        <f>Optional!F55</f>
        <v>16</v>
      </c>
      <c r="AA55" s="127" t="str">
        <f>IF(SubjectList!G55="","", SubjectList!G55)</f>
        <v>Biology</v>
      </c>
      <c r="AB55" s="127" t="str">
        <f>IF(SubjectList!I55="","", SubjectList!I55)</f>
        <v>Math</v>
      </c>
      <c r="AC55" s="125" t="str">
        <f>Bangla!F55</f>
        <v>B</v>
      </c>
      <c r="AD55" s="125" t="str">
        <f>English!E55</f>
        <v>F</v>
      </c>
      <c r="AE55" s="125" t="str">
        <f>ICT!G55</f>
        <v>F</v>
      </c>
      <c r="AF55" s="125" t="str">
        <f>Physics!G55</f>
        <v>F</v>
      </c>
      <c r="AG55" s="125" t="str">
        <f>Chemistry!G55</f>
        <v>F</v>
      </c>
      <c r="AH55" s="125" t="str">
        <f>IF(SubjectList!G55="Math", IF(Math!G55="","",Math!G55), IF(Biology!G55="","",Biology!G55))</f>
        <v>F</v>
      </c>
      <c r="AI55" s="125" t="str">
        <f>IF(SubjectList!H55="Math", IF(Math!G55="","",Math!G55), IF(Biology!G55="","",Biology!G55))</f>
        <v>F</v>
      </c>
      <c r="AJ55" s="140">
        <f>Bangla!G55</f>
        <v>3</v>
      </c>
      <c r="AK55" s="140">
        <f>English!F55</f>
        <v>0</v>
      </c>
      <c r="AL55" s="140">
        <f>ICT!H55</f>
        <v>0</v>
      </c>
      <c r="AM55" s="140">
        <f>Physics!H55</f>
        <v>0</v>
      </c>
      <c r="AN55" s="140">
        <f>Chemistry!H55</f>
        <v>0</v>
      </c>
      <c r="AO55" s="140">
        <f>IF(SubjectList!G55="Math", IF(Math!H55="","",Math!H55), IF(Biology!H55="","",Biology!H55))</f>
        <v>0</v>
      </c>
      <c r="AP55" s="140">
        <f>IF(SubjectList!I55="Math", IF(Math!H55="","",Math!H55), IF(Biology!H55="","",Biology!H55))</f>
        <v>0</v>
      </c>
      <c r="AQ55" s="140">
        <f>Optional!I55</f>
        <v>0</v>
      </c>
      <c r="AR55" s="140">
        <f>Optional!J55</f>
        <v>0</v>
      </c>
      <c r="AS55" s="140">
        <f t="shared" si="0"/>
        <v>3</v>
      </c>
      <c r="AT55" s="140">
        <f t="shared" si="8"/>
        <v>3</v>
      </c>
      <c r="AU55" s="128" t="str">
        <f t="shared" si="1"/>
        <v/>
      </c>
      <c r="AV55" s="128" t="str">
        <f t="shared" si="2"/>
        <v/>
      </c>
      <c r="AW55" s="128">
        <f t="shared" si="11"/>
        <v>204</v>
      </c>
      <c r="AX55" s="129">
        <f t="shared" si="9"/>
        <v>1</v>
      </c>
      <c r="AY55" s="129">
        <f t="shared" si="9"/>
        <v>0</v>
      </c>
      <c r="AZ55" s="129">
        <f t="shared" si="9"/>
        <v>0</v>
      </c>
      <c r="BA55" s="129">
        <f t="shared" si="9"/>
        <v>0</v>
      </c>
      <c r="BB55" s="129">
        <f t="shared" si="9"/>
        <v>0</v>
      </c>
      <c r="BC55" s="129">
        <f t="shared" si="9"/>
        <v>0</v>
      </c>
      <c r="BD55" s="125">
        <f t="shared" si="10"/>
        <v>1</v>
      </c>
      <c r="BE55" s="125" t="str">
        <f t="shared" si="6"/>
        <v>F5</v>
      </c>
      <c r="BF55" s="125" t="str">
        <f>IF(AV55="","",RANK(AV55,AV$2:AV88,0))</f>
        <v/>
      </c>
      <c r="BG55" s="125" t="str">
        <f t="shared" si="7"/>
        <v/>
      </c>
    </row>
    <row r="56" spans="1:59" x14ac:dyDescent="0.35">
      <c r="A56" s="125">
        <f>'Student Basic Info'!A56</f>
        <v>755</v>
      </c>
      <c r="B56" s="125" t="str">
        <f>'Student Basic Info'!C56</f>
        <v xml:space="preserve">Md. Ibrahim </v>
      </c>
      <c r="C56" s="126" t="str">
        <f>IF(Bangla!B56="","",Bangla!B56)</f>
        <v/>
      </c>
      <c r="D56" s="126">
        <f>IF(Bangla!C56="","",Bangla!C56)</f>
        <v>16</v>
      </c>
      <c r="E56" s="135">
        <f>IF(Bangla!D56="","",Bangla!D56)</f>
        <v>16</v>
      </c>
      <c r="F56" s="135">
        <f>IF(English!C56="","",English!C56)</f>
        <v>19</v>
      </c>
      <c r="G56" s="125">
        <f>IF(ICT!B56="","",ICT!B56)</f>
        <v>9</v>
      </c>
      <c r="H56" s="125">
        <f>IF(ICT!C56="","",ICT!C56)</f>
        <v>0</v>
      </c>
      <c r="I56" s="125">
        <f>IF(ICT!D56="","",ICT!D56)</f>
        <v>8</v>
      </c>
      <c r="J56" s="137">
        <f>IF(ICT!E56="","",ICT!E56)</f>
        <v>17</v>
      </c>
      <c r="K56" s="125">
        <f>IF(Physics!B56="","",Physics!B56)</f>
        <v>6</v>
      </c>
      <c r="L56" s="125">
        <f>IF(Physics!C56="","",Physics!C56)</f>
        <v>0</v>
      </c>
      <c r="M56" s="125">
        <f>IF(Physics!D56="","",Physics!D56)</f>
        <v>8</v>
      </c>
      <c r="N56" s="137">
        <f>IF(Physics!E56="","",Physics!E56)</f>
        <v>14</v>
      </c>
      <c r="O56" s="125">
        <f>IF(Chemistry!B56="","",Chemistry!B56)</f>
        <v>7</v>
      </c>
      <c r="P56" s="125">
        <f>IF(Chemistry!C56="","",Chemistry!C56)</f>
        <v>1</v>
      </c>
      <c r="Q56" s="125">
        <f>IF(Chemistry!D56="","",Chemistry!D56)</f>
        <v>8</v>
      </c>
      <c r="R56" s="137">
        <f>IF(Chemistry!E56="","",Chemistry!E56)</f>
        <v>16</v>
      </c>
      <c r="S56" s="125">
        <f>IF(SubjectList!G56="Math", IF(Math!B56="","",Math!B56), IF(Biology!B56="","",Biology!B56))</f>
        <v>7</v>
      </c>
      <c r="T56" s="125">
        <f>IF(SubjectList!G56="Math", IF(Math!C56="","",Math!C56), IF(Biology!C56="","",Biology!C56))</f>
        <v>3</v>
      </c>
      <c r="U56" s="125">
        <f>IF(SubjectList!G56="Math", IF(Math!D56="","",Math!D56), IF(Biology!D56="","",Biology!D56))</f>
        <v>8</v>
      </c>
      <c r="V56" s="137">
        <f>IF(SubjectList!G56="Math", IF(Math!E56="","",Math!E56), IF(Biology!E56="","",Biology!E56))</f>
        <v>18</v>
      </c>
      <c r="W56" s="125">
        <f>IF(SubjectList!I56="Biology", IF(Biology!B56="","",Biology!B56), IF(Math!B56="","",Math!B56))</f>
        <v>4</v>
      </c>
      <c r="X56" s="125">
        <f>Optional!D56</f>
        <v>0</v>
      </c>
      <c r="Y56" s="125">
        <f>Optional!E56</f>
        <v>8</v>
      </c>
      <c r="Z56" s="137">
        <f>Optional!F56</f>
        <v>12</v>
      </c>
      <c r="AA56" s="127" t="str">
        <f>IF(SubjectList!G56="","", SubjectList!G56)</f>
        <v>Biology</v>
      </c>
      <c r="AB56" s="127" t="str">
        <f>IF(SubjectList!I56="","", SubjectList!I56)</f>
        <v>Math</v>
      </c>
      <c r="AC56" s="125" t="str">
        <f>Bangla!F56</f>
        <v>F</v>
      </c>
      <c r="AD56" s="125" t="str">
        <f>English!E56</f>
        <v>F</v>
      </c>
      <c r="AE56" s="125" t="str">
        <f>ICT!G56</f>
        <v>F</v>
      </c>
      <c r="AF56" s="125" t="str">
        <f>Physics!G56</f>
        <v>F</v>
      </c>
      <c r="AG56" s="125" t="str">
        <f>Chemistry!G56</f>
        <v>F</v>
      </c>
      <c r="AH56" s="125" t="str">
        <f>IF(SubjectList!G56="Math", IF(Math!G56="","",Math!G56), IF(Biology!G56="","",Biology!G56))</f>
        <v>F</v>
      </c>
      <c r="AI56" s="125" t="str">
        <f>IF(SubjectList!H56="Math", IF(Math!G56="","",Math!G56), IF(Biology!G56="","",Biology!G56))</f>
        <v>F</v>
      </c>
      <c r="AJ56" s="140">
        <f>Bangla!G56</f>
        <v>0</v>
      </c>
      <c r="AK56" s="140">
        <f>English!F56</f>
        <v>0</v>
      </c>
      <c r="AL56" s="140">
        <f>ICT!H56</f>
        <v>0</v>
      </c>
      <c r="AM56" s="140">
        <f>Physics!H56</f>
        <v>0</v>
      </c>
      <c r="AN56" s="140">
        <f>Chemistry!H56</f>
        <v>0</v>
      </c>
      <c r="AO56" s="140">
        <f>IF(SubjectList!G56="Math", IF(Math!H56="","",Math!H56), IF(Biology!H56="","",Biology!H56))</f>
        <v>0</v>
      </c>
      <c r="AP56" s="140">
        <f>IF(SubjectList!I56="Math", IF(Math!H56="","",Math!H56), IF(Biology!H56="","",Biology!H56))</f>
        <v>0</v>
      </c>
      <c r="AQ56" s="140">
        <f>Optional!I56</f>
        <v>0</v>
      </c>
      <c r="AR56" s="140">
        <f>Optional!J56</f>
        <v>0</v>
      </c>
      <c r="AS56" s="140" t="str">
        <f t="shared" si="0"/>
        <v/>
      </c>
      <c r="AT56" s="140" t="str">
        <f t="shared" si="8"/>
        <v/>
      </c>
      <c r="AU56" s="128" t="str">
        <f t="shared" si="1"/>
        <v/>
      </c>
      <c r="AV56" s="128" t="str">
        <f t="shared" si="2"/>
        <v/>
      </c>
      <c r="AW56" s="128">
        <f t="shared" si="11"/>
        <v>112</v>
      </c>
      <c r="AX56" s="129">
        <f t="shared" si="9"/>
        <v>0</v>
      </c>
      <c r="AY56" s="129">
        <f t="shared" si="9"/>
        <v>0</v>
      </c>
      <c r="AZ56" s="129">
        <f t="shared" si="9"/>
        <v>0</v>
      </c>
      <c r="BA56" s="129">
        <f t="shared" si="9"/>
        <v>0</v>
      </c>
      <c r="BB56" s="129">
        <f t="shared" si="9"/>
        <v>0</v>
      </c>
      <c r="BC56" s="129">
        <f t="shared" si="9"/>
        <v>0</v>
      </c>
      <c r="BD56" s="125">
        <f t="shared" si="10"/>
        <v>0</v>
      </c>
      <c r="BE56" s="125" t="str">
        <f t="shared" si="6"/>
        <v>F6</v>
      </c>
      <c r="BF56" s="125" t="str">
        <f>IF(AV56="","",RANK(AV56,AV$2:AV88,0))</f>
        <v/>
      </c>
      <c r="BG56" s="125" t="str">
        <f t="shared" si="7"/>
        <v/>
      </c>
    </row>
    <row r="57" spans="1:59" x14ac:dyDescent="0.35">
      <c r="A57" s="125">
        <f>'Student Basic Info'!A57</f>
        <v>756</v>
      </c>
      <c r="B57" s="125" t="str">
        <f>'Student Basic Info'!C57</f>
        <v>Fahmida Tabassum</v>
      </c>
      <c r="C57" s="126" t="str">
        <f>IF(Bangla!B57="","",Bangla!B57)</f>
        <v/>
      </c>
      <c r="D57" s="126">
        <f>IF(Bangla!C57="","",Bangla!C57)</f>
        <v>50</v>
      </c>
      <c r="E57" s="135">
        <f>IF(Bangla!D57="","",Bangla!D57)</f>
        <v>50</v>
      </c>
      <c r="F57" s="135">
        <f>IF(English!C57="","",English!C57)</f>
        <v>33</v>
      </c>
      <c r="G57" s="125">
        <f>IF(ICT!B57="","",ICT!B57)</f>
        <v>9</v>
      </c>
      <c r="H57" s="125">
        <f>IF(ICT!C57="","",ICT!C57)</f>
        <v>9</v>
      </c>
      <c r="I57" s="125">
        <f>IF(ICT!D57="","",ICT!D57)</f>
        <v>25</v>
      </c>
      <c r="J57" s="137">
        <f>IF(ICT!E57="","",ICT!E57)</f>
        <v>43</v>
      </c>
      <c r="K57" s="125">
        <f>IF(Physics!B57="","",Physics!B57)</f>
        <v>8</v>
      </c>
      <c r="L57" s="125">
        <f>IF(Physics!C57="","",Physics!C57)</f>
        <v>29</v>
      </c>
      <c r="M57" s="125">
        <f>IF(Physics!D57="","",Physics!D57)</f>
        <v>16</v>
      </c>
      <c r="N57" s="137">
        <f>IF(Physics!E57="","",Physics!E57)</f>
        <v>53</v>
      </c>
      <c r="O57" s="125">
        <f>IF(Chemistry!B57="","",Chemistry!B57)</f>
        <v>16</v>
      </c>
      <c r="P57" s="125">
        <f>IF(Chemistry!C57="","",Chemistry!C57)</f>
        <v>11</v>
      </c>
      <c r="Q57" s="125">
        <f>IF(Chemistry!D57="","",Chemistry!D57)</f>
        <v>10</v>
      </c>
      <c r="R57" s="137">
        <f>IF(Chemistry!E57="","",Chemistry!E57)</f>
        <v>37</v>
      </c>
      <c r="S57" s="125">
        <f>IF(SubjectList!G57="Math", IF(Math!B57="","",Math!B57), IF(Biology!B57="","",Biology!B57))</f>
        <v>7</v>
      </c>
      <c r="T57" s="125">
        <f>IF(SubjectList!G57="Math", IF(Math!C57="","",Math!C57), IF(Biology!C57="","",Biology!C57))</f>
        <v>3</v>
      </c>
      <c r="U57" s="125">
        <f>IF(SubjectList!G57="Math", IF(Math!D57="","",Math!D57), IF(Biology!D57="","",Biology!D57))</f>
        <v>8</v>
      </c>
      <c r="V57" s="137">
        <f>IF(SubjectList!G57="Math", IF(Math!E57="","",Math!E57), IF(Biology!E57="","",Biology!E57))</f>
        <v>18</v>
      </c>
      <c r="W57" s="125">
        <f>IF(SubjectList!I57="Biology", IF(Biology!B57="","",Biology!B57), IF(Math!B57="","",Math!B57))</f>
        <v>11</v>
      </c>
      <c r="X57" s="125">
        <f>Optional!D57</f>
        <v>1</v>
      </c>
      <c r="Y57" s="125">
        <f>Optional!E57</f>
        <v>9</v>
      </c>
      <c r="Z57" s="137">
        <f>Optional!F57</f>
        <v>21</v>
      </c>
      <c r="AA57" s="127" t="str">
        <f>IF(SubjectList!G57="","", SubjectList!G57)</f>
        <v>Biology</v>
      </c>
      <c r="AB57" s="127" t="str">
        <f>IF(SubjectList!I57="","", SubjectList!I57)</f>
        <v>Math</v>
      </c>
      <c r="AC57" s="125" t="str">
        <f>Bangla!F57</f>
        <v>B</v>
      </c>
      <c r="AD57" s="125" t="str">
        <f>English!E57</f>
        <v>D</v>
      </c>
      <c r="AE57" s="125" t="str">
        <f>ICT!G57</f>
        <v>F</v>
      </c>
      <c r="AF57" s="125" t="str">
        <f>Physics!G57</f>
        <v>B</v>
      </c>
      <c r="AG57" s="125" t="str">
        <f>Chemistry!G57</f>
        <v>F</v>
      </c>
      <c r="AH57" s="125" t="str">
        <f>IF(SubjectList!G57="Math", IF(Math!G57="","",Math!G57), IF(Biology!G57="","",Biology!G57))</f>
        <v>F</v>
      </c>
      <c r="AI57" s="125" t="str">
        <f>IF(SubjectList!H57="Math", IF(Math!G57="","",Math!G57), IF(Biology!G57="","",Biology!G57))</f>
        <v>F</v>
      </c>
      <c r="AJ57" s="140">
        <f>Bangla!G57</f>
        <v>3</v>
      </c>
      <c r="AK57" s="140">
        <f>English!F57</f>
        <v>1</v>
      </c>
      <c r="AL57" s="140">
        <f>ICT!H57</f>
        <v>0</v>
      </c>
      <c r="AM57" s="140">
        <f>Physics!H57</f>
        <v>3</v>
      </c>
      <c r="AN57" s="140">
        <f>Chemistry!H57</f>
        <v>0</v>
      </c>
      <c r="AO57" s="140">
        <f>IF(SubjectList!G57="Math", IF(Math!H57="","",Math!H57), IF(Biology!H57="","",Biology!H57))</f>
        <v>0</v>
      </c>
      <c r="AP57" s="140">
        <f>IF(SubjectList!I57="Math", IF(Math!H57="","",Math!H57), IF(Biology!H57="","",Biology!H57))</f>
        <v>0</v>
      </c>
      <c r="AQ57" s="140">
        <f>Optional!I57</f>
        <v>0</v>
      </c>
      <c r="AR57" s="140">
        <f>Optional!J57</f>
        <v>0</v>
      </c>
      <c r="AS57" s="140">
        <f t="shared" si="0"/>
        <v>7</v>
      </c>
      <c r="AT57" s="140">
        <f t="shared" si="8"/>
        <v>7</v>
      </c>
      <c r="AU57" s="128" t="str">
        <f t="shared" si="1"/>
        <v/>
      </c>
      <c r="AV57" s="128" t="str">
        <f t="shared" si="2"/>
        <v/>
      </c>
      <c r="AW57" s="128">
        <f t="shared" si="11"/>
        <v>255</v>
      </c>
      <c r="AX57" s="129">
        <f t="shared" si="9"/>
        <v>1</v>
      </c>
      <c r="AY57" s="129">
        <f t="shared" si="9"/>
        <v>1</v>
      </c>
      <c r="AZ57" s="129">
        <f t="shared" si="9"/>
        <v>0</v>
      </c>
      <c r="BA57" s="129">
        <f t="shared" si="9"/>
        <v>1</v>
      </c>
      <c r="BB57" s="129">
        <f t="shared" si="9"/>
        <v>0</v>
      </c>
      <c r="BC57" s="129">
        <f t="shared" si="9"/>
        <v>0</v>
      </c>
      <c r="BD57" s="125">
        <f t="shared" si="10"/>
        <v>3</v>
      </c>
      <c r="BE57" s="125" t="str">
        <f t="shared" si="6"/>
        <v>F3</v>
      </c>
      <c r="BF57" s="125" t="str">
        <f>IF(AV57="","",RANK(AV57,AV$2:AV88,0))</f>
        <v/>
      </c>
      <c r="BG57" s="125" t="str">
        <f t="shared" si="7"/>
        <v/>
      </c>
    </row>
    <row r="58" spans="1:59" x14ac:dyDescent="0.35">
      <c r="A58" s="125">
        <f>'Student Basic Info'!A58</f>
        <v>757</v>
      </c>
      <c r="B58" s="125" t="str">
        <f>'Student Basic Info'!C58</f>
        <v>Meheraj Uddin</v>
      </c>
      <c r="C58" s="126" t="str">
        <f>IF(Bangla!B58="","",Bangla!B58)</f>
        <v/>
      </c>
      <c r="D58" s="126">
        <f>IF(Bangla!C58="","",Bangla!C58)</f>
        <v>17</v>
      </c>
      <c r="E58" s="135">
        <f>IF(Bangla!D58="","",Bangla!D58)</f>
        <v>17</v>
      </c>
      <c r="F58" s="135">
        <f>IF(English!C58="","",English!C58)</f>
        <v>11</v>
      </c>
      <c r="G58" s="125">
        <f>IF(ICT!B58="","",ICT!B58)</f>
        <v>8</v>
      </c>
      <c r="H58" s="125">
        <f>IF(ICT!C58="","",ICT!C58)</f>
        <v>1</v>
      </c>
      <c r="I58" s="125">
        <f>IF(ICT!D58="","",ICT!D58)</f>
        <v>8</v>
      </c>
      <c r="J58" s="137">
        <f>IF(ICT!E58="","",ICT!E58)</f>
        <v>17</v>
      </c>
      <c r="K58" s="125">
        <f>IF(Physics!B58="","",Physics!B58)</f>
        <v>5</v>
      </c>
      <c r="L58" s="125">
        <f>IF(Physics!C58="","",Physics!C58)</f>
        <v>3</v>
      </c>
      <c r="M58" s="125">
        <f>IF(Physics!D58="","",Physics!D58)</f>
        <v>8</v>
      </c>
      <c r="N58" s="137">
        <f>IF(Physics!E58="","",Physics!E58)</f>
        <v>16</v>
      </c>
      <c r="O58" s="125">
        <f>IF(Chemistry!B58="","",Chemistry!B58)</f>
        <v>16</v>
      </c>
      <c r="P58" s="125">
        <f>IF(Chemistry!C58="","",Chemistry!C58)</f>
        <v>6</v>
      </c>
      <c r="Q58" s="125">
        <f>IF(Chemistry!D58="","",Chemistry!D58)</f>
        <v>10</v>
      </c>
      <c r="R58" s="137">
        <f>IF(Chemistry!E58="","",Chemistry!E58)</f>
        <v>32</v>
      </c>
      <c r="S58" s="125">
        <f>IF(SubjectList!G58="Math", IF(Math!B58="","",Math!B58), IF(Biology!B58="","",Biology!B58))</f>
        <v>14</v>
      </c>
      <c r="T58" s="125">
        <f>IF(SubjectList!G58="Math", IF(Math!C58="","",Math!C58), IF(Biology!C58="","",Biology!C58))</f>
        <v>1</v>
      </c>
      <c r="U58" s="125">
        <f>IF(SubjectList!G58="Math", IF(Math!D58="","",Math!D58), IF(Biology!D58="","",Biology!D58))</f>
        <v>9</v>
      </c>
      <c r="V58" s="137">
        <f>IF(SubjectList!G58="Math", IF(Math!E58="","",Math!E58), IF(Biology!E58="","",Biology!E58))</f>
        <v>24</v>
      </c>
      <c r="W58" s="125">
        <f>IF(SubjectList!I58="Biology", IF(Biology!B58="","",Biology!B58), IF(Math!B58="","",Math!B58))</f>
        <v>15</v>
      </c>
      <c r="X58" s="125">
        <f>Optional!D58</f>
        <v>1</v>
      </c>
      <c r="Y58" s="125">
        <f>Optional!E58</f>
        <v>10</v>
      </c>
      <c r="Z58" s="137">
        <f>Optional!F58</f>
        <v>26</v>
      </c>
      <c r="AA58" s="127" t="str">
        <f>IF(SubjectList!G58="","", SubjectList!G58)</f>
        <v>Biology</v>
      </c>
      <c r="AB58" s="127" t="str">
        <f>IF(SubjectList!I58="","", SubjectList!I58)</f>
        <v>Math</v>
      </c>
      <c r="AC58" s="125" t="str">
        <f>Bangla!F58</f>
        <v>F</v>
      </c>
      <c r="AD58" s="125" t="str">
        <f>English!E58</f>
        <v>F</v>
      </c>
      <c r="AE58" s="125" t="str">
        <f>ICT!G58</f>
        <v>F</v>
      </c>
      <c r="AF58" s="125" t="str">
        <f>Physics!G58</f>
        <v>F</v>
      </c>
      <c r="AG58" s="125" t="str">
        <f>Chemistry!G58</f>
        <v>F</v>
      </c>
      <c r="AH58" s="125" t="str">
        <f>IF(SubjectList!G58="Math", IF(Math!G58="","",Math!G58), IF(Biology!G58="","",Biology!G58))</f>
        <v>F</v>
      </c>
      <c r="AI58" s="125" t="str">
        <f>IF(SubjectList!H58="Math", IF(Math!G58="","",Math!G58), IF(Biology!G58="","",Biology!G58))</f>
        <v>F</v>
      </c>
      <c r="AJ58" s="140">
        <f>Bangla!G58</f>
        <v>0</v>
      </c>
      <c r="AK58" s="140">
        <f>English!F58</f>
        <v>0</v>
      </c>
      <c r="AL58" s="140">
        <f>ICT!H58</f>
        <v>0</v>
      </c>
      <c r="AM58" s="140">
        <f>Physics!H58</f>
        <v>0</v>
      </c>
      <c r="AN58" s="140">
        <f>Chemistry!H58</f>
        <v>0</v>
      </c>
      <c r="AO58" s="140">
        <f>IF(SubjectList!G58="Math", IF(Math!H58="","",Math!H58), IF(Biology!H58="","",Biology!H58))</f>
        <v>0</v>
      </c>
      <c r="AP58" s="140">
        <f>IF(SubjectList!I58="Math", IF(Math!H58="","",Math!H58), IF(Biology!H58="","",Biology!H58))</f>
        <v>0</v>
      </c>
      <c r="AQ58" s="140">
        <f>Optional!I58</f>
        <v>0</v>
      </c>
      <c r="AR58" s="140">
        <f>Optional!J58</f>
        <v>0</v>
      </c>
      <c r="AS58" s="140" t="str">
        <f t="shared" si="0"/>
        <v/>
      </c>
      <c r="AT58" s="140" t="str">
        <f t="shared" si="8"/>
        <v/>
      </c>
      <c r="AU58" s="128" t="str">
        <f t="shared" si="1"/>
        <v/>
      </c>
      <c r="AV58" s="128" t="str">
        <f t="shared" si="2"/>
        <v/>
      </c>
      <c r="AW58" s="128">
        <f t="shared" si="11"/>
        <v>143</v>
      </c>
      <c r="AX58" s="129">
        <f t="shared" si="9"/>
        <v>0</v>
      </c>
      <c r="AY58" s="129">
        <f t="shared" ref="AY58:BC88" si="12">(IF(AK58="","",IF(AK58=0,0,1)))</f>
        <v>0</v>
      </c>
      <c r="AZ58" s="129">
        <f t="shared" si="12"/>
        <v>0</v>
      </c>
      <c r="BA58" s="129">
        <f t="shared" si="12"/>
        <v>0</v>
      </c>
      <c r="BB58" s="129">
        <f t="shared" si="12"/>
        <v>0</v>
      </c>
      <c r="BC58" s="129">
        <f t="shared" si="12"/>
        <v>0</v>
      </c>
      <c r="BD58" s="125">
        <f t="shared" si="10"/>
        <v>0</v>
      </c>
      <c r="BE58" s="125" t="str">
        <f t="shared" si="6"/>
        <v>F6</v>
      </c>
      <c r="BF58" s="125" t="str">
        <f>IF(AV58="","",RANK(AV58,AV$2:AV88,0))</f>
        <v/>
      </c>
      <c r="BG58" s="125" t="str">
        <f t="shared" si="7"/>
        <v/>
      </c>
    </row>
    <row r="59" spans="1:59" x14ac:dyDescent="0.35">
      <c r="A59" s="125">
        <f>'Student Basic Info'!A59</f>
        <v>758</v>
      </c>
      <c r="B59" s="125" t="str">
        <f>'Student Basic Info'!C59</f>
        <v>Naimur Rahman</v>
      </c>
      <c r="C59" s="126" t="str">
        <f>IF(Bangla!B59="","",Bangla!B59)</f>
        <v/>
      </c>
      <c r="D59" s="126">
        <f>IF(Bangla!C59="","",Bangla!C59)</f>
        <v>33</v>
      </c>
      <c r="E59" s="135">
        <f>IF(Bangla!D59="","",Bangla!D59)</f>
        <v>33</v>
      </c>
      <c r="F59" s="135">
        <f>IF(English!C59="","",English!C59)</f>
        <v>44</v>
      </c>
      <c r="G59" s="125">
        <f>IF(ICT!B59="","",ICT!B59)</f>
        <v>12</v>
      </c>
      <c r="H59" s="125">
        <f>IF(ICT!C59="","",ICT!C59)</f>
        <v>8</v>
      </c>
      <c r="I59" s="125">
        <f>IF(ICT!D59="","",ICT!D59)</f>
        <v>25</v>
      </c>
      <c r="J59" s="137">
        <f>IF(ICT!E59="","",ICT!E59)</f>
        <v>45</v>
      </c>
      <c r="K59" s="125">
        <f>IF(Physics!B59="","",Physics!B59)</f>
        <v>8</v>
      </c>
      <c r="L59" s="125">
        <f>IF(Physics!C59="","",Physics!C59)</f>
        <v>14</v>
      </c>
      <c r="M59" s="125">
        <f>IF(Physics!D59="","",Physics!D59)</f>
        <v>12</v>
      </c>
      <c r="N59" s="137">
        <f>IF(Physics!E59="","",Physics!E59)</f>
        <v>34</v>
      </c>
      <c r="O59" s="125">
        <f>IF(Chemistry!B59="","",Chemistry!B59)</f>
        <v>18</v>
      </c>
      <c r="P59" s="125">
        <f>IF(Chemistry!C59="","",Chemistry!C59)</f>
        <v>12</v>
      </c>
      <c r="Q59" s="125">
        <f>IF(Chemistry!D59="","",Chemistry!D59)</f>
        <v>8</v>
      </c>
      <c r="R59" s="137">
        <f>IF(Chemistry!E59="","",Chemistry!E59)</f>
        <v>38</v>
      </c>
      <c r="S59" s="125">
        <f>IF(SubjectList!G59="Math", IF(Math!B59="","",Math!B59), IF(Biology!B59="","",Biology!B59))</f>
        <v>13</v>
      </c>
      <c r="T59" s="125">
        <f>IF(SubjectList!G59="Math", IF(Math!C59="","",Math!C59), IF(Biology!C59="","",Biology!C59))</f>
        <v>5</v>
      </c>
      <c r="U59" s="125">
        <f>IF(SubjectList!G59="Math", IF(Math!D59="","",Math!D59), IF(Biology!D59="","",Biology!D59))</f>
        <v>9</v>
      </c>
      <c r="V59" s="137">
        <f>IF(SubjectList!G59="Math", IF(Math!E59="","",Math!E59), IF(Biology!E59="","",Biology!E59))</f>
        <v>27</v>
      </c>
      <c r="W59" s="125">
        <f>IF(SubjectList!I59="Biology", IF(Biology!B59="","",Biology!B59), IF(Math!B59="","",Math!B59))</f>
        <v>13</v>
      </c>
      <c r="X59" s="125">
        <f>Optional!D59</f>
        <v>2</v>
      </c>
      <c r="Y59" s="125">
        <f>Optional!E59</f>
        <v>12</v>
      </c>
      <c r="Z59" s="137">
        <f>Optional!F59</f>
        <v>27</v>
      </c>
      <c r="AA59" s="127" t="str">
        <f>IF(SubjectList!G59="","", SubjectList!G59)</f>
        <v>Biology</v>
      </c>
      <c r="AB59" s="127" t="str">
        <f>IF(SubjectList!I59="","", SubjectList!I59)</f>
        <v>Math</v>
      </c>
      <c r="AC59" s="125" t="str">
        <f>Bangla!F59</f>
        <v>D</v>
      </c>
      <c r="AD59" s="125" t="str">
        <f>English!E59</f>
        <v>C</v>
      </c>
      <c r="AE59" s="125" t="str">
        <f>ICT!G59</f>
        <v>F</v>
      </c>
      <c r="AF59" s="125" t="str">
        <f>Physics!G59</f>
        <v>F</v>
      </c>
      <c r="AG59" s="125" t="str">
        <f>Chemistry!G59</f>
        <v>F</v>
      </c>
      <c r="AH59" s="125" t="str">
        <f>IF(SubjectList!G59="Math", IF(Math!G59="","",Math!G59), IF(Biology!G59="","",Biology!G59))</f>
        <v>F</v>
      </c>
      <c r="AI59" s="125" t="str">
        <f>IF(SubjectList!H59="Math", IF(Math!G59="","",Math!G59), IF(Biology!G59="","",Biology!G59))</f>
        <v>F</v>
      </c>
      <c r="AJ59" s="140">
        <f>Bangla!G59</f>
        <v>1</v>
      </c>
      <c r="AK59" s="140">
        <f>English!F59</f>
        <v>2</v>
      </c>
      <c r="AL59" s="140">
        <f>ICT!H59</f>
        <v>0</v>
      </c>
      <c r="AM59" s="140">
        <f>Physics!H59</f>
        <v>0</v>
      </c>
      <c r="AN59" s="140">
        <f>Chemistry!H59</f>
        <v>0</v>
      </c>
      <c r="AO59" s="140">
        <f>IF(SubjectList!G59="Math", IF(Math!H59="","",Math!H59), IF(Biology!H59="","",Biology!H59))</f>
        <v>0</v>
      </c>
      <c r="AP59" s="140">
        <f>IF(SubjectList!I59="Math", IF(Math!H59="","",Math!H59), IF(Biology!H59="","",Biology!H59))</f>
        <v>0</v>
      </c>
      <c r="AQ59" s="140">
        <f>Optional!I59</f>
        <v>0</v>
      </c>
      <c r="AR59" s="140">
        <f>Optional!J59</f>
        <v>0</v>
      </c>
      <c r="AS59" s="140">
        <f t="shared" si="0"/>
        <v>3</v>
      </c>
      <c r="AT59" s="140">
        <f t="shared" si="8"/>
        <v>3</v>
      </c>
      <c r="AU59" s="128" t="str">
        <f t="shared" si="1"/>
        <v/>
      </c>
      <c r="AV59" s="128" t="str">
        <f t="shared" si="2"/>
        <v/>
      </c>
      <c r="AW59" s="128">
        <f t="shared" si="11"/>
        <v>248</v>
      </c>
      <c r="AX59" s="129">
        <f t="shared" ref="AX59:AX88" si="13">(IF(AJ59="","",IF(AJ59=0,0,1)))</f>
        <v>1</v>
      </c>
      <c r="AY59" s="129">
        <f t="shared" si="12"/>
        <v>1</v>
      </c>
      <c r="AZ59" s="129">
        <f t="shared" si="12"/>
        <v>0</v>
      </c>
      <c r="BA59" s="129">
        <f t="shared" si="12"/>
        <v>0</v>
      </c>
      <c r="BB59" s="129">
        <f t="shared" si="12"/>
        <v>0</v>
      </c>
      <c r="BC59" s="129">
        <f t="shared" si="12"/>
        <v>0</v>
      </c>
      <c r="BD59" s="125">
        <f t="shared" si="10"/>
        <v>2</v>
      </c>
      <c r="BE59" s="125" t="str">
        <f t="shared" si="6"/>
        <v>F4</v>
      </c>
      <c r="BF59" s="125" t="str">
        <f>IF(AV59="","",RANK(AV59,AV$2:AV88,0))</f>
        <v/>
      </c>
      <c r="BG59" s="125" t="str">
        <f t="shared" si="7"/>
        <v/>
      </c>
    </row>
    <row r="60" spans="1:59" x14ac:dyDescent="0.35">
      <c r="A60" s="125">
        <f>'Student Basic Info'!A60</f>
        <v>759</v>
      </c>
      <c r="B60" s="125" t="str">
        <f>'Student Basic Info'!C60</f>
        <v>Amzad Hosain</v>
      </c>
      <c r="C60" s="126" t="str">
        <f>IF(Bangla!B60="","",Bangla!B60)</f>
        <v/>
      </c>
      <c r="D60" s="126">
        <f>IF(Bangla!C60="","",Bangla!C60)</f>
        <v>63</v>
      </c>
      <c r="E60" s="135">
        <f>IF(Bangla!D60="","",Bangla!D60)</f>
        <v>63</v>
      </c>
      <c r="F60" s="135">
        <f>IF(English!C60="","",English!C60)</f>
        <v>33</v>
      </c>
      <c r="G60" s="125">
        <f>IF(ICT!B60="","",ICT!B60)</f>
        <v>24</v>
      </c>
      <c r="H60" s="125">
        <f>IF(ICT!C60="","",ICT!C60)</f>
        <v>42</v>
      </c>
      <c r="I60" s="125">
        <f>IF(ICT!D60="","",ICT!D60)</f>
        <v>25</v>
      </c>
      <c r="J60" s="137">
        <f>IF(ICT!E60="","",ICT!E60)</f>
        <v>91</v>
      </c>
      <c r="K60" s="125">
        <f>IF(Physics!B60="","",Physics!B60)</f>
        <v>14</v>
      </c>
      <c r="L60" s="125">
        <f>IF(Physics!C60="","",Physics!C60)</f>
        <v>34</v>
      </c>
      <c r="M60" s="125">
        <f>IF(Physics!D60="","",Physics!D60)</f>
        <v>18</v>
      </c>
      <c r="N60" s="137">
        <f>IF(Physics!E60="","",Physics!E60)</f>
        <v>66</v>
      </c>
      <c r="O60" s="125">
        <f>IF(Chemistry!B60="","",Chemistry!B60)</f>
        <v>18</v>
      </c>
      <c r="P60" s="125">
        <f>IF(Chemistry!C60="","",Chemistry!C60)</f>
        <v>41</v>
      </c>
      <c r="Q60" s="125">
        <f>IF(Chemistry!D60="","",Chemistry!D60)</f>
        <v>25</v>
      </c>
      <c r="R60" s="137">
        <f>IF(Chemistry!E60="","",Chemistry!E60)</f>
        <v>84</v>
      </c>
      <c r="S60" s="125">
        <f>IF(SubjectList!G60="Math", IF(Math!B60="","",Math!B60), IF(Biology!B60="","",Biology!B60))</f>
        <v>14</v>
      </c>
      <c r="T60" s="125">
        <f>IF(SubjectList!G60="Math", IF(Math!C60="","",Math!C60), IF(Biology!C60="","",Biology!C60))</f>
        <v>22</v>
      </c>
      <c r="U60" s="125">
        <f>IF(SubjectList!G60="Math", IF(Math!D60="","",Math!D60), IF(Biology!D60="","",Biology!D60))</f>
        <v>18</v>
      </c>
      <c r="V60" s="137">
        <f>IF(SubjectList!G60="Math", IF(Math!E60="","",Math!E60), IF(Biology!E60="","",Biology!E60))</f>
        <v>54</v>
      </c>
      <c r="W60" s="125">
        <f>IF(SubjectList!I60="Biology", IF(Biology!B60="","",Biology!B60), IF(Math!B60="","",Math!B60))</f>
        <v>19</v>
      </c>
      <c r="X60" s="125">
        <f>Optional!D60</f>
        <v>38</v>
      </c>
      <c r="Y60" s="125">
        <f>Optional!E60</f>
        <v>23</v>
      </c>
      <c r="Z60" s="137">
        <f>Optional!F60</f>
        <v>80</v>
      </c>
      <c r="AA60" s="127" t="str">
        <f>IF(SubjectList!G60="","", SubjectList!G60)</f>
        <v>Biology</v>
      </c>
      <c r="AB60" s="127" t="str">
        <f>IF(SubjectList!I60="","", SubjectList!I60)</f>
        <v>Math</v>
      </c>
      <c r="AC60" s="125" t="str">
        <f>Bangla!F60</f>
        <v>A-</v>
      </c>
      <c r="AD60" s="125" t="str">
        <f>English!E60</f>
        <v>D</v>
      </c>
      <c r="AE60" s="125" t="str">
        <f>ICT!G60</f>
        <v>A+</v>
      </c>
      <c r="AF60" s="125" t="str">
        <f>Physics!G60</f>
        <v>A-</v>
      </c>
      <c r="AG60" s="125" t="str">
        <f>Chemistry!G60</f>
        <v>A+</v>
      </c>
      <c r="AH60" s="125" t="str">
        <f>IF(SubjectList!G60="Math", IF(Math!G60="","",Math!G60), IF(Biology!G60="","",Biology!G60))</f>
        <v>B</v>
      </c>
      <c r="AI60" s="125" t="str">
        <f>IF(SubjectList!H60="Math", IF(Math!G60="","",Math!G60), IF(Biology!G60="","",Biology!G60))</f>
        <v>A+</v>
      </c>
      <c r="AJ60" s="140">
        <f>Bangla!G60</f>
        <v>3.5</v>
      </c>
      <c r="AK60" s="140">
        <f>English!F60</f>
        <v>1</v>
      </c>
      <c r="AL60" s="140">
        <f>ICT!H60</f>
        <v>5</v>
      </c>
      <c r="AM60" s="140">
        <f>Physics!H60</f>
        <v>3.5</v>
      </c>
      <c r="AN60" s="140">
        <f>Chemistry!H60</f>
        <v>5</v>
      </c>
      <c r="AO60" s="140">
        <f>IF(SubjectList!G60="Math", IF(Math!H60="","",Math!H60), IF(Biology!H60="","",Biology!H60))</f>
        <v>3</v>
      </c>
      <c r="AP60" s="140">
        <f>IF(SubjectList!I60="Math", IF(Math!H60="","",Math!H60), IF(Biology!H60="","",Biology!H60))</f>
        <v>5</v>
      </c>
      <c r="AQ60" s="140">
        <f>Optional!I60</f>
        <v>5</v>
      </c>
      <c r="AR60" s="140">
        <f>Optional!J60</f>
        <v>3</v>
      </c>
      <c r="AS60" s="140">
        <f t="shared" si="0"/>
        <v>21</v>
      </c>
      <c r="AT60" s="140">
        <f t="shared" si="8"/>
        <v>24</v>
      </c>
      <c r="AU60" s="128">
        <f t="shared" si="1"/>
        <v>3.5</v>
      </c>
      <c r="AV60" s="128">
        <f t="shared" si="2"/>
        <v>4</v>
      </c>
      <c r="AW60" s="128">
        <f t="shared" si="11"/>
        <v>471</v>
      </c>
      <c r="AX60" s="129">
        <f t="shared" si="13"/>
        <v>1</v>
      </c>
      <c r="AY60" s="129">
        <f t="shared" si="12"/>
        <v>1</v>
      </c>
      <c r="AZ60" s="129">
        <f t="shared" si="12"/>
        <v>1</v>
      </c>
      <c r="BA60" s="129">
        <f t="shared" si="12"/>
        <v>1</v>
      </c>
      <c r="BB60" s="129">
        <f t="shared" si="12"/>
        <v>1</v>
      </c>
      <c r="BC60" s="129">
        <f t="shared" si="12"/>
        <v>1</v>
      </c>
      <c r="BD60" s="125">
        <f t="shared" si="10"/>
        <v>6</v>
      </c>
      <c r="BE60" s="125" t="str">
        <f t="shared" si="6"/>
        <v>Pass</v>
      </c>
      <c r="BF60" s="125">
        <f>IF(AV60="","",RANK(AV60,AV$2:AV88,0))</f>
        <v>2</v>
      </c>
      <c r="BG60" s="125" t="str">
        <f t="shared" si="7"/>
        <v>A</v>
      </c>
    </row>
    <row r="61" spans="1:59" x14ac:dyDescent="0.35">
      <c r="A61" s="125">
        <f>'Student Basic Info'!A61</f>
        <v>760</v>
      </c>
      <c r="B61" s="125" t="str">
        <f>'Student Basic Info'!C61</f>
        <v>Imdadul Haque Zidan</v>
      </c>
      <c r="C61" s="126" t="str">
        <f>IF(Bangla!B61="","",Bangla!B61)</f>
        <v/>
      </c>
      <c r="D61" s="126">
        <f>IF(Bangla!C61="","",Bangla!C61)</f>
        <v>37</v>
      </c>
      <c r="E61" s="135">
        <f>IF(Bangla!D61="","",Bangla!D61)</f>
        <v>37</v>
      </c>
      <c r="F61" s="135">
        <f>IF(English!C61="","",English!C61)</f>
        <v>38</v>
      </c>
      <c r="G61" s="125" t="str">
        <f>IF(ICT!B61="","",ICT!B61)</f>
        <v/>
      </c>
      <c r="H61" s="125" t="str">
        <f>IF(ICT!C61="","",ICT!C61)</f>
        <v/>
      </c>
      <c r="I61" s="125">
        <f>IF(ICT!D61="","",ICT!D61)</f>
        <v>24</v>
      </c>
      <c r="J61" s="137" t="str">
        <f>IF(ICT!E61="","",ICT!E61)</f>
        <v/>
      </c>
      <c r="K61" s="125">
        <f>IF(Physics!B61="","",Physics!B61)</f>
        <v>11</v>
      </c>
      <c r="L61" s="125">
        <f>IF(Physics!C61="","",Physics!C61)</f>
        <v>9</v>
      </c>
      <c r="M61" s="125">
        <f>IF(Physics!D61="","",Physics!D61)</f>
        <v>12</v>
      </c>
      <c r="N61" s="137">
        <f>IF(Physics!E61="","",Physics!E61)</f>
        <v>32</v>
      </c>
      <c r="O61" s="125">
        <f>IF(Chemistry!B61="","",Chemistry!B61)</f>
        <v>16</v>
      </c>
      <c r="P61" s="125">
        <f>IF(Chemistry!C61="","",Chemistry!C61)</f>
        <v>21</v>
      </c>
      <c r="Q61" s="125">
        <f>IF(Chemistry!D61="","",Chemistry!D61)</f>
        <v>15</v>
      </c>
      <c r="R61" s="137">
        <f>IF(Chemistry!E61="","",Chemistry!E61)</f>
        <v>52</v>
      </c>
      <c r="S61" s="125">
        <f>IF(SubjectList!G61="Math", IF(Math!B61="","",Math!B61), IF(Biology!B61="","",Biology!B61))</f>
        <v>15</v>
      </c>
      <c r="T61" s="125">
        <f>IF(SubjectList!G61="Math", IF(Math!C61="","",Math!C61), IF(Biology!C61="","",Biology!C61))</f>
        <v>6</v>
      </c>
      <c r="U61" s="125">
        <f>IF(SubjectList!G61="Math", IF(Math!D61="","",Math!D61), IF(Biology!D61="","",Biology!D61))</f>
        <v>12</v>
      </c>
      <c r="V61" s="137">
        <f>IF(SubjectList!G61="Math", IF(Math!E61="","",Math!E61), IF(Biology!E61="","",Biology!E61))</f>
        <v>33</v>
      </c>
      <c r="W61" s="125">
        <f>IF(SubjectList!I61="Biology", IF(Biology!B61="","",Biology!B61), IF(Math!B61="","",Math!B61))</f>
        <v>14</v>
      </c>
      <c r="X61" s="125">
        <f>Optional!D61</f>
        <v>1</v>
      </c>
      <c r="Y61" s="125">
        <f>Optional!E61</f>
        <v>12</v>
      </c>
      <c r="Z61" s="137">
        <f>Optional!F61</f>
        <v>27</v>
      </c>
      <c r="AA61" s="127" t="str">
        <f>IF(SubjectList!G61="","", SubjectList!G61)</f>
        <v>Biology</v>
      </c>
      <c r="AB61" s="127" t="str">
        <f>IF(SubjectList!I61="","", SubjectList!I61)</f>
        <v>Math</v>
      </c>
      <c r="AC61" s="125" t="str">
        <f>Bangla!F61</f>
        <v>D</v>
      </c>
      <c r="AD61" s="125" t="str">
        <f>English!E61</f>
        <v>D</v>
      </c>
      <c r="AE61" s="125" t="str">
        <f>ICT!G61</f>
        <v/>
      </c>
      <c r="AF61" s="125" t="str">
        <f>Physics!G61</f>
        <v>F</v>
      </c>
      <c r="AG61" s="125" t="str">
        <f>Chemistry!G61</f>
        <v>B</v>
      </c>
      <c r="AH61" s="125" t="str">
        <f>IF(SubjectList!G61="Math", IF(Math!G61="","",Math!G61), IF(Biology!G61="","",Biology!G61))</f>
        <v>F</v>
      </c>
      <c r="AI61" s="125" t="str">
        <f>IF(SubjectList!H61="Math", IF(Math!G61="","",Math!G61), IF(Biology!G61="","",Biology!G61))</f>
        <v>F</v>
      </c>
      <c r="AJ61" s="140">
        <f>Bangla!G61</f>
        <v>1</v>
      </c>
      <c r="AK61" s="140">
        <f>English!F61</f>
        <v>1</v>
      </c>
      <c r="AL61" s="140" t="str">
        <f>ICT!H61</f>
        <v/>
      </c>
      <c r="AM61" s="140">
        <f>Physics!H61</f>
        <v>0</v>
      </c>
      <c r="AN61" s="140">
        <f>Chemistry!H61</f>
        <v>3</v>
      </c>
      <c r="AO61" s="140">
        <f>IF(SubjectList!G61="Math", IF(Math!H61="","",Math!H61), IF(Biology!H61="","",Biology!H61))</f>
        <v>0</v>
      </c>
      <c r="AP61" s="140">
        <f>IF(SubjectList!I61="Math", IF(Math!H61="","",Math!H61), IF(Biology!H61="","",Biology!H61))</f>
        <v>0</v>
      </c>
      <c r="AQ61" s="140">
        <f>Optional!I61</f>
        <v>0</v>
      </c>
      <c r="AR61" s="140">
        <f>Optional!J61</f>
        <v>0</v>
      </c>
      <c r="AS61" s="140">
        <f t="shared" si="0"/>
        <v>5</v>
      </c>
      <c r="AT61" s="140">
        <f t="shared" si="8"/>
        <v>5</v>
      </c>
      <c r="AU61" s="128" t="str">
        <f t="shared" si="1"/>
        <v/>
      </c>
      <c r="AV61" s="128" t="str">
        <f t="shared" si="2"/>
        <v/>
      </c>
      <c r="AW61" s="128">
        <f t="shared" si="11"/>
        <v>219</v>
      </c>
      <c r="AX61" s="129">
        <f t="shared" si="13"/>
        <v>1</v>
      </c>
      <c r="AY61" s="129">
        <f t="shared" si="12"/>
        <v>1</v>
      </c>
      <c r="AZ61" s="129" t="str">
        <f t="shared" si="12"/>
        <v/>
      </c>
      <c r="BA61" s="129">
        <f t="shared" si="12"/>
        <v>0</v>
      </c>
      <c r="BB61" s="129">
        <f t="shared" si="12"/>
        <v>1</v>
      </c>
      <c r="BC61" s="129">
        <f t="shared" si="12"/>
        <v>0</v>
      </c>
      <c r="BD61" s="125">
        <f t="shared" si="10"/>
        <v>3</v>
      </c>
      <c r="BE61" s="125" t="str">
        <f t="shared" si="6"/>
        <v>F3</v>
      </c>
      <c r="BF61" s="125" t="str">
        <f>IF(AV61="","",RANK(AV61,AV$2:AV88,0))</f>
        <v/>
      </c>
      <c r="BG61" s="125" t="str">
        <f t="shared" si="7"/>
        <v/>
      </c>
    </row>
    <row r="62" spans="1:59" x14ac:dyDescent="0.35">
      <c r="A62" s="125">
        <f>'Student Basic Info'!A62</f>
        <v>761</v>
      </c>
      <c r="B62" s="125" t="str">
        <f>'Student Basic Info'!C62</f>
        <v>Nazmul Haque Sayem</v>
      </c>
      <c r="C62" s="126" t="str">
        <f>IF(Bangla!B62="","",Bangla!B62)</f>
        <v/>
      </c>
      <c r="D62" s="126">
        <f>IF(Bangla!C62="","",Bangla!C62)</f>
        <v>33</v>
      </c>
      <c r="E62" s="135">
        <f>IF(Bangla!D62="","",Bangla!D62)</f>
        <v>33</v>
      </c>
      <c r="F62" s="135">
        <f>IF(English!C62="","",English!C62)</f>
        <v>34</v>
      </c>
      <c r="G62" s="125">
        <f>IF(ICT!B62="","",ICT!B62)</f>
        <v>14</v>
      </c>
      <c r="H62" s="125">
        <f>IF(ICT!C62="","",ICT!C62)</f>
        <v>21</v>
      </c>
      <c r="I62" s="125">
        <f>IF(ICT!D62="","",ICT!D62)</f>
        <v>25</v>
      </c>
      <c r="J62" s="137">
        <f>IF(ICT!E62="","",ICT!E62)</f>
        <v>60</v>
      </c>
      <c r="K62" s="125">
        <f>IF(Physics!B62="","",Physics!B62)</f>
        <v>10</v>
      </c>
      <c r="L62" s="125">
        <f>IF(Physics!C62="","",Physics!C62)</f>
        <v>3</v>
      </c>
      <c r="M62" s="125">
        <f>IF(Physics!D62="","",Physics!D62)</f>
        <v>10</v>
      </c>
      <c r="N62" s="137">
        <f>IF(Physics!E62="","",Physics!E62)</f>
        <v>23</v>
      </c>
      <c r="O62" s="125" t="str">
        <f>IF(Chemistry!B62="","",Chemistry!B62)</f>
        <v/>
      </c>
      <c r="P62" s="125" t="str">
        <f>IF(Chemistry!C62="","",Chemistry!C62)</f>
        <v/>
      </c>
      <c r="Q62" s="125" t="str">
        <f>IF(Chemistry!D62="","",Chemistry!D62)</f>
        <v/>
      </c>
      <c r="R62" s="137" t="str">
        <f>IF(Chemistry!E62="","",Chemistry!E62)</f>
        <v/>
      </c>
      <c r="S62" s="125">
        <f>IF(SubjectList!G62="Math", IF(Math!B62="","",Math!B62), IF(Biology!B62="","",Biology!B62))</f>
        <v>10</v>
      </c>
      <c r="T62" s="125">
        <f>IF(SubjectList!G62="Math", IF(Math!C62="","",Math!C62), IF(Biology!C62="","",Biology!C62))</f>
        <v>0</v>
      </c>
      <c r="U62" s="125">
        <f>IF(SubjectList!G62="Math", IF(Math!D62="","",Math!D62), IF(Biology!D62="","",Biology!D62))</f>
        <v>8</v>
      </c>
      <c r="V62" s="137">
        <f>IF(SubjectList!G62="Math", IF(Math!E62="","",Math!E62), IF(Biology!E62="","",Biology!E62))</f>
        <v>18</v>
      </c>
      <c r="W62" s="125">
        <f>IF(SubjectList!I62="Biology", IF(Biology!B62="","",Biology!B62), IF(Math!B62="","",Math!B62))</f>
        <v>14</v>
      </c>
      <c r="X62" s="125">
        <f>Optional!D62</f>
        <v>0</v>
      </c>
      <c r="Y62" s="125">
        <f>Optional!E62</f>
        <v>10</v>
      </c>
      <c r="Z62" s="137">
        <f>Optional!F62</f>
        <v>24</v>
      </c>
      <c r="AA62" s="127" t="str">
        <f>IF(SubjectList!G62="","", SubjectList!G62)</f>
        <v>Biology</v>
      </c>
      <c r="AB62" s="127" t="str">
        <f>IF(SubjectList!I62="","", SubjectList!I62)</f>
        <v>Math</v>
      </c>
      <c r="AC62" s="125" t="str">
        <f>Bangla!F62</f>
        <v>D</v>
      </c>
      <c r="AD62" s="125" t="str">
        <f>English!E62</f>
        <v>D</v>
      </c>
      <c r="AE62" s="125" t="str">
        <f>ICT!G62</f>
        <v>A-</v>
      </c>
      <c r="AF62" s="125" t="str">
        <f>Physics!G62</f>
        <v>F</v>
      </c>
      <c r="AG62" s="125" t="str">
        <f>Chemistry!G62</f>
        <v/>
      </c>
      <c r="AH62" s="125" t="str">
        <f>IF(SubjectList!G62="Math", IF(Math!G62="","",Math!G62), IF(Biology!G62="","",Biology!G62))</f>
        <v>F</v>
      </c>
      <c r="AI62" s="125" t="str">
        <f>IF(SubjectList!H62="Math", IF(Math!G62="","",Math!G62), IF(Biology!G62="","",Biology!G62))</f>
        <v>F</v>
      </c>
      <c r="AJ62" s="140">
        <f>Bangla!G62</f>
        <v>1</v>
      </c>
      <c r="AK62" s="140">
        <f>English!F62</f>
        <v>1</v>
      </c>
      <c r="AL62" s="140">
        <f>ICT!H62</f>
        <v>3.5</v>
      </c>
      <c r="AM62" s="140">
        <f>Physics!H62</f>
        <v>0</v>
      </c>
      <c r="AN62" s="140" t="str">
        <f>Chemistry!H62</f>
        <v/>
      </c>
      <c r="AO62" s="140">
        <f>IF(SubjectList!G62="Math", IF(Math!H62="","",Math!H62), IF(Biology!H62="","",Biology!H62))</f>
        <v>0</v>
      </c>
      <c r="AP62" s="140">
        <f>IF(SubjectList!I62="Math", IF(Math!H62="","",Math!H62), IF(Biology!H62="","",Biology!H62))</f>
        <v>0</v>
      </c>
      <c r="AQ62" s="140">
        <f>Optional!I62</f>
        <v>0</v>
      </c>
      <c r="AR62" s="140">
        <f>Optional!J62</f>
        <v>0</v>
      </c>
      <c r="AS62" s="140">
        <f t="shared" si="0"/>
        <v>5.5</v>
      </c>
      <c r="AT62" s="140">
        <f t="shared" si="8"/>
        <v>5.5</v>
      </c>
      <c r="AU62" s="128" t="str">
        <f t="shared" si="1"/>
        <v/>
      </c>
      <c r="AV62" s="128" t="str">
        <f t="shared" si="2"/>
        <v/>
      </c>
      <c r="AW62" s="128">
        <f t="shared" si="11"/>
        <v>192</v>
      </c>
      <c r="AX62" s="129">
        <f t="shared" si="13"/>
        <v>1</v>
      </c>
      <c r="AY62" s="129">
        <f t="shared" si="12"/>
        <v>1</v>
      </c>
      <c r="AZ62" s="129">
        <f t="shared" si="12"/>
        <v>1</v>
      </c>
      <c r="BA62" s="129">
        <f t="shared" si="12"/>
        <v>0</v>
      </c>
      <c r="BB62" s="129" t="str">
        <f t="shared" si="12"/>
        <v/>
      </c>
      <c r="BC62" s="129">
        <f t="shared" si="12"/>
        <v>0</v>
      </c>
      <c r="BD62" s="125">
        <f t="shared" si="10"/>
        <v>3</v>
      </c>
      <c r="BE62" s="125" t="str">
        <f t="shared" si="6"/>
        <v>F3</v>
      </c>
      <c r="BF62" s="125" t="str">
        <f>IF(AV62="","",RANK(AV62,AV$2:AV88,0))</f>
        <v/>
      </c>
      <c r="BG62" s="125" t="str">
        <f t="shared" si="7"/>
        <v/>
      </c>
    </row>
    <row r="63" spans="1:59" x14ac:dyDescent="0.35">
      <c r="A63" s="125">
        <f>'Student Basic Info'!A63</f>
        <v>762</v>
      </c>
      <c r="B63" s="125" t="str">
        <f>'Student Basic Info'!C63</f>
        <v>Sadbin Hasan Shourov</v>
      </c>
      <c r="C63" s="126" t="str">
        <f>IF(Bangla!B63="","",Bangla!B63)</f>
        <v/>
      </c>
      <c r="D63" s="126">
        <f>IF(Bangla!C63="","",Bangla!C63)</f>
        <v>35</v>
      </c>
      <c r="E63" s="135">
        <f>IF(Bangla!D63="","",Bangla!D63)</f>
        <v>35</v>
      </c>
      <c r="F63" s="135">
        <f>IF(English!C63="","",English!C63)</f>
        <v>48</v>
      </c>
      <c r="G63" s="125">
        <f>IF(ICT!B63="","",ICT!B63)</f>
        <v>11</v>
      </c>
      <c r="H63" s="125">
        <f>IF(ICT!C63="","",ICT!C63)</f>
        <v>27</v>
      </c>
      <c r="I63" s="125">
        <f>IF(ICT!D63="","",ICT!D63)</f>
        <v>25</v>
      </c>
      <c r="J63" s="137">
        <f>IF(ICT!E63="","",ICT!E63)</f>
        <v>63</v>
      </c>
      <c r="K63" s="125">
        <f>IF(Physics!B63="","",Physics!B63)</f>
        <v>10</v>
      </c>
      <c r="L63" s="125">
        <f>IF(Physics!C63="","",Physics!C63)</f>
        <v>5</v>
      </c>
      <c r="M63" s="125">
        <f>IF(Physics!D63="","",Physics!D63)</f>
        <v>11</v>
      </c>
      <c r="N63" s="137">
        <f>IF(Physics!E63="","",Physics!E63)</f>
        <v>26</v>
      </c>
      <c r="O63" s="125">
        <f>IF(Chemistry!B63="","",Chemistry!B63)</f>
        <v>12</v>
      </c>
      <c r="P63" s="125">
        <f>IF(Chemistry!C63="","",Chemistry!C63)</f>
        <v>21</v>
      </c>
      <c r="Q63" s="125">
        <f>IF(Chemistry!D63="","",Chemistry!D63)</f>
        <v>15</v>
      </c>
      <c r="R63" s="137">
        <f>IF(Chemistry!E63="","",Chemistry!E63)</f>
        <v>48</v>
      </c>
      <c r="S63" s="125">
        <f>IF(SubjectList!G63="Math", IF(Math!B63="","",Math!B63), IF(Biology!B63="","",Biology!B63))</f>
        <v>10</v>
      </c>
      <c r="T63" s="125">
        <f>IF(SubjectList!G63="Math", IF(Math!C63="","",Math!C63), IF(Biology!C63="","",Biology!C63))</f>
        <v>0</v>
      </c>
      <c r="U63" s="125">
        <f>IF(SubjectList!G63="Math", IF(Math!D63="","",Math!D63), IF(Biology!D63="","",Biology!D63))</f>
        <v>8</v>
      </c>
      <c r="V63" s="137">
        <f>IF(SubjectList!G63="Math", IF(Math!E63="","",Math!E63), IF(Biology!E63="","",Biology!E63))</f>
        <v>18</v>
      </c>
      <c r="W63" s="125">
        <f>IF(SubjectList!I63="Biology", IF(Biology!B63="","",Biology!B63), IF(Math!B63="","",Math!B63))</f>
        <v>5</v>
      </c>
      <c r="X63" s="125">
        <f>Optional!D63</f>
        <v>0</v>
      </c>
      <c r="Y63" s="125">
        <f>Optional!E63</f>
        <v>8</v>
      </c>
      <c r="Z63" s="137">
        <f>Optional!F63</f>
        <v>13</v>
      </c>
      <c r="AA63" s="127" t="str">
        <f>IF(SubjectList!G63="","", SubjectList!G63)</f>
        <v>Biology</v>
      </c>
      <c r="AB63" s="127" t="str">
        <f>IF(SubjectList!I63="","", SubjectList!I63)</f>
        <v>Math</v>
      </c>
      <c r="AC63" s="125" t="str">
        <f>Bangla!F63</f>
        <v>D</v>
      </c>
      <c r="AD63" s="125" t="str">
        <f>English!E63</f>
        <v>C</v>
      </c>
      <c r="AE63" s="125" t="str">
        <f>ICT!G63</f>
        <v>A-</v>
      </c>
      <c r="AF63" s="125" t="str">
        <f>Physics!G63</f>
        <v>F</v>
      </c>
      <c r="AG63" s="125" t="str">
        <f>Chemistry!G63</f>
        <v>C</v>
      </c>
      <c r="AH63" s="125" t="str">
        <f>IF(SubjectList!G63="Math", IF(Math!G63="","",Math!G63), IF(Biology!G63="","",Biology!G63))</f>
        <v>F</v>
      </c>
      <c r="AI63" s="125" t="str">
        <f>IF(SubjectList!H63="Math", IF(Math!G63="","",Math!G63), IF(Biology!G63="","",Biology!G63))</f>
        <v>F</v>
      </c>
      <c r="AJ63" s="140">
        <f>Bangla!G63</f>
        <v>1</v>
      </c>
      <c r="AK63" s="140">
        <f>English!F63</f>
        <v>2</v>
      </c>
      <c r="AL63" s="140">
        <f>ICT!H63</f>
        <v>3.5</v>
      </c>
      <c r="AM63" s="140">
        <f>Physics!H63</f>
        <v>0</v>
      </c>
      <c r="AN63" s="140">
        <f>Chemistry!H63</f>
        <v>2</v>
      </c>
      <c r="AO63" s="140">
        <f>IF(SubjectList!G63="Math", IF(Math!H63="","",Math!H63), IF(Biology!H63="","",Biology!H63))</f>
        <v>0</v>
      </c>
      <c r="AP63" s="140">
        <f>IF(SubjectList!I63="Math", IF(Math!H63="","",Math!H63), IF(Biology!H63="","",Biology!H63))</f>
        <v>0</v>
      </c>
      <c r="AQ63" s="140">
        <f>Optional!I63</f>
        <v>0</v>
      </c>
      <c r="AR63" s="140">
        <f>Optional!J63</f>
        <v>0</v>
      </c>
      <c r="AS63" s="140">
        <f t="shared" si="0"/>
        <v>8.5</v>
      </c>
      <c r="AT63" s="140">
        <f t="shared" si="8"/>
        <v>8.5</v>
      </c>
      <c r="AU63" s="128" t="str">
        <f t="shared" si="1"/>
        <v/>
      </c>
      <c r="AV63" s="128" t="str">
        <f t="shared" si="2"/>
        <v/>
      </c>
      <c r="AW63" s="128">
        <f t="shared" si="11"/>
        <v>251</v>
      </c>
      <c r="AX63" s="129">
        <f t="shared" si="13"/>
        <v>1</v>
      </c>
      <c r="AY63" s="129">
        <f t="shared" si="12"/>
        <v>1</v>
      </c>
      <c r="AZ63" s="129">
        <f t="shared" si="12"/>
        <v>1</v>
      </c>
      <c r="BA63" s="129">
        <f t="shared" si="12"/>
        <v>0</v>
      </c>
      <c r="BB63" s="129">
        <f t="shared" si="12"/>
        <v>1</v>
      </c>
      <c r="BC63" s="129">
        <f t="shared" si="12"/>
        <v>0</v>
      </c>
      <c r="BD63" s="125">
        <f t="shared" si="10"/>
        <v>4</v>
      </c>
      <c r="BE63" s="125" t="str">
        <f t="shared" si="6"/>
        <v>F2</v>
      </c>
      <c r="BF63" s="125" t="str">
        <f>IF(AV63="","",RANK(AV63,AV$2:AV88,0))</f>
        <v/>
      </c>
      <c r="BG63" s="125" t="str">
        <f t="shared" si="7"/>
        <v/>
      </c>
    </row>
    <row r="64" spans="1:59" x14ac:dyDescent="0.35">
      <c r="A64" s="125">
        <f>'Student Basic Info'!A64</f>
        <v>763</v>
      </c>
      <c r="B64" s="125" t="str">
        <f>'Student Basic Info'!C64</f>
        <v>Sujayet Hosain</v>
      </c>
      <c r="C64" s="126" t="str">
        <f>IF(Bangla!B64="","",Bangla!B64)</f>
        <v/>
      </c>
      <c r="D64" s="126">
        <f>IF(Bangla!C64="","",Bangla!C64)</f>
        <v>50</v>
      </c>
      <c r="E64" s="135">
        <f>IF(Bangla!D64="","",Bangla!D64)</f>
        <v>50</v>
      </c>
      <c r="F64" s="135">
        <f>IF(English!C64="","",English!C64)</f>
        <v>36</v>
      </c>
      <c r="G64" s="125">
        <f>IF(ICT!B64="","",ICT!B64)</f>
        <v>10</v>
      </c>
      <c r="H64" s="125">
        <f>IF(ICT!C64="","",ICT!C64)</f>
        <v>2</v>
      </c>
      <c r="I64" s="125">
        <f>IF(ICT!D64="","",ICT!D64)</f>
        <v>20</v>
      </c>
      <c r="J64" s="137">
        <f>IF(ICT!E64="","",ICT!E64)</f>
        <v>32</v>
      </c>
      <c r="K64" s="125">
        <f>IF(Physics!B64="","",Physics!B64)</f>
        <v>13</v>
      </c>
      <c r="L64" s="125">
        <f>IF(Physics!C64="","",Physics!C64)</f>
        <v>5</v>
      </c>
      <c r="M64" s="125">
        <f>IF(Physics!D64="","",Physics!D64)</f>
        <v>12</v>
      </c>
      <c r="N64" s="137">
        <f>IF(Physics!E64="","",Physics!E64)</f>
        <v>30</v>
      </c>
      <c r="O64" s="125">
        <f>IF(Chemistry!B64="","",Chemistry!B64)</f>
        <v>17</v>
      </c>
      <c r="P64" s="125">
        <f>IF(Chemistry!C64="","",Chemistry!C64)</f>
        <v>20</v>
      </c>
      <c r="Q64" s="125">
        <f>IF(Chemistry!D64="","",Chemistry!D64)</f>
        <v>15</v>
      </c>
      <c r="R64" s="137">
        <f>IF(Chemistry!E64="","",Chemistry!E64)</f>
        <v>52</v>
      </c>
      <c r="S64" s="125">
        <f>IF(SubjectList!G64="Math", IF(Math!B64="","",Math!B64), IF(Biology!B64="","",Biology!B64))</f>
        <v>15</v>
      </c>
      <c r="T64" s="125">
        <f>IF(SubjectList!G64="Math", IF(Math!C64="","",Math!C64), IF(Biology!C64="","",Biology!C64))</f>
        <v>20</v>
      </c>
      <c r="U64" s="125">
        <f>IF(SubjectList!G64="Math", IF(Math!D64="","",Math!D64), IF(Biology!D64="","",Biology!D64))</f>
        <v>16</v>
      </c>
      <c r="V64" s="137">
        <f>IF(SubjectList!G64="Math", IF(Math!E64="","",Math!E64), IF(Biology!E64="","",Biology!E64))</f>
        <v>51</v>
      </c>
      <c r="W64" s="125">
        <f>IF(SubjectList!I64="Biology", IF(Biology!B64="","",Biology!B64), IF(Math!B64="","",Math!B64))</f>
        <v>17</v>
      </c>
      <c r="X64" s="125">
        <f>Optional!D64</f>
        <v>0</v>
      </c>
      <c r="Y64" s="125">
        <f>Optional!E64</f>
        <v>12</v>
      </c>
      <c r="Z64" s="137">
        <f>Optional!F64</f>
        <v>29</v>
      </c>
      <c r="AA64" s="127" t="str">
        <f>IF(SubjectList!G64="","", SubjectList!G64)</f>
        <v>Biology</v>
      </c>
      <c r="AB64" s="127" t="str">
        <f>IF(SubjectList!I64="","", SubjectList!I64)</f>
        <v>Math</v>
      </c>
      <c r="AC64" s="125" t="str">
        <f>Bangla!F64</f>
        <v>B</v>
      </c>
      <c r="AD64" s="125" t="str">
        <f>English!E64</f>
        <v>D</v>
      </c>
      <c r="AE64" s="125" t="str">
        <f>ICT!G64</f>
        <v>F</v>
      </c>
      <c r="AF64" s="125" t="str">
        <f>Physics!G64</f>
        <v>F</v>
      </c>
      <c r="AG64" s="125" t="str">
        <f>Chemistry!G64</f>
        <v>B</v>
      </c>
      <c r="AH64" s="125" t="str">
        <f>IF(SubjectList!G64="Math", IF(Math!G64="","",Math!G64), IF(Biology!G64="","",Biology!G64))</f>
        <v>B</v>
      </c>
      <c r="AI64" s="125" t="str">
        <f>IF(SubjectList!H64="Math", IF(Math!G64="","",Math!G64), IF(Biology!G64="","",Biology!G64))</f>
        <v>F</v>
      </c>
      <c r="AJ64" s="140">
        <f>Bangla!G64</f>
        <v>3</v>
      </c>
      <c r="AK64" s="140">
        <f>English!F64</f>
        <v>1</v>
      </c>
      <c r="AL64" s="140">
        <f>ICT!H64</f>
        <v>0</v>
      </c>
      <c r="AM64" s="140">
        <f>Physics!H64</f>
        <v>0</v>
      </c>
      <c r="AN64" s="140">
        <f>Chemistry!H64</f>
        <v>3</v>
      </c>
      <c r="AO64" s="140">
        <f>IF(SubjectList!G64="Math", IF(Math!H64="","",Math!H64), IF(Biology!H64="","",Biology!H64))</f>
        <v>3</v>
      </c>
      <c r="AP64" s="140">
        <f>IF(SubjectList!I64="Math", IF(Math!H64="","",Math!H64), IF(Biology!H64="","",Biology!H64))</f>
        <v>0</v>
      </c>
      <c r="AQ64" s="140">
        <f>Optional!I64</f>
        <v>0</v>
      </c>
      <c r="AR64" s="140">
        <f>Optional!J64</f>
        <v>0</v>
      </c>
      <c r="AS64" s="140">
        <f t="shared" si="0"/>
        <v>10</v>
      </c>
      <c r="AT64" s="140">
        <f t="shared" si="8"/>
        <v>10</v>
      </c>
      <c r="AU64" s="128" t="str">
        <f t="shared" si="1"/>
        <v/>
      </c>
      <c r="AV64" s="128" t="str">
        <f t="shared" si="2"/>
        <v/>
      </c>
      <c r="AW64" s="128">
        <f t="shared" si="11"/>
        <v>280</v>
      </c>
      <c r="AX64" s="129">
        <f t="shared" si="13"/>
        <v>1</v>
      </c>
      <c r="AY64" s="129">
        <f t="shared" si="12"/>
        <v>1</v>
      </c>
      <c r="AZ64" s="129">
        <f t="shared" si="12"/>
        <v>0</v>
      </c>
      <c r="BA64" s="129">
        <f t="shared" si="12"/>
        <v>0</v>
      </c>
      <c r="BB64" s="129">
        <f t="shared" si="12"/>
        <v>1</v>
      </c>
      <c r="BC64" s="129">
        <f t="shared" si="12"/>
        <v>1</v>
      </c>
      <c r="BD64" s="125">
        <f t="shared" si="10"/>
        <v>4</v>
      </c>
      <c r="BE64" s="125" t="str">
        <f t="shared" si="6"/>
        <v>F2</v>
      </c>
      <c r="BF64" s="125" t="str">
        <f>IF(AV64="","",RANK(AV64,AV$2:AV88,0))</f>
        <v/>
      </c>
      <c r="BG64" s="125" t="str">
        <f t="shared" si="7"/>
        <v/>
      </c>
    </row>
    <row r="65" spans="1:59" x14ac:dyDescent="0.35">
      <c r="A65" s="125">
        <f>'Student Basic Info'!A65</f>
        <v>764</v>
      </c>
      <c r="B65" s="125" t="str">
        <f>'Student Basic Info'!C65</f>
        <v>Kishor Chandra Nath</v>
      </c>
      <c r="C65" s="126" t="str">
        <f>IF(Bangla!B65="","",Bangla!B65)</f>
        <v/>
      </c>
      <c r="D65" s="126">
        <f>IF(Bangla!C65="","",Bangla!C65)</f>
        <v>27</v>
      </c>
      <c r="E65" s="135">
        <f>IF(Bangla!D65="","",Bangla!D65)</f>
        <v>27</v>
      </c>
      <c r="F65" s="135">
        <f>IF(English!C65="","",English!C65)</f>
        <v>17</v>
      </c>
      <c r="G65" s="125">
        <f>IF(ICT!B65="","",ICT!B65)</f>
        <v>10</v>
      </c>
      <c r="H65" s="125">
        <f>IF(ICT!C65="","",ICT!C65)</f>
        <v>5</v>
      </c>
      <c r="I65" s="125">
        <f>IF(ICT!D65="","",ICT!D65)</f>
        <v>20</v>
      </c>
      <c r="J65" s="137">
        <f>IF(ICT!E65="","",ICT!E65)</f>
        <v>35</v>
      </c>
      <c r="K65" s="125">
        <f>IF(Physics!B65="","",Physics!B65)</f>
        <v>7</v>
      </c>
      <c r="L65" s="125">
        <f>IF(Physics!C65="","",Physics!C65)</f>
        <v>14</v>
      </c>
      <c r="M65" s="125">
        <f>IF(Physics!D65="","",Physics!D65)</f>
        <v>12</v>
      </c>
      <c r="N65" s="137">
        <f>IF(Physics!E65="","",Physics!E65)</f>
        <v>33</v>
      </c>
      <c r="O65" s="125">
        <f>IF(Chemistry!B65="","",Chemistry!B65)</f>
        <v>11</v>
      </c>
      <c r="P65" s="125">
        <f>IF(Chemistry!C65="","",Chemistry!C65)</f>
        <v>11</v>
      </c>
      <c r="Q65" s="125">
        <f>IF(Chemistry!D65="","",Chemistry!D65)</f>
        <v>9</v>
      </c>
      <c r="R65" s="137">
        <f>IF(Chemistry!E65="","",Chemistry!E65)</f>
        <v>31</v>
      </c>
      <c r="S65" s="125">
        <f>IF(SubjectList!G65="Math", IF(Math!B65="","",Math!B65), IF(Biology!B65="","",Biology!B65))</f>
        <v>12</v>
      </c>
      <c r="T65" s="125">
        <f>IF(SubjectList!G65="Math", IF(Math!C65="","",Math!C65), IF(Biology!C65="","",Biology!C65))</f>
        <v>3</v>
      </c>
      <c r="U65" s="125">
        <f>IF(SubjectList!G65="Math", IF(Math!D65="","",Math!D65), IF(Biology!D65="","",Biology!D65))</f>
        <v>10</v>
      </c>
      <c r="V65" s="137">
        <f>IF(SubjectList!G65="Math", IF(Math!E65="","",Math!E65), IF(Biology!E65="","",Biology!E65))</f>
        <v>25</v>
      </c>
      <c r="W65" s="125">
        <f>IF(SubjectList!I65="Biology", IF(Biology!B65="","",Biology!B65), IF(Math!B65="","",Math!B65))</f>
        <v>17</v>
      </c>
      <c r="X65" s="125">
        <f>Optional!D65</f>
        <v>0</v>
      </c>
      <c r="Y65" s="125">
        <f>Optional!E65</f>
        <v>12</v>
      </c>
      <c r="Z65" s="137">
        <f>Optional!F65</f>
        <v>29</v>
      </c>
      <c r="AA65" s="127" t="str">
        <f>IF(SubjectList!G65="","", SubjectList!G65)</f>
        <v>Biology</v>
      </c>
      <c r="AB65" s="127" t="str">
        <f>IF(SubjectList!I65="","", SubjectList!I65)</f>
        <v>Math</v>
      </c>
      <c r="AC65" s="125" t="str">
        <f>Bangla!F65</f>
        <v>F</v>
      </c>
      <c r="AD65" s="125" t="str">
        <f>English!E65</f>
        <v>F</v>
      </c>
      <c r="AE65" s="125" t="str">
        <f>ICT!G65</f>
        <v>F</v>
      </c>
      <c r="AF65" s="125" t="str">
        <f>Physics!G65</f>
        <v>F</v>
      </c>
      <c r="AG65" s="125" t="str">
        <f>Chemistry!G65</f>
        <v>F</v>
      </c>
      <c r="AH65" s="125" t="str">
        <f>IF(SubjectList!G65="Math", IF(Math!G65="","",Math!G65), IF(Biology!G65="","",Biology!G65))</f>
        <v>F</v>
      </c>
      <c r="AI65" s="125" t="str">
        <f>IF(SubjectList!H65="Math", IF(Math!G65="","",Math!G65), IF(Biology!G65="","",Biology!G65))</f>
        <v>F</v>
      </c>
      <c r="AJ65" s="140">
        <f>Bangla!G65</f>
        <v>0</v>
      </c>
      <c r="AK65" s="140">
        <f>English!F65</f>
        <v>0</v>
      </c>
      <c r="AL65" s="140">
        <f>ICT!H65</f>
        <v>0</v>
      </c>
      <c r="AM65" s="140">
        <f>Physics!H65</f>
        <v>0</v>
      </c>
      <c r="AN65" s="140">
        <f>Chemistry!H65</f>
        <v>0</v>
      </c>
      <c r="AO65" s="140">
        <f>IF(SubjectList!G65="Math", IF(Math!H65="","",Math!H65), IF(Biology!H65="","",Biology!H65))</f>
        <v>0</v>
      </c>
      <c r="AP65" s="140">
        <f>IF(SubjectList!I65="Math", IF(Math!H65="","",Math!H65), IF(Biology!H65="","",Biology!H65))</f>
        <v>0</v>
      </c>
      <c r="AQ65" s="140">
        <f>Optional!I65</f>
        <v>0</v>
      </c>
      <c r="AR65" s="140">
        <f>Optional!J65</f>
        <v>0</v>
      </c>
      <c r="AS65" s="140" t="str">
        <f t="shared" si="0"/>
        <v/>
      </c>
      <c r="AT65" s="140" t="str">
        <f t="shared" si="8"/>
        <v/>
      </c>
      <c r="AU65" s="128" t="str">
        <f t="shared" si="1"/>
        <v/>
      </c>
      <c r="AV65" s="128" t="str">
        <f t="shared" si="2"/>
        <v/>
      </c>
      <c r="AW65" s="128">
        <f t="shared" si="11"/>
        <v>197</v>
      </c>
      <c r="AX65" s="129">
        <f t="shared" si="13"/>
        <v>0</v>
      </c>
      <c r="AY65" s="129">
        <f t="shared" si="12"/>
        <v>0</v>
      </c>
      <c r="AZ65" s="129">
        <f t="shared" si="12"/>
        <v>0</v>
      </c>
      <c r="BA65" s="129">
        <f t="shared" si="12"/>
        <v>0</v>
      </c>
      <c r="BB65" s="129">
        <f t="shared" si="12"/>
        <v>0</v>
      </c>
      <c r="BC65" s="129">
        <f t="shared" si="12"/>
        <v>0</v>
      </c>
      <c r="BD65" s="125">
        <f t="shared" si="10"/>
        <v>0</v>
      </c>
      <c r="BE65" s="125" t="str">
        <f t="shared" si="6"/>
        <v>F6</v>
      </c>
      <c r="BF65" s="125" t="str">
        <f>IF(AV65="","",RANK(AV65,AV$2:AV88,0))</f>
        <v/>
      </c>
      <c r="BG65" s="125" t="str">
        <f t="shared" si="7"/>
        <v/>
      </c>
    </row>
    <row r="66" spans="1:59" x14ac:dyDescent="0.35">
      <c r="A66" s="125">
        <f>'Student Basic Info'!A66</f>
        <v>765</v>
      </c>
      <c r="B66" s="125" t="str">
        <f>'Student Basic Info'!C66</f>
        <v>Apurbo Shorma Apu</v>
      </c>
      <c r="C66" s="126" t="str">
        <f>IF(Bangla!B66="","",Bangla!B66)</f>
        <v/>
      </c>
      <c r="D66" s="126">
        <f>IF(Bangla!C66="","",Bangla!C66)</f>
        <v>56</v>
      </c>
      <c r="E66" s="135">
        <f>IF(Bangla!D66="","",Bangla!D66)</f>
        <v>56</v>
      </c>
      <c r="F66" s="135">
        <f>IF(English!C66="","",English!C66)</f>
        <v>50</v>
      </c>
      <c r="G66" s="125">
        <f>IF(ICT!B66="","",ICT!B66)</f>
        <v>17</v>
      </c>
      <c r="H66" s="125">
        <f>IF(ICT!C66="","",ICT!C66)</f>
        <v>35</v>
      </c>
      <c r="I66" s="125">
        <f>IF(ICT!D66="","",ICT!D66)</f>
        <v>18</v>
      </c>
      <c r="J66" s="137">
        <f>IF(ICT!E66="","",ICT!E66)</f>
        <v>70</v>
      </c>
      <c r="K66" s="125">
        <f>IF(Physics!B66="","",Physics!B66)</f>
        <v>12</v>
      </c>
      <c r="L66" s="125">
        <f>IF(Physics!C66="","",Physics!C66)</f>
        <v>27</v>
      </c>
      <c r="M66" s="125">
        <f>IF(Physics!D66="","",Physics!D66)</f>
        <v>16</v>
      </c>
      <c r="N66" s="137">
        <f>IF(Physics!E66="","",Physics!E66)</f>
        <v>55</v>
      </c>
      <c r="O66" s="125">
        <f>IF(Chemistry!B66="","",Chemistry!B66)</f>
        <v>15</v>
      </c>
      <c r="P66" s="125">
        <f>IF(Chemistry!C66="","",Chemistry!C66)</f>
        <v>35</v>
      </c>
      <c r="Q66" s="125">
        <f>IF(Chemistry!D66="","",Chemistry!D66)</f>
        <v>25</v>
      </c>
      <c r="R66" s="137">
        <f>IF(Chemistry!E66="","",Chemistry!E66)</f>
        <v>75</v>
      </c>
      <c r="S66" s="125">
        <f>IF(SubjectList!G66="Math", IF(Math!B66="","",Math!B66), IF(Biology!B66="","",Biology!B66))</f>
        <v>8</v>
      </c>
      <c r="T66" s="125">
        <f>IF(SubjectList!G66="Math", IF(Math!C66="","",Math!C66), IF(Biology!C66="","",Biology!C66))</f>
        <v>25</v>
      </c>
      <c r="U66" s="125">
        <f>IF(SubjectList!G66="Math", IF(Math!D66="","",Math!D66), IF(Biology!D66="","",Biology!D66))</f>
        <v>17</v>
      </c>
      <c r="V66" s="137">
        <f>IF(SubjectList!G66="Math", IF(Math!E66="","",Math!E66), IF(Biology!E66="","",Biology!E66))</f>
        <v>50</v>
      </c>
      <c r="W66" s="125">
        <f>IF(SubjectList!I66="Biology", IF(Biology!B66="","",Biology!B66), IF(Math!B66="","",Math!B66))</f>
        <v>13</v>
      </c>
      <c r="X66" s="125">
        <f>Optional!D66</f>
        <v>12</v>
      </c>
      <c r="Y66" s="125">
        <f>Optional!E66</f>
        <v>11</v>
      </c>
      <c r="Z66" s="137">
        <f>Optional!F66</f>
        <v>36</v>
      </c>
      <c r="AA66" s="127" t="str">
        <f>IF(SubjectList!G66="","", SubjectList!G66)</f>
        <v>Biology</v>
      </c>
      <c r="AB66" s="127" t="str">
        <f>IF(SubjectList!I66="","", SubjectList!I66)</f>
        <v>Math</v>
      </c>
      <c r="AC66" s="125" t="str">
        <f>Bangla!F66</f>
        <v>B</v>
      </c>
      <c r="AD66" s="125" t="str">
        <f>English!E66</f>
        <v>B</v>
      </c>
      <c r="AE66" s="125" t="str">
        <f>ICT!G66</f>
        <v>A</v>
      </c>
      <c r="AF66" s="125" t="str">
        <f>Physics!G66</f>
        <v>B</v>
      </c>
      <c r="AG66" s="125" t="str">
        <f>Chemistry!G66</f>
        <v>A</v>
      </c>
      <c r="AH66" s="125" t="str">
        <f>IF(SubjectList!G66="Math", IF(Math!G66="","",Math!G66), IF(Biology!G66="","",Biology!G66))</f>
        <v>B</v>
      </c>
      <c r="AI66" s="125" t="str">
        <f>IF(SubjectList!H66="Math", IF(Math!G66="","",Math!G66), IF(Biology!G66="","",Biology!G66))</f>
        <v>F</v>
      </c>
      <c r="AJ66" s="140">
        <f>Bangla!G66</f>
        <v>3</v>
      </c>
      <c r="AK66" s="140">
        <f>English!F66</f>
        <v>3</v>
      </c>
      <c r="AL66" s="140">
        <f>ICT!H66</f>
        <v>4</v>
      </c>
      <c r="AM66" s="140">
        <f>Physics!H66</f>
        <v>3</v>
      </c>
      <c r="AN66" s="140">
        <f>Chemistry!H66</f>
        <v>4</v>
      </c>
      <c r="AO66" s="140">
        <f>IF(SubjectList!G66="Math", IF(Math!H66="","",Math!H66), IF(Biology!H66="","",Biology!H66))</f>
        <v>3</v>
      </c>
      <c r="AP66" s="140">
        <f>IF(SubjectList!I66="Math", IF(Math!H66="","",Math!H66), IF(Biology!H66="","",Biology!H66))</f>
        <v>0</v>
      </c>
      <c r="AQ66" s="140">
        <f>Optional!I66</f>
        <v>0</v>
      </c>
      <c r="AR66" s="140">
        <f>Optional!J66</f>
        <v>0</v>
      </c>
      <c r="AS66" s="140">
        <f t="shared" ref="AS66:AS88" si="14">IF(BD66=0, "", SUM(AJ66:AO66))</f>
        <v>20</v>
      </c>
      <c r="AT66" s="140">
        <f t="shared" si="8"/>
        <v>20</v>
      </c>
      <c r="AU66" s="128">
        <f t="shared" ref="AU66:AU88" si="15">IF(BD66=6,IF(AT66&gt;=30,5,(AT66-AR66)/6),"")</f>
        <v>3.3333333333333335</v>
      </c>
      <c r="AV66" s="128">
        <f t="shared" ref="AV66:AV88" si="16">IF(BD66=6, IF(AT66&gt;=30,5,(AT66)/6), "")</f>
        <v>3.3333333333333335</v>
      </c>
      <c r="AW66" s="128">
        <f t="shared" si="11"/>
        <v>392</v>
      </c>
      <c r="AX66" s="129">
        <f t="shared" si="13"/>
        <v>1</v>
      </c>
      <c r="AY66" s="129">
        <f t="shared" si="12"/>
        <v>1</v>
      </c>
      <c r="AZ66" s="129">
        <f t="shared" si="12"/>
        <v>1</v>
      </c>
      <c r="BA66" s="129">
        <f t="shared" si="12"/>
        <v>1</v>
      </c>
      <c r="BB66" s="129">
        <f t="shared" si="12"/>
        <v>1</v>
      </c>
      <c r="BC66" s="129">
        <f t="shared" si="12"/>
        <v>1</v>
      </c>
      <c r="BD66" s="125">
        <f t="shared" si="10"/>
        <v>6</v>
      </c>
      <c r="BE66" s="125" t="str">
        <f t="shared" si="6"/>
        <v>Pass</v>
      </c>
      <c r="BF66" s="125">
        <f>IF(AV66="","",RANK(AV66,AV$2:AV88,0))</f>
        <v>5</v>
      </c>
      <c r="BG66" s="125" t="str">
        <f t="shared" si="7"/>
        <v>B</v>
      </c>
    </row>
    <row r="67" spans="1:59" x14ac:dyDescent="0.35">
      <c r="A67" s="125">
        <f>'Student Basic Info'!A67</f>
        <v>766</v>
      </c>
      <c r="B67" s="125" t="str">
        <f>'Student Basic Info'!C67</f>
        <v xml:space="preserve">Md. Ibrahim Khalil </v>
      </c>
      <c r="C67" s="126" t="str">
        <f>IF(Bangla!B67="","",Bangla!B67)</f>
        <v/>
      </c>
      <c r="D67" s="126">
        <f>IF(Bangla!C67="","",Bangla!C67)</f>
        <v>56</v>
      </c>
      <c r="E67" s="135">
        <f>IF(Bangla!D67="","",Bangla!D67)</f>
        <v>56</v>
      </c>
      <c r="F67" s="135">
        <f>IF(English!C67="","",English!C67)</f>
        <v>49</v>
      </c>
      <c r="G67" s="125">
        <f>IF(ICT!B67="","",ICT!B67)</f>
        <v>15</v>
      </c>
      <c r="H67" s="125">
        <f>IF(ICT!C67="","",ICT!C67)</f>
        <v>31</v>
      </c>
      <c r="I67" s="125">
        <f>IF(ICT!D67="","",ICT!D67)</f>
        <v>20</v>
      </c>
      <c r="J67" s="137">
        <f>IF(ICT!E67="","",ICT!E67)</f>
        <v>66</v>
      </c>
      <c r="K67" s="125">
        <f>IF(Physics!B67="","",Physics!B67)</f>
        <v>11</v>
      </c>
      <c r="L67" s="125">
        <f>IF(Physics!C67="","",Physics!C67)</f>
        <v>40</v>
      </c>
      <c r="M67" s="125">
        <f>IF(Physics!D67="","",Physics!D67)</f>
        <v>19</v>
      </c>
      <c r="N67" s="137">
        <f>IF(Physics!E67="","",Physics!E67)</f>
        <v>70</v>
      </c>
      <c r="O67" s="125">
        <f>IF(Chemistry!B67="","",Chemistry!B67)</f>
        <v>9</v>
      </c>
      <c r="P67" s="125">
        <f>IF(Chemistry!C67="","",Chemistry!C67)</f>
        <v>31</v>
      </c>
      <c r="Q67" s="125">
        <f>IF(Chemistry!D67="","",Chemistry!D67)</f>
        <v>20</v>
      </c>
      <c r="R67" s="137">
        <f>IF(Chemistry!E67="","",Chemistry!E67)</f>
        <v>60</v>
      </c>
      <c r="S67" s="125">
        <f>IF(SubjectList!G67="Math", IF(Math!B67="","",Math!B67), IF(Biology!B67="","",Biology!B67))</f>
        <v>8</v>
      </c>
      <c r="T67" s="125">
        <f>IF(SubjectList!G67="Math", IF(Math!C67="","",Math!C67), IF(Biology!C67="","",Biology!C67))</f>
        <v>26</v>
      </c>
      <c r="U67" s="125">
        <f>IF(SubjectList!G67="Math", IF(Math!D67="","",Math!D67), IF(Biology!D67="","",Biology!D67))</f>
        <v>16</v>
      </c>
      <c r="V67" s="137">
        <f>IF(SubjectList!G67="Math", IF(Math!E67="","",Math!E67), IF(Biology!E67="","",Biology!E67))</f>
        <v>50</v>
      </c>
      <c r="W67" s="125">
        <f>IF(SubjectList!I67="Biology", IF(Biology!B67="","",Biology!B67), IF(Math!B67="","",Math!B67))</f>
        <v>13</v>
      </c>
      <c r="X67" s="125">
        <f>Optional!D67</f>
        <v>11</v>
      </c>
      <c r="Y67" s="125">
        <f>Optional!E67</f>
        <v>15</v>
      </c>
      <c r="Z67" s="137">
        <f>Optional!F67</f>
        <v>39</v>
      </c>
      <c r="AA67" s="127" t="str">
        <f>IF(SubjectList!G67="","", SubjectList!G67)</f>
        <v>Biology</v>
      </c>
      <c r="AB67" s="127" t="str">
        <f>IF(SubjectList!I67="","", SubjectList!I67)</f>
        <v>Math</v>
      </c>
      <c r="AC67" s="125" t="str">
        <f>Bangla!F67</f>
        <v>B</v>
      </c>
      <c r="AD67" s="125" t="str">
        <f>English!E67</f>
        <v>C</v>
      </c>
      <c r="AE67" s="125" t="str">
        <f>ICT!G67</f>
        <v>A-</v>
      </c>
      <c r="AF67" s="125" t="str">
        <f>Physics!G67</f>
        <v>A</v>
      </c>
      <c r="AG67" s="125" t="str">
        <f>Chemistry!G67</f>
        <v>A-</v>
      </c>
      <c r="AH67" s="125" t="str">
        <f>IF(SubjectList!G67="Math", IF(Math!G67="","",Math!G67), IF(Biology!G67="","",Biology!G67))</f>
        <v>B</v>
      </c>
      <c r="AI67" s="125" t="str">
        <f>IF(SubjectList!H67="Math", IF(Math!G67="","",Math!G67), IF(Biology!G67="","",Biology!G67))</f>
        <v>F</v>
      </c>
      <c r="AJ67" s="140">
        <f>Bangla!G67</f>
        <v>3</v>
      </c>
      <c r="AK67" s="140">
        <f>English!F67</f>
        <v>2</v>
      </c>
      <c r="AL67" s="140">
        <f>ICT!H67</f>
        <v>3.5</v>
      </c>
      <c r="AM67" s="140">
        <f>Physics!H67</f>
        <v>4</v>
      </c>
      <c r="AN67" s="140">
        <f>Chemistry!H67</f>
        <v>3.5</v>
      </c>
      <c r="AO67" s="140">
        <f>IF(SubjectList!G67="Math", IF(Math!H67="","",Math!H67), IF(Biology!H67="","",Biology!H67))</f>
        <v>3</v>
      </c>
      <c r="AP67" s="140">
        <f>IF(SubjectList!I67="Math", IF(Math!H67="","",Math!H67), IF(Biology!H67="","",Biology!H67))</f>
        <v>0</v>
      </c>
      <c r="AQ67" s="140">
        <f>Optional!I67</f>
        <v>0</v>
      </c>
      <c r="AR67" s="140">
        <f>Optional!J67</f>
        <v>0</v>
      </c>
      <c r="AS67" s="140">
        <f t="shared" si="14"/>
        <v>19</v>
      </c>
      <c r="AT67" s="140">
        <f t="shared" si="8"/>
        <v>19</v>
      </c>
      <c r="AU67" s="128">
        <f t="shared" si="15"/>
        <v>3.1666666666666665</v>
      </c>
      <c r="AV67" s="128">
        <f t="shared" si="16"/>
        <v>3.1666666666666665</v>
      </c>
      <c r="AW67" s="128">
        <f t="shared" si="11"/>
        <v>390</v>
      </c>
      <c r="AX67" s="129">
        <f t="shared" si="13"/>
        <v>1</v>
      </c>
      <c r="AY67" s="129">
        <f t="shared" si="12"/>
        <v>1</v>
      </c>
      <c r="AZ67" s="129">
        <f t="shared" si="12"/>
        <v>1</v>
      </c>
      <c r="BA67" s="129">
        <f t="shared" si="12"/>
        <v>1</v>
      </c>
      <c r="BB67" s="129">
        <f t="shared" si="12"/>
        <v>1</v>
      </c>
      <c r="BC67" s="129">
        <f t="shared" si="12"/>
        <v>1</v>
      </c>
      <c r="BD67" s="125">
        <f t="shared" si="10"/>
        <v>6</v>
      </c>
      <c r="BE67" s="125" t="str">
        <f t="shared" ref="BE67:BE88" si="17">IF(BD67=0,"F6",IF(BD67=1,"F5",IF(BD67=2,"F4",IF(BD67=3,"F3",IF(BD67=4,"F2",IF(BD67=5,"F1",IF(BD67=6,"Pass")))))))</f>
        <v>Pass</v>
      </c>
      <c r="BF67" s="125">
        <f>IF(AV67="","",RANK(AV67,AV$2:AV88,0))</f>
        <v>7</v>
      </c>
      <c r="BG67" s="125" t="str">
        <f t="shared" ref="BG67:BG88" si="18">IF(AV67&gt;=5,"",IF(AV67&gt;=4,"A",IF(AV67&gt;=3.5,"A-",IF(AV67&gt;=3,"B",IF(AV67&gt;=2,"C",IF(AV67&gt;=1,"D","F"))))))</f>
        <v>B</v>
      </c>
    </row>
    <row r="68" spans="1:59" x14ac:dyDescent="0.35">
      <c r="A68" s="125">
        <f>'Student Basic Info'!A68</f>
        <v>767</v>
      </c>
      <c r="B68" s="125" t="str">
        <f>'Student Basic Info'!C68</f>
        <v>Ayman Mahmud Tawsif</v>
      </c>
      <c r="C68" s="126" t="str">
        <f>IF(Bangla!B68="","",Bangla!B68)</f>
        <v/>
      </c>
      <c r="D68" s="126">
        <f>IF(Bangla!C68="","",Bangla!C68)</f>
        <v>61</v>
      </c>
      <c r="E68" s="135">
        <f>IF(Bangla!D68="","",Bangla!D68)</f>
        <v>61</v>
      </c>
      <c r="F68" s="135">
        <f>IF(English!C68="","",English!C68)</f>
        <v>50</v>
      </c>
      <c r="G68" s="125">
        <f>IF(ICT!B68="","",ICT!B68)</f>
        <v>17</v>
      </c>
      <c r="H68" s="125">
        <f>IF(ICT!C68="","",ICT!C68)</f>
        <v>33</v>
      </c>
      <c r="I68" s="125">
        <f>IF(ICT!D68="","",ICT!D68)</f>
        <v>20</v>
      </c>
      <c r="J68" s="137">
        <f>IF(ICT!E68="","",ICT!E68)</f>
        <v>70</v>
      </c>
      <c r="K68" s="125">
        <f>IF(Physics!B68="","",Physics!B68)</f>
        <v>14</v>
      </c>
      <c r="L68" s="125">
        <f>IF(Physics!C68="","",Physics!C68)</f>
        <v>42</v>
      </c>
      <c r="M68" s="125">
        <f>IF(Physics!D68="","",Physics!D68)</f>
        <v>20</v>
      </c>
      <c r="N68" s="137">
        <f>IF(Physics!E68="","",Physics!E68)</f>
        <v>76</v>
      </c>
      <c r="O68" s="125">
        <f>IF(Chemistry!B68="","",Chemistry!B68)</f>
        <v>12</v>
      </c>
      <c r="P68" s="125">
        <f>IF(Chemistry!C68="","",Chemistry!C68)</f>
        <v>26</v>
      </c>
      <c r="Q68" s="125">
        <f>IF(Chemistry!D68="","",Chemistry!D68)</f>
        <v>16</v>
      </c>
      <c r="R68" s="137">
        <f>IF(Chemistry!E68="","",Chemistry!E68)</f>
        <v>54</v>
      </c>
      <c r="S68" s="125">
        <f>IF(SubjectList!G68="Math", IF(Math!B68="","",Math!B68), IF(Biology!B68="","",Biology!B68))</f>
        <v>8</v>
      </c>
      <c r="T68" s="125">
        <f>IF(SubjectList!G68="Math", IF(Math!C68="","",Math!C68), IF(Biology!C68="","",Biology!C68))</f>
        <v>28</v>
      </c>
      <c r="U68" s="125">
        <f>IF(SubjectList!G68="Math", IF(Math!D68="","",Math!D68), IF(Biology!D68="","",Biology!D68))</f>
        <v>18</v>
      </c>
      <c r="V68" s="137">
        <f>IF(SubjectList!G68="Math", IF(Math!E68="","",Math!E68), IF(Biology!E68="","",Biology!E68))</f>
        <v>54</v>
      </c>
      <c r="W68" s="125">
        <f>IF(SubjectList!I68="Biology", IF(Biology!B68="","",Biology!B68), IF(Math!B68="","",Math!B68))</f>
        <v>11</v>
      </c>
      <c r="X68" s="125">
        <f>Optional!D68</f>
        <v>12</v>
      </c>
      <c r="Y68" s="125">
        <f>Optional!E68</f>
        <v>12</v>
      </c>
      <c r="Z68" s="137">
        <f>Optional!F68</f>
        <v>35</v>
      </c>
      <c r="AA68" s="127" t="str">
        <f>IF(SubjectList!G68="","", SubjectList!G68)</f>
        <v>Biology</v>
      </c>
      <c r="AB68" s="127" t="str">
        <f>IF(SubjectList!I68="","", SubjectList!I68)</f>
        <v>Math</v>
      </c>
      <c r="AC68" s="125" t="str">
        <f>Bangla!F68</f>
        <v>A-</v>
      </c>
      <c r="AD68" s="125" t="str">
        <f>English!E68</f>
        <v>B</v>
      </c>
      <c r="AE68" s="125" t="str">
        <f>ICT!G68</f>
        <v>A</v>
      </c>
      <c r="AF68" s="125" t="str">
        <f>Physics!G68</f>
        <v>A</v>
      </c>
      <c r="AG68" s="125" t="str">
        <f>Chemistry!G68</f>
        <v>B</v>
      </c>
      <c r="AH68" s="125" t="str">
        <f>IF(SubjectList!G68="Math", IF(Math!G68="","",Math!G68), IF(Biology!G68="","",Biology!G68))</f>
        <v>B</v>
      </c>
      <c r="AI68" s="125" t="str">
        <f>IF(SubjectList!H68="Math", IF(Math!G68="","",Math!G68), IF(Biology!G68="","",Biology!G68))</f>
        <v>F</v>
      </c>
      <c r="AJ68" s="140">
        <f>Bangla!G68</f>
        <v>3.5</v>
      </c>
      <c r="AK68" s="140">
        <f>English!F68</f>
        <v>3</v>
      </c>
      <c r="AL68" s="140">
        <f>ICT!H68</f>
        <v>4</v>
      </c>
      <c r="AM68" s="140">
        <f>Physics!H68</f>
        <v>4</v>
      </c>
      <c r="AN68" s="140">
        <f>Chemistry!H68</f>
        <v>3</v>
      </c>
      <c r="AO68" s="140">
        <f>IF(SubjectList!G68="Math", IF(Math!H68="","",Math!H68), IF(Biology!H68="","",Biology!H68))</f>
        <v>3</v>
      </c>
      <c r="AP68" s="140">
        <f>IF(SubjectList!I68="Math", IF(Math!H68="","",Math!H68), IF(Biology!H68="","",Biology!H68))</f>
        <v>0</v>
      </c>
      <c r="AQ68" s="140">
        <f>Optional!I68</f>
        <v>0</v>
      </c>
      <c r="AR68" s="140">
        <f>Optional!J68</f>
        <v>0</v>
      </c>
      <c r="AS68" s="140">
        <f t="shared" si="14"/>
        <v>20.5</v>
      </c>
      <c r="AT68" s="140">
        <f t="shared" ref="AT68:AT88" si="19">IF(SUM(AR68:AS68)=0,"",SUM(AR68:AS68))</f>
        <v>20.5</v>
      </c>
      <c r="AU68" s="128">
        <f t="shared" si="15"/>
        <v>3.4166666666666665</v>
      </c>
      <c r="AV68" s="128">
        <f t="shared" si="16"/>
        <v>3.4166666666666665</v>
      </c>
      <c r="AW68" s="128">
        <f t="shared" si="11"/>
        <v>400</v>
      </c>
      <c r="AX68" s="129">
        <f t="shared" si="13"/>
        <v>1</v>
      </c>
      <c r="AY68" s="129">
        <f t="shared" si="12"/>
        <v>1</v>
      </c>
      <c r="AZ68" s="129">
        <f t="shared" si="12"/>
        <v>1</v>
      </c>
      <c r="BA68" s="129">
        <f t="shared" si="12"/>
        <v>1</v>
      </c>
      <c r="BB68" s="129">
        <f t="shared" si="12"/>
        <v>1</v>
      </c>
      <c r="BC68" s="129">
        <f t="shared" si="12"/>
        <v>1</v>
      </c>
      <c r="BD68" s="125">
        <f t="shared" si="10"/>
        <v>6</v>
      </c>
      <c r="BE68" s="125" t="str">
        <f t="shared" si="17"/>
        <v>Pass</v>
      </c>
      <c r="BF68" s="125">
        <f>IF(AV68="","",RANK(AV68,AV$2:AV88,0))</f>
        <v>4</v>
      </c>
      <c r="BG68" s="125" t="str">
        <f t="shared" si="18"/>
        <v>B</v>
      </c>
    </row>
    <row r="69" spans="1:59" x14ac:dyDescent="0.35">
      <c r="A69" s="125">
        <f>'Student Basic Info'!A69</f>
        <v>768</v>
      </c>
      <c r="B69" s="125" t="str">
        <f>'Student Basic Info'!C69</f>
        <v>Tanvir Hosain</v>
      </c>
      <c r="C69" s="126" t="str">
        <f>IF(Bangla!B69="","",Bangla!B69)</f>
        <v/>
      </c>
      <c r="D69" s="126">
        <f>IF(Bangla!C69="","",Bangla!C69)</f>
        <v>46</v>
      </c>
      <c r="E69" s="135">
        <f>IF(Bangla!D69="","",Bangla!D69)</f>
        <v>46</v>
      </c>
      <c r="F69" s="135">
        <f>IF(English!C69="","",English!C69)</f>
        <v>25</v>
      </c>
      <c r="G69" s="125">
        <f>IF(ICT!B69="","",ICT!B69)</f>
        <v>17</v>
      </c>
      <c r="H69" s="125">
        <f>IF(ICT!C69="","",ICT!C69)</f>
        <v>23</v>
      </c>
      <c r="I69" s="125">
        <f>IF(ICT!D69="","",ICT!D69)</f>
        <v>18</v>
      </c>
      <c r="J69" s="137">
        <f>IF(ICT!E69="","",ICT!E69)</f>
        <v>58</v>
      </c>
      <c r="K69" s="125">
        <f>IF(Physics!B69="","",Physics!B69)</f>
        <v>12</v>
      </c>
      <c r="L69" s="125">
        <f>IF(Physics!C69="","",Physics!C69)</f>
        <v>24</v>
      </c>
      <c r="M69" s="125">
        <f>IF(Physics!D69="","",Physics!D69)</f>
        <v>16</v>
      </c>
      <c r="N69" s="137">
        <f>IF(Physics!E69="","",Physics!E69)</f>
        <v>52</v>
      </c>
      <c r="O69" s="125">
        <f>IF(Chemistry!B69="","",Chemistry!B69)</f>
        <v>5</v>
      </c>
      <c r="P69" s="125">
        <f>IF(Chemistry!C69="","",Chemistry!C69)</f>
        <v>3</v>
      </c>
      <c r="Q69" s="125">
        <f>IF(Chemistry!D69="","",Chemistry!D69)</f>
        <v>10</v>
      </c>
      <c r="R69" s="137">
        <f>IF(Chemistry!E69="","",Chemistry!E69)</f>
        <v>18</v>
      </c>
      <c r="S69" s="125">
        <f>IF(SubjectList!G69="Math", IF(Math!B69="","",Math!B69), IF(Biology!B69="","",Biology!B69))</f>
        <v>10</v>
      </c>
      <c r="T69" s="125">
        <f>IF(SubjectList!G69="Math", IF(Math!C69="","",Math!C69), IF(Biology!C69="","",Biology!C69))</f>
        <v>17</v>
      </c>
      <c r="U69" s="125">
        <f>IF(SubjectList!G69="Math", IF(Math!D69="","",Math!D69), IF(Biology!D69="","",Biology!D69))</f>
        <v>13</v>
      </c>
      <c r="V69" s="137">
        <f>IF(SubjectList!G69="Math", IF(Math!E69="","",Math!E69), IF(Biology!E69="","",Biology!E69))</f>
        <v>40</v>
      </c>
      <c r="W69" s="125">
        <f>IF(SubjectList!I69="Biology", IF(Biology!B69="","",Biology!B69), IF(Math!B69="","",Math!B69))</f>
        <v>9</v>
      </c>
      <c r="X69" s="125">
        <f>Optional!D69</f>
        <v>0</v>
      </c>
      <c r="Y69" s="125">
        <f>Optional!E69</f>
        <v>9</v>
      </c>
      <c r="Z69" s="137">
        <f>Optional!F69</f>
        <v>18</v>
      </c>
      <c r="AA69" s="127" t="str">
        <f>IF(SubjectList!G69="","", SubjectList!G69)</f>
        <v>Biology</v>
      </c>
      <c r="AB69" s="127" t="str">
        <f>IF(SubjectList!I69="","", SubjectList!I69)</f>
        <v>Math</v>
      </c>
      <c r="AC69" s="125" t="str">
        <f>Bangla!F69</f>
        <v>C</v>
      </c>
      <c r="AD69" s="125" t="str">
        <f>English!E69</f>
        <v>F</v>
      </c>
      <c r="AE69" s="125" t="str">
        <f>ICT!G69</f>
        <v>B</v>
      </c>
      <c r="AF69" s="125" t="str">
        <f>Physics!G69</f>
        <v>B</v>
      </c>
      <c r="AG69" s="125" t="str">
        <f>Chemistry!G69</f>
        <v>F</v>
      </c>
      <c r="AH69" s="125" t="str">
        <f>IF(SubjectList!G69="Math", IF(Math!G69="","",Math!G69), IF(Biology!G69="","",Biology!G69))</f>
        <v>C</v>
      </c>
      <c r="AI69" s="125" t="str">
        <f>IF(SubjectList!H69="Math", IF(Math!G69="","",Math!G69), IF(Biology!G69="","",Biology!G69))</f>
        <v>F</v>
      </c>
      <c r="AJ69" s="140">
        <f>Bangla!G69</f>
        <v>2</v>
      </c>
      <c r="AK69" s="140">
        <f>English!F69</f>
        <v>0</v>
      </c>
      <c r="AL69" s="140">
        <f>ICT!H69</f>
        <v>3</v>
      </c>
      <c r="AM69" s="140">
        <f>Physics!H69</f>
        <v>3</v>
      </c>
      <c r="AN69" s="140">
        <f>Chemistry!H69</f>
        <v>0</v>
      </c>
      <c r="AO69" s="140">
        <f>IF(SubjectList!G69="Math", IF(Math!H69="","",Math!H69), IF(Biology!H69="","",Biology!H69))</f>
        <v>2</v>
      </c>
      <c r="AP69" s="140">
        <f>IF(SubjectList!I69="Math", IF(Math!H69="","",Math!H69), IF(Biology!H69="","",Biology!H69))</f>
        <v>0</v>
      </c>
      <c r="AQ69" s="140">
        <f>Optional!I69</f>
        <v>0</v>
      </c>
      <c r="AR69" s="140">
        <f>Optional!J69</f>
        <v>0</v>
      </c>
      <c r="AS69" s="140">
        <f t="shared" si="14"/>
        <v>10</v>
      </c>
      <c r="AT69" s="140">
        <f t="shared" si="19"/>
        <v>10</v>
      </c>
      <c r="AU69" s="128" t="str">
        <f t="shared" si="15"/>
        <v/>
      </c>
      <c r="AV69" s="128" t="str">
        <f t="shared" si="16"/>
        <v/>
      </c>
      <c r="AW69" s="128">
        <f t="shared" si="11"/>
        <v>257</v>
      </c>
      <c r="AX69" s="129">
        <f t="shared" si="13"/>
        <v>1</v>
      </c>
      <c r="AY69" s="129">
        <f t="shared" si="12"/>
        <v>0</v>
      </c>
      <c r="AZ69" s="129">
        <f t="shared" si="12"/>
        <v>1</v>
      </c>
      <c r="BA69" s="129">
        <f t="shared" si="12"/>
        <v>1</v>
      </c>
      <c r="BB69" s="129">
        <f t="shared" si="12"/>
        <v>0</v>
      </c>
      <c r="BC69" s="129">
        <f t="shared" si="12"/>
        <v>1</v>
      </c>
      <c r="BD69" s="125">
        <f t="shared" si="10"/>
        <v>4</v>
      </c>
      <c r="BE69" s="125" t="str">
        <f t="shared" si="17"/>
        <v>F2</v>
      </c>
      <c r="BF69" s="125" t="str">
        <f>IF(AV69="","",RANK(AV69,AV$2:AV88,0))</f>
        <v/>
      </c>
      <c r="BG69" s="125" t="str">
        <f t="shared" si="18"/>
        <v/>
      </c>
    </row>
    <row r="70" spans="1:59" x14ac:dyDescent="0.35">
      <c r="A70" s="125">
        <f>'Student Basic Info'!A70</f>
        <v>769</v>
      </c>
      <c r="B70" s="125" t="str">
        <f>'Student Basic Info'!C70</f>
        <v>Abdullah Al Noman</v>
      </c>
      <c r="C70" s="126" t="str">
        <f>IF(Bangla!B70="","",Bangla!B70)</f>
        <v/>
      </c>
      <c r="D70" s="126" t="str">
        <f>IF(Bangla!C70="","",Bangla!C70)</f>
        <v/>
      </c>
      <c r="E70" s="135" t="str">
        <f>IF(Bangla!D70="","",Bangla!D70)</f>
        <v/>
      </c>
      <c r="F70" s="135" t="str">
        <f>IF(English!C70="","",English!C70)</f>
        <v/>
      </c>
      <c r="G70" s="125" t="str">
        <f>IF(ICT!B70="","",ICT!B70)</f>
        <v/>
      </c>
      <c r="H70" s="125" t="str">
        <f>IF(ICT!C70="","",ICT!C70)</f>
        <v/>
      </c>
      <c r="I70" s="125" t="str">
        <f>IF(ICT!D70="","",ICT!D70)</f>
        <v/>
      </c>
      <c r="J70" s="137" t="str">
        <f>IF(ICT!E70="","",ICT!E70)</f>
        <v/>
      </c>
      <c r="K70" s="125" t="str">
        <f>IF(Physics!B70="","",Physics!B70)</f>
        <v/>
      </c>
      <c r="L70" s="125" t="str">
        <f>IF(Physics!C70="","",Physics!C70)</f>
        <v/>
      </c>
      <c r="M70" s="125" t="str">
        <f>IF(Physics!D70="","",Physics!D70)</f>
        <v/>
      </c>
      <c r="N70" s="137" t="str">
        <f>IF(Physics!E70="","",Physics!E70)</f>
        <v/>
      </c>
      <c r="O70" s="125">
        <f>IF(Chemistry!B70="","",Chemistry!B70)</f>
        <v>8</v>
      </c>
      <c r="P70" s="125">
        <f>IF(Chemistry!C70="","",Chemistry!C70)</f>
        <v>7</v>
      </c>
      <c r="Q70" s="125">
        <f>IF(Chemistry!D70="","",Chemistry!D70)</f>
        <v>8</v>
      </c>
      <c r="R70" s="137">
        <f>IF(Chemistry!E70="","",Chemistry!E70)</f>
        <v>23</v>
      </c>
      <c r="S70" s="125" t="str">
        <f>IF(SubjectList!G70="Math", IF(Math!B70="","",Math!B70), IF(Biology!B70="","",Biology!B70))</f>
        <v/>
      </c>
      <c r="T70" s="125" t="str">
        <f>IF(SubjectList!G70="Math", IF(Math!C70="","",Math!C70), IF(Biology!C70="","",Biology!C70))</f>
        <v/>
      </c>
      <c r="U70" s="125" t="str">
        <f>IF(SubjectList!G70="Math", IF(Math!D70="","",Math!D70), IF(Biology!D70="","",Biology!D70))</f>
        <v/>
      </c>
      <c r="V70" s="137" t="str">
        <f>IF(SubjectList!G70="Math", IF(Math!E70="","",Math!E70), IF(Biology!E70="","",Biology!E70))</f>
        <v/>
      </c>
      <c r="W70" s="125">
        <f>IF(SubjectList!I70="Biology", IF(Biology!B70="","",Biology!B70), IF(Math!B70="","",Math!B70))</f>
        <v>15</v>
      </c>
      <c r="X70" s="125">
        <f>Optional!D70</f>
        <v>0</v>
      </c>
      <c r="Y70" s="125">
        <f>Optional!E70</f>
        <v>9</v>
      </c>
      <c r="Z70" s="137">
        <f>Optional!F70</f>
        <v>24</v>
      </c>
      <c r="AA70" s="127" t="str">
        <f>IF(SubjectList!G70="","", SubjectList!G70)</f>
        <v>Biology</v>
      </c>
      <c r="AB70" s="127" t="str">
        <f>IF(SubjectList!I70="","", SubjectList!I70)</f>
        <v>Math</v>
      </c>
      <c r="AC70" s="125" t="str">
        <f>Bangla!F70</f>
        <v/>
      </c>
      <c r="AD70" s="125" t="str">
        <f>English!E70</f>
        <v/>
      </c>
      <c r="AE70" s="125" t="str">
        <f>ICT!G70</f>
        <v/>
      </c>
      <c r="AF70" s="125" t="str">
        <f>Physics!G70</f>
        <v/>
      </c>
      <c r="AG70" s="125" t="str">
        <f>Chemistry!G70</f>
        <v>F</v>
      </c>
      <c r="AH70" s="125" t="str">
        <f>IF(SubjectList!G70="Math", IF(Math!G70="","",Math!G70), IF(Biology!G70="","",Biology!G70))</f>
        <v/>
      </c>
      <c r="AI70" s="125" t="str">
        <f>IF(SubjectList!H70="Math", IF(Math!G70="","",Math!G70), IF(Biology!G70="","",Biology!G70))</f>
        <v>F</v>
      </c>
      <c r="AJ70" s="140" t="str">
        <f>Bangla!G70</f>
        <v/>
      </c>
      <c r="AK70" s="140" t="str">
        <f>English!F70</f>
        <v/>
      </c>
      <c r="AL70" s="140" t="str">
        <f>ICT!H70</f>
        <v/>
      </c>
      <c r="AM70" s="140" t="str">
        <f>Physics!H70</f>
        <v/>
      </c>
      <c r="AN70" s="140">
        <f>Chemistry!H70</f>
        <v>0</v>
      </c>
      <c r="AO70" s="140" t="str">
        <f>IF(SubjectList!G70="Math", IF(Math!H70="","",Math!H70), IF(Biology!H70="","",Biology!H70))</f>
        <v/>
      </c>
      <c r="AP70" s="140">
        <f>IF(SubjectList!I70="Math", IF(Math!H70="","",Math!H70), IF(Biology!H70="","",Biology!H70))</f>
        <v>0</v>
      </c>
      <c r="AQ70" s="140">
        <f>Optional!I70</f>
        <v>0</v>
      </c>
      <c r="AR70" s="140">
        <f>Optional!J70</f>
        <v>0</v>
      </c>
      <c r="AS70" s="140" t="str">
        <f t="shared" si="14"/>
        <v/>
      </c>
      <c r="AT70" s="140" t="str">
        <f t="shared" si="19"/>
        <v/>
      </c>
      <c r="AU70" s="128" t="str">
        <f t="shared" si="15"/>
        <v/>
      </c>
      <c r="AV70" s="128" t="str">
        <f t="shared" si="16"/>
        <v/>
      </c>
      <c r="AW70" s="128">
        <f t="shared" si="11"/>
        <v>47</v>
      </c>
      <c r="AX70" s="129" t="str">
        <f t="shared" si="13"/>
        <v/>
      </c>
      <c r="AY70" s="129" t="str">
        <f t="shared" si="12"/>
        <v/>
      </c>
      <c r="AZ70" s="129" t="str">
        <f t="shared" si="12"/>
        <v/>
      </c>
      <c r="BA70" s="129" t="str">
        <f t="shared" si="12"/>
        <v/>
      </c>
      <c r="BB70" s="129">
        <f t="shared" si="12"/>
        <v>0</v>
      </c>
      <c r="BC70" s="129" t="str">
        <f t="shared" si="12"/>
        <v/>
      </c>
      <c r="BD70" s="125">
        <f t="shared" ref="BD70:BD88" si="20">SUM(AX70:BC70)</f>
        <v>0</v>
      </c>
      <c r="BE70" s="125" t="str">
        <f t="shared" si="17"/>
        <v>F6</v>
      </c>
      <c r="BF70" s="125" t="str">
        <f>IF(AV70="","",RANK(AV70,AV$2:AV88,0))</f>
        <v/>
      </c>
      <c r="BG70" s="125" t="str">
        <f t="shared" si="18"/>
        <v/>
      </c>
    </row>
    <row r="71" spans="1:59" x14ac:dyDescent="0.35">
      <c r="A71" s="125">
        <f>'Student Basic Info'!A71</f>
        <v>770</v>
      </c>
      <c r="B71" s="125" t="str">
        <f>'Student Basic Info'!C71</f>
        <v>Ashraf Uddal</v>
      </c>
      <c r="C71" s="126" t="str">
        <f>IF(Bangla!B71="","",Bangla!B71)</f>
        <v/>
      </c>
      <c r="D71" s="126">
        <f>IF(Bangla!C71="","",Bangla!C71)</f>
        <v>22</v>
      </c>
      <c r="E71" s="135">
        <f>IF(Bangla!D71="","",Bangla!D71)</f>
        <v>22</v>
      </c>
      <c r="F71" s="135">
        <f>IF(English!C71="","",English!C71)</f>
        <v>17</v>
      </c>
      <c r="G71" s="125">
        <f>IF(ICT!B71="","",ICT!B71)</f>
        <v>8</v>
      </c>
      <c r="H71" s="125">
        <f>IF(ICT!C71="","",ICT!C71)</f>
        <v>9</v>
      </c>
      <c r="I71" s="125">
        <f>IF(ICT!D71="","",ICT!D71)</f>
        <v>20</v>
      </c>
      <c r="J71" s="137">
        <f>IF(ICT!E71="","",ICT!E71)</f>
        <v>37</v>
      </c>
      <c r="K71" s="125">
        <f>IF(Physics!B71="","",Physics!B71)</f>
        <v>10</v>
      </c>
      <c r="L71" s="125">
        <f>IF(Physics!C71="","",Physics!C71)</f>
        <v>15</v>
      </c>
      <c r="M71" s="125">
        <f>IF(Physics!D71="","",Physics!D71)</f>
        <v>15</v>
      </c>
      <c r="N71" s="137">
        <f>IF(Physics!E71="","",Physics!E71)</f>
        <v>40</v>
      </c>
      <c r="O71" s="125" t="str">
        <f>IF(Chemistry!B71="","",Chemistry!B71)</f>
        <v/>
      </c>
      <c r="P71" s="125" t="str">
        <f>IF(Chemistry!C71="","",Chemistry!C71)</f>
        <v/>
      </c>
      <c r="Q71" s="125" t="str">
        <f>IF(Chemistry!D71="","",Chemistry!D71)</f>
        <v/>
      </c>
      <c r="R71" s="137" t="str">
        <f>IF(Chemistry!E71="","",Chemistry!E71)</f>
        <v/>
      </c>
      <c r="S71" s="125">
        <f>IF(SubjectList!G71="Math", IF(Math!B71="","",Math!B71), IF(Biology!B71="","",Biology!B71))</f>
        <v>8</v>
      </c>
      <c r="T71" s="125">
        <f>IF(SubjectList!G71="Math", IF(Math!C71="","",Math!C71), IF(Biology!C71="","",Biology!C71))</f>
        <v>1</v>
      </c>
      <c r="U71" s="125">
        <f>IF(SubjectList!G71="Math", IF(Math!D71="","",Math!D71), IF(Biology!D71="","",Biology!D71))</f>
        <v>8</v>
      </c>
      <c r="V71" s="137">
        <f>IF(SubjectList!G71="Math", IF(Math!E71="","",Math!E71), IF(Biology!E71="","",Biology!E71))</f>
        <v>17</v>
      </c>
      <c r="W71" s="125">
        <f>IF(SubjectList!I71="Biology", IF(Biology!B71="","",Biology!B71), IF(Math!B71="","",Math!B71))</f>
        <v>6</v>
      </c>
      <c r="X71" s="125">
        <f>Optional!D71</f>
        <v>0</v>
      </c>
      <c r="Y71" s="125">
        <f>Optional!E71</f>
        <v>8</v>
      </c>
      <c r="Z71" s="137">
        <f>Optional!F71</f>
        <v>14</v>
      </c>
      <c r="AA71" s="127" t="str">
        <f>IF(SubjectList!G71="","", SubjectList!G71)</f>
        <v>Biology</v>
      </c>
      <c r="AB71" s="127" t="str">
        <f>IF(SubjectList!I71="","", SubjectList!I71)</f>
        <v>Math</v>
      </c>
      <c r="AC71" s="125" t="str">
        <f>Bangla!F71</f>
        <v>F</v>
      </c>
      <c r="AD71" s="125" t="str">
        <f>English!E71</f>
        <v>F</v>
      </c>
      <c r="AE71" s="125" t="str">
        <f>ICT!G71</f>
        <v>F</v>
      </c>
      <c r="AF71" s="125" t="str">
        <f>Physics!G71</f>
        <v>F</v>
      </c>
      <c r="AG71" s="125" t="str">
        <f>Chemistry!G71</f>
        <v/>
      </c>
      <c r="AH71" s="125" t="str">
        <f>IF(SubjectList!G71="Math", IF(Math!G71="","",Math!G71), IF(Biology!G71="","",Biology!G71))</f>
        <v>F</v>
      </c>
      <c r="AI71" s="125" t="str">
        <f>IF(SubjectList!H71="Math", IF(Math!G71="","",Math!G71), IF(Biology!G71="","",Biology!G71))</f>
        <v>F</v>
      </c>
      <c r="AJ71" s="140">
        <f>Bangla!G71</f>
        <v>0</v>
      </c>
      <c r="AK71" s="140">
        <f>English!F71</f>
        <v>0</v>
      </c>
      <c r="AL71" s="140">
        <f>ICT!H71</f>
        <v>0</v>
      </c>
      <c r="AM71" s="140">
        <f>Physics!H71</f>
        <v>0</v>
      </c>
      <c r="AN71" s="140" t="str">
        <f>Chemistry!H71</f>
        <v/>
      </c>
      <c r="AO71" s="140">
        <f>IF(SubjectList!G71="Math", IF(Math!H71="","",Math!H71), IF(Biology!H71="","",Biology!H71))</f>
        <v>0</v>
      </c>
      <c r="AP71" s="140">
        <f>IF(SubjectList!I71="Math", IF(Math!H71="","",Math!H71), IF(Biology!H71="","",Biology!H71))</f>
        <v>0</v>
      </c>
      <c r="AQ71" s="140">
        <f>Optional!I71</f>
        <v>0</v>
      </c>
      <c r="AR71" s="140">
        <f>Optional!J71</f>
        <v>0</v>
      </c>
      <c r="AS71" s="140" t="str">
        <f t="shared" si="14"/>
        <v/>
      </c>
      <c r="AT71" s="140" t="str">
        <f t="shared" si="19"/>
        <v/>
      </c>
      <c r="AU71" s="128" t="str">
        <f t="shared" si="15"/>
        <v/>
      </c>
      <c r="AV71" s="128" t="str">
        <f t="shared" si="16"/>
        <v/>
      </c>
      <c r="AW71" s="128">
        <f t="shared" si="11"/>
        <v>147</v>
      </c>
      <c r="AX71" s="129">
        <f t="shared" si="13"/>
        <v>0</v>
      </c>
      <c r="AY71" s="129">
        <f t="shared" si="12"/>
        <v>0</v>
      </c>
      <c r="AZ71" s="129">
        <f t="shared" si="12"/>
        <v>0</v>
      </c>
      <c r="BA71" s="129">
        <f t="shared" si="12"/>
        <v>0</v>
      </c>
      <c r="BB71" s="129" t="str">
        <f t="shared" si="12"/>
        <v/>
      </c>
      <c r="BC71" s="129">
        <f t="shared" si="12"/>
        <v>0</v>
      </c>
      <c r="BD71" s="125">
        <f t="shared" si="20"/>
        <v>0</v>
      </c>
      <c r="BE71" s="125" t="str">
        <f t="shared" si="17"/>
        <v>F6</v>
      </c>
      <c r="BF71" s="125" t="str">
        <f>IF(AV71="","",RANK(AV71,AV$2:AV88,0))</f>
        <v/>
      </c>
      <c r="BG71" s="125" t="str">
        <f t="shared" si="18"/>
        <v/>
      </c>
    </row>
    <row r="72" spans="1:59" x14ac:dyDescent="0.35">
      <c r="A72" s="125">
        <f>'Student Basic Info'!A72</f>
        <v>771</v>
      </c>
      <c r="B72" s="125" t="str">
        <f>'Student Basic Info'!C72</f>
        <v>Mesfar Uddin Ripti</v>
      </c>
      <c r="C72" s="126" t="str">
        <f>IF(Bangla!B72="","",Bangla!B72)</f>
        <v/>
      </c>
      <c r="D72" s="126" t="str">
        <f>IF(Bangla!C72="","",Bangla!C72)</f>
        <v/>
      </c>
      <c r="E72" s="135" t="str">
        <f>IF(Bangla!D72="","",Bangla!D72)</f>
        <v/>
      </c>
      <c r="F72" s="135" t="str">
        <f>IF(English!C72="","",English!C72)</f>
        <v/>
      </c>
      <c r="G72" s="125" t="str">
        <f>IF(ICT!B72="","",ICT!B72)</f>
        <v/>
      </c>
      <c r="H72" s="125" t="str">
        <f>IF(ICT!C72="","",ICT!C72)</f>
        <v/>
      </c>
      <c r="I72" s="125" t="str">
        <f>IF(ICT!D72="","",ICT!D72)</f>
        <v/>
      </c>
      <c r="J72" s="137" t="str">
        <f>IF(ICT!E72="","",ICT!E72)</f>
        <v/>
      </c>
      <c r="K72" s="125">
        <f>IF(Physics!B72="","",Physics!B72)</f>
        <v>15</v>
      </c>
      <c r="L72" s="125">
        <f>IF(Physics!C72="","",Physics!C72)</f>
        <v>3</v>
      </c>
      <c r="M72" s="125">
        <f>IF(Physics!D72="","",Physics!D72)</f>
        <v>12</v>
      </c>
      <c r="N72" s="137">
        <f>IF(Physics!E72="","",Physics!E72)</f>
        <v>30</v>
      </c>
      <c r="O72" s="125" t="str">
        <f>IF(Chemistry!B72="","",Chemistry!B72)</f>
        <v/>
      </c>
      <c r="P72" s="125" t="str">
        <f>IF(Chemistry!C72="","",Chemistry!C72)</f>
        <v/>
      </c>
      <c r="Q72" s="125" t="str">
        <f>IF(Chemistry!D72="","",Chemistry!D72)</f>
        <v/>
      </c>
      <c r="R72" s="137" t="str">
        <f>IF(Chemistry!E72="","",Chemistry!E72)</f>
        <v/>
      </c>
      <c r="S72" s="125">
        <f>IF(SubjectList!G72="Math", IF(Math!B72="","",Math!B72), IF(Biology!B72="","",Biology!B72))</f>
        <v>8</v>
      </c>
      <c r="T72" s="125">
        <f>IF(SubjectList!G72="Math", IF(Math!C72="","",Math!C72), IF(Biology!C72="","",Biology!C72))</f>
        <v>1</v>
      </c>
      <c r="U72" s="125">
        <f>IF(SubjectList!G72="Math", IF(Math!D72="","",Math!D72), IF(Biology!D72="","",Biology!D72))</f>
        <v>8</v>
      </c>
      <c r="V72" s="137">
        <f>IF(SubjectList!G72="Math", IF(Math!E72="","",Math!E72), IF(Biology!E72="","",Biology!E72))</f>
        <v>17</v>
      </c>
      <c r="W72" s="125" t="str">
        <f>IF(SubjectList!I72="Biology", IF(Biology!B72="","",Biology!B72), IF(Math!B72="","",Math!B72))</f>
        <v/>
      </c>
      <c r="X72" s="125" t="str">
        <f>Optional!D72</f>
        <v/>
      </c>
      <c r="Y72" s="125" t="str">
        <f>Optional!E72</f>
        <v/>
      </c>
      <c r="Z72" s="137" t="str">
        <f>Optional!F72</f>
        <v/>
      </c>
      <c r="AA72" s="127" t="str">
        <f>IF(SubjectList!G72="","", SubjectList!G72)</f>
        <v>Biology</v>
      </c>
      <c r="AB72" s="127" t="str">
        <f>IF(SubjectList!I72="","", SubjectList!I72)</f>
        <v>Math</v>
      </c>
      <c r="AC72" s="125" t="str">
        <f>Bangla!F72</f>
        <v/>
      </c>
      <c r="AD72" s="125" t="str">
        <f>English!E72</f>
        <v/>
      </c>
      <c r="AE72" s="125" t="str">
        <f>ICT!G72</f>
        <v/>
      </c>
      <c r="AF72" s="125" t="str">
        <f>Physics!G72</f>
        <v>F</v>
      </c>
      <c r="AG72" s="125" t="str">
        <f>Chemistry!G72</f>
        <v/>
      </c>
      <c r="AH72" s="125" t="str">
        <f>IF(SubjectList!G72="Math", IF(Math!G72="","",Math!G72), IF(Biology!G72="","",Biology!G72))</f>
        <v>F</v>
      </c>
      <c r="AI72" s="125" t="str">
        <f>IF(SubjectList!H72="Math", IF(Math!G72="","",Math!G72), IF(Biology!G72="","",Biology!G72))</f>
        <v/>
      </c>
      <c r="AJ72" s="140" t="str">
        <f>Bangla!G72</f>
        <v/>
      </c>
      <c r="AK72" s="140" t="str">
        <f>English!F72</f>
        <v/>
      </c>
      <c r="AL72" s="140" t="str">
        <f>ICT!H72</f>
        <v/>
      </c>
      <c r="AM72" s="140">
        <f>Physics!H72</f>
        <v>0</v>
      </c>
      <c r="AN72" s="140" t="str">
        <f>Chemistry!H72</f>
        <v/>
      </c>
      <c r="AO72" s="140">
        <f>IF(SubjectList!G72="Math", IF(Math!H72="","",Math!H72), IF(Biology!H72="","",Biology!H72))</f>
        <v>0</v>
      </c>
      <c r="AP72" s="140" t="str">
        <f>IF(SubjectList!I72="Math", IF(Math!H72="","",Math!H72), IF(Biology!H72="","",Biology!H72))</f>
        <v/>
      </c>
      <c r="AQ72" s="140" t="str">
        <f>Optional!I72</f>
        <v/>
      </c>
      <c r="AR72" s="140" t="str">
        <f>Optional!J72</f>
        <v/>
      </c>
      <c r="AS72" s="140" t="str">
        <f t="shared" si="14"/>
        <v/>
      </c>
      <c r="AT72" s="140" t="str">
        <f t="shared" si="19"/>
        <v/>
      </c>
      <c r="AU72" s="128" t="str">
        <f t="shared" si="15"/>
        <v/>
      </c>
      <c r="AV72" s="128" t="str">
        <f t="shared" si="16"/>
        <v/>
      </c>
      <c r="AW72" s="128">
        <f t="shared" si="11"/>
        <v>47</v>
      </c>
      <c r="AX72" s="129" t="str">
        <f t="shared" si="13"/>
        <v/>
      </c>
      <c r="AY72" s="129" t="str">
        <f t="shared" si="12"/>
        <v/>
      </c>
      <c r="AZ72" s="129" t="str">
        <f t="shared" si="12"/>
        <v/>
      </c>
      <c r="BA72" s="129">
        <f t="shared" si="12"/>
        <v>0</v>
      </c>
      <c r="BB72" s="129" t="str">
        <f t="shared" si="12"/>
        <v/>
      </c>
      <c r="BC72" s="129">
        <f t="shared" si="12"/>
        <v>0</v>
      </c>
      <c r="BD72" s="125">
        <f t="shared" si="20"/>
        <v>0</v>
      </c>
      <c r="BE72" s="125" t="str">
        <f t="shared" si="17"/>
        <v>F6</v>
      </c>
      <c r="BF72" s="125" t="str">
        <f>IF(AV72="","",RANK(AV72,AV$2:AV88,0))</f>
        <v/>
      </c>
      <c r="BG72" s="125" t="str">
        <f t="shared" si="18"/>
        <v/>
      </c>
    </row>
    <row r="73" spans="1:59" x14ac:dyDescent="0.35">
      <c r="A73" s="125">
        <f>'Student Basic Info'!A73</f>
        <v>772</v>
      </c>
      <c r="B73" s="125" t="str">
        <f>'Student Basic Info'!C73</f>
        <v>Shoikot Chandra Shil</v>
      </c>
      <c r="C73" s="126" t="str">
        <f>IF(Bangla!B73="","",Bangla!B73)</f>
        <v/>
      </c>
      <c r="D73" s="126">
        <f>IF(Bangla!C73="","",Bangla!C73)</f>
        <v>23</v>
      </c>
      <c r="E73" s="135">
        <f>IF(Bangla!D73="","",Bangla!D73)</f>
        <v>23</v>
      </c>
      <c r="F73" s="135">
        <f>IF(English!C73="","",English!C73)</f>
        <v>9</v>
      </c>
      <c r="G73" s="125">
        <f>IF(ICT!B73="","",ICT!B73)</f>
        <v>6</v>
      </c>
      <c r="H73" s="125">
        <f>IF(ICT!C73="","",ICT!C73)</f>
        <v>8</v>
      </c>
      <c r="I73" s="125">
        <f>IF(ICT!D73="","",ICT!D73)</f>
        <v>20</v>
      </c>
      <c r="J73" s="137">
        <f>IF(ICT!E73="","",ICT!E73)</f>
        <v>34</v>
      </c>
      <c r="K73" s="125">
        <f>IF(Physics!B73="","",Physics!B73)</f>
        <v>5</v>
      </c>
      <c r="L73" s="125">
        <f>IF(Physics!C73="","",Physics!C73)</f>
        <v>6</v>
      </c>
      <c r="M73" s="125">
        <f>IF(Physics!D73="","",Physics!D73)</f>
        <v>10</v>
      </c>
      <c r="N73" s="137">
        <f>IF(Physics!E73="","",Physics!E73)</f>
        <v>21</v>
      </c>
      <c r="O73" s="125" t="str">
        <f>IF(Chemistry!B73="","",Chemistry!B73)</f>
        <v/>
      </c>
      <c r="P73" s="125" t="str">
        <f>IF(Chemistry!C73="","",Chemistry!C73)</f>
        <v/>
      </c>
      <c r="Q73" s="125" t="str">
        <f>IF(Chemistry!D73="","",Chemistry!D73)</f>
        <v/>
      </c>
      <c r="R73" s="137" t="str">
        <f>IF(Chemistry!E73="","",Chemistry!E73)</f>
        <v/>
      </c>
      <c r="S73" s="125">
        <f>IF(SubjectList!G73="Math", IF(Math!B73="","",Math!B73), IF(Biology!B73="","",Biology!B73))</f>
        <v>3</v>
      </c>
      <c r="T73" s="125">
        <f>IF(SubjectList!G73="Math", IF(Math!C73="","",Math!C73), IF(Biology!C73="","",Biology!C73))</f>
        <v>0</v>
      </c>
      <c r="U73" s="125">
        <f>IF(SubjectList!G73="Math", IF(Math!D73="","",Math!D73), IF(Biology!D73="","",Biology!D73))</f>
        <v>8</v>
      </c>
      <c r="V73" s="137">
        <f>IF(SubjectList!G73="Math", IF(Math!E73="","",Math!E73), IF(Biology!E73="","",Biology!E73))</f>
        <v>11</v>
      </c>
      <c r="W73" s="125">
        <f>IF(SubjectList!I73="Biology", IF(Biology!B73="","",Biology!B73), IF(Math!B73="","",Math!B73))</f>
        <v>7</v>
      </c>
      <c r="X73" s="125">
        <f>Optional!D73</f>
        <v>0</v>
      </c>
      <c r="Y73" s="125">
        <f>Optional!E73</f>
        <v>8</v>
      </c>
      <c r="Z73" s="137">
        <f>Optional!F73</f>
        <v>15</v>
      </c>
      <c r="AA73" s="127" t="str">
        <f>IF(SubjectList!G73="","", SubjectList!G73)</f>
        <v>Biology</v>
      </c>
      <c r="AB73" s="127" t="str">
        <f>IF(SubjectList!I73="","", SubjectList!I73)</f>
        <v>Math</v>
      </c>
      <c r="AC73" s="125" t="str">
        <f>Bangla!F73</f>
        <v>F</v>
      </c>
      <c r="AD73" s="125" t="str">
        <f>English!E73</f>
        <v>F</v>
      </c>
      <c r="AE73" s="125" t="str">
        <f>ICT!G73</f>
        <v>F</v>
      </c>
      <c r="AF73" s="125" t="str">
        <f>Physics!G73</f>
        <v>F</v>
      </c>
      <c r="AG73" s="125" t="str">
        <f>Chemistry!G73</f>
        <v/>
      </c>
      <c r="AH73" s="125" t="str">
        <f>IF(SubjectList!G73="Math", IF(Math!G73="","",Math!G73), IF(Biology!G73="","",Biology!G73))</f>
        <v>F</v>
      </c>
      <c r="AI73" s="125" t="str">
        <f>IF(SubjectList!H73="Math", IF(Math!G73="","",Math!G73), IF(Biology!G73="","",Biology!G73))</f>
        <v>F</v>
      </c>
      <c r="AJ73" s="140">
        <f>Bangla!G73</f>
        <v>0</v>
      </c>
      <c r="AK73" s="140">
        <f>English!F73</f>
        <v>0</v>
      </c>
      <c r="AL73" s="140">
        <f>ICT!H73</f>
        <v>0</v>
      </c>
      <c r="AM73" s="140">
        <f>Physics!H73</f>
        <v>0</v>
      </c>
      <c r="AN73" s="140" t="str">
        <f>Chemistry!H73</f>
        <v/>
      </c>
      <c r="AO73" s="140">
        <f>IF(SubjectList!G73="Math", IF(Math!H73="","",Math!H73), IF(Biology!H73="","",Biology!H73))</f>
        <v>0</v>
      </c>
      <c r="AP73" s="140">
        <f>IF(SubjectList!I73="Math", IF(Math!H73="","",Math!H73), IF(Biology!H73="","",Biology!H73))</f>
        <v>0</v>
      </c>
      <c r="AQ73" s="140">
        <f>Optional!I73</f>
        <v>0</v>
      </c>
      <c r="AR73" s="140">
        <f>Optional!J73</f>
        <v>0</v>
      </c>
      <c r="AS73" s="140" t="str">
        <f t="shared" si="14"/>
        <v/>
      </c>
      <c r="AT73" s="140" t="str">
        <f t="shared" si="19"/>
        <v/>
      </c>
      <c r="AU73" s="128" t="str">
        <f t="shared" si="15"/>
        <v/>
      </c>
      <c r="AV73" s="128" t="str">
        <f t="shared" si="16"/>
        <v/>
      </c>
      <c r="AW73" s="128">
        <f t="shared" si="11"/>
        <v>113</v>
      </c>
      <c r="AX73" s="129">
        <f t="shared" si="13"/>
        <v>0</v>
      </c>
      <c r="AY73" s="129">
        <f t="shared" si="12"/>
        <v>0</v>
      </c>
      <c r="AZ73" s="129">
        <f t="shared" si="12"/>
        <v>0</v>
      </c>
      <c r="BA73" s="129">
        <f t="shared" si="12"/>
        <v>0</v>
      </c>
      <c r="BB73" s="129" t="str">
        <f t="shared" si="12"/>
        <v/>
      </c>
      <c r="BC73" s="129">
        <f t="shared" si="12"/>
        <v>0</v>
      </c>
      <c r="BD73" s="125">
        <f t="shared" si="20"/>
        <v>0</v>
      </c>
      <c r="BE73" s="125" t="str">
        <f t="shared" si="17"/>
        <v>F6</v>
      </c>
      <c r="BF73" s="125" t="str">
        <f>IF(AV73="","",RANK(AV73,AV$2:AV88,0))</f>
        <v/>
      </c>
      <c r="BG73" s="125" t="str">
        <f t="shared" si="18"/>
        <v/>
      </c>
    </row>
    <row r="74" spans="1:59" x14ac:dyDescent="0.35">
      <c r="A74" s="125">
        <f>'Student Basic Info'!A74</f>
        <v>773</v>
      </c>
      <c r="B74" s="125" t="str">
        <f>'Student Basic Info'!C74</f>
        <v>Shourov Chandra Shil</v>
      </c>
      <c r="C74" s="126" t="str">
        <f>IF(Bangla!B74="","",Bangla!B74)</f>
        <v/>
      </c>
      <c r="D74" s="126">
        <f>IF(Bangla!C74="","",Bangla!C74)</f>
        <v>20</v>
      </c>
      <c r="E74" s="135">
        <f>IF(Bangla!D74="","",Bangla!D74)</f>
        <v>20</v>
      </c>
      <c r="F74" s="135">
        <f>IF(English!C74="","",English!C74)</f>
        <v>24</v>
      </c>
      <c r="G74" s="125">
        <f>IF(ICT!B74="","",ICT!B74)</f>
        <v>13</v>
      </c>
      <c r="H74" s="125">
        <f>IF(ICT!C74="","",ICT!C74)</f>
        <v>7</v>
      </c>
      <c r="I74" s="125">
        <f>IF(ICT!D74="","",ICT!D74)</f>
        <v>24</v>
      </c>
      <c r="J74" s="137">
        <f>IF(ICT!E74="","",ICT!E74)</f>
        <v>44</v>
      </c>
      <c r="K74" s="125">
        <f>IF(Physics!B74="","",Physics!B74)</f>
        <v>9</v>
      </c>
      <c r="L74" s="125">
        <f>IF(Physics!C74="","",Physics!C74)</f>
        <v>8</v>
      </c>
      <c r="M74" s="125">
        <f>IF(Physics!D74="","",Physics!D74)</f>
        <v>12</v>
      </c>
      <c r="N74" s="137">
        <f>IF(Physics!E74="","",Physics!E74)</f>
        <v>29</v>
      </c>
      <c r="O74" s="125" t="str">
        <f>IF(Chemistry!B74="","",Chemistry!B74)</f>
        <v/>
      </c>
      <c r="P74" s="125" t="str">
        <f>IF(Chemistry!C74="","",Chemistry!C74)</f>
        <v/>
      </c>
      <c r="Q74" s="125" t="str">
        <f>IF(Chemistry!D74="","",Chemistry!D74)</f>
        <v/>
      </c>
      <c r="R74" s="137" t="str">
        <f>IF(Chemistry!E74="","",Chemistry!E74)</f>
        <v/>
      </c>
      <c r="S74" s="125">
        <f>IF(SubjectList!G74="Math", IF(Math!B74="","",Math!B74), IF(Biology!B74="","",Biology!B74))</f>
        <v>7</v>
      </c>
      <c r="T74" s="125">
        <f>IF(SubjectList!G74="Math", IF(Math!C74="","",Math!C74), IF(Biology!C74="","",Biology!C74))</f>
        <v>1</v>
      </c>
      <c r="U74" s="125">
        <f>IF(SubjectList!G74="Math", IF(Math!D74="","",Math!D74), IF(Biology!D74="","",Biology!D74))</f>
        <v>8</v>
      </c>
      <c r="V74" s="137">
        <f>IF(SubjectList!G74="Math", IF(Math!E74="","",Math!E74), IF(Biology!E74="","",Biology!E74))</f>
        <v>16</v>
      </c>
      <c r="W74" s="125">
        <f>IF(SubjectList!I74="Biology", IF(Biology!B74="","",Biology!B74), IF(Math!B74="","",Math!B74))</f>
        <v>12</v>
      </c>
      <c r="X74" s="125">
        <f>Optional!D74</f>
        <v>0</v>
      </c>
      <c r="Y74" s="125">
        <f>Optional!E74</f>
        <v>9</v>
      </c>
      <c r="Z74" s="137">
        <f>Optional!F74</f>
        <v>21</v>
      </c>
      <c r="AA74" s="127" t="str">
        <f>IF(SubjectList!G74="","", SubjectList!G74)</f>
        <v>Biology</v>
      </c>
      <c r="AB74" s="127" t="str">
        <f>IF(SubjectList!I74="","", SubjectList!I74)</f>
        <v>Math</v>
      </c>
      <c r="AC74" s="125" t="str">
        <f>Bangla!F74</f>
        <v>F</v>
      </c>
      <c r="AD74" s="125" t="str">
        <f>English!E74</f>
        <v>F</v>
      </c>
      <c r="AE74" s="125" t="str">
        <f>ICT!G74</f>
        <v>F</v>
      </c>
      <c r="AF74" s="125" t="str">
        <f>Physics!G74</f>
        <v>F</v>
      </c>
      <c r="AG74" s="125" t="str">
        <f>Chemistry!G74</f>
        <v/>
      </c>
      <c r="AH74" s="125" t="str">
        <f>IF(SubjectList!G74="Math", IF(Math!G74="","",Math!G74), IF(Biology!G74="","",Biology!G74))</f>
        <v>F</v>
      </c>
      <c r="AI74" s="125" t="str">
        <f>IF(SubjectList!H74="Math", IF(Math!G74="","",Math!G74), IF(Biology!G74="","",Biology!G74))</f>
        <v>F</v>
      </c>
      <c r="AJ74" s="140">
        <f>Bangla!G74</f>
        <v>0</v>
      </c>
      <c r="AK74" s="140">
        <f>English!F74</f>
        <v>0</v>
      </c>
      <c r="AL74" s="140">
        <f>ICT!H74</f>
        <v>0</v>
      </c>
      <c r="AM74" s="140">
        <f>Physics!H74</f>
        <v>0</v>
      </c>
      <c r="AN74" s="140" t="str">
        <f>Chemistry!H74</f>
        <v/>
      </c>
      <c r="AO74" s="140">
        <f>IF(SubjectList!G74="Math", IF(Math!H74="","",Math!H74), IF(Biology!H74="","",Biology!H74))</f>
        <v>0</v>
      </c>
      <c r="AP74" s="140">
        <f>IF(SubjectList!I74="Math", IF(Math!H74="","",Math!H74), IF(Biology!H74="","",Biology!H74))</f>
        <v>0</v>
      </c>
      <c r="AQ74" s="140">
        <f>Optional!I74</f>
        <v>0</v>
      </c>
      <c r="AR74" s="140">
        <f>Optional!J74</f>
        <v>0</v>
      </c>
      <c r="AS74" s="140" t="str">
        <f t="shared" si="14"/>
        <v/>
      </c>
      <c r="AT74" s="140" t="str">
        <f t="shared" si="19"/>
        <v/>
      </c>
      <c r="AU74" s="128" t="str">
        <f t="shared" si="15"/>
        <v/>
      </c>
      <c r="AV74" s="128" t="str">
        <f t="shared" si="16"/>
        <v/>
      </c>
      <c r="AW74" s="128">
        <f t="shared" si="11"/>
        <v>154</v>
      </c>
      <c r="AX74" s="129">
        <f t="shared" si="13"/>
        <v>0</v>
      </c>
      <c r="AY74" s="129">
        <f t="shared" si="12"/>
        <v>0</v>
      </c>
      <c r="AZ74" s="129">
        <f t="shared" si="12"/>
        <v>0</v>
      </c>
      <c r="BA74" s="129">
        <f t="shared" si="12"/>
        <v>0</v>
      </c>
      <c r="BB74" s="129" t="str">
        <f t="shared" si="12"/>
        <v/>
      </c>
      <c r="BC74" s="129">
        <f t="shared" si="12"/>
        <v>0</v>
      </c>
      <c r="BD74" s="125">
        <f t="shared" si="20"/>
        <v>0</v>
      </c>
      <c r="BE74" s="125" t="str">
        <f t="shared" si="17"/>
        <v>F6</v>
      </c>
      <c r="BF74" s="125" t="str">
        <f>IF(AV74="","",RANK(AV74,AV$2:AV88,0))</f>
        <v/>
      </c>
      <c r="BG74" s="125" t="str">
        <f t="shared" si="18"/>
        <v/>
      </c>
    </row>
    <row r="75" spans="1:59" x14ac:dyDescent="0.35">
      <c r="A75" s="125">
        <f>'Student Basic Info'!A75</f>
        <v>774</v>
      </c>
      <c r="B75" s="125" t="str">
        <f>'Student Basic Info'!C75</f>
        <v>Nur Islam</v>
      </c>
      <c r="C75" s="126" t="str">
        <f>IF(Bangla!B75="","",Bangla!B75)</f>
        <v/>
      </c>
      <c r="D75" s="126">
        <f>IF(Bangla!C75="","",Bangla!C75)</f>
        <v>67</v>
      </c>
      <c r="E75" s="135">
        <f>IF(Bangla!D75="","",Bangla!D75)</f>
        <v>67</v>
      </c>
      <c r="F75" s="135">
        <f>IF(English!C75="","",English!C75)</f>
        <v>27</v>
      </c>
      <c r="G75" s="125">
        <f>IF(ICT!B75="","",ICT!B75)</f>
        <v>8</v>
      </c>
      <c r="H75" s="125">
        <f>IF(ICT!C75="","",ICT!C75)</f>
        <v>19</v>
      </c>
      <c r="I75" s="125">
        <f>IF(ICT!D75="","",ICT!D75)</f>
        <v>24</v>
      </c>
      <c r="J75" s="137">
        <f>IF(ICT!E75="","",ICT!E75)</f>
        <v>51</v>
      </c>
      <c r="K75" s="125">
        <f>IF(Physics!B75="","",Physics!B75)</f>
        <v>8</v>
      </c>
      <c r="L75" s="125">
        <f>IF(Physics!C75="","",Physics!C75)</f>
        <v>20</v>
      </c>
      <c r="M75" s="125">
        <f>IF(Physics!D75="","",Physics!D75)</f>
        <v>16</v>
      </c>
      <c r="N75" s="137">
        <f>IF(Physics!E75="","",Physics!E75)</f>
        <v>44</v>
      </c>
      <c r="O75" s="125">
        <f>IF(Chemistry!B75="","",Chemistry!B75)</f>
        <v>10</v>
      </c>
      <c r="P75" s="125">
        <f>IF(Chemistry!C75="","",Chemistry!C75)</f>
        <v>3</v>
      </c>
      <c r="Q75" s="125">
        <f>IF(Chemistry!D75="","",Chemistry!D75)</f>
        <v>8</v>
      </c>
      <c r="R75" s="137">
        <f>IF(Chemistry!E75="","",Chemistry!E75)</f>
        <v>21</v>
      </c>
      <c r="S75" s="125">
        <f>IF(SubjectList!G75="Math", IF(Math!B75="","",Math!B75), IF(Biology!B75="","",Biology!B75))</f>
        <v>8</v>
      </c>
      <c r="T75" s="125">
        <f>IF(SubjectList!G75="Math", IF(Math!C75="","",Math!C75), IF(Biology!C75="","",Biology!C75))</f>
        <v>13</v>
      </c>
      <c r="U75" s="125">
        <f>IF(SubjectList!G75="Math", IF(Math!D75="","",Math!D75), IF(Biology!D75="","",Biology!D75))</f>
        <v>12</v>
      </c>
      <c r="V75" s="137">
        <f>IF(SubjectList!G75="Math", IF(Math!E75="","",Math!E75), IF(Biology!E75="","",Biology!E75))</f>
        <v>33</v>
      </c>
      <c r="W75" s="125">
        <f>IF(SubjectList!I75="Biology", IF(Biology!B75="","",Biology!B75), IF(Math!B75="","",Math!B75))</f>
        <v>10</v>
      </c>
      <c r="X75" s="125">
        <f>Optional!D75</f>
        <v>0</v>
      </c>
      <c r="Y75" s="125">
        <f>Optional!E75</f>
        <v>9</v>
      </c>
      <c r="Z75" s="137">
        <f>Optional!F75</f>
        <v>19</v>
      </c>
      <c r="AA75" s="127" t="str">
        <f>IF(SubjectList!G75="","", SubjectList!G75)</f>
        <v>Biology</v>
      </c>
      <c r="AB75" s="127" t="str">
        <f>IF(SubjectList!I75="","", SubjectList!I75)</f>
        <v>Math</v>
      </c>
      <c r="AC75" s="125" t="str">
        <f>Bangla!F75</f>
        <v>A-</v>
      </c>
      <c r="AD75" s="125" t="str">
        <f>English!E75</f>
        <v>F</v>
      </c>
      <c r="AE75" s="125" t="str">
        <f>ICT!G75</f>
        <v>B</v>
      </c>
      <c r="AF75" s="125" t="str">
        <f>Physics!G75</f>
        <v>C</v>
      </c>
      <c r="AG75" s="125" t="str">
        <f>Chemistry!G75</f>
        <v>F</v>
      </c>
      <c r="AH75" s="125" t="str">
        <f>IF(SubjectList!G75="Math", IF(Math!G75="","",Math!G75), IF(Biology!G75="","",Biology!G75))</f>
        <v>F</v>
      </c>
      <c r="AI75" s="125" t="str">
        <f>IF(SubjectList!H75="Math", IF(Math!G75="","",Math!G75), IF(Biology!G75="","",Biology!G75))</f>
        <v>F</v>
      </c>
      <c r="AJ75" s="140">
        <f>Bangla!G75</f>
        <v>3.5</v>
      </c>
      <c r="AK75" s="140">
        <f>English!F75</f>
        <v>0</v>
      </c>
      <c r="AL75" s="140">
        <f>ICT!H75</f>
        <v>3</v>
      </c>
      <c r="AM75" s="140">
        <f>Physics!H75</f>
        <v>2</v>
      </c>
      <c r="AN75" s="140">
        <f>Chemistry!H75</f>
        <v>0</v>
      </c>
      <c r="AO75" s="140">
        <f>IF(SubjectList!G75="Math", IF(Math!H75="","",Math!H75), IF(Biology!H75="","",Biology!H75))</f>
        <v>0</v>
      </c>
      <c r="AP75" s="140">
        <f>IF(SubjectList!I75="Math", IF(Math!H75="","",Math!H75), IF(Biology!H75="","",Biology!H75))</f>
        <v>0</v>
      </c>
      <c r="AQ75" s="140">
        <f>Optional!I75</f>
        <v>0</v>
      </c>
      <c r="AR75" s="140">
        <f>Optional!J75</f>
        <v>0</v>
      </c>
      <c r="AS75" s="140">
        <f t="shared" si="14"/>
        <v>8.5</v>
      </c>
      <c r="AT75" s="140">
        <f t="shared" si="19"/>
        <v>8.5</v>
      </c>
      <c r="AU75" s="128" t="str">
        <f t="shared" si="15"/>
        <v/>
      </c>
      <c r="AV75" s="128" t="str">
        <f t="shared" si="16"/>
        <v/>
      </c>
      <c r="AW75" s="128">
        <f t="shared" si="11"/>
        <v>262</v>
      </c>
      <c r="AX75" s="129">
        <f t="shared" si="13"/>
        <v>1</v>
      </c>
      <c r="AY75" s="129">
        <f t="shared" si="12"/>
        <v>0</v>
      </c>
      <c r="AZ75" s="129">
        <f t="shared" si="12"/>
        <v>1</v>
      </c>
      <c r="BA75" s="129">
        <f t="shared" si="12"/>
        <v>1</v>
      </c>
      <c r="BB75" s="129">
        <f t="shared" si="12"/>
        <v>0</v>
      </c>
      <c r="BC75" s="129">
        <f t="shared" si="12"/>
        <v>0</v>
      </c>
      <c r="BD75" s="125">
        <f t="shared" si="20"/>
        <v>3</v>
      </c>
      <c r="BE75" s="125" t="str">
        <f t="shared" si="17"/>
        <v>F3</v>
      </c>
      <c r="BF75" s="125" t="str">
        <f>IF(AV75="","",RANK(AV75,AV$2:AV88,0))</f>
        <v/>
      </c>
      <c r="BG75" s="125" t="str">
        <f t="shared" si="18"/>
        <v/>
      </c>
    </row>
    <row r="76" spans="1:59" x14ac:dyDescent="0.35">
      <c r="A76" s="125">
        <f>'Student Basic Info'!A76</f>
        <v>775</v>
      </c>
      <c r="B76" s="125" t="str">
        <f>'Student Basic Info'!C76</f>
        <v>Nur Mohammad Rimon</v>
      </c>
      <c r="C76" s="126" t="str">
        <f>IF(Bangla!B76="","",Bangla!B76)</f>
        <v/>
      </c>
      <c r="D76" s="126">
        <f>IF(Bangla!C76="","",Bangla!C76)</f>
        <v>26</v>
      </c>
      <c r="E76" s="135">
        <f>IF(Bangla!D76="","",Bangla!D76)</f>
        <v>26</v>
      </c>
      <c r="F76" s="135">
        <f>IF(English!C76="","",English!C76)</f>
        <v>28</v>
      </c>
      <c r="G76" s="125">
        <f>IF(ICT!B76="","",ICT!B76)</f>
        <v>9</v>
      </c>
      <c r="H76" s="125">
        <f>IF(ICT!C76="","",ICT!C76)</f>
        <v>10</v>
      </c>
      <c r="I76" s="125">
        <f>IF(ICT!D76="","",ICT!D76)</f>
        <v>8</v>
      </c>
      <c r="J76" s="137">
        <f>IF(ICT!E76="","",ICT!E76)</f>
        <v>27</v>
      </c>
      <c r="K76" s="125">
        <f>IF(Physics!B76="","",Physics!B76)</f>
        <v>10</v>
      </c>
      <c r="L76" s="125">
        <f>IF(Physics!C76="","",Physics!C76)</f>
        <v>10</v>
      </c>
      <c r="M76" s="125">
        <f>IF(Physics!D76="","",Physics!D76)</f>
        <v>12</v>
      </c>
      <c r="N76" s="137">
        <f>IF(Physics!E76="","",Physics!E76)</f>
        <v>32</v>
      </c>
      <c r="O76" s="125" t="str">
        <f>IF(Chemistry!B76="","",Chemistry!B76)</f>
        <v/>
      </c>
      <c r="P76" s="125" t="str">
        <f>IF(Chemistry!C76="","",Chemistry!C76)</f>
        <v/>
      </c>
      <c r="Q76" s="125" t="str">
        <f>IF(Chemistry!D76="","",Chemistry!D76)</f>
        <v/>
      </c>
      <c r="R76" s="137" t="str">
        <f>IF(Chemistry!E76="","",Chemistry!E76)</f>
        <v/>
      </c>
      <c r="S76" s="125">
        <f>IF(SubjectList!G76="Math", IF(Math!B76="","",Math!B76), IF(Biology!B76="","",Biology!B76))</f>
        <v>8</v>
      </c>
      <c r="T76" s="125">
        <f>IF(SubjectList!G76="Math", IF(Math!C76="","",Math!C76), IF(Biology!C76="","",Biology!C76))</f>
        <v>2</v>
      </c>
      <c r="U76" s="125">
        <f>IF(SubjectList!G76="Math", IF(Math!D76="","",Math!D76), IF(Biology!D76="","",Biology!D76))</f>
        <v>8</v>
      </c>
      <c r="V76" s="137">
        <f>IF(SubjectList!G76="Math", IF(Math!E76="","",Math!E76), IF(Biology!E76="","",Biology!E76))</f>
        <v>18</v>
      </c>
      <c r="W76" s="125" t="str">
        <f>IF(SubjectList!I76="Biology", IF(Biology!B76="","",Biology!B76), IF(Math!B76="","",Math!B76))</f>
        <v/>
      </c>
      <c r="X76" s="125" t="str">
        <f>Optional!D76</f>
        <v/>
      </c>
      <c r="Y76" s="125" t="str">
        <f>Optional!E76</f>
        <v/>
      </c>
      <c r="Z76" s="137" t="str">
        <f>Optional!F76</f>
        <v/>
      </c>
      <c r="AA76" s="127" t="str">
        <f>IF(SubjectList!G76="","", SubjectList!G76)</f>
        <v>Biology</v>
      </c>
      <c r="AB76" s="127" t="str">
        <f>IF(SubjectList!I76="","", SubjectList!I76)</f>
        <v>Math</v>
      </c>
      <c r="AC76" s="125" t="str">
        <f>Bangla!F76</f>
        <v>F</v>
      </c>
      <c r="AD76" s="125" t="str">
        <f>English!E76</f>
        <v>F</v>
      </c>
      <c r="AE76" s="125" t="str">
        <f>ICT!G76</f>
        <v>F</v>
      </c>
      <c r="AF76" s="125" t="str">
        <f>Physics!G76</f>
        <v>F</v>
      </c>
      <c r="AG76" s="125" t="str">
        <f>Chemistry!G76</f>
        <v/>
      </c>
      <c r="AH76" s="125" t="str">
        <f>IF(SubjectList!G76="Math", IF(Math!G76="","",Math!G76), IF(Biology!G76="","",Biology!G76))</f>
        <v>F</v>
      </c>
      <c r="AI76" s="125" t="str">
        <f>IF(SubjectList!H76="Math", IF(Math!G76="","",Math!G76), IF(Biology!G76="","",Biology!G76))</f>
        <v/>
      </c>
      <c r="AJ76" s="140">
        <f>Bangla!G76</f>
        <v>0</v>
      </c>
      <c r="AK76" s="140">
        <f>English!F76</f>
        <v>0</v>
      </c>
      <c r="AL76" s="140">
        <f>ICT!H76</f>
        <v>0</v>
      </c>
      <c r="AM76" s="140">
        <f>Physics!H76</f>
        <v>0</v>
      </c>
      <c r="AN76" s="140" t="str">
        <f>Chemistry!H76</f>
        <v/>
      </c>
      <c r="AO76" s="140">
        <f>IF(SubjectList!G76="Math", IF(Math!H76="","",Math!H76), IF(Biology!H76="","",Biology!H76))</f>
        <v>0</v>
      </c>
      <c r="AP76" s="140" t="str">
        <f>IF(SubjectList!I76="Math", IF(Math!H76="","",Math!H76), IF(Biology!H76="","",Biology!H76))</f>
        <v/>
      </c>
      <c r="AQ76" s="140" t="str">
        <f>Optional!I76</f>
        <v/>
      </c>
      <c r="AR76" s="140" t="str">
        <f>Optional!J76</f>
        <v/>
      </c>
      <c r="AS76" s="140" t="str">
        <f t="shared" si="14"/>
        <v/>
      </c>
      <c r="AT76" s="140" t="str">
        <f t="shared" si="19"/>
        <v/>
      </c>
      <c r="AU76" s="128" t="str">
        <f t="shared" si="15"/>
        <v/>
      </c>
      <c r="AV76" s="128" t="str">
        <f t="shared" si="16"/>
        <v/>
      </c>
      <c r="AW76" s="128">
        <f t="shared" ref="AW76:AW88" si="21">IF(E76="",0,E76)+IF(F76="",0,F76)+IF(J76="",0,J76)+IF(N76="",0,N76)+IF(R76="",0,R76)+IF(V76="",0,V76)+IF(Z76="",0,Z76)</f>
        <v>131</v>
      </c>
      <c r="AX76" s="129">
        <f t="shared" si="13"/>
        <v>0</v>
      </c>
      <c r="AY76" s="129">
        <f t="shared" si="12"/>
        <v>0</v>
      </c>
      <c r="AZ76" s="129">
        <f t="shared" si="12"/>
        <v>0</v>
      </c>
      <c r="BA76" s="129">
        <f t="shared" si="12"/>
        <v>0</v>
      </c>
      <c r="BB76" s="129" t="str">
        <f t="shared" si="12"/>
        <v/>
      </c>
      <c r="BC76" s="129">
        <f t="shared" si="12"/>
        <v>0</v>
      </c>
      <c r="BD76" s="125">
        <f t="shared" si="20"/>
        <v>0</v>
      </c>
      <c r="BE76" s="125" t="str">
        <f t="shared" si="17"/>
        <v>F6</v>
      </c>
      <c r="BF76" s="125" t="str">
        <f>IF(AV76="","",RANK(AV76,AV$2:AV88,0))</f>
        <v/>
      </c>
      <c r="BG76" s="125" t="str">
        <f t="shared" si="18"/>
        <v/>
      </c>
    </row>
    <row r="77" spans="1:59" x14ac:dyDescent="0.35">
      <c r="A77" s="125">
        <f>'Student Basic Info'!A77</f>
        <v>776</v>
      </c>
      <c r="B77" s="125" t="str">
        <f>'Student Basic Info'!C77</f>
        <v>Saifullah Mansur</v>
      </c>
      <c r="C77" s="126" t="str">
        <f>IF(Bangla!B77="","",Bangla!B77)</f>
        <v/>
      </c>
      <c r="D77" s="126">
        <f>IF(Bangla!C77="","",Bangla!C77)</f>
        <v>17</v>
      </c>
      <c r="E77" s="135">
        <f>IF(Bangla!D77="","",Bangla!D77)</f>
        <v>17</v>
      </c>
      <c r="F77" s="135">
        <f>IF(English!C77="","",English!C77)</f>
        <v>12</v>
      </c>
      <c r="G77" s="125">
        <f>IF(ICT!B77="","",ICT!B77)</f>
        <v>6</v>
      </c>
      <c r="H77" s="125">
        <f>IF(ICT!C77="","",ICT!C77)</f>
        <v>6</v>
      </c>
      <c r="I77" s="125">
        <f>IF(ICT!D77="","",ICT!D77)</f>
        <v>8</v>
      </c>
      <c r="J77" s="137">
        <f>IF(ICT!E77="","",ICT!E77)</f>
        <v>20</v>
      </c>
      <c r="K77" s="125">
        <f>IF(Physics!B77="","",Physics!B77)</f>
        <v>3</v>
      </c>
      <c r="L77" s="125">
        <f>IF(Physics!C77="","",Physics!C77)</f>
        <v>3</v>
      </c>
      <c r="M77" s="125">
        <f>IF(Physics!D77="","",Physics!D77)</f>
        <v>8</v>
      </c>
      <c r="N77" s="137">
        <f>IF(Physics!E77="","",Physics!E77)</f>
        <v>14</v>
      </c>
      <c r="O77" s="125">
        <f>IF(Chemistry!B77="","",Chemistry!B77)</f>
        <v>6</v>
      </c>
      <c r="P77" s="125">
        <f>IF(Chemistry!C77="","",Chemistry!C77)</f>
        <v>0</v>
      </c>
      <c r="Q77" s="125">
        <f>IF(Chemistry!D77="","",Chemistry!D77)</f>
        <v>8</v>
      </c>
      <c r="R77" s="137">
        <f>IF(Chemistry!E77="","",Chemistry!E77)</f>
        <v>14</v>
      </c>
      <c r="S77" s="125">
        <f>IF(SubjectList!G77="Math", IF(Math!B77="","",Math!B77), IF(Biology!B77="","",Biology!B77))</f>
        <v>7</v>
      </c>
      <c r="T77" s="125">
        <f>IF(SubjectList!G77="Math", IF(Math!C77="","",Math!C77), IF(Biology!C77="","",Biology!C77))</f>
        <v>0</v>
      </c>
      <c r="U77" s="125">
        <f>IF(SubjectList!G77="Math", IF(Math!D77="","",Math!D77), IF(Biology!D77="","",Biology!D77))</f>
        <v>8</v>
      </c>
      <c r="V77" s="137">
        <f>IF(SubjectList!G77="Math", IF(Math!E77="","",Math!E77), IF(Biology!E77="","",Biology!E77))</f>
        <v>15</v>
      </c>
      <c r="W77" s="125">
        <f>IF(SubjectList!I77="Biology", IF(Biology!B77="","",Biology!B77), IF(Math!B77="","",Math!B77))</f>
        <v>3</v>
      </c>
      <c r="X77" s="125">
        <f>Optional!D77</f>
        <v>0</v>
      </c>
      <c r="Y77" s="125">
        <f>Optional!E77</f>
        <v>8</v>
      </c>
      <c r="Z77" s="137">
        <f>Optional!F77</f>
        <v>11</v>
      </c>
      <c r="AA77" s="127" t="str">
        <f>IF(SubjectList!G77="","", SubjectList!G77)</f>
        <v>Biology</v>
      </c>
      <c r="AB77" s="127" t="str">
        <f>IF(SubjectList!I77="","", SubjectList!I77)</f>
        <v>Math</v>
      </c>
      <c r="AC77" s="125" t="str">
        <f>Bangla!F77</f>
        <v>F</v>
      </c>
      <c r="AD77" s="125" t="str">
        <f>English!E77</f>
        <v>F</v>
      </c>
      <c r="AE77" s="125" t="str">
        <f>ICT!G77</f>
        <v>F</v>
      </c>
      <c r="AF77" s="125" t="str">
        <f>Physics!G77</f>
        <v>F</v>
      </c>
      <c r="AG77" s="125" t="str">
        <f>Chemistry!G77</f>
        <v>F</v>
      </c>
      <c r="AH77" s="125" t="str">
        <f>IF(SubjectList!G77="Math", IF(Math!G77="","",Math!G77), IF(Biology!G77="","",Biology!G77))</f>
        <v>F</v>
      </c>
      <c r="AI77" s="125" t="str">
        <f>IF(SubjectList!H77="Math", IF(Math!G77="","",Math!G77), IF(Biology!G77="","",Biology!G77))</f>
        <v>F</v>
      </c>
      <c r="AJ77" s="140">
        <f>Bangla!G77</f>
        <v>0</v>
      </c>
      <c r="AK77" s="140">
        <f>English!F77</f>
        <v>0</v>
      </c>
      <c r="AL77" s="140">
        <f>ICT!H77</f>
        <v>0</v>
      </c>
      <c r="AM77" s="140">
        <f>Physics!H77</f>
        <v>0</v>
      </c>
      <c r="AN77" s="140">
        <f>Chemistry!H77</f>
        <v>0</v>
      </c>
      <c r="AO77" s="140">
        <f>IF(SubjectList!G77="Math", IF(Math!H77="","",Math!H77), IF(Biology!H77="","",Biology!H77))</f>
        <v>0</v>
      </c>
      <c r="AP77" s="140">
        <f>IF(SubjectList!I77="Math", IF(Math!H77="","",Math!H77), IF(Biology!H77="","",Biology!H77))</f>
        <v>0</v>
      </c>
      <c r="AQ77" s="140">
        <f>Optional!I77</f>
        <v>0</v>
      </c>
      <c r="AR77" s="140">
        <f>Optional!J77</f>
        <v>0</v>
      </c>
      <c r="AS77" s="140" t="str">
        <f t="shared" si="14"/>
        <v/>
      </c>
      <c r="AT77" s="140" t="str">
        <f t="shared" si="19"/>
        <v/>
      </c>
      <c r="AU77" s="128" t="str">
        <f t="shared" si="15"/>
        <v/>
      </c>
      <c r="AV77" s="128" t="str">
        <f t="shared" si="16"/>
        <v/>
      </c>
      <c r="AW77" s="128">
        <f t="shared" si="21"/>
        <v>103</v>
      </c>
      <c r="AX77" s="129">
        <f t="shared" si="13"/>
        <v>0</v>
      </c>
      <c r="AY77" s="129">
        <f t="shared" si="12"/>
        <v>0</v>
      </c>
      <c r="AZ77" s="129">
        <f t="shared" si="12"/>
        <v>0</v>
      </c>
      <c r="BA77" s="129">
        <f t="shared" si="12"/>
        <v>0</v>
      </c>
      <c r="BB77" s="129">
        <f t="shared" si="12"/>
        <v>0</v>
      </c>
      <c r="BC77" s="129">
        <f t="shared" si="12"/>
        <v>0</v>
      </c>
      <c r="BD77" s="125">
        <f t="shared" si="20"/>
        <v>0</v>
      </c>
      <c r="BE77" s="125" t="str">
        <f t="shared" si="17"/>
        <v>F6</v>
      </c>
      <c r="BF77" s="125" t="str">
        <f>IF(AV77="","",RANK(AV77,AV$2:AV88,0))</f>
        <v/>
      </c>
      <c r="BG77" s="125" t="str">
        <f t="shared" si="18"/>
        <v/>
      </c>
    </row>
    <row r="78" spans="1:59" x14ac:dyDescent="0.35">
      <c r="A78" s="125">
        <f>'Student Basic Info'!A78</f>
        <v>777</v>
      </c>
      <c r="B78" s="125" t="str">
        <f>'Student Basic Info'!C78</f>
        <v>Zunayed Al Mamun</v>
      </c>
      <c r="C78" s="126" t="str">
        <f>IF(Bangla!B78="","",Bangla!B78)</f>
        <v/>
      </c>
      <c r="D78" s="126" t="str">
        <f>IF(Bangla!C78="","",Bangla!C78)</f>
        <v/>
      </c>
      <c r="E78" s="135" t="str">
        <f>IF(Bangla!D78="","",Bangla!D78)</f>
        <v/>
      </c>
      <c r="F78" s="135" t="str">
        <f>IF(English!C78="","",English!C78)</f>
        <v/>
      </c>
      <c r="G78" s="125" t="str">
        <f>IF(ICT!B78="","",ICT!B78)</f>
        <v/>
      </c>
      <c r="H78" s="125" t="str">
        <f>IF(ICT!C78="","",ICT!C78)</f>
        <v/>
      </c>
      <c r="I78" s="125" t="str">
        <f>IF(ICT!D78="","",ICT!D78)</f>
        <v/>
      </c>
      <c r="J78" s="137" t="str">
        <f>IF(ICT!E78="","",ICT!E78)</f>
        <v/>
      </c>
      <c r="K78" s="125" t="str">
        <f>IF(Physics!B78="","",Physics!B78)</f>
        <v/>
      </c>
      <c r="L78" s="125" t="str">
        <f>IF(Physics!C78="","",Physics!C78)</f>
        <v/>
      </c>
      <c r="M78" s="125" t="str">
        <f>IF(Physics!D78="","",Physics!D78)</f>
        <v/>
      </c>
      <c r="N78" s="137" t="str">
        <f>IF(Physics!E78="","",Physics!E78)</f>
        <v/>
      </c>
      <c r="O78" s="125" t="str">
        <f>IF(Chemistry!B78="","",Chemistry!B78)</f>
        <v/>
      </c>
      <c r="P78" s="125" t="str">
        <f>IF(Chemistry!C78="","",Chemistry!C78)</f>
        <v/>
      </c>
      <c r="Q78" s="125" t="str">
        <f>IF(Chemistry!D78="","",Chemistry!D78)</f>
        <v/>
      </c>
      <c r="R78" s="137" t="str">
        <f>IF(Chemistry!E78="","",Chemistry!E78)</f>
        <v/>
      </c>
      <c r="S78" s="125" t="str">
        <f>IF(SubjectList!G78="Math", IF(Math!B78="","",Math!B78), IF(Biology!B78="","",Biology!B78))</f>
        <v/>
      </c>
      <c r="T78" s="125" t="str">
        <f>IF(SubjectList!G78="Math", IF(Math!C78="","",Math!C78), IF(Biology!C78="","",Biology!C78))</f>
        <v/>
      </c>
      <c r="U78" s="125" t="str">
        <f>IF(SubjectList!G78="Math", IF(Math!D78="","",Math!D78), IF(Biology!D78="","",Biology!D78))</f>
        <v/>
      </c>
      <c r="V78" s="137" t="str">
        <f>IF(SubjectList!G78="Math", IF(Math!E78="","",Math!E78), IF(Biology!E78="","",Biology!E78))</f>
        <v/>
      </c>
      <c r="W78" s="125" t="str">
        <f>IF(SubjectList!I78="Biology", IF(Biology!B78="","",Biology!B78), IF(Math!B78="","",Math!B78))</f>
        <v/>
      </c>
      <c r="X78" s="125" t="str">
        <f>Optional!D78</f>
        <v/>
      </c>
      <c r="Y78" s="125" t="str">
        <f>Optional!E78</f>
        <v/>
      </c>
      <c r="Z78" s="137" t="str">
        <f>Optional!F78</f>
        <v/>
      </c>
      <c r="AA78" s="127" t="str">
        <f>IF(SubjectList!G78="","", SubjectList!G78)</f>
        <v>Biology</v>
      </c>
      <c r="AB78" s="127" t="str">
        <f>IF(SubjectList!I78="","", SubjectList!I78)</f>
        <v>Math</v>
      </c>
      <c r="AC78" s="125" t="str">
        <f>Bangla!F78</f>
        <v/>
      </c>
      <c r="AD78" s="125" t="str">
        <f>English!E78</f>
        <v/>
      </c>
      <c r="AE78" s="125" t="str">
        <f>ICT!G78</f>
        <v/>
      </c>
      <c r="AF78" s="125" t="str">
        <f>Physics!G78</f>
        <v/>
      </c>
      <c r="AG78" s="125" t="str">
        <f>Chemistry!G78</f>
        <v/>
      </c>
      <c r="AH78" s="125" t="str">
        <f>IF(SubjectList!G78="Math", IF(Math!G78="","",Math!G78), IF(Biology!G78="","",Biology!G78))</f>
        <v/>
      </c>
      <c r="AI78" s="125" t="str">
        <f>IF(SubjectList!H78="Math", IF(Math!G78="","",Math!G78), IF(Biology!G78="","",Biology!G78))</f>
        <v/>
      </c>
      <c r="AJ78" s="140" t="str">
        <f>Bangla!G78</f>
        <v/>
      </c>
      <c r="AK78" s="140" t="str">
        <f>English!F78</f>
        <v/>
      </c>
      <c r="AL78" s="140" t="str">
        <f>ICT!H78</f>
        <v/>
      </c>
      <c r="AM78" s="140" t="str">
        <f>Physics!H78</f>
        <v/>
      </c>
      <c r="AN78" s="140" t="str">
        <f>Chemistry!H78</f>
        <v/>
      </c>
      <c r="AO78" s="140" t="str">
        <f>IF(SubjectList!G78="Math", IF(Math!H78="","",Math!H78), IF(Biology!H78="","",Biology!H78))</f>
        <v/>
      </c>
      <c r="AP78" s="140" t="str">
        <f>IF(SubjectList!I78="Math", IF(Math!H78="","",Math!H78), IF(Biology!H78="","",Biology!H78))</f>
        <v/>
      </c>
      <c r="AQ78" s="140" t="str">
        <f>Optional!I78</f>
        <v/>
      </c>
      <c r="AR78" s="140" t="str">
        <f>Optional!J78</f>
        <v/>
      </c>
      <c r="AS78" s="140" t="str">
        <f t="shared" si="14"/>
        <v/>
      </c>
      <c r="AT78" s="140" t="str">
        <f t="shared" si="19"/>
        <v/>
      </c>
      <c r="AU78" s="128" t="str">
        <f t="shared" si="15"/>
        <v/>
      </c>
      <c r="AV78" s="128" t="str">
        <f t="shared" si="16"/>
        <v/>
      </c>
      <c r="AW78" s="128">
        <f t="shared" si="21"/>
        <v>0</v>
      </c>
      <c r="AX78" s="129" t="str">
        <f t="shared" si="13"/>
        <v/>
      </c>
      <c r="AY78" s="129" t="str">
        <f t="shared" si="12"/>
        <v/>
      </c>
      <c r="AZ78" s="129" t="str">
        <f t="shared" si="12"/>
        <v/>
      </c>
      <c r="BA78" s="129" t="str">
        <f t="shared" si="12"/>
        <v/>
      </c>
      <c r="BB78" s="129" t="str">
        <f t="shared" si="12"/>
        <v/>
      </c>
      <c r="BC78" s="129" t="str">
        <f t="shared" si="12"/>
        <v/>
      </c>
      <c r="BD78" s="125">
        <f t="shared" si="20"/>
        <v>0</v>
      </c>
      <c r="BE78" s="125" t="str">
        <f t="shared" si="17"/>
        <v>F6</v>
      </c>
      <c r="BF78" s="125" t="str">
        <f>IF(AV78="","",RANK(AV78,AV$2:AV88,0))</f>
        <v/>
      </c>
      <c r="BG78" s="125" t="str">
        <f t="shared" si="18"/>
        <v/>
      </c>
    </row>
    <row r="79" spans="1:59" x14ac:dyDescent="0.35">
      <c r="A79" s="125">
        <f>'Student Basic Info'!A79</f>
        <v>778</v>
      </c>
      <c r="B79" s="125" t="str">
        <f>'Student Basic Info'!C79</f>
        <v>Al Hosain</v>
      </c>
      <c r="C79" s="126" t="str">
        <f>IF(Bangla!B79="","",Bangla!B79)</f>
        <v/>
      </c>
      <c r="D79" s="126" t="str">
        <f>IF(Bangla!C79="","",Bangla!C79)</f>
        <v/>
      </c>
      <c r="E79" s="135" t="str">
        <f>IF(Bangla!D79="","",Bangla!D79)</f>
        <v/>
      </c>
      <c r="F79" s="135" t="str">
        <f>IF(English!C79="","",English!C79)</f>
        <v/>
      </c>
      <c r="G79" s="125" t="str">
        <f>IF(ICT!B79="","",ICT!B79)</f>
        <v/>
      </c>
      <c r="H79" s="125" t="str">
        <f>IF(ICT!C79="","",ICT!C79)</f>
        <v/>
      </c>
      <c r="I79" s="125" t="str">
        <f>IF(ICT!D79="","",ICT!D79)</f>
        <v/>
      </c>
      <c r="J79" s="137" t="str">
        <f>IF(ICT!E79="","",ICT!E79)</f>
        <v/>
      </c>
      <c r="K79" s="125" t="str">
        <f>IF(Physics!B79="","",Physics!B79)</f>
        <v/>
      </c>
      <c r="L79" s="125" t="str">
        <f>IF(Physics!C79="","",Physics!C79)</f>
        <v/>
      </c>
      <c r="M79" s="125" t="str">
        <f>IF(Physics!D79="","",Physics!D79)</f>
        <v/>
      </c>
      <c r="N79" s="137" t="str">
        <f>IF(Physics!E79="","",Physics!E79)</f>
        <v/>
      </c>
      <c r="O79" s="125" t="str">
        <f>IF(Chemistry!B79="","",Chemistry!B79)</f>
        <v/>
      </c>
      <c r="P79" s="125" t="str">
        <f>IF(Chemistry!C79="","",Chemistry!C79)</f>
        <v/>
      </c>
      <c r="Q79" s="125" t="str">
        <f>IF(Chemistry!D79="","",Chemistry!D79)</f>
        <v/>
      </c>
      <c r="R79" s="137" t="str">
        <f>IF(Chemistry!E79="","",Chemistry!E79)</f>
        <v/>
      </c>
      <c r="S79" s="125" t="str">
        <f>IF(SubjectList!G79="Math", IF(Math!B79="","",Math!B79), IF(Biology!B79="","",Biology!B79))</f>
        <v/>
      </c>
      <c r="T79" s="125" t="str">
        <f>IF(SubjectList!G79="Math", IF(Math!C79="","",Math!C79), IF(Biology!C79="","",Biology!C79))</f>
        <v/>
      </c>
      <c r="U79" s="125" t="str">
        <f>IF(SubjectList!G79="Math", IF(Math!D79="","",Math!D79), IF(Biology!D79="","",Biology!D79))</f>
        <v/>
      </c>
      <c r="V79" s="137" t="str">
        <f>IF(SubjectList!G79="Math", IF(Math!E79="","",Math!E79), IF(Biology!E79="","",Biology!E79))</f>
        <v/>
      </c>
      <c r="W79" s="125" t="str">
        <f>IF(SubjectList!I79="Biology", IF(Biology!B79="","",Biology!B79), IF(Math!B79="","",Math!B79))</f>
        <v/>
      </c>
      <c r="X79" s="125" t="str">
        <f>Optional!D79</f>
        <v/>
      </c>
      <c r="Y79" s="125" t="str">
        <f>Optional!E79</f>
        <v/>
      </c>
      <c r="Z79" s="137" t="str">
        <f>Optional!F79</f>
        <v/>
      </c>
      <c r="AA79" s="127" t="str">
        <f>IF(SubjectList!G79="","", SubjectList!G79)</f>
        <v>Biology</v>
      </c>
      <c r="AB79" s="127" t="str">
        <f>IF(SubjectList!I79="","", SubjectList!I79)</f>
        <v>Math</v>
      </c>
      <c r="AC79" s="125" t="str">
        <f>Bangla!F79</f>
        <v/>
      </c>
      <c r="AD79" s="125" t="str">
        <f>English!E79</f>
        <v/>
      </c>
      <c r="AE79" s="125" t="str">
        <f>ICT!G79</f>
        <v/>
      </c>
      <c r="AF79" s="125" t="str">
        <f>Physics!G79</f>
        <v/>
      </c>
      <c r="AG79" s="125" t="str">
        <f>Chemistry!G79</f>
        <v/>
      </c>
      <c r="AH79" s="125" t="str">
        <f>IF(SubjectList!G79="Math", IF(Math!G79="","",Math!G79), IF(Biology!G79="","",Biology!G79))</f>
        <v/>
      </c>
      <c r="AI79" s="125" t="str">
        <f>IF(SubjectList!H79="Math", IF(Math!G79="","",Math!G79), IF(Biology!G79="","",Biology!G79))</f>
        <v/>
      </c>
      <c r="AJ79" s="140" t="str">
        <f>Bangla!G79</f>
        <v/>
      </c>
      <c r="AK79" s="140" t="str">
        <f>English!F79</f>
        <v/>
      </c>
      <c r="AL79" s="140" t="str">
        <f>ICT!H79</f>
        <v/>
      </c>
      <c r="AM79" s="140" t="str">
        <f>Physics!H79</f>
        <v/>
      </c>
      <c r="AN79" s="140" t="str">
        <f>Chemistry!H79</f>
        <v/>
      </c>
      <c r="AO79" s="140" t="str">
        <f>IF(SubjectList!G79="Math", IF(Math!H79="","",Math!H79), IF(Biology!H79="","",Biology!H79))</f>
        <v/>
      </c>
      <c r="AP79" s="140" t="str">
        <f>IF(SubjectList!I79="Math", IF(Math!H79="","",Math!H79), IF(Biology!H79="","",Biology!H79))</f>
        <v/>
      </c>
      <c r="AQ79" s="140" t="str">
        <f>Optional!I79</f>
        <v/>
      </c>
      <c r="AR79" s="140" t="str">
        <f>Optional!J79</f>
        <v/>
      </c>
      <c r="AS79" s="140" t="str">
        <f t="shared" si="14"/>
        <v/>
      </c>
      <c r="AT79" s="140" t="str">
        <f t="shared" si="19"/>
        <v/>
      </c>
      <c r="AU79" s="128" t="str">
        <f t="shared" si="15"/>
        <v/>
      </c>
      <c r="AV79" s="128" t="str">
        <f t="shared" si="16"/>
        <v/>
      </c>
      <c r="AW79" s="128">
        <f t="shared" si="21"/>
        <v>0</v>
      </c>
      <c r="AX79" s="129" t="str">
        <f t="shared" si="13"/>
        <v/>
      </c>
      <c r="AY79" s="129" t="str">
        <f t="shared" si="12"/>
        <v/>
      </c>
      <c r="AZ79" s="129" t="str">
        <f t="shared" si="12"/>
        <v/>
      </c>
      <c r="BA79" s="129" t="str">
        <f t="shared" si="12"/>
        <v/>
      </c>
      <c r="BB79" s="129" t="str">
        <f t="shared" si="12"/>
        <v/>
      </c>
      <c r="BC79" s="129" t="str">
        <f t="shared" si="12"/>
        <v/>
      </c>
      <c r="BD79" s="125">
        <f t="shared" si="20"/>
        <v>0</v>
      </c>
      <c r="BE79" s="125" t="str">
        <f t="shared" si="17"/>
        <v>F6</v>
      </c>
      <c r="BF79" s="125" t="str">
        <f>IF(AV79="","",RANK(AV79,AV$2:AV88,0))</f>
        <v/>
      </c>
      <c r="BG79" s="125" t="str">
        <f t="shared" si="18"/>
        <v/>
      </c>
    </row>
    <row r="80" spans="1:59" x14ac:dyDescent="0.35">
      <c r="A80" s="125">
        <f>'Student Basic Info'!A80</f>
        <v>779</v>
      </c>
      <c r="B80" s="125" t="str">
        <f>'Student Basic Info'!C80</f>
        <v>Azizul Haque</v>
      </c>
      <c r="C80" s="126" t="str">
        <f>IF(Bangla!B80="","",Bangla!B80)</f>
        <v/>
      </c>
      <c r="D80" s="126">
        <f>IF(Bangla!C80="","",Bangla!C80)</f>
        <v>26</v>
      </c>
      <c r="E80" s="135">
        <f>IF(Bangla!D80="","",Bangla!D80)</f>
        <v>26</v>
      </c>
      <c r="F80" s="135">
        <f>IF(English!C80="","",English!C80)</f>
        <v>19</v>
      </c>
      <c r="G80" s="125">
        <f>IF(ICT!B80="","",ICT!B80)</f>
        <v>10</v>
      </c>
      <c r="H80" s="125" t="str">
        <f>IF(ICT!C80="","",ICT!C80)</f>
        <v/>
      </c>
      <c r="I80" s="125">
        <f>IF(ICT!D80="","",ICT!D80)</f>
        <v>24</v>
      </c>
      <c r="J80" s="137">
        <f>IF(ICT!E80="","",ICT!E80)</f>
        <v>34</v>
      </c>
      <c r="K80" s="125">
        <f>IF(Physics!B80="","",Physics!B80)</f>
        <v>2</v>
      </c>
      <c r="L80" s="125">
        <f>IF(Physics!C80="","",Physics!C80)</f>
        <v>10</v>
      </c>
      <c r="M80" s="125">
        <f>IF(Physics!D80="","",Physics!D80)</f>
        <v>8</v>
      </c>
      <c r="N80" s="137">
        <f>IF(Physics!E80="","",Physics!E80)</f>
        <v>20</v>
      </c>
      <c r="O80" s="125">
        <f>IF(Chemistry!B80="","",Chemistry!B80)</f>
        <v>7</v>
      </c>
      <c r="P80" s="125">
        <f>IF(Chemistry!C80="","",Chemistry!C80)</f>
        <v>3</v>
      </c>
      <c r="Q80" s="125">
        <f>IF(Chemistry!D80="","",Chemistry!D80)</f>
        <v>8</v>
      </c>
      <c r="R80" s="137">
        <f>IF(Chemistry!E80="","",Chemistry!E80)</f>
        <v>18</v>
      </c>
      <c r="S80" s="125">
        <f>IF(SubjectList!G80="Math", IF(Math!B80="","",Math!B80), IF(Biology!B80="","",Biology!B80))</f>
        <v>5</v>
      </c>
      <c r="T80" s="125">
        <f>IF(SubjectList!G80="Math", IF(Math!C80="","",Math!C80), IF(Biology!C80="","",Biology!C80))</f>
        <v>5</v>
      </c>
      <c r="U80" s="125">
        <f>IF(SubjectList!G80="Math", IF(Math!D80="","",Math!D80), IF(Biology!D80="","",Biology!D80))</f>
        <v>8</v>
      </c>
      <c r="V80" s="137">
        <f>IF(SubjectList!G80="Math", IF(Math!E80="","",Math!E80), IF(Biology!E80="","",Biology!E80))</f>
        <v>18</v>
      </c>
      <c r="W80" s="125">
        <f>IF(SubjectList!I80="Biology", IF(Biology!B80="","",Biology!B80), IF(Math!B80="","",Math!B80))</f>
        <v>8</v>
      </c>
      <c r="X80" s="125">
        <f>Optional!D80</f>
        <v>1</v>
      </c>
      <c r="Y80" s="125">
        <f>Optional!E80</f>
        <v>8</v>
      </c>
      <c r="Z80" s="137">
        <f>Optional!F80</f>
        <v>17</v>
      </c>
      <c r="AA80" s="127" t="str">
        <f>IF(SubjectList!G80="","", SubjectList!G80)</f>
        <v>Biology</v>
      </c>
      <c r="AB80" s="127" t="str">
        <f>IF(SubjectList!I80="","", SubjectList!I80)</f>
        <v>Math</v>
      </c>
      <c r="AC80" s="125" t="str">
        <f>Bangla!F80</f>
        <v>F</v>
      </c>
      <c r="AD80" s="125" t="str">
        <f>English!E80</f>
        <v>F</v>
      </c>
      <c r="AE80" s="125" t="str">
        <f>ICT!G80</f>
        <v>F</v>
      </c>
      <c r="AF80" s="125" t="str">
        <f>Physics!G80</f>
        <v>F</v>
      </c>
      <c r="AG80" s="125" t="str">
        <f>Chemistry!G80</f>
        <v>F</v>
      </c>
      <c r="AH80" s="125" t="str">
        <f>IF(SubjectList!G80="Math", IF(Math!G80="","",Math!G80), IF(Biology!G80="","",Biology!G80))</f>
        <v>F</v>
      </c>
      <c r="AI80" s="125" t="str">
        <f>IF(SubjectList!H80="Math", IF(Math!G80="","",Math!G80), IF(Biology!G80="","",Biology!G80))</f>
        <v>F</v>
      </c>
      <c r="AJ80" s="140">
        <f>Bangla!G80</f>
        <v>0</v>
      </c>
      <c r="AK80" s="140">
        <f>English!F80</f>
        <v>0</v>
      </c>
      <c r="AL80" s="140">
        <f>ICT!H80</f>
        <v>0</v>
      </c>
      <c r="AM80" s="140">
        <f>Physics!H80</f>
        <v>0</v>
      </c>
      <c r="AN80" s="140">
        <f>Chemistry!H80</f>
        <v>0</v>
      </c>
      <c r="AO80" s="140">
        <f>IF(SubjectList!G80="Math", IF(Math!H80="","",Math!H80), IF(Biology!H80="","",Biology!H80))</f>
        <v>0</v>
      </c>
      <c r="AP80" s="140">
        <f>IF(SubjectList!I80="Math", IF(Math!H80="","",Math!H80), IF(Biology!H80="","",Biology!H80))</f>
        <v>0</v>
      </c>
      <c r="AQ80" s="140">
        <f>Optional!I80</f>
        <v>0</v>
      </c>
      <c r="AR80" s="140">
        <f>Optional!J80</f>
        <v>0</v>
      </c>
      <c r="AS80" s="140" t="str">
        <f t="shared" si="14"/>
        <v/>
      </c>
      <c r="AT80" s="140" t="str">
        <f t="shared" si="19"/>
        <v/>
      </c>
      <c r="AU80" s="128" t="str">
        <f t="shared" si="15"/>
        <v/>
      </c>
      <c r="AV80" s="128" t="str">
        <f t="shared" si="16"/>
        <v/>
      </c>
      <c r="AW80" s="128">
        <f t="shared" si="21"/>
        <v>152</v>
      </c>
      <c r="AX80" s="129">
        <f t="shared" si="13"/>
        <v>0</v>
      </c>
      <c r="AY80" s="129">
        <f t="shared" si="12"/>
        <v>0</v>
      </c>
      <c r="AZ80" s="129">
        <f t="shared" si="12"/>
        <v>0</v>
      </c>
      <c r="BA80" s="129">
        <f t="shared" si="12"/>
        <v>0</v>
      </c>
      <c r="BB80" s="129">
        <f t="shared" si="12"/>
        <v>0</v>
      </c>
      <c r="BC80" s="129">
        <f t="shared" si="12"/>
        <v>0</v>
      </c>
      <c r="BD80" s="125">
        <f t="shared" si="20"/>
        <v>0</v>
      </c>
      <c r="BE80" s="125" t="str">
        <f t="shared" si="17"/>
        <v>F6</v>
      </c>
      <c r="BF80" s="125" t="str">
        <f>IF(AV80="","",RANK(AV80,AV$2:AV88,0))</f>
        <v/>
      </c>
      <c r="BG80" s="125" t="str">
        <f t="shared" si="18"/>
        <v/>
      </c>
    </row>
    <row r="81" spans="1:59" x14ac:dyDescent="0.35">
      <c r="A81" s="125">
        <f>'Student Basic Info'!A81</f>
        <v>780</v>
      </c>
      <c r="B81" s="125" t="str">
        <f>'Student Basic Info'!C81</f>
        <v>Farjana Aktar</v>
      </c>
      <c r="C81" s="126" t="str">
        <f>IF(Bangla!B81="","",Bangla!B81)</f>
        <v/>
      </c>
      <c r="D81" s="126">
        <f>IF(Bangla!C81="","",Bangla!C81)</f>
        <v>41</v>
      </c>
      <c r="E81" s="135">
        <f>IF(Bangla!D81="","",Bangla!D81)</f>
        <v>41</v>
      </c>
      <c r="F81" s="135">
        <f>IF(English!C81="","",English!C81)</f>
        <v>20</v>
      </c>
      <c r="G81" s="125">
        <f>IF(ICT!B81="","",ICT!B81)</f>
        <v>11</v>
      </c>
      <c r="H81" s="125">
        <f>IF(ICT!C81="","",ICT!C81)</f>
        <v>1</v>
      </c>
      <c r="I81" s="125">
        <f>IF(ICT!D81="","",ICT!D81)</f>
        <v>18</v>
      </c>
      <c r="J81" s="137">
        <f>IF(ICT!E81="","",ICT!E81)</f>
        <v>30</v>
      </c>
      <c r="K81" s="125">
        <f>IF(Physics!B81="","",Physics!B81)</f>
        <v>4</v>
      </c>
      <c r="L81" s="125">
        <f>IF(Physics!C81="","",Physics!C81)</f>
        <v>17</v>
      </c>
      <c r="M81" s="125">
        <f>IF(Physics!D81="","",Physics!D81)</f>
        <v>12</v>
      </c>
      <c r="N81" s="137">
        <f>IF(Physics!E81="","",Physics!E81)</f>
        <v>33</v>
      </c>
      <c r="O81" s="125">
        <f>IF(Chemistry!B81="","",Chemistry!B81)</f>
        <v>15</v>
      </c>
      <c r="P81" s="125">
        <f>IF(Chemistry!C81="","",Chemistry!C81)</f>
        <v>0</v>
      </c>
      <c r="Q81" s="125">
        <f>IF(Chemistry!D81="","",Chemistry!D81)</f>
        <v>8</v>
      </c>
      <c r="R81" s="137">
        <f>IF(Chemistry!E81="","",Chemistry!E81)</f>
        <v>23</v>
      </c>
      <c r="S81" s="125">
        <f>IF(SubjectList!G81="Math", IF(Math!B81="","",Math!B81), IF(Biology!B81="","",Biology!B81))</f>
        <v>8</v>
      </c>
      <c r="T81" s="125">
        <f>IF(SubjectList!G81="Math", IF(Math!C81="","",Math!C81), IF(Biology!C81="","",Biology!C81))</f>
        <v>2</v>
      </c>
      <c r="U81" s="125">
        <f>IF(SubjectList!G81="Math", IF(Math!D81="","",Math!D81), IF(Biology!D81="","",Biology!D81))</f>
        <v>8</v>
      </c>
      <c r="V81" s="137">
        <f>IF(SubjectList!G81="Math", IF(Math!E81="","",Math!E81), IF(Biology!E81="","",Biology!E81))</f>
        <v>18</v>
      </c>
      <c r="W81" s="125">
        <f>IF(SubjectList!I81="Biology", IF(Biology!B81="","",Biology!B81), IF(Math!B81="","",Math!B81))</f>
        <v>12</v>
      </c>
      <c r="X81" s="125">
        <f>Optional!D81</f>
        <v>1</v>
      </c>
      <c r="Y81" s="125">
        <f>Optional!E81</f>
        <v>10</v>
      </c>
      <c r="Z81" s="137">
        <f>Optional!F81</f>
        <v>23</v>
      </c>
      <c r="AA81" s="127" t="str">
        <f>IF(SubjectList!G81="","", SubjectList!G81)</f>
        <v>Biology</v>
      </c>
      <c r="AB81" s="127" t="str">
        <f>IF(SubjectList!I81="","", SubjectList!I81)</f>
        <v>Math</v>
      </c>
      <c r="AC81" s="125" t="str">
        <f>Bangla!F81</f>
        <v>C</v>
      </c>
      <c r="AD81" s="125" t="str">
        <f>English!E81</f>
        <v>F</v>
      </c>
      <c r="AE81" s="125" t="str">
        <f>ICT!G81</f>
        <v>F</v>
      </c>
      <c r="AF81" s="125" t="str">
        <f>Physics!G81</f>
        <v>F</v>
      </c>
      <c r="AG81" s="125" t="str">
        <f>Chemistry!G81</f>
        <v>F</v>
      </c>
      <c r="AH81" s="125" t="str">
        <f>IF(SubjectList!G81="Math", IF(Math!G81="","",Math!G81), IF(Biology!G81="","",Biology!G81))</f>
        <v>F</v>
      </c>
      <c r="AI81" s="125" t="str">
        <f>IF(SubjectList!H81="Math", IF(Math!G81="","",Math!G81), IF(Biology!G81="","",Biology!G81))</f>
        <v>F</v>
      </c>
      <c r="AJ81" s="140">
        <f>Bangla!G81</f>
        <v>2</v>
      </c>
      <c r="AK81" s="140">
        <f>English!F81</f>
        <v>0</v>
      </c>
      <c r="AL81" s="140">
        <f>ICT!H81</f>
        <v>0</v>
      </c>
      <c r="AM81" s="140">
        <f>Physics!H81</f>
        <v>0</v>
      </c>
      <c r="AN81" s="140">
        <f>Chemistry!H81</f>
        <v>0</v>
      </c>
      <c r="AO81" s="140">
        <f>IF(SubjectList!G81="Math", IF(Math!H81="","",Math!H81), IF(Biology!H81="","",Biology!H81))</f>
        <v>0</v>
      </c>
      <c r="AP81" s="140">
        <f>IF(SubjectList!I81="Math", IF(Math!H81="","",Math!H81), IF(Biology!H81="","",Biology!H81))</f>
        <v>0</v>
      </c>
      <c r="AQ81" s="140">
        <f>Optional!I81</f>
        <v>0</v>
      </c>
      <c r="AR81" s="140">
        <f>Optional!J81</f>
        <v>0</v>
      </c>
      <c r="AS81" s="140">
        <f t="shared" si="14"/>
        <v>2</v>
      </c>
      <c r="AT81" s="140">
        <f t="shared" si="19"/>
        <v>2</v>
      </c>
      <c r="AU81" s="128" t="str">
        <f t="shared" si="15"/>
        <v/>
      </c>
      <c r="AV81" s="128" t="str">
        <f t="shared" si="16"/>
        <v/>
      </c>
      <c r="AW81" s="128">
        <f t="shared" si="21"/>
        <v>188</v>
      </c>
      <c r="AX81" s="129">
        <f t="shared" si="13"/>
        <v>1</v>
      </c>
      <c r="AY81" s="129">
        <f t="shared" si="12"/>
        <v>0</v>
      </c>
      <c r="AZ81" s="129">
        <f t="shared" si="12"/>
        <v>0</v>
      </c>
      <c r="BA81" s="129">
        <f t="shared" si="12"/>
        <v>0</v>
      </c>
      <c r="BB81" s="129">
        <f t="shared" si="12"/>
        <v>0</v>
      </c>
      <c r="BC81" s="129">
        <f t="shared" si="12"/>
        <v>0</v>
      </c>
      <c r="BD81" s="125">
        <f t="shared" si="20"/>
        <v>1</v>
      </c>
      <c r="BE81" s="125" t="str">
        <f t="shared" si="17"/>
        <v>F5</v>
      </c>
      <c r="BF81" s="125" t="str">
        <f>IF(AV81="","",RANK(AV81,AV$2:AV88,0))</f>
        <v/>
      </c>
      <c r="BG81" s="125" t="str">
        <f t="shared" si="18"/>
        <v/>
      </c>
    </row>
    <row r="82" spans="1:59" x14ac:dyDescent="0.35">
      <c r="A82" s="125">
        <f>'Student Basic Info'!A82</f>
        <v>781</v>
      </c>
      <c r="B82" s="125" t="str">
        <f>'Student Basic Info'!C82</f>
        <v>Imam Hosain</v>
      </c>
      <c r="C82" s="126" t="str">
        <f>IF(Bangla!B82="","",Bangla!B82)</f>
        <v/>
      </c>
      <c r="D82" s="126" t="str">
        <f>IF(Bangla!C82="","",Bangla!C82)</f>
        <v/>
      </c>
      <c r="E82" s="135" t="str">
        <f>IF(Bangla!D82="","",Bangla!D82)</f>
        <v/>
      </c>
      <c r="F82" s="135" t="str">
        <f>IF(English!C82="","",English!C82)</f>
        <v/>
      </c>
      <c r="G82" s="125" t="str">
        <f>IF(ICT!B82="","",ICT!B82)</f>
        <v/>
      </c>
      <c r="H82" s="125" t="str">
        <f>IF(ICT!C82="","",ICT!C82)</f>
        <v/>
      </c>
      <c r="I82" s="125" t="str">
        <f>IF(ICT!D82="","",ICT!D82)</f>
        <v/>
      </c>
      <c r="J82" s="137" t="str">
        <f>IF(ICT!E82="","",ICT!E82)</f>
        <v/>
      </c>
      <c r="K82" s="125" t="str">
        <f>IF(Physics!B82="","",Physics!B82)</f>
        <v/>
      </c>
      <c r="L82" s="125" t="str">
        <f>IF(Physics!C82="","",Physics!C82)</f>
        <v/>
      </c>
      <c r="M82" s="125" t="str">
        <f>IF(Physics!D82="","",Physics!D82)</f>
        <v/>
      </c>
      <c r="N82" s="137" t="str">
        <f>IF(Physics!E82="","",Physics!E82)</f>
        <v/>
      </c>
      <c r="O82" s="125" t="str">
        <f>IF(Chemistry!B82="","",Chemistry!B82)</f>
        <v/>
      </c>
      <c r="P82" s="125" t="str">
        <f>IF(Chemistry!C82="","",Chemistry!C82)</f>
        <v/>
      </c>
      <c r="Q82" s="125" t="str">
        <f>IF(Chemistry!D82="","",Chemistry!D82)</f>
        <v/>
      </c>
      <c r="R82" s="137" t="str">
        <f>IF(Chemistry!E82="","",Chemistry!E82)</f>
        <v/>
      </c>
      <c r="S82" s="125" t="str">
        <f>IF(SubjectList!G82="Math", IF(Math!B82="","",Math!B82), IF(Biology!B82="","",Biology!B82))</f>
        <v/>
      </c>
      <c r="T82" s="125" t="str">
        <f>IF(SubjectList!G82="Math", IF(Math!C82="","",Math!C82), IF(Biology!C82="","",Biology!C82))</f>
        <v/>
      </c>
      <c r="U82" s="125" t="str">
        <f>IF(SubjectList!G82="Math", IF(Math!D82="","",Math!D82), IF(Biology!D82="","",Biology!D82))</f>
        <v/>
      </c>
      <c r="V82" s="137" t="str">
        <f>IF(SubjectList!G82="Math", IF(Math!E82="","",Math!E82), IF(Biology!E82="","",Biology!E82))</f>
        <v/>
      </c>
      <c r="W82" s="125" t="str">
        <f>IF(SubjectList!I82="Biology", IF(Biology!B82="","",Biology!B82), IF(Math!B82="","",Math!B82))</f>
        <v/>
      </c>
      <c r="X82" s="125" t="str">
        <f>Optional!D82</f>
        <v/>
      </c>
      <c r="Y82" s="125" t="str">
        <f>Optional!E82</f>
        <v/>
      </c>
      <c r="Z82" s="137" t="str">
        <f>Optional!F82</f>
        <v/>
      </c>
      <c r="AA82" s="127" t="str">
        <f>IF(SubjectList!G82="","", SubjectList!G82)</f>
        <v>Biology</v>
      </c>
      <c r="AB82" s="127" t="str">
        <f>IF(SubjectList!I82="","", SubjectList!I82)</f>
        <v>Math</v>
      </c>
      <c r="AC82" s="125" t="str">
        <f>Bangla!F82</f>
        <v/>
      </c>
      <c r="AD82" s="125" t="str">
        <f>English!E82</f>
        <v/>
      </c>
      <c r="AE82" s="125" t="str">
        <f>ICT!G82</f>
        <v/>
      </c>
      <c r="AF82" s="125" t="str">
        <f>Physics!G82</f>
        <v/>
      </c>
      <c r="AG82" s="125" t="str">
        <f>Chemistry!G82</f>
        <v/>
      </c>
      <c r="AH82" s="125" t="str">
        <f>IF(SubjectList!G82="Math", IF(Math!G82="","",Math!G82), IF(Biology!G82="","",Biology!G82))</f>
        <v/>
      </c>
      <c r="AI82" s="125" t="str">
        <f>IF(SubjectList!H82="Math", IF(Math!G82="","",Math!G82), IF(Biology!G82="","",Biology!G82))</f>
        <v/>
      </c>
      <c r="AJ82" s="140" t="str">
        <f>Bangla!G82</f>
        <v/>
      </c>
      <c r="AK82" s="140" t="str">
        <f>English!F82</f>
        <v/>
      </c>
      <c r="AL82" s="140" t="str">
        <f>ICT!H82</f>
        <v/>
      </c>
      <c r="AM82" s="140" t="str">
        <f>Physics!H82</f>
        <v/>
      </c>
      <c r="AN82" s="140" t="str">
        <f>Chemistry!H82</f>
        <v/>
      </c>
      <c r="AO82" s="140" t="str">
        <f>IF(SubjectList!G82="Math", IF(Math!H82="","",Math!H82), IF(Biology!H82="","",Biology!H82))</f>
        <v/>
      </c>
      <c r="AP82" s="140" t="str">
        <f>IF(SubjectList!I82="Math", IF(Math!H82="","",Math!H82), IF(Biology!H82="","",Biology!H82))</f>
        <v/>
      </c>
      <c r="AQ82" s="140" t="str">
        <f>Optional!I82</f>
        <v/>
      </c>
      <c r="AR82" s="140" t="str">
        <f>Optional!J82</f>
        <v/>
      </c>
      <c r="AS82" s="140" t="str">
        <f t="shared" si="14"/>
        <v/>
      </c>
      <c r="AT82" s="140" t="str">
        <f t="shared" si="19"/>
        <v/>
      </c>
      <c r="AU82" s="128" t="str">
        <f t="shared" si="15"/>
        <v/>
      </c>
      <c r="AV82" s="128" t="str">
        <f t="shared" si="16"/>
        <v/>
      </c>
      <c r="AW82" s="128">
        <f t="shared" si="21"/>
        <v>0</v>
      </c>
      <c r="AX82" s="129" t="str">
        <f t="shared" si="13"/>
        <v/>
      </c>
      <c r="AY82" s="129" t="str">
        <f t="shared" si="12"/>
        <v/>
      </c>
      <c r="AZ82" s="129" t="str">
        <f t="shared" si="12"/>
        <v/>
      </c>
      <c r="BA82" s="129" t="str">
        <f t="shared" si="12"/>
        <v/>
      </c>
      <c r="BB82" s="129" t="str">
        <f t="shared" si="12"/>
        <v/>
      </c>
      <c r="BC82" s="129" t="str">
        <f t="shared" si="12"/>
        <v/>
      </c>
      <c r="BD82" s="125">
        <f t="shared" si="20"/>
        <v>0</v>
      </c>
      <c r="BE82" s="125" t="str">
        <f t="shared" si="17"/>
        <v>F6</v>
      </c>
      <c r="BF82" s="125" t="str">
        <f>IF(AV82="","",RANK(AV82,AV$2:AV88,0))</f>
        <v/>
      </c>
      <c r="BG82" s="125" t="str">
        <f t="shared" si="18"/>
        <v/>
      </c>
    </row>
    <row r="83" spans="1:59" x14ac:dyDescent="0.35">
      <c r="A83" s="125">
        <f>'Student Basic Info'!A83</f>
        <v>782</v>
      </c>
      <c r="B83" s="125" t="str">
        <f>'Student Basic Info'!C83</f>
        <v>Asiya Aktar Hira</v>
      </c>
      <c r="C83" s="126" t="str">
        <f>IF(Bangla!B83="","",Bangla!B83)</f>
        <v/>
      </c>
      <c r="D83" s="126">
        <f>IF(Bangla!C83="","",Bangla!C83)</f>
        <v>53</v>
      </c>
      <c r="E83" s="135">
        <f>IF(Bangla!D83="","",Bangla!D83)</f>
        <v>53</v>
      </c>
      <c r="F83" s="135">
        <f>IF(English!C83="","",English!C83)</f>
        <v>42</v>
      </c>
      <c r="G83" s="125">
        <f>IF(ICT!B83="","",ICT!B83)</f>
        <v>4</v>
      </c>
      <c r="H83" s="125">
        <f>IF(ICT!C83="","",ICT!C83)</f>
        <v>8</v>
      </c>
      <c r="I83" s="125">
        <f>IF(ICT!D83="","",ICT!D83)</f>
        <v>24</v>
      </c>
      <c r="J83" s="137">
        <f>IF(ICT!E83="","",ICT!E83)</f>
        <v>36</v>
      </c>
      <c r="K83" s="125">
        <f>IF(Physics!B83="","",Physics!B83)</f>
        <v>6</v>
      </c>
      <c r="L83" s="125">
        <f>IF(Physics!C83="","",Physics!C83)</f>
        <v>4</v>
      </c>
      <c r="M83" s="125">
        <f>IF(Physics!D83="","",Physics!D83)</f>
        <v>8</v>
      </c>
      <c r="N83" s="137">
        <f>IF(Physics!E83="","",Physics!E83)</f>
        <v>18</v>
      </c>
      <c r="O83" s="125">
        <f>IF(Chemistry!B83="","",Chemistry!B83)</f>
        <v>4</v>
      </c>
      <c r="P83" s="125">
        <f>IF(Chemistry!C83="","",Chemistry!C83)</f>
        <v>2</v>
      </c>
      <c r="Q83" s="125">
        <f>IF(Chemistry!D83="","",Chemistry!D83)</f>
        <v>8</v>
      </c>
      <c r="R83" s="137">
        <f>IF(Chemistry!E83="","",Chemistry!E83)</f>
        <v>14</v>
      </c>
      <c r="S83" s="125">
        <f>IF(SubjectList!G83="Math", IF(Math!B83="","",Math!B83), IF(Biology!B83="","",Biology!B83))</f>
        <v>10</v>
      </c>
      <c r="T83" s="125">
        <f>IF(SubjectList!G83="Math", IF(Math!C83="","",Math!C83), IF(Biology!C83="","",Biology!C83))</f>
        <v>0</v>
      </c>
      <c r="U83" s="125">
        <f>IF(SubjectList!G83="Math", IF(Math!D83="","",Math!D83), IF(Biology!D83="","",Biology!D83))</f>
        <v>8</v>
      </c>
      <c r="V83" s="137">
        <f>IF(SubjectList!G83="Math", IF(Math!E83="","",Math!E83), IF(Biology!E83="","",Biology!E83))</f>
        <v>18</v>
      </c>
      <c r="W83" s="125">
        <f>IF(SubjectList!I83="Biology", IF(Biology!B83="","",Biology!B83), IF(Math!B83="","",Math!B83))</f>
        <v>4</v>
      </c>
      <c r="X83" s="125">
        <f>Optional!D83</f>
        <v>1</v>
      </c>
      <c r="Y83" s="125">
        <f>Optional!E83</f>
        <v>9</v>
      </c>
      <c r="Z83" s="137">
        <f>Optional!F83</f>
        <v>14</v>
      </c>
      <c r="AA83" s="127" t="str">
        <f>IF(SubjectList!G83="","", SubjectList!G83)</f>
        <v>Biology</v>
      </c>
      <c r="AB83" s="127" t="str">
        <f>IF(SubjectList!I83="","", SubjectList!I83)</f>
        <v>Math</v>
      </c>
      <c r="AC83" s="125" t="str">
        <f>Bangla!F83</f>
        <v>B</v>
      </c>
      <c r="AD83" s="125" t="str">
        <f>English!E83</f>
        <v>C</v>
      </c>
      <c r="AE83" s="125" t="str">
        <f>ICT!G83</f>
        <v>F</v>
      </c>
      <c r="AF83" s="125" t="str">
        <f>Physics!G83</f>
        <v>F</v>
      </c>
      <c r="AG83" s="125" t="str">
        <f>Chemistry!G83</f>
        <v>F</v>
      </c>
      <c r="AH83" s="125" t="str">
        <f>IF(SubjectList!G83="Math", IF(Math!G83="","",Math!G83), IF(Biology!G83="","",Biology!G83))</f>
        <v>F</v>
      </c>
      <c r="AI83" s="125" t="str">
        <f>IF(SubjectList!H83="Math", IF(Math!G83="","",Math!G83), IF(Biology!G83="","",Biology!G83))</f>
        <v>F</v>
      </c>
      <c r="AJ83" s="140">
        <f>Bangla!G83</f>
        <v>3</v>
      </c>
      <c r="AK83" s="140">
        <f>English!F83</f>
        <v>2</v>
      </c>
      <c r="AL83" s="140">
        <f>ICT!H83</f>
        <v>0</v>
      </c>
      <c r="AM83" s="140">
        <f>Physics!H83</f>
        <v>0</v>
      </c>
      <c r="AN83" s="140">
        <f>Chemistry!H83</f>
        <v>0</v>
      </c>
      <c r="AO83" s="140">
        <f>IF(SubjectList!G83="Math", IF(Math!H83="","",Math!H83), IF(Biology!H83="","",Biology!H83))</f>
        <v>0</v>
      </c>
      <c r="AP83" s="140">
        <f>IF(SubjectList!I83="Math", IF(Math!H83="","",Math!H83), IF(Biology!H83="","",Biology!H83))</f>
        <v>0</v>
      </c>
      <c r="AQ83" s="140">
        <f>Optional!I83</f>
        <v>0</v>
      </c>
      <c r="AR83" s="140">
        <f>Optional!J83</f>
        <v>0</v>
      </c>
      <c r="AS83" s="140">
        <f t="shared" si="14"/>
        <v>5</v>
      </c>
      <c r="AT83" s="140">
        <f t="shared" si="19"/>
        <v>5</v>
      </c>
      <c r="AU83" s="128" t="str">
        <f t="shared" si="15"/>
        <v/>
      </c>
      <c r="AV83" s="128" t="str">
        <f t="shared" si="16"/>
        <v/>
      </c>
      <c r="AW83" s="128">
        <f t="shared" si="21"/>
        <v>195</v>
      </c>
      <c r="AX83" s="129">
        <f t="shared" si="13"/>
        <v>1</v>
      </c>
      <c r="AY83" s="129">
        <f t="shared" si="12"/>
        <v>1</v>
      </c>
      <c r="AZ83" s="129">
        <f t="shared" si="12"/>
        <v>0</v>
      </c>
      <c r="BA83" s="129">
        <f t="shared" si="12"/>
        <v>0</v>
      </c>
      <c r="BB83" s="129">
        <f t="shared" si="12"/>
        <v>0</v>
      </c>
      <c r="BC83" s="129">
        <f t="shared" si="12"/>
        <v>0</v>
      </c>
      <c r="BD83" s="125">
        <f t="shared" si="20"/>
        <v>2</v>
      </c>
      <c r="BE83" s="125" t="str">
        <f t="shared" si="17"/>
        <v>F4</v>
      </c>
      <c r="BF83" s="125" t="str">
        <f>IF(AV83="","",RANK(AV83,AV$2:AV88,0))</f>
        <v/>
      </c>
      <c r="BG83" s="125" t="str">
        <f t="shared" si="18"/>
        <v/>
      </c>
    </row>
    <row r="84" spans="1:59" x14ac:dyDescent="0.35">
      <c r="A84" s="125">
        <f>'Student Basic Info'!A84</f>
        <v>783</v>
      </c>
      <c r="B84" s="125" t="str">
        <f>'Student Basic Info'!C84</f>
        <v>Abu Rayhan</v>
      </c>
      <c r="C84" s="126" t="str">
        <f>IF(Bangla!B84="","",Bangla!B84)</f>
        <v/>
      </c>
      <c r="D84" s="126" t="str">
        <f>IF(Bangla!C84="","",Bangla!C84)</f>
        <v/>
      </c>
      <c r="E84" s="135" t="str">
        <f>IF(Bangla!D84="","",Bangla!D84)</f>
        <v/>
      </c>
      <c r="F84" s="135" t="str">
        <f>IF(English!C84="","",English!C84)</f>
        <v/>
      </c>
      <c r="G84" s="125" t="str">
        <f>IF(ICT!B84="","",ICT!B84)</f>
        <v/>
      </c>
      <c r="H84" s="125" t="str">
        <f>IF(ICT!C84="","",ICT!C84)</f>
        <v/>
      </c>
      <c r="I84" s="125" t="str">
        <f>IF(ICT!D84="","",ICT!D84)</f>
        <v/>
      </c>
      <c r="J84" s="137" t="str">
        <f>IF(ICT!E84="","",ICT!E84)</f>
        <v/>
      </c>
      <c r="K84" s="125" t="str">
        <f>IF(Physics!B84="","",Physics!B84)</f>
        <v/>
      </c>
      <c r="L84" s="125" t="str">
        <f>IF(Physics!C84="","",Physics!C84)</f>
        <v/>
      </c>
      <c r="M84" s="125" t="str">
        <f>IF(Physics!D84="","",Physics!D84)</f>
        <v/>
      </c>
      <c r="N84" s="137" t="str">
        <f>IF(Physics!E84="","",Physics!E84)</f>
        <v/>
      </c>
      <c r="O84" s="125" t="str">
        <f>IF(Chemistry!B84="","",Chemistry!B84)</f>
        <v/>
      </c>
      <c r="P84" s="125" t="str">
        <f>IF(Chemistry!C84="","",Chemistry!C84)</f>
        <v/>
      </c>
      <c r="Q84" s="125" t="str">
        <f>IF(Chemistry!D84="","",Chemistry!D84)</f>
        <v/>
      </c>
      <c r="R84" s="137" t="str">
        <f>IF(Chemistry!E84="","",Chemistry!E84)</f>
        <v/>
      </c>
      <c r="S84" s="125" t="str">
        <f>IF(SubjectList!G84="Math", IF(Math!B84="","",Math!B84), IF(Biology!B84="","",Biology!B84))</f>
        <v/>
      </c>
      <c r="T84" s="125" t="str">
        <f>IF(SubjectList!G84="Math", IF(Math!C84="","",Math!C84), IF(Biology!C84="","",Biology!C84))</f>
        <v/>
      </c>
      <c r="U84" s="125" t="str">
        <f>IF(SubjectList!G84="Math", IF(Math!D84="","",Math!D84), IF(Biology!D84="","",Biology!D84))</f>
        <v/>
      </c>
      <c r="V84" s="137" t="str">
        <f>IF(SubjectList!G84="Math", IF(Math!E84="","",Math!E84), IF(Biology!E84="","",Biology!E84))</f>
        <v/>
      </c>
      <c r="W84" s="125" t="str">
        <f>IF(SubjectList!I84="Biology", IF(Biology!B84="","",Biology!B84), IF(Math!B84="","",Math!B84))</f>
        <v/>
      </c>
      <c r="X84" s="125" t="str">
        <f>Optional!D84</f>
        <v/>
      </c>
      <c r="Y84" s="125" t="str">
        <f>Optional!E84</f>
        <v/>
      </c>
      <c r="Z84" s="137" t="str">
        <f>Optional!F84</f>
        <v/>
      </c>
      <c r="AA84" s="127" t="str">
        <f>IF(SubjectList!G84="","", SubjectList!G84)</f>
        <v>Biology</v>
      </c>
      <c r="AB84" s="127" t="str">
        <f>IF(SubjectList!I84="","", SubjectList!I84)</f>
        <v>Math</v>
      </c>
      <c r="AC84" s="125" t="str">
        <f>Bangla!F84</f>
        <v/>
      </c>
      <c r="AD84" s="125" t="str">
        <f>English!E84</f>
        <v/>
      </c>
      <c r="AE84" s="125" t="str">
        <f>ICT!G84</f>
        <v/>
      </c>
      <c r="AF84" s="125" t="str">
        <f>Physics!G84</f>
        <v/>
      </c>
      <c r="AG84" s="125" t="str">
        <f>Chemistry!G84</f>
        <v/>
      </c>
      <c r="AH84" s="125" t="str">
        <f>IF(SubjectList!G84="Math", IF(Math!G84="","",Math!G84), IF(Biology!G84="","",Biology!G84))</f>
        <v/>
      </c>
      <c r="AI84" s="125" t="str">
        <f>IF(SubjectList!H84="Math", IF(Math!G84="","",Math!G84), IF(Biology!G84="","",Biology!G84))</f>
        <v/>
      </c>
      <c r="AJ84" s="140" t="str">
        <f>Bangla!G84</f>
        <v/>
      </c>
      <c r="AK84" s="140" t="str">
        <f>English!F84</f>
        <v/>
      </c>
      <c r="AL84" s="140" t="str">
        <f>ICT!H84</f>
        <v/>
      </c>
      <c r="AM84" s="140" t="str">
        <f>Physics!H84</f>
        <v/>
      </c>
      <c r="AN84" s="140" t="str">
        <f>Chemistry!H84</f>
        <v/>
      </c>
      <c r="AO84" s="140" t="str">
        <f>IF(SubjectList!G84="Math", IF(Math!H84="","",Math!H84), IF(Biology!H84="","",Biology!H84))</f>
        <v/>
      </c>
      <c r="AP84" s="140" t="str">
        <f>IF(SubjectList!I84="Math", IF(Math!H84="","",Math!H84), IF(Biology!H84="","",Biology!H84))</f>
        <v/>
      </c>
      <c r="AQ84" s="140" t="str">
        <f>Optional!I84</f>
        <v/>
      </c>
      <c r="AR84" s="140" t="str">
        <f>Optional!J84</f>
        <v/>
      </c>
      <c r="AS84" s="140" t="str">
        <f t="shared" si="14"/>
        <v/>
      </c>
      <c r="AT84" s="140" t="str">
        <f t="shared" si="19"/>
        <v/>
      </c>
      <c r="AU84" s="128" t="str">
        <f t="shared" si="15"/>
        <v/>
      </c>
      <c r="AV84" s="128" t="str">
        <f t="shared" si="16"/>
        <v/>
      </c>
      <c r="AW84" s="128">
        <f t="shared" si="21"/>
        <v>0</v>
      </c>
      <c r="AX84" s="129" t="str">
        <f t="shared" si="13"/>
        <v/>
      </c>
      <c r="AY84" s="129" t="str">
        <f t="shared" si="12"/>
        <v/>
      </c>
      <c r="AZ84" s="129" t="str">
        <f t="shared" si="12"/>
        <v/>
      </c>
      <c r="BA84" s="129" t="str">
        <f t="shared" si="12"/>
        <v/>
      </c>
      <c r="BB84" s="129" t="str">
        <f t="shared" si="12"/>
        <v/>
      </c>
      <c r="BC84" s="129" t="str">
        <f t="shared" si="12"/>
        <v/>
      </c>
      <c r="BD84" s="125">
        <f t="shared" si="20"/>
        <v>0</v>
      </c>
      <c r="BE84" s="125" t="str">
        <f t="shared" si="17"/>
        <v>F6</v>
      </c>
      <c r="BF84" s="125" t="str">
        <f>IF(AV84="","",RANK(AV84,AV$2:AV88,0))</f>
        <v/>
      </c>
      <c r="BG84" s="125" t="str">
        <f t="shared" si="18"/>
        <v/>
      </c>
    </row>
    <row r="85" spans="1:59" x14ac:dyDescent="0.35">
      <c r="A85" s="125">
        <f>'Student Basic Info'!A85</f>
        <v>784</v>
      </c>
      <c r="B85" s="125" t="str">
        <f>'Student Basic Info'!C85</f>
        <v xml:space="preserve">Azizul Islam </v>
      </c>
      <c r="C85" s="126" t="str">
        <f>IF(Bangla!B85="","",Bangla!B85)</f>
        <v/>
      </c>
      <c r="D85" s="126">
        <f>IF(Bangla!C85="","",Bangla!C85)</f>
        <v>15</v>
      </c>
      <c r="E85" s="135">
        <f>IF(Bangla!D85="","",Bangla!D85)</f>
        <v>15</v>
      </c>
      <c r="F85" s="135">
        <f>IF(English!C85="","",English!C85)</f>
        <v>6</v>
      </c>
      <c r="G85" s="125">
        <f>IF(ICT!B85="","",ICT!B85)</f>
        <v>10</v>
      </c>
      <c r="H85" s="125">
        <f>IF(ICT!C85="","",ICT!C85)</f>
        <v>9</v>
      </c>
      <c r="I85" s="125">
        <f>IF(ICT!D85="","",ICT!D85)</f>
        <v>24</v>
      </c>
      <c r="J85" s="137">
        <f>IF(ICT!E85="","",ICT!E85)</f>
        <v>43</v>
      </c>
      <c r="K85" s="125">
        <f>IF(Physics!B85="","",Physics!B85)</f>
        <v>4</v>
      </c>
      <c r="L85" s="125">
        <f>IF(Physics!C85="","",Physics!C85)</f>
        <v>9</v>
      </c>
      <c r="M85" s="125">
        <f>IF(Physics!D85="","",Physics!D85)</f>
        <v>9</v>
      </c>
      <c r="N85" s="137">
        <f>IF(Physics!E85="","",Physics!E85)</f>
        <v>22</v>
      </c>
      <c r="O85" s="125">
        <f>IF(Chemistry!B85="","",Chemistry!B85)</f>
        <v>5</v>
      </c>
      <c r="P85" s="125">
        <f>IF(Chemistry!C85="","",Chemistry!C85)</f>
        <v>3</v>
      </c>
      <c r="Q85" s="125">
        <f>IF(Chemistry!D85="","",Chemistry!D85)</f>
        <v>8</v>
      </c>
      <c r="R85" s="137">
        <f>IF(Chemistry!E85="","",Chemistry!E85)</f>
        <v>16</v>
      </c>
      <c r="S85" s="125">
        <f>IF(SubjectList!G85="Math", IF(Math!B85="","",Math!B85), IF(Biology!B85="","",Biology!B85))</f>
        <v>9</v>
      </c>
      <c r="T85" s="125">
        <f>IF(SubjectList!G85="Math", IF(Math!C85="","",Math!C85), IF(Biology!C85="","",Biology!C85))</f>
        <v>0</v>
      </c>
      <c r="U85" s="125">
        <f>IF(SubjectList!G85="Math", IF(Math!D85="","",Math!D85), IF(Biology!D85="","",Biology!D85))</f>
        <v>8</v>
      </c>
      <c r="V85" s="137">
        <f>IF(SubjectList!G85="Math", IF(Math!E85="","",Math!E85), IF(Biology!E85="","",Biology!E85))</f>
        <v>17</v>
      </c>
      <c r="W85" s="125">
        <f>IF(SubjectList!I85="Biology", IF(Biology!B85="","",Biology!B85), IF(Math!B85="","",Math!B85))</f>
        <v>5</v>
      </c>
      <c r="X85" s="125">
        <f>Optional!D85</f>
        <v>0</v>
      </c>
      <c r="Y85" s="125">
        <f>Optional!E85</f>
        <v>9</v>
      </c>
      <c r="Z85" s="137">
        <f>Optional!F85</f>
        <v>14</v>
      </c>
      <c r="AA85" s="127" t="str">
        <f>IF(SubjectList!G85="","", SubjectList!G85)</f>
        <v>Biology</v>
      </c>
      <c r="AB85" s="127" t="str">
        <f>IF(SubjectList!I85="","", SubjectList!I85)</f>
        <v>Math</v>
      </c>
      <c r="AC85" s="125" t="str">
        <f>Bangla!F85</f>
        <v>F</v>
      </c>
      <c r="AD85" s="125" t="str">
        <f>English!E85</f>
        <v>F</v>
      </c>
      <c r="AE85" s="125" t="str">
        <f>ICT!G85</f>
        <v>F</v>
      </c>
      <c r="AF85" s="125" t="str">
        <f>Physics!G85</f>
        <v>F</v>
      </c>
      <c r="AG85" s="125" t="str">
        <f>Chemistry!G85</f>
        <v>F</v>
      </c>
      <c r="AH85" s="125" t="str">
        <f>IF(SubjectList!G85="Math", IF(Math!G85="","",Math!G85), IF(Biology!G85="","",Biology!G85))</f>
        <v>F</v>
      </c>
      <c r="AI85" s="125" t="str">
        <f>IF(SubjectList!H85="Math", IF(Math!G85="","",Math!G85), IF(Biology!G85="","",Biology!G85))</f>
        <v>F</v>
      </c>
      <c r="AJ85" s="140">
        <f>Bangla!G85</f>
        <v>0</v>
      </c>
      <c r="AK85" s="140">
        <f>English!F85</f>
        <v>0</v>
      </c>
      <c r="AL85" s="140">
        <f>ICT!H85</f>
        <v>0</v>
      </c>
      <c r="AM85" s="140">
        <f>Physics!H85</f>
        <v>0</v>
      </c>
      <c r="AN85" s="140">
        <f>Chemistry!H85</f>
        <v>0</v>
      </c>
      <c r="AO85" s="140">
        <f>IF(SubjectList!G85="Math", IF(Math!H85="","",Math!H85), IF(Biology!H85="","",Biology!H85))</f>
        <v>0</v>
      </c>
      <c r="AP85" s="140">
        <f>IF(SubjectList!I85="Math", IF(Math!H85="","",Math!H85), IF(Biology!H85="","",Biology!H85))</f>
        <v>0</v>
      </c>
      <c r="AQ85" s="140">
        <f>Optional!I85</f>
        <v>0</v>
      </c>
      <c r="AR85" s="140">
        <f>Optional!J85</f>
        <v>0</v>
      </c>
      <c r="AS85" s="140" t="str">
        <f t="shared" si="14"/>
        <v/>
      </c>
      <c r="AT85" s="140" t="str">
        <f t="shared" si="19"/>
        <v/>
      </c>
      <c r="AU85" s="128" t="str">
        <f t="shared" si="15"/>
        <v/>
      </c>
      <c r="AV85" s="128" t="str">
        <f t="shared" si="16"/>
        <v/>
      </c>
      <c r="AW85" s="128">
        <f t="shared" si="21"/>
        <v>133</v>
      </c>
      <c r="AX85" s="129">
        <f t="shared" si="13"/>
        <v>0</v>
      </c>
      <c r="AY85" s="129">
        <f t="shared" si="12"/>
        <v>0</v>
      </c>
      <c r="AZ85" s="129">
        <f t="shared" si="12"/>
        <v>0</v>
      </c>
      <c r="BA85" s="129">
        <f t="shared" si="12"/>
        <v>0</v>
      </c>
      <c r="BB85" s="129">
        <f t="shared" si="12"/>
        <v>0</v>
      </c>
      <c r="BC85" s="129">
        <f t="shared" si="12"/>
        <v>0</v>
      </c>
      <c r="BD85" s="125">
        <f t="shared" si="20"/>
        <v>0</v>
      </c>
      <c r="BE85" s="125" t="str">
        <f t="shared" si="17"/>
        <v>F6</v>
      </c>
      <c r="BF85" s="125" t="str">
        <f>IF(AV85="","",RANK(AV85,AV$2:AV88,0))</f>
        <v/>
      </c>
      <c r="BG85" s="125" t="str">
        <f t="shared" si="18"/>
        <v/>
      </c>
    </row>
    <row r="86" spans="1:59" x14ac:dyDescent="0.35">
      <c r="A86" s="125">
        <f>'Student Basic Info'!A86</f>
        <v>785</v>
      </c>
      <c r="B86" s="125" t="str">
        <f>'Student Basic Info'!C86</f>
        <v>Muktaddi Al Saber</v>
      </c>
      <c r="C86" s="126" t="str">
        <f>IF(Bangla!B86="","",Bangla!B86)</f>
        <v/>
      </c>
      <c r="D86" s="126">
        <f>IF(Bangla!C86="","",Bangla!C86)</f>
        <v>18</v>
      </c>
      <c r="E86" s="135">
        <f>IF(Bangla!D86="","",Bangla!D86)</f>
        <v>18</v>
      </c>
      <c r="F86" s="135">
        <f>IF(English!C86="","",English!C86)</f>
        <v>3</v>
      </c>
      <c r="G86" s="125">
        <f>IF(ICT!B86="","",ICT!B86)</f>
        <v>3</v>
      </c>
      <c r="H86" s="125">
        <f>IF(ICT!C86="","",ICT!C86)</f>
        <v>3</v>
      </c>
      <c r="I86" s="125">
        <f>IF(ICT!D86="","",ICT!D86)</f>
        <v>20</v>
      </c>
      <c r="J86" s="137">
        <f>IF(ICT!E86="","",ICT!E86)</f>
        <v>26</v>
      </c>
      <c r="K86" s="125">
        <f>IF(Physics!B86="","",Physics!B86)</f>
        <v>9</v>
      </c>
      <c r="L86" s="125">
        <f>IF(Physics!C86="","",Physics!C86)</f>
        <v>3</v>
      </c>
      <c r="M86" s="125">
        <f>IF(Physics!D86="","",Physics!D86)</f>
        <v>8</v>
      </c>
      <c r="N86" s="137">
        <f>IF(Physics!E86="","",Physics!E86)</f>
        <v>20</v>
      </c>
      <c r="O86" s="125" t="str">
        <f>IF(Chemistry!B86="","",Chemistry!B86)</f>
        <v/>
      </c>
      <c r="P86" s="125" t="str">
        <f>IF(Chemistry!C86="","",Chemistry!C86)</f>
        <v/>
      </c>
      <c r="Q86" s="125" t="str">
        <f>IF(Chemistry!D86="","",Chemistry!D86)</f>
        <v/>
      </c>
      <c r="R86" s="137" t="str">
        <f>IF(Chemistry!E86="","",Chemistry!E86)</f>
        <v/>
      </c>
      <c r="S86" s="125">
        <f>IF(SubjectList!G86="Math", IF(Math!B86="","",Math!B86), IF(Biology!B86="","",Biology!B86))</f>
        <v>10</v>
      </c>
      <c r="T86" s="125">
        <f>IF(SubjectList!G86="Math", IF(Math!C86="","",Math!C86), IF(Biology!C86="","",Biology!C86))</f>
        <v>0</v>
      </c>
      <c r="U86" s="125">
        <f>IF(SubjectList!G86="Math", IF(Math!D86="","",Math!D86), IF(Biology!D86="","",Biology!D86))</f>
        <v>8</v>
      </c>
      <c r="V86" s="137">
        <f>IF(SubjectList!G86="Math", IF(Math!E86="","",Math!E86), IF(Biology!E86="","",Biology!E86))</f>
        <v>18</v>
      </c>
      <c r="W86" s="125">
        <f>IF(SubjectList!I86="Biology", IF(Biology!B86="","",Biology!B86), IF(Math!B86="","",Math!B86))</f>
        <v>7</v>
      </c>
      <c r="X86" s="125">
        <f>Optional!D86</f>
        <v>0</v>
      </c>
      <c r="Y86" s="125">
        <f>Optional!E86</f>
        <v>8</v>
      </c>
      <c r="Z86" s="137">
        <f>Optional!F86</f>
        <v>15</v>
      </c>
      <c r="AA86" s="127" t="str">
        <f>IF(SubjectList!G86="","", SubjectList!G86)</f>
        <v>Biology</v>
      </c>
      <c r="AB86" s="127" t="str">
        <f>IF(SubjectList!I86="","", SubjectList!I86)</f>
        <v>Math</v>
      </c>
      <c r="AC86" s="125" t="str">
        <f>Bangla!F86</f>
        <v>F</v>
      </c>
      <c r="AD86" s="125" t="str">
        <f>English!E86</f>
        <v>F</v>
      </c>
      <c r="AE86" s="125" t="str">
        <f>ICT!G86</f>
        <v>F</v>
      </c>
      <c r="AF86" s="125" t="str">
        <f>Physics!G86</f>
        <v>F</v>
      </c>
      <c r="AG86" s="125" t="str">
        <f>Chemistry!G86</f>
        <v/>
      </c>
      <c r="AH86" s="125" t="str">
        <f>IF(SubjectList!G86="Math", IF(Math!G86="","",Math!G86), IF(Biology!G86="","",Biology!G86))</f>
        <v>F</v>
      </c>
      <c r="AI86" s="125" t="str">
        <f>IF(SubjectList!H86="Math", IF(Math!G86="","",Math!G86), IF(Biology!G86="","",Biology!G86))</f>
        <v>F</v>
      </c>
      <c r="AJ86" s="140">
        <f>Bangla!G86</f>
        <v>0</v>
      </c>
      <c r="AK86" s="140">
        <f>English!F86</f>
        <v>0</v>
      </c>
      <c r="AL86" s="140">
        <f>ICT!H86</f>
        <v>0</v>
      </c>
      <c r="AM86" s="140">
        <f>Physics!H86</f>
        <v>0</v>
      </c>
      <c r="AN86" s="140" t="str">
        <f>Chemistry!H86</f>
        <v/>
      </c>
      <c r="AO86" s="140">
        <f>IF(SubjectList!G86="Math", IF(Math!H86="","",Math!H86), IF(Biology!H86="","",Biology!H86))</f>
        <v>0</v>
      </c>
      <c r="AP86" s="140">
        <f>IF(SubjectList!I86="Math", IF(Math!H86="","",Math!H86), IF(Biology!H86="","",Biology!H86))</f>
        <v>0</v>
      </c>
      <c r="AQ86" s="140">
        <f>Optional!I86</f>
        <v>0</v>
      </c>
      <c r="AR86" s="140">
        <f>Optional!J86</f>
        <v>0</v>
      </c>
      <c r="AS86" s="140" t="str">
        <f t="shared" si="14"/>
        <v/>
      </c>
      <c r="AT86" s="140" t="str">
        <f t="shared" si="19"/>
        <v/>
      </c>
      <c r="AU86" s="128" t="str">
        <f t="shared" si="15"/>
        <v/>
      </c>
      <c r="AV86" s="128" t="str">
        <f t="shared" si="16"/>
        <v/>
      </c>
      <c r="AW86" s="128">
        <f t="shared" si="21"/>
        <v>100</v>
      </c>
      <c r="AX86" s="129">
        <f t="shared" si="13"/>
        <v>0</v>
      </c>
      <c r="AY86" s="129">
        <f t="shared" si="12"/>
        <v>0</v>
      </c>
      <c r="AZ86" s="129">
        <f t="shared" si="12"/>
        <v>0</v>
      </c>
      <c r="BA86" s="129">
        <f t="shared" si="12"/>
        <v>0</v>
      </c>
      <c r="BB86" s="129" t="str">
        <f t="shared" si="12"/>
        <v/>
      </c>
      <c r="BC86" s="129">
        <f t="shared" si="12"/>
        <v>0</v>
      </c>
      <c r="BD86" s="125">
        <f t="shared" si="20"/>
        <v>0</v>
      </c>
      <c r="BE86" s="125" t="str">
        <f t="shared" si="17"/>
        <v>F6</v>
      </c>
      <c r="BF86" s="125" t="str">
        <f>IF(AV86="","",RANK(AV86,AV$2:AV88,0))</f>
        <v/>
      </c>
      <c r="BG86" s="125" t="str">
        <f t="shared" si="18"/>
        <v/>
      </c>
    </row>
    <row r="87" spans="1:59" x14ac:dyDescent="0.35">
      <c r="A87" s="125">
        <f>'Student Basic Info'!A87</f>
        <v>786</v>
      </c>
      <c r="B87" s="125" t="str">
        <f>'Student Basic Info'!C87</f>
        <v>Farzana Aktar</v>
      </c>
      <c r="C87" s="126" t="str">
        <f>IF(Bangla!B87="","",Bangla!B87)</f>
        <v/>
      </c>
      <c r="D87" s="126" t="str">
        <f>IF(Bangla!C87="","",Bangla!C87)</f>
        <v/>
      </c>
      <c r="E87" s="135" t="str">
        <f>IF(Bangla!D87="","",Bangla!D87)</f>
        <v/>
      </c>
      <c r="F87" s="135">
        <f>IF(English!C87="","",English!C87)</f>
        <v>14</v>
      </c>
      <c r="G87" s="125">
        <f>IF(ICT!B87="","",ICT!B87)</f>
        <v>7</v>
      </c>
      <c r="H87" s="141"/>
      <c r="I87" s="125">
        <f>IF(ICT!D87="","",ICT!D87)</f>
        <v>8</v>
      </c>
      <c r="J87" s="137">
        <f>IF(ICT!E87="","",ICT!E87)</f>
        <v>16</v>
      </c>
      <c r="K87" s="125" t="str">
        <f>IF(Physics!B87="","",Physics!B87)</f>
        <v/>
      </c>
      <c r="L87" s="125" t="str">
        <f>IF(Physics!C87="","",Physics!C87)</f>
        <v/>
      </c>
      <c r="M87" s="125" t="str">
        <f>IF(Physics!D87="","",Physics!D87)</f>
        <v/>
      </c>
      <c r="N87" s="137" t="str">
        <f>IF(Physics!E87="","",Physics!E87)</f>
        <v/>
      </c>
      <c r="O87" s="125">
        <f>IF(Chemistry!B87="","",Chemistry!B87)</f>
        <v>6</v>
      </c>
      <c r="P87" s="125">
        <f>IF(Chemistry!C87="","",Chemistry!C87)</f>
        <v>1</v>
      </c>
      <c r="Q87" s="125">
        <f>IF(Chemistry!D87="","",Chemistry!D87)</f>
        <v>8</v>
      </c>
      <c r="R87" s="137">
        <f>IF(Chemistry!E87="","",Chemistry!E87)</f>
        <v>15</v>
      </c>
      <c r="S87" s="125">
        <f>IF(SubjectList!G87="Math", IF(Math!B87="","",Math!B87), IF(Biology!B87="","",Biology!B87))</f>
        <v>6</v>
      </c>
      <c r="T87" s="125">
        <f>IF(SubjectList!G87="Math", IF(Math!C87="","",Math!C87), IF(Biology!C87="","",Biology!C87))</f>
        <v>0</v>
      </c>
      <c r="U87" s="125">
        <f>IF(SubjectList!G87="Math", IF(Math!D87="","",Math!D87), IF(Biology!D87="","",Biology!D87))</f>
        <v>8</v>
      </c>
      <c r="V87" s="137">
        <f>IF(SubjectList!G87="Math", IF(Math!E87="","",Math!E87), IF(Biology!E87="","",Biology!E87))</f>
        <v>14</v>
      </c>
      <c r="W87" s="125">
        <f>IF(SubjectList!I87="Biology", IF(Biology!B87="","",Biology!B87), IF(Math!B87="","",Math!B87))</f>
        <v>6</v>
      </c>
      <c r="X87" s="125">
        <f>Optional!D87</f>
        <v>1</v>
      </c>
      <c r="Y87" s="125">
        <f>Optional!E87</f>
        <v>8</v>
      </c>
      <c r="Z87" s="137">
        <f>Optional!F87</f>
        <v>15</v>
      </c>
      <c r="AA87" s="127" t="str">
        <f>IF(SubjectList!G87="","", SubjectList!G87)</f>
        <v>Math</v>
      </c>
      <c r="AB87" s="127" t="str">
        <f>IF(SubjectList!I87="","", SubjectList!I87)</f>
        <v>Biology</v>
      </c>
      <c r="AC87" s="125" t="str">
        <f>Bangla!F87</f>
        <v/>
      </c>
      <c r="AD87" s="125" t="str">
        <f>English!E87</f>
        <v>F</v>
      </c>
      <c r="AE87" s="125" t="str">
        <f>ICT!G87</f>
        <v>F</v>
      </c>
      <c r="AF87" s="125" t="str">
        <f>Physics!G87</f>
        <v/>
      </c>
      <c r="AG87" s="125" t="str">
        <f>Chemistry!G87</f>
        <v>F</v>
      </c>
      <c r="AH87" s="125" t="str">
        <f>IF(SubjectList!G87="Math", IF(Math!G87="","",Math!G87), IF(Biology!G87="","",Biology!G87))</f>
        <v>F</v>
      </c>
      <c r="AI87" s="125" t="str">
        <f>IF(SubjectList!H87="Math", IF(Math!G87="","",Math!G87), IF(Biology!G87="","",Biology!G87))</f>
        <v>F</v>
      </c>
      <c r="AJ87" s="140" t="str">
        <f>Bangla!G87</f>
        <v/>
      </c>
      <c r="AK87" s="140">
        <f>English!F87</f>
        <v>0</v>
      </c>
      <c r="AL87" s="140">
        <f>ICT!H87</f>
        <v>0</v>
      </c>
      <c r="AM87" s="140" t="str">
        <f>Physics!H87</f>
        <v/>
      </c>
      <c r="AN87" s="140">
        <f>Chemistry!H87</f>
        <v>0</v>
      </c>
      <c r="AO87" s="140">
        <f>IF(SubjectList!G87="Math", IF(Math!H87="","",Math!H87), IF(Biology!H87="","",Biology!H87))</f>
        <v>0</v>
      </c>
      <c r="AP87" s="140">
        <f>IF(SubjectList!I87="Math", IF(Math!H87="","",Math!H87), IF(Biology!H87="","",Biology!H87))</f>
        <v>0</v>
      </c>
      <c r="AQ87" s="140">
        <f>Optional!I87</f>
        <v>0</v>
      </c>
      <c r="AR87" s="140">
        <f>Optional!J87</f>
        <v>0</v>
      </c>
      <c r="AS87" s="140" t="str">
        <f t="shared" si="14"/>
        <v/>
      </c>
      <c r="AT87" s="140" t="str">
        <f t="shared" si="19"/>
        <v/>
      </c>
      <c r="AU87" s="128" t="str">
        <f t="shared" si="15"/>
        <v/>
      </c>
      <c r="AV87" s="128" t="str">
        <f t="shared" si="16"/>
        <v/>
      </c>
      <c r="AW87" s="128">
        <f t="shared" si="21"/>
        <v>74</v>
      </c>
      <c r="AX87" s="129" t="str">
        <f t="shared" si="13"/>
        <v/>
      </c>
      <c r="AY87" s="129">
        <f t="shared" si="12"/>
        <v>0</v>
      </c>
      <c r="AZ87" s="129">
        <f t="shared" si="12"/>
        <v>0</v>
      </c>
      <c r="BA87" s="129" t="str">
        <f t="shared" si="12"/>
        <v/>
      </c>
      <c r="BB87" s="129">
        <f t="shared" si="12"/>
        <v>0</v>
      </c>
      <c r="BC87" s="129">
        <f t="shared" si="12"/>
        <v>0</v>
      </c>
      <c r="BD87" s="125">
        <f t="shared" si="20"/>
        <v>0</v>
      </c>
      <c r="BE87" s="125" t="str">
        <f t="shared" si="17"/>
        <v>F6</v>
      </c>
      <c r="BF87" s="125" t="str">
        <f>IF(AV87="","",RANK(AV87,AV$2:AV88,0))</f>
        <v/>
      </c>
      <c r="BG87" s="125" t="str">
        <f t="shared" si="18"/>
        <v/>
      </c>
    </row>
    <row r="88" spans="1:59" x14ac:dyDescent="0.35">
      <c r="A88" s="125">
        <f>'Student Basic Info'!A88</f>
        <v>6812</v>
      </c>
      <c r="B88" s="125" t="str">
        <f>'Student Basic Info'!C88</f>
        <v>Jannatul Mawa Parvin</v>
      </c>
      <c r="C88" s="126" t="str">
        <f>IF(Bangla!B88="","",Bangla!B88)</f>
        <v/>
      </c>
      <c r="D88" s="126">
        <f>IF(Bangla!C88="","",Bangla!C88)</f>
        <v>47</v>
      </c>
      <c r="E88" s="135">
        <f>IF(Bangla!D88="","",Bangla!D88)</f>
        <v>47</v>
      </c>
      <c r="F88" s="135">
        <f>IF(English!C88="","",English!C88)</f>
        <v>28</v>
      </c>
      <c r="G88" s="125">
        <f>IF(ICT!B88="","",ICT!B88)</f>
        <v>9</v>
      </c>
      <c r="H88" s="125">
        <f>IF(ICT!C87="","",ICT!C87)</f>
        <v>1</v>
      </c>
      <c r="I88" s="125">
        <f>IF(ICT!D88="","",ICT!D88)</f>
        <v>24</v>
      </c>
      <c r="J88" s="137">
        <f>IF(ICT!E88="","",ICT!E88)</f>
        <v>50</v>
      </c>
      <c r="K88" s="125">
        <f>IF(Physics!B88="","",Physics!B88)</f>
        <v>9</v>
      </c>
      <c r="L88" s="125">
        <f>IF(Physics!C88="","",Physics!C88)</f>
        <v>31</v>
      </c>
      <c r="M88" s="125">
        <f>IF(Physics!D88="","",Physics!D88)</f>
        <v>18</v>
      </c>
      <c r="N88" s="137">
        <f>IF(Physics!E88="","",Physics!E88)</f>
        <v>58</v>
      </c>
      <c r="O88" s="125">
        <f>IF(Chemistry!B88="","",Chemistry!B88)</f>
        <v>9</v>
      </c>
      <c r="P88" s="125">
        <f>IF(Chemistry!C88="","",Chemistry!C88)</f>
        <v>13</v>
      </c>
      <c r="Q88" s="125">
        <f>IF(Chemistry!D88="","",Chemistry!D88)</f>
        <v>8</v>
      </c>
      <c r="R88" s="137">
        <f>IF(Chemistry!E88="","",Chemistry!E88)</f>
        <v>30</v>
      </c>
      <c r="S88" s="125">
        <f>IF(SubjectList!G88="Math", IF(Math!B88="","",Math!B88), IF(Biology!B88="","",Biology!B88))</f>
        <v>9</v>
      </c>
      <c r="T88" s="125">
        <f>IF(SubjectList!G88="Math", IF(Math!C88="","",Math!C88), IF(Biology!C88="","",Biology!C88))</f>
        <v>7</v>
      </c>
      <c r="U88" s="125">
        <f>IF(SubjectList!G88="Math", IF(Math!D88="","",Math!D88), IF(Biology!D88="","",Biology!D88))</f>
        <v>10</v>
      </c>
      <c r="V88" s="137">
        <f>IF(SubjectList!G88="Math", IF(Math!E88="","",Math!E88), IF(Biology!E88="","",Biology!E88))</f>
        <v>26</v>
      </c>
      <c r="W88" s="125">
        <f>IF(SubjectList!I88="Biology", IF(Biology!B88="","",Biology!B88), IF(Math!B88="","",Math!B88))</f>
        <v>7</v>
      </c>
      <c r="X88" s="125">
        <f>Optional!D88</f>
        <v>1</v>
      </c>
      <c r="Y88" s="125">
        <f>Optional!E88</f>
        <v>8</v>
      </c>
      <c r="Z88" s="137">
        <f>Optional!F88</f>
        <v>16</v>
      </c>
      <c r="AA88" s="127" t="str">
        <f>IF(SubjectList!G88="","", SubjectList!G88)</f>
        <v>Biology</v>
      </c>
      <c r="AB88" s="127" t="str">
        <f>IF(SubjectList!I88="","", SubjectList!I88)</f>
        <v>Math</v>
      </c>
      <c r="AC88" s="125" t="str">
        <f>Bangla!F88</f>
        <v>C</v>
      </c>
      <c r="AD88" s="125" t="str">
        <f>English!E88</f>
        <v>F</v>
      </c>
      <c r="AE88" s="125" t="str">
        <f>ICT!G88</f>
        <v>B</v>
      </c>
      <c r="AF88" s="125" t="str">
        <f>Physics!G88</f>
        <v>B</v>
      </c>
      <c r="AG88" s="125" t="str">
        <f>Chemistry!G88</f>
        <v>F</v>
      </c>
      <c r="AH88" s="125" t="str">
        <f>IF(SubjectList!G88="Math", IF(Math!G88="","",Math!G88), IF(Biology!G88="","",Biology!G88))</f>
        <v>F</v>
      </c>
      <c r="AI88" s="125" t="str">
        <f>IF(SubjectList!H88="Math", IF(Math!G88="","",Math!G88), IF(Biology!G88="","",Biology!G88))</f>
        <v>F</v>
      </c>
      <c r="AJ88" s="140">
        <f>Bangla!G88</f>
        <v>2</v>
      </c>
      <c r="AK88" s="140">
        <f>English!F88</f>
        <v>0</v>
      </c>
      <c r="AL88" s="140">
        <f>ICT!H88</f>
        <v>3</v>
      </c>
      <c r="AM88" s="140">
        <f>Physics!H88</f>
        <v>3</v>
      </c>
      <c r="AN88" s="140">
        <f>Chemistry!H88</f>
        <v>0</v>
      </c>
      <c r="AO88" s="140">
        <f>IF(SubjectList!G88="Math", IF(Math!H88="","",Math!H88), IF(Biology!H88="","",Biology!H88))</f>
        <v>0</v>
      </c>
      <c r="AP88" s="140">
        <f>IF(SubjectList!I88="Math", IF(Math!H88="","",Math!H88), IF(Biology!H88="","",Biology!H88))</f>
        <v>0</v>
      </c>
      <c r="AQ88" s="140">
        <f>Optional!I88</f>
        <v>0</v>
      </c>
      <c r="AR88" s="140">
        <f>Optional!J88</f>
        <v>0</v>
      </c>
      <c r="AS88" s="140">
        <f t="shared" si="14"/>
        <v>8</v>
      </c>
      <c r="AT88" s="140">
        <f t="shared" si="19"/>
        <v>8</v>
      </c>
      <c r="AU88" s="128" t="str">
        <f t="shared" si="15"/>
        <v/>
      </c>
      <c r="AV88" s="128" t="str">
        <f t="shared" si="16"/>
        <v/>
      </c>
      <c r="AW88" s="128">
        <f t="shared" si="21"/>
        <v>255</v>
      </c>
      <c r="AX88" s="129">
        <f t="shared" si="13"/>
        <v>1</v>
      </c>
      <c r="AY88" s="129">
        <f t="shared" si="12"/>
        <v>0</v>
      </c>
      <c r="AZ88" s="129">
        <f t="shared" si="12"/>
        <v>1</v>
      </c>
      <c r="BA88" s="129">
        <f t="shared" si="12"/>
        <v>1</v>
      </c>
      <c r="BB88" s="129">
        <f t="shared" si="12"/>
        <v>0</v>
      </c>
      <c r="BC88" s="129">
        <f t="shared" si="12"/>
        <v>0</v>
      </c>
      <c r="BD88" s="125">
        <f t="shared" si="20"/>
        <v>3</v>
      </c>
      <c r="BE88" s="125" t="str">
        <f t="shared" si="17"/>
        <v>F3</v>
      </c>
      <c r="BF88" s="125" t="str">
        <f>IF(AV88="","",RANK(AV88,AV$2:AV88,0))</f>
        <v/>
      </c>
      <c r="BG88" s="125" t="str">
        <f t="shared" si="18"/>
        <v/>
      </c>
    </row>
  </sheetData>
  <sheetProtection formatCells="0" formatColumns="0" formatRows="0" insertColumns="0" insertRows="0" insertHyperlinks="0" deleteColumns="0" deleteRows="0"/>
  <autoFilter ref="E1:E88"/>
  <conditionalFormatting sqref="BE2:BE88">
    <cfRule type="containsText" dxfId="0" priority="1" operator="containsText" text="Pass">
      <formula>NOT(ISERROR(SEARCH("Pass",BE2)))</formula>
    </cfRule>
  </conditionalFormatting>
  <pageMargins left="0.7" right="0.7" top="1.44" bottom="0.75" header="0.08" footer="0.3"/>
  <pageSetup paperSize="9" orientation="landscape" r:id="rId1"/>
  <headerFooter>
    <oddHeader>&amp;C&amp;"-,Bold"&amp;28&amp;KFFC000BAMNI DEGREE COLLEGE&amp;"-,Regular"&amp;11&amp;K01+000
&amp;"-,Bold"&amp;20Test Examination Result-2025&amp;"-,Regular"&amp;11
&amp;"-,Bold"&amp;14Group: Science (Marks Summary Sheet)&amp;"-,Regular"&amp;11
&amp;"-,Italic"&amp;14&amp;UDate of Publication of Result: February 20, 2025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workbookViewId="0">
      <selection activeCell="Q17" sqref="Q17"/>
    </sheetView>
  </sheetViews>
  <sheetFormatPr defaultRowHeight="14.5" x14ac:dyDescent="0.35"/>
  <cols>
    <col min="1" max="1" width="8.26953125" customWidth="1"/>
    <col min="2" max="2" width="7" customWidth="1"/>
    <col min="3" max="3" width="6.36328125" bestFit="1" customWidth="1"/>
    <col min="4" max="4" width="6.6328125" bestFit="1" customWidth="1"/>
    <col min="5" max="5" width="5.08984375" customWidth="1"/>
    <col min="6" max="6" width="6.81640625" bestFit="1" customWidth="1"/>
    <col min="7" max="7" width="9.26953125" bestFit="1" customWidth="1"/>
    <col min="8" max="8" width="6.81640625" bestFit="1" customWidth="1"/>
    <col min="9" max="9" width="5.36328125" bestFit="1" customWidth="1"/>
    <col min="10" max="10" width="5.90625" style="1" bestFit="1" customWidth="1"/>
    <col min="11" max="11" width="10" style="1" bestFit="1" customWidth="1"/>
  </cols>
  <sheetData>
    <row r="1" spans="1:12" x14ac:dyDescent="0.35">
      <c r="A1" s="13" t="s">
        <v>1</v>
      </c>
      <c r="B1" s="13" t="s">
        <v>0</v>
      </c>
      <c r="C1" s="13" t="s">
        <v>12</v>
      </c>
      <c r="D1" s="13" t="s">
        <v>13</v>
      </c>
      <c r="E1" s="13" t="s">
        <v>14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16</v>
      </c>
      <c r="K1" s="13" t="s">
        <v>58</v>
      </c>
      <c r="L1" s="6"/>
    </row>
    <row r="2" spans="1:12" x14ac:dyDescent="0.35">
      <c r="A2" s="4" t="str">
        <f>'Student Basic Info'!B2</f>
        <v>Science</v>
      </c>
      <c r="B2" s="4">
        <f>'Student Basic Info'!A2</f>
        <v>701</v>
      </c>
      <c r="C2" s="30">
        <f>IF(Bangla!D2="","",Bangla!D2)</f>
        <v>60</v>
      </c>
      <c r="D2" s="76">
        <f>IF(English!C2="","",English!C2)</f>
        <v>45</v>
      </c>
      <c r="E2" s="30">
        <f>IF(ICT!E2="","",ICT!E2)</f>
        <v>82</v>
      </c>
      <c r="F2" s="30">
        <f>IF(Physics!E2="","",Physics!E2)</f>
        <v>53</v>
      </c>
      <c r="G2" s="30">
        <f>IF(Chemistry!E2="","",Chemistry!E2)</f>
        <v>70</v>
      </c>
      <c r="H2" s="30">
        <f>IF(Biology!E2="","",Biology!E2)</f>
        <v>50</v>
      </c>
      <c r="I2" s="30">
        <f>IF(Math!E2="","",Math!E2)</f>
        <v>72</v>
      </c>
      <c r="J2" s="3">
        <f>IF(OR(C2=0,D2=0,E2=0,F2=0,G2=0,H2=0,C2="",D2="",E2="",F2="",G2="",H2=""),"",SUM(C2:H2))</f>
        <v>360</v>
      </c>
      <c r="K2" s="3">
        <f t="shared" ref="K2:K65" si="0">IF(OR(C2=0,D2=0,E2=0,F2=0,G2=0,H2=0,C2="",D2="",E2="",F2="",G2="",H2=""),"",SUM(C2:I2))</f>
        <v>432</v>
      </c>
    </row>
    <row r="3" spans="1:12" x14ac:dyDescent="0.35">
      <c r="A3" s="4" t="str">
        <f>'Student Basic Info'!B3</f>
        <v>Science</v>
      </c>
      <c r="B3" s="4">
        <f>'Student Basic Info'!A3</f>
        <v>702</v>
      </c>
      <c r="C3" s="30" t="str">
        <f>IF(Bangla!D3="","",Bangla!D3)</f>
        <v/>
      </c>
      <c r="D3" s="76" t="str">
        <f>IF(English!C3="","",English!C3)</f>
        <v/>
      </c>
      <c r="E3" s="30" t="str">
        <f>IF(ICT!E3="","",ICT!E3)</f>
        <v/>
      </c>
      <c r="F3" s="30" t="str">
        <f>IF(Physics!E3="","",Physics!E3)</f>
        <v/>
      </c>
      <c r="G3" s="30" t="str">
        <f>IF(Chemistry!E3="","",Chemistry!E3)</f>
        <v/>
      </c>
      <c r="H3" s="30" t="str">
        <f>IF(Biology!E3="","",Biology!E3)</f>
        <v/>
      </c>
      <c r="I3" s="30" t="str">
        <f>IF(Math!E3="","",Math!E3)</f>
        <v/>
      </c>
      <c r="J3" s="3" t="str">
        <f>IF(OR(C3=0,D3=0,E3=0,F3=0,G3=0,H3=0,C3="",D3="",E3="",F3="",G3="",H3=""),"",SUM(C3:H3))</f>
        <v/>
      </c>
      <c r="K3" s="3" t="str">
        <f t="shared" si="0"/>
        <v/>
      </c>
    </row>
    <row r="4" spans="1:12" x14ac:dyDescent="0.35">
      <c r="A4" s="4" t="str">
        <f>'Student Basic Info'!B4</f>
        <v>Science</v>
      </c>
      <c r="B4" s="4">
        <f>'Student Basic Info'!A4</f>
        <v>703</v>
      </c>
      <c r="C4" s="30" t="str">
        <f>IF(Bangla!D4="","",Bangla!D4)</f>
        <v/>
      </c>
      <c r="D4" s="76" t="str">
        <f>IF(English!C4="","",English!C4)</f>
        <v/>
      </c>
      <c r="E4" s="30" t="str">
        <f>IF(ICT!E4="","",ICT!E4)</f>
        <v/>
      </c>
      <c r="F4" s="30" t="str">
        <f>IF(Physics!E4="","",Physics!E4)</f>
        <v/>
      </c>
      <c r="G4" s="30" t="str">
        <f>IF(Chemistry!E4="","",Chemistry!E4)</f>
        <v/>
      </c>
      <c r="H4" s="30" t="str">
        <f>IF(Biology!E4="","",Biology!E4)</f>
        <v/>
      </c>
      <c r="I4" s="30" t="str">
        <f>IF(Math!E4="","",Math!E4)</f>
        <v/>
      </c>
      <c r="J4" s="3" t="str">
        <f t="shared" ref="J4:J66" si="1">IF(OR(C4=0,D4=0,E4=0,F4=0,G4=0,H4=0,C4="",D4="",E4="",F4="",G4="",H4=""),"",SUM(C4:H4))</f>
        <v/>
      </c>
      <c r="K4" s="3" t="str">
        <f t="shared" si="0"/>
        <v/>
      </c>
    </row>
    <row r="5" spans="1:12" x14ac:dyDescent="0.35">
      <c r="A5" s="4" t="str">
        <f>'Student Basic Info'!B5</f>
        <v>Science</v>
      </c>
      <c r="B5" s="4">
        <f>'Student Basic Info'!A5</f>
        <v>704</v>
      </c>
      <c r="C5" s="30">
        <f>IF(Bangla!D5="","",Bangla!D5)</f>
        <v>62</v>
      </c>
      <c r="D5" s="76">
        <f>IF(English!C5="","",English!C5)</f>
        <v>38</v>
      </c>
      <c r="E5" s="30">
        <f>IF(ICT!E5="","",ICT!E5)</f>
        <v>48</v>
      </c>
      <c r="F5" s="30">
        <f>IF(Physics!E5="","",Physics!E5)</f>
        <v>22</v>
      </c>
      <c r="G5" s="30">
        <f>IF(Chemistry!E5="","",Chemistry!E5)</f>
        <v>39</v>
      </c>
      <c r="H5" s="30">
        <f>IF(Biology!E5="","",Biology!E5)</f>
        <v>27</v>
      </c>
      <c r="I5" s="30">
        <f>IF(Math!E5="","",Math!E5)</f>
        <v>27</v>
      </c>
      <c r="J5" s="3">
        <f t="shared" si="1"/>
        <v>236</v>
      </c>
      <c r="K5" s="3">
        <f t="shared" si="0"/>
        <v>263</v>
      </c>
    </row>
    <row r="6" spans="1:12" x14ac:dyDescent="0.35">
      <c r="A6" s="4" t="str">
        <f>'Student Basic Info'!B6</f>
        <v>Science</v>
      </c>
      <c r="B6" s="4">
        <f>'Student Basic Info'!A6</f>
        <v>705</v>
      </c>
      <c r="C6" s="30" t="str">
        <f>IF(Bangla!D6="","",Bangla!D6)</f>
        <v/>
      </c>
      <c r="D6" s="76" t="str">
        <f>IF(English!C6="","",English!C6)</f>
        <v/>
      </c>
      <c r="E6" s="30">
        <f>IF(ICT!E6="","",ICT!E6)</f>
        <v>27</v>
      </c>
      <c r="F6" s="30" t="str">
        <f>IF(Physics!E6="","",Physics!E6)</f>
        <v/>
      </c>
      <c r="G6" s="30" t="str">
        <f>IF(Chemistry!E6="","",Chemistry!E6)</f>
        <v/>
      </c>
      <c r="H6" s="30" t="str">
        <f>IF(Biology!E6="","",Biology!E6)</f>
        <v/>
      </c>
      <c r="I6" s="30" t="str">
        <f>IF(Math!E6="","",Math!E6)</f>
        <v/>
      </c>
      <c r="J6" s="3" t="str">
        <f t="shared" si="1"/>
        <v/>
      </c>
      <c r="K6" s="3" t="str">
        <f t="shared" si="0"/>
        <v/>
      </c>
    </row>
    <row r="7" spans="1:12" x14ac:dyDescent="0.35">
      <c r="A7" s="4" t="str">
        <f>'Student Basic Info'!B7</f>
        <v>Science</v>
      </c>
      <c r="B7" s="4">
        <f>'Student Basic Info'!A7</f>
        <v>706</v>
      </c>
      <c r="C7" s="30" t="str">
        <f>IF(Bangla!D7="","",Bangla!D7)</f>
        <v/>
      </c>
      <c r="D7" s="76" t="str">
        <f>IF(English!C7="","",English!C7)</f>
        <v/>
      </c>
      <c r="E7" s="30" t="str">
        <f>IF(ICT!E7="","",ICT!E7)</f>
        <v/>
      </c>
      <c r="F7" s="30" t="str">
        <f>IF(Physics!E7="","",Physics!E7)</f>
        <v/>
      </c>
      <c r="G7" s="30" t="str">
        <f>IF(Chemistry!E7="","",Chemistry!E7)</f>
        <v/>
      </c>
      <c r="H7" s="30" t="str">
        <f>IF(Biology!E7="","",Biology!E7)</f>
        <v/>
      </c>
      <c r="I7" s="30" t="str">
        <f>IF(Math!E7="","",Math!E7)</f>
        <v/>
      </c>
      <c r="J7" s="3" t="str">
        <f t="shared" si="1"/>
        <v/>
      </c>
      <c r="K7" s="3" t="str">
        <f t="shared" si="0"/>
        <v/>
      </c>
    </row>
    <row r="8" spans="1:12" x14ac:dyDescent="0.35">
      <c r="A8" s="4" t="str">
        <f>'Student Basic Info'!B8</f>
        <v>Science</v>
      </c>
      <c r="B8" s="4">
        <f>'Student Basic Info'!A8</f>
        <v>707</v>
      </c>
      <c r="C8" s="30" t="str">
        <f>IF(Bangla!D8="","",Bangla!D8)</f>
        <v/>
      </c>
      <c r="D8" s="76" t="str">
        <f>IF(English!C8="","",English!C8)</f>
        <v/>
      </c>
      <c r="E8" s="30" t="str">
        <f>IF(ICT!E8="","",ICT!E8)</f>
        <v/>
      </c>
      <c r="F8" s="30" t="str">
        <f>IF(Physics!E8="","",Physics!E8)</f>
        <v/>
      </c>
      <c r="G8" s="30" t="str">
        <f>IF(Chemistry!E8="","",Chemistry!E8)</f>
        <v/>
      </c>
      <c r="H8" s="30" t="str">
        <f>IF(Biology!E8="","",Biology!E8)</f>
        <v/>
      </c>
      <c r="I8" s="30" t="str">
        <f>IF(Math!E8="","",Math!E8)</f>
        <v/>
      </c>
      <c r="J8" s="3" t="str">
        <f t="shared" si="1"/>
        <v/>
      </c>
      <c r="K8" s="3" t="str">
        <f t="shared" si="0"/>
        <v/>
      </c>
    </row>
    <row r="9" spans="1:12" x14ac:dyDescent="0.35">
      <c r="A9" s="4" t="str">
        <f>'Student Basic Info'!B9</f>
        <v>Science</v>
      </c>
      <c r="B9" s="4">
        <f>'Student Basic Info'!A9</f>
        <v>708</v>
      </c>
      <c r="C9" s="30">
        <f>IF(Bangla!D9="","",Bangla!D9)</f>
        <v>62</v>
      </c>
      <c r="D9" s="76">
        <f>IF(English!C9="","",English!C9)</f>
        <v>33</v>
      </c>
      <c r="E9" s="30">
        <f>IF(ICT!E9="","",ICT!E9)</f>
        <v>43</v>
      </c>
      <c r="F9" s="30">
        <f>IF(Physics!E9="","",Physics!E9)</f>
        <v>28</v>
      </c>
      <c r="G9" s="30">
        <f>IF(Chemistry!E9="","",Chemistry!E9)</f>
        <v>37</v>
      </c>
      <c r="H9" s="30">
        <f>IF(Biology!E9="","",Biology!E9)</f>
        <v>29</v>
      </c>
      <c r="I9" s="30">
        <f>IF(Math!E9="","",Math!E9)</f>
        <v>25</v>
      </c>
      <c r="J9" s="3">
        <f t="shared" si="1"/>
        <v>232</v>
      </c>
      <c r="K9" s="3">
        <f t="shared" si="0"/>
        <v>257</v>
      </c>
    </row>
    <row r="10" spans="1:12" x14ac:dyDescent="0.35">
      <c r="A10" s="4" t="str">
        <f>'Student Basic Info'!B10</f>
        <v>Science</v>
      </c>
      <c r="B10" s="4">
        <f>'Student Basic Info'!A10</f>
        <v>709</v>
      </c>
      <c r="C10" s="30">
        <f>IF(Bangla!D10="","",Bangla!D10)</f>
        <v>63</v>
      </c>
      <c r="D10" s="76">
        <f>IF(English!C10="","",English!C10)</f>
        <v>33</v>
      </c>
      <c r="E10" s="30">
        <f>IF(ICT!E10="","",ICT!E10)</f>
        <v>37</v>
      </c>
      <c r="F10" s="30">
        <f>IF(Physics!E10="","",Physics!E10)</f>
        <v>40</v>
      </c>
      <c r="G10" s="30">
        <f>IF(Chemistry!E10="","",Chemistry!E10)</f>
        <v>34</v>
      </c>
      <c r="H10" s="30">
        <f>IF(Biology!E10="","",Biology!E10)</f>
        <v>28</v>
      </c>
      <c r="I10" s="30">
        <f>IF(Math!E10="","",Math!E10)</f>
        <v>23</v>
      </c>
      <c r="J10" s="3">
        <f t="shared" si="1"/>
        <v>235</v>
      </c>
      <c r="K10" s="3">
        <f t="shared" si="0"/>
        <v>258</v>
      </c>
    </row>
    <row r="11" spans="1:12" x14ac:dyDescent="0.35">
      <c r="A11" s="4" t="str">
        <f>'Student Basic Info'!B11</f>
        <v>Science</v>
      </c>
      <c r="B11" s="4">
        <f>'Student Basic Info'!A11</f>
        <v>710</v>
      </c>
      <c r="C11" s="30">
        <f>IF(Bangla!D11="","",Bangla!D11)</f>
        <v>56</v>
      </c>
      <c r="D11" s="76">
        <f>IF(English!C11="","",English!C11)</f>
        <v>27</v>
      </c>
      <c r="E11" s="30">
        <f>IF(ICT!E11="","",ICT!E11)</f>
        <v>50</v>
      </c>
      <c r="F11" s="30">
        <f>IF(Physics!E11="","",Physics!E11)</f>
        <v>43</v>
      </c>
      <c r="G11" s="30">
        <f>IF(Chemistry!E11="","",Chemistry!E11)</f>
        <v>29</v>
      </c>
      <c r="H11" s="30">
        <f>IF(Biology!E11="","",Biology!E11)</f>
        <v>31</v>
      </c>
      <c r="I11" s="30">
        <f>IF(Math!E11="","",Math!E11)</f>
        <v>24</v>
      </c>
      <c r="J11" s="3">
        <f t="shared" si="1"/>
        <v>236</v>
      </c>
      <c r="K11" s="3">
        <f t="shared" si="0"/>
        <v>260</v>
      </c>
    </row>
    <row r="12" spans="1:12" x14ac:dyDescent="0.35">
      <c r="A12" s="4" t="str">
        <f>'Student Basic Info'!B12</f>
        <v>Science</v>
      </c>
      <c r="B12" s="4">
        <f>'Student Basic Info'!A12</f>
        <v>711</v>
      </c>
      <c r="C12" s="30" t="str">
        <f>IF(Bangla!D12="","",Bangla!D12)</f>
        <v/>
      </c>
      <c r="D12" s="76" t="str">
        <f>IF(English!C12="","",English!C12)</f>
        <v/>
      </c>
      <c r="E12" s="30" t="str">
        <f>IF(ICT!E12="","",ICT!E12)</f>
        <v/>
      </c>
      <c r="F12" s="30" t="str">
        <f>IF(Physics!E12="","",Physics!E12)</f>
        <v/>
      </c>
      <c r="G12" s="30" t="str">
        <f>IF(Chemistry!E12="","",Chemistry!E12)</f>
        <v/>
      </c>
      <c r="H12" s="30" t="str">
        <f>IF(Biology!E12="","",Biology!E12)</f>
        <v/>
      </c>
      <c r="I12" s="30" t="str">
        <f>IF(Math!E12="","",Math!E12)</f>
        <v/>
      </c>
      <c r="J12" s="3" t="str">
        <f t="shared" si="1"/>
        <v/>
      </c>
      <c r="K12" s="3" t="str">
        <f t="shared" si="0"/>
        <v/>
      </c>
    </row>
    <row r="13" spans="1:12" x14ac:dyDescent="0.35">
      <c r="A13" s="4" t="str">
        <f>'Student Basic Info'!B13</f>
        <v>Science</v>
      </c>
      <c r="B13" s="4">
        <f>'Student Basic Info'!A13</f>
        <v>712</v>
      </c>
      <c r="C13" s="30">
        <f>IF(Bangla!D13="","",Bangla!D13)</f>
        <v>50</v>
      </c>
      <c r="D13" s="76">
        <f>IF(English!C13="","",English!C13)</f>
        <v>33</v>
      </c>
      <c r="E13" s="30">
        <f>IF(ICT!E13="","",ICT!E13)</f>
        <v>47</v>
      </c>
      <c r="F13" s="30">
        <f>IF(Physics!E13="","",Physics!E13)</f>
        <v>52</v>
      </c>
      <c r="G13" s="30">
        <f>IF(Chemistry!E13="","",Chemistry!E13)</f>
        <v>49</v>
      </c>
      <c r="H13" s="30">
        <f>IF(Biology!E13="","",Biology!E13)</f>
        <v>30</v>
      </c>
      <c r="I13" s="30">
        <f>IF(Math!E13="","",Math!E13)</f>
        <v>29</v>
      </c>
      <c r="J13" s="3">
        <f t="shared" si="1"/>
        <v>261</v>
      </c>
      <c r="K13" s="3">
        <f t="shared" si="0"/>
        <v>290</v>
      </c>
    </row>
    <row r="14" spans="1:12" x14ac:dyDescent="0.35">
      <c r="A14" s="4" t="str">
        <f>'Student Basic Info'!B14</f>
        <v>Science</v>
      </c>
      <c r="B14" s="4">
        <f>'Student Basic Info'!A14</f>
        <v>713</v>
      </c>
      <c r="C14" s="30">
        <f>IF(Bangla!D14="","",Bangla!D14)</f>
        <v>57</v>
      </c>
      <c r="D14" s="76">
        <f>IF(English!C14="","",English!C14)</f>
        <v>44</v>
      </c>
      <c r="E14" s="30">
        <f>IF(ICT!E14="","",ICT!E14)</f>
        <v>62</v>
      </c>
      <c r="F14" s="30">
        <f>IF(Physics!E14="","",Physics!E14)</f>
        <v>61</v>
      </c>
      <c r="G14" s="30">
        <f>IF(Chemistry!E14="","",Chemistry!E14)</f>
        <v>60</v>
      </c>
      <c r="H14" s="30">
        <f>IF(Biology!E14="","",Biology!E14)</f>
        <v>40</v>
      </c>
      <c r="I14" s="30">
        <f>IF(Math!E14="","",Math!E14)</f>
        <v>26</v>
      </c>
      <c r="J14" s="3">
        <f t="shared" si="1"/>
        <v>324</v>
      </c>
      <c r="K14" s="3">
        <f t="shared" si="0"/>
        <v>350</v>
      </c>
    </row>
    <row r="15" spans="1:12" x14ac:dyDescent="0.35">
      <c r="A15" s="4" t="str">
        <f>'Student Basic Info'!B15</f>
        <v>Science</v>
      </c>
      <c r="B15" s="4">
        <f>'Student Basic Info'!A15</f>
        <v>714</v>
      </c>
      <c r="C15" s="30">
        <f>IF(Bangla!D15="","",Bangla!D15)</f>
        <v>64</v>
      </c>
      <c r="D15" s="76">
        <f>IF(English!C15="","",English!C15)</f>
        <v>47</v>
      </c>
      <c r="E15" s="30">
        <f>IF(ICT!E15="","",ICT!E15)</f>
        <v>72</v>
      </c>
      <c r="F15" s="30">
        <f>IF(Physics!E15="","",Physics!E15)</f>
        <v>50</v>
      </c>
      <c r="G15" s="30">
        <f>IF(Chemistry!E15="","",Chemistry!E15)</f>
        <v>70</v>
      </c>
      <c r="H15" s="30">
        <f>IF(Biology!E15="","",Biology!E15)</f>
        <v>50</v>
      </c>
      <c r="I15" s="30">
        <f>IF(Math!E15="","",Math!E15)</f>
        <v>29</v>
      </c>
      <c r="J15" s="3">
        <f t="shared" si="1"/>
        <v>353</v>
      </c>
      <c r="K15" s="3">
        <f t="shared" si="0"/>
        <v>382</v>
      </c>
    </row>
    <row r="16" spans="1:12" x14ac:dyDescent="0.35">
      <c r="A16" s="4" t="str">
        <f>'Student Basic Info'!B16</f>
        <v>Science</v>
      </c>
      <c r="B16" s="4">
        <f>'Student Basic Info'!A16</f>
        <v>715</v>
      </c>
      <c r="C16" s="30">
        <f>IF(Bangla!D16="","",Bangla!D16)</f>
        <v>41</v>
      </c>
      <c r="D16" s="76">
        <f>IF(English!C16="","",English!C16)</f>
        <v>17</v>
      </c>
      <c r="E16" s="30">
        <f>IF(ICT!E16="","",ICT!E16)</f>
        <v>39</v>
      </c>
      <c r="F16" s="30">
        <f>IF(Physics!E16="","",Physics!E16)</f>
        <v>51</v>
      </c>
      <c r="G16" s="30">
        <f>IF(Chemistry!E16="","",Chemistry!E16)</f>
        <v>54</v>
      </c>
      <c r="H16" s="30">
        <f>IF(Biology!E16="","",Biology!E16)</f>
        <v>26</v>
      </c>
      <c r="I16" s="30">
        <f>IF(Math!E16="","",Math!E16)</f>
        <v>22</v>
      </c>
      <c r="J16" s="3">
        <f t="shared" si="1"/>
        <v>228</v>
      </c>
      <c r="K16" s="3">
        <f t="shared" si="0"/>
        <v>250</v>
      </c>
    </row>
    <row r="17" spans="1:11" x14ac:dyDescent="0.35">
      <c r="A17" s="4" t="str">
        <f>'Student Basic Info'!B17</f>
        <v>Science</v>
      </c>
      <c r="B17" s="4">
        <f>'Student Basic Info'!A17</f>
        <v>716</v>
      </c>
      <c r="C17" s="30">
        <f>IF(Bangla!D17="","",Bangla!D17)</f>
        <v>40</v>
      </c>
      <c r="D17" s="76">
        <f>IF(English!C17="","",English!C17)</f>
        <v>23</v>
      </c>
      <c r="E17" s="30">
        <f>IF(ICT!E17="","",ICT!E17)</f>
        <v>39</v>
      </c>
      <c r="F17" s="30">
        <f>IF(Physics!E17="","",Physics!E17)</f>
        <v>50</v>
      </c>
      <c r="G17" s="30">
        <f>IF(Chemistry!E17="","",Chemistry!E17)</f>
        <v>57</v>
      </c>
      <c r="H17" s="30">
        <f>IF(Biology!E17="","",Biology!E17)</f>
        <v>28</v>
      </c>
      <c r="I17" s="30">
        <f>IF(Math!E17="","",Math!E17)</f>
        <v>21</v>
      </c>
      <c r="J17" s="3">
        <f t="shared" si="1"/>
        <v>237</v>
      </c>
      <c r="K17" s="3">
        <f t="shared" si="0"/>
        <v>258</v>
      </c>
    </row>
    <row r="18" spans="1:11" x14ac:dyDescent="0.35">
      <c r="A18" s="4" t="str">
        <f>'Student Basic Info'!B18</f>
        <v>Science</v>
      </c>
      <c r="B18" s="4">
        <f>'Student Basic Info'!A18</f>
        <v>717</v>
      </c>
      <c r="C18" s="30">
        <f>IF(Bangla!D18="","",Bangla!D18)</f>
        <v>50</v>
      </c>
      <c r="D18" s="76">
        <f>IF(English!C18="","",English!C18)</f>
        <v>24</v>
      </c>
      <c r="E18" s="30">
        <f>IF(ICT!E18="","",ICT!E18)</f>
        <v>27</v>
      </c>
      <c r="F18" s="30">
        <f>IF(Physics!E18="","",Physics!E18)</f>
        <v>60</v>
      </c>
      <c r="G18" s="30">
        <f>IF(Chemistry!E18="","",Chemistry!E18)</f>
        <v>43</v>
      </c>
      <c r="H18" s="30">
        <f>IF(Biology!E18="","",Biology!E18)</f>
        <v>17</v>
      </c>
      <c r="I18" s="30" t="str">
        <f>IF(Math!E18="","",Math!E18)</f>
        <v/>
      </c>
      <c r="J18" s="3">
        <f t="shared" si="1"/>
        <v>221</v>
      </c>
      <c r="K18" s="3">
        <f t="shared" si="0"/>
        <v>221</v>
      </c>
    </row>
    <row r="19" spans="1:11" x14ac:dyDescent="0.35">
      <c r="A19" s="4" t="str">
        <f>'Student Basic Info'!B19</f>
        <v>Science</v>
      </c>
      <c r="B19" s="4">
        <f>'Student Basic Info'!A19</f>
        <v>718</v>
      </c>
      <c r="C19" s="30" t="str">
        <f>IF(Bangla!D19="","",Bangla!D19)</f>
        <v/>
      </c>
      <c r="D19" s="76" t="str">
        <f>IF(English!C19="","",English!C19)</f>
        <v/>
      </c>
      <c r="E19" s="30" t="str">
        <f>IF(ICT!E19="","",ICT!E19)</f>
        <v/>
      </c>
      <c r="F19" s="30" t="str">
        <f>IF(Physics!E19="","",Physics!E19)</f>
        <v/>
      </c>
      <c r="G19" s="30" t="str">
        <f>IF(Chemistry!E19="","",Chemistry!E19)</f>
        <v/>
      </c>
      <c r="H19" s="30" t="str">
        <f>IF(Biology!E19="","",Biology!E19)</f>
        <v/>
      </c>
      <c r="I19" s="30" t="str">
        <f>IF(Math!E19="","",Math!E19)</f>
        <v/>
      </c>
      <c r="J19" s="3" t="str">
        <f t="shared" si="1"/>
        <v/>
      </c>
      <c r="K19" s="3" t="str">
        <f t="shared" si="0"/>
        <v/>
      </c>
    </row>
    <row r="20" spans="1:11" x14ac:dyDescent="0.35">
      <c r="A20" s="4" t="str">
        <f>'Student Basic Info'!B20</f>
        <v>Science</v>
      </c>
      <c r="B20" s="4">
        <f>'Student Basic Info'!A20</f>
        <v>719</v>
      </c>
      <c r="C20" s="30">
        <f>IF(Bangla!D20="","",Bangla!D20)</f>
        <v>55</v>
      </c>
      <c r="D20" s="76">
        <f>IF(English!C20="","",English!C20)</f>
        <v>25</v>
      </c>
      <c r="E20" s="30">
        <f>IF(ICT!E20="","",ICT!E20)</f>
        <v>41</v>
      </c>
      <c r="F20" s="30">
        <f>IF(Physics!E20="","",Physics!E20)</f>
        <v>61</v>
      </c>
      <c r="G20" s="30">
        <f>IF(Chemistry!E20="","",Chemistry!E20)</f>
        <v>51</v>
      </c>
      <c r="H20" s="30">
        <f>IF(Biology!E20="","",Biology!E20)</f>
        <v>26</v>
      </c>
      <c r="I20" s="30">
        <f>IF(Math!E20="","",Math!E20)</f>
        <v>24</v>
      </c>
      <c r="J20" s="3">
        <f t="shared" si="1"/>
        <v>259</v>
      </c>
      <c r="K20" s="3">
        <f t="shared" si="0"/>
        <v>283</v>
      </c>
    </row>
    <row r="21" spans="1:11" x14ac:dyDescent="0.35">
      <c r="A21" s="4" t="str">
        <f>'Student Basic Info'!B21</f>
        <v>Science</v>
      </c>
      <c r="B21" s="4">
        <f>'Student Basic Info'!A21</f>
        <v>720</v>
      </c>
      <c r="C21" s="30">
        <f>IF(Bangla!D21="","",Bangla!D21)</f>
        <v>50</v>
      </c>
      <c r="D21" s="76">
        <f>IF(English!C21="","",English!C21)</f>
        <v>29</v>
      </c>
      <c r="E21" s="30">
        <f>IF(ICT!E21="","",ICT!E21)</f>
        <v>37</v>
      </c>
      <c r="F21" s="30">
        <f>IF(Physics!E21="","",Physics!E21)</f>
        <v>50</v>
      </c>
      <c r="G21" s="30">
        <f>IF(Chemistry!E21="","",Chemistry!E21)</f>
        <v>35</v>
      </c>
      <c r="H21" s="30">
        <f>IF(Biology!E21="","",Biology!E21)</f>
        <v>29</v>
      </c>
      <c r="I21" s="30">
        <f>IF(Math!E21="","",Math!E21)</f>
        <v>17</v>
      </c>
      <c r="J21" s="3">
        <f t="shared" si="1"/>
        <v>230</v>
      </c>
      <c r="K21" s="3">
        <f t="shared" si="0"/>
        <v>247</v>
      </c>
    </row>
    <row r="22" spans="1:11" x14ac:dyDescent="0.35">
      <c r="A22" s="4" t="str">
        <f>'Student Basic Info'!B22</f>
        <v>Science</v>
      </c>
      <c r="B22" s="4">
        <f>'Student Basic Info'!A22</f>
        <v>721</v>
      </c>
      <c r="C22" s="30" t="str">
        <f>IF(Bangla!D22="","",Bangla!D22)</f>
        <v/>
      </c>
      <c r="D22" s="76" t="str">
        <f>IF(English!C22="","",English!C22)</f>
        <v/>
      </c>
      <c r="E22" s="30" t="str">
        <f>IF(ICT!E22="","",ICT!E22)</f>
        <v/>
      </c>
      <c r="F22" s="30" t="str">
        <f>IF(Physics!E22="","",Physics!E22)</f>
        <v/>
      </c>
      <c r="G22" s="30" t="str">
        <f>IF(Chemistry!E22="","",Chemistry!E22)</f>
        <v/>
      </c>
      <c r="H22" s="30" t="str">
        <f>IF(Biology!E22="","",Biology!E22)</f>
        <v/>
      </c>
      <c r="I22" s="30" t="str">
        <f>IF(Math!E22="","",Math!E22)</f>
        <v/>
      </c>
      <c r="J22" s="3" t="str">
        <f t="shared" si="1"/>
        <v/>
      </c>
      <c r="K22" s="3" t="str">
        <f t="shared" si="0"/>
        <v/>
      </c>
    </row>
    <row r="23" spans="1:11" x14ac:dyDescent="0.35">
      <c r="A23" s="4" t="str">
        <f>'Student Basic Info'!B23</f>
        <v>Science</v>
      </c>
      <c r="B23" s="4">
        <f>'Student Basic Info'!A23</f>
        <v>722</v>
      </c>
      <c r="C23" s="30">
        <f>IF(Bangla!D23="","",Bangla!D23)</f>
        <v>57</v>
      </c>
      <c r="D23" s="76">
        <f>IF(English!C23="","",English!C23)</f>
        <v>41</v>
      </c>
      <c r="E23" s="30">
        <f>IF(ICT!E23="","",ICT!E23)</f>
        <v>36</v>
      </c>
      <c r="F23" s="30">
        <f>IF(Physics!E23="","",Physics!E23)</f>
        <v>29</v>
      </c>
      <c r="G23" s="30">
        <f>IF(Chemistry!E23="","",Chemistry!E23)</f>
        <v>34</v>
      </c>
      <c r="H23" s="30">
        <f>IF(Biology!E23="","",Biology!E23)</f>
        <v>40</v>
      </c>
      <c r="I23" s="30">
        <f>IF(Math!E23="","",Math!E23)</f>
        <v>27</v>
      </c>
      <c r="J23" s="3">
        <f t="shared" si="1"/>
        <v>237</v>
      </c>
      <c r="K23" s="3">
        <f t="shared" si="0"/>
        <v>264</v>
      </c>
    </row>
    <row r="24" spans="1:11" x14ac:dyDescent="0.35">
      <c r="A24" s="4" t="str">
        <f>'Student Basic Info'!B24</f>
        <v>Science</v>
      </c>
      <c r="B24" s="4">
        <f>'Student Basic Info'!A24</f>
        <v>723</v>
      </c>
      <c r="C24" s="30">
        <f>IF(Bangla!D24="","",Bangla!D24)</f>
        <v>72</v>
      </c>
      <c r="D24" s="76">
        <f>IF(English!C24="","",English!C24)</f>
        <v>64</v>
      </c>
      <c r="E24" s="30">
        <f>IF(ICT!E24="","",ICT!E24)</f>
        <v>91</v>
      </c>
      <c r="F24" s="30">
        <f>IF(Physics!E24="","",Physics!E24)</f>
        <v>90</v>
      </c>
      <c r="G24" s="30">
        <f>IF(Chemistry!E24="","",Chemistry!E24)</f>
        <v>90</v>
      </c>
      <c r="H24" s="30">
        <f>IF(Biology!E24="","",Biology!E24)</f>
        <v>71</v>
      </c>
      <c r="I24" s="30">
        <f>IF(Math!E24="","",Math!E24)</f>
        <v>80</v>
      </c>
      <c r="J24" s="3">
        <f t="shared" si="1"/>
        <v>478</v>
      </c>
      <c r="K24" s="3">
        <f t="shared" si="0"/>
        <v>558</v>
      </c>
    </row>
    <row r="25" spans="1:11" x14ac:dyDescent="0.35">
      <c r="A25" s="4" t="str">
        <f>'Student Basic Info'!B25</f>
        <v>Science</v>
      </c>
      <c r="B25" s="4">
        <f>'Student Basic Info'!A25</f>
        <v>724</v>
      </c>
      <c r="C25" s="30">
        <f>IF(Bangla!D25="","",Bangla!D25)</f>
        <v>46</v>
      </c>
      <c r="D25" s="76">
        <f>IF(English!C25="","",English!C25)</f>
        <v>34</v>
      </c>
      <c r="E25" s="30">
        <f>IF(ICT!E25="","",ICT!E25)</f>
        <v>56</v>
      </c>
      <c r="F25" s="30">
        <f>IF(Physics!E25="","",Physics!E25)</f>
        <v>45</v>
      </c>
      <c r="G25" s="30">
        <f>IF(Chemistry!E25="","",Chemistry!E25)</f>
        <v>51</v>
      </c>
      <c r="H25" s="30">
        <f>IF(Biology!E25="","",Biology!E25)</f>
        <v>44</v>
      </c>
      <c r="I25" s="30">
        <f>IF(Math!E25="","",Math!E25)</f>
        <v>28</v>
      </c>
      <c r="J25" s="3">
        <f t="shared" si="1"/>
        <v>276</v>
      </c>
      <c r="K25" s="3">
        <f t="shared" si="0"/>
        <v>304</v>
      </c>
    </row>
    <row r="26" spans="1:11" x14ac:dyDescent="0.35">
      <c r="A26" s="4" t="str">
        <f>'Student Basic Info'!B26</f>
        <v>Science</v>
      </c>
      <c r="B26" s="4">
        <f>'Student Basic Info'!A26</f>
        <v>725</v>
      </c>
      <c r="C26" s="30">
        <f>IF(Bangla!D26="","",Bangla!D26)</f>
        <v>41</v>
      </c>
      <c r="D26" s="76">
        <f>IF(English!C26="","",English!C26)</f>
        <v>34</v>
      </c>
      <c r="E26" s="30">
        <f>IF(ICT!E26="","",ICT!E26)</f>
        <v>27</v>
      </c>
      <c r="F26" s="30">
        <f>IF(Physics!E26="","",Physics!E26)</f>
        <v>42</v>
      </c>
      <c r="G26" s="30">
        <f>IF(Chemistry!E26="","",Chemistry!E26)</f>
        <v>37</v>
      </c>
      <c r="H26" s="30">
        <f>IF(Biology!E26="","",Biology!E26)</f>
        <v>37</v>
      </c>
      <c r="I26" s="30">
        <f>IF(Math!E26="","",Math!E26)</f>
        <v>31</v>
      </c>
      <c r="J26" s="3">
        <f t="shared" si="1"/>
        <v>218</v>
      </c>
      <c r="K26" s="3">
        <f t="shared" si="0"/>
        <v>249</v>
      </c>
    </row>
    <row r="27" spans="1:11" x14ac:dyDescent="0.35">
      <c r="A27" s="4" t="str">
        <f>'Student Basic Info'!B27</f>
        <v>Science</v>
      </c>
      <c r="B27" s="4">
        <f>'Student Basic Info'!A27</f>
        <v>726</v>
      </c>
      <c r="C27" s="30" t="str">
        <f>IF(Bangla!D27="","",Bangla!D27)</f>
        <v/>
      </c>
      <c r="D27" s="76" t="str">
        <f>IF(English!C27="","",English!C27)</f>
        <v/>
      </c>
      <c r="E27" s="30" t="str">
        <f>IF(ICT!E27="","",ICT!E27)</f>
        <v/>
      </c>
      <c r="F27" s="30" t="str">
        <f>IF(Physics!E27="","",Physics!E27)</f>
        <v/>
      </c>
      <c r="G27" s="30" t="str">
        <f>IF(Chemistry!E27="","",Chemistry!E27)</f>
        <v/>
      </c>
      <c r="H27" s="30" t="str">
        <f>IF(Biology!E27="","",Biology!E27)</f>
        <v/>
      </c>
      <c r="I27" s="30" t="str">
        <f>IF(Math!E27="","",Math!E27)</f>
        <v/>
      </c>
      <c r="J27" s="3" t="str">
        <f t="shared" si="1"/>
        <v/>
      </c>
      <c r="K27" s="3" t="str">
        <f t="shared" si="0"/>
        <v/>
      </c>
    </row>
    <row r="28" spans="1:11" x14ac:dyDescent="0.35">
      <c r="A28" s="4" t="str">
        <f>'Student Basic Info'!B28</f>
        <v>Science</v>
      </c>
      <c r="B28" s="4">
        <f>'Student Basic Info'!A28</f>
        <v>727</v>
      </c>
      <c r="C28" s="30">
        <f>IF(Bangla!D28="","",Bangla!D28)</f>
        <v>62</v>
      </c>
      <c r="D28" s="76">
        <f>IF(English!C28="","",English!C28)</f>
        <v>37</v>
      </c>
      <c r="E28" s="30">
        <f>IF(ICT!E28="","",ICT!E28)</f>
        <v>84</v>
      </c>
      <c r="F28" s="30">
        <f>IF(Physics!E28="","",Physics!E28)</f>
        <v>68</v>
      </c>
      <c r="G28" s="30">
        <f>IF(Chemistry!E28="","",Chemistry!E28)</f>
        <v>44</v>
      </c>
      <c r="H28" s="30">
        <f>IF(Biology!E28="","",Biology!E28)</f>
        <v>40</v>
      </c>
      <c r="I28" s="30">
        <f>IF(Math!E28="","",Math!E28)</f>
        <v>24</v>
      </c>
      <c r="J28" s="3">
        <f t="shared" si="1"/>
        <v>335</v>
      </c>
      <c r="K28" s="3">
        <f t="shared" si="0"/>
        <v>359</v>
      </c>
    </row>
    <row r="29" spans="1:11" x14ac:dyDescent="0.35">
      <c r="A29" s="4" t="str">
        <f>'Student Basic Info'!B29</f>
        <v>Science</v>
      </c>
      <c r="B29" s="4">
        <f>'Student Basic Info'!A29</f>
        <v>728</v>
      </c>
      <c r="C29" s="30">
        <f>IF(Bangla!D29="","",Bangla!D29)</f>
        <v>40</v>
      </c>
      <c r="D29" s="76">
        <f>IF(English!C29="","",English!C29)</f>
        <v>29</v>
      </c>
      <c r="E29" s="30">
        <f>IF(ICT!E29="","",ICT!E29)</f>
        <v>43</v>
      </c>
      <c r="F29" s="30">
        <f>IF(Physics!E29="","",Physics!E29)</f>
        <v>44</v>
      </c>
      <c r="G29" s="30">
        <f>IF(Chemistry!E29="","",Chemistry!E29)</f>
        <v>52</v>
      </c>
      <c r="H29" s="30">
        <f>IF(Biology!E29="","",Biology!E29)</f>
        <v>45</v>
      </c>
      <c r="I29" s="30">
        <f>IF(Math!E29="","",Math!E29)</f>
        <v>25</v>
      </c>
      <c r="J29" s="3">
        <f t="shared" si="1"/>
        <v>253</v>
      </c>
      <c r="K29" s="3">
        <f t="shared" si="0"/>
        <v>278</v>
      </c>
    </row>
    <row r="30" spans="1:11" x14ac:dyDescent="0.35">
      <c r="A30" s="4" t="str">
        <f>'Student Basic Info'!B30</f>
        <v>Science</v>
      </c>
      <c r="B30" s="4">
        <f>'Student Basic Info'!A30</f>
        <v>729</v>
      </c>
      <c r="C30" s="30">
        <f>IF(Bangla!D30="","",Bangla!D30)</f>
        <v>35</v>
      </c>
      <c r="D30" s="76">
        <f>IF(English!C30="","",English!C30)</f>
        <v>18</v>
      </c>
      <c r="E30" s="30">
        <f>IF(ICT!E30="","",ICT!E30)</f>
        <v>45</v>
      </c>
      <c r="F30" s="30">
        <f>IF(Physics!E30="","",Physics!E30)</f>
        <v>23</v>
      </c>
      <c r="G30" s="30">
        <f>IF(Chemistry!E30="","",Chemistry!E30)</f>
        <v>27</v>
      </c>
      <c r="H30" s="30">
        <f>IF(Biology!E30="","",Biology!E30)</f>
        <v>30</v>
      </c>
      <c r="I30" s="30">
        <f>IF(Math!E30="","",Math!E30)</f>
        <v>24</v>
      </c>
      <c r="J30" s="3">
        <f t="shared" si="1"/>
        <v>178</v>
      </c>
      <c r="K30" s="3">
        <f t="shared" si="0"/>
        <v>202</v>
      </c>
    </row>
    <row r="31" spans="1:11" x14ac:dyDescent="0.35">
      <c r="A31" s="4" t="str">
        <f>'Student Basic Info'!B31</f>
        <v>Science</v>
      </c>
      <c r="B31" s="4">
        <f>'Student Basic Info'!A31</f>
        <v>730</v>
      </c>
      <c r="C31" s="30">
        <f>IF(Bangla!D31="","",Bangla!D31)</f>
        <v>36</v>
      </c>
      <c r="D31" s="76">
        <f>IF(English!C31="","",English!C31)</f>
        <v>23</v>
      </c>
      <c r="E31" s="30">
        <f>IF(ICT!E31="","",ICT!E31)</f>
        <v>33</v>
      </c>
      <c r="F31" s="30">
        <f>IF(Physics!E31="","",Physics!E31)</f>
        <v>31</v>
      </c>
      <c r="G31" s="30">
        <f>IF(Chemistry!E31="","",Chemistry!E31)</f>
        <v>33</v>
      </c>
      <c r="H31" s="30">
        <f>IF(Biology!E31="","",Biology!E31)</f>
        <v>33</v>
      </c>
      <c r="I31" s="30">
        <f>IF(Math!E31="","",Math!E31)</f>
        <v>23</v>
      </c>
      <c r="J31" s="3">
        <f t="shared" si="1"/>
        <v>189</v>
      </c>
      <c r="K31" s="3">
        <f t="shared" si="0"/>
        <v>212</v>
      </c>
    </row>
    <row r="32" spans="1:11" x14ac:dyDescent="0.35">
      <c r="A32" s="4" t="str">
        <f>'Student Basic Info'!B32</f>
        <v>Science</v>
      </c>
      <c r="B32" s="4">
        <f>'Student Basic Info'!A32</f>
        <v>731</v>
      </c>
      <c r="C32" s="30">
        <f>IF(Bangla!D32="","",Bangla!D32)</f>
        <v>51</v>
      </c>
      <c r="D32" s="76">
        <f>IF(English!C32="","",English!C32)</f>
        <v>24</v>
      </c>
      <c r="E32" s="30">
        <f>IF(ICT!E32="","",ICT!E32)</f>
        <v>36</v>
      </c>
      <c r="F32" s="30">
        <f>IF(Physics!E32="","",Physics!E32)</f>
        <v>50</v>
      </c>
      <c r="G32" s="30">
        <f>IF(Chemistry!E32="","",Chemistry!E32)</f>
        <v>31</v>
      </c>
      <c r="H32" s="30">
        <f>IF(Biology!E32="","",Biology!E32)</f>
        <v>18</v>
      </c>
      <c r="I32" s="30">
        <f>IF(Math!E32="","",Math!E32)</f>
        <v>21</v>
      </c>
      <c r="J32" s="3">
        <f t="shared" si="1"/>
        <v>210</v>
      </c>
      <c r="K32" s="3">
        <f t="shared" si="0"/>
        <v>231</v>
      </c>
    </row>
    <row r="33" spans="1:11" x14ac:dyDescent="0.35">
      <c r="A33" s="4" t="str">
        <f>'Student Basic Info'!B33</f>
        <v>Science</v>
      </c>
      <c r="B33" s="4">
        <f>'Student Basic Info'!A33</f>
        <v>732</v>
      </c>
      <c r="C33" s="30">
        <f>IF(Bangla!D33="","",Bangla!D33)</f>
        <v>33</v>
      </c>
      <c r="D33" s="76">
        <f>IF(English!C33="","",English!C33)</f>
        <v>17</v>
      </c>
      <c r="E33" s="30">
        <f>IF(ICT!E33="","",ICT!E33)</f>
        <v>46</v>
      </c>
      <c r="F33" s="30" t="str">
        <f>IF(Physics!E33="","",Physics!E33)</f>
        <v/>
      </c>
      <c r="G33" s="30">
        <f>IF(Chemistry!E33="","",Chemistry!E33)</f>
        <v>38</v>
      </c>
      <c r="H33" s="30">
        <f>IF(Biology!E33="","",Biology!E33)</f>
        <v>34</v>
      </c>
      <c r="I33" s="30">
        <f>IF(Math!E33="","",Math!E33)</f>
        <v>26</v>
      </c>
      <c r="J33" s="3" t="str">
        <f t="shared" si="1"/>
        <v/>
      </c>
      <c r="K33" s="3" t="str">
        <f t="shared" si="0"/>
        <v/>
      </c>
    </row>
    <row r="34" spans="1:11" x14ac:dyDescent="0.35">
      <c r="A34" s="4" t="str">
        <f>'Student Basic Info'!B34</f>
        <v>Science</v>
      </c>
      <c r="B34" s="4">
        <f>'Student Basic Info'!A34</f>
        <v>733</v>
      </c>
      <c r="C34" s="30">
        <f>IF(Bangla!D34="","",Bangla!D34)</f>
        <v>45</v>
      </c>
      <c r="D34" s="76">
        <f>IF(English!C34="","",English!C34)</f>
        <v>34</v>
      </c>
      <c r="E34" s="30">
        <f>IF(ICT!E34="","",ICT!E34)</f>
        <v>35</v>
      </c>
      <c r="F34" s="30">
        <f>IF(Physics!E34="","",Physics!E34)</f>
        <v>29</v>
      </c>
      <c r="G34" s="30">
        <f>IF(Chemistry!E34="","",Chemistry!E34)</f>
        <v>35</v>
      </c>
      <c r="H34" s="30">
        <f>IF(Biology!E34="","",Biology!E34)</f>
        <v>20</v>
      </c>
      <c r="I34" s="30">
        <f>IF(Math!E34="","",Math!E34)</f>
        <v>16</v>
      </c>
      <c r="J34" s="3">
        <f t="shared" si="1"/>
        <v>198</v>
      </c>
      <c r="K34" s="3">
        <f t="shared" si="0"/>
        <v>214</v>
      </c>
    </row>
    <row r="35" spans="1:11" x14ac:dyDescent="0.35">
      <c r="A35" s="4" t="str">
        <f>'Student Basic Info'!B35</f>
        <v>Science</v>
      </c>
      <c r="B35" s="4">
        <f>'Student Basic Info'!A35</f>
        <v>734</v>
      </c>
      <c r="C35" s="30">
        <f>IF(Bangla!D35="","",Bangla!D35)</f>
        <v>52</v>
      </c>
      <c r="D35" s="76">
        <f>IF(English!C35="","",English!C35)</f>
        <v>33</v>
      </c>
      <c r="E35" s="30">
        <f>IF(ICT!E35="","",ICT!E35)</f>
        <v>42</v>
      </c>
      <c r="F35" s="30">
        <f>IF(Physics!E35="","",Physics!E35)</f>
        <v>52</v>
      </c>
      <c r="G35" s="30">
        <f>IF(Chemistry!E35="","",Chemistry!E35)</f>
        <v>39</v>
      </c>
      <c r="H35" s="30">
        <f>IF(Biology!E35="","",Biology!E35)</f>
        <v>27</v>
      </c>
      <c r="I35" s="30">
        <f>IF(Math!E35="","",Math!E35)</f>
        <v>26</v>
      </c>
      <c r="J35" s="3">
        <f t="shared" si="1"/>
        <v>245</v>
      </c>
      <c r="K35" s="3">
        <f t="shared" si="0"/>
        <v>271</v>
      </c>
    </row>
    <row r="36" spans="1:11" x14ac:dyDescent="0.35">
      <c r="A36" s="4" t="str">
        <f>'Student Basic Info'!B36</f>
        <v>Science</v>
      </c>
      <c r="B36" s="4">
        <f>'Student Basic Info'!A36</f>
        <v>735</v>
      </c>
      <c r="C36" s="30">
        <f>IF(Bangla!D36="","",Bangla!D36)</f>
        <v>50</v>
      </c>
      <c r="D36" s="76">
        <f>IF(English!C36="","",English!C36)</f>
        <v>44</v>
      </c>
      <c r="E36" s="30">
        <f>IF(ICT!E36="","",ICT!E36)</f>
        <v>31</v>
      </c>
      <c r="F36" s="30">
        <f>IF(Physics!E36="","",Physics!E36)</f>
        <v>29</v>
      </c>
      <c r="G36" s="30" t="str">
        <f>IF(Chemistry!E36="","",Chemistry!E36)</f>
        <v/>
      </c>
      <c r="H36" s="30">
        <f>IF(Biology!E36="","",Biology!E36)</f>
        <v>18</v>
      </c>
      <c r="I36" s="30">
        <f>IF(Math!E36="","",Math!E36)</f>
        <v>18</v>
      </c>
      <c r="J36" s="3" t="str">
        <f t="shared" si="1"/>
        <v/>
      </c>
      <c r="K36" s="3" t="str">
        <f t="shared" si="0"/>
        <v/>
      </c>
    </row>
    <row r="37" spans="1:11" x14ac:dyDescent="0.35">
      <c r="A37" s="4" t="str">
        <f>'Student Basic Info'!B37</f>
        <v>Science</v>
      </c>
      <c r="B37" s="4">
        <f>'Student Basic Info'!A37</f>
        <v>736</v>
      </c>
      <c r="C37" s="30">
        <f>IF(Bangla!D37="","",Bangla!D37)</f>
        <v>40</v>
      </c>
      <c r="D37" s="76">
        <f>IF(English!C37="","",English!C37)</f>
        <v>16</v>
      </c>
      <c r="E37" s="30">
        <f>IF(ICT!E37="","",ICT!E37)</f>
        <v>23</v>
      </c>
      <c r="F37" s="30">
        <f>IF(Physics!E37="","",Physics!E37)</f>
        <v>54</v>
      </c>
      <c r="G37" s="30">
        <f>IF(Chemistry!E37="","",Chemistry!E37)</f>
        <v>34</v>
      </c>
      <c r="H37" s="30">
        <f>IF(Biology!E37="","",Biology!E37)</f>
        <v>24</v>
      </c>
      <c r="I37" s="30" t="str">
        <f>IF(Math!E37="","",Math!E37)</f>
        <v/>
      </c>
      <c r="J37" s="3">
        <f t="shared" si="1"/>
        <v>191</v>
      </c>
      <c r="K37" s="3">
        <f t="shared" si="0"/>
        <v>191</v>
      </c>
    </row>
    <row r="38" spans="1:11" x14ac:dyDescent="0.35">
      <c r="A38" s="4" t="str">
        <f>'Student Basic Info'!B38</f>
        <v>Science</v>
      </c>
      <c r="B38" s="4">
        <f>'Student Basic Info'!A38</f>
        <v>737</v>
      </c>
      <c r="C38" s="30">
        <f>IF(Bangla!D38="","",Bangla!D38)</f>
        <v>57</v>
      </c>
      <c r="D38" s="76">
        <f>IF(English!C38="","",English!C38)</f>
        <v>47</v>
      </c>
      <c r="E38" s="30">
        <f>IF(ICT!E38="","",ICT!E38)</f>
        <v>48</v>
      </c>
      <c r="F38" s="30">
        <f>IF(Physics!E38="","",Physics!E38)</f>
        <v>60</v>
      </c>
      <c r="G38" s="30">
        <f>IF(Chemistry!E38="","",Chemistry!E38)</f>
        <v>38</v>
      </c>
      <c r="H38" s="30">
        <f>IF(Biology!E38="","",Biology!E38)</f>
        <v>29</v>
      </c>
      <c r="I38" s="30">
        <f>IF(Math!E38="","",Math!E38)</f>
        <v>17</v>
      </c>
      <c r="J38" s="3">
        <f t="shared" si="1"/>
        <v>279</v>
      </c>
      <c r="K38" s="3">
        <f t="shared" si="0"/>
        <v>296</v>
      </c>
    </row>
    <row r="39" spans="1:11" x14ac:dyDescent="0.35">
      <c r="A39" s="4" t="str">
        <f>'Student Basic Info'!B39</f>
        <v>Science</v>
      </c>
      <c r="B39" s="4">
        <f>'Student Basic Info'!A39</f>
        <v>738</v>
      </c>
      <c r="C39" s="30">
        <f>IF(Bangla!D39="","",Bangla!D39)</f>
        <v>54</v>
      </c>
      <c r="D39" s="76">
        <f>IF(English!C39="","",English!C39)</f>
        <v>44</v>
      </c>
      <c r="E39" s="30">
        <f>IF(ICT!E39="","",ICT!E39)</f>
        <v>54</v>
      </c>
      <c r="F39" s="30">
        <f>IF(Physics!E39="","",Physics!E39)</f>
        <v>37</v>
      </c>
      <c r="G39" s="30">
        <f>IF(Chemistry!E39="","",Chemistry!E39)</f>
        <v>34</v>
      </c>
      <c r="H39" s="30">
        <f>IF(Biology!E39="","",Biology!E39)</f>
        <v>30</v>
      </c>
      <c r="I39" s="30">
        <f>IF(Math!E39="","",Math!E39)</f>
        <v>15</v>
      </c>
      <c r="J39" s="3">
        <f t="shared" si="1"/>
        <v>253</v>
      </c>
      <c r="K39" s="3">
        <f t="shared" si="0"/>
        <v>268</v>
      </c>
    </row>
    <row r="40" spans="1:11" x14ac:dyDescent="0.35">
      <c r="A40" s="4" t="str">
        <f>'Student Basic Info'!B40</f>
        <v>Science</v>
      </c>
      <c r="B40" s="4">
        <f>'Student Basic Info'!A40</f>
        <v>739</v>
      </c>
      <c r="C40" s="30">
        <f>IF(Bangla!D40="","",Bangla!D40)</f>
        <v>52</v>
      </c>
      <c r="D40" s="76">
        <f>IF(English!C40="","",English!C40)</f>
        <v>35</v>
      </c>
      <c r="E40" s="30">
        <f>IF(ICT!E40="","",ICT!E40)</f>
        <v>48</v>
      </c>
      <c r="F40" s="30">
        <f>IF(Physics!E40="","",Physics!E40)</f>
        <v>50</v>
      </c>
      <c r="G40" s="30">
        <f>IF(Chemistry!E40="","",Chemistry!E40)</f>
        <v>33</v>
      </c>
      <c r="H40" s="30">
        <f>IF(Biology!E40="","",Biology!E40)</f>
        <v>29</v>
      </c>
      <c r="I40" s="30">
        <f>IF(Math!E40="","",Math!E40)</f>
        <v>15</v>
      </c>
      <c r="J40" s="3">
        <f t="shared" si="1"/>
        <v>247</v>
      </c>
      <c r="K40" s="3">
        <f t="shared" si="0"/>
        <v>262</v>
      </c>
    </row>
    <row r="41" spans="1:11" x14ac:dyDescent="0.35">
      <c r="A41" s="4" t="str">
        <f>'Student Basic Info'!B41</f>
        <v>Science</v>
      </c>
      <c r="B41" s="4">
        <f>'Student Basic Info'!A41</f>
        <v>740</v>
      </c>
      <c r="C41" s="30">
        <f>IF(Bangla!D41="","",Bangla!D41)</f>
        <v>60</v>
      </c>
      <c r="D41" s="76">
        <f>IF(English!C41="","",English!C41)</f>
        <v>41</v>
      </c>
      <c r="E41" s="30">
        <f>IF(ICT!E41="","",ICT!E41)</f>
        <v>48</v>
      </c>
      <c r="F41" s="30">
        <f>IF(Physics!E41="","",Physics!E41)</f>
        <v>40</v>
      </c>
      <c r="G41" s="30">
        <f>IF(Chemistry!E41="","",Chemistry!E41)</f>
        <v>45</v>
      </c>
      <c r="H41" s="30">
        <f>IF(Biology!E41="","",Biology!E41)</f>
        <v>20</v>
      </c>
      <c r="I41" s="30">
        <f>IF(Math!E41="","",Math!E41)</f>
        <v>17</v>
      </c>
      <c r="J41" s="3">
        <f t="shared" si="1"/>
        <v>254</v>
      </c>
      <c r="K41" s="3">
        <f t="shared" si="0"/>
        <v>271</v>
      </c>
    </row>
    <row r="42" spans="1:11" x14ac:dyDescent="0.35">
      <c r="A42" s="4" t="str">
        <f>'Student Basic Info'!B42</f>
        <v>Science</v>
      </c>
      <c r="B42" s="4">
        <f>'Student Basic Info'!A42</f>
        <v>741</v>
      </c>
      <c r="C42" s="30">
        <f>IF(Bangla!D42="","",Bangla!D42)</f>
        <v>60</v>
      </c>
      <c r="D42" s="76">
        <f>IF(English!C42="","",English!C42)</f>
        <v>54</v>
      </c>
      <c r="E42" s="30">
        <f>IF(ICT!E42="","",ICT!E42)</f>
        <v>66</v>
      </c>
      <c r="F42" s="30">
        <f>IF(Physics!E42="","",Physics!E42)</f>
        <v>54</v>
      </c>
      <c r="G42" s="30">
        <f>IF(Chemistry!E42="","",Chemistry!E42)</f>
        <v>52</v>
      </c>
      <c r="H42" s="30">
        <f>IF(Biology!E42="","",Biology!E42)</f>
        <v>32</v>
      </c>
      <c r="I42" s="30">
        <f>IF(Math!E42="","",Math!E42)</f>
        <v>20</v>
      </c>
      <c r="J42" s="3">
        <f t="shared" si="1"/>
        <v>318</v>
      </c>
      <c r="K42" s="3">
        <f t="shared" si="0"/>
        <v>338</v>
      </c>
    </row>
    <row r="43" spans="1:11" x14ac:dyDescent="0.35">
      <c r="A43" s="4" t="str">
        <f>'Student Basic Info'!B43</f>
        <v>Science</v>
      </c>
      <c r="B43" s="4">
        <f>'Student Basic Info'!A43</f>
        <v>742</v>
      </c>
      <c r="C43" s="30" t="str">
        <f>IF(Bangla!D43="","",Bangla!D43)</f>
        <v/>
      </c>
      <c r="D43" s="76" t="str">
        <f>IF(English!C43="","",English!C43)</f>
        <v/>
      </c>
      <c r="E43" s="30" t="str">
        <f>IF(ICT!E43="","",ICT!E43)</f>
        <v/>
      </c>
      <c r="F43" s="30" t="str">
        <f>IF(Physics!E43="","",Physics!E43)</f>
        <v/>
      </c>
      <c r="G43" s="30" t="str">
        <f>IF(Chemistry!E43="","",Chemistry!E43)</f>
        <v/>
      </c>
      <c r="H43" s="30" t="str">
        <f>IF(Biology!E43="","",Biology!E43)</f>
        <v/>
      </c>
      <c r="I43" s="30" t="str">
        <f>IF(Math!E43="","",Math!E43)</f>
        <v/>
      </c>
      <c r="J43" s="3" t="str">
        <f t="shared" si="1"/>
        <v/>
      </c>
      <c r="K43" s="3" t="str">
        <f t="shared" si="0"/>
        <v/>
      </c>
    </row>
    <row r="44" spans="1:11" x14ac:dyDescent="0.35">
      <c r="A44" s="4" t="str">
        <f>'Student Basic Info'!B44</f>
        <v>Science</v>
      </c>
      <c r="B44" s="4">
        <f>'Student Basic Info'!A44</f>
        <v>743</v>
      </c>
      <c r="C44" s="30">
        <f>IF(Bangla!D44="","",Bangla!D44)</f>
        <v>21</v>
      </c>
      <c r="D44" s="76">
        <f>IF(English!C44="","",English!C44)</f>
        <v>11</v>
      </c>
      <c r="E44" s="30">
        <f>IF(ICT!E44="","",ICT!E44)</f>
        <v>38</v>
      </c>
      <c r="F44" s="30">
        <f>IF(Physics!E44="","",Physics!E44)</f>
        <v>17</v>
      </c>
      <c r="G44" s="30">
        <f>IF(Chemistry!E44="","",Chemistry!E44)</f>
        <v>28</v>
      </c>
      <c r="H44" s="30">
        <f>IF(Biology!E44="","",Biology!E44)</f>
        <v>20</v>
      </c>
      <c r="I44" s="30">
        <f>IF(Math!E44="","",Math!E44)</f>
        <v>15</v>
      </c>
      <c r="J44" s="3">
        <f t="shared" si="1"/>
        <v>135</v>
      </c>
      <c r="K44" s="3">
        <f t="shared" si="0"/>
        <v>150</v>
      </c>
    </row>
    <row r="45" spans="1:11" x14ac:dyDescent="0.35">
      <c r="A45" s="4" t="str">
        <f>'Student Basic Info'!B45</f>
        <v>Science</v>
      </c>
      <c r="B45" s="4">
        <f>'Student Basic Info'!A45</f>
        <v>744</v>
      </c>
      <c r="C45" s="30">
        <f>IF(Bangla!D45="","",Bangla!D45)</f>
        <v>25</v>
      </c>
      <c r="D45" s="76">
        <f>IF(English!C45="","",English!C45)</f>
        <v>25</v>
      </c>
      <c r="E45" s="30">
        <f>IF(ICT!E45="","",ICT!E45)</f>
        <v>22</v>
      </c>
      <c r="F45" s="30">
        <f>IF(Physics!E45="","",Physics!E45)</f>
        <v>41</v>
      </c>
      <c r="G45" s="30">
        <f>IF(Chemistry!E45="","",Chemistry!E45)</f>
        <v>25</v>
      </c>
      <c r="H45" s="30">
        <f>IF(Biology!E45="","",Biology!E45)</f>
        <v>23</v>
      </c>
      <c r="I45" s="30">
        <f>IF(Math!E45="","",Math!E45)</f>
        <v>20</v>
      </c>
      <c r="J45" s="3">
        <f t="shared" si="1"/>
        <v>161</v>
      </c>
      <c r="K45" s="3">
        <f t="shared" si="0"/>
        <v>181</v>
      </c>
    </row>
    <row r="46" spans="1:11" x14ac:dyDescent="0.35">
      <c r="A46" s="4" t="str">
        <f>'Student Basic Info'!B46</f>
        <v>Science</v>
      </c>
      <c r="B46" s="4">
        <f>'Student Basic Info'!A46</f>
        <v>745</v>
      </c>
      <c r="C46" s="30">
        <f>IF(Bangla!D46="","",Bangla!D46)</f>
        <v>75</v>
      </c>
      <c r="D46" s="76">
        <f>IF(English!C46="","",English!C46)</f>
        <v>66</v>
      </c>
      <c r="E46" s="30">
        <f>IF(ICT!E46="","",ICT!E46)</f>
        <v>85</v>
      </c>
      <c r="F46" s="30">
        <f>IF(Physics!E46="","",Physics!E46)</f>
        <v>80</v>
      </c>
      <c r="G46" s="30">
        <f>IF(Chemistry!E46="","",Chemistry!E46)</f>
        <v>32</v>
      </c>
      <c r="H46" s="30">
        <f>IF(Biology!E46="","",Biology!E46)</f>
        <v>44</v>
      </c>
      <c r="I46" s="30">
        <f>IF(Math!E46="","",Math!E46)</f>
        <v>60</v>
      </c>
      <c r="J46" s="3">
        <f t="shared" si="1"/>
        <v>382</v>
      </c>
      <c r="K46" s="3">
        <f t="shared" si="0"/>
        <v>442</v>
      </c>
    </row>
    <row r="47" spans="1:11" x14ac:dyDescent="0.35">
      <c r="A47" s="4" t="str">
        <f>'Student Basic Info'!B47</f>
        <v>Science</v>
      </c>
      <c r="B47" s="4">
        <f>'Student Basic Info'!A47</f>
        <v>746</v>
      </c>
      <c r="C47" s="30">
        <f>IF(Bangla!D47="","",Bangla!D47)</f>
        <v>60</v>
      </c>
      <c r="D47" s="76">
        <f>IF(English!C47="","",English!C47)</f>
        <v>66</v>
      </c>
      <c r="E47" s="30">
        <f>IF(ICT!E47="","",ICT!E47)</f>
        <v>67</v>
      </c>
      <c r="F47" s="30">
        <f>IF(Physics!E47="","",Physics!E47)</f>
        <v>61</v>
      </c>
      <c r="G47" s="30">
        <f>IF(Chemistry!E47="","",Chemistry!E47)</f>
        <v>26</v>
      </c>
      <c r="H47" s="30">
        <f>IF(Biology!E47="","",Biology!E47)</f>
        <v>40</v>
      </c>
      <c r="I47" s="30">
        <f>IF(Math!E47="","",Math!E47)</f>
        <v>35</v>
      </c>
      <c r="J47" s="3">
        <f t="shared" si="1"/>
        <v>320</v>
      </c>
      <c r="K47" s="3">
        <f t="shared" si="0"/>
        <v>355</v>
      </c>
    </row>
    <row r="48" spans="1:11" x14ac:dyDescent="0.35">
      <c r="A48" s="4" t="str">
        <f>'Student Basic Info'!B48</f>
        <v>Science</v>
      </c>
      <c r="B48" s="4">
        <f>'Student Basic Info'!A48</f>
        <v>747</v>
      </c>
      <c r="C48" s="30">
        <f>IF(Bangla!D48="","",Bangla!D48)</f>
        <v>40</v>
      </c>
      <c r="D48" s="76">
        <f>IF(English!C48="","",English!C48)</f>
        <v>19</v>
      </c>
      <c r="E48" s="30">
        <f>IF(ICT!E48="","",ICT!E48)</f>
        <v>29</v>
      </c>
      <c r="F48" s="30">
        <f>IF(Physics!E48="","",Physics!E48)</f>
        <v>31</v>
      </c>
      <c r="G48" s="30">
        <f>IF(Chemistry!E48="","",Chemistry!E48)</f>
        <v>29</v>
      </c>
      <c r="H48" s="30">
        <f>IF(Biology!E48="","",Biology!E48)</f>
        <v>17</v>
      </c>
      <c r="I48" s="30">
        <f>IF(Math!E48="","",Math!E48)</f>
        <v>25</v>
      </c>
      <c r="J48" s="3">
        <f t="shared" si="1"/>
        <v>165</v>
      </c>
      <c r="K48" s="3">
        <f t="shared" si="0"/>
        <v>190</v>
      </c>
    </row>
    <row r="49" spans="1:11" x14ac:dyDescent="0.35">
      <c r="A49" s="4" t="str">
        <f>'Student Basic Info'!B49</f>
        <v>Science</v>
      </c>
      <c r="B49" s="4">
        <f>'Student Basic Info'!A49</f>
        <v>748</v>
      </c>
      <c r="C49" s="30">
        <f>IF(Bangla!D49="","",Bangla!D49)</f>
        <v>40</v>
      </c>
      <c r="D49" s="76">
        <f>IF(English!C49="","",English!C49)</f>
        <v>15</v>
      </c>
      <c r="E49" s="30">
        <f>IF(ICT!E49="","",ICT!E49)</f>
        <v>28</v>
      </c>
      <c r="F49" s="30">
        <f>IF(Physics!E49="","",Physics!E49)</f>
        <v>13</v>
      </c>
      <c r="G49" s="30">
        <f>IF(Chemistry!E49="","",Chemistry!E49)</f>
        <v>29</v>
      </c>
      <c r="H49" s="30">
        <f>IF(Biology!E49="","",Biology!E49)</f>
        <v>18</v>
      </c>
      <c r="I49" s="30">
        <f>IF(Math!E49="","",Math!E49)</f>
        <v>13</v>
      </c>
      <c r="J49" s="3">
        <f t="shared" si="1"/>
        <v>143</v>
      </c>
      <c r="K49" s="3">
        <f t="shared" si="0"/>
        <v>156</v>
      </c>
    </row>
    <row r="50" spans="1:11" x14ac:dyDescent="0.35">
      <c r="A50" s="4" t="str">
        <f>'Student Basic Info'!B50</f>
        <v>Science</v>
      </c>
      <c r="B50" s="4">
        <f>'Student Basic Info'!A50</f>
        <v>749</v>
      </c>
      <c r="C50" s="30">
        <f>IF(Bangla!D50="","",Bangla!D50)</f>
        <v>35</v>
      </c>
      <c r="D50" s="76">
        <f>IF(English!C50="","",English!C50)</f>
        <v>20</v>
      </c>
      <c r="E50" s="30">
        <f>IF(ICT!E50="","",ICT!E50)</f>
        <v>16</v>
      </c>
      <c r="F50" s="30">
        <f>IF(Physics!E50="","",Physics!E50)</f>
        <v>18</v>
      </c>
      <c r="G50" s="30">
        <f>IF(Chemistry!E50="","",Chemistry!E50)</f>
        <v>22</v>
      </c>
      <c r="H50" s="30">
        <f>IF(Biology!E50="","",Biology!E50)</f>
        <v>14</v>
      </c>
      <c r="I50" s="30">
        <f>IF(Math!E50="","",Math!E50)</f>
        <v>14</v>
      </c>
      <c r="J50" s="3">
        <f t="shared" si="1"/>
        <v>125</v>
      </c>
      <c r="K50" s="3">
        <f t="shared" si="0"/>
        <v>139</v>
      </c>
    </row>
    <row r="51" spans="1:11" x14ac:dyDescent="0.35">
      <c r="A51" s="4" t="str">
        <f>'Student Basic Info'!B51</f>
        <v>Science</v>
      </c>
      <c r="B51" s="4">
        <f>'Student Basic Info'!A51</f>
        <v>750</v>
      </c>
      <c r="C51" s="30" t="str">
        <f>IF(Bangla!D51="","",Bangla!D51)</f>
        <v/>
      </c>
      <c r="D51" s="76" t="str">
        <f>IF(English!C51="","",English!C51)</f>
        <v/>
      </c>
      <c r="E51" s="30" t="str">
        <f>IF(ICT!E51="","",ICT!E51)</f>
        <v/>
      </c>
      <c r="F51" s="30" t="str">
        <f>IF(Physics!E51="","",Physics!E51)</f>
        <v/>
      </c>
      <c r="G51" s="30" t="str">
        <f>IF(Chemistry!E51="","",Chemistry!E51)</f>
        <v/>
      </c>
      <c r="H51" s="30" t="str">
        <f>IF(Biology!E51="","",Biology!E51)</f>
        <v/>
      </c>
      <c r="I51" s="30" t="str">
        <f>IF(Math!E51="","",Math!E51)</f>
        <v/>
      </c>
      <c r="J51" s="3" t="str">
        <f t="shared" si="1"/>
        <v/>
      </c>
      <c r="K51" s="3" t="str">
        <f t="shared" si="0"/>
        <v/>
      </c>
    </row>
    <row r="52" spans="1:11" x14ac:dyDescent="0.35">
      <c r="A52" s="4" t="str">
        <f>'Student Basic Info'!B52</f>
        <v>Science</v>
      </c>
      <c r="B52" s="4">
        <f>'Student Basic Info'!A52</f>
        <v>751</v>
      </c>
      <c r="C52" s="30">
        <f>IF(Bangla!D52="","",Bangla!D52)</f>
        <v>40</v>
      </c>
      <c r="D52" s="76">
        <f>IF(English!C52="","",English!C52)</f>
        <v>27</v>
      </c>
      <c r="E52" s="30">
        <f>IF(ICT!E52="","",ICT!E52)</f>
        <v>26</v>
      </c>
      <c r="F52" s="30">
        <f>IF(Physics!E52="","",Physics!E52)</f>
        <v>60</v>
      </c>
      <c r="G52" s="30">
        <f>IF(Chemistry!E52="","",Chemistry!E52)</f>
        <v>32</v>
      </c>
      <c r="H52" s="30">
        <f>IF(Biology!E52="","",Biology!E52)</f>
        <v>22</v>
      </c>
      <c r="I52" s="30" t="str">
        <f>IF(Math!E52="","",Math!E52)</f>
        <v/>
      </c>
      <c r="J52" s="3">
        <f t="shared" si="1"/>
        <v>207</v>
      </c>
      <c r="K52" s="3">
        <f t="shared" si="0"/>
        <v>207</v>
      </c>
    </row>
    <row r="53" spans="1:11" x14ac:dyDescent="0.35">
      <c r="A53" s="4" t="str">
        <f>'Student Basic Info'!B53</f>
        <v>Science</v>
      </c>
      <c r="B53" s="4">
        <f>'Student Basic Info'!A53</f>
        <v>752</v>
      </c>
      <c r="C53" s="30" t="str">
        <f>IF(Bangla!D53="","",Bangla!D53)</f>
        <v/>
      </c>
      <c r="D53" s="76" t="str">
        <f>IF(English!C53="","",English!C53)</f>
        <v/>
      </c>
      <c r="E53" s="30" t="str">
        <f>IF(ICT!E53="","",ICT!E53)</f>
        <v/>
      </c>
      <c r="F53" s="30" t="str">
        <f>IF(Physics!E53="","",Physics!E53)</f>
        <v/>
      </c>
      <c r="G53" s="30" t="str">
        <f>IF(Chemistry!E53="","",Chemistry!E53)</f>
        <v/>
      </c>
      <c r="H53" s="30" t="str">
        <f>IF(Biology!E53="","",Biology!E53)</f>
        <v/>
      </c>
      <c r="I53" s="30" t="str">
        <f>IF(Math!E53="","",Math!E53)</f>
        <v/>
      </c>
      <c r="J53" s="3" t="str">
        <f t="shared" si="1"/>
        <v/>
      </c>
      <c r="K53" s="3" t="str">
        <f t="shared" si="0"/>
        <v/>
      </c>
    </row>
    <row r="54" spans="1:11" x14ac:dyDescent="0.35">
      <c r="A54" s="4" t="str">
        <f>'Student Basic Info'!B54</f>
        <v>Science</v>
      </c>
      <c r="B54" s="4">
        <f>'Student Basic Info'!A54</f>
        <v>753</v>
      </c>
      <c r="C54" s="30">
        <f>IF(Bangla!D54="","",Bangla!D54)</f>
        <v>19</v>
      </c>
      <c r="D54" s="76">
        <f>IF(English!C54="","",English!C54)</f>
        <v>33</v>
      </c>
      <c r="E54" s="30">
        <f>IF(ICT!E54="","",ICT!E54)</f>
        <v>17</v>
      </c>
      <c r="F54" s="30">
        <f>IF(Physics!E54="","",Physics!E54)</f>
        <v>25</v>
      </c>
      <c r="G54" s="30">
        <f>IF(Chemistry!E54="","",Chemistry!E54)</f>
        <v>35</v>
      </c>
      <c r="H54" s="30">
        <f>IF(Biology!E54="","",Biology!E54)</f>
        <v>50</v>
      </c>
      <c r="I54" s="30">
        <f>IF(Math!E54="","",Math!E54)</f>
        <v>29</v>
      </c>
      <c r="J54" s="3">
        <f t="shared" si="1"/>
        <v>179</v>
      </c>
      <c r="K54" s="3">
        <f t="shared" si="0"/>
        <v>208</v>
      </c>
    </row>
    <row r="55" spans="1:11" x14ac:dyDescent="0.35">
      <c r="A55" s="4" t="str">
        <f>'Student Basic Info'!B55</f>
        <v>Science</v>
      </c>
      <c r="B55" s="4">
        <f>'Student Basic Info'!A55</f>
        <v>754</v>
      </c>
      <c r="C55" s="30">
        <f>IF(Bangla!D55="","",Bangla!D55)</f>
        <v>53</v>
      </c>
      <c r="D55" s="76">
        <f>IF(English!C55="","",English!C55)</f>
        <v>23</v>
      </c>
      <c r="E55" s="30">
        <f>IF(ICT!E55="","",ICT!E55)</f>
        <v>41</v>
      </c>
      <c r="F55" s="30">
        <f>IF(Physics!E55="","",Physics!E55)</f>
        <v>16</v>
      </c>
      <c r="G55" s="30">
        <f>IF(Chemistry!E55="","",Chemistry!E55)</f>
        <v>35</v>
      </c>
      <c r="H55" s="30">
        <f>IF(Biology!E55="","",Biology!E55)</f>
        <v>20</v>
      </c>
      <c r="I55" s="30">
        <f>IF(Math!E55="","",Math!E55)</f>
        <v>16</v>
      </c>
      <c r="J55" s="3">
        <f t="shared" si="1"/>
        <v>188</v>
      </c>
      <c r="K55" s="3">
        <f t="shared" si="0"/>
        <v>204</v>
      </c>
    </row>
    <row r="56" spans="1:11" x14ac:dyDescent="0.35">
      <c r="A56" s="4" t="str">
        <f>'Student Basic Info'!B56</f>
        <v>Science</v>
      </c>
      <c r="B56" s="4">
        <f>'Student Basic Info'!A56</f>
        <v>755</v>
      </c>
      <c r="C56" s="30">
        <f>IF(Bangla!D56="","",Bangla!D56)</f>
        <v>16</v>
      </c>
      <c r="D56" s="76">
        <f>IF(English!C56="","",English!C56)</f>
        <v>19</v>
      </c>
      <c r="E56" s="30">
        <f>IF(ICT!E56="","",ICT!E56)</f>
        <v>17</v>
      </c>
      <c r="F56" s="30">
        <f>IF(Physics!E56="","",Physics!E56)</f>
        <v>14</v>
      </c>
      <c r="G56" s="30">
        <f>IF(Chemistry!E56="","",Chemistry!E56)</f>
        <v>16</v>
      </c>
      <c r="H56" s="30">
        <f>IF(Biology!E56="","",Biology!E56)</f>
        <v>18</v>
      </c>
      <c r="I56" s="30">
        <f>IF(Math!E56="","",Math!E56)</f>
        <v>12</v>
      </c>
      <c r="J56" s="3">
        <f t="shared" si="1"/>
        <v>100</v>
      </c>
      <c r="K56" s="3">
        <f t="shared" si="0"/>
        <v>112</v>
      </c>
    </row>
    <row r="57" spans="1:11" x14ac:dyDescent="0.35">
      <c r="A57" s="4" t="str">
        <f>'Student Basic Info'!B57</f>
        <v>Science</v>
      </c>
      <c r="B57" s="4">
        <f>'Student Basic Info'!A57</f>
        <v>756</v>
      </c>
      <c r="C57" s="30">
        <f>IF(Bangla!D57="","",Bangla!D57)</f>
        <v>50</v>
      </c>
      <c r="D57" s="76">
        <f>IF(English!C57="","",English!C57)</f>
        <v>33</v>
      </c>
      <c r="E57" s="30">
        <f>IF(ICT!E57="","",ICT!E57)</f>
        <v>43</v>
      </c>
      <c r="F57" s="30">
        <f>IF(Physics!E57="","",Physics!E57)</f>
        <v>53</v>
      </c>
      <c r="G57" s="30">
        <f>IF(Chemistry!E57="","",Chemistry!E57)</f>
        <v>37</v>
      </c>
      <c r="H57" s="30">
        <f>IF(Biology!E57="","",Biology!E57)</f>
        <v>18</v>
      </c>
      <c r="I57" s="30">
        <f>IF(Math!E57="","",Math!E57)</f>
        <v>21</v>
      </c>
      <c r="J57" s="3">
        <f t="shared" si="1"/>
        <v>234</v>
      </c>
      <c r="K57" s="3">
        <f t="shared" si="0"/>
        <v>255</v>
      </c>
    </row>
    <row r="58" spans="1:11" x14ac:dyDescent="0.35">
      <c r="A58" s="4" t="str">
        <f>'Student Basic Info'!B58</f>
        <v>Science</v>
      </c>
      <c r="B58" s="4">
        <f>'Student Basic Info'!A58</f>
        <v>757</v>
      </c>
      <c r="C58" s="30">
        <f>IF(Bangla!D58="","",Bangla!D58)</f>
        <v>17</v>
      </c>
      <c r="D58" s="76">
        <f>IF(English!C58="","",English!C58)</f>
        <v>11</v>
      </c>
      <c r="E58" s="30">
        <f>IF(ICT!E58="","",ICT!E58)</f>
        <v>17</v>
      </c>
      <c r="F58" s="30">
        <f>IF(Physics!E58="","",Physics!E58)</f>
        <v>16</v>
      </c>
      <c r="G58" s="30">
        <f>IF(Chemistry!E58="","",Chemistry!E58)</f>
        <v>32</v>
      </c>
      <c r="H58" s="30">
        <f>IF(Biology!E58="","",Biology!E58)</f>
        <v>24</v>
      </c>
      <c r="I58" s="30">
        <f>IF(Math!E58="","",Math!E58)</f>
        <v>26</v>
      </c>
      <c r="J58" s="3">
        <f t="shared" si="1"/>
        <v>117</v>
      </c>
      <c r="K58" s="3">
        <f t="shared" si="0"/>
        <v>143</v>
      </c>
    </row>
    <row r="59" spans="1:11" x14ac:dyDescent="0.35">
      <c r="A59" s="4" t="str">
        <f>'Student Basic Info'!B59</f>
        <v>Science</v>
      </c>
      <c r="B59" s="4">
        <f>'Student Basic Info'!A59</f>
        <v>758</v>
      </c>
      <c r="C59" s="30">
        <f>IF(Bangla!D59="","",Bangla!D59)</f>
        <v>33</v>
      </c>
      <c r="D59" s="76">
        <f>IF(English!C59="","",English!C59)</f>
        <v>44</v>
      </c>
      <c r="E59" s="30">
        <f>IF(ICT!E59="","",ICT!E59)</f>
        <v>45</v>
      </c>
      <c r="F59" s="30">
        <f>IF(Physics!E59="","",Physics!E59)</f>
        <v>34</v>
      </c>
      <c r="G59" s="30">
        <f>IF(Chemistry!E59="","",Chemistry!E59)</f>
        <v>38</v>
      </c>
      <c r="H59" s="30">
        <f>IF(Biology!E59="","",Biology!E59)</f>
        <v>27</v>
      </c>
      <c r="I59" s="30">
        <f>IF(Math!E59="","",Math!E59)</f>
        <v>27</v>
      </c>
      <c r="J59" s="3">
        <f t="shared" si="1"/>
        <v>221</v>
      </c>
      <c r="K59" s="3">
        <f t="shared" si="0"/>
        <v>248</v>
      </c>
    </row>
    <row r="60" spans="1:11" x14ac:dyDescent="0.35">
      <c r="A60" s="4" t="str">
        <f>'Student Basic Info'!B60</f>
        <v>Science</v>
      </c>
      <c r="B60" s="4">
        <f>'Student Basic Info'!A60</f>
        <v>759</v>
      </c>
      <c r="C60" s="30">
        <f>IF(Bangla!D60="","",Bangla!D60)</f>
        <v>63</v>
      </c>
      <c r="D60" s="76">
        <f>IF(English!C60="","",English!C60)</f>
        <v>33</v>
      </c>
      <c r="E60" s="30">
        <f>IF(ICT!E60="","",ICT!E60)</f>
        <v>91</v>
      </c>
      <c r="F60" s="30">
        <f>IF(Physics!E60="","",Physics!E60)</f>
        <v>66</v>
      </c>
      <c r="G60" s="30">
        <f>IF(Chemistry!E60="","",Chemistry!E60)</f>
        <v>84</v>
      </c>
      <c r="H60" s="30">
        <f>IF(Biology!E60="","",Biology!E60)</f>
        <v>54</v>
      </c>
      <c r="I60" s="30">
        <f>IF(Math!E60="","",Math!E60)</f>
        <v>80</v>
      </c>
      <c r="J60" s="3">
        <f t="shared" si="1"/>
        <v>391</v>
      </c>
      <c r="K60" s="3">
        <f t="shared" si="0"/>
        <v>471</v>
      </c>
    </row>
    <row r="61" spans="1:11" x14ac:dyDescent="0.35">
      <c r="A61" s="4" t="str">
        <f>'Student Basic Info'!B61</f>
        <v>Science</v>
      </c>
      <c r="B61" s="4">
        <f>'Student Basic Info'!A61</f>
        <v>760</v>
      </c>
      <c r="C61" s="30">
        <f>IF(Bangla!D61="","",Bangla!D61)</f>
        <v>37</v>
      </c>
      <c r="D61" s="76">
        <f>IF(English!C61="","",English!C61)</f>
        <v>38</v>
      </c>
      <c r="E61" s="30" t="str">
        <f>IF(ICT!E61="","",ICT!E61)</f>
        <v/>
      </c>
      <c r="F61" s="30">
        <f>IF(Physics!E61="","",Physics!E61)</f>
        <v>32</v>
      </c>
      <c r="G61" s="30">
        <f>IF(Chemistry!E61="","",Chemistry!E61)</f>
        <v>52</v>
      </c>
      <c r="H61" s="30">
        <f>IF(Biology!E61="","",Biology!E61)</f>
        <v>33</v>
      </c>
      <c r="I61" s="30">
        <f>IF(Math!E61="","",Math!E61)</f>
        <v>27</v>
      </c>
      <c r="J61" s="3" t="str">
        <f t="shared" si="1"/>
        <v/>
      </c>
      <c r="K61" s="3" t="str">
        <f t="shared" si="0"/>
        <v/>
      </c>
    </row>
    <row r="62" spans="1:11" x14ac:dyDescent="0.35">
      <c r="A62" s="4" t="str">
        <f>'Student Basic Info'!B62</f>
        <v>Science</v>
      </c>
      <c r="B62" s="4">
        <f>'Student Basic Info'!A62</f>
        <v>761</v>
      </c>
      <c r="C62" s="30">
        <f>IF(Bangla!D62="","",Bangla!D62)</f>
        <v>33</v>
      </c>
      <c r="D62" s="76">
        <f>IF(English!C62="","",English!C62)</f>
        <v>34</v>
      </c>
      <c r="E62" s="30">
        <f>IF(ICT!E62="","",ICT!E62)</f>
        <v>60</v>
      </c>
      <c r="F62" s="30">
        <f>IF(Physics!E62="","",Physics!E62)</f>
        <v>23</v>
      </c>
      <c r="G62" s="30" t="str">
        <f>IF(Chemistry!E62="","",Chemistry!E62)</f>
        <v/>
      </c>
      <c r="H62" s="30">
        <f>IF(Biology!E62="","",Biology!E62)</f>
        <v>18</v>
      </c>
      <c r="I62" s="30">
        <f>IF(Math!E62="","",Math!E62)</f>
        <v>24</v>
      </c>
      <c r="J62" s="3" t="str">
        <f t="shared" si="1"/>
        <v/>
      </c>
      <c r="K62" s="3" t="str">
        <f t="shared" si="0"/>
        <v/>
      </c>
    </row>
    <row r="63" spans="1:11" x14ac:dyDescent="0.35">
      <c r="A63" s="4" t="str">
        <f>'Student Basic Info'!B63</f>
        <v>Science</v>
      </c>
      <c r="B63" s="4">
        <f>'Student Basic Info'!A63</f>
        <v>762</v>
      </c>
      <c r="C63" s="30">
        <f>IF(Bangla!D63="","",Bangla!D63)</f>
        <v>35</v>
      </c>
      <c r="D63" s="76">
        <f>IF(English!C63="","",English!C63)</f>
        <v>48</v>
      </c>
      <c r="E63" s="30">
        <f>IF(ICT!E63="","",ICT!E63)</f>
        <v>63</v>
      </c>
      <c r="F63" s="30">
        <f>IF(Physics!E63="","",Physics!E63)</f>
        <v>26</v>
      </c>
      <c r="G63" s="30">
        <f>IF(Chemistry!E63="","",Chemistry!E63)</f>
        <v>48</v>
      </c>
      <c r="H63" s="30">
        <f>IF(Biology!E63="","",Biology!E63)</f>
        <v>18</v>
      </c>
      <c r="I63" s="30">
        <f>IF(Math!E63="","",Math!E63)</f>
        <v>13</v>
      </c>
      <c r="J63" s="3">
        <f t="shared" si="1"/>
        <v>238</v>
      </c>
      <c r="K63" s="3">
        <f t="shared" si="0"/>
        <v>251</v>
      </c>
    </row>
    <row r="64" spans="1:11" x14ac:dyDescent="0.35">
      <c r="A64" s="4" t="str">
        <f>'Student Basic Info'!B64</f>
        <v>Science</v>
      </c>
      <c r="B64" s="4">
        <f>'Student Basic Info'!A64</f>
        <v>763</v>
      </c>
      <c r="C64" s="30">
        <f>IF(Bangla!D64="","",Bangla!D64)</f>
        <v>50</v>
      </c>
      <c r="D64" s="76">
        <f>IF(English!C64="","",English!C64)</f>
        <v>36</v>
      </c>
      <c r="E64" s="30">
        <f>IF(ICT!E64="","",ICT!E64)</f>
        <v>32</v>
      </c>
      <c r="F64" s="30">
        <f>IF(Physics!E64="","",Physics!E64)</f>
        <v>30</v>
      </c>
      <c r="G64" s="30">
        <f>IF(Chemistry!E64="","",Chemistry!E64)</f>
        <v>52</v>
      </c>
      <c r="H64" s="30">
        <f>IF(Biology!E64="","",Biology!E64)</f>
        <v>51</v>
      </c>
      <c r="I64" s="30">
        <f>IF(Math!E64="","",Math!E64)</f>
        <v>29</v>
      </c>
      <c r="J64" s="3">
        <f t="shared" si="1"/>
        <v>251</v>
      </c>
      <c r="K64" s="3">
        <f t="shared" si="0"/>
        <v>280</v>
      </c>
    </row>
    <row r="65" spans="1:11" x14ac:dyDescent="0.35">
      <c r="A65" s="4" t="str">
        <f>'Student Basic Info'!B65</f>
        <v>Science</v>
      </c>
      <c r="B65" s="4">
        <f>'Student Basic Info'!A65</f>
        <v>764</v>
      </c>
      <c r="C65" s="30">
        <f>IF(Bangla!D65="","",Bangla!D65)</f>
        <v>27</v>
      </c>
      <c r="D65" s="76">
        <f>IF(English!C65="","",English!C65)</f>
        <v>17</v>
      </c>
      <c r="E65" s="30">
        <f>IF(ICT!E65="","",ICT!E65)</f>
        <v>35</v>
      </c>
      <c r="F65" s="30">
        <f>IF(Physics!E65="","",Physics!E65)</f>
        <v>33</v>
      </c>
      <c r="G65" s="30">
        <f>IF(Chemistry!E65="","",Chemistry!E65)</f>
        <v>31</v>
      </c>
      <c r="H65" s="30">
        <f>IF(Biology!E65="","",Biology!E65)</f>
        <v>25</v>
      </c>
      <c r="I65" s="30">
        <f>IF(Math!E65="","",Math!E65)</f>
        <v>29</v>
      </c>
      <c r="J65" s="3">
        <f t="shared" si="1"/>
        <v>168</v>
      </c>
      <c r="K65" s="3">
        <f t="shared" si="0"/>
        <v>197</v>
      </c>
    </row>
    <row r="66" spans="1:11" x14ac:dyDescent="0.35">
      <c r="A66" s="4" t="str">
        <f>'Student Basic Info'!B66</f>
        <v>Science</v>
      </c>
      <c r="B66" s="4">
        <f>'Student Basic Info'!A66</f>
        <v>765</v>
      </c>
      <c r="C66" s="30">
        <f>IF(Bangla!D66="","",Bangla!D66)</f>
        <v>56</v>
      </c>
      <c r="D66" s="76">
        <f>IF(English!C66="","",English!C66)</f>
        <v>50</v>
      </c>
      <c r="E66" s="30">
        <f>IF(ICT!E66="","",ICT!E66)</f>
        <v>70</v>
      </c>
      <c r="F66" s="30">
        <f>IF(Physics!E66="","",Physics!E66)</f>
        <v>55</v>
      </c>
      <c r="G66" s="30">
        <f>IF(Chemistry!E66="","",Chemistry!E66)</f>
        <v>75</v>
      </c>
      <c r="H66" s="30">
        <f>IF(Biology!E66="","",Biology!E66)</f>
        <v>50</v>
      </c>
      <c r="I66" s="30">
        <f>IF(Math!E66="","",Math!E66)</f>
        <v>36</v>
      </c>
      <c r="J66" s="3">
        <f t="shared" si="1"/>
        <v>356</v>
      </c>
      <c r="K66" s="3">
        <f t="shared" ref="K66:K87" si="2">IF(OR(C66=0,D66=0,E66=0,F66=0,G66=0,H66=0,C66="",D66="",E66="",F66="",G66="",H66=""),"",SUM(C66:I66))</f>
        <v>392</v>
      </c>
    </row>
    <row r="67" spans="1:11" x14ac:dyDescent="0.35">
      <c r="A67" s="4" t="str">
        <f>'Student Basic Info'!B67</f>
        <v>Science</v>
      </c>
      <c r="B67" s="4">
        <f>'Student Basic Info'!A67</f>
        <v>766</v>
      </c>
      <c r="C67" s="30">
        <f>IF(Bangla!D67="","",Bangla!D67)</f>
        <v>56</v>
      </c>
      <c r="D67" s="76">
        <f>IF(English!C67="","",English!C67)</f>
        <v>49</v>
      </c>
      <c r="E67" s="30">
        <f>IF(ICT!E67="","",ICT!E67)</f>
        <v>66</v>
      </c>
      <c r="F67" s="30">
        <f>IF(Physics!E67="","",Physics!E67)</f>
        <v>70</v>
      </c>
      <c r="G67" s="30">
        <f>IF(Chemistry!E67="","",Chemistry!E67)</f>
        <v>60</v>
      </c>
      <c r="H67" s="30">
        <f>IF(Biology!E67="","",Biology!E67)</f>
        <v>50</v>
      </c>
      <c r="I67" s="30">
        <f>IF(Math!E67="","",Math!E67)</f>
        <v>39</v>
      </c>
      <c r="J67" s="3">
        <f t="shared" ref="J67:J87" si="3">IF(OR(C67=0,D67=0,E67=0,F67=0,G67=0,H67=0,C67="",D67="",E67="",F67="",G67="",H67=""),"",SUM(C67:H67))</f>
        <v>351</v>
      </c>
      <c r="K67" s="3">
        <f t="shared" si="2"/>
        <v>390</v>
      </c>
    </row>
    <row r="68" spans="1:11" x14ac:dyDescent="0.35">
      <c r="A68" s="4" t="str">
        <f>'Student Basic Info'!B68</f>
        <v>Science</v>
      </c>
      <c r="B68" s="4">
        <f>'Student Basic Info'!A68</f>
        <v>767</v>
      </c>
      <c r="C68" s="30">
        <f>IF(Bangla!D68="","",Bangla!D68)</f>
        <v>61</v>
      </c>
      <c r="D68" s="76">
        <f>IF(English!C68="","",English!C68)</f>
        <v>50</v>
      </c>
      <c r="E68" s="30">
        <f>IF(ICT!E68="","",ICT!E68)</f>
        <v>70</v>
      </c>
      <c r="F68" s="30">
        <f>IF(Physics!E68="","",Physics!E68)</f>
        <v>76</v>
      </c>
      <c r="G68" s="30">
        <f>IF(Chemistry!E68="","",Chemistry!E68)</f>
        <v>54</v>
      </c>
      <c r="H68" s="30">
        <f>IF(Biology!E68="","",Biology!E68)</f>
        <v>54</v>
      </c>
      <c r="I68" s="30">
        <f>IF(Math!E68="","",Math!E68)</f>
        <v>35</v>
      </c>
      <c r="J68" s="3">
        <f t="shared" si="3"/>
        <v>365</v>
      </c>
      <c r="K68" s="3">
        <f t="shared" si="2"/>
        <v>400</v>
      </c>
    </row>
    <row r="69" spans="1:11" x14ac:dyDescent="0.35">
      <c r="A69" s="4" t="str">
        <f>'Student Basic Info'!B69</f>
        <v>Science</v>
      </c>
      <c r="B69" s="4">
        <f>'Student Basic Info'!A69</f>
        <v>768</v>
      </c>
      <c r="C69" s="30">
        <f>IF(Bangla!D69="","",Bangla!D69)</f>
        <v>46</v>
      </c>
      <c r="D69" s="76">
        <f>IF(English!C69="","",English!C69)</f>
        <v>25</v>
      </c>
      <c r="E69" s="30">
        <f>IF(ICT!E69="","",ICT!E69)</f>
        <v>58</v>
      </c>
      <c r="F69" s="30">
        <f>IF(Physics!E69="","",Physics!E69)</f>
        <v>52</v>
      </c>
      <c r="G69" s="30">
        <f>IF(Chemistry!E69="","",Chemistry!E69)</f>
        <v>18</v>
      </c>
      <c r="H69" s="30">
        <f>IF(Biology!E69="","",Biology!E69)</f>
        <v>40</v>
      </c>
      <c r="I69" s="30">
        <f>IF(Math!E69="","",Math!E69)</f>
        <v>18</v>
      </c>
      <c r="J69" s="3">
        <f t="shared" si="3"/>
        <v>239</v>
      </c>
      <c r="K69" s="3">
        <f t="shared" si="2"/>
        <v>257</v>
      </c>
    </row>
    <row r="70" spans="1:11" x14ac:dyDescent="0.35">
      <c r="A70" s="4" t="str">
        <f>'Student Basic Info'!B70</f>
        <v>Science</v>
      </c>
      <c r="B70" s="4">
        <f>'Student Basic Info'!A70</f>
        <v>769</v>
      </c>
      <c r="C70" s="30" t="str">
        <f>IF(Bangla!D70="","",Bangla!D70)</f>
        <v/>
      </c>
      <c r="D70" s="76" t="str">
        <f>IF(English!C70="","",English!C70)</f>
        <v/>
      </c>
      <c r="E70" s="30" t="str">
        <f>IF(ICT!E70="","",ICT!E70)</f>
        <v/>
      </c>
      <c r="F70" s="30" t="str">
        <f>IF(Physics!E70="","",Physics!E70)</f>
        <v/>
      </c>
      <c r="G70" s="30">
        <f>IF(Chemistry!E70="","",Chemistry!E70)</f>
        <v>23</v>
      </c>
      <c r="H70" s="30" t="str">
        <f>IF(Biology!E70="","",Biology!E70)</f>
        <v/>
      </c>
      <c r="I70" s="30">
        <f>IF(Math!E70="","",Math!E70)</f>
        <v>24</v>
      </c>
      <c r="J70" s="3" t="str">
        <f t="shared" si="3"/>
        <v/>
      </c>
      <c r="K70" s="3" t="str">
        <f t="shared" si="2"/>
        <v/>
      </c>
    </row>
    <row r="71" spans="1:11" x14ac:dyDescent="0.35">
      <c r="A71" s="4" t="str">
        <f>'Student Basic Info'!B71</f>
        <v>Science</v>
      </c>
      <c r="B71" s="4">
        <f>'Student Basic Info'!A71</f>
        <v>770</v>
      </c>
      <c r="C71" s="30">
        <f>IF(Bangla!D71="","",Bangla!D71)</f>
        <v>22</v>
      </c>
      <c r="D71" s="76">
        <f>IF(English!C71="","",English!C71)</f>
        <v>17</v>
      </c>
      <c r="E71" s="30">
        <f>IF(ICT!E71="","",ICT!E71)</f>
        <v>37</v>
      </c>
      <c r="F71" s="30">
        <f>IF(Physics!E71="","",Physics!E71)</f>
        <v>40</v>
      </c>
      <c r="G71" s="30" t="str">
        <f>IF(Chemistry!E71="","",Chemistry!E71)</f>
        <v/>
      </c>
      <c r="H71" s="30">
        <f>IF(Biology!E71="","",Biology!E71)</f>
        <v>17</v>
      </c>
      <c r="I71" s="30">
        <f>IF(Math!E71="","",Math!E71)</f>
        <v>14</v>
      </c>
      <c r="J71" s="3" t="str">
        <f t="shared" si="3"/>
        <v/>
      </c>
      <c r="K71" s="3" t="str">
        <f t="shared" si="2"/>
        <v/>
      </c>
    </row>
    <row r="72" spans="1:11" x14ac:dyDescent="0.35">
      <c r="A72" s="4" t="str">
        <f>'Student Basic Info'!B72</f>
        <v>Science</v>
      </c>
      <c r="B72" s="4">
        <f>'Student Basic Info'!A72</f>
        <v>771</v>
      </c>
      <c r="C72" s="30" t="str">
        <f>IF(Bangla!D72="","",Bangla!D72)</f>
        <v/>
      </c>
      <c r="D72" s="76" t="str">
        <f>IF(English!C72="","",English!C72)</f>
        <v/>
      </c>
      <c r="E72" s="30" t="str">
        <f>IF(ICT!E72="","",ICT!E72)</f>
        <v/>
      </c>
      <c r="F72" s="30">
        <f>IF(Physics!E72="","",Physics!E72)</f>
        <v>30</v>
      </c>
      <c r="G72" s="30" t="str">
        <f>IF(Chemistry!E72="","",Chemistry!E72)</f>
        <v/>
      </c>
      <c r="H72" s="30">
        <f>IF(Biology!E72="","",Biology!E72)</f>
        <v>17</v>
      </c>
      <c r="I72" s="30" t="str">
        <f>IF(Math!E72="","",Math!E72)</f>
        <v/>
      </c>
      <c r="J72" s="3" t="str">
        <f t="shared" si="3"/>
        <v/>
      </c>
      <c r="K72" s="3" t="str">
        <f t="shared" si="2"/>
        <v/>
      </c>
    </row>
    <row r="73" spans="1:11" x14ac:dyDescent="0.35">
      <c r="A73" s="4" t="str">
        <f>'Student Basic Info'!B73</f>
        <v>Science</v>
      </c>
      <c r="B73" s="4">
        <f>'Student Basic Info'!A73</f>
        <v>772</v>
      </c>
      <c r="C73" s="30">
        <f>IF(Bangla!D73="","",Bangla!D73)</f>
        <v>23</v>
      </c>
      <c r="D73" s="76">
        <f>IF(English!C73="","",English!C73)</f>
        <v>9</v>
      </c>
      <c r="E73" s="30">
        <f>IF(ICT!E73="","",ICT!E73)</f>
        <v>34</v>
      </c>
      <c r="F73" s="30">
        <f>IF(Physics!E73="","",Physics!E73)</f>
        <v>21</v>
      </c>
      <c r="G73" s="30" t="str">
        <f>IF(Chemistry!E73="","",Chemistry!E73)</f>
        <v/>
      </c>
      <c r="H73" s="30">
        <f>IF(Biology!E73="","",Biology!E73)</f>
        <v>11</v>
      </c>
      <c r="I73" s="30">
        <f>IF(Math!E73="","",Math!E73)</f>
        <v>15</v>
      </c>
      <c r="J73" s="3" t="str">
        <f t="shared" si="3"/>
        <v/>
      </c>
      <c r="K73" s="3" t="str">
        <f t="shared" si="2"/>
        <v/>
      </c>
    </row>
    <row r="74" spans="1:11" x14ac:dyDescent="0.35">
      <c r="A74" s="4" t="str">
        <f>'Student Basic Info'!B74</f>
        <v>Science</v>
      </c>
      <c r="B74" s="4">
        <f>'Student Basic Info'!A74</f>
        <v>773</v>
      </c>
      <c r="C74" s="30">
        <f>IF(Bangla!D74="","",Bangla!D74)</f>
        <v>20</v>
      </c>
      <c r="D74" s="76">
        <f>IF(English!C74="","",English!C74)</f>
        <v>24</v>
      </c>
      <c r="E74" s="30">
        <f>IF(ICT!E74="","",ICT!E74)</f>
        <v>44</v>
      </c>
      <c r="F74" s="30">
        <f>IF(Physics!E74="","",Physics!E74)</f>
        <v>29</v>
      </c>
      <c r="G74" s="30" t="str">
        <f>IF(Chemistry!E74="","",Chemistry!E74)</f>
        <v/>
      </c>
      <c r="H74" s="30">
        <f>IF(Biology!E74="","",Biology!E74)</f>
        <v>16</v>
      </c>
      <c r="I74" s="30">
        <f>IF(Math!E74="","",Math!E74)</f>
        <v>21</v>
      </c>
      <c r="J74" s="3" t="str">
        <f t="shared" si="3"/>
        <v/>
      </c>
      <c r="K74" s="3" t="str">
        <f t="shared" si="2"/>
        <v/>
      </c>
    </row>
    <row r="75" spans="1:11" x14ac:dyDescent="0.35">
      <c r="A75" s="4" t="str">
        <f>'Student Basic Info'!B75</f>
        <v>Science</v>
      </c>
      <c r="B75" s="4">
        <f>'Student Basic Info'!A75</f>
        <v>774</v>
      </c>
      <c r="C75" s="30">
        <f>IF(Bangla!D75="","",Bangla!D75)</f>
        <v>67</v>
      </c>
      <c r="D75" s="76">
        <f>IF(English!C75="","",English!C75)</f>
        <v>27</v>
      </c>
      <c r="E75" s="30">
        <f>IF(ICT!E75="","",ICT!E75)</f>
        <v>51</v>
      </c>
      <c r="F75" s="30">
        <f>IF(Physics!E75="","",Physics!E75)</f>
        <v>44</v>
      </c>
      <c r="G75" s="30">
        <f>IF(Chemistry!E75="","",Chemistry!E75)</f>
        <v>21</v>
      </c>
      <c r="H75" s="30">
        <f>IF(Biology!E75="","",Biology!E75)</f>
        <v>33</v>
      </c>
      <c r="I75" s="30">
        <f>IF(Math!E75="","",Math!E75)</f>
        <v>19</v>
      </c>
      <c r="J75" s="3">
        <f t="shared" si="3"/>
        <v>243</v>
      </c>
      <c r="K75" s="3">
        <f t="shared" si="2"/>
        <v>262</v>
      </c>
    </row>
    <row r="76" spans="1:11" x14ac:dyDescent="0.35">
      <c r="A76" s="4" t="str">
        <f>'Student Basic Info'!B76</f>
        <v>Science</v>
      </c>
      <c r="B76" s="4">
        <f>'Student Basic Info'!A76</f>
        <v>775</v>
      </c>
      <c r="C76" s="30">
        <f>IF(Bangla!D76="","",Bangla!D76)</f>
        <v>26</v>
      </c>
      <c r="D76" s="76">
        <f>IF(English!C76="","",English!C76)</f>
        <v>28</v>
      </c>
      <c r="E76" s="30">
        <f>IF(ICT!E76="","",ICT!E76)</f>
        <v>27</v>
      </c>
      <c r="F76" s="30">
        <f>IF(Physics!E76="","",Physics!E76)</f>
        <v>32</v>
      </c>
      <c r="G76" s="30" t="str">
        <f>IF(Chemistry!E76="","",Chemistry!E76)</f>
        <v/>
      </c>
      <c r="H76" s="30">
        <f>IF(Biology!E76="","",Biology!E76)</f>
        <v>18</v>
      </c>
      <c r="I76" s="30" t="str">
        <f>IF(Math!E76="","",Math!E76)</f>
        <v/>
      </c>
      <c r="J76" s="3" t="str">
        <f t="shared" si="3"/>
        <v/>
      </c>
      <c r="K76" s="3" t="str">
        <f t="shared" si="2"/>
        <v/>
      </c>
    </row>
    <row r="77" spans="1:11" x14ac:dyDescent="0.35">
      <c r="A77" s="4" t="str">
        <f>'Student Basic Info'!B77</f>
        <v>Science</v>
      </c>
      <c r="B77" s="4">
        <f>'Student Basic Info'!A77</f>
        <v>776</v>
      </c>
      <c r="C77" s="30">
        <f>IF(Bangla!D77="","",Bangla!D77)</f>
        <v>17</v>
      </c>
      <c r="D77" s="76">
        <f>IF(English!C77="","",English!C77)</f>
        <v>12</v>
      </c>
      <c r="E77" s="30">
        <f>IF(ICT!E77="","",ICT!E77)</f>
        <v>20</v>
      </c>
      <c r="F77" s="30">
        <f>IF(Physics!E77="","",Physics!E77)</f>
        <v>14</v>
      </c>
      <c r="G77" s="30">
        <f>IF(Chemistry!E77="","",Chemistry!E77)</f>
        <v>14</v>
      </c>
      <c r="H77" s="30">
        <f>IF(Biology!E77="","",Biology!E77)</f>
        <v>15</v>
      </c>
      <c r="I77" s="30">
        <f>IF(Math!E77="","",Math!E77)</f>
        <v>11</v>
      </c>
      <c r="J77" s="3">
        <f t="shared" si="3"/>
        <v>92</v>
      </c>
      <c r="K77" s="3">
        <f t="shared" si="2"/>
        <v>103</v>
      </c>
    </row>
    <row r="78" spans="1:11" x14ac:dyDescent="0.35">
      <c r="A78" s="4" t="str">
        <f>'Student Basic Info'!B78</f>
        <v>Science</v>
      </c>
      <c r="B78" s="4">
        <f>'Student Basic Info'!A78</f>
        <v>777</v>
      </c>
      <c r="C78" s="30" t="str">
        <f>IF(Bangla!D78="","",Bangla!D78)</f>
        <v/>
      </c>
      <c r="D78" s="76" t="str">
        <f>IF(English!C78="","",English!C78)</f>
        <v/>
      </c>
      <c r="E78" s="30" t="str">
        <f>IF(ICT!E78="","",ICT!E78)</f>
        <v/>
      </c>
      <c r="F78" s="30" t="str">
        <f>IF(Physics!E78="","",Physics!E78)</f>
        <v/>
      </c>
      <c r="G78" s="30" t="str">
        <f>IF(Chemistry!E78="","",Chemistry!E78)</f>
        <v/>
      </c>
      <c r="H78" s="30" t="str">
        <f>IF(Biology!E78="","",Biology!E78)</f>
        <v/>
      </c>
      <c r="I78" s="30" t="str">
        <f>IF(Math!E78="","",Math!E78)</f>
        <v/>
      </c>
      <c r="J78" s="3" t="str">
        <f t="shared" si="3"/>
        <v/>
      </c>
      <c r="K78" s="3" t="str">
        <f t="shared" si="2"/>
        <v/>
      </c>
    </row>
    <row r="79" spans="1:11" x14ac:dyDescent="0.35">
      <c r="A79" s="4" t="str">
        <f>'Student Basic Info'!B79</f>
        <v>Science</v>
      </c>
      <c r="B79" s="4">
        <f>'Student Basic Info'!A79</f>
        <v>778</v>
      </c>
      <c r="C79" s="30" t="str">
        <f>IF(Bangla!D79="","",Bangla!D79)</f>
        <v/>
      </c>
      <c r="D79" s="76" t="str">
        <f>IF(English!C79="","",English!C79)</f>
        <v/>
      </c>
      <c r="E79" s="30" t="str">
        <f>IF(ICT!E79="","",ICT!E79)</f>
        <v/>
      </c>
      <c r="F79" s="30" t="str">
        <f>IF(Physics!E79="","",Physics!E79)</f>
        <v/>
      </c>
      <c r="G79" s="30" t="str">
        <f>IF(Chemistry!E79="","",Chemistry!E79)</f>
        <v/>
      </c>
      <c r="H79" s="30" t="str">
        <f>IF(Biology!E79="","",Biology!E79)</f>
        <v/>
      </c>
      <c r="I79" s="30" t="str">
        <f>IF(Math!E79="","",Math!E79)</f>
        <v/>
      </c>
      <c r="J79" s="3" t="str">
        <f t="shared" si="3"/>
        <v/>
      </c>
      <c r="K79" s="3" t="str">
        <f t="shared" si="2"/>
        <v/>
      </c>
    </row>
    <row r="80" spans="1:11" x14ac:dyDescent="0.35">
      <c r="A80" s="4" t="str">
        <f>'Student Basic Info'!B80</f>
        <v>Science</v>
      </c>
      <c r="B80" s="4">
        <f>'Student Basic Info'!A80</f>
        <v>779</v>
      </c>
      <c r="C80" s="30">
        <f>IF(Bangla!D80="","",Bangla!D80)</f>
        <v>26</v>
      </c>
      <c r="D80" s="76">
        <f>IF(English!C80="","",English!C80)</f>
        <v>19</v>
      </c>
      <c r="E80" s="30">
        <f>IF(ICT!E80="","",ICT!E80)</f>
        <v>34</v>
      </c>
      <c r="F80" s="30">
        <f>IF(Physics!E80="","",Physics!E80)</f>
        <v>20</v>
      </c>
      <c r="G80" s="30">
        <f>IF(Chemistry!E80="","",Chemistry!E80)</f>
        <v>18</v>
      </c>
      <c r="H80" s="30">
        <f>IF(Biology!E80="","",Biology!E80)</f>
        <v>18</v>
      </c>
      <c r="I80" s="30">
        <f>IF(Math!E80="","",Math!E80)</f>
        <v>17</v>
      </c>
      <c r="J80" s="3">
        <f t="shared" si="3"/>
        <v>135</v>
      </c>
      <c r="K80" s="3">
        <f t="shared" si="2"/>
        <v>152</v>
      </c>
    </row>
    <row r="81" spans="1:11" x14ac:dyDescent="0.35">
      <c r="A81" s="4" t="str">
        <f>'Student Basic Info'!B81</f>
        <v>Science</v>
      </c>
      <c r="B81" s="4">
        <f>'Student Basic Info'!A81</f>
        <v>780</v>
      </c>
      <c r="C81" s="30">
        <f>IF(Bangla!D81="","",Bangla!D81)</f>
        <v>41</v>
      </c>
      <c r="D81" s="76">
        <f>IF(English!C81="","",English!C81)</f>
        <v>20</v>
      </c>
      <c r="E81" s="30">
        <f>IF(ICT!E81="","",ICT!E81)</f>
        <v>30</v>
      </c>
      <c r="F81" s="30">
        <f>IF(Physics!E81="","",Physics!E81)</f>
        <v>33</v>
      </c>
      <c r="G81" s="30">
        <f>IF(Chemistry!E81="","",Chemistry!E81)</f>
        <v>23</v>
      </c>
      <c r="H81" s="30">
        <f>IF(Biology!E81="","",Biology!E81)</f>
        <v>18</v>
      </c>
      <c r="I81" s="30">
        <f>IF(Math!E81="","",Math!E81)</f>
        <v>23</v>
      </c>
      <c r="J81" s="3">
        <f t="shared" si="3"/>
        <v>165</v>
      </c>
      <c r="K81" s="3">
        <f t="shared" si="2"/>
        <v>188</v>
      </c>
    </row>
    <row r="82" spans="1:11" x14ac:dyDescent="0.35">
      <c r="A82" s="4" t="str">
        <f>'Student Basic Info'!B82</f>
        <v>Science</v>
      </c>
      <c r="B82" s="4">
        <f>'Student Basic Info'!A82</f>
        <v>781</v>
      </c>
      <c r="C82" s="30" t="str">
        <f>IF(Bangla!D82="","",Bangla!D82)</f>
        <v/>
      </c>
      <c r="D82" s="76" t="str">
        <f>IF(English!C82="","",English!C82)</f>
        <v/>
      </c>
      <c r="E82" s="30" t="str">
        <f>IF(ICT!E82="","",ICT!E82)</f>
        <v/>
      </c>
      <c r="F82" s="30" t="str">
        <f>IF(Physics!E82="","",Physics!E82)</f>
        <v/>
      </c>
      <c r="G82" s="30" t="str">
        <f>IF(Chemistry!E82="","",Chemistry!E82)</f>
        <v/>
      </c>
      <c r="H82" s="30" t="str">
        <f>IF(Biology!E82="","",Biology!E82)</f>
        <v/>
      </c>
      <c r="I82" s="30" t="str">
        <f>IF(Math!E82="","",Math!E82)</f>
        <v/>
      </c>
      <c r="J82" s="3" t="str">
        <f t="shared" si="3"/>
        <v/>
      </c>
      <c r="K82" s="3" t="str">
        <f t="shared" si="2"/>
        <v/>
      </c>
    </row>
    <row r="83" spans="1:11" x14ac:dyDescent="0.35">
      <c r="A83" s="4" t="str">
        <f>'Student Basic Info'!B83</f>
        <v>Science</v>
      </c>
      <c r="B83" s="4">
        <f>'Student Basic Info'!A83</f>
        <v>782</v>
      </c>
      <c r="C83" s="30">
        <f>IF(Bangla!D83="","",Bangla!D83)</f>
        <v>53</v>
      </c>
      <c r="D83" s="76">
        <f>IF(English!C83="","",English!C83)</f>
        <v>42</v>
      </c>
      <c r="E83" s="30">
        <f>IF(ICT!E83="","",ICT!E83)</f>
        <v>36</v>
      </c>
      <c r="F83" s="30">
        <f>IF(Physics!E83="","",Physics!E83)</f>
        <v>18</v>
      </c>
      <c r="G83" s="30">
        <f>IF(Chemistry!E83="","",Chemistry!E83)</f>
        <v>14</v>
      </c>
      <c r="H83" s="30">
        <f>IF(Biology!E83="","",Biology!E83)</f>
        <v>18</v>
      </c>
      <c r="I83" s="30">
        <f>IF(Math!E83="","",Math!E83)</f>
        <v>14</v>
      </c>
      <c r="J83" s="3">
        <f t="shared" si="3"/>
        <v>181</v>
      </c>
      <c r="K83" s="3">
        <f t="shared" si="2"/>
        <v>195</v>
      </c>
    </row>
    <row r="84" spans="1:11" x14ac:dyDescent="0.35">
      <c r="A84" s="4" t="str">
        <f>'Student Basic Info'!B84</f>
        <v>Science</v>
      </c>
      <c r="B84" s="4">
        <f>'Student Basic Info'!A84</f>
        <v>783</v>
      </c>
      <c r="C84" s="30" t="str">
        <f>IF(Bangla!D84="","",Bangla!D84)</f>
        <v/>
      </c>
      <c r="D84" s="76" t="str">
        <f>IF(English!C84="","",English!C84)</f>
        <v/>
      </c>
      <c r="E84" s="30" t="str">
        <f>IF(ICT!E84="","",ICT!E84)</f>
        <v/>
      </c>
      <c r="F84" s="30" t="str">
        <f>IF(Physics!E84="","",Physics!E84)</f>
        <v/>
      </c>
      <c r="G84" s="30" t="str">
        <f>IF(Chemistry!E84="","",Chemistry!E84)</f>
        <v/>
      </c>
      <c r="H84" s="30" t="str">
        <f>IF(Biology!E84="","",Biology!E84)</f>
        <v/>
      </c>
      <c r="I84" s="30" t="str">
        <f>IF(Math!E84="","",Math!E84)</f>
        <v/>
      </c>
      <c r="J84" s="3" t="str">
        <f t="shared" si="3"/>
        <v/>
      </c>
      <c r="K84" s="3" t="str">
        <f t="shared" si="2"/>
        <v/>
      </c>
    </row>
    <row r="85" spans="1:11" x14ac:dyDescent="0.35">
      <c r="A85" s="4" t="str">
        <f>'Student Basic Info'!B85</f>
        <v>Science</v>
      </c>
      <c r="B85" s="4">
        <f>'Student Basic Info'!A85</f>
        <v>784</v>
      </c>
      <c r="C85" s="30">
        <f>IF(Bangla!D85="","",Bangla!D85)</f>
        <v>15</v>
      </c>
      <c r="D85" s="76">
        <f>IF(English!C85="","",English!C85)</f>
        <v>6</v>
      </c>
      <c r="E85" s="30">
        <f>IF(ICT!E85="","",ICT!E85)</f>
        <v>43</v>
      </c>
      <c r="F85" s="30">
        <f>IF(Physics!E85="","",Physics!E85)</f>
        <v>22</v>
      </c>
      <c r="G85" s="30">
        <f>IF(Chemistry!E85="","",Chemistry!E85)</f>
        <v>16</v>
      </c>
      <c r="H85" s="30">
        <f>IF(Biology!E85="","",Biology!E85)</f>
        <v>17</v>
      </c>
      <c r="I85" s="30">
        <f>IF(Math!E85="","",Math!E85)</f>
        <v>14</v>
      </c>
      <c r="J85" s="3">
        <f t="shared" si="3"/>
        <v>119</v>
      </c>
      <c r="K85" s="3">
        <f t="shared" si="2"/>
        <v>133</v>
      </c>
    </row>
    <row r="86" spans="1:11" x14ac:dyDescent="0.35">
      <c r="A86" s="4" t="str">
        <f>'Student Basic Info'!B86</f>
        <v>Science</v>
      </c>
      <c r="B86" s="4">
        <f>'Student Basic Info'!A86</f>
        <v>785</v>
      </c>
      <c r="C86" s="30">
        <f>IF(Bangla!D86="","",Bangla!D86)</f>
        <v>18</v>
      </c>
      <c r="D86" s="76">
        <f>IF(English!C86="","",English!C86)</f>
        <v>3</v>
      </c>
      <c r="E86" s="30">
        <f>IF(ICT!E86="","",ICT!E86)</f>
        <v>26</v>
      </c>
      <c r="F86" s="30">
        <f>IF(Physics!E86="","",Physics!E86)</f>
        <v>20</v>
      </c>
      <c r="G86" s="30" t="str">
        <f>IF(Chemistry!E86="","",Chemistry!E86)</f>
        <v/>
      </c>
      <c r="H86" s="30">
        <f>IF(Biology!E86="","",Biology!E86)</f>
        <v>18</v>
      </c>
      <c r="I86" s="30">
        <f>IF(Math!E86="","",Math!E86)</f>
        <v>15</v>
      </c>
      <c r="J86" s="3" t="str">
        <f t="shared" si="3"/>
        <v/>
      </c>
      <c r="K86" s="3" t="str">
        <f t="shared" si="2"/>
        <v/>
      </c>
    </row>
    <row r="87" spans="1:11" x14ac:dyDescent="0.35">
      <c r="A87" s="4" t="str">
        <f>'Student Basic Info'!B87</f>
        <v>Science</v>
      </c>
      <c r="B87" s="4">
        <f>'Student Basic Info'!A87</f>
        <v>786</v>
      </c>
      <c r="C87" s="30" t="str">
        <f>IF(Bangla!D87="","",Bangla!D87)</f>
        <v/>
      </c>
      <c r="D87" s="76">
        <f>IF(English!C87="","",English!C87)</f>
        <v>14</v>
      </c>
      <c r="E87" s="30">
        <f>IF(ICT!E87="","",ICT!E87)</f>
        <v>16</v>
      </c>
      <c r="F87" s="30" t="str">
        <f>IF(Physics!E87="","",Physics!E87)</f>
        <v/>
      </c>
      <c r="G87" s="30">
        <f>IF(Chemistry!E87="","",Chemistry!E87)</f>
        <v>15</v>
      </c>
      <c r="H87" s="30">
        <f>IF(Biology!E87="","",Biology!E87)</f>
        <v>15</v>
      </c>
      <c r="I87" s="30">
        <f>IF(Math!E87="","",Math!E87)</f>
        <v>14</v>
      </c>
      <c r="J87" s="3" t="str">
        <f t="shared" si="3"/>
        <v/>
      </c>
      <c r="K87" s="3" t="str">
        <f t="shared" si="2"/>
        <v/>
      </c>
    </row>
    <row r="88" spans="1:11" x14ac:dyDescent="0.35">
      <c r="A88" s="4" t="str">
        <f>'Student Basic Info'!B88</f>
        <v>Science</v>
      </c>
      <c r="B88" s="4">
        <f>'Student Basic Info'!A88</f>
        <v>6812</v>
      </c>
      <c r="C88" s="30">
        <f>IF(Bangla!D88="","",Bangla!D88)</f>
        <v>47</v>
      </c>
      <c r="D88" s="76">
        <f>IF(English!C88="","",English!C88)</f>
        <v>28</v>
      </c>
      <c r="E88" s="30">
        <f>IF(ICT!E88="","",ICT!E88)</f>
        <v>50</v>
      </c>
      <c r="F88" s="30">
        <f>IF(Physics!E88="","",Physics!E88)</f>
        <v>58</v>
      </c>
      <c r="G88" s="30">
        <f>IF(Chemistry!E88="","",Chemistry!E88)</f>
        <v>30</v>
      </c>
      <c r="H88" s="30">
        <f>IF(Biology!E88="","",Biology!E88)</f>
        <v>26</v>
      </c>
      <c r="I88" s="30">
        <f>IF(Math!E88="","",Math!E88)</f>
        <v>16</v>
      </c>
      <c r="J88" s="3">
        <f t="shared" ref="J88" si="4">IF(OR(C88=0,D88=0,E88=0,F88=0,G88=0,H88=0,C88="",D88="",E88="",F88="",G88="",H88=""),"",SUM(C88:H88))</f>
        <v>239</v>
      </c>
      <c r="K88" s="3">
        <f t="shared" ref="K88" si="5">IF(OR(C88=0,D88=0,E88=0,F88=0,G88=0,H88=0,C88="",D88="",E88="",F88="",G88="",H88=""),"",SUM(C88:I88))</f>
        <v>255</v>
      </c>
    </row>
  </sheetData>
  <sheetProtection formatCells="0" formatColumns="0" formatRows="0" insertColumns="0" insertRows="0" insertHyperlinks="0" deleteColumns="0" deleteRow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12</vt:i4>
      </vt:variant>
    </vt:vector>
  </HeadingPairs>
  <TitlesOfParts>
    <vt:vector size="37" baseType="lpstr">
      <vt:lpstr>Introduction</vt:lpstr>
      <vt:lpstr>Inputs</vt:lpstr>
      <vt:lpstr>Sheet1</vt:lpstr>
      <vt:lpstr>Student Basic Info</vt:lpstr>
      <vt:lpstr>Prev. Academic</vt:lpstr>
      <vt:lpstr>SubjectList</vt:lpstr>
      <vt:lpstr>Bangla</vt:lpstr>
      <vt:lpstr>English</vt:lpstr>
      <vt:lpstr>ICT</vt:lpstr>
      <vt:lpstr>Physics</vt:lpstr>
      <vt:lpstr>Chemistry</vt:lpstr>
      <vt:lpstr>Biology</vt:lpstr>
      <vt:lpstr>Math</vt:lpstr>
      <vt:lpstr>Optional</vt:lpstr>
      <vt:lpstr>Detailed Summary</vt:lpstr>
      <vt:lpstr>Combined Merit List</vt:lpstr>
      <vt:lpstr>All Subject Pass</vt:lpstr>
      <vt:lpstr>Fail in One Subject</vt:lpstr>
      <vt:lpstr>Fail in Two Subjects</vt:lpstr>
      <vt:lpstr>Fail in Three Subjects</vt:lpstr>
      <vt:lpstr>Fail in Four Subjects</vt:lpstr>
      <vt:lpstr>Fail in Five Subjects</vt:lpstr>
      <vt:lpstr>Fail in Six Subjects</vt:lpstr>
      <vt:lpstr>GPA Calculation Summary Sheet</vt:lpstr>
      <vt:lpstr>Combined Marks</vt:lpstr>
      <vt:lpstr>'All Subject Pass'!Print_Titles</vt:lpstr>
      <vt:lpstr>'Combined Marks'!Print_Titles</vt:lpstr>
      <vt:lpstr>'Combined Merit List'!Print_Titles</vt:lpstr>
      <vt:lpstr>'Detailed Summary'!Print_Titles</vt:lpstr>
      <vt:lpstr>'Fail in Five Subjects'!Print_Titles</vt:lpstr>
      <vt:lpstr>'Fail in Four Subjects'!Print_Titles</vt:lpstr>
      <vt:lpstr>'Fail in One Subject'!Print_Titles</vt:lpstr>
      <vt:lpstr>'Fail in Six Subjects'!Print_Titles</vt:lpstr>
      <vt:lpstr>'Fail in Three Subjects'!Print_Titles</vt:lpstr>
      <vt:lpstr>'Fail in Two Subjects'!Print_Titles</vt:lpstr>
      <vt:lpstr>'GPA Calculation Summary Sheet'!Print_Titles</vt:lpstr>
      <vt:lpstr>ICT!Print_Titles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Hossain</dc:creator>
  <cp:lastModifiedBy>Ali Hossain</cp:lastModifiedBy>
  <cp:lastPrinted>2025-02-20T08:18:50Z</cp:lastPrinted>
  <dcterms:created xsi:type="dcterms:W3CDTF">2023-12-14T05:32:41Z</dcterms:created>
  <dcterms:modified xsi:type="dcterms:W3CDTF">2025-08-28T06:17:50Z</dcterms:modified>
</cp:coreProperties>
</file>